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tabasco nuevo\luis9\"/>
    </mc:Choice>
  </mc:AlternateContent>
  <xr:revisionPtr revIDLastSave="0" documentId="13_ncr:1_{409CF656-BA78-4D37-84B9-284521E09D30}" xr6:coauthVersionLast="47" xr6:coauthVersionMax="47" xr10:uidLastSave="{00000000-0000-0000-0000-000000000000}"/>
  <bookViews>
    <workbookView xWindow="-120" yWindow="-120" windowWidth="24240" windowHeight="13290" activeTab="1" xr2:uid="{C4629C50-221B-412B-BAA9-4276A71C39D7}"/>
  </bookViews>
  <sheets>
    <sheet name="Hoja1" sheetId="1" r:id="rId1"/>
    <sheet name="Hoja2" sheetId="2" r:id="rId2"/>
    <sheet name="Hoja7" sheetId="7" r:id="rId3"/>
    <sheet name="Hoja3" sheetId="3" r:id="rId4"/>
    <sheet name="Hoja4" sheetId="4" r:id="rId5"/>
    <sheet name="Hoja5" sheetId="5" r:id="rId6"/>
    <sheet name="Hoja6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7" l="1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G2" i="2" a="1"/>
  <c r="G6" i="2" a="1"/>
  <c r="G10" i="2" a="1"/>
  <c r="G14" i="2" a="1"/>
  <c r="G18" i="2" a="1"/>
  <c r="G22" i="2" a="1"/>
  <c r="G26" i="2" a="1"/>
  <c r="G30" i="2" a="1"/>
  <c r="G34" i="2" a="1"/>
  <c r="G38" i="2" a="1"/>
  <c r="G42" i="2" a="1"/>
  <c r="G46" i="2" a="1"/>
  <c r="G50" i="2" a="1"/>
  <c r="G54" i="2" a="1"/>
  <c r="G58" i="2" a="1"/>
  <c r="G62" i="2" a="1"/>
  <c r="G3" i="2" a="1"/>
  <c r="G4" i="2" a="1"/>
  <c r="G8" i="2" a="1"/>
  <c r="G12" i="2" a="1"/>
  <c r="G16" i="2" a="1"/>
  <c r="G20" i="2" a="1"/>
  <c r="G24" i="2" a="1"/>
  <c r="G28" i="2" a="1"/>
  <c r="G32" i="2" a="1"/>
  <c r="G36" i="2" a="1"/>
  <c r="G40" i="2" a="1"/>
  <c r="G44" i="2" a="1"/>
  <c r="G48" i="2" a="1"/>
  <c r="G52" i="2" a="1"/>
  <c r="G56" i="2" a="1"/>
  <c r="G60" i="2" a="1"/>
  <c r="G64" i="2" a="1"/>
  <c r="G5" i="2" a="1"/>
  <c r="G7" i="2" a="1"/>
  <c r="G23" i="2" a="1"/>
  <c r="G39" i="2" a="1"/>
  <c r="G55" i="2" a="1"/>
  <c r="G68" i="2" a="1"/>
  <c r="G76" i="2" a="1"/>
  <c r="G84" i="2" a="1"/>
  <c r="G92" i="2" a="1"/>
  <c r="G100" i="2" a="1"/>
  <c r="G108" i="2" a="1"/>
  <c r="G116" i="2" a="1"/>
  <c r="G124" i="2" a="1"/>
  <c r="G132" i="2" a="1"/>
  <c r="G140" i="2" a="1"/>
  <c r="G148" i="2" a="1"/>
  <c r="G156" i="2" a="1"/>
  <c r="G164" i="2" a="1"/>
  <c r="G172" i="2" a="1"/>
  <c r="G180" i="2" a="1"/>
  <c r="G187" i="2" a="1"/>
  <c r="G198" i="2" a="1"/>
  <c r="G203" i="2" a="1"/>
  <c r="G214" i="2" a="1"/>
  <c r="G219" i="2" a="1"/>
  <c r="G230" i="2" a="1"/>
  <c r="G235" i="2" a="1"/>
  <c r="G246" i="2" a="1"/>
  <c r="G251" i="2" a="1"/>
  <c r="G262" i="2" a="1"/>
  <c r="G267" i="2" a="1"/>
  <c r="G278" i="2" a="1"/>
  <c r="G283" i="2" a="1"/>
  <c r="G294" i="2" a="1"/>
  <c r="G299" i="2" a="1"/>
  <c r="G310" i="2" a="1"/>
  <c r="G315" i="2" a="1"/>
  <c r="G326" i="2" a="1"/>
  <c r="G331" i="2" a="1"/>
  <c r="G342" i="2" a="1"/>
  <c r="G346" i="2" a="1"/>
  <c r="G350" i="2" a="1"/>
  <c r="G354" i="2" a="1"/>
  <c r="G358" i="2" a="1"/>
  <c r="G362" i="2" a="1"/>
  <c r="G366" i="2" a="1"/>
  <c r="G370" i="2" a="1"/>
  <c r="G374" i="2" a="1"/>
  <c r="G378" i="2" a="1"/>
  <c r="G382" i="2" a="1"/>
  <c r="G386" i="2" a="1"/>
  <c r="G390" i="2" a="1"/>
  <c r="G394" i="2" a="1"/>
  <c r="G398" i="2" a="1"/>
  <c r="G402" i="2" a="1"/>
  <c r="G406" i="2" a="1"/>
  <c r="G410" i="2" a="1"/>
  <c r="G414" i="2" a="1"/>
  <c r="G418" i="2" a="1"/>
  <c r="G422" i="2" a="1"/>
  <c r="G426" i="2" a="1"/>
  <c r="G430" i="2" a="1"/>
  <c r="G434" i="2" a="1"/>
  <c r="G438" i="2" a="1"/>
  <c r="G442" i="2" a="1"/>
  <c r="G446" i="2" a="1"/>
  <c r="G450" i="2" a="1"/>
  <c r="G454" i="2" a="1"/>
  <c r="G458" i="2" a="1"/>
  <c r="G462" i="2" a="1"/>
  <c r="G466" i="2" a="1"/>
  <c r="G470" i="2" a="1"/>
  <c r="G474" i="2" a="1"/>
  <c r="G478" i="2" a="1"/>
  <c r="G304" i="2" a="1"/>
  <c r="G336" i="2" a="1"/>
  <c r="G9" i="2" a="1"/>
  <c r="G25" i="2" a="1"/>
  <c r="G41" i="2" a="1"/>
  <c r="G57" i="2" a="1"/>
  <c r="G69" i="2" a="1"/>
  <c r="G77" i="2" a="1"/>
  <c r="G85" i="2" a="1"/>
  <c r="G93" i="2" a="1"/>
  <c r="G101" i="2" a="1"/>
  <c r="G109" i="2" a="1"/>
  <c r="G117" i="2" a="1"/>
  <c r="G125" i="2" a="1"/>
  <c r="G133" i="2" a="1"/>
  <c r="G141" i="2" a="1"/>
  <c r="G149" i="2" a="1"/>
  <c r="G157" i="2" a="1"/>
  <c r="G165" i="2" a="1"/>
  <c r="G173" i="2" a="1"/>
  <c r="G181" i="2" a="1"/>
  <c r="G188" i="2" a="1"/>
  <c r="G193" i="2" a="1"/>
  <c r="G204" i="2" a="1"/>
  <c r="G209" i="2" a="1"/>
  <c r="G220" i="2" a="1"/>
  <c r="G225" i="2" a="1"/>
  <c r="G236" i="2" a="1"/>
  <c r="G241" i="2" a="1"/>
  <c r="G252" i="2" a="1"/>
  <c r="G257" i="2" a="1"/>
  <c r="G268" i="2" a="1"/>
  <c r="G273" i="2" a="1"/>
  <c r="G284" i="2" a="1"/>
  <c r="G289" i="2" a="1"/>
  <c r="G300" i="2" a="1"/>
  <c r="G305" i="2" a="1"/>
  <c r="G316" i="2" a="1"/>
  <c r="G321" i="2" a="1"/>
  <c r="G332" i="2" a="1"/>
  <c r="G337" i="2" a="1"/>
  <c r="G436" i="2" a="1"/>
  <c r="G468" i="2" a="1"/>
  <c r="G179" i="2" a="1"/>
  <c r="G11" i="2" a="1"/>
  <c r="G27" i="2" a="1"/>
  <c r="G43" i="2" a="1"/>
  <c r="G59" i="2" a="1"/>
  <c r="G70" i="2" a="1"/>
  <c r="G78" i="2" a="1"/>
  <c r="G86" i="2" a="1"/>
  <c r="G94" i="2" a="1"/>
  <c r="G102" i="2" a="1"/>
  <c r="G110" i="2" a="1"/>
  <c r="G118" i="2" a="1"/>
  <c r="G126" i="2" a="1"/>
  <c r="G134" i="2" a="1"/>
  <c r="G142" i="2" a="1"/>
  <c r="G150" i="2" a="1"/>
  <c r="G158" i="2" a="1"/>
  <c r="G166" i="2" a="1"/>
  <c r="G174" i="2" a="1"/>
  <c r="G182" i="2" a="1"/>
  <c r="G194" i="2" a="1"/>
  <c r="G199" i="2" a="1"/>
  <c r="G210" i="2" a="1"/>
  <c r="G215" i="2" a="1"/>
  <c r="G226" i="2" a="1"/>
  <c r="G231" i="2" a="1"/>
  <c r="G242" i="2" a="1"/>
  <c r="G247" i="2" a="1"/>
  <c r="G258" i="2" a="1"/>
  <c r="G263" i="2" a="1"/>
  <c r="G274" i="2" a="1"/>
  <c r="G279" i="2" a="1"/>
  <c r="G290" i="2" a="1"/>
  <c r="G295" i="2" a="1"/>
  <c r="G306" i="2" a="1"/>
  <c r="G311" i="2" a="1"/>
  <c r="G322" i="2" a="1"/>
  <c r="G327" i="2" a="1"/>
  <c r="G338" i="2" a="1"/>
  <c r="G343" i="2" a="1"/>
  <c r="G347" i="2" a="1"/>
  <c r="G351" i="2" a="1"/>
  <c r="G355" i="2" a="1"/>
  <c r="G359" i="2" a="1"/>
  <c r="G363" i="2" a="1"/>
  <c r="G367" i="2" a="1"/>
  <c r="G371" i="2" a="1"/>
  <c r="G375" i="2" a="1"/>
  <c r="G379" i="2" a="1"/>
  <c r="G383" i="2" a="1"/>
  <c r="G387" i="2" a="1"/>
  <c r="G391" i="2" a="1"/>
  <c r="G395" i="2" a="1"/>
  <c r="G399" i="2" a="1"/>
  <c r="G403" i="2" a="1"/>
  <c r="G407" i="2" a="1"/>
  <c r="G411" i="2" a="1"/>
  <c r="G415" i="2" a="1"/>
  <c r="G419" i="2" a="1"/>
  <c r="G423" i="2" a="1"/>
  <c r="G427" i="2" a="1"/>
  <c r="G431" i="2" a="1"/>
  <c r="G435" i="2" a="1"/>
  <c r="G439" i="2" a="1"/>
  <c r="G443" i="2" a="1"/>
  <c r="G447" i="2" a="1"/>
  <c r="G451" i="2" a="1"/>
  <c r="G455" i="2" a="1"/>
  <c r="G459" i="2" a="1"/>
  <c r="G463" i="2" a="1"/>
  <c r="G467" i="2" a="1"/>
  <c r="G471" i="2" a="1"/>
  <c r="G475" i="2" a="1"/>
  <c r="G432" i="2" a="1"/>
  <c r="G460" i="2" a="1"/>
  <c r="G476" i="2" a="1"/>
  <c r="G147" i="2" a="1"/>
  <c r="G293" i="2" a="1"/>
  <c r="G341" i="2" a="1"/>
  <c r="G13" i="2" a="1"/>
  <c r="G29" i="2" a="1"/>
  <c r="G45" i="2" a="1"/>
  <c r="G61" i="2" a="1"/>
  <c r="G71" i="2" a="1"/>
  <c r="G79" i="2" a="1"/>
  <c r="G87" i="2" a="1"/>
  <c r="G95" i="2" a="1"/>
  <c r="G103" i="2" a="1"/>
  <c r="G111" i="2" a="1"/>
  <c r="G119" i="2" a="1"/>
  <c r="G127" i="2" a="1"/>
  <c r="G135" i="2" a="1"/>
  <c r="G143" i="2" a="1"/>
  <c r="G151" i="2" a="1"/>
  <c r="G159" i="2" a="1"/>
  <c r="G167" i="2" a="1"/>
  <c r="G175" i="2" a="1"/>
  <c r="G183" i="2" a="1"/>
  <c r="G189" i="2" a="1"/>
  <c r="G200" i="2" a="1"/>
  <c r="G205" i="2" a="1"/>
  <c r="G216" i="2" a="1"/>
  <c r="G221" i="2" a="1"/>
  <c r="G232" i="2" a="1"/>
  <c r="G237" i="2" a="1"/>
  <c r="G248" i="2" a="1"/>
  <c r="G253" i="2" a="1"/>
  <c r="G264" i="2" a="1"/>
  <c r="G269" i="2" a="1"/>
  <c r="G280" i="2" a="1"/>
  <c r="G285" i="2" a="1"/>
  <c r="G296" i="2" a="1"/>
  <c r="G301" i="2" a="1"/>
  <c r="G312" i="2" a="1"/>
  <c r="G317" i="2" a="1"/>
  <c r="G328" i="2" a="1"/>
  <c r="G333" i="2" a="1"/>
  <c r="G440" i="2" a="1"/>
  <c r="G472" i="2" a="1"/>
  <c r="G139" i="2" a="1"/>
  <c r="G309" i="2" a="1"/>
  <c r="G15" i="2" a="1"/>
  <c r="G31" i="2" a="1"/>
  <c r="G47" i="2" a="1"/>
  <c r="G63" i="2" a="1"/>
  <c r="G72" i="2" a="1"/>
  <c r="G80" i="2" a="1"/>
  <c r="G88" i="2" a="1"/>
  <c r="G96" i="2" a="1"/>
  <c r="G104" i="2" a="1"/>
  <c r="G112" i="2" a="1"/>
  <c r="G120" i="2" a="1"/>
  <c r="G128" i="2" a="1"/>
  <c r="G136" i="2" a="1"/>
  <c r="G144" i="2" a="1"/>
  <c r="G152" i="2" a="1"/>
  <c r="G160" i="2" a="1"/>
  <c r="G168" i="2" a="1"/>
  <c r="G176" i="2" a="1"/>
  <c r="G184" i="2" a="1"/>
  <c r="G190" i="2" a="1"/>
  <c r="G195" i="2" a="1"/>
  <c r="G206" i="2" a="1"/>
  <c r="G211" i="2" a="1"/>
  <c r="G222" i="2" a="1"/>
  <c r="G227" i="2" a="1"/>
  <c r="G238" i="2" a="1"/>
  <c r="G243" i="2" a="1"/>
  <c r="G254" i="2" a="1"/>
  <c r="G259" i="2" a="1"/>
  <c r="G270" i="2" a="1"/>
  <c r="G275" i="2" a="1"/>
  <c r="G286" i="2" a="1"/>
  <c r="G291" i="2" a="1"/>
  <c r="G302" i="2" a="1"/>
  <c r="G307" i="2" a="1"/>
  <c r="G318" i="2" a="1"/>
  <c r="G323" i="2" a="1"/>
  <c r="G334" i="2" a="1"/>
  <c r="G339" i="2" a="1"/>
  <c r="G344" i="2" a="1"/>
  <c r="G348" i="2" a="1"/>
  <c r="G352" i="2" a="1"/>
  <c r="G356" i="2" a="1"/>
  <c r="G360" i="2" a="1"/>
  <c r="G364" i="2" a="1"/>
  <c r="G368" i="2" a="1"/>
  <c r="G372" i="2" a="1"/>
  <c r="G376" i="2" a="1"/>
  <c r="G380" i="2" a="1"/>
  <c r="G384" i="2" a="1"/>
  <c r="G388" i="2" a="1"/>
  <c r="G392" i="2" a="1"/>
  <c r="G396" i="2" a="1"/>
  <c r="G400" i="2" a="1"/>
  <c r="G404" i="2" a="1"/>
  <c r="G408" i="2" a="1"/>
  <c r="G412" i="2" a="1"/>
  <c r="G416" i="2" a="1"/>
  <c r="G420" i="2" a="1"/>
  <c r="G424" i="2" a="1"/>
  <c r="G428" i="2" a="1"/>
  <c r="G444" i="2" a="1"/>
  <c r="G448" i="2" a="1"/>
  <c r="G452" i="2" a="1"/>
  <c r="G456" i="2" a="1"/>
  <c r="G464" i="2" a="1"/>
  <c r="G171" i="2" a="1"/>
  <c r="G17" i="2" a="1"/>
  <c r="G33" i="2" a="1"/>
  <c r="G49" i="2" a="1"/>
  <c r="G65" i="2" a="1"/>
  <c r="G73" i="2" a="1"/>
  <c r="G81" i="2" a="1"/>
  <c r="G89" i="2" a="1"/>
  <c r="G97" i="2" a="1"/>
  <c r="G105" i="2" a="1"/>
  <c r="G113" i="2" a="1"/>
  <c r="G121" i="2" a="1"/>
  <c r="G129" i="2" a="1"/>
  <c r="G137" i="2" a="1"/>
  <c r="G145" i="2" a="1"/>
  <c r="G153" i="2" a="1"/>
  <c r="G161" i="2" a="1"/>
  <c r="G169" i="2" a="1"/>
  <c r="G177" i="2" a="1"/>
  <c r="G185" i="2" a="1"/>
  <c r="G196" i="2" a="1"/>
  <c r="G201" i="2" a="1"/>
  <c r="G212" i="2" a="1"/>
  <c r="G217" i="2" a="1"/>
  <c r="G228" i="2" a="1"/>
  <c r="G233" i="2" a="1"/>
  <c r="G244" i="2" a="1"/>
  <c r="G249" i="2" a="1"/>
  <c r="G260" i="2" a="1"/>
  <c r="G265" i="2" a="1"/>
  <c r="G276" i="2" a="1"/>
  <c r="G281" i="2" a="1"/>
  <c r="G292" i="2" a="1"/>
  <c r="G297" i="2" a="1"/>
  <c r="G308" i="2" a="1"/>
  <c r="G313" i="2" a="1"/>
  <c r="G324" i="2" a="1"/>
  <c r="G329" i="2" a="1"/>
  <c r="G340" i="2" a="1"/>
  <c r="G37" i="2" a="1"/>
  <c r="G53" i="2" a="1"/>
  <c r="G75" i="2" a="1"/>
  <c r="G91" i="2" a="1"/>
  <c r="G107" i="2" a="1"/>
  <c r="G123" i="2" a="1"/>
  <c r="G155" i="2" a="1"/>
  <c r="G197" i="2" a="1"/>
  <c r="G213" i="2" a="1"/>
  <c r="G229" i="2" a="1"/>
  <c r="G245" i="2" a="1"/>
  <c r="G261" i="2" a="1"/>
  <c r="G277" i="2" a="1"/>
  <c r="G325" i="2" a="1"/>
  <c r="G19" i="2" a="1"/>
  <c r="G35" i="2" a="1"/>
  <c r="G51" i="2" a="1"/>
  <c r="G66" i="2" a="1"/>
  <c r="G74" i="2" a="1"/>
  <c r="G82" i="2" a="1"/>
  <c r="G90" i="2" a="1"/>
  <c r="G98" i="2" a="1"/>
  <c r="G106" i="2" a="1"/>
  <c r="G114" i="2" a="1"/>
  <c r="G122" i="2" a="1"/>
  <c r="G130" i="2" a="1"/>
  <c r="G138" i="2" a="1"/>
  <c r="G146" i="2" a="1"/>
  <c r="G154" i="2" a="1"/>
  <c r="G162" i="2" a="1"/>
  <c r="G170" i="2" a="1"/>
  <c r="G178" i="2" a="1"/>
  <c r="G186" i="2" a="1"/>
  <c r="G191" i="2" a="1"/>
  <c r="G202" i="2" a="1"/>
  <c r="G207" i="2" a="1"/>
  <c r="G218" i="2" a="1"/>
  <c r="G223" i="2" a="1"/>
  <c r="G234" i="2" a="1"/>
  <c r="G239" i="2" a="1"/>
  <c r="G250" i="2" a="1"/>
  <c r="G255" i="2" a="1"/>
  <c r="G266" i="2" a="1"/>
  <c r="G271" i="2" a="1"/>
  <c r="G282" i="2" a="1"/>
  <c r="G287" i="2" a="1"/>
  <c r="G298" i="2" a="1"/>
  <c r="G303" i="2" a="1"/>
  <c r="G314" i="2" a="1"/>
  <c r="G319" i="2" a="1"/>
  <c r="G330" i="2" a="1"/>
  <c r="G335" i="2" a="1"/>
  <c r="G345" i="2" a="1"/>
  <c r="G349" i="2" a="1"/>
  <c r="G353" i="2" a="1"/>
  <c r="G357" i="2" a="1"/>
  <c r="G361" i="2" a="1"/>
  <c r="G365" i="2" a="1"/>
  <c r="G369" i="2" a="1"/>
  <c r="G373" i="2" a="1"/>
  <c r="G377" i="2" a="1"/>
  <c r="G381" i="2" a="1"/>
  <c r="G385" i="2" a="1"/>
  <c r="G389" i="2" a="1"/>
  <c r="G393" i="2" a="1"/>
  <c r="G397" i="2" a="1"/>
  <c r="G401" i="2" a="1"/>
  <c r="G405" i="2" a="1"/>
  <c r="G409" i="2" a="1"/>
  <c r="G413" i="2" a="1"/>
  <c r="G417" i="2" a="1"/>
  <c r="G421" i="2" a="1"/>
  <c r="G425" i="2" a="1"/>
  <c r="G429" i="2" a="1"/>
  <c r="G433" i="2" a="1"/>
  <c r="G437" i="2" a="1"/>
  <c r="G441" i="2" a="1"/>
  <c r="G445" i="2" a="1"/>
  <c r="G449" i="2" a="1"/>
  <c r="G453" i="2" a="1"/>
  <c r="G457" i="2" a="1"/>
  <c r="G461" i="2" a="1"/>
  <c r="G465" i="2" a="1"/>
  <c r="G469" i="2" a="1"/>
  <c r="G473" i="2" a="1"/>
  <c r="G477" i="2" a="1"/>
  <c r="G21" i="2" a="1"/>
  <c r="G67" i="2" a="1"/>
  <c r="G83" i="2" a="1"/>
  <c r="G99" i="2" a="1"/>
  <c r="G115" i="2" a="1"/>
  <c r="G131" i="2" a="1"/>
  <c r="G163" i="2" a="1"/>
  <c r="G192" i="2" a="1"/>
  <c r="G208" i="2" a="1"/>
  <c r="G224" i="2" a="1"/>
  <c r="G240" i="2" a="1"/>
  <c r="G256" i="2" a="1"/>
  <c r="G272" i="2" a="1"/>
  <c r="G288" i="2" a="1"/>
  <c r="G320" i="2" a="1"/>
  <c r="CD83" i="1" a="1"/>
  <c r="CD57" i="1" a="1"/>
  <c r="CD154" i="1" a="1"/>
  <c r="CD106" i="1" a="1"/>
  <c r="CD315" i="1" a="1"/>
  <c r="CD323" i="1" a="1"/>
  <c r="CD312" i="1" a="1"/>
  <c r="CD462" i="1" a="1"/>
  <c r="F79" i="3" a="1"/>
  <c r="CD119" i="1" a="1"/>
  <c r="CD93" i="1" a="1"/>
  <c r="CD229" i="1" a="1"/>
  <c r="CD276" i="1" a="1"/>
  <c r="CD381" i="1" a="1"/>
  <c r="CD397" i="1" a="1"/>
  <c r="CD288" i="1" a="1"/>
  <c r="T6" i="6" a="1"/>
  <c r="CD40" i="1" a="1"/>
  <c r="CD177" i="1" a="1"/>
  <c r="CD236" i="1" a="1"/>
  <c r="CD94" i="1" a="1"/>
  <c r="CD399" i="1" a="1"/>
  <c r="CD396" i="1" a="1"/>
  <c r="CD327" i="1" a="1"/>
  <c r="F566" i="3" a="1"/>
  <c r="CD95" i="1" a="1"/>
  <c r="CD69" i="1" a="1"/>
  <c r="CD178" i="1" a="1"/>
  <c r="CD225" i="1" a="1"/>
  <c r="CD341" i="1" a="1"/>
  <c r="CD440" i="1" a="1"/>
  <c r="CD331" i="1" a="1"/>
  <c r="CD319" i="1" a="1"/>
  <c r="F582" i="3" a="1"/>
  <c r="CD135" i="1" a="1"/>
  <c r="CD105" i="1" a="1"/>
  <c r="CD254" i="1" a="1"/>
  <c r="CD126" i="1" a="1"/>
  <c r="CD461" i="1" a="1"/>
  <c r="CD477" i="1" a="1"/>
  <c r="CD307" i="1" a="1"/>
  <c r="T259" i="6" a="1"/>
  <c r="CD175" i="1" a="1"/>
  <c r="CD38" i="1" a="1"/>
  <c r="CD140" i="1" a="1"/>
  <c r="CD206" i="1" a="1"/>
  <c r="CD351" i="1" a="1"/>
  <c r="CD348" i="1" a="1"/>
  <c r="CD338" i="1" a="1"/>
  <c r="F10" i="3" a="1"/>
  <c r="CD85" i="1" a="1"/>
  <c r="CD332" i="1" a="1"/>
  <c r="F605" i="3" a="1"/>
  <c r="F4" i="3" a="1"/>
  <c r="F131" i="3" a="1"/>
  <c r="T146" i="6" a="1"/>
  <c r="F37" i="3" a="1"/>
  <c r="T326" i="6" a="1"/>
  <c r="F490" i="3" a="1"/>
  <c r="T297" i="6" a="1"/>
  <c r="F543" i="3" a="1"/>
  <c r="T118" i="6" a="1"/>
  <c r="F244" i="3" a="1"/>
  <c r="F672" i="3" a="1"/>
  <c r="CD259" i="1" a="1"/>
  <c r="CD444" i="1" a="1"/>
  <c r="T286" i="6" a="1"/>
  <c r="F876" i="3" a="1"/>
  <c r="F233" i="3" a="1"/>
  <c r="F509" i="3" a="1"/>
  <c r="F319" i="3" a="1"/>
  <c r="F424" i="3" a="1"/>
  <c r="T124" i="6" a="1"/>
  <c r="F395" i="3" a="1"/>
  <c r="F677" i="3" a="1"/>
  <c r="F529" i="3" a="1"/>
  <c r="F556" i="3" a="1"/>
  <c r="F869" i="3" a="1"/>
  <c r="CD115" i="1" a="1"/>
  <c r="CD89" i="1" a="1"/>
  <c r="CD222" i="1" a="1"/>
  <c r="CD263" i="1" a="1"/>
  <c r="CD357" i="1" a="1"/>
  <c r="CD373" i="1" a="1"/>
  <c r="CD353" i="1" a="1"/>
  <c r="CD473" i="1" a="1"/>
  <c r="CD155" i="1" a="1"/>
  <c r="CD18" i="1" a="1"/>
  <c r="CD86" i="1" a="1"/>
  <c r="CD166" i="1" a="1"/>
  <c r="CD316" i="1" a="1"/>
  <c r="CD311" i="1" a="1"/>
  <c r="CD442" i="1" a="1"/>
  <c r="T15" i="6" a="1"/>
  <c r="CD88" i="1" a="1"/>
  <c r="CD240" i="1" a="1"/>
  <c r="CD133" i="1" a="1"/>
  <c r="CD176" i="1" a="1"/>
  <c r="CD431" i="1" a="1"/>
  <c r="CD428" i="1" a="1"/>
  <c r="CD370" i="1" a="1"/>
  <c r="T336" i="6" a="1"/>
  <c r="CD127" i="1" a="1"/>
  <c r="CD101" i="1" a="1"/>
  <c r="CD248" i="1" a="1"/>
  <c r="CD118" i="1" a="1"/>
  <c r="CD433" i="1" a="1"/>
  <c r="CD449" i="1" a="1"/>
  <c r="CD301" i="1" a="1"/>
  <c r="T52" i="6" a="1"/>
  <c r="CD167" i="1" a="1"/>
  <c r="CD30" i="1" a="1"/>
  <c r="CD124" i="1" a="1"/>
  <c r="CD190" i="1" a="1"/>
  <c r="CD335" i="1" a="1"/>
  <c r="CD337" i="1" a="1"/>
  <c r="CD482" i="1" a="1"/>
  <c r="T138" i="6" a="1"/>
  <c r="CD24" i="1" a="1"/>
  <c r="CD145" i="1" a="1"/>
  <c r="CD204" i="1" a="1"/>
  <c r="CD270" i="1" a="1"/>
  <c r="CD383" i="1" a="1"/>
  <c r="CD380" i="1" a="1"/>
  <c r="CD295" i="1" a="1"/>
  <c r="F99" i="3" a="1"/>
  <c r="CD214" i="1" a="1"/>
  <c r="CD416" i="1" a="1"/>
  <c r="T65" i="6" a="1"/>
  <c r="F359" i="3" a="1"/>
  <c r="F127" i="3" a="1"/>
  <c r="F583" i="3" a="1"/>
  <c r="F86" i="3" a="1"/>
  <c r="F358" i="3" a="1"/>
  <c r="F729" i="3" a="1"/>
  <c r="F273" i="3" a="1"/>
  <c r="F332" i="3" a="1"/>
  <c r="F414" i="3" a="1"/>
  <c r="F260" i="3" a="1"/>
  <c r="F709" i="3" a="1"/>
  <c r="CD261" i="1" a="1"/>
  <c r="CD320" i="1" a="1"/>
  <c r="F578" i="3" a="1"/>
  <c r="F68" i="3" a="1"/>
  <c r="T329" i="6" a="1"/>
  <c r="F328" i="3" a="1"/>
  <c r="T341" i="6" a="1"/>
  <c r="F569" i="3" a="1"/>
  <c r="F950" i="3" a="1"/>
  <c r="T247" i="6" a="1"/>
  <c r="F477" i="3" a="1"/>
  <c r="F718" i="3" a="1"/>
  <c r="CD151" i="1" a="1"/>
  <c r="CD14" i="1" a="1"/>
  <c r="CD70" i="1" a="1"/>
  <c r="CD158" i="1" a="1"/>
  <c r="CD303" i="1" a="1"/>
  <c r="CD305" i="1" a="1"/>
  <c r="CD339" i="1" a="1"/>
  <c r="F227" i="3" a="1"/>
  <c r="CD187" i="1" a="1"/>
  <c r="CD50" i="1" a="1"/>
  <c r="CD164" i="1" a="1"/>
  <c r="CD232" i="1" a="1"/>
  <c r="CD363" i="1" a="1"/>
  <c r="CD360" i="1" a="1"/>
  <c r="CD425" i="1" a="1"/>
  <c r="T38" i="6" a="1"/>
  <c r="CD27" i="1" a="1"/>
  <c r="CD84" i="1" a="1"/>
  <c r="CD112" i="1" a="1"/>
  <c r="CD197" i="1" a="1"/>
  <c r="CD239" i="1" a="1"/>
  <c r="CD471" i="1" a="1"/>
  <c r="CD468" i="1" a="1"/>
  <c r="CD402" i="1" a="1"/>
  <c r="CD163" i="1" a="1"/>
  <c r="CD26" i="1" a="1"/>
  <c r="CD114" i="1" a="1"/>
  <c r="CD182" i="1" a="1"/>
  <c r="CD329" i="1" a="1"/>
  <c r="CD330" i="1" a="1"/>
  <c r="CD474" i="1" a="1"/>
  <c r="T258" i="6" a="1"/>
  <c r="CD203" i="1" a="1"/>
  <c r="CD129" i="1" a="1"/>
  <c r="CD188" i="1" a="1"/>
  <c r="CD251" i="1" a="1"/>
  <c r="CD375" i="1" a="1"/>
  <c r="CD372" i="1" a="1"/>
  <c r="CD282" i="1" a="1"/>
  <c r="T216" i="6" a="1"/>
  <c r="CD60" i="1" a="1"/>
  <c r="CD208" i="1" a="1"/>
  <c r="CD268" i="1" a="1"/>
  <c r="CD144" i="1" a="1"/>
  <c r="CD415" i="1" a="1"/>
  <c r="CD412" i="1" a="1"/>
  <c r="CD354" i="1" a="1"/>
  <c r="F812" i="3" a="1"/>
  <c r="CD216" i="1" a="1"/>
  <c r="CD457" i="1" a="1"/>
  <c r="F641" i="3" a="1"/>
  <c r="F202" i="3" a="1"/>
  <c r="T149" i="6" a="1"/>
  <c r="F27" i="3" a="1"/>
  <c r="T148" i="6" a="1"/>
  <c r="F121" i="3" a="1"/>
  <c r="F772" i="3" a="1"/>
  <c r="T21" i="6" a="1"/>
  <c r="F91" i="3" a="1"/>
  <c r="F961" i="3" a="1"/>
  <c r="F33" i="3" a="1"/>
  <c r="F900" i="3" a="1"/>
  <c r="CD157" i="1" a="1"/>
  <c r="CD382" i="1" a="1"/>
  <c r="T80" i="6" a="1"/>
  <c r="F912" i="3" a="1"/>
  <c r="F305" i="3" a="1"/>
  <c r="F560" i="3" a="1"/>
  <c r="F362" i="3" a="1"/>
  <c r="T170" i="6" a="1"/>
  <c r="T11" i="6" a="1"/>
  <c r="F466" i="3" a="1"/>
  <c r="F816" i="3" a="1"/>
  <c r="F692" i="3" a="1"/>
  <c r="F118" i="3" a="1"/>
  <c r="F813" i="3" a="1"/>
  <c r="CD183" i="1" a="1"/>
  <c r="CD46" i="1" a="1"/>
  <c r="CD156" i="1" a="1"/>
  <c r="CD219" i="1" a="1"/>
  <c r="CD359" i="1" a="1"/>
  <c r="CD356" i="1" a="1"/>
  <c r="CD401" i="1" a="1"/>
  <c r="F60" i="3" a="1"/>
  <c r="CD36" i="1" a="1"/>
  <c r="CD169" i="1" a="1"/>
  <c r="CD223" i="1" a="1"/>
  <c r="CD78" i="1" a="1"/>
  <c r="CD395" i="1" a="1"/>
  <c r="CD392" i="1" a="1"/>
  <c r="CD321" i="1" a="1"/>
  <c r="F390" i="3" a="1"/>
  <c r="CD59" i="1" a="1"/>
  <c r="CD33" i="1" a="1"/>
  <c r="CD266" i="1" a="1"/>
  <c r="CD262" i="1" a="1"/>
  <c r="CD8" i="1" a="1"/>
  <c r="CD278" i="1" a="1"/>
  <c r="CD445" i="1" a="1"/>
  <c r="CD434" i="1" a="1"/>
  <c r="CD199" i="1" a="1"/>
  <c r="CD121" i="1" a="1"/>
  <c r="CD180" i="1" a="1"/>
  <c r="CD245" i="1" a="1"/>
  <c r="CD371" i="1" a="1"/>
  <c r="CD368" i="1" a="1"/>
  <c r="CD481" i="1" a="1"/>
  <c r="T131" i="6" a="1"/>
  <c r="CD48" i="1" a="1"/>
  <c r="CD193" i="1" a="1"/>
  <c r="CD249" i="1" a="1"/>
  <c r="CD128" i="1" a="1"/>
  <c r="CD407" i="1" a="1"/>
  <c r="CD404" i="1" a="1"/>
  <c r="CD346" i="1" a="1"/>
  <c r="F557" i="3" a="1"/>
  <c r="CD11" i="1" a="1"/>
  <c r="CD16" i="1" a="1"/>
  <c r="CD272" i="1" a="1"/>
  <c r="CD165" i="1" a="1"/>
  <c r="CD207" i="1" a="1"/>
  <c r="CD451" i="1" a="1"/>
  <c r="CD448" i="1" a="1"/>
  <c r="CD386" i="1" a="1"/>
  <c r="F299" i="3" a="1"/>
  <c r="CD274" i="1" a="1"/>
  <c r="CD358" i="1" a="1"/>
  <c r="T151" i="6" a="1"/>
  <c r="F451" i="3" a="1"/>
  <c r="F199" i="3" a="1"/>
  <c r="F619" i="3" a="1"/>
  <c r="F158" i="3" a="1"/>
  <c r="T110" i="6" a="1"/>
  <c r="F871" i="3" a="1"/>
  <c r="F56" i="3" a="1"/>
  <c r="F571" i="3" a="1"/>
  <c r="F837" i="3" a="1"/>
  <c r="F284" i="3" a="1"/>
  <c r="F502" i="3" a="1"/>
  <c r="CD134" i="1" a="1"/>
  <c r="T152" i="6" a="1"/>
  <c r="F614" i="3" a="1"/>
  <c r="F140" i="3" a="1"/>
  <c r="T85" i="6" a="1"/>
  <c r="F115" i="3" a="1"/>
  <c r="T84" i="6" a="1"/>
  <c r="F558" i="3" a="1"/>
  <c r="F665" i="3" a="1"/>
  <c r="F654" i="3" a="1"/>
  <c r="F585" i="3" a="1"/>
  <c r="F969" i="3" a="1"/>
  <c r="T112" i="6" a="1"/>
  <c r="F735" i="3" a="1"/>
  <c r="CD32" i="1" a="1"/>
  <c r="CD161" i="1" a="1"/>
  <c r="CD217" i="1" a="1"/>
  <c r="CD62" i="1" a="1"/>
  <c r="CD391" i="1" a="1"/>
  <c r="CD388" i="1" a="1"/>
  <c r="CD314" i="1" a="1"/>
  <c r="F214" i="3" a="1"/>
  <c r="CD80" i="1" a="1"/>
  <c r="CD227" i="1" a="1"/>
  <c r="CD125" i="1" a="1"/>
  <c r="CD168" i="1" a="1"/>
  <c r="CD427" i="1" a="1"/>
  <c r="CD424" i="1" a="1"/>
  <c r="CD366" i="1" a="1"/>
  <c r="T137" i="6" a="1"/>
  <c r="CD91" i="1" a="1"/>
  <c r="CD65" i="1" a="1"/>
  <c r="CD170" i="1" a="1"/>
  <c r="CD218" i="1" a="1"/>
  <c r="CD334" i="1" a="1"/>
  <c r="CD342" i="1" a="1"/>
  <c r="CD325" i="1" a="1"/>
  <c r="CD478" i="1" a="1"/>
  <c r="CD44" i="1" a="1"/>
  <c r="CD185" i="1" a="1"/>
  <c r="CD242" i="1" a="1"/>
  <c r="CD120" i="1" a="1"/>
  <c r="CD403" i="1" a="1"/>
  <c r="CD400" i="1" a="1"/>
  <c r="CD340" i="1" a="1"/>
  <c r="F447" i="3" a="1"/>
  <c r="CD131" i="1" a="1"/>
  <c r="CD104" i="1" a="1"/>
  <c r="CD253" i="1" a="1"/>
  <c r="CD149" i="1" a="1"/>
  <c r="CD192" i="1" a="1"/>
  <c r="CD439" i="1" a="1"/>
  <c r="CD436" i="1" a="1"/>
  <c r="CD378" i="1" a="1"/>
  <c r="T16" i="6" a="1"/>
  <c r="CD43" i="1" a="1"/>
  <c r="CD17" i="1" a="1"/>
  <c r="CD234" i="1" a="1"/>
  <c r="CD230" i="1" a="1"/>
  <c r="CD271" i="1" a="1"/>
  <c r="CD385" i="1" a="1"/>
  <c r="CD345" i="1" a="1"/>
  <c r="CD418" i="1" a="1"/>
  <c r="F848" i="3" a="1"/>
  <c r="CD257" i="1" a="1"/>
  <c r="CD441" i="1" a="1"/>
  <c r="F363" i="3" a="1"/>
  <c r="F274" i="3" a="1"/>
  <c r="T219" i="6" a="1"/>
  <c r="F12" i="3" a="1"/>
  <c r="T218" i="6" a="1"/>
  <c r="F622" i="3" a="1"/>
  <c r="F663" i="3" a="1"/>
  <c r="F929" i="3" a="1"/>
  <c r="F245" i="3" a="1"/>
  <c r="F508" i="3" a="1"/>
  <c r="T245" i="6" a="1"/>
  <c r="F579" i="3" a="1"/>
  <c r="CD195" i="1" a="1"/>
  <c r="CD200" i="1" a="1"/>
  <c r="F74" i="3" a="1"/>
  <c r="T275" i="6" a="1"/>
  <c r="F948" i="3" a="1"/>
  <c r="F312" i="3" a="1"/>
  <c r="F715" i="3" a="1"/>
  <c r="F57" i="3" a="1"/>
  <c r="F364" i="3" a="1"/>
  <c r="F702" i="3" a="1"/>
  <c r="F604" i="3" a="1"/>
  <c r="F287" i="3" a="1"/>
  <c r="F987" i="3" a="1"/>
  <c r="F407" i="3" a="1"/>
  <c r="F316" i="3" a="1"/>
  <c r="CD19" i="1" a="1"/>
  <c r="CD68" i="1" a="1"/>
  <c r="CD82" i="1" a="1"/>
  <c r="CD181" i="1" a="1"/>
  <c r="CD226" i="1" a="1"/>
  <c r="CD459" i="1" a="1"/>
  <c r="CD456" i="1" a="1"/>
  <c r="CD394" i="1" a="1"/>
  <c r="F286" i="3" a="1"/>
  <c r="CD55" i="1" a="1"/>
  <c r="CD29" i="1" a="1"/>
  <c r="CD260" i="1" a="1"/>
  <c r="CD256" i="1" a="1"/>
  <c r="CD7" i="1" a="1"/>
  <c r="CD465" i="1" a="1"/>
  <c r="CD421" i="1" a="1"/>
  <c r="CD430" i="1" a="1"/>
  <c r="CD159" i="1" a="1"/>
  <c r="CD22" i="1" a="1"/>
  <c r="CD102" i="1" a="1"/>
  <c r="CD174" i="1" a="1"/>
  <c r="CD322" i="1" a="1"/>
  <c r="CD324" i="1" a="1"/>
  <c r="CD466" i="1" a="1"/>
  <c r="T61" i="6" a="1"/>
  <c r="CD31" i="1" a="1"/>
  <c r="CD92" i="1" a="1"/>
  <c r="CD209" i="1" a="1"/>
  <c r="CD205" i="1" a="1"/>
  <c r="CD252" i="1" a="1"/>
  <c r="CD479" i="1" a="1"/>
  <c r="CD476" i="1" a="1"/>
  <c r="CD406" i="1" a="1"/>
  <c r="F518" i="3" a="1"/>
  <c r="CD67" i="1" a="1"/>
  <c r="CD41" i="1" a="1"/>
  <c r="CD122" i="1" a="1"/>
  <c r="CD275" i="1" a="1"/>
  <c r="CD283" i="1" a="1"/>
  <c r="CD291" i="1" a="1"/>
  <c r="CD280" i="1" a="1"/>
  <c r="CD446" i="1" a="1"/>
  <c r="T237" i="6" a="1"/>
  <c r="CD107" i="1" a="1"/>
  <c r="CD81" i="1" a="1"/>
  <c r="CD202" i="1" a="1"/>
  <c r="CD250" i="1" a="1"/>
  <c r="CD475" i="1" a="1"/>
  <c r="CD287" i="1" a="1"/>
  <c r="CD413" i="1" a="1"/>
  <c r="CD417" i="1" a="1"/>
  <c r="F884" i="3" a="1"/>
  <c r="CD111" i="1" a="1"/>
  <c r="CD313" i="1" a="1"/>
  <c r="F146" i="3" a="1"/>
  <c r="F440" i="3" a="1"/>
  <c r="F59" i="3" a="1"/>
  <c r="T296" i="6" a="1"/>
  <c r="F48" i="3" a="1"/>
  <c r="T289" i="6" a="1"/>
  <c r="F419" i="3" a="1"/>
  <c r="F117" i="3" a="1"/>
  <c r="F895" i="3" a="1"/>
  <c r="T320" i="6" a="1"/>
  <c r="F671" i="3" a="1"/>
  <c r="T315" i="6" a="1"/>
  <c r="CD12" i="1" a="1"/>
  <c r="CD447" i="1" a="1"/>
  <c r="T195" i="6" a="1"/>
  <c r="T114" i="6" a="1"/>
  <c r="F984" i="3" a="1"/>
  <c r="F452" i="3" a="1"/>
  <c r="F785" i="3" a="1"/>
  <c r="F129" i="3" a="1"/>
  <c r="F108" i="3" a="1"/>
  <c r="F223" i="3" a="1"/>
  <c r="F662" i="3" a="1"/>
  <c r="F459" i="3" a="1"/>
  <c r="F741" i="3" a="1"/>
  <c r="F478" i="3" a="1"/>
  <c r="CD51" i="1" a="1"/>
  <c r="CD25" i="1" a="1"/>
  <c r="CD247" i="1" a="1"/>
  <c r="CD243" i="1" a="1"/>
  <c r="CD10" i="1" a="1"/>
  <c r="CD437" i="1" a="1"/>
  <c r="CD393" i="1" a="1"/>
  <c r="CD426" i="1" a="1"/>
  <c r="T102" i="6" a="1"/>
  <c r="CD87" i="1" a="1"/>
  <c r="CD61" i="1" a="1"/>
  <c r="CD162" i="1" a="1"/>
  <c r="CD212" i="1" a="1"/>
  <c r="CD328" i="1" a="1"/>
  <c r="CD336" i="1" a="1"/>
  <c r="CD318" i="1" a="1"/>
  <c r="CD470" i="1" a="1"/>
  <c r="CD191" i="1" a="1"/>
  <c r="CD110" i="1" a="1"/>
  <c r="CD172" i="1" a="1"/>
  <c r="CD238" i="1" a="1"/>
  <c r="CD367" i="1" a="1"/>
  <c r="CD364" i="1" a="1"/>
  <c r="CD453" i="1" a="1"/>
  <c r="T142" i="6" a="1"/>
  <c r="CD63" i="1" a="1"/>
  <c r="CD37" i="1" a="1"/>
  <c r="CD273" i="1" a="1"/>
  <c r="CD269" i="1" a="1"/>
  <c r="CD9" i="1" a="1"/>
  <c r="CD285" i="1" a="1"/>
  <c r="CD469" i="1" a="1"/>
  <c r="CD438" i="1" a="1"/>
  <c r="T293" i="6" a="1"/>
  <c r="CD99" i="1" a="1"/>
  <c r="CD73" i="1" a="1"/>
  <c r="CD186" i="1" a="1"/>
  <c r="CD231" i="1" a="1"/>
  <c r="CD443" i="1" a="1"/>
  <c r="CD464" i="1" a="1"/>
  <c r="CD344" i="1" a="1"/>
  <c r="CD365" i="1" a="1"/>
  <c r="F481" i="3" a="1"/>
  <c r="CD143" i="1" a="1"/>
  <c r="CD113" i="1" a="1"/>
  <c r="CD267" i="1" a="1"/>
  <c r="CD142" i="1" a="1"/>
  <c r="CD290" i="1" a="1"/>
  <c r="CD292" i="1" a="1"/>
  <c r="CD326" i="1" a="1"/>
  <c r="T274" i="6" a="1"/>
  <c r="CD64" i="1" a="1"/>
  <c r="CD419" i="1" a="1"/>
  <c r="T206" i="6" a="1"/>
  <c r="T298" i="6" a="1"/>
  <c r="F657" i="3" a="1"/>
  <c r="F337" i="3" a="1"/>
  <c r="F450" i="3" a="1"/>
  <c r="F302" i="3" a="1"/>
  <c r="F242" i="3" a="1"/>
  <c r="F357" i="3" a="1"/>
  <c r="F697" i="3" a="1"/>
  <c r="F333" i="3" a="1"/>
  <c r="F611" i="3" a="1"/>
  <c r="F350" i="3" a="1"/>
  <c r="CD109" i="1" a="1"/>
  <c r="CD279" i="1" a="1"/>
  <c r="F511" i="3" a="1"/>
  <c r="F291" i="3" a="1"/>
  <c r="T79" i="6" a="1"/>
  <c r="F66" i="3" a="1"/>
  <c r="F259" i="3" a="1"/>
  <c r="T226" i="6" a="1"/>
  <c r="F17" i="3" a="1"/>
  <c r="T177" i="6" a="1"/>
  <c r="F817" i="3" a="1"/>
  <c r="T311" i="6" a="1"/>
  <c r="F747" i="3" a="1"/>
  <c r="F993" i="3" a="1"/>
  <c r="CD160" i="1" a="1"/>
  <c r="CD233" i="1" a="1"/>
  <c r="CD409" i="1" a="1"/>
  <c r="CD435" i="1" a="1"/>
  <c r="CD306" i="1" a="1"/>
  <c r="CD310" i="1" a="1"/>
  <c r="T228" i="6" a="1"/>
  <c r="F54" i="3" a="1"/>
  <c r="F80" i="3" a="1"/>
  <c r="T241" i="6" a="1"/>
  <c r="CD150" i="1" a="1"/>
  <c r="F21" i="3" a="1"/>
  <c r="F542" i="3" a="1"/>
  <c r="F349" i="3" a="1"/>
  <c r="T279" i="6" a="1"/>
  <c r="F268" i="3" a="1"/>
  <c r="T278" i="6" a="1"/>
  <c r="T3" i="6" a="1"/>
  <c r="T135" i="6" a="1"/>
  <c r="F986" i="3" a="1"/>
  <c r="F547" i="3" a="1"/>
  <c r="F737" i="3" a="1"/>
  <c r="T305" i="6" a="1"/>
  <c r="F881" i="3" a="1"/>
  <c r="CD39" i="1" a="1"/>
  <c r="CD265" i="1" a="1"/>
  <c r="F609" i="3" a="1"/>
  <c r="F282" i="3" a="1"/>
  <c r="T232" i="6" a="1"/>
  <c r="F379" i="3" a="1"/>
  <c r="T161" i="6" a="1"/>
  <c r="F460" i="3" a="1"/>
  <c r="F103" i="3" a="1"/>
  <c r="F179" i="3" a="1"/>
  <c r="F738" i="3" a="1"/>
  <c r="F517" i="3" a="1"/>
  <c r="F693" i="3" a="1"/>
  <c r="F403" i="3" a="1"/>
  <c r="CD179" i="1" a="1"/>
  <c r="CD355" i="1" a="1"/>
  <c r="F393" i="3" a="1"/>
  <c r="F952" i="3" a="1"/>
  <c r="F375" i="3" a="1"/>
  <c r="F16" i="3" a="1"/>
  <c r="F370" i="3" a="1"/>
  <c r="T96" i="6" a="1"/>
  <c r="T303" i="6" a="1"/>
  <c r="T174" i="6" a="1"/>
  <c r="F489" i="3" a="1"/>
  <c r="F298" i="3" a="1"/>
  <c r="F576" i="3" a="1"/>
  <c r="CD28" i="1" a="1"/>
  <c r="CD387" i="1" a="1"/>
  <c r="T104" i="6" a="1"/>
  <c r="T238" i="6" a="1"/>
  <c r="F389" i="3" a="1"/>
  <c r="F276" i="3" a="1"/>
  <c r="F409" i="3" a="1"/>
  <c r="F315" i="3" a="1"/>
  <c r="T166" i="6" a="1"/>
  <c r="F7" i="3" a="1"/>
  <c r="CD77" i="1" a="1"/>
  <c r="F20" i="3" a="1"/>
  <c r="F574" i="3" a="1"/>
  <c r="F70" i="3" a="1"/>
  <c r="F38" i="3" a="1"/>
  <c r="F736" i="3" a="1"/>
  <c r="F251" i="3" a="1"/>
  <c r="F652" i="3" a="1"/>
  <c r="F706" i="3" a="1"/>
  <c r="F921" i="3" a="1"/>
  <c r="F65" i="3" a="1"/>
  <c r="F1000" i="3" a="1"/>
  <c r="F596" i="3" a="1"/>
  <c r="T30" i="6" a="1"/>
  <c r="F516" i="3" a="1"/>
  <c r="T77" i="6" a="1"/>
  <c r="F434" i="3" a="1"/>
  <c r="T113" i="6" a="1"/>
  <c r="F164" i="3" a="1"/>
  <c r="F592" i="3" a="1"/>
  <c r="F550" i="3" a="1"/>
  <c r="F568" i="3" a="1"/>
  <c r="F965" i="3" a="1"/>
  <c r="F726" i="3" a="1"/>
  <c r="T128" i="6" a="1"/>
  <c r="F575" i="3" a="1"/>
  <c r="F283" i="3" a="1"/>
  <c r="F974" i="3" a="1"/>
  <c r="T225" i="6" a="1"/>
  <c r="F40" i="3" a="1"/>
  <c r="F919" i="3" a="1"/>
  <c r="CD201" i="1" a="1"/>
  <c r="F285" i="3" a="1"/>
  <c r="F819" i="3" a="1"/>
  <c r="F85" i="3" a="1"/>
  <c r="F739" i="3" a="1"/>
  <c r="F826" i="3" a="1"/>
  <c r="F586" i="3" a="1"/>
  <c r="F698" i="3" a="1"/>
  <c r="F416" i="3" a="1"/>
  <c r="F436" i="3" a="1"/>
  <c r="F95" i="3" a="1"/>
  <c r="F589" i="3" a="1"/>
  <c r="F347" i="3" a="1"/>
  <c r="F778" i="3" a="1"/>
  <c r="CD130" i="1" a="1"/>
  <c r="F445" i="3" a="1"/>
  <c r="F935" i="3" a="1"/>
  <c r="F792" i="3" a="1"/>
  <c r="T204" i="6" a="1"/>
  <c r="F668" i="3" a="1"/>
  <c r="F721" i="3" a="1"/>
  <c r="CD423" i="1" a="1"/>
  <c r="CD463" i="1" a="1"/>
  <c r="CD429" i="1" a="1"/>
  <c r="CD432" i="1" a="1"/>
  <c r="CD480" i="1" a="1"/>
  <c r="CD293" i="1" a="1"/>
  <c r="F522" i="3" a="1"/>
  <c r="F761" i="3" a="1"/>
  <c r="F212" i="3" a="1"/>
  <c r="F849" i="3" a="1"/>
  <c r="CD15" i="1" a="1"/>
  <c r="CD220" i="1" a="1"/>
  <c r="F165" i="3" a="1"/>
  <c r="F3" i="3" a="1"/>
  <c r="T4" i="6" a="1"/>
  <c r="F498" i="3" a="1"/>
  <c r="F827" i="3" a="1"/>
  <c r="F581" i="3" a="1"/>
  <c r="F261" i="3" a="1"/>
  <c r="T214" i="6" a="1"/>
  <c r="F862" i="3" a="1"/>
  <c r="F401" i="3" a="1"/>
  <c r="F838" i="3" a="1"/>
  <c r="F523" i="3" a="1"/>
  <c r="CD171" i="1" a="1"/>
  <c r="CD347" i="1" a="1"/>
  <c r="F645" i="3" a="1"/>
  <c r="F528" i="3" a="1"/>
  <c r="F279" i="3" a="1"/>
  <c r="T172" i="6" a="1"/>
  <c r="F174" i="3" a="1"/>
  <c r="T235" i="6" a="1"/>
  <c r="T123" i="6" a="1"/>
  <c r="F920" i="3" a="1"/>
  <c r="F994" i="3" a="1"/>
  <c r="F11" i="3" a="1"/>
  <c r="F906" i="3" a="1"/>
  <c r="T191" i="6" a="1"/>
  <c r="CD21" i="1" a="1"/>
  <c r="CD405" i="1" a="1"/>
  <c r="F163" i="3" a="1"/>
  <c r="T47" i="6" a="1"/>
  <c r="T163" i="6" a="1"/>
  <c r="F371" i="3" a="1"/>
  <c r="T98" i="6" a="1"/>
  <c r="F423" i="3" a="1"/>
  <c r="F281" i="3" a="1"/>
  <c r="F144" i="3" a="1"/>
  <c r="F727" i="3" a="1"/>
  <c r="F104" i="3" a="1"/>
  <c r="F942" i="3" a="1"/>
  <c r="CD53" i="1" a="1"/>
  <c r="CD317" i="1" a="1"/>
  <c r="F278" i="3" a="1"/>
  <c r="T323" i="6" a="1"/>
  <c r="T178" i="6" a="1"/>
  <c r="T130" i="6" a="1"/>
  <c r="T184" i="6" a="1"/>
  <c r="F856" i="3" a="1"/>
  <c r="F630" i="3" a="1"/>
  <c r="T35" i="6" a="1"/>
  <c r="CD244" i="1" a="1"/>
  <c r="T87" i="6" a="1"/>
  <c r="F963" i="3" a="1"/>
  <c r="T66" i="6" a="1"/>
  <c r="F101" i="3" a="1"/>
  <c r="F773" i="3" a="1"/>
  <c r="F189" i="3" a="1"/>
  <c r="F786" i="3" a="1"/>
  <c r="F743" i="3" a="1"/>
  <c r="F435" i="3" a="1"/>
  <c r="T119" i="6" a="1"/>
  <c r="F684" i="3" a="1"/>
  <c r="F64" i="3" a="1"/>
  <c r="F946" i="3" a="1"/>
  <c r="T183" i="6" a="1"/>
  <c r="T227" i="6" a="1"/>
  <c r="CD137" i="1" a="1"/>
  <c r="F36" i="3" a="1"/>
  <c r="F839" i="3" a="1"/>
  <c r="F303" i="3" a="1"/>
  <c r="F938" i="3" a="1"/>
  <c r="F903" i="3" a="1"/>
  <c r="F151" i="3" a="1"/>
  <c r="F841" i="3" a="1"/>
  <c r="F712" i="3" a="1"/>
  <c r="F956" i="3" a="1"/>
  <c r="T288" i="6" a="1"/>
  <c r="F810" i="3" a="1"/>
  <c r="F232" i="3" a="1"/>
  <c r="F52" i="3" a="1"/>
  <c r="F905" i="3" a="1"/>
  <c r="F430" i="3" a="1"/>
  <c r="CD136" i="1" a="1"/>
  <c r="F381" i="3" a="1"/>
  <c r="F107" i="3" a="1"/>
  <c r="F808" i="3" a="1"/>
  <c r="T46" i="6" a="1"/>
  <c r="F915" i="3" a="1"/>
  <c r="F137" i="3" a="1"/>
  <c r="F470" i="3" a="1"/>
  <c r="F975" i="3" a="1"/>
  <c r="F87" i="3" a="1"/>
  <c r="F192" i="3" a="1"/>
  <c r="F318" i="3" a="1"/>
  <c r="F248" i="3" a="1"/>
  <c r="F493" i="3" a="1"/>
  <c r="CD296" i="1" a="1"/>
  <c r="F651" i="3" a="1"/>
  <c r="F779" i="3" a="1"/>
  <c r="T252" i="6" a="1"/>
  <c r="CD420" i="1" a="1"/>
  <c r="CD460" i="1" a="1"/>
  <c r="CD294" i="1" a="1"/>
  <c r="CD374" i="1" a="1"/>
  <c r="CD410" i="1" a="1"/>
  <c r="CD454" i="1" a="1"/>
  <c r="F271" i="3" a="1"/>
  <c r="F295" i="3" a="1"/>
  <c r="T157" i="6" a="1"/>
  <c r="F309" i="3" a="1"/>
  <c r="CD147" i="1" a="1"/>
  <c r="CD297" i="1" a="1"/>
  <c r="F185" i="3" a="1"/>
  <c r="F595" i="3" a="1"/>
  <c r="F385" i="3" a="1"/>
  <c r="T13" i="6" a="1"/>
  <c r="F53" i="3" a="1"/>
  <c r="T205" i="6" a="1"/>
  <c r="T39" i="6" a="1"/>
  <c r="F487" i="3" a="1"/>
  <c r="F673" i="3" a="1"/>
  <c r="T25" i="6" a="1"/>
  <c r="F717" i="3" a="1"/>
  <c r="T56" i="6" a="1"/>
  <c r="CD13" i="1" a="1"/>
  <c r="CD361" i="1" a="1"/>
  <c r="F23" i="3" a="1"/>
  <c r="F67" i="3" a="1"/>
  <c r="T302" i="6" a="1"/>
  <c r="F448" i="3" a="1"/>
  <c r="T231" i="6" a="1"/>
  <c r="F530" i="3" a="1"/>
  <c r="F175" i="3" a="1"/>
  <c r="F453" i="3" a="1"/>
  <c r="F608" i="3" a="1"/>
  <c r="F603" i="3" a="1"/>
  <c r="F788" i="3" a="1"/>
  <c r="F474" i="3" a="1"/>
  <c r="CD42" i="1" a="1"/>
  <c r="CD352" i="1" a="1"/>
  <c r="F844" i="3" a="1"/>
  <c r="F169" i="3" a="1"/>
  <c r="T68" i="6" a="1"/>
  <c r="F191" i="3" a="1"/>
  <c r="T330" i="6" a="1"/>
  <c r="T301" i="6" a="1"/>
  <c r="F897" i="3" a="1"/>
  <c r="F234" i="3" a="1"/>
  <c r="F764" i="3" a="1"/>
  <c r="F83" i="3" a="1"/>
  <c r="F188" i="3" a="1"/>
  <c r="CD153" i="1" a="1"/>
  <c r="CD384" i="1" a="1"/>
  <c r="T340" i="6" a="1"/>
  <c r="F567" i="3" a="1"/>
  <c r="F344" i="3" a="1"/>
  <c r="F421" i="3" a="1"/>
  <c r="F258" i="3" a="1"/>
  <c r="F360" i="3" a="1"/>
  <c r="F954" i="3" a="1"/>
  <c r="F325" i="3" a="1"/>
  <c r="CD472" i="1" a="1"/>
  <c r="T202" i="6" a="1"/>
  <c r="T117" i="6" a="1"/>
  <c r="F634" i="3" a="1"/>
  <c r="F154" i="3" a="1"/>
  <c r="F988" i="3" a="1"/>
  <c r="T105" i="6" a="1"/>
  <c r="F836" i="3" a="1"/>
  <c r="F366" i="3" a="1"/>
  <c r="F539" i="3" a="1"/>
  <c r="F873" i="3" a="1"/>
  <c r="F546" i="3" a="1"/>
  <c r="F476" i="3" a="1"/>
  <c r="F979" i="3" a="1"/>
  <c r="T196" i="6" a="1"/>
  <c r="T139" i="6" a="1"/>
  <c r="CD264" i="1" a="1"/>
  <c r="F49" i="3" a="1"/>
  <c r="F495" i="3" a="1"/>
  <c r="F213" i="3" a="1"/>
  <c r="F454" i="3" a="1"/>
  <c r="F901" i="3" a="1"/>
  <c r="F310" i="3" a="1"/>
  <c r="F909" i="3" a="1"/>
  <c r="T136" i="6" a="1"/>
  <c r="F506" i="3" a="1"/>
  <c r="F368" i="3" a="1"/>
  <c r="F889" i="3" a="1"/>
  <c r="T308" i="6" a="1"/>
  <c r="T316" i="6" a="1"/>
  <c r="F168" i="3" a="1"/>
  <c r="F832" i="3" a="1"/>
  <c r="CD408" i="1" a="1"/>
  <c r="F638" i="3" a="1"/>
  <c r="F167" i="3" a="1"/>
  <c r="F918" i="3" a="1"/>
  <c r="F376" i="3" a="1"/>
  <c r="F955" i="3" a="1"/>
  <c r="T190" i="6" a="1"/>
  <c r="F977" i="3" a="1"/>
  <c r="T295" i="6" a="1"/>
  <c r="T310" i="6" a="1"/>
  <c r="F941" i="3" a="1"/>
  <c r="F636" i="3" a="1"/>
  <c r="F193" i="3" a="1"/>
  <c r="F267" i="3" a="1"/>
  <c r="CD286" i="1" a="1"/>
  <c r="T64" i="6" a="1"/>
  <c r="F928" i="3" a="1"/>
  <c r="F19" i="3" a="1"/>
  <c r="F400" i="3" a="1"/>
  <c r="F834" i="3" a="1"/>
  <c r="T313" i="6" a="1"/>
  <c r="CD362" i="1" a="1"/>
  <c r="CD398" i="1" a="1"/>
  <c r="T199" i="6" a="1"/>
  <c r="T222" i="6" a="1"/>
  <c r="CD35" i="1" a="1"/>
  <c r="F404" i="3" a="1"/>
  <c r="CD75" i="1" a="1"/>
  <c r="F352" i="3" a="1"/>
  <c r="F355" i="3" a="1"/>
  <c r="T53" i="6" a="1"/>
  <c r="F187" i="3" a="1"/>
  <c r="T182" i="6" a="1"/>
  <c r="CD56" i="1" a="1"/>
  <c r="CD455" i="1" a="1"/>
  <c r="T280" i="6" a="1"/>
  <c r="F39" i="3" a="1"/>
  <c r="T103" i="6" a="1"/>
  <c r="F572" i="3" a="1"/>
  <c r="T22" i="6" a="1"/>
  <c r="F617" i="3" a="1"/>
  <c r="F330" i="3" a="1"/>
  <c r="F327" i="3" a="1"/>
  <c r="F806" i="3" a="1"/>
  <c r="F208" i="3" a="1"/>
  <c r="F885" i="3" a="1"/>
  <c r="F136" i="3" a="1"/>
  <c r="CD34" i="1" a="1"/>
  <c r="CD343" i="1" a="1"/>
  <c r="F553" i="3" a="1"/>
  <c r="F63" i="3" a="1"/>
  <c r="T44" i="6" a="1"/>
  <c r="F341" i="3" a="1"/>
  <c r="T322" i="6" a="1"/>
  <c r="T312" i="6" a="1"/>
  <c r="F767" i="3" a="1"/>
  <c r="F30" i="3" a="1"/>
  <c r="F874" i="3" a="1"/>
  <c r="F47" i="3" a="1"/>
  <c r="T194" i="6" a="1"/>
  <c r="F554" i="3" a="1"/>
  <c r="CD241" i="1" a="1"/>
  <c r="CD377" i="1" a="1"/>
  <c r="F348" i="3" a="1"/>
  <c r="T265" i="6" a="1"/>
  <c r="F526" i="3" a="1"/>
  <c r="T213" i="6" a="1"/>
  <c r="F429" i="3" a="1"/>
  <c r="F394" i="3" a="1"/>
  <c r="F742" i="3" a="1"/>
  <c r="F483" i="3" a="1"/>
  <c r="F910" i="3" a="1"/>
  <c r="T2" i="6" a="1"/>
  <c r="F340" i="3" a="1"/>
  <c r="CD146" i="1" a="1"/>
  <c r="CD299" i="1" a="1"/>
  <c r="F71" i="3" a="1"/>
  <c r="T37" i="6" a="1"/>
  <c r="F908" i="3" a="1"/>
  <c r="T273" i="6" a="1"/>
  <c r="F696" i="3" a="1"/>
  <c r="T143" i="6" a="1"/>
  <c r="F830" i="3" a="1"/>
  <c r="T71" i="6" a="1"/>
  <c r="CD389" i="1" a="1"/>
  <c r="T159" i="6" a="1"/>
  <c r="F219" i="3" a="1"/>
  <c r="F972" i="3" a="1"/>
  <c r="F61" i="3" a="1"/>
  <c r="F658" i="3" a="1"/>
  <c r="F81" i="3" a="1"/>
  <c r="F247" i="3" a="1"/>
  <c r="F240" i="3" a="1"/>
  <c r="F933" i="3" a="1"/>
  <c r="F644" i="3" a="1"/>
  <c r="F892" i="3" a="1"/>
  <c r="F794" i="3" a="1"/>
  <c r="F78" i="3" a="1"/>
  <c r="T203" i="6" a="1"/>
  <c r="F883" i="3" a="1"/>
  <c r="CD376" i="1" a="1"/>
  <c r="F297" i="3" a="1"/>
  <c r="F100" i="3" a="1"/>
  <c r="T129" i="6" a="1"/>
  <c r="F238" i="3" a="1"/>
  <c r="F755" i="3" a="1"/>
  <c r="T304" i="6" a="1"/>
  <c r="F565" i="3" a="1"/>
  <c r="F356" i="3" a="1"/>
  <c r="F798" i="3" a="1"/>
  <c r="F789" i="3" a="1"/>
  <c r="F269" i="3" a="1"/>
  <c r="F667" i="3" a="1"/>
  <c r="F8" i="3" a="1"/>
  <c r="F220" i="3" a="1"/>
  <c r="F418" i="3" a="1"/>
  <c r="F488" i="3" a="1"/>
  <c r="F442" i="3" a="1"/>
  <c r="F843" i="3" a="1"/>
  <c r="F396" i="3" a="1"/>
  <c r="F374" i="3" a="1"/>
  <c r="F711" i="3" a="1"/>
  <c r="F486" i="3" a="1"/>
  <c r="F710" i="3" a="1"/>
  <c r="F178" i="3" a="1"/>
  <c r="F809" i="3" a="1"/>
  <c r="F931" i="3" a="1"/>
  <c r="F120" i="3" a="1"/>
  <c r="F172" i="3" a="1"/>
  <c r="F480" i="3" a="1"/>
  <c r="T78" i="6" a="1"/>
  <c r="T221" i="6" a="1"/>
  <c r="T317" i="6" a="1"/>
  <c r="T18" i="6" a="1"/>
  <c r="F534" i="3" a="1"/>
  <c r="F902" i="3" a="1"/>
  <c r="F216" i="3" a="1"/>
  <c r="T276" i="6" a="1"/>
  <c r="CD23" i="1" a="1"/>
  <c r="F113" i="3" a="1"/>
  <c r="CD123" i="1" a="1"/>
  <c r="CD96" i="1" a="1"/>
  <c r="CD100" i="1" a="1"/>
  <c r="CD49" i="1" a="1"/>
  <c r="F230" i="3" a="1"/>
  <c r="T156" i="6" a="1"/>
  <c r="F691" i="3" a="1"/>
  <c r="CD117" i="1" a="1"/>
  <c r="CD298" i="1" a="1"/>
  <c r="F398" i="3" a="1"/>
  <c r="F221" i="3" a="1"/>
  <c r="T334" i="6" a="1"/>
  <c r="F124" i="3" a="1"/>
  <c r="T263" i="6" a="1"/>
  <c r="T106" i="6" a="1"/>
  <c r="F482" i="3" a="1"/>
  <c r="T147" i="6" a="1"/>
  <c r="F653" i="3" a="1"/>
  <c r="T127" i="6" a="1"/>
  <c r="F995" i="3" a="1"/>
  <c r="F782" i="3" a="1"/>
  <c r="CD228" i="1" a="1"/>
  <c r="CD281" i="1" a="1"/>
  <c r="F138" i="3" a="1"/>
  <c r="T72" i="6" a="1"/>
  <c r="F606" i="3" a="1"/>
  <c r="T83" i="6" a="1"/>
  <c r="F545" i="3" a="1"/>
  <c r="F25" i="3" a="1"/>
  <c r="F968" i="3" a="1"/>
  <c r="F563" i="3" a="1"/>
  <c r="F724" i="3" a="1"/>
  <c r="F160" i="3" a="1"/>
  <c r="T101" i="6" a="1"/>
  <c r="F926" i="3" a="1"/>
  <c r="CD148" i="1" a="1"/>
  <c r="CD369" i="1" a="1"/>
  <c r="F880" i="3" a="1"/>
  <c r="F241" i="3" a="1"/>
  <c r="F46" i="3" a="1"/>
  <c r="F263" i="3" a="1"/>
  <c r="T217" i="6" a="1"/>
  <c r="F84" i="3" a="1"/>
  <c r="F780" i="3" a="1"/>
  <c r="F306" i="3" a="1"/>
  <c r="F497" i="3" a="1"/>
  <c r="F679" i="3" a="1"/>
  <c r="T54" i="6" a="1"/>
  <c r="CD210" i="1" a="1"/>
  <c r="CD308" i="1" a="1"/>
  <c r="T91" i="6" a="1"/>
  <c r="F610" i="3" a="1"/>
  <c r="F132" i="3" a="1"/>
  <c r="F491" i="3" a="1"/>
  <c r="F171" i="3" a="1"/>
  <c r="F88" i="3" a="1"/>
  <c r="F971" i="3" a="1"/>
  <c r="F105" i="3" a="1"/>
  <c r="T306" i="6" a="1"/>
  <c r="F664" i="3" a="1"/>
  <c r="F461" i="3" a="1"/>
  <c r="T309" i="6" a="1"/>
  <c r="F413" i="3" a="1"/>
  <c r="T175" i="6" a="1"/>
  <c r="T324" i="6" a="1"/>
  <c r="F708" i="3" a="1"/>
  <c r="F733" i="3" a="1"/>
  <c r="T173" i="6" a="1"/>
  <c r="F464" i="3" a="1"/>
  <c r="F981" i="3" a="1"/>
  <c r="F62" i="3" a="1"/>
  <c r="F648" i="3" a="1"/>
  <c r="F42" i="3" a="1"/>
  <c r="F446" i="3" a="1"/>
  <c r="F533" i="3" a="1"/>
  <c r="T337" i="6" a="1"/>
  <c r="F182" i="3" a="1"/>
  <c r="F845" i="3" a="1"/>
  <c r="F593" i="3" a="1"/>
  <c r="F932" i="3" a="1"/>
  <c r="T239" i="6" a="1"/>
  <c r="F829" i="3" a="1"/>
  <c r="F763" i="3" a="1"/>
  <c r="F998" i="3" a="1"/>
  <c r="F270" i="3" a="1"/>
  <c r="F142" i="3" a="1"/>
  <c r="T201" i="6" a="1"/>
  <c r="F252" i="3" a="1"/>
  <c r="F119" i="3" a="1"/>
  <c r="T17" i="6" a="1"/>
  <c r="T45" i="6" a="1"/>
  <c r="F913" i="3" a="1"/>
  <c r="T261" i="6" a="1"/>
  <c r="F600" i="3" a="1"/>
  <c r="F720" i="3" a="1"/>
  <c r="F758" i="3" a="1"/>
  <c r="F983" i="3" a="1"/>
  <c r="T180" i="6" a="1"/>
  <c r="F760" i="3" a="1"/>
  <c r="F229" i="3" a="1"/>
  <c r="F288" i="3" a="1"/>
  <c r="F904" i="3" a="1"/>
  <c r="F75" i="3" a="1"/>
  <c r="CD221" i="1" a="1"/>
  <c r="CD98" i="1" a="1"/>
  <c r="CD235" i="1" a="1"/>
  <c r="CD141" i="1" a="1"/>
  <c r="CD211" i="1" a="1"/>
  <c r="CD74" i="1" a="1"/>
  <c r="CD152" i="1" a="1"/>
  <c r="F439" i="3" a="1"/>
  <c r="CD284" i="1" a="1"/>
  <c r="F257" i="3" a="1"/>
  <c r="CD54" i="1" a="1"/>
  <c r="CD333" i="1" a="1"/>
  <c r="F468" i="3" a="1"/>
  <c r="F293" i="3" a="1"/>
  <c r="T209" i="6" a="1"/>
  <c r="F196" i="3" a="1"/>
  <c r="T208" i="6" a="1"/>
  <c r="T220" i="6" a="1"/>
  <c r="F122" i="3" a="1"/>
  <c r="T36" i="6" a="1"/>
  <c r="T327" i="6" a="1"/>
  <c r="F887" i="3" a="1"/>
  <c r="F649" i="3" a="1"/>
  <c r="F1001" i="3" a="1"/>
  <c r="CD224" i="1" a="1"/>
  <c r="CD414" i="1" a="1"/>
  <c r="F210" i="3" a="1"/>
  <c r="T155" i="6" a="1"/>
  <c r="F642" i="3" a="1"/>
  <c r="T90" i="6" a="1"/>
  <c r="F388" i="3" a="1"/>
  <c r="F92" i="3" a="1"/>
  <c r="F828" i="3" a="1"/>
  <c r="F607" i="3" a="1"/>
  <c r="F307" i="3" a="1"/>
  <c r="F802" i="3" a="1"/>
  <c r="F465" i="3" a="1"/>
  <c r="F870" i="3" a="1"/>
  <c r="CD213" i="1" a="1"/>
  <c r="F194" i="3" a="1"/>
  <c r="F916" i="3" a="1"/>
  <c r="F313" i="3" a="1"/>
  <c r="F31" i="3" a="1"/>
  <c r="F331" i="3" a="1"/>
  <c r="T287" i="6" a="1"/>
  <c r="T233" i="6" a="1"/>
  <c r="F184" i="3" a="1"/>
  <c r="F925" i="3" a="1"/>
  <c r="T339" i="6" a="1"/>
  <c r="F650" i="3" a="1"/>
  <c r="F43" i="3" a="1"/>
  <c r="CD277" i="1" a="1"/>
  <c r="F93" i="3" a="1"/>
  <c r="T168" i="6" a="1"/>
  <c r="F646" i="3" a="1"/>
  <c r="F204" i="3" a="1"/>
  <c r="F561" i="3" a="1"/>
  <c r="F243" i="3" a="1"/>
  <c r="T318" i="6" a="1"/>
  <c r="T144" i="6" a="1"/>
  <c r="T198" i="6" a="1"/>
  <c r="T86" i="6" a="1"/>
  <c r="F852" i="3" a="1"/>
  <c r="F872" i="3" a="1"/>
  <c r="T20" i="6" a="1"/>
  <c r="T264" i="6" a="1"/>
  <c r="F833" i="3" a="1"/>
  <c r="F89" i="3" a="1"/>
  <c r="F850" i="3" a="1"/>
  <c r="T58" i="6" a="1"/>
  <c r="T126" i="6" a="1"/>
  <c r="F866" i="3" a="1"/>
  <c r="F496" i="3" a="1"/>
  <c r="T27" i="6" a="1"/>
  <c r="F525" i="3" a="1"/>
  <c r="T59" i="6" a="1"/>
  <c r="F29" i="3" a="1"/>
  <c r="T57" i="6" a="1"/>
  <c r="F28" i="3" a="1"/>
  <c r="F471" i="3" a="1"/>
  <c r="F728" i="3" a="1"/>
  <c r="F629" i="3" a="1"/>
  <c r="F479" i="3" a="1"/>
  <c r="F584" i="3" a="1"/>
  <c r="F882" i="3" a="1"/>
  <c r="T81" i="6" a="1"/>
  <c r="F262" i="3" a="1"/>
  <c r="T210" i="6" a="1"/>
  <c r="T23" i="6" a="1"/>
  <c r="T290" i="6" a="1"/>
  <c r="F462" i="3" a="1"/>
  <c r="T192" i="6" a="1"/>
  <c r="F22" i="3" a="1"/>
  <c r="F822" i="3" a="1"/>
  <c r="T133" i="6" a="1"/>
  <c r="F936" i="3" a="1"/>
  <c r="F890" i="3" a="1"/>
  <c r="F800" i="3" a="1"/>
  <c r="F777" i="3" a="1"/>
  <c r="F598" i="3" a="1"/>
  <c r="F422" i="3" a="1"/>
  <c r="F264" i="3" a="1"/>
  <c r="T145" i="6" a="1"/>
  <c r="F501" i="3" a="1"/>
  <c r="T120" i="6" a="1"/>
  <c r="T332" i="6" a="1"/>
  <c r="T255" i="6" a="1"/>
  <c r="T88" i="6" a="1"/>
  <c r="CD116" i="1" a="1"/>
  <c r="CD189" i="1" a="1"/>
  <c r="CD108" i="1" a="1"/>
  <c r="CD184" i="1" a="1"/>
  <c r="CD258" i="1" a="1"/>
  <c r="CD302" i="1" a="1"/>
  <c r="T42" i="6" a="1"/>
  <c r="F805" i="3" a="1"/>
  <c r="F237" i="3" a="1"/>
  <c r="F937" i="3" a="1"/>
  <c r="CD173" i="1" a="1"/>
  <c r="CD390" i="1" a="1"/>
  <c r="F18" i="3" a="1"/>
  <c r="T55" i="6" a="1"/>
  <c r="F427" i="3" a="1"/>
  <c r="F976" i="3" a="1"/>
  <c r="F503" i="3" a="1"/>
  <c r="F26" i="3" a="1"/>
  <c r="F277" i="3" a="1"/>
  <c r="F272" i="3" a="1"/>
  <c r="T342" i="6" a="1"/>
  <c r="F894" i="3" a="1"/>
  <c r="F342" i="3" a="1"/>
  <c r="F635" i="3" a="1"/>
  <c r="CD198" i="1" a="1"/>
  <c r="T343" i="6" a="1"/>
  <c r="F458" i="3" a="1"/>
  <c r="F207" i="3" a="1"/>
  <c r="T95" i="6" a="1"/>
  <c r="F102" i="3" a="1"/>
  <c r="T165" i="6" a="1"/>
  <c r="T8" i="6" a="1"/>
  <c r="F130" i="3" a="1"/>
  <c r="F383" i="3" a="1"/>
  <c r="F855" i="3" a="1"/>
  <c r="F939" i="3" a="1"/>
  <c r="T121" i="6" a="1"/>
  <c r="F781" i="3" a="1"/>
  <c r="CD47" i="1" a="1"/>
  <c r="CD6" i="1" a="1"/>
  <c r="F564" i="3" a="1"/>
  <c r="F148" i="3" a="1"/>
  <c r="T93" i="6" a="1"/>
  <c r="F623" i="3" a="1"/>
  <c r="T294" i="6" a="1"/>
  <c r="F573" i="3" a="1"/>
  <c r="F209" i="3" a="1"/>
  <c r="F510" i="3" a="1"/>
  <c r="F875" i="3" a="1"/>
  <c r="F397" i="3" a="1"/>
  <c r="F791" i="3" a="1"/>
  <c r="F96" i="3" a="1"/>
  <c r="CD79" i="1" a="1"/>
  <c r="CD309" i="1" a="1"/>
  <c r="T207" i="6" a="1"/>
  <c r="F215" i="3" a="1"/>
  <c r="T108" i="6" a="1"/>
  <c r="F980" i="3" a="1"/>
  <c r="T107" i="6" a="1"/>
  <c r="F820" i="3" a="1"/>
  <c r="F594" i="3" a="1"/>
  <c r="T284" i="6" a="1"/>
  <c r="F50" i="3" a="1"/>
  <c r="F387" i="3" a="1"/>
  <c r="T181" i="6" a="1"/>
  <c r="F55" i="3" a="1"/>
  <c r="F382" i="3" a="1"/>
  <c r="F222" i="3" a="1"/>
  <c r="F457" i="3" a="1"/>
  <c r="F722" i="3" a="1"/>
  <c r="T230" i="6" a="1"/>
  <c r="T29" i="6" a="1"/>
  <c r="F858" i="3" a="1"/>
  <c r="F917" i="3" a="1"/>
  <c r="T268" i="6" a="1"/>
  <c r="F504" i="3" a="1"/>
  <c r="F211" i="3" a="1"/>
  <c r="F637" i="3" a="1"/>
  <c r="F162" i="3" a="1"/>
  <c r="T285" i="6" a="1"/>
  <c r="F701" i="3" a="1"/>
  <c r="T246" i="6" a="1"/>
  <c r="F311" i="3" a="1"/>
  <c r="F685" i="3" a="1"/>
  <c r="F537" i="3" a="1"/>
  <c r="F719" i="3" a="1"/>
  <c r="T7" i="6" a="1"/>
  <c r="F69" i="3" a="1"/>
  <c r="F519" i="3" a="1"/>
  <c r="F959" i="3" a="1"/>
  <c r="F266" i="3" a="1"/>
  <c r="T41" i="6" a="1"/>
  <c r="F591" i="3" a="1"/>
  <c r="T344" i="6" a="1"/>
  <c r="F361" i="3" a="1"/>
  <c r="F714" i="3" a="1"/>
  <c r="F428" i="3" a="1"/>
  <c r="T282" i="6" a="1"/>
  <c r="F731" i="3" a="1"/>
  <c r="F183" i="3" a="1"/>
  <c r="T254" i="6" a="1"/>
  <c r="F116" i="3" a="1"/>
  <c r="F753" i="3" a="1"/>
  <c r="CD289" i="1" a="1"/>
  <c r="F734" i="3" a="1"/>
  <c r="CD71" i="1" a="1"/>
  <c r="T292" i="6" a="1"/>
  <c r="F128" i="3" a="1"/>
  <c r="F231" i="3" a="1"/>
  <c r="T132" i="6" a="1"/>
  <c r="F541" i="3" a="1"/>
  <c r="T48" i="6" a="1"/>
  <c r="F433" i="3" a="1"/>
  <c r="T94" i="6" a="1"/>
  <c r="F499" i="3" a="1"/>
  <c r="F265" i="3" a="1"/>
  <c r="F180" i="3" a="1"/>
  <c r="CD379" i="1" a="1"/>
  <c r="F799" i="3" a="1"/>
  <c r="CD196" i="1" a="1"/>
  <c r="F967" i="3" a="1"/>
  <c r="F958" i="3" a="1"/>
  <c r="F898" i="3" a="1"/>
  <c r="F723" i="3" a="1"/>
  <c r="F707" i="3" a="1"/>
  <c r="F494" i="3" a="1"/>
  <c r="T28" i="6" a="1"/>
  <c r="F14" i="3" a="1"/>
  <c r="F82" i="3" a="1"/>
  <c r="F5" i="3" a="1"/>
  <c r="F380" i="3" a="1"/>
  <c r="F13" i="3" a="1"/>
  <c r="F150" i="3" a="1"/>
  <c r="F354" i="3" a="1"/>
  <c r="F867" i="3" a="1"/>
  <c r="T189" i="6" a="1"/>
  <c r="F680" i="3" a="1"/>
  <c r="T197" i="6" a="1"/>
  <c r="F704" i="3" a="1"/>
  <c r="F527" i="3" a="1"/>
  <c r="T291" i="6" a="1"/>
  <c r="F250" i="3" a="1"/>
  <c r="F857" i="3" a="1"/>
  <c r="T171" i="6" a="1"/>
  <c r="F686" i="3" a="1"/>
  <c r="F73" i="3" a="1"/>
  <c r="F625" i="3" a="1"/>
  <c r="T140" i="6" a="1"/>
  <c r="F505" i="3" a="1"/>
  <c r="F186" i="3" a="1"/>
  <c r="F978" i="3" a="1"/>
  <c r="F690" i="3" a="1"/>
  <c r="T248" i="6" a="1"/>
  <c r="F515" i="3" a="1"/>
  <c r="F548" i="3" a="1"/>
  <c r="F790" i="3" a="1"/>
  <c r="F201" i="3" a="1"/>
  <c r="F804" i="3" a="1"/>
  <c r="T193" i="6" a="1"/>
  <c r="T63" i="6" a="1"/>
  <c r="F367" i="3" a="1"/>
  <c r="T281" i="6" a="1"/>
  <c r="F351" i="3" a="1"/>
  <c r="F235" i="3" a="1"/>
  <c r="F632" i="3" a="1"/>
  <c r="F730" i="3" a="1"/>
  <c r="F531" i="3" a="1"/>
  <c r="F369" i="3" a="1"/>
  <c r="F633" i="3" a="1"/>
  <c r="F443" i="3" a="1"/>
  <c r="F990" i="3" a="1"/>
  <c r="T76" i="6" a="1"/>
  <c r="F776" i="3" a="1"/>
  <c r="CD72" i="1" a="1"/>
  <c r="CD215" i="1" a="1"/>
  <c r="T73" i="6" a="1"/>
  <c r="T300" i="6" a="1"/>
  <c r="F317" i="3" a="1"/>
  <c r="CD90" i="1" a="1"/>
  <c r="F744" i="3" a="1"/>
  <c r="F153" i="3" a="1"/>
  <c r="F757" i="3" a="1"/>
  <c r="T12" i="6" a="1"/>
  <c r="F713" i="3" a="1"/>
  <c r="F551" i="3" a="1"/>
  <c r="F353" i="3" a="1"/>
  <c r="F521" i="3" a="1"/>
  <c r="F966" i="3" a="1"/>
  <c r="F703" i="3" a="1"/>
  <c r="T256" i="6" a="1"/>
  <c r="F914" i="3" a="1"/>
  <c r="F411" i="3" a="1"/>
  <c r="CD103" i="1" a="1"/>
  <c r="F35" i="3" a="1"/>
  <c r="F500" i="3" a="1"/>
  <c r="F960" i="3" a="1"/>
  <c r="F256" i="3" a="1"/>
  <c r="F475" i="3" a="1"/>
  <c r="F294" i="3" a="1"/>
  <c r="F640" i="3" a="1"/>
  <c r="F700" i="3" a="1"/>
  <c r="F922" i="3" a="1"/>
  <c r="F769" i="3" a="1"/>
  <c r="F620" i="3" a="1"/>
  <c r="F807" i="3" a="1"/>
  <c r="F784" i="3" a="1"/>
  <c r="F402" i="3" a="1"/>
  <c r="T299" i="6" a="1"/>
  <c r="F152" i="3" a="1"/>
  <c r="F989" i="3" a="1"/>
  <c r="F705" i="3" a="1"/>
  <c r="T109" i="6" a="1"/>
  <c r="F824" i="3" a="1"/>
  <c r="F670" i="3" a="1"/>
  <c r="F166" i="3" a="1"/>
  <c r="F930" i="3" a="1"/>
  <c r="F155" i="3" a="1"/>
  <c r="T267" i="6" a="1"/>
  <c r="F437" i="3" a="1"/>
  <c r="F759" i="3" a="1"/>
  <c r="F762" i="3" a="1"/>
  <c r="F536" i="3" a="1"/>
  <c r="F308" i="3" a="1"/>
  <c r="CD411" i="1" a="1"/>
  <c r="T82" i="6" a="1"/>
  <c r="F879" i="3" a="1"/>
  <c r="T134" i="6" a="1"/>
  <c r="F655" i="3" a="1"/>
  <c r="F141" i="3" a="1"/>
  <c r="T179" i="6" a="1"/>
  <c r="F335" i="3" a="1"/>
  <c r="F888" i="3" a="1"/>
  <c r="CD97" i="1" a="1"/>
  <c r="F944" i="3" a="1"/>
  <c r="F449" i="3" a="1"/>
  <c r="T236" i="6" a="1"/>
  <c r="F877" i="3" a="1"/>
  <c r="F552" i="3" a="1"/>
  <c r="F484" i="3" a="1"/>
  <c r="F218" i="3" a="1"/>
  <c r="T253" i="6" a="1"/>
  <c r="T200" i="6" a="1"/>
  <c r="CD66" i="1" a="1"/>
  <c r="F97" i="3" a="1"/>
  <c r="CD132" i="1" a="1"/>
  <c r="F176" i="3" a="1"/>
  <c r="CD237" i="1" a="1"/>
  <c r="F544" i="3" a="1"/>
  <c r="CD458" i="1" a="1"/>
  <c r="F125" i="3" a="1"/>
  <c r="F540" i="3" a="1"/>
  <c r="T9" i="6" a="1"/>
  <c r="F507" i="3" a="1"/>
  <c r="F949" i="3" a="1"/>
  <c r="F750" i="3" a="1"/>
  <c r="F253" i="3" a="1"/>
  <c r="F275" i="3" a="1"/>
  <c r="T33" i="6" a="1"/>
  <c r="F139" i="3" a="1"/>
  <c r="CD194" i="1" a="1"/>
  <c r="T51" i="6" a="1"/>
  <c r="F674" i="3" a="1"/>
  <c r="F406" i="3" a="1"/>
  <c r="F661" i="3" a="1"/>
  <c r="F765" i="3" a="1"/>
  <c r="T167" i="6" a="1"/>
  <c r="F372" i="3" a="1"/>
  <c r="F859" i="3" a="1"/>
  <c r="F683" i="3" a="1"/>
  <c r="T333" i="6" a="1"/>
  <c r="F774" i="3" a="1"/>
  <c r="F44" i="3" a="1"/>
  <c r="F334" i="3" a="1"/>
  <c r="F339" i="3" a="1"/>
  <c r="T314" i="6" a="1"/>
  <c r="F296" i="3" a="1"/>
  <c r="F455" i="3" a="1"/>
  <c r="CD52" i="1" a="1"/>
  <c r="CD255" i="1" a="1"/>
  <c r="T10" i="6" a="1"/>
  <c r="F751" i="3" a="1"/>
  <c r="T92" i="6" a="1"/>
  <c r="F846" i="3" a="1"/>
  <c r="F676" i="3" a="1"/>
  <c r="F973" i="3" a="1"/>
  <c r="F195" i="3" a="1"/>
  <c r="F203" i="3" a="1"/>
  <c r="F420" i="3" a="1"/>
  <c r="F681" i="3" a="1"/>
  <c r="T99" i="6" a="1"/>
  <c r="F907" i="3" a="1"/>
  <c r="T169" i="6" a="1"/>
  <c r="F149" i="3" a="1"/>
  <c r="F618" i="3" a="1"/>
  <c r="F206" i="3" a="1"/>
  <c r="F469" i="3" a="1"/>
  <c r="F797" i="3" a="1"/>
  <c r="F365" i="3" a="1"/>
  <c r="F159" i="3" a="1"/>
  <c r="F34" i="3" a="1"/>
  <c r="CD304" i="1" a="1"/>
  <c r="F412" i="3" a="1"/>
  <c r="F823" i="3" a="1"/>
  <c r="F927" i="3" a="1"/>
  <c r="T19" i="6" a="1"/>
  <c r="F639" i="3" a="1"/>
  <c r="F725" i="3" a="1"/>
  <c r="T100" i="6" a="1"/>
  <c r="F426" i="3" a="1"/>
  <c r="F854" i="3" a="1"/>
  <c r="T262" i="6" a="1"/>
  <c r="T26" i="6" a="1"/>
  <c r="F224" i="3" a="1"/>
  <c r="CD76" i="1" a="1"/>
  <c r="CD138" i="1" a="1"/>
  <c r="CD452" i="1" a="1"/>
  <c r="F626" i="3" a="1"/>
  <c r="CD300" i="1" a="1"/>
  <c r="F15" i="3" a="1"/>
  <c r="CD422" i="1" a="1"/>
  <c r="F392" i="3" a="1"/>
  <c r="F143" i="3" a="1"/>
  <c r="F249" i="3" a="1"/>
  <c r="T260" i="6" a="1"/>
  <c r="T74" i="6" a="1"/>
  <c r="F716" i="3" a="1"/>
  <c r="T69" i="6" a="1"/>
  <c r="F660" i="3" a="1"/>
  <c r="T328" i="6" a="1"/>
  <c r="F621" i="3" a="1"/>
  <c r="F835" i="3" a="1"/>
  <c r="F217" i="3" a="1"/>
  <c r="F899" i="3" a="1"/>
  <c r="F659" i="3" a="1"/>
  <c r="F815" i="3" a="1"/>
  <c r="CD467" i="1" a="1"/>
  <c r="T97" i="6" a="1"/>
  <c r="T269" i="6" a="1"/>
  <c r="F225" i="3" a="1"/>
  <c r="F173" i="3" a="1"/>
  <c r="F847" i="3" a="1"/>
  <c r="F535" i="3" a="1"/>
  <c r="F891" i="3" a="1"/>
  <c r="T75" i="6" a="1"/>
  <c r="F246" i="3" a="1"/>
  <c r="F749" i="3" a="1"/>
  <c r="F771" i="3" a="1"/>
  <c r="F513" i="3" a="1"/>
  <c r="F669" i="3" a="1"/>
  <c r="F236" i="3" a="1"/>
  <c r="F562" i="3" a="1"/>
  <c r="F51" i="3" a="1"/>
  <c r="F997" i="3" a="1"/>
  <c r="F631" i="3" a="1"/>
  <c r="F239" i="3" a="1"/>
  <c r="F811" i="3" a="1"/>
  <c r="T271" i="6" a="1"/>
  <c r="F292" i="3" a="1"/>
  <c r="F255" i="3" a="1"/>
  <c r="F432" i="3" a="1"/>
  <c r="T150" i="6" a="1"/>
  <c r="F197" i="3" a="1"/>
  <c r="F951" i="3" a="1"/>
  <c r="F336" i="3" a="1"/>
  <c r="F860" i="3" a="1"/>
  <c r="T250" i="6" a="1"/>
  <c r="F512" i="3" a="1"/>
  <c r="F110" i="3" a="1"/>
  <c r="T188" i="6" a="1"/>
  <c r="F559" i="3" a="1"/>
  <c r="F145" i="3" a="1"/>
  <c r="T153" i="6" a="1"/>
  <c r="T164" i="6" a="1"/>
  <c r="T307" i="6" a="1"/>
  <c r="F485" i="3" a="1"/>
  <c r="F602" i="3" a="1"/>
  <c r="F410" i="3" a="1"/>
  <c r="F32" i="3" a="1"/>
  <c r="T40" i="6" a="1"/>
  <c r="T154" i="6" a="1"/>
  <c r="T5" i="6" a="1"/>
  <c r="F532" i="3" a="1"/>
  <c r="F90" i="3" a="1"/>
  <c r="F190" i="3" a="1"/>
  <c r="F338" i="3" a="1"/>
  <c r="F787" i="3" a="1"/>
  <c r="T251" i="6" a="1"/>
  <c r="F746" i="3" a="1"/>
  <c r="T211" i="6" a="1"/>
  <c r="F853" i="3" a="1"/>
  <c r="F384" i="3" a="1"/>
  <c r="F322" i="3" a="1"/>
  <c r="F76" i="3" a="1"/>
  <c r="F613" i="3" a="1"/>
  <c r="T243" i="6" a="1"/>
  <c r="T14" i="6" a="1"/>
  <c r="F666" i="3" a="1"/>
  <c r="T338" i="6" a="1"/>
  <c r="F314" i="3" a="1"/>
  <c r="F109" i="3" a="1"/>
  <c r="F783" i="3" a="1"/>
  <c r="F300" i="3" a="1"/>
  <c r="T160" i="6" a="1"/>
  <c r="F373" i="3" a="1"/>
  <c r="F923" i="3" a="1"/>
  <c r="F549" i="3" a="1"/>
  <c r="F417" i="3" a="1"/>
  <c r="CD349" i="1" a="1"/>
  <c r="T89" i="6" a="1"/>
  <c r="T187" i="6" a="1"/>
  <c r="F752" i="3" a="1"/>
  <c r="T31" i="6" a="1"/>
  <c r="F687" i="3" a="1"/>
  <c r="F41" i="3" a="1"/>
  <c r="F991" i="3" a="1"/>
  <c r="F590" i="3" a="1"/>
  <c r="F597" i="3" a="1"/>
  <c r="F924" i="3" a="1"/>
  <c r="F793" i="3" a="1"/>
  <c r="CD20" i="1" a="1"/>
  <c r="F98" i="3" a="1"/>
  <c r="F570" i="3" a="1"/>
  <c r="T257" i="6" a="1"/>
  <c r="F555" i="3" a="1"/>
  <c r="T331" i="6" a="1"/>
  <c r="T321" i="6" a="1"/>
  <c r="F456" i="3" a="1"/>
  <c r="F345" i="3" a="1"/>
  <c r="F58" i="3" a="1"/>
  <c r="F289" i="3" a="1"/>
  <c r="F953" i="3" a="1"/>
  <c r="F198" i="3" a="1"/>
  <c r="F323" i="3" a="1"/>
  <c r="F643" i="3" a="1"/>
  <c r="F343" i="3" a="1"/>
  <c r="F615" i="3" a="1"/>
  <c r="CD350" i="1" a="1"/>
  <c r="F386" i="3" a="1"/>
  <c r="F181" i="3" a="1"/>
  <c r="F580" i="3" a="1"/>
  <c r="F943" i="3" a="1"/>
  <c r="F329" i="3" a="1"/>
  <c r="T70" i="6" a="1"/>
  <c r="T270" i="6" a="1"/>
  <c r="T186" i="6" a="1"/>
  <c r="F106" i="3" a="1"/>
  <c r="F999" i="3" a="1"/>
  <c r="F77" i="3" a="1"/>
  <c r="T62" i="6" a="1"/>
  <c r="F135" i="3" a="1"/>
  <c r="F647" i="3" a="1"/>
  <c r="F9" i="3" a="1"/>
  <c r="F415" i="3" a="1"/>
  <c r="F695" i="3" a="1"/>
  <c r="F399" i="3" a="1"/>
  <c r="F324" i="3" a="1"/>
  <c r="F992" i="3" a="1"/>
  <c r="T141" i="6" a="1"/>
  <c r="F748" i="3" a="1"/>
  <c r="CD139" i="1" a="1"/>
  <c r="F320" i="3" a="1"/>
  <c r="F803" i="3" a="1"/>
  <c r="T224" i="6" a="1"/>
  <c r="F514" i="3" a="1"/>
  <c r="F587" i="3" a="1"/>
  <c r="F577" i="3" a="1"/>
  <c r="T115" i="6" a="1"/>
  <c r="T122" i="6" a="1"/>
  <c r="T319" i="6" a="1"/>
  <c r="F391" i="3" a="1"/>
  <c r="F290" i="3" a="1"/>
  <c r="F147" i="3" a="1"/>
  <c r="F111" i="3" a="1"/>
  <c r="T185" i="6" a="1"/>
  <c r="F796" i="3" a="1"/>
  <c r="F851" i="3" a="1"/>
  <c r="F886" i="3" a="1"/>
  <c r="F795" i="3" a="1"/>
  <c r="F123" i="3" a="1"/>
  <c r="F177" i="3" a="1"/>
  <c r="F745" i="3" a="1"/>
  <c r="F957" i="3" a="1"/>
  <c r="F228" i="3" a="1"/>
  <c r="F24" i="3" a="1"/>
  <c r="F970" i="3" a="1"/>
  <c r="F114" i="3" a="1"/>
  <c r="F94" i="3" a="1"/>
  <c r="F538" i="3" a="1"/>
  <c r="F947" i="3" a="1"/>
  <c r="F2" i="3" a="1"/>
  <c r="T249" i="6" a="1"/>
  <c r="F996" i="3" a="1"/>
  <c r="F157" i="3" a="1"/>
  <c r="T116" i="6" a="1"/>
  <c r="F682" i="3" a="1"/>
  <c r="F492" i="3" a="1"/>
  <c r="F768" i="3" a="1"/>
  <c r="F818" i="3" a="1"/>
  <c r="F45" i="3" a="1"/>
  <c r="F616" i="3" a="1"/>
  <c r="F962" i="3" a="1"/>
  <c r="T242" i="6" a="1"/>
  <c r="T240" i="6" a="1"/>
  <c r="F775" i="3" a="1"/>
  <c r="F520" i="3" a="1"/>
  <c r="CD58" i="1" a="1"/>
  <c r="T158" i="6" a="1"/>
  <c r="T32" i="6" a="1"/>
  <c r="F624" i="3" a="1"/>
  <c r="T215" i="6" a="1"/>
  <c r="F689" i="3" a="1"/>
  <c r="T272" i="6" a="1"/>
  <c r="F441" i="3" a="1"/>
  <c r="F825" i="3" a="1"/>
  <c r="CD450" i="1" a="1"/>
  <c r="F863" i="3" a="1"/>
  <c r="F112" i="3" a="1"/>
  <c r="F754" i="3" a="1"/>
  <c r="F878" i="3" a="1"/>
  <c r="F444" i="3" a="1"/>
  <c r="T111" i="6" a="1"/>
  <c r="F463" i="3" a="1"/>
  <c r="F472" i="3" a="1"/>
  <c r="F599" i="3" a="1"/>
  <c r="T244" i="6" a="1"/>
  <c r="F831" i="3" a="1"/>
  <c r="T277" i="6" a="1"/>
  <c r="F628" i="3" a="1"/>
  <c r="F842" i="3" a="1"/>
  <c r="F770" i="3" a="1"/>
  <c r="F601" i="3" a="1"/>
  <c r="F814" i="3" a="1"/>
  <c r="CD45" i="1" a="1"/>
  <c r="F254" i="3" a="1"/>
  <c r="F865" i="3" a="1"/>
  <c r="F156" i="3" a="1"/>
  <c r="F161" i="3" a="1"/>
  <c r="CD246" i="1" a="1"/>
  <c r="F896" i="3" a="1"/>
  <c r="F940" i="3" a="1"/>
  <c r="F756" i="3" a="1"/>
  <c r="F377" i="3" a="1"/>
  <c r="F801" i="3" a="1"/>
  <c r="T283" i="6" a="1"/>
  <c r="F766" i="3" a="1"/>
  <c r="F346" i="3" a="1"/>
  <c r="F934" i="3" a="1"/>
  <c r="T176" i="6" a="1"/>
  <c r="F280" i="3" a="1"/>
  <c r="F72" i="3" a="1"/>
  <c r="T162" i="6" a="1"/>
  <c r="F467" i="3" a="1"/>
  <c r="F911" i="3" a="1"/>
  <c r="F945" i="3" a="1"/>
  <c r="T325" i="6" a="1"/>
  <c r="F861" i="3" a="1"/>
  <c r="T234" i="6" a="1"/>
  <c r="F321" i="3" a="1"/>
  <c r="T50" i="6" a="1"/>
  <c r="F694" i="3" a="1"/>
  <c r="F134" i="3" a="1"/>
  <c r="F405" i="3" a="1"/>
  <c r="F699" i="3" a="1"/>
  <c r="F304" i="3" a="1"/>
  <c r="F378" i="3" a="1"/>
  <c r="F982" i="3" a="1"/>
  <c r="T125" i="6" a="1"/>
  <c r="F473" i="3" a="1"/>
  <c r="F732" i="3" a="1"/>
  <c r="F524" i="3" a="1"/>
  <c r="T24" i="6" a="1"/>
  <c r="F964" i="3" a="1"/>
  <c r="F678" i="3" a="1"/>
  <c r="F200" i="3" a="1"/>
  <c r="F425" i="3" a="1"/>
  <c r="F612" i="3" a="1"/>
  <c r="F985" i="3" a="1"/>
  <c r="F864" i="3" a="1"/>
  <c r="F408" i="3" a="1"/>
  <c r="F205" i="3" a="1"/>
  <c r="T49" i="6" a="1"/>
  <c r="F868" i="3" a="1"/>
  <c r="F627" i="3" a="1"/>
  <c r="F301" i="3" a="1"/>
  <c r="F126" i="3" a="1"/>
  <c r="F326" i="3" a="1"/>
  <c r="F6" i="3" a="1"/>
  <c r="F226" i="3" a="1"/>
  <c r="F675" i="3" a="1"/>
  <c r="F688" i="3" a="1"/>
  <c r="T43" i="6" a="1"/>
  <c r="F821" i="3" a="1"/>
  <c r="T67" i="6" a="1"/>
  <c r="F740" i="3" a="1"/>
  <c r="F588" i="3" a="1"/>
  <c r="F840" i="3" a="1"/>
  <c r="T223" i="6" a="1"/>
  <c r="F170" i="3" a="1"/>
  <c r="T335" i="6" a="1"/>
  <c r="F893" i="3" a="1"/>
  <c r="T229" i="6" a="1"/>
  <c r="T34" i="6" a="1"/>
  <c r="F431" i="3" a="1"/>
  <c r="T266" i="6" a="1"/>
  <c r="F133" i="3" a="1"/>
  <c r="F656" i="3" a="1"/>
  <c r="F438" i="3" a="1"/>
  <c r="T60" i="6" a="1"/>
  <c r="T212" i="6" a="1"/>
  <c r="G320" i="2" l="1"/>
  <c r="G288" i="2"/>
  <c r="G272" i="2"/>
  <c r="G256" i="2"/>
  <c r="G240" i="2"/>
  <c r="G224" i="2"/>
  <c r="G208" i="2"/>
  <c r="G192" i="2"/>
  <c r="G163" i="2"/>
  <c r="G131" i="2"/>
  <c r="G115" i="2"/>
  <c r="G99" i="2"/>
  <c r="G83" i="2"/>
  <c r="G67" i="2"/>
  <c r="G21" i="2"/>
  <c r="G477" i="2"/>
  <c r="G473" i="2"/>
  <c r="G469" i="2"/>
  <c r="G465" i="2"/>
  <c r="G461" i="2"/>
  <c r="G457" i="2"/>
  <c r="G453" i="2"/>
  <c r="G449" i="2"/>
  <c r="G445" i="2"/>
  <c r="G441" i="2"/>
  <c r="G437" i="2"/>
  <c r="G433" i="2"/>
  <c r="G429" i="2"/>
  <c r="G425" i="2"/>
  <c r="G421" i="2"/>
  <c r="G417" i="2"/>
  <c r="G413" i="2"/>
  <c r="G409" i="2"/>
  <c r="G405" i="2"/>
  <c r="G401" i="2"/>
  <c r="G397" i="2"/>
  <c r="G393" i="2"/>
  <c r="G389" i="2"/>
  <c r="G385" i="2"/>
  <c r="G381" i="2"/>
  <c r="G377" i="2"/>
  <c r="G373" i="2"/>
  <c r="G369" i="2"/>
  <c r="G365" i="2"/>
  <c r="G361" i="2"/>
  <c r="G357" i="2"/>
  <c r="G353" i="2"/>
  <c r="G349" i="2"/>
  <c r="G345" i="2"/>
  <c r="G335" i="2"/>
  <c r="G330" i="2"/>
  <c r="G319" i="2"/>
  <c r="G314" i="2"/>
  <c r="G303" i="2"/>
  <c r="G298" i="2"/>
  <c r="G287" i="2"/>
  <c r="G282" i="2"/>
  <c r="G271" i="2"/>
  <c r="G266" i="2"/>
  <c r="G255" i="2"/>
  <c r="G250" i="2"/>
  <c r="G239" i="2"/>
  <c r="G234" i="2"/>
  <c r="G223" i="2"/>
  <c r="G218" i="2"/>
  <c r="G207" i="2"/>
  <c r="G202" i="2"/>
  <c r="G191" i="2"/>
  <c r="G186" i="2"/>
  <c r="G178" i="2"/>
  <c r="G170" i="2"/>
  <c r="G162" i="2"/>
  <c r="G154" i="2"/>
  <c r="G146" i="2"/>
  <c r="G138" i="2"/>
  <c r="G130" i="2"/>
  <c r="G122" i="2"/>
  <c r="G114" i="2"/>
  <c r="G106" i="2"/>
  <c r="G98" i="2"/>
  <c r="G90" i="2"/>
  <c r="G82" i="2"/>
  <c r="G74" i="2"/>
  <c r="G66" i="2"/>
  <c r="G51" i="2"/>
  <c r="G35" i="2"/>
  <c r="G19" i="2"/>
  <c r="G325" i="2"/>
  <c r="G277" i="2"/>
  <c r="G261" i="2"/>
  <c r="G245" i="2"/>
  <c r="G229" i="2"/>
  <c r="G213" i="2"/>
  <c r="G197" i="2"/>
  <c r="G155" i="2"/>
  <c r="G123" i="2"/>
  <c r="G107" i="2"/>
  <c r="G91" i="2"/>
  <c r="G75" i="2"/>
  <c r="G53" i="2"/>
  <c r="G37" i="2"/>
  <c r="G340" i="2"/>
  <c r="G329" i="2"/>
  <c r="G324" i="2"/>
  <c r="G313" i="2"/>
  <c r="G308" i="2"/>
  <c r="G297" i="2"/>
  <c r="G292" i="2"/>
  <c r="G281" i="2"/>
  <c r="G276" i="2"/>
  <c r="G265" i="2"/>
  <c r="G260" i="2"/>
  <c r="G249" i="2"/>
  <c r="G244" i="2"/>
  <c r="G233" i="2"/>
  <c r="G228" i="2"/>
  <c r="G217" i="2"/>
  <c r="G212" i="2"/>
  <c r="G201" i="2"/>
  <c r="G196" i="2"/>
  <c r="G185" i="2"/>
  <c r="G177" i="2"/>
  <c r="G169" i="2"/>
  <c r="G161" i="2"/>
  <c r="G153" i="2"/>
  <c r="G145" i="2"/>
  <c r="G137" i="2"/>
  <c r="G129" i="2"/>
  <c r="G121" i="2"/>
  <c r="G113" i="2"/>
  <c r="G105" i="2"/>
  <c r="G97" i="2"/>
  <c r="G89" i="2"/>
  <c r="G81" i="2"/>
  <c r="G73" i="2"/>
  <c r="G65" i="2"/>
  <c r="G49" i="2"/>
  <c r="G33" i="2"/>
  <c r="G17" i="2"/>
  <c r="G171" i="2"/>
  <c r="G464" i="2"/>
  <c r="G456" i="2"/>
  <c r="G452" i="2"/>
  <c r="G448" i="2"/>
  <c r="G444" i="2"/>
  <c r="G428" i="2"/>
  <c r="G424" i="2"/>
  <c r="G420" i="2"/>
  <c r="G416" i="2"/>
  <c r="G412" i="2"/>
  <c r="G408" i="2"/>
  <c r="G404" i="2"/>
  <c r="G400" i="2"/>
  <c r="G396" i="2"/>
  <c r="G392" i="2"/>
  <c r="G388" i="2"/>
  <c r="G384" i="2"/>
  <c r="G380" i="2"/>
  <c r="G376" i="2"/>
  <c r="G372" i="2"/>
  <c r="G368" i="2"/>
  <c r="G364" i="2"/>
  <c r="G360" i="2"/>
  <c r="G356" i="2"/>
  <c r="G352" i="2"/>
  <c r="G348" i="2"/>
  <c r="G344" i="2"/>
  <c r="G339" i="2"/>
  <c r="G334" i="2"/>
  <c r="G323" i="2"/>
  <c r="G318" i="2"/>
  <c r="G307" i="2"/>
  <c r="G302" i="2"/>
  <c r="G291" i="2"/>
  <c r="G286" i="2"/>
  <c r="G275" i="2"/>
  <c r="G270" i="2"/>
  <c r="G259" i="2"/>
  <c r="G254" i="2"/>
  <c r="G243" i="2"/>
  <c r="G238" i="2"/>
  <c r="G227" i="2"/>
  <c r="G222" i="2"/>
  <c r="G211" i="2"/>
  <c r="G206" i="2"/>
  <c r="G195" i="2"/>
  <c r="G190" i="2"/>
  <c r="G184" i="2"/>
  <c r="G176" i="2"/>
  <c r="G168" i="2"/>
  <c r="G160" i="2"/>
  <c r="G152" i="2"/>
  <c r="G144" i="2"/>
  <c r="G136" i="2"/>
  <c r="G128" i="2"/>
  <c r="G120" i="2"/>
  <c r="G112" i="2"/>
  <c r="G104" i="2"/>
  <c r="G96" i="2"/>
  <c r="G88" i="2"/>
  <c r="G80" i="2"/>
  <c r="G72" i="2"/>
  <c r="G63" i="2"/>
  <c r="G47" i="2"/>
  <c r="G31" i="2"/>
  <c r="G15" i="2"/>
  <c r="G309" i="2"/>
  <c r="G139" i="2"/>
  <c r="G472" i="2"/>
  <c r="G440" i="2"/>
  <c r="G333" i="2"/>
  <c r="G328" i="2"/>
  <c r="G317" i="2"/>
  <c r="G312" i="2"/>
  <c r="G301" i="2"/>
  <c r="G296" i="2"/>
  <c r="G285" i="2"/>
  <c r="G280" i="2"/>
  <c r="G269" i="2"/>
  <c r="G264" i="2"/>
  <c r="G253" i="2"/>
  <c r="G248" i="2"/>
  <c r="G237" i="2"/>
  <c r="G232" i="2"/>
  <c r="G221" i="2"/>
  <c r="G216" i="2"/>
  <c r="G205" i="2"/>
  <c r="G200" i="2"/>
  <c r="G189" i="2"/>
  <c r="G183" i="2"/>
  <c r="G175" i="2"/>
  <c r="G167" i="2"/>
  <c r="G159" i="2"/>
  <c r="G151" i="2"/>
  <c r="G143" i="2"/>
  <c r="G135" i="2"/>
  <c r="G127" i="2"/>
  <c r="G119" i="2"/>
  <c r="G111" i="2"/>
  <c r="G103" i="2"/>
  <c r="G95" i="2"/>
  <c r="G87" i="2"/>
  <c r="G79" i="2"/>
  <c r="G71" i="2"/>
  <c r="G61" i="2"/>
  <c r="G45" i="2"/>
  <c r="G29" i="2"/>
  <c r="G13" i="2"/>
  <c r="G341" i="2"/>
  <c r="G293" i="2"/>
  <c r="G147" i="2"/>
  <c r="G476" i="2"/>
  <c r="G460" i="2"/>
  <c r="G432" i="2"/>
  <c r="G475" i="2"/>
  <c r="G471" i="2"/>
  <c r="G467" i="2"/>
  <c r="G463" i="2"/>
  <c r="G459" i="2"/>
  <c r="G455" i="2"/>
  <c r="G451" i="2"/>
  <c r="G447" i="2"/>
  <c r="G443" i="2"/>
  <c r="G439" i="2"/>
  <c r="G435" i="2"/>
  <c r="G431" i="2"/>
  <c r="G427" i="2"/>
  <c r="G423" i="2"/>
  <c r="G419" i="2"/>
  <c r="G415" i="2"/>
  <c r="G411" i="2"/>
  <c r="G407" i="2"/>
  <c r="G403" i="2"/>
  <c r="G399" i="2"/>
  <c r="G395" i="2"/>
  <c r="G391" i="2"/>
  <c r="G387" i="2"/>
  <c r="G383" i="2"/>
  <c r="G379" i="2"/>
  <c r="G375" i="2"/>
  <c r="G371" i="2"/>
  <c r="G367" i="2"/>
  <c r="G363" i="2"/>
  <c r="G359" i="2"/>
  <c r="G355" i="2"/>
  <c r="G351" i="2"/>
  <c r="G347" i="2"/>
  <c r="G343" i="2"/>
  <c r="G338" i="2"/>
  <c r="G327" i="2"/>
  <c r="G322" i="2"/>
  <c r="G311" i="2"/>
  <c r="G306" i="2"/>
  <c r="G295" i="2"/>
  <c r="G290" i="2"/>
  <c r="G279" i="2"/>
  <c r="G274" i="2"/>
  <c r="G263" i="2"/>
  <c r="G258" i="2"/>
  <c r="G247" i="2"/>
  <c r="G242" i="2"/>
  <c r="G231" i="2"/>
  <c r="G226" i="2"/>
  <c r="G215" i="2"/>
  <c r="G210" i="2"/>
  <c r="G199" i="2"/>
  <c r="G194" i="2"/>
  <c r="G182" i="2"/>
  <c r="G174" i="2"/>
  <c r="G166" i="2"/>
  <c r="G158" i="2"/>
  <c r="G150" i="2"/>
  <c r="G142" i="2"/>
  <c r="G134" i="2"/>
  <c r="G126" i="2"/>
  <c r="G118" i="2"/>
  <c r="G110" i="2"/>
  <c r="G102" i="2"/>
  <c r="G94" i="2"/>
  <c r="G86" i="2"/>
  <c r="G78" i="2"/>
  <c r="G70" i="2"/>
  <c r="G59" i="2"/>
  <c r="G43" i="2"/>
  <c r="G27" i="2"/>
  <c r="G11" i="2"/>
  <c r="G179" i="2"/>
  <c r="G468" i="2"/>
  <c r="G436" i="2"/>
  <c r="G337" i="2"/>
  <c r="G332" i="2"/>
  <c r="G321" i="2"/>
  <c r="G316" i="2"/>
  <c r="G305" i="2"/>
  <c r="G300" i="2"/>
  <c r="G289" i="2"/>
  <c r="G284" i="2"/>
  <c r="G273" i="2"/>
  <c r="G268" i="2"/>
  <c r="G257" i="2"/>
  <c r="G252" i="2"/>
  <c r="G241" i="2"/>
  <c r="G236" i="2"/>
  <c r="G225" i="2"/>
  <c r="G220" i="2"/>
  <c r="G209" i="2"/>
  <c r="G204" i="2"/>
  <c r="G193" i="2"/>
  <c r="G188" i="2"/>
  <c r="G181" i="2"/>
  <c r="G173" i="2"/>
  <c r="G165" i="2"/>
  <c r="G157" i="2"/>
  <c r="G149" i="2"/>
  <c r="G141" i="2"/>
  <c r="G133" i="2"/>
  <c r="G125" i="2"/>
  <c r="G117" i="2"/>
  <c r="G109" i="2"/>
  <c r="G101" i="2"/>
  <c r="G93" i="2"/>
  <c r="G85" i="2"/>
  <c r="G77" i="2"/>
  <c r="G69" i="2"/>
  <c r="G57" i="2"/>
  <c r="G41" i="2"/>
  <c r="G25" i="2"/>
  <c r="G9" i="2"/>
  <c r="G336" i="2"/>
  <c r="G304" i="2"/>
  <c r="G478" i="2"/>
  <c r="G474" i="2"/>
  <c r="G470" i="2"/>
  <c r="G466" i="2"/>
  <c r="G462" i="2"/>
  <c r="G458" i="2"/>
  <c r="G454" i="2"/>
  <c r="G450" i="2"/>
  <c r="G446" i="2"/>
  <c r="G442" i="2"/>
  <c r="G438" i="2"/>
  <c r="G434" i="2"/>
  <c r="G430" i="2"/>
  <c r="G426" i="2"/>
  <c r="G422" i="2"/>
  <c r="G418" i="2"/>
  <c r="G414" i="2"/>
  <c r="G410" i="2"/>
  <c r="G406" i="2"/>
  <c r="G402" i="2"/>
  <c r="G398" i="2"/>
  <c r="G394" i="2"/>
  <c r="G390" i="2"/>
  <c r="G386" i="2"/>
  <c r="G382" i="2"/>
  <c r="G378" i="2"/>
  <c r="G374" i="2"/>
  <c r="G370" i="2"/>
  <c r="G366" i="2"/>
  <c r="G362" i="2"/>
  <c r="G358" i="2"/>
  <c r="G354" i="2"/>
  <c r="G350" i="2"/>
  <c r="G346" i="2"/>
  <c r="G342" i="2"/>
  <c r="G331" i="2"/>
  <c r="G326" i="2"/>
  <c r="G315" i="2"/>
  <c r="G310" i="2"/>
  <c r="G299" i="2"/>
  <c r="G294" i="2"/>
  <c r="G283" i="2"/>
  <c r="G278" i="2"/>
  <c r="G267" i="2"/>
  <c r="G262" i="2"/>
  <c r="G251" i="2"/>
  <c r="G246" i="2"/>
  <c r="G235" i="2"/>
  <c r="G230" i="2"/>
  <c r="G219" i="2"/>
  <c r="G214" i="2"/>
  <c r="G203" i="2"/>
  <c r="G198" i="2"/>
  <c r="G187" i="2"/>
  <c r="G180" i="2"/>
  <c r="G172" i="2"/>
  <c r="G164" i="2"/>
  <c r="G156" i="2"/>
  <c r="G148" i="2"/>
  <c r="G140" i="2"/>
  <c r="G132" i="2"/>
  <c r="G124" i="2"/>
  <c r="G116" i="2"/>
  <c r="G108" i="2"/>
  <c r="G100" i="2"/>
  <c r="G92" i="2"/>
  <c r="G84" i="2"/>
  <c r="G76" i="2"/>
  <c r="G68" i="2"/>
  <c r="G55" i="2"/>
  <c r="G39" i="2"/>
  <c r="G23" i="2"/>
  <c r="G7" i="2"/>
  <c r="G5" i="2"/>
  <c r="G64" i="2"/>
  <c r="G60" i="2"/>
  <c r="G56" i="2"/>
  <c r="G52" i="2"/>
  <c r="G48" i="2"/>
  <c r="G44" i="2"/>
  <c r="G40" i="2"/>
  <c r="G36" i="2"/>
  <c r="G32" i="2"/>
  <c r="G28" i="2"/>
  <c r="G24" i="2"/>
  <c r="G20" i="2"/>
  <c r="G16" i="2"/>
  <c r="G12" i="2"/>
  <c r="G8" i="2"/>
  <c r="G4" i="2"/>
  <c r="G3" i="2"/>
  <c r="G62" i="2"/>
  <c r="G58" i="2"/>
  <c r="G54" i="2"/>
  <c r="G50" i="2"/>
  <c r="G46" i="2"/>
  <c r="G42" i="2"/>
  <c r="G38" i="2"/>
  <c r="G34" i="2"/>
  <c r="G30" i="2"/>
  <c r="G26" i="2"/>
  <c r="G22" i="2"/>
  <c r="G18" i="2"/>
  <c r="G14" i="2"/>
  <c r="G10" i="2"/>
  <c r="G6" i="2"/>
  <c r="G2" i="2"/>
  <c r="CD271" i="1"/>
  <c r="CD265" i="1"/>
  <c r="CD258" i="1"/>
  <c r="CD252" i="1"/>
  <c r="CD239" i="1"/>
  <c r="CD233" i="1"/>
  <c r="CD226" i="1"/>
  <c r="CD220" i="1"/>
  <c r="CD207" i="1"/>
  <c r="CD200" i="1"/>
  <c r="CD192" i="1"/>
  <c r="CD184" i="1"/>
  <c r="CD176" i="1"/>
  <c r="CD168" i="1"/>
  <c r="CD160" i="1"/>
  <c r="CD152" i="1"/>
  <c r="CD144" i="1"/>
  <c r="CD136" i="1"/>
  <c r="CD128" i="1"/>
  <c r="CD120" i="1"/>
  <c r="CD94" i="1"/>
  <c r="CD78" i="1"/>
  <c r="CD62" i="1"/>
  <c r="CD277" i="1"/>
  <c r="CD270" i="1"/>
  <c r="CD264" i="1"/>
  <c r="CD251" i="1"/>
  <c r="CD245" i="1"/>
  <c r="CD238" i="1"/>
  <c r="CD232" i="1"/>
  <c r="CD219" i="1"/>
  <c r="CD213" i="1"/>
  <c r="CD206" i="1"/>
  <c r="CD198" i="1"/>
  <c r="CD190" i="1"/>
  <c r="CD182" i="1"/>
  <c r="CD174" i="1"/>
  <c r="CD166" i="1"/>
  <c r="CD158" i="1"/>
  <c r="CD150" i="1"/>
  <c r="CD142" i="1"/>
  <c r="CD134" i="1"/>
  <c r="CD126" i="1"/>
  <c r="CD118" i="1"/>
  <c r="CD108" i="1"/>
  <c r="CD276" i="1"/>
  <c r="CD263" i="1"/>
  <c r="CD257" i="1"/>
  <c r="CD250" i="1"/>
  <c r="CD244" i="1"/>
  <c r="CD231" i="1"/>
  <c r="CD225" i="1"/>
  <c r="CD218" i="1"/>
  <c r="CD212" i="1"/>
  <c r="CD106" i="1"/>
  <c r="CD90" i="1"/>
  <c r="CD74" i="1"/>
  <c r="CD58" i="1"/>
  <c r="CD275" i="1"/>
  <c r="CD269" i="1"/>
  <c r="CD262" i="1"/>
  <c r="CD256" i="1"/>
  <c r="CD243" i="1"/>
  <c r="CD237" i="1"/>
  <c r="CD230" i="1"/>
  <c r="CD224" i="1"/>
  <c r="CD211" i="1"/>
  <c r="CD205" i="1"/>
  <c r="CD197" i="1"/>
  <c r="CD189" i="1"/>
  <c r="CD181" i="1"/>
  <c r="CD173" i="1"/>
  <c r="CD165" i="1"/>
  <c r="CD157" i="1"/>
  <c r="CD149" i="1"/>
  <c r="CD141" i="1"/>
  <c r="CD133" i="1"/>
  <c r="CD125" i="1"/>
  <c r="CD116" i="1"/>
  <c r="CD274" i="1"/>
  <c r="CD268" i="1"/>
  <c r="CD255" i="1"/>
  <c r="CD249" i="1"/>
  <c r="CD242" i="1"/>
  <c r="CD236" i="1"/>
  <c r="CD223" i="1"/>
  <c r="CD217" i="1"/>
  <c r="CD210" i="1"/>
  <c r="CD204" i="1"/>
  <c r="CD196" i="1"/>
  <c r="CD188" i="1"/>
  <c r="CD180" i="1"/>
  <c r="CD172" i="1"/>
  <c r="CD164" i="1"/>
  <c r="CD156" i="1"/>
  <c r="CD148" i="1"/>
  <c r="CD140" i="1"/>
  <c r="CD132" i="1"/>
  <c r="CD124" i="1"/>
  <c r="CD114" i="1"/>
  <c r="CD102" i="1"/>
  <c r="CD86" i="1"/>
  <c r="CD70" i="1"/>
  <c r="CD54" i="1"/>
  <c r="CD267" i="1"/>
  <c r="CD261" i="1"/>
  <c r="CD254" i="1"/>
  <c r="CD248" i="1"/>
  <c r="CD235" i="1"/>
  <c r="CD229" i="1"/>
  <c r="CD222" i="1"/>
  <c r="CD216" i="1"/>
  <c r="CD202" i="1"/>
  <c r="CD194" i="1"/>
  <c r="CD186" i="1"/>
  <c r="CD178" i="1"/>
  <c r="CD170" i="1"/>
  <c r="CD162" i="1"/>
  <c r="CD154" i="1"/>
  <c r="CD146" i="1"/>
  <c r="CD138" i="1"/>
  <c r="CD130" i="1"/>
  <c r="CD122" i="1"/>
  <c r="CD273" i="1"/>
  <c r="CD266" i="1"/>
  <c r="CD260" i="1"/>
  <c r="CD247" i="1"/>
  <c r="CD241" i="1"/>
  <c r="CD234" i="1"/>
  <c r="CD228" i="1"/>
  <c r="CD215" i="1"/>
  <c r="CD209" i="1"/>
  <c r="CD112" i="1"/>
  <c r="CD98" i="1"/>
  <c r="CD82" i="1"/>
  <c r="CD66" i="1"/>
  <c r="CD272" i="1"/>
  <c r="CD259" i="1"/>
  <c r="CD253" i="1"/>
  <c r="CD246" i="1"/>
  <c r="CD240" i="1"/>
  <c r="CD227" i="1"/>
  <c r="CD221" i="1"/>
  <c r="CD214" i="1"/>
  <c r="CD208" i="1"/>
  <c r="CD201" i="1"/>
  <c r="CD193" i="1"/>
  <c r="CD185" i="1"/>
  <c r="CD177" i="1"/>
  <c r="CD169" i="1"/>
  <c r="CD161" i="1"/>
  <c r="CD153" i="1"/>
  <c r="CD145" i="1"/>
  <c r="CD137" i="1"/>
  <c r="CD129" i="1"/>
  <c r="CD121" i="1"/>
  <c r="CD110" i="1"/>
  <c r="CD50" i="1"/>
  <c r="CD46" i="1"/>
  <c r="CD42" i="1"/>
  <c r="CD38" i="1"/>
  <c r="CD34" i="1"/>
  <c r="CD30" i="1"/>
  <c r="CD26" i="1"/>
  <c r="CD22" i="1"/>
  <c r="CD18" i="1"/>
  <c r="CD14" i="1"/>
  <c r="CD117" i="1"/>
  <c r="CD113" i="1"/>
  <c r="CD109" i="1"/>
  <c r="CD105" i="1"/>
  <c r="CD101" i="1"/>
  <c r="CD97" i="1"/>
  <c r="CD93" i="1"/>
  <c r="CD89" i="1"/>
  <c r="CD85" i="1"/>
  <c r="CD81" i="1"/>
  <c r="CD77" i="1"/>
  <c r="CD73" i="1"/>
  <c r="CD69" i="1"/>
  <c r="CD65" i="1"/>
  <c r="CD61" i="1"/>
  <c r="CD57" i="1"/>
  <c r="CD53" i="1"/>
  <c r="CD49" i="1"/>
  <c r="CD45" i="1"/>
  <c r="CD41" i="1"/>
  <c r="CD37" i="1"/>
  <c r="CD33" i="1"/>
  <c r="CD29" i="1"/>
  <c r="CD25" i="1"/>
  <c r="CD21" i="1"/>
  <c r="CD17" i="1"/>
  <c r="CD13" i="1"/>
  <c r="CD100" i="1"/>
  <c r="CD92" i="1"/>
  <c r="CD84" i="1"/>
  <c r="CD76" i="1"/>
  <c r="CD68" i="1"/>
  <c r="CD56" i="1"/>
  <c r="CD16" i="1"/>
  <c r="CD12" i="1"/>
  <c r="CD104" i="1"/>
  <c r="CD96" i="1"/>
  <c r="CD88" i="1"/>
  <c r="CD80" i="1"/>
  <c r="CD72" i="1"/>
  <c r="CD64" i="1"/>
  <c r="CD60" i="1"/>
  <c r="CD52" i="1"/>
  <c r="CD48" i="1"/>
  <c r="CD44" i="1"/>
  <c r="CD40" i="1"/>
  <c r="CD36" i="1"/>
  <c r="CD32" i="1"/>
  <c r="CD28" i="1"/>
  <c r="CD24" i="1"/>
  <c r="CD20" i="1"/>
  <c r="CD203" i="1"/>
  <c r="CD199" i="1"/>
  <c r="CD191" i="1"/>
  <c r="CD187" i="1"/>
  <c r="CD183" i="1"/>
  <c r="CD179" i="1"/>
  <c r="CD175" i="1"/>
  <c r="CD171" i="1"/>
  <c r="CD167" i="1"/>
  <c r="CD163" i="1"/>
  <c r="CD159" i="1"/>
  <c r="CD155" i="1"/>
  <c r="CD151" i="1"/>
  <c r="CD147" i="1"/>
  <c r="CD143" i="1"/>
  <c r="CD139" i="1"/>
  <c r="CD135" i="1"/>
  <c r="CD127" i="1"/>
  <c r="CD123" i="1"/>
  <c r="CD119" i="1"/>
  <c r="CD115" i="1"/>
  <c r="CD111" i="1"/>
  <c r="CD107" i="1"/>
  <c r="CD103" i="1"/>
  <c r="CD99" i="1"/>
  <c r="CD95" i="1"/>
  <c r="CD91" i="1"/>
  <c r="CD87" i="1"/>
  <c r="CD83" i="1"/>
  <c r="CD79" i="1"/>
  <c r="CD75" i="1"/>
  <c r="CD71" i="1"/>
  <c r="CD67" i="1"/>
  <c r="CD63" i="1"/>
  <c r="CD59" i="1"/>
  <c r="CD55" i="1"/>
  <c r="CD51" i="1"/>
  <c r="CD47" i="1"/>
  <c r="CD43" i="1"/>
  <c r="CD39" i="1"/>
  <c r="CD35" i="1"/>
  <c r="CD31" i="1"/>
  <c r="CD27" i="1"/>
  <c r="CD23" i="1"/>
  <c r="CD19" i="1"/>
  <c r="CD15" i="1"/>
  <c r="CD11" i="1"/>
  <c r="CD195" i="1"/>
  <c r="CD131" i="1"/>
  <c r="CD473" i="1"/>
  <c r="CD441" i="1"/>
  <c r="CD417" i="1"/>
  <c r="CD389" i="1"/>
  <c r="CD365" i="1"/>
  <c r="CD319" i="1"/>
  <c r="CD478" i="1"/>
  <c r="CD470" i="1"/>
  <c r="CD462" i="1"/>
  <c r="CD458" i="1"/>
  <c r="CD454" i="1"/>
  <c r="CD450" i="1"/>
  <c r="CD446" i="1"/>
  <c r="CD438" i="1"/>
  <c r="CD434" i="1"/>
  <c r="CD430" i="1"/>
  <c r="CD426" i="1"/>
  <c r="CD422" i="1"/>
  <c r="CD418" i="1"/>
  <c r="CD414" i="1"/>
  <c r="CD410" i="1"/>
  <c r="CD406" i="1"/>
  <c r="CD402" i="1"/>
  <c r="CD398" i="1"/>
  <c r="CD394" i="1"/>
  <c r="CD390" i="1"/>
  <c r="CD386" i="1"/>
  <c r="CD382" i="1"/>
  <c r="CD378" i="1"/>
  <c r="CD374" i="1"/>
  <c r="CD370" i="1"/>
  <c r="CD366" i="1"/>
  <c r="CD362" i="1"/>
  <c r="CD358" i="1"/>
  <c r="CD354" i="1"/>
  <c r="CD350" i="1"/>
  <c r="CD346" i="1"/>
  <c r="CD340" i="1"/>
  <c r="CD327" i="1"/>
  <c r="CD321" i="1"/>
  <c r="CD314" i="1"/>
  <c r="CD308" i="1"/>
  <c r="CD295" i="1"/>
  <c r="CD289" i="1"/>
  <c r="CD282" i="1"/>
  <c r="CD481" i="1"/>
  <c r="CD453" i="1"/>
  <c r="CD425" i="1"/>
  <c r="CD401" i="1"/>
  <c r="CD369" i="1"/>
  <c r="CD338" i="1"/>
  <c r="CD300" i="1"/>
  <c r="CD482" i="1"/>
  <c r="CD474" i="1"/>
  <c r="CD466" i="1"/>
  <c r="CD442" i="1"/>
  <c r="CD339" i="1"/>
  <c r="CD333" i="1"/>
  <c r="CD326" i="1"/>
  <c r="CD320" i="1"/>
  <c r="CD307" i="1"/>
  <c r="CD301" i="1"/>
  <c r="CD294" i="1"/>
  <c r="CD288" i="1"/>
  <c r="CD353" i="1"/>
  <c r="CD457" i="1"/>
  <c r="CD413" i="1"/>
  <c r="CD349" i="1"/>
  <c r="CD344" i="1"/>
  <c r="CD331" i="1"/>
  <c r="CD325" i="1"/>
  <c r="CD318" i="1"/>
  <c r="CD312" i="1"/>
  <c r="CD299" i="1"/>
  <c r="CD293" i="1"/>
  <c r="CD286" i="1"/>
  <c r="CD280" i="1"/>
  <c r="CD469" i="1"/>
  <c r="CD445" i="1"/>
  <c r="CD421" i="1"/>
  <c r="CD393" i="1"/>
  <c r="CD377" i="1"/>
  <c r="CD345" i="1"/>
  <c r="CD281" i="1"/>
  <c r="CD480" i="1"/>
  <c r="CD476" i="1"/>
  <c r="CD468" i="1"/>
  <c r="CD460" i="1"/>
  <c r="CD456" i="1"/>
  <c r="CD452" i="1"/>
  <c r="CD448" i="1"/>
  <c r="CD444" i="1"/>
  <c r="CD436" i="1"/>
  <c r="CD432" i="1"/>
  <c r="CD428" i="1"/>
  <c r="CD424" i="1"/>
  <c r="CD420" i="1"/>
  <c r="CD416" i="1"/>
  <c r="CD412" i="1"/>
  <c r="CD408" i="1"/>
  <c r="CD404" i="1"/>
  <c r="CD400" i="1"/>
  <c r="CD396" i="1"/>
  <c r="CD392" i="1"/>
  <c r="CD388" i="1"/>
  <c r="CD384" i="1"/>
  <c r="CD380" i="1"/>
  <c r="CD376" i="1"/>
  <c r="CD372" i="1"/>
  <c r="CD368" i="1"/>
  <c r="CD364" i="1"/>
  <c r="CD360" i="1"/>
  <c r="CD356" i="1"/>
  <c r="CD352" i="1"/>
  <c r="CD348" i="1"/>
  <c r="CD343" i="1"/>
  <c r="CD337" i="1"/>
  <c r="CD330" i="1"/>
  <c r="CD324" i="1"/>
  <c r="CD311" i="1"/>
  <c r="CD305" i="1"/>
  <c r="CD298" i="1"/>
  <c r="CD292" i="1"/>
  <c r="CD279" i="1"/>
  <c r="CD477" i="1"/>
  <c r="CD449" i="1"/>
  <c r="CD429" i="1"/>
  <c r="CD397" i="1"/>
  <c r="CD373" i="1"/>
  <c r="CD332" i="1"/>
  <c r="CD287" i="1"/>
  <c r="CD472" i="1"/>
  <c r="CD464" i="1"/>
  <c r="CD440" i="1"/>
  <c r="CD342" i="1"/>
  <c r="CD336" i="1"/>
  <c r="CD323" i="1"/>
  <c r="CD317" i="1"/>
  <c r="CD310" i="1"/>
  <c r="CD304" i="1"/>
  <c r="CD291" i="1"/>
  <c r="CD285" i="1"/>
  <c r="CD278" i="1"/>
  <c r="CD465" i="1"/>
  <c r="CD437" i="1"/>
  <c r="CD405" i="1"/>
  <c r="CD385" i="1"/>
  <c r="CD361" i="1"/>
  <c r="CD306" i="1"/>
  <c r="CD479" i="1"/>
  <c r="CD471" i="1"/>
  <c r="CD463" i="1"/>
  <c r="CD459" i="1"/>
  <c r="CD455" i="1"/>
  <c r="CD451" i="1"/>
  <c r="CD447" i="1"/>
  <c r="CD439" i="1"/>
  <c r="CD435" i="1"/>
  <c r="CD431" i="1"/>
  <c r="CD427" i="1"/>
  <c r="CD423" i="1"/>
  <c r="CD419" i="1"/>
  <c r="CD415" i="1"/>
  <c r="CD411" i="1"/>
  <c r="CD407" i="1"/>
  <c r="CD403" i="1"/>
  <c r="CD399" i="1"/>
  <c r="CD395" i="1"/>
  <c r="CD391" i="1"/>
  <c r="CD387" i="1"/>
  <c r="CD383" i="1"/>
  <c r="CD379" i="1"/>
  <c r="CD375" i="1"/>
  <c r="CD371" i="1"/>
  <c r="CD367" i="1"/>
  <c r="CD363" i="1"/>
  <c r="CD359" i="1"/>
  <c r="CD355" i="1"/>
  <c r="CD351" i="1"/>
  <c r="CD347" i="1"/>
  <c r="CD335" i="1"/>
  <c r="CD329" i="1"/>
  <c r="CD322" i="1"/>
  <c r="CD316" i="1"/>
  <c r="CD303" i="1"/>
  <c r="CD297" i="1"/>
  <c r="CD290" i="1"/>
  <c r="CD284" i="1"/>
  <c r="CD461" i="1"/>
  <c r="CD433" i="1"/>
  <c r="CD409" i="1"/>
  <c r="CD381" i="1"/>
  <c r="CD357" i="1"/>
  <c r="CD313" i="1"/>
  <c r="CD475" i="1"/>
  <c r="CD467" i="1"/>
  <c r="CD443" i="1"/>
  <c r="CD341" i="1"/>
  <c r="CD334" i="1"/>
  <c r="CD328" i="1"/>
  <c r="CD315" i="1"/>
  <c r="CD309" i="1"/>
  <c r="CD302" i="1"/>
  <c r="CD296" i="1"/>
  <c r="CD283" i="1"/>
  <c r="CD9" i="1"/>
  <c r="CD8" i="1"/>
  <c r="CD7" i="1"/>
  <c r="CD10" i="1"/>
  <c r="CD6" i="1"/>
  <c r="T344" i="6"/>
  <c r="T301" i="6"/>
  <c r="T269" i="6"/>
  <c r="T237" i="6"/>
  <c r="T211" i="6"/>
  <c r="T192" i="6"/>
  <c r="T173" i="6"/>
  <c r="T160" i="6"/>
  <c r="T141" i="6"/>
  <c r="T128" i="6"/>
  <c r="T96" i="6"/>
  <c r="T48" i="6"/>
  <c r="T16" i="6"/>
  <c r="T338" i="6"/>
  <c r="T332" i="6"/>
  <c r="T319" i="6"/>
  <c r="T313" i="6"/>
  <c r="T306" i="6"/>
  <c r="T300" i="6"/>
  <c r="T287" i="6"/>
  <c r="T281" i="6"/>
  <c r="T274" i="6"/>
  <c r="T268" i="6"/>
  <c r="T255" i="6"/>
  <c r="T249" i="6"/>
  <c r="T242" i="6"/>
  <c r="T236" i="6"/>
  <c r="T223" i="6"/>
  <c r="T217" i="6"/>
  <c r="T210" i="6"/>
  <c r="T204" i="6"/>
  <c r="T191" i="6"/>
  <c r="T185" i="6"/>
  <c r="T178" i="6"/>
  <c r="T172" i="6"/>
  <c r="T159" i="6"/>
  <c r="T153" i="6"/>
  <c r="T146" i="6"/>
  <c r="T140" i="6"/>
  <c r="T127" i="6"/>
  <c r="T121" i="6"/>
  <c r="T114" i="6"/>
  <c r="T108" i="6"/>
  <c r="T95" i="6"/>
  <c r="T89" i="6"/>
  <c r="T68" i="6"/>
  <c r="T57" i="6"/>
  <c r="T36" i="6"/>
  <c r="T25" i="6"/>
  <c r="T307" i="6"/>
  <c r="T275" i="6"/>
  <c r="T243" i="6"/>
  <c r="T224" i="6"/>
  <c r="T198" i="6"/>
  <c r="T179" i="6"/>
  <c r="T166" i="6"/>
  <c r="T147" i="6"/>
  <c r="T134" i="6"/>
  <c r="T109" i="6"/>
  <c r="T80" i="6"/>
  <c r="T37" i="6"/>
  <c r="T343" i="6"/>
  <c r="T331" i="6"/>
  <c r="T325" i="6"/>
  <c r="T318" i="6"/>
  <c r="T312" i="6"/>
  <c r="T299" i="6"/>
  <c r="T293" i="6"/>
  <c r="T286" i="6"/>
  <c r="T280" i="6"/>
  <c r="T267" i="6"/>
  <c r="T261" i="6"/>
  <c r="T254" i="6"/>
  <c r="T248" i="6"/>
  <c r="T235" i="6"/>
  <c r="T229" i="6"/>
  <c r="T222" i="6"/>
  <c r="T216" i="6"/>
  <c r="T203" i="6"/>
  <c r="T197" i="6"/>
  <c r="T190" i="6"/>
  <c r="T184" i="6"/>
  <c r="T171" i="6"/>
  <c r="T165" i="6"/>
  <c r="T158" i="6"/>
  <c r="T152" i="6"/>
  <c r="T139" i="6"/>
  <c r="T133" i="6"/>
  <c r="T126" i="6"/>
  <c r="T120" i="6"/>
  <c r="T107" i="6"/>
  <c r="T101" i="6"/>
  <c r="T94" i="6"/>
  <c r="T88" i="6"/>
  <c r="T77" i="6"/>
  <c r="T56" i="6"/>
  <c r="T45" i="6"/>
  <c r="T24" i="6"/>
  <c r="T13" i="6"/>
  <c r="T115" i="6"/>
  <c r="T337" i="6"/>
  <c r="T330" i="6"/>
  <c r="T324" i="6"/>
  <c r="T311" i="6"/>
  <c r="T305" i="6"/>
  <c r="T298" i="6"/>
  <c r="T292" i="6"/>
  <c r="T279" i="6"/>
  <c r="T273" i="6"/>
  <c r="T266" i="6"/>
  <c r="T260" i="6"/>
  <c r="T247" i="6"/>
  <c r="T241" i="6"/>
  <c r="T234" i="6"/>
  <c r="T228" i="6"/>
  <c r="T215" i="6"/>
  <c r="T209" i="6"/>
  <c r="T202" i="6"/>
  <c r="T196" i="6"/>
  <c r="T183" i="6"/>
  <c r="T177" i="6"/>
  <c r="T170" i="6"/>
  <c r="T164" i="6"/>
  <c r="T151" i="6"/>
  <c r="T145" i="6"/>
  <c r="T138" i="6"/>
  <c r="T132" i="6"/>
  <c r="T119" i="6"/>
  <c r="T113" i="6"/>
  <c r="T106" i="6"/>
  <c r="T100" i="6"/>
  <c r="T76" i="6"/>
  <c r="T65" i="6"/>
  <c r="T44" i="6"/>
  <c r="T33" i="6"/>
  <c r="T12" i="6"/>
  <c r="T333" i="6"/>
  <c r="T288" i="6"/>
  <c r="T205" i="6"/>
  <c r="T342" i="6"/>
  <c r="T336" i="6"/>
  <c r="T323" i="6"/>
  <c r="T317" i="6"/>
  <c r="T310" i="6"/>
  <c r="T304" i="6"/>
  <c r="T291" i="6"/>
  <c r="T285" i="6"/>
  <c r="T278" i="6"/>
  <c r="T272" i="6"/>
  <c r="T259" i="6"/>
  <c r="T253" i="6"/>
  <c r="T246" i="6"/>
  <c r="T240" i="6"/>
  <c r="T227" i="6"/>
  <c r="T221" i="6"/>
  <c r="T214" i="6"/>
  <c r="T208" i="6"/>
  <c r="T195" i="6"/>
  <c r="T189" i="6"/>
  <c r="T182" i="6"/>
  <c r="T176" i="6"/>
  <c r="T163" i="6"/>
  <c r="T157" i="6"/>
  <c r="T150" i="6"/>
  <c r="T144" i="6"/>
  <c r="T131" i="6"/>
  <c r="T125" i="6"/>
  <c r="T118" i="6"/>
  <c r="T112" i="6"/>
  <c r="T99" i="6"/>
  <c r="T93" i="6"/>
  <c r="T85" i="6"/>
  <c r="T64" i="6"/>
  <c r="T53" i="6"/>
  <c r="T32" i="6"/>
  <c r="T21" i="6"/>
  <c r="T320" i="6"/>
  <c r="T256" i="6"/>
  <c r="T69" i="6"/>
  <c r="T335" i="6"/>
  <c r="T329" i="6"/>
  <c r="T322" i="6"/>
  <c r="T316" i="6"/>
  <c r="T303" i="6"/>
  <c r="T297" i="6"/>
  <c r="T290" i="6"/>
  <c r="T284" i="6"/>
  <c r="T271" i="6"/>
  <c r="T265" i="6"/>
  <c r="T258" i="6"/>
  <c r="T252" i="6"/>
  <c r="T239" i="6"/>
  <c r="T233" i="6"/>
  <c r="T226" i="6"/>
  <c r="T220" i="6"/>
  <c r="T207" i="6"/>
  <c r="T201" i="6"/>
  <c r="T194" i="6"/>
  <c r="T188" i="6"/>
  <c r="T175" i="6"/>
  <c r="T169" i="6"/>
  <c r="T162" i="6"/>
  <c r="T156" i="6"/>
  <c r="T143" i="6"/>
  <c r="T137" i="6"/>
  <c r="T130" i="6"/>
  <c r="T124" i="6"/>
  <c r="T111" i="6"/>
  <c r="T105" i="6"/>
  <c r="T98" i="6"/>
  <c r="T92" i="6"/>
  <c r="T84" i="6"/>
  <c r="T73" i="6"/>
  <c r="T52" i="6"/>
  <c r="T41" i="6"/>
  <c r="T20" i="6"/>
  <c r="T9" i="6"/>
  <c r="T339" i="6"/>
  <c r="T294" i="6"/>
  <c r="T230" i="6"/>
  <c r="T341" i="6"/>
  <c r="T334" i="6"/>
  <c r="T328" i="6"/>
  <c r="T315" i="6"/>
  <c r="T309" i="6"/>
  <c r="T302" i="6"/>
  <c r="T296" i="6"/>
  <c r="T283" i="6"/>
  <c r="T277" i="6"/>
  <c r="T270" i="6"/>
  <c r="T264" i="6"/>
  <c r="T251" i="6"/>
  <c r="T245" i="6"/>
  <c r="T238" i="6"/>
  <c r="T232" i="6"/>
  <c r="T219" i="6"/>
  <c r="T213" i="6"/>
  <c r="T206" i="6"/>
  <c r="T200" i="6"/>
  <c r="T187" i="6"/>
  <c r="T181" i="6"/>
  <c r="T174" i="6"/>
  <c r="T168" i="6"/>
  <c r="T155" i="6"/>
  <c r="T149" i="6"/>
  <c r="T142" i="6"/>
  <c r="T136" i="6"/>
  <c r="T123" i="6"/>
  <c r="T117" i="6"/>
  <c r="T110" i="6"/>
  <c r="T104" i="6"/>
  <c r="T91" i="6"/>
  <c r="T72" i="6"/>
  <c r="T61" i="6"/>
  <c r="T40" i="6"/>
  <c r="T29" i="6"/>
  <c r="T8" i="6"/>
  <c r="T326" i="6"/>
  <c r="T262" i="6"/>
  <c r="T102" i="6"/>
  <c r="T340" i="6"/>
  <c r="T327" i="6"/>
  <c r="T321" i="6"/>
  <c r="T314" i="6"/>
  <c r="T308" i="6"/>
  <c r="T295" i="6"/>
  <c r="T289" i="6"/>
  <c r="T282" i="6"/>
  <c r="T276" i="6"/>
  <c r="T263" i="6"/>
  <c r="T257" i="6"/>
  <c r="T250" i="6"/>
  <c r="T244" i="6"/>
  <c r="T231" i="6"/>
  <c r="T225" i="6"/>
  <c r="T218" i="6"/>
  <c r="T212" i="6"/>
  <c r="T199" i="6"/>
  <c r="T193" i="6"/>
  <c r="T186" i="6"/>
  <c r="T180" i="6"/>
  <c r="T167" i="6"/>
  <c r="T161" i="6"/>
  <c r="T154" i="6"/>
  <c r="T148" i="6"/>
  <c r="T135" i="6"/>
  <c r="T129" i="6"/>
  <c r="T122" i="6"/>
  <c r="T116" i="6"/>
  <c r="T103" i="6"/>
  <c r="T97" i="6"/>
  <c r="T90" i="6"/>
  <c r="T81" i="6"/>
  <c r="T60" i="6"/>
  <c r="T49" i="6"/>
  <c r="T28" i="6"/>
  <c r="T17" i="6"/>
  <c r="T5" i="6"/>
  <c r="T4" i="6"/>
  <c r="T87" i="6"/>
  <c r="T83" i="6"/>
  <c r="T79" i="6"/>
  <c r="T75" i="6"/>
  <c r="T71" i="6"/>
  <c r="T67" i="6"/>
  <c r="T63" i="6"/>
  <c r="T59" i="6"/>
  <c r="T55" i="6"/>
  <c r="T51" i="6"/>
  <c r="T47" i="6"/>
  <c r="T43" i="6"/>
  <c r="T39" i="6"/>
  <c r="T35" i="6"/>
  <c r="T31" i="6"/>
  <c r="T27" i="6"/>
  <c r="T23" i="6"/>
  <c r="T19" i="6"/>
  <c r="T15" i="6"/>
  <c r="T11" i="6"/>
  <c r="T7" i="6"/>
  <c r="T3" i="6"/>
  <c r="T86" i="6"/>
  <c r="T82" i="6"/>
  <c r="T78" i="6"/>
  <c r="T74" i="6"/>
  <c r="T70" i="6"/>
  <c r="T66" i="6"/>
  <c r="T62" i="6"/>
  <c r="T58" i="6"/>
  <c r="T54" i="6"/>
  <c r="T50" i="6"/>
  <c r="T46" i="6"/>
  <c r="T42" i="6"/>
  <c r="T38" i="6"/>
  <c r="T34" i="6"/>
  <c r="T30" i="6"/>
  <c r="T26" i="6"/>
  <c r="T22" i="6"/>
  <c r="T18" i="6"/>
  <c r="T14" i="6"/>
  <c r="T10" i="6"/>
  <c r="T6" i="6"/>
  <c r="T2" i="6"/>
  <c r="F983" i="3"/>
  <c r="F951" i="3"/>
  <c r="F927" i="3"/>
  <c r="F899" i="3"/>
  <c r="F875" i="3"/>
  <c r="F851" i="3"/>
  <c r="F823" i="3"/>
  <c r="F777" i="3"/>
  <c r="F681" i="3"/>
  <c r="F797" i="3"/>
  <c r="F791" i="3"/>
  <c r="F778" i="3"/>
  <c r="F772" i="3"/>
  <c r="F765" i="3"/>
  <c r="F759" i="3"/>
  <c r="F746" i="3"/>
  <c r="F740" i="3"/>
  <c r="F733" i="3"/>
  <c r="F727" i="3"/>
  <c r="F714" i="3"/>
  <c r="F708" i="3"/>
  <c r="F701" i="3"/>
  <c r="F695" i="3"/>
  <c r="F682" i="3"/>
  <c r="F676" i="3"/>
  <c r="F669" i="3"/>
  <c r="F663" i="3"/>
  <c r="F650" i="3"/>
  <c r="F640" i="3"/>
  <c r="F628" i="3"/>
  <c r="F612" i="3"/>
  <c r="F596" i="3"/>
  <c r="F580" i="3"/>
  <c r="F559" i="3"/>
  <c r="F538" i="3"/>
  <c r="F489" i="3"/>
  <c r="F438" i="3"/>
  <c r="F383" i="3"/>
  <c r="F999" i="3"/>
  <c r="F975" i="3"/>
  <c r="F947" i="3"/>
  <c r="F919" i="3"/>
  <c r="F891" i="3"/>
  <c r="F871" i="3"/>
  <c r="F847" i="3"/>
  <c r="F819" i="3"/>
  <c r="F811" i="3"/>
  <c r="F771" i="3"/>
  <c r="F752" i="3"/>
  <c r="F739" i="3"/>
  <c r="F726" i="3"/>
  <c r="F720" i="3"/>
  <c r="F713" i="3"/>
  <c r="F707" i="3"/>
  <c r="F694" i="3"/>
  <c r="F656" i="3"/>
  <c r="F639" i="3"/>
  <c r="F576" i="3"/>
  <c r="F431" i="3"/>
  <c r="F372" i="3"/>
  <c r="F802" i="3"/>
  <c r="F796" i="3"/>
  <c r="F789" i="3"/>
  <c r="F783" i="3"/>
  <c r="F770" i="3"/>
  <c r="F764" i="3"/>
  <c r="F757" i="3"/>
  <c r="F751" i="3"/>
  <c r="F738" i="3"/>
  <c r="F732" i="3"/>
  <c r="F725" i="3"/>
  <c r="F719" i="3"/>
  <c r="F706" i="3"/>
  <c r="F700" i="3"/>
  <c r="F693" i="3"/>
  <c r="F687" i="3"/>
  <c r="F674" i="3"/>
  <c r="F668" i="3"/>
  <c r="F661" i="3"/>
  <c r="F655" i="3"/>
  <c r="F648" i="3"/>
  <c r="F624" i="3"/>
  <c r="F608" i="3"/>
  <c r="F592" i="3"/>
  <c r="F575" i="3"/>
  <c r="F554" i="3"/>
  <c r="F527" i="3"/>
  <c r="F476" i="3"/>
  <c r="F425" i="3"/>
  <c r="F991" i="3"/>
  <c r="F963" i="3"/>
  <c r="F939" i="3"/>
  <c r="F911" i="3"/>
  <c r="F887" i="3"/>
  <c r="F863" i="3"/>
  <c r="F831" i="3"/>
  <c r="F784" i="3"/>
  <c r="F675" i="3"/>
  <c r="F998" i="3"/>
  <c r="F994" i="3"/>
  <c r="F990" i="3"/>
  <c r="F986" i="3"/>
  <c r="F982" i="3"/>
  <c r="F978" i="3"/>
  <c r="F974" i="3"/>
  <c r="F970" i="3"/>
  <c r="F966" i="3"/>
  <c r="F962" i="3"/>
  <c r="F958" i="3"/>
  <c r="F954" i="3"/>
  <c r="F950" i="3"/>
  <c r="F946" i="3"/>
  <c r="F942" i="3"/>
  <c r="F938" i="3"/>
  <c r="F934" i="3"/>
  <c r="F930" i="3"/>
  <c r="F926" i="3"/>
  <c r="F922" i="3"/>
  <c r="F918" i="3"/>
  <c r="F914" i="3"/>
  <c r="F910" i="3"/>
  <c r="F906" i="3"/>
  <c r="F902" i="3"/>
  <c r="F898" i="3"/>
  <c r="F894" i="3"/>
  <c r="F890" i="3"/>
  <c r="F886" i="3"/>
  <c r="F882" i="3"/>
  <c r="F878" i="3"/>
  <c r="F874" i="3"/>
  <c r="F870" i="3"/>
  <c r="F866" i="3"/>
  <c r="F862" i="3"/>
  <c r="F858" i="3"/>
  <c r="F854" i="3"/>
  <c r="F850" i="3"/>
  <c r="F846" i="3"/>
  <c r="F842" i="3"/>
  <c r="F838" i="3"/>
  <c r="F834" i="3"/>
  <c r="F830" i="3"/>
  <c r="F826" i="3"/>
  <c r="F822" i="3"/>
  <c r="F818" i="3"/>
  <c r="F814" i="3"/>
  <c r="F810" i="3"/>
  <c r="F806" i="3"/>
  <c r="F801" i="3"/>
  <c r="F795" i="3"/>
  <c r="F782" i="3"/>
  <c r="F776" i="3"/>
  <c r="F769" i="3"/>
  <c r="F763" i="3"/>
  <c r="F750" i="3"/>
  <c r="F744" i="3"/>
  <c r="F737" i="3"/>
  <c r="F731" i="3"/>
  <c r="F718" i="3"/>
  <c r="F712" i="3"/>
  <c r="F705" i="3"/>
  <c r="F699" i="3"/>
  <c r="F686" i="3"/>
  <c r="F680" i="3"/>
  <c r="F673" i="3"/>
  <c r="F667" i="3"/>
  <c r="F654" i="3"/>
  <c r="F647" i="3"/>
  <c r="F636" i="3"/>
  <c r="F549" i="3"/>
  <c r="F521" i="3"/>
  <c r="F470" i="3"/>
  <c r="F971" i="3"/>
  <c r="F915" i="3"/>
  <c r="F839" i="3"/>
  <c r="F688" i="3"/>
  <c r="F794" i="3"/>
  <c r="F788" i="3"/>
  <c r="F781" i="3"/>
  <c r="F775" i="3"/>
  <c r="F762" i="3"/>
  <c r="F756" i="3"/>
  <c r="F749" i="3"/>
  <c r="F743" i="3"/>
  <c r="F730" i="3"/>
  <c r="F724" i="3"/>
  <c r="F717" i="3"/>
  <c r="F711" i="3"/>
  <c r="F698" i="3"/>
  <c r="F692" i="3"/>
  <c r="F685" i="3"/>
  <c r="F679" i="3"/>
  <c r="F666" i="3"/>
  <c r="F660" i="3"/>
  <c r="F653" i="3"/>
  <c r="F635" i="3"/>
  <c r="F620" i="3"/>
  <c r="F604" i="3"/>
  <c r="F588" i="3"/>
  <c r="F570" i="3"/>
  <c r="F463" i="3"/>
  <c r="F412" i="3"/>
  <c r="F296" i="3"/>
  <c r="F987" i="3"/>
  <c r="F955" i="3"/>
  <c r="F935" i="3"/>
  <c r="F903" i="3"/>
  <c r="F883" i="3"/>
  <c r="F859" i="3"/>
  <c r="F835" i="3"/>
  <c r="F790" i="3"/>
  <c r="F662" i="3"/>
  <c r="F1001" i="3"/>
  <c r="F997" i="3"/>
  <c r="F993" i="3"/>
  <c r="F989" i="3"/>
  <c r="F985" i="3"/>
  <c r="F981" i="3"/>
  <c r="F977" i="3"/>
  <c r="F973" i="3"/>
  <c r="F969" i="3"/>
  <c r="F965" i="3"/>
  <c r="F961" i="3"/>
  <c r="F957" i="3"/>
  <c r="F953" i="3"/>
  <c r="F949" i="3"/>
  <c r="F945" i="3"/>
  <c r="F941" i="3"/>
  <c r="F937" i="3"/>
  <c r="F933" i="3"/>
  <c r="F929" i="3"/>
  <c r="F925" i="3"/>
  <c r="F921" i="3"/>
  <c r="F917" i="3"/>
  <c r="F913" i="3"/>
  <c r="F909" i="3"/>
  <c r="F905" i="3"/>
  <c r="F901" i="3"/>
  <c r="F897" i="3"/>
  <c r="F893" i="3"/>
  <c r="F889" i="3"/>
  <c r="F885" i="3"/>
  <c r="F881" i="3"/>
  <c r="F877" i="3"/>
  <c r="F873" i="3"/>
  <c r="F869" i="3"/>
  <c r="F865" i="3"/>
  <c r="F861" i="3"/>
  <c r="F857" i="3"/>
  <c r="F853" i="3"/>
  <c r="F849" i="3"/>
  <c r="F845" i="3"/>
  <c r="F841" i="3"/>
  <c r="F837" i="3"/>
  <c r="F833" i="3"/>
  <c r="F829" i="3"/>
  <c r="F825" i="3"/>
  <c r="F821" i="3"/>
  <c r="F817" i="3"/>
  <c r="F813" i="3"/>
  <c r="F809" i="3"/>
  <c r="F805" i="3"/>
  <c r="F800" i="3"/>
  <c r="F793" i="3"/>
  <c r="F787" i="3"/>
  <c r="F774" i="3"/>
  <c r="F768" i="3"/>
  <c r="F761" i="3"/>
  <c r="F755" i="3"/>
  <c r="F742" i="3"/>
  <c r="F736" i="3"/>
  <c r="F729" i="3"/>
  <c r="F723" i="3"/>
  <c r="F710" i="3"/>
  <c r="F704" i="3"/>
  <c r="F697" i="3"/>
  <c r="F691" i="3"/>
  <c r="F678" i="3"/>
  <c r="F672" i="3"/>
  <c r="F665" i="3"/>
  <c r="F659" i="3"/>
  <c r="F644" i="3"/>
  <c r="F565" i="3"/>
  <c r="F544" i="3"/>
  <c r="F508" i="3"/>
  <c r="F457" i="3"/>
  <c r="F406" i="3"/>
  <c r="F232" i="3"/>
  <c r="F995" i="3"/>
  <c r="F967" i="3"/>
  <c r="F943" i="3"/>
  <c r="F923" i="3"/>
  <c r="F895" i="3"/>
  <c r="F867" i="3"/>
  <c r="F843" i="3"/>
  <c r="F815" i="3"/>
  <c r="F807" i="3"/>
  <c r="F758" i="3"/>
  <c r="F799" i="3"/>
  <c r="F786" i="3"/>
  <c r="F780" i="3"/>
  <c r="F773" i="3"/>
  <c r="F767" i="3"/>
  <c r="F754" i="3"/>
  <c r="F748" i="3"/>
  <c r="F741" i="3"/>
  <c r="F735" i="3"/>
  <c r="F722" i="3"/>
  <c r="F716" i="3"/>
  <c r="F709" i="3"/>
  <c r="F703" i="3"/>
  <c r="F690" i="3"/>
  <c r="F684" i="3"/>
  <c r="F677" i="3"/>
  <c r="F671" i="3"/>
  <c r="F658" i="3"/>
  <c r="F652" i="3"/>
  <c r="F643" i="3"/>
  <c r="F632" i="3"/>
  <c r="F616" i="3"/>
  <c r="F600" i="3"/>
  <c r="F584" i="3"/>
  <c r="F543" i="3"/>
  <c r="F502" i="3"/>
  <c r="F399" i="3"/>
  <c r="F168" i="3"/>
  <c r="F979" i="3"/>
  <c r="F959" i="3"/>
  <c r="F931" i="3"/>
  <c r="F907" i="3"/>
  <c r="F879" i="3"/>
  <c r="F855" i="3"/>
  <c r="F827" i="3"/>
  <c r="F803" i="3"/>
  <c r="F745" i="3"/>
  <c r="F1000" i="3"/>
  <c r="F996" i="3"/>
  <c r="F992" i="3"/>
  <c r="F988" i="3"/>
  <c r="F984" i="3"/>
  <c r="F980" i="3"/>
  <c r="F976" i="3"/>
  <c r="F972" i="3"/>
  <c r="F968" i="3"/>
  <c r="F964" i="3"/>
  <c r="F960" i="3"/>
  <c r="F956" i="3"/>
  <c r="F952" i="3"/>
  <c r="F948" i="3"/>
  <c r="F944" i="3"/>
  <c r="F940" i="3"/>
  <c r="F936" i="3"/>
  <c r="F932" i="3"/>
  <c r="F928" i="3"/>
  <c r="F924" i="3"/>
  <c r="F920" i="3"/>
  <c r="F916" i="3"/>
  <c r="F912" i="3"/>
  <c r="F908" i="3"/>
  <c r="F904" i="3"/>
  <c r="F900" i="3"/>
  <c r="F896" i="3"/>
  <c r="F892" i="3"/>
  <c r="F888" i="3"/>
  <c r="F884" i="3"/>
  <c r="F880" i="3"/>
  <c r="F876" i="3"/>
  <c r="F872" i="3"/>
  <c r="F868" i="3"/>
  <c r="F864" i="3"/>
  <c r="F860" i="3"/>
  <c r="F856" i="3"/>
  <c r="F852" i="3"/>
  <c r="F848" i="3"/>
  <c r="F844" i="3"/>
  <c r="F840" i="3"/>
  <c r="F836" i="3"/>
  <c r="F832" i="3"/>
  <c r="F828" i="3"/>
  <c r="F824" i="3"/>
  <c r="F820" i="3"/>
  <c r="F816" i="3"/>
  <c r="F812" i="3"/>
  <c r="F808" i="3"/>
  <c r="F804" i="3"/>
  <c r="F798" i="3"/>
  <c r="F792" i="3"/>
  <c r="F785" i="3"/>
  <c r="F779" i="3"/>
  <c r="F766" i="3"/>
  <c r="F760" i="3"/>
  <c r="F753" i="3"/>
  <c r="F747" i="3"/>
  <c r="F734" i="3"/>
  <c r="F728" i="3"/>
  <c r="F721" i="3"/>
  <c r="F715" i="3"/>
  <c r="F702" i="3"/>
  <c r="F696" i="3"/>
  <c r="F689" i="3"/>
  <c r="F683" i="3"/>
  <c r="F670" i="3"/>
  <c r="F664" i="3"/>
  <c r="F657" i="3"/>
  <c r="F651" i="3"/>
  <c r="F560" i="3"/>
  <c r="F495" i="3"/>
  <c r="F444" i="3"/>
  <c r="F392" i="3"/>
  <c r="F104" i="3"/>
  <c r="F533" i="3"/>
  <c r="F528" i="3"/>
  <c r="F522" i="3"/>
  <c r="F515" i="3"/>
  <c r="F509" i="3"/>
  <c r="F496" i="3"/>
  <c r="F490" i="3"/>
  <c r="F483" i="3"/>
  <c r="F477" i="3"/>
  <c r="F464" i="3"/>
  <c r="F458" i="3"/>
  <c r="F451" i="3"/>
  <c r="F445" i="3"/>
  <c r="F432" i="3"/>
  <c r="F426" i="3"/>
  <c r="F419" i="3"/>
  <c r="F413" i="3"/>
  <c r="F400" i="3"/>
  <c r="F393" i="3"/>
  <c r="F384" i="3"/>
  <c r="F359" i="3"/>
  <c r="F343" i="3"/>
  <c r="F304" i="3"/>
  <c r="F240" i="3"/>
  <c r="F176" i="3"/>
  <c r="F112" i="3"/>
  <c r="F569" i="3"/>
  <c r="F564" i="3"/>
  <c r="F553" i="3"/>
  <c r="F548" i="3"/>
  <c r="F537" i="3"/>
  <c r="F532" i="3"/>
  <c r="F520" i="3"/>
  <c r="F514" i="3"/>
  <c r="F507" i="3"/>
  <c r="F501" i="3"/>
  <c r="F488" i="3"/>
  <c r="F482" i="3"/>
  <c r="F475" i="3"/>
  <c r="F469" i="3"/>
  <c r="F456" i="3"/>
  <c r="F450" i="3"/>
  <c r="F443" i="3"/>
  <c r="F437" i="3"/>
  <c r="F424" i="3"/>
  <c r="F418" i="3"/>
  <c r="F411" i="3"/>
  <c r="F405" i="3"/>
  <c r="F391" i="3"/>
  <c r="F371" i="3"/>
  <c r="F355" i="3"/>
  <c r="F338" i="3"/>
  <c r="F288" i="3"/>
  <c r="F224" i="3"/>
  <c r="F160" i="3"/>
  <c r="F96" i="3"/>
  <c r="F631" i="3"/>
  <c r="F627" i="3"/>
  <c r="F623" i="3"/>
  <c r="F619" i="3"/>
  <c r="F615" i="3"/>
  <c r="F611" i="3"/>
  <c r="F607" i="3"/>
  <c r="F603" i="3"/>
  <c r="F599" i="3"/>
  <c r="F595" i="3"/>
  <c r="F591" i="3"/>
  <c r="F587" i="3"/>
  <c r="F583" i="3"/>
  <c r="F579" i="3"/>
  <c r="F574" i="3"/>
  <c r="F563" i="3"/>
  <c r="F558" i="3"/>
  <c r="F547" i="3"/>
  <c r="F542" i="3"/>
  <c r="F531" i="3"/>
  <c r="F526" i="3"/>
  <c r="F519" i="3"/>
  <c r="F513" i="3"/>
  <c r="F500" i="3"/>
  <c r="F494" i="3"/>
  <c r="F487" i="3"/>
  <c r="F481" i="3"/>
  <c r="F468" i="3"/>
  <c r="F462" i="3"/>
  <c r="F455" i="3"/>
  <c r="F449" i="3"/>
  <c r="F436" i="3"/>
  <c r="F430" i="3"/>
  <c r="F423" i="3"/>
  <c r="F417" i="3"/>
  <c r="F404" i="3"/>
  <c r="F398" i="3"/>
  <c r="F380" i="3"/>
  <c r="F280" i="3"/>
  <c r="F216" i="3"/>
  <c r="F152" i="3"/>
  <c r="F88" i="3"/>
  <c r="F573" i="3"/>
  <c r="F568" i="3"/>
  <c r="F557" i="3"/>
  <c r="F552" i="3"/>
  <c r="F541" i="3"/>
  <c r="F536" i="3"/>
  <c r="F525" i="3"/>
  <c r="F512" i="3"/>
  <c r="F506" i="3"/>
  <c r="F499" i="3"/>
  <c r="F493" i="3"/>
  <c r="F480" i="3"/>
  <c r="F474" i="3"/>
  <c r="F467" i="3"/>
  <c r="F461" i="3"/>
  <c r="F448" i="3"/>
  <c r="F442" i="3"/>
  <c r="F435" i="3"/>
  <c r="F429" i="3"/>
  <c r="F416" i="3"/>
  <c r="F410" i="3"/>
  <c r="F403" i="3"/>
  <c r="F397" i="3"/>
  <c r="F389" i="3"/>
  <c r="F379" i="3"/>
  <c r="F367" i="3"/>
  <c r="F351" i="3"/>
  <c r="F332" i="3"/>
  <c r="F272" i="3"/>
  <c r="F208" i="3"/>
  <c r="F144" i="3"/>
  <c r="F80" i="3"/>
  <c r="F646" i="3"/>
  <c r="F642" i="3"/>
  <c r="F638" i="3"/>
  <c r="F634" i="3"/>
  <c r="F630" i="3"/>
  <c r="F626" i="3"/>
  <c r="F622" i="3"/>
  <c r="F618" i="3"/>
  <c r="F614" i="3"/>
  <c r="F610" i="3"/>
  <c r="F606" i="3"/>
  <c r="F602" i="3"/>
  <c r="F598" i="3"/>
  <c r="F594" i="3"/>
  <c r="F590" i="3"/>
  <c r="F586" i="3"/>
  <c r="F582" i="3"/>
  <c r="F578" i="3"/>
  <c r="F567" i="3"/>
  <c r="F562" i="3"/>
  <c r="F551" i="3"/>
  <c r="F546" i="3"/>
  <c r="F535" i="3"/>
  <c r="F530" i="3"/>
  <c r="F524" i="3"/>
  <c r="F518" i="3"/>
  <c r="F511" i="3"/>
  <c r="F505" i="3"/>
  <c r="F492" i="3"/>
  <c r="F486" i="3"/>
  <c r="F479" i="3"/>
  <c r="F473" i="3"/>
  <c r="F460" i="3"/>
  <c r="F454" i="3"/>
  <c r="F447" i="3"/>
  <c r="F441" i="3"/>
  <c r="F428" i="3"/>
  <c r="F422" i="3"/>
  <c r="F415" i="3"/>
  <c r="F409" i="3"/>
  <c r="F396" i="3"/>
  <c r="F388" i="3"/>
  <c r="F264" i="3"/>
  <c r="F200" i="3"/>
  <c r="F136" i="3"/>
  <c r="F72" i="3"/>
  <c r="F577" i="3"/>
  <c r="F572" i="3"/>
  <c r="F561" i="3"/>
  <c r="F556" i="3"/>
  <c r="F545" i="3"/>
  <c r="F540" i="3"/>
  <c r="F529" i="3"/>
  <c r="F523" i="3"/>
  <c r="F517" i="3"/>
  <c r="F504" i="3"/>
  <c r="F498" i="3"/>
  <c r="F491" i="3"/>
  <c r="F485" i="3"/>
  <c r="F472" i="3"/>
  <c r="F466" i="3"/>
  <c r="F459" i="3"/>
  <c r="F453" i="3"/>
  <c r="F440" i="3"/>
  <c r="F434" i="3"/>
  <c r="F427" i="3"/>
  <c r="F421" i="3"/>
  <c r="F408" i="3"/>
  <c r="F402" i="3"/>
  <c r="F395" i="3"/>
  <c r="F387" i="3"/>
  <c r="F376" i="3"/>
  <c r="F363" i="3"/>
  <c r="F347" i="3"/>
  <c r="F320" i="3"/>
  <c r="F256" i="3"/>
  <c r="F192" i="3"/>
  <c r="F128" i="3"/>
  <c r="F64" i="3"/>
  <c r="F649" i="3"/>
  <c r="F645" i="3"/>
  <c r="F641" i="3"/>
  <c r="F637" i="3"/>
  <c r="F633" i="3"/>
  <c r="F629" i="3"/>
  <c r="F625" i="3"/>
  <c r="F621" i="3"/>
  <c r="F617" i="3"/>
  <c r="F613" i="3"/>
  <c r="F609" i="3"/>
  <c r="F605" i="3"/>
  <c r="F601" i="3"/>
  <c r="F597" i="3"/>
  <c r="F593" i="3"/>
  <c r="F589" i="3"/>
  <c r="F585" i="3"/>
  <c r="F581" i="3"/>
  <c r="F571" i="3"/>
  <c r="F566" i="3"/>
  <c r="F555" i="3"/>
  <c r="F550" i="3"/>
  <c r="F539" i="3"/>
  <c r="F534" i="3"/>
  <c r="F516" i="3"/>
  <c r="F510" i="3"/>
  <c r="F503" i="3"/>
  <c r="F497" i="3"/>
  <c r="F484" i="3"/>
  <c r="F478" i="3"/>
  <c r="F471" i="3"/>
  <c r="F465" i="3"/>
  <c r="F452" i="3"/>
  <c r="F446" i="3"/>
  <c r="F439" i="3"/>
  <c r="F433" i="3"/>
  <c r="F420" i="3"/>
  <c r="F414" i="3"/>
  <c r="F407" i="3"/>
  <c r="F401" i="3"/>
  <c r="F375" i="3"/>
  <c r="F312" i="3"/>
  <c r="F248" i="3"/>
  <c r="F184" i="3"/>
  <c r="F120" i="3"/>
  <c r="F56" i="3"/>
  <c r="F333" i="3"/>
  <c r="F327" i="3"/>
  <c r="F321" i="3"/>
  <c r="F313" i="3"/>
  <c r="F305" i="3"/>
  <c r="F297" i="3"/>
  <c r="F289" i="3"/>
  <c r="F281" i="3"/>
  <c r="F273" i="3"/>
  <c r="F265" i="3"/>
  <c r="F257" i="3"/>
  <c r="F249" i="3"/>
  <c r="F241" i="3"/>
  <c r="F233" i="3"/>
  <c r="F225" i="3"/>
  <c r="F217" i="3"/>
  <c r="F209" i="3"/>
  <c r="F201" i="3"/>
  <c r="F193" i="3"/>
  <c r="F185" i="3"/>
  <c r="F177" i="3"/>
  <c r="F169" i="3"/>
  <c r="F161" i="3"/>
  <c r="F153" i="3"/>
  <c r="F145" i="3"/>
  <c r="F137" i="3"/>
  <c r="F129" i="3"/>
  <c r="F121" i="3"/>
  <c r="F113" i="3"/>
  <c r="F105" i="3"/>
  <c r="F97" i="3"/>
  <c r="F89" i="3"/>
  <c r="F81" i="3"/>
  <c r="F73" i="3"/>
  <c r="F65" i="3"/>
  <c r="F57" i="3"/>
  <c r="F394" i="3"/>
  <c r="F390" i="3"/>
  <c r="F386" i="3"/>
  <c r="F382" i="3"/>
  <c r="F378" i="3"/>
  <c r="F374" i="3"/>
  <c r="F370" i="3"/>
  <c r="F366" i="3"/>
  <c r="F362" i="3"/>
  <c r="F358" i="3"/>
  <c r="F354" i="3"/>
  <c r="F350" i="3"/>
  <c r="F346" i="3"/>
  <c r="F342" i="3"/>
  <c r="F337" i="3"/>
  <c r="F331" i="3"/>
  <c r="F326" i="3"/>
  <c r="F319" i="3"/>
  <c r="F311" i="3"/>
  <c r="F303" i="3"/>
  <c r="F295" i="3"/>
  <c r="F287" i="3"/>
  <c r="F279" i="3"/>
  <c r="F271" i="3"/>
  <c r="F263" i="3"/>
  <c r="F255" i="3"/>
  <c r="F247" i="3"/>
  <c r="F239" i="3"/>
  <c r="F231" i="3"/>
  <c r="F223" i="3"/>
  <c r="F215" i="3"/>
  <c r="F207" i="3"/>
  <c r="F199" i="3"/>
  <c r="F191" i="3"/>
  <c r="F183" i="3"/>
  <c r="F175" i="3"/>
  <c r="F167" i="3"/>
  <c r="F159" i="3"/>
  <c r="F151" i="3"/>
  <c r="F143" i="3"/>
  <c r="F135" i="3"/>
  <c r="F127" i="3"/>
  <c r="F119" i="3"/>
  <c r="F111" i="3"/>
  <c r="F103" i="3"/>
  <c r="F95" i="3"/>
  <c r="F87" i="3"/>
  <c r="F79" i="3"/>
  <c r="F71" i="3"/>
  <c r="F63" i="3"/>
  <c r="F55" i="3"/>
  <c r="F336" i="3"/>
  <c r="F318" i="3"/>
  <c r="F310" i="3"/>
  <c r="F302" i="3"/>
  <c r="F294" i="3"/>
  <c r="F286" i="3"/>
  <c r="F278" i="3"/>
  <c r="F270" i="3"/>
  <c r="F262" i="3"/>
  <c r="F254" i="3"/>
  <c r="F246" i="3"/>
  <c r="F238" i="3"/>
  <c r="F230" i="3"/>
  <c r="F222" i="3"/>
  <c r="F214" i="3"/>
  <c r="F206" i="3"/>
  <c r="F198" i="3"/>
  <c r="F190" i="3"/>
  <c r="F182" i="3"/>
  <c r="F174" i="3"/>
  <c r="F166" i="3"/>
  <c r="F158" i="3"/>
  <c r="F150" i="3"/>
  <c r="F142" i="3"/>
  <c r="F134" i="3"/>
  <c r="F126" i="3"/>
  <c r="F118" i="3"/>
  <c r="F110" i="3"/>
  <c r="F102" i="3"/>
  <c r="F94" i="3"/>
  <c r="F86" i="3"/>
  <c r="F78" i="3"/>
  <c r="F70" i="3"/>
  <c r="F62" i="3"/>
  <c r="F54" i="3"/>
  <c r="F385" i="3"/>
  <c r="F381" i="3"/>
  <c r="F377" i="3"/>
  <c r="F373" i="3"/>
  <c r="F369" i="3"/>
  <c r="F365" i="3"/>
  <c r="F361" i="3"/>
  <c r="F357" i="3"/>
  <c r="F353" i="3"/>
  <c r="F349" i="3"/>
  <c r="F345" i="3"/>
  <c r="F341" i="3"/>
  <c r="F335" i="3"/>
  <c r="F330" i="3"/>
  <c r="F325" i="3"/>
  <c r="F317" i="3"/>
  <c r="F309" i="3"/>
  <c r="F301" i="3"/>
  <c r="F293" i="3"/>
  <c r="F285" i="3"/>
  <c r="F277" i="3"/>
  <c r="F269" i="3"/>
  <c r="F261" i="3"/>
  <c r="F253" i="3"/>
  <c r="F245" i="3"/>
  <c r="F237" i="3"/>
  <c r="F229" i="3"/>
  <c r="F221" i="3"/>
  <c r="F213" i="3"/>
  <c r="F205" i="3"/>
  <c r="F197" i="3"/>
  <c r="F189" i="3"/>
  <c r="F181" i="3"/>
  <c r="F173" i="3"/>
  <c r="F165" i="3"/>
  <c r="F157" i="3"/>
  <c r="F149" i="3"/>
  <c r="F141" i="3"/>
  <c r="F133" i="3"/>
  <c r="F125" i="3"/>
  <c r="F117" i="3"/>
  <c r="F109" i="3"/>
  <c r="F101" i="3"/>
  <c r="F93" i="3"/>
  <c r="F85" i="3"/>
  <c r="F77" i="3"/>
  <c r="F69" i="3"/>
  <c r="F61" i="3"/>
  <c r="F53" i="3"/>
  <c r="F340" i="3"/>
  <c r="F324" i="3"/>
  <c r="F316" i="3"/>
  <c r="F308" i="3"/>
  <c r="F300" i="3"/>
  <c r="F292" i="3"/>
  <c r="F284" i="3"/>
  <c r="F276" i="3"/>
  <c r="F268" i="3"/>
  <c r="F260" i="3"/>
  <c r="F252" i="3"/>
  <c r="F244" i="3"/>
  <c r="F236" i="3"/>
  <c r="F228" i="3"/>
  <c r="F220" i="3"/>
  <c r="F212" i="3"/>
  <c r="F204" i="3"/>
  <c r="F196" i="3"/>
  <c r="F188" i="3"/>
  <c r="F180" i="3"/>
  <c r="F172" i="3"/>
  <c r="F164" i="3"/>
  <c r="F156" i="3"/>
  <c r="F148" i="3"/>
  <c r="F140" i="3"/>
  <c r="F132" i="3"/>
  <c r="F124" i="3"/>
  <c r="F116" i="3"/>
  <c r="F108" i="3"/>
  <c r="F100" i="3"/>
  <c r="F92" i="3"/>
  <c r="F84" i="3"/>
  <c r="F76" i="3"/>
  <c r="F68" i="3"/>
  <c r="F60" i="3"/>
  <c r="F52" i="3"/>
  <c r="F368" i="3"/>
  <c r="F364" i="3"/>
  <c r="F360" i="3"/>
  <c r="F356" i="3"/>
  <c r="F352" i="3"/>
  <c r="F348" i="3"/>
  <c r="F344" i="3"/>
  <c r="F339" i="3"/>
  <c r="F334" i="3"/>
  <c r="F329" i="3"/>
  <c r="F323" i="3"/>
  <c r="F315" i="3"/>
  <c r="F307" i="3"/>
  <c r="F299" i="3"/>
  <c r="F291" i="3"/>
  <c r="F283" i="3"/>
  <c r="F275" i="3"/>
  <c r="F267" i="3"/>
  <c r="F259" i="3"/>
  <c r="F251" i="3"/>
  <c r="F243" i="3"/>
  <c r="F235" i="3"/>
  <c r="F227" i="3"/>
  <c r="F219" i="3"/>
  <c r="F211" i="3"/>
  <c r="F203" i="3"/>
  <c r="F195" i="3"/>
  <c r="F187" i="3"/>
  <c r="F179" i="3"/>
  <c r="F171" i="3"/>
  <c r="F163" i="3"/>
  <c r="F155" i="3"/>
  <c r="F147" i="3"/>
  <c r="F139" i="3"/>
  <c r="F131" i="3"/>
  <c r="F123" i="3"/>
  <c r="F115" i="3"/>
  <c r="F107" i="3"/>
  <c r="F99" i="3"/>
  <c r="F91" i="3"/>
  <c r="F83" i="3"/>
  <c r="F75" i="3"/>
  <c r="F67" i="3"/>
  <c r="F59" i="3"/>
  <c r="F49" i="3"/>
  <c r="F328" i="3"/>
  <c r="F322" i="3"/>
  <c r="F314" i="3"/>
  <c r="F306" i="3"/>
  <c r="F298" i="3"/>
  <c r="F290" i="3"/>
  <c r="F282" i="3"/>
  <c r="F274" i="3"/>
  <c r="F266" i="3"/>
  <c r="F258" i="3"/>
  <c r="F250" i="3"/>
  <c r="F242" i="3"/>
  <c r="F234" i="3"/>
  <c r="F226" i="3"/>
  <c r="F218" i="3"/>
  <c r="F210" i="3"/>
  <c r="F202" i="3"/>
  <c r="F194" i="3"/>
  <c r="F186" i="3"/>
  <c r="F178" i="3"/>
  <c r="F170" i="3"/>
  <c r="F162" i="3"/>
  <c r="F154" i="3"/>
  <c r="F146" i="3"/>
  <c r="F138" i="3"/>
  <c r="F130" i="3"/>
  <c r="F122" i="3"/>
  <c r="F114" i="3"/>
  <c r="F106" i="3"/>
  <c r="F98" i="3"/>
  <c r="F90" i="3"/>
  <c r="F82" i="3"/>
  <c r="F74" i="3"/>
  <c r="F66" i="3"/>
  <c r="F58" i="3"/>
  <c r="F45" i="3"/>
  <c r="F41" i="3"/>
  <c r="F37" i="3"/>
  <c r="F33" i="3"/>
  <c r="F29" i="3"/>
  <c r="F25" i="3"/>
  <c r="F21" i="3"/>
  <c r="F17" i="3"/>
  <c r="F13" i="3"/>
  <c r="F9" i="3"/>
  <c r="F5" i="3"/>
  <c r="F48" i="3"/>
  <c r="F44" i="3"/>
  <c r="F40" i="3"/>
  <c r="F36" i="3"/>
  <c r="F32" i="3"/>
  <c r="F28" i="3"/>
  <c r="F24" i="3"/>
  <c r="F20" i="3"/>
  <c r="F16" i="3"/>
  <c r="F12" i="3"/>
  <c r="F8" i="3"/>
  <c r="F4" i="3"/>
  <c r="F51" i="3"/>
  <c r="F47" i="3"/>
  <c r="F43" i="3"/>
  <c r="F39" i="3"/>
  <c r="F35" i="3"/>
  <c r="F31" i="3"/>
  <c r="F27" i="3"/>
  <c r="F23" i="3"/>
  <c r="F19" i="3"/>
  <c r="F15" i="3"/>
  <c r="F11" i="3"/>
  <c r="F7" i="3"/>
  <c r="F3" i="3"/>
  <c r="F50" i="3"/>
  <c r="F46" i="3"/>
  <c r="F42" i="3"/>
  <c r="F38" i="3"/>
  <c r="F34" i="3"/>
  <c r="F30" i="3"/>
  <c r="F26" i="3"/>
  <c r="F22" i="3"/>
  <c r="F18" i="3"/>
  <c r="F14" i="3"/>
  <c r="F10" i="3"/>
  <c r="F6" i="3"/>
  <c r="F2" i="3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<sst xmlns="http://schemas.openxmlformats.org/spreadsheetml/2006/main" count="31847" uniqueCount="6773">
  <si>
    <t>MIG1</t>
  </si>
  <si>
    <t>IMPERIAL DE LUJO</t>
  </si>
  <si>
    <t>TABASCO</t>
  </si>
  <si>
    <t>CARDENAS</t>
  </si>
  <si>
    <t>X</t>
  </si>
  <si>
    <t>VENTURA</t>
  </si>
  <si>
    <t>DE LA CRUZ</t>
  </si>
  <si>
    <t xml:space="preserve">CASADO  </t>
  </si>
  <si>
    <t>CIRCUITO TAURO MANZANA 16 LOTE 116</t>
  </si>
  <si>
    <t>FOVISSSTE EMBUDO</t>
  </si>
  <si>
    <t>LUNES</t>
  </si>
  <si>
    <t>DOMICILIO</t>
  </si>
  <si>
    <t>x</t>
  </si>
  <si>
    <t>MIG2</t>
  </si>
  <si>
    <t>ZAFIRO</t>
  </si>
  <si>
    <t>JIMENEZ</t>
  </si>
  <si>
    <t>SANTOS</t>
  </si>
  <si>
    <t>SOLTERO</t>
  </si>
  <si>
    <t>LAZARO CARDENAS</t>
  </si>
  <si>
    <t>CARLOS GREENE</t>
  </si>
  <si>
    <t>FOVISSSTE</t>
  </si>
  <si>
    <t>MIG3</t>
  </si>
  <si>
    <t xml:space="preserve">JIMENEZ </t>
  </si>
  <si>
    <t>RAMOS</t>
  </si>
  <si>
    <t>UNION LIBRE</t>
  </si>
  <si>
    <t>PROLONGACION NICOLASA CANO DE DOMINGUEZ</t>
  </si>
  <si>
    <t>SANTA MARIA DE GUADALUPE</t>
  </si>
  <si>
    <t>MIG4</t>
  </si>
  <si>
    <t>CORDOVA</t>
  </si>
  <si>
    <t>CASADA</t>
  </si>
  <si>
    <t>CALLE LANZAGORTA CASA NUMERO 14</t>
  </si>
  <si>
    <t>EL PALMAR</t>
  </si>
  <si>
    <t>MIG5</t>
  </si>
  <si>
    <t>CALLE JULIAN MONTEJO CASA NUMERO 506</t>
  </si>
  <si>
    <t>EL TOLOQUE</t>
  </si>
  <si>
    <t>MIG6</t>
  </si>
  <si>
    <t>HERNANDEZ</t>
  </si>
  <si>
    <t>ENTRADA A LA PERA S/N</t>
  </si>
  <si>
    <t>PLATANO Y CACAO</t>
  </si>
  <si>
    <t xml:space="preserve">CENTRO </t>
  </si>
  <si>
    <t>CENTRO</t>
  </si>
  <si>
    <t>MIG7</t>
  </si>
  <si>
    <t>CALLE DEPORTISTA CASA NUMERO 25</t>
  </si>
  <si>
    <t>SANTA RITA</t>
  </si>
  <si>
    <t>ROGELIO RUIZ ROJAS</t>
  </si>
  <si>
    <t>ROGELIO RUIZ  ROJAS</t>
  </si>
  <si>
    <t>MIG8</t>
  </si>
  <si>
    <t>SANCHEZ</t>
  </si>
  <si>
    <t>SOLTERA</t>
  </si>
  <si>
    <t>CERRADA NARCISO MENDOZA</t>
  </si>
  <si>
    <t>MIG9</t>
  </si>
  <si>
    <t xml:space="preserve">OLAN </t>
  </si>
  <si>
    <t>CALLE MIGUEL NOVEROLA CASA NUMERO 163</t>
  </si>
  <si>
    <t>INFONAVIT LOMA BONITA</t>
  </si>
  <si>
    <t>MIG10</t>
  </si>
  <si>
    <t>GARCIA</t>
  </si>
  <si>
    <t>CERRADA DE CARLOS MOLINA CASA NUMERO 18</t>
  </si>
  <si>
    <t>PUEBLO NUEVO</t>
  </si>
  <si>
    <t>MIG11</t>
  </si>
  <si>
    <t>CASADO</t>
  </si>
  <si>
    <t>CALLE FRANCISCO GURRIA CASA NUMERO 507</t>
  </si>
  <si>
    <t>MIG12</t>
  </si>
  <si>
    <t>CALLEJON MARGARITA</t>
  </si>
  <si>
    <t xml:space="preserve">EL BAJIO </t>
  </si>
  <si>
    <t>MIG13</t>
  </si>
  <si>
    <t>MEMORIAL</t>
  </si>
  <si>
    <t>CAÑA AMARGA MANZANA 28 LOTE 8</t>
  </si>
  <si>
    <t>FRACCIONAMIENTO LOS CAÑALES 2</t>
  </si>
  <si>
    <t>FRACCIONAMIENTO CAÑALES 2</t>
  </si>
  <si>
    <t>MIG14</t>
  </si>
  <si>
    <t>DIGNITY</t>
  </si>
  <si>
    <t>CALLE ARABIA 1 MANZANA 22 LOTE 7</t>
  </si>
  <si>
    <t>JACINTO LOPEZ</t>
  </si>
  <si>
    <t>MIG15</t>
  </si>
  <si>
    <t xml:space="preserve">GARCIA </t>
  </si>
  <si>
    <t>CALLE IGNACIO COMONFORT CASA NUMERO 109</t>
  </si>
  <si>
    <t>MIG16</t>
  </si>
  <si>
    <t>CALLE ABASOLO SIN NUMERO</t>
  </si>
  <si>
    <t>SANTA CRUZ</t>
  </si>
  <si>
    <t>MIG17</t>
  </si>
  <si>
    <t>LOPEZ</t>
  </si>
  <si>
    <t>GUADALUPE</t>
  </si>
  <si>
    <t>CALLE MELAZA MANZANA 8 LOTE 10</t>
  </si>
  <si>
    <t>FRACCIONAMIENTO CAÑALES 1</t>
  </si>
  <si>
    <t>MIG18</t>
  </si>
  <si>
    <t>CALLE  5 CASA NUMERO 84</t>
  </si>
  <si>
    <t>AMPLIACION CAÑALES TERCERA ETAPA SUR</t>
  </si>
  <si>
    <t>MIG19</t>
  </si>
  <si>
    <t>MARTINEZ</t>
  </si>
  <si>
    <t>DE LA ROSA</t>
  </si>
  <si>
    <t>AVENIDA LUIS DONALDO COLOSIO</t>
  </si>
  <si>
    <t>MELCHOR OCAMPO</t>
  </si>
  <si>
    <t>CARRETERA PRINCIPAL</t>
  </si>
  <si>
    <t>MIG20</t>
  </si>
  <si>
    <t>GOMEZ</t>
  </si>
  <si>
    <t>CALLEJON DE LOS JIMENEZ</t>
  </si>
  <si>
    <t>RIO SECO Y MONTAÑA SEGUNDA SECCIOM</t>
  </si>
  <si>
    <t>RIO SECO Y MONTAÑA SEGUNDA SECCION</t>
  </si>
  <si>
    <t>MIG21</t>
  </si>
  <si>
    <t>DIAZ</t>
  </si>
  <si>
    <t>SILVIA</t>
  </si>
  <si>
    <t>CALLE JOSE MARIA PINO SUAREZ NUMERO 1</t>
  </si>
  <si>
    <t>OBRERA</t>
  </si>
  <si>
    <t>MIG22</t>
  </si>
  <si>
    <t>CALLE CHACHALACA LOTE 115</t>
  </si>
  <si>
    <t>CSAT</t>
  </si>
  <si>
    <t>PRINCIPAL</t>
  </si>
  <si>
    <t>MIG23</t>
  </si>
  <si>
    <t xml:space="preserve">VELAZQUEZ </t>
  </si>
  <si>
    <t>PEREZ</t>
  </si>
  <si>
    <t>ISIDRO</t>
  </si>
  <si>
    <t>CALLE HICOTEA NUMERO 296</t>
  </si>
  <si>
    <t>MIG24</t>
  </si>
  <si>
    <t>CONCEPCION</t>
  </si>
  <si>
    <t>CALLE RUMANIA 3</t>
  </si>
  <si>
    <t>MIG25</t>
  </si>
  <si>
    <t>RODRIGUEZ</t>
  </si>
  <si>
    <t>MADRIGAL</t>
  </si>
  <si>
    <t>CALLE TULIPANES CASA NUMERO 12</t>
  </si>
  <si>
    <t>INFONAVIT SANTA RITA</t>
  </si>
  <si>
    <t>MIG26</t>
  </si>
  <si>
    <t>CALLE GUA MANZANA NUMERO 13 LOTE 8</t>
  </si>
  <si>
    <t>MIG27</t>
  </si>
  <si>
    <t>CARMEN</t>
  </si>
  <si>
    <t xml:space="preserve">CALLE JOSE TORRUCO VERA CASA NUMERO 4 </t>
  </si>
  <si>
    <t>JOSE TORRUCO VERA</t>
  </si>
  <si>
    <t>MIG28</t>
  </si>
  <si>
    <t xml:space="preserve">CALLE EL CEDRO CASA NUMERO 10  </t>
  </si>
  <si>
    <t>MIG29</t>
  </si>
  <si>
    <t>CALLE PRINCIPAL SIN NOMBRE</t>
  </si>
  <si>
    <t xml:space="preserve">EL BAJIO SEGUNDA SECCION </t>
  </si>
  <si>
    <t>EL BAJIO SEGUNDA SECCIOMN</t>
  </si>
  <si>
    <t>MIG30</t>
  </si>
  <si>
    <t>HUIMANGUILLO</t>
  </si>
  <si>
    <t>VIUDA</t>
  </si>
  <si>
    <t>CALLE BENITO JUAREZ MANZANA 1 LOTE 4</t>
  </si>
  <si>
    <t>LOS PINOS</t>
  </si>
  <si>
    <t>MIG31</t>
  </si>
  <si>
    <t>MONTIEL</t>
  </si>
  <si>
    <t>PROLONGACION SANTOS DEGOLLADO</t>
  </si>
  <si>
    <t>MIG32</t>
  </si>
  <si>
    <t>RAMIREZ</t>
  </si>
  <si>
    <t>CALLE FRESNO OTE NUMERO 233 MANZANA 4 LOTE 1</t>
  </si>
  <si>
    <t xml:space="preserve">FOVISSSTE </t>
  </si>
  <si>
    <t>FOVISSTE</t>
  </si>
  <si>
    <t>MIG33</t>
  </si>
  <si>
    <t>CALLE 5 MANZANA 4 LOTE 76</t>
  </si>
  <si>
    <t>AMPLIACION CAÑALES SEGUNDA ETAPA</t>
  </si>
  <si>
    <t xml:space="preserve">AMPLIACION CAÑALES SEGUNDA ETAPA </t>
  </si>
  <si>
    <t>MIG34</t>
  </si>
  <si>
    <t>CALLE 9 CASA NUMERO 273</t>
  </si>
  <si>
    <t>FRACCIONAMIENTO CAÑALES SEGUNDA ETAPA SUR</t>
  </si>
  <si>
    <t>MIG35</t>
  </si>
  <si>
    <t>GONZALEZ</t>
  </si>
  <si>
    <t>DE DIOS</t>
  </si>
  <si>
    <t>CALLE 6 MANZANA 6 LOTE 129</t>
  </si>
  <si>
    <t>MIG36</t>
  </si>
  <si>
    <t>CERRADA DE VENUSTIANO CARRANZA SIN NUMERO</t>
  </si>
  <si>
    <t>NUEVO PROGRESO</t>
  </si>
  <si>
    <t>MIG37</t>
  </si>
  <si>
    <t>ALEJANDRO</t>
  </si>
  <si>
    <t>CALLE TRINIDAD FUENTES CASTELLANOS NUMERO 29</t>
  </si>
  <si>
    <t>MIG38</t>
  </si>
  <si>
    <t>MARTHA ELENA</t>
  </si>
  <si>
    <t>CALLE CARLOS A MOLINA NUMERO 19</t>
  </si>
  <si>
    <t>MIG39</t>
  </si>
  <si>
    <t>CALLE ABASOLO NUMERO 101</t>
  </si>
  <si>
    <t>MIG40</t>
  </si>
  <si>
    <t xml:space="preserve">CALLE CARLOS A MOLINA </t>
  </si>
  <si>
    <t>MIG41</t>
  </si>
  <si>
    <t>CALLE JOAQUIN CUEVAS 620 INTERIOR 1</t>
  </si>
  <si>
    <t>MIG42</t>
  </si>
  <si>
    <t>COLORADO</t>
  </si>
  <si>
    <t>CALLE TURQUEZA NUMERO 17 CASA Q5</t>
  </si>
  <si>
    <t>VILLA ESMERALDA</t>
  </si>
  <si>
    <t>MIG43</t>
  </si>
  <si>
    <t>CALLE 4 CASA NUMERO 171</t>
  </si>
  <si>
    <t>ALAMEDA</t>
  </si>
  <si>
    <t>MIG44</t>
  </si>
  <si>
    <t>CALLE FRAMBOYAN SIN NUMERO</t>
  </si>
  <si>
    <t>FRACCIONAMIENTO JARDINES DE TABASCO</t>
  </si>
  <si>
    <t>MIG45</t>
  </si>
  <si>
    <t>CALLE ARABIA 5 MANZANA 5 LOTE 31</t>
  </si>
  <si>
    <t>MIG46</t>
  </si>
  <si>
    <t xml:space="preserve">CALLE TULIPAN  </t>
  </si>
  <si>
    <t>BAJIO PRIMERA SECCION</t>
  </si>
  <si>
    <t>MIG47</t>
  </si>
  <si>
    <t>CALLE REFORMA NUMERO 635</t>
  </si>
  <si>
    <t>MIG48</t>
  </si>
  <si>
    <t>CERRADA SAN PEDRO CASA NUMERO 898</t>
  </si>
  <si>
    <t>MIG49</t>
  </si>
  <si>
    <t>CALLE PRESA HUITLES CASA NUMERO 31</t>
  </si>
  <si>
    <t>CAMPAMENTO SARH</t>
  </si>
  <si>
    <t>MIG50</t>
  </si>
  <si>
    <t>ECONOLINE</t>
  </si>
  <si>
    <t xml:space="preserve">CASADO </t>
  </si>
  <si>
    <t>RIO SECO Y MONTAÑA NUMERO 22</t>
  </si>
  <si>
    <t>MIG51</t>
  </si>
  <si>
    <t>PRESIDENCIAL</t>
  </si>
  <si>
    <t>RIO SECO Y MONTAÑA</t>
  </si>
  <si>
    <t>MIG52</t>
  </si>
  <si>
    <t>IMPERIAL</t>
  </si>
  <si>
    <t>INFONAVIT LOMA</t>
  </si>
  <si>
    <t>TAMARINDO CASA NUMERO 24 LOTE 2</t>
  </si>
  <si>
    <t>INFONAVIT TOMA BONITA</t>
  </si>
  <si>
    <t>MIG53</t>
  </si>
  <si>
    <t>ALVAREZ</t>
  </si>
  <si>
    <t>OSORIO</t>
  </si>
  <si>
    <t>SECCION 40</t>
  </si>
  <si>
    <t>TENOSIQUE NUMERO 256 INTERIOR CASA NUMERO 4</t>
  </si>
  <si>
    <t>SECCION 40 TENOSIQUE NUMERO 256</t>
  </si>
  <si>
    <t>MIG54</t>
  </si>
  <si>
    <t>INFONAVIT DEPORTIVA</t>
  </si>
  <si>
    <t>GUARAGUAO MANZANA 1 LOTE 10</t>
  </si>
  <si>
    <t>MIG55</t>
  </si>
  <si>
    <t>BAJIO SEGUNDA SECCION</t>
  </si>
  <si>
    <t>HOMBRES DEL SURESTE MANZANA 10 LOTE 9</t>
  </si>
  <si>
    <t>MIG56</t>
  </si>
  <si>
    <t>DE LOS SANTOS</t>
  </si>
  <si>
    <t>EL LIMON</t>
  </si>
  <si>
    <t>MIG57</t>
  </si>
  <si>
    <t>ERNESTO AGUIRRE COLORADI NUMERO 418-5</t>
  </si>
  <si>
    <t>MIG58</t>
  </si>
  <si>
    <t>CARRILLO</t>
  </si>
  <si>
    <t>ARABIA II SIN NUMERO</t>
  </si>
  <si>
    <t>JACINTO LOPEZ ARABIA II SIN NUMERO</t>
  </si>
  <si>
    <t>MIG59</t>
  </si>
  <si>
    <t>MANUELA</t>
  </si>
  <si>
    <t>RUMANIA VII</t>
  </si>
  <si>
    <t>MIG60</t>
  </si>
  <si>
    <t>VALENZUELA</t>
  </si>
  <si>
    <t>FRONTERA NUMERO 31</t>
  </si>
  <si>
    <t>SECCION 40 FRONTERA NUMERO 31 B</t>
  </si>
  <si>
    <t>MIG61</t>
  </si>
  <si>
    <t xml:space="preserve">ARIAS </t>
  </si>
  <si>
    <t>CHACHALACA NUMERO 124</t>
  </si>
  <si>
    <t>HUIMANGUILLO CARDENAS</t>
  </si>
  <si>
    <t>MIG62</t>
  </si>
  <si>
    <t>JUAREZ</t>
  </si>
  <si>
    <t xml:space="preserve">MANUEL LEYVA </t>
  </si>
  <si>
    <t>27 DE FEBRERO</t>
  </si>
  <si>
    <t>MANUEL LEYVA</t>
  </si>
  <si>
    <t>MIG63</t>
  </si>
  <si>
    <t>DIVORCIADA</t>
  </si>
  <si>
    <t xml:space="preserve">XICOTENCATL </t>
  </si>
  <si>
    <t>MIG64</t>
  </si>
  <si>
    <t>CAÑALES III LADO NORTE</t>
  </si>
  <si>
    <t>14 MANZANA 28 LOTE 3</t>
  </si>
  <si>
    <t>MIG65</t>
  </si>
  <si>
    <t>MARIA DEL CARMEN</t>
  </si>
  <si>
    <t>AREA VERDE</t>
  </si>
  <si>
    <t>EL MANGO</t>
  </si>
  <si>
    <t>MIG66</t>
  </si>
  <si>
    <t>SANTA MARIA PERIFERICO</t>
  </si>
  <si>
    <t>POCHOTE</t>
  </si>
  <si>
    <t>SANTA MARIA</t>
  </si>
  <si>
    <t>MIG67</t>
  </si>
  <si>
    <t>HALCON MANZANA 14 LT 239</t>
  </si>
  <si>
    <t>MIG68</t>
  </si>
  <si>
    <t>ADA ISABEL</t>
  </si>
  <si>
    <t>CEDROS MANZANA LOTE 13</t>
  </si>
  <si>
    <t>MIG69</t>
  </si>
  <si>
    <t>FRANISCO I MADERO</t>
  </si>
  <si>
    <t xml:space="preserve"> ADA ISABEL FRANCISCO I MADERO</t>
  </si>
  <si>
    <t>MIG70</t>
  </si>
  <si>
    <t>DOMINGUEZ</t>
  </si>
  <si>
    <t>SALOMON</t>
  </si>
  <si>
    <t>PERIFERICO MANZA 17 LOTE 9</t>
  </si>
  <si>
    <t>MIG71</t>
  </si>
  <si>
    <t>FRONTERA NUMERO 18</t>
  </si>
  <si>
    <t>MIG72</t>
  </si>
  <si>
    <t>HUINMANGUILLO</t>
  </si>
  <si>
    <t>CEDRO SIN NUMERO</t>
  </si>
  <si>
    <t>MIG73</t>
  </si>
  <si>
    <t>CRUZ</t>
  </si>
  <si>
    <t>TOLOQUE</t>
  </si>
  <si>
    <t>VICENTE GUERRERO</t>
  </si>
  <si>
    <t>MIG74</t>
  </si>
  <si>
    <t>LUIS DONALDO COLOSIO</t>
  </si>
  <si>
    <t>MIG75</t>
  </si>
  <si>
    <t>DAVID</t>
  </si>
  <si>
    <t>LA CEIBA</t>
  </si>
  <si>
    <t>ANDADOR 10</t>
  </si>
  <si>
    <t>MIG76</t>
  </si>
  <si>
    <t>MORALES</t>
  </si>
  <si>
    <t>DANIEL</t>
  </si>
  <si>
    <t>ROGELIO RUIZ ROJAS NUMERO 20</t>
  </si>
  <si>
    <t>MIG77</t>
  </si>
  <si>
    <t>CONDORES</t>
  </si>
  <si>
    <t>MIG78</t>
  </si>
  <si>
    <t>CALZADA PRIMERA SECCION</t>
  </si>
  <si>
    <t>CALLEJON AL FONDO</t>
  </si>
  <si>
    <t>MIG79</t>
  </si>
  <si>
    <t>BAUTISTA</t>
  </si>
  <si>
    <t>ARIAS</t>
  </si>
  <si>
    <t>JUAN ANTONIO</t>
  </si>
  <si>
    <t>CENTRO CALDERON MARCHENA</t>
  </si>
  <si>
    <t>JONOUTA</t>
  </si>
  <si>
    <t>AQUILES CALDERON MARCHENA</t>
  </si>
  <si>
    <t>MIG80</t>
  </si>
  <si>
    <t>ANDRES</t>
  </si>
  <si>
    <t>SANTANA MARIA PERIFERICO</t>
  </si>
  <si>
    <t>MIG81</t>
  </si>
  <si>
    <t xml:space="preserve">CARDENAS </t>
  </si>
  <si>
    <t xml:space="preserve">CALLE NOE DE LA FLOR </t>
  </si>
  <si>
    <t xml:space="preserve">DOMICILIO </t>
  </si>
  <si>
    <t>MIG82</t>
  </si>
  <si>
    <t>VIUDO</t>
  </si>
  <si>
    <t>CALLE ANDROMEDA SIN NUMERO</t>
  </si>
  <si>
    <t>LAS GALAXIAS</t>
  </si>
  <si>
    <t>MIG83</t>
  </si>
  <si>
    <t>CALLE ICOTE NUMERO</t>
  </si>
  <si>
    <t>MIG84</t>
  </si>
  <si>
    <t xml:space="preserve">CALLE FRANCISCO I MADERO </t>
  </si>
  <si>
    <t>GENARO VAZQUEZ</t>
  </si>
  <si>
    <t>MIG85</t>
  </si>
  <si>
    <t>CALLE 2 MANZANA 40 LADO NORTE</t>
  </si>
  <si>
    <t>CAÑALES  3</t>
  </si>
  <si>
    <t>CAÑALES 3</t>
  </si>
  <si>
    <t>MIG86</t>
  </si>
  <si>
    <t>CALLE 2 NUMERO 79</t>
  </si>
  <si>
    <t>C-11</t>
  </si>
  <si>
    <t>MIG87</t>
  </si>
  <si>
    <t>CALLE AQUILES CALDERON MARCHENA</t>
  </si>
  <si>
    <t>MIG88</t>
  </si>
  <si>
    <t>CALLE TENOSIQUE 203</t>
  </si>
  <si>
    <t>MIG89</t>
  </si>
  <si>
    <t>CASTILLO</t>
  </si>
  <si>
    <t>CERRADA EL BOSQUE 4</t>
  </si>
  <si>
    <t>MIG90</t>
  </si>
  <si>
    <t>JAVIER</t>
  </si>
  <si>
    <t xml:space="preserve">AVENIDA ROSA CASTILLA MANZANA 7 LOTE 11 Y 12 </t>
  </si>
  <si>
    <t>JOSE ENRRIQUE TORRUCO VERA</t>
  </si>
  <si>
    <t>JOSE ENRIQUE TORRUCO VERA</t>
  </si>
  <si>
    <t>MIG91</t>
  </si>
  <si>
    <t>PRIVADA ORQUIDIAS 28</t>
  </si>
  <si>
    <t xml:space="preserve">MIGUEL GARCIA GRACIA </t>
  </si>
  <si>
    <t>MIG92</t>
  </si>
  <si>
    <t>CALLE MOCTEZUMA 24</t>
  </si>
  <si>
    <t>MIG93</t>
  </si>
  <si>
    <t>CALLE MOCTEZUMA 31</t>
  </si>
  <si>
    <t>MIG94</t>
  </si>
  <si>
    <t>CABRERA</t>
  </si>
  <si>
    <t>CALLE PRINCIPAL DE RIO SECO Y MONTAÑA</t>
  </si>
  <si>
    <t xml:space="preserve">RIO SECO Y MONTAÑA </t>
  </si>
  <si>
    <t>MIG95</t>
  </si>
  <si>
    <t>PROLONGACION 27 DE FEBRERO</t>
  </si>
  <si>
    <t>MIG96</t>
  </si>
  <si>
    <t>CALLE ARAVIA 1 MANZANA 22 LOTE 9</t>
  </si>
  <si>
    <t>MIG97</t>
  </si>
  <si>
    <t>MENDEZ</t>
  </si>
  <si>
    <t>CALLE IGNACIO COMONFORT 202</t>
  </si>
  <si>
    <t>MIG98</t>
  </si>
  <si>
    <t xml:space="preserve">CALLE ANDADOR CALANDRIAS MANZANA 11 LOTE 6 </t>
  </si>
  <si>
    <t>MIG99</t>
  </si>
  <si>
    <t>SEPARADA</t>
  </si>
  <si>
    <t>CALLE CERRADA SAN JOSE NUMERO18</t>
  </si>
  <si>
    <t>MIG100</t>
  </si>
  <si>
    <t>CALLE CANDELARIO PRIEGO 01</t>
  </si>
  <si>
    <t>EL GRINGO</t>
  </si>
  <si>
    <t>MIG101</t>
  </si>
  <si>
    <t xml:space="preserve">TABASCO </t>
  </si>
  <si>
    <t>CALLE AURELIO SOSA TORRES 314</t>
  </si>
  <si>
    <t>MIG102</t>
  </si>
  <si>
    <t>CALLE VICENTE GOMEZ FARIAS NUMERO 110</t>
  </si>
  <si>
    <t>MIG103</t>
  </si>
  <si>
    <t xml:space="preserve">CALLE CARRETERA CIRCUITO DEL GOLFO </t>
  </si>
  <si>
    <t>MIG104</t>
  </si>
  <si>
    <t xml:space="preserve">CALLE AVENIDA RETEN CASI FRENTE A LA PRIVADA </t>
  </si>
  <si>
    <t>MIG105</t>
  </si>
  <si>
    <t>MIG106</t>
  </si>
  <si>
    <t>CALLE GREGORIO MENDEZ 160</t>
  </si>
  <si>
    <t>MIG107</t>
  </si>
  <si>
    <t>CALLE MIEL MANZANA NUMERO 7 LOTE 12</t>
  </si>
  <si>
    <t>FRACCIONAMIENTO CAÑALES</t>
  </si>
  <si>
    <t>MIG108</t>
  </si>
  <si>
    <t xml:space="preserve">MEMORIAL </t>
  </si>
  <si>
    <t xml:space="preserve">CALLE DESPUES DEL TALLER </t>
  </si>
  <si>
    <t>EL BAJIO 2DA SECCION</t>
  </si>
  <si>
    <t xml:space="preserve">BAJIO SEGUNDA SECCION </t>
  </si>
  <si>
    <t>MIG109</t>
  </si>
  <si>
    <t>MIGUEL</t>
  </si>
  <si>
    <t>CALLE 2 MANZANA 12 CASA NUMERO897</t>
  </si>
  <si>
    <t>AMPLIACION CAÑALES TERCERA ETAPA</t>
  </si>
  <si>
    <t>AMPIACION CAÑALES TERCERA ETAPA</t>
  </si>
  <si>
    <t>MIG110</t>
  </si>
  <si>
    <t>GUTIERREZ</t>
  </si>
  <si>
    <t>CERRADA 2 MANZANA 2 LOTE 8 CASA 1-1</t>
  </si>
  <si>
    <t>FRACCIONAMIENTO POMOCA</t>
  </si>
  <si>
    <t>MIG111</t>
  </si>
  <si>
    <t>DORA MARIA</t>
  </si>
  <si>
    <t>CALLE SAN JOSE NUMERO72</t>
  </si>
  <si>
    <t>MIG112</t>
  </si>
  <si>
    <t>CALLE 5 MANZANA 4 LOTE 75</t>
  </si>
  <si>
    <t>MIG113</t>
  </si>
  <si>
    <t>ARELLANO</t>
  </si>
  <si>
    <t>CALLE RUMANIA V LOTE 13 MANZANA 23</t>
  </si>
  <si>
    <t>MIG114</t>
  </si>
  <si>
    <t>CALLE CARLOS A MOLINA SIN NUMERO</t>
  </si>
  <si>
    <t>MIG115</t>
  </si>
  <si>
    <t xml:space="preserve">CHABLE </t>
  </si>
  <si>
    <t>CARRASCO</t>
  </si>
  <si>
    <t>CALLE LEONA VICARIO NUMERO 34</t>
  </si>
  <si>
    <t>MIG116</t>
  </si>
  <si>
    <t>CERRADA SIN NOMBRE SIN NUMERO</t>
  </si>
  <si>
    <t xml:space="preserve">BAJIO PRIMERA SECCION </t>
  </si>
  <si>
    <t>MIG117</t>
  </si>
  <si>
    <t>MIG118</t>
  </si>
  <si>
    <t>CALLE CARLOS A MADRAZO</t>
  </si>
  <si>
    <t>MIG119</t>
  </si>
  <si>
    <t>CALLE RICARDO FLORES MAGON NUMERO 28</t>
  </si>
  <si>
    <t>MIG120</t>
  </si>
  <si>
    <t xml:space="preserve">CALLE RICARDO FLORES MAGON </t>
  </si>
  <si>
    <t>MIG121</t>
  </si>
  <si>
    <t>CALLE SANTOS DEGOLLADO SIN NUMERO</t>
  </si>
  <si>
    <t>MIG122</t>
  </si>
  <si>
    <t>CALLE NARCISO MENDOZA</t>
  </si>
  <si>
    <t>MIG123</t>
  </si>
  <si>
    <t>CALLE NUMERO24 MANZANA 37</t>
  </si>
  <si>
    <t>MIG124</t>
  </si>
  <si>
    <t>MIG125</t>
  </si>
  <si>
    <t>AVENIDA LAS FLORES SIN NUMERO</t>
  </si>
  <si>
    <t>EL BAJIIO PRIMERA SECCION</t>
  </si>
  <si>
    <t xml:space="preserve">EL BAJIO PRIMERA SECCION </t>
  </si>
  <si>
    <t>MIG126</t>
  </si>
  <si>
    <t xml:space="preserve">ECONOLINE </t>
  </si>
  <si>
    <t xml:space="preserve">HERNANDEZ </t>
  </si>
  <si>
    <t xml:space="preserve">CALLE ALVARO OBREGON </t>
  </si>
  <si>
    <t xml:space="preserve">CALZADA PRIMERA SECCION </t>
  </si>
  <si>
    <t>MIG127</t>
  </si>
  <si>
    <t xml:space="preserve">CALLE SANTO DEGOLLADO SIN NUMERO </t>
  </si>
  <si>
    <t xml:space="preserve">GUADALUPE </t>
  </si>
  <si>
    <t>MIG128</t>
  </si>
  <si>
    <t xml:space="preserve">PEREZ </t>
  </si>
  <si>
    <t xml:space="preserve">CERRADA GUATACAN CON CERRADA DE LOS COCOS </t>
  </si>
  <si>
    <t xml:space="preserve">SANTANA  MARIA PERIFERICO </t>
  </si>
  <si>
    <t xml:space="preserve">SANTA MARIA PERIFERICO </t>
  </si>
  <si>
    <t>MIG129</t>
  </si>
  <si>
    <t>CALLE JOSE TORRUCO VERA NUMERO 4</t>
  </si>
  <si>
    <t xml:space="preserve">FRACCIONAMIENRO PRIMAVERA </t>
  </si>
  <si>
    <t xml:space="preserve">FRACCIONAMIENTO PRIMAVERA </t>
  </si>
  <si>
    <t>MIG130</t>
  </si>
  <si>
    <t>CIRCUITO CONDORES MANZANA 8 EDIFICO 6-B</t>
  </si>
  <si>
    <t xml:space="preserve">INFONAVIT DEPORTIVA </t>
  </si>
  <si>
    <t>MIG131</t>
  </si>
  <si>
    <t xml:space="preserve">CALLE 1 CERRADA SIN NUMERO </t>
  </si>
  <si>
    <t xml:space="preserve">SECCION 40 VECINAL </t>
  </si>
  <si>
    <t>MIG132</t>
  </si>
  <si>
    <t>CALLE JOAQUIN CUEVAS NUMERO 635</t>
  </si>
  <si>
    <t>MIG133</t>
  </si>
  <si>
    <t>JORGE</t>
  </si>
  <si>
    <t>CARLOS COLORADO VERA NUMERO 18</t>
  </si>
  <si>
    <t>MIG134</t>
  </si>
  <si>
    <t>CALLE ANDADOR DURAZNO MANZANA 12 LOTE 5</t>
  </si>
  <si>
    <t>JOSE EDUARDO</t>
  </si>
  <si>
    <t>MIG135</t>
  </si>
  <si>
    <t>CALLE FRANCISCO TRUJILLO GURRIA</t>
  </si>
  <si>
    <t>MIG136</t>
  </si>
  <si>
    <t>CHABLE</t>
  </si>
  <si>
    <t>CALLE CERRADA DE REFORMA NUMERO 661</t>
  </si>
  <si>
    <t>MIG137</t>
  </si>
  <si>
    <t>CALLE FRANCISCO GONZALEZ BOCANEGRA</t>
  </si>
  <si>
    <t>EMILIANO ZAPATA</t>
  </si>
  <si>
    <t>MIG138</t>
  </si>
  <si>
    <t>SEBASTIAN</t>
  </si>
  <si>
    <t>GRACIELA PINTADO DE MADRAZO</t>
  </si>
  <si>
    <t>FRACCIONAMIENTO ORO VERDE</t>
  </si>
  <si>
    <t>EL BAJIO CERRADA LAS GARDENIAS</t>
  </si>
  <si>
    <t>MIG139</t>
  </si>
  <si>
    <t>AGUILAR</t>
  </si>
  <si>
    <t>CALLE ABOSOLO NUMERO 122</t>
  </si>
  <si>
    <t>MIG140</t>
  </si>
  <si>
    <t>CALLE XICOTENCATL</t>
  </si>
  <si>
    <t>MIG141</t>
  </si>
  <si>
    <t>AMPLIACION CALLE MELAZA MANZANA 6 LOTE NUMERO 7</t>
  </si>
  <si>
    <t>FRACCIONAMIENTO CAÑALES PRIMERA</t>
  </si>
  <si>
    <t>MIG142</t>
  </si>
  <si>
    <t>CALLE CUAUHTEMOC NUMERO 1002</t>
  </si>
  <si>
    <t>MIG143</t>
  </si>
  <si>
    <t>RICARDEZ</t>
  </si>
  <si>
    <t xml:space="preserve">CALLE CALLEJON DEL MUERTO NUMERO 9 </t>
  </si>
  <si>
    <t>MIG144</t>
  </si>
  <si>
    <t xml:space="preserve">CALLE CONSTANCIO CASAO </t>
  </si>
  <si>
    <t>CALZADA</t>
  </si>
  <si>
    <t>MIG145</t>
  </si>
  <si>
    <t>CALLE SANCHEZ MAGALLANES NUMERO 634</t>
  </si>
  <si>
    <t>MIG146</t>
  </si>
  <si>
    <t>CALLE ANDADOR MAGUEY MANZANA 20 LOTE NUMERO 13</t>
  </si>
  <si>
    <t xml:space="preserve">INVITAB PASO Y PLAYA </t>
  </si>
  <si>
    <t>INVITAB PASO Y PLAYA</t>
  </si>
  <si>
    <t>MIG147</t>
  </si>
  <si>
    <t>CALLE FRANCISCO I MADERO NUMERO 704 A</t>
  </si>
  <si>
    <t>MIG148</t>
  </si>
  <si>
    <t>CALLE ANDADOR EL FRIJOL MANZANA 7 LOTE NUMERO 30</t>
  </si>
  <si>
    <t>INVITAB</t>
  </si>
  <si>
    <t>MIG149</t>
  </si>
  <si>
    <t>MIG150</t>
  </si>
  <si>
    <t>MIG151</t>
  </si>
  <si>
    <t>CALLE CERRADA DE AURELIO SOSA TORRES 20</t>
  </si>
  <si>
    <t>MIG152</t>
  </si>
  <si>
    <t xml:space="preserve">CALLE ANDRES SANCHEZ MAGALLANES </t>
  </si>
  <si>
    <t>MIG153</t>
  </si>
  <si>
    <t xml:space="preserve">CALLE PRINCIPAL </t>
  </si>
  <si>
    <t>SANTANA PRIMERA SECCION A</t>
  </si>
  <si>
    <t>MIG154</t>
  </si>
  <si>
    <t>MARGARITA</t>
  </si>
  <si>
    <t>CALLE 2 DE ABRIL CASA NUMERO 2</t>
  </si>
  <si>
    <t>MIG155</t>
  </si>
  <si>
    <t xml:space="preserve">CALLE FRACCIONAMIENTO TRUJILLO GURRIA </t>
  </si>
  <si>
    <t>MIG156</t>
  </si>
  <si>
    <t>CALLE RAMON SOSA TORRES NUMERO 309</t>
  </si>
  <si>
    <t>MIG157</t>
  </si>
  <si>
    <t>ALCUDIA</t>
  </si>
  <si>
    <t>CALLE SEGUNDA CERRADA DEL RETEN SIN NUMERO</t>
  </si>
  <si>
    <t>OCAMPO</t>
  </si>
  <si>
    <t>MIG158</t>
  </si>
  <si>
    <t xml:space="preserve">CALLE CARLOS A MOLINA NUMERO 12 </t>
  </si>
  <si>
    <t>ELPALMAR</t>
  </si>
  <si>
    <t>MIG159</t>
  </si>
  <si>
    <t>CALLE CHACHALACA NUMERO 129</t>
  </si>
  <si>
    <t>MIG160</t>
  </si>
  <si>
    <t>CALLE AVENIDA CAÑAVERAL NUMERO 5 LOTE NUMERO 50</t>
  </si>
  <si>
    <t>MIG161</t>
  </si>
  <si>
    <t>CALLE AGUASOL</t>
  </si>
  <si>
    <t>MIG162</t>
  </si>
  <si>
    <t>MOISES</t>
  </si>
  <si>
    <t>CALLE ERNESTO AGUIRRE COLORADO</t>
  </si>
  <si>
    <t>MIG163</t>
  </si>
  <si>
    <t>ANDADOR TULIPANES LOTE NUMERO 7</t>
  </si>
  <si>
    <t>7 DE OCTUBRE</t>
  </si>
  <si>
    <t>MIG164</t>
  </si>
  <si>
    <t>CALLE CERRADA SAN PEDRO NUMERO 598</t>
  </si>
  <si>
    <t>MIG165</t>
  </si>
  <si>
    <t xml:space="preserve">CALLE PILONCILLO MANZANA 3 LOTE 4 </t>
  </si>
  <si>
    <t>CAÑALES PRIMERA</t>
  </si>
  <si>
    <t>MIG166</t>
  </si>
  <si>
    <t xml:space="preserve">CALLE EL CAMINERO SIN NUMERO </t>
  </si>
  <si>
    <t>CARLOS PECILLER CAMARA SAHOP</t>
  </si>
  <si>
    <t>CARLOS PELLICER CAMARA SAHOP</t>
  </si>
  <si>
    <t>MIG167</t>
  </si>
  <si>
    <t>HERRERA</t>
  </si>
  <si>
    <t>CALLE ARABIA</t>
  </si>
  <si>
    <t>MIG168</t>
  </si>
  <si>
    <t>CALLE 5 DE MAYO ESQUINA CARLOS MOLINA</t>
  </si>
  <si>
    <t>PALMAR</t>
  </si>
  <si>
    <t>MIG169</t>
  </si>
  <si>
    <t>CALLE VICENTE SUAREZ NUMERO 414</t>
  </si>
  <si>
    <t xml:space="preserve">NUEVO PROGRESO </t>
  </si>
  <si>
    <t>MIG170</t>
  </si>
  <si>
    <t xml:space="preserve">CALLE SANTOS DEGOLLADO SIN NUMERO </t>
  </si>
  <si>
    <t>MIG171</t>
  </si>
  <si>
    <t>TRINIDAD</t>
  </si>
  <si>
    <t>CANDELARIA</t>
  </si>
  <si>
    <t xml:space="preserve">CALLE PRINCIPAL SIN NUMERO </t>
  </si>
  <si>
    <t>SANTA LUCIA</t>
  </si>
  <si>
    <t>MIG172</t>
  </si>
  <si>
    <t xml:space="preserve">CALLE SECCION 31 CASA NUMERO 2 </t>
  </si>
  <si>
    <t>PETROLERA</t>
  </si>
  <si>
    <t>MIG173</t>
  </si>
  <si>
    <t>MARLENE</t>
  </si>
  <si>
    <t>ANDADOR SAUCE ORIENTE MANZANA 15 LOTE NUMERO 15</t>
  </si>
  <si>
    <t>MIG174</t>
  </si>
  <si>
    <t xml:space="preserve">CALLE SIN NUMERO PRINCIPAL </t>
  </si>
  <si>
    <t>MIG175</t>
  </si>
  <si>
    <t>VERONICA</t>
  </si>
  <si>
    <t>CALLE BENGALA MANZANA 36 LOTE 23</t>
  </si>
  <si>
    <t>CAÑALES SEGUNDA</t>
  </si>
  <si>
    <t>MIG176</t>
  </si>
  <si>
    <t>CALLE CERRADA DE IGNACIO GUTIERREZ CUARTA</t>
  </si>
  <si>
    <t>MIG177</t>
  </si>
  <si>
    <t>CALLE PORFIRIO DIAZ 623</t>
  </si>
  <si>
    <t>MIG178</t>
  </si>
  <si>
    <t xml:space="preserve">CERRADA DE LA CALLE 27 DE FEBRERO </t>
  </si>
  <si>
    <t>MIG179</t>
  </si>
  <si>
    <t xml:space="preserve">CALLE ARABIA QUINTA MANZANA 32 SIN NUMERO </t>
  </si>
  <si>
    <t>MIG180</t>
  </si>
  <si>
    <t>CALLE FRANCISCO VILLA</t>
  </si>
  <si>
    <t>QUINTIN ARAUZ</t>
  </si>
  <si>
    <t>MIG181</t>
  </si>
  <si>
    <t xml:space="preserve">CERRADA LAS CAROLINAS SIN NUMERO </t>
  </si>
  <si>
    <t>MIG182</t>
  </si>
  <si>
    <t>CALLE MIGUEL ORRICO DE LOS LLANOS NUMERO 7</t>
  </si>
  <si>
    <t>CARLOS PECILLER CAMARA</t>
  </si>
  <si>
    <t>CARLOS PELLICER CAMARA</t>
  </si>
  <si>
    <t>MIG183</t>
  </si>
  <si>
    <t xml:space="preserve">CALLE VIA LACTEA SIN NUMERO </t>
  </si>
  <si>
    <t>MIG184</t>
  </si>
  <si>
    <t>CALLE RAMON LOPEZ VELARDE NUMERO 409</t>
  </si>
  <si>
    <t>MIG185</t>
  </si>
  <si>
    <t>CALLE JUAN ESCUTIA NUMERO 15</t>
  </si>
  <si>
    <t>MIG186</t>
  </si>
  <si>
    <t>AVENIDA CAÑAVERAL MANZANA 6 LOTE 73</t>
  </si>
  <si>
    <t>MIG187</t>
  </si>
  <si>
    <t xml:space="preserve">CALLE PRIVADA PALMA REAL MANZANA 201 LOTE 114 </t>
  </si>
  <si>
    <t xml:space="preserve">FRACCIONAMIENTO EL ENCANTO </t>
  </si>
  <si>
    <t>FRACCIONAMIENTO EL ENCANTO</t>
  </si>
  <si>
    <t>MIG188</t>
  </si>
  <si>
    <t>MAGAÑA</t>
  </si>
  <si>
    <t>LUIS ALBERTO</t>
  </si>
  <si>
    <t>EL BAJIO SEGUNDA SECCION</t>
  </si>
  <si>
    <t>MIG189</t>
  </si>
  <si>
    <t xml:space="preserve">CALLE BUGAMBILIA CASA NUMERO 10 </t>
  </si>
  <si>
    <t>EL BAJIO PRIMERA SECCION</t>
  </si>
  <si>
    <t>MIG190</t>
  </si>
  <si>
    <t>GERONIMO</t>
  </si>
  <si>
    <t>MARIO</t>
  </si>
  <si>
    <t xml:space="preserve">CALLE ARAVIA NUMERO 1 </t>
  </si>
  <si>
    <t>MIG191</t>
  </si>
  <si>
    <t>CALLE JOSEFA ORTIZ DE DOMINGUEZ</t>
  </si>
  <si>
    <t>MIG192</t>
  </si>
  <si>
    <t>CALLE CERRADA DEL BOSQUE NUMERO 4</t>
  </si>
  <si>
    <t>MIG193</t>
  </si>
  <si>
    <t>JOSEFINA</t>
  </si>
  <si>
    <t>CALLE SANCHEZ MAGALLES NUMERO 145</t>
  </si>
  <si>
    <t>MIG194</t>
  </si>
  <si>
    <t>CALLE CERRADA CARLOS MOLINA NUMERO 18</t>
  </si>
  <si>
    <t>MIG195</t>
  </si>
  <si>
    <t>CALLE EMILIANO ZAPATA CERRADA NUMERO 542</t>
  </si>
  <si>
    <t>MIG196</t>
  </si>
  <si>
    <t xml:space="preserve">CALLE ABRAHAM BANDALA NUMERO 729 </t>
  </si>
  <si>
    <t>MIG197</t>
  </si>
  <si>
    <t>CALLE PERIFERICO CARLOS A MOLINA NUMERO 40</t>
  </si>
  <si>
    <t>LA VEREDA</t>
  </si>
  <si>
    <t>MIG198</t>
  </si>
  <si>
    <t xml:space="preserve">ALEJANDRO </t>
  </si>
  <si>
    <t>CARRETERA CARDENAS - COMALCALCO KILOMETRO 3</t>
  </si>
  <si>
    <t>MIG199</t>
  </si>
  <si>
    <t>CALLE EL LIMON NUMERO 22</t>
  </si>
  <si>
    <t>MIG200</t>
  </si>
  <si>
    <t>CALLE GUAYACAN NUMERO 77</t>
  </si>
  <si>
    <t>JARDINES DE TABASCO</t>
  </si>
  <si>
    <t>MIG201</t>
  </si>
  <si>
    <t xml:space="preserve">CALLE JUSTO MARCHENA SIN NUMERO </t>
  </si>
  <si>
    <t>MIG202</t>
  </si>
  <si>
    <t>CALLE RIO SECO Y MONTAÑA</t>
  </si>
  <si>
    <t>MIG203</t>
  </si>
  <si>
    <t>CALLE NUMERO 13 TECNOCHTITAL MANZANA 12 LOTE NUMERO 9</t>
  </si>
  <si>
    <t xml:space="preserve">AMPLIACION CAÑALES TERCERA ETAPA </t>
  </si>
  <si>
    <t>MIG204</t>
  </si>
  <si>
    <t>CALLE ABRAHAM BANDALA NUMERO 520 LOCAL C</t>
  </si>
  <si>
    <t>MIG205</t>
  </si>
  <si>
    <t>CALLE SANCHEZ MAGAÑANES NUMERO 327</t>
  </si>
  <si>
    <t>MIG206</t>
  </si>
  <si>
    <t>JULIO CESAR</t>
  </si>
  <si>
    <t>CALLE CERRADA DE QUERUBIN FERNANDEZ</t>
  </si>
  <si>
    <t>CALZADA PRIMERA SECCION SUR</t>
  </si>
  <si>
    <t>MIG207</t>
  </si>
  <si>
    <t>CANDELARIO</t>
  </si>
  <si>
    <t>BENITO JUAREZ NUMERO 203</t>
  </si>
  <si>
    <t>MIG208</t>
  </si>
  <si>
    <t>JORGE LUIS</t>
  </si>
  <si>
    <t xml:space="preserve">CALLE GUAYACAN SIN NUMERO </t>
  </si>
  <si>
    <t xml:space="preserve">ADA ISABEL </t>
  </si>
  <si>
    <t>MIG209</t>
  </si>
  <si>
    <t>PARAISO</t>
  </si>
  <si>
    <t>FLORES</t>
  </si>
  <si>
    <t>FRANCISCO I MADERO SEGUNDA SECCION</t>
  </si>
  <si>
    <t>CARRETERA VECINAL PARAISO COMALCALCO SIN NUMERO</t>
  </si>
  <si>
    <t>MIERCOLES</t>
  </si>
  <si>
    <t>MIG210</t>
  </si>
  <si>
    <t>CARRETERA A LAS FLORES</t>
  </si>
  <si>
    <t>EL ESCRIBANO</t>
  </si>
  <si>
    <t>ESCRIBANO</t>
  </si>
  <si>
    <t>MIG211</t>
  </si>
  <si>
    <t xml:space="preserve">CALLEJON MEXICANO S/N </t>
  </si>
  <si>
    <t>MIG212</t>
  </si>
  <si>
    <t>CALLE MIGUEL HIDALGO</t>
  </si>
  <si>
    <t>AGUASOL</t>
  </si>
  <si>
    <t>MIG213</t>
  </si>
  <si>
    <t>CALLE 8 DE OCTUBRE NUMERO 338</t>
  </si>
  <si>
    <t>CARRETERA VECINAL PARAISO COMALCALCO</t>
  </si>
  <si>
    <t>MIG214</t>
  </si>
  <si>
    <t>PROLONGACION MELCHOR OCAMPO 1459 A</t>
  </si>
  <si>
    <t>EL LIMONCITO</t>
  </si>
  <si>
    <t>MIG215</t>
  </si>
  <si>
    <t>CARRETERA A LA DEPORTIVA</t>
  </si>
  <si>
    <t>EL PENJAMO</t>
  </si>
  <si>
    <t>MIG216</t>
  </si>
  <si>
    <t>AVALOS</t>
  </si>
  <si>
    <t>IZQUIERDO</t>
  </si>
  <si>
    <t>CALLE ZARAGOZA NUMERO 614</t>
  </si>
  <si>
    <t>MIG217</t>
  </si>
  <si>
    <t>CALLE NUEVO LEON MANZANA 4 LOTE 77</t>
  </si>
  <si>
    <t>LA CONTINUIDAD</t>
  </si>
  <si>
    <t>MIG218</t>
  </si>
  <si>
    <t>CALLE LOS TINTOS NUMERO 124</t>
  </si>
  <si>
    <t>MIG219</t>
  </si>
  <si>
    <t xml:space="preserve">MOCTEZUMA PRIMERA SECCION </t>
  </si>
  <si>
    <t>MOCTEZUMA PRIMERA SECCION</t>
  </si>
  <si>
    <t>MIG220</t>
  </si>
  <si>
    <t>MIG221</t>
  </si>
  <si>
    <t>CALLE IGNACIO COMONFORT NUMERO 513</t>
  </si>
  <si>
    <t>MIG222</t>
  </si>
  <si>
    <t xml:space="preserve">DOMINGUEZ </t>
  </si>
  <si>
    <t>ANA MARIA</t>
  </si>
  <si>
    <t>CALLE COMONFORT NUMERO 513 A</t>
  </si>
  <si>
    <t>MIG223</t>
  </si>
  <si>
    <t>ENTRADA A LA RINCONADA</t>
  </si>
  <si>
    <t>LAS FLORES PRIMERA SECCION</t>
  </si>
  <si>
    <t xml:space="preserve">LAS FLORES PRIMERA SECCION </t>
  </si>
  <si>
    <t>MIG224</t>
  </si>
  <si>
    <t>CALLE 5 DE MAYO</t>
  </si>
  <si>
    <t>MIG225</t>
  </si>
  <si>
    <t>MIG226</t>
  </si>
  <si>
    <t xml:space="preserve">ALCUDIA </t>
  </si>
  <si>
    <t>ENTRADA LOS NARANJOS</t>
  </si>
  <si>
    <t>MIG227</t>
  </si>
  <si>
    <t>SEGUNDA ENTRADA 18 DE MARZO</t>
  </si>
  <si>
    <t>LOS COQUITOS</t>
  </si>
  <si>
    <t>MIG228</t>
  </si>
  <si>
    <t>CALLE LA MADRID SIN NUMERO</t>
  </si>
  <si>
    <t>EL BELLOTE</t>
  </si>
  <si>
    <t>MIG229</t>
  </si>
  <si>
    <t>BULEVARD ANTONIO ROMERO ZURITA</t>
  </si>
  <si>
    <t>MIG230</t>
  </si>
  <si>
    <t>CARLOS</t>
  </si>
  <si>
    <t>MIG231</t>
  </si>
  <si>
    <t>LA MERCED REAL SIN NUMERO</t>
  </si>
  <si>
    <t>MIG232</t>
  </si>
  <si>
    <t>PROLONGACION 5 DE MAYO INTERIOR SIN NUMERO</t>
  </si>
  <si>
    <t xml:space="preserve">EL LIMON </t>
  </si>
  <si>
    <t>MIG233</t>
  </si>
  <si>
    <t>COMALCALCO</t>
  </si>
  <si>
    <t>VAZQUEZ</t>
  </si>
  <si>
    <t>CALLE LAZARO CARDENAS DEL RIO SIN NUMERO</t>
  </si>
  <si>
    <t xml:space="preserve">NORTE PRIMERA SECCION </t>
  </si>
  <si>
    <t>NORTE PRIMERA SECCION</t>
  </si>
  <si>
    <t>MIG234</t>
  </si>
  <si>
    <t xml:space="preserve">FUENTES </t>
  </si>
  <si>
    <t>CARRETERA FEDERAL COMALCALCO PARAISO SIN NUMERO</t>
  </si>
  <si>
    <t>MIG235</t>
  </si>
  <si>
    <t>GALLEGOS</t>
  </si>
  <si>
    <t xml:space="preserve">JOSE MARIA MORELOS </t>
  </si>
  <si>
    <t>MIG236</t>
  </si>
  <si>
    <t xml:space="preserve">ENTRADA LA PASADITA </t>
  </si>
  <si>
    <t>LA MADRID EL BELLOTE</t>
  </si>
  <si>
    <t>MIG237</t>
  </si>
  <si>
    <t>MENDOZA</t>
  </si>
  <si>
    <t>MIG238</t>
  </si>
  <si>
    <t>CENTLA</t>
  </si>
  <si>
    <t>ENTRADA EL MORRAL SIN NUMERO</t>
  </si>
  <si>
    <t>JALAPITA SIN NUMERO</t>
  </si>
  <si>
    <t>MIG239</t>
  </si>
  <si>
    <t xml:space="preserve">GONZALEZ </t>
  </si>
  <si>
    <t>CALLE MELCHOR OCAMPONUMERO 1206</t>
  </si>
  <si>
    <t>MIG240</t>
  </si>
  <si>
    <t>ENTRADA LA RINCONADA</t>
  </si>
  <si>
    <t>MIG241</t>
  </si>
  <si>
    <t>CARRETERA HERNANDEZ CARRILLO 310</t>
  </si>
  <si>
    <t>MIG242</t>
  </si>
  <si>
    <t>ENTRADA SAN SEBASTIAN</t>
  </si>
  <si>
    <t>MIG243</t>
  </si>
  <si>
    <t>CALLE AUGUSTO HERNANDEZ OLIVE</t>
  </si>
  <si>
    <t>VILLA PUERTO CEIBA</t>
  </si>
  <si>
    <t>MIG244</t>
  </si>
  <si>
    <t>CALLE JORGE ANDRES GARCIA FERNANDEZ</t>
  </si>
  <si>
    <t>MIG245</t>
  </si>
  <si>
    <t>ENTRADA LA RINCORADA</t>
  </si>
  <si>
    <t>MIG246</t>
  </si>
  <si>
    <t>ENTRADA AL TEMPLO</t>
  </si>
  <si>
    <t>MIG247</t>
  </si>
  <si>
    <t>CASTELLANOS</t>
  </si>
  <si>
    <t>CARRETERA A DOS BOCAS</t>
  </si>
  <si>
    <t>MIG248</t>
  </si>
  <si>
    <t>ANGULO</t>
  </si>
  <si>
    <t>MIG249</t>
  </si>
  <si>
    <t>CALLE GALEANA NUMERO 306</t>
  </si>
  <si>
    <t>MIG250</t>
  </si>
  <si>
    <t>MIG251</t>
  </si>
  <si>
    <t>CARRETERA A LA BARRA SIN NUMERO</t>
  </si>
  <si>
    <t>MIG252</t>
  </si>
  <si>
    <t xml:space="preserve">ENTRADA EL MORAL SIN NUMERO </t>
  </si>
  <si>
    <t>JALAPITA</t>
  </si>
  <si>
    <t>RETRASO 2</t>
  </si>
  <si>
    <t>MIG253</t>
  </si>
  <si>
    <t>MIG254</t>
  </si>
  <si>
    <t>CALLE 2 DE ABRIL NUMERO 716</t>
  </si>
  <si>
    <t>MIG255</t>
  </si>
  <si>
    <t>CALLE 2 DE ABRIL NUMERO 510</t>
  </si>
  <si>
    <t>MIG256</t>
  </si>
  <si>
    <t>MARQUEZ</t>
  </si>
  <si>
    <t>CALLE DEL PANTEON SIN NUMERO</t>
  </si>
  <si>
    <t xml:space="preserve">CHILTEPEC SECCION BANCO </t>
  </si>
  <si>
    <t>CHILTEPEC SECCION BANCO</t>
  </si>
  <si>
    <t>MIG257</t>
  </si>
  <si>
    <t>ENTRADA DE LA PISTA SIN NUMERO</t>
  </si>
  <si>
    <t>PENJAMO</t>
  </si>
  <si>
    <t>MIG258</t>
  </si>
  <si>
    <t>AVENIDA DOS BOCAS MANZANA 8 LOTE 12</t>
  </si>
  <si>
    <t>NUEVO TORNO LARGO</t>
  </si>
  <si>
    <t>MIG259</t>
  </si>
  <si>
    <t>CALLE LA ALMEJA 3</t>
  </si>
  <si>
    <t>MIG260</t>
  </si>
  <si>
    <t>PUERTO CEIBA CHILTEPEC</t>
  </si>
  <si>
    <t>CARRETERA VENUSTIANO CARRANZA</t>
  </si>
  <si>
    <t>MIG261</t>
  </si>
  <si>
    <t>MIG262</t>
  </si>
  <si>
    <t>PRIMERA CERRADA DE MELCHOR OCAMPO SIN NUMERO</t>
  </si>
  <si>
    <t>MIG263</t>
  </si>
  <si>
    <t>CALLE LOS PESCADORES</t>
  </si>
  <si>
    <t>MIG264</t>
  </si>
  <si>
    <t>CARRETERA A JALAPITA SIN NUMERO</t>
  </si>
  <si>
    <t>CHILTEPEC SECCION TANQUE</t>
  </si>
  <si>
    <t>MIG265</t>
  </si>
  <si>
    <t>CALLE LOS SAMANES</t>
  </si>
  <si>
    <t>MIG266</t>
  </si>
  <si>
    <t>CALLE HERNANDEZ MAGAÑA NUMERO 83</t>
  </si>
  <si>
    <t xml:space="preserve">FRACCIONAMIENTO CARLOS A MADRAZO BECERRA </t>
  </si>
  <si>
    <t>FRACCIONAMIENTO CARLOS A MADRAZO BECERRA</t>
  </si>
  <si>
    <t>MIG267</t>
  </si>
  <si>
    <t>GUAYO 3RA SECCION</t>
  </si>
  <si>
    <t>MIG268</t>
  </si>
  <si>
    <t>ROMERO</t>
  </si>
  <si>
    <t>REYES HERNANDEZ SEGUNDA SECCION</t>
  </si>
  <si>
    <t>TECOLUTILLA</t>
  </si>
  <si>
    <t>ALDAMA</t>
  </si>
  <si>
    <t>MIG269</t>
  </si>
  <si>
    <t>MANUEL</t>
  </si>
  <si>
    <t>VILLA ALDAMA</t>
  </si>
  <si>
    <t>MOLEROS SIN NUMERO</t>
  </si>
  <si>
    <t>MIG270</t>
  </si>
  <si>
    <t>GUAYO PRIMERA SECCION</t>
  </si>
  <si>
    <t>SAN JOSE COLONIAL</t>
  </si>
  <si>
    <t>MIG271</t>
  </si>
  <si>
    <t xml:space="preserve">LAZARO CARDENAS TERCERA </t>
  </si>
  <si>
    <t>MIG272</t>
  </si>
  <si>
    <t>PAZ</t>
  </si>
  <si>
    <t>NICOLAS BRAVO</t>
  </si>
  <si>
    <t>FRANCISCO MADERO</t>
  </si>
  <si>
    <t>MIG273</t>
  </si>
  <si>
    <t>TUPILQUILLO</t>
  </si>
  <si>
    <t>A MADERO SIN NUMERO</t>
  </si>
  <si>
    <t>MIG274</t>
  </si>
  <si>
    <t>PRINCIPAL SIN NUMERO</t>
  </si>
  <si>
    <t>FRANCISCO Y MADERO SEGUNDA SECC</t>
  </si>
  <si>
    <t>MIG275</t>
  </si>
  <si>
    <t>CUNDUACAN</t>
  </si>
  <si>
    <t>REFORMA</t>
  </si>
  <si>
    <t>MIG276</t>
  </si>
  <si>
    <t>ALVARADO</t>
  </si>
  <si>
    <t>LEYVA</t>
  </si>
  <si>
    <t>CARLOS GREENE CUARTA SECCION</t>
  </si>
  <si>
    <t>ARENA TERCERA SECCION</t>
  </si>
  <si>
    <t>MIG277</t>
  </si>
  <si>
    <t>ARROYO HONDO CUARTA SIN NUMERO</t>
  </si>
  <si>
    <t>MIG278</t>
  </si>
  <si>
    <t>LEON ZARATE PRIMERA</t>
  </si>
  <si>
    <t>VILLA ALDEMA</t>
  </si>
  <si>
    <t>MIG279</t>
  </si>
  <si>
    <t>SARGENTO LOPEZ PRIMERA SECCION</t>
  </si>
  <si>
    <t>A LA LUCHA</t>
  </si>
  <si>
    <t>MIG280</t>
  </si>
  <si>
    <t>MIG281</t>
  </si>
  <si>
    <t>MARIA DEL ROSARIO</t>
  </si>
  <si>
    <t>MIG282</t>
  </si>
  <si>
    <t>CANO</t>
  </si>
  <si>
    <t>SARGENTO LOPEZ TERCERA</t>
  </si>
  <si>
    <t>SAN JORGE</t>
  </si>
  <si>
    <t>MIG283</t>
  </si>
  <si>
    <t>MIG284</t>
  </si>
  <si>
    <t>MIGUEL HIDALGO</t>
  </si>
  <si>
    <t>EL CARMEN</t>
  </si>
  <si>
    <t>MIG285</t>
  </si>
  <si>
    <t>LA RINCONADA</t>
  </si>
  <si>
    <t>ALA UNION</t>
  </si>
  <si>
    <t>MIG286</t>
  </si>
  <si>
    <t>GREGORIO MENDEZ</t>
  </si>
  <si>
    <t>MIG287</t>
  </si>
  <si>
    <t>CHILTEPEC SIN NUMERO</t>
  </si>
  <si>
    <t>CHILTEPEC</t>
  </si>
  <si>
    <t>MIG288</t>
  </si>
  <si>
    <t>DOS BOCAS</t>
  </si>
  <si>
    <t>MIG289</t>
  </si>
  <si>
    <t>TOMAS GARRIDO CANABAL SIN NUMERO</t>
  </si>
  <si>
    <t>MIG290</t>
  </si>
  <si>
    <t>LAZARO</t>
  </si>
  <si>
    <t>CONASUPO SIN NUMERO</t>
  </si>
  <si>
    <t>MIG291</t>
  </si>
  <si>
    <t>PUERTO CEIBA</t>
  </si>
  <si>
    <t>VILLA PUERTA CEIBA</t>
  </si>
  <si>
    <t>MIG292</t>
  </si>
  <si>
    <t>MORRAL</t>
  </si>
  <si>
    <t>MIG293</t>
  </si>
  <si>
    <t>CUPIL</t>
  </si>
  <si>
    <t>AQUILES SERDAN</t>
  </si>
  <si>
    <t>ALQUILES SERDAN</t>
  </si>
  <si>
    <t>MIG294</t>
  </si>
  <si>
    <t>SAN JUAN</t>
  </si>
  <si>
    <t>MIG295</t>
  </si>
  <si>
    <t>FRONTERA</t>
  </si>
  <si>
    <t>MIG296</t>
  </si>
  <si>
    <t>LANBANO CORREA</t>
  </si>
  <si>
    <t>MIG297</t>
  </si>
  <si>
    <t>EL ABULON LOTE 15 MZA 8</t>
  </si>
  <si>
    <t>MIG298</t>
  </si>
  <si>
    <t>LOS PESCADORES SIN NUMERO</t>
  </si>
  <si>
    <t>MIG299</t>
  </si>
  <si>
    <t>CALLE IGNACIO RAMIREZ 109</t>
  </si>
  <si>
    <t>MIG300</t>
  </si>
  <si>
    <t>CALLE FRANCISCO TRIJILLO GARCIA</t>
  </si>
  <si>
    <t>QUINTIN ARAUZ SIN NUMERO</t>
  </si>
  <si>
    <t>MIG301</t>
  </si>
  <si>
    <t>CARRIZAL SECCION MONTAÑA</t>
  </si>
  <si>
    <t>MIG302</t>
  </si>
  <si>
    <t>SECCION MONTAÑITA</t>
  </si>
  <si>
    <t>PUERTO CEIBA CARRIZAL</t>
  </si>
  <si>
    <t xml:space="preserve">PUERTO CEIBA CARRIZAL </t>
  </si>
  <si>
    <t>MIG303</t>
  </si>
  <si>
    <t>CALLE IGNACIO ALLENDE</t>
  </si>
  <si>
    <t>DIANA LAURA</t>
  </si>
  <si>
    <t xml:space="preserve">DIANA LAURA </t>
  </si>
  <si>
    <t>MIG304</t>
  </si>
  <si>
    <t>MIG305</t>
  </si>
  <si>
    <t>CALLE LAS FLORES</t>
  </si>
  <si>
    <t>CARRIZAL PUERTO CEIBA</t>
  </si>
  <si>
    <t>MIG306</t>
  </si>
  <si>
    <t>LUIS ENRIQUE</t>
  </si>
  <si>
    <t>CALLE LOS PESCADORES SIN NUMERO</t>
  </si>
  <si>
    <t>PERTO CEIBA CARIZAL</t>
  </si>
  <si>
    <t>MIG307</t>
  </si>
  <si>
    <t>MIG308</t>
  </si>
  <si>
    <t>CALLE CARRIZAL SIN NUMERO</t>
  </si>
  <si>
    <t xml:space="preserve">VILLA PUERTO CEIBA </t>
  </si>
  <si>
    <t>MIG309</t>
  </si>
  <si>
    <t>CALLE MECOACAN SIN NUMERO</t>
  </si>
  <si>
    <t>MIG310</t>
  </si>
  <si>
    <t>CARRETERA CHILTEPEC</t>
  </si>
  <si>
    <t>JOSE MARIA MORELOS BELLOTE</t>
  </si>
  <si>
    <t>MIG311</t>
  </si>
  <si>
    <t>CARRETERA CHILTEPEC SIN NUMERO</t>
  </si>
  <si>
    <t>JOSE MARIA MORELOS</t>
  </si>
  <si>
    <t>MIG312</t>
  </si>
  <si>
    <t>CARRETERA A CHILTEPEC</t>
  </si>
  <si>
    <t>JOSE MARIA MORELOS EL BELLOTE</t>
  </si>
  <si>
    <t>MIG313</t>
  </si>
  <si>
    <t>CARRETERA A CHILTEPEC SIN NUMERO</t>
  </si>
  <si>
    <t>MIG314</t>
  </si>
  <si>
    <t>ACCESO A PARCELA SIN NUMERO</t>
  </si>
  <si>
    <t>MIG315</t>
  </si>
  <si>
    <t>MIG316</t>
  </si>
  <si>
    <t>MIG317</t>
  </si>
  <si>
    <t>ENTRADA SOC COORPORATIVA</t>
  </si>
  <si>
    <t>MIG318</t>
  </si>
  <si>
    <t>CALLE DEL PANTEON</t>
  </si>
  <si>
    <t>MIG319</t>
  </si>
  <si>
    <t>CARRETERA PRINCIPAL SIN NUMERO</t>
  </si>
  <si>
    <t>MIG320</t>
  </si>
  <si>
    <t>MIG321</t>
  </si>
  <si>
    <t>ALBERTO</t>
  </si>
  <si>
    <t>CHULTEPEC SECCION TANQUE</t>
  </si>
  <si>
    <t>MIG322</t>
  </si>
  <si>
    <t>MIG323</t>
  </si>
  <si>
    <t>MIG324</t>
  </si>
  <si>
    <t>CARRTERA CHILTEPEC</t>
  </si>
  <si>
    <t>MIG325</t>
  </si>
  <si>
    <t>MIG326</t>
  </si>
  <si>
    <t>ENTRADA EL FAFO</t>
  </si>
  <si>
    <t>MIG327</t>
  </si>
  <si>
    <t>MARIA MORELOS BELLOTE</t>
  </si>
  <si>
    <t>MIG328</t>
  </si>
  <si>
    <t>FUENTES</t>
  </si>
  <si>
    <t xml:space="preserve">CALLE ANDADOR EL CAMARON </t>
  </si>
  <si>
    <t>MIG329</t>
  </si>
  <si>
    <t>AVENIDA DOS VOCAS MANZANA 4 LOTE 15</t>
  </si>
  <si>
    <t>MIG330</t>
  </si>
  <si>
    <t>CARRETERA A PUERTO CEIBA</t>
  </si>
  <si>
    <t>MIG331</t>
  </si>
  <si>
    <t>CARRETERA PUERTO CEIBA</t>
  </si>
  <si>
    <t>MIG332</t>
  </si>
  <si>
    <t>CALLE GUTIERRES ZAMORA 501 INTERIOR ORIENTE</t>
  </si>
  <si>
    <t>MIG333</t>
  </si>
  <si>
    <t xml:space="preserve">FLORES </t>
  </si>
  <si>
    <t>CALLE MORELOS  610</t>
  </si>
  <si>
    <t>MIG334</t>
  </si>
  <si>
    <t>CALLE BENITO JUAREZ 302</t>
  </si>
  <si>
    <t>MIG335</t>
  </si>
  <si>
    <t>CALLE GREGORIO MENDEZ 1237</t>
  </si>
  <si>
    <t>MIG336</t>
  </si>
  <si>
    <t>CALLE GREGORIO MENDEZ 1238</t>
  </si>
  <si>
    <t>MIG337</t>
  </si>
  <si>
    <t>CALLE SAMUEL MAGAÑA PONIENTE 228</t>
  </si>
  <si>
    <t>MIG338</t>
  </si>
  <si>
    <t>CALLE 18 DE MARZO ENTRADA EL COQUITO</t>
  </si>
  <si>
    <t>EL COQUITO</t>
  </si>
  <si>
    <t>MIG339</t>
  </si>
  <si>
    <t xml:space="preserve">ENTRADA  LA RINCONADA </t>
  </si>
  <si>
    <t>MIG340</t>
  </si>
  <si>
    <t>ENTRADA A LOS GOMEZ</t>
  </si>
  <si>
    <t>LAS FLORES</t>
  </si>
  <si>
    <t>MIG341</t>
  </si>
  <si>
    <t>ENTRADA LOS GOMEZ</t>
  </si>
  <si>
    <t>MIG342</t>
  </si>
  <si>
    <t>MIG343</t>
  </si>
  <si>
    <t>LOCALODAD FRANCISCO I MADERO SIN NUMERO</t>
  </si>
  <si>
    <t>FRANCIACO I MADERO SEGUNDA SECCION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</si>
  <si>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</si>
  <si>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</si>
  <si>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</si>
  <si>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</si>
  <si>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</si>
  <si>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</si>
  <si>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</si>
  <si>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</si>
  <si>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</si>
  <si>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</si>
  <si>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</si>
  <si>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</si>
  <si>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</si>
  <si>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</si>
  <si>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</si>
  <si>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</si>
  <si>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</si>
  <si>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</si>
  <si>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</si>
  <si>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</si>
  <si>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</si>
  <si>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</si>
  <si>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</si>
  <si>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</si>
  <si>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</si>
  <si>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</si>
  <si>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</si>
  <si>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</si>
  <si>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</si>
  <si>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</si>
  <si>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</si>
  <si>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</si>
  <si>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</si>
  <si>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</si>
  <si>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</si>
  <si>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</si>
  <si>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</si>
  <si>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</si>
  <si>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</si>
  <si>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</si>
  <si>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</si>
  <si>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</si>
  <si>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</si>
  <si>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</si>
  <si>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</si>
  <si>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</si>
  <si>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</si>
  <si>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</si>
  <si>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</si>
  <si>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</si>
  <si>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</si>
  <si>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</si>
  <si>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</si>
  <si>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</si>
  <si>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</si>
  <si>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</si>
  <si>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</si>
  <si>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</si>
  <si>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</si>
  <si>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</si>
  <si>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</si>
  <si>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</si>
  <si>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</si>
  <si>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</si>
  <si>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</si>
  <si>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</si>
  <si>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</si>
  <si>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</si>
  <si>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</si>
  <si>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</si>
  <si>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</si>
  <si>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</si>
  <si>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</si>
  <si>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</si>
  <si>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</si>
  <si>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</si>
  <si>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</si>
  <si>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</si>
  <si>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</si>
  <si>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</si>
  <si>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</si>
  <si>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</si>
  <si>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</si>
  <si>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</si>
  <si>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</si>
  <si>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</si>
  <si>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</si>
  <si>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</si>
  <si>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</si>
  <si>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</si>
  <si>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</si>
  <si>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</si>
  <si>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</si>
  <si>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</si>
  <si>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</si>
  <si>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</si>
  <si>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</si>
  <si>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</si>
  <si>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</si>
  <si>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</si>
  <si>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</si>
  <si>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2020-11-25</t>
  </si>
  <si>
    <t>2021-6-15</t>
  </si>
  <si>
    <t>2021-6-16</t>
  </si>
  <si>
    <t>2021-6-19</t>
  </si>
  <si>
    <t>2021-6-21</t>
  </si>
  <si>
    <t>2021-6-22</t>
  </si>
  <si>
    <t>2021-6-29</t>
  </si>
  <si>
    <t>2021-8-18</t>
  </si>
  <si>
    <t>2021-9-18</t>
  </si>
  <si>
    <t>2021-6-17</t>
  </si>
  <si>
    <t>2021-6-24</t>
  </si>
  <si>
    <t>2021-7-21</t>
  </si>
  <si>
    <t>2021-9-8</t>
  </si>
  <si>
    <t>2019-8-27</t>
  </si>
  <si>
    <t>2019-10-28</t>
  </si>
  <si>
    <t>2020-3-25</t>
  </si>
  <si>
    <t>2021-1-30</t>
  </si>
  <si>
    <t>2021-9-25</t>
  </si>
  <si>
    <t>2019-9-10</t>
  </si>
  <si>
    <t>2021-2-11</t>
  </si>
  <si>
    <t>2021-8-16</t>
  </si>
  <si>
    <t>2021-2-13</t>
  </si>
  <si>
    <t>2021-2-20</t>
  </si>
  <si>
    <t>2021-8-2</t>
  </si>
  <si>
    <t>2021-8-6</t>
  </si>
  <si>
    <t>2021-8-7</t>
  </si>
  <si>
    <t>2021-9-13</t>
  </si>
  <si>
    <t>2021-9-14</t>
  </si>
  <si>
    <t>2021-9-1</t>
  </si>
  <si>
    <t>2021-8-21</t>
  </si>
  <si>
    <t>2021-9-2</t>
  </si>
  <si>
    <t>2021-8-19</t>
  </si>
  <si>
    <t>2021-8-5</t>
  </si>
  <si>
    <t>2021-9-20</t>
  </si>
  <si>
    <t>2021-9-21</t>
  </si>
  <si>
    <t>2021-9-30</t>
  </si>
  <si>
    <t>2021-9-4</t>
  </si>
  <si>
    <t>2021-9-27</t>
  </si>
  <si>
    <t>2021-9-22</t>
  </si>
  <si>
    <t>2021-9-15</t>
  </si>
  <si>
    <t>2021-9-16</t>
  </si>
  <si>
    <t>Folio del contrato pagado</t>
  </si>
  <si>
    <t>Abono</t>
  </si>
  <si>
    <t>Fecha_pago</t>
  </si>
  <si>
    <t>Hora_pago</t>
  </si>
  <si>
    <t>SAN ANTONIO</t>
  </si>
  <si>
    <t>QWWIMRUIP6XNYS</t>
  </si>
  <si>
    <t xml:space="preserve">PISCIFACTORIA JOSE NARCISO ROVIROSA </t>
  </si>
  <si>
    <t>QWWIMROEP6XNYS</t>
  </si>
  <si>
    <t xml:space="preserve">NICOLAS BRAVO SEGUNDA SECCION </t>
  </si>
  <si>
    <t>QWWIMR4OP6XNYS</t>
  </si>
  <si>
    <t xml:space="preserve">NICOLAS BRAVO PRIMERA SECCION </t>
  </si>
  <si>
    <t>QWWIMQZOP6XNYS</t>
  </si>
  <si>
    <t>MINA Y MATAMOROS LA TRINIDAD</t>
  </si>
  <si>
    <t>QWWIMQVSP6XNYS</t>
  </si>
  <si>
    <t xml:space="preserve">MIGUEL HIDALGO SEGUNDA SECCION SAN JOAQUIN </t>
  </si>
  <si>
    <t>QWWIMQR2P6XNYS</t>
  </si>
  <si>
    <t>MIGUEL HIDALGO SEGUNDA SECCION LOS ALAMOS</t>
  </si>
  <si>
    <t>QWWIMQCWP6XNYS</t>
  </si>
  <si>
    <t>MIGUEL HIDALGO SEGUNDA SECCION FRANCISCO SARABIA</t>
  </si>
  <si>
    <t>QWWIMQA4P6XNYS</t>
  </si>
  <si>
    <t xml:space="preserve">MIGUEL HIDALGO PRIMERA SECCION LAS GARDENIAS </t>
  </si>
  <si>
    <t>QWWIMQ22P6XNYS</t>
  </si>
  <si>
    <t xml:space="preserve">MARIANO PEDRERO TERCERA SECCION </t>
  </si>
  <si>
    <t>QWWIMPLEP6XNYS</t>
  </si>
  <si>
    <t xml:space="preserve">MARIANO PEDRERO SEGUNDA SECCION </t>
  </si>
  <si>
    <t>QWWIMPHSP6XNYS</t>
  </si>
  <si>
    <t xml:space="preserve">MARIANO PEDERO PRIMERA SECCION LA PROVIDENCIA </t>
  </si>
  <si>
    <t>QWWIMPDMP6XNYS</t>
  </si>
  <si>
    <t>MARIANO ABASOLO SANTO TOMAS</t>
  </si>
  <si>
    <t>QWWIMP6YP6XNYS</t>
  </si>
  <si>
    <t>MARIANO ABASOLO ABASOLITO</t>
  </si>
  <si>
    <t>QWWIMOSSP6XNYS</t>
  </si>
  <si>
    <t>MARIANO ABASOLO</t>
  </si>
  <si>
    <t>QWWIMOOMP6XNYS</t>
  </si>
  <si>
    <t xml:space="preserve">MANUEL BUELTA Y RAYON </t>
  </si>
  <si>
    <t>QWWIMOLKP6XNYS</t>
  </si>
  <si>
    <t xml:space="preserve">MANUEL BUELTA SEGUNDA SECCION </t>
  </si>
  <si>
    <t>QWWIMOJ2P6XNYS</t>
  </si>
  <si>
    <t>LAS LILIAS</t>
  </si>
  <si>
    <t>QWWIMOEMP6XNYS</t>
  </si>
  <si>
    <t>LA TEJERIA</t>
  </si>
  <si>
    <t>QWWIMO1UP6XNYS</t>
  </si>
  <si>
    <t xml:space="preserve">JUAN ALDAMA SEGUNDA SECCION </t>
  </si>
  <si>
    <t>QWWIMNXEP6XNYS</t>
  </si>
  <si>
    <t>JUAN ALDAMA</t>
  </si>
  <si>
    <t>QWWIMNUCP6XNYS</t>
  </si>
  <si>
    <t xml:space="preserve">JOSE MARIA MORELOS Y PAVON SEGUNDA SECCION </t>
  </si>
  <si>
    <t>QWWIMNRUP6XNYS</t>
  </si>
  <si>
    <t xml:space="preserve">JOSE MARIA MORELOS Y PAVON PRIMERA SECCION </t>
  </si>
  <si>
    <t>QWWIMNPMP6XNYS</t>
  </si>
  <si>
    <t>JOSE MARIA MORELOS Y PAVON SANTA RITA</t>
  </si>
  <si>
    <t>QWWIMNMUP6XNYS</t>
  </si>
  <si>
    <t>JOSE MARIA MORELOS Y PAVON LAS DELICIAS</t>
  </si>
  <si>
    <t>QWWIMN8OP6XNYS</t>
  </si>
  <si>
    <t xml:space="preserve">JOSE MARIA MORELOS Y PAVON JUAN GOMEZ </t>
  </si>
  <si>
    <t>QWWIMN5WP6XNYS</t>
  </si>
  <si>
    <t xml:space="preserve">JOSE MARIA MORELOS Y PAVON </t>
  </si>
  <si>
    <t>QWWIMMFSP6XNYS</t>
  </si>
  <si>
    <t xml:space="preserve">IGNACIO LOPEZ RAYON SEGUNDA SECCION </t>
  </si>
  <si>
    <t>QWWIMMC6P6XNYS</t>
  </si>
  <si>
    <t xml:space="preserve">IGNACIO LOPEZ RAYON PRIMERA SECCION </t>
  </si>
  <si>
    <t>QWWIMM8AP6XNYS</t>
  </si>
  <si>
    <t xml:space="preserve">IGNACIO ALLENDE TERCERA SECCION </t>
  </si>
  <si>
    <t>QWWIMM2GP6XNYS</t>
  </si>
  <si>
    <t xml:space="preserve">IGNACIO ALLENDE PRIMERA SECCION </t>
  </si>
  <si>
    <t>QWWIMLMWP6XNYS</t>
  </si>
  <si>
    <t xml:space="preserve">IGNACIO ALLENDE SANTA CRUZ </t>
  </si>
  <si>
    <t>QWWIMLIGP6XNYS</t>
  </si>
  <si>
    <t xml:space="preserve">IGNACIO ALLENDE </t>
  </si>
  <si>
    <t>QWWIMLFOP6XNYS</t>
  </si>
  <si>
    <t xml:space="preserve">HEMEREGILDO GALEANA SEGUNDA SECCION </t>
  </si>
  <si>
    <t>QWWIMLD6P6XNYS</t>
  </si>
  <si>
    <t>HEMEREGILDO GALEANA PRIMERA SECCION MEXIQUITO</t>
  </si>
  <si>
    <t>QWWIMKXCP6XNYS</t>
  </si>
  <si>
    <t>HEMEREGILDO GALEANA</t>
  </si>
  <si>
    <t>QWWIMKQOP6XNYS</t>
  </si>
  <si>
    <t>FRANCISCO JAVIER MINA ARGENTINA</t>
  </si>
  <si>
    <t>QWWIMKN2P6XNYS</t>
  </si>
  <si>
    <t xml:space="preserve">EUREKA BELEN </t>
  </si>
  <si>
    <t>QWWIMK7IP6XNYS</t>
  </si>
  <si>
    <t>COLORADO BENITO JUAREZ</t>
  </si>
  <si>
    <t>QWWIMK4QP6XNYS</t>
  </si>
  <si>
    <t>COLONIA MUNICIPAL</t>
  </si>
  <si>
    <t>QWWIMK1YP6XNYS</t>
  </si>
  <si>
    <t>COCONA</t>
  </si>
  <si>
    <t>QWWIMJYWP6XNYS</t>
  </si>
  <si>
    <t>CHALPUTEPEC</t>
  </si>
  <si>
    <t>QWWIMJWOP6XNYS</t>
  </si>
  <si>
    <t>CALCINADO</t>
  </si>
  <si>
    <t>QWWIMJUQP6XNYS</t>
  </si>
  <si>
    <t xml:space="preserve">ARCADIO ZENTELLA </t>
  </si>
  <si>
    <t>QWWIMJRYP6XNYS</t>
  </si>
  <si>
    <t xml:space="preserve">ANDRES QUINTANA RO SEGUNDA SECCION </t>
  </si>
  <si>
    <t>QWWIMJCYP6XNYS</t>
  </si>
  <si>
    <t xml:space="preserve">ANDRES QUINTANA RO PRIMERA SECCION </t>
  </si>
  <si>
    <t>QWWIMJ7YP6XNYS</t>
  </si>
  <si>
    <t>ANDRES QUINTANA RO</t>
  </si>
  <si>
    <t>QWWIMINYP6XNYS</t>
  </si>
  <si>
    <t>VILLA ESTACION CHONTALPA</t>
  </si>
  <si>
    <t>QWWIL6LYP6XNYS</t>
  </si>
  <si>
    <t>ROVIROSA</t>
  </si>
  <si>
    <t>QWWIL6I2P6XNYS</t>
  </si>
  <si>
    <t>QWWIL6EGP6XNYS</t>
  </si>
  <si>
    <t>OLMECA</t>
  </si>
  <si>
    <t>QWWIL61EP6XNYS</t>
  </si>
  <si>
    <t xml:space="preserve">5 DE MAYO NUEVA ESPERANZA </t>
  </si>
  <si>
    <t>QWWIL5ZQP6XNYS</t>
  </si>
  <si>
    <t>LOS ANGELES</t>
  </si>
  <si>
    <t>QWWIL5T2P6XNYS</t>
  </si>
  <si>
    <t>POBLADO C-34 LICENCIADO BENITO JUAREZ</t>
  </si>
  <si>
    <t>QWWIL5QUP6XNYS</t>
  </si>
  <si>
    <t>LA VENTA CENTRO</t>
  </si>
  <si>
    <t>QWWIL5LUP6XNYS</t>
  </si>
  <si>
    <t>LA PERA</t>
  </si>
  <si>
    <t>QWWIL592P6XNYS</t>
  </si>
  <si>
    <t>LA JUVENTUD</t>
  </si>
  <si>
    <t>QWWIL56UP6XNYS</t>
  </si>
  <si>
    <t>HUIMANGUILLO CENTRO</t>
  </si>
  <si>
    <t>QWWIL54WP6XNYS</t>
  </si>
  <si>
    <t>QWWIL524P6XNYS</t>
  </si>
  <si>
    <t>QWWIL4YSP6XNYS</t>
  </si>
  <si>
    <t xml:space="preserve">POBLADO C-31 GENERAL FRANCISCO VILLA </t>
  </si>
  <si>
    <t>QWWIL4WAP6XNYS</t>
  </si>
  <si>
    <t>FRACCIONAMIENTO VILLA LA CEIBA</t>
  </si>
  <si>
    <t>QWWIL4F2P6XNYS</t>
  </si>
  <si>
    <t>ELECTRICISTAS</t>
  </si>
  <si>
    <t>QWWIL4BQP6XNYS</t>
  </si>
  <si>
    <t>EL TORITO</t>
  </si>
  <si>
    <t>QWWIL48YP6XNYS</t>
  </si>
  <si>
    <t>EL SALVAMENTO</t>
  </si>
  <si>
    <t>QWWIL45CP6XNYS</t>
  </si>
  <si>
    <t>EL RASTRO</t>
  </si>
  <si>
    <t>QWWIL42AP6XNYS</t>
  </si>
  <si>
    <t>EL PIOJO</t>
  </si>
  <si>
    <t>QWWIL3OOP6XNYS</t>
  </si>
  <si>
    <t>EL FRUTAL</t>
  </si>
  <si>
    <t>QWWIL3MGP6XNYS</t>
  </si>
  <si>
    <t>EL COCAL</t>
  </si>
  <si>
    <t>QWWIL3K8P6XNYS</t>
  </si>
  <si>
    <t>CONVIVENCIA</t>
  </si>
  <si>
    <t>QWWIL2YKP6XNYS</t>
  </si>
  <si>
    <t>CLUB LIBERAL</t>
  </si>
  <si>
    <t>QWWIL2VIP6XNYS</t>
  </si>
  <si>
    <t>POBLADO C-41 CARLOS A MADRAZO</t>
  </si>
  <si>
    <t>QWWIL2SQP6XNYS</t>
  </si>
  <si>
    <t>5 DE MAYO</t>
  </si>
  <si>
    <t>QWWIL2LIP6XNYS</t>
  </si>
  <si>
    <t>ZAPOTAL SAN MIGUEL PRIMERA SECCION RAMAL UNO</t>
  </si>
  <si>
    <t>QWWIL2J0P6XNYS</t>
  </si>
  <si>
    <t xml:space="preserve">ZAPOTAL QUINTA SECCION </t>
  </si>
  <si>
    <t>QWWIL21IP6XNYS</t>
  </si>
  <si>
    <t>ZAPOTAL CUARTA SECCION ZAPOTALILLO</t>
  </si>
  <si>
    <t>QWWIL1Y6P6XNYS</t>
  </si>
  <si>
    <t>ZAPOTAL TERCERA SECCION EL CORCHAL</t>
  </si>
  <si>
    <t>QWWIL1UAP6XNYS</t>
  </si>
  <si>
    <t>QWWIKVTMP6XNYS</t>
  </si>
  <si>
    <t>ZAPOTAL PRIMERA SECCION SAN MIGUEL</t>
  </si>
  <si>
    <t>QWWIKVKGP6XNYS</t>
  </si>
  <si>
    <t xml:space="preserve">ZAPOPAN </t>
  </si>
  <si>
    <t>QWWIKV06P6XNYS</t>
  </si>
  <si>
    <t xml:space="preserve">ZANAPA SEGUNDA SECCION </t>
  </si>
  <si>
    <t>QWWIKUXEP6XNYS</t>
  </si>
  <si>
    <t xml:space="preserve">ZANAPA PRIMERA SECCION </t>
  </si>
  <si>
    <t>QWWIKUTSP6XNYS</t>
  </si>
  <si>
    <t xml:space="preserve">VILLA FLORES SEGUNDA SECCION </t>
  </si>
  <si>
    <t>QWWIKUFWP6XNYS</t>
  </si>
  <si>
    <t xml:space="preserve">VILLA FLORES PRIMERA SECCION </t>
  </si>
  <si>
    <t>QWWIKUBQP6XNYS</t>
  </si>
  <si>
    <t>VILLA DE GUADALUPE</t>
  </si>
  <si>
    <t>QWWIKU6QP6XNYS</t>
  </si>
  <si>
    <t>VIEJA GUARDIA AGRARISTA</t>
  </si>
  <si>
    <t>QWWIKU4IP6XNYS</t>
  </si>
  <si>
    <t>VENUSTIANO CARRANZA</t>
  </si>
  <si>
    <t>QWWIKTNUP6XNYS</t>
  </si>
  <si>
    <t>VALENCIA</t>
  </si>
  <si>
    <t>QWWIKTKIP6XNYS</t>
  </si>
  <si>
    <t>UNIDAD MODELOS SABANA LARGA</t>
  </si>
  <si>
    <t>QWWIKTIUP6XNYS</t>
  </si>
  <si>
    <t xml:space="preserve">TRES BOCAS TERCERA SECCION </t>
  </si>
  <si>
    <t>QWWIKTEEP6XNYS</t>
  </si>
  <si>
    <t xml:space="preserve">TRES BOCAS SEGUNDA SECCION </t>
  </si>
  <si>
    <t>QWWIKTBMP6XNYS</t>
  </si>
  <si>
    <t>QWWIKSTKP6XNYS</t>
  </si>
  <si>
    <t xml:space="preserve">TRES BOCAS PRIMERA SECCION </t>
  </si>
  <si>
    <t>QWWIKSQIP6XNYS</t>
  </si>
  <si>
    <t>TRES BOCAS</t>
  </si>
  <si>
    <t>QWWIKSNQP6XNYS</t>
  </si>
  <si>
    <t>TOMAS GARRIDO CANABAL</t>
  </si>
  <si>
    <t>QWWIKSL8P6XNYS</t>
  </si>
  <si>
    <t xml:space="preserve">TIERRA NUEVA CUARTA SECCION </t>
  </si>
  <si>
    <t>QWWIKS5OP6XNYS</t>
  </si>
  <si>
    <t xml:space="preserve">TIERRA NUEVA TERCERA SECCION </t>
  </si>
  <si>
    <t>QWWIKS2MP6XNYS</t>
  </si>
  <si>
    <t xml:space="preserve">TIERRA NUEVA SEGUNDA SECCION </t>
  </si>
  <si>
    <t>QWWIKRXWP6XNYS</t>
  </si>
  <si>
    <t>TIERRA NUEVA PRIMERA SECCION LAS PALMAS</t>
  </si>
  <si>
    <t>QWWIKRUAP6XNYS</t>
  </si>
  <si>
    <t xml:space="preserve">TIERRA NUEVA PRIMERA SECCION </t>
  </si>
  <si>
    <t>QWWIKRDMP6XNYS</t>
  </si>
  <si>
    <t xml:space="preserve">TIERRA COLORADA CUARTA SECCION </t>
  </si>
  <si>
    <t>QWWIKRAAP6XNYS</t>
  </si>
  <si>
    <t xml:space="preserve">TIERRA COLORADA TERCERA SECCION </t>
  </si>
  <si>
    <t>QWWIKR78P6XNYS</t>
  </si>
  <si>
    <t xml:space="preserve">TIERRA COLORADA SEGUNDA SECCION CONCEPCION ALVAREZ </t>
  </si>
  <si>
    <t>QWWIKMDWP6XNYS</t>
  </si>
  <si>
    <t xml:space="preserve">TIERRA COLORADA PRIMERA SECCION </t>
  </si>
  <si>
    <t>QWWIKLWEP6XNYS</t>
  </si>
  <si>
    <t>TEMBLADERA SEGUNDA SECCION CONCEPCION ALVAREZ</t>
  </si>
  <si>
    <t>QWWIKLQKP6XNYS</t>
  </si>
  <si>
    <t xml:space="preserve">TEMBLADERA PRIMERA SECCION </t>
  </si>
  <si>
    <t>QWWIKL5GP6XNYS</t>
  </si>
  <si>
    <t>TEMBLADERA PASO VIEJO</t>
  </si>
  <si>
    <t>QWWIKL1UP6XNYS</t>
  </si>
  <si>
    <t>TECOMINOACAN</t>
  </si>
  <si>
    <t>QWWIKKXOP6XNYS</t>
  </si>
  <si>
    <t xml:space="preserve">TIO MONCHO CAOBANAL PRIMERA SECCION </t>
  </si>
  <si>
    <t>QWWIKKUCP6XNYS</t>
  </si>
  <si>
    <t xml:space="preserve">SANTA PETRONA </t>
  </si>
  <si>
    <t>QWWIKK8EP6XNYS</t>
  </si>
  <si>
    <t>QWWIKK48P6XNYS</t>
  </si>
  <si>
    <t>QWWIKK0CP6XNYS</t>
  </si>
  <si>
    <t>SANTA CECILIA</t>
  </si>
  <si>
    <t>QWWIKJN0P6XNYS</t>
  </si>
  <si>
    <t>SAN ROGELIO</t>
  </si>
  <si>
    <t>QWWIKJKSP6XNYS</t>
  </si>
  <si>
    <t>SAN RAFAEL</t>
  </si>
  <si>
    <t>QWWIKJIKP6XNYS</t>
  </si>
  <si>
    <t>SAN PEDRITO</t>
  </si>
  <si>
    <t>QWWIKJGMP6XNYS</t>
  </si>
  <si>
    <t>SAN MANUEL TENERIFE</t>
  </si>
  <si>
    <t>QWWIKJEOP6XNYS</t>
  </si>
  <si>
    <t>SAN MANUEL</t>
  </si>
  <si>
    <t>QWWIKJ8UP6XNYS</t>
  </si>
  <si>
    <t>QWWIKIVSP6XNYS</t>
  </si>
  <si>
    <t>SAN FERNANDO</t>
  </si>
  <si>
    <t>QWWIKITUP6XNYS</t>
  </si>
  <si>
    <t xml:space="preserve">SAN CARLOS LA MOSCA </t>
  </si>
  <si>
    <t>QWWIKIPYP6XNYS</t>
  </si>
  <si>
    <t>QWWIKIN6P6XNYS</t>
  </si>
  <si>
    <t>SAN ALFREDO</t>
  </si>
  <si>
    <t>QWWIKIL8P6XNYS</t>
  </si>
  <si>
    <t>SAMARIA</t>
  </si>
  <si>
    <t>QWWIKIIGP6XNYS</t>
  </si>
  <si>
    <t>SALVADOR NEME CASTILLO</t>
  </si>
  <si>
    <t>QWWIKIHCP6XNYS</t>
  </si>
  <si>
    <t>ROBERTO MADRAZO PINTADO</t>
  </si>
  <si>
    <t>QWWIKI1SP6XNYS</t>
  </si>
  <si>
    <t>RIO SECO Y MONTAÑA TERCERA SECCION CHINAL</t>
  </si>
  <si>
    <t>QWWIKHY6P6XNYS</t>
  </si>
  <si>
    <t xml:space="preserve">RIO SECO Y MONTAÑA TERCERA SECCION AMPLIACION </t>
  </si>
  <si>
    <t>QWWIKHV4P6XNYS</t>
  </si>
  <si>
    <t xml:space="preserve">RIO SECO Y MONTAÑA SEGUNDA SECCION </t>
  </si>
  <si>
    <t>QWWIKHB4P6XNYS</t>
  </si>
  <si>
    <t xml:space="preserve">RIO SECO Y MONTAÑA PRIMERA SECCION </t>
  </si>
  <si>
    <t>QWWIKH6OP6XNYS</t>
  </si>
  <si>
    <t xml:space="preserve">RIO PEDREGAL SEGUNDA SECCION GUADALUPE VICTORIA </t>
  </si>
  <si>
    <t>QWWIKH0AP6XNYS</t>
  </si>
  <si>
    <t>RIO PEDREGAL</t>
  </si>
  <si>
    <t>QWWIKGI8P6XNYS</t>
  </si>
  <si>
    <t>RANCHO NUEVO</t>
  </si>
  <si>
    <t>QWWIKGFQP6XNYS</t>
  </si>
  <si>
    <t xml:space="preserve">RANCHO ALEGRE </t>
  </si>
  <si>
    <t>QWWIKGDIP6XNYS</t>
  </si>
  <si>
    <t>QWWIKGB0P6XNYS</t>
  </si>
  <si>
    <t>RAFAEL MARTINEZ DE ESCOBAR</t>
  </si>
  <si>
    <t>QWWIKG9CP6XNYS</t>
  </si>
  <si>
    <t>POR LA MORAL DE UN PRECIDENTE</t>
  </si>
  <si>
    <t>QWWIKFQ6P6XNYS</t>
  </si>
  <si>
    <t>POBLADO C-41</t>
  </si>
  <si>
    <t>QWWIKFH0P6XNYS</t>
  </si>
  <si>
    <t>POBLADO C-34</t>
  </si>
  <si>
    <t>QWWIKFE8P6XNYS</t>
  </si>
  <si>
    <t>POBLADO C-31</t>
  </si>
  <si>
    <t>QWWIKEZSP6XNYS</t>
  </si>
  <si>
    <t>PICO DE ORO CUARTA SECCION PEJELAGARTERITO</t>
  </si>
  <si>
    <t>QWWIKDVIP6XNYS</t>
  </si>
  <si>
    <t xml:space="preserve">PICO DE ORO TERCERA SECCION </t>
  </si>
  <si>
    <t>QWWIKDCWP6XNYS</t>
  </si>
  <si>
    <t xml:space="preserve">PICO DE ORO PRIMERA SECCION </t>
  </si>
  <si>
    <t>QWWIKDAEP6XNYS</t>
  </si>
  <si>
    <t>PEJELAGARTERO SEGUNDA SECCION NUEVA REFORMA</t>
  </si>
  <si>
    <t>QWWIKD5YP6XNYS</t>
  </si>
  <si>
    <t>PEJELAGARTERO SEGUNDA SECCION JAHUACTE</t>
  </si>
  <si>
    <t>QWWIKD2CP6XNYS</t>
  </si>
  <si>
    <t>PEJELAGARTERO SEGUNDA SECCION</t>
  </si>
  <si>
    <t>QWWIKCN2P6XNYS</t>
  </si>
  <si>
    <t>PEJELAGARTERO PRIMERA SECCION PLATAFORMA</t>
  </si>
  <si>
    <t>QWWIKCGOP6XNYS</t>
  </si>
  <si>
    <t>PEJELAGARTERO PRIMERA SECCION NUEVO PROGRESO</t>
  </si>
  <si>
    <t>QWWIKCBYP6XNYS</t>
  </si>
  <si>
    <t>PEJELAGARTERO PRIMERA SECCION  LOS PINOS</t>
  </si>
  <si>
    <t>QWWIKBWYP6XNYS</t>
  </si>
  <si>
    <t>PEJELAGARTERO PRIMERA SECCION GUADALUPE VICTORIA</t>
  </si>
  <si>
    <t>QWWIKBTMP6XNYS</t>
  </si>
  <si>
    <t>PEJELAGARTERO PRIMERA SECCION EL FILERO</t>
  </si>
  <si>
    <t>QWWIKBPQP6XNYS</t>
  </si>
  <si>
    <t>PEJELAGARTERO PRIMERA SECCION EL ARROYITO</t>
  </si>
  <si>
    <t>QWWIKBLKP6XNYS</t>
  </si>
  <si>
    <t xml:space="preserve">PEJELAGARTERO PRIMERA SECCION CHICHONAL </t>
  </si>
  <si>
    <t>QWWIJG5WP6XNYS</t>
  </si>
  <si>
    <t xml:space="preserve">PEDRO SANCHEZ MAGALLANEZ </t>
  </si>
  <si>
    <t>QWWIJFZIP6XNYS</t>
  </si>
  <si>
    <t xml:space="preserve">PEDRO COLORADO TERCERA SECCION </t>
  </si>
  <si>
    <t>QWWIJFVCP6XNYS</t>
  </si>
  <si>
    <t xml:space="preserve">PEDRO COLORADO PRIMERA SECCION </t>
  </si>
  <si>
    <t>QWWIJFG2P6XNYS</t>
  </si>
  <si>
    <t>PEDRO COLORADO</t>
  </si>
  <si>
    <t>QWWIJFCGP6XNYS</t>
  </si>
  <si>
    <t>PEDREGALITO PRIMERA SECCION VICENTE GUERRERO</t>
  </si>
  <si>
    <t>QWWIJFA8P6XNYS</t>
  </si>
  <si>
    <t xml:space="preserve">PEDREGALITO PRIMERA SECCION </t>
  </si>
  <si>
    <t>QWWIJEO0P6XNYS</t>
  </si>
  <si>
    <t>PEDREGAL MOCTEZUMA SEGUNDA SECCION LEYVA</t>
  </si>
  <si>
    <t>QWWIJEJUP6XNYS</t>
  </si>
  <si>
    <t xml:space="preserve">PEDREGAL MOCTEZUMA SEGUNDA SECCION </t>
  </si>
  <si>
    <t>QWWIJE04P6XNYS</t>
  </si>
  <si>
    <t xml:space="preserve">PEDREGAL MOCTEZUMA PRIMERA SECCION </t>
  </si>
  <si>
    <t>QWWIJDTGP6XNYS</t>
  </si>
  <si>
    <t>PASO DEL ROSARIO</t>
  </si>
  <si>
    <t>QWWIJDKUP6XNYS</t>
  </si>
  <si>
    <t>PASO DE LA MINA TERCERA SECCION BARRIAL</t>
  </si>
  <si>
    <t>QWWIJD32P6XNYS</t>
  </si>
  <si>
    <t xml:space="preserve">PASO DE LA MINA SEGUNDA SECCION </t>
  </si>
  <si>
    <t>QWWIJCZGP6XNYS</t>
  </si>
  <si>
    <t xml:space="preserve">PASO DE LA MINA PRIMERA SECCION </t>
  </si>
  <si>
    <t>QWWIJCWYP6XNYS</t>
  </si>
  <si>
    <t xml:space="preserve">PAREDON TERCERA SECCION </t>
  </si>
  <si>
    <t>QWWIJCTMP6XNYS</t>
  </si>
  <si>
    <t xml:space="preserve">PAREDON SEGUNDA SECCION ALVARO OBREGON </t>
  </si>
  <si>
    <t>QWWIJC7OP6XNYS</t>
  </si>
  <si>
    <t xml:space="preserve">PAREDON SEGUNDA SECCION </t>
  </si>
  <si>
    <t>QWWIJC38P6XNYS</t>
  </si>
  <si>
    <t xml:space="preserve">PAREDON PRIMERA SECCION LA ISLA </t>
  </si>
  <si>
    <t>QWWIJBP2P6XNYS</t>
  </si>
  <si>
    <t xml:space="preserve">PAREDON PRIMERA SECCION EL PORVENIR </t>
  </si>
  <si>
    <t>QWWIJBKWP6XNYS</t>
  </si>
  <si>
    <t xml:space="preserve">PAREDON PRIMERA SECCION </t>
  </si>
  <si>
    <t>QWWIJBG6P6XNYS</t>
  </si>
  <si>
    <t>PANGA NUEVA LA CENTRAL</t>
  </si>
  <si>
    <t>QWWIJBACP6XNYS</t>
  </si>
  <si>
    <t>PALO MULATO VIEJO</t>
  </si>
  <si>
    <t>QWWIJAVMP6XNYS</t>
  </si>
  <si>
    <t xml:space="preserve">PALO MULATO ZAPOTAL </t>
  </si>
  <si>
    <t>QWWIJASKP6XNYS</t>
  </si>
  <si>
    <t>PALO BLANCO</t>
  </si>
  <si>
    <t>QWWIJAPSP6XNYS</t>
  </si>
  <si>
    <t xml:space="preserve">OTRA BANDA TERCERA SECCION </t>
  </si>
  <si>
    <t>QWWIJANKP6XNYS</t>
  </si>
  <si>
    <t xml:space="preserve">OTRA BANDA SEGUNDA SECCION </t>
  </si>
  <si>
    <t>QWWIJAJYP6XNYS</t>
  </si>
  <si>
    <t xml:space="preserve">OTRA BANDA PRIMERA SECCION </t>
  </si>
  <si>
    <t>QWWIJAGWP6XNYS</t>
  </si>
  <si>
    <t xml:space="preserve">OSTITAN SEGUNDA SECCION </t>
  </si>
  <si>
    <t>QWWIJA26P6XNYS</t>
  </si>
  <si>
    <t xml:space="preserve">OSTITAN PRIMERA SECCION </t>
  </si>
  <si>
    <t>QWWIJ9WWP6XNYS</t>
  </si>
  <si>
    <t xml:space="preserve">ORGANIZACION CAMPESINA </t>
  </si>
  <si>
    <t>QWWIJ9TKP6XNYS</t>
  </si>
  <si>
    <t>OJO DE AGUA</t>
  </si>
  <si>
    <t>QWWIJ9CCP6XNYS</t>
  </si>
  <si>
    <t>OGARRIO RANCHO DE LOS MANZANILLA</t>
  </si>
  <si>
    <t>QWWIJ99KP6XNYS</t>
  </si>
  <si>
    <t xml:space="preserve">OCUAPAN </t>
  </si>
  <si>
    <t>QWWIJ8XCP6XNYS</t>
  </si>
  <si>
    <t>OAXACA</t>
  </si>
  <si>
    <t>QWWIJ8K0P6XNYS</t>
  </si>
  <si>
    <t>QWWIJ8G4P6XNYS</t>
  </si>
  <si>
    <t xml:space="preserve">NUEVA ESPERANZA </t>
  </si>
  <si>
    <t>QWWIJ8DMP6XNYS</t>
  </si>
  <si>
    <t>MONTE DE ORO TERCERA SECCION</t>
  </si>
  <si>
    <t>QWWIJ89QP6XNYS</t>
  </si>
  <si>
    <t xml:space="preserve">MONTE DE ORO SEGUNDA SECCION </t>
  </si>
  <si>
    <t>QWWIJ7ROP6XNYS</t>
  </si>
  <si>
    <t xml:space="preserve">MONTE DE ORO PRIMERA SECCION </t>
  </si>
  <si>
    <t>QWWIJ7OMP6XNYS</t>
  </si>
  <si>
    <t>MIGUEL HIDALGO Y COSTILLA</t>
  </si>
  <si>
    <t>QWWIJ7KQP6XNYS</t>
  </si>
  <si>
    <t>MIGUEL ALEMAN VALDEZ</t>
  </si>
  <si>
    <t>QWWIJ7H4P6XNYS</t>
  </si>
  <si>
    <t>MIGUEL ALEMAN</t>
  </si>
  <si>
    <t>QWWIJ7E2P6XNYS</t>
  </si>
  <si>
    <t>MECATEPEC</t>
  </si>
  <si>
    <t>QWWIJ706P6XNYS</t>
  </si>
  <si>
    <t>MASTELERO</t>
  </si>
  <si>
    <t>QWWIJ6XOP6XNYS</t>
  </si>
  <si>
    <t>MARGARITO ZAPATA</t>
  </si>
  <si>
    <t>QWWIJ6V6P6XNYS</t>
  </si>
  <si>
    <t>MARCELINO INORRUETA DE LA FUENTE</t>
  </si>
  <si>
    <t>QWWIJ6SOP6XNYS</t>
  </si>
  <si>
    <t>MANUEL TREVIÑO</t>
  </si>
  <si>
    <t>QWWIJ6AMP6XNYS</t>
  </si>
  <si>
    <t>MANUEL SANCHEZ MARMOL</t>
  </si>
  <si>
    <t>QWWIJ67KP6XNYS</t>
  </si>
  <si>
    <t>MANUEL ANDRADE DIAZ</t>
  </si>
  <si>
    <t>QWWIJ5YOP6XNYS</t>
  </si>
  <si>
    <t>MALPASITO</t>
  </si>
  <si>
    <t>QWWIJ5WGP6XNYS</t>
  </si>
  <si>
    <t>MACAYO Y NARANJO TERCERA SECCION SAN AGUSTIN</t>
  </si>
  <si>
    <t>QWWIJ56MP6XNYS</t>
  </si>
  <si>
    <t xml:space="preserve">MACAYO Y NARANJO SEGUNDA SECCION </t>
  </si>
  <si>
    <t>QWWIJ4MWP6XNYS</t>
  </si>
  <si>
    <t xml:space="preserve">MACAYO Y NARANJO PRIMERA SECCION </t>
  </si>
  <si>
    <t>QWWIJ4IGP6XNYS</t>
  </si>
  <si>
    <t>MACABILITO</t>
  </si>
  <si>
    <t>QWWIJ4EAP6XNYS</t>
  </si>
  <si>
    <t>MACABIL</t>
  </si>
  <si>
    <t>QWWIJ4BIP6XNYS</t>
  </si>
  <si>
    <t>LUIS FELIPE ORDOÑEZ</t>
  </si>
  <si>
    <t>QWWIJ3W8P6XNYS</t>
  </si>
  <si>
    <t>LUIS CABRERA</t>
  </si>
  <si>
    <t>QWWIJ3T6P6XNYS</t>
  </si>
  <si>
    <t>LOS VIVEROS</t>
  </si>
  <si>
    <t>QWWIJ3R8P6XNYS</t>
  </si>
  <si>
    <t xml:space="preserve">LOS TECOS </t>
  </si>
  <si>
    <t>QWWIJ3PKP6XNYS</t>
  </si>
  <si>
    <t>LOS NARANJOS CUARTA SECCION</t>
  </si>
  <si>
    <t>QWWIJ3IWP6XNYS</t>
  </si>
  <si>
    <t xml:space="preserve">LOS NARANJOS CUARTA SECCION </t>
  </si>
  <si>
    <t>QWWIJ2DIP6XNYS</t>
  </si>
  <si>
    <t xml:space="preserve">LOS NARANJOS TERCERA SECCION </t>
  </si>
  <si>
    <t>QWWIJ28IP6XNYS</t>
  </si>
  <si>
    <t xml:space="preserve">LOS NARANJOS SEGUNDA SECCION </t>
  </si>
  <si>
    <t>QWWIJ24CP6XNYS</t>
  </si>
  <si>
    <t xml:space="preserve">LOS NARANJOS PRIMERA SECCION CAMPECHITO </t>
  </si>
  <si>
    <t>QWWIJ21KP6XNYS</t>
  </si>
  <si>
    <t>LOS NARANJOS</t>
  </si>
  <si>
    <t>QWWIJ1LQP6XNYS</t>
  </si>
  <si>
    <t xml:space="preserve">LOS MORALES </t>
  </si>
  <si>
    <t>QWWIJ1IEP6XNYS</t>
  </si>
  <si>
    <t>LOS LAURELES</t>
  </si>
  <si>
    <t>QWWIJ0U8P6XNYS</t>
  </si>
  <si>
    <t>LOS COCOS</t>
  </si>
  <si>
    <t>QWWIIW2UP6XNYS</t>
  </si>
  <si>
    <t>LINDA VISTA</t>
  </si>
  <si>
    <t>QWWIIW02P6XNYS</t>
  </si>
  <si>
    <t>LICENCIADO ANTONIO ZAMORA ARRIOJA</t>
  </si>
  <si>
    <t>QWWIIVW6P6XNYS</t>
  </si>
  <si>
    <t>LIBERTAD</t>
  </si>
  <si>
    <t>QWWIIVDAP6XNYS</t>
  </si>
  <si>
    <t>LAS PIEDRAS</t>
  </si>
  <si>
    <t>QWWIIVBWP6XNYS</t>
  </si>
  <si>
    <t>LAS PAMPAS</t>
  </si>
  <si>
    <t>QWWIIV9OP6XNYS</t>
  </si>
  <si>
    <t>LAS LOMAS</t>
  </si>
  <si>
    <t>QWWIIV7GP6XNYS</t>
  </si>
  <si>
    <t>LAS GRANJAS</t>
  </si>
  <si>
    <t>QWWIIV62P6XNYS</t>
  </si>
  <si>
    <t xml:space="preserve">LAS GIRALDAS </t>
  </si>
  <si>
    <t>QWWIIV30P6XNYS</t>
  </si>
  <si>
    <t>QWWIIUP4P6XNYS</t>
  </si>
  <si>
    <t xml:space="preserve">LAS FLORES </t>
  </si>
  <si>
    <t>QWWIIUMWP6XNYS</t>
  </si>
  <si>
    <t>LAS ELENAS</t>
  </si>
  <si>
    <t>QWWIIUKYP6XNYS</t>
  </si>
  <si>
    <t>LAGUNA DEL ROSARIO</t>
  </si>
  <si>
    <t>QWWIIUIQP6XNYS</t>
  </si>
  <si>
    <t xml:space="preserve">LAGUNA DE LOS LIMONES </t>
  </si>
  <si>
    <t>QWWIIUFOP6XNYS</t>
  </si>
  <si>
    <t>LA VENTA EL CUATRO</t>
  </si>
  <si>
    <t>QWWIIUCWP6XNYS</t>
  </si>
  <si>
    <t>LA VENTA</t>
  </si>
  <si>
    <t>QWWIIUAYP6XNYS</t>
  </si>
  <si>
    <t>LA VENCEDORA</t>
  </si>
  <si>
    <t>QWWIITXMP6XNYS</t>
  </si>
  <si>
    <t xml:space="preserve">LA TRINIDAD </t>
  </si>
  <si>
    <t>QWWIITVYP6XNYS</t>
  </si>
  <si>
    <t xml:space="preserve">LA SOLEDAD SEGUNDA SECCION </t>
  </si>
  <si>
    <t>QWWIITTGP6XNYS</t>
  </si>
  <si>
    <t xml:space="preserve">LA SOLEDAD PRIMERA SECCION </t>
  </si>
  <si>
    <t>QWWIITPAP6XNYS</t>
  </si>
  <si>
    <t>LA QUEBRADA</t>
  </si>
  <si>
    <t>QWWIITMSP6XNYS</t>
  </si>
  <si>
    <t>LA PALMA</t>
  </si>
  <si>
    <t>QWWIITKUP6XNYS</t>
  </si>
  <si>
    <t xml:space="preserve">LA NUEVA ESPERANZA </t>
  </si>
  <si>
    <t>QWWIITIWP6XNYS</t>
  </si>
  <si>
    <t>LA MINA</t>
  </si>
  <si>
    <t>QWWIIT5UP6XNYS</t>
  </si>
  <si>
    <t>LA LUZ</t>
  </si>
  <si>
    <t>QWWIIT3WP6XNYS</t>
  </si>
  <si>
    <t>LA LUCHA</t>
  </si>
  <si>
    <t>QWWIIT28P6XNYS</t>
  </si>
  <si>
    <t>LA LIMA</t>
  </si>
  <si>
    <t>QWWIISXSP6XNYS</t>
  </si>
  <si>
    <t>LA LIBERTAD</t>
  </si>
  <si>
    <t>QWWIISVUP6XNYS</t>
  </si>
  <si>
    <t>LA LAGUNA</t>
  </si>
  <si>
    <t>QWWIISTMP6XNYS</t>
  </si>
  <si>
    <t xml:space="preserve">LA IMAGINACION </t>
  </si>
  <si>
    <t>QWWIISROP6XNYS</t>
  </si>
  <si>
    <t>LA GLORIA</t>
  </si>
  <si>
    <t>QWWIISDIP6XNYS</t>
  </si>
  <si>
    <t xml:space="preserve">LA GAVIA </t>
  </si>
  <si>
    <t>QWWIISC4P6XNYS</t>
  </si>
  <si>
    <t>LA FLORIDA</t>
  </si>
  <si>
    <t>QWWIIS9MP6XNYS</t>
  </si>
  <si>
    <t xml:space="preserve">LA ESPERANZA </t>
  </si>
  <si>
    <t>QWWIIS7EP6XNYS</t>
  </si>
  <si>
    <t>LA DELICIOSA</t>
  </si>
  <si>
    <t>QWWIIS4WP6XNYS</t>
  </si>
  <si>
    <t xml:space="preserve">LA CONCEPCION </t>
  </si>
  <si>
    <t>QWWIIS2OP6XNYS</t>
  </si>
  <si>
    <t>LA CHICHARRA</t>
  </si>
  <si>
    <t>QWWIIS10P6XNYS</t>
  </si>
  <si>
    <t xml:space="preserve">LA CEIBA SEGUNDA SECCION </t>
  </si>
  <si>
    <t>QWWIIRYIP6XNYS</t>
  </si>
  <si>
    <t xml:space="preserve">LA CEIBA PRIMERA SECCION RUIZ CORTINEZ </t>
  </si>
  <si>
    <t>QWWIIRK2P6XNYS</t>
  </si>
  <si>
    <t xml:space="preserve">LA CEIBA PRIMERA SECCION </t>
  </si>
  <si>
    <t>QWWIIRF2P6XNYS</t>
  </si>
  <si>
    <t>QWWIIRBGP6XNYS</t>
  </si>
  <si>
    <t xml:space="preserve">LA CANDELARIA </t>
  </si>
  <si>
    <t>QWWIIR9IP6XNYS</t>
  </si>
  <si>
    <t xml:space="preserve">LA ARENA SEGUNDA SECCION </t>
  </si>
  <si>
    <t>QWWIIR70P6XNYS</t>
  </si>
  <si>
    <t xml:space="preserve">LA ARENA PRIMERA SECCION </t>
  </si>
  <si>
    <t>QWWIIQTOP6XNYS</t>
  </si>
  <si>
    <t xml:space="preserve">LA ADUANA </t>
  </si>
  <si>
    <t>QWWIIQQCP6XNYS</t>
  </si>
  <si>
    <t xml:space="preserve">JOSE NARCISO ROVIROSA </t>
  </si>
  <si>
    <t>QWWIIQNKP6XNYS</t>
  </si>
  <si>
    <t xml:space="preserve">JOSE MERCEDES GAMAS SEGUNDA SECCION </t>
  </si>
  <si>
    <t>QWWIIQIUP6XNYS</t>
  </si>
  <si>
    <t xml:space="preserve">JOSE MERCEDES GAMAS PRIMERA SECCION </t>
  </si>
  <si>
    <t>QWWIIQF8P6XNYS</t>
  </si>
  <si>
    <t xml:space="preserve">JOSE MARIA PINO SUAREZ SEGUNDA SECCION </t>
  </si>
  <si>
    <t>QWWIIPWMP6XNYS</t>
  </si>
  <si>
    <t xml:space="preserve">JOSE MARIA PINO SUEREZ PRIMERA SECCION </t>
  </si>
  <si>
    <t>QWWIIPRMP6XNYS</t>
  </si>
  <si>
    <t xml:space="preserve">JOSE MARIA PINO SUAREZ </t>
  </si>
  <si>
    <t>QWWIIP9AP6XNYS</t>
  </si>
  <si>
    <t>QWWIIP5EP6XNYS</t>
  </si>
  <si>
    <t>ISIDRO BROCA</t>
  </si>
  <si>
    <t>QWWIINPQP6XNYS</t>
  </si>
  <si>
    <t xml:space="preserve">IGNACIO GUTIERREZ QUINTA SECCION </t>
  </si>
  <si>
    <t>QWWIINM4P6XNYS</t>
  </si>
  <si>
    <t xml:space="preserve">IGNACIO GUTIERREZ CUARTA SECCION </t>
  </si>
  <si>
    <t>QWWIINJCP6XNYS</t>
  </si>
  <si>
    <t xml:space="preserve">IGNACIO GUTIERREZ TERCERA SECCION </t>
  </si>
  <si>
    <t>QWWIINGUP6XNYS</t>
  </si>
  <si>
    <t xml:space="preserve">IGNACIO GUTIERREZ SEGUNDA SECCION </t>
  </si>
  <si>
    <t>QWWIIND8P6XNYS</t>
  </si>
  <si>
    <t xml:space="preserve">IGNACIO GUTIERREZ PRIMERA SECCION </t>
  </si>
  <si>
    <t>QWWIIMZWP6XNYS</t>
  </si>
  <si>
    <t>QWWIIMPWP6XNYS</t>
  </si>
  <si>
    <t>QWWIIMLGP6XNYS</t>
  </si>
  <si>
    <t xml:space="preserve">HUAPACAL CUARTA SECCION </t>
  </si>
  <si>
    <t>QWWIIM6QP6XNYS</t>
  </si>
  <si>
    <t xml:space="preserve">HUAPACAL TERCERA SECCION </t>
  </si>
  <si>
    <t>QWWIIM3YP6XNYS</t>
  </si>
  <si>
    <t xml:space="preserve">HUAPACAL SEGUNDA SECCION </t>
  </si>
  <si>
    <t>QWWIIM1QP6XNYS</t>
  </si>
  <si>
    <t xml:space="preserve">HUAPACAL PRIMERA SECCION </t>
  </si>
  <si>
    <t>QWWIILZ8P6XNYS</t>
  </si>
  <si>
    <t xml:space="preserve">GUSTAVO DIAZ ORDAS TERCERA SECCION </t>
  </si>
  <si>
    <t>QWWIILTYP6XNYS</t>
  </si>
  <si>
    <t xml:space="preserve">GUSTAVO DIAZ ORDAZ SEGUNDA SECCION </t>
  </si>
  <si>
    <t>QWWIILEOP6XNYS</t>
  </si>
  <si>
    <t xml:space="preserve">GUSTAVO DIAZ ORDAZ PRIMERA SECCION </t>
  </si>
  <si>
    <t>QWWIIL9OP6XNYS</t>
  </si>
  <si>
    <t>GUERRERO</t>
  </si>
  <si>
    <t>QWWIIL4OP6XNYS</t>
  </si>
  <si>
    <t xml:space="preserve">GUADALUPE VICTORIA </t>
  </si>
  <si>
    <t>QWWIIL2GP6XNYS</t>
  </si>
  <si>
    <t xml:space="preserve">GREGORIO MENDEZ MAGAÑA </t>
  </si>
  <si>
    <t>QWWIIKO0P6XNYS</t>
  </si>
  <si>
    <t xml:space="preserve">GREGORIO MENDEZ SEGUNDA SECCION </t>
  </si>
  <si>
    <t>QWWIIKJKP6XNYS</t>
  </si>
  <si>
    <t xml:space="preserve">GREGORIO MENDEZ </t>
  </si>
  <si>
    <t>QWWIIKG8P6XNYS</t>
  </si>
  <si>
    <t>GRANO DE ORO</t>
  </si>
  <si>
    <t>QWWIIJV4P6XNYS</t>
  </si>
  <si>
    <t xml:space="preserve">GILBERTO FLORES MUÑOZ SEGUNDA SECCION </t>
  </si>
  <si>
    <t>QWWIIJSCP6XNYS</t>
  </si>
  <si>
    <t xml:space="preserve">GILBERTO FLORES MUÑOZ </t>
  </si>
  <si>
    <t>QWWIIJM8P6XNYS</t>
  </si>
  <si>
    <t xml:space="preserve">GENERAL MIGUEL ORRICO DE LOS LLANOS </t>
  </si>
  <si>
    <t>QWWIIJIWP6XNYS</t>
  </si>
  <si>
    <t xml:space="preserve">GUIRAL Y GONZALEZ SEGUNDA SECCION </t>
  </si>
  <si>
    <t>QWWIIJ3WP6XNYS</t>
  </si>
  <si>
    <t xml:space="preserve">GUIRAL Y GONZALEZ PRIMERA SECCION </t>
  </si>
  <si>
    <t>QWWIIJ0AP6XNYS</t>
  </si>
  <si>
    <t xml:space="preserve">FRANCISCO VILLA </t>
  </si>
  <si>
    <t>QWWIIIU6P6XNYS</t>
  </si>
  <si>
    <t xml:space="preserve">FRANCISCO TRUJILLO GURRIA </t>
  </si>
  <si>
    <t>QWWIIIRYP6XNYS</t>
  </si>
  <si>
    <t>EL REFUGIO</t>
  </si>
  <si>
    <t>QWWIIIC4P6XNYS</t>
  </si>
  <si>
    <t>EL RETOÑO</t>
  </si>
  <si>
    <t>QWWIIIAQP6XNYS</t>
  </si>
  <si>
    <t>EL SACRIFICIO</t>
  </si>
  <si>
    <t>QWWIII7YP6XNYS</t>
  </si>
  <si>
    <t>EL SAUCE</t>
  </si>
  <si>
    <t>QWWIII4CP6XNYS</t>
  </si>
  <si>
    <t>EL SUSPIRO</t>
  </si>
  <si>
    <t>QWWIII24P6XNYS</t>
  </si>
  <si>
    <t>EL TREBOL</t>
  </si>
  <si>
    <t>QWWIIHXOP6XNYS</t>
  </si>
  <si>
    <t>EL TREBOL LA ESTRELLA</t>
  </si>
  <si>
    <t>QWWIIHKMP6XNYS</t>
  </si>
  <si>
    <t>EL VERGEL</t>
  </si>
  <si>
    <t>QWWIIHHKP6XNYS</t>
  </si>
  <si>
    <t>EMILIANO ZAPATA CHICHONAL D ELA BOYERIA</t>
  </si>
  <si>
    <t>QWWIIHFCP6XNYS</t>
  </si>
  <si>
    <t xml:space="preserve">EMILIANO ZAPATA KILOMETRO 4 </t>
  </si>
  <si>
    <t>QWWIIE3WP6XNYS</t>
  </si>
  <si>
    <t xml:space="preserve">EMILIANO ZAPATA SEGUNDA SECCION </t>
  </si>
  <si>
    <t>QWWIIDLKP6XNYS</t>
  </si>
  <si>
    <t>EMPORIO</t>
  </si>
  <si>
    <t>QWWIIDIIP6XNYS</t>
  </si>
  <si>
    <t>ENRIQUE RODRIGUEZ CANO</t>
  </si>
  <si>
    <t>QWWIIDFQP6XNYS</t>
  </si>
  <si>
    <t>ERNESTO AGUIRRE COLORADO</t>
  </si>
  <si>
    <t>QWWIIDBKP6XNYS</t>
  </si>
  <si>
    <t>ESPIRITU SANTO</t>
  </si>
  <si>
    <t>QWWIICWUP6XNYS</t>
  </si>
  <si>
    <t>ESPERANZA DEL BAJIO</t>
  </si>
  <si>
    <t>QWWIICUCP6XNYS</t>
  </si>
  <si>
    <t xml:space="preserve">ESTACION MARTINEZ GAYTAN </t>
  </si>
  <si>
    <t>QWWIICRKP6XNYS</t>
  </si>
  <si>
    <t>ESTACION ZANAPA</t>
  </si>
  <si>
    <t>QWWIICNOP6XNYS</t>
  </si>
  <si>
    <t xml:space="preserve">FRAMBOYAN </t>
  </si>
  <si>
    <t>QWWIICL6P6XNYS</t>
  </si>
  <si>
    <t xml:space="preserve">FRANCISCO I MADERO </t>
  </si>
  <si>
    <t>QWWIICIYP6XNYS</t>
  </si>
  <si>
    <t xml:space="preserve">FRANCISCO I MADERO LOS NARANJOS </t>
  </si>
  <si>
    <t>QWWII932P6XNYS</t>
  </si>
  <si>
    <t>FRANCISCO MUJICA</t>
  </si>
  <si>
    <t>QWWII8Z6P6XNYS</t>
  </si>
  <si>
    <t>FRANCISCO SANTA MARINA PRIMERA SECCION</t>
  </si>
  <si>
    <t>QWWII8WYP6XNYS</t>
  </si>
  <si>
    <t xml:space="preserve">FRANCISCO MARTINEZ GAYTAN </t>
  </si>
  <si>
    <t>QWWII8QAP6XNYS</t>
  </si>
  <si>
    <t xml:space="preserve">FRANCISCO MARTINEZ GAYTAN SEGUNDA SECCION </t>
  </si>
  <si>
    <t>QWWII8B0P6XNYS</t>
  </si>
  <si>
    <t xml:space="preserve">FRANCISCO RUEDA </t>
  </si>
  <si>
    <t>QWWIH9K6P6XNYS</t>
  </si>
  <si>
    <t>FRANCISCO SARABIA</t>
  </si>
  <si>
    <t>QWWIH9GKP6XNYS</t>
  </si>
  <si>
    <t>EL MANGAL</t>
  </si>
  <si>
    <t>QWWIH9COP6XNYS</t>
  </si>
  <si>
    <t>EL RECREO</t>
  </si>
  <si>
    <t>QWWIH7YOP6XNYS</t>
  </si>
  <si>
    <t xml:space="preserve">EL PUENTE SEGUNDA SECCION </t>
  </si>
  <si>
    <t>QWWIH7W6P6XNYS</t>
  </si>
  <si>
    <t xml:space="preserve">EL PUENTE PRIMERA SECCION </t>
  </si>
  <si>
    <t>QWWIH7SUP6XNYS</t>
  </si>
  <si>
    <t>EL PARAISO</t>
  </si>
  <si>
    <t>QWWIH7PIP6XNYS</t>
  </si>
  <si>
    <t>QWWIH7NAP6XNYS</t>
  </si>
  <si>
    <t>EL OTATE</t>
  </si>
  <si>
    <t>QWWIH79EP6XNYS</t>
  </si>
  <si>
    <t>EL JOBO</t>
  </si>
  <si>
    <t>QWWIH73UP6XNYS</t>
  </si>
  <si>
    <t>EL HORMIGUERO</t>
  </si>
  <si>
    <t>QWWIH70SP6XNYS</t>
  </si>
  <si>
    <t>EL GUARUMO</t>
  </si>
  <si>
    <t>QWWIH6EAP6XNYS</t>
  </si>
  <si>
    <t>EL GUANAL</t>
  </si>
  <si>
    <t>QWWIH6B8P6XNYS</t>
  </si>
  <si>
    <t xml:space="preserve">EL ENCOMENDERO </t>
  </si>
  <si>
    <t>QWWIH686P6XNYS</t>
  </si>
  <si>
    <t>EL DORADO</t>
  </si>
  <si>
    <t>QWWIH636P6XNYS</t>
  </si>
  <si>
    <t xml:space="preserve">EL DESECHO SEGUNDA SECCION </t>
  </si>
  <si>
    <t>QWWIH5JGP6XNYS</t>
  </si>
  <si>
    <t>EL DESECHO PRIMERA SECCION PLAYA UNO</t>
  </si>
  <si>
    <t>QWWIH5FAP6XNYS</t>
  </si>
  <si>
    <t xml:space="preserve">EL DESECHO PRIMERA SECCION </t>
  </si>
  <si>
    <t>QWWIH4YCP6XNYS</t>
  </si>
  <si>
    <t>EL CRUCEÑO</t>
  </si>
  <si>
    <t>QWWIH4U6P6XNYS</t>
  </si>
  <si>
    <t>EL CONDOR</t>
  </si>
  <si>
    <t>QWWIH4QUP6XNYS</t>
  </si>
  <si>
    <t>EL COMPLEJO</t>
  </si>
  <si>
    <t>QWWIH4NIP6XNYS</t>
  </si>
  <si>
    <t>EL CHARCO</t>
  </si>
  <si>
    <t>QWWIH4JWP6XNYS</t>
  </si>
  <si>
    <t xml:space="preserve">EL CHAPO SEGUNDA SECCION </t>
  </si>
  <si>
    <t>QWWIH44MP6XNYS</t>
  </si>
  <si>
    <t xml:space="preserve">EL CHAPO PRIMERA SECCION </t>
  </si>
  <si>
    <t>QWWIH410P6XNYS</t>
  </si>
  <si>
    <t>EL CHAPINGO</t>
  </si>
  <si>
    <t>QWWIH3S4P6XNYS</t>
  </si>
  <si>
    <t xml:space="preserve">EL CARMEN </t>
  </si>
  <si>
    <t>QWWIH3CAP6XNYS</t>
  </si>
  <si>
    <t>EL CABRITO</t>
  </si>
  <si>
    <t>QWWIH39IP6XNYS</t>
  </si>
  <si>
    <t xml:space="preserve">EDUARDO ALDAY HERNANDEZ </t>
  </si>
  <si>
    <t>QWWIH370P6XNYS</t>
  </si>
  <si>
    <t>ECONOMIA</t>
  </si>
  <si>
    <t>QWWIH30CP6XNYS</t>
  </si>
  <si>
    <t>DOCTOR BLADIMIR BUSTAMANTE</t>
  </si>
  <si>
    <t>QWWIH2M6P6XNYS</t>
  </si>
  <si>
    <t>DON TECO</t>
  </si>
  <si>
    <t>QWWIH2FSP6XNYS</t>
  </si>
  <si>
    <t xml:space="preserve">DON OSTADIO </t>
  </si>
  <si>
    <t>QWWIH2CGP6XNYS</t>
  </si>
  <si>
    <t>DON GUSTAVO LOS PINOS</t>
  </si>
  <si>
    <t>QWWIH280P6XNYS</t>
  </si>
  <si>
    <t>DIEZ DE ABRIL</t>
  </si>
  <si>
    <t>QWWIEEXGP6XNYS</t>
  </si>
  <si>
    <t>CUAUHTEMOC Y PALMIRA</t>
  </si>
  <si>
    <t>QWWIEES6P6XNYS</t>
  </si>
  <si>
    <t>CUAUHTEMOC</t>
  </si>
  <si>
    <t>QWWIEEK4P6XNYS</t>
  </si>
  <si>
    <t>CLAGUAMAR</t>
  </si>
  <si>
    <t>QWWIE7MYP6XNYS</t>
  </si>
  <si>
    <t>CINCO HERMANOS</t>
  </si>
  <si>
    <t>QWWIE77EP6XNYS</t>
  </si>
  <si>
    <t xml:space="preserve">ESTACION CHONTALPA </t>
  </si>
  <si>
    <t>QWWIE74CP6XNYS</t>
  </si>
  <si>
    <t xml:space="preserve">CHIMALAPA SEGUNDA SECCION </t>
  </si>
  <si>
    <t>QWWICP4GP6XNYS</t>
  </si>
  <si>
    <t xml:space="preserve">CHIMALAPA PRIMERA SECCION </t>
  </si>
  <si>
    <t>QWWICP0AP6XNYS</t>
  </si>
  <si>
    <t>CHILOLOCO</t>
  </si>
  <si>
    <t>QWWICOV0P6XNYS</t>
  </si>
  <si>
    <t xml:space="preserve">CHICOACAN PRIMERA SECCION </t>
  </si>
  <si>
    <t>QWWICOEWP6XNYS</t>
  </si>
  <si>
    <t xml:space="preserve">CHICOACAN AMPLIACION </t>
  </si>
  <si>
    <t>QWWICO5GP6XNYS</t>
  </si>
  <si>
    <t xml:space="preserve">CHICOACAN </t>
  </si>
  <si>
    <t>QWWICNQ6P6XNYS</t>
  </si>
  <si>
    <t xml:space="preserve">CENTRAL FOURNIER SEGUNDA SECCION </t>
  </si>
  <si>
    <t>QWWICNHAP6XNYS</t>
  </si>
  <si>
    <t>CENTRAL FOURNIER PRIMERA SECCION EL COLETO</t>
  </si>
  <si>
    <t>QWWICMY4P6XNYS</t>
  </si>
  <si>
    <t>CELIA GOMEZ DE ROVIROSA</t>
  </si>
  <si>
    <t>QWWICMNUP6XNYS</t>
  </si>
  <si>
    <t>CARLOS A MADRAZO</t>
  </si>
  <si>
    <t>QWWICMIUP6XNYS</t>
  </si>
  <si>
    <t xml:space="preserve">CAOBANAL SEGUNDA SECCION </t>
  </si>
  <si>
    <t>QWWICM3UP6XNYS</t>
  </si>
  <si>
    <t>CAOBANAL PRIMERA SECCION MEZCALAPA</t>
  </si>
  <si>
    <t>QWWICLZEP6XNYS</t>
  </si>
  <si>
    <t>CAOBANAL PRIMERA SECCION LA VICTORIA</t>
  </si>
  <si>
    <t>QWWICLSQP6XNYS</t>
  </si>
  <si>
    <t>CANGREJERA</t>
  </si>
  <si>
    <t>QWWICF00P6XNYS</t>
  </si>
  <si>
    <t>CAMPO REAL EL RECUERDO</t>
  </si>
  <si>
    <t>QWWICET2P6XNYS</t>
  </si>
  <si>
    <t>CAMPAMENTO GALILEA</t>
  </si>
  <si>
    <t>QWWICE88P6XNYS</t>
  </si>
  <si>
    <t>C-41 LICENCIADO CARLOS A MADRAZO</t>
  </si>
  <si>
    <t>QWWICE0GP6XNYS</t>
  </si>
  <si>
    <t>C-40 ERNESTO AGUIIRRE COLORADO</t>
  </si>
  <si>
    <t>QWWICDK2P6XNYS</t>
  </si>
  <si>
    <t>C-34 LICENCIADO BENITO JUAREZ</t>
  </si>
  <si>
    <t>QWWICDEIP6XNYS</t>
  </si>
  <si>
    <t>C-32 LICENCIADO FRANCISCO TRUJILLO GURRIA</t>
  </si>
  <si>
    <t>QWWICCX0P6XNYS</t>
  </si>
  <si>
    <t xml:space="preserve">C-31 GENERAL FRANCISCO VILLA </t>
  </si>
  <si>
    <t>QWWICBWMP6XNYS</t>
  </si>
  <si>
    <t>C-26 GENERAL PEDRO COLORADO</t>
  </si>
  <si>
    <t>QWWICBRWP6XNYS</t>
  </si>
  <si>
    <t>C-25 ISIDRO CORTES RUEDA</t>
  </si>
  <si>
    <t>QWWICBB8P6XNYS</t>
  </si>
  <si>
    <t>BUENA FE</t>
  </si>
  <si>
    <t>QWWICB2WP6XNYS</t>
  </si>
  <si>
    <t xml:space="preserve">BLASILLO CUARTA SECCION </t>
  </si>
  <si>
    <t>QWWICAZUP6XNYS</t>
  </si>
  <si>
    <t>BLASILLO SEGUNDA SECCION OTATES</t>
  </si>
  <si>
    <t>QWWIC834P6XNYS</t>
  </si>
  <si>
    <t>BLASILLO PRIMERA SECCION NICOLAS BRAVO</t>
  </si>
  <si>
    <t>QWWIC7V2P6XNYS</t>
  </si>
  <si>
    <t>BETO AGUILERA</t>
  </si>
  <si>
    <t>QWWIC75SP6XNYS</t>
  </si>
  <si>
    <t>BENITO JUAREZ SEGUNDA SECCION MONTE ALEGRE</t>
  </si>
  <si>
    <t>QWWIBYUMP6XNYS</t>
  </si>
  <si>
    <t xml:space="preserve">BENITO JUAREZ PRIMERA SECCION </t>
  </si>
  <si>
    <t>QWWIBYNOP6XNYS</t>
  </si>
  <si>
    <t>BENITO JUAREZ</t>
  </si>
  <si>
    <t>QWWIBY8OP6XNYS</t>
  </si>
  <si>
    <t>BELLOS HORIZONTES</t>
  </si>
  <si>
    <t>QWWIBY1QP6XNYS</t>
  </si>
  <si>
    <t xml:space="preserve">BELLAS ARTES </t>
  </si>
  <si>
    <t>QWWIBXY4P6XNYS</t>
  </si>
  <si>
    <t>AUREO CALLES</t>
  </si>
  <si>
    <t>QWWIBXT4P6XNYS</t>
  </si>
  <si>
    <t>AUDOMARO GURRIA</t>
  </si>
  <si>
    <t>QWWIBXCGP6XNYS</t>
  </si>
  <si>
    <t>ARRIBA Y ADELANTE</t>
  </si>
  <si>
    <t>QWWIAT76P6XNYS</t>
  </si>
  <si>
    <t>ARMANDO DE LA FUENTE</t>
  </si>
  <si>
    <t>QWWIAT2QP6XNYS</t>
  </si>
  <si>
    <t xml:space="preserve">AQUILES SERDAN PRIMERA SECCION </t>
  </si>
  <si>
    <t>QWWIASYAP6XNYS</t>
  </si>
  <si>
    <t xml:space="preserve">ANTONIO CARDENAS </t>
  </si>
  <si>
    <t>QWWIASI6P6XNYS</t>
  </si>
  <si>
    <t xml:space="preserve">AMACOHITE SEGUNDA SECCION </t>
  </si>
  <si>
    <t>QWWIASA4P6XNYS</t>
  </si>
  <si>
    <t xml:space="preserve">AMACOHITE PRIMERA SECCION </t>
  </si>
  <si>
    <t>QWWIARRIP6XNYS</t>
  </si>
  <si>
    <t>ALTO AMACOHITE TERCERA SECCION  KM 32</t>
  </si>
  <si>
    <t>QWWIARIWP6XNYS</t>
  </si>
  <si>
    <t>ALTAMIRA</t>
  </si>
  <si>
    <t>QWWIAR1OP6XNYS</t>
  </si>
  <si>
    <t>AGAPITO DOMINGUEZ CANABAL</t>
  </si>
  <si>
    <t>QWWIAQ8SP6XNYS</t>
  </si>
  <si>
    <t>VILLA CEIBA PUERTO</t>
  </si>
  <si>
    <t>QWW6MS1IP6XNYS</t>
  </si>
  <si>
    <t>RANCHO QUINTIN ARAUZ</t>
  </si>
  <si>
    <t>QWW6MRXWP6XNYS</t>
  </si>
  <si>
    <t xml:space="preserve">RANCHO ORIENTE PRIMERA SECCION </t>
  </si>
  <si>
    <t>QWW6MRTGP6XNYS</t>
  </si>
  <si>
    <t>RANCHO MONTE ADENTRO</t>
  </si>
  <si>
    <t>QWW6MRDMP6XNYS</t>
  </si>
  <si>
    <t>RANCHO MOCTEZUMA UNO</t>
  </si>
  <si>
    <t>QWW6MR28P6XNYS</t>
  </si>
  <si>
    <t>PARAISO CENTRO</t>
  </si>
  <si>
    <t>QWW6MQLKP6XNYS</t>
  </si>
  <si>
    <t>NUEVA VENECIA</t>
  </si>
  <si>
    <t>QWW6MQHYP6XNYS</t>
  </si>
  <si>
    <t>LOS VEGAS</t>
  </si>
  <si>
    <t>QWW6MQDIP6XNYS</t>
  </si>
  <si>
    <t>LOS TINTOS (ANTES LA CANDELARIA)</t>
  </si>
  <si>
    <t>QWW6MQAGP6XNYS</t>
  </si>
  <si>
    <t>LOS MANGOS</t>
  </si>
  <si>
    <t>QWW6MPSYP6XNYS</t>
  </si>
  <si>
    <t>QWW6MPPMP6XNYS</t>
  </si>
  <si>
    <t>QWW6MPKWP6XNYS</t>
  </si>
  <si>
    <t>LAS PALMAS</t>
  </si>
  <si>
    <t>QWW6MPHUP6XNYS</t>
  </si>
  <si>
    <t>QWW6MP3YP6XNYS</t>
  </si>
  <si>
    <t>FRACCIONAMIENTO TULIPANES</t>
  </si>
  <si>
    <t>QWW6MP16P6XNYS</t>
  </si>
  <si>
    <t>FRACCIONAMIENTO PRIMAVERA</t>
  </si>
  <si>
    <t>QWW6MOXAP6XNYS</t>
  </si>
  <si>
    <t xml:space="preserve">FRACCIONAMIENTO LA CEIBA </t>
  </si>
  <si>
    <t>QWW6MO80P6XNYS</t>
  </si>
  <si>
    <t>FRACCIONAMIENTO CARLOS A MADRAZO</t>
  </si>
  <si>
    <t>QWW6MO3KP6XNYS</t>
  </si>
  <si>
    <t>EMPLEADOS DE CONFIANZA DE PEMEX</t>
  </si>
  <si>
    <t>QWW6MNE0P6XNYS</t>
  </si>
  <si>
    <t>QWW6MN86P6XNYS</t>
  </si>
  <si>
    <t>QWW6MMQEP6XNYS</t>
  </si>
  <si>
    <t>EJIDO ORIENTE</t>
  </si>
  <si>
    <t>QWW6MMNWP6XNYS</t>
  </si>
  <si>
    <t>COSTA REAL</t>
  </si>
  <si>
    <t>QWW6MM14P6XNYS</t>
  </si>
  <si>
    <t>COQUITO</t>
  </si>
  <si>
    <t>QWW6MLV0P6XNYS</t>
  </si>
  <si>
    <t xml:space="preserve">BARRIO LA CANDELARIA </t>
  </si>
  <si>
    <t>QWW6MLRYP6XNYS</t>
  </si>
  <si>
    <t>BARRIO DEL CARMEN</t>
  </si>
  <si>
    <t>QWW6MLN8P6XNYS</t>
  </si>
  <si>
    <t>ADALBERTO SANTOS MAGAÑA</t>
  </si>
  <si>
    <t>QWW6ML9CP6XNYS</t>
  </si>
  <si>
    <t>QUINTIN ARAUZ UNO</t>
  </si>
  <si>
    <t>QWW6ML4MP6XNYS</t>
  </si>
  <si>
    <t>QWW6ML1UP6XNYS</t>
  </si>
  <si>
    <t>QWW6MJCGP6XNYS</t>
  </si>
  <si>
    <t>POTRERITOS</t>
  </si>
  <si>
    <t>QWW6MIQIP6XNYS</t>
  </si>
  <si>
    <t>QWW6MIMMP6XNYS</t>
  </si>
  <si>
    <t>QWW6MIIQP6XNYS</t>
  </si>
  <si>
    <t>PALESTINA</t>
  </si>
  <si>
    <t>QWW6MI4KP6XNYS</t>
  </si>
  <si>
    <t>ORIENTE SEGUNDA SECCION PALMA HUACA</t>
  </si>
  <si>
    <t>QWW6MI18P6XNYS</t>
  </si>
  <si>
    <t xml:space="preserve">ORIENTE PRIMERA SECCION  </t>
  </si>
  <si>
    <t>QWW6MHUAP6XNYS</t>
  </si>
  <si>
    <t>ORIENTE SAN CAYETANO</t>
  </si>
  <si>
    <t>QWW6MHQOP6XNYS</t>
  </si>
  <si>
    <t>ORIENTE HORMIGUERO</t>
  </si>
  <si>
    <t>QWW6MHBEP6XNYS</t>
  </si>
  <si>
    <t>OCCIDENTE SAN FRANCISCO</t>
  </si>
  <si>
    <t>QWW6MH6OP6XNYS</t>
  </si>
  <si>
    <t>QWW6MH2SP6XNYS</t>
  </si>
  <si>
    <t>NICOLAS BRAVO QUINTA SECCION PUNTA BRAVA</t>
  </si>
  <si>
    <t>QWW6MG9MP6XNYS</t>
  </si>
  <si>
    <t>NICOLAS BRAVO CUARTA SECCION TILAPA</t>
  </si>
  <si>
    <t>QWW6MFRAP6XNYS</t>
  </si>
  <si>
    <t xml:space="preserve">NICOLAS BRAVO TERCERA SECCION </t>
  </si>
  <si>
    <t>QWW6MFLGP6XNYS</t>
  </si>
  <si>
    <t>QWW6MF2UP6XNYS</t>
  </si>
  <si>
    <t>QWW6MCSCP6XNYS</t>
  </si>
  <si>
    <t>MONTE ADENTRO</t>
  </si>
  <si>
    <t>QWW6MCM8P6XNYS</t>
  </si>
  <si>
    <t>MOCTEZUMA TERCERA SECCION</t>
  </si>
  <si>
    <t>QWW6MCG4P6XNYS</t>
  </si>
  <si>
    <t xml:space="preserve">MOCTEZUMA SEGUNDA SECCION </t>
  </si>
  <si>
    <t>QWW6MBYMP6XNYS</t>
  </si>
  <si>
    <t>QWW6MBUGP6XNYS</t>
  </si>
  <si>
    <t xml:space="preserve">MOCTEZUMA FRANCISCO I MADERO TERCERA SECCION </t>
  </si>
  <si>
    <t>QWW6MBQAP6XNYS</t>
  </si>
  <si>
    <t xml:space="preserve">LIBERTAD SEGUNDA SECCION </t>
  </si>
  <si>
    <t>QWW6MB88P6XNYS</t>
  </si>
  <si>
    <t>LIBERTAD PRIMERA SECCION EL CHIVERO</t>
  </si>
  <si>
    <t>QWW6MB4MP6XNYS</t>
  </si>
  <si>
    <t xml:space="preserve">LA LIBERTAD PRIMERA SECCION </t>
  </si>
  <si>
    <t>QWW6MATIP6XNYS</t>
  </si>
  <si>
    <t>LAS FLORES TERCERA SECCION  EL CERRO</t>
  </si>
  <si>
    <t>QWW6MADOP6XNYS</t>
  </si>
  <si>
    <t xml:space="preserve">LAS FLORES SEGUNDA SECCION </t>
  </si>
  <si>
    <t>QWW6MA84P6XNYS</t>
  </si>
  <si>
    <t>QWW6MA3YP6XNYS</t>
  </si>
  <si>
    <t xml:space="preserve">LA UNION TERCERA SECCION </t>
  </si>
  <si>
    <t>QWW6M9NUP6XNYS</t>
  </si>
  <si>
    <t xml:space="preserve">LA UNION SEGUNDA SECCION </t>
  </si>
  <si>
    <t>QWW6M9IUP6XNYS</t>
  </si>
  <si>
    <t>LA UNIOM PRIMERA SECCION  AMATILLO</t>
  </si>
  <si>
    <t>QWW6M9F8P6XNYS</t>
  </si>
  <si>
    <t>LA SOLUCION SOMOS TODOS (LA ALIANZA)</t>
  </si>
  <si>
    <t>QWW6M99EP6XNYS</t>
  </si>
  <si>
    <t>JOSE MARIA MORELOS Y PAVON (EL BELLOTE)</t>
  </si>
  <si>
    <t>QWW6M7VEP6XNYS</t>
  </si>
  <si>
    <t>HUESO DE PUERCO (COLONIA QUINTIN ARAUZ)</t>
  </si>
  <si>
    <t>QWW6M7E6P6XNYS</t>
  </si>
  <si>
    <t>GUANO SOLO EL COQUITO</t>
  </si>
  <si>
    <t>QWW6M778P6XNYS</t>
  </si>
  <si>
    <t>FRANCISCO I MADERO (MADERO)</t>
  </si>
  <si>
    <t>QWW6M6ZQP6XNYS</t>
  </si>
  <si>
    <t>FRANCISCO I MADERO</t>
  </si>
  <si>
    <t>QWW6M6HEP6XNYS</t>
  </si>
  <si>
    <t>QWW6M6E2P6XNYS</t>
  </si>
  <si>
    <t>QWW6M69WP6XNYS</t>
  </si>
  <si>
    <t>EL BELLOTE SECCION TANQUE</t>
  </si>
  <si>
    <t>QWW6M5L6P6XNYS</t>
  </si>
  <si>
    <t>QWW6M5FMP6XNYS</t>
  </si>
  <si>
    <t>CHILTEPEC PUERTO CHILTEPEC</t>
  </si>
  <si>
    <t>QWW6M4ZSP6XNYS</t>
  </si>
  <si>
    <t>BARRA DE TUPILCO</t>
  </si>
  <si>
    <t>QWW6M4SAP6XNYS</t>
  </si>
  <si>
    <t>QWW6M4NUP6XNYS</t>
  </si>
  <si>
    <t xml:space="preserve">ANDRES GARCIA LA ISLA </t>
  </si>
  <si>
    <t>QWW6M476P6XNYS</t>
  </si>
  <si>
    <t>XOCHIMILCO</t>
  </si>
  <si>
    <t>QWW6HOEOP6XNYS</t>
  </si>
  <si>
    <t>VILLAS DE ORIENTES</t>
  </si>
  <si>
    <t>QWW6HO6WP6XNYS</t>
  </si>
  <si>
    <t>VILLA TECOLUTILLA</t>
  </si>
  <si>
    <t>QWW6HNRWP6XNYS</t>
  </si>
  <si>
    <t>VILLA CHICHICAPA</t>
  </si>
  <si>
    <t>QWW6HNN6P6XNYS</t>
  </si>
  <si>
    <t xml:space="preserve">VILLA ALDAMA PRIMERA SECCION </t>
  </si>
  <si>
    <t>QWW6HNJAP6XNYS</t>
  </si>
  <si>
    <t>QWW6HNF4P6XNYS</t>
  </si>
  <si>
    <t>TOMAS GARRIDO</t>
  </si>
  <si>
    <t>QWW6HN0EP6XNYS</t>
  </si>
  <si>
    <t>SOLIDARIDAD</t>
  </si>
  <si>
    <t>QWW6HMXCP6XNYS</t>
  </si>
  <si>
    <t>QWW6HMUUP6XNYS</t>
  </si>
  <si>
    <t>SANTA AMALIA</t>
  </si>
  <si>
    <t>QWW6HMPKP6XNYS</t>
  </si>
  <si>
    <t>SAN SILVERIO</t>
  </si>
  <si>
    <t>QWW6HM6YP6XNYS</t>
  </si>
  <si>
    <t>SAN MIGUEL</t>
  </si>
  <si>
    <t>QWW6HM3CP6XNYS</t>
  </si>
  <si>
    <t>SAN FRANCISCO</t>
  </si>
  <si>
    <t>QWW6HM0UP6XNYS</t>
  </si>
  <si>
    <t xml:space="preserve">RANCHO NORTE PRIMERA SECCION </t>
  </si>
  <si>
    <t>QWW6HLY2P6XNYS</t>
  </si>
  <si>
    <t xml:space="preserve">RANCHO CAPITAN REYES HERNANDEZ SEGUNDA SECCION </t>
  </si>
  <si>
    <t>QWW6HLTMP6XNYS</t>
  </si>
  <si>
    <t>PRESIDENTES MUNICIPALES</t>
  </si>
  <si>
    <t>QWW6HL92P6XNYS</t>
  </si>
  <si>
    <t>MORELOS</t>
  </si>
  <si>
    <t>QWW6HL1UP6XNYS</t>
  </si>
  <si>
    <t xml:space="preserve">LAZARO CARDENAS DEL RIO </t>
  </si>
  <si>
    <t>QWW6HKJ8P6XNYS</t>
  </si>
  <si>
    <t>LA ESPERANZA</t>
  </si>
  <si>
    <t>QWW6HKEIP6XNYS</t>
  </si>
  <si>
    <t>QWW6HKC0P6XNYS</t>
  </si>
  <si>
    <t>INFONAVIT COMALCALCO</t>
  </si>
  <si>
    <t>QWW6HJYEP6XNYS</t>
  </si>
  <si>
    <t xml:space="preserve">GUSTAVO DE LA FUENTE DORANTES </t>
  </si>
  <si>
    <t>QWW6HJV2P6XNYS</t>
  </si>
  <si>
    <t>FRACCIONAMIENTO VILLA MAYA</t>
  </si>
  <si>
    <t>QWW6HJPIP6XNYS</t>
  </si>
  <si>
    <t>FRACCIONAMIENTO TOMAS GARRIDO</t>
  </si>
  <si>
    <t>QWW6HJL2P6XNYS</t>
  </si>
  <si>
    <t>FRACCIONAMIENTO SANTO DOMINGO</t>
  </si>
  <si>
    <t>QWW6HJ62P6XNYS</t>
  </si>
  <si>
    <t>FRACCIONAMIENTO SAN ISIDRO</t>
  </si>
  <si>
    <t>QWW6HI90P6XNYS</t>
  </si>
  <si>
    <t xml:space="preserve">FRACCIONAMIENTO LAS ROSAS </t>
  </si>
  <si>
    <t>QWW6HI1SP6XNYS</t>
  </si>
  <si>
    <t xml:space="preserve">FRACCIONAMIENTO LAS DELICIAS </t>
  </si>
  <si>
    <t>QWW6HHN2P6XNYS</t>
  </si>
  <si>
    <t>QWW6HHJ6P6XNYS</t>
  </si>
  <si>
    <t>EMPLEADO DE CONFIANZA</t>
  </si>
  <si>
    <t>QWW6HHE6P6XNYS</t>
  </si>
  <si>
    <t>COMALCALCO CENTRO</t>
  </si>
  <si>
    <t>QWW6HHAUP6XNYS</t>
  </si>
  <si>
    <t>BUENA VISTA</t>
  </si>
  <si>
    <t>QWW6HH82P6XNYS</t>
  </si>
  <si>
    <t>BELEN</t>
  </si>
  <si>
    <t>QWW6HGUQP6XNYS</t>
  </si>
  <si>
    <t xml:space="preserve">ZAPOTAL TERCERA SECCION </t>
  </si>
  <si>
    <t>QWW6HGO2P6XNYS</t>
  </si>
  <si>
    <t xml:space="preserve">ZAPOTAL SEGUNDA SECCION </t>
  </si>
  <si>
    <t>QWW6HGLAP6XNYS</t>
  </si>
  <si>
    <t xml:space="preserve">ZAPOTAL PRIMERA SECCION </t>
  </si>
  <si>
    <t>QWW6HG1KP6XNYS</t>
  </si>
  <si>
    <t>USPI</t>
  </si>
  <si>
    <t>QWW6HFXEP6XNYS</t>
  </si>
  <si>
    <t>QWW6HFUMP6XNYS</t>
  </si>
  <si>
    <t>TRANSITO TULAR</t>
  </si>
  <si>
    <t>QWW6HFRAP6XNYS</t>
  </si>
  <si>
    <t>TECOLUTILLA RIBERITA</t>
  </si>
  <si>
    <t>QWW6HFNEP6XNYS</t>
  </si>
  <si>
    <t>QWW6HF84P6XNYS</t>
  </si>
  <si>
    <t xml:space="preserve">TIO MONCHO </t>
  </si>
  <si>
    <t>QWW6HF52P6XNYS</t>
  </si>
  <si>
    <t>SUR ALDAMA</t>
  </si>
  <si>
    <t>QWW6HEIKP6XNYS</t>
  </si>
  <si>
    <t xml:space="preserve">SUR QUINTA SECCION </t>
  </si>
  <si>
    <t>QWW6HEFSP6XNYS</t>
  </si>
  <si>
    <t xml:space="preserve">SUR CUARTA SECCION </t>
  </si>
  <si>
    <t>QWW6HECQP6XNYS</t>
  </si>
  <si>
    <t>SUR TERCERA SECCION EL ZAPOTE</t>
  </si>
  <si>
    <t>QWW6HE9EP6XNYS</t>
  </si>
  <si>
    <t>SUR SEGUNDA SECCION LA TRINIDAD</t>
  </si>
  <si>
    <t>QWW6HDF4P6XNYS</t>
  </si>
  <si>
    <t xml:space="preserve">SUR PRIMERA SECCION </t>
  </si>
  <si>
    <t>QWW6HCY6P6XNYS</t>
  </si>
  <si>
    <t xml:space="preserve">SARGENTO LOPEZ CUARTA SECCION </t>
  </si>
  <si>
    <t>QWW6HCUKP6XNYS</t>
  </si>
  <si>
    <t>SARGENTO LOPEZ TERCERA SECCION SAN JORGE</t>
  </si>
  <si>
    <t>QWW6HCQ4P6XNYS</t>
  </si>
  <si>
    <t>SARGENTO LOPEZ SEGUNDA SECCION EL CHUZO</t>
  </si>
  <si>
    <t>QWW6HC82P6XNYS</t>
  </si>
  <si>
    <t xml:space="preserve">SARGENTO LOPEZ PRIMERA SECCION </t>
  </si>
  <si>
    <t>QWW6HC3WP6XNYS</t>
  </si>
  <si>
    <t>SANTA LUCIA CHICHICAPA</t>
  </si>
  <si>
    <t>QWW6HBYMP6XNYS</t>
  </si>
  <si>
    <t>SAN FERNANDO PUEBLO NUEVO</t>
  </si>
  <si>
    <t>QWW6HBTCP6XNYS</t>
  </si>
  <si>
    <t>REYES HERNANDES PRIMERA SECCION</t>
  </si>
  <si>
    <t>QWW6HAEIP6XNYS</t>
  </si>
  <si>
    <t xml:space="preserve">REYES HERNANDEZ SEGUNDA SECCION </t>
  </si>
  <si>
    <t>QWW6HA8OP6XNYS</t>
  </si>
  <si>
    <t xml:space="preserve">RIO PLAYA LOS POCHITOQUES </t>
  </si>
  <si>
    <t>QWW6H9TEP6XNYS</t>
  </si>
  <si>
    <t xml:space="preserve">PROGRESO TULAR SEGUNDA SECCION </t>
  </si>
  <si>
    <t>QWW6H9NUP6XNYS</t>
  </si>
  <si>
    <t xml:space="preserve">PROGRESO TULAR PRIMERA SECCION </t>
  </si>
  <si>
    <t>QWW6H9JEP6XNYS</t>
  </si>
  <si>
    <t>POTRERILLO</t>
  </si>
  <si>
    <t>QWW6H93UP6XNYS</t>
  </si>
  <si>
    <t xml:space="preserve">PATASTAL TERCERA SECCION </t>
  </si>
  <si>
    <t>QWW6H908P6XNYS</t>
  </si>
  <si>
    <t xml:space="preserve">PATASTAL SEGUNDA SECCION </t>
  </si>
  <si>
    <t>QWW6H8UEP6XNYS</t>
  </si>
  <si>
    <t xml:space="preserve">PATASTAL PRIMERA SECCION </t>
  </si>
  <si>
    <t>QWW6H8Q8P6XNYS</t>
  </si>
  <si>
    <t>PASO DE CUPILCO</t>
  </si>
  <si>
    <t>QWW6H84UP6XNYS</t>
  </si>
  <si>
    <t>ORIENTE SEXTA SECCION  LOS MULATOS</t>
  </si>
  <si>
    <t>QWW6H7Z0P6XNYS</t>
  </si>
  <si>
    <t xml:space="preserve">ORIENTE QUINTA SECCION LA CANDELARIA </t>
  </si>
  <si>
    <t>QWW6GCNIP6XNYS</t>
  </si>
  <si>
    <t xml:space="preserve">ORIENTE CUARTA SECCION TRIPA CIEGA </t>
  </si>
  <si>
    <t>QWW6GCHYP6XNYS</t>
  </si>
  <si>
    <t xml:space="preserve">ORIENTE TERCERA SECCION </t>
  </si>
  <si>
    <t>QWW6GCB0P6XNYS</t>
  </si>
  <si>
    <t xml:space="preserve">ORIENTE SEGUNDA SECCION SAN CAYETANO </t>
  </si>
  <si>
    <t>QWW6GBWKP6XNYS</t>
  </si>
  <si>
    <t>ORIENTE PRIMERA SECCION SANTO DOMINGO</t>
  </si>
  <si>
    <t>QWW6GBRAP6XNYS</t>
  </si>
  <si>
    <t xml:space="preserve">ORIENTE PRIMERA SECCION </t>
  </si>
  <si>
    <t>QWW6GBKMP6XNYS</t>
  </si>
  <si>
    <t>ORIENTE</t>
  </si>
  <si>
    <t>QWW6GB5MP6XNYS</t>
  </si>
  <si>
    <t xml:space="preserve">OCCIDENTE VILLA ALDAMA </t>
  </si>
  <si>
    <t>QWW6GB3EP6XNYS</t>
  </si>
  <si>
    <t xml:space="preserve">OCCIDENTE CUARTA SECCION </t>
  </si>
  <si>
    <t>QWW6GB02P6XNYS</t>
  </si>
  <si>
    <t>OCCIDENTE TERCERA SECCION</t>
  </si>
  <si>
    <t>QWW6GAX0P6XNYS</t>
  </si>
  <si>
    <t xml:space="preserve">OCCIDENTE SEGUNDA SECCION </t>
  </si>
  <si>
    <t>QWW6GAT4P6XNYS</t>
  </si>
  <si>
    <t xml:space="preserve">OCCIDENTE PRIMERA SECCION </t>
  </si>
  <si>
    <t>QWW6GAEYP6XNYS</t>
  </si>
  <si>
    <t xml:space="preserve">NOVILLERO CUARTA SECCION </t>
  </si>
  <si>
    <t>QWW6GAB2P6XNYS</t>
  </si>
  <si>
    <t xml:space="preserve">NORTE SEGUNDA SECCION </t>
  </si>
  <si>
    <t>QWW6GA6WP6XNYS</t>
  </si>
  <si>
    <t xml:space="preserve">NORTE PRIMERA SECCION SAN JULIAN  </t>
  </si>
  <si>
    <t>QWW6GA1WP6XNYS</t>
  </si>
  <si>
    <t>NORTE PRIMERA SECCION BUENA VISTA</t>
  </si>
  <si>
    <t>QWW6G9LSP6XNYS</t>
  </si>
  <si>
    <t>QWW6G9HCP6XNYS</t>
  </si>
  <si>
    <t xml:space="preserve">LEON ZARATE SEGUNDA SECCION </t>
  </si>
  <si>
    <t>QWW6G9DQP6XNYS</t>
  </si>
  <si>
    <t>LAZARO CARDENAS TERCERA SECCION</t>
  </si>
  <si>
    <t>QWW6G97WP6XNYS</t>
  </si>
  <si>
    <t>LAZARO CARDENAS SEGUNDA SECCION EL RETIRO</t>
  </si>
  <si>
    <t>QWW6G8SMP6XNYS</t>
  </si>
  <si>
    <t xml:space="preserve">LAZARO CARDENAS PRIMERA SECCION </t>
  </si>
  <si>
    <t>QWW6G8NWP6XNYS</t>
  </si>
  <si>
    <t>LAGARTERA</t>
  </si>
  <si>
    <t>QWW6G2ISP6XNYS</t>
  </si>
  <si>
    <t>JOSE MARIA PINO SUAREZ TERCERA SECCION CORINTO</t>
  </si>
  <si>
    <t>QWW6G2EMP6XNYS</t>
  </si>
  <si>
    <t>QWW6G1XEP6XNYS</t>
  </si>
  <si>
    <t xml:space="preserve">JOSE MARIA PINO SUAREZ PRIMERA SECCION </t>
  </si>
  <si>
    <t>QWW6G1SYP6XNYS</t>
  </si>
  <si>
    <t>JESUS CARRANZA</t>
  </si>
  <si>
    <t>QWW6G1MKP6XNYS</t>
  </si>
  <si>
    <t xml:space="preserve">INDEPENDENCIA TERCERA SECCION </t>
  </si>
  <si>
    <t>QWW6G1K2P6XNYS</t>
  </si>
  <si>
    <t xml:space="preserve">INDEPENDENCIA SEGUNDA SECCION </t>
  </si>
  <si>
    <t>QWW6G0Z8P6XNYS</t>
  </si>
  <si>
    <t xml:space="preserve">INDEPENDECIA PRIMERA SECCION </t>
  </si>
  <si>
    <t>QWW6G0U8P6XNYS</t>
  </si>
  <si>
    <t>INDEPENDECIA</t>
  </si>
  <si>
    <t>QWW6G0QCP6XNYS</t>
  </si>
  <si>
    <t>IGNACIO ZARAGOZA CUARTA SECCION SAN ANDRES</t>
  </si>
  <si>
    <t>QWW6G0BWP6XNYS</t>
  </si>
  <si>
    <t xml:space="preserve">IGNACIO ZARAGOZA SEGUNDA SECCION </t>
  </si>
  <si>
    <t>QWW6G05SP6XNYS</t>
  </si>
  <si>
    <t xml:space="preserve">IGNACIO ZARAGOZA TERCERA SECCION </t>
  </si>
  <si>
    <t>QWW6FZK4P6XNYS</t>
  </si>
  <si>
    <t xml:space="preserve">IGNACIO ZARAGOZA PRIMERA SECCION </t>
  </si>
  <si>
    <t>QWW6FZ9KP6XNYS</t>
  </si>
  <si>
    <t xml:space="preserve">IGNACIO GUTIERREZ GOMEZ </t>
  </si>
  <si>
    <t>QWW6FYSCP6XNYS</t>
  </si>
  <si>
    <t xml:space="preserve">HEMEREGILDO GALEANA </t>
  </si>
  <si>
    <t>QWW6FYNCP6XNYS</t>
  </si>
  <si>
    <t xml:space="preserve">GUAYO TERCERA SECCION </t>
  </si>
  <si>
    <t>QWW6FYJ6P6XNYS</t>
  </si>
  <si>
    <t xml:space="preserve">GUAYO SEGUNDA SECCION </t>
  </si>
  <si>
    <t>QWW6FYFUP6XNYS</t>
  </si>
  <si>
    <t xml:space="preserve">GUAYO PRIMERA SECCION </t>
  </si>
  <si>
    <t>QWW6FY0KP6XNYS</t>
  </si>
  <si>
    <t xml:space="preserve">GUATEMALAN </t>
  </si>
  <si>
    <t>QWW6FXWOP6XNYS</t>
  </si>
  <si>
    <t>GREGORIO MENDEZ CUARTA SECCION EL SANTIAGO</t>
  </si>
  <si>
    <t>QWW6FX06P6XNYS</t>
  </si>
  <si>
    <t xml:space="preserve">GREGORIO MENDEZ TERCERA SECCION </t>
  </si>
  <si>
    <t>QWW6FWH0P6XNYS</t>
  </si>
  <si>
    <t>QWW6FWA2P6XNYS</t>
  </si>
  <si>
    <t xml:space="preserve">GREGORIO MENDEZ PRIMERA SECCION </t>
  </si>
  <si>
    <t>QWW6FW3EP6XNYS</t>
  </si>
  <si>
    <t xml:space="preserve">GOBERNADORES </t>
  </si>
  <si>
    <t>QWW6FVO4P6XNYS</t>
  </si>
  <si>
    <t xml:space="preserve">FRANCISCI TRUJILLO GURRIA </t>
  </si>
  <si>
    <t>QWW6FVL2P6XNYS</t>
  </si>
  <si>
    <t xml:space="preserve">FRANCISCO I MADERO SEGUNDA SECCION </t>
  </si>
  <si>
    <t>QWW6FVGMP6XNYS</t>
  </si>
  <si>
    <t xml:space="preserve">FRANCISCO I MADERO PRIMERA SECCION </t>
  </si>
  <si>
    <t>QWW6FVD0P6XNYS</t>
  </si>
  <si>
    <t>QWW6FUVIP6XNYS</t>
  </si>
  <si>
    <t xml:space="preserve">EMILIANO ZAPATA PRIMERA SECCION </t>
  </si>
  <si>
    <t>QWW6FUOAP6XNYS</t>
  </si>
  <si>
    <t>EL ANGEL</t>
  </si>
  <si>
    <t>QWW6FUKOP6XNYS</t>
  </si>
  <si>
    <t>CUXCUXAPA</t>
  </si>
  <si>
    <t>QWW6FU72P6XNYS</t>
  </si>
  <si>
    <t>CUPILCO</t>
  </si>
  <si>
    <t>QWW6FTDWP6XNYS</t>
  </si>
  <si>
    <t>QWW6FTAKP6XNYS</t>
  </si>
  <si>
    <t>COCOHITAL DOS</t>
  </si>
  <si>
    <t>QWW6FT7IP6XNYS</t>
  </si>
  <si>
    <t>COCOHITAL</t>
  </si>
  <si>
    <t>QWW6FT4GP6XNYS</t>
  </si>
  <si>
    <t>CHICOZAPOTE</t>
  </si>
  <si>
    <t>QWW6FSMOP6XNYS</t>
  </si>
  <si>
    <t>CHICHICAPA DOS</t>
  </si>
  <si>
    <t>QWW6FSIIP6XNYS</t>
  </si>
  <si>
    <t>CHICHICAPA</t>
  </si>
  <si>
    <t>QWW6FSEMP6XNYS</t>
  </si>
  <si>
    <t>CHAMPA DE CUPILCO</t>
  </si>
  <si>
    <t>QWW6FSBAP6XNYS</t>
  </si>
  <si>
    <t xml:space="preserve">CENTRO TULAR SEGUNDA SECCION </t>
  </si>
  <si>
    <t>QWW6FRWKP6XNYS</t>
  </si>
  <si>
    <t xml:space="preserve">CENTRO TULAR PRIMERA SECCION </t>
  </si>
  <si>
    <t>QWW6FRSEP6XNYS</t>
  </si>
  <si>
    <t>QWW6FRNEP6XNYS</t>
  </si>
  <si>
    <t xml:space="preserve">CARLOS GREEN CUARTA SECCION </t>
  </si>
  <si>
    <t>QWW6FR02P6XNYS</t>
  </si>
  <si>
    <t xml:space="preserve">CARLOS GREEN SEGUNDA SECCION </t>
  </si>
  <si>
    <t>QWW6FQVMP6XNYS</t>
  </si>
  <si>
    <t xml:space="preserve">CARLOS GREEN TERCERA SECCION </t>
  </si>
  <si>
    <t>QWW6FQD0P6XNYS</t>
  </si>
  <si>
    <t>CARLOS GREEN PRIMERA SECCION TRES</t>
  </si>
  <si>
    <t>QWW6FQ7QP6XNYS</t>
  </si>
  <si>
    <t>CARLOS GREEN PRIMERA SECCION DOS</t>
  </si>
  <si>
    <t>QWW6FQ3KP6XNYS</t>
  </si>
  <si>
    <t xml:space="preserve">CARLOS GREEN </t>
  </si>
  <si>
    <t>QWW6FPYUP6XNYS</t>
  </si>
  <si>
    <t>BETANIA</t>
  </si>
  <si>
    <t>QWW6FPKEP6XNYS</t>
  </si>
  <si>
    <t>BELISARIO DOMINGUEZ</t>
  </si>
  <si>
    <t>QWW6FPHCP6XNYS</t>
  </si>
  <si>
    <t xml:space="preserve">ARROYO HONDO CUARTA SECCION </t>
  </si>
  <si>
    <t>QWW6FPDQP6XNYS</t>
  </si>
  <si>
    <t xml:space="preserve">ARROYO HONDO TERCERA SECCION </t>
  </si>
  <si>
    <t>QWW6FP7WP6XNYS</t>
  </si>
  <si>
    <t xml:space="preserve">ARROYO HONDO SEGUNDA SECCION </t>
  </si>
  <si>
    <t>QWW6FORSP6XNYS</t>
  </si>
  <si>
    <t>ARROYO HONDO PRIMERA SECCION GUACIMO</t>
  </si>
  <si>
    <t>QWW6FOM8P6XNYS</t>
  </si>
  <si>
    <t>ARENA SEXTA SECCION LA BOLSA</t>
  </si>
  <si>
    <t>QWW6FOFUP6XNYS</t>
  </si>
  <si>
    <t xml:space="preserve">ARENA QUINTA SECCION </t>
  </si>
  <si>
    <t>QWW6FO00P6XNYS</t>
  </si>
  <si>
    <t xml:space="preserve">ARENA CUARTA SECCION </t>
  </si>
  <si>
    <t>QWW6FNWOP6XNYS</t>
  </si>
  <si>
    <t xml:space="preserve">ARENA TERCERA SECCION </t>
  </si>
  <si>
    <t>QWW6FNU6P6XNYS</t>
  </si>
  <si>
    <t xml:space="preserve">ARENA SEGUNDA SECCION </t>
  </si>
  <si>
    <t>QWW6FNQKP6XNYS</t>
  </si>
  <si>
    <t xml:space="preserve">ARENA PRIMERA SECCION </t>
  </si>
  <si>
    <t>QWW6FNMYP6XNYS</t>
  </si>
  <si>
    <t>ALDAMA CUARTA SECCION EL NARANJITO</t>
  </si>
  <si>
    <t>QWW6FN8IP6XNYS</t>
  </si>
  <si>
    <t>ALDAMA TERCERA SECCION HUAPACALITO</t>
  </si>
  <si>
    <t>QWW6FN38P6XNYS</t>
  </si>
  <si>
    <t>ALDAMA SEGUNDA SECCION FERNANDO SEGOVIA</t>
  </si>
  <si>
    <t>QWW6FMWAP6XNYS</t>
  </si>
  <si>
    <t>QWW6FMD4P6XNYS</t>
  </si>
  <si>
    <t>OBRERA A</t>
  </si>
  <si>
    <t>QWW6FLJ4P6XNYS</t>
  </si>
  <si>
    <t>QWW6FLFSP6XNYS</t>
  </si>
  <si>
    <t xml:space="preserve">LIBERTAD PRIMERA SECCION </t>
  </si>
  <si>
    <t>QWW6FLBWP6XNYS</t>
  </si>
  <si>
    <t>LA PLAYITA</t>
  </si>
  <si>
    <t>QWW6FKX6P6XNYS</t>
  </si>
  <si>
    <t>JARDINES DEL BOSQUE</t>
  </si>
  <si>
    <t>QWW6FKUOP6XNYS</t>
  </si>
  <si>
    <t xml:space="preserve">HUIMANGO SEGUNDA SECCCION </t>
  </si>
  <si>
    <t>QWW6FKQ8P6XNYS</t>
  </si>
  <si>
    <t>FRACCIONAMIENTO SAN ANTONIO</t>
  </si>
  <si>
    <t>QWW6FKKYP6XNYS</t>
  </si>
  <si>
    <t>FRACCIONAMIENTO SALAMANCA</t>
  </si>
  <si>
    <t>QWW6FK5OP6XNYS</t>
  </si>
  <si>
    <t>FRACCIONAMIENTO LAS FINCAS</t>
  </si>
  <si>
    <t>QWW6FK1IP6XNYS</t>
  </si>
  <si>
    <t>FRACCIONAMIENTO CUANDUACAN 2000</t>
  </si>
  <si>
    <t>QWW6FJUKP6XNYS</t>
  </si>
  <si>
    <t xml:space="preserve">FRACCIONAMIENTO ATENAS </t>
  </si>
  <si>
    <t>QWW6FJE6P6XNYS</t>
  </si>
  <si>
    <t>EJIDO TULAR</t>
  </si>
  <si>
    <t>QWW6FJ9GP6XNYS</t>
  </si>
  <si>
    <t>CUNDUACAN CENTRO</t>
  </si>
  <si>
    <t>QWW6FJ64P6XNYS</t>
  </si>
  <si>
    <t>CRISTAL</t>
  </si>
  <si>
    <t>QWW6FIKGP6XNYS</t>
  </si>
  <si>
    <t>BARRIO SANTIAGUITO</t>
  </si>
  <si>
    <t>QWW6FIHYP6XNYS</t>
  </si>
  <si>
    <t xml:space="preserve">ABRAHAM DE LA CRUZ </t>
  </si>
  <si>
    <t>QWW6FIE2P6XNYS</t>
  </si>
  <si>
    <t>11 DE FEBRERO</t>
  </si>
  <si>
    <t>QWW6FI9WP6XNYS</t>
  </si>
  <si>
    <t xml:space="preserve">YOLOXOCHITL TERCERA SECCION </t>
  </si>
  <si>
    <t>QWW6FHN4P6XNYS</t>
  </si>
  <si>
    <t>YOLOXOCHITL PRIMERA SECCION</t>
  </si>
  <si>
    <t>QWW6FH2UP6XNYS</t>
  </si>
  <si>
    <t>YOLOXOCHITL SEGUNDA SECCION SAN SEVERO</t>
  </si>
  <si>
    <t>QWW6FGRGP6XNYS</t>
  </si>
  <si>
    <t xml:space="preserve">YOLOXOCHITL SEGUNDA SECCION </t>
  </si>
  <si>
    <t>QWW6FG6CP6XNYS</t>
  </si>
  <si>
    <t>YOLOXOCHITL ESCOBILLAL</t>
  </si>
  <si>
    <t>QWW6FG1WP6XNYS</t>
  </si>
  <si>
    <t>TIERRA Y LIBERTAD</t>
  </si>
  <si>
    <t>QWW6FFG8P6XNYS</t>
  </si>
  <si>
    <t>SANTO TOMAS</t>
  </si>
  <si>
    <t>QWW6FFAEP6XNYS</t>
  </si>
  <si>
    <t>QWW6FF72P6XNYS</t>
  </si>
  <si>
    <t>SANTA ISABEL</t>
  </si>
  <si>
    <t>QWW6FF4AP6XNYS</t>
  </si>
  <si>
    <t>QWW6FEPKP6XNYS</t>
  </si>
  <si>
    <t>SAN PEDRO CUMUAPA</t>
  </si>
  <si>
    <t>QWW6FENCP6XNYS</t>
  </si>
  <si>
    <t>SAN ELIGIO</t>
  </si>
  <si>
    <t>QWW6FEKKP6XNYS</t>
  </si>
  <si>
    <t>SAN BENITO TIERRA Y LIBERTAD</t>
  </si>
  <si>
    <t>QWW6FEI2P6XNYS</t>
  </si>
  <si>
    <t>QWW6FEDMP6XNYS</t>
  </si>
  <si>
    <t>RIO SECO TERCERA SECCION LA PLAYITA</t>
  </si>
  <si>
    <t>QWW6FDZQP6XNYS</t>
  </si>
  <si>
    <t>RIO SECO SEGUNDA SECCION SANTIAGUITO</t>
  </si>
  <si>
    <t>QWW6FDTMP6XNYS</t>
  </si>
  <si>
    <t xml:space="preserve">RIO SECO PRIMERA SECCION </t>
  </si>
  <si>
    <t>QWW6FDOMP6XNYS</t>
  </si>
  <si>
    <t>QWW6FDKQP6XNYS</t>
  </si>
  <si>
    <t xml:space="preserve">PLATANO SEGUNDA SECCION </t>
  </si>
  <si>
    <t>QWW6FD6KP6XNYS</t>
  </si>
  <si>
    <t xml:space="preserve">PLATANO PRIMERA SECCION </t>
  </si>
  <si>
    <t>QWW6FCZ2P6XNYS</t>
  </si>
  <si>
    <t>PECHUCALCO SEGUNDA SECCION LAS CRUCES</t>
  </si>
  <si>
    <t>QWW6FCTIP6XNYS</t>
  </si>
  <si>
    <t>PECHUCALCO</t>
  </si>
  <si>
    <t>QWW6FCDEP6XNYS</t>
  </si>
  <si>
    <t>OSCAR GOMEZ SAUZ</t>
  </si>
  <si>
    <t>QWW6FC9SP6XNYS</t>
  </si>
  <si>
    <t xml:space="preserve">ONCE DE FEBRERRO SEGUNDA SECCION </t>
  </si>
  <si>
    <t>QWW6FC66P6XNYS</t>
  </si>
  <si>
    <t xml:space="preserve">ONCE DE FEBRERO PRIMERA SECCION </t>
  </si>
  <si>
    <t>QWW6FC2KP6XNYS</t>
  </si>
  <si>
    <t>ONCE DE FEBRERO CAMPO BELLOTA</t>
  </si>
  <si>
    <t>QWW6FBNUP6XNYS</t>
  </si>
  <si>
    <t>NUEVA ESPERANZA</t>
  </si>
  <si>
    <t>QWW6FAPEP6XNYS</t>
  </si>
  <si>
    <t>QWW6F6MQP6XNYS</t>
  </si>
  <si>
    <t xml:space="preserve">MORELOS PIEDRA TERCERA SECCION </t>
  </si>
  <si>
    <t>QWW6F694P6XNYS</t>
  </si>
  <si>
    <t>MONTERREY</t>
  </si>
  <si>
    <t>QWW6F5ZOP6XNYS</t>
  </si>
  <si>
    <t xml:space="preserve">MIAHUATLAN TERCERA SECCION </t>
  </si>
  <si>
    <t>QWW6F5HWP6XNYS</t>
  </si>
  <si>
    <t xml:space="preserve">MIAHUATLAN SEGUNDA SECCION </t>
  </si>
  <si>
    <t>QWW6F5E0P6XNYS</t>
  </si>
  <si>
    <t xml:space="preserve">MIAHUATLAN PRIMERA SECCION </t>
  </si>
  <si>
    <t>QWW6F5A4P6XNYS</t>
  </si>
  <si>
    <t>MIAHUATLAN SAN NICOLAS</t>
  </si>
  <si>
    <t>QWW6F54KP6XNYS</t>
  </si>
  <si>
    <t>MIAHUATLAN SAN ISIDRO</t>
  </si>
  <si>
    <t>QWW6F4PKP6XNYS</t>
  </si>
  <si>
    <t>MIAHUATLAN SAN GREGORIO</t>
  </si>
  <si>
    <t>QWW6F4M8P6XNYS</t>
  </si>
  <si>
    <t>MIAHUATLAN SAN ANTONIO</t>
  </si>
  <si>
    <t>QWW6F4GEP6XNYS</t>
  </si>
  <si>
    <t>MARIO BARRUETA GARCIA</t>
  </si>
  <si>
    <t>QWW6F3ZGP6XNYS</t>
  </si>
  <si>
    <t>MARIN (RAMPA DE PANUNCIO)</t>
  </si>
  <si>
    <t>QWW6F3VKP6XNYS</t>
  </si>
  <si>
    <t>MARIN</t>
  </si>
  <si>
    <t>QWW6F3PGP6XNYS</t>
  </si>
  <si>
    <t>MANTILLA</t>
  </si>
  <si>
    <t>QWW6F3MOP6XNYS</t>
  </si>
  <si>
    <t>LOS CERROS</t>
  </si>
  <si>
    <t>QWW6F37OP6XNYS</t>
  </si>
  <si>
    <t>LOS CEDROS</t>
  </si>
  <si>
    <t>QWW6F34WP6XNYS</t>
  </si>
  <si>
    <t>LOS AGUILARES</t>
  </si>
  <si>
    <t>QWW6F324P6XNYS</t>
  </si>
  <si>
    <t>LIBERTAD SEXTA SECCION (LOS MARTINEZ)</t>
  </si>
  <si>
    <t>QWW6F2Y8P6XNYS</t>
  </si>
  <si>
    <t xml:space="preserve">LIBERTAD QUINTA SECCION </t>
  </si>
  <si>
    <t>QWW6F2SYP6XNYS</t>
  </si>
  <si>
    <t>LIBERTAD CUARTA SECCION (VICENTE GUERRERO)</t>
  </si>
  <si>
    <t>QWW6E7J4P6XNYS</t>
  </si>
  <si>
    <t>LIBERTAD TERCERA SECCION (MONTE GRANDE)</t>
  </si>
  <si>
    <t>QWW6E7C6P6XNYS</t>
  </si>
  <si>
    <t>QWW6E76WP6XNYS</t>
  </si>
  <si>
    <t>LIBERTAD (COLONIA LAS PALMITAS)</t>
  </si>
  <si>
    <t>QWW6E6RWP6XNYS</t>
  </si>
  <si>
    <t>QWW6E6HMP6XNYS</t>
  </si>
  <si>
    <t>LAGUNA DE CUCUYULAPA</t>
  </si>
  <si>
    <t>QWW6E6EUP6XNYS</t>
  </si>
  <si>
    <t xml:space="preserve">LA PIEDRA CUARTA SECCION </t>
  </si>
  <si>
    <t>QWW6E604P6XNYS</t>
  </si>
  <si>
    <t xml:space="preserve">LA PIEDRA TERCERA SECCION </t>
  </si>
  <si>
    <t>QWW6E5WSP6XNYS</t>
  </si>
  <si>
    <t>LA PIEDRA SEGUNDA SECCION LA CANDELARIA</t>
  </si>
  <si>
    <t>QWW6E5SMP6XNYS</t>
  </si>
  <si>
    <t xml:space="preserve">LA PIEDRA SEGUNDA SECCION </t>
  </si>
  <si>
    <t>QWW6E5OQP6XNYS</t>
  </si>
  <si>
    <t xml:space="preserve">LA PIEDRA PRIMERA SECCION </t>
  </si>
  <si>
    <t>QWW6E5L4P6XNYS</t>
  </si>
  <si>
    <t>QWW6E528P6XNYS</t>
  </si>
  <si>
    <t>LA ISLA</t>
  </si>
  <si>
    <t>QWW6E500P6XNYS</t>
  </si>
  <si>
    <t>LA ESMERALDA</t>
  </si>
  <si>
    <t>QWW6E4XSP6XNYS</t>
  </si>
  <si>
    <t>LA CHONITA</t>
  </si>
  <si>
    <t>QWW6E4UQP6XNYS</t>
  </si>
  <si>
    <t>JOSE MARIA PINO SUAREZ</t>
  </si>
  <si>
    <t>QWW6E44MP6XNYS</t>
  </si>
  <si>
    <t>JOSE MARIA MORELOS Y PAVON (MORELITOS)</t>
  </si>
  <si>
    <t>QWW6E3NEP6XNYS</t>
  </si>
  <si>
    <t>IGNACIO ZARAGOZA</t>
  </si>
  <si>
    <t>QWW6E3IYP6XNYS</t>
  </si>
  <si>
    <t>HUIMANGO TERCERA SECCION (LOS CERROS)</t>
  </si>
  <si>
    <t>QWW6E3FWP6XNYS</t>
  </si>
  <si>
    <t>HUIMANGO SEGUNDA SECCION LA MONA</t>
  </si>
  <si>
    <t>QWW6E1AOP6XNYS</t>
  </si>
  <si>
    <t xml:space="preserve">HUIMANGO SEGUNDA SECCION </t>
  </si>
  <si>
    <t>QWW6DRYKP6XNYS</t>
  </si>
  <si>
    <t xml:space="preserve">HUIMANGO PRIMERA SECCION </t>
  </si>
  <si>
    <t>QWW6DRVSP6XNYS</t>
  </si>
  <si>
    <t>HUIMANGO (EL DREN)</t>
  </si>
  <si>
    <t>QWW6DRRCP6XNYS</t>
  </si>
  <si>
    <t>HUIMANGO</t>
  </si>
  <si>
    <t>QWW6DR9UP6XNYS</t>
  </si>
  <si>
    <t>QWW6DR54P6XNYS</t>
  </si>
  <si>
    <t>QWW6DR18P6XNYS</t>
  </si>
  <si>
    <t>HUACAPA Y AMESTOY</t>
  </si>
  <si>
    <t>QWW6DQL4P6XNYS</t>
  </si>
  <si>
    <t>QWW6DQGEP6XNYS</t>
  </si>
  <si>
    <t xml:space="preserve">GENERAL FRANCISCO MUJICA </t>
  </si>
  <si>
    <t>QWW6DQ7IP6XNYS</t>
  </si>
  <si>
    <t xml:space="preserve">FELIPE GALVAN </t>
  </si>
  <si>
    <t>QWW6DNX0P6XNYS</t>
  </si>
  <si>
    <t>FELIPE CARRILLO PUERTO AMPLIACION SAN FELIPITO</t>
  </si>
  <si>
    <t>QWW6DEVGP6XNYS</t>
  </si>
  <si>
    <t>FELIPE CARRILLO PUERTO</t>
  </si>
  <si>
    <t>QWW6DEOSP6XNYS</t>
  </si>
  <si>
    <t>ENRIQUE GONZALEZ PEDRERO</t>
  </si>
  <si>
    <t>QWW6DEKWP6XNYS</t>
  </si>
  <si>
    <t>EMILIANO ZAPATA (SAN MATEO)</t>
  </si>
  <si>
    <t>QWW6DE5WP6XNYS</t>
  </si>
  <si>
    <t>QWW6DE0CP6XNYS</t>
  </si>
  <si>
    <t>EL TUNAL</t>
  </si>
  <si>
    <t>QWW6DDXAP6XNYS</t>
  </si>
  <si>
    <t>EL TULAR</t>
  </si>
  <si>
    <t>QWW6DDUSP6XNYS</t>
  </si>
  <si>
    <t>EL PROGRESO</t>
  </si>
  <si>
    <t>QWW6DDHGP6XNYS</t>
  </si>
  <si>
    <t>QWW6DDDUP6XNYS</t>
  </si>
  <si>
    <t>EL CARMEN (CUMUAPA)</t>
  </si>
  <si>
    <t>QWW6DD6MP6XNYS</t>
  </si>
  <si>
    <t>DOS CEIBAS</t>
  </si>
  <si>
    <t>QWW6DD2GP6XNYS</t>
  </si>
  <si>
    <t>DOMINGO AMADO BRITO SALGADO</t>
  </si>
  <si>
    <t>QWW6DCOKP6XNYS</t>
  </si>
  <si>
    <t>DIECISEIS DE SEPTIEMBRE</t>
  </si>
  <si>
    <t>QWW6DBXWP6XNYS</t>
  </si>
  <si>
    <t>CUNDUACAN (SAN PEDRO)</t>
  </si>
  <si>
    <t>QWW6DBRSP6XNYS</t>
  </si>
  <si>
    <t>CUNDUACAN (EL MONTE)</t>
  </si>
  <si>
    <t>QWW6D97AP6XNYS</t>
  </si>
  <si>
    <t>QWW6D8R6P6XNYS</t>
  </si>
  <si>
    <t xml:space="preserve">CUMUAPA TERCERA SECCION </t>
  </si>
  <si>
    <t>QWW6D8P8P6XNYS</t>
  </si>
  <si>
    <t xml:space="preserve">CUMUAPA SEGUNDA SECCION </t>
  </si>
  <si>
    <t>QWW6D8KIP6XNYS</t>
  </si>
  <si>
    <t xml:space="preserve">CUMUAPA PRIMERA SECCION </t>
  </si>
  <si>
    <t>QWW6D8EYP6XNYS</t>
  </si>
  <si>
    <t>CUCUYULAPA SEGUNDA SECCION (PUENTE SAMARIA)</t>
  </si>
  <si>
    <t>QWW6D7U4P6XNYS</t>
  </si>
  <si>
    <t>CUCUYULAPA</t>
  </si>
  <si>
    <t>QWW6D7NGP6XNYS</t>
  </si>
  <si>
    <t>COLIMA</t>
  </si>
  <si>
    <t>QWW6D79AP6XNYS</t>
  </si>
  <si>
    <t>CEIBA PRIMERA SECCION  (JAHUACTAL)</t>
  </si>
  <si>
    <t>QWW6D76IP6XNYS</t>
  </si>
  <si>
    <t xml:space="preserve">CULICO SEGUNDA SECCION </t>
  </si>
  <si>
    <t>QWW6D6ZAP6XNYS</t>
  </si>
  <si>
    <t>CULICO</t>
  </si>
  <si>
    <t>QWW6D6W8P6XNYS</t>
  </si>
  <si>
    <t xml:space="preserve">CASA BLANA SEGUNDA SECCION </t>
  </si>
  <si>
    <t>QWW6D6ICP6XNYS</t>
  </si>
  <si>
    <t xml:space="preserve">CASA BLANCA PRIMERA SECCION </t>
  </si>
  <si>
    <t>QWW6D6AAP6XNYS</t>
  </si>
  <si>
    <t>CARLOS ROVIROSA</t>
  </si>
  <si>
    <t>QWW6D65UP6XNYS</t>
  </si>
  <si>
    <t xml:space="preserve">BUENOS AIRES </t>
  </si>
  <si>
    <t>QWW6D5REP6XNYS</t>
  </si>
  <si>
    <t>BUENAVENTURA</t>
  </si>
  <si>
    <t>QWW6D5O2P6XNYS</t>
  </si>
  <si>
    <t>BENITO JUARAEZ</t>
  </si>
  <si>
    <t>QWW6D5KQP6XNYS</t>
  </si>
  <si>
    <t>ANTA Y CULICO</t>
  </si>
  <si>
    <t>QWW6D5HOP6XNYS</t>
  </si>
  <si>
    <t>ANTA</t>
  </si>
  <si>
    <t>QWW6D5EMP6XNYS</t>
  </si>
  <si>
    <t xml:space="preserve">AMADO GOMEZ SEGUNDA SECCION </t>
  </si>
  <si>
    <t>QWW6D5COP6XNYS</t>
  </si>
  <si>
    <t>AMADO GOMEZ</t>
  </si>
  <si>
    <t>QWW6D4UMP6XNYS</t>
  </si>
  <si>
    <t>ALIANZA PERIFERICO</t>
  </si>
  <si>
    <t>QWW6D4R0P6XNYS</t>
  </si>
  <si>
    <t xml:space="preserve">ALIAN PARA LA PRODUCCION </t>
  </si>
  <si>
    <t>QWW6D4M0P6XNYS</t>
  </si>
  <si>
    <t>ADOLFO RUIZ CORTINEZ</t>
  </si>
  <si>
    <t>QWW6D470P6XNYS</t>
  </si>
  <si>
    <t>ZOILA E. PEÑA FALCON</t>
  </si>
  <si>
    <t>QWW0O1H8P6XNYS</t>
  </si>
  <si>
    <t>VEREDA</t>
  </si>
  <si>
    <t>QWW0O0GKP6XNYS</t>
  </si>
  <si>
    <t>VAQUEIROS</t>
  </si>
  <si>
    <t>QWW0NXJAP6XNYS</t>
  </si>
  <si>
    <t>SANCHEZ MAGALLANES (SANTA ANA )</t>
  </si>
  <si>
    <t>QWW0NXG8P6XNYS</t>
  </si>
  <si>
    <t>SECTOR SAN ANTONIO</t>
  </si>
  <si>
    <t>QWW0NX9UP6XNYS</t>
  </si>
  <si>
    <t>SECTOR RIO SECO</t>
  </si>
  <si>
    <t>QWW0NWVEP6XNYS</t>
  </si>
  <si>
    <t xml:space="preserve">SECTOR CANDELARIO DE DIOS </t>
  </si>
  <si>
    <t>QWW0NWRIP6XNYS</t>
  </si>
  <si>
    <t>QWW0NWO6P6XNYS</t>
  </si>
  <si>
    <t>SARH</t>
  </si>
  <si>
    <t>QWW0NWLEP6XNYS</t>
  </si>
  <si>
    <t>SANTA RITA INFONAVIT</t>
  </si>
  <si>
    <t>QWW0NWICP6XNYS</t>
  </si>
  <si>
    <t>QWW0NW00P6XNYS</t>
  </si>
  <si>
    <t xml:space="preserve">SANTA MARIA DE GUADALUPE </t>
  </si>
  <si>
    <t>QWW0NVVAP6XNYS</t>
  </si>
  <si>
    <t>QWW0NVQ0P6XNYS</t>
  </si>
  <si>
    <t>ROGER FALCONI VERA</t>
  </si>
  <si>
    <t>QWW0NVCEP6XNYS</t>
  </si>
  <si>
    <t>QWW0NUIOP6XNYS</t>
  </si>
  <si>
    <t>QWW0NUFWP6XNYS</t>
  </si>
  <si>
    <t>QWW0NUCKP6XNYS</t>
  </si>
  <si>
    <t>QWW0NUA2P6XNYS</t>
  </si>
  <si>
    <t>PASO Y PLAYA INVITAB</t>
  </si>
  <si>
    <t>QWW0NU7UP6XNYS</t>
  </si>
  <si>
    <t>QWW0NU4IP6XNYS</t>
  </si>
  <si>
    <t>QWW0NTQWP6XNYS</t>
  </si>
  <si>
    <t>LOMA BONITA</t>
  </si>
  <si>
    <t>QWW0NTNUP6XNYS</t>
  </si>
  <si>
    <t>LICENCIADO ADOLFO LOPEZ MATEO</t>
  </si>
  <si>
    <t>QWW0NTJOP6XNYS</t>
  </si>
  <si>
    <t>LA UNION</t>
  </si>
  <si>
    <t>QWW0NTGCP6XNYS</t>
  </si>
  <si>
    <t>LA ORZA</t>
  </si>
  <si>
    <t>QWW0NTEEP6XNYS</t>
  </si>
  <si>
    <t>QWW0NTCGP6XNYS</t>
  </si>
  <si>
    <t>QWW0NSYUP6XNYS</t>
  </si>
  <si>
    <t>QWW0NSV8P6XNYS</t>
  </si>
  <si>
    <t>INGENIO SANTA ROSALIA</t>
  </si>
  <si>
    <t>QWW0NSQ8P6XNYS</t>
  </si>
  <si>
    <t>INGENIO BENITO JUAREZ</t>
  </si>
  <si>
    <t>QWW0NSMMP6XNYS</t>
  </si>
  <si>
    <t>QWW0NS8GP6XNYS</t>
  </si>
  <si>
    <t xml:space="preserve">HIDALGO SEGUNDA SECCION </t>
  </si>
  <si>
    <t>QWW0NS4KP6XNYS</t>
  </si>
  <si>
    <t>GUADALUPANA</t>
  </si>
  <si>
    <t>QWW0NS0YP6XNYS</t>
  </si>
  <si>
    <t>GENERAL VICENTE GUERRERO</t>
  </si>
  <si>
    <t>QWW0NRYQP6XNYS</t>
  </si>
  <si>
    <t xml:space="preserve">FRACCIONAMIENTO VILLA ESMERALDA </t>
  </si>
  <si>
    <t>QWW0NR1EP6XNYS</t>
  </si>
  <si>
    <t xml:space="preserve">FRACCIONAMIENTO SAN PEDRO DE LOS CEDROS </t>
  </si>
  <si>
    <t>QWW0NQKQP6XNYS</t>
  </si>
  <si>
    <t>FRACCIONAMIENTO PUERTO RICO</t>
  </si>
  <si>
    <t>QWW0NQFGP6XNYS</t>
  </si>
  <si>
    <t xml:space="preserve">FRACCIONAMIENTO PRADOS DE CARDENAS </t>
  </si>
  <si>
    <t>QWW0NQBAP6XNYS</t>
  </si>
  <si>
    <t>FRACCIONAMIENTO LOS REYES LOMAS ALTA</t>
  </si>
  <si>
    <t>QWW0NPW0P6XNYS</t>
  </si>
  <si>
    <t>FRACCIONAMIENTO LOS CAÑALES</t>
  </si>
  <si>
    <t>QWW0NPRKP6XNYS</t>
  </si>
  <si>
    <t>QWW0NPNOP6XNYS</t>
  </si>
  <si>
    <t>FRACCIONAMIENTO CAÑALES DOS</t>
  </si>
  <si>
    <t>QWW0NPKMP6XNYS</t>
  </si>
  <si>
    <t>QWW0NP5MP6XNYS</t>
  </si>
  <si>
    <t>EMPLEADOS DEL CSAT</t>
  </si>
  <si>
    <t>QWW0NP2KP6XNYS</t>
  </si>
  <si>
    <t xml:space="preserve">EMPLEADOS DE CONFIANZA </t>
  </si>
  <si>
    <t>QWW0NOYOP6XNYS</t>
  </si>
  <si>
    <t>QWW0NOVCP6XNYS</t>
  </si>
  <si>
    <t>QWW0NOSKP6XNYS</t>
  </si>
  <si>
    <t>QWW0NOPSP6XNYS</t>
  </si>
  <si>
    <t>QWW0NOBCP6XNYS</t>
  </si>
  <si>
    <t>EL EMBUDO FOVISSSTE</t>
  </si>
  <si>
    <t>QWW0NO76P6XNYS</t>
  </si>
  <si>
    <t>QWW0NO30P6XNYS</t>
  </si>
  <si>
    <t>QWW0NNMMP6XNYS</t>
  </si>
  <si>
    <t>CARDENAS CENTRO</t>
  </si>
  <si>
    <t>QWW0NNJ0P6XNYS</t>
  </si>
  <si>
    <t>QWW0NNDQP6XNYS</t>
  </si>
  <si>
    <t>QWW0NNAOP6XNYS</t>
  </si>
  <si>
    <t>MPLIACION CAÑALES TERCERA ETAPA SUR</t>
  </si>
  <si>
    <t>QWW0NMRSP6XNYS</t>
  </si>
  <si>
    <t xml:space="preserve">AMPLIACION CAÑALES TERCERA ETAPA SUR </t>
  </si>
  <si>
    <t>QWW0NL1AP6XNYS</t>
  </si>
  <si>
    <t>AMPLIACION CAÑALES TERCERA ETAPA NORTE</t>
  </si>
  <si>
    <t>QWW0NKVGP6XNYS</t>
  </si>
  <si>
    <t>QWW0NKESP6XNYS</t>
  </si>
  <si>
    <t>QWW0NKA2P6XNYS</t>
  </si>
  <si>
    <t>QWW0NK7UP6XNYS</t>
  </si>
  <si>
    <t>QWW0NK52P6XNYS</t>
  </si>
  <si>
    <t>QWW0NJL2P6XNYS</t>
  </si>
  <si>
    <t>QWW0NJI0P6XNYS</t>
  </si>
  <si>
    <t>TIO MONCHO</t>
  </si>
  <si>
    <t>QWW0NJEEP6XNYS</t>
  </si>
  <si>
    <t xml:space="preserve">SINALOA TERCERA SECCION </t>
  </si>
  <si>
    <t>QWW0NJBMP6XNYS</t>
  </si>
  <si>
    <t>SINALOA SEGUNDA SECCION (ARJONA)</t>
  </si>
  <si>
    <t>QWW0NIWCP6XNYS</t>
  </si>
  <si>
    <t xml:space="preserve">SINALOA PRIMERA SECCION </t>
  </si>
  <si>
    <t>QWW0NIOKP6XNYS</t>
  </si>
  <si>
    <t>SECCION DE 10 DE AZUCAREROS</t>
  </si>
  <si>
    <t>QWW0NILIP6XNYS</t>
  </si>
  <si>
    <t>SANTUARIO QUINTA SECCION BUENA VISTA</t>
  </si>
  <si>
    <t>QWW0NI40P6XNYS</t>
  </si>
  <si>
    <t xml:space="preserve">SANTUARIO CUARTA SECCION </t>
  </si>
  <si>
    <t>QWW0NHYQP6XNYS</t>
  </si>
  <si>
    <t>SANTUARIO CUARTA SECCION</t>
  </si>
  <si>
    <t>QWW0NACKP6XNYS</t>
  </si>
  <si>
    <t>SANTUARIO TERCERA SECCION (PIEDRAS NEGRAS)</t>
  </si>
  <si>
    <t>QWW0NA70P6XNYS</t>
  </si>
  <si>
    <t xml:space="preserve">SANTUARIO SEGUNDA SECCION </t>
  </si>
  <si>
    <t>QWW0N9LWP6XNYS</t>
  </si>
  <si>
    <t xml:space="preserve">SANTUARIO PRIMERA SECION </t>
  </si>
  <si>
    <t>QWW0N9H6P6XNYS</t>
  </si>
  <si>
    <t>SANTA QUINTA SECCION (EL ESPINO)</t>
  </si>
  <si>
    <t>QWW0N9B2P6XNYS</t>
  </si>
  <si>
    <t>SANTANA CUARTA SECCION</t>
  </si>
  <si>
    <t>QWW0N8MMP6XNYS</t>
  </si>
  <si>
    <t>SANTANA TERCERA SECCION B</t>
  </si>
  <si>
    <t>QWW0N8IGP6XNYS</t>
  </si>
  <si>
    <t>SANTANA TERCERA SECCION A</t>
  </si>
  <si>
    <t>QWW0N83QP6XNYS</t>
  </si>
  <si>
    <t>SANTANA SEGUNDA SECCION C</t>
  </si>
  <si>
    <t>QWW0N7CSP6XNYS</t>
  </si>
  <si>
    <t>SANTANA SEGUNDA SECCION B (LA PALMA)</t>
  </si>
  <si>
    <t>QWW0N76YP6XNYS</t>
  </si>
  <si>
    <t xml:space="preserve">SANTANA SEGUNDA SECCION A </t>
  </si>
  <si>
    <t>QWW0N6YWP6XNYS</t>
  </si>
  <si>
    <t xml:space="preserve">SANTANA PRIMERA SECCION B </t>
  </si>
  <si>
    <t>QWW0N6KGP6XNYS</t>
  </si>
  <si>
    <t>QWW0N6FGP6XNYS</t>
  </si>
  <si>
    <t>SANTA ROSALIA (MIGUEL HIDALGO SEGUNDA SECCION)</t>
  </si>
  <si>
    <t>QWW0N6C4P6XNYS</t>
  </si>
  <si>
    <t xml:space="preserve">SANTA ROSALIA </t>
  </si>
  <si>
    <t>QWW0MAXAP6XNYS</t>
  </si>
  <si>
    <t>SANTA ISIDRA</t>
  </si>
  <si>
    <t>QWW0MAR6P6XNYS</t>
  </si>
  <si>
    <t>QWW0MAOEP6XNYS</t>
  </si>
  <si>
    <t>RUBEN JARAMILLO LAZO</t>
  </si>
  <si>
    <t>QWW0MALCP6XNYS</t>
  </si>
  <si>
    <t>ROSIQUE PALAVICINI</t>
  </si>
  <si>
    <t>QWW0MA5SP6XNYS</t>
  </si>
  <si>
    <t>RODRIGUEZ POLANCO</t>
  </si>
  <si>
    <t>QWW0M9Z4P6XNYS</t>
  </si>
  <si>
    <t>RIO SECO SEGUNDA SECCION NORTE</t>
  </si>
  <si>
    <t>QWW0M9VIP6XNYS</t>
  </si>
  <si>
    <t xml:space="preserve">RIO SECO SEGUNDA SECCION C </t>
  </si>
  <si>
    <t>QWW0LP8GP6XNYS</t>
  </si>
  <si>
    <t>RIO SECO SEGUNDA SECCION B</t>
  </si>
  <si>
    <t>QWW0LN10P6XNYS</t>
  </si>
  <si>
    <t>RIO SECO SEGUNDA SECCION A</t>
  </si>
  <si>
    <t>QWW0LMS4P6XNYS</t>
  </si>
  <si>
    <t>QWW0LMOIP6XNYS</t>
  </si>
  <si>
    <t>PUERTO ESCONDIDO</t>
  </si>
  <si>
    <t>QWW0LMA2P6XNYS</t>
  </si>
  <si>
    <t xml:space="preserve">POZA REDONDA CUARTA SECCION </t>
  </si>
  <si>
    <t>QWW0LM48P6XNYS</t>
  </si>
  <si>
    <t xml:space="preserve">POZA REDONDA TERCERA SECCION </t>
  </si>
  <si>
    <t>QWW0LM0CP6XNYS</t>
  </si>
  <si>
    <t xml:space="preserve">POZA REDONDA SEGUNDA SECCION </t>
  </si>
  <si>
    <t>QWW0LLW6P6XNYS</t>
  </si>
  <si>
    <t xml:space="preserve">POZA REDONDA  PRIMERA SECION </t>
  </si>
  <si>
    <t>QWW0LLGMP6XNYS</t>
  </si>
  <si>
    <t>POBLADO C-17 INDEPENDENCIA</t>
  </si>
  <si>
    <t>QWW0HGHUP6XNYS</t>
  </si>
  <si>
    <t xml:space="preserve">POBLADO C-33 VEINTE DE NOVIEMBRE </t>
  </si>
  <si>
    <t>QWW0HG98P6XNYS</t>
  </si>
  <si>
    <t>POBLADO C-29 VICENTE GUERRERO</t>
  </si>
  <si>
    <t>QWW0HFSKP6XNYS</t>
  </si>
  <si>
    <t xml:space="preserve">POBLADO C-28  GREGORIO MENDEZ MAGAÑA 1 </t>
  </si>
  <si>
    <t>QWW0HF1MP6XNYS</t>
  </si>
  <si>
    <t>POBLADO C-28 GREGORIO MENDEZ MAGAÑA</t>
  </si>
  <si>
    <t>QWW0HEWCP6XNYS</t>
  </si>
  <si>
    <t>POBLADO C-27 EDUARDO CHAVEZ RAMIREZ</t>
  </si>
  <si>
    <t>QWW0HERCP6XNYS</t>
  </si>
  <si>
    <t xml:space="preserve">POBLADO C-23 VENUSTIANO CARRANZA </t>
  </si>
  <si>
    <t>QWW0HE1SP6XNYS</t>
  </si>
  <si>
    <t>POBLADO C-22 JOSE MARIA PINO SUAREZ UNO</t>
  </si>
  <si>
    <t>QWW0HDI2P6XNYS</t>
  </si>
  <si>
    <t>POBLADO C-22 JOSE MARIA PINO SUAREZ</t>
  </si>
  <si>
    <t>QWW0HBOSP6XNYS</t>
  </si>
  <si>
    <t xml:space="preserve">POBLADO C-21 LICENCIADO BENITO JUAREZ GARCIA </t>
  </si>
  <si>
    <t>QWW0HB6GP6XNYS</t>
  </si>
  <si>
    <t xml:space="preserve">POBLADO C-20 MIGUEL HIDALGO Y COSTILLA </t>
  </si>
  <si>
    <t>QWW0HAY4P6XNYS</t>
  </si>
  <si>
    <t>POBLADO C-16 EMILIANO ZAPATA UNO</t>
  </si>
  <si>
    <t>QWW0HAEOP6XNYS</t>
  </si>
  <si>
    <t xml:space="preserve">POBLADO C-16 EMILIANO ZAPATA TRES </t>
  </si>
  <si>
    <t>QWW0H9DGP6XNYS</t>
  </si>
  <si>
    <t xml:space="preserve">POBLADO C-16 EMILIANO ZAPATA </t>
  </si>
  <si>
    <t>QWW0H8VOP6XNYS</t>
  </si>
  <si>
    <t>MIGUEL HIDALGO SEGUNDA SECCION B (LA NATIVIDAD)</t>
  </si>
  <si>
    <t>QWW0H6F2P6XNYS</t>
  </si>
  <si>
    <t xml:space="preserve">NARANJEÑO TERCELA SECCION </t>
  </si>
  <si>
    <t>QWW0H5TYP6XNYS</t>
  </si>
  <si>
    <t>QWW0H5OOP6XNYS</t>
  </si>
  <si>
    <t>NUEVA ZELANDIA</t>
  </si>
  <si>
    <t>QWW0H5KSP6XNYS</t>
  </si>
  <si>
    <t>QWW0H45EP6XNYS</t>
  </si>
  <si>
    <t xml:space="preserve">POBLADO C-16 EMILIAMO ZAPATA DOS </t>
  </si>
  <si>
    <t>QWW0GZHMP6XNYS</t>
  </si>
  <si>
    <t>POBLADO C-15 GENERAL EMILIANO ZAPATA</t>
  </si>
  <si>
    <t>QWW0GZ90P6XNYS</t>
  </si>
  <si>
    <t>POBLADO C-15 ADOLFO LOPEZ MATEO UNO</t>
  </si>
  <si>
    <t>QWW0GYRIP6XNYS</t>
  </si>
  <si>
    <t>POBLADO C-15 ADOLFO LOPEZ MATEO</t>
  </si>
  <si>
    <t>QWW0GYIMP6XNYS</t>
  </si>
  <si>
    <t xml:space="preserve">POBLADO C-14 GENERAL PLUTARCO ELIAS CALLES </t>
  </si>
  <si>
    <t>QWW0GY0UP6XNYS</t>
  </si>
  <si>
    <t xml:space="preserve">POBLADO C-11 JOSE MARIA MORELOS Y PAVON </t>
  </si>
  <si>
    <t>QWW0GXT2P6XNYS</t>
  </si>
  <si>
    <t xml:space="preserve">POBLADO C-10 GENERAL LAZARO CARDENAS DEL RIO </t>
  </si>
  <si>
    <t>QWW0GX60P6XNYS</t>
  </si>
  <si>
    <t>POBLADO C-9 LICENCIADO FRANCISCO I. MADERO</t>
  </si>
  <si>
    <t>QWW0GTVOP6XNYS</t>
  </si>
  <si>
    <t xml:space="preserve">PEDRO SANCHEZ MAGALLANES </t>
  </si>
  <si>
    <t>QWW0GT78P6XNYS</t>
  </si>
  <si>
    <t>PAYLEBOT</t>
  </si>
  <si>
    <t>QWW0GT3MP6XNYS</t>
  </si>
  <si>
    <t>PASO Y PLAYA</t>
  </si>
  <si>
    <t>QWW0GSP6P6XNYS</t>
  </si>
  <si>
    <t xml:space="preserve">NUEVA ZELANDIA  </t>
  </si>
  <si>
    <t>QWW0GSISP6XNYS</t>
  </si>
  <si>
    <t xml:space="preserve">NARANJEÑO TERCERA SECCION </t>
  </si>
  <si>
    <t>QWW0GSBKP6XNYS</t>
  </si>
  <si>
    <t>QWW0FT2YP6XNYS</t>
  </si>
  <si>
    <t>OJOSHAL</t>
  </si>
  <si>
    <t>QWW0FSUCP6XNYS</t>
  </si>
  <si>
    <t>NARANJEÑO SEGUNDA SECCION B</t>
  </si>
  <si>
    <t>QWW0FRHGP6XNYS</t>
  </si>
  <si>
    <t>NARANJEÑO SEGUNDA SECCION A</t>
  </si>
  <si>
    <t>QWW0FRASP6XNYS</t>
  </si>
  <si>
    <t>NARANJEÑO PRIMERA SECCION (COLONIA LA FE)</t>
  </si>
  <si>
    <t>QWW0FQUYP6XNYS</t>
  </si>
  <si>
    <t xml:space="preserve">MIGUEL HIDALGO ZAPOTAL SEGUNDA SECCION </t>
  </si>
  <si>
    <t>QWW0FQI6P6XNYS</t>
  </si>
  <si>
    <t>MIGUEL HIDALGO SEGUNDA SECCION B  (LA NATIDVIDAD)</t>
  </si>
  <si>
    <t>QWW0FPTQP6XNYS</t>
  </si>
  <si>
    <t>MIGUEL HIDALGO SEGUNDA SECCION (EL EDEN)</t>
  </si>
  <si>
    <t>QWW0FLCWP6XNYS</t>
  </si>
  <si>
    <t xml:space="preserve">MIGUEL HIDALGO PRIMERA SECCION </t>
  </si>
  <si>
    <t>QWW0FKP0P6XNYS</t>
  </si>
  <si>
    <t>QWW0F91UP6XNYS</t>
  </si>
  <si>
    <t>QWW0F8YSP6XNYS</t>
  </si>
  <si>
    <t>MARIO MORALES (DE LOS MORALES)</t>
  </si>
  <si>
    <t>QWW0F8V6P6XNYS</t>
  </si>
  <si>
    <t xml:space="preserve">MADRIGAL PEREZ </t>
  </si>
  <si>
    <t>QWW0F8PMP6XNYS</t>
  </si>
  <si>
    <t>LUIS DONALDO COLOSIO MURRIETA</t>
  </si>
  <si>
    <t>QWW0F898P6XNYS</t>
  </si>
  <si>
    <t xml:space="preserve">LOS AREVALOS </t>
  </si>
  <si>
    <t>QWW0F83YP6XNYS</t>
  </si>
  <si>
    <t>JOSE EDUARDO DE CARDENAS</t>
  </si>
  <si>
    <t>QWW0F7Z8P6XNYS</t>
  </si>
  <si>
    <t xml:space="preserve">LEY FEDERAL DE LA REFORMA AGRARIA </t>
  </si>
  <si>
    <t>QWW0F7J4P6XNYS</t>
  </si>
  <si>
    <t>LEON PACHECO</t>
  </si>
  <si>
    <t>QWW0F6U4P6XNYS</t>
  </si>
  <si>
    <t>LAS NUEVAS ESPERANZAS</t>
  </si>
  <si>
    <t>QWW0F6QSP6XNYS</t>
  </si>
  <si>
    <t>LAS LIMAS</t>
  </si>
  <si>
    <t>QWW0F6MWP6XNYS</t>
  </si>
  <si>
    <t>LAS FLORES (LAS PALMAS)</t>
  </si>
  <si>
    <t>QWW0F6LIP6XNYS</t>
  </si>
  <si>
    <t xml:space="preserve">LAS ESPERANZAS </t>
  </si>
  <si>
    <t>QWW0F6FEP6XNYS</t>
  </si>
  <si>
    <t>LAS COLORADAS SEGUNDA SECCION B</t>
  </si>
  <si>
    <t>QWW0F61IP6XNYS</t>
  </si>
  <si>
    <t>LAS COLORADAS SEGUNDA SECCION (AMPLIACION LAS ALDEAS)</t>
  </si>
  <si>
    <t>QWW0F5XCP6XNYS</t>
  </si>
  <si>
    <t xml:space="preserve">LAS COLORADAS PRIMERA SECCION </t>
  </si>
  <si>
    <t>QWW0F5NMP6XNYS</t>
  </si>
  <si>
    <t xml:space="preserve">LAS CALZADAS </t>
  </si>
  <si>
    <t>QWW0F58MP6XNYS</t>
  </si>
  <si>
    <t>QWW0F55UP6XNYS</t>
  </si>
  <si>
    <t>LA PENINSULA</t>
  </si>
  <si>
    <t>QWW0F53WP6XNYS</t>
  </si>
  <si>
    <t>QWW0F514P6XNYS</t>
  </si>
  <si>
    <t xml:space="preserve">LA ALIANZA </t>
  </si>
  <si>
    <t>QWW0F4YMP6XNYS</t>
  </si>
  <si>
    <t xml:space="preserve">JULIAN MONTEJO VELAZQUEZ </t>
  </si>
  <si>
    <t>QWW0F4WOP6XNYS</t>
  </si>
  <si>
    <t>JUAN ESCUTIA</t>
  </si>
  <si>
    <t>QWW0F4I8P6XNYS</t>
  </si>
  <si>
    <t>ISALAS ENCANTADAS (EL ZAPOTE Y REYES HEROLES)</t>
  </si>
  <si>
    <t>QWW0F4G0P6XNYS</t>
  </si>
  <si>
    <t xml:space="preserve">INGENIO BENITO JUAREZ </t>
  </si>
  <si>
    <t>QWW0F460P6XNYS</t>
  </si>
  <si>
    <t xml:space="preserve">IGNACIO ZARAGOZA </t>
  </si>
  <si>
    <t>QWW0F3PMP6XNYS</t>
  </si>
  <si>
    <t>IGNACIO GUTIERREZ GOMEZ (SAN FELIPE)</t>
  </si>
  <si>
    <t>QWW0F3N4P6XNYS</t>
  </si>
  <si>
    <t>HABANERO SEGUNDA SECCION (EL CASTAÑO)</t>
  </si>
  <si>
    <t>QWW0F3GGP6XNYS</t>
  </si>
  <si>
    <t>HABANERO PRIMERA SECCION (VENUSTIANO CARRANZA)</t>
  </si>
  <si>
    <t>QWW0F3B6P6XNYS</t>
  </si>
  <si>
    <t xml:space="preserve">HABANERO PRIMERA SECCION </t>
  </si>
  <si>
    <t>QWW0F2QMP6XNYS</t>
  </si>
  <si>
    <t xml:space="preserve">GENERAL FRANCISCO VILLA </t>
  </si>
  <si>
    <t>QWW0F2NKP6XNYS</t>
  </si>
  <si>
    <t>QWW0F2KIP6XNYS</t>
  </si>
  <si>
    <t xml:space="preserve">ENCRUCIJADA QUINTA SECCION </t>
  </si>
  <si>
    <t>QWW0F24OP6XNYS</t>
  </si>
  <si>
    <t>ENCRUCIJADA CUARTA SECCION B (LA LUCHA)</t>
  </si>
  <si>
    <t>QWW0F20SP6XNYS</t>
  </si>
  <si>
    <t xml:space="preserve">ENCRUCIJADA CUARTA SECCION A </t>
  </si>
  <si>
    <t>QWW0F1VIP6XNYS</t>
  </si>
  <si>
    <t xml:space="preserve">ENCRUCIJADA TERCERA SECCION </t>
  </si>
  <si>
    <t>QWW0F1RCP6XNYS</t>
  </si>
  <si>
    <t xml:space="preserve">ENCRUCIJADA SEGUNDA SECCION </t>
  </si>
  <si>
    <t>QWW0F19KP6XNYS</t>
  </si>
  <si>
    <t>ENCRUCIJADA PRIMERA SECCION RINCON BRUJO</t>
  </si>
  <si>
    <t>QWW0F14UP6XNYS</t>
  </si>
  <si>
    <t>EL YUCATECO (PAYLEBOT SEGUNDA SECCION)</t>
  </si>
  <si>
    <t>QWW0F0ZKP6XNYS</t>
  </si>
  <si>
    <t>QWW0F0FAP6XNYS</t>
  </si>
  <si>
    <t>EL PORVENIR</t>
  </si>
  <si>
    <t>QWW0F0D2P6XNYS</t>
  </si>
  <si>
    <t>EL PERSICO</t>
  </si>
  <si>
    <t>QWW0F09QP6XNYS</t>
  </si>
  <si>
    <t>EL PARNASO</t>
  </si>
  <si>
    <t>QWW0EZW4P6XNYS</t>
  </si>
  <si>
    <t>EL MINGO</t>
  </si>
  <si>
    <t>QWW0EZTMP6XNYS</t>
  </si>
  <si>
    <t>EL JOBO (PUNTA BRAVA)</t>
  </si>
  <si>
    <t>QWW0EZQKP6XNYS</t>
  </si>
  <si>
    <t>EL GOLPE SEGUNDA SECCION (LOS PATOS)</t>
  </si>
  <si>
    <t>QWW0EZM4P6XNYS</t>
  </si>
  <si>
    <t>EL GOLPE</t>
  </si>
  <si>
    <t>QWW0EZHEP6XNYS</t>
  </si>
  <si>
    <t>EL CHOCHO (BOCA DEL RIO)</t>
  </si>
  <si>
    <t>QWW0EZ4CP6XNYS</t>
  </si>
  <si>
    <t xml:space="preserve">EL CARRIZAL </t>
  </si>
  <si>
    <t>QWW0EZ0GP6XNYS</t>
  </si>
  <si>
    <t>QWW0EYXYP6XNYS</t>
  </si>
  <si>
    <t>EL CAPRICHO</t>
  </si>
  <si>
    <t>QWW0EYVGP6XNYS</t>
  </si>
  <si>
    <t>EL BRONCE</t>
  </si>
  <si>
    <t>QWW0EYT8P6XNYS</t>
  </si>
  <si>
    <t xml:space="preserve">EL BARI SEGUNDA SECCION </t>
  </si>
  <si>
    <t>QWW0EYR0P6XNYS</t>
  </si>
  <si>
    <t xml:space="preserve">EL BARI PRIMERA SECCION </t>
  </si>
  <si>
    <t>QWW0EYOIP6XNYS</t>
  </si>
  <si>
    <t>QWW0EY9IP6XNYS</t>
  </si>
  <si>
    <t>QWW0EY70P6XNYS</t>
  </si>
  <si>
    <t>EL ARROZAL</t>
  </si>
  <si>
    <t>QWW0EY3YP6XNYS</t>
  </si>
  <si>
    <t>EL ALACRAN  (MANATINERO)</t>
  </si>
  <si>
    <t>QWW0EY1QP6XNYS</t>
  </si>
  <si>
    <t>EL ALACRAN</t>
  </si>
  <si>
    <t>QWW0EXKIP6XNYS</t>
  </si>
  <si>
    <t>QWW0EXIAP6XNYS</t>
  </si>
  <si>
    <t xml:space="preserve">CUAUHTEMOCZIN SEGUNDA SECCION </t>
  </si>
  <si>
    <t>QWW0EXCQP6XNYS</t>
  </si>
  <si>
    <t>CUAUHTEMOCZIN</t>
  </si>
  <si>
    <t>QWW0EWTAP6XNYS</t>
  </si>
  <si>
    <t>QWW0EWNQP6XNYS</t>
  </si>
  <si>
    <t>CORONEL GREGORIO MENDEZ MAGAÑA</t>
  </si>
  <si>
    <t>QWW0EWIGP6XNYS</t>
  </si>
  <si>
    <t xml:space="preserve">ANDRES SANCHES MAGALLANES </t>
  </si>
  <si>
    <t>QWW0EWD6P6XNYS</t>
  </si>
  <si>
    <t>CHICOZAPOTE SEGUNDA SECCION (EL RETIRO)</t>
  </si>
  <si>
    <t>QWW0EVU0P6XNYS</t>
  </si>
  <si>
    <t xml:space="preserve">CHICOZAPOTE PRIMERA SECCION </t>
  </si>
  <si>
    <t>QWW0EVLYP6XNYS</t>
  </si>
  <si>
    <t xml:space="preserve">CECILIA GONZALEZ DE ROVIROSA </t>
  </si>
  <si>
    <t>QWW0EV4QP6XNYS</t>
  </si>
  <si>
    <t xml:space="preserve">CARDENAS SEGUNDA SECCION </t>
  </si>
  <si>
    <t>QWW0EV00P6XNYS</t>
  </si>
  <si>
    <t xml:space="preserve">LAZARO CARDENAS </t>
  </si>
  <si>
    <t>QWW0EUUGP6XNYS</t>
  </si>
  <si>
    <t>CARTAGENA</t>
  </si>
  <si>
    <t>QWW0EUFGP6XNYS</t>
  </si>
  <si>
    <t xml:space="preserve">WILSON GOMEZ </t>
  </si>
  <si>
    <t>QWW0EUBKP6XNYS</t>
  </si>
  <si>
    <t>CAMPO NUEVO</t>
  </si>
  <si>
    <t>QWW0EU60P6XNYS</t>
  </si>
  <si>
    <t xml:space="preserve">CAMPO MAGALLANES </t>
  </si>
  <si>
    <t>QWW0EU3SP6XNYS</t>
  </si>
  <si>
    <t>QWW0ETPMP6XNYS</t>
  </si>
  <si>
    <t>CALZADA PRIEMERA SECCION SUR</t>
  </si>
  <si>
    <t>QWW0ETIYP6XNYS</t>
  </si>
  <si>
    <t xml:space="preserve">CALZADA PRIMERA SECCION NORTE A </t>
  </si>
  <si>
    <t>QWW0ETBQP6XNYS</t>
  </si>
  <si>
    <t xml:space="preserve">BUENA VISTA SEGUNDA SECCION </t>
  </si>
  <si>
    <t>QWW0ES12P6XNYS</t>
  </si>
  <si>
    <t xml:space="preserve">BUENA VISTA PRIMERA SECCION </t>
  </si>
  <si>
    <t>QWW0EQC8P6XNYS</t>
  </si>
  <si>
    <t>QWW0EPT2P6XNYS</t>
  </si>
  <si>
    <t>BAJIO PRIMERA SECCION A</t>
  </si>
  <si>
    <t>QWVOSN9MP6XNYS</t>
  </si>
  <si>
    <t xml:space="preserve">AZUCENITA PRIMERA SECCION B </t>
  </si>
  <si>
    <t>QWVORRXKP6XNYS</t>
  </si>
  <si>
    <t xml:space="preserve">AZUCENA SEPTIMA SECCION </t>
  </si>
  <si>
    <t>QWVORRT4P6XNYS</t>
  </si>
  <si>
    <t xml:space="preserve">AZUCENA SEXTA SECCION </t>
  </si>
  <si>
    <t>QWVORRNUP6XNYS</t>
  </si>
  <si>
    <t xml:space="preserve">AZUCENA QUINTA SECCION </t>
  </si>
  <si>
    <t>QWVORR94P6XNYS</t>
  </si>
  <si>
    <t xml:space="preserve">AZUCENA CUARTA SECCION </t>
  </si>
  <si>
    <t>QWVORR5SP6XNYS</t>
  </si>
  <si>
    <t xml:space="preserve">AZUCENA TERCERA SECCION </t>
  </si>
  <si>
    <t>QWVORR1MP6XNYS</t>
  </si>
  <si>
    <t xml:space="preserve">AZUCENA SEGUNDA SECCION </t>
  </si>
  <si>
    <t>QWVORQXQP6XNYS</t>
  </si>
  <si>
    <t xml:space="preserve">AZUCENA PRIMERA SECCION </t>
  </si>
  <si>
    <t>QWVORQIQP6XNYS</t>
  </si>
  <si>
    <t xml:space="preserve">ARROYO HONDO ABEJONAL </t>
  </si>
  <si>
    <t>QWVORQDQP6XNYS</t>
  </si>
  <si>
    <t>ARROYO HONDO 2A SECCION SANTA TERESA B</t>
  </si>
  <si>
    <t>QWVORQ5EP6XNYS</t>
  </si>
  <si>
    <t xml:space="preserve">ARROYO HONDO 1A SECCION </t>
  </si>
  <si>
    <t>QWVORNVQP6XNYS</t>
  </si>
  <si>
    <t>ARROYO HONDO</t>
  </si>
  <si>
    <t>QWVORMI0P6XNYS</t>
  </si>
  <si>
    <t>AMPLIACION CARRIZAL</t>
  </si>
  <si>
    <t>QWVORMD0P6XNYS</t>
  </si>
  <si>
    <t>QWVORLUYP6XNYS</t>
  </si>
  <si>
    <t>QWVOR74EP6XNYS</t>
  </si>
  <si>
    <t>QWVOR6EAP6XNYS</t>
  </si>
  <si>
    <t>idlocalidad</t>
  </si>
  <si>
    <t>localidadmigrada</t>
  </si>
  <si>
    <t>localidadmigrada1</t>
  </si>
  <si>
    <t>localidadmigrada2</t>
  </si>
  <si>
    <t>localidadmigrada3</t>
  </si>
  <si>
    <t>localidadmigrada4</t>
  </si>
  <si>
    <t>localidadmigrada5</t>
  </si>
  <si>
    <t>localidadmigrada6</t>
  </si>
  <si>
    <t>localidadmigrada7</t>
  </si>
  <si>
    <t>localidadmigrada8</t>
  </si>
  <si>
    <t>localidadmigrada9</t>
  </si>
  <si>
    <t>localidadmigrada10</t>
  </si>
  <si>
    <t>localidadmigrada11</t>
  </si>
  <si>
    <t>localidadmigrada12</t>
  </si>
  <si>
    <t>localidadmigrada13</t>
  </si>
  <si>
    <t>localidadmigrada14</t>
  </si>
  <si>
    <t>localidadmigrada15</t>
  </si>
  <si>
    <t>localidadmigrada16</t>
  </si>
  <si>
    <t>localidadmigrada17</t>
  </si>
  <si>
    <t>localidadmigrada18</t>
  </si>
  <si>
    <t>localidadmigrada19</t>
  </si>
  <si>
    <t>localidadmigrada20</t>
  </si>
  <si>
    <t>localidadmigrada21</t>
  </si>
  <si>
    <t>localidadmigrada22</t>
  </si>
  <si>
    <t>localidadmigrada23</t>
  </si>
  <si>
    <t>localidadmigrada24</t>
  </si>
  <si>
    <t>localidadmigrada25</t>
  </si>
  <si>
    <t>localidadmigrada26</t>
  </si>
  <si>
    <t>localidadmigrada27</t>
  </si>
  <si>
    <t>localidadmigrada28</t>
  </si>
  <si>
    <t>localidadmigrada29</t>
  </si>
  <si>
    <t>localidadmigrada30</t>
  </si>
  <si>
    <t>localidadmigrada31</t>
  </si>
  <si>
    <t>localidadmigrada32</t>
  </si>
  <si>
    <t>localidadmigrada33</t>
  </si>
  <si>
    <t>localidadmigrada34</t>
  </si>
  <si>
    <t>localidadmigrada35</t>
  </si>
  <si>
    <t>localidadmigrada36</t>
  </si>
  <si>
    <t>localidadmigrada37</t>
  </si>
  <si>
    <t>localidadmigrada38</t>
  </si>
  <si>
    <t>localidadmigrada39</t>
  </si>
  <si>
    <t>localidadmigrada40</t>
  </si>
  <si>
    <t>localidadmigrada41</t>
  </si>
  <si>
    <t>localidadmigrada42</t>
  </si>
  <si>
    <t>localidadmigrada43</t>
  </si>
  <si>
    <t>localidadmigrada44</t>
  </si>
  <si>
    <t>localidadmigrada45</t>
  </si>
  <si>
    <t>localidadmigrada46</t>
  </si>
  <si>
    <t>localidadmigrada47</t>
  </si>
  <si>
    <t>localidadmigrada48</t>
  </si>
  <si>
    <t>localidadmigrada49</t>
  </si>
  <si>
    <t>localidadmigrada50</t>
  </si>
  <si>
    <t>localidadmigrada51</t>
  </si>
  <si>
    <t>localidadmigrada52</t>
  </si>
  <si>
    <t>localidadmigrada53</t>
  </si>
  <si>
    <t>localidadmigrada54</t>
  </si>
  <si>
    <t>localidadmigrada55</t>
  </si>
  <si>
    <t>localidadmigrada56</t>
  </si>
  <si>
    <t>localidadmigrada57</t>
  </si>
  <si>
    <t>localidadmigrada58</t>
  </si>
  <si>
    <t>localidadmigrada59</t>
  </si>
  <si>
    <t>localidadmigrada60</t>
  </si>
  <si>
    <t>localidadmigrada61</t>
  </si>
  <si>
    <t>localidadmigrada62</t>
  </si>
  <si>
    <t>localidadmigrada63</t>
  </si>
  <si>
    <t>localidadmigrada64</t>
  </si>
  <si>
    <t>localidadmigrada65</t>
  </si>
  <si>
    <t>localidadmigrada66</t>
  </si>
  <si>
    <t>localidadmigrada67</t>
  </si>
  <si>
    <t>localidadmigrada68</t>
  </si>
  <si>
    <t>localidadmigrada69</t>
  </si>
  <si>
    <t>localidadmigrada70</t>
  </si>
  <si>
    <t>localidadmigrada71</t>
  </si>
  <si>
    <t>localidadmigrada72</t>
  </si>
  <si>
    <t>localidadmigrada73</t>
  </si>
  <si>
    <t>localidadmigrada74</t>
  </si>
  <si>
    <t>localidadmigrada75</t>
  </si>
  <si>
    <t>localidadmigrada76</t>
  </si>
  <si>
    <t>localidadmigrada77</t>
  </si>
  <si>
    <t>localidadmigrada78</t>
  </si>
  <si>
    <t>localidadmigrada79</t>
  </si>
  <si>
    <t>localidadmigrada80</t>
  </si>
  <si>
    <t>localidadmigrada81</t>
  </si>
  <si>
    <t>localidadmigrada82</t>
  </si>
  <si>
    <t>localidadmigrada83</t>
  </si>
  <si>
    <t>localidadmigrada84</t>
  </si>
  <si>
    <t>localidadmigrada85</t>
  </si>
  <si>
    <t>localidadmigrada86</t>
  </si>
  <si>
    <t>localidadmigrada87</t>
  </si>
  <si>
    <t>localidadmigrada88</t>
  </si>
  <si>
    <t>localidadmigrada89</t>
  </si>
  <si>
    <t>localidadmigrada90</t>
  </si>
  <si>
    <t>localidadmigrada91</t>
  </si>
  <si>
    <t>localidadmigrada92</t>
  </si>
  <si>
    <t>localidadmigrada93</t>
  </si>
  <si>
    <t>localidadmigrada94</t>
  </si>
  <si>
    <t>localidadmigrada95</t>
  </si>
  <si>
    <t>localidadmigrada96</t>
  </si>
  <si>
    <t>localidadmigrada97</t>
  </si>
  <si>
    <t>localidadmigrada98</t>
  </si>
  <si>
    <t>localidadmigrada99</t>
  </si>
  <si>
    <t>localidadmigrada100</t>
  </si>
  <si>
    <t>localidadmigrada101</t>
  </si>
  <si>
    <t>localidadmigrada102</t>
  </si>
  <si>
    <t>localidadmigrada103</t>
  </si>
  <si>
    <t>localidadmigrada104</t>
  </si>
  <si>
    <t>localidadmigrada105</t>
  </si>
  <si>
    <t>localidadmigrada106</t>
  </si>
  <si>
    <t>localidadmigrada107</t>
  </si>
  <si>
    <t>localidadmigrada108</t>
  </si>
  <si>
    <t>localidadmigrada109</t>
  </si>
  <si>
    <t>localidadmigrada110</t>
  </si>
  <si>
    <t>localidadmigrada111</t>
  </si>
  <si>
    <t>localidadmigrada112</t>
  </si>
  <si>
    <t>localidadmigrada113</t>
  </si>
  <si>
    <t>localidadmigrada114</t>
  </si>
  <si>
    <t>localidadmigrada115</t>
  </si>
  <si>
    <t>localidadmigrada116</t>
  </si>
  <si>
    <t>localidadmigrada117</t>
  </si>
  <si>
    <t>localidadmigrada118</t>
  </si>
  <si>
    <t>localidadmigrada119</t>
  </si>
  <si>
    <t>localidadmigrada120</t>
  </si>
  <si>
    <t>localidadmigrada121</t>
  </si>
  <si>
    <t>localidadmigrada122</t>
  </si>
  <si>
    <t>localidadmigrada123</t>
  </si>
  <si>
    <t>localidadmigrada124</t>
  </si>
  <si>
    <t>localidadmigrada125</t>
  </si>
  <si>
    <t>localidadmigrada126</t>
  </si>
  <si>
    <t>localidadmigrada127</t>
  </si>
  <si>
    <t>localidadmigrada128</t>
  </si>
  <si>
    <t>localidadmigrada129</t>
  </si>
  <si>
    <t>localidadmigrada130</t>
  </si>
  <si>
    <t>localidadmigrada131</t>
  </si>
  <si>
    <t>localidadmigrada132</t>
  </si>
  <si>
    <t>localidadmigrada133</t>
  </si>
  <si>
    <t>localidadmigrada134</t>
  </si>
  <si>
    <t>localidadmigrada135</t>
  </si>
  <si>
    <t>localidadmigrada136</t>
  </si>
  <si>
    <t>localidadmigrada137</t>
  </si>
  <si>
    <t>localidadmigrada138</t>
  </si>
  <si>
    <t>localidadmigrada139</t>
  </si>
  <si>
    <t>localidadmigrada140</t>
  </si>
  <si>
    <t>localidadmigrada141</t>
  </si>
  <si>
    <t>localidadmigrada142</t>
  </si>
  <si>
    <t>localidadmigrada143</t>
  </si>
  <si>
    <t>localidadmigrada144</t>
  </si>
  <si>
    <t>localidadmigrada145</t>
  </si>
  <si>
    <t>localidadmigrada146</t>
  </si>
  <si>
    <t>localidadmigrada147</t>
  </si>
  <si>
    <t>localidadmigrada148</t>
  </si>
  <si>
    <t>localidadmigrada149</t>
  </si>
  <si>
    <t>localidadmigrada150</t>
  </si>
  <si>
    <t>localidadmigrada151</t>
  </si>
  <si>
    <t>localidadmigrada152</t>
  </si>
  <si>
    <t>localidadmigrada153</t>
  </si>
  <si>
    <t>localidadmigrada154</t>
  </si>
  <si>
    <t>localidadmigrada155</t>
  </si>
  <si>
    <t>localidadmigrada156</t>
  </si>
  <si>
    <t>localidadmigrada157</t>
  </si>
  <si>
    <t>localidadmigrada158</t>
  </si>
  <si>
    <t>localidadmigrada159</t>
  </si>
  <si>
    <t>localidadmigrada160</t>
  </si>
  <si>
    <t>localidadmigrada161</t>
  </si>
  <si>
    <t>localidadmigrada162</t>
  </si>
  <si>
    <t>localidadmigrada163</t>
  </si>
  <si>
    <t>localidadmigrada164</t>
  </si>
  <si>
    <t>localidadmigrada165</t>
  </si>
  <si>
    <t>localidadmigrada166</t>
  </si>
  <si>
    <t>localidadmigrada167</t>
  </si>
  <si>
    <t>localidadmigrada168</t>
  </si>
  <si>
    <t>localidadmigrada169</t>
  </si>
  <si>
    <t>localidadmigrada170</t>
  </si>
  <si>
    <t>localidadmigrada171</t>
  </si>
  <si>
    <t>localidadmigrada172</t>
  </si>
  <si>
    <t>localidadmigrada173</t>
  </si>
  <si>
    <t>localidadmigrada174</t>
  </si>
  <si>
    <t>localidadmigrada175</t>
  </si>
  <si>
    <t>localidadmigrada176</t>
  </si>
  <si>
    <t>localidadmigrada177</t>
  </si>
  <si>
    <t>localidadmigrada178</t>
  </si>
  <si>
    <t>localidadmigrada179</t>
  </si>
  <si>
    <t>localidadmigrada180</t>
  </si>
  <si>
    <t>localidadmigrada181</t>
  </si>
  <si>
    <t>localidadmigrada182</t>
  </si>
  <si>
    <t>localidadmigrada183</t>
  </si>
  <si>
    <t>localidadmigrada184</t>
  </si>
  <si>
    <t>localidadmigrada185</t>
  </si>
  <si>
    <t>localidadmigrada186</t>
  </si>
  <si>
    <t>localidadmigrada187</t>
  </si>
  <si>
    <t>localidadmigrada188</t>
  </si>
  <si>
    <t>localidadmigrada189</t>
  </si>
  <si>
    <t>localidadmigrada190</t>
  </si>
  <si>
    <t>localidadmigrada191</t>
  </si>
  <si>
    <t>localidadmigrada192</t>
  </si>
  <si>
    <t>localidadmigrada193</t>
  </si>
  <si>
    <t>localidadmigrada194</t>
  </si>
  <si>
    <t>localidadmigrada195</t>
  </si>
  <si>
    <t>localidadmigrada196</t>
  </si>
  <si>
    <t>localidadmigrada197</t>
  </si>
  <si>
    <t>localidadmigrada198</t>
  </si>
  <si>
    <t>localidadmigrada199</t>
  </si>
  <si>
    <t>localidadmigrada200</t>
  </si>
  <si>
    <t>localidadmigrada201</t>
  </si>
  <si>
    <t>localidadmigrada202</t>
  </si>
  <si>
    <t>localidadmigrada203</t>
  </si>
  <si>
    <t>localidadmigrada204</t>
  </si>
  <si>
    <t>localidadmigrada205</t>
  </si>
  <si>
    <t>localidadmigrada206</t>
  </si>
  <si>
    <t>localidadmigrada207</t>
  </si>
  <si>
    <t>localidadmigrada208</t>
  </si>
  <si>
    <t>localidadmigrada209</t>
  </si>
  <si>
    <t>localidadmigrada210</t>
  </si>
  <si>
    <t>localidadmigrada211</t>
  </si>
  <si>
    <t>localidadmigrada212</t>
  </si>
  <si>
    <t>localidadmigrada213</t>
  </si>
  <si>
    <t>localidadmigrada214</t>
  </si>
  <si>
    <t>localidadmigrada215</t>
  </si>
  <si>
    <t>localidadmigrada216</t>
  </si>
  <si>
    <t>localidadmigrada217</t>
  </si>
  <si>
    <t>localidadmigrada218</t>
  </si>
  <si>
    <t>localidadmigrada219</t>
  </si>
  <si>
    <t>localidadmigrada220</t>
  </si>
  <si>
    <t>localidadmigrada221</t>
  </si>
  <si>
    <t>localidadmigrada222</t>
  </si>
  <si>
    <t>localidadmigrada223</t>
  </si>
  <si>
    <t>localidadmigrada224</t>
  </si>
  <si>
    <t>localidadmigrada225</t>
  </si>
  <si>
    <t>localidadmigrada226</t>
  </si>
  <si>
    <t>localidadmigrada227</t>
  </si>
  <si>
    <t>localidadmigrada228</t>
  </si>
  <si>
    <t>localidadmigrada229</t>
  </si>
  <si>
    <t>localidadmigrada230</t>
  </si>
  <si>
    <t>localidadmigrada231</t>
  </si>
  <si>
    <t>localidadmigrada232</t>
  </si>
  <si>
    <t>localidadmigrada233</t>
  </si>
  <si>
    <t>localidadmigrada234</t>
  </si>
  <si>
    <t>localidadmigrada235</t>
  </si>
  <si>
    <t>localidadmigrada236</t>
  </si>
  <si>
    <t>localidadmigrada237</t>
  </si>
  <si>
    <t>localidadmigrada238</t>
  </si>
  <si>
    <t>localidadmigrada239</t>
  </si>
  <si>
    <t>localidadmigrada240</t>
  </si>
  <si>
    <t>localidadmigrada241</t>
  </si>
  <si>
    <t>localidadmigrada242</t>
  </si>
  <si>
    <t>localidadmigrada243</t>
  </si>
  <si>
    <t>localidadmigrada244</t>
  </si>
  <si>
    <t>localidadmigrada245</t>
  </si>
  <si>
    <t>localidadmigrada246</t>
  </si>
  <si>
    <t>localidadmigrada247</t>
  </si>
  <si>
    <t>localidadmigrada248</t>
  </si>
  <si>
    <t>localidadmigrada249</t>
  </si>
  <si>
    <t>localidadmigrada250</t>
  </si>
  <si>
    <t>localidadmigrada251</t>
  </si>
  <si>
    <t>localidadmigrada252</t>
  </si>
  <si>
    <t>localidadmigrada253</t>
  </si>
  <si>
    <t>localidadmigrada254</t>
  </si>
  <si>
    <t>localidadmigrada255</t>
  </si>
  <si>
    <t>localidadmigrada256</t>
  </si>
  <si>
    <t>localidadmigrada257</t>
  </si>
  <si>
    <t>localidadmigrada258</t>
  </si>
  <si>
    <t>localidadmigrada259</t>
  </si>
  <si>
    <t>localidadmigrada260</t>
  </si>
  <si>
    <t>localidadmigrada261</t>
  </si>
  <si>
    <t>localidadmigrada262</t>
  </si>
  <si>
    <t>localidadmigrada263</t>
  </si>
  <si>
    <t>localidadmigrada264</t>
  </si>
  <si>
    <t>localidadmigrada265</t>
  </si>
  <si>
    <t>localidadmigrada266</t>
  </si>
  <si>
    <t>localidadmigrada267</t>
  </si>
  <si>
    <t>localidadmigrada268</t>
  </si>
  <si>
    <t>localidadmigrada269</t>
  </si>
  <si>
    <t>localidadmigrada270</t>
  </si>
  <si>
    <t>localidadmigrada271</t>
  </si>
  <si>
    <t>localidadmigrada272</t>
  </si>
  <si>
    <t>localidadmigrada273</t>
  </si>
  <si>
    <t>localidadmigrada274</t>
  </si>
  <si>
    <t>localidadmigrada275</t>
  </si>
  <si>
    <t>localidadmigrada276</t>
  </si>
  <si>
    <t>localidadmigrada277</t>
  </si>
  <si>
    <t>localidadmigrada278</t>
  </si>
  <si>
    <t>localidadmigrada279</t>
  </si>
  <si>
    <t>localidadmigrada280</t>
  </si>
  <si>
    <t>localidadmigrada281</t>
  </si>
  <si>
    <t>localidadmigrada282</t>
  </si>
  <si>
    <t>localidadmigrada283</t>
  </si>
  <si>
    <t>localidadmigrada284</t>
  </si>
  <si>
    <t>localidadmigrada285</t>
  </si>
  <si>
    <t>localidadmigrada286</t>
  </si>
  <si>
    <t>localidadmigrada287</t>
  </si>
  <si>
    <t>localidadmigrada288</t>
  </si>
  <si>
    <t>localidadmigrada289</t>
  </si>
  <si>
    <t>localidadmigrada290</t>
  </si>
  <si>
    <t>localidadmigrada291</t>
  </si>
  <si>
    <t>localidadmigrada292</t>
  </si>
  <si>
    <t>localidadmigrada293</t>
  </si>
  <si>
    <t>localidadmigrada294</t>
  </si>
  <si>
    <t>localidadmigrada295</t>
  </si>
  <si>
    <t>localidadmigrada296</t>
  </si>
  <si>
    <t>localidadmigrada297</t>
  </si>
  <si>
    <t>localidadmigrada298</t>
  </si>
  <si>
    <t>localidadmigrada299</t>
  </si>
  <si>
    <t>localidadmigrada300</t>
  </si>
  <si>
    <t>localidadmigrada301</t>
  </si>
  <si>
    <t>localidadmigrada302</t>
  </si>
  <si>
    <t>localidadmigrada303</t>
  </si>
  <si>
    <t>localidadmigrada304</t>
  </si>
  <si>
    <t>localidadmigrada305</t>
  </si>
  <si>
    <t>localidadmigrada306</t>
  </si>
  <si>
    <t>localidadmigrada307</t>
  </si>
  <si>
    <t>localidadmigrada308</t>
  </si>
  <si>
    <t>localidadmigrada309</t>
  </si>
  <si>
    <t>localidadmigrada310</t>
  </si>
  <si>
    <t>localidadmigrada311</t>
  </si>
  <si>
    <t>localidadmigrada312</t>
  </si>
  <si>
    <t>localidadmigrada313</t>
  </si>
  <si>
    <t>localidadmigrada314</t>
  </si>
  <si>
    <t>localidadmigrada315</t>
  </si>
  <si>
    <t>localidadmigrada316</t>
  </si>
  <si>
    <t>localidadmigrada317</t>
  </si>
  <si>
    <t>localidadmigrada318</t>
  </si>
  <si>
    <t>localidadmigrada319</t>
  </si>
  <si>
    <t>localidadmigrada320</t>
  </si>
  <si>
    <t>localidadmigrada321</t>
  </si>
  <si>
    <t>localidadmigrada322</t>
  </si>
  <si>
    <t>localidadmigrada323</t>
  </si>
  <si>
    <t>localidadmigrada324</t>
  </si>
  <si>
    <t>localidadmigrada325</t>
  </si>
  <si>
    <t>localidadmigrada326</t>
  </si>
  <si>
    <t>localidadmigrada327</t>
  </si>
  <si>
    <t>localidadmigrada328</t>
  </si>
  <si>
    <t>localidadmigrada329</t>
  </si>
  <si>
    <t>localidadmigrada330</t>
  </si>
  <si>
    <t>localidadmigrada331</t>
  </si>
  <si>
    <t>localidadmigrada332</t>
  </si>
  <si>
    <t>localidadmigrada333</t>
  </si>
  <si>
    <t>localidadmigrada334</t>
  </si>
  <si>
    <t>localidadmigrada335</t>
  </si>
  <si>
    <t>localidadmigrada336</t>
  </si>
  <si>
    <t>localidadmigrada337</t>
  </si>
  <si>
    <t>localidadmigrada338</t>
  </si>
  <si>
    <t>localidadmigrada339</t>
  </si>
  <si>
    <t>localidadmigrada340</t>
  </si>
  <si>
    <t>localidadmigrada341</t>
  </si>
  <si>
    <t>localidadmigrada342</t>
  </si>
  <si>
    <t>localidadmigrada343</t>
  </si>
  <si>
    <t>localidadmigrada344</t>
  </si>
  <si>
    <t>localidadmigrada345</t>
  </si>
  <si>
    <t>localidadmigrada346</t>
  </si>
  <si>
    <t>localidadmigrada347</t>
  </si>
  <si>
    <t>localidadmigrada348</t>
  </si>
  <si>
    <t>localidadmigrada349</t>
  </si>
  <si>
    <t>localidadmigrada350</t>
  </si>
  <si>
    <t>localidadmigrada351</t>
  </si>
  <si>
    <t>localidadmigrada352</t>
  </si>
  <si>
    <t>localidadmigrada353</t>
  </si>
  <si>
    <t>localidadmigrada354</t>
  </si>
  <si>
    <t>localidadmigrada355</t>
  </si>
  <si>
    <t>localidadmigrada356</t>
  </si>
  <si>
    <t>localidadmigrada357</t>
  </si>
  <si>
    <t>localidadmigrada358</t>
  </si>
  <si>
    <t>localidadmigrada359</t>
  </si>
  <si>
    <t>localidadmigrada360</t>
  </si>
  <si>
    <t>localidadmigrada361</t>
  </si>
  <si>
    <t>localidadmigrada362</t>
  </si>
  <si>
    <t>localidadmigrada363</t>
  </si>
  <si>
    <t>localidadmigrada364</t>
  </si>
  <si>
    <t>localidadmigrada365</t>
  </si>
  <si>
    <t>localidadmigrada366</t>
  </si>
  <si>
    <t>localidadmigrada367</t>
  </si>
  <si>
    <t>localidadmigrada368</t>
  </si>
  <si>
    <t>localidadmigrada369</t>
  </si>
  <si>
    <t>localidadmigrada370</t>
  </si>
  <si>
    <t>localidadmigrada371</t>
  </si>
  <si>
    <t>localidadmigrada372</t>
  </si>
  <si>
    <t>localidadmigrada373</t>
  </si>
  <si>
    <t>localidadmigrada374</t>
  </si>
  <si>
    <t>localidadmigrada375</t>
  </si>
  <si>
    <t>localidadmigrada376</t>
  </si>
  <si>
    <t>localidadmigrada377</t>
  </si>
  <si>
    <t>localidadmigrada378</t>
  </si>
  <si>
    <t>localidadmigrada379</t>
  </si>
  <si>
    <t>localidadmigrada380</t>
  </si>
  <si>
    <t>localidadmigrada381</t>
  </si>
  <si>
    <t>localidadmigrada382</t>
  </si>
  <si>
    <t>localidadmigrada383</t>
  </si>
  <si>
    <t>localidadmigrada384</t>
  </si>
  <si>
    <t>localidadmigrada385</t>
  </si>
  <si>
    <t>localidadmigrada386</t>
  </si>
  <si>
    <t>localidadmigrada387</t>
  </si>
  <si>
    <t>localidadmigrada388</t>
  </si>
  <si>
    <t>localidadmigrada389</t>
  </si>
  <si>
    <t>localidadmigrada390</t>
  </si>
  <si>
    <t>localidadmigrada391</t>
  </si>
  <si>
    <t>localidadmigrada392</t>
  </si>
  <si>
    <t>localidadmigrada393</t>
  </si>
  <si>
    <t>localidadmigrada394</t>
  </si>
  <si>
    <t>localidadmigrada395</t>
  </si>
  <si>
    <t>localidadmigrada396</t>
  </si>
  <si>
    <t>localidadmigrada397</t>
  </si>
  <si>
    <t>localidadmigrada398</t>
  </si>
  <si>
    <t>localidadmigrada399</t>
  </si>
  <si>
    <t>localidadmigrada400</t>
  </si>
  <si>
    <t>localidadmigrada401</t>
  </si>
  <si>
    <t>localidadmigrada402</t>
  </si>
  <si>
    <t>localidadmigrada403</t>
  </si>
  <si>
    <t>localidadmigrada404</t>
  </si>
  <si>
    <t>localidadmigrada405</t>
  </si>
  <si>
    <t>localidadmigrada406</t>
  </si>
  <si>
    <t>localidadmigrada407</t>
  </si>
  <si>
    <t>localidadmigrada408</t>
  </si>
  <si>
    <t>localidadmigrada409</t>
  </si>
  <si>
    <t>localidadmigrada410</t>
  </si>
  <si>
    <t>localidadmigrada411</t>
  </si>
  <si>
    <t>localidadmigrada412</t>
  </si>
  <si>
    <t>localidadmigrada413</t>
  </si>
  <si>
    <t>localidadmigrada414</t>
  </si>
  <si>
    <t>localidadmigrada415</t>
  </si>
  <si>
    <t>localidadmigrada416</t>
  </si>
  <si>
    <t>localidadmigrada417</t>
  </si>
  <si>
    <t>localidadmigrada418</t>
  </si>
  <si>
    <t>localidadmigrada419</t>
  </si>
  <si>
    <t>localidadmigrada420</t>
  </si>
  <si>
    <t>localidadmigrada421</t>
  </si>
  <si>
    <t>localidadmigrada422</t>
  </si>
  <si>
    <t>localidadmigrada423</t>
  </si>
  <si>
    <t>localidadmigrada424</t>
  </si>
  <si>
    <t>localidadmigrada425</t>
  </si>
  <si>
    <t>localidadmigrada426</t>
  </si>
  <si>
    <t>localidadmigrada427</t>
  </si>
  <si>
    <t>localidadmigrada428</t>
  </si>
  <si>
    <t>localidadmigrada429</t>
  </si>
  <si>
    <t>localidadmigrada430</t>
  </si>
  <si>
    <t>localidadmigrada431</t>
  </si>
  <si>
    <t>localidadmigrada432</t>
  </si>
  <si>
    <t>localidadmigrada433</t>
  </si>
  <si>
    <t>localidadmigrada434</t>
  </si>
  <si>
    <t>localidadmigrada435</t>
  </si>
  <si>
    <t>localidadmigrada436</t>
  </si>
  <si>
    <t>localidadmigrada437</t>
  </si>
  <si>
    <t>localidadmigrada438</t>
  </si>
  <si>
    <t>localidadmigrada439</t>
  </si>
  <si>
    <t>localidadmigrada440</t>
  </si>
  <si>
    <t>localidadmigrada441</t>
  </si>
  <si>
    <t>localidadmigrada442</t>
  </si>
  <si>
    <t>localidadmigrada443</t>
  </si>
  <si>
    <t>localidadmigrada444</t>
  </si>
  <si>
    <t>localidadmigrada445</t>
  </si>
  <si>
    <t>localidadmigrada446</t>
  </si>
  <si>
    <t>localidadmigrada447</t>
  </si>
  <si>
    <t>localidadmigrada448</t>
  </si>
  <si>
    <t>localidadmigrada449</t>
  </si>
  <si>
    <t>localidadmigrada450</t>
  </si>
  <si>
    <t>localidadmigrada451</t>
  </si>
  <si>
    <t>localidadmigrada452</t>
  </si>
  <si>
    <t>localidadmigrada453</t>
  </si>
  <si>
    <t>localidadmigrada454</t>
  </si>
  <si>
    <t>localidadmigrada455</t>
  </si>
  <si>
    <t>localidadmigrada456</t>
  </si>
  <si>
    <t>localidadmigrada457</t>
  </si>
  <si>
    <t>localidadmigrada458</t>
  </si>
  <si>
    <t>localidadmigrada459</t>
  </si>
  <si>
    <t>localidadmigrada460</t>
  </si>
  <si>
    <t>localidadmigrada461</t>
  </si>
  <si>
    <t>localidadmigrada462</t>
  </si>
  <si>
    <t>localidadmigrada463</t>
  </si>
  <si>
    <t>localidadmigrada464</t>
  </si>
  <si>
    <t>localidadmigrada465</t>
  </si>
  <si>
    <t>localidadmigrada466</t>
  </si>
  <si>
    <t>localidadmigrada467</t>
  </si>
  <si>
    <t>localidadmigrada468</t>
  </si>
  <si>
    <t>localidadmigrada469</t>
  </si>
  <si>
    <t>localidadmigrada470</t>
  </si>
  <si>
    <t>localidadmigrada471</t>
  </si>
  <si>
    <t>localidadmigrada472</t>
  </si>
  <si>
    <t>localidadmigrada473</t>
  </si>
  <si>
    <t>localidadmigrada474</t>
  </si>
  <si>
    <t>localidadmigrada475</t>
  </si>
  <si>
    <t>localidadmigrada476</t>
  </si>
  <si>
    <t>localidadmigrada477</t>
  </si>
  <si>
    <t>localidadmigrada478</t>
  </si>
  <si>
    <t>localidadmigrada479</t>
  </si>
  <si>
    <t>localidadmigrada480</t>
  </si>
  <si>
    <t>localidadmigrada481</t>
  </si>
  <si>
    <t>localidadmigrada482</t>
  </si>
  <si>
    <t>localidadmigrada483</t>
  </si>
  <si>
    <t>localidadmigrada484</t>
  </si>
  <si>
    <t>localidadmigrada485</t>
  </si>
  <si>
    <t>localidadmigrada486</t>
  </si>
  <si>
    <t>localidadmigrada487</t>
  </si>
  <si>
    <t>localidadmigrada488</t>
  </si>
  <si>
    <t>localidadmigrada489</t>
  </si>
  <si>
    <t>localidadmigrada490</t>
  </si>
  <si>
    <t>localidadmigrada491</t>
  </si>
  <si>
    <t>localidadmigrada492</t>
  </si>
  <si>
    <t>localidadmigrada493</t>
  </si>
  <si>
    <t>localidadmigrada494</t>
  </si>
  <si>
    <t>localidadmigrada495</t>
  </si>
  <si>
    <t>localidadmigrada496</t>
  </si>
  <si>
    <t>localidadmigrada497</t>
  </si>
  <si>
    <t>localidadmigrada498</t>
  </si>
  <si>
    <t>localidadmigrada499</t>
  </si>
  <si>
    <t>localidadmigrada500</t>
  </si>
  <si>
    <t>localidadmigrada501</t>
  </si>
  <si>
    <t>localidadmigrada502</t>
  </si>
  <si>
    <t>localidadmigrada503</t>
  </si>
  <si>
    <t>localidadmigrada504</t>
  </si>
  <si>
    <t>localidadmigrada505</t>
  </si>
  <si>
    <t>localidadmigrada506</t>
  </si>
  <si>
    <t>localidadmigrada507</t>
  </si>
  <si>
    <t>localidadmigrada508</t>
  </si>
  <si>
    <t>localidadmigrada509</t>
  </si>
  <si>
    <t>localidadmigrada510</t>
  </si>
  <si>
    <t>localidadmigrada511</t>
  </si>
  <si>
    <t>localidadmigrada512</t>
  </si>
  <si>
    <t>localidadmigrada513</t>
  </si>
  <si>
    <t>localidadmigrada514</t>
  </si>
  <si>
    <t>localidadmigrada515</t>
  </si>
  <si>
    <t>localidadmigrada516</t>
  </si>
  <si>
    <t>localidadmigrada517</t>
  </si>
  <si>
    <t>localidadmigrada518</t>
  </si>
  <si>
    <t>localidadmigrada519</t>
  </si>
  <si>
    <t>localidadmigrada520</t>
  </si>
  <si>
    <t>localidadmigrada521</t>
  </si>
  <si>
    <t>localidadmigrada522</t>
  </si>
  <si>
    <t>localidadmigrada523</t>
  </si>
  <si>
    <t>localidadmigrada524</t>
  </si>
  <si>
    <t>localidadmigrada525</t>
  </si>
  <si>
    <t>localidadmigrada526</t>
  </si>
  <si>
    <t>localidadmigrada527</t>
  </si>
  <si>
    <t>localidadmigrada528</t>
  </si>
  <si>
    <t>localidadmigrada529</t>
  </si>
  <si>
    <t>localidadmigrada530</t>
  </si>
  <si>
    <t>localidadmigrada531</t>
  </si>
  <si>
    <t>localidadmigrada532</t>
  </si>
  <si>
    <t>localidadmigrada533</t>
  </si>
  <si>
    <t>localidadmigrada534</t>
  </si>
  <si>
    <t>localidadmigrada535</t>
  </si>
  <si>
    <t>localidadmigrada536</t>
  </si>
  <si>
    <t>localidadmigrada537</t>
  </si>
  <si>
    <t>localidadmigrada538</t>
  </si>
  <si>
    <t>localidadmigrada539</t>
  </si>
  <si>
    <t>localidadmigrada540</t>
  </si>
  <si>
    <t>localidadmigrada541</t>
  </si>
  <si>
    <t>localidadmigrada542</t>
  </si>
  <si>
    <t>localidadmigrada543</t>
  </si>
  <si>
    <t>localidadmigrada544</t>
  </si>
  <si>
    <t>localidadmigrada545</t>
  </si>
  <si>
    <t>localidadmigrada546</t>
  </si>
  <si>
    <t>localidadmigrada547</t>
  </si>
  <si>
    <t>localidadmigrada548</t>
  </si>
  <si>
    <t>localidadmigrada549</t>
  </si>
  <si>
    <t>localidadmigrada550</t>
  </si>
  <si>
    <t>localidadmigrada551</t>
  </si>
  <si>
    <t>localidadmigrada552</t>
  </si>
  <si>
    <t>localidadmigrada553</t>
  </si>
  <si>
    <t>localidadmigrada554</t>
  </si>
  <si>
    <t>localidadmigrada555</t>
  </si>
  <si>
    <t>localidadmigrada556</t>
  </si>
  <si>
    <t>localidadmigrada557</t>
  </si>
  <si>
    <t>localidadmigrada558</t>
  </si>
  <si>
    <t>localidadmigrada559</t>
  </si>
  <si>
    <t>localidadmigrada560</t>
  </si>
  <si>
    <t>localidadmigrada561</t>
  </si>
  <si>
    <t>localidadmigrada562</t>
  </si>
  <si>
    <t>localidadmigrada563</t>
  </si>
  <si>
    <t>localidadmigrada564</t>
  </si>
  <si>
    <t>localidadmigrada565</t>
  </si>
  <si>
    <t>localidadmigrada566</t>
  </si>
  <si>
    <t>localidadmigrada567</t>
  </si>
  <si>
    <t>localidadmigrada568</t>
  </si>
  <si>
    <t>localidadmigrada569</t>
  </si>
  <si>
    <t>localidadmigrada570</t>
  </si>
  <si>
    <t>localidadmigrada571</t>
  </si>
  <si>
    <t>localidadmigrada572</t>
  </si>
  <si>
    <t>localidadmigrada573</t>
  </si>
  <si>
    <t>localidadmigrada574</t>
  </si>
  <si>
    <t>localidadmigrada575</t>
  </si>
  <si>
    <t>localidadmigrada576</t>
  </si>
  <si>
    <t>localidadmigrada577</t>
  </si>
  <si>
    <t>localidadmigrada578</t>
  </si>
  <si>
    <t>localidadmigrada579</t>
  </si>
  <si>
    <t>localidadmigrada580</t>
  </si>
  <si>
    <t>localidadmigrada581</t>
  </si>
  <si>
    <t>localidadmigrada582</t>
  </si>
  <si>
    <t>localidadmigrada583</t>
  </si>
  <si>
    <t>localidadmigrada584</t>
  </si>
  <si>
    <t>localidadmigrada585</t>
  </si>
  <si>
    <t>localidadmigrada586</t>
  </si>
  <si>
    <t>localidadmigrada587</t>
  </si>
  <si>
    <t>localidadmigrada588</t>
  </si>
  <si>
    <t>localidadmigrada589</t>
  </si>
  <si>
    <t>localidadmigrada590</t>
  </si>
  <si>
    <t>localidadmigrada591</t>
  </si>
  <si>
    <t>localidadmigrada592</t>
  </si>
  <si>
    <t>localidadmigrada593</t>
  </si>
  <si>
    <t>localidadmigrada594</t>
  </si>
  <si>
    <t>localidadmigrada595</t>
  </si>
  <si>
    <t>localidadmigrada596</t>
  </si>
  <si>
    <t>localidadmigrada597</t>
  </si>
  <si>
    <t>localidadmigrada598</t>
  </si>
  <si>
    <t>localidadmigrada599</t>
  </si>
  <si>
    <t>localidadmigrada600</t>
  </si>
  <si>
    <t>localidadmigrada601</t>
  </si>
  <si>
    <t>localidadmigrada602</t>
  </si>
  <si>
    <t>localidadmigrada603</t>
  </si>
  <si>
    <t>localidadmigrada604</t>
  </si>
  <si>
    <t>localidadmigrada605</t>
  </si>
  <si>
    <t>localidadmigrada606</t>
  </si>
  <si>
    <t>localidadmigrada607</t>
  </si>
  <si>
    <t>localidadmigrada608</t>
  </si>
  <si>
    <t>localidadmigrada609</t>
  </si>
  <si>
    <t>localidadmigrada610</t>
  </si>
  <si>
    <t>localidadmigrada611</t>
  </si>
  <si>
    <t>localidadmigrada612</t>
  </si>
  <si>
    <t>localidadmigrada613</t>
  </si>
  <si>
    <t>localidadmigrada614</t>
  </si>
  <si>
    <t>localidadmigrada615</t>
  </si>
  <si>
    <t>localidadmigrada616</t>
  </si>
  <si>
    <t>localidadmigrada617</t>
  </si>
  <si>
    <t>localidadmigrada618</t>
  </si>
  <si>
    <t>localidadmigrada619</t>
  </si>
  <si>
    <t>localidadmigrada620</t>
  </si>
  <si>
    <t>localidadmigrada621</t>
  </si>
  <si>
    <t>localidadmigrada622</t>
  </si>
  <si>
    <t>localidadmigrada623</t>
  </si>
  <si>
    <t>localidadmigrada624</t>
  </si>
  <si>
    <t>localidadmigrada625</t>
  </si>
  <si>
    <t>localidadmigrada626</t>
  </si>
  <si>
    <t>localidadmigrada627</t>
  </si>
  <si>
    <t>localidadmigrada628</t>
  </si>
  <si>
    <t>localidadmigrada629</t>
  </si>
  <si>
    <t>localidadmigrada630</t>
  </si>
  <si>
    <t>localidadmigrada631</t>
  </si>
  <si>
    <t>localidadmigrada632</t>
  </si>
  <si>
    <t>localidadmigrada633</t>
  </si>
  <si>
    <t>localidadmigrada634</t>
  </si>
  <si>
    <t>localidadmigrada635</t>
  </si>
  <si>
    <t>localidadmigrada636</t>
  </si>
  <si>
    <t>localidadmigrada637</t>
  </si>
  <si>
    <t>localidadmigrada638</t>
  </si>
  <si>
    <t>localidadmigrada639</t>
  </si>
  <si>
    <t>localidadmigrada640</t>
  </si>
  <si>
    <t>localidadmigrada641</t>
  </si>
  <si>
    <t>localidadmigrada642</t>
  </si>
  <si>
    <t>localidadmigrada643</t>
  </si>
  <si>
    <t>localidadmigrada644</t>
  </si>
  <si>
    <t>localidadmigrada645</t>
  </si>
  <si>
    <t>localidadmigrada646</t>
  </si>
  <si>
    <t>localidadmigrada647</t>
  </si>
  <si>
    <t>localidadmigrada648</t>
  </si>
  <si>
    <t>localidadmigrada649</t>
  </si>
  <si>
    <t>localidadmigrada650</t>
  </si>
  <si>
    <t>localidadmigrada651</t>
  </si>
  <si>
    <t>localidadmigrada652</t>
  </si>
  <si>
    <t>localidadmigrada653</t>
  </si>
  <si>
    <t>localidadmigrada654</t>
  </si>
  <si>
    <t>localidadmigrada655</t>
  </si>
  <si>
    <t>localidadmigrada656</t>
  </si>
  <si>
    <t>localidadmigrada657</t>
  </si>
  <si>
    <t>localidadmigrada658</t>
  </si>
  <si>
    <t>localidadmigrada659</t>
  </si>
  <si>
    <t>localidadmigrada660</t>
  </si>
  <si>
    <t>localidadmigrada661</t>
  </si>
  <si>
    <t>localidadmigrada662</t>
  </si>
  <si>
    <t>localidadmigrada663</t>
  </si>
  <si>
    <t>localidadmigrada664</t>
  </si>
  <si>
    <t>localidadmigrada665</t>
  </si>
  <si>
    <t>localidadmigrada666</t>
  </si>
  <si>
    <t>localidadmigrada667</t>
  </si>
  <si>
    <t>localidadmigrada668</t>
  </si>
  <si>
    <t>localidadmigrada669</t>
  </si>
  <si>
    <t>localidadmigrada670</t>
  </si>
  <si>
    <t>localidadmigrada671</t>
  </si>
  <si>
    <t>localidadmigrada672</t>
  </si>
  <si>
    <t>localidadmigrada673</t>
  </si>
  <si>
    <t>localidadmigrada674</t>
  </si>
  <si>
    <t>localidadmigrada675</t>
  </si>
  <si>
    <t>localidadmigrada676</t>
  </si>
  <si>
    <t>localidadmigrada677</t>
  </si>
  <si>
    <t>localidadmigrada678</t>
  </si>
  <si>
    <t>localidadmigrada679</t>
  </si>
  <si>
    <t>localidadmigrada680</t>
  </si>
  <si>
    <t>localidadmigrada681</t>
  </si>
  <si>
    <t>localidadmigrada682</t>
  </si>
  <si>
    <t>localidadmigrada683</t>
  </si>
  <si>
    <t>localidadmigrada684</t>
  </si>
  <si>
    <t>localidadmigrada685</t>
  </si>
  <si>
    <t>localidadmigrada686</t>
  </si>
  <si>
    <t>localidadmigrada687</t>
  </si>
  <si>
    <t>localidadmigrada688</t>
  </si>
  <si>
    <t>localidadmigrada689</t>
  </si>
  <si>
    <t>localidadmigrada690</t>
  </si>
  <si>
    <t>localidadmigrada691</t>
  </si>
  <si>
    <t>localidadmigrada692</t>
  </si>
  <si>
    <t>localidadmigrada693</t>
  </si>
  <si>
    <t>localidadmigrada694</t>
  </si>
  <si>
    <t>localidadmigrada695</t>
  </si>
  <si>
    <t>localidadmigrada696</t>
  </si>
  <si>
    <t>localidadmigrada697</t>
  </si>
  <si>
    <t>localidadmigrada698</t>
  </si>
  <si>
    <t>localidadmigrada699</t>
  </si>
  <si>
    <t>localidadmigrada700</t>
  </si>
  <si>
    <t>localidadmigrada701</t>
  </si>
  <si>
    <t>localidadmigrada702</t>
  </si>
  <si>
    <t>localidadmigrada703</t>
  </si>
  <si>
    <t>localidadmigrada704</t>
  </si>
  <si>
    <t>localidadmigrada705</t>
  </si>
  <si>
    <t>localidadmigrada706</t>
  </si>
  <si>
    <t>localidadmigrada707</t>
  </si>
  <si>
    <t>localidadmigrada708</t>
  </si>
  <si>
    <t>localidadmigrada709</t>
  </si>
  <si>
    <t>localidadmigrada710</t>
  </si>
  <si>
    <t>localidadmigrada711</t>
  </si>
  <si>
    <t>localidadmigrada712</t>
  </si>
  <si>
    <t>localidadmigrada713</t>
  </si>
  <si>
    <t>localidadmigrada714</t>
  </si>
  <si>
    <t>localidadmigrada715</t>
  </si>
  <si>
    <t>localidadmigrada716</t>
  </si>
  <si>
    <t>localidadmigrada717</t>
  </si>
  <si>
    <t>localidadmigrada718</t>
  </si>
  <si>
    <t>localidadmigrada719</t>
  </si>
  <si>
    <t>localidadmigrada720</t>
  </si>
  <si>
    <t>localidadmigrada721</t>
  </si>
  <si>
    <t>localidadmigrada722</t>
  </si>
  <si>
    <t>localidadmigrada723</t>
  </si>
  <si>
    <t>localidadmigrada724</t>
  </si>
  <si>
    <t>localidadmigrada725</t>
  </si>
  <si>
    <t>localidadmigrada726</t>
  </si>
  <si>
    <t>localidadmigrada727</t>
  </si>
  <si>
    <t>localidadmigrada728</t>
  </si>
  <si>
    <t>localidadmigrada729</t>
  </si>
  <si>
    <t>localidadmigrada730</t>
  </si>
  <si>
    <t>localidadmigrada731</t>
  </si>
  <si>
    <t>localidadmigrada732</t>
  </si>
  <si>
    <t>localidadmigrada733</t>
  </si>
  <si>
    <t>localidadmigrada734</t>
  </si>
  <si>
    <t>localidadmigrada735</t>
  </si>
  <si>
    <t>localidadmigrada736</t>
  </si>
  <si>
    <t>localidadmigrada737</t>
  </si>
  <si>
    <t>localidadmigrada738</t>
  </si>
  <si>
    <t>localidadmigrada739</t>
  </si>
  <si>
    <t>localidadmigrada740</t>
  </si>
  <si>
    <t>localidadmigrada741</t>
  </si>
  <si>
    <t>localidadmigrada742</t>
  </si>
  <si>
    <t>localidadmigrada743</t>
  </si>
  <si>
    <t>localidadmigrada744</t>
  </si>
  <si>
    <t>localidadmigrada745</t>
  </si>
  <si>
    <t>localidadmigrada746</t>
  </si>
  <si>
    <t>localidadmigrada747</t>
  </si>
  <si>
    <t>localidadmigrada748</t>
  </si>
  <si>
    <t>localidadmigrada749</t>
  </si>
  <si>
    <t>localidadmigrada750</t>
  </si>
  <si>
    <t>localidadmigrada751</t>
  </si>
  <si>
    <t>localidadmigrada752</t>
  </si>
  <si>
    <t>localidadmigrada753</t>
  </si>
  <si>
    <t>localidadmigrada754</t>
  </si>
  <si>
    <t>localidadmigrada755</t>
  </si>
  <si>
    <t>localidadmigrada756</t>
  </si>
  <si>
    <t>localidadmigrada757</t>
  </si>
  <si>
    <t>localidadmigrada758</t>
  </si>
  <si>
    <t>localidadmigrada759</t>
  </si>
  <si>
    <t>localidadmigrada760</t>
  </si>
  <si>
    <t>localidadmigrada761</t>
  </si>
  <si>
    <t>localidadmigrada762</t>
  </si>
  <si>
    <t>localidadmigrada763</t>
  </si>
  <si>
    <t>localidadmigrada764</t>
  </si>
  <si>
    <t>localidadmigrada765</t>
  </si>
  <si>
    <t>localidadmigrada766</t>
  </si>
  <si>
    <t>localidadmigrada767</t>
  </si>
  <si>
    <t>localidadmigrada768</t>
  </si>
  <si>
    <t>localidadmigrada769</t>
  </si>
  <si>
    <t>localidadmigrada770</t>
  </si>
  <si>
    <t>localidadmigrada771</t>
  </si>
  <si>
    <t>localidadmigrada772</t>
  </si>
  <si>
    <t>localidadmigrada773</t>
  </si>
  <si>
    <t>localidadmigrada774</t>
  </si>
  <si>
    <t>localidadmigrada775</t>
  </si>
  <si>
    <t>localidadmigrada776</t>
  </si>
  <si>
    <t>localidadmigrada777</t>
  </si>
  <si>
    <t>localidadmigrada778</t>
  </si>
  <si>
    <t>localidadmigrada779</t>
  </si>
  <si>
    <t>localidadmigrada780</t>
  </si>
  <si>
    <t>localidadmigrada781</t>
  </si>
  <si>
    <t>localidadmigrada782</t>
  </si>
  <si>
    <t>localidadmigrada783</t>
  </si>
  <si>
    <t>localidadmigrada784</t>
  </si>
  <si>
    <t>localidadmigrada785</t>
  </si>
  <si>
    <t>localidadmigrada786</t>
  </si>
  <si>
    <t>localidadmigrada787</t>
  </si>
  <si>
    <t>localidadmigrada788</t>
  </si>
  <si>
    <t>localidadmigrada789</t>
  </si>
  <si>
    <t>localidadmigrada790</t>
  </si>
  <si>
    <t>localidadmigrada791</t>
  </si>
  <si>
    <t>localidadmigrada792</t>
  </si>
  <si>
    <t>localidadmigrada793</t>
  </si>
  <si>
    <t>localidadmigrada794</t>
  </si>
  <si>
    <t>localidadmigrada795</t>
  </si>
  <si>
    <t>localidadmigrada796</t>
  </si>
  <si>
    <t>localidadmigrada797</t>
  </si>
  <si>
    <t>localidadmigrada798</t>
  </si>
  <si>
    <t>localidadmigrada799</t>
  </si>
  <si>
    <t>localidadmigrada800</t>
  </si>
  <si>
    <t>localidadmigrada801</t>
  </si>
  <si>
    <t>localidadmigrada802</t>
  </si>
  <si>
    <t>localidadmigrada803</t>
  </si>
  <si>
    <t>localidadmigrada804</t>
  </si>
  <si>
    <t>localidadmigrada805</t>
  </si>
  <si>
    <t>localidadmigrada806</t>
  </si>
  <si>
    <t>localidadmigrada807</t>
  </si>
  <si>
    <t>localidadmigrada808</t>
  </si>
  <si>
    <t>localidadmigrada809</t>
  </si>
  <si>
    <t>localidadmigrada810</t>
  </si>
  <si>
    <t>localidadmigrada811</t>
  </si>
  <si>
    <t>localidadmigrada812</t>
  </si>
  <si>
    <t>localidadmigrada813</t>
  </si>
  <si>
    <t>localidadmigrada814</t>
  </si>
  <si>
    <t>localidadmigrada815</t>
  </si>
  <si>
    <t>localidadmigrada816</t>
  </si>
  <si>
    <t>localidadmigrada817</t>
  </si>
  <si>
    <t>localidadmigrada818</t>
  </si>
  <si>
    <t>localidadmigrada819</t>
  </si>
  <si>
    <t>localidadmigrada820</t>
  </si>
  <si>
    <t>localidadmigrada821</t>
  </si>
  <si>
    <t>localidadmigrada822</t>
  </si>
  <si>
    <t>localidadmigrada823</t>
  </si>
  <si>
    <t>localidadmigrada824</t>
  </si>
  <si>
    <t>localidadmigrada825</t>
  </si>
  <si>
    <t>localidadmigrada826</t>
  </si>
  <si>
    <t>localidadmigrada827</t>
  </si>
  <si>
    <t>localidadmigrada828</t>
  </si>
  <si>
    <t>localidadmigrada829</t>
  </si>
  <si>
    <t>localidadmigrada830</t>
  </si>
  <si>
    <t>localidadmigrada831</t>
  </si>
  <si>
    <t>localidadmigrada832</t>
  </si>
  <si>
    <t>localidadmigrada833</t>
  </si>
  <si>
    <t>localidadmigrada834</t>
  </si>
  <si>
    <t>localidadmigrada835</t>
  </si>
  <si>
    <t>localidadmigrada836</t>
  </si>
  <si>
    <t>localidadmigrada837</t>
  </si>
  <si>
    <t>localidadmigrada838</t>
  </si>
  <si>
    <t>localidadmigrada839</t>
  </si>
  <si>
    <t>localidadmigrada840</t>
  </si>
  <si>
    <t>localidadmigrada841</t>
  </si>
  <si>
    <t>localidadmigrada842</t>
  </si>
  <si>
    <t>localidadmigrada843</t>
  </si>
  <si>
    <t>localidadmigrada844</t>
  </si>
  <si>
    <t>localidadmigrada845</t>
  </si>
  <si>
    <t>localidadmigrada846</t>
  </si>
  <si>
    <t>localidadmigrada847</t>
  </si>
  <si>
    <t>localidadmigrada848</t>
  </si>
  <si>
    <t>localidadmigrada849</t>
  </si>
  <si>
    <t>localidadmigrada850</t>
  </si>
  <si>
    <t>localidadmigrada851</t>
  </si>
  <si>
    <t>localidadmigrada852</t>
  </si>
  <si>
    <t>localidadmigrada853</t>
  </si>
  <si>
    <t>localidadmigrada854</t>
  </si>
  <si>
    <t>localidadmigrada855</t>
  </si>
  <si>
    <t>localidadmigrada856</t>
  </si>
  <si>
    <t>localidadmigrada857</t>
  </si>
  <si>
    <t>localidadmigrada858</t>
  </si>
  <si>
    <t>localidadmigrada859</t>
  </si>
  <si>
    <t>localidadmigrada860</t>
  </si>
  <si>
    <t>localidadmigrada861</t>
  </si>
  <si>
    <t>localidadmigrada862</t>
  </si>
  <si>
    <t>localidadmigrada863</t>
  </si>
  <si>
    <t>localidadmigrada864</t>
  </si>
  <si>
    <t>localidadmigrada865</t>
  </si>
  <si>
    <t>localidadmigrada866</t>
  </si>
  <si>
    <t>localidadmigrada867</t>
  </si>
  <si>
    <t>localidadmigrada868</t>
  </si>
  <si>
    <t>localidadmigrada869</t>
  </si>
  <si>
    <t>localidadmigrada870</t>
  </si>
  <si>
    <t>localidadmigrada871</t>
  </si>
  <si>
    <t>localidadmigrada872</t>
  </si>
  <si>
    <t>localidadmigrada873</t>
  </si>
  <si>
    <t>localidadmigrada874</t>
  </si>
  <si>
    <t>localidadmigrada875</t>
  </si>
  <si>
    <t>localidadmigrada876</t>
  </si>
  <si>
    <t>localidadmigrada877</t>
  </si>
  <si>
    <t>localidadmigrada878</t>
  </si>
  <si>
    <t>localidadmigrada879</t>
  </si>
  <si>
    <t>localidadmigrada880</t>
  </si>
  <si>
    <t>localidadmigrada881</t>
  </si>
  <si>
    <t>localidadmigrada882</t>
  </si>
  <si>
    <t>localidadmigrada883</t>
  </si>
  <si>
    <t>localidadmigrada884</t>
  </si>
  <si>
    <t>localidadmigrada885</t>
  </si>
  <si>
    <t>localidadmigrada886</t>
  </si>
  <si>
    <t>localidadmigrada887</t>
  </si>
  <si>
    <t>localidadmigrada888</t>
  </si>
  <si>
    <t>localidadmigrada889</t>
  </si>
  <si>
    <t>localidadmigrada890</t>
  </si>
  <si>
    <t>localidadmigrada891</t>
  </si>
  <si>
    <t>localidadmigrada892</t>
  </si>
  <si>
    <t>localidadmigrada893</t>
  </si>
  <si>
    <t>localidadmigrada894</t>
  </si>
  <si>
    <t>localidadmigrada895</t>
  </si>
  <si>
    <t>localidadmigrada896</t>
  </si>
  <si>
    <t>localidadmigrada897</t>
  </si>
  <si>
    <t>localidadmigrada898</t>
  </si>
  <si>
    <t>localidadmigrada899</t>
  </si>
  <si>
    <t>localidadmigrada900</t>
  </si>
  <si>
    <t>localidadmigrada901</t>
  </si>
  <si>
    <t>localidadmigrada902</t>
  </si>
  <si>
    <t>localidadmigrada903</t>
  </si>
  <si>
    <t>localidadmigrada904</t>
  </si>
  <si>
    <t>localidadmigrada905</t>
  </si>
  <si>
    <t>localidadmigrada906</t>
  </si>
  <si>
    <t>localidadmigrada907</t>
  </si>
  <si>
    <t>localidadmigrada908</t>
  </si>
  <si>
    <t>localidadmigrada909</t>
  </si>
  <si>
    <t>localidadmigrada910</t>
  </si>
  <si>
    <t>localidadmigrada911</t>
  </si>
  <si>
    <t>localidadmigrada912</t>
  </si>
  <si>
    <t>localidadmigrada913</t>
  </si>
  <si>
    <t>localidadmigrada914</t>
  </si>
  <si>
    <t>localidadmigrada915</t>
  </si>
  <si>
    <t>localidadmigrada916</t>
  </si>
  <si>
    <t>localidadmigrada917</t>
  </si>
  <si>
    <t>localidadmigrada918</t>
  </si>
  <si>
    <t>localidadmigrada919</t>
  </si>
  <si>
    <t>localidadmigrada920</t>
  </si>
  <si>
    <t>localidadmigrada921</t>
  </si>
  <si>
    <t>localidadmigrada922</t>
  </si>
  <si>
    <t>localidadmigrada923</t>
  </si>
  <si>
    <t>localidadmigrada924</t>
  </si>
  <si>
    <t>localidadmigrada925</t>
  </si>
  <si>
    <t>localidadmigrada926</t>
  </si>
  <si>
    <t>localidadmigrada927</t>
  </si>
  <si>
    <t>localidadmigrada928</t>
  </si>
  <si>
    <t>localidadmigrada929</t>
  </si>
  <si>
    <t>localidadmigrada930</t>
  </si>
  <si>
    <t>localidadmigrada931</t>
  </si>
  <si>
    <t>localidadmigrada932</t>
  </si>
  <si>
    <t>localidadmigrada933</t>
  </si>
  <si>
    <t>localidadmigrada934</t>
  </si>
  <si>
    <t>localidadmigrada935</t>
  </si>
  <si>
    <t>localidadmigrada936</t>
  </si>
  <si>
    <t>localidadmigrada937</t>
  </si>
  <si>
    <t>localidadmigrada938</t>
  </si>
  <si>
    <t>localidadmigrada939</t>
  </si>
  <si>
    <t>localidadmigrada940</t>
  </si>
  <si>
    <t>localidadmigrada941</t>
  </si>
  <si>
    <t>localidadmigrada942</t>
  </si>
  <si>
    <t>localidadmigrada943</t>
  </si>
  <si>
    <t>localidadmigrada944</t>
  </si>
  <si>
    <t>localidadmigrada945</t>
  </si>
  <si>
    <t>localidadmigrada946</t>
  </si>
  <si>
    <t>localidadmigrada947</t>
  </si>
  <si>
    <t>localidadmigrada948</t>
  </si>
  <si>
    <t>localidadmigrada949</t>
  </si>
  <si>
    <t>localidadmigrada950</t>
  </si>
  <si>
    <t>localidadmigrada951</t>
  </si>
  <si>
    <t>localidadmigrada952</t>
  </si>
  <si>
    <t>localidadmigrada953</t>
  </si>
  <si>
    <t>localidadmigrada954</t>
  </si>
  <si>
    <t>localidadmigrada955</t>
  </si>
  <si>
    <t>localidadmigrada956</t>
  </si>
  <si>
    <t>localidadmigrada957</t>
  </si>
  <si>
    <t>localidadmigrada958</t>
  </si>
  <si>
    <t>localidadmigrada959</t>
  </si>
  <si>
    <t>localidadmigrada960</t>
  </si>
  <si>
    <t>localidadmigrada961</t>
  </si>
  <si>
    <t>localidadmigrada962</t>
  </si>
  <si>
    <t>localidadmigrada963</t>
  </si>
  <si>
    <t>localidadmigrada964</t>
  </si>
  <si>
    <t>localidadmigrada965</t>
  </si>
  <si>
    <t>localidadmigrada966</t>
  </si>
  <si>
    <t>localidadmigrada967</t>
  </si>
  <si>
    <t>localidadmigrada968</t>
  </si>
  <si>
    <t>localidadmigrada969</t>
  </si>
  <si>
    <t>localidadmigrada970</t>
  </si>
  <si>
    <t>localidadmigrada971</t>
  </si>
  <si>
    <t>localidadmigrada972</t>
  </si>
  <si>
    <t>localidadmigrada973</t>
  </si>
  <si>
    <t>localidadmigrada974</t>
  </si>
  <si>
    <t>localidadmigrada975</t>
  </si>
  <si>
    <t>localidadmigrada976</t>
  </si>
  <si>
    <t>localidadmigrada977</t>
  </si>
  <si>
    <t>localidadmigrada978</t>
  </si>
  <si>
    <t>localidadmigrada979</t>
  </si>
  <si>
    <t>localidadmigrada980</t>
  </si>
  <si>
    <t>localidadmigrada981</t>
  </si>
  <si>
    <t>localidadmigrada982</t>
  </si>
  <si>
    <t>localidadmigrada983</t>
  </si>
  <si>
    <t>localidadmigrada984</t>
  </si>
  <si>
    <t>localidadmigrada985</t>
  </si>
  <si>
    <t>localidadmigrada986</t>
  </si>
  <si>
    <t>localidadmigrada987</t>
  </si>
  <si>
    <t>localidadmigrada988</t>
  </si>
  <si>
    <t>localidadmigrada989</t>
  </si>
  <si>
    <t>localidadmigrada990</t>
  </si>
  <si>
    <t>localidadmigrada991</t>
  </si>
  <si>
    <t>localidadmigrada992</t>
  </si>
  <si>
    <t>localidadmigrada993</t>
  </si>
  <si>
    <t>localidadmigrada994</t>
  </si>
  <si>
    <t>localidadmigrada995</t>
  </si>
  <si>
    <t>localidadmigrada996</t>
  </si>
  <si>
    <t>localidadmigrada997</t>
  </si>
  <si>
    <t>localidadmigrada998</t>
  </si>
  <si>
    <t>localidadmigrada999</t>
  </si>
  <si>
    <t>localidadmigrada1000</t>
  </si>
  <si>
    <t>colonia</t>
  </si>
  <si>
    <t>colonia cobranza</t>
  </si>
  <si>
    <t>localidad</t>
  </si>
  <si>
    <t>municipio</t>
  </si>
  <si>
    <t>status</t>
  </si>
  <si>
    <t>sentencia</t>
  </si>
  <si>
    <t xml:space="preserve">MIG1 </t>
  </si>
  <si>
    <t>registros no encontrados</t>
  </si>
  <si>
    <t xml:space="preserve"> contrato: </t>
  </si>
  <si>
    <t xml:space="preserve"> id_colonia_: </t>
  </si>
  <si>
    <t xml:space="preserve">MIG6 </t>
  </si>
  <si>
    <t xml:space="preserve">MIG7 </t>
  </si>
  <si>
    <t xml:space="preserve">MIG12 </t>
  </si>
  <si>
    <t xml:space="preserve">MIG13 </t>
  </si>
  <si>
    <t xml:space="preserve">MIG15 </t>
  </si>
  <si>
    <t xml:space="preserve">MIG17 </t>
  </si>
  <si>
    <t xml:space="preserve">MIG20 </t>
  </si>
  <si>
    <t xml:space="preserve">MIG22 </t>
  </si>
  <si>
    <t xml:space="preserve">MIG23 </t>
  </si>
  <si>
    <t xml:space="preserve">MIG25 </t>
  </si>
  <si>
    <t xml:space="preserve">MIG26 </t>
  </si>
  <si>
    <t xml:space="preserve">MIG27 </t>
  </si>
  <si>
    <t xml:space="preserve">MIG29 </t>
  </si>
  <si>
    <t xml:space="preserve">MIG30 </t>
  </si>
  <si>
    <t xml:space="preserve">MIG32 </t>
  </si>
  <si>
    <t xml:space="preserve">MIG34 </t>
  </si>
  <si>
    <t xml:space="preserve">MIG42 </t>
  </si>
  <si>
    <t xml:space="preserve">MIG44 </t>
  </si>
  <si>
    <t xml:space="preserve">MIG47 </t>
  </si>
  <si>
    <t xml:space="preserve">MIG51 </t>
  </si>
  <si>
    <t xml:space="preserve">MIG52 </t>
  </si>
  <si>
    <t xml:space="preserve">MIG53 </t>
  </si>
  <si>
    <t xml:space="preserve">MIG55 </t>
  </si>
  <si>
    <t xml:space="preserve">MIG58 </t>
  </si>
  <si>
    <t xml:space="preserve">MIG60 </t>
  </si>
  <si>
    <t xml:space="preserve">MIG61 </t>
  </si>
  <si>
    <t xml:space="preserve">MIG62 </t>
  </si>
  <si>
    <t xml:space="preserve">MIG63 </t>
  </si>
  <si>
    <t xml:space="preserve">MIG64 </t>
  </si>
  <si>
    <t xml:space="preserve">MIG66 </t>
  </si>
  <si>
    <t xml:space="preserve">MIG68 </t>
  </si>
  <si>
    <t xml:space="preserve">MIG69 </t>
  </si>
  <si>
    <t xml:space="preserve">MIG72 </t>
  </si>
  <si>
    <t xml:space="preserve">MIG76 </t>
  </si>
  <si>
    <t xml:space="preserve">MIG79 </t>
  </si>
  <si>
    <t xml:space="preserve">MIG80 </t>
  </si>
  <si>
    <t xml:space="preserve">MIG81 </t>
  </si>
  <si>
    <t xml:space="preserve">MIG82 </t>
  </si>
  <si>
    <t xml:space="preserve">MIG83 </t>
  </si>
  <si>
    <t xml:space="preserve">MIG84 </t>
  </si>
  <si>
    <t xml:space="preserve">MIG85 </t>
  </si>
  <si>
    <t xml:space="preserve">MIG86 </t>
  </si>
  <si>
    <t xml:space="preserve">MIG87 </t>
  </si>
  <si>
    <t xml:space="preserve">MIG90 </t>
  </si>
  <si>
    <t xml:space="preserve">MIG91 </t>
  </si>
  <si>
    <t xml:space="preserve">MIG92 </t>
  </si>
  <si>
    <t xml:space="preserve">MIG93 </t>
  </si>
  <si>
    <t xml:space="preserve">MIG94 </t>
  </si>
  <si>
    <t xml:space="preserve">MIG95 </t>
  </si>
  <si>
    <t xml:space="preserve">MIG97 </t>
  </si>
  <si>
    <t xml:space="preserve">MIG102 </t>
  </si>
  <si>
    <t xml:space="preserve">MIG105 </t>
  </si>
  <si>
    <t xml:space="preserve">MIG107 </t>
  </si>
  <si>
    <t xml:space="preserve">MIG108 </t>
  </si>
  <si>
    <t xml:space="preserve">MIG109 </t>
  </si>
  <si>
    <t xml:space="preserve">MIG110 </t>
  </si>
  <si>
    <t xml:space="preserve">MIG123 </t>
  </si>
  <si>
    <t xml:space="preserve">MIG127 </t>
  </si>
  <si>
    <t xml:space="preserve">MIG129 </t>
  </si>
  <si>
    <t xml:space="preserve">MIG131 </t>
  </si>
  <si>
    <t xml:space="preserve">MIG134 </t>
  </si>
  <si>
    <t xml:space="preserve">MIG136 </t>
  </si>
  <si>
    <t xml:space="preserve">MIG138 </t>
  </si>
  <si>
    <t xml:space="preserve">MIG140 </t>
  </si>
  <si>
    <t xml:space="preserve">MIG141 </t>
  </si>
  <si>
    <t xml:space="preserve">MIG142 </t>
  </si>
  <si>
    <t xml:space="preserve">MIG146 </t>
  </si>
  <si>
    <t xml:space="preserve">MIG147 </t>
  </si>
  <si>
    <t xml:space="preserve">MIG148 </t>
  </si>
  <si>
    <t xml:space="preserve">MIG156 </t>
  </si>
  <si>
    <t xml:space="preserve">MIG157 </t>
  </si>
  <si>
    <t xml:space="preserve">MIG158 </t>
  </si>
  <si>
    <t xml:space="preserve">MIG159 </t>
  </si>
  <si>
    <t xml:space="preserve">MIG160 </t>
  </si>
  <si>
    <t xml:space="preserve">MIG165 </t>
  </si>
  <si>
    <t xml:space="preserve">MIG166 </t>
  </si>
  <si>
    <t xml:space="preserve">MIG168 </t>
  </si>
  <si>
    <t xml:space="preserve">MIG171 </t>
  </si>
  <si>
    <t xml:space="preserve">MIG173 </t>
  </si>
  <si>
    <t xml:space="preserve">MIG174 </t>
  </si>
  <si>
    <t xml:space="preserve">MIG175 </t>
  </si>
  <si>
    <t xml:space="preserve">MIG180 </t>
  </si>
  <si>
    <t xml:space="preserve">MIG183 </t>
  </si>
  <si>
    <t xml:space="preserve">MIG184 </t>
  </si>
  <si>
    <t xml:space="preserve">MIG186 </t>
  </si>
  <si>
    <t xml:space="preserve">MIG191 </t>
  </si>
  <si>
    <t xml:space="preserve">MIG197 </t>
  </si>
  <si>
    <t xml:space="preserve">MIG201 </t>
  </si>
  <si>
    <t xml:space="preserve">MIG203 </t>
  </si>
  <si>
    <t xml:space="preserve">MIG206 </t>
  </si>
  <si>
    <t xml:space="preserve">MIG207 </t>
  </si>
  <si>
    <t xml:space="preserve">MIG208 </t>
  </si>
  <si>
    <t xml:space="preserve">MIG209 </t>
  </si>
  <si>
    <t xml:space="preserve">MIG210 </t>
  </si>
  <si>
    <t xml:space="preserve">MIG211 </t>
  </si>
  <si>
    <t xml:space="preserve">MIG212 </t>
  </si>
  <si>
    <t xml:space="preserve">MIG213 </t>
  </si>
  <si>
    <t xml:space="preserve">MIG215 </t>
  </si>
  <si>
    <t xml:space="preserve">MIG216 </t>
  </si>
  <si>
    <t xml:space="preserve">MIG217 </t>
  </si>
  <si>
    <t xml:space="preserve">MIG218 </t>
  </si>
  <si>
    <t xml:space="preserve">MIG221 </t>
  </si>
  <si>
    <t xml:space="preserve">MIG222 </t>
  </si>
  <si>
    <t xml:space="preserve">MIG224 </t>
  </si>
  <si>
    <t xml:space="preserve">MIG227 </t>
  </si>
  <si>
    <t xml:space="preserve">MIG233 </t>
  </si>
  <si>
    <t xml:space="preserve">MIG234 </t>
  </si>
  <si>
    <t xml:space="preserve">MIG238 </t>
  </si>
  <si>
    <t xml:space="preserve">MIG239 </t>
  </si>
  <si>
    <t xml:space="preserve">MIG240 </t>
  </si>
  <si>
    <t xml:space="preserve">MIG241 </t>
  </si>
  <si>
    <t xml:space="preserve">MIG243 </t>
  </si>
  <si>
    <t xml:space="preserve">MIG249 </t>
  </si>
  <si>
    <t xml:space="preserve">MIG250 </t>
  </si>
  <si>
    <t xml:space="preserve">MIG252 </t>
  </si>
  <si>
    <t xml:space="preserve">MIG254 </t>
  </si>
  <si>
    <t xml:space="preserve">MIG255 </t>
  </si>
  <si>
    <t xml:space="preserve">MIG260 </t>
  </si>
  <si>
    <t xml:space="preserve">MIG263 </t>
  </si>
  <si>
    <t xml:space="preserve">MIG264 </t>
  </si>
  <si>
    <t xml:space="preserve">MIG266 </t>
  </si>
  <si>
    <t xml:space="preserve">MIG267 </t>
  </si>
  <si>
    <t xml:space="preserve">MIG268 </t>
  </si>
  <si>
    <t xml:space="preserve">MIG269 </t>
  </si>
  <si>
    <t xml:space="preserve">MIG270 </t>
  </si>
  <si>
    <t xml:space="preserve">MIG271 </t>
  </si>
  <si>
    <t xml:space="preserve">MIG272 </t>
  </si>
  <si>
    <t xml:space="preserve">MIG273 </t>
  </si>
  <si>
    <t xml:space="preserve">MIG274 </t>
  </si>
  <si>
    <t xml:space="preserve">MIG275 </t>
  </si>
  <si>
    <t xml:space="preserve">MIG276 </t>
  </si>
  <si>
    <t xml:space="preserve">MIG277 </t>
  </si>
  <si>
    <t xml:space="preserve">MIG278 </t>
  </si>
  <si>
    <t xml:space="preserve">MIG279 </t>
  </si>
  <si>
    <t xml:space="preserve">MIG280 </t>
  </si>
  <si>
    <t xml:space="preserve">MIG281 </t>
  </si>
  <si>
    <t xml:space="preserve">MIG282 </t>
  </si>
  <si>
    <t xml:space="preserve">MIG283 </t>
  </si>
  <si>
    <t xml:space="preserve">MIG284 </t>
  </si>
  <si>
    <t xml:space="preserve">MIG285 </t>
  </si>
  <si>
    <t xml:space="preserve">MIG286 </t>
  </si>
  <si>
    <t xml:space="preserve">MIG287 </t>
  </si>
  <si>
    <t xml:space="preserve">MIG289 </t>
  </si>
  <si>
    <t xml:space="preserve">MIG291 </t>
  </si>
  <si>
    <t xml:space="preserve">MIG292 </t>
  </si>
  <si>
    <t xml:space="preserve">MIG293 </t>
  </si>
  <si>
    <t xml:space="preserve">MIG294 </t>
  </si>
  <si>
    <t xml:space="preserve">MIG295 </t>
  </si>
  <si>
    <t xml:space="preserve">MIG296 </t>
  </si>
  <si>
    <t xml:space="preserve">MIG298 </t>
  </si>
  <si>
    <t xml:space="preserve">MIG299 </t>
  </si>
  <si>
    <t xml:space="preserve">MIG300 </t>
  </si>
  <si>
    <t xml:space="preserve">MIG302 </t>
  </si>
  <si>
    <t xml:space="preserve">MIG303 </t>
  </si>
  <si>
    <t xml:space="preserve">MIG304 </t>
  </si>
  <si>
    <t xml:space="preserve">MIG305 </t>
  </si>
  <si>
    <t xml:space="preserve">MIG306 </t>
  </si>
  <si>
    <t xml:space="preserve">MIG307 </t>
  </si>
  <si>
    <t xml:space="preserve">MIG308 </t>
  </si>
  <si>
    <t xml:space="preserve">MIG309 </t>
  </si>
  <si>
    <t xml:space="preserve">MIG310 </t>
  </si>
  <si>
    <t xml:space="preserve">MIG311 </t>
  </si>
  <si>
    <t xml:space="preserve">MIG312 </t>
  </si>
  <si>
    <t xml:space="preserve">MIG313 </t>
  </si>
  <si>
    <t xml:space="preserve">MIG314 </t>
  </si>
  <si>
    <t xml:space="preserve">MIG315 </t>
  </si>
  <si>
    <t xml:space="preserve">MIG316 </t>
  </si>
  <si>
    <t xml:space="preserve">MIG320 </t>
  </si>
  <si>
    <t xml:space="preserve">MIG321 </t>
  </si>
  <si>
    <t xml:space="preserve">MIG325 </t>
  </si>
  <si>
    <t xml:space="preserve">MIG327 </t>
  </si>
  <si>
    <t xml:space="preserve">MIG330 </t>
  </si>
  <si>
    <t xml:space="preserve">MIG331 </t>
  </si>
  <si>
    <t xml:space="preserve">MIG332 </t>
  </si>
  <si>
    <t xml:space="preserve">MIG333 </t>
  </si>
  <si>
    <t xml:space="preserve">MIG334 </t>
  </si>
  <si>
    <t xml:space="preserve">MIG335 </t>
  </si>
  <si>
    <t xml:space="preserve">MIG336 </t>
  </si>
  <si>
    <t xml:space="preserve">MIG337 </t>
  </si>
  <si>
    <t xml:space="preserve">MIG338 </t>
  </si>
  <si>
    <t xml:space="preserve">MIG343 </t>
  </si>
  <si>
    <t>contrato</t>
  </si>
  <si>
    <t>id colonia</t>
  </si>
  <si>
    <t>codigo</t>
  </si>
  <si>
    <t>208.355.433</t>
  </si>
  <si>
    <t>-1.037.328.334</t>
  </si>
  <si>
    <t>208.874.594</t>
  </si>
  <si>
    <t>-1.038.376.641</t>
  </si>
  <si>
    <t>208.754.653</t>
  </si>
  <si>
    <t>-1.038.329.377</t>
  </si>
  <si>
    <t>208.861.514</t>
  </si>
  <si>
    <t>-1.038.440.964</t>
  </si>
  <si>
    <t>208.803.403</t>
  </si>
  <si>
    <t>-1.038.367.023</t>
  </si>
  <si>
    <t>208.944.645</t>
  </si>
  <si>
    <t>-1.038.414.325</t>
  </si>
  <si>
    <t>208.564.565</t>
  </si>
  <si>
    <t>-1.040.318.436</t>
  </si>
  <si>
    <t>2.088.046</t>
  </si>
  <si>
    <t>-1.038.371.625</t>
  </si>
  <si>
    <t>20.887.974</t>
  </si>
  <si>
    <t>-1.038.422.998</t>
  </si>
  <si>
    <t>208.819.452</t>
  </si>
  <si>
    <t>-1.038.325.001</t>
  </si>
  <si>
    <t>208.852.673</t>
  </si>
  <si>
    <t>-1.038.397.748</t>
  </si>
  <si>
    <t>208.849.396</t>
  </si>
  <si>
    <t>-1.038.390.397</t>
  </si>
  <si>
    <t>208.796.621</t>
  </si>
  <si>
    <t>-1.038.368.423</t>
  </si>
  <si>
    <t>179.871.775</t>
  </si>
  <si>
    <t>-933.770.996</t>
  </si>
  <si>
    <t>180.217.055</t>
  </si>
  <si>
    <t>-93.384.945</t>
  </si>
  <si>
    <t>180.208.414</t>
  </si>
  <si>
    <t>-933.894.754</t>
  </si>
  <si>
    <t>180.137.194</t>
  </si>
  <si>
    <t>-933.704.375</t>
  </si>
  <si>
    <t>180.012.067</t>
  </si>
  <si>
    <t>-9.337.323.390.000.000</t>
  </si>
  <si>
    <t>179.685.625</t>
  </si>
  <si>
    <t>-933.677.209</t>
  </si>
  <si>
    <t>179.804.246</t>
  </si>
  <si>
    <t>-933.846.179</t>
  </si>
  <si>
    <t>17.981.394</t>
  </si>
  <si>
    <t>-933.816.917</t>
  </si>
  <si>
    <t>17.964.994</t>
  </si>
  <si>
    <t>-9.337.476.769.999.990</t>
  </si>
  <si>
    <t>180.052.327</t>
  </si>
  <si>
    <t>-933.855.078</t>
  </si>
  <si>
    <t>179.812.589</t>
  </si>
  <si>
    <t>-933.814.113</t>
  </si>
  <si>
    <t>179.789.691</t>
  </si>
  <si>
    <t>-933.629.188</t>
  </si>
  <si>
    <t>179.925.142</t>
  </si>
  <si>
    <t>-933.839.094</t>
  </si>
  <si>
    <t>179.702.002</t>
  </si>
  <si>
    <t>-9.335.778.479.999.990</t>
  </si>
  <si>
    <t>180.513.888</t>
  </si>
  <si>
    <t>-937.927.777</t>
  </si>
  <si>
    <t>179.919.936</t>
  </si>
  <si>
    <t>-933.654.384</t>
  </si>
  <si>
    <t>179.821.614</t>
  </si>
  <si>
    <t>-933.673.288</t>
  </si>
  <si>
    <t>180.203.072</t>
  </si>
  <si>
    <t>-933.908.651</t>
  </si>
  <si>
    <t>180.164.515</t>
  </si>
  <si>
    <t>-9.337.857.559.999.990</t>
  </si>
  <si>
    <t>180.024.045</t>
  </si>
  <si>
    <t>-933.779.454</t>
  </si>
  <si>
    <t>179.851.654</t>
  </si>
  <si>
    <t>-933.694.391</t>
  </si>
  <si>
    <t>179.904.794</t>
  </si>
  <si>
    <t>-933.829.869</t>
  </si>
  <si>
    <t>179.877.724</t>
  </si>
  <si>
    <t>-933.771.012</t>
  </si>
  <si>
    <t>17.995.559</t>
  </si>
  <si>
    <t>-933.861.831</t>
  </si>
  <si>
    <t>179.945.163</t>
  </si>
  <si>
    <t>-9.338.417.840.000.000</t>
  </si>
  <si>
    <t>17.997.349</t>
  </si>
  <si>
    <t>-933.921.258</t>
  </si>
  <si>
    <t>18.008.411</t>
  </si>
  <si>
    <t>-9.337.290.449.999.990</t>
  </si>
  <si>
    <t>179.733.521</t>
  </si>
  <si>
    <t>-933.776.974</t>
  </si>
  <si>
    <t>179.667.316</t>
  </si>
  <si>
    <t>-9.337.628.169.999.990</t>
  </si>
  <si>
    <t>179.718.531</t>
  </si>
  <si>
    <t>-933.629.881</t>
  </si>
  <si>
    <t>179.866.615</t>
  </si>
  <si>
    <t>-933.732.747</t>
  </si>
  <si>
    <t>180.183.137</t>
  </si>
  <si>
    <t>-933.680.316</t>
  </si>
  <si>
    <t>179.823.084</t>
  </si>
  <si>
    <t>-933.848.775</t>
  </si>
  <si>
    <t>179.660.715</t>
  </si>
  <si>
    <t>-933.789.517</t>
  </si>
  <si>
    <t>179.449.238</t>
  </si>
  <si>
    <t>-933.845.283</t>
  </si>
  <si>
    <t>179.849.532</t>
  </si>
  <si>
    <t>-9.336.030.439.999.990</t>
  </si>
  <si>
    <t>179.783.253</t>
  </si>
  <si>
    <t>-933.793.932</t>
  </si>
  <si>
    <t>179.907.031</t>
  </si>
  <si>
    <t>-933.671.004</t>
  </si>
  <si>
    <t>17.991.161</t>
  </si>
  <si>
    <t>-933.816.772</t>
  </si>
  <si>
    <t>179.675.103</t>
  </si>
  <si>
    <t>-933.736.237</t>
  </si>
  <si>
    <t>179.694.889</t>
  </si>
  <si>
    <t>-933.732.716</t>
  </si>
  <si>
    <t>179.839.528</t>
  </si>
  <si>
    <t>-933.700.728</t>
  </si>
  <si>
    <t>178.320.441</t>
  </si>
  <si>
    <t>-933.918.106</t>
  </si>
  <si>
    <t>179.924.145</t>
  </si>
  <si>
    <t>-933.795.002</t>
  </si>
  <si>
    <t>179.866.239</t>
  </si>
  <si>
    <t>-933.720.544</t>
  </si>
  <si>
    <t>180.208.471</t>
  </si>
  <si>
    <t>-933.810.963</t>
  </si>
  <si>
    <t>17.987.426</t>
  </si>
  <si>
    <t>-93.378.473</t>
  </si>
  <si>
    <t>179.757.575</t>
  </si>
  <si>
    <t>-9.338.115.839.999.990</t>
  </si>
  <si>
    <t>179.762.941</t>
  </si>
  <si>
    <t>-933.785.577</t>
  </si>
  <si>
    <t>179.893.367</t>
  </si>
  <si>
    <t>-933.919.801</t>
  </si>
  <si>
    <t>257.894.036</t>
  </si>
  <si>
    <t>-1.003.011.458</t>
  </si>
  <si>
    <t>179.759.008</t>
  </si>
  <si>
    <t>-9.337.981.669.999.990</t>
  </si>
  <si>
    <t>179.841.654</t>
  </si>
  <si>
    <t>-933.708.721</t>
  </si>
  <si>
    <t>180.301.145</t>
  </si>
  <si>
    <t>-929.449.381</t>
  </si>
  <si>
    <t>179.899.225</t>
  </si>
  <si>
    <t>-933.684.281</t>
  </si>
  <si>
    <t>179.796.464</t>
  </si>
  <si>
    <t>-933.821.207</t>
  </si>
  <si>
    <t>179.933.572</t>
  </si>
  <si>
    <t>-9.337.690.169.999.990</t>
  </si>
  <si>
    <t>17.977.957</t>
  </si>
  <si>
    <t>-9.337.983.589.999.990</t>
  </si>
  <si>
    <t>179.722.202</t>
  </si>
  <si>
    <t>-9.290.894.019.999.990</t>
  </si>
  <si>
    <t>179.736.796</t>
  </si>
  <si>
    <t>-933.822.134</t>
  </si>
  <si>
    <t>179.886.367</t>
  </si>
  <si>
    <t>-933.721.118</t>
  </si>
  <si>
    <t>179.801.688</t>
  </si>
  <si>
    <t>-933.819.269</t>
  </si>
  <si>
    <t>179.889.065</t>
  </si>
  <si>
    <t>-933.739.949</t>
  </si>
  <si>
    <t>180.221.734</t>
  </si>
  <si>
    <t>-9.338.991.970.000.000</t>
  </si>
  <si>
    <t>17.982.943</t>
  </si>
  <si>
    <t>-93.372.093</t>
  </si>
  <si>
    <t>179.823.283</t>
  </si>
  <si>
    <t>-9.337.109.339.999.990</t>
  </si>
  <si>
    <t>179.967.473</t>
  </si>
  <si>
    <t>-9.336.282.419.999.990</t>
  </si>
  <si>
    <t>180.133.906</t>
  </si>
  <si>
    <t>-93.366.968</t>
  </si>
  <si>
    <t>179.720.355</t>
  </si>
  <si>
    <t>-933.602.145</t>
  </si>
  <si>
    <t>179.978.613</t>
  </si>
  <si>
    <t>-933.707.474</t>
  </si>
  <si>
    <t>179.983.153</t>
  </si>
  <si>
    <t>-933.704.909</t>
  </si>
  <si>
    <t>17.976.444</t>
  </si>
  <si>
    <t>-933.890.905</t>
  </si>
  <si>
    <t>179.832.452</t>
  </si>
  <si>
    <t>-9.338.363.609.999.990</t>
  </si>
  <si>
    <t>17.986.986</t>
  </si>
  <si>
    <t>-9.338.458.179.999.990</t>
  </si>
  <si>
    <t>179.861.086</t>
  </si>
  <si>
    <t>-933.750.508</t>
  </si>
  <si>
    <t>17.980.399</t>
  </si>
  <si>
    <t>-9.336.563.939.999.990</t>
  </si>
  <si>
    <t>179.841.623</t>
  </si>
  <si>
    <t>-933.757.995</t>
  </si>
  <si>
    <t>179.950.247</t>
  </si>
  <si>
    <t>-933.807.741</t>
  </si>
  <si>
    <t>179.864.772</t>
  </si>
  <si>
    <t>-933.751.295</t>
  </si>
  <si>
    <t>180.188.188</t>
  </si>
  <si>
    <t>-933.512.808</t>
  </si>
  <si>
    <t>180.048.533</t>
  </si>
  <si>
    <t>-933.647.141</t>
  </si>
  <si>
    <t>180.023.424</t>
  </si>
  <si>
    <t>-933.748.186</t>
  </si>
  <si>
    <t>179.740.062</t>
  </si>
  <si>
    <t>-933.832.673</t>
  </si>
  <si>
    <t>179.801.846</t>
  </si>
  <si>
    <t>-933.672.514</t>
  </si>
  <si>
    <t>179.670.817</t>
  </si>
  <si>
    <t>-933.753.005</t>
  </si>
  <si>
    <t>179.822.181</t>
  </si>
  <si>
    <t>-9.337.389.759.999.990</t>
  </si>
  <si>
    <t>179.730.555</t>
  </si>
  <si>
    <t>-933.591.666</t>
  </si>
  <si>
    <t>179.669.365</t>
  </si>
  <si>
    <t>-933.754.249</t>
  </si>
  <si>
    <t>17.993.341</t>
  </si>
  <si>
    <t>-933.858.042</t>
  </si>
  <si>
    <t>179.703.711</t>
  </si>
  <si>
    <t>-9.337.012.059.999.990</t>
  </si>
  <si>
    <t>17.969.617</t>
  </si>
  <si>
    <t>-93.371.669</t>
  </si>
  <si>
    <t>179.915.571</t>
  </si>
  <si>
    <t>-933.625.507</t>
  </si>
  <si>
    <t>180.014.175</t>
  </si>
  <si>
    <t>-933.766.004</t>
  </si>
  <si>
    <t>180.511.285</t>
  </si>
  <si>
    <t>-929.288.323</t>
  </si>
  <si>
    <t>179.728.621</t>
  </si>
  <si>
    <t>-933.635.225</t>
  </si>
  <si>
    <t>179.739.577</t>
  </si>
  <si>
    <t>-933.785.401</t>
  </si>
  <si>
    <t>179.781.397</t>
  </si>
  <si>
    <t>-933.784.041</t>
  </si>
  <si>
    <t>179.944.015</t>
  </si>
  <si>
    <t>-933.852.453</t>
  </si>
  <si>
    <t>179.926.139</t>
  </si>
  <si>
    <t>-933.659.675</t>
  </si>
  <si>
    <t>179.726.866</t>
  </si>
  <si>
    <t>-9.336.982.909.999.990</t>
  </si>
  <si>
    <t>179.942.421</t>
  </si>
  <si>
    <t>-9.338.241.479.999.990</t>
  </si>
  <si>
    <t>180.008.494</t>
  </si>
  <si>
    <t>-933.775.361</t>
  </si>
  <si>
    <t>17.990.514</t>
  </si>
  <si>
    <t>-9.339.940.390.000.000</t>
  </si>
  <si>
    <t>175.919.887</t>
  </si>
  <si>
    <t>-9.282.642.009.999.990</t>
  </si>
  <si>
    <t>179.868.157</t>
  </si>
  <si>
    <t>-933.771.247</t>
  </si>
  <si>
    <t>3.618.472</t>
  </si>
  <si>
    <t>-10.944.222</t>
  </si>
  <si>
    <t>179.971.011</t>
  </si>
  <si>
    <t>-933.725.023</t>
  </si>
  <si>
    <t>179.884.909</t>
  </si>
  <si>
    <t>-933.797.162</t>
  </si>
  <si>
    <t>179.764.003</t>
  </si>
  <si>
    <t>-933.683.648</t>
  </si>
  <si>
    <t>179.858.776</t>
  </si>
  <si>
    <t>-933.749.399</t>
  </si>
  <si>
    <t>180.062.011</t>
  </si>
  <si>
    <t>-929.470.011</t>
  </si>
  <si>
    <t>17.981.917</t>
  </si>
  <si>
    <t>-9.337.093.159.999.990</t>
  </si>
  <si>
    <t>179.936.787</t>
  </si>
  <si>
    <t>-933.713.423</t>
  </si>
  <si>
    <t>179.922.496</t>
  </si>
  <si>
    <t>-93.378.906</t>
  </si>
  <si>
    <t>179.887.657</t>
  </si>
  <si>
    <t>-9.336.997.889.999.990</t>
  </si>
  <si>
    <t>179.945.835</t>
  </si>
  <si>
    <t>-933.743.025</t>
  </si>
  <si>
    <t>180.070.095</t>
  </si>
  <si>
    <t>-933.667.929</t>
  </si>
  <si>
    <t>179.950.115</t>
  </si>
  <si>
    <t>-933.861.809</t>
  </si>
  <si>
    <t>179.804.818</t>
  </si>
  <si>
    <t>-9.338.369.229.999.990</t>
  </si>
  <si>
    <t>180.054.268</t>
  </si>
  <si>
    <t>-93.364.654</t>
  </si>
  <si>
    <t>179.918.336</t>
  </si>
  <si>
    <t>-933.814.769</t>
  </si>
  <si>
    <t>180.087.604</t>
  </si>
  <si>
    <t>-93.369.466</t>
  </si>
  <si>
    <t>180.219.044</t>
  </si>
  <si>
    <t>-933.860.919</t>
  </si>
  <si>
    <t>17.987.944</t>
  </si>
  <si>
    <t>-933.686.915</t>
  </si>
  <si>
    <t>180.040.631</t>
  </si>
  <si>
    <t>-933.802.987</t>
  </si>
  <si>
    <t>179.795.894</t>
  </si>
  <si>
    <t>-933.710.143</t>
  </si>
  <si>
    <t>179.822.387</t>
  </si>
  <si>
    <t>-9.336.754.909.999.990</t>
  </si>
  <si>
    <t>179.729.809</t>
  </si>
  <si>
    <t>-93.359.495</t>
  </si>
  <si>
    <t>179.975.016</t>
  </si>
  <si>
    <t>-9.337.130.340.000.000</t>
  </si>
  <si>
    <t>180.036.427</t>
  </si>
  <si>
    <t>-9.337.320.629.999.990</t>
  </si>
  <si>
    <t>179.915.333</t>
  </si>
  <si>
    <t>-933.804.479</t>
  </si>
  <si>
    <t>183.878.055</t>
  </si>
  <si>
    <t>-932.184.631</t>
  </si>
  <si>
    <t>179.873.559</t>
  </si>
  <si>
    <t>-9.336.957.380.000.000</t>
  </si>
  <si>
    <t>179.913.073</t>
  </si>
  <si>
    <t>-933.752.919</t>
  </si>
  <si>
    <t>180.725.309</t>
  </si>
  <si>
    <t>-928.761.555</t>
  </si>
  <si>
    <t>179.817.275</t>
  </si>
  <si>
    <t>-9.278.228.879.999.990</t>
  </si>
  <si>
    <t>179.842.368</t>
  </si>
  <si>
    <t>-933.768.068</t>
  </si>
  <si>
    <t>179.955.339</t>
  </si>
  <si>
    <t>-9.337.816.199.999.990</t>
  </si>
  <si>
    <t>17.992.265</t>
  </si>
  <si>
    <t>-9.338.667.819.999.990</t>
  </si>
  <si>
    <t>179.909.365</t>
  </si>
  <si>
    <t>-93.399.425</t>
  </si>
  <si>
    <t>179.912.984</t>
  </si>
  <si>
    <t>-933.860.811</t>
  </si>
  <si>
    <t>179.953.504</t>
  </si>
  <si>
    <t>-933.861.156</t>
  </si>
  <si>
    <t>180.046.566</t>
  </si>
  <si>
    <t>-9.337.066.809.999.990</t>
  </si>
  <si>
    <t>179.893.443</t>
  </si>
  <si>
    <t>-93.367.041</t>
  </si>
  <si>
    <t>179.786.238</t>
  </si>
  <si>
    <t>-9.336.535.339.999.990</t>
  </si>
  <si>
    <t>179.719.126</t>
  </si>
  <si>
    <t>-9.338.127.089.999.990</t>
  </si>
  <si>
    <t>1.799.035</t>
  </si>
  <si>
    <t>-9.338.190.999.999.990</t>
  </si>
  <si>
    <t>179.923.473</t>
  </si>
  <si>
    <t>-933.788.221</t>
  </si>
  <si>
    <t>179.980.344</t>
  </si>
  <si>
    <t>-933.522.806</t>
  </si>
  <si>
    <t>183.324.248</t>
  </si>
  <si>
    <t>-932.040.012</t>
  </si>
  <si>
    <t>184.094.574</t>
  </si>
  <si>
    <t>-932.207.189</t>
  </si>
  <si>
    <t>18.410.086</t>
  </si>
  <si>
    <t>-932.240.645</t>
  </si>
  <si>
    <t>180.066.675</t>
  </si>
  <si>
    <t>-93.374.399</t>
  </si>
  <si>
    <t>184.043.374</t>
  </si>
  <si>
    <t>-932.157.053</t>
  </si>
  <si>
    <t>184.073.512</t>
  </si>
  <si>
    <t>-932.074.712</t>
  </si>
  <si>
    <t>184.404.294</t>
  </si>
  <si>
    <t>-9.309.565.339.999.990</t>
  </si>
  <si>
    <t>183.988.178</t>
  </si>
  <si>
    <t>-932.166.709</t>
  </si>
  <si>
    <t>25.592.172</t>
  </si>
  <si>
    <t>-9.999.619.469.999.990</t>
  </si>
  <si>
    <t>183.961.688</t>
  </si>
  <si>
    <t>-932.188.104</t>
  </si>
  <si>
    <t>183.967.241</t>
  </si>
  <si>
    <t>-9.321.673.249.999.990</t>
  </si>
  <si>
    <t>18.399.731</t>
  </si>
  <si>
    <t>-9.322.003.199.999.990</t>
  </si>
  <si>
    <t>184.013.131</t>
  </si>
  <si>
    <t>-932.134.311</t>
  </si>
  <si>
    <t>184.307.322</t>
  </si>
  <si>
    <t>-931.905.874</t>
  </si>
  <si>
    <t>184.060.631</t>
  </si>
  <si>
    <t>-932.192.454</t>
  </si>
  <si>
    <t>184.252.777</t>
  </si>
  <si>
    <t>-931.508.333</t>
  </si>
  <si>
    <t>183.889.073</t>
  </si>
  <si>
    <t>-9.321.848.349.999.990</t>
  </si>
  <si>
    <t>183.730.989</t>
  </si>
  <si>
    <t>-9.320.717.189.999.990</t>
  </si>
  <si>
    <t>184.080.183</t>
  </si>
  <si>
    <t>-9.321.186.709.999.990</t>
  </si>
  <si>
    <t>182.147.308</t>
  </si>
  <si>
    <t>-932.425.341</t>
  </si>
  <si>
    <t>182.423.721</t>
  </si>
  <si>
    <t>-932.098.269</t>
  </si>
  <si>
    <t>184.237.158</t>
  </si>
  <si>
    <t>-9.315.950.169.999.990</t>
  </si>
  <si>
    <t>184.150.734</t>
  </si>
  <si>
    <t>-929.948.065</t>
  </si>
  <si>
    <t>184.042.491</t>
  </si>
  <si>
    <t>-932.099.303</t>
  </si>
  <si>
    <t>184.003.208</t>
  </si>
  <si>
    <t>-9.320.979.059.999.990</t>
  </si>
  <si>
    <t>18.410.918</t>
  </si>
  <si>
    <t>-93.178.399</t>
  </si>
  <si>
    <t>183.865.856</t>
  </si>
  <si>
    <t>-932.147.439</t>
  </si>
  <si>
    <t>184.090.616</t>
  </si>
  <si>
    <t>-932.144.696</t>
  </si>
  <si>
    <t>179.899.925</t>
  </si>
  <si>
    <t>-9.337.519.069.999.990</t>
  </si>
  <si>
    <t>183.950.382</t>
  </si>
  <si>
    <t>-932.188.601</t>
  </si>
  <si>
    <t>183.945.391</t>
  </si>
  <si>
    <t>-932.167.626</t>
  </si>
  <si>
    <t>18.423.844</t>
  </si>
  <si>
    <t>-9.310.800.669.999.990</t>
  </si>
  <si>
    <t>174.616.666</t>
  </si>
  <si>
    <t>-916.016.666</t>
  </si>
  <si>
    <t>184.327.435</t>
  </si>
  <si>
    <t>-931.636.381</t>
  </si>
  <si>
    <t>184.324.999</t>
  </si>
  <si>
    <t>-931.633.333</t>
  </si>
  <si>
    <t>18.405.578</t>
  </si>
  <si>
    <t>-932.027.617</t>
  </si>
  <si>
    <t>184.096.955</t>
  </si>
  <si>
    <t>-932.075.723</t>
  </si>
  <si>
    <t>184.086.547</t>
  </si>
  <si>
    <t>-931.799.362</t>
  </si>
  <si>
    <t>184.271.918</t>
  </si>
  <si>
    <t>-93.096.031</t>
  </si>
  <si>
    <t>183.824.308</t>
  </si>
  <si>
    <t>-9.321.963.240.000.000</t>
  </si>
  <si>
    <t>183.887.883</t>
  </si>
  <si>
    <t>-932.109.935</t>
  </si>
  <si>
    <t>182.481.971</t>
  </si>
  <si>
    <t>-9.322.348.679.999.990</t>
  </si>
  <si>
    <t>182.568.587</t>
  </si>
  <si>
    <t>-932.704.814</t>
  </si>
  <si>
    <t>182.781.516</t>
  </si>
  <si>
    <t>-932.185.449</t>
  </si>
  <si>
    <t>182.557.383</t>
  </si>
  <si>
    <t>-932.282.937</t>
  </si>
  <si>
    <t>182.655.423</t>
  </si>
  <si>
    <t>-932.269.419</t>
  </si>
  <si>
    <t>182.863.866</t>
  </si>
  <si>
    <t>-9.335.257.290.000.000</t>
  </si>
  <si>
    <t>173.866.672</t>
  </si>
  <si>
    <t>-926.994.094</t>
  </si>
  <si>
    <t>180.721.174</t>
  </si>
  <si>
    <t>-931.712.534</t>
  </si>
  <si>
    <t>182.296.934</t>
  </si>
  <si>
    <t>-9.345.255.890.000.000</t>
  </si>
  <si>
    <t>182.452.732</t>
  </si>
  <si>
    <t>-934.125.164</t>
  </si>
  <si>
    <t>182.779.555</t>
  </si>
  <si>
    <t>-932.182.122</t>
  </si>
  <si>
    <t>181.995.311</t>
  </si>
  <si>
    <t>-932.923.544</t>
  </si>
  <si>
    <t>182.611.461</t>
  </si>
  <si>
    <t>-932.217.242</t>
  </si>
  <si>
    <t>182.119.042</t>
  </si>
  <si>
    <t>-932.590.214</t>
  </si>
  <si>
    <t>180.401.123</t>
  </si>
  <si>
    <t>-933.674.695</t>
  </si>
  <si>
    <t>184.013.148</t>
  </si>
  <si>
    <t>-932.097.872</t>
  </si>
  <si>
    <t>184.001.187</t>
  </si>
  <si>
    <t>-932.130.033</t>
  </si>
  <si>
    <t>184.272.222</t>
  </si>
  <si>
    <t>-931.130.555</t>
  </si>
  <si>
    <t>179.973.759</t>
  </si>
  <si>
    <t>-9.293.886.119.999.990</t>
  </si>
  <si>
    <t>183.879.739</t>
  </si>
  <si>
    <t>-932.127.026</t>
  </si>
  <si>
    <t>18.410.789</t>
  </si>
  <si>
    <t>-931.777.414</t>
  </si>
  <si>
    <t>184.136.111</t>
  </si>
  <si>
    <t>-929.677.777</t>
  </si>
  <si>
    <t>184.017.813</t>
  </si>
  <si>
    <t>-9.321.119.949.999.990</t>
  </si>
  <si>
    <t>184.063.888</t>
  </si>
  <si>
    <t>-929.730.555</t>
  </si>
  <si>
    <t>184.006.144</t>
  </si>
  <si>
    <t>-932.127.162</t>
  </si>
  <si>
    <t>184.072.002</t>
  </si>
  <si>
    <t>-932.040.028</t>
  </si>
  <si>
    <t>183.966.208</t>
  </si>
  <si>
    <t>-93.217.719</t>
  </si>
  <si>
    <t>183.888.522</t>
  </si>
  <si>
    <t>-932.131.813</t>
  </si>
  <si>
    <t>184.252.515</t>
  </si>
  <si>
    <t>-931.364.036</t>
  </si>
  <si>
    <t>184.380.493</t>
  </si>
  <si>
    <t>-9.323.329.919.999.990</t>
  </si>
  <si>
    <t>184.325.928</t>
  </si>
  <si>
    <t>-931.619.051</t>
  </si>
  <si>
    <t>184.025.183</t>
  </si>
  <si>
    <t>-932.165.979</t>
  </si>
  <si>
    <t>183.998.175</t>
  </si>
  <si>
    <t>-932.150.379</t>
  </si>
  <si>
    <t>183.989.408</t>
  </si>
  <si>
    <t>-9.321.005.869.999.990</t>
  </si>
  <si>
    <t>183.976.438</t>
  </si>
  <si>
    <t>-932.135.533</t>
  </si>
  <si>
    <t>184.054.619</t>
  </si>
  <si>
    <t>-93.210.646</t>
  </si>
  <si>
    <t>184.054.567</t>
  </si>
  <si>
    <t>-932.105.792</t>
  </si>
  <si>
    <t>184.056.634</t>
  </si>
  <si>
    <t>-932.100.802</t>
  </si>
  <si>
    <t>184.071.822</t>
  </si>
  <si>
    <t>-932.175.196</t>
  </si>
  <si>
    <t>18.331.253</t>
  </si>
  <si>
    <t>-9.319.459.529.999.990</t>
  </si>
  <si>
    <t>latitude</t>
  </si>
  <si>
    <t>rmin</t>
  </si>
  <si>
    <t>2021-8-10</t>
  </si>
  <si>
    <t>2021-8-25</t>
  </si>
  <si>
    <t>LORENA</t>
  </si>
  <si>
    <t>JESUS</t>
  </si>
  <si>
    <t>2020-11-30</t>
  </si>
  <si>
    <t>2021-7-13</t>
  </si>
  <si>
    <t xml:space="preserve">ANGULO </t>
  </si>
  <si>
    <t>RAFAIN</t>
  </si>
  <si>
    <t>JOSE</t>
  </si>
  <si>
    <t xml:space="preserve">AGUSTIN </t>
  </si>
  <si>
    <t>AREVALO</t>
  </si>
  <si>
    <t>PATRICIA DEL CARMEN</t>
  </si>
  <si>
    <t xml:space="preserve">IZQUIERDO </t>
  </si>
  <si>
    <t>2021-2-15</t>
  </si>
  <si>
    <t xml:space="preserve">SEPARADA </t>
  </si>
  <si>
    <t>2020-12-23</t>
  </si>
  <si>
    <t>PEDRO</t>
  </si>
  <si>
    <t xml:space="preserve">ENTRADA EL KINDER </t>
  </si>
  <si>
    <t>MARIA</t>
  </si>
  <si>
    <t>ALMEIDA</t>
  </si>
  <si>
    <t>SEBASTIANA</t>
  </si>
  <si>
    <t>2021-7-1</t>
  </si>
  <si>
    <t>AGENOR</t>
  </si>
  <si>
    <t xml:space="preserve">LAZARO </t>
  </si>
  <si>
    <t>JOSE DE LA CRUZ</t>
  </si>
  <si>
    <t>2019-10-23</t>
  </si>
  <si>
    <t xml:space="preserve">ZAFIRO </t>
  </si>
  <si>
    <t xml:space="preserve">SOLTERA </t>
  </si>
  <si>
    <t xml:space="preserve">AVALOS </t>
  </si>
  <si>
    <t>2020-2-11</t>
  </si>
  <si>
    <t xml:space="preserve">CARRILLO </t>
  </si>
  <si>
    <t xml:space="preserve">RODRIGUEZ </t>
  </si>
  <si>
    <t xml:space="preserve">IMPERIAL DE LUJO </t>
  </si>
  <si>
    <t>2021-7-12</t>
  </si>
  <si>
    <t>2021-7-8</t>
  </si>
  <si>
    <t>2021-6-23</t>
  </si>
  <si>
    <t>ARJONA</t>
  </si>
  <si>
    <t>ELECTA</t>
  </si>
  <si>
    <t>2018-4-16</t>
  </si>
  <si>
    <t>2020-7-31</t>
  </si>
  <si>
    <t>OVANDO</t>
  </si>
  <si>
    <t>2021-8-27</t>
  </si>
  <si>
    <t>2017-11-28</t>
  </si>
  <si>
    <t>RIGOBERTO</t>
  </si>
  <si>
    <t xml:space="preserve">HERRERA </t>
  </si>
  <si>
    <t xml:space="preserve">QUINTIN </t>
  </si>
  <si>
    <t xml:space="preserve">ESTEBAN </t>
  </si>
  <si>
    <t xml:space="preserve">MIGUEL ANGEL </t>
  </si>
  <si>
    <t xml:space="preserve">DE LOS SANTOS </t>
  </si>
  <si>
    <t>2021-8-9</t>
  </si>
  <si>
    <t>2019-8-31</t>
  </si>
  <si>
    <t xml:space="preserve">MADRIGAL </t>
  </si>
  <si>
    <t>2021-2-16</t>
  </si>
  <si>
    <t xml:space="preserve">ASUNCION </t>
  </si>
  <si>
    <t>2020-11-13</t>
  </si>
  <si>
    <t>2020-2-20</t>
  </si>
  <si>
    <t xml:space="preserve">MIERCOLES </t>
  </si>
  <si>
    <t>2021-8-12</t>
  </si>
  <si>
    <t xml:space="preserve">DOMINGA </t>
  </si>
  <si>
    <t xml:space="preserve">SANTIAGO </t>
  </si>
  <si>
    <t xml:space="preserve">ROSA MARIA </t>
  </si>
  <si>
    <t>PEREGRINO</t>
  </si>
  <si>
    <t xml:space="preserve">OLGA </t>
  </si>
  <si>
    <t>2017-7-28</t>
  </si>
  <si>
    <t>JUEVES</t>
  </si>
  <si>
    <t xml:space="preserve">PARAISO </t>
  </si>
  <si>
    <t>2021-8-4</t>
  </si>
  <si>
    <t>LEONOR</t>
  </si>
  <si>
    <t>OLGA LILIA</t>
  </si>
  <si>
    <t>C09UVwciDqyrK8GM</t>
  </si>
  <si>
    <t>yRwO1z6uCNlY7qgF</t>
  </si>
  <si>
    <t>obnJ4aFDH8EbKRJN</t>
  </si>
  <si>
    <t>NB3VYimEpn8nxned</t>
  </si>
  <si>
    <t>vMPgWq8jm2cBZUKv</t>
  </si>
  <si>
    <t>IvnrlL9sz1PCHxEV</t>
  </si>
  <si>
    <t>RUm5mfv6il9j2Amv</t>
  </si>
  <si>
    <t>kNI6UBPtZwU0LMNo</t>
  </si>
  <si>
    <t>IGNACIO</t>
  </si>
  <si>
    <t>xpjZXN6ZWteTRThg</t>
  </si>
  <si>
    <t>Sr3fBh7e5ixg3NCl</t>
  </si>
  <si>
    <t>ROSA ELENA</t>
  </si>
  <si>
    <t>2021-9-9</t>
  </si>
  <si>
    <t>2021-9-23</t>
  </si>
  <si>
    <t>cLwXaqlMWPSf2wxe</t>
  </si>
  <si>
    <t>znTKRWL2fuEdNzxr</t>
  </si>
  <si>
    <t>0CDlxGAUGQpMLOuK</t>
  </si>
  <si>
    <t>NORMA</t>
  </si>
  <si>
    <t>2021-7-22</t>
  </si>
  <si>
    <t>I4gTD5gL1dRfMWKA</t>
  </si>
  <si>
    <t>2021-8-26</t>
  </si>
  <si>
    <t>4jwIQImkCuzZo0HR</t>
  </si>
  <si>
    <t>zgRkrYfMtvCmbcMp</t>
  </si>
  <si>
    <t>KbChGZDNcQsuGcE9</t>
  </si>
  <si>
    <t>siGzrAQVGe4IaZxI</t>
  </si>
  <si>
    <t>d0Tp6XvH11MjR8Du</t>
  </si>
  <si>
    <t>yFx4KQWvrgVxnYuo</t>
  </si>
  <si>
    <t>stcfLKybYgXA61dL</t>
  </si>
  <si>
    <t>I8E8dOEXiAcwKLuk</t>
  </si>
  <si>
    <t>vvmRxlCRHkBZRDhv</t>
  </si>
  <si>
    <t>09ljezEPO0k4fRFs</t>
  </si>
  <si>
    <t>kNfbEYY9HyqzSk12</t>
  </si>
  <si>
    <t>xQ0XolYNs5RWUZSb</t>
  </si>
  <si>
    <t>u5Er05vFssCfvnpU</t>
  </si>
  <si>
    <t>2021-8-29</t>
  </si>
  <si>
    <t>42iLjT02Xn9x5SQd</t>
  </si>
  <si>
    <t>2021-8-11</t>
  </si>
  <si>
    <t>2H9LBf01Ap9I8qyw</t>
  </si>
  <si>
    <t>QVNZfDSnDDYtfsYS</t>
  </si>
  <si>
    <t>2021-7-30</t>
  </si>
  <si>
    <t>2021-7-9</t>
  </si>
  <si>
    <t>sdaSKRH7OTgQnavX</t>
  </si>
  <si>
    <t>KX9kmwk5YshAgQjM</t>
  </si>
  <si>
    <t>sB3s8Dg84VAng2Rl</t>
  </si>
  <si>
    <t>Da7yC4Oi2qIFKPii</t>
  </si>
  <si>
    <t>WlBuwBEoxVKGJhs9</t>
  </si>
  <si>
    <t>v5cYBpJ6kxvMVM7t</t>
  </si>
  <si>
    <t>76TiWw9zAB9QFf8p</t>
  </si>
  <si>
    <t>DnCmTnVkwobTeqgR</t>
  </si>
  <si>
    <t>qlw9q3v6EUEarJAW</t>
  </si>
  <si>
    <t>H00QHCsLlMiAaBct</t>
  </si>
  <si>
    <t>QRJ5hd0NffZ3DwUE</t>
  </si>
  <si>
    <t>Iyf7o4fgnHCbkrvn</t>
  </si>
  <si>
    <t>ODOfz53bkJ1XfOah</t>
  </si>
  <si>
    <t>LPJZWKJu39KuzJjc</t>
  </si>
  <si>
    <t>g8zo56PgZna17rZP</t>
  </si>
  <si>
    <t>ZbkGK7MP1c7kIcni</t>
  </si>
  <si>
    <t>o5rvNoDPTTVMfkPY</t>
  </si>
  <si>
    <t>RbX5tEr0zUm0wHCz</t>
  </si>
  <si>
    <t>ELSA</t>
  </si>
  <si>
    <t>9vA4SWaXzJhUG78Z</t>
  </si>
  <si>
    <t>ZJaFly4whOXCtF12</t>
  </si>
  <si>
    <t>8akJmppL29Bfx3As</t>
  </si>
  <si>
    <t>erFyOn8Csc8raOCw</t>
  </si>
  <si>
    <t>nmGXn80QQmmx7MWY</t>
  </si>
  <si>
    <t>GILBERTO</t>
  </si>
  <si>
    <t>tRfpQTkMs8QQ0ONu</t>
  </si>
  <si>
    <t>VpO1L8n24rKmbxVn</t>
  </si>
  <si>
    <t>BARTOLO</t>
  </si>
  <si>
    <t>xWfuY0wrpFOgyxna</t>
  </si>
  <si>
    <t>XK1vBQve4jx9DAnY</t>
  </si>
  <si>
    <t>H9jURiw9mzTTgBFO</t>
  </si>
  <si>
    <t>ALnWC5eMfbJGDgTT</t>
  </si>
  <si>
    <t>s6YuRO5jclYWKwop</t>
  </si>
  <si>
    <t>n6dVaQCoAkOsJK7I</t>
  </si>
  <si>
    <t>FRANCISCO Y MADERO</t>
  </si>
  <si>
    <t>nOfZZ8IMHDnKhBmI</t>
  </si>
  <si>
    <t>CALLE MIGUEL HIDALGO SIN NUMERO</t>
  </si>
  <si>
    <t>bov1eayaFoXltiX3</t>
  </si>
  <si>
    <t>M2fu2PmCxbNl9D8f</t>
  </si>
  <si>
    <t>2018-4-13</t>
  </si>
  <si>
    <t>CALLE 27 DE FEBRERO SIN NUMERO</t>
  </si>
  <si>
    <t>vPUCHZLU20zKxF1j</t>
  </si>
  <si>
    <t>MINERVA</t>
  </si>
  <si>
    <t>T8W95521KMMnw59o</t>
  </si>
  <si>
    <t>JV0U87V5e2cOfr12</t>
  </si>
  <si>
    <t>BIYtnl60fkUk7XTt</t>
  </si>
  <si>
    <t>3s7QAeP1dWVv5xpf</t>
  </si>
  <si>
    <t>MVmucS1WN7S21P0r</t>
  </si>
  <si>
    <t>2021-8-14</t>
  </si>
  <si>
    <t>r1087GssgrB5DjAG</t>
  </si>
  <si>
    <t>Y57xWYk5MwHUpJnz</t>
  </si>
  <si>
    <t>BY1MMrhH0GLfTAXq</t>
  </si>
  <si>
    <t>5gCmGt7A17Arwy4j</t>
  </si>
  <si>
    <t>PgF7A6JkCFhNseNw</t>
  </si>
  <si>
    <t>Nt621sDE8vGErj6k</t>
  </si>
  <si>
    <t>KXBuen030xqJtgON</t>
  </si>
  <si>
    <t>WVIGLcXfkGsFaaYa</t>
  </si>
  <si>
    <t>x0D8zC7Zjh6n3WaH</t>
  </si>
  <si>
    <t>96Umo3u3ivCWpr8m</t>
  </si>
  <si>
    <t>eItUSUBdltpRimPu</t>
  </si>
  <si>
    <t>2020-11-17</t>
  </si>
  <si>
    <t>8ToM88ZgcOQvaTCy</t>
  </si>
  <si>
    <t>mjO7eUz70wOX2lZr</t>
  </si>
  <si>
    <t>26aFHxCxkgQUvWMy</t>
  </si>
  <si>
    <t>c56uYDsEOVHGaNB4</t>
  </si>
  <si>
    <t>y6KlP3gHPtuilVMR</t>
  </si>
  <si>
    <t>clK8fvOERAh2BUiP</t>
  </si>
  <si>
    <t>UVKQjTqeEWSc0Ehf</t>
  </si>
  <si>
    <t>tb2D9TcgbLOqmnAD</t>
  </si>
  <si>
    <t>EAceQYGoHbDEJI1z</t>
  </si>
  <si>
    <t>C5B21BmPcMPQMnnS</t>
  </si>
  <si>
    <t>nfQ300pCxLcpe0Mh</t>
  </si>
  <si>
    <t>2021-8-8</t>
  </si>
  <si>
    <t>WqmoGEru1JUVGqAZ</t>
  </si>
  <si>
    <t>2jsYZ0MQKqriTvhQ</t>
  </si>
  <si>
    <t>4YlLCPmOvPHMeN3p</t>
  </si>
  <si>
    <t>E4LdVKxpl9naTYYB</t>
  </si>
  <si>
    <t>cdGPXXLK3IAbymJK</t>
  </si>
  <si>
    <t>C8pf3bBjb5JABeKF</t>
  </si>
  <si>
    <t>oT8CJVvjCXQBdUE9</t>
  </si>
  <si>
    <t>fNWFlCqB57jqrBel</t>
  </si>
  <si>
    <t>kpSfnruvphL6h4gO</t>
  </si>
  <si>
    <t>IjE1Sb4r131wqJjy</t>
  </si>
  <si>
    <t>GE4U0TdD1O6HEcxk</t>
  </si>
  <si>
    <t>Bt99IgTI1vxH4YJ1</t>
  </si>
  <si>
    <t>1cEQQMTUzPK64NFP</t>
  </si>
  <si>
    <t>mBZyduCtUmxkFcYf</t>
  </si>
  <si>
    <t>awX0RS8xW572Hknt</t>
  </si>
  <si>
    <t>sITKATcNUnwgrZ1a</t>
  </si>
  <si>
    <t>PEjsuBiJ9nuPzfz1</t>
  </si>
  <si>
    <t>FERNANDO</t>
  </si>
  <si>
    <t>OXU7tmsJdLqT3yI3</t>
  </si>
  <si>
    <t>T9Tp0ZgTJWS8laoI</t>
  </si>
  <si>
    <t>r5uDzbUy9KdSTRV4</t>
  </si>
  <si>
    <t>SgFgZzKDlyg94XLR</t>
  </si>
  <si>
    <t>MARCELA</t>
  </si>
  <si>
    <t>6TVESOA2S9fZdT7U</t>
  </si>
  <si>
    <t>ifZlxasHgPDi5OL9</t>
  </si>
  <si>
    <t>CNyIAJDqgI4Njuvg</t>
  </si>
  <si>
    <t>9PzKgV6Hv33DxgmI</t>
  </si>
  <si>
    <t>UiGrZx7i2zDxf0uL</t>
  </si>
  <si>
    <t>K2IgiyDatRmFwEnE</t>
  </si>
  <si>
    <t>HlZ77BB6dzETQQex</t>
  </si>
  <si>
    <t>ZphCZMIxfcPanhz3</t>
  </si>
  <si>
    <t>shmNmUXa4KFiq8pu</t>
  </si>
  <si>
    <t>aYX5MjmaaH3u8oEM</t>
  </si>
  <si>
    <t>nXmW9iGQmj5m2xbP</t>
  </si>
  <si>
    <t>VVcY895R0COxq3x9</t>
  </si>
  <si>
    <t>MCnDX1F062addXBt</t>
  </si>
  <si>
    <t>EqEVJ1J5TlJYDmHu</t>
  </si>
  <si>
    <t>O6Slm838oWXfjVZN</t>
  </si>
  <si>
    <t>ZfwuCu15ocRtaaes</t>
  </si>
  <si>
    <t>oDS4ZINSesOkrN0d</t>
  </si>
  <si>
    <t>XBFaMxGu9oCCWedQ</t>
  </si>
  <si>
    <t>8sjphOqOKulCbIe3</t>
  </si>
  <si>
    <t>tBX5DWSjtds6Baeq</t>
  </si>
  <si>
    <t>Y4ugrAv7HXteDITF</t>
  </si>
  <si>
    <t>ODnM4Rhuy4bvprwL</t>
  </si>
  <si>
    <t>mH6MmdNYVJgp61sE</t>
  </si>
  <si>
    <t>lm9lLMOs7kVTPEIU</t>
  </si>
  <si>
    <t>ah84gP8zlsu89Ip9</t>
  </si>
  <si>
    <t>OldMrLrG8ui850NF</t>
  </si>
  <si>
    <t>2021-9-3</t>
  </si>
  <si>
    <t>jdlXfV12JS57PhIg</t>
  </si>
  <si>
    <t>2021-8-20</t>
  </si>
  <si>
    <t>ryOXdIydEoxtqRCi</t>
  </si>
  <si>
    <t>pzDFQvOPpKhvCrmt</t>
  </si>
  <si>
    <t>E3NcI7JmvAk0mtiC</t>
  </si>
  <si>
    <t>2018-5-17</t>
  </si>
  <si>
    <t>vxp1dyY2HKbDEOwf</t>
  </si>
  <si>
    <t>H6ivdD7aPxc4GAkr</t>
  </si>
  <si>
    <t>GEHDuFVHCCltrPxd</t>
  </si>
  <si>
    <t>I7s1Qw37IevYs33V</t>
  </si>
  <si>
    <t>7bSb8tt5f2Fwv9so</t>
  </si>
  <si>
    <t>u2wGA7xf8TTCjc2z</t>
  </si>
  <si>
    <t>nPxYmq9aHdT5iPeV</t>
  </si>
  <si>
    <t>MARIA LOURDES</t>
  </si>
  <si>
    <t>icbDcammDITlb72t</t>
  </si>
  <si>
    <t>FwTklmxva7bOVRtq</t>
  </si>
  <si>
    <t>BNCUD6ckDeV2wsSL</t>
  </si>
  <si>
    <t>2020-10-31</t>
  </si>
  <si>
    <t>3BxZxzOfat3xygF5</t>
  </si>
  <si>
    <t>hIpX1WE1Ej5ts1A5</t>
  </si>
  <si>
    <t>CrL1QyTSgyOcfqhD</t>
  </si>
  <si>
    <t>iKHqPdx6v8Z8MhxK</t>
  </si>
  <si>
    <t>d8Xw7MWxUeMA9K6K</t>
  </si>
  <si>
    <t>IV4KmbGc2vZlVvO9</t>
  </si>
  <si>
    <t>2020-3-10</t>
  </si>
  <si>
    <t>Bxy6vW3PQ8eU5A4l</t>
  </si>
  <si>
    <t>KPDNgH4fK0tyYuUx</t>
  </si>
  <si>
    <t>lo5sGoNdsndQd9kg</t>
  </si>
  <si>
    <t>8T6q0xZlnsQJCNYe</t>
  </si>
  <si>
    <t>wORFOh4A1M83GwNi</t>
  </si>
  <si>
    <t>1Z6bqEeTaIpwwOEG</t>
  </si>
  <si>
    <t>GoWlJ5oosaqb2CF6</t>
  </si>
  <si>
    <t>hr6wlyYYu3MOuKqO</t>
  </si>
  <si>
    <t>mOpM1vybHYMT9UXS</t>
  </si>
  <si>
    <t>qKC0gM659HFZuInh</t>
  </si>
  <si>
    <t>11lWkLtwJQcaJxbe</t>
  </si>
  <si>
    <t>a2eITpFpKfUqL46u</t>
  </si>
  <si>
    <t>ButBxOeqejG7NlbB</t>
  </si>
  <si>
    <t>EeeIbglDBrtxTWAN</t>
  </si>
  <si>
    <t>87h4ZscXo6ctQKnG</t>
  </si>
  <si>
    <t>Bhqt1jHOBRd6pURP</t>
  </si>
  <si>
    <t>yUR7Qrenvl3slbUW</t>
  </si>
  <si>
    <t>uzmM45nEI3Bl3bqW</t>
  </si>
  <si>
    <t>gAeAjWPMh3OVOASn</t>
  </si>
  <si>
    <t>2021-7-3</t>
  </si>
  <si>
    <t>RWiej093tAiQW48T</t>
  </si>
  <si>
    <t>bNRu5yJgoDWgYP8x</t>
  </si>
  <si>
    <t>Mt8Yt203wSGF2CcU</t>
  </si>
  <si>
    <t>OWI3J7c0vw8pOMA5</t>
  </si>
  <si>
    <t>2019-12-30</t>
  </si>
  <si>
    <t>GhBWoQKOK6LFMlVo</t>
  </si>
  <si>
    <t>LT0zDk1l5YNcqqBt</t>
  </si>
  <si>
    <t>FKqTYImWxCvhdfes</t>
  </si>
  <si>
    <t>52WkgPBYTeah5qjA</t>
  </si>
  <si>
    <t>2YXTL8tsAsyC1K5c</t>
  </si>
  <si>
    <t>CU0hpaEj5upBRKOa</t>
  </si>
  <si>
    <t>Wc0B0mD0GMRgVntI</t>
  </si>
  <si>
    <t>CALLE PRINCIPAL SIN NUMERO</t>
  </si>
  <si>
    <t>C6ADxQp010WSu1mZ</t>
  </si>
  <si>
    <t>3UK1TiGY2h2I9AMt</t>
  </si>
  <si>
    <t>LUDIN</t>
  </si>
  <si>
    <t>pbek2QTih6z0Tyrn</t>
  </si>
  <si>
    <t>zozYGkgHmnbEGgji</t>
  </si>
  <si>
    <t>ZwOQcrt1pRcIFIBY</t>
  </si>
  <si>
    <t>1GgRF3jVx7dHRvQu</t>
  </si>
  <si>
    <t>c8itM4w4eoa3B8ku</t>
  </si>
  <si>
    <t>mAixH1lT6z7kqIun</t>
  </si>
  <si>
    <t>KKEep0LPaBE1QJAc</t>
  </si>
  <si>
    <t>aofP5hiDJE9dUugz</t>
  </si>
  <si>
    <t>2019-9-12</t>
  </si>
  <si>
    <t>umWhdCm8S21vOarq</t>
  </si>
  <si>
    <t>arxG83C3XSnojCG4</t>
  </si>
  <si>
    <t>CALLE 8 DE OCTUBRE</t>
  </si>
  <si>
    <t>cRYRs7nnvTAPMQvx</t>
  </si>
  <si>
    <t>9s6573QbAX441iPd</t>
  </si>
  <si>
    <t>2019-6-30</t>
  </si>
  <si>
    <t>2019-9-3</t>
  </si>
  <si>
    <t>skV7zNVNcSubCYv8</t>
  </si>
  <si>
    <t>DuAZPjhNckTxPrmo</t>
  </si>
  <si>
    <t>KMd0sWZUCtrp0CWd</t>
  </si>
  <si>
    <t>jtrbYBcj9jf9csFE</t>
  </si>
  <si>
    <t xml:space="preserve">ORIENTE SEGUNDA SECCION </t>
  </si>
  <si>
    <t>ORIENTE SEGUNDA SECCION</t>
  </si>
  <si>
    <t>XgXCyiCqa0H1dhL9</t>
  </si>
  <si>
    <t>QWu7WgHwV6EGMD8K</t>
  </si>
  <si>
    <t>1B2Ynu9GoQhGX2l3</t>
  </si>
  <si>
    <t>2019-8-21</t>
  </si>
  <si>
    <t>a</t>
  </si>
  <si>
    <t>tMdNmYaROLSlN6fq</t>
  </si>
  <si>
    <t>COM2019-3428</t>
  </si>
  <si>
    <t>GODINEZ</t>
  </si>
  <si>
    <t>BENITO</t>
  </si>
  <si>
    <t>CERRADA SANTA ELENA NUMERO 12</t>
  </si>
  <si>
    <t>MARIA CASTILLO LUNA</t>
  </si>
  <si>
    <t>BENEFICIARIO 2: JUAN CARLOS GODINEZ CASTILLO</t>
  </si>
  <si>
    <t>RUTA 4 L</t>
  </si>
  <si>
    <t>2021-10-01</t>
  </si>
  <si>
    <t>FRACCIONAMIENTO LAS ROSAS</t>
  </si>
  <si>
    <t>8suxH3s6Ii0UCp53</t>
  </si>
  <si>
    <t>COM2021-1978</t>
  </si>
  <si>
    <t>CARRETERA CHICHICAPÁ</t>
  </si>
  <si>
    <t xml:space="preserve">CARRETERA A CARDENAS </t>
  </si>
  <si>
    <t>MARIA ADRIANA CORDOVA CORDOVA</t>
  </si>
  <si>
    <t>rFZroy6fhzlfkqIZ</t>
  </si>
  <si>
    <t>COM2020-0366</t>
  </si>
  <si>
    <t>2021-2-06</t>
  </si>
  <si>
    <t xml:space="preserve">CARRETERA LEON ZARATE </t>
  </si>
  <si>
    <t>EJIDO GUATEMALAN</t>
  </si>
  <si>
    <t>ENTRE CALLE NICOLAS BRAVO Y CALLE REFORMA</t>
  </si>
  <si>
    <t>IGNACIA ALMEIDA PULIDO</t>
  </si>
  <si>
    <t>BENEFICIARIO 2: ALEJANDRO DE LA CRUZ MENDEZ</t>
  </si>
  <si>
    <t>0XOnsv6skpk6rVOW</t>
  </si>
  <si>
    <t>COM2020-2358</t>
  </si>
  <si>
    <t>2020-10-10</t>
  </si>
  <si>
    <t xml:space="preserve">ENTRADA LOS PINOS </t>
  </si>
  <si>
    <t>INDEPENDENCIA PRIMERA SECCION</t>
  </si>
  <si>
    <t>CALLE PRINCIPAL</t>
  </si>
  <si>
    <t>MARY ASUNCION ALVARADO JIMENEZ</t>
  </si>
  <si>
    <t>BENEFICIARIO 2: MANUEL ALVARADO RODRIGUEZ</t>
  </si>
  <si>
    <t>CERCA DE LA ESCUELA</t>
  </si>
  <si>
    <t>GYhghewZtZREKGRN</t>
  </si>
  <si>
    <t>PAR2020-1539</t>
  </si>
  <si>
    <t>2018-8-16</t>
  </si>
  <si>
    <t>MORAIMA</t>
  </si>
  <si>
    <t>ENTRADA DEL CENTRO DE SALUD SIN NUMERO</t>
  </si>
  <si>
    <t xml:space="preserve">ENTRE ENTRADA EL SOBRINO </t>
  </si>
  <si>
    <t xml:space="preserve">ISMAEL PEREZ CORDOVA </t>
  </si>
  <si>
    <t>BENEFICIARIO 2: LERI YERANIA PEREZ HERNANDEZ</t>
  </si>
  <si>
    <t>2021-10-04</t>
  </si>
  <si>
    <t>2kSCCCzBQcODKVBw</t>
  </si>
  <si>
    <t>COM2020-0517</t>
  </si>
  <si>
    <t xml:space="preserve">SECUNDINA </t>
  </si>
  <si>
    <t>CARRETERA FEDERAL COMALCALCO PARAISO</t>
  </si>
  <si>
    <t>EDGAR ALMEIDA ALCUDIA</t>
  </si>
  <si>
    <t xml:space="preserve">BENEFICIARIO 2: CAMELIA ALMEIDA ALCUDIA </t>
  </si>
  <si>
    <t>WZiEsmYro5Wpnbgo</t>
  </si>
  <si>
    <t>PAR2021-0264</t>
  </si>
  <si>
    <t>2021-1-28</t>
  </si>
  <si>
    <t xml:space="preserve">VILLEDA </t>
  </si>
  <si>
    <t>ANA PATRICIA</t>
  </si>
  <si>
    <t>PATRICIA DOMINGUEZ CASTELLANOS</t>
  </si>
  <si>
    <t>BENEFICIARIO 2: GUSTAVO ERNES VILLEDA GARCIA</t>
  </si>
  <si>
    <t>KgV7nWJjptZI9B4V</t>
  </si>
  <si>
    <t>COM2020-5051</t>
  </si>
  <si>
    <t>2021-1-04</t>
  </si>
  <si>
    <t>MARIO FILOMENO</t>
  </si>
  <si>
    <t xml:space="preserve">ENTRADA A LA ZONA ARQUEOLOGICA </t>
  </si>
  <si>
    <t>JOSE GERARDO PADRON GONZALEZ</t>
  </si>
  <si>
    <t>BENEFICIARIO 2: TERESA DE JESUS PADRON GONZALEZ</t>
  </si>
  <si>
    <t>6EycNg8T5ySeTm7M</t>
  </si>
  <si>
    <t>PAR2021-0477</t>
  </si>
  <si>
    <t>EDUARDO DOMINGUEZ CASTELLANOS</t>
  </si>
  <si>
    <t>BENEFICIARIO 2: PATRICIA DOMINGUEZ CASTELLANOS</t>
  </si>
  <si>
    <t>yBzI8qXHHsV8488l</t>
  </si>
  <si>
    <t>COM2021-0556</t>
  </si>
  <si>
    <t>MARIA ELVIA</t>
  </si>
  <si>
    <t>CARRETERA VECINAL A CHCHICAPA SIN NUMERO</t>
  </si>
  <si>
    <t>GRISELDA RAMIREZ HERNANDEZ</t>
  </si>
  <si>
    <t>BENEFICIARIO 2: JHONNY DEL CARMEN RAMIREZ HERNANDEZ</t>
  </si>
  <si>
    <t>NV8N7DqYQFnJguDJ</t>
  </si>
  <si>
    <t>COM2020-3501</t>
  </si>
  <si>
    <t>CARRETERA COMALCALCO PARAISO</t>
  </si>
  <si>
    <t>ANGELITA DE JESUS PONCE</t>
  </si>
  <si>
    <t>tkImKyXRBnSTeusB</t>
  </si>
  <si>
    <t>PAR2021-0934</t>
  </si>
  <si>
    <t>2021-3-08</t>
  </si>
  <si>
    <t>JULIANA</t>
  </si>
  <si>
    <t>CALLE AMPARO MAGAÑA</t>
  </si>
  <si>
    <t>ARELY HERNANDEZ GUEMEZ</t>
  </si>
  <si>
    <t>BENEFICIARIO 2: AUGUSTO HERNANDEZ GUEMEZ</t>
  </si>
  <si>
    <t>TrPdTP5cFagh5vpL</t>
  </si>
  <si>
    <t>COM2020-1971</t>
  </si>
  <si>
    <t>MATILDE CASTILLO PEREZ</t>
  </si>
  <si>
    <t xml:space="preserve">BENEFICIARIO 2: PEDRO PEREZ CHABLE </t>
  </si>
  <si>
    <t xml:space="preserve">INDEPENDENCIA PRIMERA SECCION </t>
  </si>
  <si>
    <t>vysz5LdxGkkxsAjT</t>
  </si>
  <si>
    <t>PAR2021-1520</t>
  </si>
  <si>
    <t>2021-5-03</t>
  </si>
  <si>
    <t xml:space="preserve">CALLE ARTURO FLORES SIN NUMERO </t>
  </si>
  <si>
    <t>ORIENTE SAN VAYETANO</t>
  </si>
  <si>
    <t>ENTRE CALLE ARTURO FLORES Y AUTOPISTA COMALCALCO PARAISO</t>
  </si>
  <si>
    <t>LAIDY ARIANA MARTINEZ HERNANDEZ</t>
  </si>
  <si>
    <t>BENEFICIARIO 2: NESTOR EDUARDO HERNANDEZ MARTINEZ</t>
  </si>
  <si>
    <t>vgfpAcg0XNatRyoH</t>
  </si>
  <si>
    <t>PAR2020-0527</t>
  </si>
  <si>
    <t>2020-2-21</t>
  </si>
  <si>
    <t>PALMA</t>
  </si>
  <si>
    <t>PECHE</t>
  </si>
  <si>
    <t xml:space="preserve">CARMEN </t>
  </si>
  <si>
    <t xml:space="preserve">CARRETERA A LAS FLORES </t>
  </si>
  <si>
    <t xml:space="preserve">ENTRADA A LAS FLORES </t>
  </si>
  <si>
    <t xml:space="preserve">DANNY DEL CARMEN PALMA PALMA </t>
  </si>
  <si>
    <t xml:space="preserve">BENEFICIARIO 2: VICKY PALMA PALMA </t>
  </si>
  <si>
    <t>0gzWq8v0YPJt1zUT</t>
  </si>
  <si>
    <t>PAR2020-5465</t>
  </si>
  <si>
    <t>BARTOLA</t>
  </si>
  <si>
    <t xml:space="preserve">FRANCISCO I MADERO PRIMERA </t>
  </si>
  <si>
    <t xml:space="preserve">VIANEY JIMENEZ DE LA CRUZ </t>
  </si>
  <si>
    <t xml:space="preserve">BENEFICIARIO 2: BARTOLA JIMENEZ DE LA CRUZ </t>
  </si>
  <si>
    <t>RETRASO 1</t>
  </si>
  <si>
    <t xml:space="preserve">   </t>
  </si>
  <si>
    <t>AWrhdk2IVDOw5mWN</t>
  </si>
  <si>
    <t>COM2021-1953</t>
  </si>
  <si>
    <t>2021-6-09</t>
  </si>
  <si>
    <t xml:space="preserve">DALILA </t>
  </si>
  <si>
    <t xml:space="preserve">CALLE REVOLUCION </t>
  </si>
  <si>
    <t xml:space="preserve">BICENTENARIO </t>
  </si>
  <si>
    <t xml:space="preserve">ENRIQUE GONZALEZ LOPEZ </t>
  </si>
  <si>
    <t>gbQMUiJwHn7QCSGI</t>
  </si>
  <si>
    <t>COM2021-1982</t>
  </si>
  <si>
    <t xml:space="preserve">ESTELA </t>
  </si>
  <si>
    <t xml:space="preserve">ENTRADA LOS HERNANDEZ </t>
  </si>
  <si>
    <t xml:space="preserve">CECILIA ARJONA HERNANDEZ </t>
  </si>
  <si>
    <t>BENEFICIARIO 2: RICARDO ARJONA HERNANDEZ</t>
  </si>
  <si>
    <t>Wg72ehNotgSHx8wj</t>
  </si>
  <si>
    <t>PAR2021-1986</t>
  </si>
  <si>
    <t xml:space="preserve">ERNESTO </t>
  </si>
  <si>
    <t xml:space="preserve">CARRETERA A PARAISO COMALCALCO </t>
  </si>
  <si>
    <t xml:space="preserve">GRISELDA ARIAS CORDOVA </t>
  </si>
  <si>
    <t xml:space="preserve">BENEFICIARIO 2: DIANA DEL CARMEN HERNANDEZ TRINIDAD </t>
  </si>
  <si>
    <t>aq6iFGloDJzkDPp0</t>
  </si>
  <si>
    <t>PAR2021-2115</t>
  </si>
  <si>
    <t xml:space="preserve">ENTRADA A LOS OSORIOS </t>
  </si>
  <si>
    <t xml:space="preserve">NURY DEL CARMEN CRUZ PALMA </t>
  </si>
  <si>
    <t xml:space="preserve">BENEFICIARIO 2: ARI LUNA DE LA CRUZ </t>
  </si>
  <si>
    <t>zqMLAdN4UMoPdpGs</t>
  </si>
  <si>
    <t>PAR2020-1107</t>
  </si>
  <si>
    <t>2021-7-03</t>
  </si>
  <si>
    <t xml:space="preserve">BENITO </t>
  </si>
  <si>
    <t xml:space="preserve">PRINCIPAL A LA UNION KILOMETRO 1.8 </t>
  </si>
  <si>
    <t xml:space="preserve">ENRIQUETA ALAMILLA CRUZ </t>
  </si>
  <si>
    <t xml:space="preserve">BENEFICIARIO 2: ROSA MARIA ARELLANO RODRIGUEZ </t>
  </si>
  <si>
    <t>gCIoiK8HpWPCZjvJ</t>
  </si>
  <si>
    <t>PAR2021-2149</t>
  </si>
  <si>
    <t>NEREIDA</t>
  </si>
  <si>
    <t xml:space="preserve">ENTRADA AL CAMELLON </t>
  </si>
  <si>
    <t xml:space="preserve">WILIAMS ALEJANDRO ESPINO </t>
  </si>
  <si>
    <t xml:space="preserve">BENEFICIARIO 2: RUTH DOMINGUEZ JAVIER </t>
  </si>
  <si>
    <t>z5S1FhZyk8vzuCdr</t>
  </si>
  <si>
    <t>PAR2021-2164</t>
  </si>
  <si>
    <t>GUEMEZ</t>
  </si>
  <si>
    <t>NATALIA</t>
  </si>
  <si>
    <t xml:space="preserve">JORGE ALBERTO RODRIGUEZ PEREZ </t>
  </si>
  <si>
    <t xml:space="preserve">BENEFICIARIO 2: ANDY GEOVANA VARGAZ DE LA CRUZ </t>
  </si>
  <si>
    <t>Jmi6dp5cJTxbzCFs</t>
  </si>
  <si>
    <t>PAR2021-2168</t>
  </si>
  <si>
    <t xml:space="preserve">ADRIANA DEL CARMEN </t>
  </si>
  <si>
    <t>CALLE SANTOS DEGOLLADO NUMERO 713</t>
  </si>
  <si>
    <t xml:space="preserve">MOCTEZUMA PRIMERA ENTRADA </t>
  </si>
  <si>
    <t xml:space="preserve">ANGEL ARTURO CORTES ZATARAY </t>
  </si>
  <si>
    <t xml:space="preserve">BENEFICIARIO 2: VERONICA RODRIGUEZ MARQUEZ </t>
  </si>
  <si>
    <t>Nk2frastd9nd13cc</t>
  </si>
  <si>
    <t>PAR2019-0364</t>
  </si>
  <si>
    <t>2019-2-18</t>
  </si>
  <si>
    <t xml:space="preserve">HORACIO </t>
  </si>
  <si>
    <t xml:space="preserve">CALLE FERNANDO MONTES DDE OCA SIN NUMERO </t>
  </si>
  <si>
    <t xml:space="preserve">PALESTINA </t>
  </si>
  <si>
    <t xml:space="preserve">ISIDRA JIMENEZ SANCHEZ </t>
  </si>
  <si>
    <t xml:space="preserve">BENEFICIARIO 2: JUANA SANCHEZ DE LA CRUZ </t>
  </si>
  <si>
    <t>A9hdHXJjfhXURuI0</t>
  </si>
  <si>
    <t>COM2021-2564</t>
  </si>
  <si>
    <t xml:space="preserve">CORNELIO </t>
  </si>
  <si>
    <t xml:space="preserve">MARIA BETY MARTINEZ CORDOVA </t>
  </si>
  <si>
    <t xml:space="preserve">BENEFICIARIO 2: YUREIMI HERNANDEZ MARTINEZ </t>
  </si>
  <si>
    <t>VCRF3aj0W3sqVk8L</t>
  </si>
  <si>
    <t>PAR2019-0514</t>
  </si>
  <si>
    <t>2019-3-02</t>
  </si>
  <si>
    <t>ARAUJO</t>
  </si>
  <si>
    <t>OMAR</t>
  </si>
  <si>
    <t>MANZANA NUMERO 26 CASA NUMERO 13</t>
  </si>
  <si>
    <t xml:space="preserve">LAZARO CADENAS DEL RIO </t>
  </si>
  <si>
    <t xml:space="preserve">COLONIA LA CEIBA MAGISTERIAL NUMERO 2 ENTRE LA CALLE LA LIBERTAD E IGUALDAD </t>
  </si>
  <si>
    <t>MARIA JESUS JIMENEZ ARAUJO</t>
  </si>
  <si>
    <t xml:space="preserve">BENEFICIARIO 2: CLARITA J. ARAUJO PEREZ </t>
  </si>
  <si>
    <t>LAZARO CARDENAS DEL RIOX</t>
  </si>
  <si>
    <t>Uh2ymLflNdC7HS46</t>
  </si>
  <si>
    <t>PAR2021-2316</t>
  </si>
  <si>
    <t>2019-7-02</t>
  </si>
  <si>
    <t xml:space="preserve">CARLOS MARIO </t>
  </si>
  <si>
    <t>MOCTEZUMA</t>
  </si>
  <si>
    <t xml:space="preserve">ASMENIA DIAZ MARTINEZ </t>
  </si>
  <si>
    <t xml:space="preserve">BENEFICIARIO 2: CARLA DOMINGUEZ DIAZ </t>
  </si>
  <si>
    <t>cpF9wIGRx4TH78My</t>
  </si>
  <si>
    <t>PAR2021-2327</t>
  </si>
  <si>
    <t>2021-7-05</t>
  </si>
  <si>
    <t xml:space="preserve">ENTRADA LOS LAZAROS SIN NUMERO </t>
  </si>
  <si>
    <t xml:space="preserve">MOCTEZUMA PRIMERA </t>
  </si>
  <si>
    <t xml:space="preserve">ROSALVA PEREZ TORRES </t>
  </si>
  <si>
    <t xml:space="preserve">BENEFICIARIO 2: CESAR ARIAS PERES </t>
  </si>
  <si>
    <t>2YBbdYWVWI5zdyTO</t>
  </si>
  <si>
    <t>COM2021-2719</t>
  </si>
  <si>
    <t>OLIVE</t>
  </si>
  <si>
    <t xml:space="preserve">GLADIOLA </t>
  </si>
  <si>
    <t xml:space="preserve">CARRETERA A COMALCALCO PARAISO SIN NUMERO </t>
  </si>
  <si>
    <t xml:space="preserve">ENTRADA EL ARENAL </t>
  </si>
  <si>
    <t xml:space="preserve">ADELFO DE JESUS CARRASCO OLIVE </t>
  </si>
  <si>
    <t>BENEFICIARIO 2: CRISTEL CARRASCO OLIVE</t>
  </si>
  <si>
    <t xml:space="preserve">NORTE SEGUNDA </t>
  </si>
  <si>
    <t>XPRCbwJ5WUXdWNnT</t>
  </si>
  <si>
    <t>PAR2021-2708</t>
  </si>
  <si>
    <t xml:space="preserve">CARRETERA VECINAL PARAISO COMALCALCO </t>
  </si>
  <si>
    <t xml:space="preserve">ERIKA MENDEZ MONTEJO </t>
  </si>
  <si>
    <t xml:space="preserve">BENEFICIARIO 2: PEDRO JESUS HERNANDEZ </t>
  </si>
  <si>
    <t>2vMDKCcza9gnmI0R</t>
  </si>
  <si>
    <t>COM2021-2721</t>
  </si>
  <si>
    <t xml:space="preserve">DIGNITY </t>
  </si>
  <si>
    <t xml:space="preserve">PRADOS </t>
  </si>
  <si>
    <t xml:space="preserve">ALMEIDA </t>
  </si>
  <si>
    <t>MARIA DE LOS ANGELES</t>
  </si>
  <si>
    <t xml:space="preserve">EL REGALO SIN NUMERO </t>
  </si>
  <si>
    <t xml:space="preserve">LEEM ESTELA DE LOS PLADOS ALMEIDA </t>
  </si>
  <si>
    <t xml:space="preserve">BENEFICIARIO 2: JUAN CARLOS DE LOS PRADOS ALMEIDA </t>
  </si>
  <si>
    <t>I9juY5mrTYyGOpll</t>
  </si>
  <si>
    <t>PAR2017-3765</t>
  </si>
  <si>
    <t>2017-7-27</t>
  </si>
  <si>
    <t xml:space="preserve">MARTHA </t>
  </si>
  <si>
    <t xml:space="preserve">DIVORCIADA </t>
  </si>
  <si>
    <t xml:space="preserve">PALMA HUACA </t>
  </si>
  <si>
    <t xml:space="preserve">ORIERNTE SEGUNDA SECCION </t>
  </si>
  <si>
    <t xml:space="preserve">ALEXANDER DOMINGUEZ JIMENEZ </t>
  </si>
  <si>
    <t>BENEFICIARIO 2: ELBA DORIS DOMINGUEZ JIMENEZ</t>
  </si>
  <si>
    <t>EyFtsgXYbqpQMcyt</t>
  </si>
  <si>
    <t>PAR2017-3484</t>
  </si>
  <si>
    <t>2017-9-30</t>
  </si>
  <si>
    <t xml:space="preserve">MARIA CRUZ </t>
  </si>
  <si>
    <t xml:space="preserve">CALLE 18 DE MARZO </t>
  </si>
  <si>
    <t xml:space="preserve">LOS COQUITOS </t>
  </si>
  <si>
    <t xml:space="preserve">ANA YANCI TRINIDAD SANCHEZ </t>
  </si>
  <si>
    <t xml:space="preserve">BENEFICIARIO 2: JOSE ALFREDO AVALOS SANCHEZ </t>
  </si>
  <si>
    <t>lgJngRE9xZFklxV8</t>
  </si>
  <si>
    <t>PAR2017-3893</t>
  </si>
  <si>
    <t>2017-10-03</t>
  </si>
  <si>
    <t xml:space="preserve">MARIA ESPERANZA </t>
  </si>
  <si>
    <t xml:space="preserve">CARRETERA A LA BARRA SIN NUMERO </t>
  </si>
  <si>
    <t xml:space="preserve">CALLE BUGAMBILIA </t>
  </si>
  <si>
    <t xml:space="preserve">YURI ARTURO CASTRO CHABLE </t>
  </si>
  <si>
    <t xml:space="preserve">BENEFICIARIO 2: IRIS YANETH PALMA ALONSO </t>
  </si>
  <si>
    <t>tQaiE3PjWeHSEyUb</t>
  </si>
  <si>
    <t>PAR2019-3088</t>
  </si>
  <si>
    <t>2019-11-19</t>
  </si>
  <si>
    <t xml:space="preserve">COLLADO </t>
  </si>
  <si>
    <t xml:space="preserve">JUAN GABRIEL </t>
  </si>
  <si>
    <t xml:space="preserve">CALLE 5 DE MAYO NUMERO 1026 INTERIOR </t>
  </si>
  <si>
    <t xml:space="preserve">MIRALDEYIS COLLADO MONTEJO </t>
  </si>
  <si>
    <t xml:space="preserve">BENEFICIARIO 2: GLORIA ESTHER FLORES COLLADO </t>
  </si>
  <si>
    <t>RHUzNUBaPOK9LVlC</t>
  </si>
  <si>
    <t>PAR2019-2878</t>
  </si>
  <si>
    <t>MELQUIADES</t>
  </si>
  <si>
    <t xml:space="preserve">CALLE NICOLAS BRAVO SIN NUMERO INTERIOR 1 </t>
  </si>
  <si>
    <t xml:space="preserve">ENTRADA DE LA BOMBA </t>
  </si>
  <si>
    <t>GEORGINA DOMINGUEZ JUAREZ</t>
  </si>
  <si>
    <t xml:space="preserve">BENEFICIARIO 2: JAIRO ALBERTO SANCHEZ DOMINGUEZ </t>
  </si>
  <si>
    <t>vctdP1QHuEkmjGXJ</t>
  </si>
  <si>
    <t>PAR2019-2287</t>
  </si>
  <si>
    <t xml:space="preserve">BEATRIZ HERNANDEZ LOPEZ </t>
  </si>
  <si>
    <t xml:space="preserve">BENEFICIARIO 2: FELIX HERNANDEZ LOPEZ </t>
  </si>
  <si>
    <t>fna6dAmd3t2fQuUa</t>
  </si>
  <si>
    <t>PAR2019-2530</t>
  </si>
  <si>
    <t>2019-9-07</t>
  </si>
  <si>
    <t xml:space="preserve">MARIA ELENA </t>
  </si>
  <si>
    <t xml:space="preserve">CALLE PROLONGACION EMILIANO ZAPATA </t>
  </si>
  <si>
    <t xml:space="preserve">ADAN VILLEGAS RODRIGUEZ </t>
  </si>
  <si>
    <t xml:space="preserve">BENEFICIARIO 2: LEYDI RODRIGUEZ ALEJANDRO </t>
  </si>
  <si>
    <t>rqbY1HGEq8JKe8xE</t>
  </si>
  <si>
    <t>PAR2019-2522</t>
  </si>
  <si>
    <t>2021-9-06</t>
  </si>
  <si>
    <t>CALLE AGUSTIN MELGAR</t>
  </si>
  <si>
    <t xml:space="preserve">SILVIA CRUZ JAVIER </t>
  </si>
  <si>
    <t xml:space="preserve">BENEFICIARIO 2: BERNARDO CRUZ ALBERTO </t>
  </si>
  <si>
    <t>8xUYm7A8s7UAyWXI</t>
  </si>
  <si>
    <t>PAR2019-2502</t>
  </si>
  <si>
    <t>2019-9-03</t>
  </si>
  <si>
    <t>CARRETERA VECINAL COMALCALCO PARAISO</t>
  </si>
  <si>
    <t xml:space="preserve">CARMELA LOPEZ HERNANDEZ </t>
  </si>
  <si>
    <t xml:space="preserve">BENEFICIARIO 2: SILVIA DEL ROSARIO LOPEZ HERNANDEZ </t>
  </si>
  <si>
    <t>eYIDuzAchCgNbEWM</t>
  </si>
  <si>
    <t>PAR2019-1646</t>
  </si>
  <si>
    <t>2021-6-26</t>
  </si>
  <si>
    <t>NATIVIDAD</t>
  </si>
  <si>
    <t xml:space="preserve">CARRETERA VECINAL PARAISO </t>
  </si>
  <si>
    <t xml:space="preserve">MOCTEZUMA </t>
  </si>
  <si>
    <t xml:space="preserve">PETRONA HERNANDEZ MAGAÑA </t>
  </si>
  <si>
    <t>BENEFICIARIO 2: LAUIRA FLORES HERNANDEZ</t>
  </si>
  <si>
    <t>ZuXf0EMgQjDI2uHq</t>
  </si>
  <si>
    <t>PAR2019-1637</t>
  </si>
  <si>
    <t>2019-6-25</t>
  </si>
  <si>
    <t xml:space="preserve">ENTRADA EL TICUI SIN NUMERO </t>
  </si>
  <si>
    <t xml:space="preserve">ROBERTO CHABLE OSORIO </t>
  </si>
  <si>
    <t xml:space="preserve">BENEFICIARIO 2: ALICIA JIMENEZ SANCHEZ </t>
  </si>
  <si>
    <t>73MpVRpJUJzgk7AC</t>
  </si>
  <si>
    <t>PAR2019-2009</t>
  </si>
  <si>
    <t>2019-7-26</t>
  </si>
  <si>
    <t xml:space="preserve">EULALIA GUADALUPE </t>
  </si>
  <si>
    <t xml:space="preserve">CARRETERA VECINAL </t>
  </si>
  <si>
    <t xml:space="preserve">MONTE ADENTRO </t>
  </si>
  <si>
    <t xml:space="preserve">FRANCISCO JAVIER PEREZ </t>
  </si>
  <si>
    <t xml:space="preserve">BENEFICIARIO 2: MARTHA PATRIA PAZ MENDEZ </t>
  </si>
  <si>
    <t>VnxRZS9PfHjsF3EJ</t>
  </si>
  <si>
    <t>COM2021-1985</t>
  </si>
  <si>
    <t>CALLE EL CAMELLON DE LOS HERNANDEZ</t>
  </si>
  <si>
    <t>JAVIER MENDOZA MORALES</t>
  </si>
  <si>
    <t>BENEFICIARIO 2: JESUS ALFONSO DOMINGUEZ DE LA CRUZ</t>
  </si>
  <si>
    <t>Brub26TdNgM9bita</t>
  </si>
  <si>
    <t>COM2021-0415</t>
  </si>
  <si>
    <t>2021-2-04</t>
  </si>
  <si>
    <t>ANTONIA</t>
  </si>
  <si>
    <t xml:space="preserve">CARRETERA FEDERAL PARAISO - COMALCALCO </t>
  </si>
  <si>
    <t>MARIA DEL CARMEN CHABLE ALEJANDRO</t>
  </si>
  <si>
    <t>BENEFICIARIO 2: GABRIEL DOMINGUEZ CHABLE</t>
  </si>
  <si>
    <t>2021-9-04</t>
  </si>
  <si>
    <t>Bb94wXgvuguqaYty</t>
  </si>
  <si>
    <t xml:space="preserve">COM2021-0334 </t>
  </si>
  <si>
    <t>BEATRIZ MARIA</t>
  </si>
  <si>
    <t>CALLE MITLA MANZANA 3 LOTE NUMERO 58</t>
  </si>
  <si>
    <t>JORGE MANUEL JACOME VIVANCO</t>
  </si>
  <si>
    <t>BENEFICIARIO 2: NELLY DEL CARMEN JACOME MARIN</t>
  </si>
  <si>
    <t>agPD6svkOHbYniwT</t>
  </si>
  <si>
    <t>COM2018-0780</t>
  </si>
  <si>
    <t>2018-5-31</t>
  </si>
  <si>
    <t>CARRETERA QUINTA CHICHICAPA NUMERO 36</t>
  </si>
  <si>
    <t xml:space="preserve">BUENA VISTA NORTE PRIMERA </t>
  </si>
  <si>
    <t>FRANCISCO IGNACIO HERNANDEZ ALBERTO</t>
  </si>
  <si>
    <t>BENEFICIARIO 2: DIANA DEL CARMEN HERNANDEZ ALBERTO</t>
  </si>
  <si>
    <t>BUENA VISTA NORTE PRIMERA</t>
  </si>
  <si>
    <t>ew9QSr1t0vLcgUyQ</t>
  </si>
  <si>
    <t>COM2020-1104</t>
  </si>
  <si>
    <t>2020-7-02</t>
  </si>
  <si>
    <t>ENTRADA SAN FERNANDO</t>
  </si>
  <si>
    <t>MARTHA ALICIA SANCHEZ AQUINO</t>
  </si>
  <si>
    <t>yJ5jWztgLYxxUaib</t>
  </si>
  <si>
    <t>COM2020-3152</t>
  </si>
  <si>
    <t>2020-12-01</t>
  </si>
  <si>
    <t>JOSE JESUS</t>
  </si>
  <si>
    <t xml:space="preserve">CARRETERA FEDERAL COMALCALCO - PARAISO </t>
  </si>
  <si>
    <t>NORTE SEGUNDA SECCION</t>
  </si>
  <si>
    <t>TITO CASTELLANOS HERRERA</t>
  </si>
  <si>
    <t>BENEFICIARIO 2: ANTONIO CASTELLANOS HERRERA</t>
  </si>
  <si>
    <t>LwrYaCdDgovgzmRh</t>
  </si>
  <si>
    <t>COM2018-2175</t>
  </si>
  <si>
    <t>2018-11-12</t>
  </si>
  <si>
    <t>FAUSTO</t>
  </si>
  <si>
    <t>CALLE LUTES CARRETERA FEDERAL COMALCALCO</t>
  </si>
  <si>
    <t>HERNAN RABELO WADE</t>
  </si>
  <si>
    <t>LETICIA ALCUDIA CASTELLANO</t>
  </si>
  <si>
    <t>BENEFICIARIO 2: FAUSTO ALMEIDA ALCUDIA</t>
  </si>
  <si>
    <t>UgqrRfUzIPUXqb1r</t>
  </si>
  <si>
    <t>COM2018-0395</t>
  </si>
  <si>
    <t>2018-4-17</t>
  </si>
  <si>
    <t xml:space="preserve">ENTRADA EL REGALO SIN NUMERO </t>
  </si>
  <si>
    <t>JAIME CASTELLANOS MORALES</t>
  </si>
  <si>
    <t>BENEFICIARIO 2: LUIS GUSTAVO CASTELLANOS</t>
  </si>
  <si>
    <t>ka6a2D7Ga1sqln5P</t>
  </si>
  <si>
    <t>COM2019-2558</t>
  </si>
  <si>
    <t>CALLE A LA MERCED REAL SIN NUMERO</t>
  </si>
  <si>
    <t>ORIENTE PRIMERA SECCION</t>
  </si>
  <si>
    <t>NESTOR ERICK PEREZ JIMENEZ</t>
  </si>
  <si>
    <t>BENEFICIARIO 2: EVELIN NATALE PEREZ JIMENEZ</t>
  </si>
  <si>
    <t>SCJUNn4s2wKuEGWn</t>
  </si>
  <si>
    <t>COM2018-0955</t>
  </si>
  <si>
    <t>2018-6-11</t>
  </si>
  <si>
    <t>SELENE VIVIANA MAGAÑA SANCHEZ</t>
  </si>
  <si>
    <t>BENEFICIARIO 2: ADRIANA SANCHEZ PEREZ</t>
  </si>
  <si>
    <t>7h84MQygG285P9M8</t>
  </si>
  <si>
    <t>COM2018-1569</t>
  </si>
  <si>
    <t>2018-8-22</t>
  </si>
  <si>
    <t>CORTES</t>
  </si>
  <si>
    <t>ELSY</t>
  </si>
  <si>
    <t>CARRETERA COMALCALCO - PARAISO</t>
  </si>
  <si>
    <t>MIGUEL ANGEL ANGULO LIZARRAGA</t>
  </si>
  <si>
    <t>BENEFICIARIO 2: ARACELI CORTES HERNANDEZ</t>
  </si>
  <si>
    <t>HH4IqfG5nXc00uVk</t>
  </si>
  <si>
    <t>COM2017-3768</t>
  </si>
  <si>
    <t>NICOLAZA</t>
  </si>
  <si>
    <t>JESUS EDUARDO DOMINGUEZ ANGULO</t>
  </si>
  <si>
    <t>BENEFICIARIO 2: MARITZA KARELI DOMINGUEZ ANGULO</t>
  </si>
  <si>
    <t>W96dmIAI9ED6Q2Wq</t>
  </si>
  <si>
    <t>COM2019-0177</t>
  </si>
  <si>
    <t>2019-1-29</t>
  </si>
  <si>
    <t>HIPOLITA</t>
  </si>
  <si>
    <t>CALLE RIO SECO</t>
  </si>
  <si>
    <t>MIGUEL ANTONIO DOMINGUEZ DE LOS SANTOS</t>
  </si>
  <si>
    <t>BENEFICIARIO 2: KARLA PATRICIA DOMINGUEZ CORDOVA</t>
  </si>
  <si>
    <t>nLvKh8WcPjXfa7yc</t>
  </si>
  <si>
    <t>COM2020-1570</t>
  </si>
  <si>
    <t>2020-8-13</t>
  </si>
  <si>
    <t xml:space="preserve">ISABEL </t>
  </si>
  <si>
    <t>CALLE LA MOCTEZUMA PRIMERA SECCION</t>
  </si>
  <si>
    <t>DALILA RODRIGUEZ LAZARO</t>
  </si>
  <si>
    <t>BENEFICIARIO 2: ANASTACIA RODRIGUEZ LAZARO</t>
  </si>
  <si>
    <t>2021-10-19</t>
  </si>
  <si>
    <t>orwTduiDXMozkJSF</t>
  </si>
  <si>
    <t>COM2019-3050</t>
  </si>
  <si>
    <t>2019-11-05</t>
  </si>
  <si>
    <t>LILI</t>
  </si>
  <si>
    <t>ENTRADA ALADO DE LA BIBLIOTECA</t>
  </si>
  <si>
    <t>TERECITA DE JESUS LOPEZ HERNANDEZ</t>
  </si>
  <si>
    <t>BENEFICIARIO 2: YESSICA GUADALUPE LOPEZ HERNANDEZ</t>
  </si>
  <si>
    <t>gkTczq6dXW0f5qlf</t>
  </si>
  <si>
    <t>COM2019-1639</t>
  </si>
  <si>
    <t>CARRETERA PARAISO - COMALCALCO</t>
  </si>
  <si>
    <t>MARIBEL PEREZ DE LA CRUZ</t>
  </si>
  <si>
    <t>BENEFICIARIO 2: JOSE DE LA CRUZ DOMINGUEZ</t>
  </si>
  <si>
    <t>zyhrsUltLAJQzFA3</t>
  </si>
  <si>
    <t>COM2019-3425</t>
  </si>
  <si>
    <t>2019-12-27</t>
  </si>
  <si>
    <t>MACHUCHO</t>
  </si>
  <si>
    <t>CANDELERO</t>
  </si>
  <si>
    <t>CARRETERA VECINAL ENTRADA LA NUEVA ESPERANZA</t>
  </si>
  <si>
    <t>HECTOR JAVIER BALDOMERO ZUÑIGA</t>
  </si>
  <si>
    <t>BENEFICIARIO 2: LUIS MANUEL MACHUCHO DE LA CRUZ</t>
  </si>
  <si>
    <t>5DuybASBUONdV7Yx</t>
  </si>
  <si>
    <t>COM2020-0931</t>
  </si>
  <si>
    <t>2020-6-18</t>
  </si>
  <si>
    <t>CARRETERA SAN FRANCISCO Y OCCIDENTE</t>
  </si>
  <si>
    <t>MARLIT ANGULO GARCIA</t>
  </si>
  <si>
    <t>ZppR8EArJv64TwO1</t>
  </si>
  <si>
    <t>COM2020-0781</t>
  </si>
  <si>
    <t>2020-3-23</t>
  </si>
  <si>
    <t>BEATRIZ</t>
  </si>
  <si>
    <t>CARRETERA VECINAL</t>
  </si>
  <si>
    <t>JESUS FRANCISCO JAVIER ANGULO</t>
  </si>
  <si>
    <t>BENEFICIARIO 2: JUANA BEATRIZ JAVIER ANGULO</t>
  </si>
  <si>
    <t>PjTyWspSQRJSCH7i</t>
  </si>
  <si>
    <t>COM2020-1224</t>
  </si>
  <si>
    <t>2020-6-24</t>
  </si>
  <si>
    <t>CAMARGO</t>
  </si>
  <si>
    <t>RUBICEL</t>
  </si>
  <si>
    <t>CALLE RENTRADA JOSE ANIVAL SIN NUMERO</t>
  </si>
  <si>
    <t>MIRIAN MADRIGAL GONZALEZ</t>
  </si>
  <si>
    <t>BENEFICIARIO 2: SANDRA OLIVIA VENTURA CAMARGO</t>
  </si>
  <si>
    <t>u75gVJAT49OxlyUG</t>
  </si>
  <si>
    <t>COM2019-2504</t>
  </si>
  <si>
    <t>CALLE ENTRADA JUAN MADRIGAL CORDOVA SIN NUMERO</t>
  </si>
  <si>
    <t>MARIA LUZ DE LA CRUZ DOMINGUEZ</t>
  </si>
  <si>
    <t>BENEFICIARIO 2: GUADALUPE MADRIGAL DE LA CRUZ</t>
  </si>
  <si>
    <t>sCpuyudvoClPk58c</t>
  </si>
  <si>
    <t>COM2019-2507</t>
  </si>
  <si>
    <t>2019-9-04</t>
  </si>
  <si>
    <t>CALLE CARRETERA PARAISO - COMALCALCO</t>
  </si>
  <si>
    <t>JESUS HERNANDEZ PEREZ</t>
  </si>
  <si>
    <t>tp7VaxJTc8bOvXSl</t>
  </si>
  <si>
    <t>COM2021-0590</t>
  </si>
  <si>
    <t>ARCES</t>
  </si>
  <si>
    <t>CALLE 2</t>
  </si>
  <si>
    <t>ORESTES RODRIGUEZ ARCES</t>
  </si>
  <si>
    <t>BENEFICIARIO 2: KIRSSA DOMINGUEZ ARCES</t>
  </si>
  <si>
    <t>UR8BAhKiXPVZAL4M</t>
  </si>
  <si>
    <t>COM2020-2510</t>
  </si>
  <si>
    <t>2020-10-19</t>
  </si>
  <si>
    <t>LUGARDO RODRIGUEZ CRUZ</t>
  </si>
  <si>
    <t>BENEFICIARIO 2: MARIA LUISA RODRIGUEZ CRUZ</t>
  </si>
  <si>
    <t>J9o6paD82A6q8P5F</t>
  </si>
  <si>
    <t>COM2021-2588</t>
  </si>
  <si>
    <t>MARIA LUISA</t>
  </si>
  <si>
    <t>JORGE LUIS MARTINEZ GONZALEZ</t>
  </si>
  <si>
    <t>BENEFICIARIO 2: SILVIA DEL CARMEN RODRIGUEZ CRUZ</t>
  </si>
  <si>
    <t>FfZRT7UKkXADRYv0</t>
  </si>
  <si>
    <t>COM2020-2977</t>
  </si>
  <si>
    <t>AVIDA</t>
  </si>
  <si>
    <t>ENTRADA LA ISLA</t>
  </si>
  <si>
    <t>ANA LAURA CHABLE SANTOS</t>
  </si>
  <si>
    <t>BENEFICIARIO 2: CRISANTA CANUL RUIZ</t>
  </si>
  <si>
    <t>kyN1p1hmPb2RoZ6d</t>
  </si>
  <si>
    <t>COM2021-0550</t>
  </si>
  <si>
    <t xml:space="preserve">CARRETERA VECINAL COMALCALCO - PARAISO </t>
  </si>
  <si>
    <t>MARIA ISABEL PEREZ GONZALEZ</t>
  </si>
  <si>
    <t>BENEFICIARIO 2: RIGOBERTO CORDOVA PEREZ</t>
  </si>
  <si>
    <t>uMFVNYH3DMF9DWx8</t>
  </si>
  <si>
    <t>COM2021-2363</t>
  </si>
  <si>
    <t>2021-7-11</t>
  </si>
  <si>
    <t>ELSY CORDOVA HERNANDEZ</t>
  </si>
  <si>
    <t>BENEFICIARIO 2: MARIA JESUS CORDOVA HERNANDEZ</t>
  </si>
  <si>
    <t>aY7uofBx7O6f74RM</t>
  </si>
  <si>
    <t>COM2019-2830</t>
  </si>
  <si>
    <t>2019-10-13</t>
  </si>
  <si>
    <t>CARRETRA CAMINO AGRARIO</t>
  </si>
  <si>
    <t>SUR CUARTA SECCION</t>
  </si>
  <si>
    <t>GLADIS PEREZ SEGOVIA</t>
  </si>
  <si>
    <t>BENEFICIARIO 2: PATRICIA GALLEGOS PEREZ</t>
  </si>
  <si>
    <t>puebld5V61tc39uX</t>
  </si>
  <si>
    <t>COM2018-1518</t>
  </si>
  <si>
    <t>2018-8-13</t>
  </si>
  <si>
    <t>CALLE ISAAC DOMINGUEZ HERNANDEZ SIN NUMERO</t>
  </si>
  <si>
    <t>DANOLLI CHABLE DE LA CRUZ</t>
  </si>
  <si>
    <t>2021-8-02</t>
  </si>
  <si>
    <t>KLVaQKUObCabILKw</t>
  </si>
  <si>
    <t>COM2018-0725</t>
  </si>
  <si>
    <t>2018-5-22</t>
  </si>
  <si>
    <t xml:space="preserve">LIZARRAGA </t>
  </si>
  <si>
    <t>ANA JULIA ANGULO HERNANDEZ</t>
  </si>
  <si>
    <t>BENEFICIARIO 2: LUIS IVAN MONTERO LIZARRAGA</t>
  </si>
  <si>
    <t>5ibaDZOiYGDPmWIr</t>
  </si>
  <si>
    <t>COM2018-0706</t>
  </si>
  <si>
    <t>RAUL</t>
  </si>
  <si>
    <t>CALLE SAN JOSE SIN NUMERO</t>
  </si>
  <si>
    <t xml:space="preserve">RUDIBI JAVIER CASTILLO </t>
  </si>
  <si>
    <t>BENEFICIARIO 2: JOSE MANUEL JIMENEZ JAVIER</t>
  </si>
  <si>
    <t>zvakUL0ZRygarn7i</t>
  </si>
  <si>
    <t>COM2021-1926</t>
  </si>
  <si>
    <t>2021-6-07</t>
  </si>
  <si>
    <t>CARRETERA VECINAL PARAISO - COMALCALCO</t>
  </si>
  <si>
    <t>ROSALINO PEREGRINO DOMINGUEZ</t>
  </si>
  <si>
    <t>BENEFICIARIO 2: LILIANA PEREGRINO DOMINGUEZ</t>
  </si>
  <si>
    <t>SPsgV3P37aVe70qb</t>
  </si>
  <si>
    <t>COM2021-1990</t>
  </si>
  <si>
    <t>HEIDI ALEJANDRA</t>
  </si>
  <si>
    <t>ENTRADA LOS ARIAS</t>
  </si>
  <si>
    <t>JUANA MARIA ARIAS LOPEZ</t>
  </si>
  <si>
    <t>BENEFICIARIO 2: FRIDA SHAJADU ARIAS LOPEZ</t>
  </si>
  <si>
    <t>2021-9-07</t>
  </si>
  <si>
    <t>LxDnbfcxd48GvLyh</t>
  </si>
  <si>
    <t>COM2021-2376</t>
  </si>
  <si>
    <t>CARRETERA VECINAL PARAISO - COMALCALCO SIN NUMERO</t>
  </si>
  <si>
    <t>MOCTEZUMA SEGUNDA</t>
  </si>
  <si>
    <t>SERGIO DEL CARMEN PEREZ TRINIDAD</t>
  </si>
  <si>
    <t>9TYdY2Q4kohvYLf2</t>
  </si>
  <si>
    <t>COM2021-3428</t>
  </si>
  <si>
    <t>CRISTINA SANCHEZ CHABLE</t>
  </si>
  <si>
    <t>BENEFICIARIO 2: TERESITA DE JESUS CHABLE SANCHEZ</t>
  </si>
  <si>
    <t>xhcOf5CT96oILf4L</t>
  </si>
  <si>
    <t>COM2018-0605</t>
  </si>
  <si>
    <t>2018-5-14</t>
  </si>
  <si>
    <t>ORTIZ</t>
  </si>
  <si>
    <t>NARDA</t>
  </si>
  <si>
    <t>GREGORIO MENDEZ SIN NUMERO</t>
  </si>
  <si>
    <t>ROGELIO ORTZ CASTILLO</t>
  </si>
  <si>
    <t>BENEFICIARIO 2: DALLANI DEL CARMEN ORTIZ MENDOZA</t>
  </si>
  <si>
    <t>P2rU25K4DaP6tLvJ</t>
  </si>
  <si>
    <t>COM2018-0600</t>
  </si>
  <si>
    <t>2018-5-12</t>
  </si>
  <si>
    <t>ENTRADA SOBRINO SIN NUMERO</t>
  </si>
  <si>
    <t>MARTHA PEREZ CHABLE</t>
  </si>
  <si>
    <t>BENEFICIARIO 2: SEBASTIAN BAUTISTA IZQUIERDO</t>
  </si>
  <si>
    <t>ChnrVLEoFaqoDpWz</t>
  </si>
  <si>
    <t>COM2020-0992</t>
  </si>
  <si>
    <t>2020-7-01</t>
  </si>
  <si>
    <t>KARINA BAUTISTA DOMINGUEZ</t>
  </si>
  <si>
    <t>BENEFICIARIO 2: JAYLIN BAUTISTA DOMINGUEZ</t>
  </si>
  <si>
    <t>LYcSmOf1iUzZHYu3</t>
  </si>
  <si>
    <t>COM2020-0990</t>
  </si>
  <si>
    <t xml:space="preserve">CASTELLANO </t>
  </si>
  <si>
    <t>ALVARO</t>
  </si>
  <si>
    <t>CARRETERA FEDERAL COMALCALCO - PARAISO</t>
  </si>
  <si>
    <t>AMELIA CASTELLANO DOMINGUEZ</t>
  </si>
  <si>
    <t>BENEFICIARIO 2: ALVA CASTELLANO DOMINGUEZ</t>
  </si>
  <si>
    <t>5TnJVTx1VX6FwDCw</t>
  </si>
  <si>
    <t>COM2018-0713</t>
  </si>
  <si>
    <t>2018-5-18</t>
  </si>
  <si>
    <t>FLORINDA</t>
  </si>
  <si>
    <t>MARIA GUADALUPE AYALA ANGULO</t>
  </si>
  <si>
    <t>BENEFICIARIO 2: RITA GUADALUPE ANGULO ANGULO</t>
  </si>
  <si>
    <t>v6i7H4iJdosJoM8Y</t>
  </si>
  <si>
    <t>COM2020-3356</t>
  </si>
  <si>
    <t>ISAIAS</t>
  </si>
  <si>
    <t>ENTRADA LOS PINOS</t>
  </si>
  <si>
    <t>JOSE ALFREDO DIAZ TORRES</t>
  </si>
  <si>
    <t>BENEFICIARIO 2: FANY DIAZ TORRES</t>
  </si>
  <si>
    <t>eM4EBuaaREFahEBY</t>
  </si>
  <si>
    <t>COM2018-1311</t>
  </si>
  <si>
    <t>2018-7-23</t>
  </si>
  <si>
    <t>ESTHERLANDA</t>
  </si>
  <si>
    <t>MADERO PRIMERA SECCION</t>
  </si>
  <si>
    <t>CARLOS MERITO LEON</t>
  </si>
  <si>
    <t>BENEFICIARIO 2: RESTITUTO HERNANDEZ TRINI</t>
  </si>
  <si>
    <t>XVry2yJdeBzXbdE1</t>
  </si>
  <si>
    <t>COM2021-2548</t>
  </si>
  <si>
    <t>CALLE MAGISTERIAL</t>
  </si>
  <si>
    <t>FRACCIONAMIENTO LA CEIBA NUMERO 61</t>
  </si>
  <si>
    <t>ROSALIA MARTINEZ CASANOVA</t>
  </si>
  <si>
    <t>BENEFICIARIO 2: CLARITA INOCENCIA ANGULO PEREZ</t>
  </si>
  <si>
    <t>xJpVtxaGRBe6EYit</t>
  </si>
  <si>
    <t>COM2020-0503</t>
  </si>
  <si>
    <t>2020-2-18</t>
  </si>
  <si>
    <t>LIZARRAGA</t>
  </si>
  <si>
    <t>JOSE ROMEO</t>
  </si>
  <si>
    <t>LIBERTAD PRIMERA SECCION</t>
  </si>
  <si>
    <t>BELLANIRE CRUZ LIZARRAGA</t>
  </si>
  <si>
    <t>BENEFICIARIO 2: YUDID CRUZ LIZARRAGA</t>
  </si>
  <si>
    <t>xsCrdIPa38BoDrMc</t>
  </si>
  <si>
    <t>COM2021-2117</t>
  </si>
  <si>
    <t>JUAN SANCHEZ BAUTISTA</t>
  </si>
  <si>
    <t>BENEFICIARIO 2: ADRIAN SANCHEZ BAUTISTA</t>
  </si>
  <si>
    <t>rZruFT0piFAMQyTA</t>
  </si>
  <si>
    <t>COM2020-0934</t>
  </si>
  <si>
    <t>ALMA DELY</t>
  </si>
  <si>
    <t>SANTO TOMAS CAMARA PRINCIPAL SIN NUMERO</t>
  </si>
  <si>
    <t>FELIPE CORDOVA ARIAS</t>
  </si>
  <si>
    <t>BENEFICIARIO 2: LUIS FELIPE CORDOVA MARQUEZ</t>
  </si>
  <si>
    <t>6jjPHbJ36smuJIrs</t>
  </si>
  <si>
    <t>COM2019-1246</t>
  </si>
  <si>
    <t>2019-5-15</t>
  </si>
  <si>
    <t>GRENE</t>
  </si>
  <si>
    <t>CARLA ENEDINA</t>
  </si>
  <si>
    <t>CALLE PALMA DATIL NUMERO 204</t>
  </si>
  <si>
    <t>ALVARO PEREZ ONORIO</t>
  </si>
  <si>
    <t>OHFRWieBm250GJ37</t>
  </si>
  <si>
    <t>COM  2021-1954</t>
  </si>
  <si>
    <t>JUAREZ 1179-A</t>
  </si>
  <si>
    <t>BEATRIZ GOMEZ LOPEZ</t>
  </si>
  <si>
    <t>CLARA DEL CARMEN GARCIA LOPEZ</t>
  </si>
  <si>
    <t xml:space="preserve">LUNES  </t>
  </si>
  <si>
    <t>SANTA AMALIA JUAREZ</t>
  </si>
  <si>
    <t>QQ45tFNohoikVvvn</t>
  </si>
  <si>
    <t>COM  2019-0162</t>
  </si>
  <si>
    <t>2019-1-23</t>
  </si>
  <si>
    <t>INDEPENDENCIA PRIMERA SECC</t>
  </si>
  <si>
    <t>MARIA DEL CARMEN HERNANDEZ ALVARADO</t>
  </si>
  <si>
    <t>LEYDI DIAZ HERNANDEZ</t>
  </si>
  <si>
    <t>INDEPENDEMCIA PRIMERA SECCION</t>
  </si>
  <si>
    <t>17IKL6OyCntqfts6</t>
  </si>
  <si>
    <t>COM  2020-4833</t>
  </si>
  <si>
    <t>2020-11-23</t>
  </si>
  <si>
    <t>ANA LAURA</t>
  </si>
  <si>
    <t>FRANCISCO VILLA</t>
  </si>
  <si>
    <t>LIDIA DEL CARMEN ALEJANDRO PEREZ</t>
  </si>
  <si>
    <t>MARIA CANDELARIA ALEJANDRO PEREZ</t>
  </si>
  <si>
    <t>IgiatAZp2xUMouv8</t>
  </si>
  <si>
    <t>COM  2020-0721</t>
  </si>
  <si>
    <t>2020-3-13</t>
  </si>
  <si>
    <t>DEYSI</t>
  </si>
  <si>
    <t>ENTRADA PRINCIPAL</t>
  </si>
  <si>
    <t>DAVID ANGULO ANGULLLO</t>
  </si>
  <si>
    <t>DAVID ALBERTO ANGULO ANGULO</t>
  </si>
  <si>
    <t>0hjDuWbEGHy9DgnL</t>
  </si>
  <si>
    <t>COM  2020-0742</t>
  </si>
  <si>
    <t>2020-3-17</t>
  </si>
  <si>
    <t>ABURTO</t>
  </si>
  <si>
    <t>LIDIA</t>
  </si>
  <si>
    <t>ORIENTE PRIMERA</t>
  </si>
  <si>
    <t>FEDERAL</t>
  </si>
  <si>
    <t>JOSE DOLORES JIMENEZ JIMENEZ</t>
  </si>
  <si>
    <t>ANYELE JIMENEZ ABURTO</t>
  </si>
  <si>
    <t>crbhDs1NT2lhqTcQ</t>
  </si>
  <si>
    <t>COM  2020-0735</t>
  </si>
  <si>
    <t>2020-3-16</t>
  </si>
  <si>
    <t>LOS MAGAÑAS</t>
  </si>
  <si>
    <t>EFRAIN GOMEZ DOMINGUEZ</t>
  </si>
  <si>
    <t>IGNACIO OSORIO DOMINGUEZ</t>
  </si>
  <si>
    <t>zPh8Lh1aLire5HlC</t>
  </si>
  <si>
    <t>COM  2020-0728</t>
  </si>
  <si>
    <t>2020-3-12</t>
  </si>
  <si>
    <t>DENICES ANGULO PEREZ</t>
  </si>
  <si>
    <t>76RHVMeSt79gNmgA</t>
  </si>
  <si>
    <t>COM  2020-0726</t>
  </si>
  <si>
    <t>EURIPIDES</t>
  </si>
  <si>
    <t>MONTE DENTRO</t>
  </si>
  <si>
    <t>YAZMIN MONTIEL ANGUL</t>
  </si>
  <si>
    <t>YULISSA ISIDRIA ALEJANDRO GARCIA</t>
  </si>
  <si>
    <t>ww9fqwbHND9mg34g</t>
  </si>
  <si>
    <t>COM  2020-0724</t>
  </si>
  <si>
    <t>VERONICA FLORES PALMA</t>
  </si>
  <si>
    <t>SOILA FLORES PALMA</t>
  </si>
  <si>
    <t>WP8yGLB0fRVzBtF2</t>
  </si>
  <si>
    <t>COM  2020-0621</t>
  </si>
  <si>
    <t>BERNARDO</t>
  </si>
  <si>
    <t>ENTRADA DE LA ESTETICA</t>
  </si>
  <si>
    <t>JUAREZ 1139</t>
  </si>
  <si>
    <t>MARITZA MENDEZ DE LA CRUZ</t>
  </si>
  <si>
    <t>LETICIA DE LA CRUZ DOMINGUEZ</t>
  </si>
  <si>
    <t>Kg6fS3AesuryLmnD</t>
  </si>
  <si>
    <t>COM  2020-3158</t>
  </si>
  <si>
    <t>2020-6-28</t>
  </si>
  <si>
    <t>MANUEL RICARDEZ GONZALEZ</t>
  </si>
  <si>
    <t>EMANUEL RICARDEZ PEREZ</t>
  </si>
  <si>
    <t>LIBERTAD EL MANGO</t>
  </si>
  <si>
    <t>8QyBD9dHpeJU8w4E</t>
  </si>
  <si>
    <t>COM  2020-3160</t>
  </si>
  <si>
    <t>2020-11-29</t>
  </si>
  <si>
    <t>ROSA</t>
  </si>
  <si>
    <t>NORTE PRIMERA</t>
  </si>
  <si>
    <t>RAFAEL CASTELLANOS SANCHEZ</t>
  </si>
  <si>
    <t>CIRILO CASTELLANOS MERITO</t>
  </si>
  <si>
    <t>q0VFI2C4dt7EpozY</t>
  </si>
  <si>
    <t>COM  2020-3161</t>
  </si>
  <si>
    <t>FRANCISCA</t>
  </si>
  <si>
    <t>LIBERTAD PRIMERA</t>
  </si>
  <si>
    <t>LUIS ALBERTO PEREZ PEREZ</t>
  </si>
  <si>
    <t>GUADALUPE LOPEZ MENDEZ</t>
  </si>
  <si>
    <t>LIBERTAD PRIMERO</t>
  </si>
  <si>
    <t>XZyPHO1W01zvH4XG</t>
  </si>
  <si>
    <t>COM  2018-0353</t>
  </si>
  <si>
    <t>2018-9-09</t>
  </si>
  <si>
    <t xml:space="preserve">EJIDO BUENA VISTA </t>
  </si>
  <si>
    <t>VECINAL CHICHICAPA</t>
  </si>
  <si>
    <t>MARBELLA RAMIREZ</t>
  </si>
  <si>
    <t>CRISTINA CORDOVA</t>
  </si>
  <si>
    <t>EJIDO BUENA VISTA</t>
  </si>
  <si>
    <t>GcLlKrjrmCJuKWcz</t>
  </si>
  <si>
    <t>COM  2018-0379</t>
  </si>
  <si>
    <t>SERGIO</t>
  </si>
  <si>
    <t>NORTE SEGUNDA</t>
  </si>
  <si>
    <t>MARIA DE LOS ANGELES PALMA PALMA</t>
  </si>
  <si>
    <t>GAMALIEL DE LA CRUZ PALMA</t>
  </si>
  <si>
    <t>aLXJ4Plt4FCc7HmZ</t>
  </si>
  <si>
    <t>COM  2018-0380</t>
  </si>
  <si>
    <t>MEMI</t>
  </si>
  <si>
    <t>JORGE ESTEBAN SANCHEZ ALVAREZ</t>
  </si>
  <si>
    <t>ROSA ISELA XICOTENCATL HERNANDEZ</t>
  </si>
  <si>
    <t>KNcIcZ3lRcwfhzOF</t>
  </si>
  <si>
    <t>COM  2020-3147</t>
  </si>
  <si>
    <t>ARACELIO PEREZ PEREZ</t>
  </si>
  <si>
    <t>FERNANDO JESUS PEREZ LOPEZ</t>
  </si>
  <si>
    <t>52I13DNJkzTVGps5</t>
  </si>
  <si>
    <t>COM  2018-0514</t>
  </si>
  <si>
    <t>2018-4-20</t>
  </si>
  <si>
    <t>PROLONGACION SANTOS DEDOLLADO 180</t>
  </si>
  <si>
    <t>ELOISA MONTERO GORDILLO</t>
  </si>
  <si>
    <t>ROSA MARIA HERNANDEZ MONTERO</t>
  </si>
  <si>
    <t>MM436M59H7ambsED</t>
  </si>
  <si>
    <t>COM  2018-0515</t>
  </si>
  <si>
    <t>2018-4-21</t>
  </si>
  <si>
    <t>MARIA DE LOURDES</t>
  </si>
  <si>
    <t>MAURICIO MAGAÑA GONZALEZ</t>
  </si>
  <si>
    <t>CORNELIO CASTILLO MARQUEZ</t>
  </si>
  <si>
    <t>XTkJq2flopfktGPA</t>
  </si>
  <si>
    <t>COM  2020-2131</t>
  </si>
  <si>
    <t>2020-9-21</t>
  </si>
  <si>
    <t>JAVIER DIAZ PEREZ</t>
  </si>
  <si>
    <t>ALEJANDRA MENDEZ PEREZ</t>
  </si>
  <si>
    <t>pRWsOzcuE0XylXX5</t>
  </si>
  <si>
    <t>2020-9-24</t>
  </si>
  <si>
    <t>ANAZARETH</t>
  </si>
  <si>
    <t xml:space="preserve">CARRETERA FEDERAL COMALCALCO PARAISO </t>
  </si>
  <si>
    <t>CAh0dKstPUkY7Em2</t>
  </si>
  <si>
    <t>2020-7-25</t>
  </si>
  <si>
    <t>AUGUSTO</t>
  </si>
  <si>
    <t xml:space="preserve">CALLE AMPARO MAGAÑA VERA SIN NUMERO </t>
  </si>
  <si>
    <t xml:space="preserve">JOHANA PATRICIA JIMENEZ HOYOSCO </t>
  </si>
  <si>
    <t>BENEFICIARIO 2: ARELI HERNANDEZ GUEMEZ</t>
  </si>
  <si>
    <t>3VtxS6y9EKtloI9J</t>
  </si>
  <si>
    <t xml:space="preserve">CONCEPCION </t>
  </si>
  <si>
    <t xml:space="preserve">ENTRADA DE LA CLINICA SIN NUMERO </t>
  </si>
  <si>
    <t xml:space="preserve">MOCTEZUMA SEGUNDA </t>
  </si>
  <si>
    <t xml:space="preserve">FRANCISCO FLORES DE LA CRUZ </t>
  </si>
  <si>
    <t xml:space="preserve">BENEFICIARIO 2: TERESITA DE JESUS SANCHEZ CHABLE </t>
  </si>
  <si>
    <t>e09k5SapCbk2iDIx</t>
  </si>
  <si>
    <t>2020-3-26</t>
  </si>
  <si>
    <t>VIRIDIANA IZQUIERDO LAZARO</t>
  </si>
  <si>
    <t xml:space="preserve">BENEFICIARIO 2: MIGUEL ANGEL IZQUIERDO LAZARO </t>
  </si>
  <si>
    <t>Gbwy56KhGcnERtR1</t>
  </si>
  <si>
    <t>IHbaxoLebDotN1Li</t>
  </si>
  <si>
    <t>PAR2018-0129</t>
  </si>
  <si>
    <t>2018-1-19</t>
  </si>
  <si>
    <t xml:space="preserve">BACILIA </t>
  </si>
  <si>
    <t xml:space="preserve">CALLE LUIZ ENRIQUE DOMINGUEZ VARGAS SIN NUMERO </t>
  </si>
  <si>
    <t xml:space="preserve">FRANSICO I MADERO </t>
  </si>
  <si>
    <t xml:space="preserve">PEDRO LUIS PEREZ PALMA </t>
  </si>
  <si>
    <t xml:space="preserve">BENEFICIARIO 2: DIANA GOMEZ ANGULO </t>
  </si>
  <si>
    <t>2021-9-01</t>
  </si>
  <si>
    <t>2021-10-06</t>
  </si>
  <si>
    <t>95lrPdItOi7mbJ3g</t>
  </si>
  <si>
    <t>PAR2018-2101</t>
  </si>
  <si>
    <t>2018-10-22</t>
  </si>
  <si>
    <t xml:space="preserve">SOBRINO </t>
  </si>
  <si>
    <t xml:space="preserve">JORGE ALONSO </t>
  </si>
  <si>
    <t xml:space="preserve">CALLE 5 DE MAYO NUMERO 106 </t>
  </si>
  <si>
    <t xml:space="preserve">CHRISTINA DE DIOS HERNANDEZ </t>
  </si>
  <si>
    <t xml:space="preserve">BENEFICIARIO 2: YESENIA IVETT SOBRINO </t>
  </si>
  <si>
    <t>2021-9-29</t>
  </si>
  <si>
    <t>YQaBoS3Tsw2an4gp</t>
  </si>
  <si>
    <t>PAR2017-4228</t>
  </si>
  <si>
    <t>2017-11-22</t>
  </si>
  <si>
    <t xml:space="preserve">TERESA </t>
  </si>
  <si>
    <t>CALLE PRINCIPAL NUMERO 4</t>
  </si>
  <si>
    <t xml:space="preserve">ADALBERTO SANTOS </t>
  </si>
  <si>
    <t xml:space="preserve">JESUS DE LA CRUZ RODRIGUEZ </t>
  </si>
  <si>
    <t xml:space="preserve">BENEFICIARIO 2: LILIANA YUDITH MARTINEZ DE LA CRUZ </t>
  </si>
  <si>
    <t>om3M7DkF3G2DF862</t>
  </si>
  <si>
    <t>PAR2018-0721</t>
  </si>
  <si>
    <t>2018-5-19</t>
  </si>
  <si>
    <t xml:space="preserve">ALAYON </t>
  </si>
  <si>
    <t xml:space="preserve">CARRETERA PARAISO COMALCALCO </t>
  </si>
  <si>
    <t xml:space="preserve">MARGARITO HERNANDEZ MEDINA </t>
  </si>
  <si>
    <t xml:space="preserve">BENEFICIARIO 2: RAFAEL ARIAS ALAYON </t>
  </si>
  <si>
    <t>9gkwCPmMTE5PZBPn</t>
  </si>
  <si>
    <t>PAR2019-2873</t>
  </si>
  <si>
    <t>2019-10-22</t>
  </si>
  <si>
    <t xml:space="preserve">ESPERANZA </t>
  </si>
  <si>
    <t>CALLE MIGUEL HIDALGO NUMERO 511</t>
  </si>
  <si>
    <t>ANA ROSA PEREZ GONZALEZ</t>
  </si>
  <si>
    <t xml:space="preserve">BENEFICIARIO 2: JAIRO TADEO GONZALEZ HERRERA </t>
  </si>
  <si>
    <t>n4iumfqmhayROPlL</t>
  </si>
  <si>
    <t>PAR2021-0319</t>
  </si>
  <si>
    <t>ISAAC</t>
  </si>
  <si>
    <t xml:space="preserve">ENTRADA DE LA PALAPA </t>
  </si>
  <si>
    <t xml:space="preserve">ADRIANA PEREZ JIMENEZ </t>
  </si>
  <si>
    <t xml:space="preserve">BENEFICIARIO 2: CLAUDIA GUADALUPE MADRIGAL CHABLE </t>
  </si>
  <si>
    <t>RETRASO 3</t>
  </si>
  <si>
    <t>1fswvs2teh9foeke</t>
  </si>
  <si>
    <t>PAR2021-2137</t>
  </si>
  <si>
    <t xml:space="preserve">ESPECIAL ANGEL </t>
  </si>
  <si>
    <t>BENITEZ</t>
  </si>
  <si>
    <t>WINTER</t>
  </si>
  <si>
    <t xml:space="preserve">ADRIANA </t>
  </si>
  <si>
    <t xml:space="preserve">ARQUITECTO MANUEL SUAREZ HERRERA NUMERO 10 </t>
  </si>
  <si>
    <t xml:space="preserve">CARLO A MADRAZO </t>
  </si>
  <si>
    <t xml:space="preserve">ALEJANDRA ZARAHEMLA SANTOS BENITEZ </t>
  </si>
  <si>
    <t>BENEFICIARIO 2: HEYSELL GISELLE SANTOS BENITEZ</t>
  </si>
  <si>
    <t xml:space="preserve">CARLOS A MADRAZO </t>
  </si>
  <si>
    <t>WIcPzsWf2RSWpVjB</t>
  </si>
  <si>
    <t>PAR2019-3042</t>
  </si>
  <si>
    <t>2019-11-04</t>
  </si>
  <si>
    <t>ENTRADA LAS PALMAS SIN NUMERO</t>
  </si>
  <si>
    <t>ALMA LUZ PEREZ AVALOS</t>
  </si>
  <si>
    <t>BENEFICIARIO 2: PETRONILO HERNANDEZ GARCIA</t>
  </si>
  <si>
    <t>91rp6ydXjAB1uKxl</t>
  </si>
  <si>
    <t>PAR2019-0518</t>
  </si>
  <si>
    <t>LUZ DEL ALBA</t>
  </si>
  <si>
    <t>LOS MANGOS NUMERO 406</t>
  </si>
  <si>
    <t>MUSIO HABRAAN HUERTAS MARTINEZ</t>
  </si>
  <si>
    <t>BENEFICIARIO 2: KARINA KRISTHEL LISARRAGA DOMINGUEZ</t>
  </si>
  <si>
    <t>8sRuqrSfdLNZQr9U</t>
  </si>
  <si>
    <t>PAR2019-0177</t>
  </si>
  <si>
    <t>2019-4-23</t>
  </si>
  <si>
    <t>CALLE SIN NOMBRE MANZANA 1 LOTE 2 DEPARTAMENTO B</t>
  </si>
  <si>
    <t>YOSSER HERNANDEZ IZQUIERDO</t>
  </si>
  <si>
    <t>BENEFICIARIO 2: MARIA DEL CARMEN LOPEZ LOPEZ</t>
  </si>
  <si>
    <t>EioJKWiUyulCYIGa</t>
  </si>
  <si>
    <t>PAR2019-3739</t>
  </si>
  <si>
    <t>2019-12-14</t>
  </si>
  <si>
    <t>CARRETERA A LAS FLORES SIN NUMERO</t>
  </si>
  <si>
    <t>FILOMENA LIGONIO PEREZ</t>
  </si>
  <si>
    <t>BENEFICIARIO 2: ANTONIA PEREZ DE LA CRUZ</t>
  </si>
  <si>
    <t>HH5fZ35gxhK7sjkb</t>
  </si>
  <si>
    <t>PAR2019-1245</t>
  </si>
  <si>
    <t>ENTRADA DE LA ESCUELA SIN NUMERO</t>
  </si>
  <si>
    <t>MONTE</t>
  </si>
  <si>
    <t>SILVIA DEL CARMEN ANGULO PEREZ</t>
  </si>
  <si>
    <t>BENEFICIARIO 2: JESUS ANGULO PEREZ</t>
  </si>
  <si>
    <t>is3BunoUTNzjk80K</t>
  </si>
  <si>
    <t>PAR2019-2512</t>
  </si>
  <si>
    <t>2019-9-05</t>
  </si>
  <si>
    <t>MARIA DE GUADALUPE</t>
  </si>
  <si>
    <t xml:space="preserve">CALLE RAMIRO JAVIER </t>
  </si>
  <si>
    <t>DAGOBERTO MAGAÑA MARQUEZ</t>
  </si>
  <si>
    <t>BENEFICIARIO 2: KARINA DEL CARMEN MAGAÑA RODRIGUEZ</t>
  </si>
  <si>
    <t>EjnXkcoREXc43nul</t>
  </si>
  <si>
    <t>COM2019-3410</t>
  </si>
  <si>
    <t>2019-12-26</t>
  </si>
  <si>
    <t>ROMAN</t>
  </si>
  <si>
    <t>CALLE ARISTA NUMERO 405</t>
  </si>
  <si>
    <t>VANESSA SANTANA MARIN</t>
  </si>
  <si>
    <t>BENEFICIARIO 2: LILIA DOMINGUEZ HERNANDEZ</t>
  </si>
  <si>
    <t>vA0KjZAkBPIWFYjJ</t>
  </si>
  <si>
    <t>COM2018-1150</t>
  </si>
  <si>
    <t>2018-6-27</t>
  </si>
  <si>
    <t>SASTRE</t>
  </si>
  <si>
    <t>MARIA DOLORES</t>
  </si>
  <si>
    <t>CARRETERA A JESUS CARRANZA SIN NUMERO</t>
  </si>
  <si>
    <t>ANA CASTILLO SANTOS</t>
  </si>
  <si>
    <t>BENEFICIARIO 2: CARLOS CASTILLO SANTOS</t>
  </si>
  <si>
    <t>XBGG3BYaRBU6DmbE</t>
  </si>
  <si>
    <t>COM2018-0901</t>
  </si>
  <si>
    <t>2018-6-04</t>
  </si>
  <si>
    <t>OCCIDENTE PRIMERA SECCION</t>
  </si>
  <si>
    <t>REBECA COLORADO HERNANDEZ</t>
  </si>
  <si>
    <t>BENEFICIARIO 2: VERONICA COLORADO HERNANDEZ</t>
  </si>
  <si>
    <t>Xxe6dJYiCwnIDp3C</t>
  </si>
  <si>
    <t>PAR2019-1674</t>
  </si>
  <si>
    <t>CASTULO</t>
  </si>
  <si>
    <t>ANTONIA PEREZ DE LA CRUZ</t>
  </si>
  <si>
    <t>BENEFICIARIO 2: YURIDIA PEREZ DE LA CRUZ</t>
  </si>
  <si>
    <t>4He93Si8I841Cgy8</t>
  </si>
  <si>
    <t>PAR2017-4294</t>
  </si>
  <si>
    <t>2017-12-07</t>
  </si>
  <si>
    <t>LISET</t>
  </si>
  <si>
    <t>AVENIDA DEL PARAISO SIN NUMERO</t>
  </si>
  <si>
    <t>MARCIA RAMOS DOMINGUEZ</t>
  </si>
  <si>
    <t>BENEFICIARIO 2: MARIA GUADALUPE CHAPU FABRE</t>
  </si>
  <si>
    <t>nySiKPPFuHCD9ynz</t>
  </si>
  <si>
    <t>PAR2021-0399</t>
  </si>
  <si>
    <t>2021-2-09</t>
  </si>
  <si>
    <t>VARGAS</t>
  </si>
  <si>
    <t>ECHEVERRIA</t>
  </si>
  <si>
    <t>CALLE TULIPANES SIN NUMERO</t>
  </si>
  <si>
    <t>MARIA TRINIDAD VARGAS ECHEVERRIA</t>
  </si>
  <si>
    <t>zp0uDcvo83yFS7B2</t>
  </si>
  <si>
    <t>PAR2021-0927</t>
  </si>
  <si>
    <t>2021-3-06</t>
  </si>
  <si>
    <t>RENE MARQUEZ GALLEGOS</t>
  </si>
  <si>
    <t>BENEFICIARIO 2: INOCENCIO MARQUEZ HERNANDEZ</t>
  </si>
  <si>
    <t>2CRmGk6bqszQBw56</t>
  </si>
  <si>
    <t>COM2018-0119</t>
  </si>
  <si>
    <t>2018-1-18</t>
  </si>
  <si>
    <t>WILBER</t>
  </si>
  <si>
    <t>GLORIA PEREZ MAGAÑA</t>
  </si>
  <si>
    <t>BENEFICIARIO 2: WILBER EDUARDO SANCHEZ</t>
  </si>
  <si>
    <t>567s6UEVuJJkyzpx</t>
  </si>
  <si>
    <t>PAR2019-3003</t>
  </si>
  <si>
    <t>BARRAGAN</t>
  </si>
  <si>
    <t>DEL VALLE</t>
  </si>
  <si>
    <t>FREZIA</t>
  </si>
  <si>
    <t>PROLONGACION GREGORIO MENDEZ</t>
  </si>
  <si>
    <t>EL LIMON NUMERO 1248</t>
  </si>
  <si>
    <t>VIDAL DEL VALLE BARRAGAN</t>
  </si>
  <si>
    <t>BENEFICIARIO 2: ALAN DEL VALLE BARRAGAN</t>
  </si>
  <si>
    <t>f7bgISv824M22gmW</t>
  </si>
  <si>
    <t>COM2020-2357</t>
  </si>
  <si>
    <t>RUIZ</t>
  </si>
  <si>
    <t xml:space="preserve">MARYLU ALMEIDA OSORIO </t>
  </si>
  <si>
    <t xml:space="preserve">BENEFICIARIO 2: LUIS ALBERTO RUIZ </t>
  </si>
  <si>
    <t>gXFAVI2ph2rDp710</t>
  </si>
  <si>
    <t>PAR2018-0707</t>
  </si>
  <si>
    <t>JENNER</t>
  </si>
  <si>
    <t>MARIA EMIGDIA CRUZ LIZARRAGA</t>
  </si>
  <si>
    <t>BENEFICIARIO 2: BELLANIRA CRUZ LIZARRAGA</t>
  </si>
  <si>
    <t>wlT9HyK0vuMPiBad</t>
  </si>
  <si>
    <t>COM2020-4861</t>
  </si>
  <si>
    <t>2020-11-07</t>
  </si>
  <si>
    <t>KARLA MARIA</t>
  </si>
  <si>
    <t>IRVING GARCIA DE LA CRUZ</t>
  </si>
  <si>
    <t>BENEFICIARIO 2: CLAUDIA GARCIA DE LA CRUZ</t>
  </si>
  <si>
    <t>9CXm1mEv3CYwI9jY</t>
  </si>
  <si>
    <t>PAR2020-2741</t>
  </si>
  <si>
    <t>FLORELIS</t>
  </si>
  <si>
    <t>HUGO TORRES LOPEZ</t>
  </si>
  <si>
    <t>BENEFICIARIO 2: NICOLAS VALENZUELA MORALEZ</t>
  </si>
  <si>
    <t>dBl9xqXW9NGoO8cT</t>
  </si>
  <si>
    <t>COM2019-0361</t>
  </si>
  <si>
    <t>RAUL ANIBAL</t>
  </si>
  <si>
    <t>LORENA DEL CARMEN CORDOVA DE LOS SANTOS</t>
  </si>
  <si>
    <t>BENEFICIARIO 2: KATIA DEL CARMEN RODRIGUEZ CORDOVA</t>
  </si>
  <si>
    <t>sGYfGBCO3ekdoaB2</t>
  </si>
  <si>
    <t>PAR2018-0603</t>
  </si>
  <si>
    <t>JOSE MARIA</t>
  </si>
  <si>
    <t>CARRETERA VECINAL COMALCALCO - PARAISO SIN NUMERO</t>
  </si>
  <si>
    <t xml:space="preserve">RAFAEL ARIAS ALEJANDRO </t>
  </si>
  <si>
    <t>BENEFICIARIO 2: MARCOS ARIAS ALEJANDRO</t>
  </si>
  <si>
    <t>EUmKM4J4l5tm2UgE</t>
  </si>
  <si>
    <t>PAR2020-1711</t>
  </si>
  <si>
    <t>2020-8-24</t>
  </si>
  <si>
    <t>ZENTENO</t>
  </si>
  <si>
    <t>NANCY EDWVIGES</t>
  </si>
  <si>
    <t xml:space="preserve">CALLE 5 DE MAYO </t>
  </si>
  <si>
    <t>MARIA MAGDALENA ZENTENO ULIN</t>
  </si>
  <si>
    <t>BENEFICIARIO 2: LISSETTE CASTILLO ZENTENO</t>
  </si>
  <si>
    <t>LymKxJmSxALoy4wx</t>
  </si>
  <si>
    <t>PAR2020-0582</t>
  </si>
  <si>
    <t>ALMA GRACIELA</t>
  </si>
  <si>
    <t>ENTRE CALLE PRIMERO DE MAYO</t>
  </si>
  <si>
    <t>EDUARDO CORDOVA ALCUDIA</t>
  </si>
  <si>
    <t>BENEFICIARIO 2: ALEJANDRO PEREZ CORDOVA</t>
  </si>
  <si>
    <t>NgvKn8dzB5O8JNvs</t>
  </si>
  <si>
    <t>PAR2020-1482</t>
  </si>
  <si>
    <t>2020-7-13</t>
  </si>
  <si>
    <t>JOSE GUADALUPE</t>
  </si>
  <si>
    <t>CALLE IGNACIO COMONFORT 601</t>
  </si>
  <si>
    <t>ANDREA GONZALEZ RAMIREZ</t>
  </si>
  <si>
    <t>BENEFICIARIO 2: MARBELLA GONZALEZ RAMIREZ</t>
  </si>
  <si>
    <t>HFh0VmULpZBKlGQl</t>
  </si>
  <si>
    <t>PAR2019-2899</t>
  </si>
  <si>
    <t>2019-10-26</t>
  </si>
  <si>
    <t>CABAÑAS</t>
  </si>
  <si>
    <t>MATILDE</t>
  </si>
  <si>
    <t>CALLE PROLONGACION GREGORIO MENDEZ NUMERO 1454</t>
  </si>
  <si>
    <t>YENY ARLET NORIEGA CABAÑAS</t>
  </si>
  <si>
    <t>BENEFICIARIO 2: MANUEL FRANCISCO PALMA NORIEGA</t>
  </si>
  <si>
    <t>tqWxa4bzJ8wp7ty7</t>
  </si>
  <si>
    <t>PAR2019-0174</t>
  </si>
  <si>
    <t>BUENOS AIRES NUMERO 704</t>
  </si>
  <si>
    <t>OCTAVIANO SANTOS ROJAS</t>
  </si>
  <si>
    <t>BENEFICIARIO 2: UZIEL LANDERO FLORES</t>
  </si>
  <si>
    <t>ZcivWtBAqEFUGSxF</t>
  </si>
  <si>
    <t>PAR2019-2547</t>
  </si>
  <si>
    <t>JANETT</t>
  </si>
  <si>
    <t xml:space="preserve">CALLE CARRETERA FEDERAL COMALCALCO - PARAISO </t>
  </si>
  <si>
    <t>SIMON RICARDEZ SANCHEZ</t>
  </si>
  <si>
    <t>BENEFICIARIO 2: AGUSTIN ALBERTO RICARDEZ SANCHEZ</t>
  </si>
  <si>
    <t>R9jZxdQfoTLyuVVZ</t>
  </si>
  <si>
    <t>PAR2018-0575</t>
  </si>
  <si>
    <t>2018-5-05</t>
  </si>
  <si>
    <t>HEBER</t>
  </si>
  <si>
    <t>LIBERTAD SEGUNDA SECCION</t>
  </si>
  <si>
    <t xml:space="preserve">NICOLAS BRAVO </t>
  </si>
  <si>
    <t>CLEMENCIA MENDEZ DIAZ</t>
  </si>
  <si>
    <t>BENEFICIARIO 2: EVER DIAZ MENDEZ</t>
  </si>
  <si>
    <t>4U4kjRo8NvEISzIq</t>
  </si>
  <si>
    <t>COM2019-2407</t>
  </si>
  <si>
    <t>LEONILA</t>
  </si>
  <si>
    <t>ENTRADA LOS MENDEZ</t>
  </si>
  <si>
    <t>VICTORIO CRUZ VARGAS</t>
  </si>
  <si>
    <t>BENEFICIARIO 2: FABIOLA CRUZ MAGAÑA</t>
  </si>
  <si>
    <t>SLl63SS9xsvX1nSh</t>
  </si>
  <si>
    <t>PAR2017-4267</t>
  </si>
  <si>
    <t>2017-12-01</t>
  </si>
  <si>
    <t>SILVIA DEL CARMEN</t>
  </si>
  <si>
    <t>MARIA CECILIA ANGULO PEREZ</t>
  </si>
  <si>
    <t>BENEFICIARIO 2: ALEJANDRO TONHUP ANGULO</t>
  </si>
  <si>
    <t>v9dQnqrb4vkBDEUY</t>
  </si>
  <si>
    <t>COM2021-0015</t>
  </si>
  <si>
    <t>2021-1-06</t>
  </si>
  <si>
    <t>PABLO</t>
  </si>
  <si>
    <t>VIDAL</t>
  </si>
  <si>
    <t xml:space="preserve">ORIENTE SAN CAYETANO </t>
  </si>
  <si>
    <t>SARA RABANALES MONTEJO</t>
  </si>
  <si>
    <t>BENEFICIARIO 2: LUIS ENRIQUE MADRIGAL RABANALES</t>
  </si>
  <si>
    <t>VnAlGl6LRLgqFPAi</t>
  </si>
  <si>
    <t>PAR2020-0737</t>
  </si>
  <si>
    <t>2021-3-17</t>
  </si>
  <si>
    <t>DIEGO</t>
  </si>
  <si>
    <t>JUAN IGNACIO DOMINGUEZ RODRIGUEZ</t>
  </si>
  <si>
    <t>NEMtxw2ltp1of662</t>
  </si>
  <si>
    <t>PAR2017-4270</t>
  </si>
  <si>
    <t>EUNICE</t>
  </si>
  <si>
    <t>CALLE 5 DE MAYO NUMERO 1003</t>
  </si>
  <si>
    <t xml:space="preserve">CENTRO PARAISO </t>
  </si>
  <si>
    <t>JUAN ABENAMAR VAZQUEZ MENDEZ</t>
  </si>
  <si>
    <t>BENEFICIARIO 2: ALMA LEYVA LEYVA</t>
  </si>
  <si>
    <t>lQSr13DlEem73cyZ</t>
  </si>
  <si>
    <t>PAR2019-3099</t>
  </si>
  <si>
    <t>2019-11-20</t>
  </si>
  <si>
    <t>ANTONIO DE JESUS</t>
  </si>
  <si>
    <t>ENTRADA AL ESCRIBANO</t>
  </si>
  <si>
    <t xml:space="preserve">DEISY GUADALUPE RICARDEZ PAVON </t>
  </si>
  <si>
    <t>BENEFICIARIO 2: BENJAMIN PEREZ JAVIER</t>
  </si>
  <si>
    <t>2021-10-07</t>
  </si>
  <si>
    <t>fipdNLQ71CqxBzEF</t>
  </si>
  <si>
    <t>PAR2019-1438</t>
  </si>
  <si>
    <t>2019-5-30</t>
  </si>
  <si>
    <t>LUCRECIA</t>
  </si>
  <si>
    <t>CALLE CORDOVA PEREZ CARRETERA VECINAL</t>
  </si>
  <si>
    <t>MOCTEZUMA SEGUNDA SECCION</t>
  </si>
  <si>
    <t>CANDELARIO PEREZ DE LA CRUZ</t>
  </si>
  <si>
    <t>BENEFICIARIO 2: CECILIO CHABLE GOMEZ</t>
  </si>
  <si>
    <t>etiS70G0lY4WewjW</t>
  </si>
  <si>
    <t>PAR2019-2426</t>
  </si>
  <si>
    <t>BARJAU</t>
  </si>
  <si>
    <t>CARRETERA VECINAL PARAISO - TABASCO</t>
  </si>
  <si>
    <t>MARIA ASUNCION ARIAS MENDEZ</t>
  </si>
  <si>
    <t>BENEFICIARIO 2: DENNY JESUS DOMINGUEZ ARIAS</t>
  </si>
  <si>
    <t>CSko5UQ8fJ8eWOAr</t>
  </si>
  <si>
    <t>PAR2019-2394</t>
  </si>
  <si>
    <t>2019-9-02</t>
  </si>
  <si>
    <t>APOLONIO</t>
  </si>
  <si>
    <t>CALLE ENTRADA LOS BAMBUS A 500 METROS</t>
  </si>
  <si>
    <t>MIRIAM BAUTISTA PEREZ</t>
  </si>
  <si>
    <t>BENEFICIARIO 2: ISIDRO PEREZ DE LA CRUZ</t>
  </si>
  <si>
    <t>UVNnVTZlP0CUFSnb</t>
  </si>
  <si>
    <t>PAR2019-2546</t>
  </si>
  <si>
    <t>ANDRADES</t>
  </si>
  <si>
    <t>CALLE CARRETERA VECINAL PARAISO - COMALCALCO</t>
  </si>
  <si>
    <t>DALILA PEREZ ALCUDIA</t>
  </si>
  <si>
    <t>RPKL54Rx2MCHegb2</t>
  </si>
  <si>
    <t>PAR2020-3111</t>
  </si>
  <si>
    <t>PEPE LUIS</t>
  </si>
  <si>
    <t>CALLE JOSE MANUEL BARJAU PEREZ</t>
  </si>
  <si>
    <t>WILBERTH HERNANDEZ SANCHEZ</t>
  </si>
  <si>
    <t>BENEFICIARIO 2: ROSANA DEL CARMEN HERNANDEZ SANCHEZ</t>
  </si>
  <si>
    <t>g6L6CyWhTxLssGZb</t>
  </si>
  <si>
    <t>PAR2020-3113</t>
  </si>
  <si>
    <t>WILIAN</t>
  </si>
  <si>
    <t>YADIRA ALEJANDRO DOMNGUEZ</t>
  </si>
  <si>
    <t>BENEFICIARIO 2: JHONATAN PEREZ ALEJANDRO</t>
  </si>
  <si>
    <t>7iYBX7O3N53ip43I</t>
  </si>
  <si>
    <t>COM2020-2793</t>
  </si>
  <si>
    <t>2020-11-09</t>
  </si>
  <si>
    <t>LUCIA</t>
  </si>
  <si>
    <t>CARRETERA A NICOLAS BRAVO SIN NUMERO</t>
  </si>
  <si>
    <t>INDEPENDENCIA SEGUNDA SECCION</t>
  </si>
  <si>
    <t>BEATRIZ CARRASCO CORDOVA</t>
  </si>
  <si>
    <t>BENEFICIARIO 2: LIZETH JIMENEZ CARRASCO</t>
  </si>
  <si>
    <t>DmI2G8Ak51xrWoaR</t>
  </si>
  <si>
    <t>PAR2021-0282</t>
  </si>
  <si>
    <t>2021-1-29</t>
  </si>
  <si>
    <t>MANUEL ANTONIO</t>
  </si>
  <si>
    <t>EDILBERTO JIMENEZ FLORES</t>
  </si>
  <si>
    <t>BENEFICIARIO 2: CLAUDIA GARCIA MAGAÑA</t>
  </si>
  <si>
    <t>2021-9-08</t>
  </si>
  <si>
    <t>BByvJjhJjKclnltf</t>
  </si>
  <si>
    <t>PAR2021-1770</t>
  </si>
  <si>
    <t>2021-5-29</t>
  </si>
  <si>
    <t>HIPOLITO</t>
  </si>
  <si>
    <t>VERONICA RODRIGUEZ CANDELERO</t>
  </si>
  <si>
    <t>BENEFICIARIO 2: ROSITA SANTOS RODRIGUEZ</t>
  </si>
  <si>
    <t>RUTA 4 M</t>
  </si>
  <si>
    <t>gmqroQla55RAUDkP</t>
  </si>
  <si>
    <t>PAR2021-1768</t>
  </si>
  <si>
    <t>CARRETERA AL ESCRIBANO</t>
  </si>
  <si>
    <t>LAS FLORES PRIMERA</t>
  </si>
  <si>
    <t>HIPOLITO SANTOS HERNANDEZ</t>
  </si>
  <si>
    <t xml:space="preserve">LAS FLORES PRIMERA </t>
  </si>
  <si>
    <t>aQNgDvxruaLAncAK</t>
  </si>
  <si>
    <t>PAR2020-0380</t>
  </si>
  <si>
    <t>ISABEL</t>
  </si>
  <si>
    <t>CALLE PROGRESO</t>
  </si>
  <si>
    <t>ANGEL DE LA CRUZ ZAVALETA</t>
  </si>
  <si>
    <t>BENEFICIARIO 2: ANGEL DE LA CRUZ LOPEZ</t>
  </si>
  <si>
    <t>F5rAFVh5JTjXQz3C</t>
  </si>
  <si>
    <t>PAR2020-0371</t>
  </si>
  <si>
    <t>2020-2-10</t>
  </si>
  <si>
    <t>CARRETERA VECINAL  PARAISO - COMALCALCO</t>
  </si>
  <si>
    <t>MOCTEZUMA TERCERA</t>
  </si>
  <si>
    <t>NATIVIDAD CORDOVA DIAZ</t>
  </si>
  <si>
    <t>BENEFICIARIO 2: JILIO CESAR ARIAS CORDOVA</t>
  </si>
  <si>
    <t>MOCTEZUMA PRIMERA</t>
  </si>
  <si>
    <t>CZ74RK091h7eNBJF</t>
  </si>
  <si>
    <t>PAR2021-1988</t>
  </si>
  <si>
    <t>CAMARA</t>
  </si>
  <si>
    <t>ALDO DANIEL</t>
  </si>
  <si>
    <t>CALLE VERACRUZ</t>
  </si>
  <si>
    <t>ROCIO GARCIA GARCIA</t>
  </si>
  <si>
    <t>BENEFICIARIO 2: MARCO SANCHEZ GARCIA</t>
  </si>
  <si>
    <t>Nsvnm3qLc8H2Asez</t>
  </si>
  <si>
    <t>PAR2021-1989</t>
  </si>
  <si>
    <t>LUIS MANUEL</t>
  </si>
  <si>
    <t>VIOLETA PEREZ FLORES</t>
  </si>
  <si>
    <t>BENEFICIARIO 2: MARIA GUADALUPE CARRILLO PEREZ</t>
  </si>
  <si>
    <t>iUDXr9GJ6sgaGzp8</t>
  </si>
  <si>
    <t>PAR2020-2509</t>
  </si>
  <si>
    <t>2020-10-18</t>
  </si>
  <si>
    <t>ENTRADA LOS HERNANDEZ</t>
  </si>
  <si>
    <t xml:space="preserve">FRANCISCO I MADERO SEGUNDA </t>
  </si>
  <si>
    <t>SEBASTIAN LIZARRAGA PEREZ</t>
  </si>
  <si>
    <t>BENEFICIARIO 2: MARIA ASUNCION LIZARRAGA</t>
  </si>
  <si>
    <t>FRANCISCO I MADERO SEGUNDA</t>
  </si>
  <si>
    <t>RoJv7fvCDOt3GiVl</t>
  </si>
  <si>
    <t>PAR2018-0399</t>
  </si>
  <si>
    <t>2018-4-19</t>
  </si>
  <si>
    <t>SOLIS</t>
  </si>
  <si>
    <t>RUSBELINA</t>
  </si>
  <si>
    <t xml:space="preserve">CALLE ZARAGOZA 1103 </t>
  </si>
  <si>
    <t>SANTA AMELIA COLMALCALCO</t>
  </si>
  <si>
    <t>DADIBELLY MENDEZ SANCHEZ</t>
  </si>
  <si>
    <t>BENEFICIARIO 2: AMAURI MENDEZ SANCHEZ</t>
  </si>
  <si>
    <t xml:space="preserve">SANTA AMALIA </t>
  </si>
  <si>
    <t>RzxogrEOzsR09aK9</t>
  </si>
  <si>
    <t>PAR2018-0367</t>
  </si>
  <si>
    <t>2018-4-12</t>
  </si>
  <si>
    <t xml:space="preserve">LIBERTAD PRIMERA </t>
  </si>
  <si>
    <t>MATUZALEN ANGULO DOMINGUEZ</t>
  </si>
  <si>
    <t>BENEFICIARIO 2: YESICA DEL CARMEN FLORES HERNANDEZ</t>
  </si>
  <si>
    <t>QAwb6EdQYwbSeAGD</t>
  </si>
  <si>
    <t>PAR2018-0342</t>
  </si>
  <si>
    <t>2018-4-06</t>
  </si>
  <si>
    <t>MARIA TERESA</t>
  </si>
  <si>
    <t>ENTRADA EL RANCHITO</t>
  </si>
  <si>
    <t>OCCIENTE PRIMERA SECCION</t>
  </si>
  <si>
    <t>ALEJANDRO CUSTODIO FUENTES</t>
  </si>
  <si>
    <t>BENEFICIARIO 2: PABLO ANTONIO CUSTODIO</t>
  </si>
  <si>
    <t>9aT2eI2FMkPN10r3</t>
  </si>
  <si>
    <t>PAR2018-376</t>
  </si>
  <si>
    <t>2018-4-14</t>
  </si>
  <si>
    <t>OLGA NORMA</t>
  </si>
  <si>
    <t>COMONFORT NUMERO 601</t>
  </si>
  <si>
    <t>SHIRLEY ALEJANDRA GONZALEZ PEREZ</t>
  </si>
  <si>
    <t>BENEFICIARIO 2: RENE GONZALEZ GARCIA</t>
  </si>
  <si>
    <t>WUr9GeFyyyeprKV7</t>
  </si>
  <si>
    <t>PAR2019-2514</t>
  </si>
  <si>
    <t>CALLE PRINCIPAL SIN NUMERO RAMIRO JAVIER</t>
  </si>
  <si>
    <t>MARIA LUISA HERNANDEZ ARIAS</t>
  </si>
  <si>
    <t>BENEFICIARIO 2: JOSE RUPERTO HERNANDEZ PALMA</t>
  </si>
  <si>
    <t>KHoJcDnL04TXSvvV</t>
  </si>
  <si>
    <t>PAR2019-1705</t>
  </si>
  <si>
    <t>2019-6-22</t>
  </si>
  <si>
    <t xml:space="preserve">PACHECO </t>
  </si>
  <si>
    <t>MARIA CELIA</t>
  </si>
  <si>
    <t>CARRETERA ESTATAL PARAISO A CHILTEPEC</t>
  </si>
  <si>
    <t xml:space="preserve">JOSE MARIA MORELOS BELLOTE </t>
  </si>
  <si>
    <t>SANTIAGO CORDOVA PEREZ</t>
  </si>
  <si>
    <t>BENEFICIARIO 2: SANTIAGO ARGENIS CORDOVA FLORES</t>
  </si>
  <si>
    <t>oYEvq4Gkw5XFJG1o</t>
  </si>
  <si>
    <t>PAR2019-1706</t>
  </si>
  <si>
    <t xml:space="preserve"> CASADA</t>
  </si>
  <si>
    <t>BENEFICIARIO 2: AVENAMAR DOMINGUEZ FLORES</t>
  </si>
  <si>
    <t>CUSYHfke1if6a4tr</t>
  </si>
  <si>
    <t>PAR2019-1707</t>
  </si>
  <si>
    <t>CORDPVA</t>
  </si>
  <si>
    <t>SANTIAGO ARGENIS</t>
  </si>
  <si>
    <t>MARIA CELIA FLORES PACHECO</t>
  </si>
  <si>
    <t>BENEFICIARIO 2: SANTIAGO ARGENIS</t>
  </si>
  <si>
    <t>AI0ZLzDdlzSY3iYo</t>
  </si>
  <si>
    <t>COM2021-0476</t>
  </si>
  <si>
    <t>TORIBIO</t>
  </si>
  <si>
    <t>CALLE  J MURILLO PULIDO MANZANA 3 LOTE 5</t>
  </si>
  <si>
    <t>CONJUNTO HABITACIONAL PRESIDENTES 1</t>
  </si>
  <si>
    <t>ADRIANA GOMEZ TORRES</t>
  </si>
  <si>
    <t>BENEFICIARIO 2: MARIA DOLORES MARTINEZ</t>
  </si>
  <si>
    <t>CONJUNTO MHABITACIONAL PRESIDENTES 1</t>
  </si>
  <si>
    <t>zQ06LDd2xctLhOiQ</t>
  </si>
  <si>
    <t>PAR2021-0475</t>
  </si>
  <si>
    <t>BARRIENTOS</t>
  </si>
  <si>
    <t>RODAS</t>
  </si>
  <si>
    <t>ROSA ANGELICA</t>
  </si>
  <si>
    <t xml:space="preserve">CALLE FRENCISCO TRUJILLO GUIRRIA </t>
  </si>
  <si>
    <t>ADRIAN LAZARO PEREZ</t>
  </si>
  <si>
    <t>BENEFICIARIO 2: MARISOL BARRIENTO BREDA</t>
  </si>
  <si>
    <t>2021-9-09</t>
  </si>
  <si>
    <t>KIUwcGuIo7y3fASU</t>
  </si>
  <si>
    <t>PAR2020-1511</t>
  </si>
  <si>
    <t>ELOISA</t>
  </si>
  <si>
    <t>ISAAC CORDOVA DE LA CRUZ</t>
  </si>
  <si>
    <t>BENEFICIARIO 2: CRISTINA CORDOVA DE LA CRUZ</t>
  </si>
  <si>
    <t>dQt7rqHahI5AB3i5</t>
  </si>
  <si>
    <t>PAR2020-1505</t>
  </si>
  <si>
    <t>CARLOS RODRIGUEZ RAMIREZ</t>
  </si>
  <si>
    <t>BENEFICIARIO 2: NESTOR EDUARDO RODRIGUEZ RAMIREZ</t>
  </si>
  <si>
    <t>dTNv4nh66mPBWDy3</t>
  </si>
  <si>
    <t>COM2021-2567</t>
  </si>
  <si>
    <t>2021-8-04</t>
  </si>
  <si>
    <t>LUIS</t>
  </si>
  <si>
    <t>CARRETERA FEDERAL A PARAISO SIN NUMERO</t>
  </si>
  <si>
    <t>LEYDI FABIOLA RODRIGUEZ CRUZ</t>
  </si>
  <si>
    <t>BENEFICIARIO 2: FELICITA OLAN ALVARADO</t>
  </si>
  <si>
    <t>SCcvBWXttUBOUrfs</t>
  </si>
  <si>
    <t>COM2021-2550</t>
  </si>
  <si>
    <t>2021-7-31</t>
  </si>
  <si>
    <t>CALLE TITO E ANDRADE MANZANA LOTE 17</t>
  </si>
  <si>
    <t>ESTHER VELAZQUEZ LEYVA</t>
  </si>
  <si>
    <t>2021-9-02</t>
  </si>
  <si>
    <t>XPazj2wTmPu9vGwq</t>
  </si>
  <si>
    <t>PAR2021-2577</t>
  </si>
  <si>
    <t>MA DEL CARMEN</t>
  </si>
  <si>
    <t>CARRETERA VECINAL A PARAISO SIN NUMERO</t>
  </si>
  <si>
    <t>TERESA DE JESUS LOPEZ FLORES</t>
  </si>
  <si>
    <t>BENEFICIARIO 2: CRISTINA ANAYELI LOPEZ FLORES</t>
  </si>
  <si>
    <t>6gxZAstKbv4DUnJZ</t>
  </si>
  <si>
    <t>COM2021-2549</t>
  </si>
  <si>
    <t>OCTAVIO</t>
  </si>
  <si>
    <t>CALLE MINA 316 A</t>
  </si>
  <si>
    <t xml:space="preserve">ELIZABETH DOMINGUEZ GARCIA </t>
  </si>
  <si>
    <t>BENEFICIARIO 2: JOSE TRINIDAD DOMINGUEZ GARCIA</t>
  </si>
  <si>
    <t>tXfeQiTtxqd0yI85</t>
  </si>
  <si>
    <t>PAR2017-4236</t>
  </si>
  <si>
    <t>2017-11-23</t>
  </si>
  <si>
    <t xml:space="preserve">CARRETA </t>
  </si>
  <si>
    <t>CALLE 27 DE FEBRERO NUMERO 14 INTERIOR</t>
  </si>
  <si>
    <t>MERCEDES DE LA CRUZ AREVALOS</t>
  </si>
  <si>
    <t>BENEFICIARIO 2: CIRENE DEL C GERONIMO LEON</t>
  </si>
  <si>
    <t>m5MOrK054P7uzNVW</t>
  </si>
  <si>
    <t>COM2018-1175</t>
  </si>
  <si>
    <t>2018-7-10</t>
  </si>
  <si>
    <t>ROSAURA</t>
  </si>
  <si>
    <t>ENTRADA DEL PAVO REAL</t>
  </si>
  <si>
    <t>DIANA MORALES HERNANDEZ</t>
  </si>
  <si>
    <t>BENEFICIARIO 2: PABLO MORALES JIMENEZ</t>
  </si>
  <si>
    <t>rNtzBpshgTMTTjK4</t>
  </si>
  <si>
    <t>COM2018-0787</t>
  </si>
  <si>
    <t>2018-6-01</t>
  </si>
  <si>
    <t>SELFA</t>
  </si>
  <si>
    <t>ELI HERNANDEZ FUENTES</t>
  </si>
  <si>
    <t>BENEFICIARIO 2: JOVANNA HERNANDEZ HERNANDEZ</t>
  </si>
  <si>
    <t>DoXWtFMNuYUDrdOD</t>
  </si>
  <si>
    <t>PAR2018-0742</t>
  </si>
  <si>
    <t>2018-5-24</t>
  </si>
  <si>
    <t>ENTRADA LOS LOPEZ SIN NUMERO</t>
  </si>
  <si>
    <t>BAIRON ENRIQUE GUILLEN DOMINGUEZ</t>
  </si>
  <si>
    <t>BENEFICIARIO 2: LILIANA CRISTEL GUILLEN LOPEZ</t>
  </si>
  <si>
    <t>xp0qUK5DVGsfsHJC</t>
  </si>
  <si>
    <t>PAR2018-0124</t>
  </si>
  <si>
    <t>CALLE LUIS DOMINGUEZ VARGAS SIN NUMERO</t>
  </si>
  <si>
    <t>POBLADO FRANCISCO I MADERO</t>
  </si>
  <si>
    <t>MIRIAN DE LA CRUZ PEREZ</t>
  </si>
  <si>
    <t>BENEFICIARIO 2: JOSEFINA RUIZ CHABLE</t>
  </si>
  <si>
    <t>X5xJ4mzJFNzyux31</t>
  </si>
  <si>
    <t>COM2021-2585</t>
  </si>
  <si>
    <t>RABANALES</t>
  </si>
  <si>
    <t>FLOR DE MARIA</t>
  </si>
  <si>
    <t>ENTRE AVENIDA LAZARO CARDENAS Y CALLE LA ESPERANZA</t>
  </si>
  <si>
    <t>JORGE MORALES DOMINGUEZ</t>
  </si>
  <si>
    <t>BENEFICIARIO 2: LILIA YERELI SANCHEZ RABANALES</t>
  </si>
  <si>
    <t>OU3KCGZy1rJdSUR3</t>
  </si>
  <si>
    <t>PAR2021-2199</t>
  </si>
  <si>
    <t>EJIDO PUERTO CAIBA CARRIZAL</t>
  </si>
  <si>
    <t>ENTRE CALLE PRINCIPAL Y CALLE LOS PESCADORES</t>
  </si>
  <si>
    <t>YOLANDA MARIA DE LA CRUZ PEREZ</t>
  </si>
  <si>
    <t>BENEFICIARIO 2: STEPHANYE PEREZ DE LA CRUZ</t>
  </si>
  <si>
    <t>BL5XIhC4EQTSLYba</t>
  </si>
  <si>
    <t>PAR2021-2145</t>
  </si>
  <si>
    <t>CARRETERA MONTE ADENTRO</t>
  </si>
  <si>
    <t>EJIDO QUINTIN ARAUZ</t>
  </si>
  <si>
    <t>MARTHA ELENA GARCIA RODRIGUEZ</t>
  </si>
  <si>
    <t>BENEFICIARIO 2: GRESIETHEL HERNANDEZ GARCIA</t>
  </si>
  <si>
    <t>oKQRKgI6YL2jM9iN</t>
  </si>
  <si>
    <t>PAR2021-2144</t>
  </si>
  <si>
    <t xml:space="preserve">MARTHA ELENA </t>
  </si>
  <si>
    <t>QUIINTIN ARAUZ</t>
  </si>
  <si>
    <t>RAUL HERNANDEZ LAZARO</t>
  </si>
  <si>
    <t>KM72Zxe0Ft8AMKh8</t>
  </si>
  <si>
    <t>PAR2021-2127</t>
  </si>
  <si>
    <t>MARQUEZA</t>
  </si>
  <si>
    <t>JADE JAVIER HERNANDEZ</t>
  </si>
  <si>
    <t>hR4ttvhJN2lGEgUH</t>
  </si>
  <si>
    <t>PAR2021-2111</t>
  </si>
  <si>
    <t>IRAIS DEL VARMEN VALENCIA DE DIOS</t>
  </si>
  <si>
    <t>GSWxaXWsLFglegby</t>
  </si>
  <si>
    <t>PAR2021-1300</t>
  </si>
  <si>
    <t>2021-4-03</t>
  </si>
  <si>
    <t xml:space="preserve">MARTHA  </t>
  </si>
  <si>
    <t xml:space="preserve">CARRETERA LOS PESCADORES SIN NUMERO </t>
  </si>
  <si>
    <t>CARLA ESTELA GARCIA DE LA CRUZ</t>
  </si>
  <si>
    <t>BENEFICIARIO 2: JOSE LUIS GARCIA DE LA CRUZ</t>
  </si>
  <si>
    <t>PZVSBYnDBi4yasdh</t>
  </si>
  <si>
    <t>PAR2020-5455</t>
  </si>
  <si>
    <t>2020-12-21</t>
  </si>
  <si>
    <t>ANABEL</t>
  </si>
  <si>
    <t>CALLE PRIMERO DE MAYO</t>
  </si>
  <si>
    <t xml:space="preserve">SANTOS GARCIA GARCIA </t>
  </si>
  <si>
    <t>BENEFICIARIO 2: ANITA MARTINEZ</t>
  </si>
  <si>
    <t>fVmorNdC3Dv1if1z</t>
  </si>
  <si>
    <t>PAR2020-5454</t>
  </si>
  <si>
    <t>JESUS ALBERTO</t>
  </si>
  <si>
    <t>ANABEL GARCIA GARCIA</t>
  </si>
  <si>
    <t>Dhbj9dgSAhSRS7QA</t>
  </si>
  <si>
    <t>PAR2020-3112</t>
  </si>
  <si>
    <t>2021-11-25</t>
  </si>
  <si>
    <t>ABDIEL ESAU IZQUIERDO ALVARADO</t>
  </si>
  <si>
    <t>BENEFICIARIO 2: IRWING DANIEL VALDEOLIVIER IZQUIERDO</t>
  </si>
  <si>
    <t>2021-10-20</t>
  </si>
  <si>
    <t>P5qaw9muk8EbqDLu</t>
  </si>
  <si>
    <t>PAR2020-2111</t>
  </si>
  <si>
    <t>RUBISEL</t>
  </si>
  <si>
    <t>CARRETERA LAS FLORES</t>
  </si>
  <si>
    <t>DEYANIRA GARCIA DE LA CRUZ</t>
  </si>
  <si>
    <t xml:space="preserve">BENEFICIARIO 2: NUAUN GARCIA DE LA CRUZ </t>
  </si>
  <si>
    <t>ungiFpIoF08y8QL8</t>
  </si>
  <si>
    <t>COM2020-1914</t>
  </si>
  <si>
    <t>2020-9-05</t>
  </si>
  <si>
    <t>ESTHER CORDOVA AQUINO</t>
  </si>
  <si>
    <t>BENEFICIARIO 2: DARIO TRINIDAD DE LA CRUZ</t>
  </si>
  <si>
    <t>v5Rwes4RarkmYsGC</t>
  </si>
  <si>
    <t>COM2020-1911</t>
  </si>
  <si>
    <t>2021-9-05</t>
  </si>
  <si>
    <t>FRANCISCO HERRERA HERNANDEZ</t>
  </si>
  <si>
    <t>BENEFICIARIO 2: OCTAVIO HERRERA HERNANDEZ</t>
  </si>
  <si>
    <t>3867BWY3m6HHUEt0</t>
  </si>
  <si>
    <t>PAR2020-1530</t>
  </si>
  <si>
    <t>MOLINA</t>
  </si>
  <si>
    <t>FELIX</t>
  </si>
  <si>
    <t>CALLE LUIS DONALDO COLOSIO SIN NUMERO</t>
  </si>
  <si>
    <t>MARIA DOLORES JIMENEZ CUPIL</t>
  </si>
  <si>
    <t>BENEFICIARIO 2: ERENDIDA MOLINA JIMENEZ</t>
  </si>
  <si>
    <t>PqtBOLLDyaVoR8cZ</t>
  </si>
  <si>
    <t>PAR2020-1529</t>
  </si>
  <si>
    <t>POR CARRETERA PRINCIPAL CARRIZAL</t>
  </si>
  <si>
    <t>ESTHER PEREZ DE LA CRUZ</t>
  </si>
  <si>
    <t>BENEFICIARIO 2: ANTONIO JIMENEZ CUPIL</t>
  </si>
  <si>
    <t>otYf2dfW462Zx858</t>
  </si>
  <si>
    <t>PAR2020-1527</t>
  </si>
  <si>
    <t>AMANCIO</t>
  </si>
  <si>
    <t>ENTRE CALLE JOSE MANUEL BARJAOS</t>
  </si>
  <si>
    <t>KARLA ESTELA GARCIA DE LA CRUZ</t>
  </si>
  <si>
    <t>xKszk2AdAscUWGOL</t>
  </si>
  <si>
    <t>PAR2020-1521</t>
  </si>
  <si>
    <t>2021-8-03</t>
  </si>
  <si>
    <t>ELIAS</t>
  </si>
  <si>
    <t>JANET RODRIGUEZ LOPEZ</t>
  </si>
  <si>
    <t>BENEFICIARIO 2: ELIAS RODRIGUEZ CHEN</t>
  </si>
  <si>
    <t>zXXmf3rFUu3OBnAh</t>
  </si>
  <si>
    <t>PAR2020-1507</t>
  </si>
  <si>
    <t>ADRIAN</t>
  </si>
  <si>
    <t>CARMELA SEGURA MENESES</t>
  </si>
  <si>
    <t>BENEFICIARIO 2: LUIS ROBERTO PEREZ PEREZ</t>
  </si>
  <si>
    <t>44rpYhEZmvWj6rmf</t>
  </si>
  <si>
    <t>PAR2020-1506</t>
  </si>
  <si>
    <t>ALFONSO</t>
  </si>
  <si>
    <t>ENTRE PRIMERO DE MAYO Y 27 DE FEBRERO</t>
  </si>
  <si>
    <t>DEMIS HERNANDEZ MORALES</t>
  </si>
  <si>
    <t>qsPdDgorwlIZypKc</t>
  </si>
  <si>
    <t>PAR2020-1361</t>
  </si>
  <si>
    <t>2020-6-26</t>
  </si>
  <si>
    <t>CALLE 5 DE FEBRERO NUMERO 41</t>
  </si>
  <si>
    <t>CARLOS ARTURO GUILLEMIN BERGES</t>
  </si>
  <si>
    <t>BENEFICIARIO 2: SILVIA GOMEZ DOMINGUEZ</t>
  </si>
  <si>
    <t>2021-10-29</t>
  </si>
  <si>
    <t>bQPGBGR4yNtHhizs</t>
  </si>
  <si>
    <t>PAR2020-0985</t>
  </si>
  <si>
    <t>2020-6-29</t>
  </si>
  <si>
    <t>SRISD</t>
  </si>
  <si>
    <t>LORENZO ANTONIO</t>
  </si>
  <si>
    <t>CALLE LAS PALMITAS SIN NUMERO</t>
  </si>
  <si>
    <t>CONCEPCION HERNANDEZ LOPES</t>
  </si>
  <si>
    <t>BENEFICIARIO 2: IRMA ARIAS CASTELLANOS</t>
  </si>
  <si>
    <t>mcUCQsFcMGNOpKl7</t>
  </si>
  <si>
    <t>PAR2020-0597</t>
  </si>
  <si>
    <t>2020-3-11</t>
  </si>
  <si>
    <t>ONORIO</t>
  </si>
  <si>
    <t>CALLE MANUEL SANCHEZ HERNANDEZ</t>
  </si>
  <si>
    <t>CARLOS A MADRAZO BECERRA</t>
  </si>
  <si>
    <t>ENTRE CALLE MAUEL SUAREZ HERRERA Y CARLOS A MADRAZO</t>
  </si>
  <si>
    <t>BARTOLA ONORIO AGUILAR</t>
  </si>
  <si>
    <t>ByIhxjWH2sa9Dl7E</t>
  </si>
  <si>
    <t>PAR2020-0598</t>
  </si>
  <si>
    <t>ASUNCION</t>
  </si>
  <si>
    <t>CALLE BUGAMBILIA SIN NUMERO</t>
  </si>
  <si>
    <t>JOSE MANUEL ULIN SALVADOR</t>
  </si>
  <si>
    <t>BENEFICIARIO 2: ELSI ULIN DE LA ROSA</t>
  </si>
  <si>
    <t>qtERxkRXEoPAOeeU</t>
  </si>
  <si>
    <t>PAR2020-0579</t>
  </si>
  <si>
    <t>2020-3-07</t>
  </si>
  <si>
    <t xml:space="preserve">LEON </t>
  </si>
  <si>
    <t>CALLE ESQUINA 5 DE MAYO</t>
  </si>
  <si>
    <t>CALLE 5 DE MAYO ESQUINA CON 27 DE FEBRERO</t>
  </si>
  <si>
    <t>JOSE JUAN LEON SANTOS</t>
  </si>
  <si>
    <t>BENEFICIARIO 2: MADELEINE DE LA CRUZ MAGAÑA</t>
  </si>
  <si>
    <t>9sGdexO96iddpO4g</t>
  </si>
  <si>
    <t>COM2019-3431</t>
  </si>
  <si>
    <t>CALLE MARIA CHAPUZ MANZANA 8 LOTE 9</t>
  </si>
  <si>
    <t>ENTRE CALLE GREGORIO MENDEZ Y REFORMA</t>
  </si>
  <si>
    <t xml:space="preserve">OMAR ALBERTO GODINEZ LEON </t>
  </si>
  <si>
    <t>BENEFICIARIO 2: OVETALI LEON LAZARO</t>
  </si>
  <si>
    <t>ILpXkdlyQrSffKc9</t>
  </si>
  <si>
    <t>PAR2019-3294</t>
  </si>
  <si>
    <t>2019-12-15</t>
  </si>
  <si>
    <t>MANUEL JESUS</t>
  </si>
  <si>
    <t>PAPA SOLTERO</t>
  </si>
  <si>
    <t>LUIS ALBERTO CHABLE ANGULO</t>
  </si>
  <si>
    <t>BENEFICIARIO 2: TERESITA DE JESUS CHABLE ANGULO</t>
  </si>
  <si>
    <t>IsI1OGoRZCEJI5yu</t>
  </si>
  <si>
    <t>PAR2019-2535</t>
  </si>
  <si>
    <t>2019-9-09</t>
  </si>
  <si>
    <t>LUIS MATEO</t>
  </si>
  <si>
    <t>SALIDA DE CARRETERA FEDERAL</t>
  </si>
  <si>
    <t>PATRICIA ELENA GOMEZ GERONIMO</t>
  </si>
  <si>
    <t>BENEFICIARIO 2: PATRICIA HERNANDEZ PALMA</t>
  </si>
  <si>
    <t>85LdWn1fek1Sd0Oh</t>
  </si>
  <si>
    <t>PAR2019-2520</t>
  </si>
  <si>
    <t>ELADIO FUENTES AVALOS</t>
  </si>
  <si>
    <t>BENEFICIARIO 2: INGRID NALLELY FUENTES HERNANDEZ</t>
  </si>
  <si>
    <t>Ghp4tJqKH6IsOBm6</t>
  </si>
  <si>
    <t>PAR2019-2393</t>
  </si>
  <si>
    <t>CARMITA</t>
  </si>
  <si>
    <t>ENTRADA SOBRINO PRIMER CALLEJON</t>
  </si>
  <si>
    <t xml:space="preserve">LA ISLA ORIENTE PRIMERA SECCION </t>
  </si>
  <si>
    <t>PETRONILA HERNANDEZ IZQUIERDO</t>
  </si>
  <si>
    <t>BENEFICIARIO 2: JUAN DIEGO HERNANDEZ IZQUIERDO</t>
  </si>
  <si>
    <t xml:space="preserve">ORIENTE PRIMERA SECCION PRIMERA SECCION </t>
  </si>
  <si>
    <t>5CPEJXszpDkjJUy3</t>
  </si>
  <si>
    <t>COM   2017-4075</t>
  </si>
  <si>
    <t>2017-11-06</t>
  </si>
  <si>
    <t>BARTOLA HERNANDEZ ARIAS</t>
  </si>
  <si>
    <t>MIGUEL ANGEL ANGULO HERNANDEZ</t>
  </si>
  <si>
    <t>DMasXA6DEuxaJr07</t>
  </si>
  <si>
    <t>COM   2020-0715</t>
  </si>
  <si>
    <t>IRMA MARTINEZ LOPEZ</t>
  </si>
  <si>
    <t>JOHANA DEL CARMEN DIAZ MARTINEZ</t>
  </si>
  <si>
    <t>ngTtGqFy5BFI7J74</t>
  </si>
  <si>
    <t>COM   2020-0905</t>
  </si>
  <si>
    <t>ANTONIO</t>
  </si>
  <si>
    <t>BERNARDINO SANCHEZ ALEJANDRO</t>
  </si>
  <si>
    <t>DEISY MORALEZ DIAZ</t>
  </si>
  <si>
    <t>ANDREZ IZQUIERDO MORALES</t>
  </si>
  <si>
    <t>3vX2jtojgKAf7EBG</t>
  </si>
  <si>
    <t>COM   2020-0785</t>
  </si>
  <si>
    <t>2020-3-21</t>
  </si>
  <si>
    <t>ISIDRA</t>
  </si>
  <si>
    <t>LOS AMIGOS AL FINAL</t>
  </si>
  <si>
    <t>ROMAN OSORIO JIMENEZ</t>
  </si>
  <si>
    <t>SANTIAGO OSORIO RODRIGUEZ</t>
  </si>
  <si>
    <t>vb0WrE1Rq7a9lkYj</t>
  </si>
  <si>
    <t>COM   2020-1688</t>
  </si>
  <si>
    <t>2020-7-17</t>
  </si>
  <si>
    <t>IRMA</t>
  </si>
  <si>
    <t>JULIO CESAR TRINIDAD GARCIA</t>
  </si>
  <si>
    <t>RUBI TRINIDAD GARCIA</t>
  </si>
  <si>
    <t>HR0jyIVscx2OBj4F</t>
  </si>
  <si>
    <t>COM   2019-0787</t>
  </si>
  <si>
    <t>2019-4-12</t>
  </si>
  <si>
    <t>FLOREZ</t>
  </si>
  <si>
    <t>LIANDRO VALLE 114</t>
  </si>
  <si>
    <t>COMONFOR Y HIDALGO</t>
  </si>
  <si>
    <t>REYES URIAS SANDOVAL</t>
  </si>
  <si>
    <t>LIANDRO VALLE</t>
  </si>
  <si>
    <t>udvq0jgbZTez1PQW</t>
  </si>
  <si>
    <t>COM   2020-2963</t>
  </si>
  <si>
    <t>CITLALI MALITZIN</t>
  </si>
  <si>
    <t>CARLOS SALINAS DE GORTARI</t>
  </si>
  <si>
    <t>CINTHYA GUADALUPE OVANDO HERNANDEZ</t>
  </si>
  <si>
    <t>YESENIA KRISTELL OVANDO HERNANDEZ</t>
  </si>
  <si>
    <t>SOLIDARIDAD CARLOS SALINAS DE GORTARI</t>
  </si>
  <si>
    <t>CLIFgLsXbthJ6dQo</t>
  </si>
  <si>
    <t>COM   2020-2722</t>
  </si>
  <si>
    <t>2020-10-28</t>
  </si>
  <si>
    <t>EDUARDO</t>
  </si>
  <si>
    <t>BLANCA MARIPOSA</t>
  </si>
  <si>
    <t>ORQUIDEA MANZANA 5 C 14</t>
  </si>
  <si>
    <t>MARIA CRISTINA RICARDEZ PILIDO</t>
  </si>
  <si>
    <t>CESAR EDUARDO ALMEIDA RICARDEZ</t>
  </si>
  <si>
    <t>MIÉRCOLES</t>
  </si>
  <si>
    <t>knngSSKJLf9UuYmH</t>
  </si>
  <si>
    <t>COM   2017-4266</t>
  </si>
  <si>
    <t>LERDO DE TEJEDA</t>
  </si>
  <si>
    <t>ETHEL VAEZA OCAMPO</t>
  </si>
  <si>
    <t>LEONIDAS VAEZA OCAMPO</t>
  </si>
  <si>
    <t>b96AAqdUqxWcT243</t>
  </si>
  <si>
    <t>COM   2019-3001</t>
  </si>
  <si>
    <t>2019-10-25</t>
  </si>
  <si>
    <t>PRIMAVERA</t>
  </si>
  <si>
    <t>AZUCENA</t>
  </si>
  <si>
    <t>MIRNA MAGAÑA DE LA CRUZ</t>
  </si>
  <si>
    <t>FEBE GOMEZ MAGAÑA</t>
  </si>
  <si>
    <t>PRIMAVERA Y AZUCENA</t>
  </si>
  <si>
    <t>LynMS1vnH0M61Zo7</t>
  </si>
  <si>
    <t>COM   2020-0599</t>
  </si>
  <si>
    <t>OLGA</t>
  </si>
  <si>
    <t>EVELIO ALEJAMDRO ROMERO II</t>
  </si>
  <si>
    <t>CON FONAPO Y CON MARGARITO SANTOS</t>
  </si>
  <si>
    <t>FLOR AMADA PEREZ SANCHEZ</t>
  </si>
  <si>
    <t>MELISSA GERTRUDIS PEREZ SANCHEZ</t>
  </si>
  <si>
    <t>CARLOS A MADRAZO EVELIO ALEJANDRO ROMERO 111</t>
  </si>
  <si>
    <t>kBp2BuJtrmdOfQan</t>
  </si>
  <si>
    <t>COM   2018-1118</t>
  </si>
  <si>
    <t>2018-6-21</t>
  </si>
  <si>
    <t>EVERINA</t>
  </si>
  <si>
    <t>VECINAL PARAISO</t>
  </si>
  <si>
    <t>CAMELLON HERNANDEZ</t>
  </si>
  <si>
    <t>ANA MARIA MAGAÑA DOMINGUEZ</t>
  </si>
  <si>
    <t>JOAQUIN CRUZ PEREZ</t>
  </si>
  <si>
    <t>2021-2-03</t>
  </si>
  <si>
    <t>FRANCISCO MADERO SEGUNDA</t>
  </si>
  <si>
    <t>zH06r6cHv1wbwz3a</t>
  </si>
  <si>
    <t>COM   2019-0548</t>
  </si>
  <si>
    <t>2019-3-11</t>
  </si>
  <si>
    <t xml:space="preserve">ORTEGA </t>
  </si>
  <si>
    <t>MARTINICA 102</t>
  </si>
  <si>
    <t>SANTO DOMINGO</t>
  </si>
  <si>
    <t>ROBERTO JIMENEZ HIDALGO</t>
  </si>
  <si>
    <t>BERTHA MENDOZA REYES</t>
  </si>
  <si>
    <t>2021-7-09</t>
  </si>
  <si>
    <t>MARTINICA 102 SANTO DOMING</t>
  </si>
  <si>
    <t>YOckfJLcXlc2F1WL</t>
  </si>
  <si>
    <t>COM   2020-3114</t>
  </si>
  <si>
    <t>2022-11-24</t>
  </si>
  <si>
    <t>PERERA</t>
  </si>
  <si>
    <t>CRISTINA MARIELA</t>
  </si>
  <si>
    <t>PRIMERO DE MAYO</t>
  </si>
  <si>
    <t>ALFREDO VELAZQUEZ MAY</t>
  </si>
  <si>
    <t>MARIA DEL ROSARIO PERERA HERNANDE</t>
  </si>
  <si>
    <t>GZV08XC9bowqbazN</t>
  </si>
  <si>
    <t>COM   2020-1512</t>
  </si>
  <si>
    <t>2020-7-30</t>
  </si>
  <si>
    <t>MONDRAGON</t>
  </si>
  <si>
    <t>KIKEY</t>
  </si>
  <si>
    <t>JOSE COFFIN SANCHEZ</t>
  </si>
  <si>
    <t>PROGRESO</t>
  </si>
  <si>
    <t>GRACIANO MORALES MONTOYA</t>
  </si>
  <si>
    <t>KAREN XICOTENCALT PEREZ</t>
  </si>
  <si>
    <t>EZ9bpAKBPEmHstAx</t>
  </si>
  <si>
    <t>COM   2021-2561</t>
  </si>
  <si>
    <t>PABLO JOSE</t>
  </si>
  <si>
    <t>LENDRO VALLE SIN NUMERO</t>
  </si>
  <si>
    <t>MARIA DEL CARME FLORES LOPEZ</t>
  </si>
  <si>
    <t>MARIA ELENA FLORES LOPEZ</t>
  </si>
  <si>
    <t>LEANDRO VALLE SIN NUMERO</t>
  </si>
  <si>
    <t>jgJSCTNUZ4fuDTY2</t>
  </si>
  <si>
    <t>COM   2021-2555</t>
  </si>
  <si>
    <t>OCCIDENTE PRIMERA</t>
  </si>
  <si>
    <t>GABRIELA ISIDRO JIMENEZ</t>
  </si>
  <si>
    <t xml:space="preserve">OCCIDENTE PRIMERA </t>
  </si>
  <si>
    <t>fiwh0iYldIqWD307</t>
  </si>
  <si>
    <t>COM   2020-1531</t>
  </si>
  <si>
    <t>2020-8-01</t>
  </si>
  <si>
    <t>YADIRA</t>
  </si>
  <si>
    <t xml:space="preserve">SAN JUAN BAUTISTA </t>
  </si>
  <si>
    <t>PEDRO XICOTENCALT</t>
  </si>
  <si>
    <t>2021-6-30</t>
  </si>
  <si>
    <t>Mo1bIW9wt57Ir6Qg</t>
  </si>
  <si>
    <t>COM   2017-4200</t>
  </si>
  <si>
    <t>2017-11-17</t>
  </si>
  <si>
    <t>ANGELA ANTONIA</t>
  </si>
  <si>
    <t>YASMIN PEREZ HERNANDEZ</t>
  </si>
  <si>
    <t>JEREMIAS PEREZ HERNANDEZ</t>
  </si>
  <si>
    <t>2021-8-28</t>
  </si>
  <si>
    <t>RmlvCBVlLkDjCDVY</t>
  </si>
  <si>
    <t>COM   2021-0507</t>
  </si>
  <si>
    <t>2021-2-08</t>
  </si>
  <si>
    <t>ADALBERTO SANCHEZ MAGAÑA</t>
  </si>
  <si>
    <t>ADALBERTO SANTOS</t>
  </si>
  <si>
    <t>JESUS MANUEL ROMERO LAZARO</t>
  </si>
  <si>
    <t>ANTONIA SALAZAR HERNANDEZ</t>
  </si>
  <si>
    <t>baDKzLBmkTJbPBaJ</t>
  </si>
  <si>
    <t>COM   2020-3383</t>
  </si>
  <si>
    <t>2020-12-17</t>
  </si>
  <si>
    <t xml:space="preserve"> DE LA CRUZ</t>
  </si>
  <si>
    <t>ANA GUADALUPE</t>
  </si>
  <si>
    <t>SANCHEZ MARMOL</t>
  </si>
  <si>
    <t>MALINCHE</t>
  </si>
  <si>
    <t>RUBICEL GARCIA DE LA CRUZ</t>
  </si>
  <si>
    <t>JUANA DE LA CRUZ GERONIMO</t>
  </si>
  <si>
    <t>2021-2-17</t>
  </si>
  <si>
    <t>6lXqRJzb6sO7mgP3</t>
  </si>
  <si>
    <t>COM   2019-2519</t>
  </si>
  <si>
    <t>ORIENTE SEGUNDA</t>
  </si>
  <si>
    <t>COMALCALCO PARAISO</t>
  </si>
  <si>
    <t>MARIA TERESA HERNANDEZ PALMA</t>
  </si>
  <si>
    <t>ALEJANDRA DOMINGUEZ HERNANDEZ</t>
  </si>
  <si>
    <t>u30N8Lb31uihwoSO</t>
  </si>
  <si>
    <t>COM   2020-0764</t>
  </si>
  <si>
    <t>2020-3-20</t>
  </si>
  <si>
    <t>OCCIDENTE  3</t>
  </si>
  <si>
    <t>AL CHIPILIN</t>
  </si>
  <si>
    <t>ABEL PAULINO DOMINGUEZ DOMONGUEZ</t>
  </si>
  <si>
    <t>DIEGO ALEJANDRO DOMINGUEZ</t>
  </si>
  <si>
    <t>THINJPPRzEr6iauS</t>
  </si>
  <si>
    <t>COM   2020-0730</t>
  </si>
  <si>
    <t>LANDERO</t>
  </si>
  <si>
    <t>ELEAZAR</t>
  </si>
  <si>
    <t>SUSANA DOMINGUEZ LANDERO</t>
  </si>
  <si>
    <t>AMISADAY DOMINGUEZ</t>
  </si>
  <si>
    <t>04OCEwoD1wSqISjU</t>
  </si>
  <si>
    <t>COM   2020-0736</t>
  </si>
  <si>
    <t>NIDIA</t>
  </si>
  <si>
    <t>LUIS MIGUEL DIAZ RODRIGUEZ</t>
  </si>
  <si>
    <t>2020-9-16</t>
  </si>
  <si>
    <t>qtemVKlueCoYAWEV</t>
  </si>
  <si>
    <t>COM   2020-0761</t>
  </si>
  <si>
    <t>XOCHILT</t>
  </si>
  <si>
    <t>ANGELA TRINIDAD</t>
  </si>
  <si>
    <t>JOCELYN SADAY RODRIGUEZ MARQUEZ</t>
  </si>
  <si>
    <t>ENRIQUE FLORES GALLEGOS</t>
  </si>
  <si>
    <t>kDURpMXJzOAv6peU</t>
  </si>
  <si>
    <t>COM   2021-2315</t>
  </si>
  <si>
    <t>2021-6-28</t>
  </si>
  <si>
    <t>DEL ROCIO</t>
  </si>
  <si>
    <t xml:space="preserve">BENITO JUAREZ 10 </t>
  </si>
  <si>
    <t>YULISA QUINTO HERNANDEZ</t>
  </si>
  <si>
    <t>OSIRIS SELENE HERNANDEZ SANTO</t>
  </si>
  <si>
    <t>8dga6KgxivrHqQYX</t>
  </si>
  <si>
    <t>COM   2021-2344</t>
  </si>
  <si>
    <t>2021-7-07</t>
  </si>
  <si>
    <t>BETZABEL DIAZ CORDOVA</t>
  </si>
  <si>
    <t>GENARO RAUL CARRILLO DENIS</t>
  </si>
  <si>
    <t>Jph8e9sjJpWp8wlT</t>
  </si>
  <si>
    <t>COM   2021-2379</t>
  </si>
  <si>
    <t>ARCE</t>
  </si>
  <si>
    <t>MARIA DEL PILAR</t>
  </si>
  <si>
    <t>LAS DELICIAS INFONAVID</t>
  </si>
  <si>
    <t>MANGO 10B</t>
  </si>
  <si>
    <t>ROBERTO RAFAEL ACOSTA ARCE</t>
  </si>
  <si>
    <t>JULIO DAVID ACOSTA ARCE</t>
  </si>
  <si>
    <t>KjCnmm8ZSdrtfTAb</t>
  </si>
  <si>
    <t>COM   2020-2530</t>
  </si>
  <si>
    <t>2020-9-19</t>
  </si>
  <si>
    <t>GUZMAN</t>
  </si>
  <si>
    <t>BUENO</t>
  </si>
  <si>
    <t>5 DE MAYO223</t>
  </si>
  <si>
    <t>SILVIA LUISA MARTINEZ CHACON</t>
  </si>
  <si>
    <t>MARIA LUISA GUZMAN MARTINEZ</t>
  </si>
  <si>
    <t>5 DE MAYO CENTRO 223</t>
  </si>
  <si>
    <t>48hTmQBRVAncbjV3</t>
  </si>
  <si>
    <t>COM   2021-2345</t>
  </si>
  <si>
    <t>2021-7-06</t>
  </si>
  <si>
    <t>ENRIQUE</t>
  </si>
  <si>
    <t>OSCAR</t>
  </si>
  <si>
    <t>LAURA MARIA HERNANDEZ HERNANDEZ</t>
  </si>
  <si>
    <t>EL LIMON GREGORIO MENDEZ</t>
  </si>
  <si>
    <t>6hyxKZ5it2JLpEBZ</t>
  </si>
  <si>
    <t>COM   2020-0784</t>
  </si>
  <si>
    <t>2020-3-22</t>
  </si>
  <si>
    <t>ROSA ADELA</t>
  </si>
  <si>
    <t>JOSE CORDOVA CRUZ</t>
  </si>
  <si>
    <t>RICARDO CRUZ GOMEZ</t>
  </si>
  <si>
    <t>FABIOLA CRUZ HERNANDEZ</t>
  </si>
  <si>
    <t>FYk34D9wx3Aa2Mnv</t>
  </si>
  <si>
    <t>COM   2020-0751</t>
  </si>
  <si>
    <t>ERNESTO PEREZ LOPEZ</t>
  </si>
  <si>
    <t>NORMALICIA PEREZ LOPEZ</t>
  </si>
  <si>
    <t>SRiIMR2UUoBDHzWu</t>
  </si>
  <si>
    <t>COM   2020-0746</t>
  </si>
  <si>
    <t>CANCINO</t>
  </si>
  <si>
    <t>FRANCISCO JAVIER</t>
  </si>
  <si>
    <t>TARQUINIO JAVIER HERNANDEZ</t>
  </si>
  <si>
    <t>KERY SMITH JAVIER CANCINO</t>
  </si>
  <si>
    <t>niIf0rcPKgCNxupF</t>
  </si>
  <si>
    <t>COM   2020-0743</t>
  </si>
  <si>
    <t>CREMACION</t>
  </si>
  <si>
    <t>LORENA DEL CARMEN</t>
  </si>
  <si>
    <t>JOHANA KRISTHEL JAVIER CASINO</t>
  </si>
  <si>
    <t>uzl1IbK512DMYJ3i</t>
  </si>
  <si>
    <t>COM   2020-0791</t>
  </si>
  <si>
    <t>BENIGNO CARRILLO</t>
  </si>
  <si>
    <t>PAULA PEREZ LAZARO</t>
  </si>
  <si>
    <t>JORGE GUADALUPE PEREZ LAZARO</t>
  </si>
  <si>
    <t>2121-9-15</t>
  </si>
  <si>
    <t>aAjGzvnITQME9klA</t>
  </si>
  <si>
    <t>COM   2021-2391</t>
  </si>
  <si>
    <t xml:space="preserve">5 DEMAYO </t>
  </si>
  <si>
    <t>PAOLA CECILIA CORDOVA PEREZ</t>
  </si>
  <si>
    <t>RUVEN ALBERTO CORDOVA PEREZ</t>
  </si>
  <si>
    <t>AUUagTXCDQ41g4qx</t>
  </si>
  <si>
    <t>2017-11-30</t>
  </si>
  <si>
    <t>CENTRO PARAISO</t>
  </si>
  <si>
    <t>ADRIANA DEL CARMEN GARCIA FLORES</t>
  </si>
  <si>
    <t>MARIA DEL CARMEN FLORES CASTILLO</t>
  </si>
  <si>
    <t>aoms2sg6ldeNzurR</t>
  </si>
  <si>
    <t>COM   2018-0520</t>
  </si>
  <si>
    <t>2014-4-21</t>
  </si>
  <si>
    <t>FERNANDO ENRIQUE DE LA FUENTE 114</t>
  </si>
  <si>
    <t>ADRIANA LIZBETH CRUZ TRUJILLO</t>
  </si>
  <si>
    <t>FERNANDO MARQUEZ ASRIAS</t>
  </si>
  <si>
    <t>AMALIA COMALCALCO</t>
  </si>
  <si>
    <t>P1cWBClbGn2s9OLP</t>
  </si>
  <si>
    <t>COM   2020-0372</t>
  </si>
  <si>
    <t>2020-2-08</t>
  </si>
  <si>
    <t>LUIZ MARIA PEREZ ARIAS</t>
  </si>
  <si>
    <t>JOSE LA CRUZ PEREZ CORDOVA</t>
  </si>
  <si>
    <t>rLY7dkf9uzJWSrxY</t>
  </si>
  <si>
    <t>COM   2013-4316</t>
  </si>
  <si>
    <t>2017-12-06</t>
  </si>
  <si>
    <t>NUEVO PARAISO</t>
  </si>
  <si>
    <t>AVE DEL PARAISO</t>
  </si>
  <si>
    <t>JOSE GUADALUPE MADRIGAL ALVAREZ</t>
  </si>
  <si>
    <t>SALLY GUADALUPE MADRIGAL ALVAREZ</t>
  </si>
  <si>
    <t>PXXUGHx42SZPmb8A</t>
  </si>
  <si>
    <t>COM   2019-2515</t>
  </si>
  <si>
    <t>OCCIDENTE PRIMERA SECCIOIN</t>
  </si>
  <si>
    <t>ENTRADA LA RAYA</t>
  </si>
  <si>
    <t>SAUL HERRERA HERRERA</t>
  </si>
  <si>
    <t>FRANCISCO HERRERA MARQUEZ</t>
  </si>
  <si>
    <t>o8ksiYNeT8f9zgiO</t>
  </si>
  <si>
    <t>COM   2019-3443</t>
  </si>
  <si>
    <t>DAVID BOSADA 303</t>
  </si>
  <si>
    <t>LILIANA DE LOS SANTOS</t>
  </si>
  <si>
    <t>DAVID BOSADA</t>
  </si>
  <si>
    <t>dTpZa3NFfTN1U2KR</t>
  </si>
  <si>
    <t>COM   2020-4862</t>
  </si>
  <si>
    <t>RUTH VERONICA</t>
  </si>
  <si>
    <t>ZARAGOZA 410 ALTOS</t>
  </si>
  <si>
    <t>WILLIAM HERBERT CAMPOS ZALAZAR</t>
  </si>
  <si>
    <t>BRENDA ELIZABETH REYES ROMERO</t>
  </si>
  <si>
    <t>PAR 2020-2145</t>
  </si>
  <si>
    <t>PAR 2020-1348</t>
  </si>
  <si>
    <t>PAR 2020-0906</t>
  </si>
  <si>
    <t>PAR 2020-1359</t>
  </si>
  <si>
    <t>2020-5-17</t>
  </si>
  <si>
    <t>cadena</t>
  </si>
  <si>
    <t>ruta</t>
  </si>
  <si>
    <t>Columna1</t>
  </si>
  <si>
    <t>QWZGYYNU9KVTQO</t>
  </si>
  <si>
    <t>QWZGYZFM9KVTQO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</si>
</sst>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\-&quot;$&quot;#,##0"/>
    <numFmt numFmtId="41" formatCode="_-* #,##0_-;\-* #,##0_-;_-* &quot;-&quot;_-;_-@_-"/>
    <numFmt numFmtId="44" formatCode="_-&quot;$&quot;* #,##0.00_-;\-&quot;$&quot;* #,##0.00_-;_-&quot;$&quot;* &quot;-&quot;??_-;_-@_-"/>
    <numFmt numFmtId="164" formatCode="0;[Red]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Hack NF"/>
      <family val="3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0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Alignment="1">
      <alignment wrapText="1"/>
    </xf>
    <xf numFmtId="0" fontId="0" fillId="3" borderId="0" xfId="0" applyFill="1"/>
    <xf numFmtId="0" fontId="0" fillId="3" borderId="3" xfId="0" applyFont="1" applyFill="1" applyBorder="1"/>
    <xf numFmtId="0" fontId="0" fillId="3" borderId="1" xfId="0" applyFont="1" applyFill="1" applyBorder="1"/>
    <xf numFmtId="21" fontId="1" fillId="0" borderId="0" xfId="0" applyNumberFormat="1" applyFont="1" applyAlignment="1">
      <alignment vertical="center"/>
    </xf>
    <xf numFmtId="19" fontId="0" fillId="0" borderId="0" xfId="0" applyNumberFormat="1" applyFont="1"/>
    <xf numFmtId="0" fontId="3" fillId="0" borderId="5" xfId="0" applyFont="1" applyBorder="1" applyAlignment="1">
      <alignment horizontal="right" wrapText="1"/>
    </xf>
    <xf numFmtId="0" fontId="4" fillId="0" borderId="5" xfId="0" applyFont="1" applyBorder="1" applyAlignment="1">
      <alignment horizontal="right" wrapText="1"/>
    </xf>
    <xf numFmtId="0" fontId="4" fillId="2" borderId="5" xfId="0" applyFont="1" applyFill="1" applyBorder="1" applyAlignment="1">
      <alignment wrapText="1"/>
    </xf>
    <xf numFmtId="0" fontId="0" fillId="0" borderId="0" xfId="1" applyNumberFormat="1" applyFont="1"/>
    <xf numFmtId="0" fontId="0" fillId="0" borderId="6" xfId="0" applyBorder="1"/>
    <xf numFmtId="0" fontId="0" fillId="0" borderId="6" xfId="0" applyFont="1" applyBorder="1"/>
    <xf numFmtId="0" fontId="0" fillId="0" borderId="1" xfId="1" applyNumberFormat="1" applyFont="1" applyBorder="1"/>
    <xf numFmtId="19" fontId="0" fillId="0" borderId="0" xfId="0" applyNumberFormat="1"/>
    <xf numFmtId="1" fontId="0" fillId="0" borderId="0" xfId="0" applyNumberFormat="1"/>
    <xf numFmtId="41" fontId="0" fillId="0" borderId="0" xfId="0" applyNumberFormat="1"/>
    <xf numFmtId="1" fontId="0" fillId="0" borderId="0" xfId="1" applyNumberFormat="1" applyFont="1"/>
    <xf numFmtId="164" fontId="0" fillId="0" borderId="0" xfId="1" applyNumberFormat="1" applyFont="1"/>
    <xf numFmtId="49" fontId="0" fillId="0" borderId="0" xfId="0" applyNumberFormat="1"/>
    <xf numFmtId="1" fontId="0" fillId="0" borderId="1" xfId="1" applyNumberFormat="1" applyFont="1" applyBorder="1"/>
    <xf numFmtId="164" fontId="0" fillId="0" borderId="1" xfId="1" applyNumberFormat="1" applyFont="1" applyBorder="1"/>
    <xf numFmtId="1" fontId="0" fillId="0" borderId="1" xfId="0" applyNumberFormat="1" applyFont="1" applyBorder="1"/>
  </cellXfs>
  <cellStyles count="2">
    <cellStyle name="Moneda 2" xfId="1" xr:uid="{65286637-67D4-41F9-854F-EBC87CB06439}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482" totalsRowShown="0">
  <autoFilter ref="A1:CB482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4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3"/>
    <tableColumn id="56" xr3:uid="{7D644F3F-0303-4573-97DD-1DA9F4FDD082}" name="pago_programado" dataDxfId="2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98D266-B1C3-4315-B3F3-69C501717F0B}" name="Tabla2" displayName="Tabla2" ref="A1:C268" totalsRowShown="0">
  <autoFilter ref="A1:C268" xr:uid="{C898D266-B1C3-4315-B3F3-69C501717F0B}">
    <filterColumn colId="1">
      <filters>
        <filter val="RUTA 4 L"/>
        <filter val="RUTA 4 M"/>
      </filters>
    </filterColumn>
  </autoFilter>
  <tableColumns count="3">
    <tableColumn id="1" xr3:uid="{CED8AACD-B49E-40C6-8269-E2D3AC0D9901}" name="cadena" dataDxfId="1"/>
    <tableColumn id="2" xr3:uid="{391621E5-2A27-4B96-B8A3-D0549EF9AE0F}" name="ruta" dataDxfId="0"/>
    <tableColumn id="3" xr3:uid="{B1E7FC94-FDC1-489B-851F-9A905CB46B45}" name="Columna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A4967-4A08-4B9B-8EC2-729825B2C0DE}" name="Tabla3" displayName="Tabla3" ref="A1:E355" totalsRowShown="0">
  <autoFilter ref="A1:E355" xr:uid="{900A4967-4A08-4B9B-8EC2-729825B2C0DE}">
    <filterColumn colId="0">
      <filters>
        <filter val="1"/>
      </filters>
    </filterColumn>
  </autoFilter>
  <tableColumns count="5">
    <tableColumn id="1" xr3:uid="{90A2CC47-0A73-4F5D-86A2-C4F86E0A236A}" name="status"/>
    <tableColumn id="2" xr3:uid="{E2797C09-B531-43BC-BC6F-B1BF6FC57B71}" name="sentencia"/>
    <tableColumn id="3" xr3:uid="{5C00EE6D-0FE5-4DD0-AD8C-232ED36D9211}" name="contrato"/>
    <tableColumn id="4" xr3:uid="{E4957D4D-4266-40AC-86F1-350891F8E012}" name="id colonia"/>
    <tableColumn id="5" xr3:uid="{C8A52126-025D-4A03-B09D-F1A7DCBC8B15}" name="co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482"/>
  <sheetViews>
    <sheetView topLeftCell="AR238" zoomScale="85" zoomScaleNormal="85" workbookViewId="0">
      <selection activeCell="BC6" sqref="BC6:BC272"/>
    </sheetView>
  </sheetViews>
  <sheetFormatPr baseColWidth="10" defaultRowHeight="15" x14ac:dyDescent="0.25"/>
  <cols>
    <col min="1" max="1" width="16.140625" customWidth="1"/>
    <col min="2" max="2" width="18.7109375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11.5703125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12.5703125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995</v>
      </c>
      <c r="B1" t="s">
        <v>996</v>
      </c>
      <c r="C1" t="s">
        <v>997</v>
      </c>
      <c r="D1" t="s">
        <v>998</v>
      </c>
      <c r="E1" t="s">
        <v>999</v>
      </c>
      <c r="F1" t="s">
        <v>1000</v>
      </c>
      <c r="G1" t="s">
        <v>1001</v>
      </c>
      <c r="H1" t="s">
        <v>1002</v>
      </c>
      <c r="I1" t="s">
        <v>1003</v>
      </c>
      <c r="J1" t="s">
        <v>1004</v>
      </c>
      <c r="K1" t="s">
        <v>1005</v>
      </c>
      <c r="L1" t="s">
        <v>1006</v>
      </c>
      <c r="M1" t="s">
        <v>1007</v>
      </c>
      <c r="N1" t="s">
        <v>1008</v>
      </c>
      <c r="O1" t="s">
        <v>1009</v>
      </c>
      <c r="P1" t="s">
        <v>1010</v>
      </c>
      <c r="Q1" t="s">
        <v>1011</v>
      </c>
      <c r="R1" t="s">
        <v>1012</v>
      </c>
      <c r="S1" t="s">
        <v>1013</v>
      </c>
      <c r="T1" t="s">
        <v>1014</v>
      </c>
      <c r="U1" t="s">
        <v>1015</v>
      </c>
      <c r="V1" t="s">
        <v>1016</v>
      </c>
      <c r="W1" t="s">
        <v>1017</v>
      </c>
      <c r="X1" t="s">
        <v>1018</v>
      </c>
      <c r="Y1" t="s">
        <v>1019</v>
      </c>
      <c r="Z1" t="s">
        <v>1020</v>
      </c>
      <c r="AA1" t="s">
        <v>1021</v>
      </c>
      <c r="AB1" t="s">
        <v>1022</v>
      </c>
      <c r="AC1" t="s">
        <v>1023</v>
      </c>
      <c r="AD1" t="s">
        <v>1024</v>
      </c>
      <c r="AE1" t="s">
        <v>1025</v>
      </c>
      <c r="AF1" t="s">
        <v>1026</v>
      </c>
      <c r="AG1" t="s">
        <v>1027</v>
      </c>
      <c r="AH1" t="s">
        <v>1028</v>
      </c>
      <c r="AI1" t="s">
        <v>1029</v>
      </c>
      <c r="AJ1" t="s">
        <v>1030</v>
      </c>
      <c r="AK1" t="s">
        <v>1031</v>
      </c>
      <c r="AL1" t="s">
        <v>1032</v>
      </c>
      <c r="AM1" t="s">
        <v>1033</v>
      </c>
      <c r="AN1" t="s">
        <v>1034</v>
      </c>
      <c r="AO1" t="s">
        <v>1035</v>
      </c>
      <c r="AP1" t="s">
        <v>1036</v>
      </c>
      <c r="AQ1" t="s">
        <v>1037</v>
      </c>
      <c r="AR1" t="s">
        <v>1038</v>
      </c>
      <c r="AS1" t="s">
        <v>1039</v>
      </c>
      <c r="AT1" t="s">
        <v>1040</v>
      </c>
      <c r="AU1" t="s">
        <v>1041</v>
      </c>
      <c r="AV1" t="s">
        <v>1042</v>
      </c>
      <c r="AW1" t="s">
        <v>1043</v>
      </c>
      <c r="AX1" t="s">
        <v>1044</v>
      </c>
      <c r="AY1" t="s">
        <v>1045</v>
      </c>
      <c r="AZ1" t="s">
        <v>1046</v>
      </c>
      <c r="BA1" t="s">
        <v>1047</v>
      </c>
      <c r="BB1" t="s">
        <v>1048</v>
      </c>
      <c r="BC1" t="s">
        <v>1049</v>
      </c>
      <c r="BD1" t="s">
        <v>1050</v>
      </c>
      <c r="BE1" t="s">
        <v>1051</v>
      </c>
      <c r="BF1" t="s">
        <v>1052</v>
      </c>
      <c r="BG1" t="s">
        <v>1053</v>
      </c>
      <c r="BH1" t="s">
        <v>1054</v>
      </c>
      <c r="BI1" t="s">
        <v>1055</v>
      </c>
      <c r="BJ1" t="s">
        <v>1056</v>
      </c>
      <c r="BK1" t="s">
        <v>1057</v>
      </c>
      <c r="BL1" t="s">
        <v>1058</v>
      </c>
      <c r="BM1" t="s">
        <v>1059</v>
      </c>
      <c r="BN1" t="s">
        <v>1060</v>
      </c>
      <c r="BO1" t="s">
        <v>1061</v>
      </c>
      <c r="BP1" t="s">
        <v>1062</v>
      </c>
      <c r="BQ1" t="s">
        <v>1063</v>
      </c>
      <c r="BR1" t="s">
        <v>1064</v>
      </c>
      <c r="BS1" t="s">
        <v>1065</v>
      </c>
      <c r="BT1" t="s">
        <v>1066</v>
      </c>
      <c r="BU1" t="s">
        <v>1067</v>
      </c>
      <c r="BV1" t="s">
        <v>1068</v>
      </c>
      <c r="BW1" t="s">
        <v>1069</v>
      </c>
      <c r="BX1" t="s">
        <v>1070</v>
      </c>
      <c r="BY1" t="s">
        <v>1071</v>
      </c>
      <c r="BZ1" t="s">
        <v>1072</v>
      </c>
      <c r="CA1" t="s">
        <v>1073</v>
      </c>
      <c r="CB1" t="s">
        <v>1074</v>
      </c>
      <c r="CC1" t="s">
        <v>12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>
        <f>Tabla1[[#This Row],[tipo_comision_gerente]]+1</f>
        <v>79</v>
      </c>
      <c r="CC2" t="s">
        <v>12</v>
      </c>
      <c r="CD2" t="s">
        <v>12</v>
      </c>
    </row>
    <row r="3" spans="1:82" x14ac:dyDescent="0.25">
      <c r="A3" t="s">
        <v>1075</v>
      </c>
      <c r="B3" t="s">
        <v>1076</v>
      </c>
      <c r="C3" t="s">
        <v>997</v>
      </c>
      <c r="D3" t="s">
        <v>998</v>
      </c>
      <c r="E3" t="s">
        <v>999</v>
      </c>
      <c r="F3" t="s">
        <v>1000</v>
      </c>
      <c r="G3" t="s">
        <v>1001</v>
      </c>
      <c r="H3" s="1" t="s">
        <v>1077</v>
      </c>
      <c r="I3" t="s">
        <v>1078</v>
      </c>
      <c r="J3" t="s">
        <v>1004</v>
      </c>
      <c r="K3" t="s">
        <v>1005</v>
      </c>
      <c r="L3" t="s">
        <v>1006</v>
      </c>
      <c r="M3" t="s">
        <v>1007</v>
      </c>
      <c r="N3" t="s">
        <v>1008</v>
      </c>
      <c r="O3" t="s">
        <v>1009</v>
      </c>
      <c r="P3" t="s">
        <v>1010</v>
      </c>
      <c r="Q3" t="s">
        <v>1079</v>
      </c>
      <c r="R3" t="s">
        <v>1012</v>
      </c>
      <c r="S3" t="s">
        <v>12</v>
      </c>
      <c r="T3" t="s">
        <v>1014</v>
      </c>
      <c r="U3" t="s">
        <v>12</v>
      </c>
      <c r="V3" t="s">
        <v>1016</v>
      </c>
      <c r="W3" t="s">
        <v>12</v>
      </c>
      <c r="X3" t="s">
        <v>1018</v>
      </c>
      <c r="Y3" t="s">
        <v>1019</v>
      </c>
      <c r="Z3" t="s">
        <v>1020</v>
      </c>
      <c r="AA3" t="s">
        <v>1021</v>
      </c>
      <c r="AB3" t="s">
        <v>1022</v>
      </c>
      <c r="AC3" t="s">
        <v>1023</v>
      </c>
      <c r="AD3" t="s">
        <v>1024</v>
      </c>
      <c r="AE3" t="s">
        <v>1025</v>
      </c>
      <c r="AF3" t="s">
        <v>1080</v>
      </c>
      <c r="AG3" t="s">
        <v>1027</v>
      </c>
      <c r="AH3" t="s">
        <v>1028</v>
      </c>
      <c r="AI3" t="s">
        <v>1029</v>
      </c>
      <c r="AJ3" t="s">
        <v>1030</v>
      </c>
      <c r="AK3" t="s">
        <v>1031</v>
      </c>
      <c r="AL3" t="s">
        <v>1032</v>
      </c>
      <c r="AM3" t="s">
        <v>1033</v>
      </c>
      <c r="AN3" t="s">
        <v>1034</v>
      </c>
      <c r="AO3" t="s">
        <v>1035</v>
      </c>
      <c r="AP3" t="s">
        <v>1036</v>
      </c>
      <c r="AQ3" t="s">
        <v>1037</v>
      </c>
      <c r="AR3" t="s">
        <v>1038</v>
      </c>
      <c r="AS3" t="s">
        <v>1039</v>
      </c>
      <c r="AT3" t="s">
        <v>1040</v>
      </c>
      <c r="AU3" t="s">
        <v>1041</v>
      </c>
      <c r="AV3" t="s">
        <v>1042</v>
      </c>
      <c r="AW3" t="s">
        <v>1043</v>
      </c>
      <c r="AX3" t="s">
        <v>1081</v>
      </c>
      <c r="AY3" t="s">
        <v>1045</v>
      </c>
      <c r="AZ3" t="s">
        <v>1046</v>
      </c>
      <c r="BA3" t="s">
        <v>1047</v>
      </c>
      <c r="BB3" t="s">
        <v>1082</v>
      </c>
      <c r="BC3" s="1" t="s">
        <v>1049</v>
      </c>
      <c r="BD3" s="1" t="s">
        <v>1050</v>
      </c>
      <c r="BE3" s="1" t="s">
        <v>1051</v>
      </c>
      <c r="BF3" s="1" t="s">
        <v>1052</v>
      </c>
      <c r="BG3" s="1" t="s">
        <v>1053</v>
      </c>
      <c r="BH3" t="s">
        <v>1054</v>
      </c>
      <c r="BI3" t="s">
        <v>1055</v>
      </c>
      <c r="BJ3" t="s">
        <v>1083</v>
      </c>
      <c r="BK3" t="s">
        <v>1057</v>
      </c>
      <c r="BL3" t="s">
        <v>1058</v>
      </c>
      <c r="BM3" t="s">
        <v>1059</v>
      </c>
      <c r="BN3" t="s">
        <v>1060</v>
      </c>
      <c r="BO3" t="s">
        <v>1061</v>
      </c>
      <c r="BP3" t="s">
        <v>1062</v>
      </c>
      <c r="BQ3" t="s">
        <v>1063</v>
      </c>
      <c r="BR3" t="s">
        <v>1064</v>
      </c>
      <c r="BS3" t="s">
        <v>1065</v>
      </c>
      <c r="BT3" t="s">
        <v>1066</v>
      </c>
      <c r="BU3" t="s">
        <v>1067</v>
      </c>
      <c r="BV3" t="s">
        <v>1068</v>
      </c>
      <c r="BW3" t="s">
        <v>1069</v>
      </c>
      <c r="BX3" t="s">
        <v>1070</v>
      </c>
      <c r="BY3" t="s">
        <v>1071</v>
      </c>
      <c r="BZ3" t="s">
        <v>1072</v>
      </c>
      <c r="CA3" t="s">
        <v>1073</v>
      </c>
      <c r="CB3" t="s">
        <v>12</v>
      </c>
      <c r="CC3" t="s">
        <v>12</v>
      </c>
      <c r="CD3" t="s">
        <v>12</v>
      </c>
    </row>
    <row r="4" spans="1:82" ht="75" x14ac:dyDescent="0.25">
      <c r="A4">
        <v>1</v>
      </c>
      <c r="B4" t="s">
        <v>1084</v>
      </c>
      <c r="C4">
        <v>7</v>
      </c>
      <c r="D4" t="s">
        <v>1085</v>
      </c>
      <c r="E4" t="s">
        <v>1086</v>
      </c>
      <c r="F4" t="s">
        <v>1087</v>
      </c>
      <c r="G4" t="s">
        <v>1087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12</v>
      </c>
      <c r="P4" t="s">
        <v>1095</v>
      </c>
      <c r="Q4">
        <v>33</v>
      </c>
      <c r="R4">
        <v>0</v>
      </c>
      <c r="S4" t="s">
        <v>12</v>
      </c>
      <c r="T4">
        <v>0</v>
      </c>
      <c r="U4" t="s">
        <v>12</v>
      </c>
      <c r="V4">
        <v>0</v>
      </c>
      <c r="W4" t="s">
        <v>12</v>
      </c>
      <c r="X4">
        <v>0</v>
      </c>
      <c r="Y4">
        <v>0</v>
      </c>
      <c r="Z4">
        <v>0</v>
      </c>
      <c r="AA4">
        <v>0</v>
      </c>
      <c r="AB4" t="s">
        <v>94</v>
      </c>
      <c r="AC4" t="s">
        <v>386</v>
      </c>
      <c r="AD4" t="s">
        <v>1088</v>
      </c>
      <c r="AE4">
        <v>0</v>
      </c>
      <c r="AF4" t="s">
        <v>1089</v>
      </c>
      <c r="AG4" t="s">
        <v>1090</v>
      </c>
      <c r="AH4" t="s">
        <v>1091</v>
      </c>
      <c r="AI4" t="s">
        <v>40</v>
      </c>
      <c r="AJ4" t="s">
        <v>1092</v>
      </c>
      <c r="AK4">
        <v>3311599272</v>
      </c>
      <c r="AL4" s="8" t="s">
        <v>1093</v>
      </c>
      <c r="AM4" t="s">
        <v>12</v>
      </c>
      <c r="AN4" t="s">
        <v>1094</v>
      </c>
      <c r="AO4" t="s">
        <v>1091</v>
      </c>
      <c r="AP4" t="s">
        <v>12</v>
      </c>
      <c r="AQ4">
        <v>2</v>
      </c>
      <c r="AR4" t="s">
        <v>12</v>
      </c>
      <c r="AS4" t="s">
        <v>12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1089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1089</v>
      </c>
      <c r="BS4" s="1">
        <v>43920</v>
      </c>
      <c r="BT4" t="s">
        <v>1089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12</v>
      </c>
      <c r="CC4" t="s">
        <v>12</v>
      </c>
      <c r="CD4" t="s">
        <v>12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12</v>
      </c>
      <c r="T5">
        <v>18</v>
      </c>
      <c r="U5" t="s">
        <v>12</v>
      </c>
      <c r="V5">
        <v>19</v>
      </c>
      <c r="W5" t="s">
        <v>12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>
        <f>Tabla1[[#This Row],[tipo_comision_gerente]]+1</f>
        <v>76</v>
      </c>
      <c r="CC5" t="s">
        <v>12</v>
      </c>
      <c r="CD5" t="s">
        <v>12</v>
      </c>
    </row>
    <row r="6" spans="1:82" x14ac:dyDescent="0.25">
      <c r="A6" t="s">
        <v>5032</v>
      </c>
      <c r="B6" t="s">
        <v>5033</v>
      </c>
      <c r="C6">
        <v>3</v>
      </c>
      <c r="D6" t="s">
        <v>194</v>
      </c>
      <c r="E6" t="s">
        <v>2</v>
      </c>
      <c r="F6" t="s">
        <v>722</v>
      </c>
      <c r="G6" t="s">
        <v>722</v>
      </c>
      <c r="H6" t="s">
        <v>4993</v>
      </c>
      <c r="I6">
        <v>12900</v>
      </c>
      <c r="J6" t="s">
        <v>4</v>
      </c>
      <c r="K6" t="s">
        <v>4</v>
      </c>
      <c r="L6">
        <v>100</v>
      </c>
      <c r="M6">
        <v>0</v>
      </c>
      <c r="N6" t="s">
        <v>12</v>
      </c>
      <c r="O6" t="s">
        <v>4</v>
      </c>
      <c r="P6" t="s">
        <v>12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12</v>
      </c>
      <c r="Z6" t="s">
        <v>4</v>
      </c>
      <c r="AA6" t="s">
        <v>12</v>
      </c>
      <c r="AB6" t="s">
        <v>5034</v>
      </c>
      <c r="AC6" t="s">
        <v>655</v>
      </c>
      <c r="AD6" t="s">
        <v>5035</v>
      </c>
      <c r="AE6" t="s">
        <v>59</v>
      </c>
      <c r="AF6" t="s">
        <v>4</v>
      </c>
      <c r="AG6" t="s">
        <v>4</v>
      </c>
      <c r="AH6" t="s">
        <v>5036</v>
      </c>
      <c r="AI6" t="s">
        <v>2115</v>
      </c>
      <c r="AJ6" t="s">
        <v>4</v>
      </c>
      <c r="AK6">
        <v>9333345046</v>
      </c>
      <c r="AL6" t="s">
        <v>5037</v>
      </c>
      <c r="AM6" t="s">
        <v>5038</v>
      </c>
      <c r="AN6" t="s">
        <v>12</v>
      </c>
      <c r="AO6" t="s">
        <v>5039</v>
      </c>
      <c r="AP6" t="s">
        <v>4</v>
      </c>
      <c r="AQ6" t="s">
        <v>10</v>
      </c>
      <c r="AR6" t="s">
        <v>12</v>
      </c>
      <c r="AS6" t="s">
        <v>12</v>
      </c>
      <c r="AT6" t="s">
        <v>4</v>
      </c>
      <c r="AU6" t="s">
        <v>4</v>
      </c>
      <c r="AV6" t="s">
        <v>4</v>
      </c>
      <c r="AW6" t="s">
        <v>11</v>
      </c>
      <c r="AX6">
        <v>7400</v>
      </c>
      <c r="AY6">
        <v>5500</v>
      </c>
      <c r="AZ6" t="s">
        <v>12</v>
      </c>
      <c r="BA6" t="s">
        <v>12</v>
      </c>
      <c r="BB6" t="s">
        <v>4</v>
      </c>
      <c r="BC6" t="s">
        <v>1129</v>
      </c>
      <c r="BD6" t="s">
        <v>5040</v>
      </c>
      <c r="BE6" t="s">
        <v>4</v>
      </c>
      <c r="BF6" t="s">
        <v>12</v>
      </c>
      <c r="BG6" t="s">
        <v>4</v>
      </c>
      <c r="BH6" t="s">
        <v>12</v>
      </c>
      <c r="BI6" t="s">
        <v>12</v>
      </c>
      <c r="BJ6" t="s">
        <v>5041</v>
      </c>
      <c r="BK6" t="s">
        <v>4</v>
      </c>
      <c r="BL6">
        <v>0</v>
      </c>
      <c r="BM6" t="s">
        <v>12</v>
      </c>
      <c r="BN6">
        <v>12900</v>
      </c>
      <c r="BO6" t="s">
        <v>12</v>
      </c>
      <c r="BP6" t="s">
        <v>12</v>
      </c>
      <c r="BQ6" t="s">
        <v>12</v>
      </c>
      <c r="BR6" t="s">
        <v>4</v>
      </c>
      <c r="BS6" t="s">
        <v>4</v>
      </c>
      <c r="BT6" t="s">
        <v>4</v>
      </c>
      <c r="BU6" t="s">
        <v>12</v>
      </c>
      <c r="BV6" t="s">
        <v>4</v>
      </c>
      <c r="BW6" t="s">
        <v>3</v>
      </c>
      <c r="BX6" t="s">
        <v>4</v>
      </c>
      <c r="BY6" t="s">
        <v>12</v>
      </c>
      <c r="BZ6" t="s">
        <v>12</v>
      </c>
      <c r="CA6" t="s">
        <v>12</v>
      </c>
      <c r="CB6" t="s">
        <v>1074</v>
      </c>
      <c r="CC6" t="s">
        <v>12</v>
      </c>
      <c r="CD6" t="str" cm="1">
        <f t="array" aca="1" ref="CD6" ca="1">eConcatenar(A6:CB6,"|")</f>
        <v>tMdNmYaROLSlN6fq|COM2019-3428|3|ECONOLINE|TABASCO|COMALCALCO|COMALCALCO|2019-12-30|12900|X|X|100|0|x|X|x|X|X|X|X|X|X|X|X|x|X|x|GODINEZ|FLORES|BENITO|CASADO|X|X|CERRADA SANTA ELENA NUMERO 12|FRACCIONAMIENTO LAS ROSAS |X|9333345046|MARIA CASTILLO LUNA|BENEFICIARIO 2: JUAN CARLOS GODINEZ CASTILLO|x|RUTA 4 L|X|LUNES|x|x|X|X|X|DOMICILIO|7400|5500|x|x|X|2021-9-20|2021-10-01|X|x|X|x|x|FRACCIONAMIENTO LAS ROSAS|X|0|x|12900|x|x|x|X|X|X|x|X|CARDENAS|X|x|x|x|final</v>
      </c>
    </row>
    <row r="7" spans="1:82" x14ac:dyDescent="0.25">
      <c r="A7" t="s">
        <v>5042</v>
      </c>
      <c r="B7" t="s">
        <v>5043</v>
      </c>
      <c r="C7">
        <v>3</v>
      </c>
      <c r="D7" t="s">
        <v>65</v>
      </c>
      <c r="E7" t="s">
        <v>2</v>
      </c>
      <c r="F7" t="s">
        <v>722</v>
      </c>
      <c r="G7" t="s">
        <v>722</v>
      </c>
      <c r="H7" t="s">
        <v>1097</v>
      </c>
      <c r="I7">
        <v>14800</v>
      </c>
      <c r="J7" t="s">
        <v>4</v>
      </c>
      <c r="K7" t="s">
        <v>4</v>
      </c>
      <c r="L7">
        <v>100</v>
      </c>
      <c r="M7">
        <v>0</v>
      </c>
      <c r="N7" t="s">
        <v>12</v>
      </c>
      <c r="O7" t="s">
        <v>4</v>
      </c>
      <c r="P7" t="s">
        <v>12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V7" t="s">
        <v>4</v>
      </c>
      <c r="W7" t="s">
        <v>4</v>
      </c>
      <c r="X7" t="s">
        <v>4</v>
      </c>
      <c r="Y7" t="s">
        <v>12</v>
      </c>
      <c r="Z7" t="s">
        <v>4</v>
      </c>
      <c r="AA7" t="s">
        <v>12</v>
      </c>
      <c r="AB7" t="s">
        <v>99</v>
      </c>
      <c r="AC7" t="s">
        <v>737</v>
      </c>
      <c r="AD7" t="s">
        <v>4788</v>
      </c>
      <c r="AE7" t="s">
        <v>24</v>
      </c>
      <c r="AF7" t="s">
        <v>4</v>
      </c>
      <c r="AG7" t="s">
        <v>4</v>
      </c>
      <c r="AH7" t="s">
        <v>5044</v>
      </c>
      <c r="AI7" t="s">
        <v>2072</v>
      </c>
      <c r="AJ7" t="s">
        <v>5045</v>
      </c>
      <c r="AK7">
        <v>9331292199</v>
      </c>
      <c r="AL7" t="s">
        <v>5046</v>
      </c>
      <c r="AM7" t="s">
        <v>4</v>
      </c>
      <c r="AN7" t="s">
        <v>12</v>
      </c>
      <c r="AO7" t="s">
        <v>5039</v>
      </c>
      <c r="AP7" t="s">
        <v>4</v>
      </c>
      <c r="AQ7" t="s">
        <v>10</v>
      </c>
      <c r="AR7" t="s">
        <v>12</v>
      </c>
      <c r="AS7" t="s">
        <v>12</v>
      </c>
      <c r="AT7" t="s">
        <v>4</v>
      </c>
      <c r="AU7" t="s">
        <v>4</v>
      </c>
      <c r="AV7" t="s">
        <v>4</v>
      </c>
      <c r="AW7" t="s">
        <v>11</v>
      </c>
      <c r="AX7">
        <v>1700</v>
      </c>
      <c r="AY7">
        <v>13100</v>
      </c>
      <c r="AZ7" t="s">
        <v>12</v>
      </c>
      <c r="BA7" t="s">
        <v>12</v>
      </c>
      <c r="BB7" t="s">
        <v>4</v>
      </c>
      <c r="BC7" t="s">
        <v>1129</v>
      </c>
      <c r="BD7" t="s">
        <v>5040</v>
      </c>
      <c r="BE7" t="s">
        <v>4</v>
      </c>
      <c r="BF7" t="s">
        <v>12</v>
      </c>
      <c r="BG7" t="s">
        <v>4</v>
      </c>
      <c r="BH7" t="s">
        <v>12</v>
      </c>
      <c r="BI7" t="s">
        <v>12</v>
      </c>
      <c r="BJ7" t="s">
        <v>2072</v>
      </c>
      <c r="BK7" t="s">
        <v>4</v>
      </c>
      <c r="BL7">
        <v>0</v>
      </c>
      <c r="BM7" t="s">
        <v>12</v>
      </c>
      <c r="BN7">
        <v>14800</v>
      </c>
      <c r="BO7" t="s">
        <v>12</v>
      </c>
      <c r="BP7" t="s">
        <v>12</v>
      </c>
      <c r="BQ7" t="s">
        <v>12</v>
      </c>
      <c r="BR7" t="s">
        <v>4</v>
      </c>
      <c r="BS7" t="s">
        <v>4</v>
      </c>
      <c r="BT7" t="s">
        <v>4</v>
      </c>
      <c r="BU7" t="s">
        <v>12</v>
      </c>
      <c r="BV7" t="s">
        <v>4</v>
      </c>
      <c r="BW7" t="s">
        <v>3</v>
      </c>
      <c r="BX7" t="s">
        <v>4</v>
      </c>
      <c r="BY7" t="s">
        <v>12</v>
      </c>
      <c r="BZ7" t="s">
        <v>12</v>
      </c>
      <c r="CA7" t="s">
        <v>12</v>
      </c>
      <c r="CB7" t="s">
        <v>1074</v>
      </c>
      <c r="CC7" t="s">
        <v>12</v>
      </c>
      <c r="CD7" t="str" cm="1">
        <f t="array" aca="1" ref="CD7" ca="1">eConcatenar(A7:CB7,"|")</f>
        <v>8suxH3s6Ii0UCp53|COM2021-1978|3|MEMORIAL|TABASCO|COMALCALCO|COMALCALCO|2021-6-15|14800|X|X|100|0|x|X|x|X|X|X|X|X|X|X|X|x|X|x|DIAZ|MENDOZA|IGNACIO|UNION LIBRE|X|X|CARRETERA CHICHICAPÁ|VILLA CHICHICAPA|CARRETERA A CARDENAS |9331292199|MARIA ADRIANA CORDOVA CORDOVA|X|x|RUTA 4 L|X|LUNES|x|x|X|X|X|DOMICILIO|1700|13100|x|x|X|2021-9-20|2021-10-01|X|x|X|x|x|VILLA CHICHICAPA|X|0|x|14800|x|x|x|X|X|X|x|X|CARDENAS|X|x|x|x|final</v>
      </c>
    </row>
    <row r="8" spans="1:82" x14ac:dyDescent="0.25">
      <c r="A8" t="s">
        <v>5047</v>
      </c>
      <c r="B8" t="s">
        <v>5048</v>
      </c>
      <c r="C8">
        <v>3</v>
      </c>
      <c r="D8" t="s">
        <v>194</v>
      </c>
      <c r="E8" t="s">
        <v>2</v>
      </c>
      <c r="F8" t="s">
        <v>722</v>
      </c>
      <c r="G8" t="s">
        <v>722</v>
      </c>
      <c r="H8" t="s">
        <v>5049</v>
      </c>
      <c r="I8">
        <v>12900</v>
      </c>
      <c r="J8" t="s">
        <v>4</v>
      </c>
      <c r="K8" t="s">
        <v>4</v>
      </c>
      <c r="L8">
        <v>100</v>
      </c>
      <c r="M8">
        <v>0</v>
      </c>
      <c r="N8" t="s">
        <v>12</v>
      </c>
      <c r="O8" t="s">
        <v>4</v>
      </c>
      <c r="P8" t="s">
        <v>12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12</v>
      </c>
      <c r="Z8" t="s">
        <v>4</v>
      </c>
      <c r="AA8" t="s">
        <v>12</v>
      </c>
      <c r="AB8" t="s">
        <v>6</v>
      </c>
      <c r="AC8" t="s">
        <v>5</v>
      </c>
      <c r="AD8" t="s">
        <v>4911</v>
      </c>
      <c r="AE8" t="s">
        <v>59</v>
      </c>
      <c r="AF8" t="s">
        <v>4</v>
      </c>
      <c r="AG8" t="s">
        <v>4</v>
      </c>
      <c r="AH8" t="s">
        <v>5050</v>
      </c>
      <c r="AI8" t="s">
        <v>5051</v>
      </c>
      <c r="AJ8" t="s">
        <v>5052</v>
      </c>
      <c r="AK8">
        <v>9331031151</v>
      </c>
      <c r="AL8" t="s">
        <v>5053</v>
      </c>
      <c r="AM8" t="s">
        <v>5054</v>
      </c>
      <c r="AN8" t="s">
        <v>12</v>
      </c>
      <c r="AO8" t="s">
        <v>5039</v>
      </c>
      <c r="AP8" t="s">
        <v>4</v>
      </c>
      <c r="AQ8" t="s">
        <v>10</v>
      </c>
      <c r="AR8" t="s">
        <v>12</v>
      </c>
      <c r="AS8" t="s">
        <v>12</v>
      </c>
      <c r="AT8" t="s">
        <v>4</v>
      </c>
      <c r="AU8" t="s">
        <v>4</v>
      </c>
      <c r="AV8" t="s">
        <v>4</v>
      </c>
      <c r="AW8" t="s">
        <v>11</v>
      </c>
      <c r="AX8">
        <v>7100</v>
      </c>
      <c r="AY8">
        <v>5800</v>
      </c>
      <c r="AZ8" t="s">
        <v>12</v>
      </c>
      <c r="BA8" t="s">
        <v>12</v>
      </c>
      <c r="BB8" t="s">
        <v>4</v>
      </c>
      <c r="BC8" t="s">
        <v>5049</v>
      </c>
      <c r="BD8" t="s">
        <v>5040</v>
      </c>
      <c r="BE8" t="s">
        <v>4</v>
      </c>
      <c r="BF8" t="s">
        <v>12</v>
      </c>
      <c r="BG8" t="s">
        <v>4</v>
      </c>
      <c r="BH8" t="s">
        <v>12</v>
      </c>
      <c r="BI8" t="s">
        <v>12</v>
      </c>
      <c r="BJ8" t="s">
        <v>5051</v>
      </c>
      <c r="BK8" t="s">
        <v>4</v>
      </c>
      <c r="BL8">
        <v>0</v>
      </c>
      <c r="BM8" t="s">
        <v>12</v>
      </c>
      <c r="BN8">
        <v>12900</v>
      </c>
      <c r="BO8" t="s">
        <v>12</v>
      </c>
      <c r="BP8" t="s">
        <v>12</v>
      </c>
      <c r="BQ8" t="s">
        <v>12</v>
      </c>
      <c r="BR8" t="s">
        <v>4</v>
      </c>
      <c r="BS8" t="s">
        <v>4</v>
      </c>
      <c r="BT8" t="s">
        <v>4</v>
      </c>
      <c r="BU8" t="s">
        <v>12</v>
      </c>
      <c r="BV8" t="s">
        <v>4</v>
      </c>
      <c r="BW8" t="s">
        <v>3</v>
      </c>
      <c r="BX8" t="s">
        <v>4</v>
      </c>
      <c r="BY8" t="s">
        <v>12</v>
      </c>
      <c r="BZ8" t="s">
        <v>12</v>
      </c>
      <c r="CA8" t="s">
        <v>12</v>
      </c>
      <c r="CB8" t="s">
        <v>1074</v>
      </c>
      <c r="CC8" t="s">
        <v>12</v>
      </c>
      <c r="CD8" t="str" cm="1">
        <f t="array" aca="1" ref="CD8" ca="1">eConcatenar(A8:CB8,"|")</f>
        <v>rFZroy6fhzlfkqIZ|COM2020-0366|3|ECONOLINE|TABASCO|COMALCALCO|COMALCALCO|2021-2-06|12900|X|X|100|0|x|X|x|X|X|X|X|X|X|X|X|x|X|x|DE LA CRUZ|VENTURA|FERNANDO|CASADO|X|X|CARRETERA LEON ZARATE |EJIDO GUATEMALAN|ENTRE CALLE NICOLAS BRAVO Y CALLE REFORMA|9331031151|IGNACIA ALMEIDA PULIDO|BENEFICIARIO 2: ALEJANDRO DE LA CRUZ MENDEZ|x|RUTA 4 L|X|LUNES|x|x|X|X|X|DOMICILIO|7100|5800|x|x|X|2021-2-06|2021-10-01|X|x|X|x|x|EJIDO GUATEMALAN|X|0|x|12900|x|x|x|X|X|X|x|X|CARDENAS|X|x|x|x|final</v>
      </c>
    </row>
    <row r="9" spans="1:82" x14ac:dyDescent="0.25">
      <c r="A9" t="s">
        <v>5055</v>
      </c>
      <c r="B9" t="s">
        <v>5056</v>
      </c>
      <c r="C9">
        <v>3</v>
      </c>
      <c r="D9" t="s">
        <v>1</v>
      </c>
      <c r="E9" t="s">
        <v>2</v>
      </c>
      <c r="F9" t="s">
        <v>722</v>
      </c>
      <c r="G9" t="s">
        <v>722</v>
      </c>
      <c r="H9" t="s">
        <v>5057</v>
      </c>
      <c r="I9">
        <v>12900</v>
      </c>
      <c r="J9" t="s">
        <v>4</v>
      </c>
      <c r="K9" t="s">
        <v>4</v>
      </c>
      <c r="L9">
        <v>100</v>
      </c>
      <c r="M9">
        <v>0</v>
      </c>
      <c r="N9" t="s">
        <v>12</v>
      </c>
      <c r="O9" t="s">
        <v>4</v>
      </c>
      <c r="P9" t="s">
        <v>12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12</v>
      </c>
      <c r="Z9" t="s">
        <v>4</v>
      </c>
      <c r="AA9" t="s">
        <v>12</v>
      </c>
      <c r="AB9" t="s">
        <v>15</v>
      </c>
      <c r="AC9" t="s">
        <v>15</v>
      </c>
      <c r="AD9" t="s">
        <v>227</v>
      </c>
      <c r="AE9" t="s">
        <v>29</v>
      </c>
      <c r="AF9" t="s">
        <v>4</v>
      </c>
      <c r="AG9" t="s">
        <v>4</v>
      </c>
      <c r="AH9" t="s">
        <v>5058</v>
      </c>
      <c r="AI9" t="s">
        <v>5059</v>
      </c>
      <c r="AJ9" t="s">
        <v>5060</v>
      </c>
      <c r="AK9">
        <v>9331643593</v>
      </c>
      <c r="AL9" t="s">
        <v>5061</v>
      </c>
      <c r="AM9" t="s">
        <v>5062</v>
      </c>
      <c r="AN9" t="s">
        <v>12</v>
      </c>
      <c r="AO9" t="s">
        <v>5039</v>
      </c>
      <c r="AP9" t="s">
        <v>4</v>
      </c>
      <c r="AQ9" t="s">
        <v>10</v>
      </c>
      <c r="AR9" t="s">
        <v>12</v>
      </c>
      <c r="AS9" t="s">
        <v>12</v>
      </c>
      <c r="AT9" t="s">
        <v>4</v>
      </c>
      <c r="AU9" t="s">
        <v>4</v>
      </c>
      <c r="AV9" t="s">
        <v>4</v>
      </c>
      <c r="AW9" t="s">
        <v>11</v>
      </c>
      <c r="AX9">
        <v>5100</v>
      </c>
      <c r="AY9">
        <v>7800</v>
      </c>
      <c r="AZ9" t="s">
        <v>12</v>
      </c>
      <c r="BA9" t="s">
        <v>12</v>
      </c>
      <c r="BB9" t="s">
        <v>4</v>
      </c>
      <c r="BC9" t="s">
        <v>1129</v>
      </c>
      <c r="BD9" t="s">
        <v>5040</v>
      </c>
      <c r="BE9" t="s">
        <v>4</v>
      </c>
      <c r="BF9" t="s">
        <v>12</v>
      </c>
      <c r="BG9" t="s">
        <v>4</v>
      </c>
      <c r="BH9" t="s">
        <v>12</v>
      </c>
      <c r="BI9" t="s">
        <v>12</v>
      </c>
      <c r="BJ9" t="s">
        <v>5063</v>
      </c>
      <c r="BK9" t="s">
        <v>4</v>
      </c>
      <c r="BL9">
        <v>1</v>
      </c>
      <c r="BM9" t="s">
        <v>12</v>
      </c>
      <c r="BN9">
        <v>12900</v>
      </c>
      <c r="BO9" t="s">
        <v>12</v>
      </c>
      <c r="BP9" t="s">
        <v>12</v>
      </c>
      <c r="BQ9" t="s">
        <v>12</v>
      </c>
      <c r="BR9" t="s">
        <v>4</v>
      </c>
      <c r="BS9" t="s">
        <v>4</v>
      </c>
      <c r="BT9" t="s">
        <v>4</v>
      </c>
      <c r="BU9" t="s">
        <v>12</v>
      </c>
      <c r="BV9" t="s">
        <v>4</v>
      </c>
      <c r="BW9" t="s">
        <v>3</v>
      </c>
      <c r="BX9" t="s">
        <v>4</v>
      </c>
      <c r="BY9" t="s">
        <v>12</v>
      </c>
      <c r="BZ9" t="s">
        <v>12</v>
      </c>
      <c r="CA9" t="s">
        <v>12</v>
      </c>
      <c r="CB9" t="s">
        <v>1074</v>
      </c>
      <c r="CC9" t="s">
        <v>12</v>
      </c>
      <c r="CD9" t="str" cm="1">
        <f t="array" aca="1" ref="CD9" ca="1">eConcatenar(A9:CB9,"|")</f>
        <v>0XOnsv6skpk6rVOW|COM2020-2358|3|IMPERIAL DE LUJO|TABASCO|COMALCALCO|COMALCALCO|2020-10-10|12900|X|X|100|0|x|X|x|X|X|X|X|X|X|X|X|x|X|x|JIMENEZ|JIMENEZ|MANUELA|CASADA|X|X|ENTRADA LOS PINOS |INDEPENDENCIA PRIMERA SECCION|CALLE PRINCIPAL|9331643593|MARY ASUNCION ALVARADO JIMENEZ|BENEFICIARIO 2: MANUEL ALVARADO RODRIGUEZ|x|RUTA 4 L|X|LUNES|x|x|X|X|X|DOMICILIO|5100|7800|x|x|X|2021-9-20|2021-10-01|X|x|X|x|x|CERCA DE LA ESCUELA|X|1|x|12900|x|x|x|X|X|X|x|X|CARDENAS|X|x|x|x|final</v>
      </c>
    </row>
    <row r="10" spans="1:82" x14ac:dyDescent="0.25">
      <c r="A10" t="s">
        <v>5064</v>
      </c>
      <c r="B10" t="s">
        <v>5065</v>
      </c>
      <c r="C10">
        <v>3</v>
      </c>
      <c r="D10" t="s">
        <v>194</v>
      </c>
      <c r="E10" t="s">
        <v>2</v>
      </c>
      <c r="F10" t="s">
        <v>654</v>
      </c>
      <c r="G10" t="s">
        <v>654</v>
      </c>
      <c r="H10" t="s">
        <v>5066</v>
      </c>
      <c r="I10">
        <v>12900</v>
      </c>
      <c r="J10" t="s">
        <v>4</v>
      </c>
      <c r="K10" t="s">
        <v>4</v>
      </c>
      <c r="L10">
        <v>200</v>
      </c>
      <c r="M10">
        <v>1</v>
      </c>
      <c r="N10" t="s">
        <v>12</v>
      </c>
      <c r="O10" t="s">
        <v>4</v>
      </c>
      <c r="P10" t="s">
        <v>12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12</v>
      </c>
      <c r="Z10" t="s">
        <v>4</v>
      </c>
      <c r="AA10" t="s">
        <v>12</v>
      </c>
      <c r="AB10" t="s">
        <v>36</v>
      </c>
      <c r="AC10" t="s">
        <v>109</v>
      </c>
      <c r="AD10" t="s">
        <v>5067</v>
      </c>
      <c r="AE10" t="s">
        <v>29</v>
      </c>
      <c r="AF10" t="s">
        <v>4</v>
      </c>
      <c r="AG10" t="s">
        <v>4</v>
      </c>
      <c r="AH10" t="s">
        <v>5068</v>
      </c>
      <c r="AI10" t="s">
        <v>1761</v>
      </c>
      <c r="AJ10" t="s">
        <v>5069</v>
      </c>
      <c r="AK10">
        <v>9331600710</v>
      </c>
      <c r="AL10" t="s">
        <v>5070</v>
      </c>
      <c r="AM10" t="s">
        <v>5071</v>
      </c>
      <c r="AN10" t="s">
        <v>12</v>
      </c>
      <c r="AO10" t="s">
        <v>5039</v>
      </c>
      <c r="AP10" t="s">
        <v>4</v>
      </c>
      <c r="AQ10" t="s">
        <v>10</v>
      </c>
      <c r="AR10" t="s">
        <v>12</v>
      </c>
      <c r="AS10" t="s">
        <v>12</v>
      </c>
      <c r="AT10" t="s">
        <v>4</v>
      </c>
      <c r="AU10" t="s">
        <v>4</v>
      </c>
      <c r="AV10" t="s">
        <v>4</v>
      </c>
      <c r="AW10" t="s">
        <v>11</v>
      </c>
      <c r="AX10">
        <v>10300</v>
      </c>
      <c r="AY10">
        <v>2600</v>
      </c>
      <c r="AZ10" t="s">
        <v>12</v>
      </c>
      <c r="BA10" t="s">
        <v>12</v>
      </c>
      <c r="BB10" t="s">
        <v>4</v>
      </c>
      <c r="BC10" t="s">
        <v>1129</v>
      </c>
      <c r="BD10" t="s">
        <v>5072</v>
      </c>
      <c r="BE10" t="s">
        <v>4</v>
      </c>
      <c r="BF10" t="s">
        <v>12</v>
      </c>
      <c r="BG10" t="s">
        <v>4</v>
      </c>
      <c r="BH10" t="s">
        <v>12</v>
      </c>
      <c r="BI10" t="s">
        <v>12</v>
      </c>
      <c r="BJ10" t="s">
        <v>1761</v>
      </c>
      <c r="BK10" t="s">
        <v>4</v>
      </c>
      <c r="BL10">
        <v>1</v>
      </c>
      <c r="BM10" t="s">
        <v>12</v>
      </c>
      <c r="BN10">
        <v>12900</v>
      </c>
      <c r="BO10" t="s">
        <v>12</v>
      </c>
      <c r="BP10" t="s">
        <v>12</v>
      </c>
      <c r="BQ10" t="s">
        <v>12</v>
      </c>
      <c r="BR10" t="s">
        <v>4</v>
      </c>
      <c r="BS10" t="s">
        <v>4</v>
      </c>
      <c r="BT10" t="s">
        <v>4</v>
      </c>
      <c r="BU10" t="s">
        <v>12</v>
      </c>
      <c r="BV10" t="s">
        <v>4</v>
      </c>
      <c r="BW10" t="s">
        <v>3</v>
      </c>
      <c r="BX10" t="s">
        <v>4</v>
      </c>
      <c r="BY10" t="s">
        <v>12</v>
      </c>
      <c r="BZ10" t="s">
        <v>12</v>
      </c>
      <c r="CA10" t="s">
        <v>12</v>
      </c>
      <c r="CB10" t="s">
        <v>1074</v>
      </c>
      <c r="CC10" t="s">
        <v>12</v>
      </c>
      <c r="CD10" t="str" cm="1">
        <f t="array" aca="1" ref="CD10" ca="1">eConcatenar(A10:CB10,"|")</f>
        <v>GYhghewZtZREKGRN|PAR2020-1539|3|ECONOLINE|TABASCO|PARAISO|PARAISO|2018-8-16|12900|X|X|200|1|x|X|x|X|X|X|X|X|X|X|X|x|X|x|HERNANDEZ|PEREZ|MORAIMA|CASADA|X|X|ENTRADA DEL CENTRO DE SALUD SIN NUMERO|FRANCISCO I MADERO |ENTRE ENTRADA EL SOBRINO |9331600710|ISMAEL PEREZ CORDOVA |BENEFICIARIO 2: LERI YERANIA PEREZ HERNANDEZ|x|RUTA 4 L|X|LUNES|x|x|X|X|X|DOMICILIO|10300|2600|x|x|X|2021-9-20|2021-10-04|X|x|X|x|x|FRANCISCO I MADERO |X|1|x|12900|x|x|x|X|X|X|x|X|CARDENAS|X|x|x|x|final</v>
      </c>
    </row>
    <row r="11" spans="1:82" x14ac:dyDescent="0.25">
      <c r="A11" t="s">
        <v>5073</v>
      </c>
      <c r="B11" t="s">
        <v>5074</v>
      </c>
      <c r="C11">
        <v>3</v>
      </c>
      <c r="D11" t="s">
        <v>194</v>
      </c>
      <c r="E11" t="s">
        <v>2</v>
      </c>
      <c r="F11" t="s">
        <v>722</v>
      </c>
      <c r="G11" t="s">
        <v>722</v>
      </c>
      <c r="H11" t="s">
        <v>4766</v>
      </c>
      <c r="I11">
        <v>12900</v>
      </c>
      <c r="J11" t="s">
        <v>4</v>
      </c>
      <c r="K11" t="s">
        <v>4</v>
      </c>
      <c r="L11">
        <v>200</v>
      </c>
      <c r="M11">
        <v>1</v>
      </c>
      <c r="N11" t="s">
        <v>12</v>
      </c>
      <c r="O11" t="s">
        <v>4</v>
      </c>
      <c r="P11" t="s">
        <v>12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12</v>
      </c>
      <c r="Z11" t="s">
        <v>4</v>
      </c>
      <c r="AA11" t="s">
        <v>12</v>
      </c>
      <c r="AB11" t="s">
        <v>704</v>
      </c>
      <c r="AC11" t="s">
        <v>761</v>
      </c>
      <c r="AD11" t="s">
        <v>5075</v>
      </c>
      <c r="AE11" t="s">
        <v>134</v>
      </c>
      <c r="AF11" t="s">
        <v>4</v>
      </c>
      <c r="AG11" t="s">
        <v>4</v>
      </c>
      <c r="AH11" t="s">
        <v>5076</v>
      </c>
      <c r="AI11" t="s">
        <v>2216</v>
      </c>
      <c r="AJ11" t="s">
        <v>4</v>
      </c>
      <c r="AK11">
        <v>9331394451</v>
      </c>
      <c r="AL11" t="s">
        <v>5077</v>
      </c>
      <c r="AM11" t="s">
        <v>5078</v>
      </c>
      <c r="AN11" t="s">
        <v>12</v>
      </c>
      <c r="AO11" t="s">
        <v>5039</v>
      </c>
      <c r="AP11" t="s">
        <v>4</v>
      </c>
      <c r="AQ11" t="s">
        <v>10</v>
      </c>
      <c r="AR11" t="s">
        <v>12</v>
      </c>
      <c r="AS11" t="s">
        <v>12</v>
      </c>
      <c r="AT11" t="s">
        <v>4</v>
      </c>
      <c r="AU11" t="s">
        <v>4</v>
      </c>
      <c r="AV11" t="s">
        <v>4</v>
      </c>
      <c r="AW11" t="s">
        <v>11</v>
      </c>
      <c r="AX11">
        <v>5500</v>
      </c>
      <c r="AY11">
        <v>7400</v>
      </c>
      <c r="AZ11" t="s">
        <v>12</v>
      </c>
      <c r="BA11" t="s">
        <v>12</v>
      </c>
      <c r="BB11" t="s">
        <v>4</v>
      </c>
      <c r="BC11" t="s">
        <v>1129</v>
      </c>
      <c r="BD11" t="s">
        <v>5072</v>
      </c>
      <c r="BE11" t="s">
        <v>4</v>
      </c>
      <c r="BF11" t="s">
        <v>12</v>
      </c>
      <c r="BG11" t="s">
        <v>4</v>
      </c>
      <c r="BH11" t="s">
        <v>12</v>
      </c>
      <c r="BI11" t="s">
        <v>12</v>
      </c>
      <c r="BJ11" t="s">
        <v>2216</v>
      </c>
      <c r="BK11" t="s">
        <v>4</v>
      </c>
      <c r="BL11">
        <v>1</v>
      </c>
      <c r="BM11" t="s">
        <v>12</v>
      </c>
      <c r="BN11">
        <v>12900</v>
      </c>
      <c r="BO11" t="s">
        <v>12</v>
      </c>
      <c r="BP11" t="s">
        <v>12</v>
      </c>
      <c r="BQ11" t="s">
        <v>12</v>
      </c>
      <c r="BR11" t="s">
        <v>4</v>
      </c>
      <c r="BS11" t="s">
        <v>4</v>
      </c>
      <c r="BT11" t="s">
        <v>4</v>
      </c>
      <c r="BU11" t="s">
        <v>12</v>
      </c>
      <c r="BV11" t="s">
        <v>4</v>
      </c>
      <c r="BW11" t="s">
        <v>3</v>
      </c>
      <c r="BX11" t="s">
        <v>4</v>
      </c>
      <c r="BY11" t="s">
        <v>12</v>
      </c>
      <c r="BZ11" t="s">
        <v>12</v>
      </c>
      <c r="CA11" t="s">
        <v>12</v>
      </c>
      <c r="CB11" t="s">
        <v>1074</v>
      </c>
      <c r="CC11" t="s">
        <v>12</v>
      </c>
      <c r="CD11" t="str" cm="1">
        <f t="array" aca="1" ref="CD11" ca="1">eConcatenar(A11:CB11,"|")</f>
        <v>2kSCCCzBQcODKVBw|COM2020-0517|3|ECONOLINE|TABASCO|COMALCALCO|COMALCALCO|2020-2-20|12900|X|X|200|1|x|X|x|X|X|X|X|X|X|X|X|x|X|x|ALCUDIA |CASTELLANOS|SECUNDINA |VIUDA|X|X|CARRETERA FEDERAL COMALCALCO PARAISO|NORTE SEGUNDA SECCION |X|9331394451|EDGAR ALMEIDA ALCUDIA|BENEFICIARIO 2: CAMELIA ALMEIDA ALCUDIA |x|RUTA 4 L|X|LUNES|x|x|X|X|X|DOMICILIO|5500|7400|x|x|X|2021-9-20|2021-10-04|X|x|X|x|x|NORTE SEGUNDA SECCION |X|1|x|12900|x|x|x|X|X|X|x|X|CARDENAS|X|x|x|x|final</v>
      </c>
    </row>
    <row r="12" spans="1:82" x14ac:dyDescent="0.25">
      <c r="A12" t="s">
        <v>5079</v>
      </c>
      <c r="B12" t="s">
        <v>5080</v>
      </c>
      <c r="C12">
        <v>3</v>
      </c>
      <c r="D12" t="s">
        <v>1</v>
      </c>
      <c r="E12" t="s">
        <v>2</v>
      </c>
      <c r="F12" t="s">
        <v>654</v>
      </c>
      <c r="G12" t="s">
        <v>654</v>
      </c>
      <c r="H12" t="s">
        <v>5081</v>
      </c>
      <c r="I12">
        <v>12900</v>
      </c>
      <c r="J12" t="s">
        <v>4</v>
      </c>
      <c r="K12" t="s">
        <v>4</v>
      </c>
      <c r="L12">
        <v>200</v>
      </c>
      <c r="M12">
        <v>1</v>
      </c>
      <c r="N12" t="s">
        <v>12</v>
      </c>
      <c r="O12" t="s">
        <v>4</v>
      </c>
      <c r="P12" t="s">
        <v>12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12</v>
      </c>
      <c r="Z12" t="s">
        <v>4</v>
      </c>
      <c r="AA12" t="s">
        <v>12</v>
      </c>
      <c r="AB12" t="s">
        <v>5082</v>
      </c>
      <c r="AC12" t="s">
        <v>265</v>
      </c>
      <c r="AD12" t="s">
        <v>5083</v>
      </c>
      <c r="AE12" t="s">
        <v>48</v>
      </c>
      <c r="AF12" t="s">
        <v>4</v>
      </c>
      <c r="AG12" t="s">
        <v>4</v>
      </c>
      <c r="AH12" t="s">
        <v>670</v>
      </c>
      <c r="AI12" t="s">
        <v>688</v>
      </c>
      <c r="AJ12" t="s">
        <v>4</v>
      </c>
      <c r="AK12">
        <v>9331175713</v>
      </c>
      <c r="AL12" t="s">
        <v>5084</v>
      </c>
      <c r="AM12" t="s">
        <v>5085</v>
      </c>
      <c r="AN12" t="s">
        <v>12</v>
      </c>
      <c r="AO12" t="s">
        <v>5039</v>
      </c>
      <c r="AP12" t="s">
        <v>4</v>
      </c>
      <c r="AQ12" t="s">
        <v>10</v>
      </c>
      <c r="AR12" t="s">
        <v>12</v>
      </c>
      <c r="AS12" t="s">
        <v>12</v>
      </c>
      <c r="AT12" t="s">
        <v>4</v>
      </c>
      <c r="AU12" t="s">
        <v>4</v>
      </c>
      <c r="AV12" t="s">
        <v>4</v>
      </c>
      <c r="AW12" t="s">
        <v>11</v>
      </c>
      <c r="AX12">
        <v>4200</v>
      </c>
      <c r="AY12">
        <v>8700</v>
      </c>
      <c r="AZ12" t="s">
        <v>12</v>
      </c>
      <c r="BA12" t="s">
        <v>12</v>
      </c>
      <c r="BB12" t="s">
        <v>4</v>
      </c>
      <c r="BC12" t="s">
        <v>1129</v>
      </c>
      <c r="BD12" t="s">
        <v>5072</v>
      </c>
      <c r="BE12" t="s">
        <v>4</v>
      </c>
      <c r="BF12" t="s">
        <v>12</v>
      </c>
      <c r="BG12" t="s">
        <v>4</v>
      </c>
      <c r="BH12" t="s">
        <v>12</v>
      </c>
      <c r="BI12" t="s">
        <v>12</v>
      </c>
      <c r="BJ12" t="s">
        <v>687</v>
      </c>
      <c r="BK12" t="s">
        <v>4</v>
      </c>
      <c r="BL12">
        <v>1</v>
      </c>
      <c r="BM12" t="s">
        <v>12</v>
      </c>
      <c r="BN12">
        <v>12900</v>
      </c>
      <c r="BO12" t="s">
        <v>12</v>
      </c>
      <c r="BP12" t="s">
        <v>12</v>
      </c>
      <c r="BQ12" t="s">
        <v>12</v>
      </c>
      <c r="BR12" t="s">
        <v>4</v>
      </c>
      <c r="BS12" t="s">
        <v>4</v>
      </c>
      <c r="BT12" t="s">
        <v>4</v>
      </c>
      <c r="BU12" t="s">
        <v>12</v>
      </c>
      <c r="BV12" t="s">
        <v>4</v>
      </c>
      <c r="BW12" t="s">
        <v>3</v>
      </c>
      <c r="BX12" t="s">
        <v>4</v>
      </c>
      <c r="BY12" t="s">
        <v>12</v>
      </c>
      <c r="BZ12" t="s">
        <v>12</v>
      </c>
      <c r="CA12" t="s">
        <v>12</v>
      </c>
      <c r="CB12" t="s">
        <v>1074</v>
      </c>
      <c r="CC12" t="s">
        <v>12</v>
      </c>
      <c r="CD12" t="str" cm="1">
        <f t="array" aca="1" ref="CD12" ca="1">eConcatenar(A12:CB12,"|")</f>
        <v>WZiEsmYro5Wpnbgo|PAR2021-0264|3|IMPERIAL DE LUJO|TABASCO|PARAISO|PARAISO|2021-1-28|12900|X|X|200|1|x|X|x|X|X|X|X|X|X|X|X|x|X|x|VILLEDA |DOMINGUEZ|ANA PATRICIA|SOLTERA|X|X|CARRETERA VECINAL PARAISO COMALCALCO|MOCTEZUMA PRIMERA SECCION|X|9331175713|PATRICIA DOMINGUEZ CASTELLANOS|BENEFICIARIO 2: GUSTAVO ERNES VILLEDA GARCIA|x|RUTA 4 L|X|LUNES|x|x|X|X|X|DOMICILIO|4200|8700|x|x|X|2021-9-20|2021-10-04|X|x|X|x|x|MOCTEZUMA PRIMERA SECCION |X|1|x|12900|x|x|x|X|X|X|x|X|CARDENAS|X|x|x|x|final</v>
      </c>
    </row>
    <row r="13" spans="1:82" x14ac:dyDescent="0.25">
      <c r="A13" t="s">
        <v>5086</v>
      </c>
      <c r="B13" t="s">
        <v>5087</v>
      </c>
      <c r="C13">
        <v>3</v>
      </c>
      <c r="D13" t="s">
        <v>1</v>
      </c>
      <c r="E13" t="s">
        <v>2</v>
      </c>
      <c r="F13" t="s">
        <v>722</v>
      </c>
      <c r="G13" t="s">
        <v>722</v>
      </c>
      <c r="H13" t="s">
        <v>5088</v>
      </c>
      <c r="I13">
        <v>12900</v>
      </c>
      <c r="J13" t="s">
        <v>4</v>
      </c>
      <c r="K13" t="s">
        <v>4</v>
      </c>
      <c r="L13">
        <v>100</v>
      </c>
      <c r="M13">
        <v>0</v>
      </c>
      <c r="N13" t="s">
        <v>12</v>
      </c>
      <c r="O13" t="s">
        <v>4</v>
      </c>
      <c r="P13" t="s">
        <v>12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12</v>
      </c>
      <c r="Z13" t="s">
        <v>4</v>
      </c>
      <c r="AA13" t="s">
        <v>12</v>
      </c>
      <c r="AB13" t="s">
        <v>153</v>
      </c>
      <c r="AC13" t="s">
        <v>679</v>
      </c>
      <c r="AD13" t="s">
        <v>5089</v>
      </c>
      <c r="AE13" t="s">
        <v>134</v>
      </c>
      <c r="AF13" t="s">
        <v>4</v>
      </c>
      <c r="AG13" t="s">
        <v>4</v>
      </c>
      <c r="AH13" t="s">
        <v>5090</v>
      </c>
      <c r="AI13" t="s">
        <v>725</v>
      </c>
      <c r="AJ13" t="s">
        <v>4</v>
      </c>
      <c r="AK13">
        <v>2224919573</v>
      </c>
      <c r="AL13" t="s">
        <v>5091</v>
      </c>
      <c r="AM13" t="s">
        <v>5092</v>
      </c>
      <c r="AN13" t="s">
        <v>12</v>
      </c>
      <c r="AO13" t="s">
        <v>5039</v>
      </c>
      <c r="AP13" t="s">
        <v>4</v>
      </c>
      <c r="AQ13" t="s">
        <v>10</v>
      </c>
      <c r="AR13" t="s">
        <v>12</v>
      </c>
      <c r="AS13" t="s">
        <v>12</v>
      </c>
      <c r="AT13" t="s">
        <v>4</v>
      </c>
      <c r="AU13" t="s">
        <v>4</v>
      </c>
      <c r="AV13" t="s">
        <v>4</v>
      </c>
      <c r="AW13" t="s">
        <v>11</v>
      </c>
      <c r="AX13">
        <v>5400</v>
      </c>
      <c r="AY13">
        <v>7500</v>
      </c>
      <c r="AZ13" t="s">
        <v>12</v>
      </c>
      <c r="BA13" t="s">
        <v>12</v>
      </c>
      <c r="BB13" t="s">
        <v>4</v>
      </c>
      <c r="BC13" t="s">
        <v>1129</v>
      </c>
      <c r="BD13" t="s">
        <v>5040</v>
      </c>
      <c r="BE13" t="s">
        <v>4</v>
      </c>
      <c r="BF13" t="s">
        <v>12</v>
      </c>
      <c r="BG13" t="s">
        <v>4</v>
      </c>
      <c r="BH13" t="s">
        <v>12</v>
      </c>
      <c r="BI13" t="s">
        <v>12</v>
      </c>
      <c r="BJ13" t="s">
        <v>725</v>
      </c>
      <c r="BK13" t="s">
        <v>4</v>
      </c>
      <c r="BL13">
        <v>1</v>
      </c>
      <c r="BM13" t="s">
        <v>12</v>
      </c>
      <c r="BN13">
        <v>12900</v>
      </c>
      <c r="BO13" t="s">
        <v>12</v>
      </c>
      <c r="BP13" t="s">
        <v>12</v>
      </c>
      <c r="BQ13" t="s">
        <v>12</v>
      </c>
      <c r="BR13" t="s">
        <v>4</v>
      </c>
      <c r="BS13" t="s">
        <v>4</v>
      </c>
      <c r="BT13" t="s">
        <v>4</v>
      </c>
      <c r="BU13" t="s">
        <v>12</v>
      </c>
      <c r="BV13" t="s">
        <v>4</v>
      </c>
      <c r="BW13" t="s">
        <v>3</v>
      </c>
      <c r="BX13" t="s">
        <v>4</v>
      </c>
      <c r="BY13" t="s">
        <v>12</v>
      </c>
      <c r="BZ13" t="s">
        <v>12</v>
      </c>
      <c r="CA13" t="s">
        <v>12</v>
      </c>
      <c r="CB13" t="s">
        <v>1074</v>
      </c>
      <c r="CC13" t="s">
        <v>12</v>
      </c>
      <c r="CD13" t="str" cm="1">
        <f t="array" aca="1" ref="CD13" ca="1">eConcatenar(A13:CB13,"|")</f>
        <v>KgV7nWJjptZI9B4V|COM2020-5051|3|IMPERIAL DE LUJO|TABASCO|COMALCALCO|COMALCALCO|2021-1-04|12900|X|X|100|0|x|X|x|X|X|X|X|X|X|X|X|x|X|x|GONZALEZ|IZQUIERDO|MARIO FILOMENO|VIUDA|X|X|ENTRADA A LA ZONA ARQUEOLOGICA |NORTE PRIMERA SECCION |X|2224919573|JOSE GERARDO PADRON GONZALEZ|BENEFICIARIO 2: TERESA DE JESUS PADRON GONZALEZ|x|RUTA 4 L|X|LUNES|x|x|X|X|X|DOMICILIO|5400|7500|x|x|X|2021-9-20|2021-10-01|X|x|X|x|x|NORTE PRIMERA SECCION |X|1|x|12900|x|x|x|X|X|X|x|X|CARDENAS|X|x|x|x|final</v>
      </c>
    </row>
    <row r="14" spans="1:82" x14ac:dyDescent="0.25">
      <c r="A14" t="s">
        <v>5093</v>
      </c>
      <c r="B14" t="s">
        <v>5094</v>
      </c>
      <c r="C14">
        <v>3</v>
      </c>
      <c r="D14" t="s">
        <v>1</v>
      </c>
      <c r="E14" t="s">
        <v>2</v>
      </c>
      <c r="F14" t="s">
        <v>654</v>
      </c>
      <c r="G14" t="s">
        <v>654</v>
      </c>
      <c r="H14" t="s">
        <v>4724</v>
      </c>
      <c r="I14">
        <v>12900</v>
      </c>
      <c r="J14" t="s">
        <v>4</v>
      </c>
      <c r="K14" t="s">
        <v>4</v>
      </c>
      <c r="L14">
        <v>200</v>
      </c>
      <c r="M14">
        <v>1</v>
      </c>
      <c r="N14" t="s">
        <v>12</v>
      </c>
      <c r="O14" t="s">
        <v>4</v>
      </c>
      <c r="P14" t="s">
        <v>12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12</v>
      </c>
      <c r="Z14" t="s">
        <v>4</v>
      </c>
      <c r="AA14" t="s">
        <v>12</v>
      </c>
      <c r="AB14" t="s">
        <v>761</v>
      </c>
      <c r="AC14" t="s">
        <v>395</v>
      </c>
      <c r="AD14" t="s">
        <v>81</v>
      </c>
      <c r="AE14" t="s">
        <v>134</v>
      </c>
      <c r="AF14" t="s">
        <v>4</v>
      </c>
      <c r="AG14" t="s">
        <v>4</v>
      </c>
      <c r="AH14" t="s">
        <v>670</v>
      </c>
      <c r="AI14" t="s">
        <v>688</v>
      </c>
      <c r="AJ14" t="s">
        <v>4</v>
      </c>
      <c r="AK14">
        <v>9371272555</v>
      </c>
      <c r="AL14" t="s">
        <v>5095</v>
      </c>
      <c r="AM14" t="s">
        <v>5096</v>
      </c>
      <c r="AN14" t="s">
        <v>12</v>
      </c>
      <c r="AO14" t="s">
        <v>5039</v>
      </c>
      <c r="AP14" t="s">
        <v>4</v>
      </c>
      <c r="AQ14" t="s">
        <v>10</v>
      </c>
      <c r="AR14" t="s">
        <v>12</v>
      </c>
      <c r="AS14" t="s">
        <v>12</v>
      </c>
      <c r="AT14" t="s">
        <v>4</v>
      </c>
      <c r="AU14" t="s">
        <v>4</v>
      </c>
      <c r="AV14" t="s">
        <v>4</v>
      </c>
      <c r="AW14" t="s">
        <v>11</v>
      </c>
      <c r="AX14">
        <v>4000</v>
      </c>
      <c r="AY14">
        <v>8900</v>
      </c>
      <c r="AZ14" t="s">
        <v>12</v>
      </c>
      <c r="BA14" t="s">
        <v>12</v>
      </c>
      <c r="BB14" t="s">
        <v>4</v>
      </c>
      <c r="BC14" t="s">
        <v>1129</v>
      </c>
      <c r="BD14" t="s">
        <v>5072</v>
      </c>
      <c r="BE14" t="s">
        <v>4</v>
      </c>
      <c r="BF14" t="s">
        <v>12</v>
      </c>
      <c r="BG14" t="s">
        <v>4</v>
      </c>
      <c r="BH14" t="s">
        <v>12</v>
      </c>
      <c r="BI14" t="s">
        <v>12</v>
      </c>
      <c r="BJ14" t="s">
        <v>687</v>
      </c>
      <c r="BK14" t="s">
        <v>4</v>
      </c>
      <c r="BL14">
        <v>1</v>
      </c>
      <c r="BM14" t="s">
        <v>12</v>
      </c>
      <c r="BN14">
        <v>12900</v>
      </c>
      <c r="BO14" t="s">
        <v>12</v>
      </c>
      <c r="BP14" t="s">
        <v>12</v>
      </c>
      <c r="BQ14" t="s">
        <v>12</v>
      </c>
      <c r="BR14" t="s">
        <v>4</v>
      </c>
      <c r="BS14" t="s">
        <v>4</v>
      </c>
      <c r="BT14" t="s">
        <v>4</v>
      </c>
      <c r="BU14" t="s">
        <v>12</v>
      </c>
      <c r="BV14" t="s">
        <v>4</v>
      </c>
      <c r="BW14" t="s">
        <v>3</v>
      </c>
      <c r="BX14" t="s">
        <v>4</v>
      </c>
      <c r="BY14" t="s">
        <v>12</v>
      </c>
      <c r="BZ14" t="s">
        <v>12</v>
      </c>
      <c r="CA14" t="s">
        <v>12</v>
      </c>
      <c r="CB14" t="s">
        <v>1074</v>
      </c>
      <c r="CC14" t="s">
        <v>12</v>
      </c>
      <c r="CD14" t="str" cm="1">
        <f t="array" aca="1" ref="CD14" ca="1">eConcatenar(A14:CB14,"|")</f>
        <v>6EycNg8T5ySeTm7M|PAR2021-0477|3|IMPERIAL DE LUJO|TABASCO|PARAISO|PARAISO|2021-2-15|12900|X|X|200|1|x|X|x|X|X|X|X|X|X|X|X|x|X|x|CASTELLANOS|ARELLANO|GUADALUPE|VIUDA|X|X|CARRETERA VECINAL PARAISO COMALCALCO|MOCTEZUMA PRIMERA SECCION|X|9371272555|EDUARDO DOMINGUEZ CASTELLANOS|BENEFICIARIO 2: PATRICIA DOMINGUEZ CASTELLANOS|x|RUTA 4 L|X|LUNES|x|x|X|X|X|DOMICILIO|4000|8900|x|x|X|2021-9-20|2021-10-04|X|x|X|x|x|MOCTEZUMA PRIMERA SECCION |X|1|x|12900|x|x|x|X|X|X|x|X|CARDENAS|X|x|x|x|final</v>
      </c>
    </row>
    <row r="15" spans="1:82" x14ac:dyDescent="0.25">
      <c r="A15" t="s">
        <v>5097</v>
      </c>
      <c r="B15" t="s">
        <v>5098</v>
      </c>
      <c r="C15">
        <v>3</v>
      </c>
      <c r="D15" t="s">
        <v>1</v>
      </c>
      <c r="E15" t="s">
        <v>2</v>
      </c>
      <c r="F15" t="s">
        <v>722</v>
      </c>
      <c r="G15" t="s">
        <v>722</v>
      </c>
      <c r="H15" t="s">
        <v>4763</v>
      </c>
      <c r="I15">
        <v>12900</v>
      </c>
      <c r="J15" t="s">
        <v>4</v>
      </c>
      <c r="K15" t="s">
        <v>4</v>
      </c>
      <c r="L15">
        <v>100</v>
      </c>
      <c r="M15">
        <v>0</v>
      </c>
      <c r="N15" t="s">
        <v>12</v>
      </c>
      <c r="O15" t="s">
        <v>4</v>
      </c>
      <c r="P15" t="s">
        <v>12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12</v>
      </c>
      <c r="Z15" t="s">
        <v>4</v>
      </c>
      <c r="AA15" t="s">
        <v>12</v>
      </c>
      <c r="AB15" t="s">
        <v>36</v>
      </c>
      <c r="AC15" t="s">
        <v>80</v>
      </c>
      <c r="AD15" t="s">
        <v>5099</v>
      </c>
      <c r="AE15" t="s">
        <v>29</v>
      </c>
      <c r="AF15" t="s">
        <v>4</v>
      </c>
      <c r="AG15" t="s">
        <v>4</v>
      </c>
      <c r="AH15" t="s">
        <v>5100</v>
      </c>
      <c r="AI15" t="s">
        <v>2124</v>
      </c>
      <c r="AJ15" t="s">
        <v>4</v>
      </c>
      <c r="AK15">
        <v>9331233704</v>
      </c>
      <c r="AL15" t="s">
        <v>5101</v>
      </c>
      <c r="AM15" t="s">
        <v>5102</v>
      </c>
      <c r="AN15" t="s">
        <v>12</v>
      </c>
      <c r="AO15" t="s">
        <v>5039</v>
      </c>
      <c r="AP15" t="s">
        <v>4</v>
      </c>
      <c r="AQ15" t="s">
        <v>10</v>
      </c>
      <c r="AR15" t="s">
        <v>12</v>
      </c>
      <c r="AS15" t="s">
        <v>12</v>
      </c>
      <c r="AT15" t="s">
        <v>4</v>
      </c>
      <c r="AU15" t="s">
        <v>4</v>
      </c>
      <c r="AV15" t="s">
        <v>4</v>
      </c>
      <c r="AW15" t="s">
        <v>11</v>
      </c>
      <c r="AX15">
        <v>3800</v>
      </c>
      <c r="AY15">
        <v>9100</v>
      </c>
      <c r="AZ15" t="s">
        <v>12</v>
      </c>
      <c r="BA15" t="s">
        <v>12</v>
      </c>
      <c r="BB15" t="s">
        <v>4</v>
      </c>
      <c r="BC15" t="s">
        <v>1130</v>
      </c>
      <c r="BD15" t="s">
        <v>5040</v>
      </c>
      <c r="BE15" t="s">
        <v>4</v>
      </c>
      <c r="BF15" t="s">
        <v>12</v>
      </c>
      <c r="BG15" t="s">
        <v>4</v>
      </c>
      <c r="BH15" t="s">
        <v>12</v>
      </c>
      <c r="BI15" t="s">
        <v>12</v>
      </c>
      <c r="BJ15" t="s">
        <v>2124</v>
      </c>
      <c r="BK15" t="s">
        <v>4</v>
      </c>
      <c r="BL15">
        <v>1</v>
      </c>
      <c r="BM15" t="s">
        <v>12</v>
      </c>
      <c r="BN15">
        <v>12900</v>
      </c>
      <c r="BO15" t="s">
        <v>12</v>
      </c>
      <c r="BP15" t="s">
        <v>12</v>
      </c>
      <c r="BQ15" t="s">
        <v>12</v>
      </c>
      <c r="BR15" t="s">
        <v>4</v>
      </c>
      <c r="BS15" t="s">
        <v>4</v>
      </c>
      <c r="BT15" t="s">
        <v>4</v>
      </c>
      <c r="BU15" t="s">
        <v>12</v>
      </c>
      <c r="BV15" t="s">
        <v>4</v>
      </c>
      <c r="BW15" t="s">
        <v>3</v>
      </c>
      <c r="BX15" t="s">
        <v>4</v>
      </c>
      <c r="BY15" t="s">
        <v>12</v>
      </c>
      <c r="BZ15" t="s">
        <v>12</v>
      </c>
      <c r="CA15" t="s">
        <v>12</v>
      </c>
      <c r="CB15" t="s">
        <v>1074</v>
      </c>
      <c r="CC15" t="s">
        <v>12</v>
      </c>
      <c r="CD15" t="str" cm="1">
        <f t="array" aca="1" ref="CD15" ca="1">eConcatenar(A15:CB15,"|")</f>
        <v>yBzI8qXHHsV8488l|COM2021-0556|3|IMPERIAL DE LUJO|TABASCO|COMALCALCO|COMALCALCO|2021-2-16|12900|X|X|100|0|x|X|x|X|X|X|X|X|X|X|X|x|X|x|HERNANDEZ|LOPEZ|MARIA ELVIA|CASADA|X|X|CARRETERA VECINAL A CHCHICAPA SIN NUMERO|BUENA VISTA|X|9331233704|GRISELDA RAMIREZ HERNANDEZ|BENEFICIARIO 2: JHONNY DEL CARMEN RAMIREZ HERNANDEZ|x|RUTA 4 L|X|LUNES|x|x|X|X|X|DOMICILIO|3800|9100|x|x|X|2021-9-21|2021-10-01|X|x|X|x|x|BUENA VISTA|X|1|x|12900|x|x|x|X|X|X|x|X|CARDENAS|X|x|x|x|final</v>
      </c>
    </row>
    <row r="16" spans="1:82" x14ac:dyDescent="0.25">
      <c r="A16" t="s">
        <v>5103</v>
      </c>
      <c r="B16" t="s">
        <v>5104</v>
      </c>
      <c r="C16">
        <v>3</v>
      </c>
      <c r="D16" t="s">
        <v>1</v>
      </c>
      <c r="E16" t="s">
        <v>2</v>
      </c>
      <c r="F16" t="s">
        <v>722</v>
      </c>
      <c r="G16" t="s">
        <v>722</v>
      </c>
      <c r="H16" t="s">
        <v>4726</v>
      </c>
      <c r="I16">
        <v>12900</v>
      </c>
      <c r="J16" t="s">
        <v>4</v>
      </c>
      <c r="K16" t="s">
        <v>4</v>
      </c>
      <c r="L16">
        <v>100</v>
      </c>
      <c r="M16">
        <v>0</v>
      </c>
      <c r="N16" t="s">
        <v>12</v>
      </c>
      <c r="O16" t="s">
        <v>4</v>
      </c>
      <c r="P16" t="s">
        <v>12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12</v>
      </c>
      <c r="Z16" t="s">
        <v>4</v>
      </c>
      <c r="AA16" t="s">
        <v>12</v>
      </c>
      <c r="AB16" t="s">
        <v>15</v>
      </c>
      <c r="AC16" t="s">
        <v>116</v>
      </c>
      <c r="AD16" t="s">
        <v>4720</v>
      </c>
      <c r="AE16" t="s">
        <v>59</v>
      </c>
      <c r="AF16" t="s">
        <v>4</v>
      </c>
      <c r="AG16" t="s">
        <v>4</v>
      </c>
      <c r="AH16" t="s">
        <v>5105</v>
      </c>
      <c r="AI16" t="s">
        <v>2216</v>
      </c>
      <c r="AJ16" t="s">
        <v>4</v>
      </c>
      <c r="AK16">
        <v>9331630873</v>
      </c>
      <c r="AL16" t="s">
        <v>5106</v>
      </c>
      <c r="AM16" t="s">
        <v>4</v>
      </c>
      <c r="AN16" t="s">
        <v>12</v>
      </c>
      <c r="AO16" t="s">
        <v>5039</v>
      </c>
      <c r="AP16" t="s">
        <v>4</v>
      </c>
      <c r="AQ16" t="s">
        <v>10</v>
      </c>
      <c r="AR16" t="s">
        <v>12</v>
      </c>
      <c r="AS16" t="s">
        <v>12</v>
      </c>
      <c r="AT16" t="s">
        <v>4</v>
      </c>
      <c r="AU16" t="s">
        <v>4</v>
      </c>
      <c r="AV16" t="s">
        <v>4</v>
      </c>
      <c r="AW16" t="s">
        <v>11</v>
      </c>
      <c r="AX16">
        <v>3500</v>
      </c>
      <c r="AY16">
        <v>9400</v>
      </c>
      <c r="AZ16" t="s">
        <v>12</v>
      </c>
      <c r="BA16" t="s">
        <v>12</v>
      </c>
      <c r="BB16" t="s">
        <v>4</v>
      </c>
      <c r="BC16" t="s">
        <v>1129</v>
      </c>
      <c r="BD16" t="s">
        <v>5040</v>
      </c>
      <c r="BE16" t="s">
        <v>4</v>
      </c>
      <c r="BF16" t="s">
        <v>12</v>
      </c>
      <c r="BG16" t="s">
        <v>4</v>
      </c>
      <c r="BH16" t="s">
        <v>12</v>
      </c>
      <c r="BI16" t="s">
        <v>12</v>
      </c>
      <c r="BJ16" t="s">
        <v>2216</v>
      </c>
      <c r="BK16" t="s">
        <v>4</v>
      </c>
      <c r="BL16">
        <v>0</v>
      </c>
      <c r="BM16" t="s">
        <v>12</v>
      </c>
      <c r="BN16">
        <v>12900</v>
      </c>
      <c r="BO16" t="s">
        <v>12</v>
      </c>
      <c r="BP16" t="s">
        <v>12</v>
      </c>
      <c r="BQ16" t="s">
        <v>12</v>
      </c>
      <c r="BR16" t="s">
        <v>4</v>
      </c>
      <c r="BS16" t="s">
        <v>4</v>
      </c>
      <c r="BT16" t="s">
        <v>4</v>
      </c>
      <c r="BU16" t="s">
        <v>12</v>
      </c>
      <c r="BV16" t="s">
        <v>4</v>
      </c>
      <c r="BW16" t="s">
        <v>3</v>
      </c>
      <c r="BX16" t="s">
        <v>4</v>
      </c>
      <c r="BY16" t="s">
        <v>12</v>
      </c>
      <c r="BZ16" t="s">
        <v>12</v>
      </c>
      <c r="CA16" t="s">
        <v>12</v>
      </c>
      <c r="CB16" t="s">
        <v>1074</v>
      </c>
      <c r="CC16" t="s">
        <v>12</v>
      </c>
      <c r="CD16" t="str" cm="1">
        <f t="array" aca="1" ref="CD16" ca="1">eConcatenar(A16:CB16,"|")</f>
        <v>NV8N7DqYQFnJguDJ|COM2020-3501|3|IMPERIAL DE LUJO|TABASCO|COMALCALCO|COMALCALCO|2020-12-23|12900|X|X|100|0|x|X|x|X|X|X|X|X|X|X|X|x|X|x|JIMENEZ|RODRIGUEZ|AGUSTIN |CASADO|X|X|CARRETERA COMALCALCO PARAISO|NORTE SEGUNDA SECCION |X|9331630873|ANGELITA DE JESUS PONCE|X|x|RUTA 4 L|X|LUNES|x|x|X|X|X|DOMICILIO|3500|9400|x|x|X|2021-9-20|2021-10-01|X|x|X|x|x|NORTE SEGUNDA SECCION |X|0|x|12900|x|x|x|X|X|X|x|X|CARDENAS|X|x|x|x|final</v>
      </c>
    </row>
    <row r="17" spans="1:82" x14ac:dyDescent="0.25">
      <c r="A17" t="s">
        <v>5107</v>
      </c>
      <c r="B17" t="s">
        <v>5108</v>
      </c>
      <c r="C17">
        <v>3</v>
      </c>
      <c r="D17" t="s">
        <v>1</v>
      </c>
      <c r="E17" t="s">
        <v>2</v>
      </c>
      <c r="F17" t="s">
        <v>654</v>
      </c>
      <c r="G17" t="s">
        <v>654</v>
      </c>
      <c r="H17" t="s">
        <v>5109</v>
      </c>
      <c r="I17">
        <v>12900</v>
      </c>
      <c r="J17" t="s">
        <v>4</v>
      </c>
      <c r="K17" t="s">
        <v>4</v>
      </c>
      <c r="L17">
        <v>200</v>
      </c>
      <c r="M17">
        <v>1</v>
      </c>
      <c r="N17" t="s">
        <v>12</v>
      </c>
      <c r="O17" t="s">
        <v>4</v>
      </c>
      <c r="P17" t="s">
        <v>12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12</v>
      </c>
      <c r="Z17" t="s">
        <v>4</v>
      </c>
      <c r="AA17" t="s">
        <v>12</v>
      </c>
      <c r="AB17" t="s">
        <v>6</v>
      </c>
      <c r="AC17" t="s">
        <v>4</v>
      </c>
      <c r="AD17" t="s">
        <v>5110</v>
      </c>
      <c r="AE17" t="s">
        <v>29</v>
      </c>
      <c r="AF17" t="s">
        <v>4</v>
      </c>
      <c r="AG17" t="s">
        <v>4</v>
      </c>
      <c r="AH17" t="s">
        <v>5111</v>
      </c>
      <c r="AI17" t="s">
        <v>577</v>
      </c>
      <c r="AJ17" t="s">
        <v>4</v>
      </c>
      <c r="AK17">
        <v>9334061403</v>
      </c>
      <c r="AL17" t="s">
        <v>5112</v>
      </c>
      <c r="AM17" t="s">
        <v>5113</v>
      </c>
      <c r="AN17" t="s">
        <v>12</v>
      </c>
      <c r="AO17" t="s">
        <v>5039</v>
      </c>
      <c r="AP17" t="s">
        <v>4</v>
      </c>
      <c r="AQ17" t="s">
        <v>10</v>
      </c>
      <c r="AR17" t="s">
        <v>12</v>
      </c>
      <c r="AS17" t="s">
        <v>12</v>
      </c>
      <c r="AT17" t="s">
        <v>4</v>
      </c>
      <c r="AU17" t="s">
        <v>4</v>
      </c>
      <c r="AV17" t="s">
        <v>4</v>
      </c>
      <c r="AW17" t="s">
        <v>11</v>
      </c>
      <c r="AX17">
        <v>3300</v>
      </c>
      <c r="AY17">
        <v>9600</v>
      </c>
      <c r="AZ17" t="s">
        <v>12</v>
      </c>
      <c r="BA17" t="s">
        <v>12</v>
      </c>
      <c r="BB17" t="s">
        <v>4</v>
      </c>
      <c r="BC17" t="s">
        <v>1129</v>
      </c>
      <c r="BD17" t="s">
        <v>5072</v>
      </c>
      <c r="BE17" t="s">
        <v>4</v>
      </c>
      <c r="BF17" t="s">
        <v>12</v>
      </c>
      <c r="BG17" t="s">
        <v>4</v>
      </c>
      <c r="BH17" t="s">
        <v>12</v>
      </c>
      <c r="BI17" t="s">
        <v>12</v>
      </c>
      <c r="BJ17" t="s">
        <v>577</v>
      </c>
      <c r="BK17" t="s">
        <v>4</v>
      </c>
      <c r="BL17">
        <v>1</v>
      </c>
      <c r="BM17" t="s">
        <v>12</v>
      </c>
      <c r="BN17">
        <v>12900</v>
      </c>
      <c r="BO17" t="s">
        <v>12</v>
      </c>
      <c r="BP17" t="s">
        <v>12</v>
      </c>
      <c r="BQ17" t="s">
        <v>12</v>
      </c>
      <c r="BR17" t="s">
        <v>4</v>
      </c>
      <c r="BS17" t="s">
        <v>4</v>
      </c>
      <c r="BT17" t="s">
        <v>4</v>
      </c>
      <c r="BU17" t="s">
        <v>12</v>
      </c>
      <c r="BV17" t="s">
        <v>4</v>
      </c>
      <c r="BW17" t="s">
        <v>303</v>
      </c>
      <c r="BX17" t="s">
        <v>4</v>
      </c>
      <c r="BY17" t="s">
        <v>12</v>
      </c>
      <c r="BZ17" t="s">
        <v>12</v>
      </c>
      <c r="CA17" t="s">
        <v>12</v>
      </c>
      <c r="CB17" t="s">
        <v>1074</v>
      </c>
      <c r="CC17" t="s">
        <v>12</v>
      </c>
      <c r="CD17" t="str" cm="1">
        <f t="array" aca="1" ref="CD17" ca="1">eConcatenar(A17:CB17,"|")</f>
        <v>tkImKyXRBnSTeusB|PAR2021-0934|3|IMPERIAL DE LUJO|TABASCO|PARAISO|PARAISO|2021-3-08|12900|X|X|200|1|x|X|x|X|X|X|X|X|X|X|X|x|X|x|DE LA CRUZ|X|JULIANA|CASADA|X|X|CALLE AMPARO MAGAÑA|QUINTIN ARAUZ|X|9334061403|ARELY HERNANDEZ GUEMEZ|BENEFICIARIO 2: AUGUSTO HERNANDEZ GUEMEZ|x|RUTA 4 L|X|LUNES|x|x|X|X|X|DOMICILIO|3300|9600|x|x|X|2021-9-20|2021-10-04|X|x|X|x|x|QUINTIN ARAUZ|X|1|x|12900|x|x|x|X|X|X|x|X|CARDENAS |X|x|x|x|final</v>
      </c>
    </row>
    <row r="18" spans="1:82" x14ac:dyDescent="0.25">
      <c r="A18" t="s">
        <v>5114</v>
      </c>
      <c r="B18" t="s">
        <v>5115</v>
      </c>
      <c r="C18">
        <v>3</v>
      </c>
      <c r="D18" t="s">
        <v>194</v>
      </c>
      <c r="E18" t="s">
        <v>2</v>
      </c>
      <c r="F18" t="s">
        <v>722</v>
      </c>
      <c r="G18" t="s">
        <v>722</v>
      </c>
      <c r="H18" t="s">
        <v>1123</v>
      </c>
      <c r="I18">
        <v>12900</v>
      </c>
      <c r="J18" t="s">
        <v>4</v>
      </c>
      <c r="K18" t="s">
        <v>4</v>
      </c>
      <c r="L18">
        <v>200</v>
      </c>
      <c r="M18">
        <v>1</v>
      </c>
      <c r="N18" t="s">
        <v>12</v>
      </c>
      <c r="O18" t="s">
        <v>4</v>
      </c>
      <c r="P18" t="s">
        <v>12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12</v>
      </c>
      <c r="Z18" t="s">
        <v>4</v>
      </c>
      <c r="AA18" t="s">
        <v>12</v>
      </c>
      <c r="AB18" t="s">
        <v>109</v>
      </c>
      <c r="AC18" t="s">
        <v>458</v>
      </c>
      <c r="AD18" t="s">
        <v>4764</v>
      </c>
      <c r="AE18" t="s">
        <v>134</v>
      </c>
      <c r="AF18" t="s">
        <v>4</v>
      </c>
      <c r="AG18" t="s">
        <v>4</v>
      </c>
      <c r="AH18" t="s">
        <v>5058</v>
      </c>
      <c r="AI18" t="s">
        <v>5059</v>
      </c>
      <c r="AJ18" t="s">
        <v>4</v>
      </c>
      <c r="AK18">
        <v>9331526083</v>
      </c>
      <c r="AL18" t="s">
        <v>5116</v>
      </c>
      <c r="AM18" t="s">
        <v>5117</v>
      </c>
      <c r="AN18" t="s">
        <v>12</v>
      </c>
      <c r="AO18" t="s">
        <v>5039</v>
      </c>
      <c r="AP18" t="s">
        <v>4</v>
      </c>
      <c r="AQ18" t="s">
        <v>10</v>
      </c>
      <c r="AR18" t="s">
        <v>12</v>
      </c>
      <c r="AS18" t="s">
        <v>12</v>
      </c>
      <c r="AT18" t="s">
        <v>4</v>
      </c>
      <c r="AU18" t="s">
        <v>4</v>
      </c>
      <c r="AV18" t="s">
        <v>4</v>
      </c>
      <c r="AW18" t="s">
        <v>11</v>
      </c>
      <c r="AX18">
        <v>5400</v>
      </c>
      <c r="AY18">
        <v>7500</v>
      </c>
      <c r="AZ18" t="s">
        <v>12</v>
      </c>
      <c r="BA18" t="s">
        <v>12</v>
      </c>
      <c r="BB18" t="s">
        <v>4</v>
      </c>
      <c r="BC18" t="s">
        <v>1129</v>
      </c>
      <c r="BD18" t="s">
        <v>5072</v>
      </c>
      <c r="BE18" t="s">
        <v>4</v>
      </c>
      <c r="BF18" t="s">
        <v>12</v>
      </c>
      <c r="BG18" t="s">
        <v>4</v>
      </c>
      <c r="BH18" t="s">
        <v>12</v>
      </c>
      <c r="BI18" t="s">
        <v>12</v>
      </c>
      <c r="BJ18" t="s">
        <v>5118</v>
      </c>
      <c r="BK18" t="s">
        <v>4</v>
      </c>
      <c r="BL18">
        <v>1</v>
      </c>
      <c r="BM18" t="s">
        <v>12</v>
      </c>
      <c r="BN18">
        <v>12900</v>
      </c>
      <c r="BO18" t="s">
        <v>12</v>
      </c>
      <c r="BP18" t="s">
        <v>12</v>
      </c>
      <c r="BQ18" t="s">
        <v>12</v>
      </c>
      <c r="BR18" t="s">
        <v>4</v>
      </c>
      <c r="BS18" t="s">
        <v>4</v>
      </c>
      <c r="BT18" t="s">
        <v>4</v>
      </c>
      <c r="BU18" t="s">
        <v>12</v>
      </c>
      <c r="BV18" t="s">
        <v>4</v>
      </c>
      <c r="BW18" t="s">
        <v>3</v>
      </c>
      <c r="BX18" t="s">
        <v>4</v>
      </c>
      <c r="BY18" t="s">
        <v>12</v>
      </c>
      <c r="BZ18" t="s">
        <v>12</v>
      </c>
      <c r="CA18" t="s">
        <v>12</v>
      </c>
      <c r="CB18" t="s">
        <v>1074</v>
      </c>
      <c r="CC18" t="s">
        <v>12</v>
      </c>
      <c r="CD18" t="str" cm="1">
        <f t="array" aca="1" ref="CD18" ca="1">eConcatenar(A18:CB18,"|")</f>
        <v>TrPdTP5cFagh5vpL|COM2020-1971|3|ECONOLINE|TABASCO|COMALCALCO|COMALCALCO|2021-9-14|12900|X|X|200|1|x|X|x|X|X|X|X|X|X|X|X|x|X|x|PEREZ|CHABLE|ASUNCION |VIUDA|X|X|ENTRADA LOS PINOS |INDEPENDENCIA PRIMERA SECCION|X|9331526083|MATILDE CASTILLO PEREZ|BENEFICIARIO 2: PEDRO PEREZ CHABLE |x|RUTA 4 L|X|LUNES|x|x|X|X|X|DOMICILIO|5400|7500|x|x|X|2021-9-20|2021-10-04|X|x|X|x|x|INDEPENDENCIA PRIMERA SECCION |X|1|x|12900|x|x|x|X|X|X|x|X|CARDENAS|X|x|x|x|final</v>
      </c>
    </row>
    <row r="19" spans="1:82" x14ac:dyDescent="0.25">
      <c r="A19" t="s">
        <v>5119</v>
      </c>
      <c r="B19" t="s">
        <v>5120</v>
      </c>
      <c r="C19">
        <v>3</v>
      </c>
      <c r="D19" t="s">
        <v>65</v>
      </c>
      <c r="E19" t="s">
        <v>2</v>
      </c>
      <c r="F19" t="s">
        <v>654</v>
      </c>
      <c r="G19" t="s">
        <v>654</v>
      </c>
      <c r="H19" t="s">
        <v>5121</v>
      </c>
      <c r="I19">
        <v>14800</v>
      </c>
      <c r="J19" t="s">
        <v>4</v>
      </c>
      <c r="K19" t="s">
        <v>4</v>
      </c>
      <c r="L19">
        <v>200</v>
      </c>
      <c r="M19">
        <v>1</v>
      </c>
      <c r="N19" t="s">
        <v>12</v>
      </c>
      <c r="O19" t="s">
        <v>4</v>
      </c>
      <c r="P19" t="s">
        <v>12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12</v>
      </c>
      <c r="Z19" t="s">
        <v>4</v>
      </c>
      <c r="AA19" t="s">
        <v>12</v>
      </c>
      <c r="AB19" t="s">
        <v>36</v>
      </c>
      <c r="AC19" t="s">
        <v>109</v>
      </c>
      <c r="AD19" t="s">
        <v>4714</v>
      </c>
      <c r="AE19" t="s">
        <v>4</v>
      </c>
      <c r="AF19" t="s">
        <v>4</v>
      </c>
      <c r="AG19" t="s">
        <v>4</v>
      </c>
      <c r="AH19" t="s">
        <v>5122</v>
      </c>
      <c r="AI19" t="s">
        <v>5123</v>
      </c>
      <c r="AJ19" t="s">
        <v>5124</v>
      </c>
      <c r="AK19">
        <v>9331307700</v>
      </c>
      <c r="AL19" t="s">
        <v>5125</v>
      </c>
      <c r="AM19" t="s">
        <v>5126</v>
      </c>
      <c r="AN19" t="s">
        <v>12</v>
      </c>
      <c r="AO19" t="s">
        <v>5039</v>
      </c>
      <c r="AP19" t="s">
        <v>4</v>
      </c>
      <c r="AQ19" t="s">
        <v>10</v>
      </c>
      <c r="AR19" t="s">
        <v>12</v>
      </c>
      <c r="AS19" t="s">
        <v>12</v>
      </c>
      <c r="AT19" t="s">
        <v>4</v>
      </c>
      <c r="AU19" t="s">
        <v>4</v>
      </c>
      <c r="AV19" t="s">
        <v>4</v>
      </c>
      <c r="AW19" t="s">
        <v>11</v>
      </c>
      <c r="AX19">
        <v>1700</v>
      </c>
      <c r="AY19">
        <v>13100</v>
      </c>
      <c r="AZ19" t="s">
        <v>12</v>
      </c>
      <c r="BA19" t="s">
        <v>12</v>
      </c>
      <c r="BB19" t="s">
        <v>4</v>
      </c>
      <c r="BC19" t="s">
        <v>1129</v>
      </c>
      <c r="BD19" t="s">
        <v>5072</v>
      </c>
      <c r="BE19" t="s">
        <v>4</v>
      </c>
      <c r="BF19" t="s">
        <v>12</v>
      </c>
      <c r="BG19" t="s">
        <v>4</v>
      </c>
      <c r="BH19" t="s">
        <v>12</v>
      </c>
      <c r="BI19" t="s">
        <v>12</v>
      </c>
      <c r="BJ19" t="s">
        <v>2001</v>
      </c>
      <c r="BK19" t="s">
        <v>4</v>
      </c>
      <c r="BL19">
        <v>0</v>
      </c>
      <c r="BM19" t="s">
        <v>12</v>
      </c>
      <c r="BN19">
        <v>14800</v>
      </c>
      <c r="BO19" t="s">
        <v>12</v>
      </c>
      <c r="BP19" t="s">
        <v>12</v>
      </c>
      <c r="BQ19" t="s">
        <v>12</v>
      </c>
      <c r="BR19" t="s">
        <v>4</v>
      </c>
      <c r="BS19" t="s">
        <v>4</v>
      </c>
      <c r="BT19" t="s">
        <v>4</v>
      </c>
      <c r="BU19" t="s">
        <v>12</v>
      </c>
      <c r="BV19" t="s">
        <v>4</v>
      </c>
      <c r="BW19" t="s">
        <v>3</v>
      </c>
      <c r="BX19" t="s">
        <v>4</v>
      </c>
      <c r="BY19" t="s">
        <v>12</v>
      </c>
      <c r="BZ19" t="s">
        <v>12</v>
      </c>
      <c r="CA19" t="s">
        <v>12</v>
      </c>
      <c r="CB19" t="s">
        <v>1074</v>
      </c>
      <c r="CC19" t="s">
        <v>12</v>
      </c>
      <c r="CD19" t="str" cm="1">
        <f t="array" aca="1" ref="CD19" ca="1">eConcatenar(A19:CB19,"|")</f>
        <v>vysz5LdxGkkxsAjT|PAR2021-1520|3|MEMORIAL|TABASCO|PARAISO|PARAISO|2021-5-03|14800|X|X|200|1|x|X|x|X|X|X|X|X|X|X|X|x|X|x|HERNANDEZ|PEREZ|JESUS|X|X|X|CALLE ARTURO FLORES SIN NUMERO |ORIENTE SAN VAYETANO|ENTRE CALLE ARTURO FLORES Y AUTOPISTA COMALCALCO PARAISO|9331307700|LAIDY ARIANA MARTINEZ HERNANDEZ|BENEFICIARIO 2: NESTOR EDUARDO HERNANDEZ MARTINEZ|x|RUTA 4 L|X|LUNES|x|x|X|X|X|DOMICILIO|1700|13100|x|x|X|2021-9-20|2021-10-04|X|x|X|x|x|ORIENTE SAN CAYETANO|X|0|x|14800|x|x|x|X|X|X|x|X|CARDENAS|X|x|x|x|final</v>
      </c>
    </row>
    <row r="20" spans="1:82" x14ac:dyDescent="0.25">
      <c r="A20" t="s">
        <v>5127</v>
      </c>
      <c r="B20" t="s">
        <v>5128</v>
      </c>
      <c r="C20">
        <v>3</v>
      </c>
      <c r="D20" t="s">
        <v>194</v>
      </c>
      <c r="E20" t="s">
        <v>2</v>
      </c>
      <c r="F20" t="s">
        <v>654</v>
      </c>
      <c r="G20" t="s">
        <v>654</v>
      </c>
      <c r="H20" t="s">
        <v>5129</v>
      </c>
      <c r="I20">
        <v>12900</v>
      </c>
      <c r="J20" t="s">
        <v>4</v>
      </c>
      <c r="K20" t="s">
        <v>4</v>
      </c>
      <c r="L20">
        <v>200</v>
      </c>
      <c r="M20">
        <v>1</v>
      </c>
      <c r="N20" t="s">
        <v>12</v>
      </c>
      <c r="O20" t="s">
        <v>4</v>
      </c>
      <c r="P20" t="s">
        <v>12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4</v>
      </c>
      <c r="Z20" t="s">
        <v>4</v>
      </c>
      <c r="AA20" t="s">
        <v>12</v>
      </c>
      <c r="AB20" t="s">
        <v>5130</v>
      </c>
      <c r="AC20" t="s">
        <v>5131</v>
      </c>
      <c r="AD20" t="s">
        <v>5132</v>
      </c>
      <c r="AE20" t="s">
        <v>59</v>
      </c>
      <c r="AF20" t="s">
        <v>4</v>
      </c>
      <c r="AG20" t="s">
        <v>4</v>
      </c>
      <c r="AH20" t="s">
        <v>5133</v>
      </c>
      <c r="AI20" t="s">
        <v>40</v>
      </c>
      <c r="AJ20" t="s">
        <v>5134</v>
      </c>
      <c r="AK20">
        <v>9331330274</v>
      </c>
      <c r="AL20" t="s">
        <v>5135</v>
      </c>
      <c r="AM20" t="s">
        <v>5136</v>
      </c>
      <c r="AN20" t="s">
        <v>12</v>
      </c>
      <c r="AO20" t="s">
        <v>5039</v>
      </c>
      <c r="AP20" t="s">
        <v>4</v>
      </c>
      <c r="AQ20" t="s">
        <v>10</v>
      </c>
      <c r="AR20" t="s">
        <v>12</v>
      </c>
      <c r="AS20" t="s">
        <v>12</v>
      </c>
      <c r="AT20" t="s">
        <v>4</v>
      </c>
      <c r="AU20" t="s">
        <v>4</v>
      </c>
      <c r="AV20" t="s">
        <v>4</v>
      </c>
      <c r="AW20" t="s">
        <v>11</v>
      </c>
      <c r="AX20">
        <v>7600</v>
      </c>
      <c r="AY20">
        <v>5300</v>
      </c>
      <c r="AZ20" t="s">
        <v>12</v>
      </c>
      <c r="BA20" t="s">
        <v>12</v>
      </c>
      <c r="BB20" t="s">
        <v>4</v>
      </c>
      <c r="BC20" t="s">
        <v>1129</v>
      </c>
      <c r="BD20" t="s">
        <v>5072</v>
      </c>
      <c r="BE20" t="s">
        <v>4</v>
      </c>
      <c r="BF20" t="s">
        <v>12</v>
      </c>
      <c r="BG20" t="s">
        <v>4</v>
      </c>
      <c r="BH20" t="s">
        <v>12</v>
      </c>
      <c r="BI20" t="s">
        <v>12</v>
      </c>
      <c r="BJ20" t="s">
        <v>39</v>
      </c>
      <c r="BK20" t="s">
        <v>4</v>
      </c>
      <c r="BL20">
        <v>0</v>
      </c>
      <c r="BM20" t="s">
        <v>12</v>
      </c>
      <c r="BN20">
        <v>12900</v>
      </c>
      <c r="BO20" t="s">
        <v>12</v>
      </c>
      <c r="BP20" t="s">
        <v>12</v>
      </c>
      <c r="BQ20" t="s">
        <v>12</v>
      </c>
      <c r="BR20" t="s">
        <v>4</v>
      </c>
      <c r="BS20" t="s">
        <v>4</v>
      </c>
      <c r="BT20" t="s">
        <v>4</v>
      </c>
      <c r="BU20" t="s">
        <v>4</v>
      </c>
      <c r="BV20" t="s">
        <v>4</v>
      </c>
      <c r="BW20" t="s">
        <v>303</v>
      </c>
      <c r="BX20" t="s">
        <v>4</v>
      </c>
      <c r="BY20" t="s">
        <v>12</v>
      </c>
      <c r="BZ20" t="s">
        <v>12</v>
      </c>
      <c r="CA20" t="s">
        <v>12</v>
      </c>
      <c r="CB20" t="s">
        <v>1074</v>
      </c>
      <c r="CC20" t="s">
        <v>12</v>
      </c>
      <c r="CD20" t="str" cm="1">
        <f t="array" aca="1" ref="CD20" ca="1">eConcatenar(A20:CB20,"|")</f>
        <v>vgfpAcg0XNatRyoH|PAR2020-0527|3|ECONOLINE|TABASCO|PARAISO|PARAISO|2020-2-21|12900|X|X|200|1|x|X|x|X|X|X|X|X|X|X|X|X|X|x|PALMA|PECHE|CARMEN |CASADO|X|X|CARRETERA A LAS FLORES |CENTRO|ENTRADA A LAS FLORES |9331330274|DANNY DEL CARMEN PALMA PALMA |BENEFICIARIO 2: VICKY PALMA PALMA |x|RUTA 4 L|X|LUNES|x|x|X|X|X|DOMICILIO|7600|5300|x|x|X|2021-9-20|2021-10-04|X|x|X|x|x|CENTRO |X|0|x|12900|x|x|x|X|X|X|X|X|CARDENAS |X|x|x|x|final</v>
      </c>
    </row>
    <row r="21" spans="1:82" x14ac:dyDescent="0.25">
      <c r="A21" t="s">
        <v>5137</v>
      </c>
      <c r="B21" t="s">
        <v>5138</v>
      </c>
      <c r="C21">
        <v>3</v>
      </c>
      <c r="D21" t="s">
        <v>1</v>
      </c>
      <c r="E21" t="s">
        <v>2</v>
      </c>
      <c r="F21" t="s">
        <v>654</v>
      </c>
      <c r="G21" t="s">
        <v>654</v>
      </c>
      <c r="H21" t="s">
        <v>4726</v>
      </c>
      <c r="I21">
        <v>12900</v>
      </c>
      <c r="J21" t="s">
        <v>4</v>
      </c>
      <c r="K21" t="s">
        <v>4</v>
      </c>
      <c r="L21">
        <v>200</v>
      </c>
      <c r="M21">
        <v>1</v>
      </c>
      <c r="N21" t="s">
        <v>12</v>
      </c>
      <c r="O21" t="s">
        <v>4</v>
      </c>
      <c r="P21" t="s">
        <v>12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4</v>
      </c>
      <c r="Z21" t="s">
        <v>4</v>
      </c>
      <c r="AA21" t="s">
        <v>12</v>
      </c>
      <c r="AB21" t="s">
        <v>6</v>
      </c>
      <c r="AC21" t="s">
        <v>265</v>
      </c>
      <c r="AD21" t="s">
        <v>5139</v>
      </c>
      <c r="AE21" t="s">
        <v>29</v>
      </c>
      <c r="AF21" t="s">
        <v>4</v>
      </c>
      <c r="AG21" t="s">
        <v>4</v>
      </c>
      <c r="AH21" t="s">
        <v>670</v>
      </c>
      <c r="AI21" t="s">
        <v>5140</v>
      </c>
      <c r="AJ21" t="s">
        <v>4</v>
      </c>
      <c r="AK21">
        <v>9331297128</v>
      </c>
      <c r="AL21" t="s">
        <v>5141</v>
      </c>
      <c r="AM21" t="s">
        <v>5142</v>
      </c>
      <c r="AN21" t="s">
        <v>12</v>
      </c>
      <c r="AO21" t="s">
        <v>5039</v>
      </c>
      <c r="AP21" t="s">
        <v>4</v>
      </c>
      <c r="AQ21" t="s">
        <v>10</v>
      </c>
      <c r="AR21" t="s">
        <v>12</v>
      </c>
      <c r="AS21" t="s">
        <v>12</v>
      </c>
      <c r="AT21" t="s">
        <v>4</v>
      </c>
      <c r="AU21" t="s">
        <v>4</v>
      </c>
      <c r="AV21" t="s">
        <v>4</v>
      </c>
      <c r="AW21" t="s">
        <v>11</v>
      </c>
      <c r="AX21">
        <v>4600</v>
      </c>
      <c r="AY21">
        <v>8300</v>
      </c>
      <c r="AZ21" t="s">
        <v>12</v>
      </c>
      <c r="BA21" t="s">
        <v>12</v>
      </c>
      <c r="BB21" t="s">
        <v>5143</v>
      </c>
      <c r="BC21" t="s">
        <v>1129</v>
      </c>
      <c r="BD21" t="s">
        <v>5072</v>
      </c>
      <c r="BE21" t="s">
        <v>4</v>
      </c>
      <c r="BF21" t="s">
        <v>12</v>
      </c>
      <c r="BG21" t="s">
        <v>4</v>
      </c>
      <c r="BH21" t="s">
        <v>12</v>
      </c>
      <c r="BI21" t="s">
        <v>12</v>
      </c>
      <c r="BJ21" t="s">
        <v>5140</v>
      </c>
      <c r="BK21" t="s">
        <v>4</v>
      </c>
      <c r="BL21">
        <v>1</v>
      </c>
      <c r="BM21" t="s">
        <v>12</v>
      </c>
      <c r="BN21">
        <v>12900</v>
      </c>
      <c r="BO21" t="s">
        <v>12</v>
      </c>
      <c r="BP21" t="s">
        <v>12</v>
      </c>
      <c r="BQ21" t="s">
        <v>12</v>
      </c>
      <c r="BR21" t="s">
        <v>4</v>
      </c>
      <c r="BS21" t="s">
        <v>5144</v>
      </c>
      <c r="BT21" t="s">
        <v>4</v>
      </c>
      <c r="BU21" t="s">
        <v>4</v>
      </c>
      <c r="BV21" t="s">
        <v>4</v>
      </c>
      <c r="BW21" t="s">
        <v>303</v>
      </c>
      <c r="BX21" t="s">
        <v>4</v>
      </c>
      <c r="BY21" t="s">
        <v>12</v>
      </c>
      <c r="BZ21" t="s">
        <v>12</v>
      </c>
      <c r="CA21" t="s">
        <v>12</v>
      </c>
      <c r="CB21" t="s">
        <v>1074</v>
      </c>
      <c r="CC21" t="s">
        <v>12</v>
      </c>
      <c r="CD21" t="str" cm="1">
        <f t="array" aca="1" ref="CD21" ca="1">eConcatenar(A21:CB21,"|")</f>
        <v>0gzWq8v0YPJt1zUT|PAR2020-5465|3|IMPERIAL DE LUJO|TABASCO|PARAISO|PARAISO|2020-12-23|12900|X|X|200|1|x|X|x|X|X|X|X|X|X|X|X|X|X|x|DE LA CRUZ|DOMINGUEZ|BARTOLA|CASADA|X|X|CARRETERA VECINAL PARAISO COMALCALCO|FRANCISCO I MADERO PRIMERA |X|9331297128|VIANEY JIMENEZ DE LA CRUZ |BENEFICIARIO 2: BARTOLA JIMENEZ DE LA CRUZ |x|RUTA 4 L|X|LUNES|x|x|X|X|X|DOMICILIO|4600|8300|x|x|RETRASO 1|2021-9-20|2021-10-04|X|x|X|x|x|FRANCISCO I MADERO PRIMERA |X|1|x|12900|x|x|x|X|   |X|X|X|CARDENAS |X|x|x|x|final</v>
      </c>
    </row>
    <row r="22" spans="1:82" x14ac:dyDescent="0.25">
      <c r="A22" t="s">
        <v>5145</v>
      </c>
      <c r="B22" t="s">
        <v>5146</v>
      </c>
      <c r="C22">
        <v>3</v>
      </c>
      <c r="D22" t="s">
        <v>65</v>
      </c>
      <c r="E22" t="s">
        <v>2</v>
      </c>
      <c r="F22" t="s">
        <v>722</v>
      </c>
      <c r="G22" t="s">
        <v>722</v>
      </c>
      <c r="H22" t="s">
        <v>5147</v>
      </c>
      <c r="I22">
        <v>14800</v>
      </c>
      <c r="J22" t="s">
        <v>4</v>
      </c>
      <c r="K22" t="s">
        <v>4</v>
      </c>
      <c r="L22">
        <v>100</v>
      </c>
      <c r="M22">
        <v>0</v>
      </c>
      <c r="N22" t="s">
        <v>12</v>
      </c>
      <c r="O22" t="s">
        <v>4</v>
      </c>
      <c r="P22" t="s">
        <v>12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4</v>
      </c>
      <c r="Z22" t="s">
        <v>4</v>
      </c>
      <c r="AA22" t="s">
        <v>12</v>
      </c>
      <c r="AB22" t="s">
        <v>172</v>
      </c>
      <c r="AC22" t="s">
        <v>433</v>
      </c>
      <c r="AD22" t="s">
        <v>5148</v>
      </c>
      <c r="AE22" t="s">
        <v>29</v>
      </c>
      <c r="AF22" t="s">
        <v>4</v>
      </c>
      <c r="AG22" t="s">
        <v>4</v>
      </c>
      <c r="AH22" t="s">
        <v>5149</v>
      </c>
      <c r="AI22" t="s">
        <v>5150</v>
      </c>
      <c r="AJ22" t="s">
        <v>4</v>
      </c>
      <c r="AK22">
        <v>9331304379</v>
      </c>
      <c r="AL22" t="s">
        <v>5151</v>
      </c>
      <c r="AM22" t="s">
        <v>4</v>
      </c>
      <c r="AN22" t="s">
        <v>12</v>
      </c>
      <c r="AO22" t="s">
        <v>5039</v>
      </c>
      <c r="AP22" t="s">
        <v>4</v>
      </c>
      <c r="AQ22" t="s">
        <v>10</v>
      </c>
      <c r="AR22" t="s">
        <v>12</v>
      </c>
      <c r="AS22" t="s">
        <v>12</v>
      </c>
      <c r="AT22" t="s">
        <v>4</v>
      </c>
      <c r="AU22" t="s">
        <v>4</v>
      </c>
      <c r="AV22" t="s">
        <v>4</v>
      </c>
      <c r="AW22" t="s">
        <v>11</v>
      </c>
      <c r="AX22">
        <v>1400</v>
      </c>
      <c r="AY22">
        <v>13400</v>
      </c>
      <c r="AZ22" t="s">
        <v>12</v>
      </c>
      <c r="BA22" t="s">
        <v>12</v>
      </c>
      <c r="BB22" t="s">
        <v>4</v>
      </c>
      <c r="BC22" t="s">
        <v>1129</v>
      </c>
      <c r="BD22" t="s">
        <v>1133</v>
      </c>
      <c r="BE22" t="s">
        <v>4</v>
      </c>
      <c r="BF22" t="s">
        <v>12</v>
      </c>
      <c r="BG22" t="s">
        <v>4</v>
      </c>
      <c r="BH22" t="s">
        <v>12</v>
      </c>
      <c r="BI22" t="s">
        <v>12</v>
      </c>
      <c r="BJ22" t="s">
        <v>5150</v>
      </c>
      <c r="BK22" t="s">
        <v>4</v>
      </c>
      <c r="BL22">
        <v>1</v>
      </c>
      <c r="BM22" t="s">
        <v>12</v>
      </c>
      <c r="BN22">
        <v>14800</v>
      </c>
      <c r="BO22" t="s">
        <v>12</v>
      </c>
      <c r="BP22" t="s">
        <v>12</v>
      </c>
      <c r="BQ22" t="s">
        <v>12</v>
      </c>
      <c r="BR22" t="s">
        <v>4</v>
      </c>
      <c r="BS22" t="s">
        <v>4</v>
      </c>
      <c r="BT22" t="s">
        <v>4</v>
      </c>
      <c r="BU22" t="s">
        <v>4</v>
      </c>
      <c r="BV22" t="s">
        <v>4</v>
      </c>
      <c r="BW22" t="s">
        <v>303</v>
      </c>
      <c r="BX22" t="s">
        <v>4</v>
      </c>
      <c r="BY22" t="s">
        <v>12</v>
      </c>
      <c r="BZ22" t="s">
        <v>12</v>
      </c>
      <c r="CA22" t="s">
        <v>12</v>
      </c>
      <c r="CB22" t="s">
        <v>1074</v>
      </c>
      <c r="CC22" t="s">
        <v>12</v>
      </c>
      <c r="CD22" t="str" cm="1">
        <f t="array" aca="1" ref="CD22" ca="1">eConcatenar(A22:CB22,"|")</f>
        <v>AWrhdk2IVDOw5mWN|COM2021-1953|3|MEMORIAL|TABASCO|COMALCALCO|COMALCALCO|2021-6-09|14800|X|X|100|0|x|X|x|X|X|X|X|X|X|X|X|X|X|x|COLORADO|PEREZ |DALILA |CASADA|X|X|CALLE REVOLUCION |BICENTENARIO |X|9331304379|ENRIQUE GONZALEZ LOPEZ |X|x|RUTA 4 L|X|LUNES|x|x|X|X|X|DOMICILIO|1400|13400|x|x|X|2021-9-20|2021-9-27|X|x|X|x|x|BICENTENARIO |X|1|x|14800|x|x|x|X|X|X|X|X|CARDENAS |X|x|x|x|final</v>
      </c>
    </row>
    <row r="23" spans="1:82" x14ac:dyDescent="0.25">
      <c r="A23" t="s">
        <v>5152</v>
      </c>
      <c r="B23" t="s">
        <v>5153</v>
      </c>
      <c r="C23">
        <v>3</v>
      </c>
      <c r="D23" t="s">
        <v>65</v>
      </c>
      <c r="E23" t="s">
        <v>2</v>
      </c>
      <c r="F23" t="s">
        <v>722</v>
      </c>
      <c r="G23" t="s">
        <v>722</v>
      </c>
      <c r="H23" t="s">
        <v>1097</v>
      </c>
      <c r="I23">
        <v>14800</v>
      </c>
      <c r="J23" t="s">
        <v>4</v>
      </c>
      <c r="K23" t="s">
        <v>4</v>
      </c>
      <c r="L23">
        <v>200</v>
      </c>
      <c r="M23">
        <v>1</v>
      </c>
      <c r="N23" t="s">
        <v>12</v>
      </c>
      <c r="O23" t="s">
        <v>4</v>
      </c>
      <c r="P23" t="s">
        <v>12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4</v>
      </c>
      <c r="Z23" t="s">
        <v>4</v>
      </c>
      <c r="AA23" t="s">
        <v>12</v>
      </c>
      <c r="AB23" t="s">
        <v>4747</v>
      </c>
      <c r="AC23" t="s">
        <v>426</v>
      </c>
      <c r="AD23" t="s">
        <v>5154</v>
      </c>
      <c r="AE23" t="s">
        <v>4725</v>
      </c>
      <c r="AF23" t="s">
        <v>4</v>
      </c>
      <c r="AG23" t="s">
        <v>4</v>
      </c>
      <c r="AH23" t="s">
        <v>5155</v>
      </c>
      <c r="AI23" t="s">
        <v>2279</v>
      </c>
      <c r="AJ23" t="s">
        <v>92</v>
      </c>
      <c r="AK23">
        <v>9331583098</v>
      </c>
      <c r="AL23" t="s">
        <v>5156</v>
      </c>
      <c r="AM23" t="s">
        <v>5157</v>
      </c>
      <c r="AN23" t="s">
        <v>12</v>
      </c>
      <c r="AO23" t="s">
        <v>5039</v>
      </c>
      <c r="AP23" t="s">
        <v>4</v>
      </c>
      <c r="AQ23" t="s">
        <v>10</v>
      </c>
      <c r="AR23" t="s">
        <v>12</v>
      </c>
      <c r="AS23" t="s">
        <v>12</v>
      </c>
      <c r="AT23" t="s">
        <v>4</v>
      </c>
      <c r="AU23" t="s">
        <v>4</v>
      </c>
      <c r="AV23" t="s">
        <v>4</v>
      </c>
      <c r="AW23" t="s">
        <v>11</v>
      </c>
      <c r="AX23">
        <v>1900</v>
      </c>
      <c r="AY23">
        <v>12900</v>
      </c>
      <c r="AZ23" t="s">
        <v>12</v>
      </c>
      <c r="BA23" t="s">
        <v>12</v>
      </c>
      <c r="BB23" t="s">
        <v>4</v>
      </c>
      <c r="BC23" t="s">
        <v>1129</v>
      </c>
      <c r="BD23" t="s">
        <v>5072</v>
      </c>
      <c r="BE23" t="s">
        <v>4</v>
      </c>
      <c r="BF23" t="s">
        <v>12</v>
      </c>
      <c r="BG23" t="s">
        <v>4</v>
      </c>
      <c r="BH23" t="s">
        <v>12</v>
      </c>
      <c r="BI23" t="s">
        <v>12</v>
      </c>
      <c r="BJ23" t="s">
        <v>2279</v>
      </c>
      <c r="BK23" t="s">
        <v>4</v>
      </c>
      <c r="BL23">
        <v>1</v>
      </c>
      <c r="BM23" t="s">
        <v>12</v>
      </c>
      <c r="BN23">
        <v>14800</v>
      </c>
      <c r="BO23" t="s">
        <v>12</v>
      </c>
      <c r="BP23" t="s">
        <v>12</v>
      </c>
      <c r="BQ23" t="s">
        <v>12</v>
      </c>
      <c r="BR23" t="s">
        <v>4</v>
      </c>
      <c r="BS23" t="s">
        <v>4</v>
      </c>
      <c r="BT23" t="s">
        <v>4</v>
      </c>
      <c r="BU23" t="s">
        <v>4</v>
      </c>
      <c r="BV23" t="s">
        <v>4</v>
      </c>
      <c r="BW23" t="s">
        <v>303</v>
      </c>
      <c r="BX23" t="s">
        <v>4</v>
      </c>
      <c r="BY23" t="s">
        <v>12</v>
      </c>
      <c r="BZ23" t="s">
        <v>12</v>
      </c>
      <c r="CA23" t="s">
        <v>12</v>
      </c>
      <c r="CB23" t="s">
        <v>1074</v>
      </c>
      <c r="CC23" t="s">
        <v>12</v>
      </c>
      <c r="CD23" t="str" cm="1">
        <f t="array" aca="1" ref="CD23" ca="1">eConcatenar(A23:CB23,"|")</f>
        <v>gbQMUiJwHn7QCSGI|COM2021-1982|3|MEMORIAL|TABASCO|COMALCALCO|COMALCALCO|2021-6-15|14800|X|X|200|1|x|X|x|X|X|X|X|X|X|X|X|X|X|x|ARJONA|HERNANDEZ |ESTELA |SEPARADA |X|X|ENTRADA LOS HERNANDEZ |FRANCISCO I MADERO SEGUNDA SECCION |CARRETERA PRINCIPAL|9331583098|CECILIA ARJONA HERNANDEZ |BENEFICIARIO 2: RICARDO ARJONA HERNANDEZ|x|RUTA 4 L|X|LUNES|x|x|X|X|X|DOMICILIO|1900|12900|x|x|X|2021-9-20|2021-10-04|X|x|X|x|x|FRANCISCO I MADERO SEGUNDA SECCION |X|1|x|14800|x|x|x|X|X|X|X|X|CARDENAS |X|x|x|x|final</v>
      </c>
    </row>
    <row r="24" spans="1:82" x14ac:dyDescent="0.25">
      <c r="A24" t="s">
        <v>5158</v>
      </c>
      <c r="B24" t="s">
        <v>5159</v>
      </c>
      <c r="C24">
        <v>3</v>
      </c>
      <c r="D24" t="s">
        <v>65</v>
      </c>
      <c r="E24" t="s">
        <v>2</v>
      </c>
      <c r="F24" t="s">
        <v>722</v>
      </c>
      <c r="G24" t="s">
        <v>722</v>
      </c>
      <c r="H24" t="s">
        <v>1097</v>
      </c>
      <c r="I24">
        <v>14800</v>
      </c>
      <c r="J24" t="s">
        <v>4</v>
      </c>
      <c r="K24" t="s">
        <v>4</v>
      </c>
      <c r="L24">
        <v>200</v>
      </c>
      <c r="M24">
        <v>1</v>
      </c>
      <c r="N24" t="s">
        <v>12</v>
      </c>
      <c r="O24" t="s">
        <v>4</v>
      </c>
      <c r="P24" t="s">
        <v>12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4</v>
      </c>
      <c r="Z24" t="s">
        <v>4</v>
      </c>
      <c r="AA24" t="s">
        <v>12</v>
      </c>
      <c r="AB24" t="s">
        <v>36</v>
      </c>
      <c r="AC24" t="s">
        <v>551</v>
      </c>
      <c r="AD24" t="s">
        <v>5160</v>
      </c>
      <c r="AE24" t="s">
        <v>59</v>
      </c>
      <c r="AF24" t="s">
        <v>4</v>
      </c>
      <c r="AG24" t="s">
        <v>4</v>
      </c>
      <c r="AH24" t="s">
        <v>5161</v>
      </c>
      <c r="AI24" t="s">
        <v>2279</v>
      </c>
      <c r="AJ24" t="s">
        <v>4</v>
      </c>
      <c r="AK24">
        <v>9331243405</v>
      </c>
      <c r="AL24" t="s">
        <v>5162</v>
      </c>
      <c r="AM24" t="s">
        <v>5163</v>
      </c>
      <c r="AN24" t="s">
        <v>12</v>
      </c>
      <c r="AO24" t="s">
        <v>5039</v>
      </c>
      <c r="AP24" t="s">
        <v>4</v>
      </c>
      <c r="AQ24" t="s">
        <v>10</v>
      </c>
      <c r="AR24" t="s">
        <v>12</v>
      </c>
      <c r="AS24" t="s">
        <v>12</v>
      </c>
      <c r="AT24" t="s">
        <v>4</v>
      </c>
      <c r="AU24" t="s">
        <v>4</v>
      </c>
      <c r="AV24" t="s">
        <v>4</v>
      </c>
      <c r="AW24" t="s">
        <v>11</v>
      </c>
      <c r="AX24">
        <v>1600</v>
      </c>
      <c r="AY24">
        <v>13200</v>
      </c>
      <c r="AZ24" t="s">
        <v>12</v>
      </c>
      <c r="BA24" t="s">
        <v>12</v>
      </c>
      <c r="BB24" t="s">
        <v>4</v>
      </c>
      <c r="BC24" t="s">
        <v>1129</v>
      </c>
      <c r="BD24" t="s">
        <v>5072</v>
      </c>
      <c r="BE24" t="s">
        <v>4</v>
      </c>
      <c r="BF24" t="s">
        <v>12</v>
      </c>
      <c r="BG24" t="s">
        <v>4</v>
      </c>
      <c r="BH24" t="s">
        <v>12</v>
      </c>
      <c r="BI24" t="s">
        <v>12</v>
      </c>
      <c r="BJ24" t="s">
        <v>2279</v>
      </c>
      <c r="BK24" t="s">
        <v>4</v>
      </c>
      <c r="BL24">
        <v>0</v>
      </c>
      <c r="BM24" t="s">
        <v>12</v>
      </c>
      <c r="BN24">
        <v>14800</v>
      </c>
      <c r="BO24" t="s">
        <v>12</v>
      </c>
      <c r="BP24" t="s">
        <v>12</v>
      </c>
      <c r="BQ24" t="s">
        <v>12</v>
      </c>
      <c r="BR24" t="s">
        <v>4</v>
      </c>
      <c r="BS24" t="s">
        <v>4</v>
      </c>
      <c r="BT24" t="s">
        <v>4</v>
      </c>
      <c r="BU24" t="s">
        <v>4</v>
      </c>
      <c r="BV24" t="s">
        <v>4</v>
      </c>
      <c r="BW24" t="s">
        <v>303</v>
      </c>
      <c r="BX24" t="s">
        <v>4</v>
      </c>
      <c r="BY24" t="s">
        <v>12</v>
      </c>
      <c r="BZ24" t="s">
        <v>12</v>
      </c>
      <c r="CA24" t="s">
        <v>12</v>
      </c>
      <c r="CB24" t="s">
        <v>1074</v>
      </c>
      <c r="CC24" t="s">
        <v>12</v>
      </c>
      <c r="CD24" t="str" cm="1">
        <f t="array" aca="1" ref="CD24" ca="1">eConcatenar(A24:CB24,"|")</f>
        <v>Wg72ehNotgSHx8wj|PAR2021-1986|3|MEMORIAL|TABASCO|COMALCALCO|COMALCALCO|2021-6-15|14800|X|X|200|1|x|X|x|X|X|X|X|X|X|X|X|X|X|x|HERNANDEZ|TRINIDAD|ERNESTO |CASADO|X|X|CARRETERA A PARAISO COMALCALCO |FRANCISCO I MADERO SEGUNDA SECCION |X|9331243405|GRISELDA ARIAS CORDOVA |BENEFICIARIO 2: DIANA DEL CARMEN HERNANDEZ TRINIDAD |x|RUTA 4 L|X|LUNES|x|x|X|X|X|DOMICILIO|1600|13200|x|x|X|2021-9-20|2021-10-04|X|x|X|x|x|FRANCISCO I MADERO SEGUNDA SECCION |X|0|x|14800|x|x|x|X|X|X|X|X|CARDENAS |X|x|x|x|final</v>
      </c>
    </row>
    <row r="25" spans="1:82" x14ac:dyDescent="0.25">
      <c r="A25" t="s">
        <v>5164</v>
      </c>
      <c r="B25" t="s">
        <v>5165</v>
      </c>
      <c r="C25">
        <v>3</v>
      </c>
      <c r="D25" t="s">
        <v>65</v>
      </c>
      <c r="E25" t="s">
        <v>2</v>
      </c>
      <c r="F25" t="s">
        <v>654</v>
      </c>
      <c r="G25" t="s">
        <v>654</v>
      </c>
      <c r="H25" t="s">
        <v>1098</v>
      </c>
      <c r="I25">
        <v>14800</v>
      </c>
      <c r="J25" t="s">
        <v>4</v>
      </c>
      <c r="K25" t="s">
        <v>4</v>
      </c>
      <c r="L25">
        <v>200</v>
      </c>
      <c r="M25">
        <v>1</v>
      </c>
      <c r="N25" t="s">
        <v>12</v>
      </c>
      <c r="O25" t="s">
        <v>4</v>
      </c>
      <c r="P25" t="s">
        <v>12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4</v>
      </c>
      <c r="Z25" t="s">
        <v>4</v>
      </c>
      <c r="AA25" t="s">
        <v>12</v>
      </c>
      <c r="AB25" t="s">
        <v>234</v>
      </c>
      <c r="AC25" t="s">
        <v>624</v>
      </c>
      <c r="AD25" t="s">
        <v>4770</v>
      </c>
      <c r="AE25" t="s">
        <v>59</v>
      </c>
      <c r="AF25" t="s">
        <v>4</v>
      </c>
      <c r="AG25" t="s">
        <v>4</v>
      </c>
      <c r="AH25" t="s">
        <v>5166</v>
      </c>
      <c r="AI25" t="s">
        <v>687</v>
      </c>
      <c r="AJ25" t="s">
        <v>4</v>
      </c>
      <c r="AK25">
        <v>9331348445</v>
      </c>
      <c r="AL25" t="s">
        <v>5167</v>
      </c>
      <c r="AM25" t="s">
        <v>5168</v>
      </c>
      <c r="AN25" t="s">
        <v>12</v>
      </c>
      <c r="AO25" t="s">
        <v>5039</v>
      </c>
      <c r="AP25" t="s">
        <v>4</v>
      </c>
      <c r="AQ25" t="s">
        <v>10</v>
      </c>
      <c r="AR25" t="s">
        <v>12</v>
      </c>
      <c r="AS25" t="s">
        <v>12</v>
      </c>
      <c r="AT25" t="s">
        <v>4</v>
      </c>
      <c r="AU25" t="s">
        <v>4</v>
      </c>
      <c r="AV25" t="s">
        <v>4</v>
      </c>
      <c r="AW25" t="s">
        <v>11</v>
      </c>
      <c r="AX25">
        <v>1300</v>
      </c>
      <c r="AY25">
        <v>13500</v>
      </c>
      <c r="AZ25" t="s">
        <v>12</v>
      </c>
      <c r="BA25" t="s">
        <v>12</v>
      </c>
      <c r="BB25" t="s">
        <v>4</v>
      </c>
      <c r="BC25" t="s">
        <v>1129</v>
      </c>
      <c r="BD25" t="s">
        <v>5072</v>
      </c>
      <c r="BE25" t="s">
        <v>4</v>
      </c>
      <c r="BF25" t="s">
        <v>12</v>
      </c>
      <c r="BG25" t="s">
        <v>4</v>
      </c>
      <c r="BH25" t="s">
        <v>12</v>
      </c>
      <c r="BI25" t="s">
        <v>12</v>
      </c>
      <c r="BJ25" t="s">
        <v>687</v>
      </c>
      <c r="BK25" t="s">
        <v>4</v>
      </c>
      <c r="BL25">
        <v>0</v>
      </c>
      <c r="BM25" t="s">
        <v>12</v>
      </c>
      <c r="BN25">
        <v>14800</v>
      </c>
      <c r="BO25" t="s">
        <v>12</v>
      </c>
      <c r="BP25" t="s">
        <v>12</v>
      </c>
      <c r="BQ25" t="s">
        <v>12</v>
      </c>
      <c r="BR25" t="s">
        <v>4</v>
      </c>
      <c r="BS25" t="s">
        <v>4</v>
      </c>
      <c r="BT25" t="s">
        <v>4</v>
      </c>
      <c r="BU25" t="s">
        <v>4</v>
      </c>
      <c r="BV25" t="s">
        <v>4</v>
      </c>
      <c r="BW25" t="s">
        <v>303</v>
      </c>
      <c r="BX25" t="s">
        <v>4</v>
      </c>
      <c r="BY25" t="s">
        <v>12</v>
      </c>
      <c r="BZ25" t="s">
        <v>12</v>
      </c>
      <c r="CA25" t="s">
        <v>12</v>
      </c>
      <c r="CB25" t="s">
        <v>1074</v>
      </c>
      <c r="CC25" t="s">
        <v>12</v>
      </c>
      <c r="CD25" t="str" cm="1">
        <f t="array" aca="1" ref="CD25" ca="1">eConcatenar(A25:CB25,"|")</f>
        <v>aq6iFGloDJzkDPp0|PAR2021-2115|3|MEMORIAL|TABASCO|PARAISO|PARAISO|2021-6-16|14800|X|X|200|1|x|X|x|X|X|X|X|X|X|X|X|X|X|x|ARIAS |ALEJANDRO |SANTIAGO |CASADO|X|X|ENTRADA A LOS OSORIOS |MOCTEZUMA PRIMERA SECCION |X|9331348445|NURY DEL CARMEN CRUZ PALMA |BENEFICIARIO 2: ARI LUNA DE LA CRUZ |x|RUTA 4 L|X|LUNES|x|x|X|X|X|DOMICILIO|1300|13500|x|x|X|2021-9-20|2021-10-04|X|x|X|x|x|MOCTEZUMA PRIMERA SECCION |X|0|x|14800|x|x|x|X|X|X|X|X|CARDENAS |X|x|x|x|final</v>
      </c>
    </row>
    <row r="26" spans="1:82" x14ac:dyDescent="0.25">
      <c r="A26" t="s">
        <v>5169</v>
      </c>
      <c r="B26" t="s">
        <v>5170</v>
      </c>
      <c r="C26">
        <v>3</v>
      </c>
      <c r="D26" t="s">
        <v>194</v>
      </c>
      <c r="E26" t="s">
        <v>2</v>
      </c>
      <c r="F26" t="s">
        <v>654</v>
      </c>
      <c r="G26" t="s">
        <v>654</v>
      </c>
      <c r="H26" t="s">
        <v>5171</v>
      </c>
      <c r="I26">
        <v>12900</v>
      </c>
      <c r="J26" t="s">
        <v>4</v>
      </c>
      <c r="K26" t="s">
        <v>4</v>
      </c>
      <c r="L26">
        <v>200</v>
      </c>
      <c r="M26">
        <v>1</v>
      </c>
      <c r="N26" t="s">
        <v>12</v>
      </c>
      <c r="O26" t="s">
        <v>4</v>
      </c>
      <c r="P26" t="s">
        <v>12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4</v>
      </c>
      <c r="Z26" t="s">
        <v>4</v>
      </c>
      <c r="AA26" t="s">
        <v>12</v>
      </c>
      <c r="AB26" t="s">
        <v>395</v>
      </c>
      <c r="AC26" t="s">
        <v>116</v>
      </c>
      <c r="AD26" t="s">
        <v>5172</v>
      </c>
      <c r="AE26" t="s">
        <v>59</v>
      </c>
      <c r="AF26" t="s">
        <v>4</v>
      </c>
      <c r="AG26" t="s">
        <v>4</v>
      </c>
      <c r="AH26" t="s">
        <v>5173</v>
      </c>
      <c r="AI26" t="s">
        <v>1587</v>
      </c>
      <c r="AJ26" t="s">
        <v>4</v>
      </c>
      <c r="AK26">
        <v>9331355929</v>
      </c>
      <c r="AL26" t="s">
        <v>5174</v>
      </c>
      <c r="AM26" t="s">
        <v>5175</v>
      </c>
      <c r="AN26" t="s">
        <v>12</v>
      </c>
      <c r="AO26" t="s">
        <v>5039</v>
      </c>
      <c r="AP26" t="s">
        <v>4</v>
      </c>
      <c r="AQ26" t="s">
        <v>10</v>
      </c>
      <c r="AR26" t="s">
        <v>12</v>
      </c>
      <c r="AS26" t="s">
        <v>12</v>
      </c>
      <c r="AT26" t="s">
        <v>4</v>
      </c>
      <c r="AU26" t="s">
        <v>4</v>
      </c>
      <c r="AV26" t="s">
        <v>4</v>
      </c>
      <c r="AW26" t="s">
        <v>11</v>
      </c>
      <c r="AX26">
        <v>6300</v>
      </c>
      <c r="AY26">
        <v>6600</v>
      </c>
      <c r="AZ26" t="s">
        <v>12</v>
      </c>
      <c r="BA26" t="s">
        <v>12</v>
      </c>
      <c r="BB26" t="s">
        <v>4</v>
      </c>
      <c r="BC26" t="s">
        <v>1129</v>
      </c>
      <c r="BD26" t="s">
        <v>5072</v>
      </c>
      <c r="BE26" t="s">
        <v>4</v>
      </c>
      <c r="BF26" t="s">
        <v>12</v>
      </c>
      <c r="BG26" t="s">
        <v>4</v>
      </c>
      <c r="BH26" t="s">
        <v>12</v>
      </c>
      <c r="BI26" t="s">
        <v>12</v>
      </c>
      <c r="BJ26" t="s">
        <v>1587</v>
      </c>
      <c r="BK26" t="s">
        <v>4</v>
      </c>
      <c r="BL26">
        <v>0</v>
      </c>
      <c r="BM26" t="s">
        <v>12</v>
      </c>
      <c r="BN26">
        <v>12900</v>
      </c>
      <c r="BO26" t="s">
        <v>12</v>
      </c>
      <c r="BP26" t="s">
        <v>12</v>
      </c>
      <c r="BQ26" t="s">
        <v>12</v>
      </c>
      <c r="BR26" t="s">
        <v>4</v>
      </c>
      <c r="BS26" t="s">
        <v>4</v>
      </c>
      <c r="BT26" t="s">
        <v>4</v>
      </c>
      <c r="BU26" t="s">
        <v>4</v>
      </c>
      <c r="BV26" t="s">
        <v>4</v>
      </c>
      <c r="BW26" t="s">
        <v>303</v>
      </c>
      <c r="BX26" t="s">
        <v>4</v>
      </c>
      <c r="BY26" t="s">
        <v>12</v>
      </c>
      <c r="BZ26" t="s">
        <v>12</v>
      </c>
      <c r="CA26" t="s">
        <v>12</v>
      </c>
      <c r="CB26" t="s">
        <v>1074</v>
      </c>
      <c r="CC26" t="s">
        <v>12</v>
      </c>
      <c r="CD26" t="str" cm="1">
        <f t="array" aca="1" ref="CD26" ca="1">eConcatenar(A26:CB26,"|")</f>
        <v>zqMLAdN4UMoPdpGs|PAR2020-1107|3|ECONOLINE|TABASCO|PARAISO|PARAISO|2021-7-03|12900|X|X|200|1|x|X|x|X|X|X|X|X|X|X|X|X|X|x|ARELLANO|RODRIGUEZ|BENITO |CASADO|X|X|PRINCIPAL A LA UNION KILOMETRO 1.8 |LAS FLORES |X|9331355929|ENRIQUETA ALAMILLA CRUZ |BENEFICIARIO 2: ROSA MARIA ARELLANO RODRIGUEZ |x|RUTA 4 L|X|LUNES|x|x|X|X|X|DOMICILIO|6300|6600|x|x|X|2021-9-20|2021-10-04|X|x|X|x|x|LAS FLORES |X|0|x|12900|x|x|x|X|X|X|X|X|CARDENAS |X|x|x|x|final</v>
      </c>
    </row>
    <row r="27" spans="1:82" x14ac:dyDescent="0.25">
      <c r="A27" t="s">
        <v>5176</v>
      </c>
      <c r="B27" t="s">
        <v>5177</v>
      </c>
      <c r="C27">
        <v>3</v>
      </c>
      <c r="D27" t="s">
        <v>70</v>
      </c>
      <c r="E27" t="s">
        <v>2</v>
      </c>
      <c r="F27" t="s">
        <v>654</v>
      </c>
      <c r="G27" t="s">
        <v>654</v>
      </c>
      <c r="H27" t="s">
        <v>1101</v>
      </c>
      <c r="I27">
        <v>24500</v>
      </c>
      <c r="J27" t="s">
        <v>4</v>
      </c>
      <c r="K27" t="s">
        <v>4</v>
      </c>
      <c r="L27">
        <v>200</v>
      </c>
      <c r="M27">
        <v>1</v>
      </c>
      <c r="N27" t="s">
        <v>12</v>
      </c>
      <c r="O27" t="s">
        <v>4</v>
      </c>
      <c r="P27" t="s">
        <v>12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4</v>
      </c>
      <c r="Z27" t="s">
        <v>4</v>
      </c>
      <c r="AA27" t="s">
        <v>12</v>
      </c>
      <c r="AB27" t="s">
        <v>265</v>
      </c>
      <c r="AC27" t="s">
        <v>330</v>
      </c>
      <c r="AD27" t="s">
        <v>5178</v>
      </c>
      <c r="AE27" t="s">
        <v>29</v>
      </c>
      <c r="AF27" t="s">
        <v>4</v>
      </c>
      <c r="AG27" t="s">
        <v>4</v>
      </c>
      <c r="AH27" t="s">
        <v>5179</v>
      </c>
      <c r="AI27" t="s">
        <v>2279</v>
      </c>
      <c r="AJ27" t="s">
        <v>4</v>
      </c>
      <c r="AK27">
        <v>9331570273</v>
      </c>
      <c r="AL27" t="s">
        <v>5180</v>
      </c>
      <c r="AM27" t="s">
        <v>5181</v>
      </c>
      <c r="AN27" t="s">
        <v>12</v>
      </c>
      <c r="AO27" t="s">
        <v>5039</v>
      </c>
      <c r="AP27" t="s">
        <v>4</v>
      </c>
      <c r="AQ27" t="s">
        <v>10</v>
      </c>
      <c r="AR27" t="s">
        <v>12</v>
      </c>
      <c r="AS27" t="s">
        <v>12</v>
      </c>
      <c r="AT27" t="s">
        <v>4</v>
      </c>
      <c r="AU27" t="s">
        <v>4</v>
      </c>
      <c r="AV27" t="s">
        <v>4</v>
      </c>
      <c r="AW27" t="s">
        <v>11</v>
      </c>
      <c r="AX27">
        <v>1100</v>
      </c>
      <c r="AY27">
        <v>23400</v>
      </c>
      <c r="AZ27" t="s">
        <v>12</v>
      </c>
      <c r="BA27" t="s">
        <v>12</v>
      </c>
      <c r="BB27" t="s">
        <v>5143</v>
      </c>
      <c r="BC27" t="s">
        <v>1129</v>
      </c>
      <c r="BD27" t="s">
        <v>5072</v>
      </c>
      <c r="BE27" t="s">
        <v>4</v>
      </c>
      <c r="BF27" t="s">
        <v>12</v>
      </c>
      <c r="BG27" t="s">
        <v>4</v>
      </c>
      <c r="BH27" t="s">
        <v>12</v>
      </c>
      <c r="BI27" t="s">
        <v>12</v>
      </c>
      <c r="BJ27" t="s">
        <v>2279</v>
      </c>
      <c r="BK27" t="s">
        <v>4</v>
      </c>
      <c r="BL27">
        <v>1</v>
      </c>
      <c r="BM27" t="s">
        <v>12</v>
      </c>
      <c r="BN27">
        <v>24500</v>
      </c>
      <c r="BO27" t="s">
        <v>12</v>
      </c>
      <c r="BP27" t="s">
        <v>12</v>
      </c>
      <c r="BQ27" t="s">
        <v>12</v>
      </c>
      <c r="BR27" t="s">
        <v>4</v>
      </c>
      <c r="BS27" t="s">
        <v>4</v>
      </c>
      <c r="BT27" t="s">
        <v>4</v>
      </c>
      <c r="BU27" t="s">
        <v>4</v>
      </c>
      <c r="BV27" t="s">
        <v>4</v>
      </c>
      <c r="BW27" t="s">
        <v>303</v>
      </c>
      <c r="BX27" t="s">
        <v>4</v>
      </c>
      <c r="BY27" t="s">
        <v>12</v>
      </c>
      <c r="BZ27" t="s">
        <v>12</v>
      </c>
      <c r="CA27" t="s">
        <v>12</v>
      </c>
      <c r="CB27" t="s">
        <v>1074</v>
      </c>
      <c r="CC27" t="s">
        <v>12</v>
      </c>
      <c r="CD27" t="str" cm="1">
        <f t="array" aca="1" ref="CD27" ca="1">eConcatenar(A27:CB27,"|")</f>
        <v>gCIoiK8HpWPCZjvJ|PAR2021-2149|3|DIGNITY|TABASCO|PARAISO|PARAISO|2021-6-22|24500|X|X|200|1|x|X|x|X|X|X|X|X|X|X|X|X|X|x|DOMINGUEZ|JAVIER|NEREIDA|CASADA|X|X|ENTRADA AL CAMELLON |FRANCISCO I MADERO SEGUNDA SECCION |X|9331570273|WILIAMS ALEJANDRO ESPINO |BENEFICIARIO 2: RUTH DOMINGUEZ JAVIER |x|RUTA 4 L|X|LUNES|x|x|X|X|X|DOMICILIO|1100|23400|x|x|RETRASO 1|2021-9-20|2021-10-04|X|x|X|x|x|FRANCISCO I MADERO SEGUNDA SECCION |X|1|x|24500|x|x|x|X|X|X|X|X|CARDENAS |X|x|x|x|final</v>
      </c>
    </row>
    <row r="28" spans="1:82" x14ac:dyDescent="0.25">
      <c r="A28" t="s">
        <v>5182</v>
      </c>
      <c r="B28" t="s">
        <v>5183</v>
      </c>
      <c r="C28">
        <v>3</v>
      </c>
      <c r="D28" t="s">
        <v>65</v>
      </c>
      <c r="E28" t="s">
        <v>2</v>
      </c>
      <c r="F28" t="s">
        <v>654</v>
      </c>
      <c r="G28" t="s">
        <v>654</v>
      </c>
      <c r="H28" t="s">
        <v>4746</v>
      </c>
      <c r="I28">
        <v>14800</v>
      </c>
      <c r="J28" t="s">
        <v>4</v>
      </c>
      <c r="K28" t="s">
        <v>4</v>
      </c>
      <c r="L28">
        <v>200</v>
      </c>
      <c r="M28">
        <v>1</v>
      </c>
      <c r="N28" t="s">
        <v>12</v>
      </c>
      <c r="O28" t="s">
        <v>4</v>
      </c>
      <c r="P28" t="s">
        <v>12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4</v>
      </c>
      <c r="Z28" t="s">
        <v>4</v>
      </c>
      <c r="AA28" t="s">
        <v>12</v>
      </c>
      <c r="AB28" t="s">
        <v>5184</v>
      </c>
      <c r="AC28" t="s">
        <v>400</v>
      </c>
      <c r="AD28" t="s">
        <v>5185</v>
      </c>
      <c r="AE28" t="s">
        <v>29</v>
      </c>
      <c r="AF28" t="s">
        <v>4</v>
      </c>
      <c r="AG28" t="s">
        <v>4</v>
      </c>
      <c r="AH28" t="s">
        <v>670</v>
      </c>
      <c r="AI28" t="s">
        <v>687</v>
      </c>
      <c r="AJ28" t="s">
        <v>4</v>
      </c>
      <c r="AK28">
        <v>9331041005</v>
      </c>
      <c r="AL28" t="s">
        <v>5186</v>
      </c>
      <c r="AM28" t="s">
        <v>5187</v>
      </c>
      <c r="AN28" t="s">
        <v>12</v>
      </c>
      <c r="AO28" t="s">
        <v>5039</v>
      </c>
      <c r="AP28" t="s">
        <v>4</v>
      </c>
      <c r="AQ28" t="s">
        <v>10</v>
      </c>
      <c r="AR28" t="s">
        <v>12</v>
      </c>
      <c r="AS28" t="s">
        <v>12</v>
      </c>
      <c r="AT28" t="s">
        <v>4</v>
      </c>
      <c r="AU28" t="s">
        <v>4</v>
      </c>
      <c r="AV28" t="s">
        <v>4</v>
      </c>
      <c r="AW28" t="s">
        <v>11</v>
      </c>
      <c r="AX28">
        <v>1400</v>
      </c>
      <c r="AY28">
        <v>13400</v>
      </c>
      <c r="AZ28" t="s">
        <v>12</v>
      </c>
      <c r="BA28" t="s">
        <v>12</v>
      </c>
      <c r="BB28" t="s">
        <v>4</v>
      </c>
      <c r="BC28" t="s">
        <v>1129</v>
      </c>
      <c r="BD28" t="s">
        <v>5072</v>
      </c>
      <c r="BE28" t="s">
        <v>4</v>
      </c>
      <c r="BF28" t="s">
        <v>12</v>
      </c>
      <c r="BG28" t="s">
        <v>4</v>
      </c>
      <c r="BH28" t="s">
        <v>12</v>
      </c>
      <c r="BI28" t="s">
        <v>12</v>
      </c>
      <c r="BJ28" t="s">
        <v>687</v>
      </c>
      <c r="BK28" t="s">
        <v>4</v>
      </c>
      <c r="BL28">
        <v>1</v>
      </c>
      <c r="BM28" t="s">
        <v>12</v>
      </c>
      <c r="BN28">
        <v>14800</v>
      </c>
      <c r="BO28" t="s">
        <v>12</v>
      </c>
      <c r="BP28" t="s">
        <v>12</v>
      </c>
      <c r="BQ28" t="s">
        <v>12</v>
      </c>
      <c r="BR28" t="s">
        <v>4</v>
      </c>
      <c r="BS28" t="s">
        <v>4</v>
      </c>
      <c r="BT28" t="s">
        <v>4</v>
      </c>
      <c r="BU28" t="s">
        <v>4</v>
      </c>
      <c r="BV28" t="s">
        <v>4</v>
      </c>
      <c r="BW28" t="s">
        <v>303</v>
      </c>
      <c r="BX28" t="s">
        <v>4</v>
      </c>
      <c r="BY28" t="s">
        <v>12</v>
      </c>
      <c r="BZ28" t="s">
        <v>12</v>
      </c>
      <c r="CA28" t="s">
        <v>12</v>
      </c>
      <c r="CB28" t="s">
        <v>1074</v>
      </c>
      <c r="CC28" t="s">
        <v>12</v>
      </c>
      <c r="CD28" t="str" cm="1">
        <f t="array" aca="1" ref="CD28" ca="1">eConcatenar(A28:CB28,"|")</f>
        <v>z5S1FhZyk8vzuCdr|PAR2021-2164|3|MEMORIAL|TABASCO|PARAISO|PARAISO|2021-6-23|14800|X|X|200|1|x|X|x|X|X|X|X|X|X|X|X|X|X|x|GUEMEZ|CHABLE |NATALIA|CASADA|X|X|CARRETERA VECINAL PARAISO COMALCALCO|MOCTEZUMA PRIMERA SECCION |X|9331041005|JORGE ALBERTO RODRIGUEZ PEREZ |BENEFICIARIO 2: ANDY GEOVANA VARGAZ DE LA CRUZ |x|RUTA 4 L|X|LUNES|x|x|X|X|X|DOMICILIO|1400|13400|x|x|X|2021-9-20|2021-10-04|X|x|X|x|x|MOCTEZUMA PRIMERA SECCION |X|1|x|14800|x|x|x|X|X|X|X|X|CARDENAS |X|x|x|x|final</v>
      </c>
    </row>
    <row r="29" spans="1:82" x14ac:dyDescent="0.25">
      <c r="A29" t="s">
        <v>5188</v>
      </c>
      <c r="B29" t="s">
        <v>5189</v>
      </c>
      <c r="C29">
        <v>3</v>
      </c>
      <c r="D29" t="s">
        <v>65</v>
      </c>
      <c r="E29" t="s">
        <v>2</v>
      </c>
      <c r="F29" t="s">
        <v>654</v>
      </c>
      <c r="G29" t="s">
        <v>654</v>
      </c>
      <c r="H29" t="s">
        <v>1106</v>
      </c>
      <c r="I29">
        <v>14800</v>
      </c>
      <c r="J29" t="s">
        <v>4</v>
      </c>
      <c r="K29" t="s">
        <v>4</v>
      </c>
      <c r="L29">
        <v>200</v>
      </c>
      <c r="M29">
        <v>1</v>
      </c>
      <c r="N29" t="s">
        <v>12</v>
      </c>
      <c r="O29" t="s">
        <v>4</v>
      </c>
      <c r="P29" t="s">
        <v>12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4</v>
      </c>
      <c r="Z29" t="s">
        <v>4</v>
      </c>
      <c r="AA29" t="s">
        <v>12</v>
      </c>
      <c r="AB29" t="s">
        <v>28</v>
      </c>
      <c r="AC29" t="s">
        <v>116</v>
      </c>
      <c r="AD29" t="s">
        <v>5190</v>
      </c>
      <c r="AE29" t="s">
        <v>29</v>
      </c>
      <c r="AF29" t="s">
        <v>4</v>
      </c>
      <c r="AG29" t="s">
        <v>4</v>
      </c>
      <c r="AH29" t="s">
        <v>5191</v>
      </c>
      <c r="AI29" t="s">
        <v>40</v>
      </c>
      <c r="AJ29" t="s">
        <v>5192</v>
      </c>
      <c r="AK29">
        <v>9331168535</v>
      </c>
      <c r="AL29" t="s">
        <v>5193</v>
      </c>
      <c r="AM29" t="s">
        <v>5194</v>
      </c>
      <c r="AN29" t="s">
        <v>12</v>
      </c>
      <c r="AO29" t="s">
        <v>5039</v>
      </c>
      <c r="AP29" t="s">
        <v>4</v>
      </c>
      <c r="AQ29" t="s">
        <v>10</v>
      </c>
      <c r="AR29" t="s">
        <v>12</v>
      </c>
      <c r="AS29" t="s">
        <v>12</v>
      </c>
      <c r="AT29" t="s">
        <v>4</v>
      </c>
      <c r="AU29" t="s">
        <v>4</v>
      </c>
      <c r="AV29" t="s">
        <v>4</v>
      </c>
      <c r="AW29" t="s">
        <v>11</v>
      </c>
      <c r="AX29">
        <v>1200</v>
      </c>
      <c r="AY29">
        <v>13600</v>
      </c>
      <c r="AZ29" t="s">
        <v>12</v>
      </c>
      <c r="BA29" t="s">
        <v>12</v>
      </c>
      <c r="BB29" t="s">
        <v>4</v>
      </c>
      <c r="BC29" t="s">
        <v>1129</v>
      </c>
      <c r="BD29" t="s">
        <v>5072</v>
      </c>
      <c r="BE29" t="s">
        <v>4</v>
      </c>
      <c r="BF29" t="s">
        <v>12</v>
      </c>
      <c r="BG29" t="s">
        <v>4</v>
      </c>
      <c r="BH29" t="s">
        <v>12</v>
      </c>
      <c r="BI29" t="s">
        <v>12</v>
      </c>
      <c r="BJ29" t="s">
        <v>39</v>
      </c>
      <c r="BK29" t="s">
        <v>4</v>
      </c>
      <c r="BL29">
        <v>1</v>
      </c>
      <c r="BM29" t="s">
        <v>12</v>
      </c>
      <c r="BN29">
        <v>14800</v>
      </c>
      <c r="BO29" t="s">
        <v>12</v>
      </c>
      <c r="BP29" t="s">
        <v>12</v>
      </c>
      <c r="BQ29" t="s">
        <v>12</v>
      </c>
      <c r="BR29" t="s">
        <v>4</v>
      </c>
      <c r="BS29" t="s">
        <v>4</v>
      </c>
      <c r="BT29" t="s">
        <v>4</v>
      </c>
      <c r="BU29" t="s">
        <v>4</v>
      </c>
      <c r="BV29" t="s">
        <v>4</v>
      </c>
      <c r="BW29" t="s">
        <v>303</v>
      </c>
      <c r="BX29" t="s">
        <v>4</v>
      </c>
      <c r="BY29" t="s">
        <v>12</v>
      </c>
      <c r="BZ29" t="s">
        <v>12</v>
      </c>
      <c r="CA29" t="s">
        <v>12</v>
      </c>
      <c r="CB29" t="s">
        <v>1074</v>
      </c>
      <c r="CC29" t="s">
        <v>12</v>
      </c>
      <c r="CD29" t="str" cm="1">
        <f t="array" aca="1" ref="CD29" ca="1">eConcatenar(A29:CB29,"|")</f>
        <v>Jmi6dp5cJTxbzCFs|PAR2021-2168|3|MEMORIAL|TABASCO|PARAISO|PARAISO|2021-6-24|14800|X|X|200|1|x|X|x|X|X|X|X|X|X|X|X|X|X|x|CORDOVA|RODRIGUEZ|ADRIANA DEL CARMEN |CASADA|X|X|CALLE SANTOS DEGOLLADO NUMERO 713|CENTRO|MOCTEZUMA PRIMERA ENTRADA |9331168535|ANGEL ARTURO CORTES ZATARAY |BENEFICIARIO 2: VERONICA RODRIGUEZ MARQUEZ |x|RUTA 4 L|X|LUNES|x|x|X|X|X|DOMICILIO|1200|13600|x|x|X|2021-9-20|2021-10-04|X|x|X|x|x|CENTRO |X|1|x|14800|x|x|x|X|X|X|X|X|CARDENAS |X|x|x|x|final</v>
      </c>
    </row>
    <row r="30" spans="1:82" x14ac:dyDescent="0.25">
      <c r="A30" t="s">
        <v>5195</v>
      </c>
      <c r="B30" t="s">
        <v>5196</v>
      </c>
      <c r="C30">
        <v>3</v>
      </c>
      <c r="D30" t="s">
        <v>194</v>
      </c>
      <c r="E30" t="s">
        <v>2</v>
      </c>
      <c r="F30" t="s">
        <v>654</v>
      </c>
      <c r="G30" t="s">
        <v>654</v>
      </c>
      <c r="H30" t="s">
        <v>5197</v>
      </c>
      <c r="I30">
        <v>12900</v>
      </c>
      <c r="J30" t="s">
        <v>4</v>
      </c>
      <c r="K30" t="s">
        <v>4</v>
      </c>
      <c r="L30">
        <v>200</v>
      </c>
      <c r="M30">
        <v>1</v>
      </c>
      <c r="N30" t="s">
        <v>12</v>
      </c>
      <c r="O30" t="s">
        <v>4</v>
      </c>
      <c r="P30" t="s">
        <v>12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12</v>
      </c>
      <c r="Z30" t="s">
        <v>4</v>
      </c>
      <c r="AA30" t="s">
        <v>12</v>
      </c>
      <c r="AB30" t="s">
        <v>22</v>
      </c>
      <c r="AC30" t="s">
        <v>400</v>
      </c>
      <c r="AD30" t="s">
        <v>5198</v>
      </c>
      <c r="AE30" t="s">
        <v>59</v>
      </c>
      <c r="AF30" t="s">
        <v>4</v>
      </c>
      <c r="AG30" t="s">
        <v>4</v>
      </c>
      <c r="AH30" t="s">
        <v>5199</v>
      </c>
      <c r="AI30" t="s">
        <v>5200</v>
      </c>
      <c r="AJ30" t="s">
        <v>4</v>
      </c>
      <c r="AK30">
        <v>9331100965</v>
      </c>
      <c r="AL30" t="s">
        <v>5201</v>
      </c>
      <c r="AM30" t="s">
        <v>5202</v>
      </c>
      <c r="AN30" t="s">
        <v>12</v>
      </c>
      <c r="AO30" t="s">
        <v>5039</v>
      </c>
      <c r="AP30" t="s">
        <v>4</v>
      </c>
      <c r="AQ30" t="s">
        <v>10</v>
      </c>
      <c r="AR30" t="s">
        <v>12</v>
      </c>
      <c r="AS30" t="s">
        <v>12</v>
      </c>
      <c r="AT30" t="s">
        <v>4</v>
      </c>
      <c r="AU30" t="s">
        <v>4</v>
      </c>
      <c r="AV30" t="s">
        <v>4</v>
      </c>
      <c r="AW30" t="s">
        <v>11</v>
      </c>
      <c r="AX30">
        <v>12000</v>
      </c>
      <c r="AY30">
        <v>900</v>
      </c>
      <c r="AZ30" t="s">
        <v>12</v>
      </c>
      <c r="BA30" t="s">
        <v>12</v>
      </c>
      <c r="BB30" t="s">
        <v>4</v>
      </c>
      <c r="BC30" t="s">
        <v>1129</v>
      </c>
      <c r="BD30" t="s">
        <v>5072</v>
      </c>
      <c r="BE30" t="s">
        <v>4</v>
      </c>
      <c r="BF30" t="s">
        <v>12</v>
      </c>
      <c r="BG30" t="s">
        <v>4</v>
      </c>
      <c r="BH30" t="s">
        <v>12</v>
      </c>
      <c r="BI30" t="s">
        <v>12</v>
      </c>
      <c r="BJ30" t="s">
        <v>5200</v>
      </c>
      <c r="BK30" t="s">
        <v>4</v>
      </c>
      <c r="BL30">
        <v>0</v>
      </c>
      <c r="BM30" t="s">
        <v>12</v>
      </c>
      <c r="BN30">
        <v>12900</v>
      </c>
      <c r="BO30" t="s">
        <v>12</v>
      </c>
      <c r="BP30" t="s">
        <v>12</v>
      </c>
      <c r="BQ30" t="s">
        <v>12</v>
      </c>
      <c r="BR30" t="s">
        <v>4</v>
      </c>
      <c r="BS30" t="s">
        <v>4</v>
      </c>
      <c r="BT30" t="s">
        <v>4</v>
      </c>
      <c r="BU30" t="s">
        <v>4</v>
      </c>
      <c r="BV30" t="s">
        <v>4</v>
      </c>
      <c r="BW30" t="s">
        <v>303</v>
      </c>
      <c r="BX30" t="s">
        <v>4</v>
      </c>
      <c r="BY30" t="s">
        <v>12</v>
      </c>
      <c r="BZ30" t="s">
        <v>12</v>
      </c>
      <c r="CA30" t="s">
        <v>12</v>
      </c>
      <c r="CB30" t="s">
        <v>1074</v>
      </c>
      <c r="CC30" t="s">
        <v>12</v>
      </c>
      <c r="CD30" t="str" cm="1">
        <f t="array" aca="1" ref="CD30" ca="1">eConcatenar(A30:CB30,"|")</f>
        <v>Nk2frastd9nd13cc|PAR2019-0364|3|ECONOLINE|TABASCO|PARAISO|PARAISO|2019-2-18|12900|X|X|200|1|x|X|x|X|X|X|X|X|X|X|X|x|X|x|JIMENEZ |CHABLE |HORACIO |CASADO|X|X|CALLE FERNANDO MONTES DDE OCA SIN NUMERO |PALESTINA |X|9331100965|ISIDRA JIMENEZ SANCHEZ |BENEFICIARIO 2: JUANA SANCHEZ DE LA CRUZ |x|RUTA 4 L|X|LUNES|x|x|X|X|X|DOMICILIO|12000|900|x|x|X|2021-9-20|2021-10-04|X|x|X|x|x|PALESTINA |X|0|x|12900|x|x|x|X|X|X|X|X|CARDENAS |X|x|x|x|final</v>
      </c>
    </row>
    <row r="31" spans="1:82" x14ac:dyDescent="0.25">
      <c r="A31" t="s">
        <v>5203</v>
      </c>
      <c r="B31" t="s">
        <v>5204</v>
      </c>
      <c r="C31">
        <v>3</v>
      </c>
      <c r="D31" t="s">
        <v>65</v>
      </c>
      <c r="E31" t="s">
        <v>2</v>
      </c>
      <c r="F31" t="s">
        <v>722</v>
      </c>
      <c r="G31" t="s">
        <v>722</v>
      </c>
      <c r="H31" t="s">
        <v>4711</v>
      </c>
      <c r="I31">
        <v>14800</v>
      </c>
      <c r="J31" t="s">
        <v>4</v>
      </c>
      <c r="K31" t="s">
        <v>4</v>
      </c>
      <c r="L31">
        <v>200</v>
      </c>
      <c r="M31">
        <v>1</v>
      </c>
      <c r="N31" t="s">
        <v>12</v>
      </c>
      <c r="O31" t="s">
        <v>4</v>
      </c>
      <c r="P31" t="s">
        <v>12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4</v>
      </c>
      <c r="Z31" t="s">
        <v>4</v>
      </c>
      <c r="AA31" t="s">
        <v>4</v>
      </c>
      <c r="AB31" t="s">
        <v>426</v>
      </c>
      <c r="AC31" t="s">
        <v>780</v>
      </c>
      <c r="AD31" t="s">
        <v>5205</v>
      </c>
      <c r="AE31" t="s">
        <v>59</v>
      </c>
      <c r="AF31" t="s">
        <v>4</v>
      </c>
      <c r="AG31" t="s">
        <v>4</v>
      </c>
      <c r="AH31" t="s">
        <v>5076</v>
      </c>
      <c r="AI31" t="s">
        <v>725</v>
      </c>
      <c r="AJ31" t="s">
        <v>4</v>
      </c>
      <c r="AK31">
        <v>9331005741</v>
      </c>
      <c r="AL31" t="s">
        <v>5206</v>
      </c>
      <c r="AM31" t="s">
        <v>5207</v>
      </c>
      <c r="AN31" t="s">
        <v>12</v>
      </c>
      <c r="AO31" t="s">
        <v>5039</v>
      </c>
      <c r="AP31" t="s">
        <v>4</v>
      </c>
      <c r="AQ31" t="s">
        <v>10</v>
      </c>
      <c r="AR31" t="s">
        <v>12</v>
      </c>
      <c r="AS31" t="s">
        <v>12</v>
      </c>
      <c r="AT31" t="s">
        <v>4</v>
      </c>
      <c r="AU31" t="s">
        <v>4</v>
      </c>
      <c r="AV31" t="s">
        <v>4</v>
      </c>
      <c r="AW31" t="s">
        <v>11</v>
      </c>
      <c r="AX31">
        <v>800</v>
      </c>
      <c r="AY31">
        <v>14000</v>
      </c>
      <c r="AZ31" t="s">
        <v>12</v>
      </c>
      <c r="BA31" t="s">
        <v>12</v>
      </c>
      <c r="BB31" t="s">
        <v>4</v>
      </c>
      <c r="BC31" t="s">
        <v>1129</v>
      </c>
      <c r="BD31" t="s">
        <v>5072</v>
      </c>
      <c r="BE31" t="s">
        <v>4</v>
      </c>
      <c r="BF31" t="s">
        <v>12</v>
      </c>
      <c r="BG31" t="s">
        <v>4</v>
      </c>
      <c r="BH31" t="s">
        <v>12</v>
      </c>
      <c r="BI31" t="s">
        <v>12</v>
      </c>
      <c r="BJ31" t="s">
        <v>725</v>
      </c>
      <c r="BK31" t="s">
        <v>4</v>
      </c>
      <c r="BL31">
        <v>0</v>
      </c>
      <c r="BM31" t="s">
        <v>12</v>
      </c>
      <c r="BN31">
        <v>14800</v>
      </c>
      <c r="BO31" t="s">
        <v>12</v>
      </c>
      <c r="BP31" t="s">
        <v>12</v>
      </c>
      <c r="BQ31" t="s">
        <v>12</v>
      </c>
      <c r="BR31" t="s">
        <v>4</v>
      </c>
      <c r="BS31" t="s">
        <v>4</v>
      </c>
      <c r="BT31" t="s">
        <v>4</v>
      </c>
      <c r="BU31" t="s">
        <v>4</v>
      </c>
      <c r="BV31" t="s">
        <v>4</v>
      </c>
      <c r="BW31" t="s">
        <v>303</v>
      </c>
      <c r="BX31" t="s">
        <v>4</v>
      </c>
      <c r="BY31" t="s">
        <v>12</v>
      </c>
      <c r="BZ31" t="s">
        <v>12</v>
      </c>
      <c r="CA31" t="s">
        <v>12</v>
      </c>
      <c r="CB31" t="s">
        <v>1074</v>
      </c>
      <c r="CC31" t="s">
        <v>12</v>
      </c>
      <c r="CD31" t="str" cm="1">
        <f t="array" aca="1" ref="CD31" ca="1">eConcatenar(A31:CB31,"|")</f>
        <v>A9hdHXJjfhXURuI0|COM2021-2564|3|MEMORIAL|TABASCO|COMALCALCO|COMALCALCO|2021-8-10|14800|X|X|200|1|x|X|x|X|X|X|X|X|X|X|X|X|X|X|HERNANDEZ |MARQUEZ|CORNELIO |CASADO|X|X|CARRETERA FEDERAL COMALCALCO PARAISO|NORTE PRIMERA SECCION |X|9331005741|MARIA BETY MARTINEZ CORDOVA |BENEFICIARIO 2: YUREIMI HERNANDEZ MARTINEZ |x|RUTA 4 L|X|LUNES|x|x|X|X|X|DOMICILIO|800|14000|x|x|X|2021-9-20|2021-10-04|X|x|X|x|x|NORTE PRIMERA SECCION |X|0|x|14800|x|x|x|X|X|X|X|X|CARDENAS |X|x|x|x|final</v>
      </c>
    </row>
    <row r="32" spans="1:82" x14ac:dyDescent="0.25">
      <c r="A32" t="s">
        <v>5208</v>
      </c>
      <c r="B32" t="s">
        <v>5209</v>
      </c>
      <c r="C32">
        <v>3</v>
      </c>
      <c r="D32" t="s">
        <v>194</v>
      </c>
      <c r="E32" t="s">
        <v>2</v>
      </c>
      <c r="F32" t="s">
        <v>654</v>
      </c>
      <c r="G32" t="s">
        <v>654</v>
      </c>
      <c r="H32" t="s">
        <v>5210</v>
      </c>
      <c r="I32">
        <v>12900</v>
      </c>
      <c r="J32" t="s">
        <v>4</v>
      </c>
      <c r="K32" t="s">
        <v>4</v>
      </c>
      <c r="L32">
        <v>100</v>
      </c>
      <c r="M32">
        <v>0</v>
      </c>
      <c r="N32" t="s">
        <v>12</v>
      </c>
      <c r="O32" t="s">
        <v>4</v>
      </c>
      <c r="P32" t="s">
        <v>12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4</v>
      </c>
      <c r="Z32" t="s">
        <v>4</v>
      </c>
      <c r="AA32" t="s">
        <v>4</v>
      </c>
      <c r="AB32" t="s">
        <v>5211</v>
      </c>
      <c r="AC32" t="s">
        <v>4759</v>
      </c>
      <c r="AD32" t="s">
        <v>5212</v>
      </c>
      <c r="AE32" t="s">
        <v>59</v>
      </c>
      <c r="AF32" t="s">
        <v>4</v>
      </c>
      <c r="AG32" t="s">
        <v>4</v>
      </c>
      <c r="AH32" t="s">
        <v>5213</v>
      </c>
      <c r="AI32" t="s">
        <v>5214</v>
      </c>
      <c r="AJ32" t="s">
        <v>5215</v>
      </c>
      <c r="AK32">
        <v>9331031877</v>
      </c>
      <c r="AL32" t="s">
        <v>5216</v>
      </c>
      <c r="AM32" t="s">
        <v>5217</v>
      </c>
      <c r="AN32" t="s">
        <v>12</v>
      </c>
      <c r="AO32" t="s">
        <v>5039</v>
      </c>
      <c r="AP32" t="s">
        <v>4</v>
      </c>
      <c r="AQ32" t="s">
        <v>10</v>
      </c>
      <c r="AR32" t="s">
        <v>12</v>
      </c>
      <c r="AS32" t="s">
        <v>12</v>
      </c>
      <c r="AT32" t="s">
        <v>4</v>
      </c>
      <c r="AU32" t="s">
        <v>4</v>
      </c>
      <c r="AV32" t="s">
        <v>4</v>
      </c>
      <c r="AW32" t="s">
        <v>11</v>
      </c>
      <c r="AX32">
        <v>11200</v>
      </c>
      <c r="AY32">
        <v>1700</v>
      </c>
      <c r="AZ32" t="s">
        <v>12</v>
      </c>
      <c r="BA32" t="s">
        <v>12</v>
      </c>
      <c r="BB32" t="s">
        <v>4</v>
      </c>
      <c r="BC32" t="s">
        <v>1129</v>
      </c>
      <c r="BD32" t="s">
        <v>1133</v>
      </c>
      <c r="BE32" t="s">
        <v>4</v>
      </c>
      <c r="BF32" t="s">
        <v>12</v>
      </c>
      <c r="BG32" t="s">
        <v>4</v>
      </c>
      <c r="BH32" t="s">
        <v>12</v>
      </c>
      <c r="BI32" t="s">
        <v>12</v>
      </c>
      <c r="BJ32" t="s">
        <v>5218</v>
      </c>
      <c r="BK32" t="s">
        <v>4</v>
      </c>
      <c r="BL32">
        <v>0</v>
      </c>
      <c r="BM32" t="s">
        <v>12</v>
      </c>
      <c r="BN32">
        <v>12900</v>
      </c>
      <c r="BO32" t="s">
        <v>12</v>
      </c>
      <c r="BP32" t="s">
        <v>12</v>
      </c>
      <c r="BQ32" t="s">
        <v>12</v>
      </c>
      <c r="BR32" t="s">
        <v>4</v>
      </c>
      <c r="BS32" t="s">
        <v>4</v>
      </c>
      <c r="BT32" t="s">
        <v>4</v>
      </c>
      <c r="BU32" t="s">
        <v>4</v>
      </c>
      <c r="BV32" t="s">
        <v>4</v>
      </c>
      <c r="BW32" t="s">
        <v>303</v>
      </c>
      <c r="BX32" t="s">
        <v>4</v>
      </c>
      <c r="BY32" t="s">
        <v>12</v>
      </c>
      <c r="BZ32" t="s">
        <v>12</v>
      </c>
      <c r="CA32" t="s">
        <v>12</v>
      </c>
      <c r="CB32" t="s">
        <v>1074</v>
      </c>
      <c r="CC32" t="s">
        <v>12</v>
      </c>
      <c r="CD32" t="str" cm="1">
        <f t="array" aca="1" ref="CD32" ca="1">eConcatenar(A32:CB32,"|")</f>
        <v>VCRF3aj0W3sqVk8L|PAR2019-0514|3|ECONOLINE|TABASCO|PARAISO|PARAISO|2019-3-02|12900|X|X|100|0|x|X|x|X|X|X|X|X|X|X|X|X|X|X|ARAUJO|DE LOS SANTOS |OMAR|CASADO|X|X|MANZANA NUMERO 26 CASA NUMERO 13|LAZARO CADENAS DEL RIO |COLONIA LA CEIBA MAGISTERIAL NUMERO 2 ENTRE LA CALLE LA LIBERTAD E IGUALDAD |9331031877|MARIA JESUS JIMENEZ ARAUJO|BENEFICIARIO 2: CLARITA J. ARAUJO PEREZ |x|RUTA 4 L|X|LUNES|x|x|X|X|X|DOMICILIO|11200|1700|x|x|X|2021-9-20|2021-9-27|X|x|X|x|x|LAZARO CARDENAS DEL RIOX|X|0|x|12900|x|x|x|X|X|X|X|X|CARDENAS |X|x|x|x|final</v>
      </c>
    </row>
    <row r="33" spans="1:82" x14ac:dyDescent="0.25">
      <c r="A33" t="s">
        <v>5219</v>
      </c>
      <c r="B33" t="s">
        <v>5220</v>
      </c>
      <c r="C33">
        <v>3</v>
      </c>
      <c r="D33" t="s">
        <v>65</v>
      </c>
      <c r="E33" t="s">
        <v>2</v>
      </c>
      <c r="F33" t="s">
        <v>654</v>
      </c>
      <c r="G33" t="s">
        <v>654</v>
      </c>
      <c r="H33" t="s">
        <v>5221</v>
      </c>
      <c r="I33">
        <v>14800</v>
      </c>
      <c r="J33" t="s">
        <v>4</v>
      </c>
      <c r="K33" t="s">
        <v>4</v>
      </c>
      <c r="L33">
        <v>100</v>
      </c>
      <c r="M33">
        <v>0</v>
      </c>
      <c r="N33" t="s">
        <v>12</v>
      </c>
      <c r="O33" t="s">
        <v>4</v>
      </c>
      <c r="P33" t="s">
        <v>12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4</v>
      </c>
      <c r="Z33" t="s">
        <v>4</v>
      </c>
      <c r="AA33" t="s">
        <v>4</v>
      </c>
      <c r="AB33" t="s">
        <v>265</v>
      </c>
      <c r="AC33" t="s">
        <v>764</v>
      </c>
      <c r="AD33" t="s">
        <v>5222</v>
      </c>
      <c r="AE33" t="s">
        <v>59</v>
      </c>
      <c r="AF33" t="s">
        <v>4</v>
      </c>
      <c r="AG33" t="s">
        <v>4</v>
      </c>
      <c r="AH33" t="s">
        <v>670</v>
      </c>
      <c r="AI33" t="s">
        <v>5223</v>
      </c>
      <c r="AJ33" t="s">
        <v>4</v>
      </c>
      <c r="AK33">
        <v>9331127318</v>
      </c>
      <c r="AL33" t="s">
        <v>5224</v>
      </c>
      <c r="AM33" t="s">
        <v>5225</v>
      </c>
      <c r="AN33" t="s">
        <v>12</v>
      </c>
      <c r="AO33" t="s">
        <v>5039</v>
      </c>
      <c r="AP33" t="s">
        <v>4</v>
      </c>
      <c r="AQ33" t="s">
        <v>10</v>
      </c>
      <c r="AR33" t="s">
        <v>12</v>
      </c>
      <c r="AS33" t="s">
        <v>12</v>
      </c>
      <c r="AT33" t="s">
        <v>4</v>
      </c>
      <c r="AU33" t="s">
        <v>4</v>
      </c>
      <c r="AV33" t="s">
        <v>4</v>
      </c>
      <c r="AW33" t="s">
        <v>11</v>
      </c>
      <c r="AX33">
        <v>1300</v>
      </c>
      <c r="AY33">
        <v>13500</v>
      </c>
      <c r="AZ33" t="s">
        <v>12</v>
      </c>
      <c r="BA33" t="s">
        <v>12</v>
      </c>
      <c r="BB33" t="s">
        <v>4</v>
      </c>
      <c r="BC33" t="s">
        <v>1129</v>
      </c>
      <c r="BD33" t="s">
        <v>1133</v>
      </c>
      <c r="BE33" t="s">
        <v>4</v>
      </c>
      <c r="BF33" t="s">
        <v>12</v>
      </c>
      <c r="BG33" t="s">
        <v>4</v>
      </c>
      <c r="BH33" t="s">
        <v>12</v>
      </c>
      <c r="BI33" t="s">
        <v>12</v>
      </c>
      <c r="BJ33" t="s">
        <v>687</v>
      </c>
      <c r="BK33" t="s">
        <v>4</v>
      </c>
      <c r="BL33">
        <v>0</v>
      </c>
      <c r="BM33" t="s">
        <v>12</v>
      </c>
      <c r="BN33">
        <v>14800</v>
      </c>
      <c r="BO33" t="s">
        <v>12</v>
      </c>
      <c r="BP33" t="s">
        <v>12</v>
      </c>
      <c r="BQ33" t="s">
        <v>12</v>
      </c>
      <c r="BR33" t="s">
        <v>4</v>
      </c>
      <c r="BS33" t="s">
        <v>4</v>
      </c>
      <c r="BT33" t="s">
        <v>4</v>
      </c>
      <c r="BU33" t="s">
        <v>4</v>
      </c>
      <c r="BV33" t="s">
        <v>4</v>
      </c>
      <c r="BW33" t="s">
        <v>303</v>
      </c>
      <c r="BX33" t="s">
        <v>4</v>
      </c>
      <c r="BY33" t="s">
        <v>12</v>
      </c>
      <c r="BZ33" t="s">
        <v>12</v>
      </c>
      <c r="CA33" t="s">
        <v>12</v>
      </c>
      <c r="CB33" t="s">
        <v>1074</v>
      </c>
      <c r="CC33" t="s">
        <v>12</v>
      </c>
      <c r="CD33" t="str" cm="1">
        <f t="array" aca="1" ref="CD33" ca="1">eConcatenar(A33:CB33,"|")</f>
        <v>Uh2ymLflNdC7HS46|PAR2021-2316|3|MEMORIAL|TABASCO|PARAISO|PARAISO|2019-7-02|14800|X|X|100|0|x|X|x|X|X|X|X|X|X|X|X|X|X|X|DOMINGUEZ|ANGULO|CARLOS MARIO |CASADO|X|X|CARRETERA VECINAL PARAISO COMALCALCO|MOCTEZUMA|X|9331127318|ASMENIA DIAZ MARTINEZ |BENEFICIARIO 2: CARLA DOMINGUEZ DIAZ |x|RUTA 4 L|X|LUNES|x|x|X|X|X|DOMICILIO|1300|13500|x|x|X|2021-9-20|2021-9-27|X|x|X|x|x|MOCTEZUMA PRIMERA SECCION |X|0|x|14800|x|x|x|X|X|X|X|X|CARDENAS |X|x|x|x|final</v>
      </c>
    </row>
    <row r="34" spans="1:82" x14ac:dyDescent="0.25">
      <c r="A34" t="s">
        <v>5226</v>
      </c>
      <c r="B34" t="s">
        <v>5227</v>
      </c>
      <c r="C34">
        <v>3</v>
      </c>
      <c r="D34" t="s">
        <v>65</v>
      </c>
      <c r="E34" t="s">
        <v>2</v>
      </c>
      <c r="F34" t="s">
        <v>654</v>
      </c>
      <c r="G34" t="s">
        <v>654</v>
      </c>
      <c r="H34" t="s">
        <v>5228</v>
      </c>
      <c r="I34">
        <v>14800</v>
      </c>
      <c r="J34" t="s">
        <v>4</v>
      </c>
      <c r="K34" t="s">
        <v>4</v>
      </c>
      <c r="L34">
        <v>100</v>
      </c>
      <c r="M34">
        <v>0</v>
      </c>
      <c r="N34" t="s">
        <v>12</v>
      </c>
      <c r="O34" t="s">
        <v>4</v>
      </c>
      <c r="P34" t="s">
        <v>12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4</v>
      </c>
      <c r="Z34" t="s">
        <v>4</v>
      </c>
      <c r="AA34" t="s">
        <v>4</v>
      </c>
      <c r="AB34" t="s">
        <v>234</v>
      </c>
      <c r="AC34" t="s">
        <v>4734</v>
      </c>
      <c r="AD34" t="s">
        <v>5222</v>
      </c>
      <c r="AE34" t="s">
        <v>59</v>
      </c>
      <c r="AF34" t="s">
        <v>4</v>
      </c>
      <c r="AG34" t="s">
        <v>4</v>
      </c>
      <c r="AH34" t="s">
        <v>5229</v>
      </c>
      <c r="AI34" t="s">
        <v>5230</v>
      </c>
      <c r="AJ34" t="s">
        <v>4</v>
      </c>
      <c r="AK34">
        <v>9331081023</v>
      </c>
      <c r="AL34" t="s">
        <v>5231</v>
      </c>
      <c r="AM34" t="s">
        <v>5232</v>
      </c>
      <c r="AN34" t="s">
        <v>12</v>
      </c>
      <c r="AO34" t="s">
        <v>5039</v>
      </c>
      <c r="AP34" t="s">
        <v>4</v>
      </c>
      <c r="AQ34" t="s">
        <v>10</v>
      </c>
      <c r="AR34" t="s">
        <v>12</v>
      </c>
      <c r="AS34" t="s">
        <v>12</v>
      </c>
      <c r="AT34" t="s">
        <v>4</v>
      </c>
      <c r="AU34" t="s">
        <v>4</v>
      </c>
      <c r="AV34" t="s">
        <v>4</v>
      </c>
      <c r="AW34" t="s">
        <v>11</v>
      </c>
      <c r="AX34">
        <v>2300</v>
      </c>
      <c r="AY34">
        <v>12500</v>
      </c>
      <c r="AZ34" t="s">
        <v>12</v>
      </c>
      <c r="BA34" t="s">
        <v>12</v>
      </c>
      <c r="BB34" t="s">
        <v>4</v>
      </c>
      <c r="BC34" t="s">
        <v>1129</v>
      </c>
      <c r="BD34" t="s">
        <v>1133</v>
      </c>
      <c r="BE34" t="s">
        <v>4</v>
      </c>
      <c r="BF34" t="s">
        <v>12</v>
      </c>
      <c r="BG34" t="s">
        <v>4</v>
      </c>
      <c r="BH34" t="s">
        <v>12</v>
      </c>
      <c r="BI34" t="s">
        <v>12</v>
      </c>
      <c r="BJ34" t="s">
        <v>5230</v>
      </c>
      <c r="BK34" t="s">
        <v>4</v>
      </c>
      <c r="BL34">
        <v>0</v>
      </c>
      <c r="BM34" t="s">
        <v>12</v>
      </c>
      <c r="BN34">
        <v>14800</v>
      </c>
      <c r="BO34" t="s">
        <v>12</v>
      </c>
      <c r="BP34" t="s">
        <v>12</v>
      </c>
      <c r="BQ34" t="s">
        <v>12</v>
      </c>
      <c r="BR34" t="s">
        <v>4</v>
      </c>
      <c r="BS34" t="s">
        <v>4</v>
      </c>
      <c r="BT34" t="s">
        <v>4</v>
      </c>
      <c r="BU34" t="s">
        <v>4</v>
      </c>
      <c r="BV34" t="s">
        <v>4</v>
      </c>
      <c r="BW34" t="s">
        <v>303</v>
      </c>
      <c r="BX34" t="s">
        <v>4</v>
      </c>
      <c r="BY34" t="s">
        <v>12</v>
      </c>
      <c r="BZ34" t="s">
        <v>12</v>
      </c>
      <c r="CA34" t="s">
        <v>12</v>
      </c>
      <c r="CB34" t="s">
        <v>1074</v>
      </c>
      <c r="CC34" t="s">
        <v>12</v>
      </c>
      <c r="CD34" t="str" cm="1">
        <f t="array" aca="1" ref="CD34" ca="1">eConcatenar(A34:CB34,"|")</f>
        <v>cpF9wIGRx4TH78My|PAR2021-2327|3|MEMORIAL|TABASCO|PARAISO|PARAISO|2021-7-05|14800|X|X|100|0|x|X|x|X|X|X|X|X|X|X|X|X|X|X|ARIAS |LAZARO |CARLOS MARIO |CASADO|X|X|ENTRADA LOS LAZAROS SIN NUMERO |MOCTEZUMA PRIMERA |X|9331081023|ROSALVA PEREZ TORRES |BENEFICIARIO 2: CESAR ARIAS PERES |x|RUTA 4 L|X|LUNES|x|x|X|X|X|DOMICILIO|2300|12500|x|x|X|2021-9-20|2021-9-27|X|x|X|x|x|MOCTEZUMA PRIMERA |X|0|x|14800|x|x|x|X|X|X|X|X|CARDENAS |X|x|x|x|final</v>
      </c>
    </row>
    <row r="35" spans="1:82" x14ac:dyDescent="0.25">
      <c r="A35" t="s">
        <v>5233</v>
      </c>
      <c r="B35" t="s">
        <v>5234</v>
      </c>
      <c r="C35">
        <v>3</v>
      </c>
      <c r="D35" t="s">
        <v>65</v>
      </c>
      <c r="E35" t="s">
        <v>2</v>
      </c>
      <c r="F35" t="s">
        <v>722</v>
      </c>
      <c r="G35" t="s">
        <v>722</v>
      </c>
      <c r="H35" t="s">
        <v>4945</v>
      </c>
      <c r="I35">
        <v>14800</v>
      </c>
      <c r="J35" t="s">
        <v>4</v>
      </c>
      <c r="K35" t="s">
        <v>4</v>
      </c>
      <c r="L35">
        <v>200</v>
      </c>
      <c r="M35">
        <v>1</v>
      </c>
      <c r="N35" t="s">
        <v>12</v>
      </c>
      <c r="O35" t="s">
        <v>4</v>
      </c>
      <c r="P35" t="s">
        <v>12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4</v>
      </c>
      <c r="Z35" t="s">
        <v>4</v>
      </c>
      <c r="AA35" t="s">
        <v>4</v>
      </c>
      <c r="AB35" t="s">
        <v>5235</v>
      </c>
      <c r="AC35" t="s">
        <v>4755</v>
      </c>
      <c r="AD35" t="s">
        <v>5236</v>
      </c>
      <c r="AE35" t="s">
        <v>134</v>
      </c>
      <c r="AF35" t="s">
        <v>4</v>
      </c>
      <c r="AG35" t="s">
        <v>4</v>
      </c>
      <c r="AH35" t="s">
        <v>5237</v>
      </c>
      <c r="AI35" t="s">
        <v>2216</v>
      </c>
      <c r="AJ35" t="s">
        <v>5238</v>
      </c>
      <c r="AK35">
        <v>9331187172</v>
      </c>
      <c r="AL35" t="s">
        <v>5239</v>
      </c>
      <c r="AM35" t="s">
        <v>5240</v>
      </c>
      <c r="AN35" t="s">
        <v>12</v>
      </c>
      <c r="AO35" t="s">
        <v>5039</v>
      </c>
      <c r="AP35" t="s">
        <v>4</v>
      </c>
      <c r="AQ35" t="s">
        <v>10</v>
      </c>
      <c r="AR35" t="s">
        <v>12</v>
      </c>
      <c r="AS35" t="s">
        <v>12</v>
      </c>
      <c r="AT35" t="s">
        <v>4</v>
      </c>
      <c r="AU35" t="s">
        <v>4</v>
      </c>
      <c r="AV35" t="s">
        <v>4</v>
      </c>
      <c r="AW35" t="s">
        <v>11</v>
      </c>
      <c r="AX35">
        <v>1500</v>
      </c>
      <c r="AY35">
        <v>13300</v>
      </c>
      <c r="AZ35" t="s">
        <v>12</v>
      </c>
      <c r="BA35" t="s">
        <v>12</v>
      </c>
      <c r="BB35" t="s">
        <v>5143</v>
      </c>
      <c r="BC35" t="s">
        <v>1129</v>
      </c>
      <c r="BD35" t="s">
        <v>5072</v>
      </c>
      <c r="BE35" t="s">
        <v>4</v>
      </c>
      <c r="BF35" t="s">
        <v>12</v>
      </c>
      <c r="BG35" t="s">
        <v>4</v>
      </c>
      <c r="BH35" t="s">
        <v>12</v>
      </c>
      <c r="BI35" t="s">
        <v>12</v>
      </c>
      <c r="BJ35" t="s">
        <v>5241</v>
      </c>
      <c r="BK35" t="s">
        <v>4</v>
      </c>
      <c r="BL35">
        <v>1</v>
      </c>
      <c r="BM35" t="s">
        <v>12</v>
      </c>
      <c r="BN35">
        <v>14800</v>
      </c>
      <c r="BO35" t="s">
        <v>12</v>
      </c>
      <c r="BP35" t="s">
        <v>12</v>
      </c>
      <c r="BQ35" t="s">
        <v>12</v>
      </c>
      <c r="BR35" t="s">
        <v>4</v>
      </c>
      <c r="BS35" t="s">
        <v>4</v>
      </c>
      <c r="BT35" t="s">
        <v>4</v>
      </c>
      <c r="BU35" t="s">
        <v>4</v>
      </c>
      <c r="BV35" t="s">
        <v>4</v>
      </c>
      <c r="BW35" t="s">
        <v>303</v>
      </c>
      <c r="BX35" t="s">
        <v>4</v>
      </c>
      <c r="BY35" t="s">
        <v>12</v>
      </c>
      <c r="BZ35" t="s">
        <v>12</v>
      </c>
      <c r="CA35" t="s">
        <v>12</v>
      </c>
      <c r="CB35" t="s">
        <v>1074</v>
      </c>
      <c r="CC35" t="s">
        <v>12</v>
      </c>
      <c r="CD35" t="str" cm="1">
        <f t="array" aca="1" ref="CD35" ca="1">eConcatenar(A35:CB35,"|")</f>
        <v>2YBbdYWVWI5zdyTO|COM2021-2719|3|MEMORIAL|TABASCO|COMALCALCO|COMALCALCO|2021-8-20|14800|X|X|200|1|x|X|x|X|X|X|X|X|X|X|X|X|X|X|OLIVE|HERRERA |GLADIOLA |VIUDA|X|X|CARRETERA A COMALCALCO PARAISO SIN NUMERO |NORTE SEGUNDA SECCION |ENTRADA EL ARENAL |9331187172|ADELFO DE JESUS CARRASCO OLIVE |BENEFICIARIO 2: CRISTEL CARRASCO OLIVE|x|RUTA 4 L|X|LUNES|x|x|X|X|X|DOMICILIO|1500|13300|x|x|RETRASO 1|2021-9-20|2021-10-04|X|x|X|x|x|NORTE SEGUNDA |X|1|x|14800|x|x|x|X|X|X|X|X|CARDENAS |X|x|x|x|final</v>
      </c>
    </row>
    <row r="36" spans="1:82" x14ac:dyDescent="0.25">
      <c r="A36" t="s">
        <v>5242</v>
      </c>
      <c r="B36" t="s">
        <v>5243</v>
      </c>
      <c r="C36">
        <v>3</v>
      </c>
      <c r="D36" t="s">
        <v>65</v>
      </c>
      <c r="E36" t="s">
        <v>2</v>
      </c>
      <c r="F36" t="s">
        <v>654</v>
      </c>
      <c r="G36" t="s">
        <v>654</v>
      </c>
      <c r="H36" t="s">
        <v>1116</v>
      </c>
      <c r="I36">
        <v>14800</v>
      </c>
      <c r="J36" t="s">
        <v>4</v>
      </c>
      <c r="K36" t="s">
        <v>4</v>
      </c>
      <c r="L36">
        <v>200</v>
      </c>
      <c r="M36">
        <v>1</v>
      </c>
      <c r="N36" t="s">
        <v>12</v>
      </c>
      <c r="O36" t="s">
        <v>4</v>
      </c>
      <c r="P36" t="s">
        <v>12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4</v>
      </c>
      <c r="Z36" t="s">
        <v>4</v>
      </c>
      <c r="AA36" t="s">
        <v>4</v>
      </c>
      <c r="AB36" t="s">
        <v>36</v>
      </c>
      <c r="AC36" t="s">
        <v>265</v>
      </c>
      <c r="AD36" t="s">
        <v>4757</v>
      </c>
      <c r="AE36" t="s">
        <v>59</v>
      </c>
      <c r="AF36" t="s">
        <v>4</v>
      </c>
      <c r="AG36" t="s">
        <v>4</v>
      </c>
      <c r="AH36" t="s">
        <v>5244</v>
      </c>
      <c r="AI36" t="s">
        <v>2279</v>
      </c>
      <c r="AJ36" t="s">
        <v>5155</v>
      </c>
      <c r="AK36">
        <v>9331216725</v>
      </c>
      <c r="AL36" t="s">
        <v>5245</v>
      </c>
      <c r="AM36" t="s">
        <v>5246</v>
      </c>
      <c r="AN36" t="s">
        <v>12</v>
      </c>
      <c r="AO36" t="s">
        <v>5039</v>
      </c>
      <c r="AP36" t="s">
        <v>4</v>
      </c>
      <c r="AQ36" t="s">
        <v>10</v>
      </c>
      <c r="AR36" t="s">
        <v>12</v>
      </c>
      <c r="AS36" t="s">
        <v>12</v>
      </c>
      <c r="AT36" t="s">
        <v>4</v>
      </c>
      <c r="AU36" t="s">
        <v>4</v>
      </c>
      <c r="AV36" t="s">
        <v>4</v>
      </c>
      <c r="AW36" t="s">
        <v>11</v>
      </c>
      <c r="AX36">
        <v>500</v>
      </c>
      <c r="AY36">
        <v>14300</v>
      </c>
      <c r="AZ36" t="s">
        <v>12</v>
      </c>
      <c r="BA36" t="s">
        <v>12</v>
      </c>
      <c r="BB36" t="s">
        <v>4</v>
      </c>
      <c r="BC36" t="s">
        <v>1129</v>
      </c>
      <c r="BD36" t="s">
        <v>5072</v>
      </c>
      <c r="BE36" t="s">
        <v>4</v>
      </c>
      <c r="BF36" t="s">
        <v>12</v>
      </c>
      <c r="BG36" t="s">
        <v>4</v>
      </c>
      <c r="BH36" t="s">
        <v>12</v>
      </c>
      <c r="BI36" t="s">
        <v>12</v>
      </c>
      <c r="BJ36" t="s">
        <v>2279</v>
      </c>
      <c r="BK36" t="s">
        <v>4</v>
      </c>
      <c r="BL36">
        <v>0</v>
      </c>
      <c r="BM36" t="s">
        <v>12</v>
      </c>
      <c r="BN36">
        <v>14800</v>
      </c>
      <c r="BO36" t="s">
        <v>12</v>
      </c>
      <c r="BP36" t="s">
        <v>12</v>
      </c>
      <c r="BQ36" t="s">
        <v>12</v>
      </c>
      <c r="BR36" t="s">
        <v>4</v>
      </c>
      <c r="BS36" t="s">
        <v>4</v>
      </c>
      <c r="BT36" t="s">
        <v>4</v>
      </c>
      <c r="BU36" t="s">
        <v>4</v>
      </c>
      <c r="BV36" t="s">
        <v>4</v>
      </c>
      <c r="BW36" t="s">
        <v>303</v>
      </c>
      <c r="BX36" t="s">
        <v>4</v>
      </c>
      <c r="BY36" t="s">
        <v>12</v>
      </c>
      <c r="BZ36" t="s">
        <v>12</v>
      </c>
      <c r="CA36" t="s">
        <v>12</v>
      </c>
      <c r="CB36" t="s">
        <v>1074</v>
      </c>
      <c r="CC36" t="s">
        <v>12</v>
      </c>
      <c r="CD36" t="str" cm="1">
        <f t="array" aca="1" ref="CD36" ca="1">eConcatenar(A36:CB36,"|")</f>
        <v>XPRCbwJ5WUXdWNnT|PAR2021-2708|3|MEMORIAL|TABASCO|PARAISO|PARAISO|2021-8-16|14800|X|X|200|1|x|X|x|X|X|X|X|X|X|X|X|X|X|X|HERNANDEZ|DOMINGUEZ|ESTEBAN |CASADO|X|X|CARRETERA VECINAL PARAISO COMALCALCO |FRANCISCO I MADERO SEGUNDA SECCION |ENTRADA LOS HERNANDEZ |9331216725|ERIKA MENDEZ MONTEJO |BENEFICIARIO 2: PEDRO JESUS HERNANDEZ |x|RUTA 4 L|X|LUNES|x|x|X|X|X|DOMICILIO|500|14300|x|x|X|2021-9-20|2021-10-04|X|x|X|x|x|FRANCISCO I MADERO SEGUNDA SECCION |X|0|x|14800|x|x|x|X|X|X|X|X|CARDENAS |X|x|x|x|final</v>
      </c>
    </row>
    <row r="37" spans="1:82" x14ac:dyDescent="0.25">
      <c r="A37" t="s">
        <v>5247</v>
      </c>
      <c r="B37" t="s">
        <v>5248</v>
      </c>
      <c r="C37">
        <v>3</v>
      </c>
      <c r="D37" t="s">
        <v>5249</v>
      </c>
      <c r="E37" t="s">
        <v>2</v>
      </c>
      <c r="F37" t="s">
        <v>722</v>
      </c>
      <c r="G37" t="s">
        <v>722</v>
      </c>
      <c r="H37" t="s">
        <v>4945</v>
      </c>
      <c r="I37">
        <v>24500</v>
      </c>
      <c r="J37" t="s">
        <v>4</v>
      </c>
      <c r="K37" t="s">
        <v>4</v>
      </c>
      <c r="L37">
        <v>200</v>
      </c>
      <c r="M37">
        <v>1</v>
      </c>
      <c r="N37" t="s">
        <v>12</v>
      </c>
      <c r="O37" t="s">
        <v>4</v>
      </c>
      <c r="P37" t="s">
        <v>12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4</v>
      </c>
      <c r="Z37" t="s">
        <v>4</v>
      </c>
      <c r="AA37" t="s">
        <v>4</v>
      </c>
      <c r="AB37" t="s">
        <v>5250</v>
      </c>
      <c r="AC37" t="s">
        <v>5251</v>
      </c>
      <c r="AD37" t="s">
        <v>5252</v>
      </c>
      <c r="AE37" t="s">
        <v>29</v>
      </c>
      <c r="AF37" t="s">
        <v>4</v>
      </c>
      <c r="AG37" t="s">
        <v>4</v>
      </c>
      <c r="AH37" t="s">
        <v>5253</v>
      </c>
      <c r="AI37" t="s">
        <v>2216</v>
      </c>
      <c r="AJ37" t="s">
        <v>2216</v>
      </c>
      <c r="AK37">
        <v>9331549161</v>
      </c>
      <c r="AL37" t="s">
        <v>5254</v>
      </c>
      <c r="AM37" t="s">
        <v>5255</v>
      </c>
      <c r="AN37" t="s">
        <v>12</v>
      </c>
      <c r="AO37" t="s">
        <v>5039</v>
      </c>
      <c r="AP37" t="s">
        <v>4</v>
      </c>
      <c r="AQ37" t="s">
        <v>10</v>
      </c>
      <c r="AR37" t="s">
        <v>12</v>
      </c>
      <c r="AS37" t="s">
        <v>12</v>
      </c>
      <c r="AT37" t="s">
        <v>4</v>
      </c>
      <c r="AU37" t="s">
        <v>4</v>
      </c>
      <c r="AV37" t="s">
        <v>4</v>
      </c>
      <c r="AW37" t="s">
        <v>11</v>
      </c>
      <c r="AX37">
        <v>2980</v>
      </c>
      <c r="AY37">
        <v>21520</v>
      </c>
      <c r="AZ37" t="s">
        <v>12</v>
      </c>
      <c r="BA37" t="s">
        <v>12</v>
      </c>
      <c r="BB37" t="s">
        <v>5143</v>
      </c>
      <c r="BC37" t="s">
        <v>1129</v>
      </c>
      <c r="BD37" t="s">
        <v>5072</v>
      </c>
      <c r="BE37" t="s">
        <v>4</v>
      </c>
      <c r="BF37" t="s">
        <v>12</v>
      </c>
      <c r="BG37" t="s">
        <v>4</v>
      </c>
      <c r="BH37" t="s">
        <v>12</v>
      </c>
      <c r="BI37" t="s">
        <v>12</v>
      </c>
      <c r="BJ37" t="s">
        <v>2216</v>
      </c>
      <c r="BK37" t="s">
        <v>4</v>
      </c>
      <c r="BL37">
        <v>1</v>
      </c>
      <c r="BM37" t="s">
        <v>12</v>
      </c>
      <c r="BN37">
        <v>24500</v>
      </c>
      <c r="BO37" t="s">
        <v>12</v>
      </c>
      <c r="BP37" t="s">
        <v>12</v>
      </c>
      <c r="BQ37" t="s">
        <v>12</v>
      </c>
      <c r="BR37" t="s">
        <v>4</v>
      </c>
      <c r="BS37" t="s">
        <v>4</v>
      </c>
      <c r="BT37" t="s">
        <v>4</v>
      </c>
      <c r="BU37" t="s">
        <v>4</v>
      </c>
      <c r="BV37" t="s">
        <v>4</v>
      </c>
      <c r="BW37" t="s">
        <v>303</v>
      </c>
      <c r="BX37" t="s">
        <v>4</v>
      </c>
      <c r="BY37" t="s">
        <v>12</v>
      </c>
      <c r="BZ37" t="s">
        <v>12</v>
      </c>
      <c r="CA37" t="s">
        <v>12</v>
      </c>
      <c r="CB37" t="s">
        <v>1074</v>
      </c>
      <c r="CC37" t="s">
        <v>12</v>
      </c>
      <c r="CD37" t="str" cm="1">
        <f t="array" aca="1" ref="CD37" ca="1">eConcatenar(A37:CB37,"|")</f>
        <v>2vMDKCcza9gnmI0R|COM2021-2721|3|DIGNITY |TABASCO|COMALCALCO|COMALCALCO|2021-8-20|24500|X|X|200|1|x|X|x|X|X|X|X|X|X|X|X|X|X|X|PRADOS |ALMEIDA |MARIA DE LOS ANGELES|CASADA|X|X|EL REGALO SIN NUMERO |NORTE SEGUNDA SECCION |NORTE SEGUNDA SECCION |9331549161|LEEM ESTELA DE LOS PLADOS ALMEIDA |BENEFICIARIO 2: JUAN CARLOS DE LOS PRADOS ALMEIDA |x|RUTA 4 L|X|LUNES|x|x|X|X|X|DOMICILIO|2980|21520|x|x|RETRASO 1|2021-9-20|2021-10-04|X|x|X|x|x|NORTE SEGUNDA SECCION |X|1|x|24500|x|x|x|X|X|X|X|X|CARDENAS |X|x|x|x|final</v>
      </c>
    </row>
    <row r="38" spans="1:82" x14ac:dyDescent="0.25">
      <c r="A38" t="s">
        <v>5256</v>
      </c>
      <c r="B38" t="s">
        <v>5257</v>
      </c>
      <c r="C38">
        <v>3</v>
      </c>
      <c r="D38" t="s">
        <v>194</v>
      </c>
      <c r="E38" t="s">
        <v>2</v>
      </c>
      <c r="F38" t="s">
        <v>654</v>
      </c>
      <c r="G38" t="s">
        <v>654</v>
      </c>
      <c r="H38" t="s">
        <v>5258</v>
      </c>
      <c r="I38">
        <v>11500</v>
      </c>
      <c r="J38" t="s">
        <v>4</v>
      </c>
      <c r="K38" t="s">
        <v>4</v>
      </c>
      <c r="L38">
        <v>100</v>
      </c>
      <c r="M38">
        <v>0</v>
      </c>
      <c r="N38" t="s">
        <v>12</v>
      </c>
      <c r="O38" t="s">
        <v>4</v>
      </c>
      <c r="P38" t="s">
        <v>12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4</v>
      </c>
      <c r="Z38" t="s">
        <v>4</v>
      </c>
      <c r="AA38" t="s">
        <v>4</v>
      </c>
      <c r="AB38" t="s">
        <v>22</v>
      </c>
      <c r="AC38" t="s">
        <v>327</v>
      </c>
      <c r="AD38" t="s">
        <v>5259</v>
      </c>
      <c r="AE38" t="s">
        <v>5260</v>
      </c>
      <c r="AF38" t="s">
        <v>4</v>
      </c>
      <c r="AG38" t="s">
        <v>4</v>
      </c>
      <c r="AH38" t="s">
        <v>5261</v>
      </c>
      <c r="AI38" t="s">
        <v>5262</v>
      </c>
      <c r="AJ38" t="s">
        <v>4</v>
      </c>
      <c r="AK38">
        <v>9331341903</v>
      </c>
      <c r="AL38" t="s">
        <v>5263</v>
      </c>
      <c r="AM38" t="s">
        <v>5264</v>
      </c>
      <c r="AN38" t="s">
        <v>12</v>
      </c>
      <c r="AO38" t="s">
        <v>5039</v>
      </c>
      <c r="AP38" t="s">
        <v>4</v>
      </c>
      <c r="AQ38" t="s">
        <v>10</v>
      </c>
      <c r="AR38" t="s">
        <v>12</v>
      </c>
      <c r="AS38" t="s">
        <v>12</v>
      </c>
      <c r="AT38" t="s">
        <v>4</v>
      </c>
      <c r="AU38" t="s">
        <v>4</v>
      </c>
      <c r="AV38" t="s">
        <v>4</v>
      </c>
      <c r="AW38" t="s">
        <v>11</v>
      </c>
      <c r="AX38">
        <v>9500</v>
      </c>
      <c r="AY38">
        <v>2000</v>
      </c>
      <c r="AZ38" t="s">
        <v>12</v>
      </c>
      <c r="BA38" t="s">
        <v>12</v>
      </c>
      <c r="BB38" t="s">
        <v>4</v>
      </c>
      <c r="BC38" t="s">
        <v>1129</v>
      </c>
      <c r="BD38" t="s">
        <v>1133</v>
      </c>
      <c r="BE38" t="s">
        <v>4</v>
      </c>
      <c r="BF38" t="s">
        <v>12</v>
      </c>
      <c r="BG38" t="s">
        <v>4</v>
      </c>
      <c r="BH38" t="s">
        <v>12</v>
      </c>
      <c r="BI38" t="s">
        <v>12</v>
      </c>
      <c r="BJ38" t="s">
        <v>5025</v>
      </c>
      <c r="BK38" t="s">
        <v>4</v>
      </c>
      <c r="BL38">
        <v>1</v>
      </c>
      <c r="BM38" t="s">
        <v>12</v>
      </c>
      <c r="BN38">
        <v>11500</v>
      </c>
      <c r="BO38" t="s">
        <v>12</v>
      </c>
      <c r="BP38" t="s">
        <v>12</v>
      </c>
      <c r="BQ38" t="s">
        <v>12</v>
      </c>
      <c r="BR38" t="s">
        <v>4</v>
      </c>
      <c r="BS38" t="s">
        <v>4</v>
      </c>
      <c r="BT38" t="s">
        <v>4</v>
      </c>
      <c r="BU38" t="s">
        <v>4</v>
      </c>
      <c r="BV38" t="s">
        <v>4</v>
      </c>
      <c r="BW38" t="s">
        <v>303</v>
      </c>
      <c r="BX38" t="s">
        <v>4</v>
      </c>
      <c r="BY38" t="s">
        <v>12</v>
      </c>
      <c r="BZ38" t="s">
        <v>12</v>
      </c>
      <c r="CA38" t="s">
        <v>12</v>
      </c>
      <c r="CB38" t="s">
        <v>1074</v>
      </c>
      <c r="CC38" t="s">
        <v>12</v>
      </c>
      <c r="CD38" t="str" cm="1">
        <f t="array" aca="1" ref="CD38" ca="1">eConcatenar(A38:CB38,"|")</f>
        <v>I9juY5mrTYyGOpll|PAR2017-3765|3|ECONOLINE|TABASCO|PARAISO|PARAISO|2017-7-27|11500|X|X|100|0|x|X|x|X|X|X|X|X|X|X|X|X|X|X|JIMENEZ |CASTILLO|MARTHA |DIVORCIADA |X|X|PALMA HUACA |ORIERNTE SEGUNDA SECCION |X|9331341903|ALEXANDER DOMINGUEZ JIMENEZ |BENEFICIARIO 2: ELBA DORIS DOMINGUEZ JIMENEZ|x|RUTA 4 L|X|LUNES|x|x|X|X|X|DOMICILIO|9500|2000|x|x|X|2021-9-20|2021-9-27|X|x|X|x|x|ORIENTE SEGUNDA SECCION |X|1|x|11500|x|x|x|X|X|X|X|X|CARDENAS |X|x|x|x|final</v>
      </c>
    </row>
    <row r="39" spans="1:82" x14ac:dyDescent="0.25">
      <c r="A39" t="s">
        <v>5265</v>
      </c>
      <c r="B39" t="s">
        <v>5266</v>
      </c>
      <c r="C39">
        <v>3</v>
      </c>
      <c r="D39" t="s">
        <v>194</v>
      </c>
      <c r="E39" t="s">
        <v>2</v>
      </c>
      <c r="F39" t="s">
        <v>654</v>
      </c>
      <c r="G39" t="s">
        <v>654</v>
      </c>
      <c r="H39" t="s">
        <v>5267</v>
      </c>
      <c r="I39">
        <v>11500</v>
      </c>
      <c r="J39" t="s">
        <v>4</v>
      </c>
      <c r="K39" t="s">
        <v>4</v>
      </c>
      <c r="L39">
        <v>200</v>
      </c>
      <c r="M39">
        <v>1</v>
      </c>
      <c r="N39" t="s">
        <v>12</v>
      </c>
      <c r="O39" t="s">
        <v>4</v>
      </c>
      <c r="P39" t="s">
        <v>4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4</v>
      </c>
      <c r="Z39" t="s">
        <v>4</v>
      </c>
      <c r="AA39" t="s">
        <v>4</v>
      </c>
      <c r="AB39" t="s">
        <v>47</v>
      </c>
      <c r="AC39" t="s">
        <v>426</v>
      </c>
      <c r="AD39" t="s">
        <v>5268</v>
      </c>
      <c r="AE39" t="s">
        <v>4738</v>
      </c>
      <c r="AF39" t="s">
        <v>4</v>
      </c>
      <c r="AG39" t="s">
        <v>4</v>
      </c>
      <c r="AH39" t="s">
        <v>5269</v>
      </c>
      <c r="AI39" t="s">
        <v>5270</v>
      </c>
      <c r="AJ39" t="s">
        <v>4</v>
      </c>
      <c r="AK39">
        <v>9932939619</v>
      </c>
      <c r="AL39" t="s">
        <v>5271</v>
      </c>
      <c r="AM39" t="s">
        <v>5272</v>
      </c>
      <c r="AN39" t="s">
        <v>12</v>
      </c>
      <c r="AO39" t="s">
        <v>5039</v>
      </c>
      <c r="AP39" t="s">
        <v>4</v>
      </c>
      <c r="AQ39" t="s">
        <v>10</v>
      </c>
      <c r="AR39" t="s">
        <v>12</v>
      </c>
      <c r="AS39" t="s">
        <v>12</v>
      </c>
      <c r="AT39" t="s">
        <v>4</v>
      </c>
      <c r="AU39" t="s">
        <v>4</v>
      </c>
      <c r="AV39" t="s">
        <v>4</v>
      </c>
      <c r="AW39" t="s">
        <v>11</v>
      </c>
      <c r="AX39">
        <v>11100</v>
      </c>
      <c r="AY39">
        <v>400</v>
      </c>
      <c r="AZ39" t="s">
        <v>12</v>
      </c>
      <c r="BA39" t="s">
        <v>12</v>
      </c>
      <c r="BB39" t="s">
        <v>4</v>
      </c>
      <c r="BC39" t="s">
        <v>1129</v>
      </c>
      <c r="BD39" t="s">
        <v>5072</v>
      </c>
      <c r="BE39" t="s">
        <v>4</v>
      </c>
      <c r="BF39" t="s">
        <v>12</v>
      </c>
      <c r="BG39" t="s">
        <v>4</v>
      </c>
      <c r="BH39" t="s">
        <v>12</v>
      </c>
      <c r="BI39" t="s">
        <v>12</v>
      </c>
      <c r="BJ39" t="s">
        <v>5270</v>
      </c>
      <c r="BK39" t="s">
        <v>4</v>
      </c>
      <c r="BL39">
        <v>1</v>
      </c>
      <c r="BM39" t="s">
        <v>12</v>
      </c>
      <c r="BN39">
        <v>11500</v>
      </c>
      <c r="BO39" t="s">
        <v>12</v>
      </c>
      <c r="BP39" t="s">
        <v>12</v>
      </c>
      <c r="BQ39" t="s">
        <v>12</v>
      </c>
      <c r="BR39" t="s">
        <v>4</v>
      </c>
      <c r="BS39" t="s">
        <v>4</v>
      </c>
      <c r="BT39" t="s">
        <v>4</v>
      </c>
      <c r="BU39" t="s">
        <v>4</v>
      </c>
      <c r="BV39" t="s">
        <v>4</v>
      </c>
      <c r="BW39" t="s">
        <v>303</v>
      </c>
      <c r="BX39" t="s">
        <v>4</v>
      </c>
      <c r="BY39" t="s">
        <v>12</v>
      </c>
      <c r="BZ39" t="s">
        <v>12</v>
      </c>
      <c r="CA39" t="s">
        <v>12</v>
      </c>
      <c r="CB39" t="s">
        <v>1074</v>
      </c>
      <c r="CC39" t="s">
        <v>12</v>
      </c>
      <c r="CD39" t="str" cm="1">
        <f t="array" aca="1" ref="CD39" ca="1">eConcatenar(A39:CB39,"|")</f>
        <v>EyFtsgXYbqpQMcyt|PAR2017-3484|3|ECONOLINE|TABASCO|PARAISO|PARAISO|2017-9-30|11500|X|X|200|1|x|X|X|X|X|X|X|X|X|X|X|X|X|X|SANCHEZ|HERNANDEZ |MARIA CRUZ |SOLTERA |X|X|CALLE 18 DE MARZO |LOS COQUITOS |X|9932939619|ANA YANCI TRINIDAD SANCHEZ |BENEFICIARIO 2: JOSE ALFREDO AVALOS SANCHEZ |x|RUTA 4 L|X|LUNES|x|x|X|X|X|DOMICILIO|11100|400|x|x|X|2021-9-20|2021-10-04|X|x|X|x|x|LOS COQUITOS |X|1|x|11500|x|x|x|X|X|X|X|X|CARDENAS |X|x|x|x|final</v>
      </c>
    </row>
    <row r="40" spans="1:82" x14ac:dyDescent="0.25">
      <c r="A40" t="s">
        <v>5273</v>
      </c>
      <c r="B40" t="s">
        <v>5274</v>
      </c>
      <c r="C40">
        <v>3</v>
      </c>
      <c r="D40" t="s">
        <v>194</v>
      </c>
      <c r="E40" t="s">
        <v>2</v>
      </c>
      <c r="F40" t="s">
        <v>654</v>
      </c>
      <c r="G40" t="s">
        <v>654</v>
      </c>
      <c r="H40" t="s">
        <v>5275</v>
      </c>
      <c r="I40">
        <v>11500</v>
      </c>
      <c r="J40" t="s">
        <v>4</v>
      </c>
      <c r="K40" t="s">
        <v>4</v>
      </c>
      <c r="L40">
        <v>200</v>
      </c>
      <c r="M40">
        <v>1</v>
      </c>
      <c r="N40" t="s">
        <v>12</v>
      </c>
      <c r="O40" t="s">
        <v>4</v>
      </c>
      <c r="P40" t="s">
        <v>4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4</v>
      </c>
      <c r="Z40" t="s">
        <v>4</v>
      </c>
      <c r="AA40" t="s">
        <v>4</v>
      </c>
      <c r="AB40" t="s">
        <v>400</v>
      </c>
      <c r="AC40" t="s">
        <v>109</v>
      </c>
      <c r="AD40" t="s">
        <v>5276</v>
      </c>
      <c r="AE40" t="s">
        <v>4738</v>
      </c>
      <c r="AF40" t="s">
        <v>4</v>
      </c>
      <c r="AG40" t="s">
        <v>4</v>
      </c>
      <c r="AH40" t="s">
        <v>5277</v>
      </c>
      <c r="AI40" t="s">
        <v>699</v>
      </c>
      <c r="AJ40" t="s">
        <v>5278</v>
      </c>
      <c r="AK40">
        <v>9331264296</v>
      </c>
      <c r="AL40" t="s">
        <v>5279</v>
      </c>
      <c r="AM40" t="s">
        <v>5280</v>
      </c>
      <c r="AN40" t="s">
        <v>12</v>
      </c>
      <c r="AO40" t="s">
        <v>5039</v>
      </c>
      <c r="AP40" t="s">
        <v>4</v>
      </c>
      <c r="AQ40" t="s">
        <v>10</v>
      </c>
      <c r="AR40" t="s">
        <v>12</v>
      </c>
      <c r="AS40" t="s">
        <v>12</v>
      </c>
      <c r="AT40" t="s">
        <v>4</v>
      </c>
      <c r="AU40" t="s">
        <v>4</v>
      </c>
      <c r="AV40" t="s">
        <v>4</v>
      </c>
      <c r="AW40" t="s">
        <v>11</v>
      </c>
      <c r="AX40">
        <v>8700</v>
      </c>
      <c r="AY40">
        <v>2800</v>
      </c>
      <c r="AZ40" t="s">
        <v>12</v>
      </c>
      <c r="BA40" t="s">
        <v>12</v>
      </c>
      <c r="BB40" t="s">
        <v>4</v>
      </c>
      <c r="BC40" t="s">
        <v>1129</v>
      </c>
      <c r="BD40" t="s">
        <v>5072</v>
      </c>
      <c r="BE40" t="s">
        <v>4</v>
      </c>
      <c r="BF40" t="s">
        <v>12</v>
      </c>
      <c r="BG40" t="s">
        <v>4</v>
      </c>
      <c r="BH40" t="s">
        <v>12</v>
      </c>
      <c r="BI40" t="s">
        <v>12</v>
      </c>
      <c r="BJ40" t="s">
        <v>699</v>
      </c>
      <c r="BK40" t="s">
        <v>4</v>
      </c>
      <c r="BL40">
        <v>1</v>
      </c>
      <c r="BM40" t="s">
        <v>12</v>
      </c>
      <c r="BN40">
        <v>11500</v>
      </c>
      <c r="BO40" t="s">
        <v>12</v>
      </c>
      <c r="BP40" t="s">
        <v>12</v>
      </c>
      <c r="BQ40" t="s">
        <v>12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303</v>
      </c>
      <c r="BX40" t="s">
        <v>4</v>
      </c>
      <c r="BY40" t="s">
        <v>12</v>
      </c>
      <c r="BZ40" t="s">
        <v>12</v>
      </c>
      <c r="CA40" t="s">
        <v>12</v>
      </c>
      <c r="CB40" t="s">
        <v>1074</v>
      </c>
      <c r="CC40" t="s">
        <v>12</v>
      </c>
      <c r="CD40" t="str" cm="1">
        <f t="array" aca="1" ref="CD40" ca="1">eConcatenar(A40:CB40,"|")</f>
        <v>lgJngRE9xZFklxV8|PAR2017-3893|3|ECONOLINE|TABASCO|PARAISO|PARAISO|2017-10-03|11500|X|X|200|1|x|X|X|X|X|X|X|X|X|X|X|X|X|X|CHABLE |PEREZ|MARIA ESPERANZA |SOLTERA |X|X|CARRETERA A LA BARRA SIN NUMERO |LAS FLORES PRIMERA SECCION |CALLE BUGAMBILIA |9331264296|YURI ARTURO CASTRO CHABLE |BENEFICIARIO 2: IRIS YANETH PALMA ALONSO |x|RUTA 4 L|X|LUNES|x|x|X|X|X|DOMICILIO|8700|2800|x|x|X|2021-9-20|2021-10-04|X|x|X|x|x|LAS FLORES PRIMERA SECCION |X|1|x|11500|x|x|x|X|X|X|X|X|CARDENAS |X|x|x|x|final</v>
      </c>
    </row>
    <row r="41" spans="1:82" x14ac:dyDescent="0.25">
      <c r="A41" t="s">
        <v>5281</v>
      </c>
      <c r="B41" t="s">
        <v>5282</v>
      </c>
      <c r="C41">
        <v>3</v>
      </c>
      <c r="D41" t="s">
        <v>194</v>
      </c>
      <c r="E41" t="s">
        <v>2</v>
      </c>
      <c r="F41" t="s">
        <v>654</v>
      </c>
      <c r="G41" t="s">
        <v>654</v>
      </c>
      <c r="H41" t="s">
        <v>5283</v>
      </c>
      <c r="I41">
        <v>12900</v>
      </c>
      <c r="J41" t="s">
        <v>4</v>
      </c>
      <c r="K41" t="s">
        <v>4</v>
      </c>
      <c r="L41">
        <v>100</v>
      </c>
      <c r="M41">
        <v>0</v>
      </c>
      <c r="N41" t="s">
        <v>12</v>
      </c>
      <c r="O41" t="s">
        <v>4</v>
      </c>
      <c r="P41" t="s">
        <v>4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4</v>
      </c>
      <c r="Z41" t="s">
        <v>4</v>
      </c>
      <c r="AA41" t="s">
        <v>4</v>
      </c>
      <c r="AB41" t="s">
        <v>971</v>
      </c>
      <c r="AC41" t="s">
        <v>5284</v>
      </c>
      <c r="AD41" t="s">
        <v>5285</v>
      </c>
      <c r="AE41" t="s">
        <v>59</v>
      </c>
      <c r="AF41" t="s">
        <v>4</v>
      </c>
      <c r="AG41" t="s">
        <v>4</v>
      </c>
      <c r="AH41" t="s">
        <v>5286</v>
      </c>
      <c r="AI41" t="s">
        <v>40</v>
      </c>
      <c r="AJ41" t="s">
        <v>4</v>
      </c>
      <c r="AK41">
        <v>9331057090</v>
      </c>
      <c r="AL41" t="s">
        <v>5287</v>
      </c>
      <c r="AM41" t="s">
        <v>5288</v>
      </c>
      <c r="AN41" t="s">
        <v>12</v>
      </c>
      <c r="AO41" t="s">
        <v>5039</v>
      </c>
      <c r="AP41" t="s">
        <v>4</v>
      </c>
      <c r="AQ41" t="s">
        <v>10</v>
      </c>
      <c r="AR41" t="s">
        <v>12</v>
      </c>
      <c r="AS41" t="s">
        <v>12</v>
      </c>
      <c r="AT41" t="s">
        <v>4</v>
      </c>
      <c r="AU41" t="s">
        <v>4</v>
      </c>
      <c r="AV41" t="s">
        <v>4</v>
      </c>
      <c r="AW41" t="s">
        <v>11</v>
      </c>
      <c r="AX41">
        <v>8900</v>
      </c>
      <c r="AY41">
        <v>4000</v>
      </c>
      <c r="AZ41" t="s">
        <v>12</v>
      </c>
      <c r="BA41" t="s">
        <v>12</v>
      </c>
      <c r="BB41" t="s">
        <v>4</v>
      </c>
      <c r="BC41" t="s">
        <v>1129</v>
      </c>
      <c r="BD41" t="s">
        <v>1133</v>
      </c>
      <c r="BE41" t="s">
        <v>4</v>
      </c>
      <c r="BF41" t="s">
        <v>12</v>
      </c>
      <c r="BG41" t="s">
        <v>4</v>
      </c>
      <c r="BH41" t="s">
        <v>12</v>
      </c>
      <c r="BI41" t="s">
        <v>12</v>
      </c>
      <c r="BJ41" t="s">
        <v>39</v>
      </c>
      <c r="BK41" t="s">
        <v>4</v>
      </c>
      <c r="BL41">
        <v>0</v>
      </c>
      <c r="BM41" t="s">
        <v>12</v>
      </c>
      <c r="BN41">
        <v>12900</v>
      </c>
      <c r="BO41" t="s">
        <v>12</v>
      </c>
      <c r="BP41" t="s">
        <v>12</v>
      </c>
      <c r="BQ41" t="s">
        <v>12</v>
      </c>
      <c r="BR41" t="s">
        <v>4</v>
      </c>
      <c r="BS41" t="s">
        <v>4</v>
      </c>
      <c r="BT41" t="s">
        <v>4</v>
      </c>
      <c r="BU41" t="s">
        <v>4</v>
      </c>
      <c r="BV41" t="s">
        <v>4</v>
      </c>
      <c r="BW41" t="s">
        <v>303</v>
      </c>
      <c r="BX41" t="s">
        <v>4</v>
      </c>
      <c r="BY41" t="s">
        <v>12</v>
      </c>
      <c r="BZ41" t="s">
        <v>12</v>
      </c>
      <c r="CA41" t="s">
        <v>12</v>
      </c>
      <c r="CB41" t="s">
        <v>1074</v>
      </c>
      <c r="CC41" t="s">
        <v>12</v>
      </c>
      <c r="CD41" t="str" cm="1">
        <f t="array" aca="1" ref="CD41" ca="1">eConcatenar(A41:CB41,"|")</f>
        <v>tQaiE3PjWeHSEyUb|PAR2019-3088|3|ECONOLINE|TABASCO|PARAISO|PARAISO|2019-11-19|12900|X|X|100|0|x|X|X|X|X|X|X|X|X|X|X|X|X|X|FLORES |COLLADO |JUAN GABRIEL |CASADO|X|X|CALLE 5 DE MAYO NUMERO 1026 INTERIOR |CENTRO|X|9331057090|MIRALDEYIS COLLADO MONTEJO |BENEFICIARIO 2: GLORIA ESTHER FLORES COLLADO |x|RUTA 4 L|X|LUNES|x|x|X|X|X|DOMICILIO|8900|4000|x|x|X|2021-9-20|2021-9-27|X|x|X|x|x|CENTRO |X|0|x|12900|x|x|x|X|X|X|X|X|CARDENAS |X|x|x|x|final</v>
      </c>
    </row>
    <row r="42" spans="1:82" x14ac:dyDescent="0.25">
      <c r="A42" t="s">
        <v>5289</v>
      </c>
      <c r="B42" t="s">
        <v>5290</v>
      </c>
      <c r="C42">
        <v>3</v>
      </c>
      <c r="D42" t="s">
        <v>194</v>
      </c>
      <c r="E42" t="s">
        <v>2</v>
      </c>
      <c r="F42" t="s">
        <v>654</v>
      </c>
      <c r="G42" t="s">
        <v>654</v>
      </c>
      <c r="H42" t="s">
        <v>4736</v>
      </c>
      <c r="I42">
        <v>12900</v>
      </c>
      <c r="J42" t="s">
        <v>4</v>
      </c>
      <c r="K42" t="s">
        <v>4</v>
      </c>
      <c r="L42">
        <v>100</v>
      </c>
      <c r="M42">
        <v>0</v>
      </c>
      <c r="N42" t="s">
        <v>12</v>
      </c>
      <c r="O42" t="s">
        <v>4</v>
      </c>
      <c r="P42" t="s">
        <v>4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4</v>
      </c>
      <c r="Z42" t="s">
        <v>4</v>
      </c>
      <c r="AA42" t="s">
        <v>4</v>
      </c>
      <c r="AB42" t="s">
        <v>4739</v>
      </c>
      <c r="AC42" t="s">
        <v>265</v>
      </c>
      <c r="AD42" t="s">
        <v>5291</v>
      </c>
      <c r="AE42" t="s">
        <v>24</v>
      </c>
      <c r="AF42" t="s">
        <v>4</v>
      </c>
      <c r="AG42" t="s">
        <v>4</v>
      </c>
      <c r="AH42" t="s">
        <v>5292</v>
      </c>
      <c r="AI42" t="s">
        <v>40</v>
      </c>
      <c r="AJ42" t="s">
        <v>5293</v>
      </c>
      <c r="AK42">
        <v>9333295554</v>
      </c>
      <c r="AL42" t="s">
        <v>5294</v>
      </c>
      <c r="AM42" t="s">
        <v>5295</v>
      </c>
      <c r="AN42" t="s">
        <v>12</v>
      </c>
      <c r="AO42" t="s">
        <v>5039</v>
      </c>
      <c r="AP42" t="s">
        <v>4</v>
      </c>
      <c r="AQ42" t="s">
        <v>10</v>
      </c>
      <c r="AR42" t="s">
        <v>12</v>
      </c>
      <c r="AS42" t="s">
        <v>12</v>
      </c>
      <c r="AT42" t="s">
        <v>4</v>
      </c>
      <c r="AU42" t="s">
        <v>4</v>
      </c>
      <c r="AV42" t="s">
        <v>4</v>
      </c>
      <c r="AW42" t="s">
        <v>11</v>
      </c>
      <c r="AX42">
        <v>9100</v>
      </c>
      <c r="AY42">
        <v>3800</v>
      </c>
      <c r="AZ42" t="s">
        <v>12</v>
      </c>
      <c r="BA42" t="s">
        <v>12</v>
      </c>
      <c r="BB42" t="s">
        <v>4</v>
      </c>
      <c r="BC42" t="s">
        <v>1129</v>
      </c>
      <c r="BD42" t="s">
        <v>1133</v>
      </c>
      <c r="BE42" t="s">
        <v>4</v>
      </c>
      <c r="BF42" t="s">
        <v>12</v>
      </c>
      <c r="BG42" t="s">
        <v>4</v>
      </c>
      <c r="BH42" t="s">
        <v>12</v>
      </c>
      <c r="BI42" t="s">
        <v>12</v>
      </c>
      <c r="BJ42" t="s">
        <v>39</v>
      </c>
      <c r="BK42" t="s">
        <v>4</v>
      </c>
      <c r="BL42">
        <v>0</v>
      </c>
      <c r="BM42" t="s">
        <v>12</v>
      </c>
      <c r="BN42">
        <v>12900</v>
      </c>
      <c r="BO42" t="s">
        <v>12</v>
      </c>
      <c r="BP42" t="s">
        <v>12</v>
      </c>
      <c r="BQ42" t="s">
        <v>12</v>
      </c>
      <c r="BR42" t="s">
        <v>4</v>
      </c>
      <c r="BS42" t="s">
        <v>4</v>
      </c>
      <c r="BT42" t="s">
        <v>4</v>
      </c>
      <c r="BU42" t="s">
        <v>4</v>
      </c>
      <c r="BV42" t="s">
        <v>4</v>
      </c>
      <c r="BW42" t="s">
        <v>303</v>
      </c>
      <c r="BX42" t="s">
        <v>4</v>
      </c>
      <c r="BY42" t="s">
        <v>12</v>
      </c>
      <c r="BZ42" t="s">
        <v>12</v>
      </c>
      <c r="CA42" t="s">
        <v>12</v>
      </c>
      <c r="CB42" t="s">
        <v>1074</v>
      </c>
      <c r="CC42" t="s">
        <v>12</v>
      </c>
      <c r="CD42" t="str" cm="1">
        <f t="array" aca="1" ref="CD42" ca="1">eConcatenar(A42:CB42,"|")</f>
        <v>RHUzNUBaPOK9LVlC|PAR2019-2878|3|ECONOLINE|TABASCO|PARAISO|PARAISO|2019-10-23|12900|X|X|100|0|x|X|X|X|X|X|X|X|X|X|X|X|X|X|AVALOS |DOMINGUEZ|MELQUIADES|UNION LIBRE|X|X|CALLE NICOLAS BRAVO SIN NUMERO INTERIOR 1 |CENTRO|ENTRADA DE LA BOMBA |9333295554|GEORGINA DOMINGUEZ JUAREZ|BENEFICIARIO 2: JAIRO ALBERTO SANCHEZ DOMINGUEZ |x|RUTA 4 L|X|LUNES|x|x|X|X|X|DOMICILIO|9100|3800|x|x|X|2021-9-20|2021-9-27|X|x|X|x|x|CENTRO |X|0|x|12900|x|x|x|X|X|X|X|X|CARDENAS |X|x|x|x|final</v>
      </c>
    </row>
    <row r="43" spans="1:82" x14ac:dyDescent="0.25">
      <c r="A43" t="s">
        <v>5296</v>
      </c>
      <c r="B43" t="s">
        <v>5297</v>
      </c>
      <c r="C43">
        <v>3</v>
      </c>
      <c r="D43" t="s">
        <v>194</v>
      </c>
      <c r="E43" t="s">
        <v>2</v>
      </c>
      <c r="F43" t="s">
        <v>654</v>
      </c>
      <c r="G43" t="s">
        <v>654</v>
      </c>
      <c r="H43" t="s">
        <v>1109</v>
      </c>
      <c r="I43">
        <v>12900</v>
      </c>
      <c r="J43" t="s">
        <v>4</v>
      </c>
      <c r="K43" t="s">
        <v>4</v>
      </c>
      <c r="L43">
        <v>100</v>
      </c>
      <c r="M43">
        <v>0</v>
      </c>
      <c r="N43" t="s">
        <v>12</v>
      </c>
      <c r="O43" t="s">
        <v>4</v>
      </c>
      <c r="P43" t="s">
        <v>4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4</v>
      </c>
      <c r="Z43" t="s">
        <v>4</v>
      </c>
      <c r="AA43" t="s">
        <v>4</v>
      </c>
      <c r="AB43" t="s">
        <v>36</v>
      </c>
      <c r="AC43" t="s">
        <v>274</v>
      </c>
      <c r="AD43" t="s">
        <v>4714</v>
      </c>
      <c r="AE43" t="s">
        <v>59</v>
      </c>
      <c r="AF43" t="s">
        <v>4</v>
      </c>
      <c r="AG43" t="s">
        <v>4</v>
      </c>
      <c r="AH43" t="s">
        <v>4728</v>
      </c>
      <c r="AI43" t="s">
        <v>5230</v>
      </c>
      <c r="AJ43" t="s">
        <v>4</v>
      </c>
      <c r="AK43">
        <v>9331577046</v>
      </c>
      <c r="AL43" t="s">
        <v>5298</v>
      </c>
      <c r="AM43" t="s">
        <v>5299</v>
      </c>
      <c r="AN43" t="s">
        <v>12</v>
      </c>
      <c r="AO43" t="s">
        <v>5039</v>
      </c>
      <c r="AP43" t="s">
        <v>4</v>
      </c>
      <c r="AQ43" t="s">
        <v>10</v>
      </c>
      <c r="AR43" t="s">
        <v>12</v>
      </c>
      <c r="AS43" t="s">
        <v>12</v>
      </c>
      <c r="AT43" t="s">
        <v>4</v>
      </c>
      <c r="AU43" t="s">
        <v>4</v>
      </c>
      <c r="AV43" t="s">
        <v>4</v>
      </c>
      <c r="AW43" t="s">
        <v>11</v>
      </c>
      <c r="AX43">
        <v>7300</v>
      </c>
      <c r="AY43">
        <v>5600</v>
      </c>
      <c r="AZ43" t="s">
        <v>12</v>
      </c>
      <c r="BA43" t="s">
        <v>12</v>
      </c>
      <c r="BB43" t="s">
        <v>4</v>
      </c>
      <c r="BC43" t="s">
        <v>1129</v>
      </c>
      <c r="BD43" t="s">
        <v>1133</v>
      </c>
      <c r="BE43" t="s">
        <v>4</v>
      </c>
      <c r="BF43" t="s">
        <v>12</v>
      </c>
      <c r="BG43" t="s">
        <v>4</v>
      </c>
      <c r="BH43" t="s">
        <v>12</v>
      </c>
      <c r="BI43" t="s">
        <v>12</v>
      </c>
      <c r="BJ43" t="s">
        <v>5230</v>
      </c>
      <c r="BK43" t="s">
        <v>4</v>
      </c>
      <c r="BL43">
        <v>0</v>
      </c>
      <c r="BM43" t="s">
        <v>12</v>
      </c>
      <c r="BN43">
        <v>12900</v>
      </c>
      <c r="BO43" t="s">
        <v>12</v>
      </c>
      <c r="BP43" t="s">
        <v>12</v>
      </c>
      <c r="BQ43" t="s">
        <v>12</v>
      </c>
      <c r="BR43" t="s">
        <v>4</v>
      </c>
      <c r="BS43" t="s">
        <v>4</v>
      </c>
      <c r="BT43" t="s">
        <v>4</v>
      </c>
      <c r="BU43" t="s">
        <v>4</v>
      </c>
      <c r="BV43" t="s">
        <v>4</v>
      </c>
      <c r="BW43" t="s">
        <v>303</v>
      </c>
      <c r="BX43" t="s">
        <v>4</v>
      </c>
      <c r="BY43" t="s">
        <v>12</v>
      </c>
      <c r="BZ43" t="s">
        <v>12</v>
      </c>
      <c r="CA43" t="s">
        <v>12</v>
      </c>
      <c r="CB43" t="s">
        <v>1074</v>
      </c>
      <c r="CC43" t="s">
        <v>12</v>
      </c>
      <c r="CD43" t="str" cm="1">
        <f t="array" aca="1" ref="CD43" ca="1">eConcatenar(A43:CB43,"|")</f>
        <v>vctdP1QHuEkmjGXJ|PAR2019-2287|3|ECONOLINE|TABASCO|PARAISO|PARAISO|2019-8-27|12900|X|X|100|0|x|X|X|X|X|X|X|X|X|X|X|X|X|X|HERNANDEZ|CRUZ|JESUS|CASADO|X|X|ENTRADA EL KINDER |MOCTEZUMA PRIMERA |X|9331577046|BEATRIZ HERNANDEZ LOPEZ |BENEFICIARIO 2: FELIX HERNANDEZ LOPEZ |x|RUTA 4 L|X|LUNES|x|x|X|X|X|DOMICILIO|7300|5600|x|x|X|2021-9-20|2021-9-27|X|x|X|x|x|MOCTEZUMA PRIMERA |X|0|x|12900|x|x|x|X|X|X|X|X|CARDENAS |X|x|x|x|final</v>
      </c>
    </row>
    <row r="44" spans="1:82" x14ac:dyDescent="0.25">
      <c r="A44" t="s">
        <v>5300</v>
      </c>
      <c r="B44" t="s">
        <v>5301</v>
      </c>
      <c r="C44">
        <v>3</v>
      </c>
      <c r="D44" t="s">
        <v>194</v>
      </c>
      <c r="E44" t="s">
        <v>2</v>
      </c>
      <c r="F44" t="s">
        <v>654</v>
      </c>
      <c r="G44" t="s">
        <v>654</v>
      </c>
      <c r="H44" t="s">
        <v>5302</v>
      </c>
      <c r="I44">
        <v>12900</v>
      </c>
      <c r="J44" t="s">
        <v>4</v>
      </c>
      <c r="K44" t="s">
        <v>4</v>
      </c>
      <c r="L44">
        <v>200</v>
      </c>
      <c r="M44">
        <v>1</v>
      </c>
      <c r="N44" t="s">
        <v>12</v>
      </c>
      <c r="O44" t="s">
        <v>4</v>
      </c>
      <c r="P44" t="s">
        <v>4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4</v>
      </c>
      <c r="Z44" t="s">
        <v>4</v>
      </c>
      <c r="AA44" t="s">
        <v>4</v>
      </c>
      <c r="AB44" t="s">
        <v>116</v>
      </c>
      <c r="AC44" t="s">
        <v>624</v>
      </c>
      <c r="AD44" t="s">
        <v>5303</v>
      </c>
      <c r="AE44" t="s">
        <v>5260</v>
      </c>
      <c r="AF44" t="s">
        <v>4</v>
      </c>
      <c r="AG44" t="s">
        <v>4</v>
      </c>
      <c r="AH44" t="s">
        <v>5304</v>
      </c>
      <c r="AI44" t="s">
        <v>577</v>
      </c>
      <c r="AJ44" t="s">
        <v>4</v>
      </c>
      <c r="AK44">
        <v>9331230040</v>
      </c>
      <c r="AL44" t="s">
        <v>5305</v>
      </c>
      <c r="AM44" t="s">
        <v>5306</v>
      </c>
      <c r="AN44" t="s">
        <v>12</v>
      </c>
      <c r="AO44" t="s">
        <v>5039</v>
      </c>
      <c r="AP44" t="s">
        <v>4</v>
      </c>
      <c r="AQ44" t="s">
        <v>10</v>
      </c>
      <c r="AR44" t="s">
        <v>12</v>
      </c>
      <c r="AS44" t="s">
        <v>12</v>
      </c>
      <c r="AT44" t="s">
        <v>4</v>
      </c>
      <c r="AU44" t="s">
        <v>4</v>
      </c>
      <c r="AV44" t="s">
        <v>4</v>
      </c>
      <c r="AW44" t="s">
        <v>11</v>
      </c>
      <c r="AX44">
        <v>1700</v>
      </c>
      <c r="AY44">
        <v>11200</v>
      </c>
      <c r="AZ44" t="s">
        <v>12</v>
      </c>
      <c r="BA44" t="s">
        <v>12</v>
      </c>
      <c r="BB44" t="s">
        <v>4</v>
      </c>
      <c r="BC44" t="s">
        <v>1129</v>
      </c>
      <c r="BD44" t="s">
        <v>1133</v>
      </c>
      <c r="BE44" t="s">
        <v>4</v>
      </c>
      <c r="BF44" t="s">
        <v>12</v>
      </c>
      <c r="BG44" t="s">
        <v>4</v>
      </c>
      <c r="BH44" t="s">
        <v>12</v>
      </c>
      <c r="BI44" t="s">
        <v>12</v>
      </c>
      <c r="BJ44" t="s">
        <v>577</v>
      </c>
      <c r="BK44" t="s">
        <v>4</v>
      </c>
      <c r="BL44">
        <v>1</v>
      </c>
      <c r="BM44" t="s">
        <v>12</v>
      </c>
      <c r="BN44">
        <v>12900</v>
      </c>
      <c r="BO44" t="s">
        <v>12</v>
      </c>
      <c r="BP44" t="s">
        <v>12</v>
      </c>
      <c r="BQ44" t="s">
        <v>12</v>
      </c>
      <c r="BR44" t="s">
        <v>4</v>
      </c>
      <c r="BS44" t="s">
        <v>4</v>
      </c>
      <c r="BT44" t="s">
        <v>4</v>
      </c>
      <c r="BU44" t="s">
        <v>4</v>
      </c>
      <c r="BV44" t="s">
        <v>4</v>
      </c>
      <c r="BW44" t="s">
        <v>303</v>
      </c>
      <c r="BX44" t="s">
        <v>4</v>
      </c>
      <c r="BY44" t="s">
        <v>12</v>
      </c>
      <c r="BZ44" t="s">
        <v>12</v>
      </c>
      <c r="CA44" t="s">
        <v>12</v>
      </c>
      <c r="CB44" t="s">
        <v>1074</v>
      </c>
      <c r="CC44" t="s">
        <v>12</v>
      </c>
      <c r="CD44" t="str" cm="1">
        <f t="array" aca="1" ref="CD44" ca="1">eConcatenar(A44:CB44,"|")</f>
        <v>fna6dAmd3t2fQuUa|PAR2019-2530|3|ECONOLINE|TABASCO|PARAISO|PARAISO|2019-9-07|12900|X|X|200|1|x|X|X|X|X|X|X|X|X|X|X|X|X|X|RODRIGUEZ|ALEJANDRO |MARIA ELENA |DIVORCIADA |X|X|CALLE PROLONGACION EMILIANO ZAPATA |QUINTIN ARAUZ|X|9331230040|ADAN VILLEGAS RODRIGUEZ |BENEFICIARIO 2: LEYDI RODRIGUEZ ALEJANDRO |x|RUTA 4 L|X|LUNES|x|x|X|X|X|DOMICILIO|1700|11200|x|x|X|2021-9-20|2021-9-27|X|x|X|x|x|QUINTIN ARAUZ|X|1|x|12900|x|x|x|X|X|X|X|X|CARDENAS |X|x|x|x|final</v>
      </c>
    </row>
    <row r="45" spans="1:82" x14ac:dyDescent="0.25">
      <c r="A45" t="s">
        <v>5307</v>
      </c>
      <c r="B45" t="s">
        <v>5308</v>
      </c>
      <c r="C45">
        <v>3</v>
      </c>
      <c r="D45" t="s">
        <v>194</v>
      </c>
      <c r="E45" t="s">
        <v>2</v>
      </c>
      <c r="F45" t="s">
        <v>654</v>
      </c>
      <c r="G45" t="s">
        <v>654</v>
      </c>
      <c r="H45" t="s">
        <v>5309</v>
      </c>
      <c r="I45">
        <v>12900</v>
      </c>
      <c r="J45" t="s">
        <v>4</v>
      </c>
      <c r="K45" t="s">
        <v>4</v>
      </c>
      <c r="L45">
        <v>100</v>
      </c>
      <c r="M45">
        <v>0</v>
      </c>
      <c r="N45" t="s">
        <v>12</v>
      </c>
      <c r="O45" t="s">
        <v>4</v>
      </c>
      <c r="P45" t="s">
        <v>4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4</v>
      </c>
      <c r="Z45" t="s">
        <v>4</v>
      </c>
      <c r="AA45" t="s">
        <v>4</v>
      </c>
      <c r="AB45" t="s">
        <v>330</v>
      </c>
      <c r="AC45" t="s">
        <v>47</v>
      </c>
      <c r="AD45" t="s">
        <v>4748</v>
      </c>
      <c r="AE45" t="s">
        <v>29</v>
      </c>
      <c r="AF45" t="s">
        <v>4</v>
      </c>
      <c r="AG45" t="s">
        <v>4</v>
      </c>
      <c r="AH45" t="s">
        <v>5310</v>
      </c>
      <c r="AI45" t="s">
        <v>5200</v>
      </c>
      <c r="AJ45" t="s">
        <v>4</v>
      </c>
      <c r="AK45">
        <v>9331303099</v>
      </c>
      <c r="AL45" t="s">
        <v>5311</v>
      </c>
      <c r="AM45" t="s">
        <v>5312</v>
      </c>
      <c r="AN45" t="s">
        <v>12</v>
      </c>
      <c r="AO45" t="s">
        <v>5039</v>
      </c>
      <c r="AP45" t="s">
        <v>4</v>
      </c>
      <c r="AQ45" t="s">
        <v>10</v>
      </c>
      <c r="AR45" t="s">
        <v>12</v>
      </c>
      <c r="AS45" t="s">
        <v>12</v>
      </c>
      <c r="AT45" t="s">
        <v>4</v>
      </c>
      <c r="AU45" t="s">
        <v>4</v>
      </c>
      <c r="AV45" t="s">
        <v>4</v>
      </c>
      <c r="AW45" t="s">
        <v>11</v>
      </c>
      <c r="AX45">
        <v>9650</v>
      </c>
      <c r="AY45">
        <v>3250</v>
      </c>
      <c r="AZ45" t="s">
        <v>12</v>
      </c>
      <c r="BA45" t="s">
        <v>12</v>
      </c>
      <c r="BB45" t="s">
        <v>4</v>
      </c>
      <c r="BC45" t="s">
        <v>1129</v>
      </c>
      <c r="BD45" t="s">
        <v>1133</v>
      </c>
      <c r="BE45" t="s">
        <v>4</v>
      </c>
      <c r="BF45" t="s">
        <v>12</v>
      </c>
      <c r="BG45" t="s">
        <v>4</v>
      </c>
      <c r="BH45" t="s">
        <v>12</v>
      </c>
      <c r="BI45" t="s">
        <v>12</v>
      </c>
      <c r="BJ45" t="s">
        <v>5200</v>
      </c>
      <c r="BK45" t="s">
        <v>4</v>
      </c>
      <c r="BL45">
        <v>1</v>
      </c>
      <c r="BM45" t="s">
        <v>12</v>
      </c>
      <c r="BN45">
        <v>12900</v>
      </c>
      <c r="BO45" t="s">
        <v>12</v>
      </c>
      <c r="BP45" t="s">
        <v>12</v>
      </c>
      <c r="BQ45" t="s">
        <v>12</v>
      </c>
      <c r="BR45" t="s">
        <v>4</v>
      </c>
      <c r="BS45" t="s">
        <v>4</v>
      </c>
      <c r="BT45" t="s">
        <v>4</v>
      </c>
      <c r="BU45" t="s">
        <v>4</v>
      </c>
      <c r="BV45" t="s">
        <v>4</v>
      </c>
      <c r="BW45" t="s">
        <v>303</v>
      </c>
      <c r="BX45" t="s">
        <v>4</v>
      </c>
      <c r="BY45" t="s">
        <v>12</v>
      </c>
      <c r="BZ45" t="s">
        <v>12</v>
      </c>
      <c r="CA45" t="s">
        <v>12</v>
      </c>
      <c r="CB45" t="s">
        <v>1074</v>
      </c>
      <c r="CC45" t="s">
        <v>12</v>
      </c>
      <c r="CD45" t="str" cm="1">
        <f t="array" aca="1" ref="CD45" ca="1">eConcatenar(A45:CB45,"|")</f>
        <v>rqbY1HGEq8JKe8xE|PAR2019-2522|3|ECONOLINE|TABASCO|PARAISO|PARAISO|2021-9-06|12900|X|X|100|0|x|X|X|X|X|X|X|X|X|X|X|X|X|X|JAVIER|SANCHEZ|ELECTA|CASADA|X|X|CALLE AGUSTIN MELGAR|PALESTINA |X|9331303099|SILVIA CRUZ JAVIER |BENEFICIARIO 2: BERNARDO CRUZ ALBERTO |x|RUTA 4 L|X|LUNES|x|x|X|X|X|DOMICILIO|9650|3250|x|x|X|2021-9-20|2021-9-27|X|x|X|x|x|PALESTINA |X|1|x|12900|x|x|x|X|X|X|X|X|CARDENAS |X|x|x|x|final</v>
      </c>
    </row>
    <row r="46" spans="1:82" x14ac:dyDescent="0.25">
      <c r="A46" t="s">
        <v>5313</v>
      </c>
      <c r="B46" t="s">
        <v>5314</v>
      </c>
      <c r="C46">
        <v>3</v>
      </c>
      <c r="D46" t="s">
        <v>194</v>
      </c>
      <c r="E46" t="s">
        <v>2</v>
      </c>
      <c r="F46" t="s">
        <v>654</v>
      </c>
      <c r="G46" t="s">
        <v>654</v>
      </c>
      <c r="H46" t="s">
        <v>5315</v>
      </c>
      <c r="I46">
        <v>12900</v>
      </c>
      <c r="J46" t="s">
        <v>4</v>
      </c>
      <c r="K46" t="s">
        <v>4</v>
      </c>
      <c r="L46">
        <v>200</v>
      </c>
      <c r="M46">
        <v>1</v>
      </c>
      <c r="N46" t="s">
        <v>12</v>
      </c>
      <c r="O46" t="s">
        <v>4</v>
      </c>
      <c r="P46" t="s">
        <v>4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4</v>
      </c>
      <c r="Z46" t="s">
        <v>4</v>
      </c>
      <c r="AA46" t="s">
        <v>4</v>
      </c>
      <c r="AB46" t="s">
        <v>80</v>
      </c>
      <c r="AC46" t="s">
        <v>426</v>
      </c>
      <c r="AD46" t="s">
        <v>4769</v>
      </c>
      <c r="AE46" t="s">
        <v>29</v>
      </c>
      <c r="AF46" t="s">
        <v>4</v>
      </c>
      <c r="AG46" t="s">
        <v>4</v>
      </c>
      <c r="AH46" t="s">
        <v>5316</v>
      </c>
      <c r="AI46" t="s">
        <v>2020</v>
      </c>
      <c r="AJ46" t="s">
        <v>4</v>
      </c>
      <c r="AK46">
        <v>9331566202</v>
      </c>
      <c r="AL46" t="s">
        <v>5317</v>
      </c>
      <c r="AM46" t="s">
        <v>5318</v>
      </c>
      <c r="AN46" t="s">
        <v>12</v>
      </c>
      <c r="AO46" t="s">
        <v>5039</v>
      </c>
      <c r="AP46" t="s">
        <v>4</v>
      </c>
      <c r="AQ46" t="s">
        <v>10</v>
      </c>
      <c r="AR46" t="s">
        <v>12</v>
      </c>
      <c r="AS46" t="s">
        <v>12</v>
      </c>
      <c r="AT46" t="s">
        <v>4</v>
      </c>
      <c r="AU46" t="s">
        <v>4</v>
      </c>
      <c r="AV46" t="s">
        <v>4</v>
      </c>
      <c r="AW46" t="s">
        <v>11</v>
      </c>
      <c r="AX46">
        <v>9900</v>
      </c>
      <c r="AY46">
        <v>3000</v>
      </c>
      <c r="AZ46" t="s">
        <v>12</v>
      </c>
      <c r="BA46" t="s">
        <v>12</v>
      </c>
      <c r="BB46" t="s">
        <v>4</v>
      </c>
      <c r="BC46" t="s">
        <v>1129</v>
      </c>
      <c r="BD46" t="s">
        <v>5072</v>
      </c>
      <c r="BE46" t="s">
        <v>4</v>
      </c>
      <c r="BF46" t="s">
        <v>12</v>
      </c>
      <c r="BG46" t="s">
        <v>4</v>
      </c>
      <c r="BH46" t="s">
        <v>12</v>
      </c>
      <c r="BI46" t="s">
        <v>12</v>
      </c>
      <c r="BJ46" t="s">
        <v>2020</v>
      </c>
      <c r="BK46" t="s">
        <v>4</v>
      </c>
      <c r="BL46">
        <v>1</v>
      </c>
      <c r="BM46" t="s">
        <v>12</v>
      </c>
      <c r="BN46">
        <v>12900</v>
      </c>
      <c r="BO46" t="s">
        <v>12</v>
      </c>
      <c r="BP46" t="s">
        <v>12</v>
      </c>
      <c r="BQ46" t="s">
        <v>12</v>
      </c>
      <c r="BR46" t="s">
        <v>4</v>
      </c>
      <c r="BS46" t="s">
        <v>4</v>
      </c>
      <c r="BT46" t="s">
        <v>4</v>
      </c>
      <c r="BU46" t="s">
        <v>4</v>
      </c>
      <c r="BV46" t="s">
        <v>4</v>
      </c>
      <c r="BW46" t="s">
        <v>303</v>
      </c>
      <c r="BX46" t="s">
        <v>4</v>
      </c>
      <c r="BY46" t="s">
        <v>12</v>
      </c>
      <c r="BZ46" t="s">
        <v>12</v>
      </c>
      <c r="CA46" t="s">
        <v>12</v>
      </c>
      <c r="CB46" t="s">
        <v>1074</v>
      </c>
      <c r="CC46" t="s">
        <v>12</v>
      </c>
      <c r="CD46" t="str" cm="1">
        <f t="array" aca="1" ref="CD46" ca="1">eConcatenar(A46:CB46,"|")</f>
        <v>8xUYm7A8s7UAyWXI|PAR2019-2502|3|ECONOLINE|TABASCO|PARAISO|PARAISO|2019-9-03|12900|X|X|200|1|x|X|X|X|X|X|X|X|X|X|X|X|X|X|LOPEZ|HERNANDEZ |DOMINGA |CASADA|X|X|CARRETERA VECINAL COMALCALCO PARAISO|MOCTEZUMA SEGUNDA SECCION |X|9331566202|CARMELA LOPEZ HERNANDEZ |BENEFICIARIO 2: SILVIA DEL ROSARIO LOPEZ HERNANDEZ |x|RUTA 4 L|X|LUNES|x|x|X|X|X|DOMICILIO|9900|3000|x|x|X|2021-9-20|2021-10-04|X|x|X|x|x|MOCTEZUMA SEGUNDA SECCION |X|1|x|12900|x|x|x|X|X|X|X|X|CARDENAS |X|x|x|x|final</v>
      </c>
    </row>
    <row r="47" spans="1:82" x14ac:dyDescent="0.25">
      <c r="A47" t="s">
        <v>5319</v>
      </c>
      <c r="B47" t="s">
        <v>5320</v>
      </c>
      <c r="C47">
        <v>3</v>
      </c>
      <c r="D47" t="s">
        <v>194</v>
      </c>
      <c r="E47" t="s">
        <v>2</v>
      </c>
      <c r="F47" t="s">
        <v>654</v>
      </c>
      <c r="G47" t="s">
        <v>654</v>
      </c>
      <c r="H47" t="s">
        <v>5321</v>
      </c>
      <c r="I47">
        <v>12900</v>
      </c>
      <c r="J47" t="s">
        <v>4</v>
      </c>
      <c r="K47" t="s">
        <v>4</v>
      </c>
      <c r="L47">
        <v>100</v>
      </c>
      <c r="M47">
        <v>0</v>
      </c>
      <c r="N47" t="s">
        <v>12</v>
      </c>
      <c r="O47" t="s">
        <v>4</v>
      </c>
      <c r="P47" t="s">
        <v>4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4</v>
      </c>
      <c r="Z47" t="s">
        <v>4</v>
      </c>
      <c r="AA47" t="s">
        <v>4</v>
      </c>
      <c r="AB47" t="s">
        <v>971</v>
      </c>
      <c r="AC47" t="s">
        <v>109</v>
      </c>
      <c r="AD47" t="s">
        <v>5322</v>
      </c>
      <c r="AE47" t="s">
        <v>59</v>
      </c>
      <c r="AF47" t="s">
        <v>4</v>
      </c>
      <c r="AG47" t="s">
        <v>4</v>
      </c>
      <c r="AH47" t="s">
        <v>5323</v>
      </c>
      <c r="AI47" t="s">
        <v>5324</v>
      </c>
      <c r="AJ47" t="s">
        <v>4</v>
      </c>
      <c r="AK47">
        <v>9334064320</v>
      </c>
      <c r="AL47" t="s">
        <v>5325</v>
      </c>
      <c r="AM47" t="s">
        <v>5326</v>
      </c>
      <c r="AN47" t="s">
        <v>12</v>
      </c>
      <c r="AO47" t="s">
        <v>5039</v>
      </c>
      <c r="AP47" t="s">
        <v>4</v>
      </c>
      <c r="AQ47" t="s">
        <v>10</v>
      </c>
      <c r="AR47" t="s">
        <v>12</v>
      </c>
      <c r="AS47" t="s">
        <v>12</v>
      </c>
      <c r="AT47" t="s">
        <v>4</v>
      </c>
      <c r="AU47" t="s">
        <v>4</v>
      </c>
      <c r="AV47" t="s">
        <v>4</v>
      </c>
      <c r="AW47" t="s">
        <v>11</v>
      </c>
      <c r="AX47">
        <v>7800</v>
      </c>
      <c r="AY47">
        <v>5100</v>
      </c>
      <c r="AZ47" t="s">
        <v>12</v>
      </c>
      <c r="BA47" t="s">
        <v>12</v>
      </c>
      <c r="BB47" t="s">
        <v>4</v>
      </c>
      <c r="BC47" t="s">
        <v>1129</v>
      </c>
      <c r="BD47" t="s">
        <v>1133</v>
      </c>
      <c r="BE47" t="s">
        <v>4</v>
      </c>
      <c r="BF47" t="s">
        <v>12</v>
      </c>
      <c r="BG47" t="s">
        <v>4</v>
      </c>
      <c r="BH47" t="s">
        <v>12</v>
      </c>
      <c r="BI47" t="s">
        <v>12</v>
      </c>
      <c r="BJ47" t="s">
        <v>5324</v>
      </c>
      <c r="BK47" t="s">
        <v>4</v>
      </c>
      <c r="BL47">
        <v>0</v>
      </c>
      <c r="BM47" t="s">
        <v>12</v>
      </c>
      <c r="BN47">
        <v>12900</v>
      </c>
      <c r="BO47" t="s">
        <v>12</v>
      </c>
      <c r="BP47" t="s">
        <v>12</v>
      </c>
      <c r="BQ47" t="s">
        <v>12</v>
      </c>
      <c r="BR47" t="s">
        <v>4</v>
      </c>
      <c r="BS47" t="s">
        <v>4</v>
      </c>
      <c r="BT47" t="s">
        <v>4</v>
      </c>
      <c r="BU47" t="s">
        <v>4</v>
      </c>
      <c r="BV47" t="s">
        <v>4</v>
      </c>
      <c r="BW47" t="s">
        <v>303</v>
      </c>
      <c r="BX47" t="s">
        <v>4</v>
      </c>
      <c r="BY47" t="s">
        <v>12</v>
      </c>
      <c r="BZ47" t="s">
        <v>12</v>
      </c>
      <c r="CA47" t="s">
        <v>12</v>
      </c>
      <c r="CB47" t="s">
        <v>1074</v>
      </c>
      <c r="CC47" t="s">
        <v>12</v>
      </c>
      <c r="CD47" t="str" cm="1">
        <f t="array" aca="1" ref="CD47" ca="1">eConcatenar(A47:CB47,"|")</f>
        <v>eYIDuzAchCgNbEWM|PAR2019-1646|3|ECONOLINE|TABASCO|PARAISO|PARAISO|2021-6-26|12900|X|X|100|0|x|X|X|X|X|X|X|X|X|X|X|X|X|X|FLORES |PEREZ|NATIVIDAD|CASADO|X|X|CARRETERA VECINAL PARAISO |MOCTEZUMA |X|9334064320|PETRONA HERNANDEZ MAGAÑA |BENEFICIARIO 2: LAUIRA FLORES HERNANDEZ|x|RUTA 4 L|X|LUNES|x|x|X|X|X|DOMICILIO|7800|5100|x|x|X|2021-9-20|2021-9-27|X|x|X|x|x|MOCTEZUMA |X|0|x|12900|x|x|x|X|X|X|X|X|CARDENAS |X|x|x|x|final</v>
      </c>
    </row>
    <row r="48" spans="1:82" x14ac:dyDescent="0.25">
      <c r="A48" t="s">
        <v>5327</v>
      </c>
      <c r="B48" t="s">
        <v>5328</v>
      </c>
      <c r="C48">
        <v>3</v>
      </c>
      <c r="D48" t="s">
        <v>194</v>
      </c>
      <c r="E48" t="s">
        <v>2</v>
      </c>
      <c r="F48" t="s">
        <v>654</v>
      </c>
      <c r="G48" t="s">
        <v>654</v>
      </c>
      <c r="H48" t="s">
        <v>5329</v>
      </c>
      <c r="I48">
        <v>12900</v>
      </c>
      <c r="J48" t="s">
        <v>4</v>
      </c>
      <c r="K48" t="s">
        <v>4</v>
      </c>
      <c r="L48">
        <v>200</v>
      </c>
      <c r="M48">
        <v>1</v>
      </c>
      <c r="N48" t="s">
        <v>12</v>
      </c>
      <c r="O48" t="s">
        <v>4</v>
      </c>
      <c r="P48" t="s">
        <v>4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4</v>
      </c>
      <c r="Z48" t="s">
        <v>4</v>
      </c>
      <c r="AA48" t="s">
        <v>4</v>
      </c>
      <c r="AB48" t="s">
        <v>109</v>
      </c>
      <c r="AC48" t="s">
        <v>153</v>
      </c>
      <c r="AD48" t="s">
        <v>4773</v>
      </c>
      <c r="AE48" t="s">
        <v>29</v>
      </c>
      <c r="AF48" t="s">
        <v>4</v>
      </c>
      <c r="AG48" t="s">
        <v>4</v>
      </c>
      <c r="AH48" t="s">
        <v>5330</v>
      </c>
      <c r="AI48" t="s">
        <v>2356</v>
      </c>
      <c r="AJ48" t="s">
        <v>4</v>
      </c>
      <c r="AK48">
        <v>9331324952</v>
      </c>
      <c r="AL48" t="s">
        <v>5331</v>
      </c>
      <c r="AM48" t="s">
        <v>5332</v>
      </c>
      <c r="AN48" t="s">
        <v>12</v>
      </c>
      <c r="AO48" t="s">
        <v>5039</v>
      </c>
      <c r="AP48" t="s">
        <v>4</v>
      </c>
      <c r="AQ48" t="s">
        <v>10</v>
      </c>
      <c r="AR48" t="s">
        <v>12</v>
      </c>
      <c r="AS48" t="s">
        <v>12</v>
      </c>
      <c r="AT48" t="s">
        <v>4</v>
      </c>
      <c r="AU48" t="s">
        <v>4</v>
      </c>
      <c r="AV48" t="s">
        <v>4</v>
      </c>
      <c r="AW48" t="s">
        <v>11</v>
      </c>
      <c r="AX48">
        <v>9700</v>
      </c>
      <c r="AY48">
        <v>3200</v>
      </c>
      <c r="AZ48" t="s">
        <v>12</v>
      </c>
      <c r="BA48" t="s">
        <v>12</v>
      </c>
      <c r="BB48" t="s">
        <v>4</v>
      </c>
      <c r="BC48" t="s">
        <v>1129</v>
      </c>
      <c r="BD48" t="s">
        <v>5072</v>
      </c>
      <c r="BE48" t="s">
        <v>4</v>
      </c>
      <c r="BF48" t="s">
        <v>12</v>
      </c>
      <c r="BG48" t="s">
        <v>4</v>
      </c>
      <c r="BH48" t="s">
        <v>12</v>
      </c>
      <c r="BI48" t="s">
        <v>12</v>
      </c>
      <c r="BJ48" t="s">
        <v>2356</v>
      </c>
      <c r="BK48" t="s">
        <v>4</v>
      </c>
      <c r="BL48">
        <v>1</v>
      </c>
      <c r="BM48" t="s">
        <v>12</v>
      </c>
      <c r="BN48">
        <v>12900</v>
      </c>
      <c r="BO48" t="s">
        <v>12</v>
      </c>
      <c r="BP48" t="s">
        <v>12</v>
      </c>
      <c r="BQ48" t="s">
        <v>12</v>
      </c>
      <c r="BR48" t="s">
        <v>4</v>
      </c>
      <c r="BS48" t="s">
        <v>4</v>
      </c>
      <c r="BT48" t="s">
        <v>4</v>
      </c>
      <c r="BU48" t="s">
        <v>4</v>
      </c>
      <c r="BV48" t="s">
        <v>4</v>
      </c>
      <c r="BW48" t="s">
        <v>303</v>
      </c>
      <c r="BX48" t="s">
        <v>4</v>
      </c>
      <c r="BY48" t="s">
        <v>12</v>
      </c>
      <c r="BZ48" t="s">
        <v>12</v>
      </c>
      <c r="CA48" t="s">
        <v>12</v>
      </c>
      <c r="CB48" t="s">
        <v>1074</v>
      </c>
      <c r="CC48" t="s">
        <v>12</v>
      </c>
      <c r="CD48" t="str" cm="1">
        <f t="array" aca="1" ref="CD48" ca="1">eConcatenar(A48:CB48,"|")</f>
        <v>ZuXf0EMgQjDI2uHq|PAR2019-1637|3|ECONOLINE|TABASCO|PARAISO|PARAISO|2019-6-25|12900|X|X|200|1|x|X|X|X|X|X|X|X|X|X|X|X|X|X|PEREZ|GONZALEZ|OLGA |CASADA|X|X|ENTRADA EL TICUI SIN NUMERO |LIBERTAD PRIMERA SECCION |X|9331324952|ROBERTO CHABLE OSORIO |BENEFICIARIO 2: ALICIA JIMENEZ SANCHEZ |x|RUTA 4 L|X|LUNES|x|x|X|X|X|DOMICILIO|9700|3200|x|x|X|2021-9-20|2021-10-04|X|x|X|x|x|LIBERTAD PRIMERA SECCION |X|1|x|12900|x|x|x|X|X|X|X|X|CARDENAS |X|x|x|x|final</v>
      </c>
    </row>
    <row r="49" spans="1:82" x14ac:dyDescent="0.25">
      <c r="A49" t="s">
        <v>5333</v>
      </c>
      <c r="B49" t="s">
        <v>5334</v>
      </c>
      <c r="C49">
        <v>3</v>
      </c>
      <c r="D49" t="s">
        <v>194</v>
      </c>
      <c r="E49" t="s">
        <v>2</v>
      </c>
      <c r="F49" t="s">
        <v>654</v>
      </c>
      <c r="G49" t="s">
        <v>654</v>
      </c>
      <c r="H49" t="s">
        <v>5335</v>
      </c>
      <c r="I49">
        <v>200</v>
      </c>
      <c r="J49" t="s">
        <v>4</v>
      </c>
      <c r="K49" t="s">
        <v>4</v>
      </c>
      <c r="L49">
        <v>200</v>
      </c>
      <c r="M49">
        <v>1</v>
      </c>
      <c r="N49" t="s">
        <v>12</v>
      </c>
      <c r="O49" t="s">
        <v>4</v>
      </c>
      <c r="P49" t="s">
        <v>4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4</v>
      </c>
      <c r="Z49" t="s">
        <v>4</v>
      </c>
      <c r="AA49" t="s">
        <v>4</v>
      </c>
      <c r="AB49" t="s">
        <v>826</v>
      </c>
      <c r="AC49" t="s">
        <v>350</v>
      </c>
      <c r="AD49" t="s">
        <v>5336</v>
      </c>
      <c r="AE49" t="s">
        <v>29</v>
      </c>
      <c r="AF49" t="s">
        <v>4</v>
      </c>
      <c r="AG49" t="s">
        <v>4</v>
      </c>
      <c r="AH49" t="s">
        <v>5337</v>
      </c>
      <c r="AI49" t="s">
        <v>5338</v>
      </c>
      <c r="AJ49" t="s">
        <v>4</v>
      </c>
      <c r="AK49">
        <v>9331204777</v>
      </c>
      <c r="AL49" t="s">
        <v>5339</v>
      </c>
      <c r="AM49" t="s">
        <v>5340</v>
      </c>
      <c r="AN49" t="s">
        <v>12</v>
      </c>
      <c r="AO49" t="s">
        <v>5039</v>
      </c>
      <c r="AP49" t="s">
        <v>4</v>
      </c>
      <c r="AQ49" t="s">
        <v>10</v>
      </c>
      <c r="AR49" t="s">
        <v>12</v>
      </c>
      <c r="AS49" t="s">
        <v>12</v>
      </c>
      <c r="AT49" t="s">
        <v>4</v>
      </c>
      <c r="AU49" t="s">
        <v>4</v>
      </c>
      <c r="AV49" t="s">
        <v>4</v>
      </c>
      <c r="AW49" t="s">
        <v>11</v>
      </c>
      <c r="AX49">
        <v>11100</v>
      </c>
      <c r="AY49">
        <v>1800</v>
      </c>
      <c r="AZ49" t="s">
        <v>12</v>
      </c>
      <c r="BA49" t="s">
        <v>12</v>
      </c>
      <c r="BB49" t="s">
        <v>4</v>
      </c>
      <c r="BC49" t="s">
        <v>1129</v>
      </c>
      <c r="BD49" t="s">
        <v>5072</v>
      </c>
      <c r="BE49" t="s">
        <v>4</v>
      </c>
      <c r="BF49" t="s">
        <v>12</v>
      </c>
      <c r="BG49" t="s">
        <v>4</v>
      </c>
      <c r="BH49" t="s">
        <v>12</v>
      </c>
      <c r="BI49" t="s">
        <v>12</v>
      </c>
      <c r="BJ49" t="s">
        <v>5338</v>
      </c>
      <c r="BK49" t="s">
        <v>4</v>
      </c>
      <c r="BL49">
        <v>1</v>
      </c>
      <c r="BM49" t="s">
        <v>12</v>
      </c>
      <c r="BN49">
        <v>12900</v>
      </c>
      <c r="BO49" t="s">
        <v>12</v>
      </c>
      <c r="BP49" t="s">
        <v>12</v>
      </c>
      <c r="BQ49" t="s">
        <v>12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303</v>
      </c>
      <c r="BX49" t="s">
        <v>4</v>
      </c>
      <c r="BY49" t="s">
        <v>12</v>
      </c>
      <c r="BZ49" t="s">
        <v>12</v>
      </c>
      <c r="CA49" t="s">
        <v>12</v>
      </c>
      <c r="CB49" t="s">
        <v>1074</v>
      </c>
      <c r="CC49" t="s">
        <v>12</v>
      </c>
      <c r="CD49" t="str" cm="1">
        <f t="array" aca="1" ref="CD49" ca="1">eConcatenar(A49:CB49,"|")</f>
        <v>73MpVRpJUJzgk7AC|PAR2019-2009|3|ECONOLINE|TABASCO|PARAISO|PARAISO|2019-7-26|200|X|X|200|1|x|X|X|X|X|X|X|X|X|X|X|X|X|X|PAZ|MENDEZ|EULALIA GUADALUPE |CASADA|X|X|CARRETERA VECINAL |MONTE ADENTRO |X|9331204777|FRANCISCO JAVIER PEREZ |BENEFICIARIO 2: MARTHA PATRIA PAZ MENDEZ |x|RUTA 4 L|X|LUNES|x|x|X|X|X|DOMICILIO|11100|1800|x|x|X|2021-9-20|2021-10-04|X|x|X|x|x|MONTE ADENTRO |X|1|x|12900|x|x|x|X|X|X|X|X|CARDENAS |X|x|x|x|final</v>
      </c>
    </row>
    <row r="50" spans="1:82" x14ac:dyDescent="0.25">
      <c r="A50" t="s">
        <v>5341</v>
      </c>
      <c r="B50" t="s">
        <v>5342</v>
      </c>
      <c r="C50">
        <v>3</v>
      </c>
      <c r="D50" t="s">
        <v>65</v>
      </c>
      <c r="E50" t="s">
        <v>2</v>
      </c>
      <c r="F50" t="s">
        <v>654</v>
      </c>
      <c r="G50" t="s">
        <v>654</v>
      </c>
      <c r="H50" t="s">
        <v>1097</v>
      </c>
      <c r="I50">
        <v>14800</v>
      </c>
      <c r="J50" t="s">
        <v>4</v>
      </c>
      <c r="K50" t="s">
        <v>4</v>
      </c>
      <c r="L50">
        <v>200</v>
      </c>
      <c r="M50">
        <v>1</v>
      </c>
      <c r="N50" t="s">
        <v>12</v>
      </c>
      <c r="O50" t="s">
        <v>4</v>
      </c>
      <c r="P50" t="s">
        <v>12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12</v>
      </c>
      <c r="Z50" t="s">
        <v>4</v>
      </c>
      <c r="AA50" t="s">
        <v>12</v>
      </c>
      <c r="AB50" t="s">
        <v>265</v>
      </c>
      <c r="AC50" t="s">
        <v>6</v>
      </c>
      <c r="AD50" t="s">
        <v>4791</v>
      </c>
      <c r="AE50" t="s">
        <v>29</v>
      </c>
      <c r="AF50" s="1" t="s">
        <v>4</v>
      </c>
      <c r="AG50" t="s">
        <v>4</v>
      </c>
      <c r="AH50" t="s">
        <v>5343</v>
      </c>
      <c r="AI50" t="s">
        <v>656</v>
      </c>
      <c r="AJ50" t="s">
        <v>4</v>
      </c>
      <c r="AK50">
        <v>9331273803</v>
      </c>
      <c r="AL50" t="s">
        <v>5344</v>
      </c>
      <c r="AM50" t="s">
        <v>5345</v>
      </c>
      <c r="AN50" t="s">
        <v>12</v>
      </c>
      <c r="AO50" t="s">
        <v>5039</v>
      </c>
      <c r="AP50" t="s">
        <v>4</v>
      </c>
      <c r="AQ50" t="s">
        <v>10</v>
      </c>
      <c r="AR50" t="s">
        <v>12</v>
      </c>
      <c r="AS50" t="s">
        <v>12</v>
      </c>
      <c r="AT50" t="s">
        <v>4</v>
      </c>
      <c r="AU50" t="s">
        <v>4</v>
      </c>
      <c r="AV50" t="s">
        <v>4</v>
      </c>
      <c r="AW50" t="s">
        <v>11</v>
      </c>
      <c r="AX50">
        <v>1400</v>
      </c>
      <c r="AY50">
        <v>13400</v>
      </c>
      <c r="AZ50" t="s">
        <v>12</v>
      </c>
      <c r="BA50" t="s">
        <v>12</v>
      </c>
      <c r="BB50" t="s">
        <v>4</v>
      </c>
      <c r="BC50" t="s">
        <v>1129</v>
      </c>
      <c r="BD50" t="s">
        <v>5072</v>
      </c>
      <c r="BE50" s="1" t="s">
        <v>4</v>
      </c>
      <c r="BF50" t="s">
        <v>12</v>
      </c>
      <c r="BG50" t="s">
        <v>4</v>
      </c>
      <c r="BH50" t="s">
        <v>12</v>
      </c>
      <c r="BI50" t="s">
        <v>12</v>
      </c>
      <c r="BJ50" t="s">
        <v>656</v>
      </c>
      <c r="BK50" t="s">
        <v>4</v>
      </c>
      <c r="BL50">
        <v>1</v>
      </c>
      <c r="BM50" s="2" t="s">
        <v>12</v>
      </c>
      <c r="BN50">
        <v>14800</v>
      </c>
      <c r="BO50" t="s">
        <v>12</v>
      </c>
      <c r="BP50" t="s">
        <v>12</v>
      </c>
      <c r="BQ50" t="s">
        <v>12</v>
      </c>
      <c r="BR50" t="s">
        <v>4</v>
      </c>
      <c r="BS50" t="s">
        <v>4</v>
      </c>
      <c r="BT50" t="s">
        <v>4</v>
      </c>
      <c r="BU50" t="s">
        <v>12</v>
      </c>
      <c r="BV50" t="s">
        <v>4</v>
      </c>
      <c r="BW50" t="s">
        <v>3</v>
      </c>
      <c r="BX50" t="s">
        <v>4</v>
      </c>
      <c r="BY50" t="s">
        <v>12</v>
      </c>
      <c r="BZ50" t="s">
        <v>12</v>
      </c>
      <c r="CA50" t="s">
        <v>12</v>
      </c>
      <c r="CB50" t="s">
        <v>1074</v>
      </c>
      <c r="CC50" t="s">
        <v>12</v>
      </c>
      <c r="CD50" t="str" cm="1">
        <f t="array" aca="1" ref="CD50" ca="1">eConcatenar(A50:CB50,"|")</f>
        <v>VnxRZS9PfHjsF3EJ|COM2021-1985|3|MEMORIAL|TABASCO|PARAISO|PARAISO|2021-6-15|14800|X|X|200|1|x|X|x|X|X|X|X|X|X|X|X|x|X|x|DOMINGUEZ|DE LA CRUZ|ROSA ELENA|CASADA|X|X|CALLE EL CAMELLON DE LOS HERNANDEZ|FRANCISCO I MADERO SEGUNDA SECCION|X|9331273803|JAVIER MENDOZA MORALES|BENEFICIARIO 2: JESUS ALFONSO DOMINGUEZ DE LA CRUZ|x|RUTA 4 L|X|LUNES|x|x|X|X|X|DOMICILIO|1400|13400|x|x|X|2021-9-20|2021-10-04|X|x|X|x|x|FRANCISCO I MADERO SEGUNDA SECCION|X|1|x|14800|x|x|x|X|X|X|x|X|CARDENAS|X|x|x|x|final</v>
      </c>
    </row>
    <row r="51" spans="1:82" x14ac:dyDescent="0.25">
      <c r="A51" t="s">
        <v>5346</v>
      </c>
      <c r="B51" t="s">
        <v>5347</v>
      </c>
      <c r="C51">
        <v>3</v>
      </c>
      <c r="D51" t="s">
        <v>1</v>
      </c>
      <c r="E51" t="s">
        <v>2</v>
      </c>
      <c r="F51" t="s">
        <v>654</v>
      </c>
      <c r="G51" t="s">
        <v>654</v>
      </c>
      <c r="H51" t="s">
        <v>5348</v>
      </c>
      <c r="I51">
        <v>12900</v>
      </c>
      <c r="J51" t="s">
        <v>4</v>
      </c>
      <c r="K51" t="s">
        <v>4</v>
      </c>
      <c r="L51">
        <v>200</v>
      </c>
      <c r="M51">
        <v>1</v>
      </c>
      <c r="N51" t="s">
        <v>12</v>
      </c>
      <c r="O51" t="s">
        <v>4</v>
      </c>
      <c r="P51" t="s">
        <v>12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12</v>
      </c>
      <c r="Z51" t="s">
        <v>4</v>
      </c>
      <c r="AA51" t="s">
        <v>12</v>
      </c>
      <c r="AB51" t="s">
        <v>265</v>
      </c>
      <c r="AC51" t="s">
        <v>36</v>
      </c>
      <c r="AD51" t="s">
        <v>5349</v>
      </c>
      <c r="AE51" t="s">
        <v>59</v>
      </c>
      <c r="AF51" t="s">
        <v>4</v>
      </c>
      <c r="AG51" t="s">
        <v>4</v>
      </c>
      <c r="AH51" t="s">
        <v>5350</v>
      </c>
      <c r="AI51" t="s">
        <v>5026</v>
      </c>
      <c r="AJ51" t="s">
        <v>4</v>
      </c>
      <c r="AK51">
        <v>9331381478</v>
      </c>
      <c r="AL51" t="s">
        <v>5351</v>
      </c>
      <c r="AM51" t="s">
        <v>5352</v>
      </c>
      <c r="AN51" t="s">
        <v>12</v>
      </c>
      <c r="AO51" t="s">
        <v>5039</v>
      </c>
      <c r="AP51" t="s">
        <v>4</v>
      </c>
      <c r="AQ51" t="s">
        <v>10</v>
      </c>
      <c r="AR51" t="s">
        <v>12</v>
      </c>
      <c r="AS51" t="s">
        <v>12</v>
      </c>
      <c r="AT51" t="s">
        <v>4</v>
      </c>
      <c r="AU51" t="s">
        <v>4</v>
      </c>
      <c r="AV51" t="s">
        <v>4</v>
      </c>
      <c r="AW51" t="s">
        <v>11</v>
      </c>
      <c r="AX51">
        <v>4200</v>
      </c>
      <c r="AY51">
        <v>8700</v>
      </c>
      <c r="AZ51" t="s">
        <v>12</v>
      </c>
      <c r="BA51" t="s">
        <v>12</v>
      </c>
      <c r="BB51" t="s">
        <v>4</v>
      </c>
      <c r="BC51" t="s">
        <v>1129</v>
      </c>
      <c r="BD51" t="s">
        <v>5353</v>
      </c>
      <c r="BE51" t="s">
        <v>4</v>
      </c>
      <c r="BF51" t="s">
        <v>12</v>
      </c>
      <c r="BG51" t="s">
        <v>4</v>
      </c>
      <c r="BH51" t="s">
        <v>12</v>
      </c>
      <c r="BI51" t="s">
        <v>12</v>
      </c>
      <c r="BJ51" t="s">
        <v>5026</v>
      </c>
      <c r="BK51" t="s">
        <v>4</v>
      </c>
      <c r="BL51">
        <v>0</v>
      </c>
      <c r="BM51" t="s">
        <v>12</v>
      </c>
      <c r="BN51">
        <v>12900</v>
      </c>
      <c r="BO51" t="s">
        <v>12</v>
      </c>
      <c r="BP51" t="s">
        <v>12</v>
      </c>
      <c r="BQ51" t="s">
        <v>12</v>
      </c>
      <c r="BR51" t="s">
        <v>4</v>
      </c>
      <c r="BS51" t="s">
        <v>4</v>
      </c>
      <c r="BT51" t="s">
        <v>4</v>
      </c>
      <c r="BU51" t="s">
        <v>12</v>
      </c>
      <c r="BV51" t="s">
        <v>4</v>
      </c>
      <c r="BW51" t="s">
        <v>3</v>
      </c>
      <c r="BX51" t="s">
        <v>4</v>
      </c>
      <c r="BY51" t="s">
        <v>12</v>
      </c>
      <c r="BZ51" t="s">
        <v>12</v>
      </c>
      <c r="CA51" t="s">
        <v>12</v>
      </c>
      <c r="CB51" t="s">
        <v>1074</v>
      </c>
      <c r="CC51" t="s">
        <v>12</v>
      </c>
      <c r="CD51" t="str" cm="1">
        <f t="array" aca="1" ref="CD51" ca="1">eConcatenar(A51:CB51,"|")</f>
        <v>Brub26TdNgM9bita|COM2021-0415|3|IMPERIAL DE LUJO|TABASCO|PARAISO|PARAISO|2021-2-04|12900|X|X|200|1|x|X|x|X|X|X|X|X|X|X|X|x|X|x|DOMINGUEZ|HERNANDEZ|ANTONIA|CASADO|X|X|CARRETERA FEDERAL PARAISO - COMALCALCO |ORIENTE SEGUNDA SECCION|X|9331381478|MARIA DEL CARMEN CHABLE ALEJANDRO|BENEFICIARIO 2: GABRIEL DOMINGUEZ CHABLE|x|RUTA 4 L|X|LUNES|x|x|X|X|X|DOMICILIO|4200|8700|x|x|X|2021-9-20|2021-9-04|X|x|X|x|x|ORIENTE SEGUNDA SECCION|X|0|x|12900|x|x|x|X|X|X|x|X|CARDENAS|X|x|x|x|final</v>
      </c>
    </row>
    <row r="52" spans="1:82" x14ac:dyDescent="0.25">
      <c r="A52" t="s">
        <v>5354</v>
      </c>
      <c r="B52" t="s">
        <v>5355</v>
      </c>
      <c r="C52">
        <v>3</v>
      </c>
      <c r="D52" t="s">
        <v>1</v>
      </c>
      <c r="E52" t="s">
        <v>2</v>
      </c>
      <c r="F52" t="s">
        <v>722</v>
      </c>
      <c r="G52" t="s">
        <v>722</v>
      </c>
      <c r="H52" t="s">
        <v>1112</v>
      </c>
      <c r="I52">
        <v>12900</v>
      </c>
      <c r="J52" t="s">
        <v>4</v>
      </c>
      <c r="K52" s="3" t="s">
        <v>4</v>
      </c>
      <c r="L52">
        <v>100</v>
      </c>
      <c r="M52">
        <v>0</v>
      </c>
      <c r="N52" t="s">
        <v>12</v>
      </c>
      <c r="O52" t="s">
        <v>4</v>
      </c>
      <c r="P52" t="s">
        <v>12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12</v>
      </c>
      <c r="Z52" t="s">
        <v>4</v>
      </c>
      <c r="AA52" t="s">
        <v>12</v>
      </c>
      <c r="AB52" t="s">
        <v>2459</v>
      </c>
      <c r="AC52" t="s">
        <v>4730</v>
      </c>
      <c r="AD52" t="s">
        <v>5356</v>
      </c>
      <c r="AE52" t="s">
        <v>59</v>
      </c>
      <c r="AF52" t="s">
        <v>4</v>
      </c>
      <c r="AG52" t="s">
        <v>4</v>
      </c>
      <c r="AH52" t="s">
        <v>5357</v>
      </c>
      <c r="AI52" t="s">
        <v>2107</v>
      </c>
      <c r="AJ52" t="s">
        <v>4</v>
      </c>
      <c r="AK52">
        <v>9331660808</v>
      </c>
      <c r="AL52" t="s">
        <v>5358</v>
      </c>
      <c r="AM52" t="s">
        <v>5359</v>
      </c>
      <c r="AN52" t="s">
        <v>12</v>
      </c>
      <c r="AO52" t="s">
        <v>5039</v>
      </c>
      <c r="AP52" t="s">
        <v>4</v>
      </c>
      <c r="AQ52" t="s">
        <v>10</v>
      </c>
      <c r="AR52" t="s">
        <v>12</v>
      </c>
      <c r="AS52" t="s">
        <v>12</v>
      </c>
      <c r="AT52" t="s">
        <v>4</v>
      </c>
      <c r="AU52" t="s">
        <v>4</v>
      </c>
      <c r="AV52" t="s">
        <v>4</v>
      </c>
      <c r="AW52" t="s">
        <v>11</v>
      </c>
      <c r="AX52">
        <v>3500</v>
      </c>
      <c r="AY52">
        <v>9400</v>
      </c>
      <c r="AZ52" t="s">
        <v>12</v>
      </c>
      <c r="BA52" t="s">
        <v>12</v>
      </c>
      <c r="BB52" t="s">
        <v>4</v>
      </c>
      <c r="BC52" t="s">
        <v>1129</v>
      </c>
      <c r="BD52" t="s">
        <v>1133</v>
      </c>
      <c r="BE52" t="s">
        <v>4</v>
      </c>
      <c r="BF52" t="s">
        <v>12</v>
      </c>
      <c r="BG52" t="s">
        <v>4</v>
      </c>
      <c r="BH52" t="s">
        <v>12</v>
      </c>
      <c r="BI52" t="s">
        <v>12</v>
      </c>
      <c r="BJ52" t="s">
        <v>2107</v>
      </c>
      <c r="BK52" t="s">
        <v>4</v>
      </c>
      <c r="BL52">
        <v>0</v>
      </c>
      <c r="BM52" t="s">
        <v>12</v>
      </c>
      <c r="BN52">
        <v>12900</v>
      </c>
      <c r="BO52" t="s">
        <v>12</v>
      </c>
      <c r="BP52" t="s">
        <v>12</v>
      </c>
      <c r="BQ52" t="s">
        <v>12</v>
      </c>
      <c r="BR52" t="s">
        <v>4</v>
      </c>
      <c r="BS52" t="s">
        <v>4</v>
      </c>
      <c r="BT52" t="s">
        <v>4</v>
      </c>
      <c r="BU52" t="s">
        <v>12</v>
      </c>
      <c r="BV52" t="s">
        <v>4</v>
      </c>
      <c r="BW52" t="s">
        <v>3</v>
      </c>
      <c r="BX52" t="s">
        <v>4</v>
      </c>
      <c r="BY52" t="s">
        <v>12</v>
      </c>
      <c r="BZ52" t="s">
        <v>12</v>
      </c>
      <c r="CA52" t="s">
        <v>12</v>
      </c>
      <c r="CB52" t="s">
        <v>1074</v>
      </c>
      <c r="CC52" t="s">
        <v>12</v>
      </c>
      <c r="CD52" t="str" cm="1">
        <f t="array" aca="1" ref="CD52" ca="1">eConcatenar(A52:CB52,"|")</f>
        <v>Bb94wXgvuguqaYty|COM2021-0334 |3|IMPERIAL DE LUJO|TABASCO|COMALCALCO|COMALCALCO|2021-1-30|12900|X|X|100|0|x|X|x|X|X|X|X|X|X|X|X|x|X|x|MARIN|ALMEIDA|BEATRIZ MARIA|CASADO|X|X|CALLE MITLA MANZANA 3 LOTE NUMERO 58|FRACCIONAMIENTO VILLA MAYA|X|9331660808|JORGE MANUEL JACOME VIVANCO|BENEFICIARIO 2: NELLY DEL CARMEN JACOME MARIN|x|RUTA 4 L|X|LUNES|x|x|X|X|X|DOMICILIO|3500|9400|x|x|X|2021-9-20|2021-9-27|X|x|X|x|x|FRACCIONAMIENTO VILLA MAYA|X|0|x|12900|x|x|x|X|X|X|x|X|CARDENAS|X|x|x|x|final</v>
      </c>
    </row>
    <row r="53" spans="1:82" x14ac:dyDescent="0.25">
      <c r="A53" t="s">
        <v>5360</v>
      </c>
      <c r="B53" t="s">
        <v>5361</v>
      </c>
      <c r="C53">
        <v>3</v>
      </c>
      <c r="D53" t="s">
        <v>194</v>
      </c>
      <c r="E53" t="s">
        <v>2</v>
      </c>
      <c r="F53" t="s">
        <v>722</v>
      </c>
      <c r="G53" t="s">
        <v>722</v>
      </c>
      <c r="H53" t="s">
        <v>5362</v>
      </c>
      <c r="I53">
        <v>12900</v>
      </c>
      <c r="J53" t="s">
        <v>4</v>
      </c>
      <c r="K53" s="3" t="s">
        <v>4</v>
      </c>
      <c r="L53">
        <v>200</v>
      </c>
      <c r="M53">
        <v>1</v>
      </c>
      <c r="N53" t="s">
        <v>12</v>
      </c>
      <c r="O53" t="s">
        <v>4</v>
      </c>
      <c r="P53" t="s">
        <v>12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12</v>
      </c>
      <c r="Z53" t="s">
        <v>4</v>
      </c>
      <c r="AA53" t="s">
        <v>12</v>
      </c>
      <c r="AB53" t="s">
        <v>948</v>
      </c>
      <c r="AC53" t="s">
        <v>28</v>
      </c>
      <c r="AD53" t="s">
        <v>5322</v>
      </c>
      <c r="AE53" t="s">
        <v>29</v>
      </c>
      <c r="AF53" t="s">
        <v>4</v>
      </c>
      <c r="AG53" t="s">
        <v>4</v>
      </c>
      <c r="AH53" t="s">
        <v>5363</v>
      </c>
      <c r="AI53" t="s">
        <v>5364</v>
      </c>
      <c r="AJ53" t="s">
        <v>4</v>
      </c>
      <c r="AK53">
        <v>9331545254</v>
      </c>
      <c r="AL53" t="s">
        <v>5365</v>
      </c>
      <c r="AM53" t="s">
        <v>5366</v>
      </c>
      <c r="AN53" t="s">
        <v>12</v>
      </c>
      <c r="AO53" t="s">
        <v>5039</v>
      </c>
      <c r="AP53" t="s">
        <v>4</v>
      </c>
      <c r="AQ53" t="s">
        <v>10</v>
      </c>
      <c r="AR53" t="s">
        <v>12</v>
      </c>
      <c r="AS53" t="s">
        <v>12</v>
      </c>
      <c r="AT53" t="s">
        <v>4</v>
      </c>
      <c r="AU53" t="s">
        <v>4</v>
      </c>
      <c r="AV53" t="s">
        <v>4</v>
      </c>
      <c r="AW53" t="s">
        <v>11</v>
      </c>
      <c r="AX53">
        <v>11400</v>
      </c>
      <c r="AY53">
        <v>1500</v>
      </c>
      <c r="AZ53" t="s">
        <v>12</v>
      </c>
      <c r="BA53" t="s">
        <v>12</v>
      </c>
      <c r="BB53" t="s">
        <v>4</v>
      </c>
      <c r="BC53" t="s">
        <v>1130</v>
      </c>
      <c r="BD53" t="s">
        <v>5072</v>
      </c>
      <c r="BE53" t="s">
        <v>4</v>
      </c>
      <c r="BF53" t="s">
        <v>12</v>
      </c>
      <c r="BG53" t="s">
        <v>4</v>
      </c>
      <c r="BH53" t="s">
        <v>12</v>
      </c>
      <c r="BI53" t="s">
        <v>12</v>
      </c>
      <c r="BJ53" t="s">
        <v>5367</v>
      </c>
      <c r="BK53" t="s">
        <v>4</v>
      </c>
      <c r="BL53">
        <v>1</v>
      </c>
      <c r="BM53" t="s">
        <v>12</v>
      </c>
      <c r="BN53">
        <v>12900</v>
      </c>
      <c r="BO53" t="s">
        <v>12</v>
      </c>
      <c r="BP53" t="s">
        <v>12</v>
      </c>
      <c r="BQ53" t="s">
        <v>12</v>
      </c>
      <c r="BR53" t="s">
        <v>4</v>
      </c>
      <c r="BS53" t="s">
        <v>4</v>
      </c>
      <c r="BT53" t="s">
        <v>4</v>
      </c>
      <c r="BU53" t="s">
        <v>12</v>
      </c>
      <c r="BV53" t="s">
        <v>4</v>
      </c>
      <c r="BW53" t="s">
        <v>3</v>
      </c>
      <c r="BX53" t="s">
        <v>4</v>
      </c>
      <c r="BY53" t="s">
        <v>12</v>
      </c>
      <c r="BZ53" t="s">
        <v>12</v>
      </c>
      <c r="CA53" t="s">
        <v>12</v>
      </c>
      <c r="CB53" t="s">
        <v>1074</v>
      </c>
      <c r="CC53" t="s">
        <v>12</v>
      </c>
      <c r="CD53" t="str" cm="1">
        <f t="array" aca="1" ref="CD53" ca="1">eConcatenar(A53:CB53,"|")</f>
        <v>agPD6svkOHbYniwT|COM2018-0780|3|ECONOLINE|TABASCO|COMALCALCO|COMALCALCO|2018-5-31|12900|X|X|200|1|x|X|x|X|X|X|X|X|X|X|X|x|X|x|ALBERTO|CORDOVA|NATIVIDAD|CASADA|X|X|CARRETERA QUINTA CHICHICAPA NUMERO 36|BUENA VISTA NORTE PRIMERA |X|9331545254|FRANCISCO IGNACIO HERNANDEZ ALBERTO|BENEFICIARIO 2: DIANA DEL CARMEN HERNANDEZ ALBERTO|x|RUTA 4 L|X|LUNES|x|x|X|X|X|DOMICILIO|11400|1500|x|x|X|2021-9-21|2021-10-04|X|x|X|x|x|BUENA VISTA NORTE PRIMERA|X|1|x|12900|x|x|x|X|X|X|x|X|CARDENAS|X|x|x|x|final</v>
      </c>
    </row>
    <row r="54" spans="1:82" x14ac:dyDescent="0.25">
      <c r="A54" t="s">
        <v>5368</v>
      </c>
      <c r="B54" t="s">
        <v>5369</v>
      </c>
      <c r="C54">
        <v>3</v>
      </c>
      <c r="D54" t="s">
        <v>194</v>
      </c>
      <c r="E54" t="s">
        <v>2</v>
      </c>
      <c r="F54" t="s">
        <v>722</v>
      </c>
      <c r="G54" t="s">
        <v>722</v>
      </c>
      <c r="H54" t="s">
        <v>5370</v>
      </c>
      <c r="I54">
        <v>12900</v>
      </c>
      <c r="J54" t="s">
        <v>4</v>
      </c>
      <c r="K54" s="3" t="s">
        <v>4</v>
      </c>
      <c r="L54">
        <v>200</v>
      </c>
      <c r="M54">
        <v>1</v>
      </c>
      <c r="N54" t="s">
        <v>12</v>
      </c>
      <c r="O54" t="s">
        <v>4</v>
      </c>
      <c r="P54" t="s">
        <v>12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12</v>
      </c>
      <c r="Z54" t="s">
        <v>4</v>
      </c>
      <c r="AA54" t="s">
        <v>12</v>
      </c>
      <c r="AB54" t="s">
        <v>284</v>
      </c>
      <c r="AC54" t="s">
        <v>116</v>
      </c>
      <c r="AD54" t="s">
        <v>4727</v>
      </c>
      <c r="AE54" t="s">
        <v>59</v>
      </c>
      <c r="AF54" t="s">
        <v>4</v>
      </c>
      <c r="AG54" t="s">
        <v>4</v>
      </c>
      <c r="AH54" t="s">
        <v>5371</v>
      </c>
      <c r="AI54" t="s">
        <v>726</v>
      </c>
      <c r="AJ54" t="s">
        <v>4</v>
      </c>
      <c r="AK54">
        <v>9331369516</v>
      </c>
      <c r="AL54" t="s">
        <v>5372</v>
      </c>
      <c r="AM54" t="s">
        <v>4</v>
      </c>
      <c r="AN54" t="s">
        <v>12</v>
      </c>
      <c r="AO54" t="s">
        <v>5039</v>
      </c>
      <c r="AP54" t="s">
        <v>4</v>
      </c>
      <c r="AQ54" t="s">
        <v>10</v>
      </c>
      <c r="AR54" t="s">
        <v>12</v>
      </c>
      <c r="AS54" t="s">
        <v>12</v>
      </c>
      <c r="AT54" t="s">
        <v>4</v>
      </c>
      <c r="AU54" t="s">
        <v>4</v>
      </c>
      <c r="AV54" t="s">
        <v>4</v>
      </c>
      <c r="AW54" t="s">
        <v>11</v>
      </c>
      <c r="AX54">
        <v>4800</v>
      </c>
      <c r="AY54">
        <v>8100</v>
      </c>
      <c r="AZ54" t="s">
        <v>12</v>
      </c>
      <c r="BA54" t="s">
        <v>12</v>
      </c>
      <c r="BB54" t="s">
        <v>4</v>
      </c>
      <c r="BC54" t="s">
        <v>1130</v>
      </c>
      <c r="BD54" t="s">
        <v>5072</v>
      </c>
      <c r="BE54" t="s">
        <v>4</v>
      </c>
      <c r="BF54" t="s">
        <v>12</v>
      </c>
      <c r="BG54" t="s">
        <v>4</v>
      </c>
      <c r="BH54" t="s">
        <v>12</v>
      </c>
      <c r="BI54" t="s">
        <v>12</v>
      </c>
      <c r="BJ54" t="s">
        <v>726</v>
      </c>
      <c r="BK54" t="s">
        <v>4</v>
      </c>
      <c r="BL54">
        <v>0</v>
      </c>
      <c r="BM54" t="s">
        <v>12</v>
      </c>
      <c r="BN54">
        <v>12900</v>
      </c>
      <c r="BO54" t="s">
        <v>12</v>
      </c>
      <c r="BP54" t="s">
        <v>12</v>
      </c>
      <c r="BQ54" t="s">
        <v>12</v>
      </c>
      <c r="BR54" t="s">
        <v>4</v>
      </c>
      <c r="BS54" t="s">
        <v>4</v>
      </c>
      <c r="BT54" t="s">
        <v>4</v>
      </c>
      <c r="BU54" t="s">
        <v>12</v>
      </c>
      <c r="BV54" t="s">
        <v>4</v>
      </c>
      <c r="BW54" t="s">
        <v>3</v>
      </c>
      <c r="BX54" t="s">
        <v>4</v>
      </c>
      <c r="BY54" t="s">
        <v>12</v>
      </c>
      <c r="BZ54" t="s">
        <v>12</v>
      </c>
      <c r="CA54" t="s">
        <v>12</v>
      </c>
      <c r="CB54" t="s">
        <v>1074</v>
      </c>
      <c r="CC54" t="s">
        <v>12</v>
      </c>
      <c r="CD54" t="str" cm="1">
        <f t="array" aca="1" ref="CD54" ca="1">eConcatenar(A54:CB54,"|")</f>
        <v>ew9QSr1t0vLcgUyQ|COM2020-1104|3|ECONOLINE|TABASCO|COMALCALCO|COMALCALCO|2020-7-02|12900|X|X|200|1|x|X|x|X|X|X|X|X|X|X|X|x|X|x|MORALES|RODRIGUEZ|PEDRO|CASADO|X|X|ENTRADA SAN FERNANDO|NORTE PRIMERA SECCION|X|9331369516|MARTHA ALICIA SANCHEZ AQUINO|X|x|RUTA 4 L|X|LUNES|x|x|X|X|X|DOMICILIO|4800|8100|x|x|X|2021-9-21|2021-10-04|X|x|X|x|x|NORTE PRIMERA SECCION|X|0|x|12900|x|x|x|X|X|X|x|X|CARDENAS|X|x|x|x|final</v>
      </c>
    </row>
    <row r="55" spans="1:82" x14ac:dyDescent="0.25">
      <c r="A55" t="s">
        <v>5373</v>
      </c>
      <c r="B55" t="s">
        <v>5374</v>
      </c>
      <c r="C55">
        <v>3</v>
      </c>
      <c r="D55" t="s">
        <v>1</v>
      </c>
      <c r="E55" t="s">
        <v>2</v>
      </c>
      <c r="F55" t="s">
        <v>722</v>
      </c>
      <c r="G55" t="s">
        <v>722</v>
      </c>
      <c r="H55" t="s">
        <v>5375</v>
      </c>
      <c r="I55">
        <v>12900</v>
      </c>
      <c r="J55" t="s">
        <v>4</v>
      </c>
      <c r="K55" s="3" t="s">
        <v>4</v>
      </c>
      <c r="L55">
        <v>100</v>
      </c>
      <c r="M55">
        <v>0</v>
      </c>
      <c r="N55" t="s">
        <v>12</v>
      </c>
      <c r="O55" t="s">
        <v>4</v>
      </c>
      <c r="P55" t="s">
        <v>12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12</v>
      </c>
      <c r="Z55" t="s">
        <v>4</v>
      </c>
      <c r="AA55" t="s">
        <v>12</v>
      </c>
      <c r="AB55" t="s">
        <v>761</v>
      </c>
      <c r="AC55" t="s">
        <v>540</v>
      </c>
      <c r="AD55" t="s">
        <v>5376</v>
      </c>
      <c r="AE55" t="s">
        <v>17</v>
      </c>
      <c r="AF55" t="s">
        <v>4</v>
      </c>
      <c r="AG55" t="s">
        <v>4</v>
      </c>
      <c r="AH55" t="s">
        <v>5377</v>
      </c>
      <c r="AI55" t="s">
        <v>5378</v>
      </c>
      <c r="AJ55" t="s">
        <v>4</v>
      </c>
      <c r="AK55">
        <v>9331463219</v>
      </c>
      <c r="AL55" t="s">
        <v>5379</v>
      </c>
      <c r="AM55" t="s">
        <v>5380</v>
      </c>
      <c r="AN55" t="s">
        <v>12</v>
      </c>
      <c r="AO55" t="s">
        <v>5039</v>
      </c>
      <c r="AP55" t="s">
        <v>4</v>
      </c>
      <c r="AQ55" t="s">
        <v>10</v>
      </c>
      <c r="AR55" t="s">
        <v>12</v>
      </c>
      <c r="AS55" t="s">
        <v>12</v>
      </c>
      <c r="AT55" t="s">
        <v>4</v>
      </c>
      <c r="AU55" t="s">
        <v>4</v>
      </c>
      <c r="AV55" t="s">
        <v>4</v>
      </c>
      <c r="AW55" t="s">
        <v>11</v>
      </c>
      <c r="AX55">
        <v>4600</v>
      </c>
      <c r="AY55">
        <v>8300</v>
      </c>
      <c r="AZ55" t="s">
        <v>12</v>
      </c>
      <c r="BA55" t="s">
        <v>12</v>
      </c>
      <c r="BB55" s="1" t="s">
        <v>4</v>
      </c>
      <c r="BC55" t="s">
        <v>1130</v>
      </c>
      <c r="BD55" t="s">
        <v>1133</v>
      </c>
      <c r="BE55" t="s">
        <v>4</v>
      </c>
      <c r="BF55" t="s">
        <v>12</v>
      </c>
      <c r="BG55" t="s">
        <v>4</v>
      </c>
      <c r="BH55" t="s">
        <v>12</v>
      </c>
      <c r="BI55" t="s">
        <v>12</v>
      </c>
      <c r="BJ55" t="s">
        <v>5378</v>
      </c>
      <c r="BK55" t="s">
        <v>4</v>
      </c>
      <c r="BL55">
        <v>0</v>
      </c>
      <c r="BM55" t="s">
        <v>12</v>
      </c>
      <c r="BN55">
        <v>12900</v>
      </c>
      <c r="BO55" t="s">
        <v>12</v>
      </c>
      <c r="BP55" t="s">
        <v>12</v>
      </c>
      <c r="BQ55" t="s">
        <v>12</v>
      </c>
      <c r="BR55" t="s">
        <v>4</v>
      </c>
      <c r="BS55" t="s">
        <v>4</v>
      </c>
      <c r="BT55" t="s">
        <v>4</v>
      </c>
      <c r="BU55" t="s">
        <v>12</v>
      </c>
      <c r="BV55" t="s">
        <v>4</v>
      </c>
      <c r="BW55" t="s">
        <v>3</v>
      </c>
      <c r="BX55" t="s">
        <v>4</v>
      </c>
      <c r="BY55" t="s">
        <v>12</v>
      </c>
      <c r="BZ55" t="s">
        <v>12</v>
      </c>
      <c r="CA55" t="s">
        <v>12</v>
      </c>
      <c r="CB55" t="s">
        <v>1074</v>
      </c>
      <c r="CC55" t="s">
        <v>12</v>
      </c>
      <c r="CD55" t="str" cm="1">
        <f t="array" aca="1" ref="CD55" ca="1">eConcatenar(A55:CB55,"|")</f>
        <v>yJ5jWztgLYxxUaib|COM2020-3152|3|IMPERIAL DE LUJO|TABASCO|COMALCALCO|COMALCALCO|2020-12-01|12900|X|X|100|0|x|X|x|X|X|X|X|X|X|X|X|x|X|x|CASTELLANOS|HERRERA|JOSE JESUS|SOLTERO|X|X|CARRETERA FEDERAL COMALCALCO - PARAISO |NORTE SEGUNDA SECCION|X|9331463219|TITO CASTELLANOS HERRERA|BENEFICIARIO 2: ANTONIO CASTELLANOS HERRERA|x|RUTA 4 L|X|LUNES|x|x|X|X|X|DOMICILIO|4600|8300|x|x|X|2021-9-21|2021-9-27|X|x|X|x|x|NORTE SEGUNDA SECCION|X|0|x|12900|x|x|x|X|X|X|x|X|CARDENAS|X|x|x|x|final</v>
      </c>
    </row>
    <row r="56" spans="1:82" x14ac:dyDescent="0.25">
      <c r="A56" t="s">
        <v>5381</v>
      </c>
      <c r="B56" t="s">
        <v>5382</v>
      </c>
      <c r="C56">
        <v>3</v>
      </c>
      <c r="D56" t="s">
        <v>194</v>
      </c>
      <c r="E56" t="s">
        <v>2</v>
      </c>
      <c r="F56" t="s">
        <v>722</v>
      </c>
      <c r="G56" t="s">
        <v>722</v>
      </c>
      <c r="H56" t="s">
        <v>5383</v>
      </c>
      <c r="I56">
        <v>12900</v>
      </c>
      <c r="J56" t="s">
        <v>4</v>
      </c>
      <c r="K56" s="3" t="s">
        <v>4</v>
      </c>
      <c r="L56">
        <v>100</v>
      </c>
      <c r="M56">
        <v>0</v>
      </c>
      <c r="N56" t="s">
        <v>12</v>
      </c>
      <c r="O56" t="s">
        <v>4</v>
      </c>
      <c r="P56" t="s">
        <v>12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12</v>
      </c>
      <c r="Z56" t="s">
        <v>4</v>
      </c>
      <c r="AA56" t="s">
        <v>12</v>
      </c>
      <c r="AB56" t="s">
        <v>4730</v>
      </c>
      <c r="AC56" t="s">
        <v>327</v>
      </c>
      <c r="AD56" t="s">
        <v>5384</v>
      </c>
      <c r="AE56" t="s">
        <v>59</v>
      </c>
      <c r="AF56" t="s">
        <v>4</v>
      </c>
      <c r="AG56" t="s">
        <v>4</v>
      </c>
      <c r="AH56" t="s">
        <v>5385</v>
      </c>
      <c r="AI56" t="s">
        <v>5386</v>
      </c>
      <c r="AJ56" t="s">
        <v>4</v>
      </c>
      <c r="AK56">
        <v>9331178040</v>
      </c>
      <c r="AL56" t="s">
        <v>5387</v>
      </c>
      <c r="AM56" t="s">
        <v>5388</v>
      </c>
      <c r="AN56" t="s">
        <v>12</v>
      </c>
      <c r="AO56" t="s">
        <v>5039</v>
      </c>
      <c r="AP56" t="s">
        <v>4</v>
      </c>
      <c r="AQ56" t="s">
        <v>10</v>
      </c>
      <c r="AR56" t="s">
        <v>12</v>
      </c>
      <c r="AS56" t="s">
        <v>12</v>
      </c>
      <c r="AT56" t="s">
        <v>4</v>
      </c>
      <c r="AU56" t="s">
        <v>4</v>
      </c>
      <c r="AV56" t="s">
        <v>4</v>
      </c>
      <c r="AW56" t="s">
        <v>11</v>
      </c>
      <c r="AX56">
        <v>9800</v>
      </c>
      <c r="AY56">
        <v>3100</v>
      </c>
      <c r="AZ56" t="s">
        <v>12</v>
      </c>
      <c r="BA56" t="s">
        <v>12</v>
      </c>
      <c r="BB56" t="s">
        <v>4</v>
      </c>
      <c r="BC56" t="s">
        <v>1130</v>
      </c>
      <c r="BD56" t="s">
        <v>1133</v>
      </c>
      <c r="BE56" t="s">
        <v>4</v>
      </c>
      <c r="BF56" t="s">
        <v>12</v>
      </c>
      <c r="BG56" t="s">
        <v>4</v>
      </c>
      <c r="BH56" t="s">
        <v>12</v>
      </c>
      <c r="BI56" t="s">
        <v>12</v>
      </c>
      <c r="BJ56" t="s">
        <v>5386</v>
      </c>
      <c r="BK56" t="s">
        <v>4</v>
      </c>
      <c r="BL56">
        <v>0</v>
      </c>
      <c r="BM56" t="s">
        <v>12</v>
      </c>
      <c r="BN56">
        <v>12900</v>
      </c>
      <c r="BO56" t="s">
        <v>12</v>
      </c>
      <c r="BP56" t="s">
        <v>12</v>
      </c>
      <c r="BQ56" t="s">
        <v>12</v>
      </c>
      <c r="BR56" t="s">
        <v>4</v>
      </c>
      <c r="BS56" t="s">
        <v>4</v>
      </c>
      <c r="BT56" t="s">
        <v>4</v>
      </c>
      <c r="BU56" t="s">
        <v>12</v>
      </c>
      <c r="BV56" t="s">
        <v>4</v>
      </c>
      <c r="BW56" t="s">
        <v>3</v>
      </c>
      <c r="BX56" t="s">
        <v>4</v>
      </c>
      <c r="BY56" t="s">
        <v>12</v>
      </c>
      <c r="BZ56" t="s">
        <v>12</v>
      </c>
      <c r="CA56" t="s">
        <v>12</v>
      </c>
      <c r="CB56" t="s">
        <v>1074</v>
      </c>
      <c r="CC56" t="s">
        <v>12</v>
      </c>
      <c r="CD56" t="str" cm="1">
        <f t="array" aca="1" ref="CD56" ca="1">eConcatenar(A56:CB56,"|")</f>
        <v>LwrYaCdDgovgzmRh|COM2018-2175|3|ECONOLINE|TABASCO|COMALCALCO|COMALCALCO|2018-11-12|12900|X|X|100|0|x|X|x|X|X|X|X|X|X|X|X|x|X|x|ALMEIDA|CASTILLO|FAUSTO|CASADO|X|X|CALLE LUTES CARRETERA FEDERAL COMALCALCO|HERNAN RABELO WADE|X|9331178040|LETICIA ALCUDIA CASTELLANO|BENEFICIARIO 2: FAUSTO ALMEIDA ALCUDIA|x|RUTA 4 L|X|LUNES|x|x|X|X|X|DOMICILIO|9800|3100|x|x|X|2021-9-21|2021-9-27|X|x|X|x|x|HERNAN RABELO WADE|X|0|x|12900|x|x|x|X|X|X|x|X|CARDENAS|X|x|x|x|final</v>
      </c>
    </row>
    <row r="57" spans="1:82" x14ac:dyDescent="0.25">
      <c r="A57" t="s">
        <v>5389</v>
      </c>
      <c r="B57" t="s">
        <v>5390</v>
      </c>
      <c r="C57">
        <v>3</v>
      </c>
      <c r="D57" t="s">
        <v>194</v>
      </c>
      <c r="E57" t="s">
        <v>2</v>
      </c>
      <c r="F57" t="s">
        <v>722</v>
      </c>
      <c r="G57" t="s">
        <v>722</v>
      </c>
      <c r="H57" t="s">
        <v>5391</v>
      </c>
      <c r="I57">
        <v>12900</v>
      </c>
      <c r="J57" t="s">
        <v>4</v>
      </c>
      <c r="K57" s="3" t="s">
        <v>4</v>
      </c>
      <c r="L57">
        <v>200</v>
      </c>
      <c r="M57">
        <v>1</v>
      </c>
      <c r="N57" t="s">
        <v>12</v>
      </c>
      <c r="O57" t="s">
        <v>4</v>
      </c>
      <c r="P57" t="s">
        <v>12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12</v>
      </c>
      <c r="Z57" t="s">
        <v>4</v>
      </c>
      <c r="AA57" t="s">
        <v>12</v>
      </c>
      <c r="AB57" t="s">
        <v>218</v>
      </c>
      <c r="AC57" t="s">
        <v>875</v>
      </c>
      <c r="AD57" t="s">
        <v>564</v>
      </c>
      <c r="AE57" t="s">
        <v>29</v>
      </c>
      <c r="AF57" t="s">
        <v>4</v>
      </c>
      <c r="AG57" t="s">
        <v>4</v>
      </c>
      <c r="AH57" t="s">
        <v>5392</v>
      </c>
      <c r="AI57" t="s">
        <v>5378</v>
      </c>
      <c r="AJ57" t="s">
        <v>4</v>
      </c>
      <c r="AK57">
        <v>9331046891</v>
      </c>
      <c r="AL57" t="s">
        <v>5393</v>
      </c>
      <c r="AM57" t="s">
        <v>5394</v>
      </c>
      <c r="AN57" t="s">
        <v>12</v>
      </c>
      <c r="AO57" t="s">
        <v>5039</v>
      </c>
      <c r="AP57" t="s">
        <v>4</v>
      </c>
      <c r="AQ57" t="s">
        <v>10</v>
      </c>
      <c r="AR57" t="s">
        <v>12</v>
      </c>
      <c r="AS57" t="s">
        <v>12</v>
      </c>
      <c r="AT57" t="s">
        <v>4</v>
      </c>
      <c r="AU57" t="s">
        <v>4</v>
      </c>
      <c r="AV57" t="s">
        <v>4</v>
      </c>
      <c r="AW57" t="s">
        <v>11</v>
      </c>
      <c r="AX57">
        <v>10950</v>
      </c>
      <c r="AY57">
        <v>1950</v>
      </c>
      <c r="AZ57" t="s">
        <v>12</v>
      </c>
      <c r="BA57" t="s">
        <v>12</v>
      </c>
      <c r="BB57" t="s">
        <v>4</v>
      </c>
      <c r="BC57" t="s">
        <v>1130</v>
      </c>
      <c r="BD57" t="s">
        <v>5072</v>
      </c>
      <c r="BE57" t="s">
        <v>4</v>
      </c>
      <c r="BF57" t="s">
        <v>12</v>
      </c>
      <c r="BG57" t="s">
        <v>4</v>
      </c>
      <c r="BH57" t="s">
        <v>12</v>
      </c>
      <c r="BI57" t="s">
        <v>12</v>
      </c>
      <c r="BJ57" t="s">
        <v>5378</v>
      </c>
      <c r="BK57" t="s">
        <v>4</v>
      </c>
      <c r="BL57">
        <v>1</v>
      </c>
      <c r="BM57" t="s">
        <v>12</v>
      </c>
      <c r="BN57">
        <v>12900</v>
      </c>
      <c r="BO57" t="s">
        <v>12</v>
      </c>
      <c r="BP57" t="s">
        <v>12</v>
      </c>
      <c r="BQ57" t="s">
        <v>12</v>
      </c>
      <c r="BR57" t="s">
        <v>4</v>
      </c>
      <c r="BS57" t="s">
        <v>4</v>
      </c>
      <c r="BT57" t="s">
        <v>4</v>
      </c>
      <c r="BU57" t="s">
        <v>12</v>
      </c>
      <c r="BV57" t="s">
        <v>4</v>
      </c>
      <c r="BW57" t="s">
        <v>3</v>
      </c>
      <c r="BX57" t="s">
        <v>4</v>
      </c>
      <c r="BY57" t="s">
        <v>12</v>
      </c>
      <c r="BZ57" t="s">
        <v>12</v>
      </c>
      <c r="CA57" t="s">
        <v>12</v>
      </c>
      <c r="CB57" t="s">
        <v>1074</v>
      </c>
      <c r="CC57" t="s">
        <v>12</v>
      </c>
      <c r="CD57" t="str" cm="1">
        <f t="array" aca="1" ref="CD57" ca="1">eConcatenar(A57:CB57,"|")</f>
        <v>UgqrRfUzIPUXqb1r|COM2018-0395|3|ECONOLINE|TABASCO|COMALCALCO|COMALCALCO|2018-4-17|12900|X|X|200|1|x|X|x|X|X|X|X|X|X|X|X|x|X|x|DE LOS SANTOS|LAZARO|VERONICA|CASADA|X|X|ENTRADA EL REGALO SIN NUMERO |NORTE SEGUNDA SECCION|X|9331046891|JAIME CASTELLANOS MORALES|BENEFICIARIO 2: LUIS GUSTAVO CASTELLANOS|x|RUTA 4 L|X|LUNES|x|x|X|X|X|DOMICILIO|10950|1950|x|x|X|2021-9-21|2021-10-04|X|x|X|x|x|NORTE SEGUNDA SECCION|X|1|x|12900|x|x|x|X|X|X|x|X|CARDENAS|X|x|x|x|final</v>
      </c>
    </row>
    <row r="58" spans="1:82" x14ac:dyDescent="0.25">
      <c r="A58" t="s">
        <v>5395</v>
      </c>
      <c r="B58" t="s">
        <v>5396</v>
      </c>
      <c r="C58">
        <v>3</v>
      </c>
      <c r="D58" t="s">
        <v>198</v>
      </c>
      <c r="E58" t="s">
        <v>2</v>
      </c>
      <c r="F58" t="s">
        <v>654</v>
      </c>
      <c r="G58" t="s">
        <v>654</v>
      </c>
      <c r="H58" t="s">
        <v>5013</v>
      </c>
      <c r="I58">
        <v>31500</v>
      </c>
      <c r="J58" t="s">
        <v>4</v>
      </c>
      <c r="K58" s="3" t="s">
        <v>4</v>
      </c>
      <c r="L58">
        <v>200</v>
      </c>
      <c r="M58">
        <v>1</v>
      </c>
      <c r="N58" t="s">
        <v>12</v>
      </c>
      <c r="O58" t="s">
        <v>4</v>
      </c>
      <c r="P58" t="s">
        <v>12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12</v>
      </c>
      <c r="Z58" t="s">
        <v>4</v>
      </c>
      <c r="AA58" t="s">
        <v>12</v>
      </c>
      <c r="AB58" t="s">
        <v>15</v>
      </c>
      <c r="AC58" t="s">
        <v>265</v>
      </c>
      <c r="AD58" t="s">
        <v>4839</v>
      </c>
      <c r="AE58" t="s">
        <v>29</v>
      </c>
      <c r="AF58" t="s">
        <v>4</v>
      </c>
      <c r="AG58" t="s">
        <v>4</v>
      </c>
      <c r="AH58" t="s">
        <v>5397</v>
      </c>
      <c r="AI58" t="s">
        <v>5398</v>
      </c>
      <c r="AJ58" t="s">
        <v>4</v>
      </c>
      <c r="AK58">
        <v>9331120841</v>
      </c>
      <c r="AL58" t="s">
        <v>5399</v>
      </c>
      <c r="AM58" t="s">
        <v>5400</v>
      </c>
      <c r="AN58" t="s">
        <v>12</v>
      </c>
      <c r="AO58" t="s">
        <v>5039</v>
      </c>
      <c r="AP58" t="s">
        <v>4</v>
      </c>
      <c r="AQ58" t="s">
        <v>10</v>
      </c>
      <c r="AR58" t="s">
        <v>12</v>
      </c>
      <c r="AS58" t="s">
        <v>12</v>
      </c>
      <c r="AT58" t="s">
        <v>4</v>
      </c>
      <c r="AU58" t="s">
        <v>4</v>
      </c>
      <c r="AV58" t="s">
        <v>4</v>
      </c>
      <c r="AW58" t="s">
        <v>11</v>
      </c>
      <c r="AX58">
        <v>30100</v>
      </c>
      <c r="AY58">
        <v>1400</v>
      </c>
      <c r="AZ58" t="s">
        <v>12</v>
      </c>
      <c r="BA58" t="s">
        <v>12</v>
      </c>
      <c r="BB58" t="s">
        <v>4</v>
      </c>
      <c r="BC58" t="s">
        <v>1130</v>
      </c>
      <c r="BD58" t="s">
        <v>5072</v>
      </c>
      <c r="BE58" t="s">
        <v>4</v>
      </c>
      <c r="BF58" t="s">
        <v>12</v>
      </c>
      <c r="BG58" t="s">
        <v>4</v>
      </c>
      <c r="BH58" t="s">
        <v>12</v>
      </c>
      <c r="BI58" t="s">
        <v>12</v>
      </c>
      <c r="BJ58" t="s">
        <v>5398</v>
      </c>
      <c r="BK58" t="s">
        <v>4</v>
      </c>
      <c r="BL58">
        <v>1</v>
      </c>
      <c r="BM58" t="s">
        <v>12</v>
      </c>
      <c r="BN58">
        <v>31500</v>
      </c>
      <c r="BO58" t="s">
        <v>12</v>
      </c>
      <c r="BP58" t="s">
        <v>12</v>
      </c>
      <c r="BQ58" t="s">
        <v>12</v>
      </c>
      <c r="BR58" t="s">
        <v>4</v>
      </c>
      <c r="BS58" t="s">
        <v>4</v>
      </c>
      <c r="BT58" t="s">
        <v>4</v>
      </c>
      <c r="BU58" t="s">
        <v>12</v>
      </c>
      <c r="BV58" t="s">
        <v>4</v>
      </c>
      <c r="BW58" t="s">
        <v>3</v>
      </c>
      <c r="BX58" t="s">
        <v>4</v>
      </c>
      <c r="BY58" t="s">
        <v>12</v>
      </c>
      <c r="BZ58" t="s">
        <v>12</v>
      </c>
      <c r="CA58" t="s">
        <v>12</v>
      </c>
      <c r="CB58" t="s">
        <v>1074</v>
      </c>
      <c r="CC58" t="s">
        <v>12</v>
      </c>
      <c r="CD58" t="str" cm="1">
        <f t="array" aca="1" ref="CD58" ca="1">eConcatenar(A58:CB58,"|")</f>
        <v>ka6a2D7Ga1sqln5P|COM2019-2558|3|PRESIDENCIAL|TABASCO|PARAISO|PARAISO|2019-9-12|31500|X|X|200|1|x|X|x|X|X|X|X|X|X|X|X|x|X|x|JIMENEZ|DOMINGUEZ|ELSA|CASADA|X|X|CALLE A LA MERCED REAL SIN NUMERO|ORIENTE PRIMERA SECCION|X|9331120841|NESTOR ERICK PEREZ JIMENEZ|BENEFICIARIO 2: EVELIN NATALE PEREZ JIMENEZ|x|RUTA 4 L|X|LUNES|x|x|X|X|X|DOMICILIO|30100|1400|x|x|X|2021-9-21|2021-10-04|X|x|X|x|x|ORIENTE PRIMERA SECCION|X|1|x|31500|x|x|x|X|X|X|x|X|CARDENAS|X|x|x|x|final</v>
      </c>
    </row>
    <row r="59" spans="1:82" x14ac:dyDescent="0.25">
      <c r="A59" t="s">
        <v>5401</v>
      </c>
      <c r="B59" t="s">
        <v>5402</v>
      </c>
      <c r="C59">
        <v>3</v>
      </c>
      <c r="D59" t="s">
        <v>194</v>
      </c>
      <c r="E59" t="s">
        <v>2</v>
      </c>
      <c r="F59" t="s">
        <v>654</v>
      </c>
      <c r="G59" t="s">
        <v>654</v>
      </c>
      <c r="H59" t="s">
        <v>5403</v>
      </c>
      <c r="I59">
        <v>12900</v>
      </c>
      <c r="J59" t="s">
        <v>4</v>
      </c>
      <c r="K59" s="3" t="s">
        <v>4</v>
      </c>
      <c r="L59">
        <v>100</v>
      </c>
      <c r="M59">
        <v>0</v>
      </c>
      <c r="N59" t="s">
        <v>12</v>
      </c>
      <c r="O59" t="s">
        <v>4</v>
      </c>
      <c r="P59" t="s">
        <v>12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12</v>
      </c>
      <c r="Z59" t="s">
        <v>4</v>
      </c>
      <c r="AA59" t="s">
        <v>12</v>
      </c>
      <c r="AB59" t="s">
        <v>597</v>
      </c>
      <c r="AC59" t="s">
        <v>551</v>
      </c>
      <c r="AD59" t="s">
        <v>4733</v>
      </c>
      <c r="AE59" t="s">
        <v>59</v>
      </c>
      <c r="AF59" t="s">
        <v>4</v>
      </c>
      <c r="AG59" t="s">
        <v>4</v>
      </c>
      <c r="AH59" t="s">
        <v>717</v>
      </c>
      <c r="AI59" t="s">
        <v>5398</v>
      </c>
      <c r="AJ59" t="s">
        <v>4</v>
      </c>
      <c r="AK59">
        <v>9331117248</v>
      </c>
      <c r="AL59" t="s">
        <v>5404</v>
      </c>
      <c r="AM59" t="s">
        <v>5405</v>
      </c>
      <c r="AN59" t="s">
        <v>12</v>
      </c>
      <c r="AO59" t="s">
        <v>5039</v>
      </c>
      <c r="AP59" t="s">
        <v>4</v>
      </c>
      <c r="AQ59" t="s">
        <v>10</v>
      </c>
      <c r="AR59" t="s">
        <v>12</v>
      </c>
      <c r="AS59" t="s">
        <v>12</v>
      </c>
      <c r="AT59" t="s">
        <v>4</v>
      </c>
      <c r="AU59" t="s">
        <v>4</v>
      </c>
      <c r="AV59" t="s">
        <v>4</v>
      </c>
      <c r="AW59" t="s">
        <v>11</v>
      </c>
      <c r="AX59">
        <v>7700</v>
      </c>
      <c r="AY59">
        <v>5200</v>
      </c>
      <c r="AZ59" t="s">
        <v>12</v>
      </c>
      <c r="BA59" t="s">
        <v>12</v>
      </c>
      <c r="BB59" t="s">
        <v>4</v>
      </c>
      <c r="BC59" t="s">
        <v>1130</v>
      </c>
      <c r="BD59" t="s">
        <v>1133</v>
      </c>
      <c r="BE59" t="s">
        <v>4</v>
      </c>
      <c r="BF59" t="s">
        <v>12</v>
      </c>
      <c r="BG59" t="s">
        <v>4</v>
      </c>
      <c r="BH59" t="s">
        <v>12</v>
      </c>
      <c r="BI59" t="s">
        <v>12</v>
      </c>
      <c r="BJ59" t="s">
        <v>5398</v>
      </c>
      <c r="BK59" t="s">
        <v>4</v>
      </c>
      <c r="BL59">
        <v>0</v>
      </c>
      <c r="BM59" t="s">
        <v>12</v>
      </c>
      <c r="BN59">
        <v>12900</v>
      </c>
      <c r="BO59" t="s">
        <v>12</v>
      </c>
      <c r="BP59" t="s">
        <v>12</v>
      </c>
      <c r="BQ59" t="s">
        <v>12</v>
      </c>
      <c r="BR59" t="s">
        <v>4</v>
      </c>
      <c r="BS59" t="s">
        <v>4</v>
      </c>
      <c r="BT59" t="s">
        <v>4</v>
      </c>
      <c r="BU59" t="s">
        <v>12</v>
      </c>
      <c r="BV59" t="s">
        <v>4</v>
      </c>
      <c r="BW59" t="s">
        <v>3</v>
      </c>
      <c r="BX59" t="s">
        <v>4</v>
      </c>
      <c r="BY59" t="s">
        <v>12</v>
      </c>
      <c r="BZ59" t="s">
        <v>12</v>
      </c>
      <c r="CA59" t="s">
        <v>12</v>
      </c>
      <c r="CB59" t="s">
        <v>1074</v>
      </c>
      <c r="CC59" t="s">
        <v>12</v>
      </c>
      <c r="CD59" t="str" cm="1">
        <f t="array" aca="1" ref="CD59" ca="1">eConcatenar(A59:CB59,"|")</f>
        <v>SCJUNn4s2wKuEGWn|COM2018-0955|3|ECONOLINE|TABASCO|PARAISO|PARAISO|2018-6-11|12900|X|X|100|0|x|X|x|X|X|X|X|X|X|X|X|x|X|x|MAGAÑA|TRINIDAD|AGENOR|CASADO|X|X|LA MERCED REAL SIN NUMERO|ORIENTE PRIMERA SECCION|X|9331117248|SELENE VIVIANA MAGAÑA SANCHEZ|BENEFICIARIO 2: ADRIANA SANCHEZ PEREZ|x|RUTA 4 L|X|LUNES|x|x|X|X|X|DOMICILIO|7700|5200|x|x|X|2021-9-21|2021-9-27|X|x|X|x|x|ORIENTE PRIMERA SECCION|X|0|x|12900|x|x|x|X|X|X|x|X|CARDENAS|X|x|x|x|final</v>
      </c>
    </row>
    <row r="60" spans="1:82" x14ac:dyDescent="0.25">
      <c r="A60" t="s">
        <v>5406</v>
      </c>
      <c r="B60" t="s">
        <v>5407</v>
      </c>
      <c r="C60">
        <v>3</v>
      </c>
      <c r="D60" t="s">
        <v>194</v>
      </c>
      <c r="E60" t="s">
        <v>2</v>
      </c>
      <c r="F60" t="s">
        <v>654</v>
      </c>
      <c r="G60" t="s">
        <v>654</v>
      </c>
      <c r="H60" t="s">
        <v>5408</v>
      </c>
      <c r="I60">
        <v>12900</v>
      </c>
      <c r="J60" t="s">
        <v>4</v>
      </c>
      <c r="K60" s="3" t="s">
        <v>4</v>
      </c>
      <c r="L60">
        <v>200</v>
      </c>
      <c r="M60">
        <v>1</v>
      </c>
      <c r="N60" t="s">
        <v>12</v>
      </c>
      <c r="O60" t="s">
        <v>4</v>
      </c>
      <c r="P60" t="s">
        <v>12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12</v>
      </c>
      <c r="Z60" t="s">
        <v>4</v>
      </c>
      <c r="AA60" t="s">
        <v>12</v>
      </c>
      <c r="AB60" t="s">
        <v>5409</v>
      </c>
      <c r="AC60" t="s">
        <v>36</v>
      </c>
      <c r="AD60" t="s">
        <v>5410</v>
      </c>
      <c r="AE60" t="s">
        <v>29</v>
      </c>
      <c r="AF60" t="s">
        <v>4</v>
      </c>
      <c r="AG60" t="s">
        <v>4</v>
      </c>
      <c r="AH60" t="s">
        <v>5411</v>
      </c>
      <c r="AI60" t="s">
        <v>5398</v>
      </c>
      <c r="AJ60" t="s">
        <v>4</v>
      </c>
      <c r="AK60">
        <v>9331364650</v>
      </c>
      <c r="AL60" t="s">
        <v>5412</v>
      </c>
      <c r="AM60" t="s">
        <v>5413</v>
      </c>
      <c r="AN60" t="s">
        <v>12</v>
      </c>
      <c r="AO60" t="s">
        <v>5039</v>
      </c>
      <c r="AP60" t="s">
        <v>4</v>
      </c>
      <c r="AQ60" t="s">
        <v>10</v>
      </c>
      <c r="AR60" t="s">
        <v>12</v>
      </c>
      <c r="AS60" t="s">
        <v>12</v>
      </c>
      <c r="AT60" t="s">
        <v>4</v>
      </c>
      <c r="AU60" t="s">
        <v>4</v>
      </c>
      <c r="AV60" t="s">
        <v>4</v>
      </c>
      <c r="AW60" t="s">
        <v>11</v>
      </c>
      <c r="AX60">
        <v>10200</v>
      </c>
      <c r="AY60">
        <v>2700</v>
      </c>
      <c r="AZ60" t="s">
        <v>12</v>
      </c>
      <c r="BA60" t="s">
        <v>12</v>
      </c>
      <c r="BB60" t="s">
        <v>4</v>
      </c>
      <c r="BC60" t="s">
        <v>1130</v>
      </c>
      <c r="BD60" t="s">
        <v>5072</v>
      </c>
      <c r="BE60" t="s">
        <v>4</v>
      </c>
      <c r="BF60" t="s">
        <v>12</v>
      </c>
      <c r="BG60" t="s">
        <v>4</v>
      </c>
      <c r="BH60" t="s">
        <v>12</v>
      </c>
      <c r="BI60" t="s">
        <v>12</v>
      </c>
      <c r="BJ60" t="s">
        <v>5398</v>
      </c>
      <c r="BK60" t="s">
        <v>4</v>
      </c>
      <c r="BL60">
        <v>1</v>
      </c>
      <c r="BM60" t="s">
        <v>12</v>
      </c>
      <c r="BN60">
        <v>12900</v>
      </c>
      <c r="BO60" t="s">
        <v>12</v>
      </c>
      <c r="BP60" t="s">
        <v>12</v>
      </c>
      <c r="BQ60" t="s">
        <v>12</v>
      </c>
      <c r="BR60" t="s">
        <v>4</v>
      </c>
      <c r="BS60" t="s">
        <v>4</v>
      </c>
      <c r="BT60" t="s">
        <v>4</v>
      </c>
      <c r="BU60" t="s">
        <v>12</v>
      </c>
      <c r="BV60" t="s">
        <v>4</v>
      </c>
      <c r="BW60" t="s">
        <v>3</v>
      </c>
      <c r="BX60" t="s">
        <v>4</v>
      </c>
      <c r="BY60" t="s">
        <v>12</v>
      </c>
      <c r="BZ60" t="s">
        <v>12</v>
      </c>
      <c r="CA60" t="s">
        <v>12</v>
      </c>
      <c r="CB60" t="s">
        <v>1074</v>
      </c>
      <c r="CC60" t="s">
        <v>12</v>
      </c>
      <c r="CD60" t="str" cm="1">
        <f t="array" aca="1" ref="CD60" ca="1">eConcatenar(A60:CB60,"|")</f>
        <v>7h84MQygG285P9M8|COM2018-1569|3|ECONOLINE|TABASCO|PARAISO|PARAISO|2018-8-22|12900|X|X|200|1|x|X|x|X|X|X|X|X|X|X|X|x|X|x|CORTES|HERNANDEZ|ELSY|CASADA|X|X|CARRETERA COMALCALCO - PARAISO|ORIENTE PRIMERA SECCION|X|9331364650|MIGUEL ANGEL ANGULO LIZARRAGA|BENEFICIARIO 2: ARACELI CORTES HERNANDEZ|x|RUTA 4 L|X|LUNES|x|x|X|X|X|DOMICILIO|10200|2700|x|x|X|2021-9-21|2021-10-04|X|x|X|x|x|ORIENTE PRIMERA SECCION|X|1|x|12900|x|x|x|X|X|X|x|X|CARDENAS|X|x|x|x|final</v>
      </c>
    </row>
    <row r="61" spans="1:82" x14ac:dyDescent="0.25">
      <c r="A61" t="s">
        <v>5414</v>
      </c>
      <c r="B61" t="s">
        <v>5415</v>
      </c>
      <c r="C61">
        <v>3</v>
      </c>
      <c r="D61" t="s">
        <v>194</v>
      </c>
      <c r="E61" t="s">
        <v>2</v>
      </c>
      <c r="F61" t="s">
        <v>654</v>
      </c>
      <c r="G61" t="s">
        <v>654</v>
      </c>
      <c r="H61" t="s">
        <v>4774</v>
      </c>
      <c r="I61">
        <v>11500</v>
      </c>
      <c r="J61" t="s">
        <v>4</v>
      </c>
      <c r="K61" s="3" t="s">
        <v>4</v>
      </c>
      <c r="L61">
        <v>100</v>
      </c>
      <c r="M61">
        <v>0</v>
      </c>
      <c r="N61" t="s">
        <v>12</v>
      </c>
      <c r="O61" t="s">
        <v>4</v>
      </c>
      <c r="P61" t="s">
        <v>12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12</v>
      </c>
      <c r="Z61" t="s">
        <v>4</v>
      </c>
      <c r="AA61" t="s">
        <v>12</v>
      </c>
      <c r="AB61" t="s">
        <v>764</v>
      </c>
      <c r="AC61" t="s">
        <v>265</v>
      </c>
      <c r="AD61" t="s">
        <v>5416</v>
      </c>
      <c r="AE61" t="s">
        <v>29</v>
      </c>
      <c r="AF61" t="s">
        <v>4</v>
      </c>
      <c r="AG61" t="s">
        <v>4</v>
      </c>
      <c r="AH61" t="s">
        <v>5377</v>
      </c>
      <c r="AI61" t="s">
        <v>577</v>
      </c>
      <c r="AJ61" t="s">
        <v>4</v>
      </c>
      <c r="AK61">
        <v>9331510036</v>
      </c>
      <c r="AL61" t="s">
        <v>5417</v>
      </c>
      <c r="AM61" t="s">
        <v>5418</v>
      </c>
      <c r="AN61" t="s">
        <v>12</v>
      </c>
      <c r="AO61" t="s">
        <v>5039</v>
      </c>
      <c r="AP61" t="s">
        <v>4</v>
      </c>
      <c r="AQ61" t="s">
        <v>10</v>
      </c>
      <c r="AR61" t="s">
        <v>12</v>
      </c>
      <c r="AS61" t="s">
        <v>12</v>
      </c>
      <c r="AT61" t="s">
        <v>4</v>
      </c>
      <c r="AU61" t="s">
        <v>4</v>
      </c>
      <c r="AV61" t="s">
        <v>4</v>
      </c>
      <c r="AW61" t="s">
        <v>11</v>
      </c>
      <c r="AX61">
        <v>3000</v>
      </c>
      <c r="AY61">
        <v>8500</v>
      </c>
      <c r="AZ61" t="s">
        <v>12</v>
      </c>
      <c r="BA61" t="s">
        <v>12</v>
      </c>
      <c r="BB61" t="s">
        <v>4</v>
      </c>
      <c r="BC61" t="s">
        <v>1130</v>
      </c>
      <c r="BD61" t="s">
        <v>1133</v>
      </c>
      <c r="BE61" t="s">
        <v>4</v>
      </c>
      <c r="BF61" t="s">
        <v>12</v>
      </c>
      <c r="BG61" t="s">
        <v>4</v>
      </c>
      <c r="BH61" t="s">
        <v>12</v>
      </c>
      <c r="BI61" t="s">
        <v>12</v>
      </c>
      <c r="BJ61" t="s">
        <v>577</v>
      </c>
      <c r="BK61" t="s">
        <v>4</v>
      </c>
      <c r="BL61">
        <v>1</v>
      </c>
      <c r="BM61" t="s">
        <v>12</v>
      </c>
      <c r="BN61">
        <v>11500</v>
      </c>
      <c r="BO61" t="s">
        <v>12</v>
      </c>
      <c r="BP61" t="s">
        <v>12</v>
      </c>
      <c r="BQ61" t="s">
        <v>12</v>
      </c>
      <c r="BR61" t="s">
        <v>4</v>
      </c>
      <c r="BS61" t="s">
        <v>4</v>
      </c>
      <c r="BT61" t="s">
        <v>4</v>
      </c>
      <c r="BU61" t="s">
        <v>12</v>
      </c>
      <c r="BV61" t="s">
        <v>4</v>
      </c>
      <c r="BW61" t="s">
        <v>3</v>
      </c>
      <c r="BX61" t="s">
        <v>4</v>
      </c>
      <c r="BY61" t="s">
        <v>12</v>
      </c>
      <c r="BZ61" t="s">
        <v>12</v>
      </c>
      <c r="CA61" t="s">
        <v>12</v>
      </c>
      <c r="CB61" t="s">
        <v>1074</v>
      </c>
      <c r="CC61" t="s">
        <v>12</v>
      </c>
      <c r="CD61" t="str" cm="1">
        <f t="array" aca="1" ref="CD61" ca="1">eConcatenar(A61:CB61,"|")</f>
        <v>HH4IqfG5nXc00uVk|COM2017-3768|3|ECONOLINE|TABASCO|PARAISO|PARAISO|2017-7-28|11500|X|X|100|0|x|X|x|X|X|X|X|X|X|X|X|x|X|x|ANGULO|DOMINGUEZ|NICOLAZA|CASADA|X|X|CARRETERA FEDERAL COMALCALCO - PARAISO |QUINTIN ARAUZ|X|9331510036|JESUS EDUARDO DOMINGUEZ ANGULO|BENEFICIARIO 2: MARITZA KARELI DOMINGUEZ ANGULO|x|RUTA 4 L|X|LUNES|x|x|X|X|X|DOMICILIO|3000|8500|x|x|X|2021-9-21|2021-9-27|X|x|X|x|x|QUINTIN ARAUZ|X|1|x|11500|x|x|x|X|X|X|x|X|CARDENAS|X|x|x|x|final</v>
      </c>
    </row>
    <row r="62" spans="1:82" x14ac:dyDescent="0.25">
      <c r="A62" t="s">
        <v>5419</v>
      </c>
      <c r="B62" s="1" t="s">
        <v>5420</v>
      </c>
      <c r="C62">
        <v>3</v>
      </c>
      <c r="D62" t="s">
        <v>194</v>
      </c>
      <c r="E62" t="s">
        <v>2</v>
      </c>
      <c r="F62" t="s">
        <v>654</v>
      </c>
      <c r="G62" t="s">
        <v>654</v>
      </c>
      <c r="H62" t="s">
        <v>5421</v>
      </c>
      <c r="I62">
        <v>12900</v>
      </c>
      <c r="J62" t="s">
        <v>4</v>
      </c>
      <c r="K62" s="3" t="s">
        <v>4</v>
      </c>
      <c r="L62">
        <v>100</v>
      </c>
      <c r="M62">
        <v>0</v>
      </c>
      <c r="N62" t="s">
        <v>12</v>
      </c>
      <c r="O62" t="s">
        <v>4</v>
      </c>
      <c r="P62" t="s">
        <v>12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12</v>
      </c>
      <c r="Z62" t="s">
        <v>4</v>
      </c>
      <c r="AA62" t="s">
        <v>12</v>
      </c>
      <c r="AB62" t="s">
        <v>350</v>
      </c>
      <c r="AC62" t="s">
        <v>4</v>
      </c>
      <c r="AD62" t="s">
        <v>5422</v>
      </c>
      <c r="AE62" t="s">
        <v>29</v>
      </c>
      <c r="AF62" t="s">
        <v>4</v>
      </c>
      <c r="AG62" t="s">
        <v>4</v>
      </c>
      <c r="AH62" t="s">
        <v>5423</v>
      </c>
      <c r="AI62" t="s">
        <v>40</v>
      </c>
      <c r="AJ62" t="s">
        <v>4</v>
      </c>
      <c r="AK62">
        <v>9331535270</v>
      </c>
      <c r="AL62" t="s">
        <v>5424</v>
      </c>
      <c r="AM62" t="s">
        <v>5425</v>
      </c>
      <c r="AN62" t="s">
        <v>12</v>
      </c>
      <c r="AO62" t="s">
        <v>5039</v>
      </c>
      <c r="AP62" t="s">
        <v>4</v>
      </c>
      <c r="AQ62" t="s">
        <v>10</v>
      </c>
      <c r="AR62" t="s">
        <v>12</v>
      </c>
      <c r="AS62" t="s">
        <v>12</v>
      </c>
      <c r="AT62" t="s">
        <v>4</v>
      </c>
      <c r="AU62" t="s">
        <v>4</v>
      </c>
      <c r="AV62" t="s">
        <v>4</v>
      </c>
      <c r="AW62" t="s">
        <v>11</v>
      </c>
      <c r="AX62">
        <v>11250</v>
      </c>
      <c r="AY62">
        <v>1650</v>
      </c>
      <c r="AZ62" t="s">
        <v>12</v>
      </c>
      <c r="BA62" t="s">
        <v>12</v>
      </c>
      <c r="BB62" t="s">
        <v>4</v>
      </c>
      <c r="BC62" t="s">
        <v>1130</v>
      </c>
      <c r="BD62" t="s">
        <v>1133</v>
      </c>
      <c r="BE62" t="s">
        <v>4</v>
      </c>
      <c r="BF62" t="s">
        <v>12</v>
      </c>
      <c r="BG62" t="s">
        <v>4</v>
      </c>
      <c r="BH62" t="s">
        <v>12</v>
      </c>
      <c r="BI62" t="s">
        <v>12</v>
      </c>
      <c r="BJ62" t="s">
        <v>40</v>
      </c>
      <c r="BK62" t="s">
        <v>4</v>
      </c>
      <c r="BL62">
        <v>1</v>
      </c>
      <c r="BM62" t="s">
        <v>12</v>
      </c>
      <c r="BN62">
        <v>12900</v>
      </c>
      <c r="BO62" t="s">
        <v>12</v>
      </c>
      <c r="BP62" t="s">
        <v>12</v>
      </c>
      <c r="BQ62" t="s">
        <v>12</v>
      </c>
      <c r="BR62" t="s">
        <v>4</v>
      </c>
      <c r="BS62" t="s">
        <v>4</v>
      </c>
      <c r="BT62" t="s">
        <v>4</v>
      </c>
      <c r="BU62" t="s">
        <v>12</v>
      </c>
      <c r="BV62" t="s">
        <v>4</v>
      </c>
      <c r="BW62" t="s">
        <v>3</v>
      </c>
      <c r="BX62" t="s">
        <v>4</v>
      </c>
      <c r="BY62" t="s">
        <v>12</v>
      </c>
      <c r="BZ62" t="s">
        <v>12</v>
      </c>
      <c r="CA62" t="s">
        <v>12</v>
      </c>
      <c r="CB62" t="s">
        <v>1074</v>
      </c>
      <c r="CC62" t="s">
        <v>12</v>
      </c>
      <c r="CD62" t="str" cm="1">
        <f t="array" aca="1" ref="CD62" ca="1">eConcatenar(A62:CB62,"|")</f>
        <v>W96dmIAI9ED6Q2Wq|COM2019-0177|3|ECONOLINE|TABASCO|PARAISO|PARAISO|2019-1-29|12900|X|X|100|0|x|X|x|X|X|X|X|X|X|X|X|x|X|x|MENDEZ|X|HIPOLITA|CASADA|X|X|CALLE RIO SECO|CENTRO|X|9331535270|MIGUEL ANTONIO DOMINGUEZ DE LOS SANTOS|BENEFICIARIO 2: KARLA PATRICIA DOMINGUEZ CORDOVA|x|RUTA 4 L|X|LUNES|x|x|X|X|X|DOMICILIO|11250|1650|x|x|X|2021-9-21|2021-9-27|X|x|X|x|x|CENTRO|X|1|x|12900|x|x|x|X|X|X|x|X|CARDENAS|X|x|x|x|final</v>
      </c>
    </row>
    <row r="63" spans="1:82" x14ac:dyDescent="0.25">
      <c r="A63" t="s">
        <v>5426</v>
      </c>
      <c r="B63" t="s">
        <v>5427</v>
      </c>
      <c r="C63">
        <v>3</v>
      </c>
      <c r="D63" t="s">
        <v>14</v>
      </c>
      <c r="E63" t="s">
        <v>2</v>
      </c>
      <c r="F63" t="s">
        <v>654</v>
      </c>
      <c r="G63" t="s">
        <v>654</v>
      </c>
      <c r="H63" t="s">
        <v>5428</v>
      </c>
      <c r="I63">
        <v>19800</v>
      </c>
      <c r="J63" t="s">
        <v>4</v>
      </c>
      <c r="K63" s="3" t="s">
        <v>4</v>
      </c>
      <c r="L63">
        <v>400</v>
      </c>
      <c r="M63">
        <v>2</v>
      </c>
      <c r="N63" t="s">
        <v>12</v>
      </c>
      <c r="O63" t="s">
        <v>4</v>
      </c>
      <c r="P63" t="s">
        <v>12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12</v>
      </c>
      <c r="Z63" t="s">
        <v>4</v>
      </c>
      <c r="AA63" t="s">
        <v>12</v>
      </c>
      <c r="AB63" t="s">
        <v>875</v>
      </c>
      <c r="AC63" t="s">
        <v>655</v>
      </c>
      <c r="AD63" t="s">
        <v>5429</v>
      </c>
      <c r="AE63" t="s">
        <v>29</v>
      </c>
      <c r="AF63" t="s">
        <v>4</v>
      </c>
      <c r="AG63" t="s">
        <v>4</v>
      </c>
      <c r="AH63" t="s">
        <v>5430</v>
      </c>
      <c r="AI63" t="s">
        <v>688</v>
      </c>
      <c r="AJ63" t="s">
        <v>4</v>
      </c>
      <c r="AK63">
        <v>9334061557</v>
      </c>
      <c r="AL63" t="s">
        <v>5431</v>
      </c>
      <c r="AM63" t="s">
        <v>5432</v>
      </c>
      <c r="AN63" t="s">
        <v>12</v>
      </c>
      <c r="AO63" t="s">
        <v>5039</v>
      </c>
      <c r="AP63" t="s">
        <v>4</v>
      </c>
      <c r="AQ63" t="s">
        <v>10</v>
      </c>
      <c r="AR63" t="s">
        <v>12</v>
      </c>
      <c r="AS63" t="s">
        <v>12</v>
      </c>
      <c r="AT63" t="s">
        <v>4</v>
      </c>
      <c r="AU63" t="s">
        <v>4</v>
      </c>
      <c r="AV63" t="s">
        <v>4</v>
      </c>
      <c r="AW63" t="s">
        <v>11</v>
      </c>
      <c r="AX63">
        <v>10500</v>
      </c>
      <c r="AY63">
        <v>9300</v>
      </c>
      <c r="AZ63" t="s">
        <v>12</v>
      </c>
      <c r="BA63" t="s">
        <v>12</v>
      </c>
      <c r="BB63" t="s">
        <v>4</v>
      </c>
      <c r="BC63" t="s">
        <v>1130</v>
      </c>
      <c r="BD63" t="s">
        <v>5433</v>
      </c>
      <c r="BE63" t="s">
        <v>4</v>
      </c>
      <c r="BF63" t="s">
        <v>12</v>
      </c>
      <c r="BG63" t="s">
        <v>4</v>
      </c>
      <c r="BH63" t="s">
        <v>12</v>
      </c>
      <c r="BI63" t="s">
        <v>12</v>
      </c>
      <c r="BJ63" t="s">
        <v>688</v>
      </c>
      <c r="BK63" t="s">
        <v>4</v>
      </c>
      <c r="BL63">
        <v>1</v>
      </c>
      <c r="BM63" t="s">
        <v>12</v>
      </c>
      <c r="BN63">
        <v>19800</v>
      </c>
      <c r="BO63" t="s">
        <v>12</v>
      </c>
      <c r="BP63" t="s">
        <v>12</v>
      </c>
      <c r="BQ63" t="s">
        <v>12</v>
      </c>
      <c r="BR63" t="s">
        <v>4</v>
      </c>
      <c r="BS63" t="s">
        <v>4</v>
      </c>
      <c r="BT63" t="s">
        <v>4</v>
      </c>
      <c r="BU63" t="s">
        <v>12</v>
      </c>
      <c r="BV63" t="s">
        <v>4</v>
      </c>
      <c r="BW63" t="s">
        <v>3</v>
      </c>
      <c r="BX63" t="s">
        <v>4</v>
      </c>
      <c r="BY63" t="s">
        <v>12</v>
      </c>
      <c r="BZ63" t="s">
        <v>12</v>
      </c>
      <c r="CA63" t="s">
        <v>12</v>
      </c>
      <c r="CB63" t="s">
        <v>1074</v>
      </c>
      <c r="CC63" t="s">
        <v>12</v>
      </c>
      <c r="CD63" t="str" cm="1">
        <f t="array" aca="1" ref="CD63" ca="1">eConcatenar(A63:CB63,"|")</f>
        <v>nLvKh8WcPjXfa7yc|COM2020-1570|3|ZAFIRO|TABASCO|PARAISO|PARAISO|2020-8-13|19800|X|X|400|2|x|X|x|X|X|X|X|X|X|X|X|x|X|x|LAZARO|FLORES|ISABEL |CASADA|X|X|CALLE LA MOCTEZUMA PRIMERA SECCION|MOCTEZUMA PRIMERA SECCION|X|9334061557|DALILA RODRIGUEZ LAZARO|BENEFICIARIO 2: ANASTACIA RODRIGUEZ LAZARO|x|RUTA 4 L|X|LUNES|x|x|X|X|X|DOMICILIO|10500|9300|x|x|X|2021-9-21|2021-10-19|X|x|X|x|x|MOCTEZUMA PRIMERA SECCION|X|1|x|19800|x|x|x|X|X|X|x|X|CARDENAS|X|x|x|x|final</v>
      </c>
    </row>
    <row r="64" spans="1:82" x14ac:dyDescent="0.25">
      <c r="A64" t="s">
        <v>5434</v>
      </c>
      <c r="B64" t="s">
        <v>5435</v>
      </c>
      <c r="C64">
        <v>3</v>
      </c>
      <c r="D64" t="s">
        <v>194</v>
      </c>
      <c r="E64" t="s">
        <v>2</v>
      </c>
      <c r="F64" t="s">
        <v>654</v>
      </c>
      <c r="G64" t="s">
        <v>654</v>
      </c>
      <c r="H64" t="s">
        <v>5436</v>
      </c>
      <c r="I64">
        <v>12900</v>
      </c>
      <c r="J64" t="s">
        <v>4</v>
      </c>
      <c r="K64" s="3" t="s">
        <v>4</v>
      </c>
      <c r="L64">
        <v>100</v>
      </c>
      <c r="M64">
        <v>0</v>
      </c>
      <c r="N64" t="s">
        <v>12</v>
      </c>
      <c r="O64" t="s">
        <v>4</v>
      </c>
      <c r="P64" t="s">
        <v>12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12</v>
      </c>
      <c r="Z64" t="s">
        <v>4</v>
      </c>
      <c r="AA64" t="s">
        <v>12</v>
      </c>
      <c r="AB64" t="s">
        <v>36</v>
      </c>
      <c r="AC64" t="s">
        <v>141</v>
      </c>
      <c r="AD64" t="s">
        <v>5437</v>
      </c>
      <c r="AE64" t="s">
        <v>29</v>
      </c>
      <c r="AF64" s="1" t="s">
        <v>4</v>
      </c>
      <c r="AG64" t="s">
        <v>4</v>
      </c>
      <c r="AH64" t="s">
        <v>5438</v>
      </c>
      <c r="AI64" t="s">
        <v>688</v>
      </c>
      <c r="AJ64" t="s">
        <v>4</v>
      </c>
      <c r="AK64">
        <v>9331356808</v>
      </c>
      <c r="AL64" t="s">
        <v>5439</v>
      </c>
      <c r="AM64" t="s">
        <v>5440</v>
      </c>
      <c r="AN64" t="s">
        <v>12</v>
      </c>
      <c r="AO64" t="s">
        <v>5039</v>
      </c>
      <c r="AP64" t="s">
        <v>4</v>
      </c>
      <c r="AQ64" t="s">
        <v>10</v>
      </c>
      <c r="AR64" t="s">
        <v>12</v>
      </c>
      <c r="AS64" t="s">
        <v>12</v>
      </c>
      <c r="AT64" t="s">
        <v>4</v>
      </c>
      <c r="AU64" t="s">
        <v>4</v>
      </c>
      <c r="AV64" t="s">
        <v>4</v>
      </c>
      <c r="AW64" t="s">
        <v>11</v>
      </c>
      <c r="AX64">
        <v>8100</v>
      </c>
      <c r="AY64">
        <v>4800</v>
      </c>
      <c r="AZ64" t="s">
        <v>12</v>
      </c>
      <c r="BA64" t="s">
        <v>12</v>
      </c>
      <c r="BB64" t="s">
        <v>4</v>
      </c>
      <c r="BC64" t="s">
        <v>1130</v>
      </c>
      <c r="BD64" t="s">
        <v>1133</v>
      </c>
      <c r="BE64" t="s">
        <v>4</v>
      </c>
      <c r="BF64" t="s">
        <v>12</v>
      </c>
      <c r="BG64" t="s">
        <v>4</v>
      </c>
      <c r="BH64" t="s">
        <v>12</v>
      </c>
      <c r="BI64" t="s">
        <v>12</v>
      </c>
      <c r="BJ64" t="s">
        <v>688</v>
      </c>
      <c r="BK64" t="s">
        <v>4</v>
      </c>
      <c r="BL64">
        <v>1</v>
      </c>
      <c r="BM64" t="s">
        <v>12</v>
      </c>
      <c r="BN64">
        <v>12900</v>
      </c>
      <c r="BO64" t="s">
        <v>12</v>
      </c>
      <c r="BP64" t="s">
        <v>12</v>
      </c>
      <c r="BQ64" t="s">
        <v>12</v>
      </c>
      <c r="BR64" t="s">
        <v>4</v>
      </c>
      <c r="BS64" t="s">
        <v>4</v>
      </c>
      <c r="BT64" t="s">
        <v>4</v>
      </c>
      <c r="BU64" t="s">
        <v>12</v>
      </c>
      <c r="BV64" t="s">
        <v>4</v>
      </c>
      <c r="BW64" t="s">
        <v>3</v>
      </c>
      <c r="BX64" t="s">
        <v>4</v>
      </c>
      <c r="BY64" t="s">
        <v>12</v>
      </c>
      <c r="BZ64" t="s">
        <v>12</v>
      </c>
      <c r="CA64" t="s">
        <v>12</v>
      </c>
      <c r="CB64" t="s">
        <v>1074</v>
      </c>
      <c r="CC64" t="s">
        <v>12</v>
      </c>
      <c r="CD64" t="str" cm="1">
        <f t="array" aca="1" ref="CD64" ca="1">eConcatenar(A64:CB64,"|")</f>
        <v>orwTduiDXMozkJSF|COM2019-3050|3|ECONOLINE|TABASCO|PARAISO|PARAISO|2019-11-05|12900|X|X|100|0|x|X|x|X|X|X|X|X|X|X|X|x|X|x|HERNANDEZ|RAMIREZ|LILI|CASADA|X|X|ENTRADA ALADO DE LA BIBLIOTECA|MOCTEZUMA PRIMERA SECCION|X|9331356808|TERECITA DE JESUS LOPEZ HERNANDEZ|BENEFICIARIO 2: YESSICA GUADALUPE LOPEZ HERNANDEZ|x|RUTA 4 L|X|LUNES|x|x|X|X|X|DOMICILIO|8100|4800|x|x|X|2021-9-21|2021-9-27|X|x|X|x|x|MOCTEZUMA PRIMERA SECCION|X|1|x|12900|x|x|x|X|X|X|x|X|CARDENAS|X|x|x|x|final</v>
      </c>
    </row>
    <row r="65" spans="1:82" x14ac:dyDescent="0.25">
      <c r="A65" t="s">
        <v>5441</v>
      </c>
      <c r="B65" t="s">
        <v>5442</v>
      </c>
      <c r="C65">
        <v>3</v>
      </c>
      <c r="D65" t="s">
        <v>194</v>
      </c>
      <c r="E65" t="s">
        <v>2</v>
      </c>
      <c r="F65" t="s">
        <v>654</v>
      </c>
      <c r="G65" t="s">
        <v>654</v>
      </c>
      <c r="H65" t="s">
        <v>5329</v>
      </c>
      <c r="I65">
        <v>12900</v>
      </c>
      <c r="J65" t="s">
        <v>4</v>
      </c>
      <c r="K65" s="3" t="s">
        <v>4</v>
      </c>
      <c r="L65">
        <v>100</v>
      </c>
      <c r="M65">
        <v>0</v>
      </c>
      <c r="N65" t="s">
        <v>12</v>
      </c>
      <c r="O65" t="s">
        <v>4</v>
      </c>
      <c r="P65" t="s">
        <v>12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12</v>
      </c>
      <c r="Z65" t="s">
        <v>4</v>
      </c>
      <c r="AA65" t="s">
        <v>12</v>
      </c>
      <c r="AB65" t="s">
        <v>265</v>
      </c>
      <c r="AC65" t="s">
        <v>655</v>
      </c>
      <c r="AD65" t="s">
        <v>650</v>
      </c>
      <c r="AE65" t="s">
        <v>59</v>
      </c>
      <c r="AF65" t="s">
        <v>4</v>
      </c>
      <c r="AG65" t="s">
        <v>4</v>
      </c>
      <c r="AH65" t="s">
        <v>5443</v>
      </c>
      <c r="AI65" t="s">
        <v>577</v>
      </c>
      <c r="AJ65" t="s">
        <v>4</v>
      </c>
      <c r="AK65">
        <v>9331375537</v>
      </c>
      <c r="AL65" t="s">
        <v>5444</v>
      </c>
      <c r="AM65" t="s">
        <v>5445</v>
      </c>
      <c r="AN65" t="s">
        <v>12</v>
      </c>
      <c r="AO65" t="s">
        <v>5039</v>
      </c>
      <c r="AP65" t="s">
        <v>4</v>
      </c>
      <c r="AQ65" t="s">
        <v>10</v>
      </c>
      <c r="AR65" t="s">
        <v>12</v>
      </c>
      <c r="AS65" t="s">
        <v>12</v>
      </c>
      <c r="AT65" t="s">
        <v>4</v>
      </c>
      <c r="AU65" t="s">
        <v>4</v>
      </c>
      <c r="AV65" t="s">
        <v>4</v>
      </c>
      <c r="AW65" t="s">
        <v>11</v>
      </c>
      <c r="AX65">
        <v>10700</v>
      </c>
      <c r="AY65">
        <v>2200</v>
      </c>
      <c r="AZ65" t="s">
        <v>12</v>
      </c>
      <c r="BA65" t="s">
        <v>12</v>
      </c>
      <c r="BB65" t="s">
        <v>4</v>
      </c>
      <c r="BC65" t="s">
        <v>1130</v>
      </c>
      <c r="BD65" t="s">
        <v>1133</v>
      </c>
      <c r="BE65" t="s">
        <v>4</v>
      </c>
      <c r="BF65" t="s">
        <v>12</v>
      </c>
      <c r="BG65" t="s">
        <v>4</v>
      </c>
      <c r="BH65" t="s">
        <v>12</v>
      </c>
      <c r="BI65" t="s">
        <v>12</v>
      </c>
      <c r="BJ65" t="s">
        <v>577</v>
      </c>
      <c r="BK65" t="s">
        <v>4</v>
      </c>
      <c r="BL65">
        <v>0</v>
      </c>
      <c r="BM65" t="s">
        <v>12</v>
      </c>
      <c r="BN65">
        <v>12900</v>
      </c>
      <c r="BO65" t="s">
        <v>12</v>
      </c>
      <c r="BP65" t="s">
        <v>12</v>
      </c>
      <c r="BQ65" t="s">
        <v>12</v>
      </c>
      <c r="BR65" t="s">
        <v>4</v>
      </c>
      <c r="BS65" t="s">
        <v>4</v>
      </c>
      <c r="BT65" t="s">
        <v>4</v>
      </c>
      <c r="BU65" t="s">
        <v>12</v>
      </c>
      <c r="BV65" t="s">
        <v>4</v>
      </c>
      <c r="BW65" t="s">
        <v>3</v>
      </c>
      <c r="BX65" t="s">
        <v>4</v>
      </c>
      <c r="BY65" t="s">
        <v>12</v>
      </c>
      <c r="BZ65" t="s">
        <v>12</v>
      </c>
      <c r="CA65" t="s">
        <v>12</v>
      </c>
      <c r="CB65" t="s">
        <v>1074</v>
      </c>
      <c r="CC65" t="s">
        <v>12</v>
      </c>
      <c r="CD65" t="str" cm="1">
        <f t="array" aca="1" ref="CD65" ca="1">eConcatenar(A65:CB65,"|")</f>
        <v>gkTczq6dXW0f5qlf|COM2019-1639|3|ECONOLINE|TABASCO|PARAISO|PARAISO|2019-6-25|12900|X|X|100|0|x|X|x|X|X|X|X|X|X|X|X|x|X|x|DOMINGUEZ|FLORES|JORGE LUIS|CASADO|X|X|CARRETERA PARAISO - COMALCALCO|QUINTIN ARAUZ|X|9331375537|MARIBEL PEREZ DE LA CRUZ|BENEFICIARIO 2: JOSE DE LA CRUZ DOMINGUEZ|x|RUTA 4 L|X|LUNES|x|x|X|X|X|DOMICILIO|10700|2200|x|x|X|2021-9-21|2021-9-27|X|x|X|x|x|QUINTIN ARAUZ|X|0|x|12900|x|x|x|X|X|X|x|X|CARDENAS|X|x|x|x|final</v>
      </c>
    </row>
    <row r="66" spans="1:82" x14ac:dyDescent="0.25">
      <c r="A66" t="s">
        <v>5446</v>
      </c>
      <c r="B66" t="s">
        <v>5447</v>
      </c>
      <c r="C66">
        <v>3</v>
      </c>
      <c r="D66" t="s">
        <v>194</v>
      </c>
      <c r="E66" t="s">
        <v>2</v>
      </c>
      <c r="F66" t="s">
        <v>654</v>
      </c>
      <c r="G66" t="s">
        <v>654</v>
      </c>
      <c r="H66" t="s">
        <v>5448</v>
      </c>
      <c r="I66">
        <v>12900</v>
      </c>
      <c r="J66" t="s">
        <v>4</v>
      </c>
      <c r="K66" s="3" t="s">
        <v>4</v>
      </c>
      <c r="L66">
        <v>100</v>
      </c>
      <c r="M66">
        <v>0</v>
      </c>
      <c r="N66" t="s">
        <v>12</v>
      </c>
      <c r="O66" t="s">
        <v>4</v>
      </c>
      <c r="P66" t="s">
        <v>12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12</v>
      </c>
      <c r="Z66" t="s">
        <v>4</v>
      </c>
      <c r="AA66" t="s">
        <v>12</v>
      </c>
      <c r="AB66" t="s">
        <v>5449</v>
      </c>
      <c r="AC66" t="s">
        <v>5450</v>
      </c>
      <c r="AD66" t="s">
        <v>390</v>
      </c>
      <c r="AE66" t="s">
        <v>24</v>
      </c>
      <c r="AF66" t="s">
        <v>4</v>
      </c>
      <c r="AG66" t="s">
        <v>4</v>
      </c>
      <c r="AH66" t="s">
        <v>5451</v>
      </c>
      <c r="AI66" t="s">
        <v>2052</v>
      </c>
      <c r="AJ66" t="s">
        <v>4</v>
      </c>
      <c r="AK66">
        <v>9331001330</v>
      </c>
      <c r="AL66" t="s">
        <v>5452</v>
      </c>
      <c r="AM66" t="s">
        <v>5453</v>
      </c>
      <c r="AN66" t="s">
        <v>12</v>
      </c>
      <c r="AO66" t="s">
        <v>5039</v>
      </c>
      <c r="AP66" t="s">
        <v>4</v>
      </c>
      <c r="AQ66" t="s">
        <v>10</v>
      </c>
      <c r="AR66" t="s">
        <v>12</v>
      </c>
      <c r="AS66" t="s">
        <v>12</v>
      </c>
      <c r="AT66" t="s">
        <v>4</v>
      </c>
      <c r="AU66" t="s">
        <v>4</v>
      </c>
      <c r="AV66" t="s">
        <v>4</v>
      </c>
      <c r="AW66" t="s">
        <v>11</v>
      </c>
      <c r="AX66">
        <v>5800</v>
      </c>
      <c r="AY66">
        <v>7100</v>
      </c>
      <c r="AZ66" t="s">
        <v>12</v>
      </c>
      <c r="BA66" t="s">
        <v>12</v>
      </c>
      <c r="BB66" t="s">
        <v>4</v>
      </c>
      <c r="BC66" t="s">
        <v>1130</v>
      </c>
      <c r="BD66" t="s">
        <v>1133</v>
      </c>
      <c r="BE66" t="s">
        <v>4</v>
      </c>
      <c r="BF66" t="s">
        <v>12</v>
      </c>
      <c r="BG66" t="s">
        <v>4</v>
      </c>
      <c r="BH66" t="s">
        <v>12</v>
      </c>
      <c r="BI66" t="s">
        <v>12</v>
      </c>
      <c r="BJ66" t="s">
        <v>2052</v>
      </c>
      <c r="BK66" t="s">
        <v>4</v>
      </c>
      <c r="BL66">
        <v>1</v>
      </c>
      <c r="BM66" t="s">
        <v>12</v>
      </c>
      <c r="BN66">
        <v>12900</v>
      </c>
      <c r="BO66" t="s">
        <v>12</v>
      </c>
      <c r="BP66" t="s">
        <v>12</v>
      </c>
      <c r="BQ66" t="s">
        <v>12</v>
      </c>
      <c r="BR66" t="s">
        <v>4</v>
      </c>
      <c r="BS66" t="s">
        <v>4</v>
      </c>
      <c r="BT66" t="s">
        <v>4</v>
      </c>
      <c r="BU66" t="s">
        <v>12</v>
      </c>
      <c r="BV66" t="s">
        <v>4</v>
      </c>
      <c r="BW66" t="s">
        <v>3</v>
      </c>
      <c r="BX66" t="s">
        <v>4</v>
      </c>
      <c r="BY66" t="s">
        <v>12</v>
      </c>
      <c r="BZ66" t="s">
        <v>12</v>
      </c>
      <c r="CA66" t="s">
        <v>12</v>
      </c>
      <c r="CB66" t="s">
        <v>1074</v>
      </c>
      <c r="CC66" t="s">
        <v>12</v>
      </c>
      <c r="CD66" t="str" cm="1">
        <f t="array" aca="1" ref="CD66" ca="1">eConcatenar(A66:CB66,"|")</f>
        <v>zyhrsUltLAJQzFA3|COM2019-3425|3|ECONOLINE|TABASCO|PARAISO|PARAISO|2019-12-27|12900|X|X|100|0|x|X|x|X|X|X|X|X|X|X|X|x|X|x|MACHUCHO|CANDELERO|DORA MARIA|UNION LIBRE|X|X|CARRETERA VECINAL ENTRADA LA NUEVA ESPERANZA|FRANCISCO I MADERO|X|9331001330|HECTOR JAVIER BALDOMERO ZUÑIGA|BENEFICIARIO 2: LUIS MANUEL MACHUCHO DE LA CRUZ|x|RUTA 4 L|X|LUNES|x|x|X|X|X|DOMICILIO|5800|7100|x|x|X|2021-9-21|2021-9-27|X|x|X|x|x|FRANCISCO I MADERO|X|1|x|12900|x|x|x|X|X|X|x|X|CARDENAS|X|x|x|x|final</v>
      </c>
    </row>
    <row r="67" spans="1:82" x14ac:dyDescent="0.25">
      <c r="A67" t="s">
        <v>5454</v>
      </c>
      <c r="B67" t="s">
        <v>5455</v>
      </c>
      <c r="C67">
        <v>3</v>
      </c>
      <c r="D67" t="s">
        <v>194</v>
      </c>
      <c r="E67" t="s">
        <v>2</v>
      </c>
      <c r="F67" t="s">
        <v>654</v>
      </c>
      <c r="G67" t="s">
        <v>654</v>
      </c>
      <c r="H67" t="s">
        <v>5456</v>
      </c>
      <c r="I67">
        <v>12900</v>
      </c>
      <c r="J67" t="s">
        <v>4</v>
      </c>
      <c r="K67" s="3" t="s">
        <v>4</v>
      </c>
      <c r="L67">
        <v>100</v>
      </c>
      <c r="M67">
        <v>0</v>
      </c>
      <c r="N67" t="s">
        <v>12</v>
      </c>
      <c r="O67" t="s">
        <v>4</v>
      </c>
      <c r="P67" t="s">
        <v>12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12</v>
      </c>
      <c r="Z67" t="s">
        <v>4</v>
      </c>
      <c r="AA67" t="s">
        <v>12</v>
      </c>
      <c r="AB67" t="s">
        <v>172</v>
      </c>
      <c r="AC67" t="s">
        <v>5130</v>
      </c>
      <c r="AD67" t="s">
        <v>4719</v>
      </c>
      <c r="AE67" t="s">
        <v>59</v>
      </c>
      <c r="AF67" t="s">
        <v>4</v>
      </c>
      <c r="AG67" t="s">
        <v>4</v>
      </c>
      <c r="AH67" t="s">
        <v>5457</v>
      </c>
      <c r="AI67" t="s">
        <v>2202</v>
      </c>
      <c r="AJ67" t="s">
        <v>4</v>
      </c>
      <c r="AK67">
        <v>9331453862</v>
      </c>
      <c r="AL67" t="s">
        <v>5458</v>
      </c>
      <c r="AM67" t="s">
        <v>4</v>
      </c>
      <c r="AN67" t="s">
        <v>12</v>
      </c>
      <c r="AO67" t="s">
        <v>5039</v>
      </c>
      <c r="AP67" t="s">
        <v>4</v>
      </c>
      <c r="AQ67" t="s">
        <v>10</v>
      </c>
      <c r="AR67" t="s">
        <v>12</v>
      </c>
      <c r="AS67" t="s">
        <v>12</v>
      </c>
      <c r="AT67" t="s">
        <v>4</v>
      </c>
      <c r="AU67" t="s">
        <v>4</v>
      </c>
      <c r="AV67" t="s">
        <v>4</v>
      </c>
      <c r="AW67" t="s">
        <v>11</v>
      </c>
      <c r="AX67">
        <v>6600</v>
      </c>
      <c r="AY67">
        <v>6300</v>
      </c>
      <c r="AZ67" t="s">
        <v>12</v>
      </c>
      <c r="BA67" t="s">
        <v>12</v>
      </c>
      <c r="BB67" t="s">
        <v>4</v>
      </c>
      <c r="BC67" t="s">
        <v>1130</v>
      </c>
      <c r="BD67" t="s">
        <v>1133</v>
      </c>
      <c r="BE67" t="s">
        <v>4</v>
      </c>
      <c r="BF67" t="s">
        <v>12</v>
      </c>
      <c r="BG67" t="s">
        <v>4</v>
      </c>
      <c r="BH67" t="s">
        <v>12</v>
      </c>
      <c r="BI67" t="s">
        <v>12</v>
      </c>
      <c r="BJ67" t="s">
        <v>2202</v>
      </c>
      <c r="BK67" t="s">
        <v>4</v>
      </c>
      <c r="BL67">
        <v>0</v>
      </c>
      <c r="BM67" t="s">
        <v>12</v>
      </c>
      <c r="BN67">
        <v>12900</v>
      </c>
      <c r="BO67" t="s">
        <v>12</v>
      </c>
      <c r="BP67" t="s">
        <v>12</v>
      </c>
      <c r="BQ67" t="s">
        <v>12</v>
      </c>
      <c r="BR67" t="s">
        <v>4</v>
      </c>
      <c r="BS67" t="s">
        <v>4</v>
      </c>
      <c r="BT67" t="s">
        <v>4</v>
      </c>
      <c r="BU67" t="s">
        <v>12</v>
      </c>
      <c r="BV67" t="s">
        <v>4</v>
      </c>
      <c r="BW67" t="s">
        <v>3</v>
      </c>
      <c r="BX67" t="s">
        <v>4</v>
      </c>
      <c r="BY67" t="s">
        <v>12</v>
      </c>
      <c r="BZ67" t="s">
        <v>12</v>
      </c>
      <c r="CA67" t="s">
        <v>12</v>
      </c>
      <c r="CB67" t="s">
        <v>1074</v>
      </c>
      <c r="CC67" t="s">
        <v>12</v>
      </c>
      <c r="CD67" t="str" cm="1">
        <f t="array" aca="1" ref="CD67" ca="1">eConcatenar(A67:CB67,"|")</f>
        <v>5DuybASBUONdV7Yx|COM2020-0931|3|ECONOLINE|TABASCO|PARAISO|PARAISO|2020-6-18|12900|X|X|100|0|x|X|x|X|X|X|X|X|X|X|X|x|X|x|COLORADO|PALMA|JOSE|CASADO|X|X|CARRETERA SAN FRANCISCO Y OCCIDENTE|ORIENTE|X|9331453862|MARLIT ANGULO GARCIA|X|x|RUTA 4 L|X|LUNES|x|x|X|X|X|DOMICILIO|6600|6300|x|x|X|2021-9-21|2021-9-27|X|x|X|x|x|ORIENTE|X|0|x|12900|x|x|x|X|X|X|x|X|CARDENAS|X|x|x|x|final</v>
      </c>
    </row>
    <row r="68" spans="1:82" x14ac:dyDescent="0.25">
      <c r="A68" t="s">
        <v>5459</v>
      </c>
      <c r="B68" t="s">
        <v>5460</v>
      </c>
      <c r="C68">
        <v>3</v>
      </c>
      <c r="D68" t="s">
        <v>194</v>
      </c>
      <c r="E68" t="s">
        <v>2</v>
      </c>
      <c r="F68" t="s">
        <v>654</v>
      </c>
      <c r="G68" t="s">
        <v>654</v>
      </c>
      <c r="H68" t="s">
        <v>5461</v>
      </c>
      <c r="I68">
        <v>12900</v>
      </c>
      <c r="J68" t="s">
        <v>4</v>
      </c>
      <c r="K68" s="3" t="s">
        <v>4</v>
      </c>
      <c r="L68">
        <v>200</v>
      </c>
      <c r="M68">
        <v>1</v>
      </c>
      <c r="N68" t="s">
        <v>12</v>
      </c>
      <c r="O68" t="s">
        <v>4</v>
      </c>
      <c r="P68" t="s">
        <v>12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12</v>
      </c>
      <c r="Z68" t="s">
        <v>4</v>
      </c>
      <c r="AA68" t="s">
        <v>12</v>
      </c>
      <c r="AB68" t="s">
        <v>764</v>
      </c>
      <c r="AC68" t="s">
        <v>116</v>
      </c>
      <c r="AD68" t="s">
        <v>5462</v>
      </c>
      <c r="AE68" t="s">
        <v>134</v>
      </c>
      <c r="AF68" t="s">
        <v>4</v>
      </c>
      <c r="AG68" t="s">
        <v>4</v>
      </c>
      <c r="AH68" t="s">
        <v>5463</v>
      </c>
      <c r="AI68" t="s">
        <v>5223</v>
      </c>
      <c r="AJ68" t="s">
        <v>4</v>
      </c>
      <c r="AK68">
        <v>9331184269</v>
      </c>
      <c r="AL68" t="s">
        <v>5464</v>
      </c>
      <c r="AM68" t="s">
        <v>5465</v>
      </c>
      <c r="AN68" t="s">
        <v>12</v>
      </c>
      <c r="AO68" t="s">
        <v>5039</v>
      </c>
      <c r="AP68" t="s">
        <v>4</v>
      </c>
      <c r="AQ68" t="s">
        <v>10</v>
      </c>
      <c r="AR68" t="s">
        <v>12</v>
      </c>
      <c r="AS68" t="s">
        <v>12</v>
      </c>
      <c r="AT68" t="s">
        <v>4</v>
      </c>
      <c r="AU68" t="s">
        <v>4</v>
      </c>
      <c r="AV68" t="s">
        <v>4</v>
      </c>
      <c r="AW68" t="s">
        <v>11</v>
      </c>
      <c r="AX68">
        <v>9000</v>
      </c>
      <c r="AY68">
        <v>3900</v>
      </c>
      <c r="AZ68" t="s">
        <v>12</v>
      </c>
      <c r="BA68" t="s">
        <v>12</v>
      </c>
      <c r="BB68" t="s">
        <v>4</v>
      </c>
      <c r="BC68" t="s">
        <v>1130</v>
      </c>
      <c r="BD68" t="s">
        <v>5072</v>
      </c>
      <c r="BE68" t="s">
        <v>4</v>
      </c>
      <c r="BF68" t="s">
        <v>12</v>
      </c>
      <c r="BG68" t="s">
        <v>4</v>
      </c>
      <c r="BH68" t="s">
        <v>12</v>
      </c>
      <c r="BI68" t="s">
        <v>12</v>
      </c>
      <c r="BJ68" t="s">
        <v>5223</v>
      </c>
      <c r="BK68" t="s">
        <v>4</v>
      </c>
      <c r="BL68">
        <v>1</v>
      </c>
      <c r="BM68" t="s">
        <v>12</v>
      </c>
      <c r="BN68">
        <v>12900</v>
      </c>
      <c r="BO68" t="s">
        <v>12</v>
      </c>
      <c r="BP68" t="s">
        <v>12</v>
      </c>
      <c r="BQ68" t="s">
        <v>12</v>
      </c>
      <c r="BR68" t="s">
        <v>4</v>
      </c>
      <c r="BS68" t="s">
        <v>4</v>
      </c>
      <c r="BT68" t="s">
        <v>4</v>
      </c>
      <c r="BU68" t="s">
        <v>12</v>
      </c>
      <c r="BV68" t="s">
        <v>4</v>
      </c>
      <c r="BW68" t="s">
        <v>3</v>
      </c>
      <c r="BX68" t="s">
        <v>4</v>
      </c>
      <c r="BY68" t="s">
        <v>12</v>
      </c>
      <c r="BZ68" t="s">
        <v>12</v>
      </c>
      <c r="CA68" t="s">
        <v>12</v>
      </c>
      <c r="CB68" t="s">
        <v>1074</v>
      </c>
      <c r="CC68" t="s">
        <v>12</v>
      </c>
      <c r="CD68" t="str" cm="1">
        <f t="array" aca="1" ref="CD68" ca="1">eConcatenar(A68:CB68,"|")</f>
        <v>ZppR8EArJv64TwO1|COM2020-0781|3|ECONOLINE|TABASCO|PARAISO|PARAISO|2020-3-23|12900|X|X|200|1|x|X|x|X|X|X|X|X|X|X|X|x|X|x|ANGULO|RODRIGUEZ|BEATRIZ|VIUDA|X|X|CARRETERA VECINAL|MOCTEZUMA|X|9331184269|JESUS FRANCISCO JAVIER ANGULO|BENEFICIARIO 2: JUANA BEATRIZ JAVIER ANGULO|x|RUTA 4 L|X|LUNES|x|x|X|X|X|DOMICILIO|9000|3900|x|x|X|2021-9-21|2021-10-04|X|x|X|x|x|MOCTEZUMA|X|1|x|12900|x|x|x|X|X|X|x|X|CARDENAS|X|x|x|x|final</v>
      </c>
    </row>
    <row r="69" spans="1:82" x14ac:dyDescent="0.25">
      <c r="A69" t="s">
        <v>5466</v>
      </c>
      <c r="B69" t="s">
        <v>5467</v>
      </c>
      <c r="C69">
        <v>3</v>
      </c>
      <c r="D69" t="s">
        <v>194</v>
      </c>
      <c r="E69" t="s">
        <v>2</v>
      </c>
      <c r="F69" t="s">
        <v>654</v>
      </c>
      <c r="G69" t="s">
        <v>654</v>
      </c>
      <c r="H69" t="s">
        <v>5468</v>
      </c>
      <c r="I69">
        <v>12900</v>
      </c>
      <c r="J69" t="s">
        <v>4</v>
      </c>
      <c r="K69" s="3" t="s">
        <v>4</v>
      </c>
      <c r="L69">
        <v>100</v>
      </c>
      <c r="M69">
        <v>0</v>
      </c>
      <c r="N69" t="s">
        <v>12</v>
      </c>
      <c r="O69" t="s">
        <v>4</v>
      </c>
      <c r="P69" t="s">
        <v>12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12</v>
      </c>
      <c r="Z69" t="s">
        <v>4</v>
      </c>
      <c r="AA69" t="s">
        <v>12</v>
      </c>
      <c r="AB69" t="s">
        <v>5</v>
      </c>
      <c r="AC69" t="s">
        <v>5469</v>
      </c>
      <c r="AD69" t="s">
        <v>5470</v>
      </c>
      <c r="AE69" t="s">
        <v>59</v>
      </c>
      <c r="AF69" t="s">
        <v>4</v>
      </c>
      <c r="AG69" t="s">
        <v>4</v>
      </c>
      <c r="AH69" t="s">
        <v>5471</v>
      </c>
      <c r="AI69" t="s">
        <v>5223</v>
      </c>
      <c r="AJ69" t="s">
        <v>4</v>
      </c>
      <c r="AK69">
        <v>9332083424</v>
      </c>
      <c r="AL69" t="s">
        <v>5472</v>
      </c>
      <c r="AM69" t="s">
        <v>5473</v>
      </c>
      <c r="AN69" t="s">
        <v>12</v>
      </c>
      <c r="AO69" t="s">
        <v>5039</v>
      </c>
      <c r="AP69" t="s">
        <v>4</v>
      </c>
      <c r="AQ69" t="s">
        <v>10</v>
      </c>
      <c r="AR69" t="s">
        <v>12</v>
      </c>
      <c r="AS69" t="s">
        <v>12</v>
      </c>
      <c r="AT69" t="s">
        <v>4</v>
      </c>
      <c r="AU69" t="s">
        <v>4</v>
      </c>
      <c r="AV69" t="s">
        <v>4</v>
      </c>
      <c r="AW69" t="s">
        <v>11</v>
      </c>
      <c r="AX69">
        <v>6300</v>
      </c>
      <c r="AY69">
        <v>6600</v>
      </c>
      <c r="AZ69" t="s">
        <v>12</v>
      </c>
      <c r="BA69" t="s">
        <v>12</v>
      </c>
      <c r="BB69" t="s">
        <v>4</v>
      </c>
      <c r="BC69" t="s">
        <v>1130</v>
      </c>
      <c r="BD69" t="s">
        <v>1133</v>
      </c>
      <c r="BE69" t="s">
        <v>4</v>
      </c>
      <c r="BF69" t="s">
        <v>12</v>
      </c>
      <c r="BG69" t="s">
        <v>4</v>
      </c>
      <c r="BH69" t="s">
        <v>12</v>
      </c>
      <c r="BI69" t="s">
        <v>12</v>
      </c>
      <c r="BJ69" t="s">
        <v>5223</v>
      </c>
      <c r="BK69" t="s">
        <v>4</v>
      </c>
      <c r="BL69">
        <v>0</v>
      </c>
      <c r="BM69" t="s">
        <v>12</v>
      </c>
      <c r="BN69">
        <v>12900</v>
      </c>
      <c r="BO69" t="s">
        <v>12</v>
      </c>
      <c r="BP69" t="s">
        <v>12</v>
      </c>
      <c r="BQ69" t="s">
        <v>12</v>
      </c>
      <c r="BR69" t="s">
        <v>4</v>
      </c>
      <c r="BS69" t="s">
        <v>4</v>
      </c>
      <c r="BT69" t="s">
        <v>4</v>
      </c>
      <c r="BU69" t="s">
        <v>12</v>
      </c>
      <c r="BV69" t="s">
        <v>4</v>
      </c>
      <c r="BW69" t="s">
        <v>3</v>
      </c>
      <c r="BX69" t="s">
        <v>4</v>
      </c>
      <c r="BY69" t="s">
        <v>12</v>
      </c>
      <c r="BZ69" t="s">
        <v>12</v>
      </c>
      <c r="CA69" t="s">
        <v>12</v>
      </c>
      <c r="CB69" t="s">
        <v>1074</v>
      </c>
      <c r="CC69" t="s">
        <v>12</v>
      </c>
      <c r="CD69" t="str" cm="1">
        <f t="array" aca="1" ref="CD69" ca="1">eConcatenar(A69:CB69,"|")</f>
        <v>PjTyWspSQRJSCH7i|COM2020-1224|3|ECONOLINE|TABASCO|PARAISO|PARAISO|2020-6-24|12900|X|X|100|0|x|X|x|X|X|X|X|X|X|X|X|x|X|x|VENTURA|CAMARGO|RUBICEL|CASADO|X|X|CALLE RENTRADA JOSE ANIVAL SIN NUMERO|MOCTEZUMA|X|9332083424|MIRIAN MADRIGAL GONZALEZ|BENEFICIARIO 2: SANDRA OLIVIA VENTURA CAMARGO|x|RUTA 4 L|X|LUNES|x|x|X|X|X|DOMICILIO|6300|6600|x|x|X|2021-9-21|2021-9-27|X|x|X|x|x|MOCTEZUMA|X|0|x|12900|x|x|x|X|X|X|x|X|CARDENAS|X|x|x|x|final</v>
      </c>
    </row>
    <row r="70" spans="1:82" x14ac:dyDescent="0.25">
      <c r="A70" t="s">
        <v>5474</v>
      </c>
      <c r="B70" t="s">
        <v>5475</v>
      </c>
      <c r="C70">
        <v>3</v>
      </c>
      <c r="D70" t="s">
        <v>194</v>
      </c>
      <c r="E70" t="s">
        <v>2</v>
      </c>
      <c r="F70" t="s">
        <v>654</v>
      </c>
      <c r="G70" t="s">
        <v>654</v>
      </c>
      <c r="H70" t="s">
        <v>5315</v>
      </c>
      <c r="I70">
        <v>12900</v>
      </c>
      <c r="J70" t="s">
        <v>4</v>
      </c>
      <c r="K70" s="3" t="s">
        <v>4</v>
      </c>
      <c r="L70">
        <v>100</v>
      </c>
      <c r="M70">
        <v>0</v>
      </c>
      <c r="N70" t="s">
        <v>12</v>
      </c>
      <c r="O70" t="s">
        <v>4</v>
      </c>
      <c r="P70" t="s">
        <v>12</v>
      </c>
      <c r="Q70" t="s">
        <v>4</v>
      </c>
      <c r="R70" t="s">
        <v>4</v>
      </c>
      <c r="S70" t="s">
        <v>4</v>
      </c>
      <c r="T70" t="s">
        <v>4</v>
      </c>
      <c r="U70" t="s">
        <v>4</v>
      </c>
      <c r="V70" t="s">
        <v>4</v>
      </c>
      <c r="W70" t="s">
        <v>4</v>
      </c>
      <c r="X70" t="s">
        <v>4</v>
      </c>
      <c r="Y70" t="s">
        <v>12</v>
      </c>
      <c r="Z70" t="s">
        <v>4</v>
      </c>
      <c r="AA70" t="s">
        <v>12</v>
      </c>
      <c r="AB70" t="s">
        <v>117</v>
      </c>
      <c r="AC70" t="s">
        <v>265</v>
      </c>
      <c r="AD70" t="s">
        <v>464</v>
      </c>
      <c r="AE70" t="s">
        <v>17</v>
      </c>
      <c r="AF70" t="s">
        <v>4</v>
      </c>
      <c r="AG70" t="s">
        <v>4</v>
      </c>
      <c r="AH70" t="s">
        <v>5476</v>
      </c>
      <c r="AI70" t="s">
        <v>2052</v>
      </c>
      <c r="AJ70" t="s">
        <v>4</v>
      </c>
      <c r="AK70">
        <v>9331566803</v>
      </c>
      <c r="AL70" t="s">
        <v>5477</v>
      </c>
      <c r="AM70" t="s">
        <v>5478</v>
      </c>
      <c r="AN70" t="s">
        <v>12</v>
      </c>
      <c r="AO70" t="s">
        <v>5039</v>
      </c>
      <c r="AP70" t="s">
        <v>4</v>
      </c>
      <c r="AQ70" t="s">
        <v>10</v>
      </c>
      <c r="AR70" t="s">
        <v>12</v>
      </c>
      <c r="AS70" t="s">
        <v>12</v>
      </c>
      <c r="AT70" t="s">
        <v>4</v>
      </c>
      <c r="AU70" t="s">
        <v>4</v>
      </c>
      <c r="AV70" t="s">
        <v>4</v>
      </c>
      <c r="AW70" t="s">
        <v>11</v>
      </c>
      <c r="AX70">
        <v>7100</v>
      </c>
      <c r="AY70">
        <v>5800</v>
      </c>
      <c r="AZ70" t="s">
        <v>12</v>
      </c>
      <c r="BA70" t="s">
        <v>12</v>
      </c>
      <c r="BB70" t="s">
        <v>4</v>
      </c>
      <c r="BC70" t="s">
        <v>1130</v>
      </c>
      <c r="BD70" t="s">
        <v>1133</v>
      </c>
      <c r="BE70" t="s">
        <v>4</v>
      </c>
      <c r="BF70" t="s">
        <v>12</v>
      </c>
      <c r="BG70" t="s">
        <v>4</v>
      </c>
      <c r="BH70" t="s">
        <v>12</v>
      </c>
      <c r="BI70" t="s">
        <v>12</v>
      </c>
      <c r="BJ70" t="s">
        <v>2052</v>
      </c>
      <c r="BK70" t="s">
        <v>4</v>
      </c>
      <c r="BL70">
        <v>0</v>
      </c>
      <c r="BM70" t="s">
        <v>12</v>
      </c>
      <c r="BN70">
        <v>12900</v>
      </c>
      <c r="BO70" t="s">
        <v>12</v>
      </c>
      <c r="BP70" t="s">
        <v>12</v>
      </c>
      <c r="BQ70" t="s">
        <v>12</v>
      </c>
      <c r="BR70" t="s">
        <v>4</v>
      </c>
      <c r="BS70" t="s">
        <v>4</v>
      </c>
      <c r="BT70" t="s">
        <v>4</v>
      </c>
      <c r="BU70" t="s">
        <v>12</v>
      </c>
      <c r="BV70" t="s">
        <v>4</v>
      </c>
      <c r="BW70" t="s">
        <v>3</v>
      </c>
      <c r="BX70" t="s">
        <v>4</v>
      </c>
      <c r="BY70" t="s">
        <v>12</v>
      </c>
      <c r="BZ70" t="s">
        <v>12</v>
      </c>
      <c r="CA70" t="s">
        <v>12</v>
      </c>
      <c r="CB70" t="s">
        <v>1074</v>
      </c>
      <c r="CC70" t="s">
        <v>12</v>
      </c>
      <c r="CD70" t="str" cm="1">
        <f t="array" aca="1" ref="CD70" ca="1">eConcatenar(A70:CB70,"|")</f>
        <v>u75gVJAT49OxlyUG|COM2019-2504|3|ECONOLINE|TABASCO|PARAISO|PARAISO|2019-9-03|12900|X|X|100|0|x|X|x|X|X|X|X|X|X|X|X|x|X|x|MADRIGAL|DOMINGUEZ|SEBASTIAN|SOLTERO|X|X|CALLE ENTRADA JUAN MADRIGAL CORDOVA SIN NUMERO|FRANCISCO I MADERO|X|9331566803|MARIA LUZ DE LA CRUZ DOMINGUEZ|BENEFICIARIO 2: GUADALUPE MADRIGAL DE LA CRUZ|x|RUTA 4 L|X|LUNES|x|x|X|X|X|DOMICILIO|7100|5800|x|x|X|2021-9-21|2021-9-27|X|x|X|x|x|FRANCISCO I MADERO|X|0|x|12900|x|x|x|X|X|X|x|X|CARDENAS|X|x|x|x|final</v>
      </c>
    </row>
    <row r="71" spans="1:82" x14ac:dyDescent="0.25">
      <c r="A71" t="s">
        <v>5479</v>
      </c>
      <c r="B71" t="s">
        <v>5480</v>
      </c>
      <c r="C71">
        <v>3</v>
      </c>
      <c r="D71" t="s">
        <v>194</v>
      </c>
      <c r="E71" t="s">
        <v>2</v>
      </c>
      <c r="F71" t="s">
        <v>654</v>
      </c>
      <c r="G71" t="s">
        <v>654</v>
      </c>
      <c r="H71" t="s">
        <v>5481</v>
      </c>
      <c r="I71">
        <v>12900</v>
      </c>
      <c r="J71" t="s">
        <v>4</v>
      </c>
      <c r="K71" s="3" t="s">
        <v>4</v>
      </c>
      <c r="L71">
        <v>200</v>
      </c>
      <c r="M71">
        <v>1</v>
      </c>
      <c r="N71" t="s">
        <v>12</v>
      </c>
      <c r="O71" t="s">
        <v>4</v>
      </c>
      <c r="P71" t="s">
        <v>12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12</v>
      </c>
      <c r="Z71" t="s">
        <v>4</v>
      </c>
      <c r="AA71" t="s">
        <v>12</v>
      </c>
      <c r="AB71" t="s">
        <v>36</v>
      </c>
      <c r="AC71" t="s">
        <v>265</v>
      </c>
      <c r="AD71" t="s">
        <v>5384</v>
      </c>
      <c r="AE71" t="s">
        <v>59</v>
      </c>
      <c r="AF71" t="s">
        <v>4</v>
      </c>
      <c r="AG71" t="s">
        <v>4</v>
      </c>
      <c r="AH71" t="s">
        <v>5482</v>
      </c>
      <c r="AI71" t="s">
        <v>656</v>
      </c>
      <c r="AJ71" t="s">
        <v>4</v>
      </c>
      <c r="AK71">
        <v>9331470097</v>
      </c>
      <c r="AL71" t="s">
        <v>5483</v>
      </c>
      <c r="AM71" t="s">
        <v>4</v>
      </c>
      <c r="AN71" t="s">
        <v>12</v>
      </c>
      <c r="AO71" t="s">
        <v>5039</v>
      </c>
      <c r="AP71" t="s">
        <v>4</v>
      </c>
      <c r="AQ71" t="s">
        <v>10</v>
      </c>
      <c r="AR71" t="s">
        <v>12</v>
      </c>
      <c r="AS71" t="s">
        <v>12</v>
      </c>
      <c r="AT71" t="s">
        <v>4</v>
      </c>
      <c r="AU71" t="s">
        <v>4</v>
      </c>
      <c r="AV71" t="s">
        <v>4</v>
      </c>
      <c r="AW71" t="s">
        <v>11</v>
      </c>
      <c r="AX71">
        <v>7700</v>
      </c>
      <c r="AY71">
        <v>5200</v>
      </c>
      <c r="AZ71" t="s">
        <v>12</v>
      </c>
      <c r="BA71" t="s">
        <v>12</v>
      </c>
      <c r="BB71" t="s">
        <v>4</v>
      </c>
      <c r="BC71" t="s">
        <v>1130</v>
      </c>
      <c r="BD71" t="s">
        <v>5072</v>
      </c>
      <c r="BE71" t="s">
        <v>4</v>
      </c>
      <c r="BF71" t="s">
        <v>12</v>
      </c>
      <c r="BG71" t="s">
        <v>4</v>
      </c>
      <c r="BH71" t="s">
        <v>12</v>
      </c>
      <c r="BI71" t="s">
        <v>12</v>
      </c>
      <c r="BJ71" t="s">
        <v>656</v>
      </c>
      <c r="BK71" t="s">
        <v>4</v>
      </c>
      <c r="BL71">
        <v>0</v>
      </c>
      <c r="BM71" t="s">
        <v>12</v>
      </c>
      <c r="BN71">
        <v>12900</v>
      </c>
      <c r="BO71" t="s">
        <v>12</v>
      </c>
      <c r="BP71" t="s">
        <v>12</v>
      </c>
      <c r="BQ71" t="s">
        <v>12</v>
      </c>
      <c r="BR71" t="s">
        <v>4</v>
      </c>
      <c r="BS71" t="s">
        <v>4</v>
      </c>
      <c r="BT71" t="s">
        <v>4</v>
      </c>
      <c r="BU71" t="s">
        <v>12</v>
      </c>
      <c r="BV71" t="s">
        <v>4</v>
      </c>
      <c r="BW71" t="s">
        <v>3</v>
      </c>
      <c r="BX71" t="s">
        <v>4</v>
      </c>
      <c r="BY71" t="s">
        <v>12</v>
      </c>
      <c r="BZ71" t="s">
        <v>12</v>
      </c>
      <c r="CA71" t="s">
        <v>12</v>
      </c>
      <c r="CB71" t="s">
        <v>1074</v>
      </c>
      <c r="CC71" t="s">
        <v>12</v>
      </c>
      <c r="CD71" t="str" cm="1">
        <f t="array" aca="1" ref="CD71" ca="1">eConcatenar(A71:CB71,"|")</f>
        <v>sCpuyudvoClPk58c|COM2019-2507|3|ECONOLINE|TABASCO|PARAISO|PARAISO|2019-9-04|12900|X|X|200|1|x|X|x|X|X|X|X|X|X|X|X|x|X|x|HERNANDEZ|DOMINGUEZ|FAUSTO|CASADO|X|X|CALLE CARRETERA PARAISO - COMALCALCO|FRANCISCO I MADERO SEGUNDA SECCION|X|9331470097|JESUS HERNANDEZ PEREZ|X|x|RUTA 4 L|X|LUNES|x|x|X|X|X|DOMICILIO|7700|5200|x|x|X|2021-9-21|2021-10-04|X|x|X|x|x|FRANCISCO I MADERO SEGUNDA SECCION|X|0|x|12900|x|x|x|X|X|X|x|X|CARDENAS|X|x|x|x|final</v>
      </c>
    </row>
    <row r="72" spans="1:82" x14ac:dyDescent="0.25">
      <c r="A72" t="s">
        <v>5484</v>
      </c>
      <c r="B72" t="s">
        <v>5485</v>
      </c>
      <c r="C72">
        <v>3</v>
      </c>
      <c r="D72" t="s">
        <v>70</v>
      </c>
      <c r="E72" t="s">
        <v>2</v>
      </c>
      <c r="F72" t="s">
        <v>722</v>
      </c>
      <c r="G72" t="s">
        <v>722</v>
      </c>
      <c r="H72" t="s">
        <v>1116</v>
      </c>
      <c r="I72">
        <v>24500</v>
      </c>
      <c r="J72" t="s">
        <v>4</v>
      </c>
      <c r="K72" s="3" t="s">
        <v>4</v>
      </c>
      <c r="L72">
        <v>200</v>
      </c>
      <c r="M72">
        <v>1</v>
      </c>
      <c r="N72" t="s">
        <v>12</v>
      </c>
      <c r="O72" t="s">
        <v>4</v>
      </c>
      <c r="P72" t="s">
        <v>12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12</v>
      </c>
      <c r="Z72" t="s">
        <v>4</v>
      </c>
      <c r="AA72" t="s">
        <v>12</v>
      </c>
      <c r="AB72" t="s">
        <v>5486</v>
      </c>
      <c r="AC72" t="s">
        <v>116</v>
      </c>
      <c r="AD72" t="s">
        <v>100</v>
      </c>
      <c r="AE72" t="s">
        <v>48</v>
      </c>
      <c r="AF72" t="s">
        <v>4</v>
      </c>
      <c r="AG72" t="s">
        <v>4</v>
      </c>
      <c r="AH72" t="s">
        <v>5487</v>
      </c>
      <c r="AI72" t="s">
        <v>726</v>
      </c>
      <c r="AJ72" t="s">
        <v>4</v>
      </c>
      <c r="AK72">
        <v>9331249649</v>
      </c>
      <c r="AL72" t="s">
        <v>5488</v>
      </c>
      <c r="AM72" t="s">
        <v>5489</v>
      </c>
      <c r="AN72" t="s">
        <v>12</v>
      </c>
      <c r="AO72" t="s">
        <v>5039</v>
      </c>
      <c r="AP72" t="s">
        <v>4</v>
      </c>
      <c r="AQ72" t="s">
        <v>10</v>
      </c>
      <c r="AR72" t="s">
        <v>12</v>
      </c>
      <c r="AS72" t="s">
        <v>12</v>
      </c>
      <c r="AT72" t="s">
        <v>4</v>
      </c>
      <c r="AU72" t="s">
        <v>4</v>
      </c>
      <c r="AV72" t="s">
        <v>4</v>
      </c>
      <c r="AW72" t="s">
        <v>11</v>
      </c>
      <c r="AX72">
        <v>500</v>
      </c>
      <c r="AY72">
        <v>24500</v>
      </c>
      <c r="AZ72" t="s">
        <v>12</v>
      </c>
      <c r="BA72" t="s">
        <v>12</v>
      </c>
      <c r="BB72" t="s">
        <v>4</v>
      </c>
      <c r="BC72" t="s">
        <v>1130</v>
      </c>
      <c r="BD72" t="s">
        <v>5072</v>
      </c>
      <c r="BE72" t="s">
        <v>4</v>
      </c>
      <c r="BF72" t="s">
        <v>12</v>
      </c>
      <c r="BG72" t="s">
        <v>4</v>
      </c>
      <c r="BH72" t="s">
        <v>12</v>
      </c>
      <c r="BI72" t="s">
        <v>12</v>
      </c>
      <c r="BJ72" t="s">
        <v>726</v>
      </c>
      <c r="BK72" t="s">
        <v>4</v>
      </c>
      <c r="BL72">
        <v>1</v>
      </c>
      <c r="BM72" t="s">
        <v>12</v>
      </c>
      <c r="BN72">
        <v>24500</v>
      </c>
      <c r="BO72" t="s">
        <v>12</v>
      </c>
      <c r="BP72" t="s">
        <v>12</v>
      </c>
      <c r="BQ72" t="s">
        <v>12</v>
      </c>
      <c r="BR72" t="s">
        <v>4</v>
      </c>
      <c r="BS72" t="s">
        <v>4</v>
      </c>
      <c r="BT72" t="s">
        <v>4</v>
      </c>
      <c r="BU72" t="s">
        <v>12</v>
      </c>
      <c r="BV72" t="s">
        <v>4</v>
      </c>
      <c r="BW72" t="s">
        <v>3</v>
      </c>
      <c r="BX72" t="s">
        <v>4</v>
      </c>
      <c r="BY72" t="s">
        <v>12</v>
      </c>
      <c r="BZ72" t="s">
        <v>12</v>
      </c>
      <c r="CA72" t="s">
        <v>12</v>
      </c>
      <c r="CB72" t="s">
        <v>1074</v>
      </c>
      <c r="CC72" t="s">
        <v>12</v>
      </c>
      <c r="CD72" t="str" cm="1">
        <f t="array" aca="1" ref="CD72" ca="1">eConcatenar(A72:CB72,"|")</f>
        <v>tp7VaxJTc8bOvXSl|COM2021-0590|3|DIGNITY|TABASCO|COMALCALCO|COMALCALCO|2021-8-16|24500|X|X|200|1|x|X|x|X|X|X|X|X|X|X|X|x|X|x|ARCES|RODRIGUEZ|SILVIA|SOLTERA|X|X|CALLE 2|NORTE PRIMERA SECCION|X|9331249649|ORESTES RODRIGUEZ ARCES|BENEFICIARIO 2: KIRSSA DOMINGUEZ ARCES|x|RUTA 4 L|X|LUNES|x|x|X|X|X|DOMICILIO|500|24500|x|x|X|2021-9-21|2021-10-04|X|x|X|x|x|NORTE PRIMERA SECCION|X|1|x|24500|x|x|x|X|X|X|x|X|CARDENAS|X|x|x|x|final</v>
      </c>
    </row>
    <row r="73" spans="1:82" x14ac:dyDescent="0.25">
      <c r="A73" t="s">
        <v>5490</v>
      </c>
      <c r="B73" t="s">
        <v>5491</v>
      </c>
      <c r="C73">
        <v>3</v>
      </c>
      <c r="D73" t="s">
        <v>1</v>
      </c>
      <c r="E73" t="s">
        <v>2</v>
      </c>
      <c r="F73" t="s">
        <v>722</v>
      </c>
      <c r="G73" t="s">
        <v>722</v>
      </c>
      <c r="H73" t="s">
        <v>5492</v>
      </c>
      <c r="I73">
        <v>12900</v>
      </c>
      <c r="J73" t="s">
        <v>4</v>
      </c>
      <c r="K73" s="3" t="s">
        <v>4</v>
      </c>
      <c r="L73">
        <v>200</v>
      </c>
      <c r="M73">
        <v>1</v>
      </c>
      <c r="N73" t="s">
        <v>12</v>
      </c>
      <c r="O73" t="s">
        <v>4</v>
      </c>
      <c r="P73" t="s">
        <v>12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12</v>
      </c>
      <c r="Z73" t="s">
        <v>4</v>
      </c>
      <c r="AA73" t="s">
        <v>12</v>
      </c>
      <c r="AB73" t="s">
        <v>274</v>
      </c>
      <c r="AC73" t="s">
        <v>47</v>
      </c>
      <c r="AD73" t="s">
        <v>249</v>
      </c>
      <c r="AE73" t="s">
        <v>29</v>
      </c>
      <c r="AF73" t="s">
        <v>4</v>
      </c>
      <c r="AG73" t="s">
        <v>4</v>
      </c>
      <c r="AH73" t="s">
        <v>5377</v>
      </c>
      <c r="AI73" t="s">
        <v>726</v>
      </c>
      <c r="AJ73" t="s">
        <v>4</v>
      </c>
      <c r="AK73">
        <v>9331221239</v>
      </c>
      <c r="AL73" t="s">
        <v>5493</v>
      </c>
      <c r="AM73" t="s">
        <v>5494</v>
      </c>
      <c r="AN73" t="s">
        <v>12</v>
      </c>
      <c r="AO73" t="s">
        <v>5039</v>
      </c>
      <c r="AP73" t="s">
        <v>4</v>
      </c>
      <c r="AQ73" t="s">
        <v>10</v>
      </c>
      <c r="AR73" t="s">
        <v>12</v>
      </c>
      <c r="AS73" t="s">
        <v>12</v>
      </c>
      <c r="AT73" t="s">
        <v>4</v>
      </c>
      <c r="AU73" t="s">
        <v>4</v>
      </c>
      <c r="AV73" t="s">
        <v>4</v>
      </c>
      <c r="AW73" t="s">
        <v>11</v>
      </c>
      <c r="AX73">
        <v>4400</v>
      </c>
      <c r="AY73">
        <v>8500</v>
      </c>
      <c r="AZ73" t="s">
        <v>12</v>
      </c>
      <c r="BA73" t="s">
        <v>12</v>
      </c>
      <c r="BB73" t="s">
        <v>4</v>
      </c>
      <c r="BC73" t="s">
        <v>1130</v>
      </c>
      <c r="BD73" t="s">
        <v>5072</v>
      </c>
      <c r="BE73" t="s">
        <v>4</v>
      </c>
      <c r="BF73" t="s">
        <v>12</v>
      </c>
      <c r="BG73" t="s">
        <v>4</v>
      </c>
      <c r="BH73" t="s">
        <v>12</v>
      </c>
      <c r="BI73" t="s">
        <v>12</v>
      </c>
      <c r="BJ73" t="s">
        <v>726</v>
      </c>
      <c r="BK73" t="s">
        <v>4</v>
      </c>
      <c r="BL73">
        <v>1</v>
      </c>
      <c r="BM73" t="s">
        <v>12</v>
      </c>
      <c r="BN73">
        <v>12900</v>
      </c>
      <c r="BO73" t="s">
        <v>12</v>
      </c>
      <c r="BP73" t="s">
        <v>12</v>
      </c>
      <c r="BQ73" t="s">
        <v>12</v>
      </c>
      <c r="BR73" t="s">
        <v>4</v>
      </c>
      <c r="BS73" t="s">
        <v>4</v>
      </c>
      <c r="BT73" t="s">
        <v>4</v>
      </c>
      <c r="BU73" t="s">
        <v>12</v>
      </c>
      <c r="BV73" t="s">
        <v>4</v>
      </c>
      <c r="BW73" t="s">
        <v>3</v>
      </c>
      <c r="BX73" t="s">
        <v>4</v>
      </c>
      <c r="BY73" t="s">
        <v>12</v>
      </c>
      <c r="BZ73" t="s">
        <v>12</v>
      </c>
      <c r="CA73" t="s">
        <v>12</v>
      </c>
      <c r="CB73" t="s">
        <v>1074</v>
      </c>
      <c r="CC73" t="s">
        <v>12</v>
      </c>
      <c r="CD73" t="str" cm="1">
        <f t="array" aca="1" ref="CD73" ca="1">eConcatenar(A73:CB73,"|")</f>
        <v>UR8BAhKiXPVZAL4M|COM2020-2510|3|IMPERIAL DE LUJO|TABASCO|COMALCALCO|COMALCALCO|2020-10-19|12900|X|X|200|1|x|X|x|X|X|X|X|X|X|X|X|x|X|x|CRUZ|SANCHEZ|MARIA DEL CARMEN|CASADA|X|X|CARRETERA FEDERAL COMALCALCO - PARAISO |NORTE PRIMERA SECCION|X|9331221239|LUGARDO RODRIGUEZ CRUZ|BENEFICIARIO 2: MARIA LUISA RODRIGUEZ CRUZ|x|RUTA 4 L|X|LUNES|x|x|X|X|X|DOMICILIO|4400|8500|x|x|X|2021-9-21|2021-10-04|X|x|X|x|x|NORTE PRIMERA SECCION|X|1|x|12900|x|x|x|X|X|X|x|X|CARDENAS|X|x|x|x|final</v>
      </c>
    </row>
    <row r="74" spans="1:82" x14ac:dyDescent="0.25">
      <c r="A74" t="s">
        <v>5495</v>
      </c>
      <c r="B74" t="s">
        <v>5496</v>
      </c>
      <c r="C74">
        <v>3</v>
      </c>
      <c r="D74" t="s">
        <v>65</v>
      </c>
      <c r="E74" t="s">
        <v>2</v>
      </c>
      <c r="F74" t="s">
        <v>722</v>
      </c>
      <c r="G74" t="s">
        <v>722</v>
      </c>
      <c r="H74" t="s">
        <v>4869</v>
      </c>
      <c r="I74">
        <v>14800</v>
      </c>
      <c r="J74" t="s">
        <v>4</v>
      </c>
      <c r="K74" s="3" t="s">
        <v>4</v>
      </c>
      <c r="L74">
        <v>200</v>
      </c>
      <c r="M74">
        <v>1</v>
      </c>
      <c r="N74" t="s">
        <v>12</v>
      </c>
      <c r="O74" t="s">
        <v>4</v>
      </c>
      <c r="P74" t="s">
        <v>12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12</v>
      </c>
      <c r="Z74" t="s">
        <v>4</v>
      </c>
      <c r="AA74" t="s">
        <v>12</v>
      </c>
      <c r="AB74" t="s">
        <v>116</v>
      </c>
      <c r="AC74" t="s">
        <v>274</v>
      </c>
      <c r="AD74" t="s">
        <v>5497</v>
      </c>
      <c r="AE74" t="s">
        <v>29</v>
      </c>
      <c r="AF74" t="s">
        <v>4</v>
      </c>
      <c r="AG74" t="s">
        <v>4</v>
      </c>
      <c r="AH74" t="s">
        <v>5377</v>
      </c>
      <c r="AI74" t="s">
        <v>726</v>
      </c>
      <c r="AJ74" t="s">
        <v>4</v>
      </c>
      <c r="AK74">
        <v>9331252652</v>
      </c>
      <c r="AL74" t="s">
        <v>5498</v>
      </c>
      <c r="AM74" t="s">
        <v>5499</v>
      </c>
      <c r="AN74" t="s">
        <v>12</v>
      </c>
      <c r="AO74" t="s">
        <v>5039</v>
      </c>
      <c r="AP74" t="s">
        <v>4</v>
      </c>
      <c r="AQ74" t="s">
        <v>10</v>
      </c>
      <c r="AR74" t="s">
        <v>12</v>
      </c>
      <c r="AS74" t="s">
        <v>12</v>
      </c>
      <c r="AT74" t="s">
        <v>4</v>
      </c>
      <c r="AU74" t="s">
        <v>4</v>
      </c>
      <c r="AV74" t="s">
        <v>4</v>
      </c>
      <c r="AW74" t="s">
        <v>11</v>
      </c>
      <c r="AX74">
        <v>650</v>
      </c>
      <c r="AY74">
        <v>14150</v>
      </c>
      <c r="AZ74" t="s">
        <v>12</v>
      </c>
      <c r="BA74" t="s">
        <v>12</v>
      </c>
      <c r="BB74" t="s">
        <v>4</v>
      </c>
      <c r="BC74" t="s">
        <v>1130</v>
      </c>
      <c r="BD74" t="s">
        <v>5072</v>
      </c>
      <c r="BE74" t="s">
        <v>4</v>
      </c>
      <c r="BF74" t="s">
        <v>12</v>
      </c>
      <c r="BG74" t="s">
        <v>4</v>
      </c>
      <c r="BH74" t="s">
        <v>12</v>
      </c>
      <c r="BI74" t="s">
        <v>12</v>
      </c>
      <c r="BJ74" t="s">
        <v>726</v>
      </c>
      <c r="BK74" t="s">
        <v>4</v>
      </c>
      <c r="BL74">
        <v>1</v>
      </c>
      <c r="BM74" t="s">
        <v>12</v>
      </c>
      <c r="BN74">
        <v>14800</v>
      </c>
      <c r="BO74" t="s">
        <v>12</v>
      </c>
      <c r="BP74" t="s">
        <v>12</v>
      </c>
      <c r="BQ74" t="s">
        <v>12</v>
      </c>
      <c r="BR74" t="s">
        <v>4</v>
      </c>
      <c r="BS74" t="s">
        <v>4</v>
      </c>
      <c r="BT74" t="s">
        <v>4</v>
      </c>
      <c r="BU74" t="s">
        <v>12</v>
      </c>
      <c r="BV74" t="s">
        <v>4</v>
      </c>
      <c r="BW74" t="s">
        <v>3</v>
      </c>
      <c r="BX74" t="s">
        <v>4</v>
      </c>
      <c r="BY74" t="s">
        <v>12</v>
      </c>
      <c r="BZ74" t="s">
        <v>12</v>
      </c>
      <c r="CA74" t="s">
        <v>12</v>
      </c>
      <c r="CB74" t="s">
        <v>1074</v>
      </c>
      <c r="CC74" t="s">
        <v>12</v>
      </c>
      <c r="CD74" t="str" cm="1">
        <f t="array" aca="1" ref="CD74" ca="1">eConcatenar(A74:CB74,"|")</f>
        <v>J9o6paD82A6q8P5F|COM2021-2588|3|MEMORIAL|TABASCO|COMALCALCO|COMALCALCO|2021-8-14|14800|X|X|200|1|x|X|x|X|X|X|X|X|X|X|X|x|X|x|RODRIGUEZ|CRUZ|MARIA LUISA|CASADA|X|X|CARRETERA FEDERAL COMALCALCO - PARAISO |NORTE PRIMERA SECCION|X|9331252652|JORGE LUIS MARTINEZ GONZALEZ|BENEFICIARIO 2: SILVIA DEL CARMEN RODRIGUEZ CRUZ|x|RUTA 4 L|X|LUNES|x|x|X|X|X|DOMICILIO|650|14150|x|x|X|2021-9-21|2021-10-04|X|x|X|x|x|NORTE PRIMERA SECCION|X|1|x|14800|x|x|x|X|X|X|x|X|CARDENAS|X|x|x|x|final</v>
      </c>
    </row>
    <row r="75" spans="1:82" x14ac:dyDescent="0.25">
      <c r="A75" t="s">
        <v>5500</v>
      </c>
      <c r="B75" t="s">
        <v>5501</v>
      </c>
      <c r="C75">
        <v>3</v>
      </c>
      <c r="D75" t="s">
        <v>1</v>
      </c>
      <c r="E75" t="s">
        <v>2</v>
      </c>
      <c r="F75" t="s">
        <v>722</v>
      </c>
      <c r="G75" t="s">
        <v>722</v>
      </c>
      <c r="H75" t="s">
        <v>4881</v>
      </c>
      <c r="I75">
        <v>12900</v>
      </c>
      <c r="J75" t="s">
        <v>4</v>
      </c>
      <c r="K75" s="3" t="s">
        <v>4</v>
      </c>
      <c r="L75">
        <v>100</v>
      </c>
      <c r="M75">
        <v>0</v>
      </c>
      <c r="N75" t="s">
        <v>12</v>
      </c>
      <c r="O75" t="s">
        <v>4</v>
      </c>
      <c r="P75" t="s">
        <v>12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12</v>
      </c>
      <c r="Z75" t="s">
        <v>4</v>
      </c>
      <c r="AA75" t="s">
        <v>12</v>
      </c>
      <c r="AB75" t="s">
        <v>16</v>
      </c>
      <c r="AC75" t="s">
        <v>15</v>
      </c>
      <c r="AD75" t="s">
        <v>5502</v>
      </c>
      <c r="AE75" t="s">
        <v>134</v>
      </c>
      <c r="AF75" t="s">
        <v>4</v>
      </c>
      <c r="AG75" t="s">
        <v>4</v>
      </c>
      <c r="AH75" t="s">
        <v>5503</v>
      </c>
      <c r="AI75" t="s">
        <v>726</v>
      </c>
      <c r="AJ75" t="s">
        <v>4</v>
      </c>
      <c r="AK75">
        <v>9331246073</v>
      </c>
      <c r="AL75" t="s">
        <v>5504</v>
      </c>
      <c r="AM75" t="s">
        <v>5505</v>
      </c>
      <c r="AN75" t="s">
        <v>12</v>
      </c>
      <c r="AO75" t="s">
        <v>5039</v>
      </c>
      <c r="AP75" t="s">
        <v>4</v>
      </c>
      <c r="AQ75" t="s">
        <v>10</v>
      </c>
      <c r="AR75" t="s">
        <v>12</v>
      </c>
      <c r="AS75" t="s">
        <v>12</v>
      </c>
      <c r="AT75" t="s">
        <v>4</v>
      </c>
      <c r="AU75" t="s">
        <v>4</v>
      </c>
      <c r="AV75" t="s">
        <v>4</v>
      </c>
      <c r="AW75" t="s">
        <v>11</v>
      </c>
      <c r="AX75">
        <v>4200</v>
      </c>
      <c r="AY75">
        <v>8700</v>
      </c>
      <c r="AZ75" t="s">
        <v>12</v>
      </c>
      <c r="BA75" t="s">
        <v>12</v>
      </c>
      <c r="BB75" t="s">
        <v>4</v>
      </c>
      <c r="BC75" t="s">
        <v>1130</v>
      </c>
      <c r="BD75" t="s">
        <v>1133</v>
      </c>
      <c r="BE75" t="s">
        <v>4</v>
      </c>
      <c r="BF75" t="s">
        <v>12</v>
      </c>
      <c r="BG75" t="s">
        <v>4</v>
      </c>
      <c r="BH75" t="s">
        <v>12</v>
      </c>
      <c r="BI75" t="s">
        <v>12</v>
      </c>
      <c r="BJ75" t="s">
        <v>726</v>
      </c>
      <c r="BK75" t="s">
        <v>4</v>
      </c>
      <c r="BL75">
        <v>1</v>
      </c>
      <c r="BM75" t="s">
        <v>12</v>
      </c>
      <c r="BN75">
        <v>12900</v>
      </c>
      <c r="BO75" t="s">
        <v>12</v>
      </c>
      <c r="BP75" t="s">
        <v>12</v>
      </c>
      <c r="BQ75" t="s">
        <v>12</v>
      </c>
      <c r="BR75" t="s">
        <v>4</v>
      </c>
      <c r="BS75" t="s">
        <v>4</v>
      </c>
      <c r="BT75" t="s">
        <v>4</v>
      </c>
      <c r="BU75" t="s">
        <v>12</v>
      </c>
      <c r="BV75" t="s">
        <v>4</v>
      </c>
      <c r="BW75" t="s">
        <v>3</v>
      </c>
      <c r="BX75" t="s">
        <v>4</v>
      </c>
      <c r="BY75" t="s">
        <v>12</v>
      </c>
      <c r="BZ75" t="s">
        <v>12</v>
      </c>
      <c r="CA75" t="s">
        <v>12</v>
      </c>
      <c r="CB75" t="s">
        <v>1074</v>
      </c>
      <c r="CC75" t="s">
        <v>12</v>
      </c>
      <c r="CD75" t="str" cm="1">
        <f t="array" aca="1" ref="CD75" ca="1">eConcatenar(A75:CB75,"|")</f>
        <v>FfZRT7UKkXADRYv0|COM2020-2977|3|IMPERIAL DE LUJO|TABASCO|COMALCALCO|COMALCALCO|2020-11-17|12900|X|X|100|0|x|X|x|X|X|X|X|X|X|X|X|x|X|x|SANTOS|JIMENEZ|AVIDA|VIUDA|X|X|ENTRADA LA ISLA|NORTE PRIMERA SECCION|X|9331246073|ANA LAURA CHABLE SANTOS|BENEFICIARIO 2: CRISANTA CANUL RUIZ|x|RUTA 4 L|X|LUNES|x|x|X|X|X|DOMICILIO|4200|8700|x|x|X|2021-9-21|2021-9-27|X|x|X|x|x|NORTE PRIMERA SECCION|X|1|x|12900|x|x|x|X|X|X|x|X|CARDENAS|X|x|x|x|final</v>
      </c>
    </row>
    <row r="76" spans="1:82" x14ac:dyDescent="0.25">
      <c r="A76" t="s">
        <v>5506</v>
      </c>
      <c r="B76" t="s">
        <v>5507</v>
      </c>
      <c r="C76">
        <v>3</v>
      </c>
      <c r="D76" t="s">
        <v>1</v>
      </c>
      <c r="E76" t="s">
        <v>2</v>
      </c>
      <c r="F76" t="s">
        <v>722</v>
      </c>
      <c r="G76" t="s">
        <v>722</v>
      </c>
      <c r="H76" t="s">
        <v>1117</v>
      </c>
      <c r="I76">
        <v>12900</v>
      </c>
      <c r="J76" t="s">
        <v>4</v>
      </c>
      <c r="K76" s="3" t="s">
        <v>4</v>
      </c>
      <c r="L76">
        <v>200</v>
      </c>
      <c r="M76">
        <v>1</v>
      </c>
      <c r="N76" t="s">
        <v>12</v>
      </c>
      <c r="O76" t="s">
        <v>4</v>
      </c>
      <c r="P76" t="s">
        <v>12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12</v>
      </c>
      <c r="Z76" t="s">
        <v>4</v>
      </c>
      <c r="AA76" t="s">
        <v>12</v>
      </c>
      <c r="AB76" t="s">
        <v>28</v>
      </c>
      <c r="AC76" t="s">
        <v>89</v>
      </c>
      <c r="AD76" t="s">
        <v>4718</v>
      </c>
      <c r="AE76" t="s">
        <v>59</v>
      </c>
      <c r="AF76" t="s">
        <v>4</v>
      </c>
      <c r="AG76" t="s">
        <v>4</v>
      </c>
      <c r="AH76" t="s">
        <v>5508</v>
      </c>
      <c r="AI76" t="s">
        <v>2208</v>
      </c>
      <c r="AJ76" t="s">
        <v>4</v>
      </c>
      <c r="AK76">
        <v>9331031792</v>
      </c>
      <c r="AL76" t="s">
        <v>5509</v>
      </c>
      <c r="AM76" t="s">
        <v>5510</v>
      </c>
      <c r="AN76" t="s">
        <v>12</v>
      </c>
      <c r="AO76" t="s">
        <v>5039</v>
      </c>
      <c r="AP76" t="s">
        <v>4</v>
      </c>
      <c r="AQ76" t="s">
        <v>10</v>
      </c>
      <c r="AR76" t="s">
        <v>12</v>
      </c>
      <c r="AS76" t="s">
        <v>12</v>
      </c>
      <c r="AT76" t="s">
        <v>4</v>
      </c>
      <c r="AU76" t="s">
        <v>4</v>
      </c>
      <c r="AV76" t="s">
        <v>4</v>
      </c>
      <c r="AW76" t="s">
        <v>11</v>
      </c>
      <c r="AX76">
        <v>2700</v>
      </c>
      <c r="AY76">
        <v>10200</v>
      </c>
      <c r="AZ76" t="s">
        <v>12</v>
      </c>
      <c r="BA76" t="s">
        <v>12</v>
      </c>
      <c r="BB76" t="s">
        <v>4</v>
      </c>
      <c r="BC76" t="s">
        <v>1130</v>
      </c>
      <c r="BD76" t="s">
        <v>5072</v>
      </c>
      <c r="BE76" t="s">
        <v>4</v>
      </c>
      <c r="BF76" t="s">
        <v>12</v>
      </c>
      <c r="BG76" t="s">
        <v>4</v>
      </c>
      <c r="BH76" t="s">
        <v>12</v>
      </c>
      <c r="BI76" t="s">
        <v>12</v>
      </c>
      <c r="BJ76" t="s">
        <v>2208</v>
      </c>
      <c r="BK76" t="s">
        <v>4</v>
      </c>
      <c r="BL76">
        <v>0</v>
      </c>
      <c r="BM76" t="s">
        <v>12</v>
      </c>
      <c r="BN76">
        <v>12900</v>
      </c>
      <c r="BO76" t="s">
        <v>12</v>
      </c>
      <c r="BP76" t="s">
        <v>12</v>
      </c>
      <c r="BQ76" t="s">
        <v>12</v>
      </c>
      <c r="BR76" t="s">
        <v>4</v>
      </c>
      <c r="BS76" t="s">
        <v>4</v>
      </c>
      <c r="BT76" t="s">
        <v>4</v>
      </c>
      <c r="BU76" t="s">
        <v>12</v>
      </c>
      <c r="BV76" t="s">
        <v>4</v>
      </c>
      <c r="BW76" t="s">
        <v>3</v>
      </c>
      <c r="BX76" t="s">
        <v>4</v>
      </c>
      <c r="BY76" t="s">
        <v>12</v>
      </c>
      <c r="BZ76" t="s">
        <v>12</v>
      </c>
      <c r="CA76" t="s">
        <v>12</v>
      </c>
      <c r="CB76" t="s">
        <v>1074</v>
      </c>
      <c r="CC76" t="s">
        <v>12</v>
      </c>
      <c r="CD76" t="str" cm="1">
        <f t="array" aca="1" ref="CD76" ca="1">eConcatenar(A76:CB76,"|")</f>
        <v>kyN1p1hmPb2RoZ6d|COM2021-0550|3|IMPERIAL DE LUJO|TABASCO|COMALCALCO|COMALCALCO|2021-2-13|12900|X|X|200|1|x|X|x|X|X|X|X|X|X|X|X|x|X|x|CORDOVA|DE LA ROSA|RAFAIN|CASADO|X|X|CARRETERA VECINAL COMALCALCO - PARAISO |OCCIDENTE TERCERA SECCION|X|9331031792|MARIA ISABEL PEREZ GONZALEZ|BENEFICIARIO 2: RIGOBERTO CORDOVA PEREZ|x|RUTA 4 L|X|LUNES|x|x|X|X|X|DOMICILIO|2700|10200|x|x|X|2021-9-21|2021-10-04|X|x|X|x|x|OCCIDENTE TERCERA SECCION|X|0|x|12900|x|x|x|X|X|X|x|X|CARDENAS|X|x|x|x|final</v>
      </c>
    </row>
    <row r="77" spans="1:82" x14ac:dyDescent="0.25">
      <c r="A77" t="s">
        <v>5511</v>
      </c>
      <c r="B77" t="s">
        <v>5512</v>
      </c>
      <c r="C77">
        <v>3</v>
      </c>
      <c r="D77" t="s">
        <v>65</v>
      </c>
      <c r="E77" t="s">
        <v>2</v>
      </c>
      <c r="F77" t="s">
        <v>722</v>
      </c>
      <c r="G77" t="s">
        <v>722</v>
      </c>
      <c r="H77" t="s">
        <v>5513</v>
      </c>
      <c r="I77">
        <v>14800</v>
      </c>
      <c r="J77" t="s">
        <v>4</v>
      </c>
      <c r="K77" s="3" t="s">
        <v>4</v>
      </c>
      <c r="L77">
        <v>100</v>
      </c>
      <c r="M77">
        <v>0</v>
      </c>
      <c r="N77" t="s">
        <v>12</v>
      </c>
      <c r="O77" t="s">
        <v>4</v>
      </c>
      <c r="P77" t="s">
        <v>12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12</v>
      </c>
      <c r="Z77" t="s">
        <v>4</v>
      </c>
      <c r="AA77" t="s">
        <v>12</v>
      </c>
      <c r="AB77" t="s">
        <v>28</v>
      </c>
      <c r="AC77" t="s">
        <v>36</v>
      </c>
      <c r="AD77" t="s">
        <v>4797</v>
      </c>
      <c r="AE77" t="s">
        <v>48</v>
      </c>
      <c r="AF77" t="s">
        <v>4</v>
      </c>
      <c r="AG77" t="s">
        <v>4</v>
      </c>
      <c r="AH77" t="s">
        <v>827</v>
      </c>
      <c r="AI77" t="s">
        <v>827</v>
      </c>
      <c r="AJ77" t="s">
        <v>4</v>
      </c>
      <c r="AK77">
        <v>9331048584</v>
      </c>
      <c r="AL77" t="s">
        <v>5514</v>
      </c>
      <c r="AM77" t="s">
        <v>5515</v>
      </c>
      <c r="AN77" t="s">
        <v>12</v>
      </c>
      <c r="AO77" t="s">
        <v>5039</v>
      </c>
      <c r="AP77" t="s">
        <v>4</v>
      </c>
      <c r="AQ77" t="s">
        <v>10</v>
      </c>
      <c r="AR77" t="s">
        <v>12</v>
      </c>
      <c r="AS77" t="s">
        <v>12</v>
      </c>
      <c r="AT77" t="s">
        <v>4</v>
      </c>
      <c r="AU77" t="s">
        <v>4</v>
      </c>
      <c r="AV77" t="s">
        <v>4</v>
      </c>
      <c r="AW77" t="s">
        <v>11</v>
      </c>
      <c r="AX77">
        <v>1100</v>
      </c>
      <c r="AY77">
        <v>13700</v>
      </c>
      <c r="AZ77" t="s">
        <v>12</v>
      </c>
      <c r="BA77" t="s">
        <v>12</v>
      </c>
      <c r="BB77" t="s">
        <v>4</v>
      </c>
      <c r="BC77" t="s">
        <v>1130</v>
      </c>
      <c r="BD77" t="s">
        <v>1133</v>
      </c>
      <c r="BE77" t="s">
        <v>4</v>
      </c>
      <c r="BF77" t="s">
        <v>12</v>
      </c>
      <c r="BG77" t="s">
        <v>4</v>
      </c>
      <c r="BH77" t="s">
        <v>12</v>
      </c>
      <c r="BI77" t="s">
        <v>12</v>
      </c>
      <c r="BJ77" t="s">
        <v>827</v>
      </c>
      <c r="BK77" t="s">
        <v>4</v>
      </c>
      <c r="BL77">
        <v>1</v>
      </c>
      <c r="BM77" t="s">
        <v>12</v>
      </c>
      <c r="BN77">
        <v>14800</v>
      </c>
      <c r="BO77" t="s">
        <v>12</v>
      </c>
      <c r="BP77" t="s">
        <v>12</v>
      </c>
      <c r="BQ77" t="s">
        <v>12</v>
      </c>
      <c r="BR77" t="s">
        <v>4</v>
      </c>
      <c r="BS77" t="s">
        <v>4</v>
      </c>
      <c r="BT77" t="s">
        <v>4</v>
      </c>
      <c r="BU77" t="s">
        <v>12</v>
      </c>
      <c r="BV77" t="s">
        <v>4</v>
      </c>
      <c r="BW77" t="s">
        <v>3</v>
      </c>
      <c r="BX77" t="s">
        <v>4</v>
      </c>
      <c r="BY77" t="s">
        <v>12</v>
      </c>
      <c r="BZ77" t="s">
        <v>12</v>
      </c>
      <c r="CA77" t="s">
        <v>12</v>
      </c>
      <c r="CB77" t="s">
        <v>1074</v>
      </c>
      <c r="CC77" t="s">
        <v>12</v>
      </c>
      <c r="CD77" t="str" cm="1">
        <f t="array" aca="1" ref="CD77" ca="1">eConcatenar(A77:CB77,"|")</f>
        <v>uMFVNYH3DMF9DWx8|COM2021-2363|3|MEMORIAL|TABASCO|COMALCALCO|COMALCALCO|2021-7-11|14800|X|X|100|0|x|X|x|X|X|X|X|X|X|X|X|x|X|x|CORDOVA|HERNANDEZ|NORMA|SOLTERA|X|X|NICOLAS BRAVO|NICOLAS BRAVO|X|9331048584|ELSY CORDOVA HERNANDEZ|BENEFICIARIO 2: MARIA JESUS CORDOVA HERNANDEZ|x|RUTA 4 L|X|LUNES|x|x|X|X|X|DOMICILIO|1100|13700|x|x|X|2021-9-21|2021-9-27|X|x|X|x|x|NICOLAS BRAVO|X|1|x|14800|x|x|x|X|X|X|x|X|CARDENAS|X|x|x|x|final</v>
      </c>
    </row>
    <row r="78" spans="1:82" x14ac:dyDescent="0.25">
      <c r="A78" t="s">
        <v>5516</v>
      </c>
      <c r="B78" t="s">
        <v>5517</v>
      </c>
      <c r="C78">
        <v>3</v>
      </c>
      <c r="D78" t="s">
        <v>194</v>
      </c>
      <c r="E78" t="s">
        <v>2</v>
      </c>
      <c r="F78" t="s">
        <v>722</v>
      </c>
      <c r="G78" t="s">
        <v>722</v>
      </c>
      <c r="H78" t="s">
        <v>5518</v>
      </c>
      <c r="I78">
        <v>12900</v>
      </c>
      <c r="J78" t="s">
        <v>4</v>
      </c>
      <c r="K78" s="3" t="s">
        <v>4</v>
      </c>
      <c r="L78">
        <v>100</v>
      </c>
      <c r="M78">
        <v>0</v>
      </c>
      <c r="N78" t="s">
        <v>12</v>
      </c>
      <c r="O78" t="s">
        <v>4</v>
      </c>
      <c r="P78" t="s">
        <v>12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12</v>
      </c>
      <c r="Z78" t="s">
        <v>4</v>
      </c>
      <c r="AA78" t="s">
        <v>12</v>
      </c>
      <c r="AB78" t="s">
        <v>731</v>
      </c>
      <c r="AC78" t="s">
        <v>28</v>
      </c>
      <c r="AD78" t="s">
        <v>110</v>
      </c>
      <c r="AE78" t="s">
        <v>59</v>
      </c>
      <c r="AF78" t="s">
        <v>4</v>
      </c>
      <c r="AG78" t="s">
        <v>4</v>
      </c>
      <c r="AH78" t="s">
        <v>5519</v>
      </c>
      <c r="AI78" t="s">
        <v>5520</v>
      </c>
      <c r="AJ78" t="s">
        <v>4</v>
      </c>
      <c r="AK78">
        <v>9331070911</v>
      </c>
      <c r="AL78" t="s">
        <v>5521</v>
      </c>
      <c r="AM78" t="s">
        <v>5522</v>
      </c>
      <c r="AN78" t="s">
        <v>12</v>
      </c>
      <c r="AO78" t="s">
        <v>5039</v>
      </c>
      <c r="AP78" t="s">
        <v>4</v>
      </c>
      <c r="AQ78" t="s">
        <v>10</v>
      </c>
      <c r="AR78" t="s">
        <v>12</v>
      </c>
      <c r="AS78" t="s">
        <v>12</v>
      </c>
      <c r="AT78" t="s">
        <v>4</v>
      </c>
      <c r="AU78" t="s">
        <v>4</v>
      </c>
      <c r="AV78" t="s">
        <v>4</v>
      </c>
      <c r="AW78" t="s">
        <v>11</v>
      </c>
      <c r="AX78">
        <v>8200</v>
      </c>
      <c r="AY78">
        <v>4700</v>
      </c>
      <c r="AZ78" t="s">
        <v>12</v>
      </c>
      <c r="BA78" t="s">
        <v>12</v>
      </c>
      <c r="BB78" t="s">
        <v>4</v>
      </c>
      <c r="BC78" t="s">
        <v>1122</v>
      </c>
      <c r="BD78" t="s">
        <v>1133</v>
      </c>
      <c r="BE78" t="s">
        <v>4</v>
      </c>
      <c r="BF78" t="s">
        <v>12</v>
      </c>
      <c r="BG78" t="s">
        <v>4</v>
      </c>
      <c r="BH78" t="s">
        <v>12</v>
      </c>
      <c r="BI78" t="s">
        <v>12</v>
      </c>
      <c r="BJ78" t="s">
        <v>5520</v>
      </c>
      <c r="BK78" t="s">
        <v>4</v>
      </c>
      <c r="BL78">
        <v>0</v>
      </c>
      <c r="BM78" t="s">
        <v>12</v>
      </c>
      <c r="BN78">
        <v>12900</v>
      </c>
      <c r="BO78" t="s">
        <v>12</v>
      </c>
      <c r="BP78" t="s">
        <v>12</v>
      </c>
      <c r="BQ78" t="s">
        <v>12</v>
      </c>
      <c r="BR78" t="s">
        <v>4</v>
      </c>
      <c r="BS78" t="s">
        <v>4</v>
      </c>
      <c r="BT78" t="s">
        <v>4</v>
      </c>
      <c r="BU78" t="s">
        <v>12</v>
      </c>
      <c r="BV78" t="s">
        <v>4</v>
      </c>
      <c r="BW78" t="s">
        <v>3</v>
      </c>
      <c r="BX78" t="s">
        <v>4</v>
      </c>
      <c r="BY78" t="s">
        <v>12</v>
      </c>
      <c r="BZ78" t="s">
        <v>12</v>
      </c>
      <c r="CA78" t="s">
        <v>12</v>
      </c>
      <c r="CB78" t="s">
        <v>1074</v>
      </c>
      <c r="CC78" t="s">
        <v>12</v>
      </c>
      <c r="CD78" t="str" cm="1">
        <f t="array" aca="1" ref="CD78" ca="1">eConcatenar(A78:CB78,"|")</f>
        <v>aY7uofBx7O6f74RM|COM2019-2830|3|ECONOLINE|TABASCO|COMALCALCO|COMALCALCO|2019-10-13|12900|X|X|100|0|x|X|x|X|X|X|X|X|X|X|X|x|X|x|GALLEGOS|CORDOVA|ISIDRO|CASADO|X|X|CARRETRA CAMINO AGRARIO|SUR CUARTA SECCION|X|9331070911|GLADIS PEREZ SEGOVIA|BENEFICIARIO 2: PATRICIA GALLEGOS PEREZ|x|RUTA 4 L|X|LUNES|x|x|X|X|X|DOMICILIO|8200|4700|x|x|X|2021-9-13|2021-9-27|X|x|X|x|x|SUR CUARTA SECCION|X|0|x|12900|x|x|x|X|X|X|x|X|CARDENAS|X|x|x|x|final</v>
      </c>
    </row>
    <row r="79" spans="1:82" x14ac:dyDescent="0.25">
      <c r="A79" t="s">
        <v>5523</v>
      </c>
      <c r="B79" t="s">
        <v>5524</v>
      </c>
      <c r="C79">
        <v>3</v>
      </c>
      <c r="D79" t="s">
        <v>14</v>
      </c>
      <c r="E79" t="s">
        <v>2</v>
      </c>
      <c r="F79" t="s">
        <v>654</v>
      </c>
      <c r="G79" t="s">
        <v>654</v>
      </c>
      <c r="H79" t="s">
        <v>5525</v>
      </c>
      <c r="I79">
        <v>19800</v>
      </c>
      <c r="J79" t="s">
        <v>4</v>
      </c>
      <c r="K79" s="3" t="s">
        <v>4</v>
      </c>
      <c r="L79">
        <v>200</v>
      </c>
      <c r="M79">
        <v>1</v>
      </c>
      <c r="N79" t="s">
        <v>12</v>
      </c>
      <c r="O79" t="s">
        <v>4</v>
      </c>
      <c r="P79" t="s">
        <v>12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12</v>
      </c>
      <c r="Z79" t="s">
        <v>4</v>
      </c>
      <c r="AA79" t="s">
        <v>12</v>
      </c>
      <c r="AB79" t="s">
        <v>458</v>
      </c>
      <c r="AC79" t="s">
        <v>855</v>
      </c>
      <c r="AD79" t="s">
        <v>647</v>
      </c>
      <c r="AE79" t="s">
        <v>307</v>
      </c>
      <c r="AF79" t="s">
        <v>4</v>
      </c>
      <c r="AG79" t="s">
        <v>4</v>
      </c>
      <c r="AH79" t="s">
        <v>5526</v>
      </c>
      <c r="AI79" t="s">
        <v>4855</v>
      </c>
      <c r="AJ79" t="s">
        <v>4</v>
      </c>
      <c r="AK79">
        <v>9331022845</v>
      </c>
      <c r="AL79" t="s">
        <v>5527</v>
      </c>
      <c r="AM79" t="s">
        <v>4</v>
      </c>
      <c r="AN79" t="s">
        <v>12</v>
      </c>
      <c r="AO79" t="s">
        <v>5039</v>
      </c>
      <c r="AP79" t="s">
        <v>4</v>
      </c>
      <c r="AQ79" t="s">
        <v>10</v>
      </c>
      <c r="AR79" t="s">
        <v>12</v>
      </c>
      <c r="AS79" t="s">
        <v>12</v>
      </c>
      <c r="AT79" t="s">
        <v>4</v>
      </c>
      <c r="AU79" t="s">
        <v>4</v>
      </c>
      <c r="AV79" t="s">
        <v>4</v>
      </c>
      <c r="AW79" t="s">
        <v>11</v>
      </c>
      <c r="AX79">
        <v>7700</v>
      </c>
      <c r="AY79">
        <v>12100</v>
      </c>
      <c r="AZ79" t="s">
        <v>12</v>
      </c>
      <c r="BA79" t="s">
        <v>12</v>
      </c>
      <c r="BB79" t="s">
        <v>4</v>
      </c>
      <c r="BC79" t="s">
        <v>5528</v>
      </c>
      <c r="BD79" t="s">
        <v>1133</v>
      </c>
      <c r="BE79" t="s">
        <v>4</v>
      </c>
      <c r="BF79" t="s">
        <v>12</v>
      </c>
      <c r="BG79" t="s">
        <v>4</v>
      </c>
      <c r="BH79" t="s">
        <v>12</v>
      </c>
      <c r="BI79" t="s">
        <v>12</v>
      </c>
      <c r="BJ79" t="s">
        <v>4855</v>
      </c>
      <c r="BK79" t="s">
        <v>4</v>
      </c>
      <c r="BL79">
        <v>0</v>
      </c>
      <c r="BM79" t="s">
        <v>12</v>
      </c>
      <c r="BN79">
        <v>19800</v>
      </c>
      <c r="BO79" t="s">
        <v>12</v>
      </c>
      <c r="BP79" t="s">
        <v>12</v>
      </c>
      <c r="BQ79" t="s">
        <v>12</v>
      </c>
      <c r="BR79" t="s">
        <v>4</v>
      </c>
      <c r="BS79" t="s">
        <v>4</v>
      </c>
      <c r="BT79" t="s">
        <v>4</v>
      </c>
      <c r="BU79" t="s">
        <v>12</v>
      </c>
      <c r="BV79" t="s">
        <v>4</v>
      </c>
      <c r="BW79" t="s">
        <v>3</v>
      </c>
      <c r="BX79" t="s">
        <v>4</v>
      </c>
      <c r="BY79" t="s">
        <v>12</v>
      </c>
      <c r="BZ79" t="s">
        <v>12</v>
      </c>
      <c r="CA79" t="s">
        <v>12</v>
      </c>
      <c r="CB79" t="s">
        <v>1074</v>
      </c>
      <c r="CC79" t="s">
        <v>12</v>
      </c>
      <c r="CD79" t="str" cm="1">
        <f t="array" aca="1" ref="CD79" ca="1">eConcatenar(A79:CB79,"|")</f>
        <v>puebld5V61tc39uX|COM2018-1518|3|ZAFIRO|TABASCO|PARAISO|PARAISO|2018-8-13|19800|X|X|200|1|x|X|x|X|X|X|X|X|X|X|X|x|X|x|CHABLE|CANO|CANDELARIO|VIUDO|X|X|CALLE ISAAC DOMINGUEZ HERNANDEZ SIN NUMERO|FRANCISCO Y MADERO|X|9331022845|DANOLLI CHABLE DE LA CRUZ|X|x|RUTA 4 L|X|LUNES|x|x|X|X|X|DOMICILIO|7700|12100|x|x|X|2021-8-02|2021-9-27|X|x|X|x|x|FRANCISCO Y MADERO|X|0|x|19800|x|x|x|X|X|X|x|X|CARDENAS|X|x|x|x|final</v>
      </c>
    </row>
    <row r="80" spans="1:82" x14ac:dyDescent="0.25">
      <c r="A80" t="s">
        <v>5529</v>
      </c>
      <c r="B80" t="s">
        <v>5530</v>
      </c>
      <c r="C80">
        <v>3</v>
      </c>
      <c r="D80" t="s">
        <v>14</v>
      </c>
      <c r="E80" t="s">
        <v>2</v>
      </c>
      <c r="F80" t="s">
        <v>654</v>
      </c>
      <c r="G80" t="s">
        <v>654</v>
      </c>
      <c r="H80" t="s">
        <v>5531</v>
      </c>
      <c r="I80">
        <v>19800</v>
      </c>
      <c r="J80" t="s">
        <v>4</v>
      </c>
      <c r="K80" s="3" t="s">
        <v>4</v>
      </c>
      <c r="L80">
        <v>100</v>
      </c>
      <c r="M80">
        <v>0</v>
      </c>
      <c r="N80" t="s">
        <v>12</v>
      </c>
      <c r="O80" t="s">
        <v>4</v>
      </c>
      <c r="P80" t="s">
        <v>12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12</v>
      </c>
      <c r="Z80" t="s">
        <v>4</v>
      </c>
      <c r="AA80" t="s">
        <v>12</v>
      </c>
      <c r="AB80" t="s">
        <v>5532</v>
      </c>
      <c r="AC80" t="s">
        <v>764</v>
      </c>
      <c r="AD80" t="s">
        <v>694</v>
      </c>
      <c r="AE80" t="s">
        <v>29</v>
      </c>
      <c r="AF80" t="s">
        <v>4</v>
      </c>
      <c r="AG80" t="s">
        <v>4</v>
      </c>
      <c r="AH80" t="s">
        <v>5350</v>
      </c>
      <c r="AI80" t="s">
        <v>5398</v>
      </c>
      <c r="AJ80" t="s">
        <v>4</v>
      </c>
      <c r="AK80">
        <v>9331455844</v>
      </c>
      <c r="AL80" t="s">
        <v>5533</v>
      </c>
      <c r="AM80" t="s">
        <v>5534</v>
      </c>
      <c r="AN80" t="s">
        <v>12</v>
      </c>
      <c r="AO80" t="s">
        <v>5039</v>
      </c>
      <c r="AP80" t="s">
        <v>4</v>
      </c>
      <c r="AQ80" t="s">
        <v>10</v>
      </c>
      <c r="AR80" t="s">
        <v>12</v>
      </c>
      <c r="AS80" t="s">
        <v>12</v>
      </c>
      <c r="AT80" t="s">
        <v>4</v>
      </c>
      <c r="AU80" t="s">
        <v>4</v>
      </c>
      <c r="AV80" t="s">
        <v>4</v>
      </c>
      <c r="AW80" t="s">
        <v>11</v>
      </c>
      <c r="AX80">
        <v>8500</v>
      </c>
      <c r="AY80">
        <v>11300</v>
      </c>
      <c r="AZ80" t="s">
        <v>12</v>
      </c>
      <c r="BA80" t="s">
        <v>12</v>
      </c>
      <c r="BB80" t="s">
        <v>4</v>
      </c>
      <c r="BC80" t="s">
        <v>1130</v>
      </c>
      <c r="BD80" t="s">
        <v>1133</v>
      </c>
      <c r="BE80" t="s">
        <v>4</v>
      </c>
      <c r="BF80" t="s">
        <v>12</v>
      </c>
      <c r="BG80" t="s">
        <v>4</v>
      </c>
      <c r="BH80" t="s">
        <v>12</v>
      </c>
      <c r="BI80" t="s">
        <v>12</v>
      </c>
      <c r="BJ80" t="s">
        <v>5398</v>
      </c>
      <c r="BK80" t="s">
        <v>4</v>
      </c>
      <c r="BL80">
        <v>1</v>
      </c>
      <c r="BM80" t="s">
        <v>12</v>
      </c>
      <c r="BN80">
        <v>19800</v>
      </c>
      <c r="BO80" t="s">
        <v>12</v>
      </c>
      <c r="BP80" t="s">
        <v>12</v>
      </c>
      <c r="BQ80" t="s">
        <v>12</v>
      </c>
      <c r="BR80" t="s">
        <v>4</v>
      </c>
      <c r="BS80" t="s">
        <v>4</v>
      </c>
      <c r="BT80" t="s">
        <v>4</v>
      </c>
      <c r="BU80" t="s">
        <v>12</v>
      </c>
      <c r="BV80" t="s">
        <v>4</v>
      </c>
      <c r="BW80" t="s">
        <v>3</v>
      </c>
      <c r="BX80" t="s">
        <v>4</v>
      </c>
      <c r="BY80" t="s">
        <v>12</v>
      </c>
      <c r="BZ80" t="s">
        <v>12</v>
      </c>
      <c r="CA80" t="s">
        <v>12</v>
      </c>
      <c r="CB80" t="s">
        <v>1074</v>
      </c>
      <c r="CC80" t="s">
        <v>12</v>
      </c>
      <c r="CD80" t="str" cm="1">
        <f t="array" aca="1" ref="CD80" ca="1">eConcatenar(A80:CB80,"|")</f>
        <v>KLVaQKUObCabILKw|COM2018-0725|3|ZAFIRO|TABASCO|PARAISO|PARAISO|2018-5-22|19800|X|X|100|0|x|X|x|X|X|X|X|X|X|X|X|x|X|x|LIZARRAGA |ANGULO|ANA MARIA|CASADA|X|X|CARRETERA FEDERAL PARAISO - COMALCALCO |ORIENTE PRIMERA SECCION|X|9331455844|ANA JULIA ANGULO HERNANDEZ|BENEFICIARIO 2: LUIS IVAN MONTERO LIZARRAGA|x|RUTA 4 L|X|LUNES|x|x|X|X|X|DOMICILIO|8500|11300|x|x|X|2021-9-21|2021-9-27|X|x|X|x|x|ORIENTE PRIMERA SECCION|X|1|x|19800|x|x|x|X|X|X|x|X|CARDENAS|X|x|x|x|final</v>
      </c>
    </row>
    <row r="81" spans="1:82" x14ac:dyDescent="0.25">
      <c r="A81" t="s">
        <v>5535</v>
      </c>
      <c r="B81" t="s">
        <v>5536</v>
      </c>
      <c r="C81">
        <v>3</v>
      </c>
      <c r="D81" t="s">
        <v>194</v>
      </c>
      <c r="E81" t="s">
        <v>2</v>
      </c>
      <c r="F81" t="s">
        <v>654</v>
      </c>
      <c r="G81" t="s">
        <v>654</v>
      </c>
      <c r="H81" t="s">
        <v>4949</v>
      </c>
      <c r="I81">
        <v>12900</v>
      </c>
      <c r="J81" t="s">
        <v>4</v>
      </c>
      <c r="K81" s="3" t="s">
        <v>4</v>
      </c>
      <c r="L81">
        <v>200</v>
      </c>
      <c r="M81">
        <v>1</v>
      </c>
      <c r="N81" t="s">
        <v>12</v>
      </c>
      <c r="O81" t="s">
        <v>4</v>
      </c>
      <c r="P81" t="s">
        <v>12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12</v>
      </c>
      <c r="Z81" t="s">
        <v>4</v>
      </c>
      <c r="AA81" t="s">
        <v>12</v>
      </c>
      <c r="AB81" t="s">
        <v>15</v>
      </c>
      <c r="AC81" t="s">
        <v>6</v>
      </c>
      <c r="AD81" t="s">
        <v>5537</v>
      </c>
      <c r="AE81" t="s">
        <v>59</v>
      </c>
      <c r="AF81" t="s">
        <v>4</v>
      </c>
      <c r="AG81" t="s">
        <v>4</v>
      </c>
      <c r="AH81" t="s">
        <v>5538</v>
      </c>
      <c r="AI81" t="s">
        <v>5398</v>
      </c>
      <c r="AJ81" t="s">
        <v>4</v>
      </c>
      <c r="AK81">
        <v>9331302812</v>
      </c>
      <c r="AL81" t="s">
        <v>5539</v>
      </c>
      <c r="AM81" t="s">
        <v>5540</v>
      </c>
      <c r="AN81" t="s">
        <v>12</v>
      </c>
      <c r="AO81" t="s">
        <v>5039</v>
      </c>
      <c r="AP81" t="s">
        <v>4</v>
      </c>
      <c r="AQ81" t="s">
        <v>10</v>
      </c>
      <c r="AR81" t="s">
        <v>12</v>
      </c>
      <c r="AS81" t="s">
        <v>12</v>
      </c>
      <c r="AT81" t="s">
        <v>4</v>
      </c>
      <c r="AU81" t="s">
        <v>4</v>
      </c>
      <c r="AV81" t="s">
        <v>4</v>
      </c>
      <c r="AW81" t="s">
        <v>11</v>
      </c>
      <c r="AX81">
        <v>7500</v>
      </c>
      <c r="AY81">
        <v>5400</v>
      </c>
      <c r="AZ81" t="s">
        <v>12</v>
      </c>
      <c r="BA81" t="s">
        <v>12</v>
      </c>
      <c r="BB81" t="s">
        <v>4</v>
      </c>
      <c r="BC81" t="s">
        <v>5309</v>
      </c>
      <c r="BD81" t="s">
        <v>5072</v>
      </c>
      <c r="BE81" t="s">
        <v>4</v>
      </c>
      <c r="BF81" t="s">
        <v>12</v>
      </c>
      <c r="BG81" t="s">
        <v>4</v>
      </c>
      <c r="BH81" t="s">
        <v>12</v>
      </c>
      <c r="BI81" t="s">
        <v>12</v>
      </c>
      <c r="BJ81" t="s">
        <v>5398</v>
      </c>
      <c r="BK81" t="s">
        <v>4</v>
      </c>
      <c r="BL81">
        <v>0</v>
      </c>
      <c r="BM81" t="s">
        <v>12</v>
      </c>
      <c r="BN81">
        <v>12900</v>
      </c>
      <c r="BO81" t="s">
        <v>12</v>
      </c>
      <c r="BP81" t="s">
        <v>12</v>
      </c>
      <c r="BQ81" t="s">
        <v>12</v>
      </c>
      <c r="BR81" t="s">
        <v>4</v>
      </c>
      <c r="BS81" t="s">
        <v>4</v>
      </c>
      <c r="BT81" t="s">
        <v>4</v>
      </c>
      <c r="BU81" t="s">
        <v>12</v>
      </c>
      <c r="BV81" t="s">
        <v>4</v>
      </c>
      <c r="BW81" t="s">
        <v>3</v>
      </c>
      <c r="BX81" t="s">
        <v>4</v>
      </c>
      <c r="BY81" t="s">
        <v>12</v>
      </c>
      <c r="BZ81" t="s">
        <v>12</v>
      </c>
      <c r="CA81" t="s">
        <v>12</v>
      </c>
      <c r="CB81" t="s">
        <v>1074</v>
      </c>
      <c r="CC81" t="s">
        <v>12</v>
      </c>
      <c r="CD81" t="str" cm="1">
        <f t="array" aca="1" ref="CD81" ca="1">eConcatenar(A81:CB81,"|")</f>
        <v>5ibaDZOiYGDPmWIr|COM2018-0706|3|ECONOLINE|TABASCO|PARAISO|PARAISO|2018-5-17|12900|X|X|200|1|x|X|x|X|X|X|X|X|X|X|X|x|X|x|JIMENEZ|DE LA CRUZ|RAUL|CASADO|X|X|CALLE SAN JOSE SIN NUMERO|ORIENTE PRIMERA SECCION|X|9331302812|RUDIBI JAVIER CASTILLO |BENEFICIARIO 2: JOSE MANUEL JIMENEZ JAVIER|x|RUTA 4 L|X|LUNES|x|x|X|X|X|DOMICILIO|7500|5400|x|x|X|2021-9-06|2021-10-04|X|x|X|x|x|ORIENTE PRIMERA SECCION|X|0|x|12900|x|x|x|X|X|X|x|X|CARDENAS|X|x|x|x|final</v>
      </c>
    </row>
    <row r="82" spans="1:82" x14ac:dyDescent="0.25">
      <c r="A82" t="s">
        <v>5541</v>
      </c>
      <c r="B82" t="s">
        <v>5542</v>
      </c>
      <c r="C82">
        <v>3</v>
      </c>
      <c r="D82" t="s">
        <v>65</v>
      </c>
      <c r="E82" t="s">
        <v>2</v>
      </c>
      <c r="F82" t="s">
        <v>654</v>
      </c>
      <c r="G82" t="s">
        <v>654</v>
      </c>
      <c r="H82" t="s">
        <v>5543</v>
      </c>
      <c r="I82">
        <v>14800</v>
      </c>
      <c r="J82" t="s">
        <v>4</v>
      </c>
      <c r="K82" s="3" t="s">
        <v>4</v>
      </c>
      <c r="L82">
        <v>100</v>
      </c>
      <c r="M82">
        <v>0</v>
      </c>
      <c r="N82" t="s">
        <v>12</v>
      </c>
      <c r="O82" t="s">
        <v>4</v>
      </c>
      <c r="P82" t="s">
        <v>12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12</v>
      </c>
      <c r="Z82" t="s">
        <v>4</v>
      </c>
      <c r="AA82" t="s">
        <v>12</v>
      </c>
      <c r="AB82" t="s">
        <v>4772</v>
      </c>
      <c r="AC82" t="s">
        <v>265</v>
      </c>
      <c r="AD82" t="s">
        <v>4722</v>
      </c>
      <c r="AE82" t="s">
        <v>24</v>
      </c>
      <c r="AF82" t="s">
        <v>4</v>
      </c>
      <c r="AG82" t="s">
        <v>4</v>
      </c>
      <c r="AH82" t="s">
        <v>5544</v>
      </c>
      <c r="AI82" t="s">
        <v>688</v>
      </c>
      <c r="AJ82" t="s">
        <v>4</v>
      </c>
      <c r="AK82">
        <v>9331383709</v>
      </c>
      <c r="AL82" t="s">
        <v>5545</v>
      </c>
      <c r="AM82" t="s">
        <v>5546</v>
      </c>
      <c r="AN82" t="s">
        <v>12</v>
      </c>
      <c r="AO82" t="s">
        <v>5039</v>
      </c>
      <c r="AP82" t="s">
        <v>4</v>
      </c>
      <c r="AQ82" t="s">
        <v>10</v>
      </c>
      <c r="AR82" t="s">
        <v>12</v>
      </c>
      <c r="AS82" t="s">
        <v>12</v>
      </c>
      <c r="AT82" t="s">
        <v>4</v>
      </c>
      <c r="AU82" t="s">
        <v>4</v>
      </c>
      <c r="AV82" t="s">
        <v>4</v>
      </c>
      <c r="AW82" t="s">
        <v>11</v>
      </c>
      <c r="AX82">
        <v>1100</v>
      </c>
      <c r="AY82">
        <v>13700</v>
      </c>
      <c r="AZ82" t="s">
        <v>12</v>
      </c>
      <c r="BA82" t="s">
        <v>12</v>
      </c>
      <c r="BB82" t="s">
        <v>4</v>
      </c>
      <c r="BC82" t="s">
        <v>1122</v>
      </c>
      <c r="BD82" t="s">
        <v>1133</v>
      </c>
      <c r="BE82" t="s">
        <v>4</v>
      </c>
      <c r="BF82" t="s">
        <v>12</v>
      </c>
      <c r="BG82" t="s">
        <v>4</v>
      </c>
      <c r="BH82" t="s">
        <v>12</v>
      </c>
      <c r="BI82" t="s">
        <v>12</v>
      </c>
      <c r="BJ82" t="s">
        <v>688</v>
      </c>
      <c r="BK82" t="s">
        <v>4</v>
      </c>
      <c r="BL82">
        <v>1</v>
      </c>
      <c r="BM82" t="s">
        <v>12</v>
      </c>
      <c r="BN82">
        <v>14800</v>
      </c>
      <c r="BO82" t="s">
        <v>12</v>
      </c>
      <c r="BP82" t="s">
        <v>12</v>
      </c>
      <c r="BQ82" t="s">
        <v>12</v>
      </c>
      <c r="BR82" t="s">
        <v>4</v>
      </c>
      <c r="BS82" t="s">
        <v>4</v>
      </c>
      <c r="BT82" t="s">
        <v>4</v>
      </c>
      <c r="BU82" t="s">
        <v>12</v>
      </c>
      <c r="BV82" t="s">
        <v>4</v>
      </c>
      <c r="BW82" t="s">
        <v>3</v>
      </c>
      <c r="BX82" t="s">
        <v>4</v>
      </c>
      <c r="BY82" t="s">
        <v>12</v>
      </c>
      <c r="BZ82" t="s">
        <v>12</v>
      </c>
      <c r="CA82" t="s">
        <v>12</v>
      </c>
      <c r="CB82" t="s">
        <v>1074</v>
      </c>
      <c r="CC82" t="s">
        <v>12</v>
      </c>
      <c r="CD82" t="str" cm="1">
        <f t="array" aca="1" ref="CD82" ca="1">eConcatenar(A82:CB82,"|")</f>
        <v>zvakUL0ZRygarn7i|COM2021-1926|3|MEMORIAL|TABASCO|PARAISO|PARAISO|2021-6-07|14800|X|X|100|0|x|X|x|X|X|X|X|X|X|X|X|x|X|x|PEREGRINO|DOMINGUEZ|PATRICIA DEL CARMEN|UNION LIBRE|X|X|CARRETERA VECINAL PARAISO - COMALCALCO|MOCTEZUMA PRIMERA SECCION|X|9331383709|ROSALINO PEREGRINO DOMINGUEZ|BENEFICIARIO 2: LILIANA PEREGRINO DOMINGUEZ|x|RUTA 4 L|X|LUNES|x|x|X|X|X|DOMICILIO|1100|13700|x|x|X|2021-9-13|2021-9-27|X|x|X|x|x|MOCTEZUMA PRIMERA SECCION|X|1|x|14800|x|x|x|X|X|X|x|X|CARDENAS|X|x|x|x|final</v>
      </c>
    </row>
    <row r="83" spans="1:82" x14ac:dyDescent="0.25">
      <c r="A83" t="s">
        <v>5547</v>
      </c>
      <c r="B83" t="s">
        <v>5548</v>
      </c>
      <c r="C83">
        <v>3</v>
      </c>
      <c r="D83" t="s">
        <v>65</v>
      </c>
      <c r="E83" t="s">
        <v>2</v>
      </c>
      <c r="F83" t="s">
        <v>654</v>
      </c>
      <c r="G83" t="s">
        <v>654</v>
      </c>
      <c r="H83" t="s">
        <v>1097</v>
      </c>
      <c r="I83">
        <v>14800</v>
      </c>
      <c r="J83" t="s">
        <v>4</v>
      </c>
      <c r="K83" s="3" t="s">
        <v>4</v>
      </c>
      <c r="L83">
        <v>200</v>
      </c>
      <c r="M83">
        <v>1</v>
      </c>
      <c r="N83" t="s">
        <v>12</v>
      </c>
      <c r="O83" t="s">
        <v>4</v>
      </c>
      <c r="P83" t="s">
        <v>12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12</v>
      </c>
      <c r="Z83" t="s">
        <v>4</v>
      </c>
      <c r="AA83" t="s">
        <v>12</v>
      </c>
      <c r="AB83" t="s">
        <v>294</v>
      </c>
      <c r="AC83" t="s">
        <v>80</v>
      </c>
      <c r="AD83" t="s">
        <v>5549</v>
      </c>
      <c r="AE83" t="s">
        <v>48</v>
      </c>
      <c r="AF83" t="s">
        <v>4</v>
      </c>
      <c r="AG83" t="s">
        <v>4</v>
      </c>
      <c r="AH83" t="s">
        <v>5550</v>
      </c>
      <c r="AI83" t="s">
        <v>688</v>
      </c>
      <c r="AJ83" t="s">
        <v>4</v>
      </c>
      <c r="AK83">
        <v>9331238556</v>
      </c>
      <c r="AL83" t="s">
        <v>5551</v>
      </c>
      <c r="AM83" t="s">
        <v>5552</v>
      </c>
      <c r="AN83" t="s">
        <v>12</v>
      </c>
      <c r="AO83" t="s">
        <v>5039</v>
      </c>
      <c r="AP83" t="s">
        <v>4</v>
      </c>
      <c r="AQ83" t="s">
        <v>10</v>
      </c>
      <c r="AR83" t="s">
        <v>12</v>
      </c>
      <c r="AS83" t="s">
        <v>12</v>
      </c>
      <c r="AT83" t="s">
        <v>4</v>
      </c>
      <c r="AU83" t="s">
        <v>4</v>
      </c>
      <c r="AV83" t="s">
        <v>4</v>
      </c>
      <c r="AW83" t="s">
        <v>11</v>
      </c>
      <c r="AX83">
        <v>800</v>
      </c>
      <c r="AY83">
        <v>14000</v>
      </c>
      <c r="AZ83" t="s">
        <v>12</v>
      </c>
      <c r="BA83" t="s">
        <v>12</v>
      </c>
      <c r="BB83" t="s">
        <v>4</v>
      </c>
      <c r="BC83" t="s">
        <v>5553</v>
      </c>
      <c r="BD83" t="s">
        <v>5072</v>
      </c>
      <c r="BE83" t="s">
        <v>4</v>
      </c>
      <c r="BF83" t="s">
        <v>12</v>
      </c>
      <c r="BG83" t="s">
        <v>4</v>
      </c>
      <c r="BH83" t="s">
        <v>12</v>
      </c>
      <c r="BI83" t="s">
        <v>12</v>
      </c>
      <c r="BJ83" t="s">
        <v>688</v>
      </c>
      <c r="BK83" t="s">
        <v>4</v>
      </c>
      <c r="BL83">
        <v>1</v>
      </c>
      <c r="BM83" t="s">
        <v>12</v>
      </c>
      <c r="BN83">
        <v>14800</v>
      </c>
      <c r="BO83" t="s">
        <v>12</v>
      </c>
      <c r="BP83" t="s">
        <v>12</v>
      </c>
      <c r="BQ83" t="s">
        <v>12</v>
      </c>
      <c r="BR83" t="s">
        <v>4</v>
      </c>
      <c r="BS83" t="s">
        <v>4</v>
      </c>
      <c r="BT83" t="s">
        <v>4</v>
      </c>
      <c r="BU83" t="s">
        <v>12</v>
      </c>
      <c r="BV83" t="s">
        <v>4</v>
      </c>
      <c r="BW83" t="s">
        <v>3</v>
      </c>
      <c r="BX83" t="s">
        <v>4</v>
      </c>
      <c r="BY83" t="s">
        <v>12</v>
      </c>
      <c r="BZ83" t="s">
        <v>12</v>
      </c>
      <c r="CA83" t="s">
        <v>12</v>
      </c>
      <c r="CB83" t="s">
        <v>1074</v>
      </c>
      <c r="CC83" t="s">
        <v>12</v>
      </c>
      <c r="CD83" t="str" cm="1">
        <f t="array" aca="1" ref="CD83" ca="1">eConcatenar(A83:CB83,"|")</f>
        <v>SPsgV3P37aVe70qb|COM2021-1990|3|MEMORIAL|TABASCO|PARAISO|PARAISO|2021-6-15|14800|X|X|200|1|x|X|x|X|X|X|X|X|X|X|X|x|X|x|ARIAS|LOPEZ|HEIDI ALEJANDRA|SOLTERA|X|X|ENTRADA LOS ARIAS|MOCTEZUMA PRIMERA SECCION|X|9331238556|JUANA MARIA ARIAS LOPEZ|BENEFICIARIO 2: FRIDA SHAJADU ARIAS LOPEZ|x|RUTA 4 L|X|LUNES|x|x|X|X|X|DOMICILIO|800|14000|x|x|X|2021-9-07|2021-10-04|X|x|X|x|x|MOCTEZUMA PRIMERA SECCION|X|1|x|14800|x|x|x|X|X|X|x|X|CARDENAS|X|x|x|x|final</v>
      </c>
    </row>
    <row r="84" spans="1:82" x14ac:dyDescent="0.25">
      <c r="A84" t="s">
        <v>5554</v>
      </c>
      <c r="B84" t="s">
        <v>5555</v>
      </c>
      <c r="C84">
        <v>3</v>
      </c>
      <c r="D84" t="s">
        <v>65</v>
      </c>
      <c r="E84" t="s">
        <v>2</v>
      </c>
      <c r="F84" t="s">
        <v>654</v>
      </c>
      <c r="G84" t="s">
        <v>654</v>
      </c>
      <c r="H84" t="s">
        <v>4716</v>
      </c>
      <c r="I84">
        <v>14800</v>
      </c>
      <c r="J84" t="s">
        <v>4</v>
      </c>
      <c r="K84" s="3" t="s">
        <v>4</v>
      </c>
      <c r="L84">
        <v>100</v>
      </c>
      <c r="M84">
        <v>0</v>
      </c>
      <c r="N84" t="s">
        <v>12</v>
      </c>
      <c r="O84" t="s">
        <v>4</v>
      </c>
      <c r="P84" t="s">
        <v>12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12</v>
      </c>
      <c r="Z84" t="s">
        <v>4</v>
      </c>
      <c r="AA84" t="s">
        <v>12</v>
      </c>
      <c r="AB84" t="s">
        <v>109</v>
      </c>
      <c r="AC84" t="s">
        <v>116</v>
      </c>
      <c r="AD84" t="s">
        <v>4848</v>
      </c>
      <c r="AE84" t="s">
        <v>29</v>
      </c>
      <c r="AF84" t="s">
        <v>4</v>
      </c>
      <c r="AG84" t="s">
        <v>4</v>
      </c>
      <c r="AH84" t="s">
        <v>5556</v>
      </c>
      <c r="AI84" t="s">
        <v>5557</v>
      </c>
      <c r="AJ84" t="s">
        <v>4</v>
      </c>
      <c r="AK84">
        <v>9331376346</v>
      </c>
      <c r="AL84" t="s">
        <v>5558</v>
      </c>
      <c r="AM84" t="s">
        <v>4</v>
      </c>
      <c r="AN84" t="s">
        <v>12</v>
      </c>
      <c r="AO84" t="s">
        <v>5039</v>
      </c>
      <c r="AP84" t="s">
        <v>4</v>
      </c>
      <c r="AQ84" t="s">
        <v>10</v>
      </c>
      <c r="AR84" t="s">
        <v>12</v>
      </c>
      <c r="AS84" t="s">
        <v>12</v>
      </c>
      <c r="AT84" t="s">
        <v>4</v>
      </c>
      <c r="AU84" t="s">
        <v>4</v>
      </c>
      <c r="AV84" t="s">
        <v>4</v>
      </c>
      <c r="AW84" t="s">
        <v>11</v>
      </c>
      <c r="AX84">
        <v>900</v>
      </c>
      <c r="AY84">
        <v>13900</v>
      </c>
      <c r="AZ84" t="s">
        <v>12</v>
      </c>
      <c r="BA84" t="s">
        <v>12</v>
      </c>
      <c r="BB84" t="s">
        <v>4</v>
      </c>
      <c r="BC84" t="s">
        <v>1122</v>
      </c>
      <c r="BD84" t="s">
        <v>1133</v>
      </c>
      <c r="BE84" t="s">
        <v>4</v>
      </c>
      <c r="BF84" t="s">
        <v>12</v>
      </c>
      <c r="BG84" t="s">
        <v>4</v>
      </c>
      <c r="BH84" t="s">
        <v>12</v>
      </c>
      <c r="BI84" t="s">
        <v>12</v>
      </c>
      <c r="BJ84" t="s">
        <v>5557</v>
      </c>
      <c r="BK84" t="s">
        <v>4</v>
      </c>
      <c r="BL84">
        <v>1</v>
      </c>
      <c r="BM84" t="s">
        <v>12</v>
      </c>
      <c r="BN84">
        <v>14800</v>
      </c>
      <c r="BO84" t="s">
        <v>12</v>
      </c>
      <c r="BP84" t="s">
        <v>12</v>
      </c>
      <c r="BQ84" t="s">
        <v>12</v>
      </c>
      <c r="BR84" t="s">
        <v>4</v>
      </c>
      <c r="BS84" t="s">
        <v>4</v>
      </c>
      <c r="BT84" t="s">
        <v>4</v>
      </c>
      <c r="BU84" t="s">
        <v>12</v>
      </c>
      <c r="BV84" t="s">
        <v>4</v>
      </c>
      <c r="BW84" t="s">
        <v>3</v>
      </c>
      <c r="BX84" t="s">
        <v>4</v>
      </c>
      <c r="BY84" t="s">
        <v>12</v>
      </c>
      <c r="BZ84" t="s">
        <v>12</v>
      </c>
      <c r="CA84" t="s">
        <v>12</v>
      </c>
      <c r="CB84" t="s">
        <v>1074</v>
      </c>
      <c r="CC84" t="s">
        <v>12</v>
      </c>
      <c r="CD84" t="str" cm="1">
        <f t="array" aca="1" ref="CD84" ca="1">eConcatenar(A84:CB84,"|")</f>
        <v>LxDnbfcxd48GvLyh|COM2021-2376|3|MEMORIAL|TABASCO|PARAISO|PARAISO|2021-7-13|14800|X|X|100|0|x|X|x|X|X|X|X|X|X|X|X|x|X|x|PEREZ|RODRIGUEZ|BARTOLO|CASADA|X|X|CARRETERA VECINAL PARAISO - COMALCALCO SIN NUMERO|MOCTEZUMA SEGUNDA|X|9331376346|SERGIO DEL CARMEN PEREZ TRINIDAD|X|x|RUTA 4 L|X|LUNES|x|x|X|X|X|DOMICILIO|900|13900|x|x|X|2021-9-13|2021-9-27|X|x|X|x|x|MOCTEZUMA SEGUNDA|X|1|x|14800|x|x|x|X|X|X|x|X|CARDENAS|X|x|x|x|final</v>
      </c>
    </row>
    <row r="85" spans="1:82" x14ac:dyDescent="0.25">
      <c r="A85" t="s">
        <v>5559</v>
      </c>
      <c r="B85" t="s">
        <v>5560</v>
      </c>
      <c r="C85">
        <v>3</v>
      </c>
      <c r="D85" t="s">
        <v>65</v>
      </c>
      <c r="E85" t="s">
        <v>2</v>
      </c>
      <c r="F85" t="s">
        <v>654</v>
      </c>
      <c r="G85" t="s">
        <v>654</v>
      </c>
      <c r="H85" t="s">
        <v>4744</v>
      </c>
      <c r="I85">
        <v>14800</v>
      </c>
      <c r="J85" t="s">
        <v>4</v>
      </c>
      <c r="K85" s="3" t="s">
        <v>4</v>
      </c>
      <c r="L85">
        <v>100</v>
      </c>
      <c r="M85">
        <v>0</v>
      </c>
      <c r="N85" t="s">
        <v>12</v>
      </c>
      <c r="O85" t="s">
        <v>4</v>
      </c>
      <c r="P85" t="s">
        <v>12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12</v>
      </c>
      <c r="Z85" t="s">
        <v>4</v>
      </c>
      <c r="AA85" t="s">
        <v>12</v>
      </c>
      <c r="AB85" t="s">
        <v>47</v>
      </c>
      <c r="AC85" t="s">
        <v>109</v>
      </c>
      <c r="AD85" t="s">
        <v>266</v>
      </c>
      <c r="AE85" t="s">
        <v>4</v>
      </c>
      <c r="AF85" t="s">
        <v>4</v>
      </c>
      <c r="AG85" t="s">
        <v>4</v>
      </c>
      <c r="AH85" t="s">
        <v>5508</v>
      </c>
      <c r="AI85" t="s">
        <v>5223</v>
      </c>
      <c r="AJ85" t="s">
        <v>4</v>
      </c>
      <c r="AK85">
        <v>9371223678</v>
      </c>
      <c r="AL85" t="s">
        <v>5561</v>
      </c>
      <c r="AM85" t="s">
        <v>5562</v>
      </c>
      <c r="AN85" t="s">
        <v>12</v>
      </c>
      <c r="AO85" t="s">
        <v>5039</v>
      </c>
      <c r="AP85" t="s">
        <v>4</v>
      </c>
      <c r="AQ85" t="s">
        <v>10</v>
      </c>
      <c r="AR85" t="s">
        <v>12</v>
      </c>
      <c r="AS85" t="s">
        <v>12</v>
      </c>
      <c r="AT85" t="s">
        <v>4</v>
      </c>
      <c r="AU85" t="s">
        <v>4</v>
      </c>
      <c r="AV85" t="s">
        <v>4</v>
      </c>
      <c r="AW85" t="s">
        <v>11</v>
      </c>
      <c r="AX85">
        <v>7250</v>
      </c>
      <c r="AY85">
        <v>7550</v>
      </c>
      <c r="AZ85" t="s">
        <v>12</v>
      </c>
      <c r="BA85" t="s">
        <v>12</v>
      </c>
      <c r="BB85" t="s">
        <v>4</v>
      </c>
      <c r="BC85" t="s">
        <v>1122</v>
      </c>
      <c r="BD85" t="s">
        <v>1133</v>
      </c>
      <c r="BE85" t="s">
        <v>4</v>
      </c>
      <c r="BF85" t="s">
        <v>12</v>
      </c>
      <c r="BG85" t="s">
        <v>4</v>
      </c>
      <c r="BH85" t="s">
        <v>12</v>
      </c>
      <c r="BI85" t="s">
        <v>12</v>
      </c>
      <c r="BJ85" t="s">
        <v>5223</v>
      </c>
      <c r="BK85" t="s">
        <v>4</v>
      </c>
      <c r="BL85">
        <v>0</v>
      </c>
      <c r="BM85" t="s">
        <v>12</v>
      </c>
      <c r="BN85">
        <v>14800</v>
      </c>
      <c r="BO85" t="s">
        <v>12</v>
      </c>
      <c r="BP85" t="s">
        <v>12</v>
      </c>
      <c r="BQ85" t="s">
        <v>12</v>
      </c>
      <c r="BR85" t="s">
        <v>4</v>
      </c>
      <c r="BS85" t="s">
        <v>4</v>
      </c>
      <c r="BT85" t="s">
        <v>4</v>
      </c>
      <c r="BU85" t="s">
        <v>12</v>
      </c>
      <c r="BV85" t="s">
        <v>4</v>
      </c>
      <c r="BW85" t="s">
        <v>3</v>
      </c>
      <c r="BX85" t="s">
        <v>4</v>
      </c>
      <c r="BY85" t="s">
        <v>12</v>
      </c>
      <c r="BZ85" t="s">
        <v>12</v>
      </c>
      <c r="CA85" t="s">
        <v>12</v>
      </c>
      <c r="CB85" t="s">
        <v>1074</v>
      </c>
      <c r="CC85" t="s">
        <v>12</v>
      </c>
      <c r="CD85" t="str" cm="1">
        <f t="array" aca="1" ref="CD85" ca="1">eConcatenar(A85:CB85,"|")</f>
        <v>9TYdY2Q4kohvYLf2|COM2021-3428|3|MEMORIAL|TABASCO|PARAISO|PARAISO|2021-7-12|14800|X|X|100|0|x|X|x|X|X|X|X|X|X|X|X|x|X|x|SANCHEZ|PEREZ|SALOMON|X|X|X|CARRETERA VECINAL COMALCALCO - PARAISO |MOCTEZUMA|X|9371223678|CRISTINA SANCHEZ CHABLE|BENEFICIARIO 2: TERESITA DE JESUS CHABLE SANCHEZ|x|RUTA 4 L|X|LUNES|x|x|X|X|X|DOMICILIO|7250|7550|x|x|X|2021-9-13|2021-9-27|X|x|X|x|x|MOCTEZUMA|X|0|x|14800|x|x|x|X|X|X|x|X|CARDENAS|X|x|x|x|final</v>
      </c>
    </row>
    <row r="86" spans="1:82" x14ac:dyDescent="0.25">
      <c r="A86" t="s">
        <v>5563</v>
      </c>
      <c r="B86" t="s">
        <v>5564</v>
      </c>
      <c r="C86">
        <v>3</v>
      </c>
      <c r="D86" t="s">
        <v>194</v>
      </c>
      <c r="E86" t="s">
        <v>2</v>
      </c>
      <c r="F86" t="s">
        <v>654</v>
      </c>
      <c r="G86" t="s">
        <v>654</v>
      </c>
      <c r="H86" t="s">
        <v>5565</v>
      </c>
      <c r="I86">
        <v>12900</v>
      </c>
      <c r="J86" t="s">
        <v>4</v>
      </c>
      <c r="K86" s="3" t="s">
        <v>4</v>
      </c>
      <c r="L86">
        <v>200</v>
      </c>
      <c r="M86">
        <v>1</v>
      </c>
      <c r="N86" t="s">
        <v>12</v>
      </c>
      <c r="O86" t="s">
        <v>4</v>
      </c>
      <c r="P86" t="s">
        <v>12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12</v>
      </c>
      <c r="Z86" t="s">
        <v>4</v>
      </c>
      <c r="AA86" t="s">
        <v>12</v>
      </c>
      <c r="AB86" t="s">
        <v>5566</v>
      </c>
      <c r="AC86" t="s">
        <v>737</v>
      </c>
      <c r="AD86" t="s">
        <v>5567</v>
      </c>
      <c r="AE86" t="s">
        <v>48</v>
      </c>
      <c r="AF86" t="s">
        <v>4</v>
      </c>
      <c r="AG86" t="s">
        <v>4</v>
      </c>
      <c r="AH86" t="s">
        <v>5568</v>
      </c>
      <c r="AI86" t="s">
        <v>40</v>
      </c>
      <c r="AJ86" t="s">
        <v>4</v>
      </c>
      <c r="AK86">
        <v>9333331872</v>
      </c>
      <c r="AL86" t="s">
        <v>5569</v>
      </c>
      <c r="AM86" t="s">
        <v>5570</v>
      </c>
      <c r="AN86" t="s">
        <v>12</v>
      </c>
      <c r="AO86" t="s">
        <v>5039</v>
      </c>
      <c r="AP86" t="s">
        <v>4</v>
      </c>
      <c r="AQ86" t="s">
        <v>10</v>
      </c>
      <c r="AR86" t="s">
        <v>12</v>
      </c>
      <c r="AS86" t="s">
        <v>12</v>
      </c>
      <c r="AT86" t="s">
        <v>4</v>
      </c>
      <c r="AU86" t="s">
        <v>4</v>
      </c>
      <c r="AV86" t="s">
        <v>4</v>
      </c>
      <c r="AW86" t="s">
        <v>11</v>
      </c>
      <c r="AX86">
        <v>11700</v>
      </c>
      <c r="AY86">
        <v>1200</v>
      </c>
      <c r="AZ86" t="s">
        <v>12</v>
      </c>
      <c r="BA86" t="s">
        <v>12</v>
      </c>
      <c r="BB86" t="s">
        <v>4</v>
      </c>
      <c r="BC86" t="s">
        <v>1129</v>
      </c>
      <c r="BD86" t="s">
        <v>5072</v>
      </c>
      <c r="BE86" t="s">
        <v>4</v>
      </c>
      <c r="BF86" t="s">
        <v>12</v>
      </c>
      <c r="BG86" t="s">
        <v>4</v>
      </c>
      <c r="BH86" t="s">
        <v>12</v>
      </c>
      <c r="BI86" t="s">
        <v>12</v>
      </c>
      <c r="BJ86" t="s">
        <v>40</v>
      </c>
      <c r="BK86" t="s">
        <v>4</v>
      </c>
      <c r="BL86">
        <v>1</v>
      </c>
      <c r="BM86" t="s">
        <v>12</v>
      </c>
      <c r="BN86">
        <v>12900</v>
      </c>
      <c r="BO86" t="s">
        <v>12</v>
      </c>
      <c r="BP86" t="s">
        <v>12</v>
      </c>
      <c r="BQ86" t="s">
        <v>12</v>
      </c>
      <c r="BR86" t="s">
        <v>4</v>
      </c>
      <c r="BS86" t="s">
        <v>4</v>
      </c>
      <c r="BT86" t="s">
        <v>4</v>
      </c>
      <c r="BU86" t="s">
        <v>12</v>
      </c>
      <c r="BV86" t="s">
        <v>4</v>
      </c>
      <c r="BW86" t="s">
        <v>3</v>
      </c>
      <c r="BX86" t="s">
        <v>4</v>
      </c>
      <c r="BY86" t="s">
        <v>12</v>
      </c>
      <c r="BZ86" t="s">
        <v>12</v>
      </c>
      <c r="CA86" t="s">
        <v>12</v>
      </c>
      <c r="CB86" t="s">
        <v>1074</v>
      </c>
      <c r="CC86" t="s">
        <v>12</v>
      </c>
      <c r="CD86" t="str" cm="1">
        <f t="array" aca="1" ref="CD86" ca="1">eConcatenar(A86:CB86,"|")</f>
        <v>xhcOf5CT96oILf4L|COM2018-0605|3|ECONOLINE|TABASCO|PARAISO|PARAISO|2018-5-14|12900|X|X|200|1|x|X|x|X|X|X|X|X|X|X|X|x|X|x|ORTIZ|MENDOZA|NARDA|SOLTERA|X|X|GREGORIO MENDEZ SIN NUMERO|CENTRO|X|9333331872|ROGELIO ORTZ CASTILLO|BENEFICIARIO 2: DALLANI DEL CARMEN ORTIZ MENDOZA|x|RUTA 4 L|X|LUNES|x|x|X|X|X|DOMICILIO|11700|1200|x|x|X|2021-9-20|2021-10-04|X|x|X|x|x|CENTRO|X|1|x|12900|x|x|x|X|X|X|x|X|CARDENAS|X|x|x|x|final</v>
      </c>
    </row>
    <row r="87" spans="1:82" x14ac:dyDescent="0.25">
      <c r="A87" t="s">
        <v>5571</v>
      </c>
      <c r="B87" t="s">
        <v>5572</v>
      </c>
      <c r="C87">
        <v>3</v>
      </c>
      <c r="D87" t="s">
        <v>194</v>
      </c>
      <c r="E87" t="s">
        <v>2</v>
      </c>
      <c r="F87" t="s">
        <v>654</v>
      </c>
      <c r="G87" t="s">
        <v>654</v>
      </c>
      <c r="H87" t="s">
        <v>5573</v>
      </c>
      <c r="I87">
        <v>12900</v>
      </c>
      <c r="J87" t="s">
        <v>4</v>
      </c>
      <c r="K87" s="3" t="s">
        <v>4</v>
      </c>
      <c r="L87">
        <v>100</v>
      </c>
      <c r="M87">
        <v>0</v>
      </c>
      <c r="N87" t="s">
        <v>12</v>
      </c>
      <c r="O87" t="s">
        <v>4</v>
      </c>
      <c r="P87" t="s">
        <v>12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12</v>
      </c>
      <c r="Z87" t="s">
        <v>4</v>
      </c>
      <c r="AA87" t="s">
        <v>12</v>
      </c>
      <c r="AB87" t="s">
        <v>293</v>
      </c>
      <c r="AC87" t="s">
        <v>109</v>
      </c>
      <c r="AD87" t="s">
        <v>381</v>
      </c>
      <c r="AE87" t="s">
        <v>59</v>
      </c>
      <c r="AF87" t="s">
        <v>4</v>
      </c>
      <c r="AG87" t="s">
        <v>4</v>
      </c>
      <c r="AH87" t="s">
        <v>5574</v>
      </c>
      <c r="AI87" t="s">
        <v>5398</v>
      </c>
      <c r="AJ87" t="s">
        <v>4</v>
      </c>
      <c r="AK87">
        <v>9331047458</v>
      </c>
      <c r="AL87" t="s">
        <v>5575</v>
      </c>
      <c r="AM87" t="s">
        <v>5576</v>
      </c>
      <c r="AN87" t="s">
        <v>12</v>
      </c>
      <c r="AO87" t="s">
        <v>5039</v>
      </c>
      <c r="AP87" t="s">
        <v>4</v>
      </c>
      <c r="AQ87" t="s">
        <v>10</v>
      </c>
      <c r="AR87" t="s">
        <v>12</v>
      </c>
      <c r="AS87" t="s">
        <v>12</v>
      </c>
      <c r="AT87" t="s">
        <v>4</v>
      </c>
      <c r="AU87" t="s">
        <v>4</v>
      </c>
      <c r="AV87" t="s">
        <v>4</v>
      </c>
      <c r="AW87" t="s">
        <v>11</v>
      </c>
      <c r="AX87">
        <v>8200</v>
      </c>
      <c r="AY87">
        <v>4700</v>
      </c>
      <c r="AZ87" t="s">
        <v>12</v>
      </c>
      <c r="BA87" t="s">
        <v>12</v>
      </c>
      <c r="BB87" t="s">
        <v>4</v>
      </c>
      <c r="BC87" t="s">
        <v>1129</v>
      </c>
      <c r="BD87" t="s">
        <v>1133</v>
      </c>
      <c r="BE87" t="s">
        <v>4</v>
      </c>
      <c r="BF87" t="s">
        <v>12</v>
      </c>
      <c r="BG87" t="s">
        <v>4</v>
      </c>
      <c r="BH87" t="s">
        <v>12</v>
      </c>
      <c r="BI87" t="s">
        <v>12</v>
      </c>
      <c r="BJ87" t="s">
        <v>5398</v>
      </c>
      <c r="BK87" t="s">
        <v>4</v>
      </c>
      <c r="BL87">
        <v>0</v>
      </c>
      <c r="BM87" t="s">
        <v>12</v>
      </c>
      <c r="BN87">
        <v>12900</v>
      </c>
      <c r="BO87" t="s">
        <v>12</v>
      </c>
      <c r="BP87" t="s">
        <v>12</v>
      </c>
      <c r="BQ87" t="s">
        <v>12</v>
      </c>
      <c r="BR87" t="s">
        <v>4</v>
      </c>
      <c r="BS87" t="s">
        <v>4</v>
      </c>
      <c r="BT87" t="s">
        <v>4</v>
      </c>
      <c r="BU87" t="s">
        <v>12</v>
      </c>
      <c r="BV87" t="s">
        <v>4</v>
      </c>
      <c r="BW87" t="s">
        <v>3</v>
      </c>
      <c r="BX87" t="s">
        <v>4</v>
      </c>
      <c r="BY87" t="s">
        <v>12</v>
      </c>
      <c r="BZ87" t="s">
        <v>12</v>
      </c>
      <c r="CA87" t="s">
        <v>12</v>
      </c>
      <c r="CB87" t="s">
        <v>1074</v>
      </c>
      <c r="CC87" t="s">
        <v>12</v>
      </c>
      <c r="CD87" t="str" cm="1">
        <f t="array" aca="1" ref="CD87" ca="1">eConcatenar(A87:CB87,"|")</f>
        <v>P2rU25K4DaP6tLvJ|COM2018-0600|3|ECONOLINE|TABASCO|PARAISO|PARAISO|2018-5-12|12900|X|X|100|0|x|X|x|X|X|X|X|X|X|X|X|x|X|x|BAUTISTA|PEREZ|MIGUEL|CASADO|X|X|ENTRADA SOBRINO SIN NUMERO|ORIENTE PRIMERA SECCION|X|9331047458|MARTHA PEREZ CHABLE|BENEFICIARIO 2: SEBASTIAN BAUTISTA IZQUIERDO|x|RUTA 4 L|X|LUNES|x|x|X|X|X|DOMICILIO|8200|4700|x|x|X|2021-9-20|2021-9-27|X|x|X|x|x|ORIENTE PRIMERA SECCION|X|0|x|12900|x|x|x|X|X|X|x|X|CARDENAS|X|x|x|x|final</v>
      </c>
    </row>
    <row r="88" spans="1:82" x14ac:dyDescent="0.25">
      <c r="A88" t="s">
        <v>5577</v>
      </c>
      <c r="B88" t="s">
        <v>5578</v>
      </c>
      <c r="C88">
        <v>3</v>
      </c>
      <c r="D88" t="s">
        <v>194</v>
      </c>
      <c r="E88" t="s">
        <v>2</v>
      </c>
      <c r="F88" t="s">
        <v>722</v>
      </c>
      <c r="G88" t="s">
        <v>722</v>
      </c>
      <c r="H88" t="s">
        <v>5579</v>
      </c>
      <c r="I88">
        <v>12900</v>
      </c>
      <c r="J88" t="s">
        <v>4</v>
      </c>
      <c r="K88" s="3" t="s">
        <v>4</v>
      </c>
      <c r="L88">
        <v>100</v>
      </c>
      <c r="M88">
        <v>0</v>
      </c>
      <c r="N88" t="s">
        <v>12</v>
      </c>
      <c r="O88" t="s">
        <v>4</v>
      </c>
      <c r="P88" t="s">
        <v>12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12</v>
      </c>
      <c r="Z88" t="s">
        <v>4</v>
      </c>
      <c r="AA88" t="s">
        <v>12</v>
      </c>
      <c r="AB88" t="s">
        <v>265</v>
      </c>
      <c r="AC88" t="s">
        <v>293</v>
      </c>
      <c r="AD88" t="s">
        <v>249</v>
      </c>
      <c r="AE88" t="s">
        <v>134</v>
      </c>
      <c r="AF88" t="s">
        <v>4</v>
      </c>
      <c r="AG88" t="s">
        <v>4</v>
      </c>
      <c r="AH88" t="s">
        <v>5411</v>
      </c>
      <c r="AI88" t="s">
        <v>5378</v>
      </c>
      <c r="AJ88" t="s">
        <v>4</v>
      </c>
      <c r="AK88">
        <v>9331239376</v>
      </c>
      <c r="AL88" t="s">
        <v>5580</v>
      </c>
      <c r="AM88" t="s">
        <v>5581</v>
      </c>
      <c r="AN88" t="s">
        <v>12</v>
      </c>
      <c r="AO88" t="s">
        <v>5039</v>
      </c>
      <c r="AP88" t="s">
        <v>4</v>
      </c>
      <c r="AQ88" t="s">
        <v>10</v>
      </c>
      <c r="AR88" t="s">
        <v>12</v>
      </c>
      <c r="AS88" t="s">
        <v>12</v>
      </c>
      <c r="AT88" t="s">
        <v>4</v>
      </c>
      <c r="AU88" t="s">
        <v>4</v>
      </c>
      <c r="AV88" t="s">
        <v>4</v>
      </c>
      <c r="AW88" t="s">
        <v>11</v>
      </c>
      <c r="AX88">
        <v>6800</v>
      </c>
      <c r="AY88">
        <v>6100</v>
      </c>
      <c r="AZ88" t="s">
        <v>12</v>
      </c>
      <c r="BA88" t="s">
        <v>12</v>
      </c>
      <c r="BB88" t="s">
        <v>4</v>
      </c>
      <c r="BC88" t="s">
        <v>1129</v>
      </c>
      <c r="BD88" t="s">
        <v>1133</v>
      </c>
      <c r="BE88" t="s">
        <v>4</v>
      </c>
      <c r="BF88" t="s">
        <v>12</v>
      </c>
      <c r="BG88" t="s">
        <v>4</v>
      </c>
      <c r="BH88" t="s">
        <v>12</v>
      </c>
      <c r="BI88" t="s">
        <v>12</v>
      </c>
      <c r="BJ88" t="s">
        <v>5378</v>
      </c>
      <c r="BK88" t="s">
        <v>4</v>
      </c>
      <c r="BL88">
        <v>1</v>
      </c>
      <c r="BM88" t="s">
        <v>12</v>
      </c>
      <c r="BN88">
        <v>12900</v>
      </c>
      <c r="BO88" t="s">
        <v>12</v>
      </c>
      <c r="BP88" t="s">
        <v>12</v>
      </c>
      <c r="BQ88" t="s">
        <v>12</v>
      </c>
      <c r="BR88" t="s">
        <v>4</v>
      </c>
      <c r="BS88" t="s">
        <v>4</v>
      </c>
      <c r="BT88" t="s">
        <v>4</v>
      </c>
      <c r="BU88" t="s">
        <v>12</v>
      </c>
      <c r="BV88" t="s">
        <v>4</v>
      </c>
      <c r="BW88" t="s">
        <v>3</v>
      </c>
      <c r="BX88" t="s">
        <v>4</v>
      </c>
      <c r="BY88" t="s">
        <v>12</v>
      </c>
      <c r="BZ88" t="s">
        <v>12</v>
      </c>
      <c r="CA88" t="s">
        <v>12</v>
      </c>
      <c r="CB88" t="s">
        <v>1074</v>
      </c>
      <c r="CC88" t="s">
        <v>12</v>
      </c>
      <c r="CD88" t="str" cm="1">
        <f t="array" aca="1" ref="CD88" ca="1">eConcatenar(A88:CB88,"|")</f>
        <v>ChnrVLEoFaqoDpWz|COM2020-0992|3|ECONOLINE|TABASCO|COMALCALCO|COMALCALCO|2020-7-01|12900|X|X|100|0|x|X|x|X|X|X|X|X|X|X|X|x|X|x|DOMINGUEZ|BAUTISTA|MARIA DEL CARMEN|VIUDA|X|X|CARRETERA COMALCALCO - PARAISO|NORTE SEGUNDA SECCION|X|9331239376|KARINA BAUTISTA DOMINGUEZ|BENEFICIARIO 2: JAYLIN BAUTISTA DOMINGUEZ|x|RUTA 4 L|X|LUNES|x|x|X|X|X|DOMICILIO|6800|6100|x|x|X|2021-9-20|2021-9-27|X|x|X|x|x|NORTE SEGUNDA SECCION|X|1|x|12900|x|x|x|X|X|X|x|X|CARDENAS|X|x|x|x|final</v>
      </c>
    </row>
    <row r="89" spans="1:82" x14ac:dyDescent="0.25">
      <c r="A89" t="s">
        <v>5582</v>
      </c>
      <c r="B89" t="s">
        <v>5583</v>
      </c>
      <c r="C89">
        <v>3</v>
      </c>
      <c r="D89" t="s">
        <v>14</v>
      </c>
      <c r="E89" t="s">
        <v>2</v>
      </c>
      <c r="F89" t="s">
        <v>722</v>
      </c>
      <c r="G89" t="s">
        <v>722</v>
      </c>
      <c r="H89" t="s">
        <v>5579</v>
      </c>
      <c r="I89">
        <v>19800</v>
      </c>
      <c r="J89" t="s">
        <v>4</v>
      </c>
      <c r="K89" s="3" t="s">
        <v>4</v>
      </c>
      <c r="L89">
        <v>100</v>
      </c>
      <c r="M89">
        <v>0</v>
      </c>
      <c r="N89" t="s">
        <v>12</v>
      </c>
      <c r="O89" t="s">
        <v>4</v>
      </c>
      <c r="P89" t="s">
        <v>12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12</v>
      </c>
      <c r="Z89" t="s">
        <v>4</v>
      </c>
      <c r="AA89" t="s">
        <v>12</v>
      </c>
      <c r="AB89" t="s">
        <v>5584</v>
      </c>
      <c r="AC89" t="s">
        <v>5130</v>
      </c>
      <c r="AD89" t="s">
        <v>5585</v>
      </c>
      <c r="AE89" t="s">
        <v>17</v>
      </c>
      <c r="AF89" t="s">
        <v>4</v>
      </c>
      <c r="AG89" t="s">
        <v>4</v>
      </c>
      <c r="AH89" t="s">
        <v>5586</v>
      </c>
      <c r="AI89" t="s">
        <v>726</v>
      </c>
      <c r="AJ89" t="s">
        <v>4</v>
      </c>
      <c r="AK89">
        <v>9333255105</v>
      </c>
      <c r="AL89" t="s">
        <v>5587</v>
      </c>
      <c r="AM89" t="s">
        <v>5588</v>
      </c>
      <c r="AN89" t="s">
        <v>12</v>
      </c>
      <c r="AO89" t="s">
        <v>5039</v>
      </c>
      <c r="AP89" t="s">
        <v>4</v>
      </c>
      <c r="AQ89" t="s">
        <v>10</v>
      </c>
      <c r="AR89" t="s">
        <v>12</v>
      </c>
      <c r="AS89" t="s">
        <v>12</v>
      </c>
      <c r="AT89" t="s">
        <v>4</v>
      </c>
      <c r="AU89" t="s">
        <v>4</v>
      </c>
      <c r="AV89" t="s">
        <v>4</v>
      </c>
      <c r="AW89" t="s">
        <v>11</v>
      </c>
      <c r="AX89">
        <v>6400</v>
      </c>
      <c r="AY89">
        <v>13400</v>
      </c>
      <c r="AZ89" t="s">
        <v>12</v>
      </c>
      <c r="BA89" t="s">
        <v>12</v>
      </c>
      <c r="BB89" t="s">
        <v>4</v>
      </c>
      <c r="BC89" t="s">
        <v>1129</v>
      </c>
      <c r="BD89" t="s">
        <v>1133</v>
      </c>
      <c r="BE89" t="s">
        <v>4</v>
      </c>
      <c r="BF89" t="s">
        <v>12</v>
      </c>
      <c r="BG89" t="s">
        <v>4</v>
      </c>
      <c r="BH89" t="s">
        <v>12</v>
      </c>
      <c r="BI89" t="s">
        <v>12</v>
      </c>
      <c r="BJ89" t="s">
        <v>726</v>
      </c>
      <c r="BK89" t="s">
        <v>4</v>
      </c>
      <c r="BL89">
        <v>0</v>
      </c>
      <c r="BM89" t="s">
        <v>12</v>
      </c>
      <c r="BN89">
        <v>19800</v>
      </c>
      <c r="BO89" t="s">
        <v>12</v>
      </c>
      <c r="BP89" t="s">
        <v>12</v>
      </c>
      <c r="BQ89" t="s">
        <v>12</v>
      </c>
      <c r="BR89" t="s">
        <v>4</v>
      </c>
      <c r="BS89" t="s">
        <v>4</v>
      </c>
      <c r="BT89" t="s">
        <v>4</v>
      </c>
      <c r="BU89" t="s">
        <v>12</v>
      </c>
      <c r="BV89" t="s">
        <v>4</v>
      </c>
      <c r="BW89" t="s">
        <v>3</v>
      </c>
      <c r="BX89" t="s">
        <v>4</v>
      </c>
      <c r="BY89" t="s">
        <v>12</v>
      </c>
      <c r="BZ89" t="s">
        <v>12</v>
      </c>
      <c r="CA89" t="s">
        <v>12</v>
      </c>
      <c r="CB89" t="s">
        <v>1074</v>
      </c>
      <c r="CC89" t="s">
        <v>12</v>
      </c>
      <c r="CD89" t="str" cm="1">
        <f t="array" aca="1" ref="CD89" ca="1">eConcatenar(A89:CB89,"|")</f>
        <v>LYcSmOf1iUzZHYu3|COM2020-0990|3|ZAFIRO|TABASCO|COMALCALCO|COMALCALCO|2020-7-01|19800|X|X|100|0|x|X|x|X|X|X|X|X|X|X|X|x|X|x|CASTELLANO |PALMA|ALVARO|SOLTERO|X|X|CARRETERA FEDERAL COMALCALCO - PARAISO|NORTE PRIMERA SECCION|X|9333255105|AMELIA CASTELLANO DOMINGUEZ|BENEFICIARIO 2: ALVA CASTELLANO DOMINGUEZ|x|RUTA 4 L|X|LUNES|x|x|X|X|X|DOMICILIO|6400|13400|x|x|X|2021-9-20|2021-9-27|X|x|X|x|x|NORTE PRIMERA SECCION|X|0|x|19800|x|x|x|X|X|X|x|X|CARDENAS|X|x|x|x|final</v>
      </c>
    </row>
    <row r="90" spans="1:82" x14ac:dyDescent="0.25">
      <c r="A90" t="s">
        <v>5589</v>
      </c>
      <c r="B90" t="s">
        <v>5590</v>
      </c>
      <c r="C90">
        <v>3</v>
      </c>
      <c r="D90" t="s">
        <v>194</v>
      </c>
      <c r="E90" t="s">
        <v>2</v>
      </c>
      <c r="F90" t="s">
        <v>654</v>
      </c>
      <c r="G90" t="s">
        <v>654</v>
      </c>
      <c r="H90" t="s">
        <v>5591</v>
      </c>
      <c r="I90">
        <v>12900</v>
      </c>
      <c r="J90" t="s">
        <v>4</v>
      </c>
      <c r="K90" s="3" t="s">
        <v>4</v>
      </c>
      <c r="L90">
        <v>100</v>
      </c>
      <c r="M90">
        <v>0</v>
      </c>
      <c r="N90" t="s">
        <v>12</v>
      </c>
      <c r="O90" t="s">
        <v>4</v>
      </c>
      <c r="P90" t="s">
        <v>12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12</v>
      </c>
      <c r="Z90" t="s">
        <v>4</v>
      </c>
      <c r="AA90" t="s">
        <v>12</v>
      </c>
      <c r="AB90" t="s">
        <v>764</v>
      </c>
      <c r="AC90" t="s">
        <v>55</v>
      </c>
      <c r="AD90" t="s">
        <v>5592</v>
      </c>
      <c r="AE90" t="s">
        <v>29</v>
      </c>
      <c r="AF90" t="s">
        <v>4</v>
      </c>
      <c r="AG90" t="s">
        <v>4</v>
      </c>
      <c r="AH90" t="s">
        <v>5350</v>
      </c>
      <c r="AI90" t="s">
        <v>577</v>
      </c>
      <c r="AJ90" t="s">
        <v>4</v>
      </c>
      <c r="AK90">
        <v>9331578560</v>
      </c>
      <c r="AL90" t="s">
        <v>5593</v>
      </c>
      <c r="AM90" t="s">
        <v>5594</v>
      </c>
      <c r="AN90" t="s">
        <v>12</v>
      </c>
      <c r="AO90" t="s">
        <v>5039</v>
      </c>
      <c r="AP90" t="s">
        <v>4</v>
      </c>
      <c r="AQ90" t="s">
        <v>10</v>
      </c>
      <c r="AR90" t="s">
        <v>12</v>
      </c>
      <c r="AS90" t="s">
        <v>12</v>
      </c>
      <c r="AT90" t="s">
        <v>4</v>
      </c>
      <c r="AU90" t="s">
        <v>4</v>
      </c>
      <c r="AV90" t="s">
        <v>4</v>
      </c>
      <c r="AW90" t="s">
        <v>11</v>
      </c>
      <c r="AX90">
        <v>10350</v>
      </c>
      <c r="AY90">
        <v>2550</v>
      </c>
      <c r="AZ90" t="s">
        <v>12</v>
      </c>
      <c r="BA90" t="s">
        <v>12</v>
      </c>
      <c r="BB90" t="s">
        <v>4</v>
      </c>
      <c r="BC90" t="s">
        <v>1129</v>
      </c>
      <c r="BD90" t="s">
        <v>1133</v>
      </c>
      <c r="BE90" t="s">
        <v>4</v>
      </c>
      <c r="BF90" t="s">
        <v>12</v>
      </c>
      <c r="BG90" t="s">
        <v>4</v>
      </c>
      <c r="BH90" t="s">
        <v>12</v>
      </c>
      <c r="BI90" t="s">
        <v>12</v>
      </c>
      <c r="BJ90" t="s">
        <v>577</v>
      </c>
      <c r="BK90" t="s">
        <v>4</v>
      </c>
      <c r="BL90">
        <v>1</v>
      </c>
      <c r="BM90" t="s">
        <v>12</v>
      </c>
      <c r="BN90">
        <v>12900</v>
      </c>
      <c r="BO90" t="s">
        <v>12</v>
      </c>
      <c r="BP90" t="s">
        <v>12</v>
      </c>
      <c r="BQ90" t="s">
        <v>12</v>
      </c>
      <c r="BR90" t="s">
        <v>4</v>
      </c>
      <c r="BS90" t="s">
        <v>4</v>
      </c>
      <c r="BT90" t="s">
        <v>4</v>
      </c>
      <c r="BU90" t="s">
        <v>12</v>
      </c>
      <c r="BV90" t="s">
        <v>4</v>
      </c>
      <c r="BW90" t="s">
        <v>3</v>
      </c>
      <c r="BX90" t="s">
        <v>4</v>
      </c>
      <c r="BY90" t="s">
        <v>12</v>
      </c>
      <c r="BZ90" t="s">
        <v>12</v>
      </c>
      <c r="CA90" t="s">
        <v>12</v>
      </c>
      <c r="CB90" t="s">
        <v>1074</v>
      </c>
      <c r="CC90" t="s">
        <v>12</v>
      </c>
      <c r="CD90" t="str" cm="1">
        <f t="array" aca="1" ref="CD90" ca="1">eConcatenar(A90:CB90,"|")</f>
        <v>5TnJVTx1VX6FwDCw|COM2018-0713|3|ECONOLINE|TABASCO|PARAISO|PARAISO|2018-5-18|12900|X|X|100|0|x|X|x|X|X|X|X|X|X|X|X|x|X|x|ANGULO|GARCIA|FLORINDA|CASADA|X|X|CARRETERA FEDERAL PARAISO - COMALCALCO |QUINTIN ARAUZ|X|9331578560|MARIA GUADALUPE AYALA ANGULO|BENEFICIARIO 2: RITA GUADALUPE ANGULO ANGULO|x|RUTA 4 L|X|LUNES|x|x|X|X|X|DOMICILIO|10350|2550|x|x|X|2021-9-20|2021-9-27|X|x|X|x|x|QUINTIN ARAUZ|X|1|x|12900|x|x|x|X|X|X|x|X|CARDENAS|X|x|x|x|final</v>
      </c>
    </row>
    <row r="91" spans="1:82" x14ac:dyDescent="0.25">
      <c r="A91" t="s">
        <v>5595</v>
      </c>
      <c r="B91" t="s">
        <v>5596</v>
      </c>
      <c r="C91">
        <v>3</v>
      </c>
      <c r="D91" t="s">
        <v>1</v>
      </c>
      <c r="E91" t="s">
        <v>2</v>
      </c>
      <c r="F91" t="s">
        <v>722</v>
      </c>
      <c r="G91" t="s">
        <v>722</v>
      </c>
      <c r="H91" t="s">
        <v>5057</v>
      </c>
      <c r="I91">
        <v>12900</v>
      </c>
      <c r="J91" t="s">
        <v>4</v>
      </c>
      <c r="K91" s="3" t="s">
        <v>4</v>
      </c>
      <c r="L91">
        <v>200</v>
      </c>
      <c r="M91">
        <v>1</v>
      </c>
      <c r="N91" t="s">
        <v>12</v>
      </c>
      <c r="O91" t="s">
        <v>4</v>
      </c>
      <c r="P91" t="s">
        <v>12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12</v>
      </c>
      <c r="Z91" t="s">
        <v>4</v>
      </c>
      <c r="AA91" t="s">
        <v>12</v>
      </c>
      <c r="AB91" t="s">
        <v>99</v>
      </c>
      <c r="AC91" t="s">
        <v>350</v>
      </c>
      <c r="AD91" t="s">
        <v>5597</v>
      </c>
      <c r="AE91" t="s">
        <v>59</v>
      </c>
      <c r="AF91" t="s">
        <v>4</v>
      </c>
      <c r="AG91" t="s">
        <v>4</v>
      </c>
      <c r="AH91" t="s">
        <v>5598</v>
      </c>
      <c r="AI91" t="s">
        <v>5059</v>
      </c>
      <c r="AJ91" t="s">
        <v>4</v>
      </c>
      <c r="AK91">
        <v>9331228584</v>
      </c>
      <c r="AL91" t="s">
        <v>5599</v>
      </c>
      <c r="AM91" t="s">
        <v>5600</v>
      </c>
      <c r="AN91" t="s">
        <v>12</v>
      </c>
      <c r="AO91" t="s">
        <v>5039</v>
      </c>
      <c r="AP91" t="s">
        <v>4</v>
      </c>
      <c r="AQ91" t="s">
        <v>10</v>
      </c>
      <c r="AR91" t="s">
        <v>12</v>
      </c>
      <c r="AS91" t="s">
        <v>12</v>
      </c>
      <c r="AT91" t="s">
        <v>4</v>
      </c>
      <c r="AU91" t="s">
        <v>4</v>
      </c>
      <c r="AV91" t="s">
        <v>4</v>
      </c>
      <c r="AW91" t="s">
        <v>11</v>
      </c>
      <c r="AX91">
        <v>4600</v>
      </c>
      <c r="AY91">
        <v>8300</v>
      </c>
      <c r="AZ91" t="s">
        <v>12</v>
      </c>
      <c r="BA91" t="s">
        <v>12</v>
      </c>
      <c r="BB91" t="s">
        <v>4</v>
      </c>
      <c r="BC91" t="s">
        <v>1129</v>
      </c>
      <c r="BD91" t="s">
        <v>5072</v>
      </c>
      <c r="BE91" t="s">
        <v>4</v>
      </c>
      <c r="BF91" t="s">
        <v>12</v>
      </c>
      <c r="BG91" t="s">
        <v>4</v>
      </c>
      <c r="BH91" t="s">
        <v>12</v>
      </c>
      <c r="BI91" t="s">
        <v>12</v>
      </c>
      <c r="BJ91" t="s">
        <v>5059</v>
      </c>
      <c r="BK91" t="s">
        <v>4</v>
      </c>
      <c r="BL91">
        <v>0</v>
      </c>
      <c r="BM91" t="s">
        <v>12</v>
      </c>
      <c r="BN91">
        <v>12900</v>
      </c>
      <c r="BO91" t="s">
        <v>12</v>
      </c>
      <c r="BP91" t="s">
        <v>12</v>
      </c>
      <c r="BQ91" t="s">
        <v>12</v>
      </c>
      <c r="BR91" t="s">
        <v>4</v>
      </c>
      <c r="BS91" t="s">
        <v>4</v>
      </c>
      <c r="BT91" t="s">
        <v>4</v>
      </c>
      <c r="BU91" t="s">
        <v>12</v>
      </c>
      <c r="BV91" t="s">
        <v>4</v>
      </c>
      <c r="BW91" t="s">
        <v>3</v>
      </c>
      <c r="BX91" t="s">
        <v>4</v>
      </c>
      <c r="BY91" t="s">
        <v>12</v>
      </c>
      <c r="BZ91" t="s">
        <v>12</v>
      </c>
      <c r="CA91" t="s">
        <v>12</v>
      </c>
      <c r="CB91" t="s">
        <v>1074</v>
      </c>
      <c r="CC91" t="s">
        <v>12</v>
      </c>
      <c r="CD91" t="str" cm="1">
        <f t="array" aca="1" ref="CD91" ca="1">eConcatenar(A91:CB91,"|")</f>
        <v>v6i7H4iJdosJoM8Y|COM2020-3356|3|IMPERIAL DE LUJO|TABASCO|COMALCALCO|COMALCALCO|2020-10-10|12900|X|X|200|1|x|X|x|X|X|X|X|X|X|X|X|x|X|x|DIAZ|MENDEZ|ISAIAS|CASADO|X|X|ENTRADA LOS PINOS|INDEPENDENCIA PRIMERA SECCION|X|9331228584|JOSE ALFREDO DIAZ TORRES|BENEFICIARIO 2: FANY DIAZ TORRES|x|RUTA 4 L|X|LUNES|x|x|X|X|X|DOMICILIO|4600|8300|x|x|X|2021-9-20|2021-10-04|X|x|X|x|x|INDEPENDENCIA PRIMERA SECCION|X|0|x|12900|x|x|x|X|X|X|x|X|CARDENAS|X|x|x|x|final</v>
      </c>
    </row>
    <row r="92" spans="1:82" x14ac:dyDescent="0.25">
      <c r="A92" t="s">
        <v>5601</v>
      </c>
      <c r="B92" t="s">
        <v>5602</v>
      </c>
      <c r="C92">
        <v>3</v>
      </c>
      <c r="D92" t="s">
        <v>194</v>
      </c>
      <c r="E92" t="s">
        <v>2</v>
      </c>
      <c r="F92" t="s">
        <v>722</v>
      </c>
      <c r="G92" t="s">
        <v>722</v>
      </c>
      <c r="H92" t="s">
        <v>5603</v>
      </c>
      <c r="I92">
        <v>12900</v>
      </c>
      <c r="J92" t="s">
        <v>4</v>
      </c>
      <c r="K92" s="3" t="s">
        <v>4</v>
      </c>
      <c r="L92">
        <v>200</v>
      </c>
      <c r="M92">
        <v>1</v>
      </c>
      <c r="N92" t="s">
        <v>12</v>
      </c>
      <c r="O92" t="s">
        <v>4</v>
      </c>
      <c r="P92" t="s">
        <v>12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12</v>
      </c>
      <c r="Z92" t="s">
        <v>4</v>
      </c>
      <c r="AA92" t="s">
        <v>12</v>
      </c>
      <c r="AB92" t="s">
        <v>36</v>
      </c>
      <c r="AC92" t="s">
        <v>160</v>
      </c>
      <c r="AD92" t="s">
        <v>5604</v>
      </c>
      <c r="AE92" t="s">
        <v>29</v>
      </c>
      <c r="AF92" t="s">
        <v>4</v>
      </c>
      <c r="AG92" t="s">
        <v>4</v>
      </c>
      <c r="AH92" t="s">
        <v>5508</v>
      </c>
      <c r="AI92" t="s">
        <v>5605</v>
      </c>
      <c r="AJ92" t="s">
        <v>4</v>
      </c>
      <c r="AK92">
        <v>9331604399</v>
      </c>
      <c r="AL92" t="s">
        <v>5606</v>
      </c>
      <c r="AM92" t="s">
        <v>5607</v>
      </c>
      <c r="AN92" t="s">
        <v>12</v>
      </c>
      <c r="AO92" t="s">
        <v>5039</v>
      </c>
      <c r="AP92" t="s">
        <v>4</v>
      </c>
      <c r="AQ92" t="s">
        <v>10</v>
      </c>
      <c r="AR92" t="s">
        <v>12</v>
      </c>
      <c r="AS92" t="s">
        <v>12</v>
      </c>
      <c r="AT92" t="s">
        <v>4</v>
      </c>
      <c r="AU92" t="s">
        <v>4</v>
      </c>
      <c r="AV92" t="s">
        <v>4</v>
      </c>
      <c r="AW92" t="s">
        <v>11</v>
      </c>
      <c r="AX92">
        <v>6400</v>
      </c>
      <c r="AY92">
        <v>6500</v>
      </c>
      <c r="AZ92" t="s">
        <v>12</v>
      </c>
      <c r="BA92" t="s">
        <v>12</v>
      </c>
      <c r="BB92" t="s">
        <v>4</v>
      </c>
      <c r="BC92" t="s">
        <v>1129</v>
      </c>
      <c r="BD92" t="s">
        <v>5072</v>
      </c>
      <c r="BE92" t="s">
        <v>4</v>
      </c>
      <c r="BF92" t="s">
        <v>12</v>
      </c>
      <c r="BG92" t="s">
        <v>4</v>
      </c>
      <c r="BH92" t="s">
        <v>12</v>
      </c>
      <c r="BI92" t="s">
        <v>12</v>
      </c>
      <c r="BJ92" t="s">
        <v>5605</v>
      </c>
      <c r="BK92" t="s">
        <v>4</v>
      </c>
      <c r="BL92">
        <v>1</v>
      </c>
      <c r="BM92" t="s">
        <v>12</v>
      </c>
      <c r="BN92">
        <v>12900</v>
      </c>
      <c r="BO92" t="s">
        <v>12</v>
      </c>
      <c r="BP92" t="s">
        <v>12</v>
      </c>
      <c r="BQ92" t="s">
        <v>12</v>
      </c>
      <c r="BR92" t="s">
        <v>4</v>
      </c>
      <c r="BS92" t="s">
        <v>4</v>
      </c>
      <c r="BT92" t="s">
        <v>4</v>
      </c>
      <c r="BU92" t="s">
        <v>12</v>
      </c>
      <c r="BV92" t="s">
        <v>4</v>
      </c>
      <c r="BW92" t="s">
        <v>3</v>
      </c>
      <c r="BX92" t="s">
        <v>4</v>
      </c>
      <c r="BY92" t="s">
        <v>12</v>
      </c>
      <c r="BZ92" t="s">
        <v>12</v>
      </c>
      <c r="CA92" t="s">
        <v>12</v>
      </c>
      <c r="CB92" t="s">
        <v>1074</v>
      </c>
      <c r="CC92" t="s">
        <v>12</v>
      </c>
      <c r="CD92" t="str" cm="1">
        <f t="array" aca="1" ref="CD92" ca="1">eConcatenar(A92:CB92,"|")</f>
        <v>eM4EBuaaREFahEBY|COM2018-1311|3|ECONOLINE|TABASCO|COMALCALCO|COMALCALCO|2018-7-23|12900|X|X|200|1|x|X|x|X|X|X|X|X|X|X|X|x|X|x|HERNANDEZ|ALEJANDRO|ESTHERLANDA|CASADA|X|X|CARRETERA VECINAL COMALCALCO - PARAISO |MADERO PRIMERA SECCION|X|9331604399|CARLOS MERITO LEON|BENEFICIARIO 2: RESTITUTO HERNANDEZ TRINI|x|RUTA 4 L|X|LUNES|x|x|X|X|X|DOMICILIO|6400|6500|x|x|X|2021-9-20|2021-10-04|X|x|X|x|x|MADERO PRIMERA SECCION|X|1|x|12900|x|x|x|X|X|X|x|X|CARDENAS|X|x|x|x|final</v>
      </c>
    </row>
    <row r="93" spans="1:82" x14ac:dyDescent="0.25">
      <c r="A93" t="s">
        <v>5608</v>
      </c>
      <c r="B93" t="s">
        <v>5609</v>
      </c>
      <c r="C93">
        <v>3</v>
      </c>
      <c r="D93" t="s">
        <v>65</v>
      </c>
      <c r="E93" t="s">
        <v>2</v>
      </c>
      <c r="F93" t="s">
        <v>654</v>
      </c>
      <c r="G93" t="s">
        <v>654</v>
      </c>
      <c r="H93" t="s">
        <v>4819</v>
      </c>
      <c r="I93">
        <v>14800</v>
      </c>
      <c r="J93" t="s">
        <v>4</v>
      </c>
      <c r="K93" s="3" t="s">
        <v>4</v>
      </c>
      <c r="L93">
        <v>100</v>
      </c>
      <c r="M93">
        <v>0</v>
      </c>
      <c r="N93" t="s">
        <v>12</v>
      </c>
      <c r="O93" t="s">
        <v>4</v>
      </c>
      <c r="P93" t="s">
        <v>12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12</v>
      </c>
      <c r="Z93" t="s">
        <v>4</v>
      </c>
      <c r="AA93" t="s">
        <v>12</v>
      </c>
      <c r="AB93" t="s">
        <v>5211</v>
      </c>
      <c r="AC93" t="s">
        <v>218</v>
      </c>
      <c r="AD93" t="s">
        <v>5212</v>
      </c>
      <c r="AE93" t="s">
        <v>59</v>
      </c>
      <c r="AF93" t="s">
        <v>4</v>
      </c>
      <c r="AG93" t="s">
        <v>4</v>
      </c>
      <c r="AH93" t="s">
        <v>5610</v>
      </c>
      <c r="AI93" t="s">
        <v>5611</v>
      </c>
      <c r="AJ93" t="s">
        <v>4</v>
      </c>
      <c r="AK93">
        <v>9331031877</v>
      </c>
      <c r="AL93" t="s">
        <v>5612</v>
      </c>
      <c r="AM93" t="s">
        <v>5613</v>
      </c>
      <c r="AN93" t="s">
        <v>12</v>
      </c>
      <c r="AO93" t="s">
        <v>5039</v>
      </c>
      <c r="AP93" t="s">
        <v>4</v>
      </c>
      <c r="AQ93" t="s">
        <v>10</v>
      </c>
      <c r="AR93" t="s">
        <v>12</v>
      </c>
      <c r="AS93" t="s">
        <v>12</v>
      </c>
      <c r="AT93" t="s">
        <v>4</v>
      </c>
      <c r="AU93" t="s">
        <v>4</v>
      </c>
      <c r="AV93" t="s">
        <v>4</v>
      </c>
      <c r="AW93" t="s">
        <v>11</v>
      </c>
      <c r="AX93">
        <v>1200</v>
      </c>
      <c r="AY93">
        <v>13600</v>
      </c>
      <c r="AZ93" t="s">
        <v>12</v>
      </c>
      <c r="BA93" t="s">
        <v>12</v>
      </c>
      <c r="BB93" t="s">
        <v>4</v>
      </c>
      <c r="BC93" t="s">
        <v>1129</v>
      </c>
      <c r="BD93" t="s">
        <v>1133</v>
      </c>
      <c r="BE93" t="s">
        <v>4</v>
      </c>
      <c r="BF93" t="s">
        <v>12</v>
      </c>
      <c r="BG93" t="s">
        <v>4</v>
      </c>
      <c r="BH93" t="s">
        <v>12</v>
      </c>
      <c r="BI93" t="s">
        <v>12</v>
      </c>
      <c r="BJ93" t="s">
        <v>5611</v>
      </c>
      <c r="BK93" t="s">
        <v>4</v>
      </c>
      <c r="BL93">
        <v>0</v>
      </c>
      <c r="BM93" t="s">
        <v>12</v>
      </c>
      <c r="BN93">
        <v>14800</v>
      </c>
      <c r="BO93" t="s">
        <v>12</v>
      </c>
      <c r="BP93" t="s">
        <v>12</v>
      </c>
      <c r="BQ93" t="s">
        <v>12</v>
      </c>
      <c r="BR93" t="s">
        <v>4</v>
      </c>
      <c r="BS93" t="s">
        <v>4</v>
      </c>
      <c r="BT93" t="s">
        <v>4</v>
      </c>
      <c r="BU93" t="s">
        <v>12</v>
      </c>
      <c r="BV93" t="s">
        <v>4</v>
      </c>
      <c r="BW93" t="s">
        <v>3</v>
      </c>
      <c r="BX93" t="s">
        <v>4</v>
      </c>
      <c r="BY93" t="s">
        <v>12</v>
      </c>
      <c r="BZ93" t="s">
        <v>12</v>
      </c>
      <c r="CA93" t="s">
        <v>12</v>
      </c>
      <c r="CB93" t="s">
        <v>1074</v>
      </c>
      <c r="CC93" t="s">
        <v>12</v>
      </c>
      <c r="CD93" t="str" cm="1">
        <f t="array" aca="1" ref="CD93" ca="1">eConcatenar(A93:CB93,"|")</f>
        <v>XVry2yJdeBzXbdE1|COM2021-2548|3|MEMORIAL|TABASCO|PARAISO|PARAISO|2021-7-30|14800|X|X|100|0|x|X|x|X|X|X|X|X|X|X|X|x|X|x|ARAUJO|DE LOS SANTOS|OMAR|CASADO|X|X|CALLE MAGISTERIAL|FRACCIONAMIENTO LA CEIBA NUMERO 61|X|9331031877|ROSALIA MARTINEZ CASANOVA|BENEFICIARIO 2: CLARITA INOCENCIA ANGULO PEREZ|x|RUTA 4 L|X|LUNES|x|x|X|X|X|DOMICILIO|1200|13600|x|x|X|2021-9-20|2021-9-27|X|x|X|x|x|FRACCIONAMIENTO LA CEIBA NUMERO 61|X|0|x|14800|x|x|x|X|X|X|x|X|CARDENAS|X|x|x|x|final</v>
      </c>
    </row>
    <row r="94" spans="1:82" x14ac:dyDescent="0.25">
      <c r="A94" t="s">
        <v>5614</v>
      </c>
      <c r="B94" t="s">
        <v>5615</v>
      </c>
      <c r="C94">
        <v>3</v>
      </c>
      <c r="D94" t="s">
        <v>194</v>
      </c>
      <c r="E94" t="s">
        <v>2</v>
      </c>
      <c r="F94" t="s">
        <v>654</v>
      </c>
      <c r="G94" t="s">
        <v>654</v>
      </c>
      <c r="H94" t="s">
        <v>5616</v>
      </c>
      <c r="I94">
        <v>12900</v>
      </c>
      <c r="J94" t="s">
        <v>4</v>
      </c>
      <c r="K94" s="3" t="s">
        <v>4</v>
      </c>
      <c r="L94">
        <v>200</v>
      </c>
      <c r="M94">
        <v>1</v>
      </c>
      <c r="N94" t="s">
        <v>12</v>
      </c>
      <c r="O94" t="s">
        <v>4</v>
      </c>
      <c r="P94" t="s">
        <v>12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12</v>
      </c>
      <c r="Z94" t="s">
        <v>4</v>
      </c>
      <c r="AA94" t="s">
        <v>12</v>
      </c>
      <c r="AB94" t="s">
        <v>6</v>
      </c>
      <c r="AC94" t="s">
        <v>5617</v>
      </c>
      <c r="AD94" t="s">
        <v>5618</v>
      </c>
      <c r="AE94" t="s">
        <v>17</v>
      </c>
      <c r="AF94" t="s">
        <v>4</v>
      </c>
      <c r="AG94" t="s">
        <v>4</v>
      </c>
      <c r="AH94" t="s">
        <v>675</v>
      </c>
      <c r="AI94" t="s">
        <v>5619</v>
      </c>
      <c r="AJ94" t="s">
        <v>4</v>
      </c>
      <c r="AK94">
        <v>9934033391</v>
      </c>
      <c r="AL94" t="s">
        <v>5620</v>
      </c>
      <c r="AM94" t="s">
        <v>5621</v>
      </c>
      <c r="AN94" t="s">
        <v>12</v>
      </c>
      <c r="AO94" t="s">
        <v>5039</v>
      </c>
      <c r="AP94" t="s">
        <v>4</v>
      </c>
      <c r="AQ94" t="s">
        <v>10</v>
      </c>
      <c r="AR94" t="s">
        <v>12</v>
      </c>
      <c r="AS94" t="s">
        <v>12</v>
      </c>
      <c r="AT94" t="s">
        <v>4</v>
      </c>
      <c r="AU94" t="s">
        <v>4</v>
      </c>
      <c r="AV94" t="s">
        <v>4</v>
      </c>
      <c r="AW94" t="s">
        <v>11</v>
      </c>
      <c r="AX94">
        <v>2400</v>
      </c>
      <c r="AY94">
        <v>10500</v>
      </c>
      <c r="AZ94" t="s">
        <v>12</v>
      </c>
      <c r="BA94" t="s">
        <v>12</v>
      </c>
      <c r="BB94" t="s">
        <v>4</v>
      </c>
      <c r="BC94" t="s">
        <v>1129</v>
      </c>
      <c r="BD94" t="s">
        <v>5072</v>
      </c>
      <c r="BE94" t="s">
        <v>4</v>
      </c>
      <c r="BF94" t="s">
        <v>12</v>
      </c>
      <c r="BG94" t="s">
        <v>4</v>
      </c>
      <c r="BH94" t="s">
        <v>12</v>
      </c>
      <c r="BI94" t="s">
        <v>12</v>
      </c>
      <c r="BJ94" t="s">
        <v>5619</v>
      </c>
      <c r="BK94" t="s">
        <v>4</v>
      </c>
      <c r="BL94">
        <v>0</v>
      </c>
      <c r="BM94" t="s">
        <v>12</v>
      </c>
      <c r="BN94">
        <v>12900</v>
      </c>
      <c r="BO94" t="s">
        <v>12</v>
      </c>
      <c r="BP94" t="s">
        <v>12</v>
      </c>
      <c r="BQ94" t="s">
        <v>12</v>
      </c>
      <c r="BR94" t="s">
        <v>4</v>
      </c>
      <c r="BS94" t="s">
        <v>4</v>
      </c>
      <c r="BT94" t="s">
        <v>4</v>
      </c>
      <c r="BU94" t="s">
        <v>12</v>
      </c>
      <c r="BV94" t="s">
        <v>4</v>
      </c>
      <c r="BW94" t="s">
        <v>3</v>
      </c>
      <c r="BX94" t="s">
        <v>4</v>
      </c>
      <c r="BY94" t="s">
        <v>12</v>
      </c>
      <c r="BZ94" t="s">
        <v>12</v>
      </c>
      <c r="CA94" t="s">
        <v>12</v>
      </c>
      <c r="CB94" t="s">
        <v>1074</v>
      </c>
      <c r="CC94" t="s">
        <v>12</v>
      </c>
      <c r="CD94" t="str" cm="1">
        <f t="array" aca="1" ref="CD94" ca="1">eConcatenar(A94:CB94,"|")</f>
        <v>xJpVtxaGRBe6EYit|COM2020-0503|3|ECONOLINE|TABASCO|PARAISO|PARAISO|2020-2-18|12900|X|X|200|1|x|X|x|X|X|X|X|X|X|X|X|x|X|x|DE LA CRUZ|LIZARRAGA|JOSE ROMEO|SOLTERO|X|X|CARRETERA A LA DEPORTIVA|LIBERTAD PRIMERA SECCION|X|9934033391|BELLANIRE CRUZ LIZARRAGA|BENEFICIARIO 2: YUDID CRUZ LIZARRAGA|x|RUTA 4 L|X|LUNES|x|x|X|X|X|DOMICILIO|2400|10500|x|x|X|2021-9-20|2021-10-04|X|x|X|x|x|LIBERTAD PRIMERA SECCION|X|0|x|12900|x|x|x|X|X|X|x|X|CARDENAS|X|x|x|x|final</v>
      </c>
    </row>
    <row r="95" spans="1:82" x14ac:dyDescent="0.25">
      <c r="A95" t="s">
        <v>5622</v>
      </c>
      <c r="B95" t="s">
        <v>5623</v>
      </c>
      <c r="C95">
        <v>3</v>
      </c>
      <c r="D95" t="s">
        <v>65</v>
      </c>
      <c r="E95" t="s">
        <v>2</v>
      </c>
      <c r="F95" t="s">
        <v>654</v>
      </c>
      <c r="G95" t="s">
        <v>654</v>
      </c>
      <c r="H95" t="s">
        <v>1105</v>
      </c>
      <c r="I95">
        <v>14800</v>
      </c>
      <c r="J95" t="s">
        <v>4</v>
      </c>
      <c r="K95" s="3" t="s">
        <v>4</v>
      </c>
      <c r="L95">
        <v>200</v>
      </c>
      <c r="M95">
        <v>1</v>
      </c>
      <c r="N95" t="s">
        <v>12</v>
      </c>
      <c r="O95" t="s">
        <v>4</v>
      </c>
      <c r="P95" t="s">
        <v>12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12</v>
      </c>
      <c r="Z95" t="s">
        <v>4</v>
      </c>
      <c r="AA95" t="s">
        <v>12</v>
      </c>
      <c r="AB95" t="s">
        <v>47</v>
      </c>
      <c r="AC95" t="s">
        <v>4747</v>
      </c>
      <c r="AD95" t="s">
        <v>4719</v>
      </c>
      <c r="AE95" t="s">
        <v>307</v>
      </c>
      <c r="AF95" t="s">
        <v>4</v>
      </c>
      <c r="AG95" t="s">
        <v>4</v>
      </c>
      <c r="AH95" t="s">
        <v>5544</v>
      </c>
      <c r="AI95" t="s">
        <v>5026</v>
      </c>
      <c r="AJ95" t="s">
        <v>4</v>
      </c>
      <c r="AK95">
        <v>9331739499</v>
      </c>
      <c r="AL95" t="s">
        <v>5624</v>
      </c>
      <c r="AM95" t="s">
        <v>5625</v>
      </c>
      <c r="AN95" t="s">
        <v>12</v>
      </c>
      <c r="AO95" t="s">
        <v>5039</v>
      </c>
      <c r="AP95" t="s">
        <v>4</v>
      </c>
      <c r="AQ95" t="s">
        <v>10</v>
      </c>
      <c r="AR95" t="s">
        <v>12</v>
      </c>
      <c r="AS95" t="s">
        <v>12</v>
      </c>
      <c r="AT95" t="s">
        <v>4</v>
      </c>
      <c r="AU95" t="s">
        <v>4</v>
      </c>
      <c r="AV95" t="s">
        <v>4</v>
      </c>
      <c r="AW95" t="s">
        <v>11</v>
      </c>
      <c r="AX95">
        <v>4000</v>
      </c>
      <c r="AY95">
        <v>10800</v>
      </c>
      <c r="AZ95" t="s">
        <v>12</v>
      </c>
      <c r="BA95" t="s">
        <v>12</v>
      </c>
      <c r="BB95" t="s">
        <v>4</v>
      </c>
      <c r="BC95" t="s">
        <v>1129</v>
      </c>
      <c r="BD95" t="s">
        <v>5072</v>
      </c>
      <c r="BE95" t="s">
        <v>4</v>
      </c>
      <c r="BF95" t="s">
        <v>12</v>
      </c>
      <c r="BG95" t="s">
        <v>4</v>
      </c>
      <c r="BH95" t="s">
        <v>12</v>
      </c>
      <c r="BI95" t="s">
        <v>12</v>
      </c>
      <c r="BJ95" t="s">
        <v>5026</v>
      </c>
      <c r="BK95" t="s">
        <v>4</v>
      </c>
      <c r="BL95">
        <v>0</v>
      </c>
      <c r="BM95" t="s">
        <v>12</v>
      </c>
      <c r="BN95">
        <v>14800</v>
      </c>
      <c r="BO95" t="s">
        <v>12</v>
      </c>
      <c r="BP95" t="s">
        <v>12</v>
      </c>
      <c r="BQ95" t="s">
        <v>12</v>
      </c>
      <c r="BR95" t="s">
        <v>4</v>
      </c>
      <c r="BS95" t="s">
        <v>4</v>
      </c>
      <c r="BT95" t="s">
        <v>4</v>
      </c>
      <c r="BU95" t="s">
        <v>12</v>
      </c>
      <c r="BV95" t="s">
        <v>4</v>
      </c>
      <c r="BW95" t="s">
        <v>3</v>
      </c>
      <c r="BX95" t="s">
        <v>4</v>
      </c>
      <c r="BY95" t="s">
        <v>12</v>
      </c>
      <c r="BZ95" t="s">
        <v>12</v>
      </c>
      <c r="CA95" t="s">
        <v>12</v>
      </c>
      <c r="CB95" t="s">
        <v>1074</v>
      </c>
      <c r="CC95" t="s">
        <v>12</v>
      </c>
      <c r="CD95" t="str" cm="1">
        <f t="array" aca="1" ref="CD95" ca="1">eConcatenar(A95:CB95,"|")</f>
        <v>xsCrdIPa38BoDrMc|COM2021-2117|3|MEMORIAL|TABASCO|PARAISO|PARAISO|2021-6-17|14800|X|X|200|1|x|X|x|X|X|X|X|X|X|X|X|x|X|x|SANCHEZ|ARJONA|JOSE|VIUDO|X|X|CARRETERA VECINAL PARAISO - COMALCALCO|ORIENTE SEGUNDA SECCION|X|9331739499|JUAN SANCHEZ BAUTISTA|BENEFICIARIO 2: ADRIAN SANCHEZ BAUTISTA|x|RUTA 4 L|X|LUNES|x|x|X|X|X|DOMICILIO|4000|10800|x|x|X|2021-9-20|2021-10-04|X|x|X|x|x|ORIENTE SEGUNDA SECCION|X|0|x|14800|x|x|x|X|X|X|x|X|CARDENAS|X|x|x|x|final</v>
      </c>
    </row>
    <row r="96" spans="1:82" x14ac:dyDescent="0.25">
      <c r="A96" t="s">
        <v>5626</v>
      </c>
      <c r="B96" t="s">
        <v>5627</v>
      </c>
      <c r="C96">
        <v>3</v>
      </c>
      <c r="D96" t="s">
        <v>194</v>
      </c>
      <c r="E96" t="s">
        <v>2</v>
      </c>
      <c r="F96" t="s">
        <v>722</v>
      </c>
      <c r="G96" t="s">
        <v>722</v>
      </c>
      <c r="H96" t="s">
        <v>5456</v>
      </c>
      <c r="I96">
        <v>12900</v>
      </c>
      <c r="J96" t="s">
        <v>4</v>
      </c>
      <c r="K96" s="3" t="s">
        <v>4</v>
      </c>
      <c r="L96">
        <v>100</v>
      </c>
      <c r="M96">
        <v>0</v>
      </c>
      <c r="N96" t="s">
        <v>12</v>
      </c>
      <c r="O96" t="s">
        <v>4</v>
      </c>
      <c r="P96" t="s">
        <v>12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12</v>
      </c>
      <c r="Z96" t="s">
        <v>4</v>
      </c>
      <c r="AA96" t="s">
        <v>12</v>
      </c>
      <c r="AB96" t="s">
        <v>780</v>
      </c>
      <c r="AC96" t="s">
        <v>28</v>
      </c>
      <c r="AD96" t="s">
        <v>5628</v>
      </c>
      <c r="AE96" t="s">
        <v>29</v>
      </c>
      <c r="AF96" t="s">
        <v>4</v>
      </c>
      <c r="AG96" t="s">
        <v>4</v>
      </c>
      <c r="AH96" t="s">
        <v>5629</v>
      </c>
      <c r="AI96" t="s">
        <v>2052</v>
      </c>
      <c r="AJ96" t="s">
        <v>4</v>
      </c>
      <c r="AK96">
        <v>9331477284</v>
      </c>
      <c r="AL96" t="s">
        <v>5630</v>
      </c>
      <c r="AM96" t="s">
        <v>5631</v>
      </c>
      <c r="AN96" t="s">
        <v>12</v>
      </c>
      <c r="AO96" t="s">
        <v>5039</v>
      </c>
      <c r="AP96" t="s">
        <v>4</v>
      </c>
      <c r="AQ96" t="s">
        <v>10</v>
      </c>
      <c r="AR96" t="s">
        <v>12</v>
      </c>
      <c r="AS96" t="s">
        <v>12</v>
      </c>
      <c r="AT96" t="s">
        <v>4</v>
      </c>
      <c r="AU96" t="s">
        <v>4</v>
      </c>
      <c r="AV96" t="s">
        <v>4</v>
      </c>
      <c r="AW96" t="s">
        <v>11</v>
      </c>
      <c r="AX96">
        <v>7900</v>
      </c>
      <c r="AY96">
        <v>5000</v>
      </c>
      <c r="AZ96" t="s">
        <v>12</v>
      </c>
      <c r="BA96" t="s">
        <v>12</v>
      </c>
      <c r="BB96" t="s">
        <v>4</v>
      </c>
      <c r="BC96" t="s">
        <v>1129</v>
      </c>
      <c r="BD96" t="s">
        <v>1133</v>
      </c>
      <c r="BE96" t="s">
        <v>4</v>
      </c>
      <c r="BF96" t="s">
        <v>12</v>
      </c>
      <c r="BG96" t="s">
        <v>4</v>
      </c>
      <c r="BH96" t="s">
        <v>12</v>
      </c>
      <c r="BI96" t="s">
        <v>12</v>
      </c>
      <c r="BJ96" t="s">
        <v>2052</v>
      </c>
      <c r="BK96" t="s">
        <v>4</v>
      </c>
      <c r="BL96">
        <v>1</v>
      </c>
      <c r="BM96" t="s">
        <v>12</v>
      </c>
      <c r="BN96">
        <v>12900</v>
      </c>
      <c r="BO96" t="s">
        <v>12</v>
      </c>
      <c r="BP96" t="s">
        <v>12</v>
      </c>
      <c r="BQ96" t="s">
        <v>12</v>
      </c>
      <c r="BR96" t="s">
        <v>4</v>
      </c>
      <c r="BS96" t="s">
        <v>4</v>
      </c>
      <c r="BT96" t="s">
        <v>4</v>
      </c>
      <c r="BU96" t="s">
        <v>12</v>
      </c>
      <c r="BV96" t="s">
        <v>4</v>
      </c>
      <c r="BW96" t="s">
        <v>3</v>
      </c>
      <c r="BX96" t="s">
        <v>4</v>
      </c>
      <c r="BY96" t="s">
        <v>12</v>
      </c>
      <c r="BZ96" t="s">
        <v>12</v>
      </c>
      <c r="CA96" t="s">
        <v>12</v>
      </c>
      <c r="CB96" t="s">
        <v>1074</v>
      </c>
      <c r="CC96" t="s">
        <v>12</v>
      </c>
      <c r="CD96" t="str" cm="1">
        <f t="array" aca="1" ref="CD96" ca="1">eConcatenar(A96:CB96,"|")</f>
        <v>rZruFT0piFAMQyTA|COM2020-0934|3|ECONOLINE|TABASCO|COMALCALCO|COMALCALCO|2020-6-18|12900|X|X|100|0|x|X|x|X|X|X|X|X|X|X|X|x|X|x|MARQUEZ|CORDOVA|ALMA DELY|CASADA|X|X|SANTO TOMAS CAMARA PRINCIPAL SIN NUMERO|FRANCISCO I MADERO|X|9331477284|FELIPE CORDOVA ARIAS|BENEFICIARIO 2: LUIS FELIPE CORDOVA MARQUEZ|x|RUTA 4 L|X|LUNES|x|x|X|X|X|DOMICILIO|7900|5000|x|x|X|2021-9-20|2021-9-27|X|x|X|x|x|FRANCISCO I MADERO|X|1|x|12900|x|x|x|X|X|X|x|X|CARDENAS|X|x|x|x|final</v>
      </c>
    </row>
    <row r="97" spans="1:82" x14ac:dyDescent="0.25">
      <c r="A97" t="s">
        <v>5632</v>
      </c>
      <c r="B97" t="s">
        <v>5633</v>
      </c>
      <c r="C97">
        <v>3</v>
      </c>
      <c r="D97" t="s">
        <v>14</v>
      </c>
      <c r="E97" t="s">
        <v>2</v>
      </c>
      <c r="F97" t="s">
        <v>654</v>
      </c>
      <c r="G97" t="s">
        <v>654</v>
      </c>
      <c r="H97" t="s">
        <v>5634</v>
      </c>
      <c r="I97">
        <v>19800</v>
      </c>
      <c r="J97" t="s">
        <v>4</v>
      </c>
      <c r="K97" s="3" t="s">
        <v>4</v>
      </c>
      <c r="L97">
        <v>200</v>
      </c>
      <c r="M97">
        <v>1</v>
      </c>
      <c r="N97" t="s">
        <v>12</v>
      </c>
      <c r="O97" t="s">
        <v>4</v>
      </c>
      <c r="P97" t="s">
        <v>12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12</v>
      </c>
      <c r="Z97" t="s">
        <v>4</v>
      </c>
      <c r="AA97" t="s">
        <v>12</v>
      </c>
      <c r="AB97" t="s">
        <v>5635</v>
      </c>
      <c r="AC97" t="s">
        <v>94</v>
      </c>
      <c r="AD97" t="s">
        <v>5636</v>
      </c>
      <c r="AE97" t="s">
        <v>29</v>
      </c>
      <c r="AF97" t="s">
        <v>4</v>
      </c>
      <c r="AG97" t="s">
        <v>4</v>
      </c>
      <c r="AH97" t="s">
        <v>5637</v>
      </c>
      <c r="AI97" t="s">
        <v>577</v>
      </c>
      <c r="AJ97" t="s">
        <v>4</v>
      </c>
      <c r="AK97">
        <v>9331198616</v>
      </c>
      <c r="AL97" t="s">
        <v>5638</v>
      </c>
      <c r="AM97" t="s">
        <v>4</v>
      </c>
      <c r="AN97" t="s">
        <v>12</v>
      </c>
      <c r="AO97" t="s">
        <v>5039</v>
      </c>
      <c r="AP97" t="s">
        <v>4</v>
      </c>
      <c r="AQ97" t="s">
        <v>10</v>
      </c>
      <c r="AR97" t="s">
        <v>12</v>
      </c>
      <c r="AS97" t="s">
        <v>12</v>
      </c>
      <c r="AT97" t="s">
        <v>4</v>
      </c>
      <c r="AU97" t="s">
        <v>4</v>
      </c>
      <c r="AV97" t="s">
        <v>4</v>
      </c>
      <c r="AW97" t="s">
        <v>11</v>
      </c>
      <c r="AX97">
        <v>12600</v>
      </c>
      <c r="AY97">
        <v>7200</v>
      </c>
      <c r="AZ97" t="s">
        <v>12</v>
      </c>
      <c r="BA97" t="s">
        <v>12</v>
      </c>
      <c r="BB97" t="s">
        <v>4</v>
      </c>
      <c r="BC97" t="s">
        <v>1129</v>
      </c>
      <c r="BD97" t="s">
        <v>5072</v>
      </c>
      <c r="BE97" t="s">
        <v>4</v>
      </c>
      <c r="BF97" t="s">
        <v>12</v>
      </c>
      <c r="BG97" t="s">
        <v>4</v>
      </c>
      <c r="BH97" t="s">
        <v>12</v>
      </c>
      <c r="BI97" t="s">
        <v>12</v>
      </c>
      <c r="BJ97" t="s">
        <v>577</v>
      </c>
      <c r="BK97" t="s">
        <v>4</v>
      </c>
      <c r="BL97">
        <v>1</v>
      </c>
      <c r="BM97" t="s">
        <v>12</v>
      </c>
      <c r="BN97">
        <v>19800</v>
      </c>
      <c r="BO97" t="s">
        <v>12</v>
      </c>
      <c r="BP97" t="s">
        <v>12</v>
      </c>
      <c r="BQ97" t="s">
        <v>12</v>
      </c>
      <c r="BR97" t="s">
        <v>4</v>
      </c>
      <c r="BS97" t="s">
        <v>4</v>
      </c>
      <c r="BT97" t="s">
        <v>4</v>
      </c>
      <c r="BU97" t="s">
        <v>12</v>
      </c>
      <c r="BV97" t="s">
        <v>4</v>
      </c>
      <c r="BW97" t="s">
        <v>3</v>
      </c>
      <c r="BX97" t="s">
        <v>4</v>
      </c>
      <c r="BY97" t="s">
        <v>12</v>
      </c>
      <c r="BZ97" t="s">
        <v>12</v>
      </c>
      <c r="CA97" t="s">
        <v>12</v>
      </c>
      <c r="CB97" t="s">
        <v>1074</v>
      </c>
      <c r="CC97" t="s">
        <v>12</v>
      </c>
      <c r="CD97" t="str" cm="1">
        <f t="array" aca="1" ref="CD97" ca="1">eConcatenar(A97:CB97,"|")</f>
        <v>6jjPHbJ36smuJIrs|COM2019-1246|3|ZAFIRO|TABASCO|PARAISO|PARAISO|2019-5-15|19800|X|X|200|1|x|X|x|X|X|X|X|X|X|X|X|x|X|x|GRENE|GOMEZ|CARLA ENEDINA|CASADA|X|X|CALLE PALMA DATIL NUMERO 204|QUINTIN ARAUZ|X|9331198616|ALVARO PEREZ ONORIO|X|x|RUTA 4 L|X|LUNES|x|x|X|X|X|DOMICILIO|12600|7200|x|x|X|2021-9-20|2021-10-04|X|x|X|x|x|QUINTIN ARAUZ|X|1|x|19800|x|x|x|X|X|X|x|X|CARDENAS|X|x|x|x|final</v>
      </c>
    </row>
    <row r="98" spans="1:82" x14ac:dyDescent="0.25">
      <c r="A98" t="s">
        <v>5639</v>
      </c>
      <c r="B98" t="s">
        <v>5640</v>
      </c>
      <c r="C98">
        <v>3</v>
      </c>
      <c r="D98" t="s">
        <v>65</v>
      </c>
      <c r="E98" t="s">
        <v>2</v>
      </c>
      <c r="F98" t="s">
        <v>722</v>
      </c>
      <c r="G98" t="s">
        <v>654</v>
      </c>
      <c r="H98" t="s">
        <v>5147</v>
      </c>
      <c r="I98">
        <v>14800</v>
      </c>
      <c r="J98" t="s">
        <v>4</v>
      </c>
      <c r="K98" t="s">
        <v>4</v>
      </c>
      <c r="L98">
        <v>100</v>
      </c>
      <c r="M98">
        <v>0</v>
      </c>
      <c r="N98" t="s">
        <v>4</v>
      </c>
      <c r="O98" t="s">
        <v>4</v>
      </c>
      <c r="P98" t="s">
        <v>4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4</v>
      </c>
      <c r="Z98" t="s">
        <v>4</v>
      </c>
      <c r="AA98" t="s">
        <v>4</v>
      </c>
      <c r="AB98" t="s">
        <v>94</v>
      </c>
      <c r="AC98" t="s">
        <v>36</v>
      </c>
      <c r="AD98" t="s">
        <v>715</v>
      </c>
      <c r="AE98" t="s">
        <v>307</v>
      </c>
      <c r="AF98" t="s">
        <v>4</v>
      </c>
      <c r="AG98" t="s">
        <v>4</v>
      </c>
      <c r="AH98" t="s">
        <v>2082</v>
      </c>
      <c r="AI98" t="s">
        <v>5641</v>
      </c>
      <c r="AJ98" t="s">
        <v>4</v>
      </c>
      <c r="AK98">
        <v>9331037609</v>
      </c>
      <c r="AL98" t="s">
        <v>5642</v>
      </c>
      <c r="AM98" t="s">
        <v>5643</v>
      </c>
      <c r="AN98" t="s">
        <v>4</v>
      </c>
      <c r="AO98" t="s">
        <v>5039</v>
      </c>
      <c r="AP98" t="s">
        <v>4</v>
      </c>
      <c r="AQ98" t="s">
        <v>5644</v>
      </c>
      <c r="AR98" t="s">
        <v>4</v>
      </c>
      <c r="AS98" t="s">
        <v>4</v>
      </c>
      <c r="AT98" t="s">
        <v>4</v>
      </c>
      <c r="AU98" t="s">
        <v>4</v>
      </c>
      <c r="AV98" t="s">
        <v>4</v>
      </c>
      <c r="AW98" t="s">
        <v>11</v>
      </c>
      <c r="AX98">
        <v>7200</v>
      </c>
      <c r="AY98">
        <v>7600</v>
      </c>
      <c r="AZ98" t="s">
        <v>4</v>
      </c>
      <c r="BA98" t="s">
        <v>4</v>
      </c>
      <c r="BB98" t="s">
        <v>4</v>
      </c>
      <c r="BC98" t="s">
        <v>1129</v>
      </c>
      <c r="BD98" t="s">
        <v>1133</v>
      </c>
      <c r="BE98" t="s">
        <v>4</v>
      </c>
      <c r="BF98" t="s">
        <v>4</v>
      </c>
      <c r="BG98" t="s">
        <v>4</v>
      </c>
      <c r="BH98" t="s">
        <v>4</v>
      </c>
      <c r="BI98" t="s">
        <v>4</v>
      </c>
      <c r="BJ98" t="s">
        <v>5645</v>
      </c>
      <c r="BK98" t="s">
        <v>4</v>
      </c>
      <c r="BL98">
        <v>0</v>
      </c>
      <c r="BM98" t="s">
        <v>4</v>
      </c>
      <c r="BN98">
        <v>14800</v>
      </c>
      <c r="BO98" t="s">
        <v>4</v>
      </c>
      <c r="BP98" t="s">
        <v>4</v>
      </c>
      <c r="BQ98" t="s">
        <v>4</v>
      </c>
      <c r="BR98" t="s">
        <v>4</v>
      </c>
      <c r="BS98" t="s">
        <v>4</v>
      </c>
      <c r="BT98" t="s">
        <v>4</v>
      </c>
      <c r="BU98" t="s">
        <v>4</v>
      </c>
      <c r="BV98" t="s">
        <v>4</v>
      </c>
      <c r="BW98" t="s">
        <v>3</v>
      </c>
      <c r="BX98" t="s">
        <v>4</v>
      </c>
      <c r="BY98" t="s">
        <v>12</v>
      </c>
      <c r="BZ98" t="s">
        <v>12</v>
      </c>
      <c r="CA98" t="s">
        <v>12</v>
      </c>
      <c r="CB98" t="s">
        <v>1074</v>
      </c>
      <c r="CC98" t="s">
        <v>12</v>
      </c>
      <c r="CD98" t="str" cm="1">
        <f t="array" aca="1" ref="CD98" ca="1">eConcatenar(A98:CB98,"|")</f>
        <v>OHFRWieBm250GJ37|COM  2021-1954|3|MEMORIAL|TABASCO|COMALCALCO|PARAISO|2021-6-09|14800|X|X|100|0|X|X|X|X|X|X|X|X|X|X|X|X|X|X|GOMEZ|HERNANDEZ|CARLOS|VIUDO|X|X|SANTA AMALIA|JUAREZ 1179-A|X|9331037609|BEATRIZ GOMEZ LOPEZ|CLARA DEL CARMEN GARCIA LOPEZ|X|RUTA 4 L|X|LUNES  |X|X|X|X|X|DOMICILIO|7200|7600|X|X|X|2021-9-20|2021-9-27|X|X|X|X|X|SANTA AMALIA JUAREZ|X|0|X|14800|X|X|X|X|X|X|X|X|CARDENAS|X|x|x|x|final</v>
      </c>
    </row>
    <row r="99" spans="1:82" x14ac:dyDescent="0.25">
      <c r="A99" t="s">
        <v>5646</v>
      </c>
      <c r="B99" t="s">
        <v>5647</v>
      </c>
      <c r="C99">
        <v>3</v>
      </c>
      <c r="D99" t="s">
        <v>194</v>
      </c>
      <c r="E99" t="s">
        <v>2</v>
      </c>
      <c r="F99" t="s">
        <v>722</v>
      </c>
      <c r="G99" t="s">
        <v>722</v>
      </c>
      <c r="H99" t="s">
        <v>5648</v>
      </c>
      <c r="I99">
        <v>12900</v>
      </c>
      <c r="J99" t="s">
        <v>4</v>
      </c>
      <c r="K99" t="s">
        <v>4</v>
      </c>
      <c r="L99">
        <v>200</v>
      </c>
      <c r="M99">
        <v>1</v>
      </c>
      <c r="N99" t="s">
        <v>4</v>
      </c>
      <c r="O99" t="s">
        <v>4</v>
      </c>
      <c r="P99" t="s">
        <v>4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4</v>
      </c>
      <c r="Z99" t="s">
        <v>4</v>
      </c>
      <c r="AA99" t="s">
        <v>4</v>
      </c>
      <c r="AB99" t="s">
        <v>99</v>
      </c>
      <c r="AC99" t="s">
        <v>116</v>
      </c>
      <c r="AD99" t="s">
        <v>123</v>
      </c>
      <c r="AE99" t="s">
        <v>195</v>
      </c>
      <c r="AF99" t="s">
        <v>4</v>
      </c>
      <c r="AG99" t="s">
        <v>4</v>
      </c>
      <c r="AH99" t="s">
        <v>5649</v>
      </c>
      <c r="AI99" t="s">
        <v>4</v>
      </c>
      <c r="AJ99" t="s">
        <v>4</v>
      </c>
      <c r="AK99">
        <v>9331008155</v>
      </c>
      <c r="AL99" t="s">
        <v>5650</v>
      </c>
      <c r="AM99" t="s">
        <v>5651</v>
      </c>
      <c r="AN99" t="s">
        <v>4</v>
      </c>
      <c r="AO99" t="s">
        <v>5039</v>
      </c>
      <c r="AP99" t="s">
        <v>4</v>
      </c>
      <c r="AQ99" t="s">
        <v>10</v>
      </c>
      <c r="AR99" t="s">
        <v>4</v>
      </c>
      <c r="AS99" t="s">
        <v>4</v>
      </c>
      <c r="AT99" t="s">
        <v>4</v>
      </c>
      <c r="AU99" t="s">
        <v>4</v>
      </c>
      <c r="AV99" t="s">
        <v>4</v>
      </c>
      <c r="AW99" t="s">
        <v>11</v>
      </c>
      <c r="AX99">
        <v>11600</v>
      </c>
      <c r="AY99">
        <v>1300</v>
      </c>
      <c r="AZ99" t="s">
        <v>4</v>
      </c>
      <c r="BA99" t="s">
        <v>4</v>
      </c>
      <c r="BB99" t="s">
        <v>4</v>
      </c>
      <c r="BC99" t="s">
        <v>1129</v>
      </c>
      <c r="BD99" t="s">
        <v>1131</v>
      </c>
      <c r="BE99" t="s">
        <v>4</v>
      </c>
      <c r="BF99" t="s">
        <v>4</v>
      </c>
      <c r="BG99" t="s">
        <v>4</v>
      </c>
      <c r="BH99" t="s">
        <v>4</v>
      </c>
      <c r="BI99" t="s">
        <v>4</v>
      </c>
      <c r="BJ99" t="s">
        <v>5652</v>
      </c>
      <c r="BK99" t="s">
        <v>4</v>
      </c>
      <c r="BL99">
        <v>0</v>
      </c>
      <c r="BM99" t="s">
        <v>4</v>
      </c>
      <c r="BN99">
        <v>12900</v>
      </c>
      <c r="BO99" t="s">
        <v>4</v>
      </c>
      <c r="BP99" t="s">
        <v>4</v>
      </c>
      <c r="BQ99" t="s">
        <v>4</v>
      </c>
      <c r="BR99" t="s">
        <v>4</v>
      </c>
      <c r="BS99" t="s">
        <v>4</v>
      </c>
      <c r="BT99" t="s">
        <v>4</v>
      </c>
      <c r="BU99" t="s">
        <v>4</v>
      </c>
      <c r="BV99" t="s">
        <v>4</v>
      </c>
      <c r="BW99" t="s">
        <v>3</v>
      </c>
      <c r="BX99" t="s">
        <v>4</v>
      </c>
      <c r="BY99" t="s">
        <v>12</v>
      </c>
      <c r="BZ99" t="s">
        <v>12</v>
      </c>
      <c r="CA99" t="s">
        <v>12</v>
      </c>
      <c r="CB99" t="s">
        <v>1074</v>
      </c>
      <c r="CC99" t="s">
        <v>12</v>
      </c>
      <c r="CD99" t="str" cm="1">
        <f t="array" aca="1" ref="CD99" ca="1">eConcatenar(A99:CB99,"|")</f>
        <v>QQ45tFNohoikVvvn|COM  2019-0162|3|ECONOLINE|TABASCO|COMALCALCO|COMALCALCO|2019-1-23|12900|X|X|200|1|X|X|X|X|X|X|X|X|X|X|X|X|X|X|DIAZ|RODRIGUEZ|CARMEN|CASADO |X|X|INDEPENDENCIA PRIMERA SECC|X|X|9331008155|MARIA DEL CARMEN HERNANDEZ ALVARADO|LEYDI DIAZ HERNANDEZ|X|RUTA 4 L|X|LUNES|X|X|X|X|X|DOMICILIO|11600|1300|X|X|X|2021-9-20|2021-9-30|X|X|X|X|X|INDEPENDEMCIA PRIMERA SECCION|X|0|X|12900|X|X|X|X|X|X|X|X|CARDENAS|X|x|x|x|final</v>
      </c>
    </row>
    <row r="100" spans="1:82" x14ac:dyDescent="0.25">
      <c r="A100" t="s">
        <v>5653</v>
      </c>
      <c r="B100" t="s">
        <v>5654</v>
      </c>
      <c r="C100">
        <v>3</v>
      </c>
      <c r="D100" t="s">
        <v>14</v>
      </c>
      <c r="E100" t="s">
        <v>2</v>
      </c>
      <c r="F100" t="s">
        <v>654</v>
      </c>
      <c r="G100" t="s">
        <v>654</v>
      </c>
      <c r="H100" t="s">
        <v>5655</v>
      </c>
      <c r="I100">
        <v>19800</v>
      </c>
      <c r="J100" t="s">
        <v>4</v>
      </c>
      <c r="K100" t="s">
        <v>4</v>
      </c>
      <c r="L100">
        <v>200</v>
      </c>
      <c r="M100">
        <v>1</v>
      </c>
      <c r="N100" t="s">
        <v>4</v>
      </c>
      <c r="O100" t="s">
        <v>4</v>
      </c>
      <c r="P100" t="s">
        <v>4</v>
      </c>
      <c r="Q100" t="s">
        <v>4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4</v>
      </c>
      <c r="Z100" t="s">
        <v>4</v>
      </c>
      <c r="AA100" t="s">
        <v>4</v>
      </c>
      <c r="AB100" t="s">
        <v>160</v>
      </c>
      <c r="AC100" t="s">
        <v>109</v>
      </c>
      <c r="AD100" t="s">
        <v>5656</v>
      </c>
      <c r="AE100" t="s">
        <v>48</v>
      </c>
      <c r="AF100" t="s">
        <v>4</v>
      </c>
      <c r="AG100" t="s">
        <v>4</v>
      </c>
      <c r="AH100" t="s">
        <v>577</v>
      </c>
      <c r="AI100" t="s">
        <v>5657</v>
      </c>
      <c r="AJ100" t="s">
        <v>4</v>
      </c>
      <c r="AK100">
        <v>9331352760</v>
      </c>
      <c r="AL100" t="s">
        <v>5658</v>
      </c>
      <c r="AM100" t="s">
        <v>5659</v>
      </c>
      <c r="AN100" t="s">
        <v>4</v>
      </c>
      <c r="AO100" t="s">
        <v>5039</v>
      </c>
      <c r="AP100" t="s">
        <v>4</v>
      </c>
      <c r="AQ100" t="s">
        <v>10</v>
      </c>
      <c r="AR100" t="s">
        <v>4</v>
      </c>
      <c r="AS100" t="s">
        <v>4</v>
      </c>
      <c r="AT100" t="s">
        <v>4</v>
      </c>
      <c r="AU100" t="s">
        <v>4</v>
      </c>
      <c r="AV100" t="s">
        <v>4</v>
      </c>
      <c r="AW100" t="s">
        <v>11</v>
      </c>
      <c r="AX100">
        <v>4000</v>
      </c>
      <c r="AY100">
        <v>15800</v>
      </c>
      <c r="AZ100" t="s">
        <v>4</v>
      </c>
      <c r="BA100" t="s">
        <v>4</v>
      </c>
      <c r="BB100" t="s">
        <v>4</v>
      </c>
      <c r="BC100" t="s">
        <v>1129</v>
      </c>
      <c r="BD100" t="s">
        <v>1131</v>
      </c>
      <c r="BE100" t="s">
        <v>4</v>
      </c>
      <c r="BF100" t="s">
        <v>4</v>
      </c>
      <c r="BG100" t="s">
        <v>4</v>
      </c>
      <c r="BH100" t="s">
        <v>4</v>
      </c>
      <c r="BI100" t="s">
        <v>4</v>
      </c>
      <c r="BJ100" t="s">
        <v>4756</v>
      </c>
      <c r="BK100" t="s">
        <v>4</v>
      </c>
      <c r="BL100">
        <v>1</v>
      </c>
      <c r="BM100" t="s">
        <v>4</v>
      </c>
      <c r="BN100">
        <v>19800</v>
      </c>
      <c r="BO100" t="s">
        <v>4</v>
      </c>
      <c r="BP100" t="s">
        <v>4</v>
      </c>
      <c r="BQ100" t="s">
        <v>4</v>
      </c>
      <c r="BR100" t="s">
        <v>4</v>
      </c>
      <c r="BS100" t="s">
        <v>4</v>
      </c>
      <c r="BT100" t="s">
        <v>4</v>
      </c>
      <c r="BU100" t="s">
        <v>4</v>
      </c>
      <c r="BV100" t="s">
        <v>4</v>
      </c>
      <c r="BW100" t="s">
        <v>3</v>
      </c>
      <c r="BX100" t="s">
        <v>4</v>
      </c>
      <c r="BY100" t="s">
        <v>12</v>
      </c>
      <c r="BZ100" t="s">
        <v>12</v>
      </c>
      <c r="CA100" t="s">
        <v>12</v>
      </c>
      <c r="CB100" t="s">
        <v>1074</v>
      </c>
      <c r="CC100" t="s">
        <v>12</v>
      </c>
      <c r="CD100" t="str" cm="1">
        <f t="array" aca="1" ref="CD100" ca="1">eConcatenar(A100:CB100,"|")</f>
        <v>17IKL6OyCntqfts6|COM  2020-4833|3|ZAFIRO|TABASCO|PARAISO|PARAISO|2020-11-23|19800|X|X|200|1|X|X|X|X|X|X|X|X|X|X|X|X|X|X|ALEJANDRO|PEREZ|ANA LAURA|SOLTERA|X|X|QUINTIN ARAUZ|FRANCISCO VILLA|X|9331352760|LIDIA DEL CARMEN ALEJANDRO PEREZ|MARIA CANDELARIA ALEJANDRO PEREZ|X|RUTA 4 L|X|LUNES|X|X|X|X|X|DOMICILIO|4000|15800|X|X|X|2021-9-20|2021-9-30|X|X|X|X|X|QUINTIN |X|1|X|19800|X|X|X|X|X|X|X|X|CARDENAS|X|x|x|x|final</v>
      </c>
    </row>
    <row r="101" spans="1:82" x14ac:dyDescent="0.25">
      <c r="A101" t="s">
        <v>5660</v>
      </c>
      <c r="B101" t="s">
        <v>5661</v>
      </c>
      <c r="C101">
        <v>3</v>
      </c>
      <c r="D101" t="s">
        <v>194</v>
      </c>
      <c r="E101" t="s">
        <v>2</v>
      </c>
      <c r="F101" t="s">
        <v>654</v>
      </c>
      <c r="G101" t="s">
        <v>654</v>
      </c>
      <c r="H101" t="s">
        <v>5662</v>
      </c>
      <c r="I101">
        <v>12900</v>
      </c>
      <c r="J101" t="s">
        <v>4</v>
      </c>
      <c r="K101" t="s">
        <v>4</v>
      </c>
      <c r="L101">
        <v>200</v>
      </c>
      <c r="M101">
        <v>0</v>
      </c>
      <c r="N101" t="s">
        <v>4</v>
      </c>
      <c r="O101" t="s">
        <v>4</v>
      </c>
      <c r="P101" t="s">
        <v>4</v>
      </c>
      <c r="Q101" t="s">
        <v>4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4</v>
      </c>
      <c r="Z101" t="s">
        <v>4</v>
      </c>
      <c r="AA101" t="s">
        <v>4</v>
      </c>
      <c r="AB101" t="s">
        <v>764</v>
      </c>
      <c r="AC101" t="s">
        <v>764</v>
      </c>
      <c r="AD101" t="s">
        <v>5663</v>
      </c>
      <c r="AE101" t="s">
        <v>29</v>
      </c>
      <c r="AF101" t="s">
        <v>4</v>
      </c>
      <c r="AG101" t="s">
        <v>4</v>
      </c>
      <c r="AH101" t="s">
        <v>2016</v>
      </c>
      <c r="AI101" t="s">
        <v>5664</v>
      </c>
      <c r="AJ101" t="s">
        <v>4</v>
      </c>
      <c r="AK101">
        <v>9331237341</v>
      </c>
      <c r="AL101" t="s">
        <v>5665</v>
      </c>
      <c r="AM101" t="s">
        <v>5666</v>
      </c>
      <c r="AN101" t="s">
        <v>4</v>
      </c>
      <c r="AO101" t="s">
        <v>5039</v>
      </c>
      <c r="AP101" t="s">
        <v>4</v>
      </c>
      <c r="AQ101" t="s">
        <v>10</v>
      </c>
      <c r="AR101" t="s">
        <v>4</v>
      </c>
      <c r="AS101" t="s">
        <v>4</v>
      </c>
      <c r="AT101" t="s">
        <v>4</v>
      </c>
      <c r="AU101" t="s">
        <v>4</v>
      </c>
      <c r="AV101" t="s">
        <v>4</v>
      </c>
      <c r="AW101" t="s">
        <v>11</v>
      </c>
      <c r="AX101">
        <v>6300</v>
      </c>
      <c r="AY101">
        <v>6600</v>
      </c>
      <c r="AZ101" t="s">
        <v>4</v>
      </c>
      <c r="BA101" t="s">
        <v>4</v>
      </c>
      <c r="BB101" t="s">
        <v>4</v>
      </c>
      <c r="BC101" t="s">
        <v>1129</v>
      </c>
      <c r="BD101" t="s">
        <v>1133</v>
      </c>
      <c r="BE101" t="s">
        <v>4</v>
      </c>
      <c r="BF101" t="s">
        <v>4</v>
      </c>
      <c r="BG101" t="s">
        <v>4</v>
      </c>
      <c r="BH101" t="s">
        <v>4</v>
      </c>
      <c r="BI101" t="s">
        <v>4</v>
      </c>
      <c r="BJ101" t="s">
        <v>2016</v>
      </c>
      <c r="BK101" t="s">
        <v>4</v>
      </c>
      <c r="BL101">
        <v>1</v>
      </c>
      <c r="BM101" t="s">
        <v>4</v>
      </c>
      <c r="BN101">
        <v>12900</v>
      </c>
      <c r="BO101" t="s">
        <v>4</v>
      </c>
      <c r="BP101" t="s">
        <v>4</v>
      </c>
      <c r="BQ101" t="s">
        <v>4</v>
      </c>
      <c r="BR101" t="s">
        <v>4</v>
      </c>
      <c r="BS101" t="s">
        <v>4</v>
      </c>
      <c r="BT101" t="s">
        <v>4</v>
      </c>
      <c r="BU101" t="s">
        <v>4</v>
      </c>
      <c r="BV101" t="s">
        <v>4</v>
      </c>
      <c r="BW101" t="s">
        <v>3</v>
      </c>
      <c r="BX101" t="s">
        <v>4</v>
      </c>
      <c r="BY101" t="s">
        <v>12</v>
      </c>
      <c r="BZ101" t="s">
        <v>12</v>
      </c>
      <c r="CA101" t="s">
        <v>12</v>
      </c>
      <c r="CB101" t="s">
        <v>1074</v>
      </c>
      <c r="CC101" t="s">
        <v>12</v>
      </c>
      <c r="CD101" t="str" cm="1">
        <f t="array" aca="1" ref="CD101" ca="1">eConcatenar(A101:CB101,"|")</f>
        <v>IgiatAZp2xUMouv8|COM  2020-0721|3|ECONOLINE|TABASCO|PARAISO|PARAISO|2020-3-13|12900|X|X|200|0|X|X|X|X|X|X|X|X|X|X|X|X|X|X|ANGULO|ANGULO|DEYSI|CASADA|X|X|MONTE ADENTRO|ENTRADA PRINCIPAL|X|9331237341|DAVID ANGULO ANGULLLO|DAVID ALBERTO ANGULO ANGULO|X|RUTA 4 L|X|LUNES|X|X|X|X|X|DOMICILIO|6300|6600|X|X|X|2021-9-20|2021-9-27|X|X|X|X|X|MONTE ADENTRO|X|1|X|12900|X|X|X|X|X|X|X|X|CARDENAS|X|x|x|x|final</v>
      </c>
    </row>
    <row r="102" spans="1:82" x14ac:dyDescent="0.25">
      <c r="A102" t="s">
        <v>5667</v>
      </c>
      <c r="B102" t="s">
        <v>5668</v>
      </c>
      <c r="C102">
        <v>3</v>
      </c>
      <c r="D102" t="s">
        <v>194</v>
      </c>
      <c r="E102" t="s">
        <v>2</v>
      </c>
      <c r="F102" t="s">
        <v>654</v>
      </c>
      <c r="G102" t="s">
        <v>654</v>
      </c>
      <c r="H102" t="s">
        <v>5669</v>
      </c>
      <c r="I102">
        <v>12900</v>
      </c>
      <c r="J102" t="s">
        <v>4</v>
      </c>
      <c r="K102" t="s">
        <v>4</v>
      </c>
      <c r="L102">
        <v>200</v>
      </c>
      <c r="M102">
        <v>1</v>
      </c>
      <c r="N102" t="s">
        <v>4</v>
      </c>
      <c r="O102" t="s">
        <v>4</v>
      </c>
      <c r="P102" t="s">
        <v>4</v>
      </c>
      <c r="Q102" t="s">
        <v>4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4</v>
      </c>
      <c r="Z102" t="s">
        <v>4</v>
      </c>
      <c r="AA102" t="s">
        <v>4</v>
      </c>
      <c r="AB102" t="s">
        <v>5670</v>
      </c>
      <c r="AC102" t="s">
        <v>330</v>
      </c>
      <c r="AD102" t="s">
        <v>5671</v>
      </c>
      <c r="AE102" t="s">
        <v>29</v>
      </c>
      <c r="AF102" t="s">
        <v>4</v>
      </c>
      <c r="AG102" t="s">
        <v>4</v>
      </c>
      <c r="AH102" t="s">
        <v>5672</v>
      </c>
      <c r="AI102" t="s">
        <v>5673</v>
      </c>
      <c r="AJ102" t="s">
        <v>4</v>
      </c>
      <c r="AK102">
        <v>9331137314</v>
      </c>
      <c r="AL102" t="s">
        <v>5674</v>
      </c>
      <c r="AM102" t="s">
        <v>5675</v>
      </c>
      <c r="AN102" t="s">
        <v>4</v>
      </c>
      <c r="AO102" t="s">
        <v>5039</v>
      </c>
      <c r="AP102" t="s">
        <v>4</v>
      </c>
      <c r="AQ102" t="s">
        <v>10</v>
      </c>
      <c r="AR102" t="s">
        <v>4</v>
      </c>
      <c r="AS102" t="s">
        <v>4</v>
      </c>
      <c r="AT102" t="s">
        <v>4</v>
      </c>
      <c r="AU102" t="s">
        <v>4</v>
      </c>
      <c r="AV102" t="s">
        <v>4</v>
      </c>
      <c r="AW102" t="s">
        <v>11</v>
      </c>
      <c r="AX102">
        <v>7000</v>
      </c>
      <c r="AY102">
        <v>5900</v>
      </c>
      <c r="AZ102" t="s">
        <v>4</v>
      </c>
      <c r="BA102" t="s">
        <v>4</v>
      </c>
      <c r="BB102" t="s">
        <v>4</v>
      </c>
      <c r="BC102" t="s">
        <v>1129</v>
      </c>
      <c r="BD102" t="s">
        <v>1131</v>
      </c>
      <c r="BE102" t="s">
        <v>4</v>
      </c>
      <c r="BF102" t="s">
        <v>4</v>
      </c>
      <c r="BG102" t="s">
        <v>4</v>
      </c>
      <c r="BH102" t="s">
        <v>4</v>
      </c>
      <c r="BI102" t="s">
        <v>4</v>
      </c>
      <c r="BJ102" t="s">
        <v>5672</v>
      </c>
      <c r="BK102" t="s">
        <v>4</v>
      </c>
      <c r="BL102">
        <v>1</v>
      </c>
      <c r="BM102" t="s">
        <v>4</v>
      </c>
      <c r="BN102">
        <v>12900</v>
      </c>
      <c r="BO102" t="s">
        <v>4</v>
      </c>
      <c r="BP102" t="s">
        <v>4</v>
      </c>
      <c r="BQ102" t="s">
        <v>4</v>
      </c>
      <c r="BR102" t="s">
        <v>4</v>
      </c>
      <c r="BS102" t="s">
        <v>4</v>
      </c>
      <c r="BT102" t="s">
        <v>4</v>
      </c>
      <c r="BU102" t="s">
        <v>4</v>
      </c>
      <c r="BV102" t="s">
        <v>4</v>
      </c>
      <c r="BW102" t="s">
        <v>3</v>
      </c>
      <c r="BX102" t="s">
        <v>4</v>
      </c>
      <c r="BY102" t="s">
        <v>12</v>
      </c>
      <c r="BZ102" t="s">
        <v>12</v>
      </c>
      <c r="CA102" t="s">
        <v>12</v>
      </c>
      <c r="CB102" t="s">
        <v>1074</v>
      </c>
      <c r="CC102" t="s">
        <v>12</v>
      </c>
      <c r="CD102" t="str" cm="1">
        <f t="array" aca="1" ref="CD102" ca="1">eConcatenar(A102:CB102,"|")</f>
        <v>0hjDuWbEGHy9DgnL|COM  2020-0742|3|ECONOLINE|TABASCO|PARAISO|PARAISO|2020-3-17|12900|X|X|200|1|X|X|X|X|X|X|X|X|X|X|X|X|X|X|ABURTO|JAVIER|LIDIA|CASADA|X|X|ORIENTE PRIMERA|FEDERAL|X|9331137314|JOSE DOLORES JIMENEZ JIMENEZ|ANYELE JIMENEZ ABURTO|X|RUTA 4 L|X|LUNES|X|X|X|X|X|DOMICILIO|7000|5900|X|X|X|2021-9-20|2021-9-30|X|X|X|X|X|ORIENTE PRIMERA|X|1|X|12900|X|X|X|X|X|X|X|X|CARDENAS|X|x|x|x|final</v>
      </c>
    </row>
    <row r="103" spans="1:82" x14ac:dyDescent="0.25">
      <c r="A103" t="s">
        <v>5676</v>
      </c>
      <c r="B103" t="s">
        <v>5677</v>
      </c>
      <c r="C103">
        <v>3</v>
      </c>
      <c r="D103" t="s">
        <v>194</v>
      </c>
      <c r="E103" t="s">
        <v>2</v>
      </c>
      <c r="F103" t="s">
        <v>654</v>
      </c>
      <c r="G103" t="s">
        <v>654</v>
      </c>
      <c r="H103" t="s">
        <v>5678</v>
      </c>
      <c r="I103">
        <v>12900</v>
      </c>
      <c r="J103" t="s">
        <v>4</v>
      </c>
      <c r="K103" t="s">
        <v>4</v>
      </c>
      <c r="L103">
        <v>200</v>
      </c>
      <c r="M103">
        <v>1</v>
      </c>
      <c r="N103" t="s">
        <v>4</v>
      </c>
      <c r="O103" t="s">
        <v>4</v>
      </c>
      <c r="P103" t="s">
        <v>4</v>
      </c>
      <c r="Q103" t="s">
        <v>4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4</v>
      </c>
      <c r="Z103" t="s">
        <v>4</v>
      </c>
      <c r="AA103" t="s">
        <v>4</v>
      </c>
      <c r="AB103" t="s">
        <v>207</v>
      </c>
      <c r="AC103" t="s">
        <v>458</v>
      </c>
      <c r="AD103" t="s">
        <v>227</v>
      </c>
      <c r="AE103" t="s">
        <v>29</v>
      </c>
      <c r="AF103" t="s">
        <v>4</v>
      </c>
      <c r="AG103" t="s">
        <v>4</v>
      </c>
      <c r="AH103" t="s">
        <v>577</v>
      </c>
      <c r="AI103" t="s">
        <v>5679</v>
      </c>
      <c r="AJ103" t="s">
        <v>4</v>
      </c>
      <c r="AK103">
        <v>9331464896</v>
      </c>
      <c r="AL103" t="s">
        <v>5680</v>
      </c>
      <c r="AM103" t="s">
        <v>5681</v>
      </c>
      <c r="AN103" t="s">
        <v>4</v>
      </c>
      <c r="AO103" t="s">
        <v>5039</v>
      </c>
      <c r="AP103" t="s">
        <v>4</v>
      </c>
      <c r="AQ103" t="s">
        <v>10</v>
      </c>
      <c r="AR103" t="s">
        <v>4</v>
      </c>
      <c r="AS103" t="s">
        <v>4</v>
      </c>
      <c r="AT103" t="s">
        <v>4</v>
      </c>
      <c r="AU103" t="s">
        <v>4</v>
      </c>
      <c r="AV103" t="s">
        <v>4</v>
      </c>
      <c r="AW103" t="s">
        <v>11</v>
      </c>
      <c r="AX103">
        <v>10150</v>
      </c>
      <c r="AY103">
        <v>2750</v>
      </c>
      <c r="AZ103" t="s">
        <v>4</v>
      </c>
      <c r="BA103" t="s">
        <v>4</v>
      </c>
      <c r="BB103" t="s">
        <v>4</v>
      </c>
      <c r="BC103" t="s">
        <v>1129</v>
      </c>
      <c r="BD103" t="s">
        <v>5072</v>
      </c>
      <c r="BE103" t="s">
        <v>4</v>
      </c>
      <c r="BF103" t="s">
        <v>4</v>
      </c>
      <c r="BG103" t="s">
        <v>4</v>
      </c>
      <c r="BH103" t="s">
        <v>4</v>
      </c>
      <c r="BI103" t="s">
        <v>4</v>
      </c>
      <c r="BJ103" t="s">
        <v>577</v>
      </c>
      <c r="BK103" t="s">
        <v>4</v>
      </c>
      <c r="BL103">
        <v>1</v>
      </c>
      <c r="BM103" t="s">
        <v>4</v>
      </c>
      <c r="BN103">
        <v>12900</v>
      </c>
      <c r="BO103" t="s">
        <v>4</v>
      </c>
      <c r="BP103" t="s">
        <v>4</v>
      </c>
      <c r="BQ103" t="s">
        <v>4</v>
      </c>
      <c r="BR103" t="s">
        <v>4</v>
      </c>
      <c r="BS103" t="s">
        <v>4</v>
      </c>
      <c r="BT103" t="s">
        <v>4</v>
      </c>
      <c r="BU103" t="s">
        <v>4</v>
      </c>
      <c r="BV103" t="s">
        <v>4</v>
      </c>
      <c r="BW103" t="s">
        <v>3</v>
      </c>
      <c r="BX103" t="s">
        <v>4</v>
      </c>
      <c r="BY103" t="s">
        <v>12</v>
      </c>
      <c r="BZ103" t="s">
        <v>12</v>
      </c>
      <c r="CA103" t="s">
        <v>12</v>
      </c>
      <c r="CB103" t="s">
        <v>1074</v>
      </c>
      <c r="CC103" t="s">
        <v>12</v>
      </c>
      <c r="CD103" t="str" cm="1">
        <f t="array" aca="1" ref="CD103" ca="1">eConcatenar(A103:CB103,"|")</f>
        <v>crbhDs1NT2lhqTcQ|COM  2020-0735|3|ECONOLINE|TABASCO|PARAISO|PARAISO|2020-3-16|12900|X|X|200|1|X|X|X|X|X|X|X|X|X|X|X|X|X|X|OSORIO|CHABLE|MANUELA|CASADA|X|X|QUINTIN ARAUZ|LOS MAGAÑAS|X|9331464896|EFRAIN GOMEZ DOMINGUEZ|IGNACIO OSORIO DOMINGUEZ|X|RUTA 4 L|X|LUNES|X|X|X|X|X|DOMICILIO|10150|2750|X|X|X|2021-9-20|2021-10-04|X|X|X|X|X|QUINTIN ARAUZ|X|1|X|12900|X|X|X|X|X|X|X|X|CARDENAS|X|x|x|x|final</v>
      </c>
    </row>
    <row r="104" spans="1:82" x14ac:dyDescent="0.25">
      <c r="A104" t="s">
        <v>5682</v>
      </c>
      <c r="B104" t="s">
        <v>5683</v>
      </c>
      <c r="C104">
        <v>3</v>
      </c>
      <c r="D104" t="s">
        <v>194</v>
      </c>
      <c r="E104" t="s">
        <v>2</v>
      </c>
      <c r="F104" t="s">
        <v>654</v>
      </c>
      <c r="G104" t="s">
        <v>654</v>
      </c>
      <c r="H104" t="s">
        <v>5684</v>
      </c>
      <c r="I104">
        <v>12900</v>
      </c>
      <c r="J104" t="s">
        <v>4</v>
      </c>
      <c r="K104" t="s">
        <v>4</v>
      </c>
      <c r="L104">
        <v>100</v>
      </c>
      <c r="M104">
        <v>0</v>
      </c>
      <c r="N104" t="s">
        <v>4</v>
      </c>
      <c r="O104" t="s">
        <v>4</v>
      </c>
      <c r="P104" t="s">
        <v>4</v>
      </c>
      <c r="Q104" t="s">
        <v>4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4</v>
      </c>
      <c r="Z104" t="s">
        <v>4</v>
      </c>
      <c r="AA104" t="s">
        <v>4</v>
      </c>
      <c r="AB104" t="s">
        <v>109</v>
      </c>
      <c r="AC104" t="s">
        <v>597</v>
      </c>
      <c r="AD104" t="s">
        <v>4957</v>
      </c>
      <c r="AE104" t="s">
        <v>59</v>
      </c>
      <c r="AF104" t="s">
        <v>4</v>
      </c>
      <c r="AG104" t="s">
        <v>4</v>
      </c>
      <c r="AH104" t="s">
        <v>5338</v>
      </c>
      <c r="AI104" t="s">
        <v>4</v>
      </c>
      <c r="AJ104" t="s">
        <v>4</v>
      </c>
      <c r="AK104">
        <v>9331523867</v>
      </c>
      <c r="AL104" t="s">
        <v>5685</v>
      </c>
      <c r="AM104" t="s">
        <v>4</v>
      </c>
      <c r="AN104" t="s">
        <v>4</v>
      </c>
      <c r="AO104" t="s">
        <v>5039</v>
      </c>
      <c r="AP104" t="s">
        <v>4</v>
      </c>
      <c r="AQ104" t="s">
        <v>10</v>
      </c>
      <c r="AR104" t="s">
        <v>4</v>
      </c>
      <c r="AS104" t="s">
        <v>4</v>
      </c>
      <c r="AT104" t="s">
        <v>4</v>
      </c>
      <c r="AU104" t="s">
        <v>4</v>
      </c>
      <c r="AV104" t="s">
        <v>4</v>
      </c>
      <c r="AW104" t="s">
        <v>11</v>
      </c>
      <c r="AX104">
        <v>7900</v>
      </c>
      <c r="AY104">
        <v>5000</v>
      </c>
      <c r="AZ104" t="s">
        <v>4</v>
      </c>
      <c r="BA104" t="s">
        <v>4</v>
      </c>
      <c r="BB104" t="s">
        <v>4</v>
      </c>
      <c r="BC104" t="s">
        <v>1129</v>
      </c>
      <c r="BD104" t="s">
        <v>1133</v>
      </c>
      <c r="BE104" t="s">
        <v>4</v>
      </c>
      <c r="BF104" t="s">
        <v>4</v>
      </c>
      <c r="BG104" t="s">
        <v>4</v>
      </c>
      <c r="BH104" t="s">
        <v>4</v>
      </c>
      <c r="BI104" t="s">
        <v>4</v>
      </c>
      <c r="BJ104" t="s">
        <v>2016</v>
      </c>
      <c r="BK104" t="s">
        <v>4</v>
      </c>
      <c r="BL104">
        <v>1</v>
      </c>
      <c r="BM104" t="s">
        <v>4</v>
      </c>
      <c r="BN104">
        <v>12900</v>
      </c>
      <c r="BO104" t="s">
        <v>4</v>
      </c>
      <c r="BP104" t="s">
        <v>4</v>
      </c>
      <c r="BQ104" t="s">
        <v>4</v>
      </c>
      <c r="BR104" t="s">
        <v>4</v>
      </c>
      <c r="BS104" t="s">
        <v>4</v>
      </c>
      <c r="BT104" t="s">
        <v>4</v>
      </c>
      <c r="BU104" t="s">
        <v>4</v>
      </c>
      <c r="BV104" t="s">
        <v>4</v>
      </c>
      <c r="BW104" t="s">
        <v>3</v>
      </c>
      <c r="BX104" t="s">
        <v>4</v>
      </c>
      <c r="BY104" t="s">
        <v>12</v>
      </c>
      <c r="BZ104" t="s">
        <v>12</v>
      </c>
      <c r="CA104" t="s">
        <v>12</v>
      </c>
      <c r="CB104" t="s">
        <v>1074</v>
      </c>
      <c r="CC104" t="s">
        <v>12</v>
      </c>
      <c r="CD104" t="str" cm="1">
        <f t="array" aca="1" ref="CD104" ca="1">eConcatenar(A104:CB104,"|")</f>
        <v>zPh8Lh1aLire5HlC|COM  2020-0728|3|ECONOLINE|TABASCO|PARAISO|PARAISO|2020-3-12|12900|X|X|100|0|X|X|X|X|X|X|X|X|X|X|X|X|X|X|PEREZ|MAGAÑA|MARIA LOURDES|CASADO|X|X|MONTE ADENTRO |X|X|9331523867|DENICES ANGULO PEREZ|X|X|RUTA 4 L|X|LUNES|X|X|X|X|X|DOMICILIO|7900|5000|X|X|X|2021-9-20|2021-9-27|X|X|X|X|X|MONTE ADENTRO|X|1|X|12900|X|X|X|X|X|X|X|X|CARDENAS|X|x|x|x|final</v>
      </c>
    </row>
    <row r="105" spans="1:82" x14ac:dyDescent="0.25">
      <c r="A105" t="s">
        <v>5686</v>
      </c>
      <c r="B105" t="s">
        <v>5687</v>
      </c>
      <c r="C105">
        <v>3</v>
      </c>
      <c r="D105" t="s">
        <v>194</v>
      </c>
      <c r="E105" t="s">
        <v>2</v>
      </c>
      <c r="F105" t="s">
        <v>654</v>
      </c>
      <c r="G105" t="s">
        <v>654</v>
      </c>
      <c r="H105" t="s">
        <v>5662</v>
      </c>
      <c r="I105">
        <v>12900</v>
      </c>
      <c r="J105" t="s">
        <v>4</v>
      </c>
      <c r="K105" t="s">
        <v>4</v>
      </c>
      <c r="L105">
        <v>100</v>
      </c>
      <c r="M105">
        <v>0</v>
      </c>
      <c r="N105" t="s">
        <v>4</v>
      </c>
      <c r="O105" t="s">
        <v>4</v>
      </c>
      <c r="P105" t="s">
        <v>4</v>
      </c>
      <c r="Q105" t="s">
        <v>4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4</v>
      </c>
      <c r="Z105" t="s">
        <v>4</v>
      </c>
      <c r="AA105" t="s">
        <v>4</v>
      </c>
      <c r="AB105" t="s">
        <v>160</v>
      </c>
      <c r="AC105" t="s">
        <v>16</v>
      </c>
      <c r="AD105" t="s">
        <v>5688</v>
      </c>
      <c r="AE105" t="s">
        <v>24</v>
      </c>
      <c r="AF105" t="s">
        <v>4</v>
      </c>
      <c r="AG105" t="s">
        <v>4</v>
      </c>
      <c r="AH105" t="s">
        <v>5689</v>
      </c>
      <c r="AI105" t="s">
        <v>4</v>
      </c>
      <c r="AJ105" t="s">
        <v>4</v>
      </c>
      <c r="AK105">
        <v>9331324064</v>
      </c>
      <c r="AL105" t="s">
        <v>5690</v>
      </c>
      <c r="AM105" t="s">
        <v>5691</v>
      </c>
      <c r="AN105" t="s">
        <v>4</v>
      </c>
      <c r="AO105" t="s">
        <v>5039</v>
      </c>
      <c r="AP105" t="s">
        <v>4</v>
      </c>
      <c r="AQ105" t="s">
        <v>10</v>
      </c>
      <c r="AR105" t="s">
        <v>4</v>
      </c>
      <c r="AS105" t="s">
        <v>4</v>
      </c>
      <c r="AT105" t="s">
        <v>4</v>
      </c>
      <c r="AU105" t="s">
        <v>4</v>
      </c>
      <c r="AV105" t="s">
        <v>4</v>
      </c>
      <c r="AW105" t="s">
        <v>11</v>
      </c>
      <c r="AX105">
        <v>6700</v>
      </c>
      <c r="AY105">
        <v>6200</v>
      </c>
      <c r="AZ105" t="s">
        <v>4</v>
      </c>
      <c r="BA105" t="s">
        <v>4</v>
      </c>
      <c r="BB105" t="s">
        <v>4</v>
      </c>
      <c r="BC105" t="s">
        <v>1129</v>
      </c>
      <c r="BD105" t="s">
        <v>1133</v>
      </c>
      <c r="BE105" t="s">
        <v>4</v>
      </c>
      <c r="BF105" t="s">
        <v>4</v>
      </c>
      <c r="BG105" t="s">
        <v>4</v>
      </c>
      <c r="BH105" t="s">
        <v>4</v>
      </c>
      <c r="BI105" t="s">
        <v>4</v>
      </c>
      <c r="BJ105" t="s">
        <v>2016</v>
      </c>
      <c r="BK105" t="s">
        <v>4</v>
      </c>
      <c r="BL105">
        <v>0</v>
      </c>
      <c r="BM105" t="s">
        <v>4</v>
      </c>
      <c r="BN105">
        <v>12900</v>
      </c>
      <c r="BO105" t="s">
        <v>4</v>
      </c>
      <c r="BP105" t="s">
        <v>4</v>
      </c>
      <c r="BQ105" t="s">
        <v>4</v>
      </c>
      <c r="BR105" t="s">
        <v>4</v>
      </c>
      <c r="BS105" t="s">
        <v>4</v>
      </c>
      <c r="BT105" t="s">
        <v>4</v>
      </c>
      <c r="BU105" t="s">
        <v>4</v>
      </c>
      <c r="BV105" t="s">
        <v>4</v>
      </c>
      <c r="BW105" t="s">
        <v>3</v>
      </c>
      <c r="BX105" t="s">
        <v>4</v>
      </c>
      <c r="BY105" t="s">
        <v>12</v>
      </c>
      <c r="BZ105" t="s">
        <v>12</v>
      </c>
      <c r="CA105" t="s">
        <v>12</v>
      </c>
      <c r="CB105" t="s">
        <v>1074</v>
      </c>
      <c r="CC105" t="s">
        <v>12</v>
      </c>
      <c r="CD105" t="str" cm="1">
        <f t="array" aca="1" ref="CD105" ca="1">eConcatenar(A105:CB105,"|")</f>
        <v>76RHVMeSt79gNmgA|COM  2020-0726|3|ECONOLINE|TABASCO|PARAISO|PARAISO|2020-3-13|12900|X|X|100|0|X|X|X|X|X|X|X|X|X|X|X|X|X|X|ALEJANDRO|SANTOS|EURIPIDES|UNION LIBRE|X|X|MONTE DENTRO|X|X|9331324064|YAZMIN MONTIEL ANGUL|YULISSA ISIDRIA ALEJANDRO GARCIA|X|RUTA 4 L|X|LUNES|X|X|X|X|X|DOMICILIO|6700|6200|X|X|X|2021-9-20|2021-9-27|X|X|X|X|X|MONTE ADENTRO|X|0|X|12900|X|X|X|X|X|X|X|X|CARDENAS|X|x|x|x|final</v>
      </c>
    </row>
    <row r="106" spans="1:82" x14ac:dyDescent="0.25">
      <c r="A106" t="s">
        <v>5692</v>
      </c>
      <c r="B106" t="s">
        <v>5693</v>
      </c>
      <c r="C106">
        <v>3</v>
      </c>
      <c r="D106" t="s">
        <v>194</v>
      </c>
      <c r="E106" t="s">
        <v>2</v>
      </c>
      <c r="F106" t="s">
        <v>654</v>
      </c>
      <c r="G106" t="s">
        <v>654</v>
      </c>
      <c r="H106" t="s">
        <v>5662</v>
      </c>
      <c r="I106">
        <v>12900</v>
      </c>
      <c r="J106" t="s">
        <v>4</v>
      </c>
      <c r="K106" t="s">
        <v>4</v>
      </c>
      <c r="L106">
        <v>100</v>
      </c>
      <c r="M106">
        <v>0</v>
      </c>
      <c r="N106" t="s">
        <v>4</v>
      </c>
      <c r="O106" t="s">
        <v>4</v>
      </c>
      <c r="P106" t="s">
        <v>4</v>
      </c>
      <c r="Q106" t="s">
        <v>4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4</v>
      </c>
      <c r="Z106" t="s">
        <v>4</v>
      </c>
      <c r="AA106" t="s">
        <v>4</v>
      </c>
      <c r="AB106" t="s">
        <v>655</v>
      </c>
      <c r="AC106" t="s">
        <v>5130</v>
      </c>
      <c r="AD106" t="s">
        <v>916</v>
      </c>
      <c r="AE106" t="s">
        <v>17</v>
      </c>
      <c r="AF106" t="s">
        <v>4</v>
      </c>
      <c r="AG106" t="s">
        <v>4</v>
      </c>
      <c r="AH106" t="s">
        <v>2001</v>
      </c>
      <c r="AI106" t="s">
        <v>4</v>
      </c>
      <c r="AJ106" t="s">
        <v>4</v>
      </c>
      <c r="AK106">
        <v>9331369771</v>
      </c>
      <c r="AL106" t="s">
        <v>5694</v>
      </c>
      <c r="AM106" t="s">
        <v>5695</v>
      </c>
      <c r="AN106" t="s">
        <v>4</v>
      </c>
      <c r="AO106" t="s">
        <v>5039</v>
      </c>
      <c r="AP106" t="s">
        <v>4</v>
      </c>
      <c r="AQ106" t="s">
        <v>10</v>
      </c>
      <c r="AR106" t="s">
        <v>4</v>
      </c>
      <c r="AS106" t="s">
        <v>4</v>
      </c>
      <c r="AT106" t="s">
        <v>4</v>
      </c>
      <c r="AU106" t="s">
        <v>4</v>
      </c>
      <c r="AV106" t="s">
        <v>4</v>
      </c>
      <c r="AW106" t="s">
        <v>11</v>
      </c>
      <c r="AX106">
        <v>7200</v>
      </c>
      <c r="AY106">
        <v>5700</v>
      </c>
      <c r="AZ106" t="s">
        <v>4</v>
      </c>
      <c r="BA106" t="s">
        <v>4</v>
      </c>
      <c r="BB106" t="s">
        <v>4</v>
      </c>
      <c r="BC106" t="s">
        <v>1129</v>
      </c>
      <c r="BD106" t="s">
        <v>1133</v>
      </c>
      <c r="BE106" t="s">
        <v>4</v>
      </c>
      <c r="BF106" t="s">
        <v>4</v>
      </c>
      <c r="BG106" t="s">
        <v>4</v>
      </c>
      <c r="BH106" t="s">
        <v>4</v>
      </c>
      <c r="BI106" t="s">
        <v>4</v>
      </c>
      <c r="BJ106" t="s">
        <v>2001</v>
      </c>
      <c r="BK106" t="s">
        <v>4</v>
      </c>
      <c r="BL106">
        <v>0</v>
      </c>
      <c r="BM106" t="s">
        <v>4</v>
      </c>
      <c r="BN106">
        <v>12900</v>
      </c>
      <c r="BO106" t="s">
        <v>4</v>
      </c>
      <c r="BP106" t="s">
        <v>4</v>
      </c>
      <c r="BQ106" t="s">
        <v>4</v>
      </c>
      <c r="BR106" t="s">
        <v>4</v>
      </c>
      <c r="BS106" t="s">
        <v>4</v>
      </c>
      <c r="BT106" t="s">
        <v>4</v>
      </c>
      <c r="BU106" t="s">
        <v>4</v>
      </c>
      <c r="BV106" t="s">
        <v>4</v>
      </c>
      <c r="BW106" t="s">
        <v>3</v>
      </c>
      <c r="BX106" t="s">
        <v>4</v>
      </c>
      <c r="BY106" t="s">
        <v>12</v>
      </c>
      <c r="BZ106" t="s">
        <v>12</v>
      </c>
      <c r="CA106" t="s">
        <v>12</v>
      </c>
      <c r="CB106" t="s">
        <v>1074</v>
      </c>
      <c r="CC106" t="s">
        <v>12</v>
      </c>
      <c r="CD106" t="str" cm="1">
        <f t="array" aca="1" ref="CD106" ca="1">eConcatenar(A106:CB106,"|")</f>
        <v>ww9fqwbHND9mg34g|COM  2020-0724|3|ECONOLINE|TABASCO|PARAISO|PARAISO|2020-3-13|12900|X|X|100|0|X|X|X|X|X|X|X|X|X|X|X|X|X|X|FLORES|PALMA|LUIS ENRIQUE|SOLTERO|X|X|ORIENTE SAN CAYETANO|X|X|9331369771|VERONICA FLORES PALMA|SOILA FLORES PALMA|X|RUTA 4 L|X|LUNES|X|X|X|X|X|DOMICILIO|7200|5700|X|X|X|2021-9-20|2021-9-27|X|X|X|X|X|ORIENTE SAN CAYETANO|X|0|X|12900|X|X|X|X|X|X|X|X|CARDENAS|X|x|x|x|final</v>
      </c>
    </row>
    <row r="107" spans="1:82" x14ac:dyDescent="0.25">
      <c r="A107" t="s">
        <v>5696</v>
      </c>
      <c r="B107" t="s">
        <v>5697</v>
      </c>
      <c r="C107">
        <v>3</v>
      </c>
      <c r="D107" t="s">
        <v>194</v>
      </c>
      <c r="E107" t="s">
        <v>2</v>
      </c>
      <c r="F107" t="s">
        <v>722</v>
      </c>
      <c r="G107" t="s">
        <v>722</v>
      </c>
      <c r="H107" t="s">
        <v>5616</v>
      </c>
      <c r="I107">
        <v>12900</v>
      </c>
      <c r="J107" t="s">
        <v>4</v>
      </c>
      <c r="K107" t="s">
        <v>4</v>
      </c>
      <c r="L107">
        <v>200</v>
      </c>
      <c r="M107">
        <v>1</v>
      </c>
      <c r="N107" t="s">
        <v>4</v>
      </c>
      <c r="O107" t="s">
        <v>4</v>
      </c>
      <c r="P107" t="s">
        <v>4</v>
      </c>
      <c r="Q107" t="s">
        <v>4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4</v>
      </c>
      <c r="Z107" t="s">
        <v>4</v>
      </c>
      <c r="AA107" t="s">
        <v>4</v>
      </c>
      <c r="AB107" t="s">
        <v>350</v>
      </c>
      <c r="AC107" t="s">
        <v>6</v>
      </c>
      <c r="AD107" t="s">
        <v>5698</v>
      </c>
      <c r="AE107" t="s">
        <v>48</v>
      </c>
      <c r="AF107" t="s">
        <v>4</v>
      </c>
      <c r="AG107" t="s">
        <v>4</v>
      </c>
      <c r="AH107" t="s">
        <v>5699</v>
      </c>
      <c r="AI107" t="s">
        <v>5700</v>
      </c>
      <c r="AJ107" t="s">
        <v>4</v>
      </c>
      <c r="AK107">
        <v>9332085550</v>
      </c>
      <c r="AL107" t="s">
        <v>5701</v>
      </c>
      <c r="AM107" t="s">
        <v>5702</v>
      </c>
      <c r="AN107" t="s">
        <v>4</v>
      </c>
      <c r="AO107" t="s">
        <v>5039</v>
      </c>
      <c r="AP107" t="s">
        <v>4</v>
      </c>
      <c r="AQ107" t="s">
        <v>10</v>
      </c>
      <c r="AR107" t="s">
        <v>4</v>
      </c>
      <c r="AS107" t="s">
        <v>4</v>
      </c>
      <c r="AT107" t="s">
        <v>4</v>
      </c>
      <c r="AU107" t="s">
        <v>4</v>
      </c>
      <c r="AV107" t="s">
        <v>4</v>
      </c>
      <c r="AW107" t="s">
        <v>11</v>
      </c>
      <c r="AX107">
        <v>8500</v>
      </c>
      <c r="AY107">
        <v>4400</v>
      </c>
      <c r="AZ107" t="s">
        <v>4</v>
      </c>
      <c r="BA107" t="s">
        <v>4</v>
      </c>
      <c r="BB107" t="s">
        <v>4</v>
      </c>
      <c r="BC107" t="s">
        <v>1129</v>
      </c>
      <c r="BD107" t="s">
        <v>1131</v>
      </c>
      <c r="BE107" t="s">
        <v>4</v>
      </c>
      <c r="BF107" t="s">
        <v>4</v>
      </c>
      <c r="BG107" t="s">
        <v>4</v>
      </c>
      <c r="BH107" t="s">
        <v>4</v>
      </c>
      <c r="BI107" t="s">
        <v>4</v>
      </c>
      <c r="BJ107" t="s">
        <v>5645</v>
      </c>
      <c r="BK107" t="s">
        <v>4</v>
      </c>
      <c r="BL107">
        <v>0</v>
      </c>
      <c r="BM107" t="s">
        <v>4</v>
      </c>
      <c r="BN107">
        <v>12900</v>
      </c>
      <c r="BO107" t="s">
        <v>4</v>
      </c>
      <c r="BP107" t="s">
        <v>4</v>
      </c>
      <c r="BQ107" t="s">
        <v>4</v>
      </c>
      <c r="BR107" t="s">
        <v>4</v>
      </c>
      <c r="BS107" t="s">
        <v>4</v>
      </c>
      <c r="BT107" t="s">
        <v>4</v>
      </c>
      <c r="BU107" t="s">
        <v>4</v>
      </c>
      <c r="BV107" t="s">
        <v>4</v>
      </c>
      <c r="BW107" t="s">
        <v>3</v>
      </c>
      <c r="BX107" t="s">
        <v>4</v>
      </c>
      <c r="BY107" t="s">
        <v>12</v>
      </c>
      <c r="BZ107" t="s">
        <v>12</v>
      </c>
      <c r="CA107" t="s">
        <v>12</v>
      </c>
      <c r="CB107" t="s">
        <v>1074</v>
      </c>
      <c r="CC107" t="s">
        <v>12</v>
      </c>
      <c r="CD107" t="str" cm="1">
        <f t="array" aca="1" ref="CD107" ca="1">eConcatenar(A107:CB107,"|")</f>
        <v>WP8yGLB0fRVzBtF2|COM  2020-0621|3|ECONOLINE|TABASCO|COMALCALCO|COMALCALCO|2020-2-18|12900|X|X|200|1|X|X|X|X|X|X|X|X|X|X|X|X|X|X|MENDEZ|DE LA CRUZ|BERNARDO|SOLTERA|X|X|ENTRADA DE LA ESTETICA|JUAREZ 1139|X|9332085550|MARITZA MENDEZ DE LA CRUZ|LETICIA DE LA CRUZ DOMINGUEZ|X|RUTA 4 L|X|LUNES|X|X|X|X|X|DOMICILIO|8500|4400|X|X|X|2021-9-20|2021-9-30|X|X|X|X|X|SANTA AMALIA JUAREZ|X|0|X|12900|X|X|X|X|X|X|X|X|CARDENAS|X|x|x|x|final</v>
      </c>
    </row>
    <row r="108" spans="1:82" x14ac:dyDescent="0.25">
      <c r="A108" t="s">
        <v>5703</v>
      </c>
      <c r="B108" t="s">
        <v>5704</v>
      </c>
      <c r="C108">
        <v>3</v>
      </c>
      <c r="D108" t="s">
        <v>201</v>
      </c>
      <c r="E108" t="s">
        <v>2</v>
      </c>
      <c r="F108" t="s">
        <v>654</v>
      </c>
      <c r="G108" t="s">
        <v>654</v>
      </c>
      <c r="H108" t="s">
        <v>5705</v>
      </c>
      <c r="I108">
        <v>12900</v>
      </c>
      <c r="J108" t="s">
        <v>4</v>
      </c>
      <c r="K108" t="s">
        <v>4</v>
      </c>
      <c r="L108">
        <v>100</v>
      </c>
      <c r="M108">
        <v>0</v>
      </c>
      <c r="N108" t="s">
        <v>4</v>
      </c>
      <c r="O108" t="s">
        <v>4</v>
      </c>
      <c r="P108" t="s">
        <v>4</v>
      </c>
      <c r="Q108" t="s">
        <v>4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4</v>
      </c>
      <c r="Z108" t="s">
        <v>4</v>
      </c>
      <c r="AA108" t="s">
        <v>4</v>
      </c>
      <c r="AB108" t="s">
        <v>109</v>
      </c>
      <c r="AC108" t="s">
        <v>109</v>
      </c>
      <c r="AD108" t="s">
        <v>4916</v>
      </c>
      <c r="AE108" t="s">
        <v>24</v>
      </c>
      <c r="AF108" t="s">
        <v>4</v>
      </c>
      <c r="AG108" t="s">
        <v>4</v>
      </c>
      <c r="AH108" t="s">
        <v>5706</v>
      </c>
      <c r="AI108" t="s">
        <v>5707</v>
      </c>
      <c r="AJ108" t="s">
        <v>4</v>
      </c>
      <c r="AK108">
        <v>9331223954</v>
      </c>
      <c r="AL108" t="s">
        <v>5706</v>
      </c>
      <c r="AM108" t="s">
        <v>5707</v>
      </c>
      <c r="AN108" t="s">
        <v>4</v>
      </c>
      <c r="AO108" t="s">
        <v>5039</v>
      </c>
      <c r="AP108" t="s">
        <v>4</v>
      </c>
      <c r="AQ108" t="s">
        <v>10</v>
      </c>
      <c r="AR108" t="s">
        <v>4</v>
      </c>
      <c r="AS108" t="s">
        <v>4</v>
      </c>
      <c r="AT108" t="s">
        <v>4</v>
      </c>
      <c r="AU108" t="s">
        <v>4</v>
      </c>
      <c r="AV108" t="s">
        <v>4</v>
      </c>
      <c r="AW108" t="s">
        <v>11</v>
      </c>
      <c r="AX108">
        <v>4400</v>
      </c>
      <c r="AY108">
        <v>8500</v>
      </c>
      <c r="AZ108" t="s">
        <v>4</v>
      </c>
      <c r="BA108" t="s">
        <v>4</v>
      </c>
      <c r="BB108" t="s">
        <v>4</v>
      </c>
      <c r="BC108" t="s">
        <v>1129</v>
      </c>
      <c r="BD108" t="s">
        <v>1133</v>
      </c>
      <c r="BE108" t="s">
        <v>4</v>
      </c>
      <c r="BF108" t="s">
        <v>4</v>
      </c>
      <c r="BG108" t="s">
        <v>4</v>
      </c>
      <c r="BH108" t="s">
        <v>4</v>
      </c>
      <c r="BI108" t="s">
        <v>4</v>
      </c>
      <c r="BJ108" t="s">
        <v>5708</v>
      </c>
      <c r="BK108" t="s">
        <v>4</v>
      </c>
      <c r="BL108">
        <v>1</v>
      </c>
      <c r="BM108" t="s">
        <v>4</v>
      </c>
      <c r="BN108">
        <v>12900</v>
      </c>
      <c r="BO108" t="s">
        <v>4</v>
      </c>
      <c r="BP108" t="s">
        <v>4</v>
      </c>
      <c r="BQ108" t="s">
        <v>4</v>
      </c>
      <c r="BR108" t="s">
        <v>4</v>
      </c>
      <c r="BS108" t="s">
        <v>4</v>
      </c>
      <c r="BT108" t="s">
        <v>4</v>
      </c>
      <c r="BU108" t="s">
        <v>4</v>
      </c>
      <c r="BV108" t="s">
        <v>4</v>
      </c>
      <c r="BW108" t="s">
        <v>3</v>
      </c>
      <c r="BX108" t="s">
        <v>4</v>
      </c>
      <c r="BY108" t="s">
        <v>12</v>
      </c>
      <c r="BZ108" t="s">
        <v>12</v>
      </c>
      <c r="CA108" t="s">
        <v>12</v>
      </c>
      <c r="CB108" t="s">
        <v>1074</v>
      </c>
      <c r="CC108" t="s">
        <v>12</v>
      </c>
      <c r="CD108" t="str" cm="1">
        <f t="array" aca="1" ref="CD108" ca="1">eConcatenar(A108:CB108,"|")</f>
        <v>Kg6fS3AesuryLmnD|COM  2020-3158|3|IMPERIAL|TABASCO|PARAISO|PARAISO|2020-6-28|12900|X|X|100|0|X|X|X|X|X|X|X|X|X|X|X|X|X|X|PEREZ|PEREZ|MARCELA|UNION LIBRE|X|X|MANUEL RICARDEZ GONZALEZ|EMANUEL RICARDEZ PEREZ|X|9331223954|MANUEL RICARDEZ GONZALEZ|EMANUEL RICARDEZ PEREZ|X|RUTA 4 L|X|LUNES|X|X|X|X|X|DOMICILIO|4400|8500|X|X|X|2021-9-20|2021-9-27|X|X|X|X|X|LIBERTAD EL MANGO|X|1|X|12900|X|X|X|X|X|X|X|X|CARDENAS|X|x|x|x|final</v>
      </c>
    </row>
    <row r="109" spans="1:82" x14ac:dyDescent="0.25">
      <c r="A109" t="s">
        <v>5709</v>
      </c>
      <c r="B109" t="s">
        <v>5710</v>
      </c>
      <c r="C109">
        <v>3</v>
      </c>
      <c r="D109" t="s">
        <v>201</v>
      </c>
      <c r="E109" t="s">
        <v>2</v>
      </c>
      <c r="F109" t="s">
        <v>722</v>
      </c>
      <c r="G109" t="s">
        <v>722</v>
      </c>
      <c r="H109" t="s">
        <v>5711</v>
      </c>
      <c r="I109">
        <v>12900</v>
      </c>
      <c r="J109" t="s">
        <v>4</v>
      </c>
      <c r="K109" t="s">
        <v>4</v>
      </c>
      <c r="L109">
        <v>100</v>
      </c>
      <c r="M109">
        <v>0</v>
      </c>
      <c r="N109" t="s">
        <v>4</v>
      </c>
      <c r="O109" t="s">
        <v>4</v>
      </c>
      <c r="P109" t="s">
        <v>4</v>
      </c>
      <c r="Q109" t="s">
        <v>4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4</v>
      </c>
      <c r="Z109" t="s">
        <v>4</v>
      </c>
      <c r="AA109" t="s">
        <v>4</v>
      </c>
      <c r="AB109" t="s">
        <v>4729</v>
      </c>
      <c r="AC109" t="s">
        <v>47</v>
      </c>
      <c r="AD109" t="s">
        <v>5712</v>
      </c>
      <c r="AE109" t="s">
        <v>29</v>
      </c>
      <c r="AF109" t="s">
        <v>4</v>
      </c>
      <c r="AG109" t="s">
        <v>4</v>
      </c>
      <c r="AH109" t="s">
        <v>5713</v>
      </c>
      <c r="AI109" t="s">
        <v>887</v>
      </c>
      <c r="AJ109" t="s">
        <v>4</v>
      </c>
      <c r="AK109">
        <v>9332078288</v>
      </c>
      <c r="AL109" t="s">
        <v>5714</v>
      </c>
      <c r="AM109" t="s">
        <v>5715</v>
      </c>
      <c r="AN109" t="s">
        <v>4</v>
      </c>
      <c r="AO109" t="s">
        <v>5039</v>
      </c>
      <c r="AP109" t="s">
        <v>4</v>
      </c>
      <c r="AQ109" t="s">
        <v>10</v>
      </c>
      <c r="AR109" t="s">
        <v>4</v>
      </c>
      <c r="AS109" t="s">
        <v>4</v>
      </c>
      <c r="AT109" t="s">
        <v>4</v>
      </c>
      <c r="AU109" t="s">
        <v>4</v>
      </c>
      <c r="AV109" t="s">
        <v>4</v>
      </c>
      <c r="AW109" t="s">
        <v>11</v>
      </c>
      <c r="AX109">
        <v>4800</v>
      </c>
      <c r="AY109">
        <v>8100</v>
      </c>
      <c r="AZ109" t="s">
        <v>4</v>
      </c>
      <c r="BA109" t="s">
        <v>4</v>
      </c>
      <c r="BB109" t="s">
        <v>4</v>
      </c>
      <c r="BC109" t="s">
        <v>1129</v>
      </c>
      <c r="BD109" t="s">
        <v>1133</v>
      </c>
      <c r="BE109" t="s">
        <v>4</v>
      </c>
      <c r="BF109" t="s">
        <v>4</v>
      </c>
      <c r="BG109" t="s">
        <v>4</v>
      </c>
      <c r="BH109" t="s">
        <v>4</v>
      </c>
      <c r="BI109" t="s">
        <v>4</v>
      </c>
      <c r="BJ109" t="s">
        <v>726</v>
      </c>
      <c r="BK109" t="s">
        <v>4</v>
      </c>
      <c r="BL109">
        <v>1</v>
      </c>
      <c r="BM109" t="s">
        <v>4</v>
      </c>
      <c r="BN109">
        <v>12900</v>
      </c>
      <c r="BO109" t="s">
        <v>4</v>
      </c>
      <c r="BP109" t="s">
        <v>4</v>
      </c>
      <c r="BQ109" t="s">
        <v>4</v>
      </c>
      <c r="BR109" t="s">
        <v>4</v>
      </c>
      <c r="BS109" t="s">
        <v>4</v>
      </c>
      <c r="BT109" t="s">
        <v>4</v>
      </c>
      <c r="BU109" t="s">
        <v>4</v>
      </c>
      <c r="BV109" t="s">
        <v>4</v>
      </c>
      <c r="BW109" t="s">
        <v>3</v>
      </c>
      <c r="BX109" t="s">
        <v>4</v>
      </c>
      <c r="BY109" t="s">
        <v>12</v>
      </c>
      <c r="BZ109" t="s">
        <v>12</v>
      </c>
      <c r="CA109" t="s">
        <v>12</v>
      </c>
      <c r="CB109" t="s">
        <v>1074</v>
      </c>
      <c r="CC109" t="s">
        <v>12</v>
      </c>
      <c r="CD109" t="str" cm="1">
        <f t="array" aca="1" ref="CD109" ca="1">eConcatenar(A109:CB109,"|")</f>
        <v>8QyBD9dHpeJU8w4E|COM  2020-3160|3|IMPERIAL|TABASCO|COMALCALCO|COMALCALCO|2020-11-29|12900|X|X|100|0|X|X|X|X|X|X|X|X|X|X|X|X|X|X|MARIA|SANCHEZ|ROSA|CASADA|X|X|NORTE PRIMERA|SAN JUAN|X|9332078288|RAFAEL CASTELLANOS SANCHEZ|CIRILO CASTELLANOS MERITO|X|RUTA 4 L|X|LUNES|X|X|X|X|X|DOMICILIO|4800|8100|X|X|X|2021-9-20|2021-9-27|X|X|X|X|X|NORTE PRIMERA SECCION|X|1|X|12900|X|X|X|X|X|X|X|X|CARDENAS|X|x|x|x|final</v>
      </c>
    </row>
    <row r="110" spans="1:82" x14ac:dyDescent="0.25">
      <c r="A110" t="s">
        <v>5716</v>
      </c>
      <c r="B110" t="s">
        <v>5717</v>
      </c>
      <c r="C110">
        <v>3</v>
      </c>
      <c r="D110" t="s">
        <v>201</v>
      </c>
      <c r="E110" t="s">
        <v>2</v>
      </c>
      <c r="F110" t="s">
        <v>654</v>
      </c>
      <c r="G110" t="s">
        <v>654</v>
      </c>
      <c r="H110" t="s">
        <v>5711</v>
      </c>
      <c r="I110">
        <v>12900</v>
      </c>
      <c r="J110" t="s">
        <v>4</v>
      </c>
      <c r="K110" t="s">
        <v>4</v>
      </c>
      <c r="L110">
        <v>100</v>
      </c>
      <c r="M110">
        <v>0</v>
      </c>
      <c r="N110" t="s">
        <v>4</v>
      </c>
      <c r="O110" t="s">
        <v>4</v>
      </c>
      <c r="P110" t="s">
        <v>4</v>
      </c>
      <c r="Q110" t="s">
        <v>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4</v>
      </c>
      <c r="Z110" t="s">
        <v>4</v>
      </c>
      <c r="AA110" t="s">
        <v>4</v>
      </c>
      <c r="AB110" t="s">
        <v>116</v>
      </c>
      <c r="AC110" t="s">
        <v>5585</v>
      </c>
      <c r="AD110" t="s">
        <v>5718</v>
      </c>
      <c r="AE110" t="s">
        <v>24</v>
      </c>
      <c r="AF110" t="s">
        <v>4</v>
      </c>
      <c r="AG110" t="s">
        <v>4</v>
      </c>
      <c r="AH110" t="s">
        <v>5719</v>
      </c>
      <c r="AI110" t="s">
        <v>251</v>
      </c>
      <c r="AJ110" t="s">
        <v>4</v>
      </c>
      <c r="AK110">
        <v>9333278717</v>
      </c>
      <c r="AL110" t="s">
        <v>5720</v>
      </c>
      <c r="AM110" t="s">
        <v>5721</v>
      </c>
      <c r="AN110" t="s">
        <v>4</v>
      </c>
      <c r="AO110" t="s">
        <v>5039</v>
      </c>
      <c r="AP110" t="s">
        <v>4</v>
      </c>
      <c r="AQ110" t="s">
        <v>10</v>
      </c>
      <c r="AR110" t="s">
        <v>4</v>
      </c>
      <c r="AS110" t="s">
        <v>4</v>
      </c>
      <c r="AT110" t="s">
        <v>4</v>
      </c>
      <c r="AU110" t="s">
        <v>4</v>
      </c>
      <c r="AV110" t="s">
        <v>4</v>
      </c>
      <c r="AW110" t="s">
        <v>11</v>
      </c>
      <c r="AX110">
        <v>4400</v>
      </c>
      <c r="AY110">
        <v>8500</v>
      </c>
      <c r="AZ110" t="s">
        <v>4</v>
      </c>
      <c r="BA110" t="s">
        <v>4</v>
      </c>
      <c r="BB110" t="s">
        <v>4</v>
      </c>
      <c r="BC110" t="s">
        <v>1129</v>
      </c>
      <c r="BD110" t="s">
        <v>1133</v>
      </c>
      <c r="BE110" t="s">
        <v>4</v>
      </c>
      <c r="BF110" t="s">
        <v>4</v>
      </c>
      <c r="BG110" t="s">
        <v>4</v>
      </c>
      <c r="BH110" t="s">
        <v>4</v>
      </c>
      <c r="BI110" t="s">
        <v>4</v>
      </c>
      <c r="BJ110" t="s">
        <v>5722</v>
      </c>
      <c r="BK110" t="s">
        <v>4</v>
      </c>
      <c r="BL110">
        <v>1</v>
      </c>
      <c r="BM110" t="s">
        <v>4</v>
      </c>
      <c r="BN110">
        <v>12900</v>
      </c>
      <c r="BO110" t="s">
        <v>4</v>
      </c>
      <c r="BP110" t="s">
        <v>4</v>
      </c>
      <c r="BQ110" t="s">
        <v>4</v>
      </c>
      <c r="BR110" t="s">
        <v>4</v>
      </c>
      <c r="BS110" t="s">
        <v>4</v>
      </c>
      <c r="BT110" t="s">
        <v>4</v>
      </c>
      <c r="BU110" t="s">
        <v>4</v>
      </c>
      <c r="BV110" t="s">
        <v>4</v>
      </c>
      <c r="BW110" t="s">
        <v>3</v>
      </c>
      <c r="BX110" t="s">
        <v>4</v>
      </c>
      <c r="BY110" t="s">
        <v>12</v>
      </c>
      <c r="BZ110" t="s">
        <v>12</v>
      </c>
      <c r="CA110" t="s">
        <v>12</v>
      </c>
      <c r="CB110" t="s">
        <v>1074</v>
      </c>
      <c r="CC110" t="s">
        <v>12</v>
      </c>
      <c r="CD110" t="str" cm="1">
        <f t="array" aca="1" ref="CD110" ca="1">eConcatenar(A110:CB110,"|")</f>
        <v>q0VFI2C4dt7EpozY|COM  2020-3161|3|IMPERIAL|TABASCO|PARAISO|PARAISO|2020-11-29|12900|X|X|100|0|X|X|X|X|X|X|X|X|X|X|X|X|X|X|RODRIGUEZ|ALVARO|FRANCISCA|UNION LIBRE|X|X|LIBERTAD PRIMERA|EL MANGO|X|9333278717|LUIS ALBERTO PEREZ PEREZ|GUADALUPE LOPEZ MENDEZ|X|RUTA 4 L|X|LUNES|X|X|X|X|X|DOMICILIO|4400|8500|X|X|X|2021-9-20|2021-9-27|X|X|X|X|X|LIBERTAD PRIMERO|X|1|X|12900|X|X|X|X|X|X|X|X|CARDENAS|X|x|x|x|final</v>
      </c>
    </row>
    <row r="111" spans="1:82" x14ac:dyDescent="0.25">
      <c r="A111" t="s">
        <v>5723</v>
      </c>
      <c r="B111" t="s">
        <v>5724</v>
      </c>
      <c r="C111">
        <v>3</v>
      </c>
      <c r="D111" t="s">
        <v>194</v>
      </c>
      <c r="E111" t="s">
        <v>2</v>
      </c>
      <c r="F111" t="s">
        <v>722</v>
      </c>
      <c r="G111" t="s">
        <v>722</v>
      </c>
      <c r="H111" t="s">
        <v>5725</v>
      </c>
      <c r="I111">
        <v>12900</v>
      </c>
      <c r="J111" t="s">
        <v>4</v>
      </c>
      <c r="K111" t="s">
        <v>4</v>
      </c>
      <c r="L111">
        <v>100</v>
      </c>
      <c r="M111">
        <v>1</v>
      </c>
      <c r="N111" t="s">
        <v>4</v>
      </c>
      <c r="O111" t="s">
        <v>4</v>
      </c>
      <c r="P111" t="s">
        <v>4</v>
      </c>
      <c r="Q111" t="s">
        <v>4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4</v>
      </c>
      <c r="Z111" t="s">
        <v>4</v>
      </c>
      <c r="AA111" t="s">
        <v>4</v>
      </c>
      <c r="AB111" t="s">
        <v>723</v>
      </c>
      <c r="AC111" t="s">
        <v>6</v>
      </c>
      <c r="AD111" t="s">
        <v>4845</v>
      </c>
      <c r="AE111" t="s">
        <v>59</v>
      </c>
      <c r="AF111" t="s">
        <v>4</v>
      </c>
      <c r="AG111" t="s">
        <v>4</v>
      </c>
      <c r="AH111" t="s">
        <v>5726</v>
      </c>
      <c r="AI111" t="s">
        <v>5727</v>
      </c>
      <c r="AJ111" t="s">
        <v>4</v>
      </c>
      <c r="AK111">
        <v>9331603097</v>
      </c>
      <c r="AL111" t="s">
        <v>5728</v>
      </c>
      <c r="AM111" t="s">
        <v>5729</v>
      </c>
      <c r="AN111" t="s">
        <v>4</v>
      </c>
      <c r="AO111" t="s">
        <v>5039</v>
      </c>
      <c r="AP111" t="s">
        <v>4</v>
      </c>
      <c r="AQ111" t="s">
        <v>10</v>
      </c>
      <c r="AR111" t="s">
        <v>4</v>
      </c>
      <c r="AS111" t="s">
        <v>4</v>
      </c>
      <c r="AT111" t="s">
        <v>4</v>
      </c>
      <c r="AU111" t="s">
        <v>4</v>
      </c>
      <c r="AV111" t="s">
        <v>4</v>
      </c>
      <c r="AW111" t="s">
        <v>11</v>
      </c>
      <c r="AX111">
        <v>8100</v>
      </c>
      <c r="AY111">
        <v>4800</v>
      </c>
      <c r="AZ111" t="s">
        <v>4</v>
      </c>
      <c r="BA111" t="s">
        <v>4</v>
      </c>
      <c r="BB111" t="s">
        <v>4</v>
      </c>
      <c r="BC111" t="s">
        <v>1129</v>
      </c>
      <c r="BD111" t="s">
        <v>1131</v>
      </c>
      <c r="BE111" t="s">
        <v>4</v>
      </c>
      <c r="BF111" t="s">
        <v>4</v>
      </c>
      <c r="BG111" t="s">
        <v>4</v>
      </c>
      <c r="BH111" t="s">
        <v>4</v>
      </c>
      <c r="BI111" t="s">
        <v>4</v>
      </c>
      <c r="BJ111" t="s">
        <v>5730</v>
      </c>
      <c r="BK111" t="s">
        <v>4</v>
      </c>
      <c r="BL111">
        <v>0</v>
      </c>
      <c r="BM111" t="s">
        <v>4</v>
      </c>
      <c r="BN111">
        <v>12900</v>
      </c>
      <c r="BO111" t="s">
        <v>4</v>
      </c>
      <c r="BP111" t="s">
        <v>4</v>
      </c>
      <c r="BQ111" t="s">
        <v>4</v>
      </c>
      <c r="BR111" t="s">
        <v>4</v>
      </c>
      <c r="BS111" t="s">
        <v>4</v>
      </c>
      <c r="BT111" t="s">
        <v>4</v>
      </c>
      <c r="BU111" t="s">
        <v>4</v>
      </c>
      <c r="BV111" t="s">
        <v>4</v>
      </c>
      <c r="BW111" t="s">
        <v>3</v>
      </c>
      <c r="BX111" t="s">
        <v>4</v>
      </c>
      <c r="BY111" t="s">
        <v>12</v>
      </c>
      <c r="BZ111" t="s">
        <v>12</v>
      </c>
      <c r="CA111" t="s">
        <v>12</v>
      </c>
      <c r="CB111" t="s">
        <v>1074</v>
      </c>
      <c r="CC111" t="s">
        <v>12</v>
      </c>
      <c r="CD111" t="str" cm="1">
        <f t="array" aca="1" ref="CD111" ca="1">eConcatenar(A111:CB111,"|")</f>
        <v>XZyPHO1W01zvH4XG|COM  2018-0353|3|ECONOLINE|TABASCO|COMALCALCO|COMALCALCO|2018-9-09|12900|X|X|100|1|X|X|X|X|X|X|X|X|X|X|X|X|X|X|VAZQUEZ|DE LA CRUZ|GILBERTO|CASADO|X|X|EJIDO BUENA VISTA |VECINAL CHICHICAPA|X|9331603097|MARBELLA RAMIREZ|CRISTINA CORDOVA|X|RUTA 4 L|X|LUNES|X|X|X|X|X|DOMICILIO|8100|4800|X|X|X|2021-9-20|2021-9-30|X|X|X|X|X|EJIDO BUENA VISTA|X|0|X|12900|X|X|X|X|X|X|X|X|CARDENAS|X|x|x|x|final</v>
      </c>
    </row>
    <row r="112" spans="1:82" x14ac:dyDescent="0.25">
      <c r="A112" t="s">
        <v>5731</v>
      </c>
      <c r="B112" t="s">
        <v>5732</v>
      </c>
      <c r="C112">
        <v>3</v>
      </c>
      <c r="D112" t="s">
        <v>194</v>
      </c>
      <c r="E112" t="s">
        <v>2</v>
      </c>
      <c r="F112" t="s">
        <v>722</v>
      </c>
      <c r="G112" t="s">
        <v>722</v>
      </c>
      <c r="H112" t="s">
        <v>4860</v>
      </c>
      <c r="I112">
        <v>12900</v>
      </c>
      <c r="J112" t="s">
        <v>4</v>
      </c>
      <c r="K112" t="s">
        <v>4</v>
      </c>
      <c r="L112">
        <v>100</v>
      </c>
      <c r="M112">
        <v>0</v>
      </c>
      <c r="N112" t="s">
        <v>4</v>
      </c>
      <c r="O112" t="s">
        <v>4</v>
      </c>
      <c r="P112" t="s">
        <v>4</v>
      </c>
      <c r="Q112" t="s">
        <v>4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4</v>
      </c>
      <c r="Z112" t="s">
        <v>4</v>
      </c>
      <c r="AA112" t="s">
        <v>4</v>
      </c>
      <c r="AB112" t="s">
        <v>6</v>
      </c>
      <c r="AC112" t="s">
        <v>160</v>
      </c>
      <c r="AD112" t="s">
        <v>5733</v>
      </c>
      <c r="AE112" t="s">
        <v>59</v>
      </c>
      <c r="AF112" t="s">
        <v>4</v>
      </c>
      <c r="AG112" t="s">
        <v>4</v>
      </c>
      <c r="AH112" t="s">
        <v>5734</v>
      </c>
      <c r="AI112" t="s">
        <v>5673</v>
      </c>
      <c r="AJ112" t="s">
        <v>4</v>
      </c>
      <c r="AK112">
        <v>9333347565</v>
      </c>
      <c r="AL112" t="s">
        <v>5735</v>
      </c>
      <c r="AM112" t="s">
        <v>5736</v>
      </c>
      <c r="AN112" t="s">
        <v>4</v>
      </c>
      <c r="AO112" t="s">
        <v>5039</v>
      </c>
      <c r="AP112" t="s">
        <v>4</v>
      </c>
      <c r="AQ112" t="s">
        <v>10</v>
      </c>
      <c r="AR112" t="s">
        <v>4</v>
      </c>
      <c r="AS112" t="s">
        <v>4</v>
      </c>
      <c r="AT112" t="s">
        <v>4</v>
      </c>
      <c r="AU112" t="s">
        <v>4</v>
      </c>
      <c r="AV112" t="s">
        <v>4</v>
      </c>
      <c r="AW112" t="s">
        <v>11</v>
      </c>
      <c r="AX112">
        <v>8200</v>
      </c>
      <c r="AY112">
        <v>4700</v>
      </c>
      <c r="AZ112" t="s">
        <v>4</v>
      </c>
      <c r="BA112" t="s">
        <v>4</v>
      </c>
      <c r="BB112" t="s">
        <v>4</v>
      </c>
      <c r="BC112" t="s">
        <v>1129</v>
      </c>
      <c r="BD112" t="s">
        <v>1133</v>
      </c>
      <c r="BE112" t="s">
        <v>4</v>
      </c>
      <c r="BF112" t="s">
        <v>4</v>
      </c>
      <c r="BG112" t="s">
        <v>4</v>
      </c>
      <c r="BH112" t="s">
        <v>4</v>
      </c>
      <c r="BI112" t="s">
        <v>4</v>
      </c>
      <c r="BJ112" t="s">
        <v>5734</v>
      </c>
      <c r="BK112" t="s">
        <v>4</v>
      </c>
      <c r="BL112">
        <v>0</v>
      </c>
      <c r="BM112" t="s">
        <v>4</v>
      </c>
      <c r="BN112">
        <v>12900</v>
      </c>
      <c r="BO112" t="s">
        <v>4</v>
      </c>
      <c r="BP112" t="s">
        <v>4</v>
      </c>
      <c r="BQ112" t="s">
        <v>4</v>
      </c>
      <c r="BR112" t="s">
        <v>4</v>
      </c>
      <c r="BS112" t="s">
        <v>4</v>
      </c>
      <c r="BT112" t="s">
        <v>4</v>
      </c>
      <c r="BU112" t="s">
        <v>4</v>
      </c>
      <c r="BV112" t="s">
        <v>4</v>
      </c>
      <c r="BW112" t="s">
        <v>3</v>
      </c>
      <c r="BX112" t="s">
        <v>4</v>
      </c>
      <c r="BY112" t="s">
        <v>12</v>
      </c>
      <c r="BZ112" t="s">
        <v>12</v>
      </c>
      <c r="CA112" t="s">
        <v>12</v>
      </c>
      <c r="CB112" t="s">
        <v>1074</v>
      </c>
      <c r="CC112" t="s">
        <v>12</v>
      </c>
      <c r="CD112" t="str" cm="1">
        <f t="array" aca="1" ref="CD112" ca="1">eConcatenar(A112:CB112,"|")</f>
        <v>GcLlKrjrmCJuKWcz|COM  2018-0379|3|ECONOLINE|TABASCO|COMALCALCO|COMALCALCO|2018-4-13|12900|X|X|100|0|X|X|X|X|X|X|X|X|X|X|X|X|X|X|DE LA CRUZ|ALEJANDRO|SERGIO|CASADO|X|X|NORTE SEGUNDA|FEDERAL|X|9333347565|MARIA DE LOS ANGELES PALMA PALMA|GAMALIEL DE LA CRUZ PALMA|X|RUTA 4 L|X|LUNES|X|X|X|X|X|DOMICILIO|8200|4700|X|X|X|2021-9-20|2021-9-27|X|X|X|X|X|NORTE SEGUNDA|X|0|X|12900|X|X|X|X|X|X|X|X|CARDENAS|X|x|x|x|final</v>
      </c>
    </row>
    <row r="113" spans="1:82" x14ac:dyDescent="0.25">
      <c r="A113" t="s">
        <v>5737</v>
      </c>
      <c r="B113" t="s">
        <v>5738</v>
      </c>
      <c r="C113">
        <v>3</v>
      </c>
      <c r="D113" t="s">
        <v>14</v>
      </c>
      <c r="E113" t="s">
        <v>2</v>
      </c>
      <c r="F113" t="s">
        <v>722</v>
      </c>
      <c r="G113" t="s">
        <v>722</v>
      </c>
      <c r="H113" t="s">
        <v>4749</v>
      </c>
      <c r="I113">
        <v>19800</v>
      </c>
      <c r="J113" t="s">
        <v>4</v>
      </c>
      <c r="K113" t="s">
        <v>4</v>
      </c>
      <c r="L113">
        <v>100</v>
      </c>
      <c r="M113">
        <v>0</v>
      </c>
      <c r="N113" t="s">
        <v>4</v>
      </c>
      <c r="O113" t="s">
        <v>4</v>
      </c>
      <c r="P113" t="s">
        <v>4</v>
      </c>
      <c r="Q113" t="s">
        <v>4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4</v>
      </c>
      <c r="Z113" t="s">
        <v>4</v>
      </c>
      <c r="AA113" t="s">
        <v>4</v>
      </c>
      <c r="AB113" t="s">
        <v>206</v>
      </c>
      <c r="AC113" t="s">
        <v>88</v>
      </c>
      <c r="AD113" t="s">
        <v>5739</v>
      </c>
      <c r="AE113" t="s">
        <v>24</v>
      </c>
      <c r="AF113" t="s">
        <v>4</v>
      </c>
      <c r="AG113" t="s">
        <v>4</v>
      </c>
      <c r="AH113" t="s">
        <v>5649</v>
      </c>
      <c r="AI113" t="s">
        <v>350</v>
      </c>
      <c r="AJ113" t="s">
        <v>4</v>
      </c>
      <c r="AK113">
        <v>9331113500</v>
      </c>
      <c r="AL113" t="s">
        <v>5740</v>
      </c>
      <c r="AM113" t="s">
        <v>5741</v>
      </c>
      <c r="AN113" t="s">
        <v>4</v>
      </c>
      <c r="AO113" t="s">
        <v>5039</v>
      </c>
      <c r="AP113" t="s">
        <v>4</v>
      </c>
      <c r="AQ113" t="s">
        <v>10</v>
      </c>
      <c r="AR113" t="s">
        <v>4</v>
      </c>
      <c r="AS113" t="s">
        <v>4</v>
      </c>
      <c r="AT113" t="s">
        <v>4</v>
      </c>
      <c r="AU113" t="s">
        <v>4</v>
      </c>
      <c r="AV113" t="s">
        <v>4</v>
      </c>
      <c r="AW113" t="s">
        <v>11</v>
      </c>
      <c r="AX113">
        <v>15550</v>
      </c>
      <c r="AY113">
        <v>4250</v>
      </c>
      <c r="AZ113" t="s">
        <v>4</v>
      </c>
      <c r="BA113" t="s">
        <v>4</v>
      </c>
      <c r="BB113" t="s">
        <v>4</v>
      </c>
      <c r="BC113" t="s">
        <v>1129</v>
      </c>
      <c r="BD113" t="s">
        <v>1133</v>
      </c>
      <c r="BE113" t="s">
        <v>4</v>
      </c>
      <c r="BF113" t="s">
        <v>4</v>
      </c>
      <c r="BG113" t="s">
        <v>4</v>
      </c>
      <c r="BH113" t="s">
        <v>4</v>
      </c>
      <c r="BI113" t="s">
        <v>4</v>
      </c>
      <c r="BJ113" t="s">
        <v>5652</v>
      </c>
      <c r="BK113" t="s">
        <v>4</v>
      </c>
      <c r="BL113">
        <v>0</v>
      </c>
      <c r="BM113" t="s">
        <v>4</v>
      </c>
      <c r="BN113">
        <v>19800</v>
      </c>
      <c r="BO113" t="s">
        <v>4</v>
      </c>
      <c r="BP113" t="s">
        <v>4</v>
      </c>
      <c r="BQ113" t="s">
        <v>4</v>
      </c>
      <c r="BR113" t="s">
        <v>4</v>
      </c>
      <c r="BS113" t="s">
        <v>4</v>
      </c>
      <c r="BT113" t="s">
        <v>4</v>
      </c>
      <c r="BU113" t="s">
        <v>4</v>
      </c>
      <c r="BV113" t="s">
        <v>4</v>
      </c>
      <c r="BW113" t="s">
        <v>3</v>
      </c>
      <c r="BX113" t="s">
        <v>4</v>
      </c>
      <c r="BY113" t="s">
        <v>12</v>
      </c>
      <c r="BZ113" t="s">
        <v>12</v>
      </c>
      <c r="CA113" t="s">
        <v>12</v>
      </c>
      <c r="CB113" t="s">
        <v>1074</v>
      </c>
      <c r="CC113" t="s">
        <v>12</v>
      </c>
      <c r="CD113" t="str" cm="1">
        <f t="array" aca="1" ref="CD113" ca="1">eConcatenar(A113:CB113,"|")</f>
        <v>aLXJ4Plt4FCc7HmZ|COM  2018-0380|3|ZAFIRO|TABASCO|COMALCALCO|COMALCALCO|2018-4-16|19800|X|X|100|0|X|X|X|X|X|X|X|X|X|X|X|X|X|X|ALVAREZ|MARTINEZ|MEMI|UNION LIBRE|X|X|INDEPENDENCIA PRIMERA SECC|MENDEZ|X|9331113500|JORGE ESTEBAN SANCHEZ ALVAREZ|ROSA ISELA XICOTENCATL HERNANDEZ|X|RUTA 4 L|X|LUNES|X|X|X|X|X|DOMICILIO|15550|4250|X|X|X|2021-9-20|2021-9-27|X|X|X|X|X|INDEPENDEMCIA PRIMERA SECCION|X|0|X|19800|X|X|X|X|X|X|X|X|CARDENAS|X|x|x|x|final</v>
      </c>
    </row>
    <row r="114" spans="1:82" x14ac:dyDescent="0.25">
      <c r="A114" t="s">
        <v>5742</v>
      </c>
      <c r="B114" t="s">
        <v>5743</v>
      </c>
      <c r="C114">
        <v>3</v>
      </c>
      <c r="D114" t="s">
        <v>201</v>
      </c>
      <c r="E114" t="s">
        <v>2</v>
      </c>
      <c r="F114" t="s">
        <v>654</v>
      </c>
      <c r="G114" t="s">
        <v>654</v>
      </c>
      <c r="H114" t="s">
        <v>4715</v>
      </c>
      <c r="I114">
        <v>12900</v>
      </c>
      <c r="J114" t="s">
        <v>4</v>
      </c>
      <c r="K114" t="s">
        <v>4</v>
      </c>
      <c r="L114">
        <v>200</v>
      </c>
      <c r="M114">
        <v>1</v>
      </c>
      <c r="N114" t="s">
        <v>4</v>
      </c>
      <c r="O114" t="s">
        <v>4</v>
      </c>
      <c r="P114" t="s">
        <v>4</v>
      </c>
      <c r="Q114" t="s">
        <v>4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4</v>
      </c>
      <c r="Z114" t="s">
        <v>4</v>
      </c>
      <c r="AA114" t="s">
        <v>4</v>
      </c>
      <c r="AB114" t="s">
        <v>80</v>
      </c>
      <c r="AC114" t="s">
        <v>350</v>
      </c>
      <c r="AD114" t="s">
        <v>81</v>
      </c>
      <c r="AE114" t="s">
        <v>29</v>
      </c>
      <c r="AF114" t="s">
        <v>4</v>
      </c>
      <c r="AG114" t="s">
        <v>4</v>
      </c>
      <c r="AH114" t="s">
        <v>5719</v>
      </c>
      <c r="AI114" t="s">
        <v>251</v>
      </c>
      <c r="AJ114" t="s">
        <v>4</v>
      </c>
      <c r="AK114">
        <v>9331660534</v>
      </c>
      <c r="AL114" t="s">
        <v>5744</v>
      </c>
      <c r="AM114" t="s">
        <v>5745</v>
      </c>
      <c r="AN114" t="s">
        <v>4</v>
      </c>
      <c r="AO114" t="s">
        <v>5039</v>
      </c>
      <c r="AP114" t="s">
        <v>4</v>
      </c>
      <c r="AQ114" t="s">
        <v>10</v>
      </c>
      <c r="AR114" t="s">
        <v>4</v>
      </c>
      <c r="AS114" t="s">
        <v>4</v>
      </c>
      <c r="AT114" t="s">
        <v>4</v>
      </c>
      <c r="AU114" t="s">
        <v>4</v>
      </c>
      <c r="AV114" t="s">
        <v>4</v>
      </c>
      <c r="AW114" t="s">
        <v>11</v>
      </c>
      <c r="AX114">
        <v>4500</v>
      </c>
      <c r="AY114">
        <v>8400</v>
      </c>
      <c r="AZ114" t="s">
        <v>4</v>
      </c>
      <c r="BA114" t="s">
        <v>4</v>
      </c>
      <c r="BB114" t="s">
        <v>4</v>
      </c>
      <c r="BC114" t="s">
        <v>1129</v>
      </c>
      <c r="BD114" t="s">
        <v>1131</v>
      </c>
      <c r="BE114" t="s">
        <v>4</v>
      </c>
      <c r="BF114" t="s">
        <v>4</v>
      </c>
      <c r="BG114" t="s">
        <v>4</v>
      </c>
      <c r="BH114" t="s">
        <v>4</v>
      </c>
      <c r="BI114" t="s">
        <v>4</v>
      </c>
      <c r="BJ114" t="s">
        <v>5719</v>
      </c>
      <c r="BK114" t="s">
        <v>4</v>
      </c>
      <c r="BL114">
        <v>1</v>
      </c>
      <c r="BM114" t="s">
        <v>4</v>
      </c>
      <c r="BN114">
        <v>12900</v>
      </c>
      <c r="BO114" t="s">
        <v>4</v>
      </c>
      <c r="BP114" t="s">
        <v>4</v>
      </c>
      <c r="BQ114" t="s">
        <v>4</v>
      </c>
      <c r="BR114" t="s">
        <v>4</v>
      </c>
      <c r="BS114" t="s">
        <v>4</v>
      </c>
      <c r="BT114" t="s">
        <v>4</v>
      </c>
      <c r="BU114" t="s">
        <v>4</v>
      </c>
      <c r="BV114" t="s">
        <v>4</v>
      </c>
      <c r="BW114" t="s">
        <v>3</v>
      </c>
      <c r="BX114" t="s">
        <v>4</v>
      </c>
      <c r="BY114" t="s">
        <v>12</v>
      </c>
      <c r="BZ114" t="s">
        <v>12</v>
      </c>
      <c r="CA114" t="s">
        <v>12</v>
      </c>
      <c r="CB114" t="s">
        <v>1074</v>
      </c>
      <c r="CC114" t="s">
        <v>12</v>
      </c>
      <c r="CD114" t="str" cm="1">
        <f t="array" aca="1" ref="CD114" ca="1">eConcatenar(A114:CB114,"|")</f>
        <v>KNcIcZ3lRcwfhzOF|COM  2020-3147|3|IMPERIAL|TABASCO|PARAISO|PARAISO|2020-11-30|12900|X|X|200|1|X|X|X|X|X|X|X|X|X|X|X|X|X|X|LOPEZ|MENDEZ|GUADALUPE|CASADA|X|X|LIBERTAD PRIMERA|EL MANGO|X|9331660534|ARACELIO PEREZ PEREZ|FERNANDO JESUS PEREZ LOPEZ|X|RUTA 4 L|X|LUNES|X|X|X|X|X|DOMICILIO|4500|8400|X|X|X|2021-9-20|2021-9-30|X|X|X|X|X|LIBERTAD PRIMERA|X|1|X|12900|X|X|X|X|X|X|X|X|CARDENAS|X|x|x|x|final</v>
      </c>
    </row>
    <row r="115" spans="1:82" x14ac:dyDescent="0.25">
      <c r="A115" t="s">
        <v>5746</v>
      </c>
      <c r="B115" t="s">
        <v>5747</v>
      </c>
      <c r="C115">
        <v>3</v>
      </c>
      <c r="D115" t="s">
        <v>194</v>
      </c>
      <c r="E115" t="s">
        <v>2</v>
      </c>
      <c r="F115" t="s">
        <v>654</v>
      </c>
      <c r="G115" t="s">
        <v>654</v>
      </c>
      <c r="H115" t="s">
        <v>5748</v>
      </c>
      <c r="I115">
        <v>12900</v>
      </c>
      <c r="J115" t="s">
        <v>4</v>
      </c>
      <c r="K115" t="s">
        <v>4</v>
      </c>
      <c r="L115">
        <v>100</v>
      </c>
      <c r="M115">
        <v>0</v>
      </c>
      <c r="N115" t="s">
        <v>4</v>
      </c>
      <c r="O115" t="s">
        <v>4</v>
      </c>
      <c r="P115" t="s">
        <v>4</v>
      </c>
      <c r="Q115" t="s">
        <v>4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4</v>
      </c>
      <c r="Z115" t="s">
        <v>4</v>
      </c>
      <c r="AA115" t="s">
        <v>4</v>
      </c>
      <c r="AB115" t="s">
        <v>36</v>
      </c>
      <c r="AC115" t="s">
        <v>469</v>
      </c>
      <c r="AD115" t="s">
        <v>5376</v>
      </c>
      <c r="AE115" t="s">
        <v>59</v>
      </c>
      <c r="AF115" t="s">
        <v>4</v>
      </c>
      <c r="AG115" t="s">
        <v>4</v>
      </c>
      <c r="AH115" t="s">
        <v>5749</v>
      </c>
      <c r="AI115" t="s">
        <v>4</v>
      </c>
      <c r="AJ115" t="s">
        <v>4</v>
      </c>
      <c r="AK115">
        <v>9331454700</v>
      </c>
      <c r="AL115" t="s">
        <v>5750</v>
      </c>
      <c r="AM115" t="s">
        <v>5751</v>
      </c>
      <c r="AN115" t="s">
        <v>4</v>
      </c>
      <c r="AO115" t="s">
        <v>5039</v>
      </c>
      <c r="AP115" t="s">
        <v>4</v>
      </c>
      <c r="AQ115" t="s">
        <v>10</v>
      </c>
      <c r="AR115" t="s">
        <v>4</v>
      </c>
      <c r="AS115" t="s">
        <v>4</v>
      </c>
      <c r="AT115" t="s">
        <v>4</v>
      </c>
      <c r="AU115" t="s">
        <v>4</v>
      </c>
      <c r="AV115" t="s">
        <v>4</v>
      </c>
      <c r="AW115" t="s">
        <v>11</v>
      </c>
      <c r="AX115">
        <v>12700</v>
      </c>
      <c r="AY115">
        <v>200</v>
      </c>
      <c r="AZ115" t="s">
        <v>4</v>
      </c>
      <c r="BA115" t="s">
        <v>4</v>
      </c>
      <c r="BB115" t="s">
        <v>4</v>
      </c>
      <c r="BC115" t="s">
        <v>1129</v>
      </c>
      <c r="BD115" t="s">
        <v>1133</v>
      </c>
      <c r="BE115" t="s">
        <v>4</v>
      </c>
      <c r="BF115" t="s">
        <v>4</v>
      </c>
      <c r="BG115" t="s">
        <v>4</v>
      </c>
      <c r="BH115" t="s">
        <v>4</v>
      </c>
      <c r="BI115" t="s">
        <v>4</v>
      </c>
      <c r="BJ115" t="s">
        <v>139</v>
      </c>
      <c r="BK115" t="s">
        <v>4</v>
      </c>
      <c r="BL115">
        <v>0</v>
      </c>
      <c r="BM115" t="s">
        <v>4</v>
      </c>
      <c r="BN115">
        <v>12900</v>
      </c>
      <c r="BO115" t="s">
        <v>4</v>
      </c>
      <c r="BP115" t="s">
        <v>4</v>
      </c>
      <c r="BQ115" t="s">
        <v>4</v>
      </c>
      <c r="BR115" t="s">
        <v>4</v>
      </c>
      <c r="BS115" t="s">
        <v>4</v>
      </c>
      <c r="BT115" t="s">
        <v>4</v>
      </c>
      <c r="BU115" t="s">
        <v>4</v>
      </c>
      <c r="BV115" t="s">
        <v>4</v>
      </c>
      <c r="BW115" t="s">
        <v>3</v>
      </c>
      <c r="BX115" t="s">
        <v>4</v>
      </c>
      <c r="BY115" t="s">
        <v>12</v>
      </c>
      <c r="BZ115" t="s">
        <v>12</v>
      </c>
      <c r="CA115" t="s">
        <v>12</v>
      </c>
      <c r="CB115" t="s">
        <v>1074</v>
      </c>
      <c r="CC115" t="s">
        <v>12</v>
      </c>
      <c r="CD115" t="str" cm="1">
        <f t="array" aca="1" ref="CD115" ca="1">eConcatenar(A115:CB115,"|")</f>
        <v>52I13DNJkzTVGps5|COM  2018-0514|3|ECONOLINE|TABASCO|PARAISO|PARAISO|2018-4-20|12900|X|X|100|0|X|X|X|X|X|X|X|X|X|X|X|X|X|X|HERNANDEZ|AGUILAR|JOSE JESUS|CASADO|X|X|PROLONGACION SANTOS DEDOLLADO 180|X|X|9331454700|ELOISA MONTERO GORDILLO|ROSA MARIA HERNANDEZ MONTERO|X|RUTA 4 L|X|LUNES|X|X|X|X|X|DOMICILIO|12700|200|X|X|X|2021-9-20|2021-9-27|X|X|X|X|X|PROLONGACION SANTOS DEGOLLADO|X|0|X|12900|X|X|X|X|X|X|X|X|CARDENAS|X|x|x|x|final</v>
      </c>
    </row>
    <row r="116" spans="1:82" x14ac:dyDescent="0.25">
      <c r="A116" t="s">
        <v>5752</v>
      </c>
      <c r="B116" t="s">
        <v>5753</v>
      </c>
      <c r="C116">
        <v>3</v>
      </c>
      <c r="D116" t="s">
        <v>14</v>
      </c>
      <c r="E116" t="s">
        <v>2</v>
      </c>
      <c r="F116" t="s">
        <v>722</v>
      </c>
      <c r="G116" t="s">
        <v>722</v>
      </c>
      <c r="H116" t="s">
        <v>5754</v>
      </c>
      <c r="I116">
        <v>19800</v>
      </c>
      <c r="J116" t="s">
        <v>4</v>
      </c>
      <c r="K116" t="s">
        <v>4</v>
      </c>
      <c r="L116">
        <v>200</v>
      </c>
      <c r="M116">
        <v>1</v>
      </c>
      <c r="N116" t="s">
        <v>4</v>
      </c>
      <c r="O116" t="s">
        <v>4</v>
      </c>
      <c r="P116" t="s">
        <v>4</v>
      </c>
      <c r="Q116" t="s">
        <v>4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4</v>
      </c>
      <c r="Z116" t="s">
        <v>4</v>
      </c>
      <c r="AA116" t="s">
        <v>4</v>
      </c>
      <c r="AB116" t="s">
        <v>327</v>
      </c>
      <c r="AC116" t="s">
        <v>655</v>
      </c>
      <c r="AD116" t="s">
        <v>5755</v>
      </c>
      <c r="AE116" t="s">
        <v>29</v>
      </c>
      <c r="AF116" t="s">
        <v>4</v>
      </c>
      <c r="AG116" t="s">
        <v>4</v>
      </c>
      <c r="AH116" t="s">
        <v>5649</v>
      </c>
      <c r="AI116" t="s">
        <v>4</v>
      </c>
      <c r="AJ116" t="s">
        <v>4</v>
      </c>
      <c r="AK116">
        <v>9331004414</v>
      </c>
      <c r="AL116" t="s">
        <v>5756</v>
      </c>
      <c r="AM116" t="s">
        <v>5757</v>
      </c>
      <c r="AN116" t="s">
        <v>4</v>
      </c>
      <c r="AO116" t="s">
        <v>5039</v>
      </c>
      <c r="AP116" t="s">
        <v>4</v>
      </c>
      <c r="AQ116" t="s">
        <v>10</v>
      </c>
      <c r="AR116" t="s">
        <v>4</v>
      </c>
      <c r="AS116" t="s">
        <v>4</v>
      </c>
      <c r="AT116" t="s">
        <v>4</v>
      </c>
      <c r="AU116" t="s">
        <v>4</v>
      </c>
      <c r="AV116" t="s">
        <v>4</v>
      </c>
      <c r="AW116" t="s">
        <v>11</v>
      </c>
      <c r="AX116">
        <v>12900</v>
      </c>
      <c r="AY116">
        <v>6900</v>
      </c>
      <c r="AZ116" t="s">
        <v>4</v>
      </c>
      <c r="BA116" t="s">
        <v>4</v>
      </c>
      <c r="BB116" t="s">
        <v>4</v>
      </c>
      <c r="BC116" t="s">
        <v>1129</v>
      </c>
      <c r="BD116" t="s">
        <v>1131</v>
      </c>
      <c r="BE116" t="s">
        <v>4</v>
      </c>
      <c r="BF116" t="s">
        <v>4</v>
      </c>
      <c r="BG116" t="s">
        <v>4</v>
      </c>
      <c r="BH116" t="s">
        <v>4</v>
      </c>
      <c r="BI116" t="s">
        <v>4</v>
      </c>
      <c r="BJ116" t="s">
        <v>5652</v>
      </c>
      <c r="BK116" t="s">
        <v>4</v>
      </c>
      <c r="BL116">
        <v>1</v>
      </c>
      <c r="BM116" t="s">
        <v>4</v>
      </c>
      <c r="BN116">
        <v>19800</v>
      </c>
      <c r="BO116" t="s">
        <v>4</v>
      </c>
      <c r="BP116" t="s">
        <v>4</v>
      </c>
      <c r="BQ116" t="s">
        <v>4</v>
      </c>
      <c r="BR116" t="s">
        <v>4</v>
      </c>
      <c r="BS116" t="s">
        <v>4</v>
      </c>
      <c r="BT116" t="s">
        <v>4</v>
      </c>
      <c r="BU116" t="s">
        <v>4</v>
      </c>
      <c r="BV116" t="s">
        <v>4</v>
      </c>
      <c r="BW116" t="s">
        <v>3</v>
      </c>
      <c r="BX116" t="s">
        <v>4</v>
      </c>
      <c r="BY116" t="s">
        <v>12</v>
      </c>
      <c r="BZ116" t="s">
        <v>12</v>
      </c>
      <c r="CA116" t="s">
        <v>12</v>
      </c>
      <c r="CB116" t="s">
        <v>1074</v>
      </c>
      <c r="CC116" t="s">
        <v>12</v>
      </c>
      <c r="CD116" t="str" cm="1">
        <f t="array" aca="1" ref="CD116" ca="1">eConcatenar(A116:CB116,"|")</f>
        <v>MM436M59H7ambsED|COM  2018-0515|3|ZAFIRO|TABASCO|COMALCALCO|COMALCALCO|2018-4-21|19800|X|X|200|1|X|X|X|X|X|X|X|X|X|X|X|X|X|X|CASTILLO|FLORES|MARIA DE LOURDES|CASADA|X|X|INDEPENDENCIA PRIMERA SECC|X|X|9331004414|MAURICIO MAGAÑA GONZALEZ|CORNELIO CASTILLO MARQUEZ|X|RUTA 4 L|X|LUNES|X|X|X|X|X|DOMICILIO|12900|6900|X|X|X|2021-9-20|2021-9-30|X|X|X|X|X|INDEPENDEMCIA PRIMERA SECCION|X|1|X|19800|X|X|X|X|X|X|X|X|CARDENAS|X|x|x|x|final</v>
      </c>
    </row>
    <row r="117" spans="1:82" x14ac:dyDescent="0.25">
      <c r="A117" t="s">
        <v>5758</v>
      </c>
      <c r="B117" t="s">
        <v>5759</v>
      </c>
      <c r="C117">
        <v>3</v>
      </c>
      <c r="D117" t="s">
        <v>194</v>
      </c>
      <c r="E117" t="s">
        <v>2</v>
      </c>
      <c r="F117" t="s">
        <v>654</v>
      </c>
      <c r="G117" t="s">
        <v>654</v>
      </c>
      <c r="H117" t="s">
        <v>5760</v>
      </c>
      <c r="I117">
        <v>12900</v>
      </c>
      <c r="J117" t="s">
        <v>4</v>
      </c>
      <c r="K117" t="s">
        <v>4</v>
      </c>
      <c r="L117">
        <v>100</v>
      </c>
      <c r="M117">
        <v>0</v>
      </c>
      <c r="N117" t="s">
        <v>4</v>
      </c>
      <c r="O117" t="s">
        <v>4</v>
      </c>
      <c r="P117" t="s">
        <v>4</v>
      </c>
      <c r="Q117" t="s">
        <v>4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4</v>
      </c>
      <c r="Z117" t="s">
        <v>4</v>
      </c>
      <c r="AA117" t="s">
        <v>4</v>
      </c>
      <c r="AB117" t="s">
        <v>433</v>
      </c>
      <c r="AC117" t="s">
        <v>458</v>
      </c>
      <c r="AD117" t="s">
        <v>559</v>
      </c>
      <c r="AE117" t="s">
        <v>48</v>
      </c>
      <c r="AF117" t="s">
        <v>4</v>
      </c>
      <c r="AG117" t="s">
        <v>4</v>
      </c>
      <c r="AH117" t="s">
        <v>5672</v>
      </c>
      <c r="AI117" t="s">
        <v>4</v>
      </c>
      <c r="AJ117" t="s">
        <v>4</v>
      </c>
      <c r="AK117">
        <v>9331229152</v>
      </c>
      <c r="AL117" t="s">
        <v>5761</v>
      </c>
      <c r="AM117" t="s">
        <v>5762</v>
      </c>
      <c r="AN117" t="s">
        <v>4</v>
      </c>
      <c r="AO117" t="s">
        <v>5039</v>
      </c>
      <c r="AP117" t="s">
        <v>4</v>
      </c>
      <c r="AQ117" t="s">
        <v>10</v>
      </c>
      <c r="AR117" t="s">
        <v>4</v>
      </c>
      <c r="AS117" t="s">
        <v>4</v>
      </c>
      <c r="AT117" t="s">
        <v>4</v>
      </c>
      <c r="AU117" t="s">
        <v>4</v>
      </c>
      <c r="AV117" t="s">
        <v>4</v>
      </c>
      <c r="AW117" t="s">
        <v>11</v>
      </c>
      <c r="AX117">
        <v>5600</v>
      </c>
      <c r="AY117">
        <v>7300</v>
      </c>
      <c r="AZ117" t="s">
        <v>4</v>
      </c>
      <c r="BA117" t="s">
        <v>4</v>
      </c>
      <c r="BB117" t="s">
        <v>4</v>
      </c>
      <c r="BC117" t="s">
        <v>1129</v>
      </c>
      <c r="BD117" t="s">
        <v>1133</v>
      </c>
      <c r="BE117" t="s">
        <v>4</v>
      </c>
      <c r="BF117" t="s">
        <v>4</v>
      </c>
      <c r="BG117" t="s">
        <v>4</v>
      </c>
      <c r="BH117" t="s">
        <v>4</v>
      </c>
      <c r="BI117" t="s">
        <v>4</v>
      </c>
      <c r="BJ117" t="s">
        <v>5672</v>
      </c>
      <c r="BK117" t="s">
        <v>4</v>
      </c>
      <c r="BL117">
        <v>1</v>
      </c>
      <c r="BM117" t="s">
        <v>4</v>
      </c>
      <c r="BN117">
        <v>12900</v>
      </c>
      <c r="BO117" t="s">
        <v>4</v>
      </c>
      <c r="BP117" t="s">
        <v>4</v>
      </c>
      <c r="BQ117" t="s">
        <v>4</v>
      </c>
      <c r="BR117" t="s">
        <v>4</v>
      </c>
      <c r="BS117" t="s">
        <v>4</v>
      </c>
      <c r="BT117" t="s">
        <v>4</v>
      </c>
      <c r="BU117" t="s">
        <v>4</v>
      </c>
      <c r="BV117" t="s">
        <v>4</v>
      </c>
      <c r="BW117" t="s">
        <v>3</v>
      </c>
      <c r="BX117" t="s">
        <v>4</v>
      </c>
      <c r="BY117" t="s">
        <v>12</v>
      </c>
      <c r="BZ117" t="s">
        <v>12</v>
      </c>
      <c r="CA117" t="s">
        <v>12</v>
      </c>
      <c r="CB117" t="s">
        <v>1074</v>
      </c>
      <c r="CC117" t="s">
        <v>12</v>
      </c>
      <c r="CD117" t="str" cm="1">
        <f t="array" aca="1" ref="CD117" ca="1">eConcatenar(A117:CB117,"|")</f>
        <v>XTkJq2flopfktGPA|COM  2020-2131|3|ECONOLINE|TABASCO|PARAISO|PARAISO|2020-9-21|12900|X|X|100|0|X|X|X|X|X|X|X|X|X|X|X|X|X|X|PEREZ |CHABLE|MARLENE|SOLTERA|X|X|ORIENTE PRIMERA|X|X|9331229152|JAVIER DIAZ PEREZ|ALEJANDRA MENDEZ PEREZ|X|RUTA 4 L|X|LUNES|X|X|X|X|X|DOMICILIO|5600|7300|X|X|X|2021-9-20|2021-9-27|X|X|X|X|X|ORIENTE PRIMERA|X|1|X|12900|X|X|X|X|X|X|X|X|CARDENAS|X|x|x|x|final</v>
      </c>
    </row>
    <row r="118" spans="1:82" x14ac:dyDescent="0.25">
      <c r="A118" t="s">
        <v>5763</v>
      </c>
      <c r="B118" t="s">
        <v>6763</v>
      </c>
      <c r="C118">
        <v>3</v>
      </c>
      <c r="D118" t="s">
        <v>425</v>
      </c>
      <c r="E118" t="s">
        <v>2</v>
      </c>
      <c r="F118" t="s">
        <v>4776</v>
      </c>
      <c r="G118" t="s">
        <v>4776</v>
      </c>
      <c r="H118" t="s">
        <v>5764</v>
      </c>
      <c r="I118">
        <v>12900</v>
      </c>
      <c r="J118" t="s">
        <v>4</v>
      </c>
      <c r="K118" t="s">
        <v>4</v>
      </c>
      <c r="L118">
        <v>100</v>
      </c>
      <c r="M118">
        <v>0</v>
      </c>
      <c r="N118" t="s">
        <v>12</v>
      </c>
      <c r="O118" t="s">
        <v>4</v>
      </c>
      <c r="P118" t="s">
        <v>4</v>
      </c>
      <c r="Q118" t="s">
        <v>4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4</v>
      </c>
      <c r="Z118" t="s">
        <v>4</v>
      </c>
      <c r="AA118" t="s">
        <v>12</v>
      </c>
      <c r="AB118" t="s">
        <v>88</v>
      </c>
      <c r="AC118" t="s">
        <v>55</v>
      </c>
      <c r="AD118" t="s">
        <v>5765</v>
      </c>
      <c r="AE118" t="s">
        <v>29</v>
      </c>
      <c r="AF118" t="s">
        <v>4</v>
      </c>
      <c r="AG118" t="s">
        <v>4</v>
      </c>
      <c r="AH118" t="s">
        <v>5766</v>
      </c>
      <c r="AI118" t="s">
        <v>2200</v>
      </c>
      <c r="AJ118" t="s">
        <v>4</v>
      </c>
      <c r="AK118">
        <v>9331229152</v>
      </c>
      <c r="AL118" t="s">
        <v>5761</v>
      </c>
      <c r="AM118" t="s">
        <v>4</v>
      </c>
      <c r="AN118" t="s">
        <v>12</v>
      </c>
      <c r="AO118" t="s">
        <v>5039</v>
      </c>
      <c r="AP118" t="s">
        <v>4</v>
      </c>
      <c r="AQ118" t="s">
        <v>10</v>
      </c>
      <c r="AR118" t="s">
        <v>12</v>
      </c>
      <c r="AS118" t="s">
        <v>12</v>
      </c>
      <c r="AT118" t="s">
        <v>4</v>
      </c>
      <c r="AU118" t="s">
        <v>4</v>
      </c>
      <c r="AV118" t="s">
        <v>4</v>
      </c>
      <c r="AW118" t="s">
        <v>305</v>
      </c>
      <c r="AX118">
        <v>6400</v>
      </c>
      <c r="AY118">
        <v>6500</v>
      </c>
      <c r="AZ118" t="s">
        <v>12</v>
      </c>
      <c r="BA118" t="s">
        <v>12</v>
      </c>
      <c r="BB118" t="s">
        <v>4</v>
      </c>
      <c r="BC118" t="s">
        <v>1129</v>
      </c>
      <c r="BD118" t="s">
        <v>5072</v>
      </c>
      <c r="BE118" t="s">
        <v>4</v>
      </c>
      <c r="BF118" t="s">
        <v>12</v>
      </c>
      <c r="BG118" t="s">
        <v>4</v>
      </c>
      <c r="BH118" t="s">
        <v>12</v>
      </c>
      <c r="BI118" t="s">
        <v>12</v>
      </c>
      <c r="BJ118" t="s">
        <v>2200</v>
      </c>
      <c r="BK118" t="s">
        <v>4</v>
      </c>
      <c r="BL118">
        <v>1</v>
      </c>
      <c r="BM118" t="s">
        <v>12</v>
      </c>
      <c r="BN118">
        <v>12900</v>
      </c>
      <c r="BO118" t="s">
        <v>12</v>
      </c>
      <c r="BP118" t="s">
        <v>12</v>
      </c>
      <c r="BQ118" t="s">
        <v>12</v>
      </c>
      <c r="BR118" t="s">
        <v>4</v>
      </c>
      <c r="BS118" t="s">
        <v>4</v>
      </c>
      <c r="BT118" t="s">
        <v>4</v>
      </c>
      <c r="BU118" t="s">
        <v>4</v>
      </c>
      <c r="BV118" t="s">
        <v>4</v>
      </c>
      <c r="BW118" t="s">
        <v>3</v>
      </c>
      <c r="BX118" t="s">
        <v>4</v>
      </c>
      <c r="BY118" t="s">
        <v>12</v>
      </c>
      <c r="BZ118" t="s">
        <v>12</v>
      </c>
      <c r="CA118" t="s">
        <v>12</v>
      </c>
      <c r="CB118" t="s">
        <v>1074</v>
      </c>
      <c r="CC118" t="s">
        <v>12</v>
      </c>
      <c r="CD118" t="str" cm="1">
        <f t="array" aca="1" ref="CD118" ca="1">eConcatenar(A118:CB118,"|")</f>
        <v>pRWsOzcuE0XylXX5|PAR 2020-2145|3|ECONOLINE |TABASCO|PARAISO |PARAISO |2020-9-24|12900|X|X|100|0|x|X|X|X|X|X|X|X|X|X|X|X|X|x|MARTINEZ|GARCIA|ANAZARETH|CASADA|X|X|CARRETERA FEDERAL COMALCALCO PARAISO |ORIENTE PRIMERA SECCION |X|9331229152|JAVIER DIAZ PEREZ|X|x|RUTA 4 L|X|LUNES|x|x|X|X|X|DOMICILIO |6400|6500|x|x|X|2021-9-20|2021-10-04|X|x|X|x|x|ORIENTE PRIMERA SECCION |X|1|x|12900|x|x|x|X|X|X|X|X|CARDENAS|X|x|x|x|final</v>
      </c>
    </row>
    <row r="119" spans="1:82" x14ac:dyDescent="0.25">
      <c r="A119" t="s">
        <v>5767</v>
      </c>
      <c r="B119" t="s">
        <v>6764</v>
      </c>
      <c r="C119">
        <v>3</v>
      </c>
      <c r="D119" t="s">
        <v>425</v>
      </c>
      <c r="E119" t="s">
        <v>2</v>
      </c>
      <c r="F119" t="s">
        <v>4776</v>
      </c>
      <c r="G119" t="s">
        <v>4776</v>
      </c>
      <c r="H119" t="s">
        <v>5768</v>
      </c>
      <c r="I119">
        <v>12900</v>
      </c>
      <c r="J119" t="s">
        <v>4</v>
      </c>
      <c r="K119" t="s">
        <v>4</v>
      </c>
      <c r="L119">
        <v>200</v>
      </c>
      <c r="M119">
        <v>1</v>
      </c>
      <c r="N119" t="s">
        <v>12</v>
      </c>
      <c r="O119" t="s">
        <v>4</v>
      </c>
      <c r="P119" t="s">
        <v>4</v>
      </c>
      <c r="Q119" t="s">
        <v>4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4</v>
      </c>
      <c r="Z119" t="s">
        <v>4</v>
      </c>
      <c r="AA119" t="s">
        <v>12</v>
      </c>
      <c r="AB119" t="s">
        <v>36</v>
      </c>
      <c r="AC119" t="s">
        <v>5184</v>
      </c>
      <c r="AD119" t="s">
        <v>5769</v>
      </c>
      <c r="AE119" t="s">
        <v>59</v>
      </c>
      <c r="AF119" t="s">
        <v>4</v>
      </c>
      <c r="AG119" t="s">
        <v>4</v>
      </c>
      <c r="AH119" t="s">
        <v>5770</v>
      </c>
      <c r="AI119" t="s">
        <v>577</v>
      </c>
      <c r="AJ119" t="s">
        <v>4</v>
      </c>
      <c r="AK119">
        <v>9333031841</v>
      </c>
      <c r="AL119" t="s">
        <v>5771</v>
      </c>
      <c r="AM119" t="s">
        <v>5772</v>
      </c>
      <c r="AN119" t="s">
        <v>12</v>
      </c>
      <c r="AO119" t="s">
        <v>5039</v>
      </c>
      <c r="AP119" t="s">
        <v>4</v>
      </c>
      <c r="AQ119" t="s">
        <v>10</v>
      </c>
      <c r="AR119" t="s">
        <v>12</v>
      </c>
      <c r="AS119" t="s">
        <v>12</v>
      </c>
      <c r="AT119" t="s">
        <v>4</v>
      </c>
      <c r="AU119" t="s">
        <v>4</v>
      </c>
      <c r="AV119" t="s">
        <v>4</v>
      </c>
      <c r="AW119" t="s">
        <v>305</v>
      </c>
      <c r="AX119">
        <v>6100</v>
      </c>
      <c r="AY119">
        <v>6800</v>
      </c>
      <c r="AZ119" t="s">
        <v>12</v>
      </c>
      <c r="BA119" t="s">
        <v>12</v>
      </c>
      <c r="BB119" t="s">
        <v>4</v>
      </c>
      <c r="BC119" t="s">
        <v>1129</v>
      </c>
      <c r="BD119" t="s">
        <v>5072</v>
      </c>
      <c r="BE119" t="s">
        <v>4</v>
      </c>
      <c r="BF119" t="s">
        <v>12</v>
      </c>
      <c r="BG119" t="s">
        <v>4</v>
      </c>
      <c r="BH119" t="s">
        <v>12</v>
      </c>
      <c r="BI119" t="s">
        <v>12</v>
      </c>
      <c r="BJ119" t="s">
        <v>577</v>
      </c>
      <c r="BK119" t="s">
        <v>4</v>
      </c>
      <c r="BL119">
        <v>0</v>
      </c>
      <c r="BM119" t="s">
        <v>12</v>
      </c>
      <c r="BN119">
        <v>12900</v>
      </c>
      <c r="BO119" t="s">
        <v>12</v>
      </c>
      <c r="BP119" t="s">
        <v>12</v>
      </c>
      <c r="BQ119" t="s">
        <v>12</v>
      </c>
      <c r="BR119" t="s">
        <v>4</v>
      </c>
      <c r="BS119" t="s">
        <v>4</v>
      </c>
      <c r="BT119" t="s">
        <v>4</v>
      </c>
      <c r="BU119" t="s">
        <v>4</v>
      </c>
      <c r="BV119" t="s">
        <v>4</v>
      </c>
      <c r="BW119" t="s">
        <v>3</v>
      </c>
      <c r="BX119" t="s">
        <v>4</v>
      </c>
      <c r="BY119" t="s">
        <v>12</v>
      </c>
      <c r="BZ119" t="s">
        <v>12</v>
      </c>
      <c r="CA119" t="s">
        <v>12</v>
      </c>
      <c r="CB119" t="s">
        <v>1074</v>
      </c>
      <c r="CC119" t="s">
        <v>12</v>
      </c>
      <c r="CD119" t="str" cm="1">
        <f t="array" aca="1" ref="CD119" ca="1">eConcatenar(A119:CB119,"|")</f>
        <v>CAh0dKstPUkY7Em2|PAR 2020-1348|3|ECONOLINE |TABASCO|PARAISO |PARAISO |2020-7-25|12900|X|X|200|1|x|X|X|X|X|X|X|X|X|X|X|X|X|x|HERNANDEZ|GUEMEZ|AUGUSTO|CASADO|X|X|CALLE AMPARO MAGAÑA VERA SIN NUMERO |QUINTIN ARAUZ|X|9333031841|JOHANA PATRICIA JIMENEZ HOYOSCO |BENEFICIARIO 2: ARELI HERNANDEZ GUEMEZ|x|RUTA 4 L|X|LUNES|x|x|X|X|X|DOMICILIO |6100|6800|x|x|X|2021-9-20|2021-10-04|X|x|X|x|x|QUINTIN ARAUZ|X|0|x|12900|x|x|x|X|X|X|X|X|CARDENAS|X|x|x|x|final</v>
      </c>
    </row>
    <row r="120" spans="1:82" x14ac:dyDescent="0.25">
      <c r="A120" t="s">
        <v>5773</v>
      </c>
      <c r="B120" t="s">
        <v>6766</v>
      </c>
      <c r="C120">
        <v>3</v>
      </c>
      <c r="D120" t="s">
        <v>425</v>
      </c>
      <c r="E120" t="s">
        <v>2</v>
      </c>
      <c r="F120" t="s">
        <v>4776</v>
      </c>
      <c r="G120" t="s">
        <v>4776</v>
      </c>
      <c r="H120" t="s">
        <v>5768</v>
      </c>
      <c r="I120">
        <v>12900</v>
      </c>
      <c r="J120" t="s">
        <v>4</v>
      </c>
      <c r="K120" t="s">
        <v>4</v>
      </c>
      <c r="L120">
        <v>100</v>
      </c>
      <c r="M120">
        <v>0</v>
      </c>
      <c r="N120" t="s">
        <v>12</v>
      </c>
      <c r="O120" t="s">
        <v>4</v>
      </c>
      <c r="P120" t="s">
        <v>4</v>
      </c>
      <c r="Q120" t="s">
        <v>4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4</v>
      </c>
      <c r="Z120" t="s">
        <v>4</v>
      </c>
      <c r="AA120" t="s">
        <v>12</v>
      </c>
      <c r="AB120" t="s">
        <v>6</v>
      </c>
      <c r="AC120" t="s">
        <v>971</v>
      </c>
      <c r="AD120" t="s">
        <v>5774</v>
      </c>
      <c r="AE120" t="s">
        <v>134</v>
      </c>
      <c r="AF120" t="s">
        <v>4</v>
      </c>
      <c r="AG120" t="s">
        <v>4</v>
      </c>
      <c r="AH120" t="s">
        <v>5775</v>
      </c>
      <c r="AI120" t="s">
        <v>5776</v>
      </c>
      <c r="AJ120" t="s">
        <v>4</v>
      </c>
      <c r="AK120">
        <v>9331068319</v>
      </c>
      <c r="AL120" t="s">
        <v>5777</v>
      </c>
      <c r="AM120" t="s">
        <v>5778</v>
      </c>
      <c r="AN120" t="s">
        <v>12</v>
      </c>
      <c r="AO120" t="s">
        <v>5039</v>
      </c>
      <c r="AP120" t="s">
        <v>4</v>
      </c>
      <c r="AQ120" t="s">
        <v>10</v>
      </c>
      <c r="AR120" t="s">
        <v>12</v>
      </c>
      <c r="AS120" t="s">
        <v>12</v>
      </c>
      <c r="AT120" t="s">
        <v>4</v>
      </c>
      <c r="AU120" t="s">
        <v>4</v>
      </c>
      <c r="AV120" t="s">
        <v>4</v>
      </c>
      <c r="AW120" t="s">
        <v>305</v>
      </c>
      <c r="AX120">
        <v>5100</v>
      </c>
      <c r="AY120">
        <v>7800</v>
      </c>
      <c r="AZ120" t="s">
        <v>12</v>
      </c>
      <c r="BA120" t="s">
        <v>12</v>
      </c>
      <c r="BB120" t="s">
        <v>4</v>
      </c>
      <c r="BC120" t="s">
        <v>1129</v>
      </c>
      <c r="BD120" t="s">
        <v>1133</v>
      </c>
      <c r="BE120" t="s">
        <v>4</v>
      </c>
      <c r="BF120" t="s">
        <v>12</v>
      </c>
      <c r="BG120" t="s">
        <v>4</v>
      </c>
      <c r="BH120" t="s">
        <v>12</v>
      </c>
      <c r="BI120" t="s">
        <v>12</v>
      </c>
      <c r="BJ120" t="s">
        <v>5776</v>
      </c>
      <c r="BK120" t="s">
        <v>4</v>
      </c>
      <c r="BL120">
        <v>1</v>
      </c>
      <c r="BM120" t="s">
        <v>12</v>
      </c>
      <c r="BN120">
        <v>12900</v>
      </c>
      <c r="BO120" t="s">
        <v>12</v>
      </c>
      <c r="BP120" t="s">
        <v>12</v>
      </c>
      <c r="BQ120" t="s">
        <v>12</v>
      </c>
      <c r="BR120" t="s">
        <v>4</v>
      </c>
      <c r="BS120" t="s">
        <v>4</v>
      </c>
      <c r="BT120" t="s">
        <v>4</v>
      </c>
      <c r="BU120" t="s">
        <v>4</v>
      </c>
      <c r="BV120" t="s">
        <v>4</v>
      </c>
      <c r="BW120" t="s">
        <v>3</v>
      </c>
      <c r="BX120" t="s">
        <v>4</v>
      </c>
      <c r="BY120" t="s">
        <v>12</v>
      </c>
      <c r="BZ120" t="s">
        <v>12</v>
      </c>
      <c r="CA120" t="s">
        <v>12</v>
      </c>
      <c r="CB120" t="s">
        <v>1074</v>
      </c>
      <c r="CC120" t="s">
        <v>12</v>
      </c>
      <c r="CD120" t="str" cm="1">
        <f t="array" aca="1" ref="CD120" ca="1">eConcatenar(A120:CB120,"|")</f>
        <v>3VtxS6y9EKtloI9J|PAR 2020-1359|3|ECONOLINE |TABASCO|PARAISO |PARAISO |2020-7-25|12900|X|X|100|0|x|X|X|X|X|X|X|X|X|X|X|X|X|x|DE LA CRUZ|FLORES |CONCEPCION |VIUDA|X|X|ENTRADA DE LA CLINICA SIN NUMERO |MOCTEZUMA SEGUNDA |X|9331068319|FRANCISCO FLORES DE LA CRUZ |BENEFICIARIO 2: TERESITA DE JESUS SANCHEZ CHABLE |x|RUTA 4 L|X|LUNES|x|x|X|X|X|DOMICILIO |5100|7800|x|x|X|2021-9-20|2021-9-27|X|x|X|x|x|MOCTEZUMA SEGUNDA |X|1|x|12900|x|x|x|X|X|X|X|X|CARDENAS|X|x|x|x|final</v>
      </c>
    </row>
    <row r="121" spans="1:82" x14ac:dyDescent="0.25">
      <c r="A121" t="s">
        <v>5779</v>
      </c>
      <c r="B121" t="s">
        <v>6765</v>
      </c>
      <c r="C121">
        <v>3</v>
      </c>
      <c r="D121" t="s">
        <v>425</v>
      </c>
      <c r="E121" t="s">
        <v>2</v>
      </c>
      <c r="F121" t="s">
        <v>4776</v>
      </c>
      <c r="G121" t="s">
        <v>4776</v>
      </c>
      <c r="H121" t="s">
        <v>5780</v>
      </c>
      <c r="I121">
        <v>12900</v>
      </c>
      <c r="J121" t="s">
        <v>4</v>
      </c>
      <c r="K121" t="s">
        <v>4</v>
      </c>
      <c r="L121">
        <v>100</v>
      </c>
      <c r="M121">
        <v>0</v>
      </c>
      <c r="N121" t="s">
        <v>12</v>
      </c>
      <c r="O121" t="s">
        <v>4</v>
      </c>
      <c r="P121" t="s">
        <v>4</v>
      </c>
      <c r="Q121" t="s">
        <v>4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4</v>
      </c>
      <c r="Z121" t="s">
        <v>4</v>
      </c>
      <c r="AA121" t="s">
        <v>12</v>
      </c>
      <c r="AB121" t="s">
        <v>679</v>
      </c>
      <c r="AC121" t="s">
        <v>265</v>
      </c>
      <c r="AD121" t="s">
        <v>4758</v>
      </c>
      <c r="AE121" t="s">
        <v>59</v>
      </c>
      <c r="AF121" t="s">
        <v>4</v>
      </c>
      <c r="AG121" t="s">
        <v>4</v>
      </c>
      <c r="AH121" t="s">
        <v>5244</v>
      </c>
      <c r="AI121" t="s">
        <v>2020</v>
      </c>
      <c r="AJ121" t="s">
        <v>4</v>
      </c>
      <c r="AK121">
        <v>9331171379</v>
      </c>
      <c r="AL121" t="s">
        <v>5781</v>
      </c>
      <c r="AM121" t="s">
        <v>5782</v>
      </c>
      <c r="AN121" t="s">
        <v>12</v>
      </c>
      <c r="AO121" t="s">
        <v>5039</v>
      </c>
      <c r="AP121" t="s">
        <v>4</v>
      </c>
      <c r="AQ121" t="s">
        <v>10</v>
      </c>
      <c r="AR121" t="s">
        <v>12</v>
      </c>
      <c r="AS121" t="s">
        <v>12</v>
      </c>
      <c r="AT121" t="s">
        <v>4</v>
      </c>
      <c r="AU121" t="s">
        <v>4</v>
      </c>
      <c r="AV121" t="s">
        <v>4</v>
      </c>
      <c r="AW121" t="s">
        <v>305</v>
      </c>
      <c r="AX121">
        <v>9200</v>
      </c>
      <c r="AY121">
        <v>3700</v>
      </c>
      <c r="AZ121" t="s">
        <v>12</v>
      </c>
      <c r="BA121" t="s">
        <v>12</v>
      </c>
      <c r="BB121" t="s">
        <v>4</v>
      </c>
      <c r="BC121" t="s">
        <v>1129</v>
      </c>
      <c r="BD121" t="s">
        <v>1133</v>
      </c>
      <c r="BE121" t="s">
        <v>4</v>
      </c>
      <c r="BF121" t="s">
        <v>12</v>
      </c>
      <c r="BG121" t="s">
        <v>4</v>
      </c>
      <c r="BH121" t="s">
        <v>12</v>
      </c>
      <c r="BI121" t="s">
        <v>12</v>
      </c>
      <c r="BJ121" t="s">
        <v>2020</v>
      </c>
      <c r="BK121" t="s">
        <v>4</v>
      </c>
      <c r="BL121">
        <v>0</v>
      </c>
      <c r="BM121" t="s">
        <v>12</v>
      </c>
      <c r="BN121">
        <v>12900</v>
      </c>
      <c r="BO121" t="s">
        <v>12</v>
      </c>
      <c r="BP121" t="s">
        <v>12</v>
      </c>
      <c r="BQ121" t="s">
        <v>12</v>
      </c>
      <c r="BR121" t="s">
        <v>4</v>
      </c>
      <c r="BS121" t="s">
        <v>4</v>
      </c>
      <c r="BT121" t="s">
        <v>4</v>
      </c>
      <c r="BU121" t="s">
        <v>4</v>
      </c>
      <c r="BV121" t="s">
        <v>4</v>
      </c>
      <c r="BW121" t="s">
        <v>3</v>
      </c>
      <c r="BX121" t="s">
        <v>4</v>
      </c>
      <c r="BY121" t="s">
        <v>12</v>
      </c>
      <c r="BZ121" t="s">
        <v>12</v>
      </c>
      <c r="CA121" t="s">
        <v>12</v>
      </c>
      <c r="CB121" t="s">
        <v>1074</v>
      </c>
      <c r="CC121" t="s">
        <v>12</v>
      </c>
      <c r="CD121" t="str" cm="1">
        <f t="array" aca="1" ref="CD121" ca="1">eConcatenar(A121:CB121,"|")</f>
        <v>e09k5SapCbk2iDIx|PAR 2020-0906|3|ECONOLINE |TABASCO|PARAISO |PARAISO |2020-3-26|12900|X|X|100|0|x|X|X|X|X|X|X|X|X|X|X|X|X|x|IZQUIERDO|DOMINGUEZ|MIGUEL ANGEL |CASADO|X|X|CARRETERA VECINAL PARAISO COMALCALCO |MOCTEZUMA SEGUNDA SECCION |X|9331171379|VIRIDIANA IZQUIERDO LAZARO|BENEFICIARIO 2: MIGUEL ANGEL IZQUIERDO LAZARO |x|RUTA 4 L|X|LUNES|x|x|X|X|X|DOMICILIO |9200|3700|x|x|X|2021-9-20|2021-9-27|X|x|X|x|x|MOCTEZUMA SEGUNDA SECCION |X|0|x|12900|x|x|x|X|X|X|X|X|CARDENAS|X|x|x|x|final</v>
      </c>
    </row>
    <row r="122" spans="1:82" x14ac:dyDescent="0.25">
      <c r="A122" t="s">
        <v>5783</v>
      </c>
      <c r="B122" t="s">
        <v>5342</v>
      </c>
      <c r="C122">
        <v>3</v>
      </c>
      <c r="D122" t="s">
        <v>65</v>
      </c>
      <c r="E122" t="s">
        <v>2</v>
      </c>
      <c r="F122" t="s">
        <v>654</v>
      </c>
      <c r="G122" t="s">
        <v>654</v>
      </c>
      <c r="H122" t="s">
        <v>1097</v>
      </c>
      <c r="I122">
        <v>14800</v>
      </c>
      <c r="J122" t="s">
        <v>4</v>
      </c>
      <c r="K122" t="s">
        <v>4</v>
      </c>
      <c r="L122">
        <v>200</v>
      </c>
      <c r="M122">
        <v>1</v>
      </c>
      <c r="N122" t="s">
        <v>12</v>
      </c>
      <c r="O122" t="s">
        <v>4</v>
      </c>
      <c r="P122" t="s">
        <v>12</v>
      </c>
      <c r="Q122" t="s">
        <v>4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12</v>
      </c>
      <c r="Z122" t="s">
        <v>4</v>
      </c>
      <c r="AA122" t="s">
        <v>12</v>
      </c>
      <c r="AB122" t="s">
        <v>265</v>
      </c>
      <c r="AC122" t="s">
        <v>6</v>
      </c>
      <c r="AD122" t="s">
        <v>4791</v>
      </c>
      <c r="AE122" t="s">
        <v>29</v>
      </c>
      <c r="AF122" s="1" t="s">
        <v>4</v>
      </c>
      <c r="AG122" t="s">
        <v>4</v>
      </c>
      <c r="AH122" t="s">
        <v>5343</v>
      </c>
      <c r="AI122" t="s">
        <v>656</v>
      </c>
      <c r="AJ122" t="s">
        <v>4</v>
      </c>
      <c r="AK122">
        <v>9331273803</v>
      </c>
      <c r="AL122" t="s">
        <v>5344</v>
      </c>
      <c r="AM122" t="s">
        <v>5345</v>
      </c>
      <c r="AN122" t="s">
        <v>12</v>
      </c>
      <c r="AO122" t="s">
        <v>5039</v>
      </c>
      <c r="AP122" t="s">
        <v>4</v>
      </c>
      <c r="AQ122" t="s">
        <v>10</v>
      </c>
      <c r="AR122" t="s">
        <v>12</v>
      </c>
      <c r="AS122" t="s">
        <v>12</v>
      </c>
      <c r="AT122" t="s">
        <v>4</v>
      </c>
      <c r="AU122" t="s">
        <v>4</v>
      </c>
      <c r="AV122" t="s">
        <v>4</v>
      </c>
      <c r="AW122" t="s">
        <v>11</v>
      </c>
      <c r="AX122">
        <v>1400</v>
      </c>
      <c r="AY122">
        <v>13400</v>
      </c>
      <c r="AZ122" t="s">
        <v>12</v>
      </c>
      <c r="BA122" t="s">
        <v>12</v>
      </c>
      <c r="BB122" t="s">
        <v>4</v>
      </c>
      <c r="BC122" t="s">
        <v>1129</v>
      </c>
      <c r="BD122" t="s">
        <v>5072</v>
      </c>
      <c r="BE122" s="1" t="s">
        <v>4</v>
      </c>
      <c r="BF122" t="s">
        <v>12</v>
      </c>
      <c r="BG122" t="s">
        <v>4</v>
      </c>
      <c r="BH122" t="s">
        <v>12</v>
      </c>
      <c r="BI122" t="s">
        <v>12</v>
      </c>
      <c r="BJ122" t="s">
        <v>656</v>
      </c>
      <c r="BK122" t="s">
        <v>4</v>
      </c>
      <c r="BL122">
        <v>1</v>
      </c>
      <c r="BM122" s="2" t="s">
        <v>12</v>
      </c>
      <c r="BN122">
        <v>14800</v>
      </c>
      <c r="BO122" t="s">
        <v>12</v>
      </c>
      <c r="BP122" t="s">
        <v>12</v>
      </c>
      <c r="BQ122" t="s">
        <v>12</v>
      </c>
      <c r="BR122" t="s">
        <v>4</v>
      </c>
      <c r="BS122" t="s">
        <v>4</v>
      </c>
      <c r="BT122" t="s">
        <v>4</v>
      </c>
      <c r="BU122" t="s">
        <v>12</v>
      </c>
      <c r="BV122" t="s">
        <v>4</v>
      </c>
      <c r="BW122" t="s">
        <v>3</v>
      </c>
      <c r="BX122" t="s">
        <v>4</v>
      </c>
      <c r="BY122" t="s">
        <v>12</v>
      </c>
      <c r="BZ122" t="s">
        <v>12</v>
      </c>
      <c r="CA122" t="s">
        <v>12</v>
      </c>
      <c r="CB122" t="s">
        <v>1074</v>
      </c>
      <c r="CC122" t="s">
        <v>12</v>
      </c>
      <c r="CD122" t="str" cm="1">
        <f t="array" aca="1" ref="CD122" ca="1">eConcatenar(A122:CB122,"|")</f>
        <v>Gbwy56KhGcnERtR1|COM2021-1985|3|MEMORIAL|TABASCO|PARAISO|PARAISO|2021-6-15|14800|X|X|200|1|x|X|x|X|X|X|X|X|X|X|X|x|X|x|DOMINGUEZ|DE LA CRUZ|ROSA ELENA|CASADA|X|X|CALLE EL CAMELLON DE LOS HERNANDEZ|FRANCISCO I MADERO SEGUNDA SECCION|X|9331273803|JAVIER MENDOZA MORALES|BENEFICIARIO 2: JESUS ALFONSO DOMINGUEZ DE LA CRUZ|x|RUTA 4 L|X|LUNES|x|x|X|X|X|DOMICILIO|1400|13400|x|x|X|2021-9-20|2021-10-04|X|x|X|x|x|FRANCISCO I MADERO SEGUNDA SECCION|X|1|x|14800|x|x|x|X|X|X|x|X|CARDENAS|X|x|x|x|final</v>
      </c>
    </row>
    <row r="123" spans="1:82" x14ac:dyDescent="0.25">
      <c r="A123" t="s">
        <v>5784</v>
      </c>
      <c r="B123" t="s">
        <v>5785</v>
      </c>
      <c r="C123">
        <v>3</v>
      </c>
      <c r="D123" t="s">
        <v>4737</v>
      </c>
      <c r="E123" t="s">
        <v>361</v>
      </c>
      <c r="F123" t="s">
        <v>4776</v>
      </c>
      <c r="G123" t="s">
        <v>4776</v>
      </c>
      <c r="H123" t="s">
        <v>5786</v>
      </c>
      <c r="I123" s="22">
        <v>19800</v>
      </c>
      <c r="J123" t="s">
        <v>4</v>
      </c>
      <c r="K123" t="s">
        <v>4</v>
      </c>
      <c r="L123" s="23">
        <v>400</v>
      </c>
      <c r="M123">
        <v>2</v>
      </c>
      <c r="N123" t="s">
        <v>12</v>
      </c>
      <c r="O123" t="s">
        <v>4</v>
      </c>
      <c r="P123" t="s">
        <v>12</v>
      </c>
      <c r="Q123" t="s">
        <v>4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12</v>
      </c>
      <c r="Z123" t="s">
        <v>4</v>
      </c>
      <c r="AA123" t="s">
        <v>12</v>
      </c>
      <c r="AB123" t="s">
        <v>5130</v>
      </c>
      <c r="AC123" t="s">
        <v>15</v>
      </c>
      <c r="AD123" t="s">
        <v>5787</v>
      </c>
      <c r="AE123" t="s">
        <v>5260</v>
      </c>
      <c r="AF123" t="s">
        <v>4</v>
      </c>
      <c r="AG123" t="s">
        <v>4</v>
      </c>
      <c r="AH123" t="s">
        <v>5788</v>
      </c>
      <c r="AI123" t="s">
        <v>5789</v>
      </c>
      <c r="AJ123" t="s">
        <v>4</v>
      </c>
      <c r="AK123">
        <v>9333338212</v>
      </c>
      <c r="AL123" t="s">
        <v>5790</v>
      </c>
      <c r="AM123" t="s">
        <v>5791</v>
      </c>
      <c r="AN123" t="s">
        <v>12</v>
      </c>
      <c r="AO123" t="s">
        <v>4</v>
      </c>
      <c r="AP123" t="s">
        <v>4</v>
      </c>
      <c r="AQ123" t="s">
        <v>658</v>
      </c>
      <c r="AR123" t="s">
        <v>12</v>
      </c>
      <c r="AS123" t="s">
        <v>12</v>
      </c>
      <c r="AT123" t="s">
        <v>4</v>
      </c>
      <c r="AU123" t="s">
        <v>4</v>
      </c>
      <c r="AV123" t="s">
        <v>4</v>
      </c>
      <c r="AW123" t="s">
        <v>305</v>
      </c>
      <c r="AX123" s="24">
        <v>18200</v>
      </c>
      <c r="AY123" s="22">
        <v>1600</v>
      </c>
      <c r="AZ123" t="s">
        <v>12</v>
      </c>
      <c r="BA123" t="s">
        <v>12</v>
      </c>
      <c r="BB123" t="s">
        <v>4</v>
      </c>
      <c r="BC123" t="s">
        <v>5792</v>
      </c>
      <c r="BD123" t="s">
        <v>5793</v>
      </c>
      <c r="BE123" t="s">
        <v>4</v>
      </c>
      <c r="BF123" t="s">
        <v>12</v>
      </c>
      <c r="BG123" t="s">
        <v>4</v>
      </c>
      <c r="BH123" t="s">
        <v>12</v>
      </c>
      <c r="BI123" t="s">
        <v>12</v>
      </c>
      <c r="BJ123" t="s">
        <v>1761</v>
      </c>
      <c r="BK123" t="s">
        <v>4</v>
      </c>
      <c r="BL123">
        <v>1</v>
      </c>
      <c r="BM123" t="s">
        <v>12</v>
      </c>
      <c r="BN123" s="22">
        <v>19800</v>
      </c>
      <c r="BO123" t="s">
        <v>12</v>
      </c>
      <c r="BP123" t="s">
        <v>12</v>
      </c>
      <c r="BQ123" t="s">
        <v>12</v>
      </c>
      <c r="BR123" t="s">
        <v>4</v>
      </c>
      <c r="BS123" t="s">
        <v>4</v>
      </c>
      <c r="BT123" t="s">
        <v>4</v>
      </c>
      <c r="BU123" t="s">
        <v>12</v>
      </c>
      <c r="BV123" t="s">
        <v>4</v>
      </c>
      <c r="BW123" t="s">
        <v>3</v>
      </c>
      <c r="BX123" t="s">
        <v>4</v>
      </c>
      <c r="BY123" t="s">
        <v>12</v>
      </c>
      <c r="BZ123" t="s">
        <v>12</v>
      </c>
      <c r="CA123" t="s">
        <v>12</v>
      </c>
      <c r="CB123" t="s">
        <v>1074</v>
      </c>
      <c r="CC123" t="s">
        <v>12</v>
      </c>
      <c r="CD123" t="str" cm="1">
        <f t="array" aca="1" ref="CD123" ca="1">eConcatenar(A123:CB123,"|")</f>
        <v>IHbaxoLebDotN1Li|PAR2018-0129|3|ZAFIRO |TABASCO |PARAISO |PARAISO |2018-1-19|19800|X|X|400|2|x|X|x|X|X|X|X|X|X|X|X|x|X|x|PALMA|JIMENEZ|BACILIA |DIVORCIADA |X|X|CALLE LUIZ ENRIQUE DOMINGUEZ VARGAS SIN NUMERO |FRANSICO I MADERO |X|9333338212|PEDRO LUIS PEREZ PALMA |BENEFICIARIO 2: DIANA GOMEZ ANGULO |x|X|X|MIERCOLES|x|x|X|X|X|DOMICILIO |18200|1600|x|x|X|2021-9-01|2021-10-06|X|x|X|x|x|FRANCISCO I MADERO |X|1|x|19800|x|x|x|X|X|X|x|X|CARDENAS|X|x|x|x|final</v>
      </c>
    </row>
    <row r="124" spans="1:82" x14ac:dyDescent="0.25">
      <c r="A124" t="s">
        <v>5794</v>
      </c>
      <c r="B124" t="s">
        <v>5795</v>
      </c>
      <c r="C124">
        <v>3</v>
      </c>
      <c r="D124" t="s">
        <v>425</v>
      </c>
      <c r="E124" t="s">
        <v>361</v>
      </c>
      <c r="F124" t="s">
        <v>4776</v>
      </c>
      <c r="G124" t="s">
        <v>4776</v>
      </c>
      <c r="H124" t="s">
        <v>5796</v>
      </c>
      <c r="I124" s="22">
        <v>12900</v>
      </c>
      <c r="J124" t="s">
        <v>4</v>
      </c>
      <c r="K124" t="s">
        <v>4</v>
      </c>
      <c r="L124" s="23">
        <v>200</v>
      </c>
      <c r="M124">
        <v>1</v>
      </c>
      <c r="N124" t="s">
        <v>12</v>
      </c>
      <c r="O124" t="s">
        <v>4</v>
      </c>
      <c r="P124" t="s">
        <v>12</v>
      </c>
      <c r="Q124" t="s">
        <v>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12</v>
      </c>
      <c r="Z124" t="s">
        <v>4</v>
      </c>
      <c r="AA124" t="s">
        <v>12</v>
      </c>
      <c r="AB124" t="s">
        <v>5797</v>
      </c>
      <c r="AC124" t="s">
        <v>350</v>
      </c>
      <c r="AD124" t="s">
        <v>5798</v>
      </c>
      <c r="AE124" t="s">
        <v>59</v>
      </c>
      <c r="AF124" t="s">
        <v>4</v>
      </c>
      <c r="AG124" t="s">
        <v>4</v>
      </c>
      <c r="AH124" t="s">
        <v>5799</v>
      </c>
      <c r="AI124" t="s">
        <v>39</v>
      </c>
      <c r="AJ124" t="s">
        <v>4</v>
      </c>
      <c r="AK124">
        <v>9931159310</v>
      </c>
      <c r="AL124" t="s">
        <v>5800</v>
      </c>
      <c r="AM124" t="s">
        <v>5801</v>
      </c>
      <c r="AN124" t="s">
        <v>12</v>
      </c>
      <c r="AO124" t="s">
        <v>4</v>
      </c>
      <c r="AP124" t="s">
        <v>4</v>
      </c>
      <c r="AQ124" t="s">
        <v>658</v>
      </c>
      <c r="AR124" t="s">
        <v>12</v>
      </c>
      <c r="AS124" t="s">
        <v>12</v>
      </c>
      <c r="AT124" t="s">
        <v>4</v>
      </c>
      <c r="AU124" t="s">
        <v>4</v>
      </c>
      <c r="AV124" t="s">
        <v>4</v>
      </c>
      <c r="AW124" t="s">
        <v>305</v>
      </c>
      <c r="AX124" s="25">
        <v>12500</v>
      </c>
      <c r="AY124" s="23">
        <v>400</v>
      </c>
      <c r="AZ124" t="s">
        <v>12</v>
      </c>
      <c r="BA124" t="s">
        <v>12</v>
      </c>
      <c r="BB124" t="s">
        <v>4</v>
      </c>
      <c r="BC124" t="s">
        <v>5792</v>
      </c>
      <c r="BD124" t="s">
        <v>5802</v>
      </c>
      <c r="BE124" t="s">
        <v>4</v>
      </c>
      <c r="BF124" t="s">
        <v>12</v>
      </c>
      <c r="BG124" t="s">
        <v>4</v>
      </c>
      <c r="BH124" t="s">
        <v>12</v>
      </c>
      <c r="BI124" t="s">
        <v>12</v>
      </c>
      <c r="BJ124" t="s">
        <v>39</v>
      </c>
      <c r="BK124" t="s">
        <v>4</v>
      </c>
      <c r="BL124">
        <v>0</v>
      </c>
      <c r="BM124" t="s">
        <v>12</v>
      </c>
      <c r="BN124" s="22">
        <v>12900</v>
      </c>
      <c r="BO124" t="s">
        <v>12</v>
      </c>
      <c r="BP124" t="s">
        <v>12</v>
      </c>
      <c r="BQ124" t="s">
        <v>12</v>
      </c>
      <c r="BR124" t="s">
        <v>4</v>
      </c>
      <c r="BS124" t="s">
        <v>4</v>
      </c>
      <c r="BT124" t="s">
        <v>4</v>
      </c>
      <c r="BU124" t="s">
        <v>12</v>
      </c>
      <c r="BV124" t="s">
        <v>4</v>
      </c>
      <c r="BW124" t="s">
        <v>3</v>
      </c>
      <c r="BX124" t="s">
        <v>4</v>
      </c>
      <c r="BY124" t="s">
        <v>12</v>
      </c>
      <c r="BZ124" t="s">
        <v>12</v>
      </c>
      <c r="CA124" t="s">
        <v>12</v>
      </c>
      <c r="CB124" t="s">
        <v>1074</v>
      </c>
      <c r="CC124" t="s">
        <v>12</v>
      </c>
      <c r="CD124" t="str" cm="1">
        <f t="array" aca="1" ref="CD124" ca="1">eConcatenar(A124:CB124,"|")</f>
        <v>95lrPdItOi7mbJ3g|PAR2018-2101|3|ECONOLINE |TABASCO |PARAISO |PARAISO |2018-10-22|12900|X|X|200|1|x|X|x|X|X|X|X|X|X|X|X|x|X|x|SOBRINO |MENDEZ|JORGE ALONSO |CASADO|X|X|CALLE 5 DE MAYO NUMERO 106 |CENTRO |X|9931159310|CHRISTINA DE DIOS HERNANDEZ |BENEFICIARIO 2: YESENIA IVETT SOBRINO |x|X|X|MIERCOLES|x|x|X|X|X|DOMICILIO |12500|400|x|x|X|2021-9-01|2021-9-29|X|x|X|x|x|CENTRO |X|0|x|12900|x|x|x|X|X|X|x|X|CARDENAS|X|x|x|x|final</v>
      </c>
    </row>
    <row r="125" spans="1:82" x14ac:dyDescent="0.25">
      <c r="A125" t="s">
        <v>5803</v>
      </c>
      <c r="B125" t="s">
        <v>5804</v>
      </c>
      <c r="C125">
        <v>3</v>
      </c>
      <c r="D125" t="s">
        <v>425</v>
      </c>
      <c r="E125" t="s">
        <v>361</v>
      </c>
      <c r="F125" t="s">
        <v>4776</v>
      </c>
      <c r="G125" t="s">
        <v>4776</v>
      </c>
      <c r="H125" t="s">
        <v>5805</v>
      </c>
      <c r="I125" s="22">
        <v>11500</v>
      </c>
      <c r="J125" t="s">
        <v>4</v>
      </c>
      <c r="K125" t="s">
        <v>4</v>
      </c>
      <c r="L125" s="23">
        <v>200</v>
      </c>
      <c r="M125">
        <v>1</v>
      </c>
      <c r="N125" t="s">
        <v>12</v>
      </c>
      <c r="O125" t="s">
        <v>4</v>
      </c>
      <c r="P125" t="s">
        <v>12</v>
      </c>
      <c r="Q125" t="s">
        <v>4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12</v>
      </c>
      <c r="Z125" t="s">
        <v>4</v>
      </c>
      <c r="AA125" t="s">
        <v>12</v>
      </c>
      <c r="AB125" t="s">
        <v>330</v>
      </c>
      <c r="AC125" t="s">
        <v>883</v>
      </c>
      <c r="AD125" t="s">
        <v>5806</v>
      </c>
      <c r="AE125" t="s">
        <v>29</v>
      </c>
      <c r="AF125" t="s">
        <v>4</v>
      </c>
      <c r="AG125" t="s">
        <v>4</v>
      </c>
      <c r="AH125" t="s">
        <v>5807</v>
      </c>
      <c r="AI125" t="s">
        <v>5808</v>
      </c>
      <c r="AJ125" t="s">
        <v>4</v>
      </c>
      <c r="AK125">
        <v>9331340515</v>
      </c>
      <c r="AL125" t="s">
        <v>5809</v>
      </c>
      <c r="AM125" t="s">
        <v>5810</v>
      </c>
      <c r="AN125" t="s">
        <v>12</v>
      </c>
      <c r="AO125" t="s">
        <v>4</v>
      </c>
      <c r="AP125" t="s">
        <v>4</v>
      </c>
      <c r="AQ125" t="s">
        <v>658</v>
      </c>
      <c r="AR125" t="s">
        <v>12</v>
      </c>
      <c r="AS125" t="s">
        <v>12</v>
      </c>
      <c r="AT125" t="s">
        <v>4</v>
      </c>
      <c r="AU125" t="s">
        <v>4</v>
      </c>
      <c r="AV125" t="s">
        <v>4</v>
      </c>
      <c r="AW125" t="s">
        <v>305</v>
      </c>
      <c r="AX125" s="22">
        <v>1100</v>
      </c>
      <c r="AY125">
        <v>500</v>
      </c>
      <c r="AZ125" t="s">
        <v>12</v>
      </c>
      <c r="BA125" t="s">
        <v>12</v>
      </c>
      <c r="BB125" t="s">
        <v>5143</v>
      </c>
      <c r="BC125" t="s">
        <v>1136</v>
      </c>
      <c r="BD125" t="s">
        <v>5802</v>
      </c>
      <c r="BE125" t="s">
        <v>4</v>
      </c>
      <c r="BF125" t="s">
        <v>12</v>
      </c>
      <c r="BG125" t="s">
        <v>4</v>
      </c>
      <c r="BH125" t="s">
        <v>12</v>
      </c>
      <c r="BI125" t="s">
        <v>12</v>
      </c>
      <c r="BJ125" t="s">
        <v>5808</v>
      </c>
      <c r="BK125" t="s">
        <v>4</v>
      </c>
      <c r="BL125">
        <v>1</v>
      </c>
      <c r="BM125" t="s">
        <v>12</v>
      </c>
      <c r="BN125" s="22">
        <v>11500</v>
      </c>
      <c r="BO125" t="s">
        <v>12</v>
      </c>
      <c r="BP125" t="s">
        <v>12</v>
      </c>
      <c r="BQ125" t="s">
        <v>12</v>
      </c>
      <c r="BR125" t="s">
        <v>4</v>
      </c>
      <c r="BS125" t="s">
        <v>4</v>
      </c>
      <c r="BT125" t="s">
        <v>4</v>
      </c>
      <c r="BU125" t="s">
        <v>12</v>
      </c>
      <c r="BV125" t="s">
        <v>4</v>
      </c>
      <c r="BW125" t="s">
        <v>3</v>
      </c>
      <c r="BX125" t="s">
        <v>4</v>
      </c>
      <c r="BY125" t="s">
        <v>12</v>
      </c>
      <c r="BZ125" t="s">
        <v>12</v>
      </c>
      <c r="CA125" t="s">
        <v>12</v>
      </c>
      <c r="CB125" t="s">
        <v>1074</v>
      </c>
      <c r="CC125" t="s">
        <v>12</v>
      </c>
      <c r="CD125" t="str" cm="1">
        <f t="array" aca="1" ref="CD125" ca="1">eConcatenar(A125:CB125,"|")</f>
        <v>YQaBoS3Tsw2an4gp|PAR2017-4228|3|ECONOLINE |TABASCO |PARAISO |PARAISO |2017-11-22|11500|X|X|200|1|x|X|x|X|X|X|X|X|X|X|X|x|X|x|JAVIER|CUPIL|TERESA |CASADA|X|X|CALLE PRINCIPAL NUMERO 4|ADALBERTO SANTOS |X|9331340515|JESUS DE LA CRUZ RODRIGUEZ |BENEFICIARIO 2: LILIANA YUDITH MARTINEZ DE LA CRUZ |x|X|X|MIERCOLES|x|x|X|X|X|DOMICILIO |1100|500|x|x|RETRASO 1|2021-9-16|2021-9-29|X|x|X|x|x|ADALBERTO SANTOS |X|1|x|11500|x|x|x|X|X|X|x|X|CARDENAS|X|x|x|x|final</v>
      </c>
    </row>
    <row r="126" spans="1:82" x14ac:dyDescent="0.25">
      <c r="A126" t="s">
        <v>5811</v>
      </c>
      <c r="B126" t="s">
        <v>5812</v>
      </c>
      <c r="C126">
        <v>3</v>
      </c>
      <c r="D126" t="s">
        <v>425</v>
      </c>
      <c r="E126" t="s">
        <v>361</v>
      </c>
      <c r="F126" t="s">
        <v>4776</v>
      </c>
      <c r="G126" t="s">
        <v>4776</v>
      </c>
      <c r="H126" t="s">
        <v>5813</v>
      </c>
      <c r="I126" s="24">
        <v>12900</v>
      </c>
      <c r="J126" t="s">
        <v>4</v>
      </c>
      <c r="K126" t="s">
        <v>4</v>
      </c>
      <c r="L126" s="23">
        <v>200</v>
      </c>
      <c r="M126">
        <v>1</v>
      </c>
      <c r="N126" t="s">
        <v>12</v>
      </c>
      <c r="O126" t="s">
        <v>4</v>
      </c>
      <c r="P126" t="s">
        <v>12</v>
      </c>
      <c r="Q126" t="s">
        <v>4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12</v>
      </c>
      <c r="Z126" t="s">
        <v>4</v>
      </c>
      <c r="AA126" t="s">
        <v>12</v>
      </c>
      <c r="AB126" t="s">
        <v>294</v>
      </c>
      <c r="AC126" t="s">
        <v>5814</v>
      </c>
      <c r="AD126" t="s">
        <v>4771</v>
      </c>
      <c r="AE126" t="s">
        <v>29</v>
      </c>
      <c r="AF126" t="s">
        <v>4</v>
      </c>
      <c r="AG126" t="s">
        <v>4</v>
      </c>
      <c r="AH126" t="s">
        <v>5815</v>
      </c>
      <c r="AI126" t="s">
        <v>2020</v>
      </c>
      <c r="AJ126" t="s">
        <v>4</v>
      </c>
      <c r="AK126">
        <v>9331376895</v>
      </c>
      <c r="AL126" t="s">
        <v>5816</v>
      </c>
      <c r="AM126" t="s">
        <v>5817</v>
      </c>
      <c r="AN126" t="s">
        <v>12</v>
      </c>
      <c r="AO126" t="s">
        <v>4</v>
      </c>
      <c r="AP126" t="s">
        <v>4</v>
      </c>
      <c r="AQ126" t="s">
        <v>658</v>
      </c>
      <c r="AR126" t="s">
        <v>12</v>
      </c>
      <c r="AS126" t="s">
        <v>12</v>
      </c>
      <c r="AT126" t="s">
        <v>4</v>
      </c>
      <c r="AU126" t="s">
        <v>4</v>
      </c>
      <c r="AV126" t="s">
        <v>4</v>
      </c>
      <c r="AW126" t="s">
        <v>305</v>
      </c>
      <c r="AX126" s="22">
        <v>7600</v>
      </c>
      <c r="AY126" s="22">
        <v>5300</v>
      </c>
      <c r="AZ126" t="s">
        <v>12</v>
      </c>
      <c r="BA126" t="s">
        <v>12</v>
      </c>
      <c r="BB126" t="s">
        <v>773</v>
      </c>
      <c r="BC126" t="s">
        <v>5553</v>
      </c>
      <c r="BD126" t="s">
        <v>5802</v>
      </c>
      <c r="BE126" t="s">
        <v>4</v>
      </c>
      <c r="BF126" t="s">
        <v>12</v>
      </c>
      <c r="BG126" t="s">
        <v>4</v>
      </c>
      <c r="BH126" t="s">
        <v>12</v>
      </c>
      <c r="BI126" t="s">
        <v>12</v>
      </c>
      <c r="BJ126" t="s">
        <v>2020</v>
      </c>
      <c r="BK126" t="s">
        <v>4</v>
      </c>
      <c r="BL126">
        <v>1</v>
      </c>
      <c r="BM126" t="s">
        <v>12</v>
      </c>
      <c r="BN126" s="22">
        <v>12900</v>
      </c>
      <c r="BO126" t="s">
        <v>12</v>
      </c>
      <c r="BP126" t="s">
        <v>12</v>
      </c>
      <c r="BQ126" t="s">
        <v>12</v>
      </c>
      <c r="BR126" t="s">
        <v>4</v>
      </c>
      <c r="BS126" t="s">
        <v>4</v>
      </c>
      <c r="BT126" t="s">
        <v>4</v>
      </c>
      <c r="BU126" t="s">
        <v>12</v>
      </c>
      <c r="BV126" t="s">
        <v>4</v>
      </c>
      <c r="BW126" t="s">
        <v>3</v>
      </c>
      <c r="BX126" t="s">
        <v>4</v>
      </c>
      <c r="BY126" t="s">
        <v>12</v>
      </c>
      <c r="BZ126" t="s">
        <v>12</v>
      </c>
      <c r="CA126" t="s">
        <v>12</v>
      </c>
      <c r="CB126" t="s">
        <v>1074</v>
      </c>
      <c r="CC126" t="s">
        <v>12</v>
      </c>
      <c r="CD126" t="str" cm="1">
        <f t="array" aca="1" ref="CD126" ca="1">eConcatenar(A126:CB126,"|")</f>
        <v>om3M7DkF3G2DF862|PAR2018-0721|3|ECONOLINE |TABASCO |PARAISO |PARAISO |2018-5-19|12900|X|X|200|1|x|X|x|X|X|X|X|X|X|X|X|x|X|x|ARIAS|ALAYON |ROSA MARIA |CASADA|X|X|CARRETERA PARAISO COMALCALCO |MOCTEZUMA SEGUNDA SECCION |X|9331376895|MARGARITO HERNANDEZ MEDINA |BENEFICIARIO 2: RAFAEL ARIAS ALAYON |x|X|X|MIERCOLES|x|x|X|X|X|DOMICILIO |7600|5300|x|x|RETRASO 2|2021-9-07|2021-9-29|X|x|X|x|x|MOCTEZUMA SEGUNDA SECCION |X|1|x|12900|x|x|x|X|X|X|x|X|CARDENAS|X|x|x|x|final</v>
      </c>
    </row>
    <row r="127" spans="1:82" x14ac:dyDescent="0.25">
      <c r="A127" t="s">
        <v>5818</v>
      </c>
      <c r="B127" t="s">
        <v>5819</v>
      </c>
      <c r="C127">
        <v>3</v>
      </c>
      <c r="D127" t="s">
        <v>425</v>
      </c>
      <c r="E127" t="s">
        <v>361</v>
      </c>
      <c r="F127" t="s">
        <v>4776</v>
      </c>
      <c r="G127" t="s">
        <v>4776</v>
      </c>
      <c r="H127" t="s">
        <v>5820</v>
      </c>
      <c r="I127" s="24">
        <v>12900</v>
      </c>
      <c r="J127" t="s">
        <v>4</v>
      </c>
      <c r="K127" t="s">
        <v>4</v>
      </c>
      <c r="L127" s="23">
        <v>200</v>
      </c>
      <c r="M127">
        <v>1</v>
      </c>
      <c r="N127" t="s">
        <v>12</v>
      </c>
      <c r="O127" t="s">
        <v>4</v>
      </c>
      <c r="P127" t="s">
        <v>12</v>
      </c>
      <c r="Q127" t="s">
        <v>4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12</v>
      </c>
      <c r="Z127" t="s">
        <v>4</v>
      </c>
      <c r="AA127" t="s">
        <v>12</v>
      </c>
      <c r="AB127" t="s">
        <v>743</v>
      </c>
      <c r="AC127" t="s">
        <v>4755</v>
      </c>
      <c r="AD127" t="s">
        <v>5821</v>
      </c>
      <c r="AE127" t="s">
        <v>134</v>
      </c>
      <c r="AF127" t="s">
        <v>4</v>
      </c>
      <c r="AG127" t="s">
        <v>4</v>
      </c>
      <c r="AH127" t="s">
        <v>5822</v>
      </c>
      <c r="AI127" t="s">
        <v>39</v>
      </c>
      <c r="AJ127" t="s">
        <v>4</v>
      </c>
      <c r="AK127">
        <v>9331667739</v>
      </c>
      <c r="AL127" t="s">
        <v>5823</v>
      </c>
      <c r="AM127" t="s">
        <v>5824</v>
      </c>
      <c r="AN127" t="s">
        <v>12</v>
      </c>
      <c r="AO127" t="s">
        <v>4</v>
      </c>
      <c r="AP127" t="s">
        <v>4</v>
      </c>
      <c r="AQ127" t="s">
        <v>658</v>
      </c>
      <c r="AR127" t="s">
        <v>12</v>
      </c>
      <c r="AS127" t="s">
        <v>12</v>
      </c>
      <c r="AT127" t="s">
        <v>4</v>
      </c>
      <c r="AU127" t="s">
        <v>4</v>
      </c>
      <c r="AV127" t="s">
        <v>4</v>
      </c>
      <c r="AW127" t="s">
        <v>305</v>
      </c>
      <c r="AX127" s="22">
        <v>7000</v>
      </c>
      <c r="AY127" s="22">
        <v>5900</v>
      </c>
      <c r="AZ127" t="s">
        <v>12</v>
      </c>
      <c r="BA127" t="s">
        <v>12</v>
      </c>
      <c r="BB127" t="s">
        <v>4</v>
      </c>
      <c r="BC127" t="s">
        <v>1136</v>
      </c>
      <c r="BD127" t="s">
        <v>5802</v>
      </c>
      <c r="BE127" t="s">
        <v>4</v>
      </c>
      <c r="BF127" t="s">
        <v>12</v>
      </c>
      <c r="BG127" t="s">
        <v>4</v>
      </c>
      <c r="BH127" t="s">
        <v>12</v>
      </c>
      <c r="BI127" t="s">
        <v>12</v>
      </c>
      <c r="BJ127" t="s">
        <v>39</v>
      </c>
      <c r="BK127" t="s">
        <v>4</v>
      </c>
      <c r="BL127">
        <v>1</v>
      </c>
      <c r="BM127" t="s">
        <v>12</v>
      </c>
      <c r="BN127" s="22">
        <v>12900</v>
      </c>
      <c r="BO127" t="s">
        <v>12</v>
      </c>
      <c r="BP127" t="s">
        <v>12</v>
      </c>
      <c r="BQ127" t="s">
        <v>12</v>
      </c>
      <c r="BR127" t="s">
        <v>4</v>
      </c>
      <c r="BS127" t="s">
        <v>4</v>
      </c>
      <c r="BT127" t="s">
        <v>4</v>
      </c>
      <c r="BU127" t="s">
        <v>12</v>
      </c>
      <c r="BV127" t="s">
        <v>4</v>
      </c>
      <c r="BW127" t="s">
        <v>3</v>
      </c>
      <c r="BX127" t="s">
        <v>4</v>
      </c>
      <c r="BY127" t="s">
        <v>12</v>
      </c>
      <c r="BZ127" t="s">
        <v>12</v>
      </c>
      <c r="CA127" t="s">
        <v>12</v>
      </c>
      <c r="CB127" t="s">
        <v>1074</v>
      </c>
      <c r="CC127" t="s">
        <v>12</v>
      </c>
      <c r="CD127" t="str" cm="1">
        <f t="array" aca="1" ref="CD127" ca="1">eConcatenar(A127:CB127,"|")</f>
        <v>9gkwCPmMTE5PZBPn|PAR2019-2873|3|ECONOLINE |TABASCO |PARAISO |PARAISO |2019-10-22|12900|X|X|200|1|x|X|x|X|X|X|X|X|X|X|X|x|X|x|GONZALEZ |HERRERA |ESPERANZA |VIUDA|X|X|CALLE MIGUEL HIDALGO NUMERO 511|CENTRO |X|9331667739|ANA ROSA PEREZ GONZALEZ|BENEFICIARIO 2: JAIRO TADEO GONZALEZ HERRERA |x|X|X|MIERCOLES|x|x|X|X|X|DOMICILIO |7000|5900|x|x|X|2021-9-16|2021-9-29|X|x|X|x|x|CENTRO |X|1|x|12900|x|x|x|X|X|X|x|X|CARDENAS|X|x|x|x|final</v>
      </c>
    </row>
    <row r="128" spans="1:82" x14ac:dyDescent="0.25">
      <c r="A128" t="s">
        <v>5825</v>
      </c>
      <c r="B128" t="s">
        <v>5826</v>
      </c>
      <c r="C128">
        <v>3</v>
      </c>
      <c r="D128" t="s">
        <v>4743</v>
      </c>
      <c r="E128" t="s">
        <v>361</v>
      </c>
      <c r="F128" t="s">
        <v>4776</v>
      </c>
      <c r="G128" t="s">
        <v>4776</v>
      </c>
      <c r="H128" t="s">
        <v>5081</v>
      </c>
      <c r="I128" s="24">
        <v>12900</v>
      </c>
      <c r="J128" t="s">
        <v>4</v>
      </c>
      <c r="K128" t="s">
        <v>4</v>
      </c>
      <c r="L128" s="23">
        <v>200</v>
      </c>
      <c r="M128">
        <v>1</v>
      </c>
      <c r="N128" t="s">
        <v>12</v>
      </c>
      <c r="O128" t="s">
        <v>4</v>
      </c>
      <c r="P128" t="s">
        <v>12</v>
      </c>
      <c r="Q128" t="s">
        <v>4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12</v>
      </c>
      <c r="Z128" t="s">
        <v>4</v>
      </c>
      <c r="AA128" t="s">
        <v>12</v>
      </c>
      <c r="AB128" t="s">
        <v>4762</v>
      </c>
      <c r="AC128" t="s">
        <v>5814</v>
      </c>
      <c r="AD128" t="s">
        <v>5827</v>
      </c>
      <c r="AE128" t="s">
        <v>59</v>
      </c>
      <c r="AF128" t="s">
        <v>4</v>
      </c>
      <c r="AG128" t="s">
        <v>4</v>
      </c>
      <c r="AH128" t="s">
        <v>5828</v>
      </c>
      <c r="AI128" t="s">
        <v>2020</v>
      </c>
      <c r="AJ128" t="s">
        <v>4</v>
      </c>
      <c r="AK128">
        <v>9331369145</v>
      </c>
      <c r="AL128" t="s">
        <v>5829</v>
      </c>
      <c r="AM128" t="s">
        <v>5830</v>
      </c>
      <c r="AN128" t="s">
        <v>12</v>
      </c>
      <c r="AO128" t="s">
        <v>4</v>
      </c>
      <c r="AP128" t="s">
        <v>4</v>
      </c>
      <c r="AQ128" t="s">
        <v>658</v>
      </c>
      <c r="AR128" t="s">
        <v>12</v>
      </c>
      <c r="AS128" t="s">
        <v>12</v>
      </c>
      <c r="AT128" t="s">
        <v>4</v>
      </c>
      <c r="AU128" t="s">
        <v>4</v>
      </c>
      <c r="AV128" t="s">
        <v>4</v>
      </c>
      <c r="AW128" t="s">
        <v>305</v>
      </c>
      <c r="AX128" s="22">
        <v>2000</v>
      </c>
      <c r="AY128" s="22">
        <v>10900</v>
      </c>
      <c r="AZ128" t="s">
        <v>12</v>
      </c>
      <c r="BA128" t="s">
        <v>12</v>
      </c>
      <c r="BB128" t="s">
        <v>5831</v>
      </c>
      <c r="BC128" t="s">
        <v>1136</v>
      </c>
      <c r="BD128" t="s">
        <v>5802</v>
      </c>
      <c r="BE128" t="s">
        <v>4</v>
      </c>
      <c r="BF128" t="s">
        <v>12</v>
      </c>
      <c r="BG128" t="s">
        <v>4</v>
      </c>
      <c r="BH128" t="s">
        <v>12</v>
      </c>
      <c r="BI128" t="s">
        <v>12</v>
      </c>
      <c r="BJ128" t="s">
        <v>5776</v>
      </c>
      <c r="BK128" t="s">
        <v>4</v>
      </c>
      <c r="BL128">
        <v>0</v>
      </c>
      <c r="BM128" t="s">
        <v>12</v>
      </c>
      <c r="BN128" s="22">
        <v>12900</v>
      </c>
      <c r="BO128" t="s">
        <v>12</v>
      </c>
      <c r="BP128" t="s">
        <v>12</v>
      </c>
      <c r="BQ128" t="s">
        <v>12</v>
      </c>
      <c r="BR128" t="s">
        <v>4</v>
      </c>
      <c r="BS128" t="s">
        <v>4</v>
      </c>
      <c r="BT128" t="s">
        <v>4</v>
      </c>
      <c r="BU128" t="s">
        <v>12</v>
      </c>
      <c r="BV128" t="s">
        <v>4</v>
      </c>
      <c r="BW128" t="s">
        <v>3</v>
      </c>
      <c r="BX128" t="s">
        <v>4</v>
      </c>
      <c r="BY128" t="s">
        <v>12</v>
      </c>
      <c r="BZ128" t="s">
        <v>12</v>
      </c>
      <c r="CA128" t="s">
        <v>12</v>
      </c>
      <c r="CB128" t="s">
        <v>1074</v>
      </c>
      <c r="CC128" t="s">
        <v>12</v>
      </c>
      <c r="CD128" t="str" cm="1">
        <f t="array" aca="1" ref="CD128" ca="1">eConcatenar(A128:CB128,"|")</f>
        <v>n4iumfqmhayROPlL|PAR2021-0319|3|IMPERIAL DE LUJO |TABASCO |PARAISO |PARAISO |2021-1-28|12900|X|X|200|1|x|X|x|X|X|X|X|X|X|X|X|x|X|x|MADRIGAL |ALAYON |ISAAC|CASADO|X|X|ENTRADA DE LA PALAPA |MOCTEZUMA SEGUNDA SECCION |X|9331369145|ADRIANA PEREZ JIMENEZ |BENEFICIARIO 2: CLAUDIA GUADALUPE MADRIGAL CHABLE |x|X|X|MIERCOLES|x|x|X|X|X|DOMICILIO |2000|10900|x|x|RETRASO 3|2021-9-16|2021-9-29|X|x|X|x|x|MOCTEZUMA SEGUNDA |X|0|x|12900|x|x|x|X|X|X|x|X|CARDENAS|X|x|x|x|final</v>
      </c>
    </row>
    <row r="129" spans="1:82" x14ac:dyDescent="0.25">
      <c r="A129" t="s">
        <v>5832</v>
      </c>
      <c r="B129" t="s">
        <v>5833</v>
      </c>
      <c r="C129">
        <v>3</v>
      </c>
      <c r="D129" t="s">
        <v>5834</v>
      </c>
      <c r="E129" t="s">
        <v>361</v>
      </c>
      <c r="F129" t="s">
        <v>4776</v>
      </c>
      <c r="G129" t="s">
        <v>4776</v>
      </c>
      <c r="H129" t="s">
        <v>1100</v>
      </c>
      <c r="I129" s="24">
        <v>46000</v>
      </c>
      <c r="J129" t="s">
        <v>4</v>
      </c>
      <c r="K129" t="s">
        <v>4</v>
      </c>
      <c r="L129" s="23">
        <v>500</v>
      </c>
      <c r="M129">
        <v>1</v>
      </c>
      <c r="N129" t="s">
        <v>12</v>
      </c>
      <c r="O129" t="s">
        <v>4</v>
      </c>
      <c r="P129" t="s">
        <v>12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12</v>
      </c>
      <c r="Z129" t="s">
        <v>4</v>
      </c>
      <c r="AA129" t="s">
        <v>12</v>
      </c>
      <c r="AB129" t="s">
        <v>5835</v>
      </c>
      <c r="AC129" t="s">
        <v>5836</v>
      </c>
      <c r="AD129" t="s">
        <v>5837</v>
      </c>
      <c r="AE129" t="s">
        <v>48</v>
      </c>
      <c r="AF129" t="s">
        <v>4</v>
      </c>
      <c r="AG129" t="s">
        <v>4</v>
      </c>
      <c r="AH129" t="s">
        <v>5838</v>
      </c>
      <c r="AI129" t="s">
        <v>5839</v>
      </c>
      <c r="AJ129" t="s">
        <v>4</v>
      </c>
      <c r="AK129">
        <v>9331192896</v>
      </c>
      <c r="AL129" t="s">
        <v>5840</v>
      </c>
      <c r="AM129" t="s">
        <v>5841</v>
      </c>
      <c r="AN129" t="s">
        <v>12</v>
      </c>
      <c r="AO129" t="s">
        <v>4</v>
      </c>
      <c r="AP129" t="s">
        <v>4</v>
      </c>
      <c r="AQ129" t="s">
        <v>658</v>
      </c>
      <c r="AR129" t="s">
        <v>12</v>
      </c>
      <c r="AS129" t="s">
        <v>12</v>
      </c>
      <c r="AT129" t="s">
        <v>4</v>
      </c>
      <c r="AU129" t="s">
        <v>4</v>
      </c>
      <c r="AV129" t="s">
        <v>4</v>
      </c>
      <c r="AW129" t="s">
        <v>305</v>
      </c>
      <c r="AX129" s="22">
        <v>3000</v>
      </c>
      <c r="AY129" s="22">
        <v>43000</v>
      </c>
      <c r="AZ129" t="s">
        <v>12</v>
      </c>
      <c r="BA129" t="s">
        <v>12</v>
      </c>
      <c r="BB129" t="s">
        <v>5143</v>
      </c>
      <c r="BC129" t="s">
        <v>1136</v>
      </c>
      <c r="BD129" t="s">
        <v>5802</v>
      </c>
      <c r="BE129" t="s">
        <v>4</v>
      </c>
      <c r="BF129" t="s">
        <v>12</v>
      </c>
      <c r="BG129" t="s">
        <v>4</v>
      </c>
      <c r="BH129" t="s">
        <v>12</v>
      </c>
      <c r="BI129" t="s">
        <v>12</v>
      </c>
      <c r="BJ129" t="s">
        <v>5842</v>
      </c>
      <c r="BK129" t="s">
        <v>4</v>
      </c>
      <c r="BL129">
        <v>1</v>
      </c>
      <c r="BM129" t="s">
        <v>12</v>
      </c>
      <c r="BN129" s="22">
        <v>46000</v>
      </c>
      <c r="BO129" t="s">
        <v>12</v>
      </c>
      <c r="BP129" t="s">
        <v>12</v>
      </c>
      <c r="BQ129" t="s">
        <v>12</v>
      </c>
      <c r="BR129" t="s">
        <v>4</v>
      </c>
      <c r="BS129" t="s">
        <v>4</v>
      </c>
      <c r="BT129" t="s">
        <v>4</v>
      </c>
      <c r="BU129" t="s">
        <v>12</v>
      </c>
      <c r="BV129" t="s">
        <v>4</v>
      </c>
      <c r="BW129" t="s">
        <v>3</v>
      </c>
      <c r="BX129" t="s">
        <v>4</v>
      </c>
      <c r="BY129" t="s">
        <v>12</v>
      </c>
      <c r="BZ129" t="s">
        <v>12</v>
      </c>
      <c r="CA129" t="s">
        <v>12</v>
      </c>
      <c r="CB129" t="s">
        <v>1074</v>
      </c>
      <c r="CC129" t="s">
        <v>12</v>
      </c>
      <c r="CD129" t="str" cm="1">
        <f t="array" aca="1" ref="CD129" ca="1">eConcatenar(A129:CB129,"|")</f>
        <v>1fswvs2teh9foeke|PAR2021-2137|3|ESPECIAL ANGEL |TABASCO |PARAISO |PARAISO |2021-6-21|46000|X|X|500|1|x|X|x|X|X|X|X|X|X|X|X|x|X|x|BENITEZ|WINTER|ADRIANA |SOLTERA|X|X|ARQUITECTO MANUEL SUAREZ HERRERA NUMERO 10 |CARLO A MADRAZO |X|9331192896|ALEJANDRA ZARAHEMLA SANTOS BENITEZ |BENEFICIARIO 2: HEYSELL GISELLE SANTOS BENITEZ|x|X|X|MIERCOLES|x|x|X|X|X|DOMICILIO |3000|43000|x|x|RETRASO 1|2021-9-16|2021-9-29|X|x|X|x|x|CARLOS A MADRAZO |X|1|x|46000|x|x|x|X|X|X|x|X|CARDENAS|X|x|x|x|final</v>
      </c>
    </row>
    <row r="130" spans="1:82" x14ac:dyDescent="0.25">
      <c r="A130" t="s">
        <v>5843</v>
      </c>
      <c r="B130" t="s">
        <v>5844</v>
      </c>
      <c r="C130">
        <v>3</v>
      </c>
      <c r="D130" t="s">
        <v>194</v>
      </c>
      <c r="E130" t="s">
        <v>2</v>
      </c>
      <c r="F130" t="s">
        <v>654</v>
      </c>
      <c r="G130" t="s">
        <v>654</v>
      </c>
      <c r="H130" t="s">
        <v>5845</v>
      </c>
      <c r="I130">
        <v>12900</v>
      </c>
      <c r="J130" t="s">
        <v>4</v>
      </c>
      <c r="K130" t="s">
        <v>4</v>
      </c>
      <c r="L130">
        <v>200</v>
      </c>
      <c r="M130">
        <v>1</v>
      </c>
      <c r="N130" t="s">
        <v>12</v>
      </c>
      <c r="O130" t="s">
        <v>4</v>
      </c>
      <c r="P130" t="s">
        <v>12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12</v>
      </c>
      <c r="Z130" t="s">
        <v>4</v>
      </c>
      <c r="AA130" t="s">
        <v>12</v>
      </c>
      <c r="AB130" t="s">
        <v>109</v>
      </c>
      <c r="AC130" t="s">
        <v>678</v>
      </c>
      <c r="AD130" t="s">
        <v>163</v>
      </c>
      <c r="AE130" t="s">
        <v>48</v>
      </c>
      <c r="AF130" s="1" t="s">
        <v>4</v>
      </c>
      <c r="AG130" t="s">
        <v>4</v>
      </c>
      <c r="AH130" t="s">
        <v>5846</v>
      </c>
      <c r="AI130" t="s">
        <v>577</v>
      </c>
      <c r="AJ130" t="s">
        <v>4</v>
      </c>
      <c r="AK130">
        <v>9331363557</v>
      </c>
      <c r="AL130" t="s">
        <v>5847</v>
      </c>
      <c r="AM130" t="s">
        <v>5848</v>
      </c>
      <c r="AN130" t="s">
        <v>12</v>
      </c>
      <c r="AO130" t="s">
        <v>4</v>
      </c>
      <c r="AP130" t="s">
        <v>4</v>
      </c>
      <c r="AQ130" t="s">
        <v>658</v>
      </c>
      <c r="AR130" t="s">
        <v>12</v>
      </c>
      <c r="AS130" t="s">
        <v>12</v>
      </c>
      <c r="AT130" t="s">
        <v>4</v>
      </c>
      <c r="AU130" t="s">
        <v>4</v>
      </c>
      <c r="AV130" t="s">
        <v>4</v>
      </c>
      <c r="AW130" t="s">
        <v>11</v>
      </c>
      <c r="AX130">
        <v>8000</v>
      </c>
      <c r="AY130">
        <v>4900</v>
      </c>
      <c r="AZ130" t="s">
        <v>12</v>
      </c>
      <c r="BA130" t="s">
        <v>12</v>
      </c>
      <c r="BB130" t="s">
        <v>4</v>
      </c>
      <c r="BC130" t="s">
        <v>1135</v>
      </c>
      <c r="BD130" t="s">
        <v>5802</v>
      </c>
      <c r="BE130" s="1" t="s">
        <v>4</v>
      </c>
      <c r="BF130" t="s">
        <v>12</v>
      </c>
      <c r="BG130" t="s">
        <v>4</v>
      </c>
      <c r="BH130" t="s">
        <v>12</v>
      </c>
      <c r="BI130" t="s">
        <v>12</v>
      </c>
      <c r="BJ130" t="s">
        <v>577</v>
      </c>
      <c r="BK130" t="s">
        <v>4</v>
      </c>
      <c r="BL130">
        <v>1</v>
      </c>
      <c r="BM130" s="2" t="s">
        <v>12</v>
      </c>
      <c r="BN130">
        <v>12900</v>
      </c>
      <c r="BO130" t="s">
        <v>12</v>
      </c>
      <c r="BP130" t="s">
        <v>12</v>
      </c>
      <c r="BQ130" t="s">
        <v>12</v>
      </c>
      <c r="BR130" t="s">
        <v>4</v>
      </c>
      <c r="BS130" t="s">
        <v>4</v>
      </c>
      <c r="BT130" t="s">
        <v>4</v>
      </c>
      <c r="BU130" t="s">
        <v>12</v>
      </c>
      <c r="BV130" t="s">
        <v>4</v>
      </c>
      <c r="BW130" t="s">
        <v>3</v>
      </c>
      <c r="BX130" t="s">
        <v>4</v>
      </c>
      <c r="BY130" t="s">
        <v>12</v>
      </c>
      <c r="BZ130" t="s">
        <v>12</v>
      </c>
      <c r="CA130" t="s">
        <v>12</v>
      </c>
      <c r="CB130" t="s">
        <v>1074</v>
      </c>
      <c r="CC130" t="s">
        <v>12</v>
      </c>
      <c r="CD130" t="str" cm="1">
        <f t="array" aca="1" ref="CD130" ca="1">eConcatenar(A130:CB130,"|")</f>
        <v>WIcPzsWf2RSWpVjB|PAR2019-3042|3|ECONOLINE|TABASCO|PARAISO|PARAISO|2019-11-04|12900|X|X|200|1|x|X|x|X|X|X|X|X|X|X|X|x|X|x|PEREZ|AVALOS|MARTHA ELENA|SOLTERA|X|X|ENTRADA LAS PALMAS SIN NUMERO|QUINTIN ARAUZ|X|9331363557|ALMA LUZ PEREZ AVALOS|BENEFICIARIO 2: PETRONILO HERNANDEZ GARCIA|x|X|X|MIERCOLES|x|x|X|X|X|DOMICILIO|8000|4900|x|x|X|2021-9-15|2021-9-29|X|x|X|x|x|QUINTIN ARAUZ|X|1|x|12900|x|x|x|X|X|X|x|X|CARDENAS|X|x|x|x|final</v>
      </c>
    </row>
    <row r="131" spans="1:82" x14ac:dyDescent="0.25">
      <c r="A131" t="s">
        <v>5849</v>
      </c>
      <c r="B131" t="s">
        <v>5850</v>
      </c>
      <c r="C131">
        <v>3</v>
      </c>
      <c r="D131" t="s">
        <v>194</v>
      </c>
      <c r="E131" t="s">
        <v>2</v>
      </c>
      <c r="F131" t="s">
        <v>654</v>
      </c>
      <c r="G131" t="s">
        <v>654</v>
      </c>
      <c r="H131" t="s">
        <v>5210</v>
      </c>
      <c r="I131">
        <v>12900</v>
      </c>
      <c r="J131" t="s">
        <v>4</v>
      </c>
      <c r="K131" t="s">
        <v>4</v>
      </c>
      <c r="L131">
        <v>200</v>
      </c>
      <c r="M131">
        <v>1</v>
      </c>
      <c r="N131" t="s">
        <v>12</v>
      </c>
      <c r="O131" t="s">
        <v>4</v>
      </c>
      <c r="P131" t="s">
        <v>12</v>
      </c>
      <c r="Q131" t="s">
        <v>4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12</v>
      </c>
      <c r="Z131" t="s">
        <v>4</v>
      </c>
      <c r="AA131" t="s">
        <v>12</v>
      </c>
      <c r="AB131" t="s">
        <v>265</v>
      </c>
      <c r="AC131" t="s">
        <v>238</v>
      </c>
      <c r="AD131" t="s">
        <v>5851</v>
      </c>
      <c r="AE131" t="s">
        <v>24</v>
      </c>
      <c r="AF131" t="s">
        <v>4</v>
      </c>
      <c r="AG131" t="s">
        <v>4</v>
      </c>
      <c r="AH131" t="s">
        <v>5852</v>
      </c>
      <c r="AI131" t="s">
        <v>1956</v>
      </c>
      <c r="AJ131" t="s">
        <v>4</v>
      </c>
      <c r="AK131">
        <v>9331234737</v>
      </c>
      <c r="AL131" t="s">
        <v>5853</v>
      </c>
      <c r="AM131" t="s">
        <v>5854</v>
      </c>
      <c r="AN131" t="s">
        <v>12</v>
      </c>
      <c r="AO131" t="s">
        <v>4</v>
      </c>
      <c r="AP131" t="s">
        <v>4</v>
      </c>
      <c r="AQ131" t="s">
        <v>658</v>
      </c>
      <c r="AR131" t="s">
        <v>12</v>
      </c>
      <c r="AS131" t="s">
        <v>12</v>
      </c>
      <c r="AT131" t="s">
        <v>4</v>
      </c>
      <c r="AU131" t="s">
        <v>4</v>
      </c>
      <c r="AV131" t="s">
        <v>4</v>
      </c>
      <c r="AW131" t="s">
        <v>11</v>
      </c>
      <c r="AX131">
        <v>9300</v>
      </c>
      <c r="AY131">
        <v>3600</v>
      </c>
      <c r="AZ131" t="s">
        <v>12</v>
      </c>
      <c r="BA131" t="s">
        <v>12</v>
      </c>
      <c r="BB131" t="s">
        <v>4</v>
      </c>
      <c r="BC131" t="s">
        <v>1135</v>
      </c>
      <c r="BD131" t="s">
        <v>5802</v>
      </c>
      <c r="BE131" t="s">
        <v>4</v>
      </c>
      <c r="BF131" t="s">
        <v>12</v>
      </c>
      <c r="BG131" t="s">
        <v>4</v>
      </c>
      <c r="BH131" t="s">
        <v>12</v>
      </c>
      <c r="BI131" t="s">
        <v>12</v>
      </c>
      <c r="BJ131" t="s">
        <v>1956</v>
      </c>
      <c r="BK131" t="s">
        <v>4</v>
      </c>
      <c r="BL131">
        <v>1</v>
      </c>
      <c r="BM131" t="s">
        <v>12</v>
      </c>
      <c r="BN131">
        <v>12900</v>
      </c>
      <c r="BO131" t="s">
        <v>12</v>
      </c>
      <c r="BP131" t="s">
        <v>12</v>
      </c>
      <c r="BQ131" t="s">
        <v>12</v>
      </c>
      <c r="BR131" t="s">
        <v>4</v>
      </c>
      <c r="BS131" t="s">
        <v>4</v>
      </c>
      <c r="BT131" t="s">
        <v>4</v>
      </c>
      <c r="BU131" t="s">
        <v>12</v>
      </c>
      <c r="BV131" t="s">
        <v>4</v>
      </c>
      <c r="BW131" t="s">
        <v>3</v>
      </c>
      <c r="BX131" t="s">
        <v>4</v>
      </c>
      <c r="BY131" t="s">
        <v>12</v>
      </c>
      <c r="BZ131" t="s">
        <v>12</v>
      </c>
      <c r="CA131" t="s">
        <v>12</v>
      </c>
      <c r="CB131" t="s">
        <v>1074</v>
      </c>
      <c r="CC131" t="s">
        <v>12</v>
      </c>
      <c r="CD131" t="str" cm="1">
        <f t="array" aca="1" ref="CD131" ca="1">eConcatenar(A131:CB131,"|")</f>
        <v>91rp6ydXjAB1uKxl|PAR2019-0518|3|ECONOLINE|TABASCO|PARAISO|PARAISO|2019-3-02|12900|X|X|200|1|x|X|x|X|X|X|X|X|X|X|X|x|X|x|DOMINGUEZ|JUAREZ|LUZ DEL ALBA|UNION LIBRE|X|X|LOS MANGOS NUMERO 406|LOS MANGOS|X|9331234737|MUSIO HABRAAN HUERTAS MARTINEZ|BENEFICIARIO 2: KARINA KRISTHEL LISARRAGA DOMINGUEZ|x|X|X|MIERCOLES|x|x|X|X|X|DOMICILIO|9300|3600|x|x|X|2021-9-15|2021-9-29|X|x|X|x|x|LOS MANGOS|X|1|x|12900|x|x|x|X|X|X|x|X|CARDENAS|X|x|x|x|final</v>
      </c>
    </row>
    <row r="132" spans="1:82" x14ac:dyDescent="0.25">
      <c r="A132" t="s">
        <v>5855</v>
      </c>
      <c r="B132" t="s">
        <v>5856</v>
      </c>
      <c r="C132">
        <v>3</v>
      </c>
      <c r="D132" t="s">
        <v>14</v>
      </c>
      <c r="E132" t="s">
        <v>2</v>
      </c>
      <c r="F132" t="s">
        <v>654</v>
      </c>
      <c r="G132" t="s">
        <v>654</v>
      </c>
      <c r="H132" t="s">
        <v>5857</v>
      </c>
      <c r="I132">
        <v>19800</v>
      </c>
      <c r="J132" t="s">
        <v>4</v>
      </c>
      <c r="K132" t="s">
        <v>4</v>
      </c>
      <c r="L132">
        <v>200</v>
      </c>
      <c r="M132">
        <v>1</v>
      </c>
      <c r="N132" t="s">
        <v>12</v>
      </c>
      <c r="O132" t="s">
        <v>4</v>
      </c>
      <c r="P132" t="s">
        <v>12</v>
      </c>
      <c r="Q132" t="s">
        <v>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12</v>
      </c>
      <c r="Z132" t="s">
        <v>4</v>
      </c>
      <c r="AA132" t="s">
        <v>12</v>
      </c>
      <c r="AB132" t="s">
        <v>116</v>
      </c>
      <c r="AC132" t="s">
        <v>80</v>
      </c>
      <c r="AD132" t="s">
        <v>5462</v>
      </c>
      <c r="AE132" t="s">
        <v>29</v>
      </c>
      <c r="AF132" t="s">
        <v>4</v>
      </c>
      <c r="AG132" t="s">
        <v>4</v>
      </c>
      <c r="AH132" t="s">
        <v>5858</v>
      </c>
      <c r="AI132" t="s">
        <v>5026</v>
      </c>
      <c r="AJ132" t="s">
        <v>4</v>
      </c>
      <c r="AK132">
        <v>9331349972</v>
      </c>
      <c r="AL132" t="s">
        <v>5859</v>
      </c>
      <c r="AM132" t="s">
        <v>5860</v>
      </c>
      <c r="AN132" t="s">
        <v>12</v>
      </c>
      <c r="AO132" t="s">
        <v>4</v>
      </c>
      <c r="AP132" t="s">
        <v>4</v>
      </c>
      <c r="AQ132" t="s">
        <v>658</v>
      </c>
      <c r="AR132" t="s">
        <v>12</v>
      </c>
      <c r="AS132" t="s">
        <v>12</v>
      </c>
      <c r="AT132" t="s">
        <v>4</v>
      </c>
      <c r="AU132" t="s">
        <v>4</v>
      </c>
      <c r="AV132" t="s">
        <v>4</v>
      </c>
      <c r="AW132" t="s">
        <v>11</v>
      </c>
      <c r="AX132">
        <v>11400</v>
      </c>
      <c r="AY132">
        <v>8400</v>
      </c>
      <c r="AZ132" t="s">
        <v>12</v>
      </c>
      <c r="BA132" t="s">
        <v>12</v>
      </c>
      <c r="BB132" t="s">
        <v>4</v>
      </c>
      <c r="BC132" t="s">
        <v>1135</v>
      </c>
      <c r="BD132" t="s">
        <v>5802</v>
      </c>
      <c r="BE132" t="s">
        <v>4</v>
      </c>
      <c r="BF132" t="s">
        <v>12</v>
      </c>
      <c r="BG132" t="s">
        <v>4</v>
      </c>
      <c r="BH132" t="s">
        <v>12</v>
      </c>
      <c r="BI132" t="s">
        <v>12</v>
      </c>
      <c r="BJ132" t="s">
        <v>5026</v>
      </c>
      <c r="BK132" t="s">
        <v>4</v>
      </c>
      <c r="BL132">
        <v>1</v>
      </c>
      <c r="BM132" t="s">
        <v>12</v>
      </c>
      <c r="BN132">
        <v>19800</v>
      </c>
      <c r="BO132" t="s">
        <v>12</v>
      </c>
      <c r="BP132" t="s">
        <v>12</v>
      </c>
      <c r="BQ132" t="s">
        <v>12</v>
      </c>
      <c r="BR132" t="s">
        <v>4</v>
      </c>
      <c r="BS132" t="s">
        <v>4</v>
      </c>
      <c r="BT132" t="s">
        <v>4</v>
      </c>
      <c r="BU132" t="s">
        <v>12</v>
      </c>
      <c r="BV132" t="s">
        <v>4</v>
      </c>
      <c r="BW132" t="s">
        <v>3</v>
      </c>
      <c r="BX132" t="s">
        <v>4</v>
      </c>
      <c r="BY132" t="s">
        <v>12</v>
      </c>
      <c r="BZ132" t="s">
        <v>12</v>
      </c>
      <c r="CA132" t="s">
        <v>12</v>
      </c>
      <c r="CB132" t="s">
        <v>1074</v>
      </c>
      <c r="CC132" t="s">
        <v>12</v>
      </c>
      <c r="CD132" t="str" cm="1">
        <f t="array" aca="1" ref="CD132" ca="1">eConcatenar(A132:CB132,"|")</f>
        <v>8sRuqrSfdLNZQr9U|PAR2019-0177|3|ZAFIRO|TABASCO|PARAISO|PARAISO|2019-4-23|19800|X|X|200|1|x|X|x|X|X|X|X|X|X|X|X|x|X|x|RODRIGUEZ|LOPEZ|BEATRIZ|CASADA|X|X|CALLE SIN NOMBRE MANZANA 1 LOTE 2 DEPARTAMENTO B|ORIENTE SEGUNDA SECCION|X|9331349972|YOSSER HERNANDEZ IZQUIERDO|BENEFICIARIO 2: MARIA DEL CARMEN LOPEZ LOPEZ|x|X|X|MIERCOLES|x|x|X|X|X|DOMICILIO|11400|8400|x|x|X|2021-9-15|2021-9-29|X|x|X|x|x|ORIENTE SEGUNDA SECCION|X|1|x|19800|x|x|x|X|X|X|x|X|CARDENAS|X|x|x|x|final</v>
      </c>
    </row>
    <row r="133" spans="1:82" x14ac:dyDescent="0.25">
      <c r="A133" t="s">
        <v>5861</v>
      </c>
      <c r="B133" t="s">
        <v>5862</v>
      </c>
      <c r="C133">
        <v>3</v>
      </c>
      <c r="D133" t="s">
        <v>194</v>
      </c>
      <c r="E133" t="s">
        <v>2</v>
      </c>
      <c r="F133" t="s">
        <v>654</v>
      </c>
      <c r="G133" t="s">
        <v>654</v>
      </c>
      <c r="H133" t="s">
        <v>5863</v>
      </c>
      <c r="I133">
        <v>12900</v>
      </c>
      <c r="J133" t="s">
        <v>4</v>
      </c>
      <c r="K133" t="s">
        <v>4</v>
      </c>
      <c r="L133">
        <v>200</v>
      </c>
      <c r="M133">
        <v>1</v>
      </c>
      <c r="N133" t="s">
        <v>12</v>
      </c>
      <c r="O133" t="s">
        <v>4</v>
      </c>
      <c r="P133" t="s">
        <v>12</v>
      </c>
      <c r="Q133" t="s">
        <v>4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12</v>
      </c>
      <c r="Z133" t="s">
        <v>4</v>
      </c>
      <c r="AA133" t="s">
        <v>12</v>
      </c>
      <c r="AB133" t="s">
        <v>109</v>
      </c>
      <c r="AC133" t="s">
        <v>6</v>
      </c>
      <c r="AD133" t="s">
        <v>110</v>
      </c>
      <c r="AE133" t="s">
        <v>59</v>
      </c>
      <c r="AF133" t="s">
        <v>4</v>
      </c>
      <c r="AG133" t="s">
        <v>4</v>
      </c>
      <c r="AH133" t="s">
        <v>5864</v>
      </c>
      <c r="AI133" t="s">
        <v>661</v>
      </c>
      <c r="AJ133" t="s">
        <v>4</v>
      </c>
      <c r="AK133">
        <v>9331373159</v>
      </c>
      <c r="AL133" t="s">
        <v>5865</v>
      </c>
      <c r="AM133" t="s">
        <v>5866</v>
      </c>
      <c r="AN133" t="s">
        <v>12</v>
      </c>
      <c r="AO133" t="s">
        <v>4</v>
      </c>
      <c r="AP133" t="s">
        <v>4</v>
      </c>
      <c r="AQ133" t="s">
        <v>658</v>
      </c>
      <c r="AR133" t="s">
        <v>12</v>
      </c>
      <c r="AS133" t="s">
        <v>12</v>
      </c>
      <c r="AT133" t="s">
        <v>4</v>
      </c>
      <c r="AU133" t="s">
        <v>4</v>
      </c>
      <c r="AV133" t="s">
        <v>4</v>
      </c>
      <c r="AW133" t="s">
        <v>11</v>
      </c>
      <c r="AX133">
        <v>9100</v>
      </c>
      <c r="AY133">
        <v>5800</v>
      </c>
      <c r="AZ133" t="s">
        <v>12</v>
      </c>
      <c r="BA133" t="s">
        <v>12</v>
      </c>
      <c r="BB133" t="s">
        <v>4</v>
      </c>
      <c r="BC133" t="s">
        <v>1135</v>
      </c>
      <c r="BD133" t="s">
        <v>5802</v>
      </c>
      <c r="BE133" t="s">
        <v>4</v>
      </c>
      <c r="BF133" t="s">
        <v>12</v>
      </c>
      <c r="BG133" t="s">
        <v>4</v>
      </c>
      <c r="BH133" t="s">
        <v>12</v>
      </c>
      <c r="BI133" t="s">
        <v>12</v>
      </c>
      <c r="BJ133" t="s">
        <v>661</v>
      </c>
      <c r="BK133" t="s">
        <v>4</v>
      </c>
      <c r="BL133">
        <v>0</v>
      </c>
      <c r="BM133" t="s">
        <v>12</v>
      </c>
      <c r="BN133">
        <v>12900</v>
      </c>
      <c r="BO133" t="s">
        <v>12</v>
      </c>
      <c r="BP133" t="s">
        <v>12</v>
      </c>
      <c r="BQ133" t="s">
        <v>12</v>
      </c>
      <c r="BR133" t="s">
        <v>4</v>
      </c>
      <c r="BS133" t="s">
        <v>4</v>
      </c>
      <c r="BT133" t="s">
        <v>4</v>
      </c>
      <c r="BU133" t="s">
        <v>12</v>
      </c>
      <c r="BV133" t="s">
        <v>4</v>
      </c>
      <c r="BW133" t="s">
        <v>3</v>
      </c>
      <c r="BX133" t="s">
        <v>4</v>
      </c>
      <c r="BY133" t="s">
        <v>12</v>
      </c>
      <c r="BZ133" t="s">
        <v>12</v>
      </c>
      <c r="CA133" t="s">
        <v>12</v>
      </c>
      <c r="CB133" t="s">
        <v>1074</v>
      </c>
      <c r="CC133" t="s">
        <v>12</v>
      </c>
      <c r="CD133" t="str" cm="1">
        <f t="array" aca="1" ref="CD133" ca="1">eConcatenar(A133:CB133,"|")</f>
        <v>EioJKWiUyulCYIGa|PAR2019-3739|3|ECONOLINE|TABASCO|PARAISO|PARAISO|2019-12-14|12900|X|X|200|1|x|X|x|X|X|X|X|X|X|X|X|x|X|x|PEREZ|DE LA CRUZ|ISIDRO|CASADO|X|X|CARRETERA A LAS FLORES SIN NUMERO|EL ESCRIBANO|X|9331373159|FILOMENA LIGONIO PEREZ|BENEFICIARIO 2: ANTONIA PEREZ DE LA CRUZ|x|X|X|MIERCOLES|x|x|X|X|X|DOMICILIO|9100|5800|x|x|X|2021-9-15|2021-9-29|X|x|X|x|x|EL ESCRIBANO|X|0|x|12900|x|x|x|X|X|X|x|X|CARDENAS|X|x|x|x|final</v>
      </c>
    </row>
    <row r="134" spans="1:82" x14ac:dyDescent="0.25">
      <c r="A134" t="s">
        <v>5867</v>
      </c>
      <c r="B134" t="s">
        <v>5868</v>
      </c>
      <c r="C134">
        <v>3</v>
      </c>
      <c r="D134" t="s">
        <v>194</v>
      </c>
      <c r="E134" t="s">
        <v>2</v>
      </c>
      <c r="F134" t="s">
        <v>654</v>
      </c>
      <c r="G134" t="s">
        <v>654</v>
      </c>
      <c r="H134" t="s">
        <v>5634</v>
      </c>
      <c r="I134">
        <v>12900</v>
      </c>
      <c r="J134" t="s">
        <v>4</v>
      </c>
      <c r="K134" t="s">
        <v>4</v>
      </c>
      <c r="L134">
        <v>200</v>
      </c>
      <c r="M134">
        <v>1</v>
      </c>
      <c r="N134" t="s">
        <v>12</v>
      </c>
      <c r="O134" t="s">
        <v>4</v>
      </c>
      <c r="P134" t="s">
        <v>12</v>
      </c>
      <c r="Q134" t="s">
        <v>4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12</v>
      </c>
      <c r="Z134" t="s">
        <v>4</v>
      </c>
      <c r="AA134" t="s">
        <v>12</v>
      </c>
      <c r="AB134" t="s">
        <v>764</v>
      </c>
      <c r="AC134" t="s">
        <v>109</v>
      </c>
      <c r="AD134" t="s">
        <v>81</v>
      </c>
      <c r="AE134" t="s">
        <v>59</v>
      </c>
      <c r="AF134" t="s">
        <v>4</v>
      </c>
      <c r="AG134" t="s">
        <v>4</v>
      </c>
      <c r="AH134" t="s">
        <v>5869</v>
      </c>
      <c r="AI134" t="s">
        <v>5870</v>
      </c>
      <c r="AJ134" t="s">
        <v>4</v>
      </c>
      <c r="AK134">
        <v>9331165456</v>
      </c>
      <c r="AL134" t="s">
        <v>5871</v>
      </c>
      <c r="AM134" t="s">
        <v>5872</v>
      </c>
      <c r="AN134" t="s">
        <v>12</v>
      </c>
      <c r="AO134" t="s">
        <v>4</v>
      </c>
      <c r="AP134" t="s">
        <v>4</v>
      </c>
      <c r="AQ134" t="s">
        <v>658</v>
      </c>
      <c r="AR134" t="s">
        <v>12</v>
      </c>
      <c r="AS134" t="s">
        <v>12</v>
      </c>
      <c r="AT134" t="s">
        <v>4</v>
      </c>
      <c r="AU134" t="s">
        <v>4</v>
      </c>
      <c r="AV134" t="s">
        <v>4</v>
      </c>
      <c r="AW134" t="s">
        <v>11</v>
      </c>
      <c r="AX134">
        <v>11000</v>
      </c>
      <c r="AY134">
        <v>1900</v>
      </c>
      <c r="AZ134" t="s">
        <v>12</v>
      </c>
      <c r="BA134" t="s">
        <v>12</v>
      </c>
      <c r="BB134" t="s">
        <v>4</v>
      </c>
      <c r="BC134" t="s">
        <v>1135</v>
      </c>
      <c r="BD134" t="s">
        <v>5802</v>
      </c>
      <c r="BE134" t="s">
        <v>4</v>
      </c>
      <c r="BF134" t="s">
        <v>12</v>
      </c>
      <c r="BG134" t="s">
        <v>4</v>
      </c>
      <c r="BH134" t="s">
        <v>12</v>
      </c>
      <c r="BI134" t="s">
        <v>12</v>
      </c>
      <c r="BJ134" t="s">
        <v>5870</v>
      </c>
      <c r="BK134" t="s">
        <v>4</v>
      </c>
      <c r="BL134">
        <v>0</v>
      </c>
      <c r="BM134" t="s">
        <v>12</v>
      </c>
      <c r="BN134">
        <v>12900</v>
      </c>
      <c r="BO134" t="s">
        <v>12</v>
      </c>
      <c r="BP134" t="s">
        <v>12</v>
      </c>
      <c r="BQ134" t="s">
        <v>12</v>
      </c>
      <c r="BR134" t="s">
        <v>4</v>
      </c>
      <c r="BS134" t="s">
        <v>4</v>
      </c>
      <c r="BT134" t="s">
        <v>4</v>
      </c>
      <c r="BU134" t="s">
        <v>12</v>
      </c>
      <c r="BV134" t="s">
        <v>4</v>
      </c>
      <c r="BW134" t="s">
        <v>3</v>
      </c>
      <c r="BX134" t="s">
        <v>4</v>
      </c>
      <c r="BY134" t="s">
        <v>12</v>
      </c>
      <c r="BZ134" t="s">
        <v>12</v>
      </c>
      <c r="CA134" t="s">
        <v>12</v>
      </c>
      <c r="CB134" t="s">
        <v>1074</v>
      </c>
      <c r="CC134" t="s">
        <v>12</v>
      </c>
      <c r="CD134" t="str" cm="1">
        <f t="array" aca="1" ref="CD134" ca="1">eConcatenar(A134:CB134,"|")</f>
        <v>HH5fZ35gxhK7sjkb|PAR2019-1245|3|ECONOLINE|TABASCO|PARAISO|PARAISO|2019-5-15|12900|X|X|200|1|x|X|x|X|X|X|X|X|X|X|X|x|X|x|ANGULO|PEREZ|GUADALUPE|CASADO|X|X|ENTRADA DE LA ESCUELA SIN NUMERO|MONTE|X|9331165456|SILVIA DEL CARMEN ANGULO PEREZ|BENEFICIARIO 2: JESUS ANGULO PEREZ|x|X|X|MIERCOLES|x|x|X|X|X|DOMICILIO|11000|1900|x|x|X|2021-9-15|2021-9-29|X|x|X|x|x|MONTE|X|0|x|12900|x|x|x|X|X|X|x|X|CARDENAS|X|x|x|x|final</v>
      </c>
    </row>
    <row r="135" spans="1:82" x14ac:dyDescent="0.25">
      <c r="A135" t="s">
        <v>5873</v>
      </c>
      <c r="B135" t="s">
        <v>5874</v>
      </c>
      <c r="C135">
        <v>3</v>
      </c>
      <c r="D135" t="s">
        <v>194</v>
      </c>
      <c r="E135" t="s">
        <v>2</v>
      </c>
      <c r="F135" t="s">
        <v>654</v>
      </c>
      <c r="G135" t="s">
        <v>654</v>
      </c>
      <c r="H135" t="s">
        <v>5875</v>
      </c>
      <c r="I135">
        <v>12900</v>
      </c>
      <c r="J135" t="s">
        <v>4</v>
      </c>
      <c r="K135" t="s">
        <v>4</v>
      </c>
      <c r="L135">
        <v>200</v>
      </c>
      <c r="M135">
        <v>1</v>
      </c>
      <c r="N135" t="s">
        <v>12</v>
      </c>
      <c r="O135" t="s">
        <v>4</v>
      </c>
      <c r="P135" t="s">
        <v>12</v>
      </c>
      <c r="Q135" t="s">
        <v>4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12</v>
      </c>
      <c r="Z135" t="s">
        <v>4</v>
      </c>
      <c r="AA135" t="s">
        <v>12</v>
      </c>
      <c r="AB135" t="s">
        <v>116</v>
      </c>
      <c r="AC135" t="s">
        <v>764</v>
      </c>
      <c r="AD135" t="s">
        <v>5876</v>
      </c>
      <c r="AE135" t="s">
        <v>29</v>
      </c>
      <c r="AF135" t="s">
        <v>4</v>
      </c>
      <c r="AG135" t="s">
        <v>4</v>
      </c>
      <c r="AH135" t="s">
        <v>5877</v>
      </c>
      <c r="AI135" t="s">
        <v>2052</v>
      </c>
      <c r="AJ135" t="s">
        <v>4</v>
      </c>
      <c r="AK135">
        <v>9331228219</v>
      </c>
      <c r="AL135" t="s">
        <v>5878</v>
      </c>
      <c r="AM135" t="s">
        <v>5879</v>
      </c>
      <c r="AN135" t="s">
        <v>12</v>
      </c>
      <c r="AO135" t="s">
        <v>4</v>
      </c>
      <c r="AP135" t="s">
        <v>4</v>
      </c>
      <c r="AQ135" t="s">
        <v>658</v>
      </c>
      <c r="AR135" t="s">
        <v>12</v>
      </c>
      <c r="AS135" t="s">
        <v>12</v>
      </c>
      <c r="AT135" t="s">
        <v>4</v>
      </c>
      <c r="AU135" t="s">
        <v>4</v>
      </c>
      <c r="AV135" t="s">
        <v>4</v>
      </c>
      <c r="AW135" t="s">
        <v>11</v>
      </c>
      <c r="AX135">
        <v>8600</v>
      </c>
      <c r="AY135">
        <v>4300</v>
      </c>
      <c r="AZ135" t="s">
        <v>12</v>
      </c>
      <c r="BA135" t="s">
        <v>12</v>
      </c>
      <c r="BB135" t="s">
        <v>4</v>
      </c>
      <c r="BC135" t="s">
        <v>1135</v>
      </c>
      <c r="BD135" t="s">
        <v>5802</v>
      </c>
      <c r="BE135" t="s">
        <v>4</v>
      </c>
      <c r="BF135" t="s">
        <v>12</v>
      </c>
      <c r="BG135" t="s">
        <v>4</v>
      </c>
      <c r="BH135" t="s">
        <v>12</v>
      </c>
      <c r="BI135" t="s">
        <v>12</v>
      </c>
      <c r="BJ135" t="s">
        <v>2052</v>
      </c>
      <c r="BK135" t="s">
        <v>4</v>
      </c>
      <c r="BL135">
        <v>1</v>
      </c>
      <c r="BM135" t="s">
        <v>12</v>
      </c>
      <c r="BN135">
        <v>12900</v>
      </c>
      <c r="BO135" t="s">
        <v>12</v>
      </c>
      <c r="BP135" t="s">
        <v>12</v>
      </c>
      <c r="BQ135" t="s">
        <v>12</v>
      </c>
      <c r="BR135" t="s">
        <v>4</v>
      </c>
      <c r="BS135" t="s">
        <v>4</v>
      </c>
      <c r="BT135" t="s">
        <v>4</v>
      </c>
      <c r="BU135" t="s">
        <v>12</v>
      </c>
      <c r="BV135" t="s">
        <v>4</v>
      </c>
      <c r="BW135" t="s">
        <v>3</v>
      </c>
      <c r="BX135" t="s">
        <v>4</v>
      </c>
      <c r="BY135" t="s">
        <v>12</v>
      </c>
      <c r="BZ135" t="s">
        <v>12</v>
      </c>
      <c r="CA135" t="s">
        <v>12</v>
      </c>
      <c r="CB135" t="s">
        <v>1074</v>
      </c>
      <c r="CC135" t="s">
        <v>12</v>
      </c>
      <c r="CD135" t="str" cm="1">
        <f t="array" aca="1" ref="CD135" ca="1">eConcatenar(A135:CB135,"|")</f>
        <v>is3BunoUTNzjk80K|PAR2019-2512|3|ECONOLINE|TABASCO|PARAISO|PARAISO|2019-9-05|12900|X|X|200|1|x|X|x|X|X|X|X|X|X|X|X|x|X|x|RODRIGUEZ|ANGULO|MARIA DE GUADALUPE|CASADA|X|X|CALLE RAMIRO JAVIER |FRANCISCO I MADERO|X|9331228219|DAGOBERTO MAGAÑA MARQUEZ|BENEFICIARIO 2: KARINA DEL CARMEN MAGAÑA RODRIGUEZ|x|X|X|MIERCOLES|x|x|X|X|X|DOMICILIO|8600|4300|x|x|X|2021-9-15|2021-9-29|X|x|X|x|x|FRANCISCO I MADERO|X|1|x|12900|x|x|x|X|X|X|x|X|CARDENAS|X|x|x|x|final</v>
      </c>
    </row>
    <row r="136" spans="1:82" x14ac:dyDescent="0.25">
      <c r="A136" t="s">
        <v>5880</v>
      </c>
      <c r="B136" t="s">
        <v>5881</v>
      </c>
      <c r="C136">
        <v>3</v>
      </c>
      <c r="D136" t="s">
        <v>14</v>
      </c>
      <c r="E136" t="s">
        <v>2</v>
      </c>
      <c r="F136" t="s">
        <v>722</v>
      </c>
      <c r="G136" t="s">
        <v>722</v>
      </c>
      <c r="H136" t="s">
        <v>5882</v>
      </c>
      <c r="I136">
        <v>19800</v>
      </c>
      <c r="J136" t="s">
        <v>4</v>
      </c>
      <c r="K136" t="s">
        <v>4</v>
      </c>
      <c r="L136">
        <v>200</v>
      </c>
      <c r="M136">
        <v>1</v>
      </c>
      <c r="N136" t="s">
        <v>12</v>
      </c>
      <c r="O136" t="s">
        <v>4</v>
      </c>
      <c r="P136" t="s">
        <v>12</v>
      </c>
      <c r="Q136" t="s">
        <v>4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12</v>
      </c>
      <c r="Z136" t="s">
        <v>4</v>
      </c>
      <c r="AA136" t="s">
        <v>12</v>
      </c>
      <c r="AB136" t="s">
        <v>265</v>
      </c>
      <c r="AC136" t="s">
        <v>265</v>
      </c>
      <c r="AD136" t="s">
        <v>5883</v>
      </c>
      <c r="AE136" t="s">
        <v>24</v>
      </c>
      <c r="AF136" t="s">
        <v>4</v>
      </c>
      <c r="AG136" t="s">
        <v>4</v>
      </c>
      <c r="AH136" t="s">
        <v>5884</v>
      </c>
      <c r="AI136" t="s">
        <v>40</v>
      </c>
      <c r="AJ136" t="s">
        <v>4</v>
      </c>
      <c r="AK136">
        <v>9331554433</v>
      </c>
      <c r="AL136" t="s">
        <v>5885</v>
      </c>
      <c r="AM136" t="s">
        <v>5886</v>
      </c>
      <c r="AN136" t="s">
        <v>12</v>
      </c>
      <c r="AO136" t="s">
        <v>4</v>
      </c>
      <c r="AP136" t="s">
        <v>4</v>
      </c>
      <c r="AQ136" t="s">
        <v>658</v>
      </c>
      <c r="AR136" t="s">
        <v>12</v>
      </c>
      <c r="AS136" t="s">
        <v>12</v>
      </c>
      <c r="AT136" t="s">
        <v>4</v>
      </c>
      <c r="AU136" t="s">
        <v>4</v>
      </c>
      <c r="AV136" t="s">
        <v>4</v>
      </c>
      <c r="AW136" t="s">
        <v>11</v>
      </c>
      <c r="AX136">
        <v>10500</v>
      </c>
      <c r="AY136">
        <v>9300</v>
      </c>
      <c r="AZ136" t="s">
        <v>12</v>
      </c>
      <c r="BA136" t="s">
        <v>12</v>
      </c>
      <c r="BB136" t="s">
        <v>4</v>
      </c>
      <c r="BC136" t="s">
        <v>1135</v>
      </c>
      <c r="BD136" t="s">
        <v>5802</v>
      </c>
      <c r="BE136" t="s">
        <v>4</v>
      </c>
      <c r="BF136" t="s">
        <v>12</v>
      </c>
      <c r="BG136" t="s">
        <v>4</v>
      </c>
      <c r="BH136" t="s">
        <v>12</v>
      </c>
      <c r="BI136" t="s">
        <v>12</v>
      </c>
      <c r="BJ136" t="s">
        <v>40</v>
      </c>
      <c r="BK136" t="s">
        <v>4</v>
      </c>
      <c r="BL136">
        <v>0</v>
      </c>
      <c r="BM136" t="s">
        <v>12</v>
      </c>
      <c r="BN136">
        <v>19800</v>
      </c>
      <c r="BO136" t="s">
        <v>12</v>
      </c>
      <c r="BP136" t="s">
        <v>12</v>
      </c>
      <c r="BQ136" t="s">
        <v>12</v>
      </c>
      <c r="BR136" t="s">
        <v>4</v>
      </c>
      <c r="BS136" t="s">
        <v>4</v>
      </c>
      <c r="BT136" t="s">
        <v>4</v>
      </c>
      <c r="BU136" t="s">
        <v>12</v>
      </c>
      <c r="BV136" t="s">
        <v>4</v>
      </c>
      <c r="BW136" t="s">
        <v>3</v>
      </c>
      <c r="BX136" t="s">
        <v>4</v>
      </c>
      <c r="BY136" t="s">
        <v>12</v>
      </c>
      <c r="BZ136" t="s">
        <v>12</v>
      </c>
      <c r="CA136" t="s">
        <v>12</v>
      </c>
      <c r="CB136" t="s">
        <v>1074</v>
      </c>
      <c r="CC136" t="s">
        <v>12</v>
      </c>
      <c r="CD136" t="str" cm="1">
        <f t="array" aca="1" ref="CD136" ca="1">eConcatenar(A136:CB136,"|")</f>
        <v>EjnXkcoREXc43nul|COM2019-3410|3|ZAFIRO|TABASCO|COMALCALCO|COMALCALCO|2019-12-26|19800|X|X|200|1|x|X|x|X|X|X|X|X|X|X|X|x|X|x|DOMINGUEZ|DOMINGUEZ|ROMAN|UNION LIBRE|X|X|CALLE ARISTA NUMERO 405|CENTRO|X|9331554433|VANESSA SANTANA MARIN|BENEFICIARIO 2: LILIA DOMINGUEZ HERNANDEZ|x|X|X|MIERCOLES|x|x|X|X|X|DOMICILIO|10500|9300|x|x|X|2021-9-15|2021-9-29|X|x|X|x|x|CENTRO|X|0|x|19800|x|x|x|X|X|X|x|X|CARDENAS|X|x|x|x|final</v>
      </c>
    </row>
    <row r="137" spans="1:82" x14ac:dyDescent="0.25">
      <c r="A137" t="s">
        <v>5887</v>
      </c>
      <c r="B137" t="s">
        <v>5888</v>
      </c>
      <c r="C137">
        <v>3</v>
      </c>
      <c r="D137" t="s">
        <v>194</v>
      </c>
      <c r="E137" t="s">
        <v>2</v>
      </c>
      <c r="F137" t="s">
        <v>722</v>
      </c>
      <c r="G137" t="s">
        <v>722</v>
      </c>
      <c r="H137" t="s">
        <v>5889</v>
      </c>
      <c r="I137">
        <v>12900</v>
      </c>
      <c r="J137" t="s">
        <v>4</v>
      </c>
      <c r="K137" t="s">
        <v>4</v>
      </c>
      <c r="L137">
        <v>200</v>
      </c>
      <c r="M137">
        <v>1</v>
      </c>
      <c r="N137" t="s">
        <v>12</v>
      </c>
      <c r="O137" t="s">
        <v>4</v>
      </c>
      <c r="P137" t="s">
        <v>12</v>
      </c>
      <c r="Q137" t="s">
        <v>4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12</v>
      </c>
      <c r="Z137" t="s">
        <v>4</v>
      </c>
      <c r="AA137" t="s">
        <v>12</v>
      </c>
      <c r="AB137" t="s">
        <v>16</v>
      </c>
      <c r="AC137" t="s">
        <v>5890</v>
      </c>
      <c r="AD137" t="s">
        <v>5891</v>
      </c>
      <c r="AE137" t="s">
        <v>48</v>
      </c>
      <c r="AF137" t="s">
        <v>4</v>
      </c>
      <c r="AG137" t="s">
        <v>4</v>
      </c>
      <c r="AH137" t="s">
        <v>5892</v>
      </c>
      <c r="AI137" t="s">
        <v>2072</v>
      </c>
      <c r="AJ137" t="s">
        <v>4</v>
      </c>
      <c r="AK137">
        <v>9331222003</v>
      </c>
      <c r="AL137" t="s">
        <v>5893</v>
      </c>
      <c r="AM137" t="s">
        <v>5894</v>
      </c>
      <c r="AN137" t="s">
        <v>12</v>
      </c>
      <c r="AO137" t="s">
        <v>4</v>
      </c>
      <c r="AP137" t="s">
        <v>4</v>
      </c>
      <c r="AQ137" t="s">
        <v>658</v>
      </c>
      <c r="AR137" t="s">
        <v>12</v>
      </c>
      <c r="AS137" t="s">
        <v>12</v>
      </c>
      <c r="AT137" t="s">
        <v>4</v>
      </c>
      <c r="AU137" t="s">
        <v>4</v>
      </c>
      <c r="AV137" t="s">
        <v>4</v>
      </c>
      <c r="AW137" t="s">
        <v>11</v>
      </c>
      <c r="AX137">
        <v>8800</v>
      </c>
      <c r="AY137">
        <v>4100</v>
      </c>
      <c r="AZ137" t="s">
        <v>12</v>
      </c>
      <c r="BA137" t="s">
        <v>12</v>
      </c>
      <c r="BB137" t="s">
        <v>4</v>
      </c>
      <c r="BC137" t="s">
        <v>1135</v>
      </c>
      <c r="BD137" t="s">
        <v>5802</v>
      </c>
      <c r="BE137" t="s">
        <v>4</v>
      </c>
      <c r="BF137" t="s">
        <v>12</v>
      </c>
      <c r="BG137" t="s">
        <v>4</v>
      </c>
      <c r="BH137" t="s">
        <v>12</v>
      </c>
      <c r="BI137" t="s">
        <v>12</v>
      </c>
      <c r="BJ137" t="s">
        <v>2072</v>
      </c>
      <c r="BK137" t="s">
        <v>4</v>
      </c>
      <c r="BL137">
        <v>1</v>
      </c>
      <c r="BM137" t="s">
        <v>12</v>
      </c>
      <c r="BN137">
        <v>12900</v>
      </c>
      <c r="BO137" t="s">
        <v>12</v>
      </c>
      <c r="BP137" t="s">
        <v>12</v>
      </c>
      <c r="BQ137" t="s">
        <v>12</v>
      </c>
      <c r="BR137" t="s">
        <v>4</v>
      </c>
      <c r="BS137" t="s">
        <v>4</v>
      </c>
      <c r="BT137" t="s">
        <v>4</v>
      </c>
      <c r="BU137" t="s">
        <v>12</v>
      </c>
      <c r="BV137" t="s">
        <v>4</v>
      </c>
      <c r="BW137" t="s">
        <v>3</v>
      </c>
      <c r="BX137" t="s">
        <v>4</v>
      </c>
      <c r="BY137" t="s">
        <v>12</v>
      </c>
      <c r="BZ137" t="s">
        <v>12</v>
      </c>
      <c r="CA137" t="s">
        <v>12</v>
      </c>
      <c r="CB137" t="s">
        <v>1074</v>
      </c>
      <c r="CC137" t="s">
        <v>12</v>
      </c>
      <c r="CD137" t="str" cm="1">
        <f t="array" aca="1" ref="CD137" ca="1">eConcatenar(A137:CB137,"|")</f>
        <v>vA0KjZAkBPIWFYjJ|COM2018-1150|3|ECONOLINE|TABASCO|COMALCALCO|COMALCALCO|2018-6-27|12900|X|X|200|1|x|X|x|X|X|X|X|X|X|X|X|x|X|x|SANTOS|SASTRE|MARIA DOLORES|SOLTERA|X|X|CARRETERA A JESUS CARRANZA SIN NUMERO|VILLA CHICHICAPA|X|9331222003|ANA CASTILLO SANTOS|BENEFICIARIO 2: CARLOS CASTILLO SANTOS|x|X|X|MIERCOLES|x|x|X|X|X|DOMICILIO|8800|4100|x|x|X|2021-9-15|2021-9-29|X|x|X|x|x|VILLA CHICHICAPA|X|1|x|12900|x|x|x|X|X|X|x|X|CARDENAS|X|x|x|x|final</v>
      </c>
    </row>
    <row r="138" spans="1:82" x14ac:dyDescent="0.25">
      <c r="A138" t="s">
        <v>5895</v>
      </c>
      <c r="B138" t="s">
        <v>5896</v>
      </c>
      <c r="C138">
        <v>3</v>
      </c>
      <c r="D138" t="s">
        <v>194</v>
      </c>
      <c r="E138" t="s">
        <v>2</v>
      </c>
      <c r="F138" t="s">
        <v>722</v>
      </c>
      <c r="G138" t="s">
        <v>722</v>
      </c>
      <c r="H138" t="s">
        <v>5897</v>
      </c>
      <c r="I138">
        <v>12900</v>
      </c>
      <c r="J138" t="s">
        <v>4</v>
      </c>
      <c r="K138" t="s">
        <v>4</v>
      </c>
      <c r="L138">
        <v>200</v>
      </c>
      <c r="M138">
        <v>1</v>
      </c>
      <c r="N138" t="s">
        <v>12</v>
      </c>
      <c r="O138" t="s">
        <v>4</v>
      </c>
      <c r="P138" t="s">
        <v>12</v>
      </c>
      <c r="Q138" t="s">
        <v>4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12</v>
      </c>
      <c r="Z138" t="s">
        <v>4</v>
      </c>
      <c r="AA138" t="s">
        <v>12</v>
      </c>
      <c r="AB138" t="s">
        <v>172</v>
      </c>
      <c r="AC138" t="s">
        <v>28</v>
      </c>
      <c r="AD138" t="s">
        <v>280</v>
      </c>
      <c r="AE138" t="s">
        <v>59</v>
      </c>
      <c r="AF138" t="s">
        <v>4</v>
      </c>
      <c r="AG138" t="s">
        <v>4</v>
      </c>
      <c r="AH138" t="s">
        <v>5508</v>
      </c>
      <c r="AI138" t="s">
        <v>5898</v>
      </c>
      <c r="AJ138" t="s">
        <v>4</v>
      </c>
      <c r="AK138">
        <v>9331243894</v>
      </c>
      <c r="AL138" t="s">
        <v>5899</v>
      </c>
      <c r="AM138" t="s">
        <v>5900</v>
      </c>
      <c r="AN138" t="s">
        <v>12</v>
      </c>
      <c r="AO138" t="s">
        <v>4</v>
      </c>
      <c r="AP138" t="s">
        <v>4</v>
      </c>
      <c r="AQ138" t="s">
        <v>658</v>
      </c>
      <c r="AR138" t="s">
        <v>12</v>
      </c>
      <c r="AS138" t="s">
        <v>12</v>
      </c>
      <c r="AT138" t="s">
        <v>4</v>
      </c>
      <c r="AU138" t="s">
        <v>4</v>
      </c>
      <c r="AV138" t="s">
        <v>4</v>
      </c>
      <c r="AW138" t="s">
        <v>11</v>
      </c>
      <c r="AX138">
        <v>9900</v>
      </c>
      <c r="AY138">
        <v>3000</v>
      </c>
      <c r="AZ138" t="s">
        <v>12</v>
      </c>
      <c r="BA138" t="s">
        <v>12</v>
      </c>
      <c r="BB138" t="s">
        <v>4</v>
      </c>
      <c r="BC138" t="s">
        <v>1135</v>
      </c>
      <c r="BD138" t="s">
        <v>5802</v>
      </c>
      <c r="BE138" t="s">
        <v>4</v>
      </c>
      <c r="BF138" t="s">
        <v>12</v>
      </c>
      <c r="BG138" t="s">
        <v>4</v>
      </c>
      <c r="BH138" t="s">
        <v>12</v>
      </c>
      <c r="BI138" t="s">
        <v>12</v>
      </c>
      <c r="BJ138" t="s">
        <v>5898</v>
      </c>
      <c r="BK138" t="s">
        <v>4</v>
      </c>
      <c r="BL138">
        <v>0</v>
      </c>
      <c r="BM138" t="s">
        <v>12</v>
      </c>
      <c r="BN138">
        <v>12900</v>
      </c>
      <c r="BO138" t="s">
        <v>12</v>
      </c>
      <c r="BP138" t="s">
        <v>12</v>
      </c>
      <c r="BQ138" t="s">
        <v>12</v>
      </c>
      <c r="BR138" t="s">
        <v>4</v>
      </c>
      <c r="BS138" t="s">
        <v>4</v>
      </c>
      <c r="BT138" t="s">
        <v>4</v>
      </c>
      <c r="BU138" t="s">
        <v>12</v>
      </c>
      <c r="BV138" t="s">
        <v>4</v>
      </c>
      <c r="BW138" t="s">
        <v>3</v>
      </c>
      <c r="BX138" t="s">
        <v>4</v>
      </c>
      <c r="BY138" t="s">
        <v>12</v>
      </c>
      <c r="BZ138" t="s">
        <v>12</v>
      </c>
      <c r="CA138" t="s">
        <v>12</v>
      </c>
      <c r="CB138" t="s">
        <v>1074</v>
      </c>
      <c r="CC138" t="s">
        <v>12</v>
      </c>
      <c r="CD138" t="str" cm="1">
        <f t="array" aca="1" ref="CD138" ca="1">eConcatenar(A138:CB138,"|")</f>
        <v>XBGG3BYaRBU6DmbE|COM2018-0901|3|ECONOLINE|TABASCO|COMALCALCO|COMALCALCO|2018-6-04|12900|X|X|200|1|x|X|x|X|X|X|X|X|X|X|X|x|X|x|COLORADO|CORDOVA|DAVID|CASADO|X|X|CARRETERA VECINAL COMALCALCO - PARAISO |OCCIDENTE PRIMERA SECCION|X|9331243894|REBECA COLORADO HERNANDEZ|BENEFICIARIO 2: VERONICA COLORADO HERNANDEZ|x|X|X|MIERCOLES|x|x|X|X|X|DOMICILIO|9900|3000|x|x|X|2021-9-15|2021-9-29|X|x|X|x|x|OCCIDENTE PRIMERA SECCION|X|0|x|12900|x|x|x|X|X|X|x|X|CARDENAS|X|x|x|x|final</v>
      </c>
    </row>
    <row r="139" spans="1:82" x14ac:dyDescent="0.25">
      <c r="A139" t="s">
        <v>5901</v>
      </c>
      <c r="B139" t="s">
        <v>5902</v>
      </c>
      <c r="C139">
        <v>3</v>
      </c>
      <c r="D139" t="s">
        <v>194</v>
      </c>
      <c r="E139" t="s">
        <v>2</v>
      </c>
      <c r="F139" t="s">
        <v>722</v>
      </c>
      <c r="G139" t="s">
        <v>722</v>
      </c>
      <c r="H139" t="s">
        <v>5019</v>
      </c>
      <c r="I139">
        <v>12900</v>
      </c>
      <c r="J139" t="s">
        <v>4</v>
      </c>
      <c r="K139" t="s">
        <v>4</v>
      </c>
      <c r="L139">
        <v>200</v>
      </c>
      <c r="M139">
        <v>1</v>
      </c>
      <c r="N139" t="s">
        <v>12</v>
      </c>
      <c r="O139" t="s">
        <v>4</v>
      </c>
      <c r="P139" t="s">
        <v>12</v>
      </c>
      <c r="Q139" t="s">
        <v>4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12</v>
      </c>
      <c r="Z139" t="s">
        <v>4</v>
      </c>
      <c r="AA139" t="s">
        <v>12</v>
      </c>
      <c r="AB139" t="s">
        <v>109</v>
      </c>
      <c r="AC139" t="s">
        <v>6</v>
      </c>
      <c r="AD139" t="s">
        <v>5903</v>
      </c>
      <c r="AE139" t="s">
        <v>48</v>
      </c>
      <c r="AF139" t="s">
        <v>4</v>
      </c>
      <c r="AG139" t="s">
        <v>4</v>
      </c>
      <c r="AH139" t="s">
        <v>5544</v>
      </c>
      <c r="AI139" t="s">
        <v>5223</v>
      </c>
      <c r="AJ139" t="s">
        <v>4</v>
      </c>
      <c r="AK139">
        <v>9331646256</v>
      </c>
      <c r="AL139" t="s">
        <v>5904</v>
      </c>
      <c r="AM139" t="s">
        <v>5905</v>
      </c>
      <c r="AN139" t="s">
        <v>12</v>
      </c>
      <c r="AO139" t="s">
        <v>4</v>
      </c>
      <c r="AP139" t="s">
        <v>4</v>
      </c>
      <c r="AQ139" t="s">
        <v>658</v>
      </c>
      <c r="AR139" t="s">
        <v>12</v>
      </c>
      <c r="AS139" t="s">
        <v>12</v>
      </c>
      <c r="AT139" t="s">
        <v>4</v>
      </c>
      <c r="AU139" t="s">
        <v>4</v>
      </c>
      <c r="AV139" t="s">
        <v>4</v>
      </c>
      <c r="AW139" t="s">
        <v>11</v>
      </c>
      <c r="AX139">
        <v>6650</v>
      </c>
      <c r="AY139">
        <v>6250</v>
      </c>
      <c r="AZ139" t="s">
        <v>12</v>
      </c>
      <c r="BA139" t="s">
        <v>12</v>
      </c>
      <c r="BB139" t="s">
        <v>4</v>
      </c>
      <c r="BC139" t="s">
        <v>1135</v>
      </c>
      <c r="BD139" t="s">
        <v>5802</v>
      </c>
      <c r="BE139" t="s">
        <v>4</v>
      </c>
      <c r="BF139" t="s">
        <v>12</v>
      </c>
      <c r="BG139" t="s">
        <v>4</v>
      </c>
      <c r="BH139" t="s">
        <v>12</v>
      </c>
      <c r="BI139" t="s">
        <v>12</v>
      </c>
      <c r="BJ139" t="s">
        <v>5223</v>
      </c>
      <c r="BK139" t="s">
        <v>4</v>
      </c>
      <c r="BL139">
        <v>1</v>
      </c>
      <c r="BM139" t="s">
        <v>12</v>
      </c>
      <c r="BN139">
        <v>12900</v>
      </c>
      <c r="BO139" t="s">
        <v>12</v>
      </c>
      <c r="BP139" t="s">
        <v>12</v>
      </c>
      <c r="BQ139" t="s">
        <v>12</v>
      </c>
      <c r="BR139" t="s">
        <v>4</v>
      </c>
      <c r="BS139" t="s">
        <v>4</v>
      </c>
      <c r="BT139" t="s">
        <v>4</v>
      </c>
      <c r="BU139" t="s">
        <v>12</v>
      </c>
      <c r="BV139" t="s">
        <v>4</v>
      </c>
      <c r="BW139" t="s">
        <v>3</v>
      </c>
      <c r="BX139" t="s">
        <v>4</v>
      </c>
      <c r="BY139" t="s">
        <v>12</v>
      </c>
      <c r="BZ139" t="s">
        <v>12</v>
      </c>
      <c r="CA139" t="s">
        <v>12</v>
      </c>
      <c r="CB139" t="s">
        <v>1074</v>
      </c>
      <c r="CC139" t="s">
        <v>12</v>
      </c>
      <c r="CD139" t="str" cm="1">
        <f t="array" aca="1" ref="CD139" ca="1">eConcatenar(A139:CB139,"|")</f>
        <v>Xxe6dJYiCwnIDp3C|PAR2019-1674|3|ECONOLINE|TABASCO|COMALCALCO|COMALCALCO|2019-6-30|12900|X|X|200|1|x|X|x|X|X|X|X|X|X|X|X|x|X|x|PEREZ|DE LA CRUZ|CASTULO|SOLTERA|X|X|CARRETERA VECINAL PARAISO - COMALCALCO|MOCTEZUMA|X|9331646256|ANTONIA PEREZ DE LA CRUZ|BENEFICIARIO 2: YURIDIA PEREZ DE LA CRUZ|x|X|X|MIERCOLES|x|x|X|X|X|DOMICILIO|6650|6250|x|x|X|2021-9-15|2021-9-29|X|x|X|x|x|MOCTEZUMA|X|1|x|12900|x|x|x|X|X|X|x|X|CARDENAS|X|x|x|x|final</v>
      </c>
    </row>
    <row r="140" spans="1:82" x14ac:dyDescent="0.25">
      <c r="A140" t="s">
        <v>5906</v>
      </c>
      <c r="B140" t="s">
        <v>5907</v>
      </c>
      <c r="C140">
        <v>3</v>
      </c>
      <c r="D140" t="s">
        <v>194</v>
      </c>
      <c r="E140" t="s">
        <v>2</v>
      </c>
      <c r="F140" t="s">
        <v>654</v>
      </c>
      <c r="G140" t="s">
        <v>654</v>
      </c>
      <c r="H140" t="s">
        <v>5908</v>
      </c>
      <c r="I140">
        <v>11500</v>
      </c>
      <c r="J140" t="s">
        <v>4</v>
      </c>
      <c r="K140" t="s">
        <v>4</v>
      </c>
      <c r="L140">
        <v>200</v>
      </c>
      <c r="M140">
        <v>1</v>
      </c>
      <c r="N140" t="s">
        <v>12</v>
      </c>
      <c r="O140" t="s">
        <v>4</v>
      </c>
      <c r="P140" t="s">
        <v>12</v>
      </c>
      <c r="Q140" t="s">
        <v>4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12</v>
      </c>
      <c r="Z140" t="s">
        <v>4</v>
      </c>
      <c r="AA140" t="s">
        <v>12</v>
      </c>
      <c r="AB140" t="s">
        <v>23</v>
      </c>
      <c r="AC140" t="s">
        <v>265</v>
      </c>
      <c r="AD140" t="s">
        <v>5909</v>
      </c>
      <c r="AE140" t="s">
        <v>29</v>
      </c>
      <c r="AF140" t="s">
        <v>4</v>
      </c>
      <c r="AG140" t="s">
        <v>4</v>
      </c>
      <c r="AH140" t="s">
        <v>5910</v>
      </c>
      <c r="AI140" t="s">
        <v>789</v>
      </c>
      <c r="AJ140" t="s">
        <v>4</v>
      </c>
      <c r="AK140">
        <v>9331185753</v>
      </c>
      <c r="AL140" t="s">
        <v>5911</v>
      </c>
      <c r="AM140" t="s">
        <v>5912</v>
      </c>
      <c r="AN140" t="s">
        <v>12</v>
      </c>
      <c r="AO140" t="s">
        <v>4</v>
      </c>
      <c r="AP140" t="s">
        <v>4</v>
      </c>
      <c r="AQ140" t="s">
        <v>658</v>
      </c>
      <c r="AR140" t="s">
        <v>12</v>
      </c>
      <c r="AS140" t="s">
        <v>12</v>
      </c>
      <c r="AT140" t="s">
        <v>4</v>
      </c>
      <c r="AU140" t="s">
        <v>4</v>
      </c>
      <c r="AV140" t="s">
        <v>4</v>
      </c>
      <c r="AW140" t="s">
        <v>11</v>
      </c>
      <c r="AX140">
        <v>8100</v>
      </c>
      <c r="AY140">
        <v>3400</v>
      </c>
      <c r="AZ140" t="s">
        <v>12</v>
      </c>
      <c r="BA140" t="s">
        <v>12</v>
      </c>
      <c r="BB140" t="s">
        <v>4</v>
      </c>
      <c r="BC140" t="s">
        <v>1135</v>
      </c>
      <c r="BD140" t="s">
        <v>5802</v>
      </c>
      <c r="BE140" t="s">
        <v>4</v>
      </c>
      <c r="BF140" t="s">
        <v>12</v>
      </c>
      <c r="BG140" t="s">
        <v>4</v>
      </c>
      <c r="BH140" t="s">
        <v>12</v>
      </c>
      <c r="BI140" t="s">
        <v>12</v>
      </c>
      <c r="BJ140" t="s">
        <v>789</v>
      </c>
      <c r="BK140" t="s">
        <v>4</v>
      </c>
      <c r="BL140">
        <v>1</v>
      </c>
      <c r="BM140" t="s">
        <v>12</v>
      </c>
      <c r="BN140">
        <v>11500</v>
      </c>
      <c r="BO140" t="s">
        <v>12</v>
      </c>
      <c r="BP140" t="s">
        <v>12</v>
      </c>
      <c r="BQ140" t="s">
        <v>12</v>
      </c>
      <c r="BR140" t="s">
        <v>4</v>
      </c>
      <c r="BS140" t="s">
        <v>4</v>
      </c>
      <c r="BT140" t="s">
        <v>4</v>
      </c>
      <c r="BU140" t="s">
        <v>12</v>
      </c>
      <c r="BV140" t="s">
        <v>4</v>
      </c>
      <c r="BW140" t="s">
        <v>3</v>
      </c>
      <c r="BX140" t="s">
        <v>4</v>
      </c>
      <c r="BY140" t="s">
        <v>12</v>
      </c>
      <c r="BZ140" t="s">
        <v>12</v>
      </c>
      <c r="CA140" t="s">
        <v>12</v>
      </c>
      <c r="CB140" t="s">
        <v>1074</v>
      </c>
      <c r="CC140" t="s">
        <v>12</v>
      </c>
      <c r="CD140" t="str" cm="1">
        <f t="array" aca="1" ref="CD140" ca="1">eConcatenar(A140:CB140,"|")</f>
        <v>4He93Si8I841Cgy8|PAR2017-4294|3|ECONOLINE|TABASCO|PARAISO|PARAISO|2017-12-07|11500|X|X|200|1|x|X|x|X|X|X|X|X|X|X|X|x|X|x|RAMOS|DOMINGUEZ|LISET|CASADA|X|X|AVENIDA DEL PARAISO SIN NUMERO|NUEVO TORNO LARGO|X|9331185753|MARCIA RAMOS DOMINGUEZ|BENEFICIARIO 2: MARIA GUADALUPE CHAPU FABRE|x|X|X|MIERCOLES|x|x|X|X|X|DOMICILIO|8100|3400|x|x|X|2021-9-15|2021-9-29|X|x|X|x|x|NUEVO TORNO LARGO|X|1|x|11500|x|x|x|X|X|X|x|X|CARDENAS|X|x|x|x|final</v>
      </c>
    </row>
    <row r="141" spans="1:82" x14ac:dyDescent="0.25">
      <c r="A141" t="s">
        <v>5913</v>
      </c>
      <c r="B141" t="s">
        <v>5914</v>
      </c>
      <c r="C141">
        <v>3</v>
      </c>
      <c r="D141" t="s">
        <v>1</v>
      </c>
      <c r="E141" t="s">
        <v>2</v>
      </c>
      <c r="F141" t="s">
        <v>654</v>
      </c>
      <c r="G141" t="s">
        <v>654</v>
      </c>
      <c r="H141" t="s">
        <v>5915</v>
      </c>
      <c r="I141">
        <v>12900</v>
      </c>
      <c r="J141" t="s">
        <v>4</v>
      </c>
      <c r="K141" t="s">
        <v>4</v>
      </c>
      <c r="L141">
        <v>200</v>
      </c>
      <c r="M141">
        <v>1</v>
      </c>
      <c r="N141" t="s">
        <v>12</v>
      </c>
      <c r="O141" t="s">
        <v>4</v>
      </c>
      <c r="P141" t="s">
        <v>12</v>
      </c>
      <c r="Q141" t="s">
        <v>4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12</v>
      </c>
      <c r="Z141" t="s">
        <v>4</v>
      </c>
      <c r="AA141" t="s">
        <v>12</v>
      </c>
      <c r="AB141" t="s">
        <v>5916</v>
      </c>
      <c r="AC141" t="s">
        <v>5917</v>
      </c>
      <c r="AD141" t="s">
        <v>4779</v>
      </c>
      <c r="AE141" t="s">
        <v>134</v>
      </c>
      <c r="AF141" t="s">
        <v>4</v>
      </c>
      <c r="AG141" t="s">
        <v>4</v>
      </c>
      <c r="AH141" t="s">
        <v>5918</v>
      </c>
      <c r="AI141" t="s">
        <v>983</v>
      </c>
      <c r="AJ141" t="s">
        <v>4</v>
      </c>
      <c r="AK141">
        <v>9331494277</v>
      </c>
      <c r="AL141" t="s">
        <v>5919</v>
      </c>
      <c r="AM141" t="s">
        <v>4</v>
      </c>
      <c r="AN141" t="s">
        <v>12</v>
      </c>
      <c r="AO141" t="s">
        <v>4</v>
      </c>
      <c r="AP141" t="s">
        <v>4</v>
      </c>
      <c r="AQ141" t="s">
        <v>658</v>
      </c>
      <c r="AR141" t="s">
        <v>12</v>
      </c>
      <c r="AS141" t="s">
        <v>12</v>
      </c>
      <c r="AT141" t="s">
        <v>4</v>
      </c>
      <c r="AU141" t="s">
        <v>4</v>
      </c>
      <c r="AV141" t="s">
        <v>4</v>
      </c>
      <c r="AW141" t="s">
        <v>11</v>
      </c>
      <c r="AX141">
        <v>2500</v>
      </c>
      <c r="AY141">
        <v>10400</v>
      </c>
      <c r="AZ141" t="s">
        <v>12</v>
      </c>
      <c r="BA141" t="s">
        <v>12</v>
      </c>
      <c r="BB141" t="s">
        <v>4</v>
      </c>
      <c r="BC141" t="s">
        <v>1135</v>
      </c>
      <c r="BD141" t="s">
        <v>5802</v>
      </c>
      <c r="BE141" t="s">
        <v>4</v>
      </c>
      <c r="BF141" t="s">
        <v>12</v>
      </c>
      <c r="BG141" t="s">
        <v>4</v>
      </c>
      <c r="BH141" t="s">
        <v>12</v>
      </c>
      <c r="BI141" t="s">
        <v>12</v>
      </c>
      <c r="BJ141" t="s">
        <v>983</v>
      </c>
      <c r="BK141" t="s">
        <v>4</v>
      </c>
      <c r="BL141">
        <v>1</v>
      </c>
      <c r="BM141" t="s">
        <v>12</v>
      </c>
      <c r="BN141">
        <v>12900</v>
      </c>
      <c r="BO141" t="s">
        <v>12</v>
      </c>
      <c r="BP141" t="s">
        <v>12</v>
      </c>
      <c r="BQ141" t="s">
        <v>12</v>
      </c>
      <c r="BR141" t="s">
        <v>4</v>
      </c>
      <c r="BS141" t="s">
        <v>4</v>
      </c>
      <c r="BT141" t="s">
        <v>4</v>
      </c>
      <c r="BU141" t="s">
        <v>12</v>
      </c>
      <c r="BV141" t="s">
        <v>4</v>
      </c>
      <c r="BW141" t="s">
        <v>3</v>
      </c>
      <c r="BX141" t="s">
        <v>4</v>
      </c>
      <c r="BY141" t="s">
        <v>12</v>
      </c>
      <c r="BZ141" t="s">
        <v>12</v>
      </c>
      <c r="CA141" t="s">
        <v>12</v>
      </c>
      <c r="CB141" t="s">
        <v>1074</v>
      </c>
      <c r="CC141" t="s">
        <v>12</v>
      </c>
      <c r="CD141" t="str" cm="1">
        <f t="array" aca="1" ref="CD141" ca="1">eConcatenar(A141:CB141,"|")</f>
        <v>nySiKPPFuHCD9ynz|PAR2021-0399|3|IMPERIAL DE LUJO|TABASCO|PARAISO|PARAISO|2021-2-09|12900|X|X|200|1|x|X|x|X|X|X|X|X|X|X|X|x|X|x|VARGAS|ECHEVERRIA|OLGA LILIA|VIUDA|X|X|CALLE TULIPANES SIN NUMERO|EL COQUITO|X|9331494277|MARIA TRINIDAD VARGAS ECHEVERRIA|X|x|X|X|MIERCOLES|x|x|X|X|X|DOMICILIO|2500|10400|x|x|X|2021-9-15|2021-9-29|X|x|X|x|x|EL COQUITO|X|1|x|12900|x|x|x|X|X|X|x|X|CARDENAS|X|x|x|x|final</v>
      </c>
    </row>
    <row r="142" spans="1:82" x14ac:dyDescent="0.25">
      <c r="A142" t="s">
        <v>5920</v>
      </c>
      <c r="B142" t="s">
        <v>5921</v>
      </c>
      <c r="C142">
        <v>3</v>
      </c>
      <c r="D142" t="s">
        <v>1</v>
      </c>
      <c r="E142" t="s">
        <v>2</v>
      </c>
      <c r="F142" t="s">
        <v>654</v>
      </c>
      <c r="G142" t="s">
        <v>654</v>
      </c>
      <c r="H142" t="s">
        <v>5922</v>
      </c>
      <c r="I142">
        <v>12900</v>
      </c>
      <c r="J142" t="s">
        <v>4</v>
      </c>
      <c r="K142" t="s">
        <v>4</v>
      </c>
      <c r="L142">
        <v>200</v>
      </c>
      <c r="M142">
        <v>1</v>
      </c>
      <c r="N142" t="s">
        <v>12</v>
      </c>
      <c r="O142" t="s">
        <v>4</v>
      </c>
      <c r="P142" t="s">
        <v>12</v>
      </c>
      <c r="Q142" t="s">
        <v>4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12</v>
      </c>
      <c r="Z142" t="s">
        <v>4</v>
      </c>
      <c r="AA142" t="s">
        <v>12</v>
      </c>
      <c r="AB142" t="s">
        <v>731</v>
      </c>
      <c r="AC142" t="s">
        <v>36</v>
      </c>
      <c r="AD142" t="s">
        <v>4748</v>
      </c>
      <c r="AE142" t="s">
        <v>24</v>
      </c>
      <c r="AF142" t="s">
        <v>4</v>
      </c>
      <c r="AG142" t="s">
        <v>4</v>
      </c>
      <c r="AH142" t="s">
        <v>945</v>
      </c>
      <c r="AI142" t="s">
        <v>2052</v>
      </c>
      <c r="AJ142" t="s">
        <v>4</v>
      </c>
      <c r="AK142">
        <v>9331374509</v>
      </c>
      <c r="AL142" t="s">
        <v>5923</v>
      </c>
      <c r="AM142" t="s">
        <v>5924</v>
      </c>
      <c r="AN142" t="s">
        <v>12</v>
      </c>
      <c r="AO142" t="s">
        <v>4</v>
      </c>
      <c r="AP142" t="s">
        <v>4</v>
      </c>
      <c r="AQ142" t="s">
        <v>658</v>
      </c>
      <c r="AR142" t="s">
        <v>12</v>
      </c>
      <c r="AS142" t="s">
        <v>12</v>
      </c>
      <c r="AT142" t="s">
        <v>4</v>
      </c>
      <c r="AU142" t="s">
        <v>4</v>
      </c>
      <c r="AV142" t="s">
        <v>4</v>
      </c>
      <c r="AW142" t="s">
        <v>11</v>
      </c>
      <c r="AX142">
        <v>3100</v>
      </c>
      <c r="AY142">
        <v>9800</v>
      </c>
      <c r="AZ142" t="s">
        <v>12</v>
      </c>
      <c r="BA142" t="s">
        <v>12</v>
      </c>
      <c r="BB142" t="s">
        <v>4</v>
      </c>
      <c r="BC142" t="s">
        <v>1135</v>
      </c>
      <c r="BD142" t="s">
        <v>5802</v>
      </c>
      <c r="BE142" t="s">
        <v>4</v>
      </c>
      <c r="BF142" t="s">
        <v>12</v>
      </c>
      <c r="BG142" t="s">
        <v>4</v>
      </c>
      <c r="BH142" t="s">
        <v>12</v>
      </c>
      <c r="BI142" t="s">
        <v>12</v>
      </c>
      <c r="BJ142" t="s">
        <v>2052</v>
      </c>
      <c r="BK142" t="s">
        <v>4</v>
      </c>
      <c r="BL142">
        <v>1</v>
      </c>
      <c r="BM142" t="s">
        <v>12</v>
      </c>
      <c r="BN142">
        <v>12900</v>
      </c>
      <c r="BO142" t="s">
        <v>12</v>
      </c>
      <c r="BP142" t="s">
        <v>12</v>
      </c>
      <c r="BQ142" t="s">
        <v>12</v>
      </c>
      <c r="BR142" t="s">
        <v>4</v>
      </c>
      <c r="BS142" t="s">
        <v>4</v>
      </c>
      <c r="BT142" t="s">
        <v>4</v>
      </c>
      <c r="BU142" t="s">
        <v>12</v>
      </c>
      <c r="BV142" t="s">
        <v>4</v>
      </c>
      <c r="BW142" t="s">
        <v>3</v>
      </c>
      <c r="BX142" t="s">
        <v>4</v>
      </c>
      <c r="BY142" t="s">
        <v>12</v>
      </c>
      <c r="BZ142" t="s">
        <v>12</v>
      </c>
      <c r="CA142" t="s">
        <v>12</v>
      </c>
      <c r="CB142" t="s">
        <v>1074</v>
      </c>
      <c r="CC142" t="s">
        <v>12</v>
      </c>
      <c r="CD142" t="str" cm="1">
        <f t="array" aca="1" ref="CD142" ca="1">eConcatenar(A142:CB142,"|")</f>
        <v>zp0uDcvo83yFS7B2|PAR2021-0927|3|IMPERIAL DE LUJO|TABASCO|PARAISO|PARAISO|2021-3-06|12900|X|X|200|1|x|X|x|X|X|X|X|X|X|X|X|x|X|x|GALLEGOS|HERNANDEZ|ELECTA|UNION LIBRE|X|X|CARRETERA PRINCIPAL SIN NUMERO|FRANCISCO I MADERO|X|9331374509|RENE MARQUEZ GALLEGOS|BENEFICIARIO 2: INOCENCIO MARQUEZ HERNANDEZ|x|X|X|MIERCOLES|x|x|X|X|X|DOMICILIO|3100|9800|x|x|X|2021-9-15|2021-9-29|X|x|X|x|x|FRANCISCO I MADERO|X|1|x|12900|x|x|x|X|X|X|x|X|CARDENAS|X|x|x|x|final</v>
      </c>
    </row>
    <row r="143" spans="1:82" x14ac:dyDescent="0.25">
      <c r="A143" t="s">
        <v>5925</v>
      </c>
      <c r="B143" t="s">
        <v>5926</v>
      </c>
      <c r="C143">
        <v>3</v>
      </c>
      <c r="D143" t="s">
        <v>194</v>
      </c>
      <c r="E143" t="s">
        <v>2</v>
      </c>
      <c r="F143" t="s">
        <v>722</v>
      </c>
      <c r="G143" t="s">
        <v>722</v>
      </c>
      <c r="H143" t="s">
        <v>5927</v>
      </c>
      <c r="I143">
        <v>11500</v>
      </c>
      <c r="J143" t="s">
        <v>4</v>
      </c>
      <c r="K143" t="s">
        <v>4</v>
      </c>
      <c r="L143">
        <v>200</v>
      </c>
      <c r="M143">
        <v>1</v>
      </c>
      <c r="N143" t="s">
        <v>12</v>
      </c>
      <c r="O143" t="s">
        <v>4</v>
      </c>
      <c r="P143" t="s">
        <v>12</v>
      </c>
      <c r="Q143" t="s">
        <v>4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12</v>
      </c>
      <c r="Z143" t="s">
        <v>4</v>
      </c>
      <c r="AA143" t="s">
        <v>12</v>
      </c>
      <c r="AB143" t="s">
        <v>47</v>
      </c>
      <c r="AC143" t="s">
        <v>99</v>
      </c>
      <c r="AD143" t="s">
        <v>5928</v>
      </c>
      <c r="AE143" t="s">
        <v>59</v>
      </c>
      <c r="AF143" t="s">
        <v>4</v>
      </c>
      <c r="AG143" t="s">
        <v>4</v>
      </c>
      <c r="AH143" t="s">
        <v>5508</v>
      </c>
      <c r="AI143" t="s">
        <v>2052</v>
      </c>
      <c r="AJ143" t="s">
        <v>4</v>
      </c>
      <c r="AK143">
        <v>9331346740</v>
      </c>
      <c r="AL143" t="s">
        <v>5929</v>
      </c>
      <c r="AM143" t="s">
        <v>5930</v>
      </c>
      <c r="AN143" t="s">
        <v>12</v>
      </c>
      <c r="AO143" t="s">
        <v>4</v>
      </c>
      <c r="AP143" t="s">
        <v>4</v>
      </c>
      <c r="AQ143" t="s">
        <v>658</v>
      </c>
      <c r="AR143" t="s">
        <v>12</v>
      </c>
      <c r="AS143" t="s">
        <v>12</v>
      </c>
      <c r="AT143" t="s">
        <v>4</v>
      </c>
      <c r="AU143" t="s">
        <v>4</v>
      </c>
      <c r="AV143" t="s">
        <v>4</v>
      </c>
      <c r="AW143" t="s">
        <v>11</v>
      </c>
      <c r="AX143">
        <v>8600</v>
      </c>
      <c r="AY143">
        <v>2900</v>
      </c>
      <c r="AZ143" t="s">
        <v>12</v>
      </c>
      <c r="BA143" t="s">
        <v>12</v>
      </c>
      <c r="BB143" t="s">
        <v>4</v>
      </c>
      <c r="BC143" t="s">
        <v>1136</v>
      </c>
      <c r="BD143" t="s">
        <v>5802</v>
      </c>
      <c r="BE143" t="s">
        <v>4</v>
      </c>
      <c r="BF143" t="s">
        <v>12</v>
      </c>
      <c r="BG143" t="s">
        <v>4</v>
      </c>
      <c r="BH143" t="s">
        <v>12</v>
      </c>
      <c r="BI143" t="s">
        <v>12</v>
      </c>
      <c r="BJ143" t="s">
        <v>2052</v>
      </c>
      <c r="BK143" t="s">
        <v>4</v>
      </c>
      <c r="BL143">
        <v>0</v>
      </c>
      <c r="BM143" t="s">
        <v>12</v>
      </c>
      <c r="BN143">
        <v>11500</v>
      </c>
      <c r="BO143" t="s">
        <v>12</v>
      </c>
      <c r="BP143" t="s">
        <v>12</v>
      </c>
      <c r="BQ143" t="s">
        <v>12</v>
      </c>
      <c r="BR143" t="s">
        <v>4</v>
      </c>
      <c r="BS143" t="s">
        <v>4</v>
      </c>
      <c r="BT143" t="s">
        <v>4</v>
      </c>
      <c r="BU143" t="s">
        <v>12</v>
      </c>
      <c r="BV143" t="s">
        <v>4</v>
      </c>
      <c r="BW143" t="s">
        <v>3</v>
      </c>
      <c r="BX143" t="s">
        <v>4</v>
      </c>
      <c r="BY143" t="s">
        <v>12</v>
      </c>
      <c r="BZ143" t="s">
        <v>12</v>
      </c>
      <c r="CA143" t="s">
        <v>12</v>
      </c>
      <c r="CB143" t="s">
        <v>1074</v>
      </c>
      <c r="CC143" t="s">
        <v>12</v>
      </c>
      <c r="CD143" t="str" cm="1">
        <f t="array" aca="1" ref="CD143" ca="1">eConcatenar(A143:CB143,"|")</f>
        <v>2CRmGk6bqszQBw56|COM2018-0119|3|ECONOLINE|TABASCO|COMALCALCO|COMALCALCO|2018-1-18|11500|X|X|200|1|x|X|x|X|X|X|X|X|X|X|X|x|X|x|SANCHEZ|DIAZ|WILBER|CASADO|X|X|CARRETERA VECINAL COMALCALCO - PARAISO |FRANCISCO I MADERO|X|9331346740|GLORIA PEREZ MAGAÑA|BENEFICIARIO 2: WILBER EDUARDO SANCHEZ|x|X|X|MIERCOLES|x|x|X|X|X|DOMICILIO|8600|2900|x|x|X|2021-9-16|2021-9-29|X|x|X|x|x|FRANCISCO I MADERO|X|0|x|11500|x|x|x|X|X|X|x|X|CARDENAS|X|x|x|x|final</v>
      </c>
    </row>
    <row r="144" spans="1:82" x14ac:dyDescent="0.25">
      <c r="A144" t="s">
        <v>5931</v>
      </c>
      <c r="B144" t="s">
        <v>5932</v>
      </c>
      <c r="C144">
        <v>3</v>
      </c>
      <c r="D144" t="s">
        <v>194</v>
      </c>
      <c r="E144" t="s">
        <v>2</v>
      </c>
      <c r="F144" t="s">
        <v>654</v>
      </c>
      <c r="G144" t="s">
        <v>654</v>
      </c>
      <c r="H144" t="s">
        <v>1110</v>
      </c>
      <c r="I144">
        <v>12900</v>
      </c>
      <c r="J144" t="s">
        <v>4</v>
      </c>
      <c r="K144" t="s">
        <v>4</v>
      </c>
      <c r="L144">
        <v>200</v>
      </c>
      <c r="M144">
        <v>1</v>
      </c>
      <c r="N144" t="s">
        <v>12</v>
      </c>
      <c r="O144" t="s">
        <v>4</v>
      </c>
      <c r="P144" t="s">
        <v>12</v>
      </c>
      <c r="Q144" t="s">
        <v>4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12</v>
      </c>
      <c r="Z144" t="s">
        <v>4</v>
      </c>
      <c r="AA144" t="s">
        <v>12</v>
      </c>
      <c r="AB144" t="s">
        <v>5933</v>
      </c>
      <c r="AC144" t="s">
        <v>5934</v>
      </c>
      <c r="AD144" t="s">
        <v>5935</v>
      </c>
      <c r="AE144" t="s">
        <v>48</v>
      </c>
      <c r="AF144" t="s">
        <v>4</v>
      </c>
      <c r="AG144" t="s">
        <v>4</v>
      </c>
      <c r="AH144" t="s">
        <v>5936</v>
      </c>
      <c r="AI144" t="s">
        <v>5937</v>
      </c>
      <c r="AJ144" t="s">
        <v>4</v>
      </c>
      <c r="AK144">
        <v>9932084946</v>
      </c>
      <c r="AL144" t="s">
        <v>5938</v>
      </c>
      <c r="AM144" t="s">
        <v>5939</v>
      </c>
      <c r="AN144" t="s">
        <v>12</v>
      </c>
      <c r="AO144" t="s">
        <v>4</v>
      </c>
      <c r="AP144" t="s">
        <v>4</v>
      </c>
      <c r="AQ144" t="s">
        <v>658</v>
      </c>
      <c r="AR144" t="s">
        <v>12</v>
      </c>
      <c r="AS144" t="s">
        <v>12</v>
      </c>
      <c r="AT144" t="s">
        <v>4</v>
      </c>
      <c r="AU144" t="s">
        <v>4</v>
      </c>
      <c r="AV144" t="s">
        <v>4</v>
      </c>
      <c r="AW144" t="s">
        <v>11</v>
      </c>
      <c r="AX144">
        <v>10600</v>
      </c>
      <c r="AY144">
        <v>2300</v>
      </c>
      <c r="AZ144" t="s">
        <v>12</v>
      </c>
      <c r="BA144" t="s">
        <v>12</v>
      </c>
      <c r="BB144" t="s">
        <v>4</v>
      </c>
      <c r="BC144" t="s">
        <v>1135</v>
      </c>
      <c r="BD144" t="s">
        <v>5802</v>
      </c>
      <c r="BE144" t="s">
        <v>4</v>
      </c>
      <c r="BF144" t="s">
        <v>12</v>
      </c>
      <c r="BG144" t="s">
        <v>4</v>
      </c>
      <c r="BH144" t="s">
        <v>12</v>
      </c>
      <c r="BI144" t="s">
        <v>12</v>
      </c>
      <c r="BJ144" t="s">
        <v>5937</v>
      </c>
      <c r="BK144" t="s">
        <v>4</v>
      </c>
      <c r="BL144">
        <v>1</v>
      </c>
      <c r="BM144" t="s">
        <v>12</v>
      </c>
      <c r="BN144">
        <v>12900</v>
      </c>
      <c r="BO144" t="s">
        <v>12</v>
      </c>
      <c r="BP144" t="s">
        <v>12</v>
      </c>
      <c r="BQ144" t="s">
        <v>12</v>
      </c>
      <c r="BR144" t="s">
        <v>4</v>
      </c>
      <c r="BS144" t="s">
        <v>4</v>
      </c>
      <c r="BT144" t="s">
        <v>4</v>
      </c>
      <c r="BU144" t="s">
        <v>12</v>
      </c>
      <c r="BV144" t="s">
        <v>4</v>
      </c>
      <c r="BW144" t="s">
        <v>3</v>
      </c>
      <c r="BX144" t="s">
        <v>4</v>
      </c>
      <c r="BY144" t="s">
        <v>12</v>
      </c>
      <c r="BZ144" t="s">
        <v>12</v>
      </c>
      <c r="CA144" t="s">
        <v>12</v>
      </c>
      <c r="CB144" t="s">
        <v>1074</v>
      </c>
      <c r="CC144" t="s">
        <v>12</v>
      </c>
      <c r="CD144" t="str" cm="1">
        <f t="array" aca="1" ref="CD144" ca="1">eConcatenar(A144:CB144,"|")</f>
        <v>567s6UEVuJJkyzpx|PAR2019-3003|3|ECONOLINE|TABASCO|PARAISO|PARAISO|2019-10-28|12900|X|X|200|1|x|X|x|X|X|X|X|X|X|X|X|x|X|x|BARRAGAN|DEL VALLE|FREZIA|SOLTERA|X|X|PROLONGACION GREGORIO MENDEZ|EL LIMON NUMERO 1248|X|9932084946|VIDAL DEL VALLE BARRAGAN|BENEFICIARIO 2: ALAN DEL VALLE BARRAGAN|x|X|X|MIERCOLES|x|x|X|X|X|DOMICILIO|10600|2300|x|x|X|2021-9-15|2021-9-29|X|x|X|x|x|EL LIMON NUMERO 1248|X|1|x|12900|x|x|x|X|X|X|x|X|CARDENAS|X|x|x|x|final</v>
      </c>
    </row>
    <row r="145" spans="1:82" x14ac:dyDescent="0.25">
      <c r="A145" t="s">
        <v>5940</v>
      </c>
      <c r="B145" t="s">
        <v>5941</v>
      </c>
      <c r="C145">
        <v>3</v>
      </c>
      <c r="D145" t="s">
        <v>1</v>
      </c>
      <c r="E145" t="s">
        <v>2</v>
      </c>
      <c r="F145" t="s">
        <v>722</v>
      </c>
      <c r="G145" t="s">
        <v>722</v>
      </c>
      <c r="H145" t="s">
        <v>5057</v>
      </c>
      <c r="I145">
        <v>12900</v>
      </c>
      <c r="J145" t="s">
        <v>4</v>
      </c>
      <c r="K145" t="s">
        <v>4</v>
      </c>
      <c r="L145">
        <v>200</v>
      </c>
      <c r="M145">
        <v>1</v>
      </c>
      <c r="N145" t="s">
        <v>12</v>
      </c>
      <c r="O145" t="s">
        <v>4</v>
      </c>
      <c r="P145" t="s">
        <v>12</v>
      </c>
      <c r="Q145" t="s">
        <v>4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12</v>
      </c>
      <c r="Z145" t="s">
        <v>4</v>
      </c>
      <c r="AA145" t="s">
        <v>12</v>
      </c>
      <c r="AB145" t="s">
        <v>5942</v>
      </c>
      <c r="AC145" t="s">
        <v>4751</v>
      </c>
      <c r="AD145" t="s">
        <v>4845</v>
      </c>
      <c r="AE145" t="s">
        <v>59</v>
      </c>
      <c r="AF145" t="s">
        <v>4</v>
      </c>
      <c r="AG145" t="s">
        <v>4</v>
      </c>
      <c r="AH145" t="s">
        <v>5598</v>
      </c>
      <c r="AI145" t="s">
        <v>5059</v>
      </c>
      <c r="AJ145" t="s">
        <v>4</v>
      </c>
      <c r="AK145">
        <v>9331044544</v>
      </c>
      <c r="AL145" t="s">
        <v>5943</v>
      </c>
      <c r="AM145" t="s">
        <v>5944</v>
      </c>
      <c r="AN145" t="s">
        <v>12</v>
      </c>
      <c r="AO145" t="s">
        <v>4</v>
      </c>
      <c r="AP145" t="s">
        <v>4</v>
      </c>
      <c r="AQ145" t="s">
        <v>658</v>
      </c>
      <c r="AR145" t="s">
        <v>12</v>
      </c>
      <c r="AS145" t="s">
        <v>12</v>
      </c>
      <c r="AT145" t="s">
        <v>4</v>
      </c>
      <c r="AU145" t="s">
        <v>4</v>
      </c>
      <c r="AV145" t="s">
        <v>4</v>
      </c>
      <c r="AW145" t="s">
        <v>11</v>
      </c>
      <c r="AX145">
        <v>4455</v>
      </c>
      <c r="AY145">
        <v>8445</v>
      </c>
      <c r="AZ145" t="s">
        <v>12</v>
      </c>
      <c r="BA145" t="s">
        <v>12</v>
      </c>
      <c r="BB145" t="s">
        <v>4</v>
      </c>
      <c r="BC145" t="s">
        <v>1135</v>
      </c>
      <c r="BD145" t="s">
        <v>5802</v>
      </c>
      <c r="BE145" t="s">
        <v>4</v>
      </c>
      <c r="BF145" t="s">
        <v>12</v>
      </c>
      <c r="BG145" t="s">
        <v>4</v>
      </c>
      <c r="BH145" t="s">
        <v>12</v>
      </c>
      <c r="BI145" t="s">
        <v>12</v>
      </c>
      <c r="BJ145" t="s">
        <v>5059</v>
      </c>
      <c r="BK145" t="s">
        <v>4</v>
      </c>
      <c r="BL145">
        <v>0</v>
      </c>
      <c r="BM145" t="s">
        <v>12</v>
      </c>
      <c r="BN145">
        <v>12900</v>
      </c>
      <c r="BO145" t="s">
        <v>12</v>
      </c>
      <c r="BP145" t="s">
        <v>12</v>
      </c>
      <c r="BQ145" t="s">
        <v>12</v>
      </c>
      <c r="BR145" t="s">
        <v>4</v>
      </c>
      <c r="BS145" t="s">
        <v>4</v>
      </c>
      <c r="BT145" t="s">
        <v>4</v>
      </c>
      <c r="BU145" t="s">
        <v>12</v>
      </c>
      <c r="BV145" t="s">
        <v>4</v>
      </c>
      <c r="BW145" t="s">
        <v>3</v>
      </c>
      <c r="BX145" t="s">
        <v>4</v>
      </c>
      <c r="BY145" t="s">
        <v>12</v>
      </c>
      <c r="BZ145" t="s">
        <v>12</v>
      </c>
      <c r="CA145" t="s">
        <v>12</v>
      </c>
      <c r="CB145" t="s">
        <v>1074</v>
      </c>
      <c r="CC145" t="s">
        <v>12</v>
      </c>
      <c r="CD145" t="str" cm="1">
        <f t="array" aca="1" ref="CD145" ca="1">eConcatenar(A145:CB145,"|")</f>
        <v>f7bgISv824M22gmW|COM2020-2357|3|IMPERIAL DE LUJO|TABASCO|COMALCALCO|COMALCALCO|2020-10-10|12900|X|X|200|1|x|X|x|X|X|X|X|X|X|X|X|x|X|x|RUIZ|OVANDO|GILBERTO|CASADO|X|X|ENTRADA LOS PINOS|INDEPENDENCIA PRIMERA SECCION|X|9331044544|MARYLU ALMEIDA OSORIO |BENEFICIARIO 2: LUIS ALBERTO RUIZ |x|X|X|MIERCOLES|x|x|X|X|X|DOMICILIO|4455|8445|x|x|X|2021-9-15|2021-9-29|X|x|X|x|x|INDEPENDENCIA PRIMERA SECCION|X|0|x|12900|x|x|x|X|X|X|x|X|CARDENAS|X|x|x|x|final</v>
      </c>
    </row>
    <row r="146" spans="1:82" x14ac:dyDescent="0.25">
      <c r="A146" t="s">
        <v>5945</v>
      </c>
      <c r="B146" t="s">
        <v>5946</v>
      </c>
      <c r="C146">
        <v>3</v>
      </c>
      <c r="D146" t="s">
        <v>194</v>
      </c>
      <c r="E146" t="s">
        <v>2</v>
      </c>
      <c r="F146" t="s">
        <v>654</v>
      </c>
      <c r="G146" t="s">
        <v>654</v>
      </c>
      <c r="H146" t="s">
        <v>4949</v>
      </c>
      <c r="I146">
        <v>12900</v>
      </c>
      <c r="J146" t="s">
        <v>4</v>
      </c>
      <c r="K146" t="s">
        <v>4</v>
      </c>
      <c r="L146">
        <v>200</v>
      </c>
      <c r="M146">
        <v>1</v>
      </c>
      <c r="N146" t="s">
        <v>12</v>
      </c>
      <c r="O146" t="s">
        <v>4</v>
      </c>
      <c r="P146" t="s">
        <v>12</v>
      </c>
      <c r="Q146" t="s">
        <v>4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12</v>
      </c>
      <c r="Z146" t="s">
        <v>4</v>
      </c>
      <c r="AA146" t="s">
        <v>12</v>
      </c>
      <c r="AB146" t="s">
        <v>655</v>
      </c>
      <c r="AC146" t="s">
        <v>141</v>
      </c>
      <c r="AD146" t="s">
        <v>5947</v>
      </c>
      <c r="AE146" t="s">
        <v>4</v>
      </c>
      <c r="AF146" t="s">
        <v>4</v>
      </c>
      <c r="AG146" t="s">
        <v>4</v>
      </c>
      <c r="AH146" t="s">
        <v>5350</v>
      </c>
      <c r="AI146" t="s">
        <v>5026</v>
      </c>
      <c r="AJ146" t="s">
        <v>4</v>
      </c>
      <c r="AK146">
        <v>9333291864</v>
      </c>
      <c r="AL146" t="s">
        <v>5948</v>
      </c>
      <c r="AM146" t="s">
        <v>5949</v>
      </c>
      <c r="AN146" t="s">
        <v>12</v>
      </c>
      <c r="AO146" t="s">
        <v>4</v>
      </c>
      <c r="AP146" t="s">
        <v>4</v>
      </c>
      <c r="AQ146" t="s">
        <v>658</v>
      </c>
      <c r="AR146" t="s">
        <v>12</v>
      </c>
      <c r="AS146" t="s">
        <v>12</v>
      </c>
      <c r="AT146" t="s">
        <v>4</v>
      </c>
      <c r="AU146" t="s">
        <v>4</v>
      </c>
      <c r="AV146" t="s">
        <v>4</v>
      </c>
      <c r="AW146" t="s">
        <v>11</v>
      </c>
      <c r="AX146">
        <v>11500</v>
      </c>
      <c r="AY146">
        <v>1400</v>
      </c>
      <c r="AZ146" t="s">
        <v>12</v>
      </c>
      <c r="BA146" t="s">
        <v>12</v>
      </c>
      <c r="BB146" t="s">
        <v>4</v>
      </c>
      <c r="BC146" t="s">
        <v>5792</v>
      </c>
      <c r="BD146" t="s">
        <v>5802</v>
      </c>
      <c r="BE146" t="s">
        <v>4</v>
      </c>
      <c r="BF146" t="s">
        <v>12</v>
      </c>
      <c r="BG146" t="s">
        <v>4</v>
      </c>
      <c r="BH146" t="s">
        <v>12</v>
      </c>
      <c r="BI146" t="s">
        <v>12</v>
      </c>
      <c r="BJ146" t="s">
        <v>5026</v>
      </c>
      <c r="BK146" t="s">
        <v>4</v>
      </c>
      <c r="BL146">
        <v>0</v>
      </c>
      <c r="BM146" t="s">
        <v>12</v>
      </c>
      <c r="BN146">
        <v>12900</v>
      </c>
      <c r="BO146" t="s">
        <v>12</v>
      </c>
      <c r="BP146" t="s">
        <v>12</v>
      </c>
      <c r="BQ146" t="s">
        <v>12</v>
      </c>
      <c r="BR146" t="s">
        <v>4</v>
      </c>
      <c r="BS146" t="s">
        <v>4</v>
      </c>
      <c r="BT146" t="s">
        <v>4</v>
      </c>
      <c r="BU146" t="s">
        <v>12</v>
      </c>
      <c r="BV146" t="s">
        <v>4</v>
      </c>
      <c r="BW146" t="s">
        <v>3</v>
      </c>
      <c r="BX146" t="s">
        <v>4</v>
      </c>
      <c r="BY146" t="s">
        <v>12</v>
      </c>
      <c r="BZ146" t="s">
        <v>12</v>
      </c>
      <c r="CA146" t="s">
        <v>12</v>
      </c>
      <c r="CB146" t="s">
        <v>1074</v>
      </c>
      <c r="CC146" t="s">
        <v>12</v>
      </c>
      <c r="CD146" t="str" cm="1">
        <f t="array" aca="1" ref="CD146" ca="1">eConcatenar(A146:CB146,"|")</f>
        <v>gXFAVI2ph2rDp710|PAR2018-0707|3|ECONOLINE|TABASCO|PARAISO|PARAISO|2018-5-17|12900|X|X|200|1|x|X|x|X|X|X|X|X|X|X|X|x|X|x|FLORES|RAMIREZ|JENNER|X|X|X|CARRETERA FEDERAL PARAISO - COMALCALCO |ORIENTE SEGUNDA SECCION|X|9333291864|MARIA EMIGDIA CRUZ LIZARRAGA|BENEFICIARIO 2: BELLANIRA CRUZ LIZARRAGA|x|X|X|MIERCOLES|x|x|X|X|X|DOMICILIO|11500|1400|x|x|X|2021-9-01|2021-9-29|X|x|X|x|x|ORIENTE SEGUNDA SECCION|X|0|x|12900|x|x|x|X|X|X|x|X|CARDENAS|X|x|x|x|final</v>
      </c>
    </row>
    <row r="147" spans="1:82" x14ac:dyDescent="0.25">
      <c r="A147" t="s">
        <v>5950</v>
      </c>
      <c r="B147" t="s">
        <v>5951</v>
      </c>
      <c r="C147">
        <v>3</v>
      </c>
      <c r="D147" t="s">
        <v>14</v>
      </c>
      <c r="E147" t="s">
        <v>2</v>
      </c>
      <c r="F147" t="s">
        <v>722</v>
      </c>
      <c r="G147" t="s">
        <v>722</v>
      </c>
      <c r="H147" t="s">
        <v>5952</v>
      </c>
      <c r="I147">
        <v>19800</v>
      </c>
      <c r="J147" t="s">
        <v>4</v>
      </c>
      <c r="K147" t="s">
        <v>4</v>
      </c>
      <c r="L147">
        <v>200</v>
      </c>
      <c r="M147">
        <v>1</v>
      </c>
      <c r="N147" t="s">
        <v>12</v>
      </c>
      <c r="O147" t="s">
        <v>4</v>
      </c>
      <c r="P147" t="s">
        <v>12</v>
      </c>
      <c r="Q147" t="s">
        <v>4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12</v>
      </c>
      <c r="Z147" t="s">
        <v>4</v>
      </c>
      <c r="AA147" t="s">
        <v>12</v>
      </c>
      <c r="AB147" t="s">
        <v>55</v>
      </c>
      <c r="AC147" t="s">
        <v>116</v>
      </c>
      <c r="AD147" t="s">
        <v>5953</v>
      </c>
      <c r="AE147" t="s">
        <v>48</v>
      </c>
      <c r="AF147" t="s">
        <v>4</v>
      </c>
      <c r="AG147" t="s">
        <v>4</v>
      </c>
      <c r="AH147" t="s">
        <v>5586</v>
      </c>
      <c r="AI147" t="s">
        <v>726</v>
      </c>
      <c r="AJ147" t="s">
        <v>4</v>
      </c>
      <c r="AK147">
        <v>9331522880</v>
      </c>
      <c r="AL147" t="s">
        <v>5954</v>
      </c>
      <c r="AM147" t="s">
        <v>5955</v>
      </c>
      <c r="AN147" t="s">
        <v>12</v>
      </c>
      <c r="AO147" t="s">
        <v>4</v>
      </c>
      <c r="AP147" t="s">
        <v>4</v>
      </c>
      <c r="AQ147" t="s">
        <v>658</v>
      </c>
      <c r="AR147" t="s">
        <v>12</v>
      </c>
      <c r="AS147" t="s">
        <v>12</v>
      </c>
      <c r="AT147" t="s">
        <v>4</v>
      </c>
      <c r="AU147" t="s">
        <v>4</v>
      </c>
      <c r="AV147" t="s">
        <v>4</v>
      </c>
      <c r="AW147" t="s">
        <v>11</v>
      </c>
      <c r="AX147">
        <v>1900</v>
      </c>
      <c r="AY147">
        <v>17900</v>
      </c>
      <c r="AZ147" t="s">
        <v>12</v>
      </c>
      <c r="BA147" t="s">
        <v>12</v>
      </c>
      <c r="BB147" t="s">
        <v>4</v>
      </c>
      <c r="BC147" t="s">
        <v>1135</v>
      </c>
      <c r="BD147" t="s">
        <v>5802</v>
      </c>
      <c r="BE147" t="s">
        <v>4</v>
      </c>
      <c r="BF147" t="s">
        <v>12</v>
      </c>
      <c r="BG147" t="s">
        <v>4</v>
      </c>
      <c r="BH147" t="s">
        <v>12</v>
      </c>
      <c r="BI147" t="s">
        <v>12</v>
      </c>
      <c r="BJ147" t="s">
        <v>726</v>
      </c>
      <c r="BK147" t="s">
        <v>4</v>
      </c>
      <c r="BL147">
        <v>1</v>
      </c>
      <c r="BM147" t="s">
        <v>12</v>
      </c>
      <c r="BN147">
        <v>19800</v>
      </c>
      <c r="BO147" t="s">
        <v>12</v>
      </c>
      <c r="BP147" t="s">
        <v>12</v>
      </c>
      <c r="BQ147" t="s">
        <v>12</v>
      </c>
      <c r="BR147" t="s">
        <v>4</v>
      </c>
      <c r="BS147" t="s">
        <v>4</v>
      </c>
      <c r="BT147" t="s">
        <v>4</v>
      </c>
      <c r="BU147" t="s">
        <v>12</v>
      </c>
      <c r="BV147" t="s">
        <v>4</v>
      </c>
      <c r="BW147" t="s">
        <v>3</v>
      </c>
      <c r="BX147" t="s">
        <v>4</v>
      </c>
      <c r="BY147" t="s">
        <v>12</v>
      </c>
      <c r="BZ147" t="s">
        <v>12</v>
      </c>
      <c r="CA147" t="s">
        <v>12</v>
      </c>
      <c r="CB147" t="s">
        <v>1074</v>
      </c>
      <c r="CC147" t="s">
        <v>12</v>
      </c>
      <c r="CD147" t="str" cm="1">
        <f t="array" aca="1" ref="CD147" ca="1">eConcatenar(A147:CB147,"|")</f>
        <v>wlT9HyK0vuMPiBad|COM2020-4861|3|ZAFIRO|TABASCO|COMALCALCO|COMALCALCO|2020-11-07|19800|X|X|200|1|x|X|x|X|X|X|X|X|X|X|X|x|X|x|GARCIA|RODRIGUEZ|KARLA MARIA|SOLTERA|X|X|CARRETERA FEDERAL COMALCALCO - PARAISO|NORTE PRIMERA SECCION|X|9331522880|IRVING GARCIA DE LA CRUZ|BENEFICIARIO 2: CLAUDIA GARCIA DE LA CRUZ|x|X|X|MIERCOLES|x|x|X|X|X|DOMICILIO|1900|17900|x|x|X|2021-9-15|2021-9-29|X|x|X|x|x|NORTE PRIMERA SECCION|X|1|x|19800|x|x|x|X|X|X|x|X|CARDENAS|X|x|x|x|final</v>
      </c>
    </row>
    <row r="148" spans="1:82" x14ac:dyDescent="0.25">
      <c r="A148" t="s">
        <v>5956</v>
      </c>
      <c r="B148" t="s">
        <v>5957</v>
      </c>
      <c r="C148">
        <v>3</v>
      </c>
      <c r="D148" t="s">
        <v>1</v>
      </c>
      <c r="E148" t="s">
        <v>2</v>
      </c>
      <c r="F148" t="s">
        <v>654</v>
      </c>
      <c r="G148" t="s">
        <v>654</v>
      </c>
      <c r="H148" t="s">
        <v>4961</v>
      </c>
      <c r="I148">
        <v>12900</v>
      </c>
      <c r="J148" t="s">
        <v>4</v>
      </c>
      <c r="K148" t="s">
        <v>4</v>
      </c>
      <c r="L148">
        <v>200</v>
      </c>
      <c r="M148">
        <v>1</v>
      </c>
      <c r="N148" t="s">
        <v>12</v>
      </c>
      <c r="O148" t="s">
        <v>4</v>
      </c>
      <c r="P148" t="s">
        <v>12</v>
      </c>
      <c r="Q148" t="s">
        <v>4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12</v>
      </c>
      <c r="Z148" t="s">
        <v>4</v>
      </c>
      <c r="AA148" t="s">
        <v>12</v>
      </c>
      <c r="AB148" t="s">
        <v>230</v>
      </c>
      <c r="AC148" t="s">
        <v>28</v>
      </c>
      <c r="AD148" t="s">
        <v>5958</v>
      </c>
      <c r="AE148" t="s">
        <v>29</v>
      </c>
      <c r="AF148" t="s">
        <v>4</v>
      </c>
      <c r="AG148" t="s">
        <v>4</v>
      </c>
      <c r="AH148" t="s">
        <v>5508</v>
      </c>
      <c r="AI148" t="s">
        <v>5398</v>
      </c>
      <c r="AJ148" t="s">
        <v>4</v>
      </c>
      <c r="AK148">
        <v>9331469836</v>
      </c>
      <c r="AL148" t="s">
        <v>5959</v>
      </c>
      <c r="AM148" t="s">
        <v>5960</v>
      </c>
      <c r="AN148" t="s">
        <v>12</v>
      </c>
      <c r="AO148" t="s">
        <v>4</v>
      </c>
      <c r="AP148" t="s">
        <v>4</v>
      </c>
      <c r="AQ148" t="s">
        <v>658</v>
      </c>
      <c r="AR148" t="s">
        <v>12</v>
      </c>
      <c r="AS148" t="s">
        <v>12</v>
      </c>
      <c r="AT148" t="s">
        <v>4</v>
      </c>
      <c r="AU148" t="s">
        <v>4</v>
      </c>
      <c r="AV148" t="s">
        <v>4</v>
      </c>
      <c r="AW148" t="s">
        <v>11</v>
      </c>
      <c r="AX148">
        <v>4300</v>
      </c>
      <c r="AY148">
        <v>8600</v>
      </c>
      <c r="AZ148" t="s">
        <v>12</v>
      </c>
      <c r="BA148" t="s">
        <v>12</v>
      </c>
      <c r="BB148" t="s">
        <v>4</v>
      </c>
      <c r="BC148" t="s">
        <v>1135</v>
      </c>
      <c r="BD148" t="s">
        <v>5802</v>
      </c>
      <c r="BE148" t="s">
        <v>4</v>
      </c>
      <c r="BF148" t="s">
        <v>12</v>
      </c>
      <c r="BG148" t="s">
        <v>4</v>
      </c>
      <c r="BH148" t="s">
        <v>12</v>
      </c>
      <c r="BI148" t="s">
        <v>12</v>
      </c>
      <c r="BJ148" t="s">
        <v>5898</v>
      </c>
      <c r="BK148" t="s">
        <v>4</v>
      </c>
      <c r="BL148">
        <v>1</v>
      </c>
      <c r="BM148" t="s">
        <v>12</v>
      </c>
      <c r="BN148">
        <v>12900</v>
      </c>
      <c r="BO148" t="s">
        <v>12</v>
      </c>
      <c r="BP148" t="s">
        <v>12</v>
      </c>
      <c r="BQ148" t="s">
        <v>12</v>
      </c>
      <c r="BR148" t="s">
        <v>4</v>
      </c>
      <c r="BS148" t="s">
        <v>4</v>
      </c>
      <c r="BT148" t="s">
        <v>4</v>
      </c>
      <c r="BU148" t="s">
        <v>12</v>
      </c>
      <c r="BV148" t="s">
        <v>4</v>
      </c>
      <c r="BW148" t="s">
        <v>3</v>
      </c>
      <c r="BX148" t="s">
        <v>4</v>
      </c>
      <c r="BY148" t="s">
        <v>12</v>
      </c>
      <c r="BZ148" t="s">
        <v>12</v>
      </c>
      <c r="CA148" t="s">
        <v>12</v>
      </c>
      <c r="CB148" t="s">
        <v>1074</v>
      </c>
      <c r="CC148" t="s">
        <v>12</v>
      </c>
      <c r="CD148" t="str" cm="1">
        <f t="array" aca="1" ref="CD148" ca="1">eConcatenar(A148:CB148,"|")</f>
        <v>9CXm1mEv3CYwI9jY|PAR2020-2741|3|IMPERIAL DE LUJO|TABASCO|PARAISO|PARAISO|2020-10-31|12900|X|X|200|1|x|X|x|X|X|X|X|X|X|X|X|x|X|x|VALENZUELA|CORDOVA|FLORELIS|CASADA|X|X|CARRETERA VECINAL COMALCALCO - PARAISO |ORIENTE PRIMERA SECCION|X|9331469836|HUGO TORRES LOPEZ|BENEFICIARIO 2: NICOLAS VALENZUELA MORALEZ|x|X|X|MIERCOLES|x|x|X|X|X|DOMICILIO|4300|8600|x|x|X|2021-9-15|2021-9-29|X|x|X|x|x|OCCIDENTE PRIMERA SECCION|X|1|x|12900|x|x|x|X|X|X|x|X|CARDENAS|X|x|x|x|final</v>
      </c>
    </row>
    <row r="149" spans="1:82" x14ac:dyDescent="0.25">
      <c r="A149" t="s">
        <v>5961</v>
      </c>
      <c r="B149" t="s">
        <v>5962</v>
      </c>
      <c r="C149">
        <v>3</v>
      </c>
      <c r="D149" t="s">
        <v>194</v>
      </c>
      <c r="E149" t="s">
        <v>2</v>
      </c>
      <c r="F149" t="s">
        <v>722</v>
      </c>
      <c r="G149" t="s">
        <v>722</v>
      </c>
      <c r="H149" t="s">
        <v>5197</v>
      </c>
      <c r="I149">
        <v>12900</v>
      </c>
      <c r="J149" t="s">
        <v>4</v>
      </c>
      <c r="K149" t="s">
        <v>4</v>
      </c>
      <c r="L149">
        <v>200</v>
      </c>
      <c r="M149">
        <v>1</v>
      </c>
      <c r="N149" t="s">
        <v>12</v>
      </c>
      <c r="O149" t="s">
        <v>4</v>
      </c>
      <c r="P149" t="s">
        <v>12</v>
      </c>
      <c r="Q149" t="s">
        <v>4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12</v>
      </c>
      <c r="Z149" t="s">
        <v>4</v>
      </c>
      <c r="AA149" t="s">
        <v>12</v>
      </c>
      <c r="AB149" t="s">
        <v>116</v>
      </c>
      <c r="AC149" t="s">
        <v>55</v>
      </c>
      <c r="AD149" t="s">
        <v>5963</v>
      </c>
      <c r="AE149" t="s">
        <v>59</v>
      </c>
      <c r="AF149" t="s">
        <v>4</v>
      </c>
      <c r="AG149" t="s">
        <v>4</v>
      </c>
      <c r="AH149" t="s">
        <v>5508</v>
      </c>
      <c r="AI149" t="s">
        <v>5898</v>
      </c>
      <c r="AJ149" t="s">
        <v>4</v>
      </c>
      <c r="AK149">
        <v>9331249426</v>
      </c>
      <c r="AL149" t="s">
        <v>5964</v>
      </c>
      <c r="AM149" t="s">
        <v>5965</v>
      </c>
      <c r="AN149" t="s">
        <v>12</v>
      </c>
      <c r="AO149" t="s">
        <v>4</v>
      </c>
      <c r="AP149" t="s">
        <v>4</v>
      </c>
      <c r="AQ149" t="s">
        <v>658</v>
      </c>
      <c r="AR149" t="s">
        <v>12</v>
      </c>
      <c r="AS149" t="s">
        <v>12</v>
      </c>
      <c r="AT149" t="s">
        <v>4</v>
      </c>
      <c r="AU149" t="s">
        <v>4</v>
      </c>
      <c r="AV149" t="s">
        <v>4</v>
      </c>
      <c r="AW149" t="s">
        <v>11</v>
      </c>
      <c r="AX149">
        <v>9400</v>
      </c>
      <c r="AY149">
        <v>3500</v>
      </c>
      <c r="AZ149" t="s">
        <v>12</v>
      </c>
      <c r="BA149" t="s">
        <v>12</v>
      </c>
      <c r="BB149" t="s">
        <v>4</v>
      </c>
      <c r="BC149" t="s">
        <v>1135</v>
      </c>
      <c r="BD149" t="s">
        <v>5802</v>
      </c>
      <c r="BE149" t="s">
        <v>4</v>
      </c>
      <c r="BF149" t="s">
        <v>12</v>
      </c>
      <c r="BG149" t="s">
        <v>4</v>
      </c>
      <c r="BH149" t="s">
        <v>12</v>
      </c>
      <c r="BI149" t="s">
        <v>12</v>
      </c>
      <c r="BJ149" t="s">
        <v>5898</v>
      </c>
      <c r="BK149" t="s">
        <v>4</v>
      </c>
      <c r="BL149">
        <v>0</v>
      </c>
      <c r="BM149" t="s">
        <v>12</v>
      </c>
      <c r="BN149">
        <v>12900</v>
      </c>
      <c r="BO149" t="s">
        <v>12</v>
      </c>
      <c r="BP149" t="s">
        <v>12</v>
      </c>
      <c r="BQ149" t="s">
        <v>12</v>
      </c>
      <c r="BR149" t="s">
        <v>4</v>
      </c>
      <c r="BS149" t="s">
        <v>4</v>
      </c>
      <c r="BT149" t="s">
        <v>4</v>
      </c>
      <c r="BU149" t="s">
        <v>12</v>
      </c>
      <c r="BV149" t="s">
        <v>4</v>
      </c>
      <c r="BW149" t="s">
        <v>3</v>
      </c>
      <c r="BX149" t="s">
        <v>4</v>
      </c>
      <c r="BY149" t="s">
        <v>12</v>
      </c>
      <c r="BZ149" t="s">
        <v>12</v>
      </c>
      <c r="CA149" t="s">
        <v>12</v>
      </c>
      <c r="CB149" t="s">
        <v>1074</v>
      </c>
      <c r="CC149" t="s">
        <v>12</v>
      </c>
      <c r="CD149" t="str" cm="1">
        <f t="array" aca="1" ref="CD149" ca="1">eConcatenar(A149:CB149,"|")</f>
        <v>dBl9xqXW9NGoO8cT|COM2019-0361|3|ECONOLINE|TABASCO|COMALCALCO|COMALCALCO|2019-2-18|12900|X|X|200|1|x|X|x|X|X|X|X|X|X|X|X|x|X|x|RODRIGUEZ|GARCIA|RAUL ANIBAL|CASADO|X|X|CARRETERA VECINAL COMALCALCO - PARAISO |OCCIDENTE PRIMERA SECCION|X|9331249426|LORENA DEL CARMEN CORDOVA DE LOS SANTOS|BENEFICIARIO 2: KATIA DEL CARMEN RODRIGUEZ CORDOVA|x|X|X|MIERCOLES|x|x|X|X|X|DOMICILIO|9400|3500|x|x|X|2021-9-15|2021-9-29|X|x|X|x|x|OCCIDENTE PRIMERA SECCION|X|0|x|12900|x|x|x|X|X|X|x|X|CARDENAS|X|x|x|x|final</v>
      </c>
    </row>
    <row r="150" spans="1:82" x14ac:dyDescent="0.25">
      <c r="A150" t="s">
        <v>5966</v>
      </c>
      <c r="B150" t="s">
        <v>5967</v>
      </c>
      <c r="C150">
        <v>3</v>
      </c>
      <c r="D150" t="s">
        <v>14</v>
      </c>
      <c r="E150" t="s">
        <v>2</v>
      </c>
      <c r="F150" t="s">
        <v>654</v>
      </c>
      <c r="G150" t="s">
        <v>654</v>
      </c>
      <c r="H150" t="s">
        <v>5565</v>
      </c>
      <c r="I150">
        <v>19800</v>
      </c>
      <c r="J150" t="s">
        <v>4</v>
      </c>
      <c r="K150" t="s">
        <v>4</v>
      </c>
      <c r="L150">
        <v>400</v>
      </c>
      <c r="M150">
        <v>2</v>
      </c>
      <c r="N150" t="s">
        <v>12</v>
      </c>
      <c r="O150" t="s">
        <v>4</v>
      </c>
      <c r="P150" t="s">
        <v>12</v>
      </c>
      <c r="Q150" t="s">
        <v>4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12</v>
      </c>
      <c r="Z150" t="s">
        <v>4</v>
      </c>
      <c r="AA150" t="s">
        <v>12</v>
      </c>
      <c r="AB150" t="s">
        <v>294</v>
      </c>
      <c r="AC150" t="s">
        <v>28</v>
      </c>
      <c r="AD150" t="s">
        <v>5968</v>
      </c>
      <c r="AE150" t="s">
        <v>59</v>
      </c>
      <c r="AF150" t="s">
        <v>4</v>
      </c>
      <c r="AG150" t="s">
        <v>4</v>
      </c>
      <c r="AH150" t="s">
        <v>5969</v>
      </c>
      <c r="AI150" t="s">
        <v>5223</v>
      </c>
      <c r="AJ150" t="s">
        <v>4</v>
      </c>
      <c r="AK150">
        <v>9331132856</v>
      </c>
      <c r="AL150" t="s">
        <v>5970</v>
      </c>
      <c r="AM150" t="s">
        <v>5971</v>
      </c>
      <c r="AN150" t="s">
        <v>12</v>
      </c>
      <c r="AO150" t="s">
        <v>4</v>
      </c>
      <c r="AP150" t="s">
        <v>4</v>
      </c>
      <c r="AQ150" t="s">
        <v>658</v>
      </c>
      <c r="AR150" t="s">
        <v>12</v>
      </c>
      <c r="AS150" t="s">
        <v>12</v>
      </c>
      <c r="AT150" t="s">
        <v>4</v>
      </c>
      <c r="AU150" t="s">
        <v>4</v>
      </c>
      <c r="AV150" t="s">
        <v>4</v>
      </c>
      <c r="AW150" t="s">
        <v>11</v>
      </c>
      <c r="AX150">
        <v>10400</v>
      </c>
      <c r="AY150">
        <v>9400</v>
      </c>
      <c r="AZ150" t="s">
        <v>12</v>
      </c>
      <c r="BA150" t="s">
        <v>12</v>
      </c>
      <c r="BB150" t="s">
        <v>4</v>
      </c>
      <c r="BC150" t="s">
        <v>5792</v>
      </c>
      <c r="BD150" t="s">
        <v>5793</v>
      </c>
      <c r="BE150" t="s">
        <v>4</v>
      </c>
      <c r="BF150" t="s">
        <v>12</v>
      </c>
      <c r="BG150" t="s">
        <v>4</v>
      </c>
      <c r="BH150" t="s">
        <v>12</v>
      </c>
      <c r="BI150" t="s">
        <v>12</v>
      </c>
      <c r="BJ150" t="s">
        <v>5223</v>
      </c>
      <c r="BK150" t="s">
        <v>4</v>
      </c>
      <c r="BL150">
        <v>0</v>
      </c>
      <c r="BM150" t="s">
        <v>12</v>
      </c>
      <c r="BN150">
        <v>19800</v>
      </c>
      <c r="BO150" t="s">
        <v>12</v>
      </c>
      <c r="BP150" t="s">
        <v>12</v>
      </c>
      <c r="BQ150" t="s">
        <v>12</v>
      </c>
      <c r="BR150" t="s">
        <v>4</v>
      </c>
      <c r="BS150" t="s">
        <v>4</v>
      </c>
      <c r="BT150" t="s">
        <v>4</v>
      </c>
      <c r="BU150" t="s">
        <v>12</v>
      </c>
      <c r="BV150" t="s">
        <v>4</v>
      </c>
      <c r="BW150" t="s">
        <v>3</v>
      </c>
      <c r="BX150" t="s">
        <v>4</v>
      </c>
      <c r="BY150" t="s">
        <v>12</v>
      </c>
      <c r="BZ150" t="s">
        <v>12</v>
      </c>
      <c r="CA150" t="s">
        <v>12</v>
      </c>
      <c r="CB150" t="s">
        <v>1074</v>
      </c>
      <c r="CC150" t="s">
        <v>12</v>
      </c>
      <c r="CD150" t="str" cm="1">
        <f t="array" aca="1" ref="CD150" ca="1">eConcatenar(A150:CB150,"|")</f>
        <v>sGYfGBCO3ekdoaB2|PAR2018-0603|3|ZAFIRO|TABASCO|PARAISO|PARAISO|2018-5-14|19800|X|X|400|2|x|X|x|X|X|X|X|X|X|X|X|x|X|x|ARIAS|CORDOVA|JOSE MARIA|CASADO|X|X|CARRETERA VECINAL COMALCALCO - PARAISO SIN NUMERO|MOCTEZUMA|X|9331132856|RAFAEL ARIAS ALEJANDRO |BENEFICIARIO 2: MARCOS ARIAS ALEJANDRO|x|X|X|MIERCOLES|x|x|X|X|X|DOMICILIO|10400|9400|x|x|X|2021-9-01|2021-10-06|X|x|X|x|x|MOCTEZUMA|X|0|x|19800|x|x|x|X|X|X|x|X|CARDENAS|X|x|x|x|final</v>
      </c>
    </row>
    <row r="151" spans="1:82" x14ac:dyDescent="0.25">
      <c r="A151" t="s">
        <v>5972</v>
      </c>
      <c r="B151" t="s">
        <v>5973</v>
      </c>
      <c r="C151">
        <v>3</v>
      </c>
      <c r="D151" t="s">
        <v>194</v>
      </c>
      <c r="E151" t="s">
        <v>2</v>
      </c>
      <c r="F151" t="s">
        <v>654</v>
      </c>
      <c r="G151" t="s">
        <v>654</v>
      </c>
      <c r="H151" t="s">
        <v>5974</v>
      </c>
      <c r="I151">
        <v>12900</v>
      </c>
      <c r="J151" t="s">
        <v>4</v>
      </c>
      <c r="K151" t="s">
        <v>4</v>
      </c>
      <c r="L151">
        <v>400</v>
      </c>
      <c r="M151">
        <v>2</v>
      </c>
      <c r="N151" t="s">
        <v>12</v>
      </c>
      <c r="O151" t="s">
        <v>4</v>
      </c>
      <c r="P151" t="s">
        <v>12</v>
      </c>
      <c r="Q151" t="s">
        <v>4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12</v>
      </c>
      <c r="Z151" t="s">
        <v>4</v>
      </c>
      <c r="AA151" t="s">
        <v>12</v>
      </c>
      <c r="AB151" t="s">
        <v>327</v>
      </c>
      <c r="AC151" t="s">
        <v>5975</v>
      </c>
      <c r="AD151" t="s">
        <v>5976</v>
      </c>
      <c r="AE151" t="s">
        <v>48</v>
      </c>
      <c r="AF151" t="s">
        <v>4</v>
      </c>
      <c r="AG151" t="s">
        <v>4</v>
      </c>
      <c r="AH151" t="s">
        <v>5977</v>
      </c>
      <c r="AI151" t="s">
        <v>40</v>
      </c>
      <c r="AJ151" t="s">
        <v>4</v>
      </c>
      <c r="AK151">
        <v>9331198837</v>
      </c>
      <c r="AL151" t="s">
        <v>5978</v>
      </c>
      <c r="AM151" t="s">
        <v>5979</v>
      </c>
      <c r="AN151" t="s">
        <v>12</v>
      </c>
      <c r="AO151" t="s">
        <v>4</v>
      </c>
      <c r="AP151" t="s">
        <v>4</v>
      </c>
      <c r="AQ151" t="s">
        <v>658</v>
      </c>
      <c r="AR151" t="s">
        <v>12</v>
      </c>
      <c r="AS151" t="s">
        <v>12</v>
      </c>
      <c r="AT151" t="s">
        <v>4</v>
      </c>
      <c r="AU151" t="s">
        <v>4</v>
      </c>
      <c r="AV151" t="s">
        <v>4</v>
      </c>
      <c r="AW151" t="s">
        <v>11</v>
      </c>
      <c r="AX151">
        <v>5400</v>
      </c>
      <c r="AY151">
        <v>7500</v>
      </c>
      <c r="AZ151" t="s">
        <v>12</v>
      </c>
      <c r="BA151" t="s">
        <v>12</v>
      </c>
      <c r="BB151" t="s">
        <v>4</v>
      </c>
      <c r="BC151" t="s">
        <v>5792</v>
      </c>
      <c r="BD151" t="s">
        <v>5793</v>
      </c>
      <c r="BE151" t="s">
        <v>4</v>
      </c>
      <c r="BF151" t="s">
        <v>12</v>
      </c>
      <c r="BG151" t="s">
        <v>4</v>
      </c>
      <c r="BH151" t="s">
        <v>12</v>
      </c>
      <c r="BI151" t="s">
        <v>12</v>
      </c>
      <c r="BJ151" t="s">
        <v>40</v>
      </c>
      <c r="BK151" t="s">
        <v>4</v>
      </c>
      <c r="BL151">
        <v>1</v>
      </c>
      <c r="BM151" t="s">
        <v>12</v>
      </c>
      <c r="BN151">
        <v>12900</v>
      </c>
      <c r="BO151" t="s">
        <v>12</v>
      </c>
      <c r="BP151" t="s">
        <v>12</v>
      </c>
      <c r="BQ151" t="s">
        <v>12</v>
      </c>
      <c r="BR151" t="s">
        <v>4</v>
      </c>
      <c r="BS151" t="s">
        <v>4</v>
      </c>
      <c r="BT151" t="s">
        <v>4</v>
      </c>
      <c r="BU151" t="s">
        <v>12</v>
      </c>
      <c r="BV151" t="s">
        <v>4</v>
      </c>
      <c r="BW151" t="s">
        <v>3</v>
      </c>
      <c r="BX151" t="s">
        <v>4</v>
      </c>
      <c r="BY151" t="s">
        <v>12</v>
      </c>
      <c r="BZ151" t="s">
        <v>12</v>
      </c>
      <c r="CA151" t="s">
        <v>12</v>
      </c>
      <c r="CB151" t="s">
        <v>1074</v>
      </c>
      <c r="CC151" t="s">
        <v>12</v>
      </c>
      <c r="CD151" t="str" cm="1">
        <f t="array" aca="1" ref="CD151" ca="1">eConcatenar(A151:CB151,"|")</f>
        <v>EUmKM4J4l5tm2UgE|PAR2020-1711|3|ECONOLINE|TABASCO|PARAISO|PARAISO|2020-8-24|12900|X|X|400|2|x|X|x|X|X|X|X|X|X|X|X|x|X|x|CASTILLO|ZENTENO|NANCY EDWVIGES|SOLTERA|X|X|CALLE 5 DE MAYO |CENTRO|X|9331198837|MARIA MAGDALENA ZENTENO ULIN|BENEFICIARIO 2: LISSETTE CASTILLO ZENTENO|x|X|X|MIERCOLES|x|x|X|X|X|DOMICILIO|5400|7500|x|x|X|2021-9-01|2021-10-06|X|x|X|x|x|CENTRO|X|1|x|12900|x|x|x|X|X|X|x|X|CARDENAS|X|x|x|x|final</v>
      </c>
    </row>
    <row r="152" spans="1:82" x14ac:dyDescent="0.25">
      <c r="A152" t="s">
        <v>5980</v>
      </c>
      <c r="B152" t="s">
        <v>5981</v>
      </c>
      <c r="C152">
        <v>3</v>
      </c>
      <c r="D152" t="s">
        <v>194</v>
      </c>
      <c r="E152" t="s">
        <v>2</v>
      </c>
      <c r="F152" t="s">
        <v>654</v>
      </c>
      <c r="G152" t="s">
        <v>654</v>
      </c>
      <c r="H152" t="s">
        <v>4968</v>
      </c>
      <c r="I152">
        <v>12900</v>
      </c>
      <c r="J152" t="s">
        <v>4</v>
      </c>
      <c r="K152" t="s">
        <v>4</v>
      </c>
      <c r="L152">
        <v>400</v>
      </c>
      <c r="M152">
        <v>2</v>
      </c>
      <c r="N152" t="s">
        <v>12</v>
      </c>
      <c r="O152" t="s">
        <v>4</v>
      </c>
      <c r="P152" t="s">
        <v>12</v>
      </c>
      <c r="Q152" t="s">
        <v>4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12</v>
      </c>
      <c r="Z152" t="s">
        <v>4</v>
      </c>
      <c r="AA152" t="s">
        <v>12</v>
      </c>
      <c r="AB152" t="s">
        <v>28</v>
      </c>
      <c r="AC152" t="s">
        <v>512</v>
      </c>
      <c r="AD152" t="s">
        <v>5982</v>
      </c>
      <c r="AE152" t="s">
        <v>355</v>
      </c>
      <c r="AF152" t="s">
        <v>4</v>
      </c>
      <c r="AG152" t="s">
        <v>4</v>
      </c>
      <c r="AH152" t="s">
        <v>5016</v>
      </c>
      <c r="AI152" t="s">
        <v>753</v>
      </c>
      <c r="AJ152" t="s">
        <v>5983</v>
      </c>
      <c r="AK152">
        <v>9331670825</v>
      </c>
      <c r="AL152" t="s">
        <v>5984</v>
      </c>
      <c r="AM152" t="s">
        <v>5985</v>
      </c>
      <c r="AN152" t="s">
        <v>12</v>
      </c>
      <c r="AO152" t="s">
        <v>4</v>
      </c>
      <c r="AP152" t="s">
        <v>4</v>
      </c>
      <c r="AQ152" t="s">
        <v>658</v>
      </c>
      <c r="AR152" t="s">
        <v>12</v>
      </c>
      <c r="AS152" t="s">
        <v>12</v>
      </c>
      <c r="AT152" t="s">
        <v>4</v>
      </c>
      <c r="AU152" t="s">
        <v>4</v>
      </c>
      <c r="AV152" t="s">
        <v>4</v>
      </c>
      <c r="AW152" t="s">
        <v>11</v>
      </c>
      <c r="AX152">
        <v>6200</v>
      </c>
      <c r="AY152">
        <v>6700</v>
      </c>
      <c r="AZ152" t="s">
        <v>12</v>
      </c>
      <c r="BA152" t="s">
        <v>12</v>
      </c>
      <c r="BB152" t="s">
        <v>4</v>
      </c>
      <c r="BC152" t="s">
        <v>5792</v>
      </c>
      <c r="BD152" t="s">
        <v>5309</v>
      </c>
      <c r="BE152" t="s">
        <v>4</v>
      </c>
      <c r="BF152" t="s">
        <v>12</v>
      </c>
      <c r="BG152" t="s">
        <v>4</v>
      </c>
      <c r="BH152" t="s">
        <v>12</v>
      </c>
      <c r="BI152" t="s">
        <v>12</v>
      </c>
      <c r="BJ152" t="s">
        <v>753</v>
      </c>
      <c r="BK152" t="s">
        <v>4</v>
      </c>
      <c r="BL152">
        <v>1</v>
      </c>
      <c r="BM152" t="s">
        <v>12</v>
      </c>
      <c r="BN152">
        <v>12900</v>
      </c>
      <c r="BO152" t="s">
        <v>12</v>
      </c>
      <c r="BP152" t="s">
        <v>12</v>
      </c>
      <c r="BQ152" t="s">
        <v>12</v>
      </c>
      <c r="BR152" t="s">
        <v>4</v>
      </c>
      <c r="BS152" t="s">
        <v>4</v>
      </c>
      <c r="BT152" t="s">
        <v>4</v>
      </c>
      <c r="BU152" t="s">
        <v>12</v>
      </c>
      <c r="BV152" t="s">
        <v>4</v>
      </c>
      <c r="BW152" t="s">
        <v>3</v>
      </c>
      <c r="BX152" t="s">
        <v>4</v>
      </c>
      <c r="BY152" t="s">
        <v>12</v>
      </c>
      <c r="BZ152" t="s">
        <v>12</v>
      </c>
      <c r="CA152" t="s">
        <v>12</v>
      </c>
      <c r="CB152" t="s">
        <v>1074</v>
      </c>
      <c r="CC152" t="s">
        <v>12</v>
      </c>
      <c r="CD152" t="str" cm="1">
        <f t="array" aca="1" ref="CD152" ca="1">eConcatenar(A152:CB152,"|")</f>
        <v>LymKxJmSxALoy4wx|PAR2020-0582|3|ECONOLINE|TABASCO|PARAISO|PARAISO|2020-3-10|12900|X|X|400|2|x|X|x|X|X|X|X|X|X|X|X|x|X|x|CORDOVA|ALCUDIA|ALMA GRACIELA|SEPARADA|X|X|CALLE 8 DE OCTUBRE|VILLA PUERTO CEIBA|ENTRE CALLE PRIMERO DE MAYO|9331670825|EDUARDO CORDOVA ALCUDIA|BENEFICIARIO 2: ALEJANDRO PEREZ CORDOVA|x|X|X|MIERCOLES|x|x|X|X|X|DOMICILIO|6200|6700|x|x|X|2021-9-01|2021-9-06|X|x|X|x|x|VILLA PUERTO CEIBA|X|1|x|12900|x|x|x|X|X|X|x|X|CARDENAS|X|x|x|x|final</v>
      </c>
    </row>
    <row r="153" spans="1:82" x14ac:dyDescent="0.25">
      <c r="A153" t="s">
        <v>5986</v>
      </c>
      <c r="B153" t="s">
        <v>5987</v>
      </c>
      <c r="C153">
        <v>3</v>
      </c>
      <c r="D153" t="s">
        <v>194</v>
      </c>
      <c r="E153" t="s">
        <v>2</v>
      </c>
      <c r="F153" t="s">
        <v>654</v>
      </c>
      <c r="G153" t="s">
        <v>654</v>
      </c>
      <c r="H153" t="s">
        <v>5988</v>
      </c>
      <c r="I153">
        <v>12900</v>
      </c>
      <c r="J153" t="s">
        <v>4</v>
      </c>
      <c r="K153" t="s">
        <v>4</v>
      </c>
      <c r="L153">
        <v>400</v>
      </c>
      <c r="M153">
        <v>2</v>
      </c>
      <c r="N153" t="s">
        <v>12</v>
      </c>
      <c r="O153" t="s">
        <v>4</v>
      </c>
      <c r="P153" t="s">
        <v>12</v>
      </c>
      <c r="Q153" t="s">
        <v>4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12</v>
      </c>
      <c r="Z153" t="s">
        <v>4</v>
      </c>
      <c r="AA153" t="s">
        <v>12</v>
      </c>
      <c r="AB153" t="s">
        <v>153</v>
      </c>
      <c r="AC153" t="s">
        <v>141</v>
      </c>
      <c r="AD153" t="s">
        <v>5989</v>
      </c>
      <c r="AE153" t="s">
        <v>59</v>
      </c>
      <c r="AF153" t="s">
        <v>4</v>
      </c>
      <c r="AG153" t="s">
        <v>4</v>
      </c>
      <c r="AH153" t="s">
        <v>5990</v>
      </c>
      <c r="AI153" t="s">
        <v>40</v>
      </c>
      <c r="AJ153" t="s">
        <v>4</v>
      </c>
      <c r="AK153">
        <v>9331077458</v>
      </c>
      <c r="AL153" t="s">
        <v>5991</v>
      </c>
      <c r="AM153" t="s">
        <v>5992</v>
      </c>
      <c r="AN153" t="s">
        <v>12</v>
      </c>
      <c r="AO153" t="s">
        <v>4</v>
      </c>
      <c r="AP153" t="s">
        <v>4</v>
      </c>
      <c r="AQ153" t="s">
        <v>658</v>
      </c>
      <c r="AR153" t="s">
        <v>12</v>
      </c>
      <c r="AS153" t="s">
        <v>12</v>
      </c>
      <c r="AT153" t="s">
        <v>4</v>
      </c>
      <c r="AU153" t="s">
        <v>4</v>
      </c>
      <c r="AV153" t="s">
        <v>4</v>
      </c>
      <c r="AW153" t="s">
        <v>11</v>
      </c>
      <c r="AX153">
        <v>7000</v>
      </c>
      <c r="AY153">
        <v>5900</v>
      </c>
      <c r="AZ153" t="s">
        <v>12</v>
      </c>
      <c r="BA153" t="s">
        <v>12</v>
      </c>
      <c r="BB153" t="s">
        <v>4</v>
      </c>
      <c r="BC153" t="s">
        <v>5792</v>
      </c>
      <c r="BD153" t="s">
        <v>5309</v>
      </c>
      <c r="BE153" t="s">
        <v>4</v>
      </c>
      <c r="BF153" t="s">
        <v>12</v>
      </c>
      <c r="BG153" t="s">
        <v>4</v>
      </c>
      <c r="BH153" t="s">
        <v>12</v>
      </c>
      <c r="BI153" t="s">
        <v>12</v>
      </c>
      <c r="BJ153" t="s">
        <v>40</v>
      </c>
      <c r="BK153" t="s">
        <v>4</v>
      </c>
      <c r="BL153">
        <v>0</v>
      </c>
      <c r="BM153" t="s">
        <v>12</v>
      </c>
      <c r="BN153">
        <v>12900</v>
      </c>
      <c r="BO153" t="s">
        <v>12</v>
      </c>
      <c r="BP153" t="s">
        <v>12</v>
      </c>
      <c r="BQ153" t="s">
        <v>12</v>
      </c>
      <c r="BR153" t="s">
        <v>4</v>
      </c>
      <c r="BS153" t="s">
        <v>4</v>
      </c>
      <c r="BT153" t="s">
        <v>4</v>
      </c>
      <c r="BU153" t="s">
        <v>12</v>
      </c>
      <c r="BV153" t="s">
        <v>4</v>
      </c>
      <c r="BW153" t="s">
        <v>3</v>
      </c>
      <c r="BX153" t="s">
        <v>4</v>
      </c>
      <c r="BY153" t="s">
        <v>12</v>
      </c>
      <c r="BZ153" t="s">
        <v>12</v>
      </c>
      <c r="CA153" t="s">
        <v>12</v>
      </c>
      <c r="CB153" t="s">
        <v>1074</v>
      </c>
      <c r="CC153" t="s">
        <v>12</v>
      </c>
      <c r="CD153" t="str" cm="1">
        <f t="array" aca="1" ref="CD153" ca="1">eConcatenar(A153:CB153,"|")</f>
        <v>NgvKn8dzB5O8JNvs|PAR2020-1482|3|ECONOLINE|TABASCO|PARAISO|PARAISO|2020-7-13|12900|X|X|400|2|x|X|x|X|X|X|X|X|X|X|X|x|X|x|GONZALEZ|RAMIREZ|JOSE GUADALUPE|CASADO|X|X|CALLE IGNACIO COMONFORT 601|CENTRO|X|9331077458|ANDREA GONZALEZ RAMIREZ|BENEFICIARIO 2: MARBELLA GONZALEZ RAMIREZ|x|X|X|MIERCOLES|x|x|X|X|X|DOMICILIO|7000|5900|x|x|X|2021-9-01|2021-9-06|X|x|X|x|x|CENTRO|X|0|x|12900|x|x|x|X|X|X|x|X|CARDENAS|X|x|x|x|final</v>
      </c>
    </row>
    <row r="154" spans="1:82" x14ac:dyDescent="0.25">
      <c r="A154" t="s">
        <v>5993</v>
      </c>
      <c r="B154" t="s">
        <v>5994</v>
      </c>
      <c r="C154">
        <v>3</v>
      </c>
      <c r="D154" t="s">
        <v>14</v>
      </c>
      <c r="E154" t="s">
        <v>2</v>
      </c>
      <c r="F154" t="s">
        <v>654</v>
      </c>
      <c r="G154" t="s">
        <v>654</v>
      </c>
      <c r="H154" t="s">
        <v>5995</v>
      </c>
      <c r="I154">
        <v>19800</v>
      </c>
      <c r="J154" t="s">
        <v>4</v>
      </c>
      <c r="K154" t="s">
        <v>4</v>
      </c>
      <c r="L154">
        <v>200</v>
      </c>
      <c r="M154">
        <v>1</v>
      </c>
      <c r="N154" t="s">
        <v>12</v>
      </c>
      <c r="O154" t="s">
        <v>4</v>
      </c>
      <c r="P154" t="s">
        <v>12</v>
      </c>
      <c r="Q154" t="s">
        <v>4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12</v>
      </c>
      <c r="Z154" t="s">
        <v>4</v>
      </c>
      <c r="AA154" t="s">
        <v>12</v>
      </c>
      <c r="AB154" t="s">
        <v>5996</v>
      </c>
      <c r="AC154" t="s">
        <v>342</v>
      </c>
      <c r="AD154" t="s">
        <v>5997</v>
      </c>
      <c r="AE154" t="s">
        <v>134</v>
      </c>
      <c r="AF154" t="s">
        <v>4</v>
      </c>
      <c r="AG154" t="s">
        <v>4</v>
      </c>
      <c r="AH154" t="s">
        <v>5998</v>
      </c>
      <c r="AI154" t="s">
        <v>219</v>
      </c>
      <c r="AJ154" t="s">
        <v>4</v>
      </c>
      <c r="AK154">
        <v>9331230253</v>
      </c>
      <c r="AL154" t="s">
        <v>5999</v>
      </c>
      <c r="AM154" t="s">
        <v>6000</v>
      </c>
      <c r="AN154" t="s">
        <v>12</v>
      </c>
      <c r="AO154" t="s">
        <v>4</v>
      </c>
      <c r="AP154" t="s">
        <v>4</v>
      </c>
      <c r="AQ154" t="s">
        <v>658</v>
      </c>
      <c r="AR154" t="s">
        <v>12</v>
      </c>
      <c r="AS154" t="s">
        <v>12</v>
      </c>
      <c r="AT154" t="s">
        <v>4</v>
      </c>
      <c r="AU154" t="s">
        <v>4</v>
      </c>
      <c r="AV154" t="s">
        <v>4</v>
      </c>
      <c r="AW154" t="s">
        <v>11</v>
      </c>
      <c r="AX154">
        <v>8100</v>
      </c>
      <c r="AY154">
        <v>11700</v>
      </c>
      <c r="AZ154" t="s">
        <v>12</v>
      </c>
      <c r="BA154" t="s">
        <v>12</v>
      </c>
      <c r="BB154" t="s">
        <v>4</v>
      </c>
      <c r="BC154" t="s">
        <v>1136</v>
      </c>
      <c r="BD154" t="s">
        <v>5802</v>
      </c>
      <c r="BE154" t="s">
        <v>4</v>
      </c>
      <c r="BF154" t="s">
        <v>12</v>
      </c>
      <c r="BG154" t="s">
        <v>4</v>
      </c>
      <c r="BH154" t="s">
        <v>12</v>
      </c>
      <c r="BI154" t="s">
        <v>12</v>
      </c>
      <c r="BJ154" t="s">
        <v>219</v>
      </c>
      <c r="BK154" t="s">
        <v>4</v>
      </c>
      <c r="BL154">
        <v>1</v>
      </c>
      <c r="BM154" t="s">
        <v>12</v>
      </c>
      <c r="BN154">
        <v>19800</v>
      </c>
      <c r="BO154" t="s">
        <v>12</v>
      </c>
      <c r="BP154" t="s">
        <v>12</v>
      </c>
      <c r="BQ154" t="s">
        <v>12</v>
      </c>
      <c r="BR154" t="s">
        <v>4</v>
      </c>
      <c r="BS154" t="s">
        <v>4</v>
      </c>
      <c r="BT154" t="s">
        <v>4</v>
      </c>
      <c r="BU154" t="s">
        <v>12</v>
      </c>
      <c r="BV154" t="s">
        <v>4</v>
      </c>
      <c r="BW154" t="s">
        <v>3</v>
      </c>
      <c r="BX154" t="s">
        <v>4</v>
      </c>
      <c r="BY154" t="s">
        <v>12</v>
      </c>
      <c r="BZ154" t="s">
        <v>12</v>
      </c>
      <c r="CA154" t="s">
        <v>12</v>
      </c>
      <c r="CB154" t="s">
        <v>1074</v>
      </c>
      <c r="CC154" t="s">
        <v>12</v>
      </c>
      <c r="CD154" t="str" cm="1">
        <f t="array" aca="1" ref="CD154" ca="1">eConcatenar(A154:CB154,"|")</f>
        <v>HFh0VmULpZBKlGQl|PAR2019-2899|3|ZAFIRO|TABASCO|PARAISO|PARAISO|2019-10-26|19800|X|X|200|1|x|X|x|X|X|X|X|X|X|X|X|x|X|x|CABAÑAS|CABRERA|MATILDE|VIUDA|X|X|CALLE PROLONGACION GREGORIO MENDEZ NUMERO 1454|EL LIMON|X|9331230253|YENY ARLET NORIEGA CABAÑAS|BENEFICIARIO 2: MANUEL FRANCISCO PALMA NORIEGA|x|X|X|MIERCOLES|x|x|X|X|X|DOMICILIO|8100|11700|x|x|X|2021-9-16|2021-9-29|X|x|X|x|x|EL LIMON|X|1|x|19800|x|x|x|X|X|X|x|X|CARDENAS|X|x|x|x|final</v>
      </c>
    </row>
    <row r="155" spans="1:82" x14ac:dyDescent="0.25">
      <c r="A155" t="s">
        <v>6001</v>
      </c>
      <c r="B155" t="s">
        <v>6002</v>
      </c>
      <c r="C155">
        <v>3</v>
      </c>
      <c r="D155" t="s">
        <v>194</v>
      </c>
      <c r="E155" t="s">
        <v>2</v>
      </c>
      <c r="F155" t="s">
        <v>654</v>
      </c>
      <c r="G155" t="s">
        <v>654</v>
      </c>
      <c r="H155" t="s">
        <v>5421</v>
      </c>
      <c r="I155">
        <v>12900</v>
      </c>
      <c r="J155" t="s">
        <v>4</v>
      </c>
      <c r="K155" t="s">
        <v>4</v>
      </c>
      <c r="L155">
        <v>200</v>
      </c>
      <c r="M155">
        <v>1</v>
      </c>
      <c r="N155" t="s">
        <v>12</v>
      </c>
      <c r="O155" t="s">
        <v>4</v>
      </c>
      <c r="P155" t="s">
        <v>12</v>
      </c>
      <c r="Q155" t="s">
        <v>4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12</v>
      </c>
      <c r="Z155" t="s">
        <v>4</v>
      </c>
      <c r="AA155" t="s">
        <v>12</v>
      </c>
      <c r="AB155" t="s">
        <v>655</v>
      </c>
      <c r="AC155" t="s">
        <v>15</v>
      </c>
      <c r="AD155" t="s">
        <v>5891</v>
      </c>
      <c r="AE155" t="s">
        <v>29</v>
      </c>
      <c r="AF155" t="s">
        <v>4</v>
      </c>
      <c r="AG155" t="s">
        <v>4</v>
      </c>
      <c r="AH155" t="s">
        <v>6003</v>
      </c>
      <c r="AI155" t="s">
        <v>40</v>
      </c>
      <c r="AJ155" t="s">
        <v>4</v>
      </c>
      <c r="AK155">
        <v>9331312409</v>
      </c>
      <c r="AL155" t="s">
        <v>6004</v>
      </c>
      <c r="AM155" t="s">
        <v>6005</v>
      </c>
      <c r="AN155" t="s">
        <v>12</v>
      </c>
      <c r="AO155" t="s">
        <v>4</v>
      </c>
      <c r="AP155" t="s">
        <v>4</v>
      </c>
      <c r="AQ155" t="s">
        <v>658</v>
      </c>
      <c r="AR155" t="s">
        <v>12</v>
      </c>
      <c r="AS155" t="s">
        <v>12</v>
      </c>
      <c r="AT155" t="s">
        <v>4</v>
      </c>
      <c r="AU155" t="s">
        <v>4</v>
      </c>
      <c r="AV155" t="s">
        <v>4</v>
      </c>
      <c r="AW155" t="s">
        <v>11</v>
      </c>
      <c r="AX155">
        <v>9900</v>
      </c>
      <c r="AY155">
        <v>3000</v>
      </c>
      <c r="AZ155" t="s">
        <v>12</v>
      </c>
      <c r="BA155" t="s">
        <v>12</v>
      </c>
      <c r="BB155" t="s">
        <v>4</v>
      </c>
      <c r="BC155" t="s">
        <v>1136</v>
      </c>
      <c r="BD155" t="s">
        <v>5802</v>
      </c>
      <c r="BE155" t="s">
        <v>4</v>
      </c>
      <c r="BF155" t="s">
        <v>12</v>
      </c>
      <c r="BG155" t="s">
        <v>4</v>
      </c>
      <c r="BH155" t="s">
        <v>12</v>
      </c>
      <c r="BI155" t="s">
        <v>12</v>
      </c>
      <c r="BJ155" t="s">
        <v>40</v>
      </c>
      <c r="BK155" t="s">
        <v>4</v>
      </c>
      <c r="BL155">
        <v>1</v>
      </c>
      <c r="BM155" t="s">
        <v>12</v>
      </c>
      <c r="BN155">
        <v>12900</v>
      </c>
      <c r="BO155" t="s">
        <v>12</v>
      </c>
      <c r="BP155" t="s">
        <v>12</v>
      </c>
      <c r="BQ155" t="s">
        <v>12</v>
      </c>
      <c r="BR155" t="s">
        <v>4</v>
      </c>
      <c r="BS155" t="s">
        <v>4</v>
      </c>
      <c r="BT155" t="s">
        <v>4</v>
      </c>
      <c r="BU155" t="s">
        <v>12</v>
      </c>
      <c r="BV155" t="s">
        <v>4</v>
      </c>
      <c r="BW155" t="s">
        <v>3</v>
      </c>
      <c r="BX155" t="s">
        <v>4</v>
      </c>
      <c r="BY155" t="s">
        <v>12</v>
      </c>
      <c r="BZ155" t="s">
        <v>12</v>
      </c>
      <c r="CA155" t="s">
        <v>12</v>
      </c>
      <c r="CB155" t="s">
        <v>1074</v>
      </c>
      <c r="CC155" t="s">
        <v>12</v>
      </c>
      <c r="CD155" t="str" cm="1">
        <f t="array" aca="1" ref="CD155" ca="1">eConcatenar(A155:CB155,"|")</f>
        <v>tqWxa4bzJ8wp7ty7|PAR2019-0174|3|ECONOLINE|TABASCO|PARAISO|PARAISO|2019-1-29|12900|X|X|200|1|x|X|x|X|X|X|X|X|X|X|X|x|X|x|FLORES|JIMENEZ|MARIA DOLORES|CASADA|X|X|BUENOS AIRES NUMERO 704|CENTRO|X|9331312409|OCTAVIANO SANTOS ROJAS|BENEFICIARIO 2: UZIEL LANDERO FLORES|x|X|X|MIERCOLES|x|x|X|X|X|DOMICILIO|9900|3000|x|x|X|2021-9-16|2021-9-29|X|x|X|x|x|CENTRO|X|1|x|12900|x|x|x|X|X|X|x|X|CARDENAS|X|x|x|x|final</v>
      </c>
    </row>
    <row r="156" spans="1:82" x14ac:dyDescent="0.25">
      <c r="A156" t="s">
        <v>6006</v>
      </c>
      <c r="B156" t="s">
        <v>6007</v>
      </c>
      <c r="C156">
        <v>3</v>
      </c>
      <c r="D156" t="s">
        <v>194</v>
      </c>
      <c r="E156" t="s">
        <v>2</v>
      </c>
      <c r="F156" t="s">
        <v>654</v>
      </c>
      <c r="G156" t="s">
        <v>654</v>
      </c>
      <c r="H156" t="s">
        <v>1114</v>
      </c>
      <c r="I156">
        <v>12900</v>
      </c>
      <c r="J156" t="s">
        <v>4</v>
      </c>
      <c r="K156" t="s">
        <v>4</v>
      </c>
      <c r="L156">
        <v>200</v>
      </c>
      <c r="M156">
        <v>1</v>
      </c>
      <c r="N156" t="s">
        <v>12</v>
      </c>
      <c r="O156" t="s">
        <v>4</v>
      </c>
      <c r="P156" t="s">
        <v>12</v>
      </c>
      <c r="Q156" t="s">
        <v>4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12</v>
      </c>
      <c r="Z156" t="s">
        <v>4</v>
      </c>
      <c r="AA156" t="s">
        <v>12</v>
      </c>
      <c r="AB156" t="s">
        <v>47</v>
      </c>
      <c r="AC156" t="s">
        <v>109</v>
      </c>
      <c r="AD156" t="s">
        <v>6008</v>
      </c>
      <c r="AE156" t="s">
        <v>29</v>
      </c>
      <c r="AF156" t="s">
        <v>4</v>
      </c>
      <c r="AG156" t="s">
        <v>4</v>
      </c>
      <c r="AH156" t="s">
        <v>6009</v>
      </c>
      <c r="AI156" t="s">
        <v>5026</v>
      </c>
      <c r="AJ156" t="s">
        <v>4</v>
      </c>
      <c r="AK156">
        <v>9331039507</v>
      </c>
      <c r="AL156" t="s">
        <v>6010</v>
      </c>
      <c r="AM156" t="s">
        <v>6011</v>
      </c>
      <c r="AN156" t="s">
        <v>12</v>
      </c>
      <c r="AO156" t="s">
        <v>4</v>
      </c>
      <c r="AP156" t="s">
        <v>4</v>
      </c>
      <c r="AQ156" t="s">
        <v>658</v>
      </c>
      <c r="AR156" t="s">
        <v>12</v>
      </c>
      <c r="AS156" t="s">
        <v>12</v>
      </c>
      <c r="AT156" t="s">
        <v>4</v>
      </c>
      <c r="AU156" t="s">
        <v>4</v>
      </c>
      <c r="AV156" t="s">
        <v>4</v>
      </c>
      <c r="AW156" t="s">
        <v>11</v>
      </c>
      <c r="AX156">
        <v>8600</v>
      </c>
      <c r="AY156">
        <v>4300</v>
      </c>
      <c r="AZ156" t="s">
        <v>12</v>
      </c>
      <c r="BA156" t="s">
        <v>12</v>
      </c>
      <c r="BB156" t="s">
        <v>4</v>
      </c>
      <c r="BC156" t="s">
        <v>1136</v>
      </c>
      <c r="BD156" t="s">
        <v>5802</v>
      </c>
      <c r="BE156" t="s">
        <v>4</v>
      </c>
      <c r="BF156" t="s">
        <v>12</v>
      </c>
      <c r="BG156" t="s">
        <v>4</v>
      </c>
      <c r="BH156" t="s">
        <v>12</v>
      </c>
      <c r="BI156" t="s">
        <v>12</v>
      </c>
      <c r="BJ156" t="s">
        <v>5026</v>
      </c>
      <c r="BK156" t="s">
        <v>4</v>
      </c>
      <c r="BL156">
        <v>1</v>
      </c>
      <c r="BM156" t="s">
        <v>12</v>
      </c>
      <c r="BN156">
        <v>12900</v>
      </c>
      <c r="BO156" t="s">
        <v>12</v>
      </c>
      <c r="BP156" t="s">
        <v>12</v>
      </c>
      <c r="BQ156" t="s">
        <v>12</v>
      </c>
      <c r="BR156" t="s">
        <v>4</v>
      </c>
      <c r="BS156" t="s">
        <v>4</v>
      </c>
      <c r="BT156" t="s">
        <v>4</v>
      </c>
      <c r="BU156" t="s">
        <v>12</v>
      </c>
      <c r="BV156" t="s">
        <v>4</v>
      </c>
      <c r="BW156" t="s">
        <v>3</v>
      </c>
      <c r="BX156" t="s">
        <v>4</v>
      </c>
      <c r="BY156" t="s">
        <v>12</v>
      </c>
      <c r="BZ156" t="s">
        <v>12</v>
      </c>
      <c r="CA156" t="s">
        <v>12</v>
      </c>
      <c r="CB156" t="s">
        <v>1074</v>
      </c>
      <c r="CC156" t="s">
        <v>12</v>
      </c>
      <c r="CD156" t="str" cm="1">
        <f t="array" aca="1" ref="CD156" ca="1">eConcatenar(A156:CB156,"|")</f>
        <v>ZcivWtBAqEFUGSxF|PAR2019-2547|3|ECONOLINE|TABASCO|PARAISO|PARAISO|2019-9-10|12900|X|X|200|1|x|X|x|X|X|X|X|X|X|X|X|x|X|x|SANCHEZ|PEREZ|JANETT|CASADA|X|X|CALLE CARRETERA FEDERAL COMALCALCO - PARAISO |ORIENTE SEGUNDA SECCION|X|9331039507|SIMON RICARDEZ SANCHEZ|BENEFICIARIO 2: AGUSTIN ALBERTO RICARDEZ SANCHEZ|x|X|X|MIERCOLES|x|x|X|X|X|DOMICILIO|8600|4300|x|x|X|2021-9-16|2021-9-29|X|x|X|x|x|ORIENTE SEGUNDA SECCION|X|1|x|12900|x|x|x|X|X|X|x|X|CARDENAS|X|x|x|x|final</v>
      </c>
    </row>
    <row r="157" spans="1:82" x14ac:dyDescent="0.25">
      <c r="A157" t="s">
        <v>6012</v>
      </c>
      <c r="B157" t="s">
        <v>6013</v>
      </c>
      <c r="C157">
        <v>3</v>
      </c>
      <c r="D157" t="s">
        <v>194</v>
      </c>
      <c r="E157" t="s">
        <v>2</v>
      </c>
      <c r="F157" t="s">
        <v>654</v>
      </c>
      <c r="G157" t="s">
        <v>654</v>
      </c>
      <c r="H157" t="s">
        <v>6014</v>
      </c>
      <c r="I157">
        <v>12900</v>
      </c>
      <c r="J157" t="s">
        <v>4</v>
      </c>
      <c r="K157" t="s">
        <v>4</v>
      </c>
      <c r="L157">
        <v>200</v>
      </c>
      <c r="M157">
        <v>1</v>
      </c>
      <c r="N157" t="s">
        <v>12</v>
      </c>
      <c r="O157" t="s">
        <v>4</v>
      </c>
      <c r="P157" t="s">
        <v>12</v>
      </c>
      <c r="Q157" t="s">
        <v>4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12</v>
      </c>
      <c r="Z157" t="s">
        <v>4</v>
      </c>
      <c r="AA157" t="s">
        <v>12</v>
      </c>
      <c r="AB157" t="s">
        <v>99</v>
      </c>
      <c r="AC157" t="s">
        <v>36</v>
      </c>
      <c r="AD157" t="s">
        <v>6015</v>
      </c>
      <c r="AE157" t="s">
        <v>59</v>
      </c>
      <c r="AF157" t="s">
        <v>4</v>
      </c>
      <c r="AG157" t="s">
        <v>4</v>
      </c>
      <c r="AH157" t="s">
        <v>6016</v>
      </c>
      <c r="AI157" t="s">
        <v>6017</v>
      </c>
      <c r="AJ157" t="s">
        <v>4</v>
      </c>
      <c r="AK157">
        <v>9331005513</v>
      </c>
      <c r="AL157" t="s">
        <v>6018</v>
      </c>
      <c r="AM157" t="s">
        <v>6019</v>
      </c>
      <c r="AN157" t="s">
        <v>12</v>
      </c>
      <c r="AO157" t="s">
        <v>4</v>
      </c>
      <c r="AP157" t="s">
        <v>4</v>
      </c>
      <c r="AQ157" t="s">
        <v>658</v>
      </c>
      <c r="AR157" t="s">
        <v>12</v>
      </c>
      <c r="AS157" t="s">
        <v>12</v>
      </c>
      <c r="AT157" t="s">
        <v>4</v>
      </c>
      <c r="AU157" t="s">
        <v>4</v>
      </c>
      <c r="AV157" t="s">
        <v>4</v>
      </c>
      <c r="AW157" t="s">
        <v>11</v>
      </c>
      <c r="AX157">
        <v>11600</v>
      </c>
      <c r="AY157">
        <v>1300</v>
      </c>
      <c r="AZ157" t="s">
        <v>12</v>
      </c>
      <c r="BA157" t="s">
        <v>12</v>
      </c>
      <c r="BB157" t="s">
        <v>4</v>
      </c>
      <c r="BC157" t="s">
        <v>1136</v>
      </c>
      <c r="BD157" t="s">
        <v>5802</v>
      </c>
      <c r="BE157" t="s">
        <v>4</v>
      </c>
      <c r="BF157" t="s">
        <v>12</v>
      </c>
      <c r="BG157" t="s">
        <v>4</v>
      </c>
      <c r="BH157" t="s">
        <v>12</v>
      </c>
      <c r="BI157" t="s">
        <v>12</v>
      </c>
      <c r="BJ157" t="s">
        <v>827</v>
      </c>
      <c r="BK157" t="s">
        <v>4</v>
      </c>
      <c r="BL157">
        <v>0</v>
      </c>
      <c r="BM157" t="s">
        <v>12</v>
      </c>
      <c r="BN157">
        <v>12900</v>
      </c>
      <c r="BO157" t="s">
        <v>12</v>
      </c>
      <c r="BP157" t="s">
        <v>12</v>
      </c>
      <c r="BQ157" t="s">
        <v>12</v>
      </c>
      <c r="BR157" t="s">
        <v>4</v>
      </c>
      <c r="BS157" t="s">
        <v>4</v>
      </c>
      <c r="BT157" t="s">
        <v>4</v>
      </c>
      <c r="BU157" t="s">
        <v>12</v>
      </c>
      <c r="BV157" t="s">
        <v>4</v>
      </c>
      <c r="BW157" t="s">
        <v>3</v>
      </c>
      <c r="BX157" t="s">
        <v>4</v>
      </c>
      <c r="BY157" t="s">
        <v>12</v>
      </c>
      <c r="BZ157" t="s">
        <v>12</v>
      </c>
      <c r="CA157" t="s">
        <v>12</v>
      </c>
      <c r="CB157" t="s">
        <v>1074</v>
      </c>
      <c r="CC157" t="s">
        <v>12</v>
      </c>
      <c r="CD157" t="str" cm="1">
        <f t="array" aca="1" ref="CD157" ca="1">eConcatenar(A157:CB157,"|")</f>
        <v>R9jZxdQfoTLyuVVZ|PAR2018-0575|3|ECONOLINE|TABASCO|PARAISO|PARAISO|2018-5-05|12900|X|X|200|1|x|X|x|X|X|X|X|X|X|X|X|x|X|x|DIAZ|HERNANDEZ|HEBER|CASADO|X|X|LIBERTAD SEGUNDA SECCION|NICOLAS BRAVO |X|9331005513|CLEMENCIA MENDEZ DIAZ|BENEFICIARIO 2: EVER DIAZ MENDEZ|x|X|X|MIERCOLES|x|x|X|X|X|DOMICILIO|11600|1300|x|x|X|2021-9-16|2021-9-29|X|x|X|x|x|NICOLAS BRAVO|X|0|x|12900|x|x|x|X|X|X|x|X|CARDENAS|X|x|x|x|final</v>
      </c>
    </row>
    <row r="158" spans="1:82" x14ac:dyDescent="0.25">
      <c r="A158" t="s">
        <v>6020</v>
      </c>
      <c r="B158" t="s">
        <v>6021</v>
      </c>
      <c r="C158">
        <v>3</v>
      </c>
      <c r="D158" t="s">
        <v>1</v>
      </c>
      <c r="E158" t="s">
        <v>2</v>
      </c>
      <c r="F158" t="s">
        <v>722</v>
      </c>
      <c r="G158" t="s">
        <v>722</v>
      </c>
      <c r="H158" t="s">
        <v>4761</v>
      </c>
      <c r="I158">
        <v>12900</v>
      </c>
      <c r="J158" t="s">
        <v>4</v>
      </c>
      <c r="K158" t="s">
        <v>4</v>
      </c>
      <c r="L158">
        <v>200</v>
      </c>
      <c r="M158">
        <v>1</v>
      </c>
      <c r="N158" t="s">
        <v>12</v>
      </c>
      <c r="O158" t="s">
        <v>4</v>
      </c>
      <c r="P158" t="s">
        <v>12</v>
      </c>
      <c r="Q158" t="s">
        <v>4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12</v>
      </c>
      <c r="Z158" t="s">
        <v>4</v>
      </c>
      <c r="AA158" t="s">
        <v>12</v>
      </c>
      <c r="AB158" t="s">
        <v>597</v>
      </c>
      <c r="AC158" t="s">
        <v>265</v>
      </c>
      <c r="AD158" t="s">
        <v>6022</v>
      </c>
      <c r="AE158" t="s">
        <v>29</v>
      </c>
      <c r="AF158" t="s">
        <v>4</v>
      </c>
      <c r="AG158" t="s">
        <v>4</v>
      </c>
      <c r="AH158" t="s">
        <v>6023</v>
      </c>
      <c r="AI158" t="s">
        <v>5059</v>
      </c>
      <c r="AJ158" t="s">
        <v>4</v>
      </c>
      <c r="AK158">
        <v>9331674223</v>
      </c>
      <c r="AL158" t="s">
        <v>6024</v>
      </c>
      <c r="AM158" t="s">
        <v>6025</v>
      </c>
      <c r="AN158" t="s">
        <v>12</v>
      </c>
      <c r="AO158" t="s">
        <v>4</v>
      </c>
      <c r="AP158" t="s">
        <v>4</v>
      </c>
      <c r="AQ158" t="s">
        <v>658</v>
      </c>
      <c r="AR158" t="s">
        <v>12</v>
      </c>
      <c r="AS158" t="s">
        <v>12</v>
      </c>
      <c r="AT158" t="s">
        <v>4</v>
      </c>
      <c r="AU158" t="s">
        <v>4</v>
      </c>
      <c r="AV158" t="s">
        <v>4</v>
      </c>
      <c r="AW158" t="s">
        <v>11</v>
      </c>
      <c r="AX158">
        <v>11000</v>
      </c>
      <c r="AY158">
        <v>1900</v>
      </c>
      <c r="AZ158" t="s">
        <v>12</v>
      </c>
      <c r="BA158" t="s">
        <v>12</v>
      </c>
      <c r="BB158" t="s">
        <v>4</v>
      </c>
      <c r="BC158" t="s">
        <v>1136</v>
      </c>
      <c r="BD158" t="s">
        <v>5802</v>
      </c>
      <c r="BE158" t="s">
        <v>4</v>
      </c>
      <c r="BF158" t="s">
        <v>12</v>
      </c>
      <c r="BG158" t="s">
        <v>4</v>
      </c>
      <c r="BH158" t="s">
        <v>12</v>
      </c>
      <c r="BI158" t="s">
        <v>12</v>
      </c>
      <c r="BJ158" t="s">
        <v>5059</v>
      </c>
      <c r="BK158" t="s">
        <v>4</v>
      </c>
      <c r="BL158">
        <v>1</v>
      </c>
      <c r="BM158" t="s">
        <v>12</v>
      </c>
      <c r="BN158">
        <v>12900</v>
      </c>
      <c r="BO158" t="s">
        <v>12</v>
      </c>
      <c r="BP158" t="s">
        <v>12</v>
      </c>
      <c r="BQ158" t="s">
        <v>12</v>
      </c>
      <c r="BR158" t="s">
        <v>4</v>
      </c>
      <c r="BS158" t="s">
        <v>4</v>
      </c>
      <c r="BT158" t="s">
        <v>4</v>
      </c>
      <c r="BU158" t="s">
        <v>12</v>
      </c>
      <c r="BV158" t="s">
        <v>4</v>
      </c>
      <c r="BW158" t="s">
        <v>3</v>
      </c>
      <c r="BX158" t="s">
        <v>4</v>
      </c>
      <c r="BY158" t="s">
        <v>12</v>
      </c>
      <c r="BZ158" t="s">
        <v>12</v>
      </c>
      <c r="CA158" t="s">
        <v>12</v>
      </c>
      <c r="CB158" t="s">
        <v>1074</v>
      </c>
      <c r="CC158" t="s">
        <v>12</v>
      </c>
      <c r="CD158" t="str" cm="1">
        <f t="array" aca="1" ref="CD158" ca="1">eConcatenar(A158:CB158,"|")</f>
        <v>4U4kjRo8NvEISzIq|COM2019-2407|3|IMPERIAL DE LUJO|TABASCO|COMALCALCO|COMALCALCO|2019-8-31|12900|X|X|200|1|x|X|x|X|X|X|X|X|X|X|X|x|X|x|MAGAÑA|DOMINGUEZ|LEONILA|CASADA|X|X|ENTRADA LOS MENDEZ|INDEPENDENCIA PRIMERA SECCION|X|9331674223|VICTORIO CRUZ VARGAS|BENEFICIARIO 2: FABIOLA CRUZ MAGAÑA|x|X|X|MIERCOLES|x|x|X|X|X|DOMICILIO|11000|1900|x|x|X|2021-9-16|2021-9-29|X|x|X|x|x|INDEPENDENCIA PRIMERA SECCION|X|1|x|12900|x|x|x|X|X|X|x|X|CARDENAS|X|x|x|x|final</v>
      </c>
    </row>
    <row r="159" spans="1:82" x14ac:dyDescent="0.25">
      <c r="A159" t="s">
        <v>6026</v>
      </c>
      <c r="B159" t="s">
        <v>6027</v>
      </c>
      <c r="C159">
        <v>3</v>
      </c>
      <c r="D159" t="s">
        <v>194</v>
      </c>
      <c r="E159" t="s">
        <v>2</v>
      </c>
      <c r="F159" t="s">
        <v>654</v>
      </c>
      <c r="G159" t="s">
        <v>654</v>
      </c>
      <c r="H159" t="s">
        <v>6028</v>
      </c>
      <c r="I159">
        <v>11500</v>
      </c>
      <c r="J159" t="s">
        <v>4</v>
      </c>
      <c r="K159" t="s">
        <v>4</v>
      </c>
      <c r="L159">
        <v>200</v>
      </c>
      <c r="M159">
        <v>1</v>
      </c>
      <c r="N159" t="s">
        <v>12</v>
      </c>
      <c r="O159" t="s">
        <v>4</v>
      </c>
      <c r="P159" t="s">
        <v>12</v>
      </c>
      <c r="Q159" t="s">
        <v>4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12</v>
      </c>
      <c r="Z159" t="s">
        <v>4</v>
      </c>
      <c r="AA159" t="s">
        <v>12</v>
      </c>
      <c r="AB159" t="s">
        <v>764</v>
      </c>
      <c r="AC159" t="s">
        <v>109</v>
      </c>
      <c r="AD159" t="s">
        <v>6029</v>
      </c>
      <c r="AE159" t="s">
        <v>48</v>
      </c>
      <c r="AF159" t="s">
        <v>4</v>
      </c>
      <c r="AG159" t="s">
        <v>4</v>
      </c>
      <c r="AH159" t="s">
        <v>92</v>
      </c>
      <c r="AI159" t="s">
        <v>2016</v>
      </c>
      <c r="AJ159" t="s">
        <v>4</v>
      </c>
      <c r="AK159">
        <v>9331597450</v>
      </c>
      <c r="AL159" t="s">
        <v>6030</v>
      </c>
      <c r="AM159" t="s">
        <v>6031</v>
      </c>
      <c r="AN159" t="s">
        <v>12</v>
      </c>
      <c r="AO159" t="s">
        <v>4</v>
      </c>
      <c r="AP159" t="s">
        <v>4</v>
      </c>
      <c r="AQ159" t="s">
        <v>658</v>
      </c>
      <c r="AR159" t="s">
        <v>12</v>
      </c>
      <c r="AS159" t="s">
        <v>12</v>
      </c>
      <c r="AT159" t="s">
        <v>4</v>
      </c>
      <c r="AU159" t="s">
        <v>4</v>
      </c>
      <c r="AV159" t="s">
        <v>4</v>
      </c>
      <c r="AW159" t="s">
        <v>11</v>
      </c>
      <c r="AX159">
        <v>10400</v>
      </c>
      <c r="AY159">
        <v>1100</v>
      </c>
      <c r="AZ159" t="s">
        <v>12</v>
      </c>
      <c r="BA159" t="s">
        <v>12</v>
      </c>
      <c r="BB159" t="s">
        <v>4</v>
      </c>
      <c r="BC159" t="s">
        <v>5792</v>
      </c>
      <c r="BD159" t="s">
        <v>5802</v>
      </c>
      <c r="BE159" t="s">
        <v>4</v>
      </c>
      <c r="BF159" t="s">
        <v>12</v>
      </c>
      <c r="BG159" t="s">
        <v>4</v>
      </c>
      <c r="BH159" t="s">
        <v>12</v>
      </c>
      <c r="BI159" t="s">
        <v>12</v>
      </c>
      <c r="BJ159" t="s">
        <v>2016</v>
      </c>
      <c r="BK159" t="s">
        <v>4</v>
      </c>
      <c r="BL159">
        <v>1</v>
      </c>
      <c r="BM159" t="s">
        <v>12</v>
      </c>
      <c r="BN159">
        <v>11500</v>
      </c>
      <c r="BO159" t="s">
        <v>12</v>
      </c>
      <c r="BP159" t="s">
        <v>12</v>
      </c>
      <c r="BQ159" t="s">
        <v>12</v>
      </c>
      <c r="BR159" t="s">
        <v>4</v>
      </c>
      <c r="BS159" t="s">
        <v>4</v>
      </c>
      <c r="BT159" t="s">
        <v>4</v>
      </c>
      <c r="BU159" t="s">
        <v>12</v>
      </c>
      <c r="BV159" t="s">
        <v>4</v>
      </c>
      <c r="BW159" t="s">
        <v>3</v>
      </c>
      <c r="BX159" t="s">
        <v>4</v>
      </c>
      <c r="BY159" t="s">
        <v>12</v>
      </c>
      <c r="BZ159" t="s">
        <v>12</v>
      </c>
      <c r="CA159" t="s">
        <v>12</v>
      </c>
      <c r="CB159" t="s">
        <v>1074</v>
      </c>
      <c r="CC159" t="s">
        <v>12</v>
      </c>
      <c r="CD159" t="str" cm="1">
        <f t="array" aca="1" ref="CD159" ca="1">eConcatenar(A159:CB159,"|")</f>
        <v>SLl63SS9xsvX1nSh|PAR2017-4267|3|ECONOLINE|TABASCO|PARAISO|PARAISO|2017-12-01|11500|X|X|200|1|x|X|x|X|X|X|X|X|X|X|X|x|X|x|ANGULO|PEREZ|SILVIA DEL CARMEN|SOLTERA|X|X|CARRETERA PRINCIPAL|MONTE ADENTRO|X|9331597450|MARIA CECILIA ANGULO PEREZ|BENEFICIARIO 2: ALEJANDRO TONHUP ANGULO|x|X|X|MIERCOLES|x|x|X|X|X|DOMICILIO|10400|1100|x|x|X|2021-9-01|2021-9-29|X|x|X|x|x|MONTE ADENTRO|X|1|x|11500|x|x|x|X|X|X|x|X|CARDENAS|X|x|x|x|final</v>
      </c>
    </row>
    <row r="160" spans="1:82" x14ac:dyDescent="0.25">
      <c r="A160" t="s">
        <v>6032</v>
      </c>
      <c r="B160" t="s">
        <v>6033</v>
      </c>
      <c r="C160">
        <v>3</v>
      </c>
      <c r="D160" t="s">
        <v>1</v>
      </c>
      <c r="E160" t="s">
        <v>2</v>
      </c>
      <c r="F160" t="s">
        <v>722</v>
      </c>
      <c r="G160" t="s">
        <v>722</v>
      </c>
      <c r="H160" t="s">
        <v>6034</v>
      </c>
      <c r="I160">
        <v>12900</v>
      </c>
      <c r="J160" t="s">
        <v>4</v>
      </c>
      <c r="K160" t="s">
        <v>4</v>
      </c>
      <c r="L160">
        <v>100</v>
      </c>
      <c r="M160">
        <v>0</v>
      </c>
      <c r="N160" t="s">
        <v>12</v>
      </c>
      <c r="O160" t="s">
        <v>4</v>
      </c>
      <c r="P160" t="s">
        <v>12</v>
      </c>
      <c r="Q160" t="s">
        <v>4</v>
      </c>
      <c r="R160" t="s">
        <v>4</v>
      </c>
      <c r="S160" t="s">
        <v>4</v>
      </c>
      <c r="T160" t="s">
        <v>4</v>
      </c>
      <c r="U160" t="s">
        <v>4</v>
      </c>
      <c r="V160" t="s">
        <v>4</v>
      </c>
      <c r="W160" t="s">
        <v>4</v>
      </c>
      <c r="X160" t="s">
        <v>4</v>
      </c>
      <c r="Y160" t="s">
        <v>12</v>
      </c>
      <c r="Z160" t="s">
        <v>4</v>
      </c>
      <c r="AA160" t="s">
        <v>12</v>
      </c>
      <c r="AB160" t="s">
        <v>6035</v>
      </c>
      <c r="AC160" t="s">
        <v>274</v>
      </c>
      <c r="AD160" t="s">
        <v>6036</v>
      </c>
      <c r="AE160" t="s">
        <v>59</v>
      </c>
      <c r="AF160" t="s">
        <v>4</v>
      </c>
      <c r="AG160" t="s">
        <v>4</v>
      </c>
      <c r="AH160" t="s">
        <v>5586</v>
      </c>
      <c r="AI160" t="s">
        <v>6037</v>
      </c>
      <c r="AJ160" t="s">
        <v>4</v>
      </c>
      <c r="AK160">
        <v>9331671580</v>
      </c>
      <c r="AL160" t="s">
        <v>6038</v>
      </c>
      <c r="AM160" t="s">
        <v>6039</v>
      </c>
      <c r="AN160" t="s">
        <v>12</v>
      </c>
      <c r="AO160" t="s">
        <v>4</v>
      </c>
      <c r="AP160" t="s">
        <v>4</v>
      </c>
      <c r="AQ160" t="s">
        <v>658</v>
      </c>
      <c r="AR160" t="s">
        <v>12</v>
      </c>
      <c r="AS160" t="s">
        <v>12</v>
      </c>
      <c r="AT160" t="s">
        <v>4</v>
      </c>
      <c r="AU160" t="s">
        <v>4</v>
      </c>
      <c r="AV160" t="s">
        <v>4</v>
      </c>
      <c r="AW160" t="s">
        <v>11</v>
      </c>
      <c r="AX160">
        <v>3600</v>
      </c>
      <c r="AY160">
        <v>9300</v>
      </c>
      <c r="AZ160" t="s">
        <v>12</v>
      </c>
      <c r="BA160" t="s">
        <v>12</v>
      </c>
      <c r="BB160" t="s">
        <v>4</v>
      </c>
      <c r="BC160" t="s">
        <v>4793</v>
      </c>
      <c r="BD160" t="s">
        <v>1131</v>
      </c>
      <c r="BE160" t="s">
        <v>4</v>
      </c>
      <c r="BF160" t="s">
        <v>12</v>
      </c>
      <c r="BG160" t="s">
        <v>4</v>
      </c>
      <c r="BH160" t="s">
        <v>12</v>
      </c>
      <c r="BI160" t="s">
        <v>12</v>
      </c>
      <c r="BJ160" t="s">
        <v>2001</v>
      </c>
      <c r="BK160" t="s">
        <v>4</v>
      </c>
      <c r="BL160">
        <v>0</v>
      </c>
      <c r="BM160" t="s">
        <v>12</v>
      </c>
      <c r="BN160">
        <v>12900</v>
      </c>
      <c r="BO160" t="s">
        <v>12</v>
      </c>
      <c r="BP160" t="s">
        <v>12</v>
      </c>
      <c r="BQ160" t="s">
        <v>12</v>
      </c>
      <c r="BR160" t="s">
        <v>4</v>
      </c>
      <c r="BS160" t="s">
        <v>4</v>
      </c>
      <c r="BT160" t="s">
        <v>4</v>
      </c>
      <c r="BU160" t="s">
        <v>12</v>
      </c>
      <c r="BV160" t="s">
        <v>4</v>
      </c>
      <c r="BW160" t="s">
        <v>3</v>
      </c>
      <c r="BX160" t="s">
        <v>4</v>
      </c>
      <c r="BY160" t="s">
        <v>12</v>
      </c>
      <c r="BZ160" t="s">
        <v>12</v>
      </c>
      <c r="CA160" t="s">
        <v>12</v>
      </c>
      <c r="CB160" t="s">
        <v>1074</v>
      </c>
      <c r="CC160" t="s">
        <v>12</v>
      </c>
      <c r="CD160" t="str" cm="1">
        <f t="array" aca="1" ref="CD160" ca="1">eConcatenar(A160:CB160,"|")</f>
        <v>v9dQnqrb4vkBDEUY|COM2021-0015|3|IMPERIAL DE LUJO|TABASCO|COMALCALCO|COMALCALCO|2021-1-06|12900|X|X|100|0|x|X|x|X|X|X|X|X|X|X|X|x|X|x|PABLO|CRUZ|VIDAL|CASADO|X|X|CARRETERA FEDERAL COMALCALCO - PARAISO|ORIENTE SAN CAYETANO |X|9331671580|SARA RABANALES MONTEJO|BENEFICIARIO 2: LUIS ENRIQUE MADRIGAL RABANALES|x|X|X|MIERCOLES|x|x|X|X|X|DOMICILIO|3600|9300|x|x|X|2021-9-23|2021-9-30|X|x|X|x|x|ORIENTE SAN CAYETANO|X|0|x|12900|x|x|x|X|X|X|x|X|CARDENAS|X|x|x|x|final</v>
      </c>
    </row>
    <row r="161" spans="1:82" x14ac:dyDescent="0.25">
      <c r="A161" t="s">
        <v>6040</v>
      </c>
      <c r="B161" t="s">
        <v>6041</v>
      </c>
      <c r="C161">
        <v>3</v>
      </c>
      <c r="D161" t="s">
        <v>194</v>
      </c>
      <c r="E161" t="s">
        <v>2</v>
      </c>
      <c r="F161" t="s">
        <v>654</v>
      </c>
      <c r="G161" t="s">
        <v>654</v>
      </c>
      <c r="H161" t="s">
        <v>6042</v>
      </c>
      <c r="I161">
        <v>12900</v>
      </c>
      <c r="J161" t="s">
        <v>4</v>
      </c>
      <c r="K161" t="s">
        <v>4</v>
      </c>
      <c r="L161">
        <v>100</v>
      </c>
      <c r="M161">
        <v>0</v>
      </c>
      <c r="N161" t="s">
        <v>12</v>
      </c>
      <c r="O161" t="s">
        <v>4</v>
      </c>
      <c r="P161" t="s">
        <v>12</v>
      </c>
      <c r="Q161" t="s">
        <v>4</v>
      </c>
      <c r="R161" t="s">
        <v>4</v>
      </c>
      <c r="S161" t="s">
        <v>4</v>
      </c>
      <c r="T161" t="s">
        <v>4</v>
      </c>
      <c r="U161" t="s">
        <v>4</v>
      </c>
      <c r="V161" t="s">
        <v>4</v>
      </c>
      <c r="W161" t="s">
        <v>4</v>
      </c>
      <c r="X161" t="s">
        <v>4</v>
      </c>
      <c r="Y161" t="s">
        <v>12</v>
      </c>
      <c r="Z161" t="s">
        <v>4</v>
      </c>
      <c r="AA161" t="s">
        <v>12</v>
      </c>
      <c r="AB161" t="s">
        <v>265</v>
      </c>
      <c r="AC161" t="s">
        <v>116</v>
      </c>
      <c r="AD161" t="s">
        <v>6043</v>
      </c>
      <c r="AE161" t="s">
        <v>17</v>
      </c>
      <c r="AF161" t="s">
        <v>4</v>
      </c>
      <c r="AG161" t="s">
        <v>4</v>
      </c>
      <c r="AH161" t="s">
        <v>5586</v>
      </c>
      <c r="AI161" t="s">
        <v>577</v>
      </c>
      <c r="AJ161" t="s">
        <v>4</v>
      </c>
      <c r="AK161">
        <v>9331510153</v>
      </c>
      <c r="AL161" t="s">
        <v>6044</v>
      </c>
      <c r="AM161" t="s">
        <v>4</v>
      </c>
      <c r="AN161" t="s">
        <v>12</v>
      </c>
      <c r="AO161" t="s">
        <v>4</v>
      </c>
      <c r="AP161" t="s">
        <v>4</v>
      </c>
      <c r="AQ161" t="s">
        <v>658</v>
      </c>
      <c r="AR161" t="s">
        <v>12</v>
      </c>
      <c r="AS161" t="s">
        <v>12</v>
      </c>
      <c r="AT161" t="s">
        <v>4</v>
      </c>
      <c r="AU161" t="s">
        <v>4</v>
      </c>
      <c r="AV161" t="s">
        <v>4</v>
      </c>
      <c r="AW161" t="s">
        <v>11</v>
      </c>
      <c r="AX161">
        <v>1100</v>
      </c>
      <c r="AY161">
        <v>11800</v>
      </c>
      <c r="AZ161" t="s">
        <v>12</v>
      </c>
      <c r="BA161" t="s">
        <v>12</v>
      </c>
      <c r="BB161" t="s">
        <v>4</v>
      </c>
      <c r="BC161" t="s">
        <v>4793</v>
      </c>
      <c r="BD161" t="s">
        <v>1131</v>
      </c>
      <c r="BE161" t="s">
        <v>4</v>
      </c>
      <c r="BF161" t="s">
        <v>12</v>
      </c>
      <c r="BG161" t="s">
        <v>4</v>
      </c>
      <c r="BH161" t="s">
        <v>12</v>
      </c>
      <c r="BI161" t="s">
        <v>12</v>
      </c>
      <c r="BJ161" t="s">
        <v>577</v>
      </c>
      <c r="BK161" t="s">
        <v>4</v>
      </c>
      <c r="BL161">
        <v>0</v>
      </c>
      <c r="BM161" t="s">
        <v>12</v>
      </c>
      <c r="BN161">
        <v>12900</v>
      </c>
      <c r="BO161" t="s">
        <v>12</v>
      </c>
      <c r="BP161" t="s">
        <v>12</v>
      </c>
      <c r="BQ161" t="s">
        <v>12</v>
      </c>
      <c r="BR161" t="s">
        <v>4</v>
      </c>
      <c r="BS161" t="s">
        <v>4</v>
      </c>
      <c r="BT161" t="s">
        <v>4</v>
      </c>
      <c r="BU161" t="s">
        <v>12</v>
      </c>
      <c r="BV161" t="s">
        <v>4</v>
      </c>
      <c r="BW161" t="s">
        <v>3</v>
      </c>
      <c r="BX161" t="s">
        <v>4</v>
      </c>
      <c r="BY161" t="s">
        <v>12</v>
      </c>
      <c r="BZ161" t="s">
        <v>12</v>
      </c>
      <c r="CA161" t="s">
        <v>12</v>
      </c>
      <c r="CB161" t="s">
        <v>1074</v>
      </c>
      <c r="CC161" t="s">
        <v>12</v>
      </c>
      <c r="CD161" t="str" cm="1">
        <f t="array" aca="1" ref="CD161" ca="1">eConcatenar(A161:CB161,"|")</f>
        <v>VnAlGl6LRLgqFPAi|PAR2020-0737|3|ECONOLINE|TABASCO|PARAISO|PARAISO|2021-3-17|12900|X|X|100|0|x|X|x|X|X|X|X|X|X|X|X|x|X|x|DOMINGUEZ|RODRIGUEZ|DIEGO|SOLTERO|X|X|CARRETERA FEDERAL COMALCALCO - PARAISO|QUINTIN ARAUZ|X|9331510153|JUAN IGNACIO DOMINGUEZ RODRIGUEZ|X|x|X|X|MIERCOLES|x|x|X|X|X|DOMICILIO|1100|11800|x|x|X|2021-9-23|2021-9-30|X|x|X|x|x|QUINTIN ARAUZ|X|0|x|12900|x|x|x|X|X|X|x|X|CARDENAS|X|x|x|x|final</v>
      </c>
    </row>
    <row r="162" spans="1:82" x14ac:dyDescent="0.25">
      <c r="A162" t="s">
        <v>6045</v>
      </c>
      <c r="B162" t="s">
        <v>6046</v>
      </c>
      <c r="C162">
        <v>3</v>
      </c>
      <c r="D162" t="s">
        <v>194</v>
      </c>
      <c r="E162" t="s">
        <v>2</v>
      </c>
      <c r="F162" t="s">
        <v>654</v>
      </c>
      <c r="G162" t="s">
        <v>654</v>
      </c>
      <c r="H162" t="s">
        <v>6028</v>
      </c>
      <c r="I162">
        <v>11500</v>
      </c>
      <c r="J162" t="s">
        <v>4</v>
      </c>
      <c r="K162" t="s">
        <v>4</v>
      </c>
      <c r="L162">
        <v>100</v>
      </c>
      <c r="M162">
        <v>0</v>
      </c>
      <c r="N162" t="s">
        <v>12</v>
      </c>
      <c r="O162" t="s">
        <v>4</v>
      </c>
      <c r="P162" t="s">
        <v>12</v>
      </c>
      <c r="Q162" t="s">
        <v>4</v>
      </c>
      <c r="R162" t="s">
        <v>4</v>
      </c>
      <c r="S162" t="s">
        <v>4</v>
      </c>
      <c r="T162" t="s">
        <v>4</v>
      </c>
      <c r="U162" t="s">
        <v>4</v>
      </c>
      <c r="V162" t="s">
        <v>4</v>
      </c>
      <c r="W162" t="s">
        <v>4</v>
      </c>
      <c r="X162" t="s">
        <v>4</v>
      </c>
      <c r="Y162" t="s">
        <v>12</v>
      </c>
      <c r="Z162" t="s">
        <v>4</v>
      </c>
      <c r="AA162" t="s">
        <v>12</v>
      </c>
      <c r="AB162" t="s">
        <v>350</v>
      </c>
      <c r="AC162" t="s">
        <v>479</v>
      </c>
      <c r="AD162" t="s">
        <v>6047</v>
      </c>
      <c r="AE162" t="s">
        <v>24</v>
      </c>
      <c r="AF162" t="s">
        <v>4</v>
      </c>
      <c r="AG162" t="s">
        <v>4</v>
      </c>
      <c r="AH162" t="s">
        <v>6048</v>
      </c>
      <c r="AI162" t="s">
        <v>6049</v>
      </c>
      <c r="AJ162" t="s">
        <v>4</v>
      </c>
      <c r="AK162">
        <v>9331329542</v>
      </c>
      <c r="AL162" t="s">
        <v>6050</v>
      </c>
      <c r="AM162" t="s">
        <v>6051</v>
      </c>
      <c r="AN162" t="s">
        <v>12</v>
      </c>
      <c r="AO162" t="s">
        <v>4</v>
      </c>
      <c r="AP162" t="s">
        <v>4</v>
      </c>
      <c r="AQ162" t="s">
        <v>658</v>
      </c>
      <c r="AR162" t="s">
        <v>12</v>
      </c>
      <c r="AS162" t="s">
        <v>12</v>
      </c>
      <c r="AT162" t="s">
        <v>4</v>
      </c>
      <c r="AU162" t="s">
        <v>4</v>
      </c>
      <c r="AV162" t="s">
        <v>4</v>
      </c>
      <c r="AW162" t="s">
        <v>11</v>
      </c>
      <c r="AX162">
        <v>8800</v>
      </c>
      <c r="AY162">
        <v>2700</v>
      </c>
      <c r="AZ162" t="s">
        <v>12</v>
      </c>
      <c r="BA162" t="s">
        <v>12</v>
      </c>
      <c r="BB162" t="s">
        <v>4</v>
      </c>
      <c r="BC162" t="s">
        <v>4793</v>
      </c>
      <c r="BD162" t="s">
        <v>1131</v>
      </c>
      <c r="BE162" t="s">
        <v>4</v>
      </c>
      <c r="BF162" t="s">
        <v>12</v>
      </c>
      <c r="BG162" t="s">
        <v>4</v>
      </c>
      <c r="BH162" t="s">
        <v>12</v>
      </c>
      <c r="BI162" t="s">
        <v>12</v>
      </c>
      <c r="BJ162" t="s">
        <v>6049</v>
      </c>
      <c r="BK162" t="s">
        <v>4</v>
      </c>
      <c r="BL162">
        <v>0</v>
      </c>
      <c r="BM162" t="s">
        <v>12</v>
      </c>
      <c r="BN162">
        <v>11500</v>
      </c>
      <c r="BO162" t="s">
        <v>12</v>
      </c>
      <c r="BP162" t="s">
        <v>12</v>
      </c>
      <c r="BQ162" t="s">
        <v>12</v>
      </c>
      <c r="BR162" t="s">
        <v>4</v>
      </c>
      <c r="BS162" t="s">
        <v>4</v>
      </c>
      <c r="BT162" t="s">
        <v>4</v>
      </c>
      <c r="BU162" t="s">
        <v>12</v>
      </c>
      <c r="BV162" t="s">
        <v>4</v>
      </c>
      <c r="BW162" t="s">
        <v>3</v>
      </c>
      <c r="BX162" t="s">
        <v>4</v>
      </c>
      <c r="BY162" t="s">
        <v>12</v>
      </c>
      <c r="BZ162" t="s">
        <v>12</v>
      </c>
      <c r="CA162" t="s">
        <v>12</v>
      </c>
      <c r="CB162" t="s">
        <v>1074</v>
      </c>
      <c r="CC162" t="s">
        <v>12</v>
      </c>
      <c r="CD162" t="str" cm="1">
        <f t="array" aca="1" ref="CD162" ca="1">eConcatenar(A162:CB162,"|")</f>
        <v>NEMtxw2ltp1of662|PAR2017-4270|3|ECONOLINE|TABASCO|PARAISO|PARAISO|2017-12-01|11500|X|X|100|0|x|X|x|X|X|X|X|X|X|X|X|x|X|x|MENDEZ|RICARDEZ|EUNICE|UNION LIBRE|X|X|CALLE 5 DE MAYO NUMERO 1003|CENTRO PARAISO |X|9331329542|JUAN ABENAMAR VAZQUEZ MENDEZ|BENEFICIARIO 2: ALMA LEYVA LEYVA|x|X|X|MIERCOLES|x|x|X|X|X|DOMICILIO|8800|2700|x|x|X|2021-9-23|2021-9-30|X|x|X|x|x|CENTRO PARAISO |X|0|x|11500|x|x|x|X|X|X|x|X|CARDENAS|X|x|x|x|final</v>
      </c>
    </row>
    <row r="163" spans="1:82" x14ac:dyDescent="0.25">
      <c r="A163" t="s">
        <v>6052</v>
      </c>
      <c r="B163" t="s">
        <v>6053</v>
      </c>
      <c r="C163">
        <v>3</v>
      </c>
      <c r="D163" t="s">
        <v>14</v>
      </c>
      <c r="E163" t="s">
        <v>2</v>
      </c>
      <c r="F163" t="s">
        <v>654</v>
      </c>
      <c r="G163" t="s">
        <v>654</v>
      </c>
      <c r="H163" t="s">
        <v>6054</v>
      </c>
      <c r="I163">
        <v>19800</v>
      </c>
      <c r="J163" t="s">
        <v>4</v>
      </c>
      <c r="K163" t="s">
        <v>4</v>
      </c>
      <c r="L163">
        <v>200</v>
      </c>
      <c r="M163">
        <v>1</v>
      </c>
      <c r="N163" t="s">
        <v>12</v>
      </c>
      <c r="O163" t="s">
        <v>4</v>
      </c>
      <c r="P163" t="s">
        <v>12</v>
      </c>
      <c r="Q163" t="s">
        <v>4</v>
      </c>
      <c r="R163" t="s">
        <v>4</v>
      </c>
      <c r="S163" t="s">
        <v>4</v>
      </c>
      <c r="T163" t="s">
        <v>4</v>
      </c>
      <c r="U163" t="s">
        <v>4</v>
      </c>
      <c r="V163" t="s">
        <v>4</v>
      </c>
      <c r="W163" t="s">
        <v>4</v>
      </c>
      <c r="X163" t="s">
        <v>4</v>
      </c>
      <c r="Y163" t="s">
        <v>12</v>
      </c>
      <c r="Z163" t="s">
        <v>4</v>
      </c>
      <c r="AA163" t="s">
        <v>12</v>
      </c>
      <c r="AB163" t="s">
        <v>109</v>
      </c>
      <c r="AC163" t="s">
        <v>330</v>
      </c>
      <c r="AD163" t="s">
        <v>6055</v>
      </c>
      <c r="AE163" t="s">
        <v>59</v>
      </c>
      <c r="AF163" t="s">
        <v>4</v>
      </c>
      <c r="AG163" t="s">
        <v>4</v>
      </c>
      <c r="AH163" t="s">
        <v>6056</v>
      </c>
      <c r="AI163" t="s">
        <v>219</v>
      </c>
      <c r="AJ163" t="s">
        <v>4</v>
      </c>
      <c r="AK163">
        <v>9331526895</v>
      </c>
      <c r="AL163" t="s">
        <v>6057</v>
      </c>
      <c r="AM163" t="s">
        <v>6058</v>
      </c>
      <c r="AN163" t="s">
        <v>12</v>
      </c>
      <c r="AO163" t="s">
        <v>4</v>
      </c>
      <c r="AP163" t="s">
        <v>4</v>
      </c>
      <c r="AQ163" t="s">
        <v>658</v>
      </c>
      <c r="AR163" t="s">
        <v>12</v>
      </c>
      <c r="AS163" t="s">
        <v>12</v>
      </c>
      <c r="AT163" t="s">
        <v>4</v>
      </c>
      <c r="AU163" t="s">
        <v>4</v>
      </c>
      <c r="AV163" t="s">
        <v>4</v>
      </c>
      <c r="AW163" t="s">
        <v>11</v>
      </c>
      <c r="AX163">
        <v>8300</v>
      </c>
      <c r="AY163">
        <v>11500</v>
      </c>
      <c r="AZ163" t="s">
        <v>12</v>
      </c>
      <c r="BA163" t="s">
        <v>12</v>
      </c>
      <c r="BB163" t="s">
        <v>4</v>
      </c>
      <c r="BC163" t="s">
        <v>4793</v>
      </c>
      <c r="BD163" t="s">
        <v>6059</v>
      </c>
      <c r="BE163" t="s">
        <v>4</v>
      </c>
      <c r="BF163" t="s">
        <v>12</v>
      </c>
      <c r="BG163" t="s">
        <v>4</v>
      </c>
      <c r="BH163" t="s">
        <v>12</v>
      </c>
      <c r="BI163" t="s">
        <v>12</v>
      </c>
      <c r="BJ163" t="s">
        <v>219</v>
      </c>
      <c r="BK163" t="s">
        <v>4</v>
      </c>
      <c r="BL163">
        <v>0</v>
      </c>
      <c r="BM163" t="s">
        <v>12</v>
      </c>
      <c r="BN163">
        <v>19800</v>
      </c>
      <c r="BO163" t="s">
        <v>12</v>
      </c>
      <c r="BP163" t="s">
        <v>12</v>
      </c>
      <c r="BQ163" t="s">
        <v>12</v>
      </c>
      <c r="BR163" t="s">
        <v>4</v>
      </c>
      <c r="BS163" t="s">
        <v>4</v>
      </c>
      <c r="BT163" t="s">
        <v>4</v>
      </c>
      <c r="BU163" t="s">
        <v>12</v>
      </c>
      <c r="BV163" t="s">
        <v>4</v>
      </c>
      <c r="BW163" t="s">
        <v>3</v>
      </c>
      <c r="BX163" t="s">
        <v>4</v>
      </c>
      <c r="BY163" t="s">
        <v>12</v>
      </c>
      <c r="BZ163" t="s">
        <v>12</v>
      </c>
      <c r="CA163" t="s">
        <v>12</v>
      </c>
      <c r="CB163" t="s">
        <v>1074</v>
      </c>
      <c r="CC163" t="s">
        <v>12</v>
      </c>
      <c r="CD163" t="str" cm="1">
        <f t="array" aca="1" ref="CD163" ca="1">eConcatenar(A163:CB163,"|")</f>
        <v>lQSr13DlEem73cyZ|PAR2019-3099|3|ZAFIRO|TABASCO|PARAISO|PARAISO|2019-11-20|19800|X|X|200|1|x|X|x|X|X|X|X|X|X|X|X|x|X|x|PEREZ|JAVIER|ANTONIO DE JESUS|CASADO|X|X|ENTRADA AL ESCRIBANO|EL LIMON|X|9331526895|DEISY GUADALUPE RICARDEZ PAVON |BENEFICIARIO 2: BENJAMIN PEREZ JAVIER|x|X|X|MIERCOLES|x|x|X|X|X|DOMICILIO|8300|11500|x|x|X|2021-9-23|2021-10-07|X|x|X|x|x|EL LIMON|X|0|x|19800|x|x|x|X|X|X|x|X|CARDENAS|X|x|x|x|final</v>
      </c>
    </row>
    <row r="164" spans="1:82" x14ac:dyDescent="0.25">
      <c r="A164" t="s">
        <v>6060</v>
      </c>
      <c r="B164" t="s">
        <v>6061</v>
      </c>
      <c r="C164">
        <v>3</v>
      </c>
      <c r="D164" t="s">
        <v>194</v>
      </c>
      <c r="E164" t="s">
        <v>2</v>
      </c>
      <c r="F164" t="s">
        <v>654</v>
      </c>
      <c r="G164" t="s">
        <v>654</v>
      </c>
      <c r="H164" t="s">
        <v>6062</v>
      </c>
      <c r="I164">
        <v>12900</v>
      </c>
      <c r="J164" t="s">
        <v>4</v>
      </c>
      <c r="K164" t="s">
        <v>4</v>
      </c>
      <c r="L164">
        <v>100</v>
      </c>
      <c r="M164">
        <v>0</v>
      </c>
      <c r="N164" t="s">
        <v>12</v>
      </c>
      <c r="O164" t="s">
        <v>4</v>
      </c>
      <c r="P164" t="s">
        <v>12</v>
      </c>
      <c r="Q164" t="s">
        <v>4</v>
      </c>
      <c r="R164" t="s">
        <v>4</v>
      </c>
      <c r="S164" t="s">
        <v>4</v>
      </c>
      <c r="T164" t="s">
        <v>4</v>
      </c>
      <c r="U164" t="s">
        <v>4</v>
      </c>
      <c r="V164" t="s">
        <v>4</v>
      </c>
      <c r="W164" t="s">
        <v>4</v>
      </c>
      <c r="X164" t="s">
        <v>4</v>
      </c>
      <c r="Y164" t="s">
        <v>12</v>
      </c>
      <c r="Z164" t="s">
        <v>4</v>
      </c>
      <c r="AA164" t="s">
        <v>12</v>
      </c>
      <c r="AB164" t="s">
        <v>94</v>
      </c>
      <c r="AC164" t="s">
        <v>458</v>
      </c>
      <c r="AD164" t="s">
        <v>6063</v>
      </c>
      <c r="AE164" t="s">
        <v>24</v>
      </c>
      <c r="AF164" t="s">
        <v>4</v>
      </c>
      <c r="AG164" t="s">
        <v>4</v>
      </c>
      <c r="AH164" t="s">
        <v>6064</v>
      </c>
      <c r="AI164" t="s">
        <v>6065</v>
      </c>
      <c r="AJ164" t="s">
        <v>4</v>
      </c>
      <c r="AK164">
        <v>9331496117</v>
      </c>
      <c r="AL164" t="s">
        <v>6066</v>
      </c>
      <c r="AM164" t="s">
        <v>6067</v>
      </c>
      <c r="AN164" t="s">
        <v>12</v>
      </c>
      <c r="AO164" t="s">
        <v>4</v>
      </c>
      <c r="AP164" t="s">
        <v>4</v>
      </c>
      <c r="AQ164" t="s">
        <v>658</v>
      </c>
      <c r="AR164" t="s">
        <v>12</v>
      </c>
      <c r="AS164" t="s">
        <v>12</v>
      </c>
      <c r="AT164" t="s">
        <v>4</v>
      </c>
      <c r="AU164" t="s">
        <v>4</v>
      </c>
      <c r="AV164" t="s">
        <v>4</v>
      </c>
      <c r="AW164" t="s">
        <v>11</v>
      </c>
      <c r="AX164">
        <v>8400</v>
      </c>
      <c r="AY164">
        <v>4500</v>
      </c>
      <c r="AZ164" t="s">
        <v>12</v>
      </c>
      <c r="BA164" t="s">
        <v>12</v>
      </c>
      <c r="BB164" t="s">
        <v>4</v>
      </c>
      <c r="BC164" t="s">
        <v>4793</v>
      </c>
      <c r="BD164" t="s">
        <v>1131</v>
      </c>
      <c r="BE164" t="s">
        <v>4</v>
      </c>
      <c r="BF164" t="s">
        <v>12</v>
      </c>
      <c r="BG164" t="s">
        <v>4</v>
      </c>
      <c r="BH164" t="s">
        <v>12</v>
      </c>
      <c r="BI164" t="s">
        <v>12</v>
      </c>
      <c r="BJ164" t="s">
        <v>6065</v>
      </c>
      <c r="BK164" t="s">
        <v>4</v>
      </c>
      <c r="BL164">
        <v>1</v>
      </c>
      <c r="BM164" t="s">
        <v>12</v>
      </c>
      <c r="BN164">
        <v>12900</v>
      </c>
      <c r="BO164" t="s">
        <v>12</v>
      </c>
      <c r="BP164" t="s">
        <v>12</v>
      </c>
      <c r="BQ164" t="s">
        <v>12</v>
      </c>
      <c r="BR164" t="s">
        <v>4</v>
      </c>
      <c r="BS164" t="s">
        <v>4</v>
      </c>
      <c r="BT164" t="s">
        <v>4</v>
      </c>
      <c r="BU164" t="s">
        <v>12</v>
      </c>
      <c r="BV164" t="s">
        <v>4</v>
      </c>
      <c r="BW164" t="s">
        <v>3</v>
      </c>
      <c r="BX164" t="s">
        <v>4</v>
      </c>
      <c r="BY164" t="s">
        <v>12</v>
      </c>
      <c r="BZ164" t="s">
        <v>12</v>
      </c>
      <c r="CA164" t="s">
        <v>12</v>
      </c>
      <c r="CB164" t="s">
        <v>1074</v>
      </c>
      <c r="CC164" t="s">
        <v>12</v>
      </c>
      <c r="CD164" t="str" cm="1">
        <f t="array" aca="1" ref="CD164" ca="1">eConcatenar(A164:CB164,"|")</f>
        <v>fipdNLQ71CqxBzEF|PAR2019-1438|3|ECONOLINE|TABASCO|PARAISO|PARAISO|2019-5-30|12900|X|X|100|0|x|X|x|X|X|X|X|X|X|X|X|x|X|x|GOMEZ|CHABLE|LUCRECIA|UNION LIBRE|X|X|CALLE CORDOVA PEREZ CARRETERA VECINAL|MOCTEZUMA SEGUNDA SECCION|X|9331496117|CANDELARIO PEREZ DE LA CRUZ|BENEFICIARIO 2: CECILIO CHABLE GOMEZ|x|X|X|MIERCOLES|x|x|X|X|X|DOMICILIO|8400|4500|x|x|X|2021-9-23|2021-9-30|X|x|X|x|x|MOCTEZUMA SEGUNDA SECCION|X|1|x|12900|x|x|x|X|X|X|x|X|CARDENAS|X|x|x|x|final</v>
      </c>
    </row>
    <row r="165" spans="1:82" x14ac:dyDescent="0.25">
      <c r="A165" t="s">
        <v>6068</v>
      </c>
      <c r="B165" t="s">
        <v>6069</v>
      </c>
      <c r="C165">
        <v>3</v>
      </c>
      <c r="D165" t="s">
        <v>194</v>
      </c>
      <c r="E165" t="s">
        <v>2</v>
      </c>
      <c r="F165" t="s">
        <v>654</v>
      </c>
      <c r="G165" t="s">
        <v>654</v>
      </c>
      <c r="H165" t="s">
        <v>5315</v>
      </c>
      <c r="I165">
        <v>12900</v>
      </c>
      <c r="J165" t="s">
        <v>4</v>
      </c>
      <c r="K165" t="s">
        <v>4</v>
      </c>
      <c r="L165">
        <v>100</v>
      </c>
      <c r="M165">
        <v>0</v>
      </c>
      <c r="N165" t="s">
        <v>12</v>
      </c>
      <c r="O165" t="s">
        <v>4</v>
      </c>
      <c r="P165" t="s">
        <v>12</v>
      </c>
      <c r="Q165" t="s">
        <v>4</v>
      </c>
      <c r="R165" t="s">
        <v>4</v>
      </c>
      <c r="S165" t="s">
        <v>4</v>
      </c>
      <c r="T165" t="s">
        <v>4</v>
      </c>
      <c r="U165" t="s">
        <v>4</v>
      </c>
      <c r="V165" t="s">
        <v>4</v>
      </c>
      <c r="W165" t="s">
        <v>4</v>
      </c>
      <c r="X165" t="s">
        <v>4</v>
      </c>
      <c r="Y165" t="s">
        <v>12</v>
      </c>
      <c r="Z165" t="s">
        <v>4</v>
      </c>
      <c r="AA165" t="s">
        <v>12</v>
      </c>
      <c r="AB165" t="s">
        <v>265</v>
      </c>
      <c r="AC165" t="s">
        <v>6070</v>
      </c>
      <c r="AD165" t="s">
        <v>643</v>
      </c>
      <c r="AE165" t="s">
        <v>59</v>
      </c>
      <c r="AF165" t="s">
        <v>4</v>
      </c>
      <c r="AG165" t="s">
        <v>4</v>
      </c>
      <c r="AH165" t="s">
        <v>6071</v>
      </c>
      <c r="AI165" t="s">
        <v>688</v>
      </c>
      <c r="AJ165" t="s">
        <v>4</v>
      </c>
      <c r="AK165">
        <v>9331365550</v>
      </c>
      <c r="AL165" t="s">
        <v>6072</v>
      </c>
      <c r="AM165" t="s">
        <v>6073</v>
      </c>
      <c r="AN165" t="s">
        <v>12</v>
      </c>
      <c r="AO165" t="s">
        <v>4</v>
      </c>
      <c r="AP165" t="s">
        <v>4</v>
      </c>
      <c r="AQ165" t="s">
        <v>658</v>
      </c>
      <c r="AR165" t="s">
        <v>12</v>
      </c>
      <c r="AS165" t="s">
        <v>12</v>
      </c>
      <c r="AT165" t="s">
        <v>4</v>
      </c>
      <c r="AU165" t="s">
        <v>4</v>
      </c>
      <c r="AV165" t="s">
        <v>4</v>
      </c>
      <c r="AW165" t="s">
        <v>11</v>
      </c>
      <c r="AX165">
        <v>7000</v>
      </c>
      <c r="AY165">
        <v>5900</v>
      </c>
      <c r="AZ165" t="s">
        <v>12</v>
      </c>
      <c r="BA165" t="s">
        <v>12</v>
      </c>
      <c r="BB165" t="s">
        <v>4</v>
      </c>
      <c r="BC165" t="s">
        <v>4793</v>
      </c>
      <c r="BD165" t="s">
        <v>1131</v>
      </c>
      <c r="BE165" t="s">
        <v>4</v>
      </c>
      <c r="BF165" t="s">
        <v>12</v>
      </c>
      <c r="BG165" t="s">
        <v>4</v>
      </c>
      <c r="BH165" t="s">
        <v>12</v>
      </c>
      <c r="BI165" t="s">
        <v>12</v>
      </c>
      <c r="BJ165" t="s">
        <v>688</v>
      </c>
      <c r="BK165" t="s">
        <v>4</v>
      </c>
      <c r="BL165">
        <v>0</v>
      </c>
      <c r="BM165" t="s">
        <v>12</v>
      </c>
      <c r="BN165">
        <v>12900</v>
      </c>
      <c r="BO165" t="s">
        <v>12</v>
      </c>
      <c r="BP165" t="s">
        <v>12</v>
      </c>
      <c r="BQ165" t="s">
        <v>12</v>
      </c>
      <c r="BR165" t="s">
        <v>4</v>
      </c>
      <c r="BS165" t="s">
        <v>4</v>
      </c>
      <c r="BT165" t="s">
        <v>4</v>
      </c>
      <c r="BU165" t="s">
        <v>12</v>
      </c>
      <c r="BV165" t="s">
        <v>4</v>
      </c>
      <c r="BW165" t="s">
        <v>3</v>
      </c>
      <c r="BX165" t="s">
        <v>4</v>
      </c>
      <c r="BY165" t="s">
        <v>12</v>
      </c>
      <c r="BZ165" t="s">
        <v>12</v>
      </c>
      <c r="CA165" t="s">
        <v>12</v>
      </c>
      <c r="CB165" t="s">
        <v>1074</v>
      </c>
      <c r="CC165" t="s">
        <v>12</v>
      </c>
      <c r="CD165" t="str" cm="1">
        <f t="array" aca="1" ref="CD165" ca="1">eConcatenar(A165:CB165,"|")</f>
        <v>etiS70G0lY4WewjW|PAR2019-2426|3|ECONOLINE|TABASCO|PARAISO|PARAISO|2019-9-03|12900|X|X|100|0|x|X|x|X|X|X|X|X|X|X|X|x|X|x|DOMINGUEZ|BARJAU|JULIO CESAR|CASADO|X|X|CARRETERA VECINAL PARAISO - TABASCO|MOCTEZUMA PRIMERA SECCION|X|9331365550|MARIA ASUNCION ARIAS MENDEZ|BENEFICIARIO 2: DENNY JESUS DOMINGUEZ ARIAS|x|X|X|MIERCOLES|x|x|X|X|X|DOMICILIO|7000|5900|x|x|X|2021-9-23|2021-9-30|X|x|X|x|x|MOCTEZUMA PRIMERA SECCION|X|0|x|12900|x|x|x|X|X|X|x|X|CARDENAS|X|x|x|x|final</v>
      </c>
    </row>
    <row r="166" spans="1:82" x14ac:dyDescent="0.25">
      <c r="A166" t="s">
        <v>6074</v>
      </c>
      <c r="B166" t="s">
        <v>6075</v>
      </c>
      <c r="C166">
        <v>3</v>
      </c>
      <c r="D166" t="s">
        <v>194</v>
      </c>
      <c r="E166" t="s">
        <v>2</v>
      </c>
      <c r="F166" t="s">
        <v>654</v>
      </c>
      <c r="G166" t="s">
        <v>654</v>
      </c>
      <c r="H166" t="s">
        <v>6076</v>
      </c>
      <c r="I166">
        <v>12900</v>
      </c>
      <c r="J166" t="s">
        <v>4</v>
      </c>
      <c r="K166" t="s">
        <v>4</v>
      </c>
      <c r="L166">
        <v>100</v>
      </c>
      <c r="M166">
        <v>0</v>
      </c>
      <c r="N166" t="s">
        <v>12</v>
      </c>
      <c r="O166" t="s">
        <v>4</v>
      </c>
      <c r="P166" t="s">
        <v>12</v>
      </c>
      <c r="Q166" t="s">
        <v>4</v>
      </c>
      <c r="R166" t="s">
        <v>4</v>
      </c>
      <c r="S166" t="s">
        <v>4</v>
      </c>
      <c r="T166" t="s">
        <v>4</v>
      </c>
      <c r="U166" t="s">
        <v>4</v>
      </c>
      <c r="V166" t="s">
        <v>4</v>
      </c>
      <c r="W166" t="s">
        <v>4</v>
      </c>
      <c r="X166" t="s">
        <v>4</v>
      </c>
      <c r="Y166" t="s">
        <v>12</v>
      </c>
      <c r="Z166" t="s">
        <v>4</v>
      </c>
      <c r="AA166" t="s">
        <v>12</v>
      </c>
      <c r="AB166" t="s">
        <v>109</v>
      </c>
      <c r="AC166" t="s">
        <v>6</v>
      </c>
      <c r="AD166" t="s">
        <v>6077</v>
      </c>
      <c r="AE166" t="s">
        <v>24</v>
      </c>
      <c r="AF166" t="s">
        <v>4</v>
      </c>
      <c r="AG166" t="s">
        <v>4</v>
      </c>
      <c r="AH166" t="s">
        <v>6078</v>
      </c>
      <c r="AI166" t="s">
        <v>6065</v>
      </c>
      <c r="AJ166" t="s">
        <v>4</v>
      </c>
      <c r="AK166">
        <v>9331059891</v>
      </c>
      <c r="AL166" t="s">
        <v>6079</v>
      </c>
      <c r="AM166" t="s">
        <v>6080</v>
      </c>
      <c r="AN166" t="s">
        <v>12</v>
      </c>
      <c r="AO166" t="s">
        <v>4</v>
      </c>
      <c r="AP166" t="s">
        <v>4</v>
      </c>
      <c r="AQ166" t="s">
        <v>658</v>
      </c>
      <c r="AR166" t="s">
        <v>12</v>
      </c>
      <c r="AS166" t="s">
        <v>12</v>
      </c>
      <c r="AT166" t="s">
        <v>4</v>
      </c>
      <c r="AU166" t="s">
        <v>4</v>
      </c>
      <c r="AV166" t="s">
        <v>4</v>
      </c>
      <c r="AW166" t="s">
        <v>11</v>
      </c>
      <c r="AX166">
        <v>8600</v>
      </c>
      <c r="AY166">
        <v>4300</v>
      </c>
      <c r="AZ166" t="s">
        <v>12</v>
      </c>
      <c r="BA166" t="s">
        <v>12</v>
      </c>
      <c r="BB166" t="s">
        <v>4</v>
      </c>
      <c r="BC166" t="s">
        <v>4793</v>
      </c>
      <c r="BD166" t="s">
        <v>1131</v>
      </c>
      <c r="BE166" t="s">
        <v>4</v>
      </c>
      <c r="BF166" t="s">
        <v>12</v>
      </c>
      <c r="BG166" t="s">
        <v>4</v>
      </c>
      <c r="BH166" t="s">
        <v>12</v>
      </c>
      <c r="BI166" t="s">
        <v>12</v>
      </c>
      <c r="BJ166" t="s">
        <v>6065</v>
      </c>
      <c r="BK166" t="s">
        <v>4</v>
      </c>
      <c r="BL166">
        <v>0</v>
      </c>
      <c r="BM166" t="s">
        <v>12</v>
      </c>
      <c r="BN166">
        <v>12900</v>
      </c>
      <c r="BO166" t="s">
        <v>12</v>
      </c>
      <c r="BP166" t="s">
        <v>12</v>
      </c>
      <c r="BQ166" t="s">
        <v>12</v>
      </c>
      <c r="BR166" t="s">
        <v>4</v>
      </c>
      <c r="BS166" t="s">
        <v>4</v>
      </c>
      <c r="BT166" t="s">
        <v>4</v>
      </c>
      <c r="BU166" t="s">
        <v>12</v>
      </c>
      <c r="BV166" t="s">
        <v>4</v>
      </c>
      <c r="BW166" t="s">
        <v>3</v>
      </c>
      <c r="BX166" t="s">
        <v>4</v>
      </c>
      <c r="BY166" t="s">
        <v>12</v>
      </c>
      <c r="BZ166" t="s">
        <v>12</v>
      </c>
      <c r="CA166" t="s">
        <v>12</v>
      </c>
      <c r="CB166" t="s">
        <v>1074</v>
      </c>
      <c r="CC166" t="s">
        <v>12</v>
      </c>
      <c r="CD166" t="str" cm="1">
        <f t="array" aca="1" ref="CD166" ca="1">eConcatenar(A166:CB166,"|")</f>
        <v>CSko5UQ8fJ8eWOAr|PAR2019-2394|3|ECONOLINE|TABASCO|PARAISO|PARAISO|2019-9-02|12900|X|X|100|0|x|X|x|X|X|X|X|X|X|X|X|x|X|x|PEREZ|DE LA CRUZ|APOLONIO|UNION LIBRE|X|X|CALLE ENTRADA LOS BAMBUS A 500 METROS|MOCTEZUMA SEGUNDA SECCION|X|9331059891|MIRIAM BAUTISTA PEREZ|BENEFICIARIO 2: ISIDRO PEREZ DE LA CRUZ|x|X|X|MIERCOLES|x|x|X|X|X|DOMICILIO|8600|4300|x|x|X|2021-9-23|2021-9-30|X|x|X|x|x|MOCTEZUMA SEGUNDA SECCION|X|0|x|12900|x|x|x|X|X|X|x|X|CARDENAS|X|x|x|x|final</v>
      </c>
    </row>
    <row r="167" spans="1:82" x14ac:dyDescent="0.25">
      <c r="A167" t="s">
        <v>6081</v>
      </c>
      <c r="B167" t="s">
        <v>6082</v>
      </c>
      <c r="C167">
        <v>3</v>
      </c>
      <c r="D167" t="s">
        <v>194</v>
      </c>
      <c r="E167" t="s">
        <v>2</v>
      </c>
      <c r="F167" t="s">
        <v>654</v>
      </c>
      <c r="G167" t="s">
        <v>654</v>
      </c>
      <c r="H167" t="s">
        <v>1114</v>
      </c>
      <c r="I167">
        <v>12900</v>
      </c>
      <c r="J167" t="s">
        <v>4</v>
      </c>
      <c r="K167" t="s">
        <v>4</v>
      </c>
      <c r="L167">
        <v>100</v>
      </c>
      <c r="M167">
        <v>0</v>
      </c>
      <c r="N167" t="s">
        <v>12</v>
      </c>
      <c r="O167" t="s">
        <v>4</v>
      </c>
      <c r="P167" t="s">
        <v>12</v>
      </c>
      <c r="Q167" t="s">
        <v>4</v>
      </c>
      <c r="R167" t="s">
        <v>4</v>
      </c>
      <c r="S167" t="s">
        <v>4</v>
      </c>
      <c r="T167" t="s">
        <v>4</v>
      </c>
      <c r="U167" t="s">
        <v>4</v>
      </c>
      <c r="V167" t="s">
        <v>4</v>
      </c>
      <c r="W167" t="s">
        <v>4</v>
      </c>
      <c r="X167" t="s">
        <v>4</v>
      </c>
      <c r="Y167" t="s">
        <v>12</v>
      </c>
      <c r="Z167" t="s">
        <v>4</v>
      </c>
      <c r="AA167" t="s">
        <v>12</v>
      </c>
      <c r="AB167" t="s">
        <v>265</v>
      </c>
      <c r="AC167" t="s">
        <v>6083</v>
      </c>
      <c r="AD167" t="s">
        <v>4735</v>
      </c>
      <c r="AE167" t="s">
        <v>59</v>
      </c>
      <c r="AF167" t="s">
        <v>4</v>
      </c>
      <c r="AG167" t="s">
        <v>4</v>
      </c>
      <c r="AH167" t="s">
        <v>6084</v>
      </c>
      <c r="AI167" t="s">
        <v>2052</v>
      </c>
      <c r="AJ167" t="s">
        <v>4</v>
      </c>
      <c r="AK167">
        <v>9331123058</v>
      </c>
      <c r="AL167" t="s">
        <v>6085</v>
      </c>
      <c r="AM167" t="s">
        <v>4</v>
      </c>
      <c r="AN167" t="s">
        <v>12</v>
      </c>
      <c r="AO167" t="s">
        <v>4</v>
      </c>
      <c r="AP167" t="s">
        <v>4</v>
      </c>
      <c r="AQ167" t="s">
        <v>658</v>
      </c>
      <c r="AR167" t="s">
        <v>12</v>
      </c>
      <c r="AS167" t="s">
        <v>12</v>
      </c>
      <c r="AT167" t="s">
        <v>4</v>
      </c>
      <c r="AU167" t="s">
        <v>4</v>
      </c>
      <c r="AV167" t="s">
        <v>4</v>
      </c>
      <c r="AW167" t="s">
        <v>11</v>
      </c>
      <c r="AX167">
        <v>9800</v>
      </c>
      <c r="AY167">
        <v>3100</v>
      </c>
      <c r="AZ167" t="s">
        <v>12</v>
      </c>
      <c r="BA167" t="s">
        <v>12</v>
      </c>
      <c r="BB167" t="s">
        <v>4</v>
      </c>
      <c r="BC167" t="s">
        <v>4793</v>
      </c>
      <c r="BD167" t="s">
        <v>1131</v>
      </c>
      <c r="BE167" t="s">
        <v>4</v>
      </c>
      <c r="BF167" t="s">
        <v>12</v>
      </c>
      <c r="BG167" t="s">
        <v>4</v>
      </c>
      <c r="BH167" t="s">
        <v>12</v>
      </c>
      <c r="BI167" t="s">
        <v>12</v>
      </c>
      <c r="BJ167" t="s">
        <v>2052</v>
      </c>
      <c r="BK167" t="s">
        <v>4</v>
      </c>
      <c r="BL167">
        <v>0</v>
      </c>
      <c r="BM167" t="s">
        <v>12</v>
      </c>
      <c r="BN167">
        <v>12900</v>
      </c>
      <c r="BO167" t="s">
        <v>12</v>
      </c>
      <c r="BP167" t="s">
        <v>12</v>
      </c>
      <c r="BQ167" t="s">
        <v>12</v>
      </c>
      <c r="BR167" t="s">
        <v>4</v>
      </c>
      <c r="BS167" t="s">
        <v>4</v>
      </c>
      <c r="BT167" t="s">
        <v>4</v>
      </c>
      <c r="BU167" t="s">
        <v>12</v>
      </c>
      <c r="BV167" t="s">
        <v>4</v>
      </c>
      <c r="BW167" t="s">
        <v>3</v>
      </c>
      <c r="BX167" t="s">
        <v>4</v>
      </c>
      <c r="BY167" t="s">
        <v>12</v>
      </c>
      <c r="BZ167" t="s">
        <v>12</v>
      </c>
      <c r="CA167" t="s">
        <v>12</v>
      </c>
      <c r="CB167" t="s">
        <v>1074</v>
      </c>
      <c r="CC167" t="s">
        <v>12</v>
      </c>
      <c r="CD167" t="str" cm="1">
        <f t="array" aca="1" ref="CD167" ca="1">eConcatenar(A167:CB167,"|")</f>
        <v>UVNnVTZlP0CUFSnb|PAR2019-2546|3|ECONOLINE|TABASCO|PARAISO|PARAISO|2019-9-10|12900|X|X|100|0|x|X|x|X|X|X|X|X|X|X|X|x|X|x|DOMINGUEZ|ANDRADES|JOSE DE LA CRUZ|CASADO|X|X|CALLE CARRETERA VECINAL PARAISO - COMALCALCO|FRANCISCO I MADERO|X|9331123058|DALILA PEREZ ALCUDIA|X|x|X|X|MIERCOLES|x|x|X|X|X|DOMICILIO|9800|3100|x|x|X|2021-9-23|2021-9-30|X|x|X|x|x|FRANCISCO I MADERO|X|0|x|12900|x|x|x|X|X|X|x|X|CARDENAS|X|x|x|x|final</v>
      </c>
    </row>
    <row r="168" spans="1:82" x14ac:dyDescent="0.25">
      <c r="A168" t="s">
        <v>6086</v>
      </c>
      <c r="B168" s="1" t="s">
        <v>6087</v>
      </c>
      <c r="C168">
        <v>3</v>
      </c>
      <c r="D168" t="s">
        <v>1</v>
      </c>
      <c r="E168" t="s">
        <v>2</v>
      </c>
      <c r="F168" t="s">
        <v>654</v>
      </c>
      <c r="G168" t="s">
        <v>654</v>
      </c>
      <c r="H168" t="s">
        <v>1096</v>
      </c>
      <c r="I168">
        <v>12900</v>
      </c>
      <c r="J168" t="s">
        <v>4</v>
      </c>
      <c r="K168" t="s">
        <v>4</v>
      </c>
      <c r="L168">
        <v>200</v>
      </c>
      <c r="M168">
        <v>1</v>
      </c>
      <c r="N168" t="s">
        <v>12</v>
      </c>
      <c r="O168" t="s">
        <v>4</v>
      </c>
      <c r="P168" t="s">
        <v>12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4</v>
      </c>
      <c r="W168" t="s">
        <v>4</v>
      </c>
      <c r="X168" t="s">
        <v>4</v>
      </c>
      <c r="Y168" t="s">
        <v>12</v>
      </c>
      <c r="Z168" t="s">
        <v>4</v>
      </c>
      <c r="AA168" t="s">
        <v>12</v>
      </c>
      <c r="AB168" t="s">
        <v>36</v>
      </c>
      <c r="AC168" t="s">
        <v>141</v>
      </c>
      <c r="AD168" t="s">
        <v>6088</v>
      </c>
      <c r="AE168" t="s">
        <v>59</v>
      </c>
      <c r="AF168" t="s">
        <v>4</v>
      </c>
      <c r="AG168" t="s">
        <v>4</v>
      </c>
      <c r="AH168" t="s">
        <v>6089</v>
      </c>
      <c r="AI168" t="s">
        <v>905</v>
      </c>
      <c r="AJ168" t="s">
        <v>4</v>
      </c>
      <c r="AK168">
        <v>9331679367</v>
      </c>
      <c r="AL168" t="s">
        <v>6090</v>
      </c>
      <c r="AM168" t="s">
        <v>6091</v>
      </c>
      <c r="AN168" t="s">
        <v>12</v>
      </c>
      <c r="AO168" t="s">
        <v>4</v>
      </c>
      <c r="AP168" t="s">
        <v>4</v>
      </c>
      <c r="AQ168" t="s">
        <v>658</v>
      </c>
      <c r="AR168" t="s">
        <v>12</v>
      </c>
      <c r="AS168" t="s">
        <v>12</v>
      </c>
      <c r="AT168" t="s">
        <v>4</v>
      </c>
      <c r="AU168" t="s">
        <v>4</v>
      </c>
      <c r="AV168" t="s">
        <v>4</v>
      </c>
      <c r="AW168" t="s">
        <v>11</v>
      </c>
      <c r="AX168">
        <v>2800</v>
      </c>
      <c r="AY168">
        <v>10100</v>
      </c>
      <c r="AZ168" t="s">
        <v>12</v>
      </c>
      <c r="BA168" t="s">
        <v>12</v>
      </c>
      <c r="BB168" t="s">
        <v>4</v>
      </c>
      <c r="BC168" t="s">
        <v>1103</v>
      </c>
      <c r="BD168" t="s">
        <v>1131</v>
      </c>
      <c r="BE168" t="s">
        <v>4</v>
      </c>
      <c r="BF168" t="s">
        <v>12</v>
      </c>
      <c r="BG168" t="s">
        <v>4</v>
      </c>
      <c r="BH168" t="s">
        <v>12</v>
      </c>
      <c r="BI168" t="s">
        <v>12</v>
      </c>
      <c r="BJ168" t="s">
        <v>905</v>
      </c>
      <c r="BK168" t="s">
        <v>4</v>
      </c>
      <c r="BL168">
        <v>0</v>
      </c>
      <c r="BM168" t="s">
        <v>12</v>
      </c>
      <c r="BN168">
        <v>12900</v>
      </c>
      <c r="BO168" t="s">
        <v>12</v>
      </c>
      <c r="BP168" t="s">
        <v>12</v>
      </c>
      <c r="BQ168" t="s">
        <v>12</v>
      </c>
      <c r="BR168" t="s">
        <v>4</v>
      </c>
      <c r="BS168" t="s">
        <v>4</v>
      </c>
      <c r="BT168" t="s">
        <v>4</v>
      </c>
      <c r="BU168" t="s">
        <v>12</v>
      </c>
      <c r="BV168" t="s">
        <v>4</v>
      </c>
      <c r="BW168" t="s">
        <v>3</v>
      </c>
      <c r="BX168" t="s">
        <v>4</v>
      </c>
      <c r="BY168" t="s">
        <v>12</v>
      </c>
      <c r="BZ168" t="s">
        <v>12</v>
      </c>
      <c r="CA168" t="s">
        <v>12</v>
      </c>
      <c r="CB168" t="s">
        <v>1074</v>
      </c>
      <c r="CC168" t="s">
        <v>12</v>
      </c>
      <c r="CD168" t="str" cm="1">
        <f t="array" aca="1" ref="CD168" ca="1">eConcatenar(A168:CB168,"|")</f>
        <v>RPKL54Rx2MCHegb2|PAR2020-3111|3|IMPERIAL DE LUJO|TABASCO|PARAISO|PARAISO|2020-11-25|12900|X|X|200|1|x|X|x|X|X|X|X|X|X|X|X|x|X|x|HERNANDEZ|RAMIREZ|PEPE LUIS|CASADO|X|X|CALLE JOSE MANUEL BARJAU PEREZ|PUERTO CEIBA CARRIZAL|X|9331679367|WILBERTH HERNANDEZ SANCHEZ|BENEFICIARIO 2: ROSANA DEL CARMEN HERNANDEZ SANCHEZ|x|X|X|MIERCOLES|x|x|X|X|X|DOMICILIO|2800|10100|x|x|X|2021-8-18|2021-9-30|X|x|X|x|x|PUERTO CEIBA CARRIZAL|X|0|x|12900|x|x|x|X|X|X|x|X|CARDENAS|X|x|x|x|final</v>
      </c>
    </row>
    <row r="169" spans="1:82" x14ac:dyDescent="0.25">
      <c r="A169" t="s">
        <v>6092</v>
      </c>
      <c r="B169" t="s">
        <v>6093</v>
      </c>
      <c r="C169">
        <v>3</v>
      </c>
      <c r="D169" t="s">
        <v>1</v>
      </c>
      <c r="E169" t="s">
        <v>2</v>
      </c>
      <c r="F169" t="s">
        <v>654</v>
      </c>
      <c r="G169" t="s">
        <v>654</v>
      </c>
      <c r="H169" t="s">
        <v>1096</v>
      </c>
      <c r="I169">
        <v>12900</v>
      </c>
      <c r="J169" t="s">
        <v>4</v>
      </c>
      <c r="K169" t="s">
        <v>4</v>
      </c>
      <c r="L169">
        <v>200</v>
      </c>
      <c r="M169">
        <v>1</v>
      </c>
      <c r="N169" t="s">
        <v>12</v>
      </c>
      <c r="O169" t="s">
        <v>4</v>
      </c>
      <c r="P169" t="s">
        <v>12</v>
      </c>
      <c r="Q169" t="s">
        <v>4</v>
      </c>
      <c r="R169" t="s">
        <v>4</v>
      </c>
      <c r="S169" t="s">
        <v>4</v>
      </c>
      <c r="T169" t="s">
        <v>4</v>
      </c>
      <c r="U169" t="s">
        <v>4</v>
      </c>
      <c r="V169" t="s">
        <v>4</v>
      </c>
      <c r="W169" t="s">
        <v>4</v>
      </c>
      <c r="X169" t="s">
        <v>4</v>
      </c>
      <c r="Y169" t="s">
        <v>12</v>
      </c>
      <c r="Z169" t="s">
        <v>4</v>
      </c>
      <c r="AA169" t="s">
        <v>12</v>
      </c>
      <c r="AB169" t="s">
        <v>109</v>
      </c>
      <c r="AC169" t="s">
        <v>109</v>
      </c>
      <c r="AD169" t="s">
        <v>6094</v>
      </c>
      <c r="AE169" t="s">
        <v>59</v>
      </c>
      <c r="AF169" t="s">
        <v>4</v>
      </c>
      <c r="AG169" t="s">
        <v>4</v>
      </c>
      <c r="AH169" t="s">
        <v>799</v>
      </c>
      <c r="AI169" t="s">
        <v>905</v>
      </c>
      <c r="AJ169" t="s">
        <v>4</v>
      </c>
      <c r="AK169">
        <v>9331071961</v>
      </c>
      <c r="AL169" t="s">
        <v>6095</v>
      </c>
      <c r="AM169" t="s">
        <v>6096</v>
      </c>
      <c r="AN169" t="s">
        <v>12</v>
      </c>
      <c r="AO169" t="s">
        <v>4</v>
      </c>
      <c r="AP169" t="s">
        <v>4</v>
      </c>
      <c r="AQ169" t="s">
        <v>658</v>
      </c>
      <c r="AR169" t="s">
        <v>12</v>
      </c>
      <c r="AS169" t="s">
        <v>12</v>
      </c>
      <c r="AT169" t="s">
        <v>4</v>
      </c>
      <c r="AU169" t="s">
        <v>4</v>
      </c>
      <c r="AV169" t="s">
        <v>4</v>
      </c>
      <c r="AW169" t="s">
        <v>11</v>
      </c>
      <c r="AX169">
        <v>1900</v>
      </c>
      <c r="AY169">
        <v>11000</v>
      </c>
      <c r="AZ169" t="s">
        <v>12</v>
      </c>
      <c r="BA169" t="s">
        <v>12</v>
      </c>
      <c r="BB169" t="s">
        <v>4</v>
      </c>
      <c r="BC169" t="s">
        <v>5792</v>
      </c>
      <c r="BD169" t="s">
        <v>5793</v>
      </c>
      <c r="BE169" t="s">
        <v>4</v>
      </c>
      <c r="BF169" t="s">
        <v>12</v>
      </c>
      <c r="BG169" t="s">
        <v>4</v>
      </c>
      <c r="BH169" t="s">
        <v>12</v>
      </c>
      <c r="BI169" t="s">
        <v>12</v>
      </c>
      <c r="BJ169" t="s">
        <v>905</v>
      </c>
      <c r="BK169" t="s">
        <v>4</v>
      </c>
      <c r="BL169">
        <v>0</v>
      </c>
      <c r="BM169" t="s">
        <v>12</v>
      </c>
      <c r="BN169">
        <v>12900</v>
      </c>
      <c r="BO169" t="s">
        <v>12</v>
      </c>
      <c r="BP169" t="s">
        <v>12</v>
      </c>
      <c r="BQ169" t="s">
        <v>12</v>
      </c>
      <c r="BR169" t="s">
        <v>4</v>
      </c>
      <c r="BS169" t="s">
        <v>4</v>
      </c>
      <c r="BT169" t="s">
        <v>4</v>
      </c>
      <c r="BU169" t="s">
        <v>12</v>
      </c>
      <c r="BV169" t="s">
        <v>4</v>
      </c>
      <c r="BW169" t="s">
        <v>3</v>
      </c>
      <c r="BX169" t="s">
        <v>4</v>
      </c>
      <c r="BY169" t="s">
        <v>12</v>
      </c>
      <c r="BZ169" t="s">
        <v>12</v>
      </c>
      <c r="CA169" t="s">
        <v>12</v>
      </c>
      <c r="CB169" t="s">
        <v>1074</v>
      </c>
      <c r="CC169" t="s">
        <v>12</v>
      </c>
      <c r="CD169" t="str" cm="1">
        <f t="array" aca="1" ref="CD169" ca="1">eConcatenar(A169:CB169,"|")</f>
        <v>g6L6CyWhTxLssGZb|PAR2020-3113|3|IMPERIAL DE LUJO|TABASCO|PARAISO|PARAISO|2020-11-25|12900|X|X|200|1|x|X|x|X|X|X|X|X|X|X|X|x|X|x|PEREZ|PEREZ|WILIAN|CASADO|X|X|CALLE LOS PESCADORES|PUERTO CEIBA CARRIZAL|X|9331071961|YADIRA ALEJANDRO DOMNGUEZ|BENEFICIARIO 2: JHONATAN PEREZ ALEJANDRO|x|X|X|MIERCOLES|x|x|X|X|X|DOMICILIO|1900|11000|x|x|X|2021-9-01|2021-10-06|X|x|X|x|x|PUERTO CEIBA CARRIZAL|X|0|x|12900|x|x|x|X|X|X|x|X|CARDENAS|X|x|x|x|final</v>
      </c>
    </row>
    <row r="170" spans="1:82" x14ac:dyDescent="0.25">
      <c r="A170" t="s">
        <v>6097</v>
      </c>
      <c r="B170" t="s">
        <v>6098</v>
      </c>
      <c r="C170">
        <v>3</v>
      </c>
      <c r="D170" t="s">
        <v>1</v>
      </c>
      <c r="E170" t="s">
        <v>2</v>
      </c>
      <c r="F170" t="s">
        <v>722</v>
      </c>
      <c r="G170" t="s">
        <v>722</v>
      </c>
      <c r="H170" t="s">
        <v>6099</v>
      </c>
      <c r="I170">
        <v>12900</v>
      </c>
      <c r="J170" t="s">
        <v>4</v>
      </c>
      <c r="K170" t="s">
        <v>4</v>
      </c>
      <c r="L170">
        <v>100</v>
      </c>
      <c r="M170">
        <v>0</v>
      </c>
      <c r="N170" t="s">
        <v>12</v>
      </c>
      <c r="O170" t="s">
        <v>4</v>
      </c>
      <c r="P170" t="s">
        <v>12</v>
      </c>
      <c r="Q170" t="s">
        <v>4</v>
      </c>
      <c r="R170" t="s">
        <v>4</v>
      </c>
      <c r="S170" t="s">
        <v>4</v>
      </c>
      <c r="T170" t="s">
        <v>4</v>
      </c>
      <c r="U170" t="s">
        <v>4</v>
      </c>
      <c r="V170" t="s">
        <v>4</v>
      </c>
      <c r="W170" t="s">
        <v>4</v>
      </c>
      <c r="X170" t="s">
        <v>4</v>
      </c>
      <c r="Y170" t="s">
        <v>12</v>
      </c>
      <c r="Z170" t="s">
        <v>4</v>
      </c>
      <c r="AA170" t="s">
        <v>12</v>
      </c>
      <c r="AB170" t="s">
        <v>28</v>
      </c>
      <c r="AC170" t="s">
        <v>401</v>
      </c>
      <c r="AD170" t="s">
        <v>6100</v>
      </c>
      <c r="AE170" t="s">
        <v>59</v>
      </c>
      <c r="AF170" t="s">
        <v>4</v>
      </c>
      <c r="AG170" t="s">
        <v>4</v>
      </c>
      <c r="AH170" t="s">
        <v>6101</v>
      </c>
      <c r="AI170" t="s">
        <v>6102</v>
      </c>
      <c r="AJ170" t="s">
        <v>4</v>
      </c>
      <c r="AK170">
        <v>9331215119</v>
      </c>
      <c r="AL170" t="s">
        <v>6103</v>
      </c>
      <c r="AM170" t="s">
        <v>6104</v>
      </c>
      <c r="AN170" t="s">
        <v>12</v>
      </c>
      <c r="AO170" t="s">
        <v>4</v>
      </c>
      <c r="AP170" t="s">
        <v>4</v>
      </c>
      <c r="AQ170" t="s">
        <v>658</v>
      </c>
      <c r="AR170" t="s">
        <v>12</v>
      </c>
      <c r="AS170" t="s">
        <v>12</v>
      </c>
      <c r="AT170" t="s">
        <v>4</v>
      </c>
      <c r="AU170" t="s">
        <v>4</v>
      </c>
      <c r="AV170" t="s">
        <v>4</v>
      </c>
      <c r="AW170" t="s">
        <v>11</v>
      </c>
      <c r="AX170">
        <v>5000</v>
      </c>
      <c r="AY170">
        <v>7900</v>
      </c>
      <c r="AZ170" t="s">
        <v>12</v>
      </c>
      <c r="BA170" t="s">
        <v>12</v>
      </c>
      <c r="BB170" t="s">
        <v>4</v>
      </c>
      <c r="BC170" t="s">
        <v>4793</v>
      </c>
      <c r="BD170" t="s">
        <v>1131</v>
      </c>
      <c r="BE170" t="s">
        <v>4</v>
      </c>
      <c r="BF170" t="s">
        <v>12</v>
      </c>
      <c r="BG170" t="s">
        <v>4</v>
      </c>
      <c r="BH170" t="s">
        <v>12</v>
      </c>
      <c r="BI170" t="s">
        <v>12</v>
      </c>
      <c r="BJ170" t="s">
        <v>6102</v>
      </c>
      <c r="BK170" t="s">
        <v>4</v>
      </c>
      <c r="BL170">
        <v>1</v>
      </c>
      <c r="BM170" t="s">
        <v>12</v>
      </c>
      <c r="BN170">
        <v>12900</v>
      </c>
      <c r="BO170" t="s">
        <v>12</v>
      </c>
      <c r="BP170" t="s">
        <v>12</v>
      </c>
      <c r="BQ170" t="s">
        <v>12</v>
      </c>
      <c r="BR170" t="s">
        <v>4</v>
      </c>
      <c r="BS170" t="s">
        <v>4</v>
      </c>
      <c r="BT170" t="s">
        <v>4</v>
      </c>
      <c r="BU170" t="s">
        <v>12</v>
      </c>
      <c r="BV170" t="s">
        <v>4</v>
      </c>
      <c r="BW170" t="s">
        <v>3</v>
      </c>
      <c r="BX170" t="s">
        <v>4</v>
      </c>
      <c r="BY170" t="s">
        <v>12</v>
      </c>
      <c r="BZ170" t="s">
        <v>12</v>
      </c>
      <c r="CA170" t="s">
        <v>12</v>
      </c>
      <c r="CB170" t="s">
        <v>1074</v>
      </c>
      <c r="CC170" t="s">
        <v>12</v>
      </c>
      <c r="CD170" t="str" cm="1">
        <f t="array" aca="1" ref="CD170" ca="1">eConcatenar(A170:CB170,"|")</f>
        <v>7iYBX7O3N53ip43I|COM2020-2793|3|IMPERIAL DE LUJO|TABASCO|COMALCALCO|COMALCALCO|2020-11-09|12900|X|X|100|0|x|X|x|X|X|X|X|X|X|X|X|x|X|x|CORDOVA|CARRASCO|LUCIA|CASADO|X|X|CARRETERA A NICOLAS BRAVO SIN NUMERO|INDEPENDENCIA SEGUNDA SECCION|X|9331215119|BEATRIZ CARRASCO CORDOVA|BENEFICIARIO 2: LIZETH JIMENEZ CARRASCO|x|X|X|MIERCOLES|x|x|X|X|X|DOMICILIO|5000|7900|x|x|X|2021-9-23|2021-9-30|X|x|X|x|x|INDEPENDENCIA SEGUNDA SECCION|X|1|x|12900|x|x|x|X|X|X|x|X|CARDENAS|X|x|x|x|final</v>
      </c>
    </row>
    <row r="171" spans="1:82" x14ac:dyDescent="0.25">
      <c r="A171" t="s">
        <v>6105</v>
      </c>
      <c r="B171" t="s">
        <v>6106</v>
      </c>
      <c r="C171">
        <v>3</v>
      </c>
      <c r="D171" t="s">
        <v>1</v>
      </c>
      <c r="E171" t="s">
        <v>2</v>
      </c>
      <c r="F171" t="s">
        <v>654</v>
      </c>
      <c r="G171" t="s">
        <v>654</v>
      </c>
      <c r="H171" t="s">
        <v>6107</v>
      </c>
      <c r="I171">
        <v>12900</v>
      </c>
      <c r="J171" t="s">
        <v>4</v>
      </c>
      <c r="K171" t="s">
        <v>4</v>
      </c>
      <c r="L171">
        <v>100</v>
      </c>
      <c r="M171">
        <v>0</v>
      </c>
      <c r="N171" t="s">
        <v>12</v>
      </c>
      <c r="O171" t="s">
        <v>4</v>
      </c>
      <c r="P171" t="s">
        <v>12</v>
      </c>
      <c r="Q171" t="s">
        <v>4</v>
      </c>
      <c r="R171" t="s">
        <v>4</v>
      </c>
      <c r="S171" t="s">
        <v>4</v>
      </c>
      <c r="T171" t="s">
        <v>4</v>
      </c>
      <c r="U171" t="s">
        <v>4</v>
      </c>
      <c r="V171" t="s">
        <v>4</v>
      </c>
      <c r="W171" t="s">
        <v>4</v>
      </c>
      <c r="X171" t="s">
        <v>4</v>
      </c>
      <c r="Y171" t="s">
        <v>12</v>
      </c>
      <c r="Z171" t="s">
        <v>4</v>
      </c>
      <c r="AA171" t="s">
        <v>12</v>
      </c>
      <c r="AB171" t="s">
        <v>15</v>
      </c>
      <c r="AC171" t="s">
        <v>597</v>
      </c>
      <c r="AD171" t="s">
        <v>6108</v>
      </c>
      <c r="AE171" t="s">
        <v>17</v>
      </c>
      <c r="AF171" t="s">
        <v>4</v>
      </c>
      <c r="AG171" t="s">
        <v>4</v>
      </c>
      <c r="AH171" t="s">
        <v>502</v>
      </c>
      <c r="AI171" t="s">
        <v>661</v>
      </c>
      <c r="AJ171" t="s">
        <v>4</v>
      </c>
      <c r="AK171">
        <v>9331687297</v>
      </c>
      <c r="AL171" t="s">
        <v>6109</v>
      </c>
      <c r="AM171" t="s">
        <v>6110</v>
      </c>
      <c r="AN171" t="s">
        <v>12</v>
      </c>
      <c r="AO171" t="s">
        <v>4</v>
      </c>
      <c r="AP171" t="s">
        <v>4</v>
      </c>
      <c r="AQ171" t="s">
        <v>658</v>
      </c>
      <c r="AR171" t="s">
        <v>12</v>
      </c>
      <c r="AS171" t="s">
        <v>12</v>
      </c>
      <c r="AT171" t="s">
        <v>4</v>
      </c>
      <c r="AU171" t="s">
        <v>4</v>
      </c>
      <c r="AV171" t="s">
        <v>4</v>
      </c>
      <c r="AW171" t="s">
        <v>11</v>
      </c>
      <c r="AX171">
        <v>4600</v>
      </c>
      <c r="AY171">
        <v>8300</v>
      </c>
      <c r="AZ171" t="s">
        <v>12</v>
      </c>
      <c r="BA171" t="s">
        <v>12</v>
      </c>
      <c r="BB171" t="s">
        <v>4</v>
      </c>
      <c r="BC171" t="s">
        <v>6111</v>
      </c>
      <c r="BD171" t="s">
        <v>5802</v>
      </c>
      <c r="BE171" t="s">
        <v>4</v>
      </c>
      <c r="BF171" t="s">
        <v>12</v>
      </c>
      <c r="BG171" t="s">
        <v>4</v>
      </c>
      <c r="BH171" t="s">
        <v>12</v>
      </c>
      <c r="BI171" t="s">
        <v>12</v>
      </c>
      <c r="BJ171" t="s">
        <v>661</v>
      </c>
      <c r="BK171" t="s">
        <v>4</v>
      </c>
      <c r="BL171">
        <v>0</v>
      </c>
      <c r="BM171" t="s">
        <v>12</v>
      </c>
      <c r="BN171">
        <v>12900</v>
      </c>
      <c r="BO171" t="s">
        <v>12</v>
      </c>
      <c r="BP171" t="s">
        <v>12</v>
      </c>
      <c r="BQ171" t="s">
        <v>12</v>
      </c>
      <c r="BR171" t="s">
        <v>4</v>
      </c>
      <c r="BS171" t="s">
        <v>4</v>
      </c>
      <c r="BT171" t="s">
        <v>4</v>
      </c>
      <c r="BU171" t="s">
        <v>12</v>
      </c>
      <c r="BV171" t="s">
        <v>4</v>
      </c>
      <c r="BW171" t="s">
        <v>3</v>
      </c>
      <c r="BX171" t="s">
        <v>4</v>
      </c>
      <c r="BY171" t="s">
        <v>12</v>
      </c>
      <c r="BZ171" t="s">
        <v>12</v>
      </c>
      <c r="CA171" t="s">
        <v>12</v>
      </c>
      <c r="CB171" t="s">
        <v>1074</v>
      </c>
      <c r="CC171" t="s">
        <v>12</v>
      </c>
      <c r="CD171" t="str" cm="1">
        <f t="array" aca="1" ref="CD171" ca="1">eConcatenar(A171:CB171,"|")</f>
        <v>DmI2G8Ak51xrWoaR|PAR2021-0282|3|IMPERIAL DE LUJO|TABASCO|PARAISO|PARAISO|2021-1-29|12900|X|X|100|0|x|X|x|X|X|X|X|X|X|X|X|x|X|x|JIMENEZ|MAGAÑA|MANUEL ANTONIO|SOLTERO|X|X|CALLE PRINCIPAL |EL ESCRIBANO|X|9331687297|EDILBERTO JIMENEZ FLORES|BENEFICIARIO 2: CLAUDIA GARCIA MAGAÑA|x|X|X|MIERCOLES|x|x|X|X|X|DOMICILIO|4600|8300|x|x|X|2021-9-08|2021-9-29|X|x|X|x|x|EL ESCRIBANO|X|0|x|12900|x|x|x|X|X|X|x|X|CARDENAS|X|x|x|x|final</v>
      </c>
    </row>
    <row r="172" spans="1:82" x14ac:dyDescent="0.25">
      <c r="A172" t="s">
        <v>6112</v>
      </c>
      <c r="B172" s="1" t="s">
        <v>6113</v>
      </c>
      <c r="C172">
        <v>3</v>
      </c>
      <c r="D172" t="s">
        <v>65</v>
      </c>
      <c r="E172" t="s">
        <v>2</v>
      </c>
      <c r="F172" t="s">
        <v>654</v>
      </c>
      <c r="G172" t="s">
        <v>654</v>
      </c>
      <c r="H172" t="s">
        <v>6114</v>
      </c>
      <c r="I172">
        <v>14800</v>
      </c>
      <c r="J172" t="s">
        <v>4</v>
      </c>
      <c r="K172" t="s">
        <v>4</v>
      </c>
      <c r="L172">
        <v>300</v>
      </c>
      <c r="M172">
        <v>1</v>
      </c>
      <c r="N172" t="s">
        <v>12</v>
      </c>
      <c r="O172" t="s">
        <v>4</v>
      </c>
      <c r="P172" t="s">
        <v>12</v>
      </c>
      <c r="Q172" t="s">
        <v>4</v>
      </c>
      <c r="R172" t="s">
        <v>4</v>
      </c>
      <c r="S172" t="s">
        <v>4</v>
      </c>
      <c r="T172" t="s">
        <v>4</v>
      </c>
      <c r="U172" t="s">
        <v>4</v>
      </c>
      <c r="V172" t="s">
        <v>4</v>
      </c>
      <c r="W172" t="s">
        <v>4</v>
      </c>
      <c r="X172" t="s">
        <v>4</v>
      </c>
      <c r="Y172" t="s">
        <v>12</v>
      </c>
      <c r="Z172" t="s">
        <v>4</v>
      </c>
      <c r="AA172" t="s">
        <v>12</v>
      </c>
      <c r="AB172" t="s">
        <v>16</v>
      </c>
      <c r="AC172" t="s">
        <v>36</v>
      </c>
      <c r="AD172" t="s">
        <v>6115</v>
      </c>
      <c r="AE172" t="s">
        <v>59</v>
      </c>
      <c r="AF172" t="s">
        <v>4</v>
      </c>
      <c r="AG172" t="s">
        <v>4</v>
      </c>
      <c r="AH172" t="s">
        <v>5864</v>
      </c>
      <c r="AI172" t="s">
        <v>661</v>
      </c>
      <c r="AJ172" t="s">
        <v>4</v>
      </c>
      <c r="AK172">
        <v>9331371700</v>
      </c>
      <c r="AL172" t="s">
        <v>6116</v>
      </c>
      <c r="AM172" t="s">
        <v>6117</v>
      </c>
      <c r="AN172" t="s">
        <v>12</v>
      </c>
      <c r="AO172" t="s">
        <v>6118</v>
      </c>
      <c r="AP172" t="s">
        <v>4</v>
      </c>
      <c r="AQ172" t="s">
        <v>658</v>
      </c>
      <c r="AR172" t="s">
        <v>12</v>
      </c>
      <c r="AS172" t="s">
        <v>12</v>
      </c>
      <c r="AT172" t="s">
        <v>4</v>
      </c>
      <c r="AU172" t="s">
        <v>4</v>
      </c>
      <c r="AV172" t="s">
        <v>4</v>
      </c>
      <c r="AW172" t="s">
        <v>305</v>
      </c>
      <c r="AX172">
        <v>1800</v>
      </c>
      <c r="AY172">
        <v>13000</v>
      </c>
      <c r="AZ172" t="s">
        <v>12</v>
      </c>
      <c r="BA172" t="s">
        <v>12</v>
      </c>
      <c r="BB172" t="s">
        <v>4</v>
      </c>
      <c r="BC172" t="s">
        <v>1135</v>
      </c>
      <c r="BD172" t="s">
        <v>5802</v>
      </c>
      <c r="BE172" t="s">
        <v>4</v>
      </c>
      <c r="BF172" t="s">
        <v>12</v>
      </c>
      <c r="BG172" t="s">
        <v>4</v>
      </c>
      <c r="BH172" t="s">
        <v>12</v>
      </c>
      <c r="BI172" t="s">
        <v>12</v>
      </c>
      <c r="BJ172" t="s">
        <v>661</v>
      </c>
      <c r="BK172" t="s">
        <v>4</v>
      </c>
      <c r="BL172">
        <v>0</v>
      </c>
      <c r="BM172" t="s">
        <v>12</v>
      </c>
      <c r="BN172">
        <v>14800</v>
      </c>
      <c r="BO172" t="s">
        <v>12</v>
      </c>
      <c r="BP172" t="s">
        <v>12</v>
      </c>
      <c r="BQ172" t="s">
        <v>12</v>
      </c>
      <c r="BR172" t="s">
        <v>4</v>
      </c>
      <c r="BS172" t="s">
        <v>4</v>
      </c>
      <c r="BT172" t="s">
        <v>4</v>
      </c>
      <c r="BU172" t="s">
        <v>12</v>
      </c>
      <c r="BV172" t="s">
        <v>4</v>
      </c>
      <c r="BW172" t="s">
        <v>303</v>
      </c>
      <c r="BX172" t="s">
        <v>4</v>
      </c>
      <c r="BY172" t="s">
        <v>12</v>
      </c>
      <c r="BZ172" t="s">
        <v>12</v>
      </c>
      <c r="CA172" t="s">
        <v>12</v>
      </c>
      <c r="CB172" t="s">
        <v>1074</v>
      </c>
      <c r="CC172" t="s">
        <v>12</v>
      </c>
      <c r="CD172" t="str" cm="1">
        <f t="array" aca="1" ref="CD172" ca="1">eConcatenar(A172:CB172,"|")</f>
        <v>BByvJjhJjKclnltf|PAR2021-1770|3|MEMORIAL|TABASCO|PARAISO|PARAISO|2021-5-29|14800|X|X|300|1|x|X|x|X|X|X|X|X|X|X|X|x|X|x|SANTOS|HERNANDEZ|HIPOLITO|CASADO|X|X|CARRETERA A LAS FLORES SIN NUMERO|EL ESCRIBANO|X|9331371700|VERONICA RODRIGUEZ CANDELERO|BENEFICIARIO 2: ROSITA SANTOS RODRIGUEZ|x|RUTA 4 M|X|MIERCOLES|x|x|X|X|X|DOMICILIO |1800|13000|x|x|X|2021-9-15|2021-9-29|X|x|X|x|x|EL ESCRIBANO|X|0|x|14800|x|x|x|X|X|X|x|X|CARDENAS |X|x|x|x|final</v>
      </c>
    </row>
    <row r="173" spans="1:82" x14ac:dyDescent="0.25">
      <c r="A173" t="s">
        <v>6119</v>
      </c>
      <c r="B173" s="1" t="s">
        <v>6120</v>
      </c>
      <c r="C173">
        <v>3</v>
      </c>
      <c r="D173" t="s">
        <v>65</v>
      </c>
      <c r="E173" t="s">
        <v>2</v>
      </c>
      <c r="F173" t="s">
        <v>654</v>
      </c>
      <c r="G173" t="s">
        <v>654</v>
      </c>
      <c r="H173" t="s">
        <v>6114</v>
      </c>
      <c r="I173">
        <v>14800</v>
      </c>
      <c r="J173" t="s">
        <v>4</v>
      </c>
      <c r="K173" t="s">
        <v>4</v>
      </c>
      <c r="L173">
        <v>300</v>
      </c>
      <c r="M173">
        <v>1</v>
      </c>
      <c r="N173" t="s">
        <v>12</v>
      </c>
      <c r="O173" t="s">
        <v>4</v>
      </c>
      <c r="P173" t="s">
        <v>12</v>
      </c>
      <c r="Q173" t="s">
        <v>4</v>
      </c>
      <c r="R173" t="s">
        <v>4</v>
      </c>
      <c r="S173" t="s">
        <v>4</v>
      </c>
      <c r="T173" t="s">
        <v>4</v>
      </c>
      <c r="U173" t="s">
        <v>4</v>
      </c>
      <c r="V173" t="s">
        <v>4</v>
      </c>
      <c r="W173" t="s">
        <v>4</v>
      </c>
      <c r="X173" t="s">
        <v>4</v>
      </c>
      <c r="Y173" t="s">
        <v>12</v>
      </c>
      <c r="Z173" t="s">
        <v>4</v>
      </c>
      <c r="AA173" t="s">
        <v>12</v>
      </c>
      <c r="AB173" t="s">
        <v>116</v>
      </c>
      <c r="AC173" t="s">
        <v>5450</v>
      </c>
      <c r="AD173" t="s">
        <v>564</v>
      </c>
      <c r="AE173" t="s">
        <v>29</v>
      </c>
      <c r="AF173" t="s">
        <v>4</v>
      </c>
      <c r="AG173" t="s">
        <v>4</v>
      </c>
      <c r="AH173" t="s">
        <v>6121</v>
      </c>
      <c r="AI173" t="s">
        <v>6122</v>
      </c>
      <c r="AJ173" t="s">
        <v>4</v>
      </c>
      <c r="AK173">
        <v>9331371700</v>
      </c>
      <c r="AL173" t="s">
        <v>6123</v>
      </c>
      <c r="AM173" t="s">
        <v>6117</v>
      </c>
      <c r="AN173" t="s">
        <v>12</v>
      </c>
      <c r="AO173" t="s">
        <v>6118</v>
      </c>
      <c r="AP173" t="s">
        <v>4</v>
      </c>
      <c r="AQ173" t="s">
        <v>658</v>
      </c>
      <c r="AR173" t="s">
        <v>12</v>
      </c>
      <c r="AS173" t="s">
        <v>12</v>
      </c>
      <c r="AT173" t="s">
        <v>4</v>
      </c>
      <c r="AU173" t="s">
        <v>4</v>
      </c>
      <c r="AV173" t="s">
        <v>4</v>
      </c>
      <c r="AW173" t="s">
        <v>305</v>
      </c>
      <c r="AX173">
        <v>1800</v>
      </c>
      <c r="AY173">
        <v>13000</v>
      </c>
      <c r="AZ173" t="s">
        <v>12</v>
      </c>
      <c r="BA173" t="s">
        <v>12</v>
      </c>
      <c r="BB173" t="s">
        <v>4</v>
      </c>
      <c r="BC173" t="s">
        <v>1135</v>
      </c>
      <c r="BD173" t="s">
        <v>5802</v>
      </c>
      <c r="BE173" t="s">
        <v>4</v>
      </c>
      <c r="BF173" t="s">
        <v>12</v>
      </c>
      <c r="BG173" t="s">
        <v>4</v>
      </c>
      <c r="BH173" t="s">
        <v>12</v>
      </c>
      <c r="BI173" t="s">
        <v>12</v>
      </c>
      <c r="BJ173" t="s">
        <v>6124</v>
      </c>
      <c r="BK173" t="s">
        <v>4</v>
      </c>
      <c r="BL173">
        <v>1</v>
      </c>
      <c r="BM173" t="s">
        <v>12</v>
      </c>
      <c r="BN173">
        <v>14800</v>
      </c>
      <c r="BO173" t="s">
        <v>12</v>
      </c>
      <c r="BP173" t="s">
        <v>12</v>
      </c>
      <c r="BQ173" t="s">
        <v>12</v>
      </c>
      <c r="BR173" t="s">
        <v>4</v>
      </c>
      <c r="BS173" t="s">
        <v>4</v>
      </c>
      <c r="BT173" t="s">
        <v>4</v>
      </c>
      <c r="BU173" t="s">
        <v>12</v>
      </c>
      <c r="BV173" t="s">
        <v>4</v>
      </c>
      <c r="BW173" t="s">
        <v>303</v>
      </c>
      <c r="BX173" t="s">
        <v>4</v>
      </c>
      <c r="BY173" t="s">
        <v>12</v>
      </c>
      <c r="BZ173" t="s">
        <v>12</v>
      </c>
      <c r="CA173" t="s">
        <v>12</v>
      </c>
      <c r="CB173" t="s">
        <v>1074</v>
      </c>
      <c r="CC173" t="s">
        <v>12</v>
      </c>
      <c r="CD173" t="str" cm="1">
        <f t="array" aca="1" ref="CD173" ca="1">eConcatenar(A173:CB173,"|")</f>
        <v>gmqroQla55RAUDkP|PAR2021-1768|3|MEMORIAL|TABASCO|PARAISO|PARAISO|2021-5-29|14800|X|X|300|1|x|X|x|X|X|X|X|X|X|X|X|x|X|x|RODRIGUEZ|CANDELERO|VERONICA|CASADA|X|X|CARRETERA AL ESCRIBANO|LAS FLORES PRIMERA|X|9331371700|HIPOLITO SANTOS HERNANDEZ|BENEFICIARIO 2: ROSITA SANTOS RODRIGUEZ|x|RUTA 4 M|X|MIERCOLES|x|x|X|X|X|DOMICILIO |1800|13000|x|x|X|2021-9-15|2021-9-29|X|x|X|x|x|LAS FLORES PRIMERA |X|1|x|14800|x|x|x|X|X|X|x|X|CARDENAS |X|x|x|x|final</v>
      </c>
    </row>
    <row r="174" spans="1:82" x14ac:dyDescent="0.25">
      <c r="A174" t="s">
        <v>6125</v>
      </c>
      <c r="B174" t="s">
        <v>6126</v>
      </c>
      <c r="C174">
        <v>3</v>
      </c>
      <c r="D174" t="s">
        <v>194</v>
      </c>
      <c r="E174" t="s">
        <v>2</v>
      </c>
      <c r="F174" t="s">
        <v>654</v>
      </c>
      <c r="G174" t="s">
        <v>654</v>
      </c>
      <c r="H174" t="s">
        <v>4740</v>
      </c>
      <c r="I174">
        <v>12900</v>
      </c>
      <c r="J174" t="s">
        <v>4</v>
      </c>
      <c r="K174" t="s">
        <v>4</v>
      </c>
      <c r="L174">
        <v>200</v>
      </c>
      <c r="M174">
        <v>1</v>
      </c>
      <c r="N174" t="s">
        <v>12</v>
      </c>
      <c r="O174" t="s">
        <v>4</v>
      </c>
      <c r="P174" t="s">
        <v>12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4</v>
      </c>
      <c r="W174" t="s">
        <v>4</v>
      </c>
      <c r="X174" t="s">
        <v>4</v>
      </c>
      <c r="Y174" t="s">
        <v>12</v>
      </c>
      <c r="Z174" t="s">
        <v>4</v>
      </c>
      <c r="AA174" t="s">
        <v>12</v>
      </c>
      <c r="AB174" t="s">
        <v>80</v>
      </c>
      <c r="AC174" t="s">
        <v>80</v>
      </c>
      <c r="AD174" t="s">
        <v>6127</v>
      </c>
      <c r="AE174" t="s">
        <v>29</v>
      </c>
      <c r="AF174" t="s">
        <v>4</v>
      </c>
      <c r="AG174" t="s">
        <v>4</v>
      </c>
      <c r="AH174" t="s">
        <v>6128</v>
      </c>
      <c r="AI174" t="s">
        <v>753</v>
      </c>
      <c r="AJ174" t="s">
        <v>4</v>
      </c>
      <c r="AK174">
        <v>9331164102</v>
      </c>
      <c r="AL174" t="s">
        <v>6129</v>
      </c>
      <c r="AM174" t="s">
        <v>6130</v>
      </c>
      <c r="AN174" t="s">
        <v>12</v>
      </c>
      <c r="AO174" t="s">
        <v>6118</v>
      </c>
      <c r="AP174" t="s">
        <v>4</v>
      </c>
      <c r="AQ174" t="s">
        <v>658</v>
      </c>
      <c r="AR174" t="s">
        <v>12</v>
      </c>
      <c r="AS174" t="s">
        <v>12</v>
      </c>
      <c r="AT174" t="s">
        <v>4</v>
      </c>
      <c r="AU174" t="s">
        <v>4</v>
      </c>
      <c r="AV174" t="s">
        <v>4</v>
      </c>
      <c r="AW174" t="s">
        <v>305</v>
      </c>
      <c r="AX174">
        <v>9400</v>
      </c>
      <c r="AY174">
        <v>5400</v>
      </c>
      <c r="AZ174" t="s">
        <v>12</v>
      </c>
      <c r="BA174" t="s">
        <v>12</v>
      </c>
      <c r="BB174" t="s">
        <v>4</v>
      </c>
      <c r="BC174" t="s">
        <v>1135</v>
      </c>
      <c r="BD174" t="s">
        <v>5802</v>
      </c>
      <c r="BE174" t="s">
        <v>4</v>
      </c>
      <c r="BF174" t="s">
        <v>12</v>
      </c>
      <c r="BG174" t="s">
        <v>4</v>
      </c>
      <c r="BH174" t="s">
        <v>12</v>
      </c>
      <c r="BI174" t="s">
        <v>12</v>
      </c>
      <c r="BJ174" t="s">
        <v>753</v>
      </c>
      <c r="BK174" t="s">
        <v>4</v>
      </c>
      <c r="BL174">
        <v>1</v>
      </c>
      <c r="BM174" t="s">
        <v>12</v>
      </c>
      <c r="BN174">
        <v>12900</v>
      </c>
      <c r="BO174" t="s">
        <v>12</v>
      </c>
      <c r="BP174" t="s">
        <v>12</v>
      </c>
      <c r="BQ174" t="s">
        <v>12</v>
      </c>
      <c r="BR174" t="s">
        <v>4</v>
      </c>
      <c r="BS174" t="s">
        <v>4</v>
      </c>
      <c r="BT174" t="s">
        <v>4</v>
      </c>
      <c r="BU174" t="s">
        <v>12</v>
      </c>
      <c r="BV174" t="s">
        <v>4</v>
      </c>
      <c r="BW174" t="s">
        <v>303</v>
      </c>
      <c r="BX174" t="s">
        <v>4</v>
      </c>
      <c r="BY174" t="s">
        <v>12</v>
      </c>
      <c r="BZ174" t="s">
        <v>12</v>
      </c>
      <c r="CA174" t="s">
        <v>12</v>
      </c>
      <c r="CB174" t="s">
        <v>1074</v>
      </c>
      <c r="CC174" t="s">
        <v>12</v>
      </c>
      <c r="CD174" t="str" cm="1">
        <f t="array" aca="1" ref="CD174" ca="1">eConcatenar(A174:CB174,"|")</f>
        <v>aQNgDvxruaLAncAK|PAR2020-0380|3|ECONOLINE|TABASCO|PARAISO|PARAISO|2020-2-11|12900|X|X|200|1|x|X|x|X|X|X|X|X|X|X|X|x|X|x|LOPEZ|LOPEZ|ISABEL|CASADA|X|X|CALLE PROGRESO|VILLA PUERTO CEIBA|X|9331164102|ANGEL DE LA CRUZ ZAVALETA|BENEFICIARIO 2: ANGEL DE LA CRUZ LOPEZ|x|RUTA 4 M|X|MIERCOLES|x|x|X|X|X|DOMICILIO |9400|5400|x|x|X|2021-9-15|2021-9-29|X|x|X|x|x|VILLA PUERTO CEIBA|X|1|x|12900|x|x|x|X|X|X|x|X|CARDENAS |X|x|x|x|final</v>
      </c>
    </row>
    <row r="175" spans="1:82" x14ac:dyDescent="0.25">
      <c r="A175" t="s">
        <v>6131</v>
      </c>
      <c r="B175" t="s">
        <v>6132</v>
      </c>
      <c r="C175">
        <v>3</v>
      </c>
      <c r="D175" t="s">
        <v>194</v>
      </c>
      <c r="E175" t="s">
        <v>2</v>
      </c>
      <c r="F175" t="s">
        <v>654</v>
      </c>
      <c r="G175" t="s">
        <v>654</v>
      </c>
      <c r="H175" t="s">
        <v>6133</v>
      </c>
      <c r="I175">
        <v>12900</v>
      </c>
      <c r="J175" t="s">
        <v>4</v>
      </c>
      <c r="K175" t="s">
        <v>4</v>
      </c>
      <c r="L175">
        <v>200</v>
      </c>
      <c r="M175">
        <v>1</v>
      </c>
      <c r="N175" t="s">
        <v>12</v>
      </c>
      <c r="O175" t="s">
        <v>4</v>
      </c>
      <c r="P175" t="s">
        <v>12</v>
      </c>
      <c r="Q175" t="s">
        <v>4</v>
      </c>
      <c r="R175" t="s">
        <v>4</v>
      </c>
      <c r="S175" t="s">
        <v>4</v>
      </c>
      <c r="T175" t="s">
        <v>4</v>
      </c>
      <c r="U175" t="s">
        <v>4</v>
      </c>
      <c r="V175" t="s">
        <v>4</v>
      </c>
      <c r="W175" t="s">
        <v>4</v>
      </c>
      <c r="X175" t="s">
        <v>4</v>
      </c>
      <c r="Y175" t="s">
        <v>12</v>
      </c>
      <c r="Z175" t="s">
        <v>4</v>
      </c>
      <c r="AA175" t="s">
        <v>12</v>
      </c>
      <c r="AB175" t="s">
        <v>294</v>
      </c>
      <c r="AC175" t="s">
        <v>28</v>
      </c>
      <c r="AD175" t="s">
        <v>300</v>
      </c>
      <c r="AE175" t="s">
        <v>59</v>
      </c>
      <c r="AF175" t="s">
        <v>4</v>
      </c>
      <c r="AG175" t="s">
        <v>4</v>
      </c>
      <c r="AH175" t="s">
        <v>6134</v>
      </c>
      <c r="AI175" t="s">
        <v>6135</v>
      </c>
      <c r="AJ175" t="s">
        <v>4</v>
      </c>
      <c r="AK175">
        <v>9331136761</v>
      </c>
      <c r="AL175" t="s">
        <v>6136</v>
      </c>
      <c r="AM175" t="s">
        <v>6137</v>
      </c>
      <c r="AN175" t="s">
        <v>12</v>
      </c>
      <c r="AO175" t="s">
        <v>6118</v>
      </c>
      <c r="AP175" t="s">
        <v>4</v>
      </c>
      <c r="AQ175" t="s">
        <v>658</v>
      </c>
      <c r="AR175" t="s">
        <v>12</v>
      </c>
      <c r="AS175" t="s">
        <v>12</v>
      </c>
      <c r="AT175" t="s">
        <v>4</v>
      </c>
      <c r="AU175" t="s">
        <v>4</v>
      </c>
      <c r="AV175" t="s">
        <v>4</v>
      </c>
      <c r="AW175" t="s">
        <v>305</v>
      </c>
      <c r="AX175">
        <v>10450</v>
      </c>
      <c r="AY175">
        <v>2450</v>
      </c>
      <c r="AZ175" t="s">
        <v>12</v>
      </c>
      <c r="BA175" t="s">
        <v>12</v>
      </c>
      <c r="BB175" t="s">
        <v>4</v>
      </c>
      <c r="BC175" t="s">
        <v>6111</v>
      </c>
      <c r="BD175" t="s">
        <v>5802</v>
      </c>
      <c r="BE175" t="s">
        <v>4</v>
      </c>
      <c r="BF175" t="s">
        <v>12</v>
      </c>
      <c r="BG175" t="s">
        <v>4</v>
      </c>
      <c r="BH175" t="s">
        <v>12</v>
      </c>
      <c r="BI175" t="s">
        <v>12</v>
      </c>
      <c r="BJ175" t="s">
        <v>6138</v>
      </c>
      <c r="BK175" t="s">
        <v>4</v>
      </c>
      <c r="BL175">
        <v>0</v>
      </c>
      <c r="BM175" t="s">
        <v>12</v>
      </c>
      <c r="BN175">
        <v>12900</v>
      </c>
      <c r="BO175" t="s">
        <v>12</v>
      </c>
      <c r="BP175" t="s">
        <v>12</v>
      </c>
      <c r="BQ175" t="s">
        <v>12</v>
      </c>
      <c r="BR175" t="s">
        <v>4</v>
      </c>
      <c r="BS175" t="s">
        <v>4</v>
      </c>
      <c r="BT175" t="s">
        <v>4</v>
      </c>
      <c r="BU175" t="s">
        <v>12</v>
      </c>
      <c r="BV175" t="s">
        <v>4</v>
      </c>
      <c r="BW175" t="s">
        <v>303</v>
      </c>
      <c r="BX175" t="s">
        <v>4</v>
      </c>
      <c r="BY175" t="s">
        <v>12</v>
      </c>
      <c r="BZ175" t="s">
        <v>12</v>
      </c>
      <c r="CA175" t="s">
        <v>12</v>
      </c>
      <c r="CB175" t="s">
        <v>1074</v>
      </c>
      <c r="CC175" t="s">
        <v>12</v>
      </c>
      <c r="CD175" t="str" cm="1">
        <f t="array" aca="1" ref="CD175" ca="1">eConcatenar(A175:CB175,"|")</f>
        <v>F5rAFVh5JTjXQz3C|PAR2020-0371|3|ECONOLINE|TABASCO|PARAISO|PARAISO|2020-2-10|12900|X|X|200|1|x|X|x|X|X|X|X|X|X|X|X|x|X|x|ARIAS|CORDOVA|ANDRES|CASADO|X|X|CARRETERA VECINAL  PARAISO - COMALCALCO|MOCTEZUMA TERCERA|X|9331136761|NATIVIDAD CORDOVA DIAZ|BENEFICIARIO 2: JILIO CESAR ARIAS CORDOVA|x|RUTA 4 M|X|MIERCOLES|x|x|X|X|X|DOMICILIO |10450|2450|x|x|X|2021-9-08|2021-9-29|X|x|X|x|x|MOCTEZUMA PRIMERA|X|0|x|12900|x|x|x|X|X|X|x|X|CARDENAS |X|x|x|x|final</v>
      </c>
    </row>
    <row r="176" spans="1:82" x14ac:dyDescent="0.25">
      <c r="A176" t="s">
        <v>6139</v>
      </c>
      <c r="B176" t="s">
        <v>6140</v>
      </c>
      <c r="C176">
        <v>3</v>
      </c>
      <c r="D176" t="s">
        <v>65</v>
      </c>
      <c r="E176" t="s">
        <v>2</v>
      </c>
      <c r="F176" t="s">
        <v>654</v>
      </c>
      <c r="G176" t="s">
        <v>654</v>
      </c>
      <c r="H176" t="s">
        <v>1097</v>
      </c>
      <c r="I176">
        <v>14800</v>
      </c>
      <c r="J176" t="s">
        <v>4</v>
      </c>
      <c r="K176" t="s">
        <v>4</v>
      </c>
      <c r="L176">
        <v>200</v>
      </c>
      <c r="M176">
        <v>1</v>
      </c>
      <c r="N176" t="s">
        <v>12</v>
      </c>
      <c r="O176" t="s">
        <v>4</v>
      </c>
      <c r="P176" t="s">
        <v>12</v>
      </c>
      <c r="Q176" t="s">
        <v>4</v>
      </c>
      <c r="R176" t="s">
        <v>4</v>
      </c>
      <c r="S176" t="s">
        <v>4</v>
      </c>
      <c r="T176" t="s">
        <v>4</v>
      </c>
      <c r="U176" t="s">
        <v>4</v>
      </c>
      <c r="V176" t="s">
        <v>4</v>
      </c>
      <c r="W176" t="s">
        <v>4</v>
      </c>
      <c r="X176" t="s">
        <v>4</v>
      </c>
      <c r="Y176" t="s">
        <v>12</v>
      </c>
      <c r="Z176" t="s">
        <v>4</v>
      </c>
      <c r="AA176" t="s">
        <v>12</v>
      </c>
      <c r="AB176" t="s">
        <v>6141</v>
      </c>
      <c r="AC176" t="s">
        <v>47</v>
      </c>
      <c r="AD176" t="s">
        <v>6142</v>
      </c>
      <c r="AE176" t="s">
        <v>59</v>
      </c>
      <c r="AF176" t="s">
        <v>4</v>
      </c>
      <c r="AG176" t="s">
        <v>4</v>
      </c>
      <c r="AH176" t="s">
        <v>6143</v>
      </c>
      <c r="AI176" t="s">
        <v>219</v>
      </c>
      <c r="AJ176" t="s">
        <v>4</v>
      </c>
      <c r="AK176">
        <v>9331705390</v>
      </c>
      <c r="AL176" t="s">
        <v>6144</v>
      </c>
      <c r="AM176" t="s">
        <v>6145</v>
      </c>
      <c r="AN176" t="s">
        <v>12</v>
      </c>
      <c r="AO176" t="s">
        <v>6118</v>
      </c>
      <c r="AP176" t="s">
        <v>4</v>
      </c>
      <c r="AQ176" t="s">
        <v>658</v>
      </c>
      <c r="AR176" t="s">
        <v>12</v>
      </c>
      <c r="AS176" t="s">
        <v>12</v>
      </c>
      <c r="AT176" t="s">
        <v>4</v>
      </c>
      <c r="AU176" t="s">
        <v>4</v>
      </c>
      <c r="AV176" t="s">
        <v>4</v>
      </c>
      <c r="AW176" t="s">
        <v>305</v>
      </c>
      <c r="AX176">
        <v>1000</v>
      </c>
      <c r="AY176">
        <v>13800</v>
      </c>
      <c r="AZ176" t="s">
        <v>12</v>
      </c>
      <c r="BA176" t="s">
        <v>12</v>
      </c>
      <c r="BB176" t="s">
        <v>4</v>
      </c>
      <c r="BC176" t="s">
        <v>1135</v>
      </c>
      <c r="BD176" t="s">
        <v>5802</v>
      </c>
      <c r="BE176" t="s">
        <v>4</v>
      </c>
      <c r="BF176" t="s">
        <v>12</v>
      </c>
      <c r="BG176" t="s">
        <v>4</v>
      </c>
      <c r="BH176" t="s">
        <v>12</v>
      </c>
      <c r="BI176" t="s">
        <v>12</v>
      </c>
      <c r="BJ176" t="s">
        <v>6143</v>
      </c>
      <c r="BK176" t="s">
        <v>4</v>
      </c>
      <c r="BL176">
        <v>0</v>
      </c>
      <c r="BM176" t="s">
        <v>12</v>
      </c>
      <c r="BN176">
        <v>14800</v>
      </c>
      <c r="BO176" t="s">
        <v>12</v>
      </c>
      <c r="BP176" t="s">
        <v>12</v>
      </c>
      <c r="BQ176" t="s">
        <v>12</v>
      </c>
      <c r="BR176" t="s">
        <v>4</v>
      </c>
      <c r="BS176" t="s">
        <v>4</v>
      </c>
      <c r="BT176" t="s">
        <v>4</v>
      </c>
      <c r="BU176" t="s">
        <v>12</v>
      </c>
      <c r="BV176" t="s">
        <v>4</v>
      </c>
      <c r="BW176" t="s">
        <v>303</v>
      </c>
      <c r="BX176" t="s">
        <v>4</v>
      </c>
      <c r="BY176" t="s">
        <v>12</v>
      </c>
      <c r="BZ176" t="s">
        <v>12</v>
      </c>
      <c r="CA176" t="s">
        <v>12</v>
      </c>
      <c r="CB176" t="s">
        <v>1074</v>
      </c>
      <c r="CC176" t="s">
        <v>12</v>
      </c>
      <c r="CD176" t="str" cm="1">
        <f t="array" aca="1" ref="CD176" ca="1">eConcatenar(A176:CB176,"|")</f>
        <v>CZ74RK091h7eNBJF|PAR2021-1988|3|MEMORIAL|TABASCO|PARAISO|PARAISO|2021-6-15|14800|X|X|200|1|x|X|x|X|X|X|X|X|X|X|X|x|X|x|CAMARA|SANCHEZ|ALDO DANIEL|CASADO|X|X|CALLE VERACRUZ|EL LIMON|X|9331705390|ROCIO GARCIA GARCIA|BENEFICIARIO 2: MARCO SANCHEZ GARCIA|x|RUTA 4 M|X|MIERCOLES|x|x|X|X|X|DOMICILIO |1000|13800|x|x|X|2021-9-15|2021-9-29|X|x|X|x|x|CALLE VERACRUZ|X|0|x|14800|x|x|x|X|X|X|x|X|CARDENAS |X|x|x|x|final</v>
      </c>
    </row>
    <row r="177" spans="1:82" x14ac:dyDescent="0.25">
      <c r="A177" t="s">
        <v>6146</v>
      </c>
      <c r="B177" t="s">
        <v>6147</v>
      </c>
      <c r="C177">
        <v>3</v>
      </c>
      <c r="D177" t="s">
        <v>65</v>
      </c>
      <c r="E177" t="s">
        <v>2</v>
      </c>
      <c r="F177" t="s">
        <v>654</v>
      </c>
      <c r="G177" t="s">
        <v>654</v>
      </c>
      <c r="H177" t="s">
        <v>1097</v>
      </c>
      <c r="I177">
        <v>14800</v>
      </c>
      <c r="J177" t="s">
        <v>4</v>
      </c>
      <c r="K177" t="s">
        <v>4</v>
      </c>
      <c r="L177">
        <v>50</v>
      </c>
      <c r="M177">
        <v>1</v>
      </c>
      <c r="N177" t="s">
        <v>12</v>
      </c>
      <c r="O177" t="s">
        <v>4</v>
      </c>
      <c r="P177" t="s">
        <v>12</v>
      </c>
      <c r="Q177" t="s">
        <v>4</v>
      </c>
      <c r="R177" t="s">
        <v>4</v>
      </c>
      <c r="S177" t="s">
        <v>4</v>
      </c>
      <c r="T177" t="s">
        <v>4</v>
      </c>
      <c r="U177" t="s">
        <v>4</v>
      </c>
      <c r="V177" t="s">
        <v>4</v>
      </c>
      <c r="W177" t="s">
        <v>4</v>
      </c>
      <c r="X177" t="s">
        <v>4</v>
      </c>
      <c r="Y177" t="s">
        <v>12</v>
      </c>
      <c r="Z177" t="s">
        <v>4</v>
      </c>
      <c r="AA177" t="s">
        <v>12</v>
      </c>
      <c r="AB177" t="s">
        <v>4741</v>
      </c>
      <c r="AC177" t="s">
        <v>80</v>
      </c>
      <c r="AD177" t="s">
        <v>6148</v>
      </c>
      <c r="AE177" t="s">
        <v>59</v>
      </c>
      <c r="AF177" t="s">
        <v>4</v>
      </c>
      <c r="AG177" t="s">
        <v>4</v>
      </c>
      <c r="AH177" t="s">
        <v>5230</v>
      </c>
      <c r="AI177" t="s">
        <v>688</v>
      </c>
      <c r="AJ177" t="s">
        <v>4</v>
      </c>
      <c r="AK177" t="s">
        <v>4</v>
      </c>
      <c r="AL177" t="s">
        <v>6149</v>
      </c>
      <c r="AM177" t="s">
        <v>6150</v>
      </c>
      <c r="AN177" t="s">
        <v>12</v>
      </c>
      <c r="AO177" t="s">
        <v>6118</v>
      </c>
      <c r="AP177" t="s">
        <v>4</v>
      </c>
      <c r="AQ177" t="s">
        <v>4775</v>
      </c>
      <c r="AR177" t="s">
        <v>12</v>
      </c>
      <c r="AS177" t="s">
        <v>12</v>
      </c>
      <c r="AT177" t="s">
        <v>4</v>
      </c>
      <c r="AU177" t="s">
        <v>4</v>
      </c>
      <c r="AV177" t="s">
        <v>4</v>
      </c>
      <c r="AW177" t="s">
        <v>305</v>
      </c>
      <c r="AX177">
        <v>1750</v>
      </c>
      <c r="AY177">
        <v>13050</v>
      </c>
      <c r="AZ177" t="s">
        <v>12</v>
      </c>
      <c r="BA177" t="s">
        <v>12</v>
      </c>
      <c r="BB177" t="s">
        <v>4</v>
      </c>
      <c r="BC177" t="s">
        <v>1116</v>
      </c>
      <c r="BD177" t="s">
        <v>1131</v>
      </c>
      <c r="BE177" t="s">
        <v>4</v>
      </c>
      <c r="BF177" t="s">
        <v>12</v>
      </c>
      <c r="BG177" t="s">
        <v>4</v>
      </c>
      <c r="BH177" t="s">
        <v>12</v>
      </c>
      <c r="BI177" t="s">
        <v>12</v>
      </c>
      <c r="BJ177" t="s">
        <v>688</v>
      </c>
      <c r="BK177" t="s">
        <v>4</v>
      </c>
      <c r="BL177">
        <v>0</v>
      </c>
      <c r="BM177" t="s">
        <v>12</v>
      </c>
      <c r="BN177">
        <v>14800</v>
      </c>
      <c r="BO177" t="s">
        <v>12</v>
      </c>
      <c r="BP177" t="s">
        <v>12</v>
      </c>
      <c r="BQ177" t="s">
        <v>12</v>
      </c>
      <c r="BR177" t="s">
        <v>4</v>
      </c>
      <c r="BS177" t="s">
        <v>4</v>
      </c>
      <c r="BT177" t="s">
        <v>4</v>
      </c>
      <c r="BU177" t="s">
        <v>12</v>
      </c>
      <c r="BV177" t="s">
        <v>4</v>
      </c>
      <c r="BW177" t="s">
        <v>303</v>
      </c>
      <c r="BX177" t="s">
        <v>4</v>
      </c>
      <c r="BY177" t="s">
        <v>12</v>
      </c>
      <c r="BZ177" t="s">
        <v>12</v>
      </c>
      <c r="CA177" t="s">
        <v>12</v>
      </c>
      <c r="CB177" t="s">
        <v>1074</v>
      </c>
      <c r="CC177" t="s">
        <v>12</v>
      </c>
      <c r="CD177" t="str" cm="1">
        <f t="array" aca="1" ref="CD177" ca="1">eConcatenar(A177:CB177,"|")</f>
        <v>Nsvnm3qLc8H2Asez|PAR2021-1989|3|MEMORIAL|TABASCO|PARAISO|PARAISO|2021-6-15|14800|X|X|50|1|x|X|x|X|X|X|X|X|X|X|X|x|X|x|CARRILLO |LOPEZ|LUIS MANUEL|CASADO|X|X|MOCTEZUMA PRIMERA |MOCTEZUMA PRIMERA SECCION|X|X|VIOLETA PEREZ FLORES|BENEFICIARIO 2: MARIA GUADALUPE CARRILLO PEREZ|x|RUTA 4 M|X|JUEVES|x|x|X|X|X|DOMICILIO |1750|13050|x|x|X|2021-8-16|2021-9-30|X|x|X|x|x|MOCTEZUMA PRIMERA SECCION|X|0|x|14800|x|x|x|X|X|X|x|X|CARDENAS |X|x|x|x|final</v>
      </c>
    </row>
    <row r="178" spans="1:82" x14ac:dyDescent="0.25">
      <c r="A178" t="s">
        <v>6151</v>
      </c>
      <c r="B178" t="s">
        <v>6152</v>
      </c>
      <c r="C178">
        <v>3</v>
      </c>
      <c r="D178" t="s">
        <v>1</v>
      </c>
      <c r="E178" t="s">
        <v>2</v>
      </c>
      <c r="F178" t="s">
        <v>654</v>
      </c>
      <c r="G178" t="s">
        <v>654</v>
      </c>
      <c r="H178" t="s">
        <v>6153</v>
      </c>
      <c r="I178">
        <v>12900</v>
      </c>
      <c r="J178" t="s">
        <v>4</v>
      </c>
      <c r="K178" t="s">
        <v>4</v>
      </c>
      <c r="L178">
        <v>200</v>
      </c>
      <c r="M178">
        <v>1</v>
      </c>
      <c r="N178" t="s">
        <v>12</v>
      </c>
      <c r="O178" t="s">
        <v>4</v>
      </c>
      <c r="P178" t="s">
        <v>12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4</v>
      </c>
      <c r="W178" t="s">
        <v>4</v>
      </c>
      <c r="X178" t="s">
        <v>4</v>
      </c>
      <c r="Y178" t="s">
        <v>12</v>
      </c>
      <c r="Z178" t="s">
        <v>4</v>
      </c>
      <c r="AA178" t="s">
        <v>12</v>
      </c>
      <c r="AB178" t="s">
        <v>109</v>
      </c>
      <c r="AC178" t="s">
        <v>28</v>
      </c>
      <c r="AD178" t="s">
        <v>5718</v>
      </c>
      <c r="AE178" t="s">
        <v>134</v>
      </c>
      <c r="AF178" t="s">
        <v>4</v>
      </c>
      <c r="AG178" t="s">
        <v>4</v>
      </c>
      <c r="AH178" t="s">
        <v>6154</v>
      </c>
      <c r="AI178" t="s">
        <v>6155</v>
      </c>
      <c r="AJ178" t="s">
        <v>4</v>
      </c>
      <c r="AK178">
        <v>9331194211</v>
      </c>
      <c r="AL178" t="s">
        <v>6156</v>
      </c>
      <c r="AM178" t="s">
        <v>6157</v>
      </c>
      <c r="AN178" t="s">
        <v>12</v>
      </c>
      <c r="AO178" t="s">
        <v>6118</v>
      </c>
      <c r="AP178" t="s">
        <v>4</v>
      </c>
      <c r="AQ178" t="s">
        <v>658</v>
      </c>
      <c r="AR178" t="s">
        <v>12</v>
      </c>
      <c r="AS178" t="s">
        <v>12</v>
      </c>
      <c r="AT178" t="s">
        <v>4</v>
      </c>
      <c r="AU178" t="s">
        <v>4</v>
      </c>
      <c r="AV178" t="s">
        <v>4</v>
      </c>
      <c r="AW178" t="s">
        <v>305</v>
      </c>
      <c r="AX178">
        <v>4200</v>
      </c>
      <c r="AY178">
        <v>8700</v>
      </c>
      <c r="AZ178" t="s">
        <v>12</v>
      </c>
      <c r="BA178" t="s">
        <v>12</v>
      </c>
      <c r="BB178" t="s">
        <v>4</v>
      </c>
      <c r="BC178" t="s">
        <v>1135</v>
      </c>
      <c r="BD178" t="s">
        <v>5802</v>
      </c>
      <c r="BE178" t="s">
        <v>4</v>
      </c>
      <c r="BF178" t="s">
        <v>12</v>
      </c>
      <c r="BG178" t="s">
        <v>4</v>
      </c>
      <c r="BH178" t="s">
        <v>12</v>
      </c>
      <c r="BI178" t="s">
        <v>12</v>
      </c>
      <c r="BJ178" t="s">
        <v>6158</v>
      </c>
      <c r="BK178" t="s">
        <v>4</v>
      </c>
      <c r="BL178">
        <v>1</v>
      </c>
      <c r="BM178" t="s">
        <v>12</v>
      </c>
      <c r="BN178">
        <v>12900</v>
      </c>
      <c r="BO178" t="s">
        <v>12</v>
      </c>
      <c r="BP178" t="s">
        <v>12</v>
      </c>
      <c r="BQ178" t="s">
        <v>12</v>
      </c>
      <c r="BR178" t="s">
        <v>4</v>
      </c>
      <c r="BS178" t="s">
        <v>4</v>
      </c>
      <c r="BT178" t="s">
        <v>4</v>
      </c>
      <c r="BU178" t="s">
        <v>12</v>
      </c>
      <c r="BV178" t="s">
        <v>4</v>
      </c>
      <c r="BW178" t="s">
        <v>303</v>
      </c>
      <c r="BX178" t="s">
        <v>4</v>
      </c>
      <c r="BY178" t="s">
        <v>12</v>
      </c>
      <c r="BZ178" t="s">
        <v>12</v>
      </c>
      <c r="CA178" t="s">
        <v>12</v>
      </c>
      <c r="CB178" t="s">
        <v>1074</v>
      </c>
      <c r="CC178" t="s">
        <v>12</v>
      </c>
      <c r="CD178" t="str" cm="1">
        <f t="array" aca="1" ref="CD178" ca="1">eConcatenar(A178:CB178,"|")</f>
        <v>iUDXr9GJ6sgaGzp8|PAR2020-2509|3|IMPERIAL DE LUJO|TABASCO|PARAISO|PARAISO|2020-10-18|12900|X|X|200|1|x|X|x|X|X|X|X|X|X|X|X|x|X|x|PEREZ|CORDOVA|FRANCISCA|VIUDA|X|X|ENTRADA LOS HERNANDEZ|FRANCISCO I MADERO SEGUNDA |X|9331194211|SEBASTIAN LIZARRAGA PEREZ|BENEFICIARIO 2: MARIA ASUNCION LIZARRAGA|x|RUTA 4 M|X|MIERCOLES|x|x|X|X|X|DOMICILIO |4200|8700|x|x|X|2021-9-15|2021-9-29|X|x|X|x|x|FRANCISCO I MADERO SEGUNDA|X|1|x|12900|x|x|x|X|X|X|x|X|CARDENAS |X|x|x|x|final</v>
      </c>
    </row>
    <row r="179" spans="1:82" x14ac:dyDescent="0.25">
      <c r="A179" t="s">
        <v>6159</v>
      </c>
      <c r="B179" t="s">
        <v>6160</v>
      </c>
      <c r="C179">
        <v>3</v>
      </c>
      <c r="D179" t="s">
        <v>14</v>
      </c>
      <c r="E179" t="s">
        <v>2</v>
      </c>
      <c r="F179" t="s">
        <v>654</v>
      </c>
      <c r="G179" t="s">
        <v>654</v>
      </c>
      <c r="H179" t="s">
        <v>6161</v>
      </c>
      <c r="I179">
        <v>19800</v>
      </c>
      <c r="J179" t="s">
        <v>4</v>
      </c>
      <c r="K179" t="s">
        <v>4</v>
      </c>
      <c r="L179">
        <v>200</v>
      </c>
      <c r="M179">
        <v>1</v>
      </c>
      <c r="N179" t="s">
        <v>12</v>
      </c>
      <c r="O179" t="s">
        <v>4</v>
      </c>
      <c r="P179" t="s">
        <v>12</v>
      </c>
      <c r="Q179" t="s">
        <v>4</v>
      </c>
      <c r="R179" t="s">
        <v>4</v>
      </c>
      <c r="S179" t="s">
        <v>4</v>
      </c>
      <c r="T179" t="s">
        <v>4</v>
      </c>
      <c r="U179" t="s">
        <v>4</v>
      </c>
      <c r="V179" t="s">
        <v>4</v>
      </c>
      <c r="W179" t="s">
        <v>4</v>
      </c>
      <c r="X179" t="s">
        <v>4</v>
      </c>
      <c r="Y179" t="s">
        <v>12</v>
      </c>
      <c r="Z179" t="s">
        <v>4</v>
      </c>
      <c r="AA179" t="s">
        <v>12</v>
      </c>
      <c r="AB179" t="s">
        <v>47</v>
      </c>
      <c r="AC179" t="s">
        <v>6162</v>
      </c>
      <c r="AD179" t="s">
        <v>6163</v>
      </c>
      <c r="AE179" t="s">
        <v>29</v>
      </c>
      <c r="AF179" t="s">
        <v>4</v>
      </c>
      <c r="AG179" t="s">
        <v>4</v>
      </c>
      <c r="AH179" t="s">
        <v>6164</v>
      </c>
      <c r="AI179" t="s">
        <v>6165</v>
      </c>
      <c r="AJ179" t="s">
        <v>4</v>
      </c>
      <c r="AK179">
        <v>9333342191</v>
      </c>
      <c r="AL179" t="s">
        <v>6166</v>
      </c>
      <c r="AM179" t="s">
        <v>6167</v>
      </c>
      <c r="AN179" t="s">
        <v>12</v>
      </c>
      <c r="AO179" t="s">
        <v>6118</v>
      </c>
      <c r="AP179" t="s">
        <v>4</v>
      </c>
      <c r="AQ179" t="s">
        <v>658</v>
      </c>
      <c r="AR179" t="s">
        <v>12</v>
      </c>
      <c r="AS179" t="s">
        <v>12</v>
      </c>
      <c r="AT179" t="s">
        <v>4</v>
      </c>
      <c r="AU179" t="s">
        <v>4</v>
      </c>
      <c r="AV179" t="s">
        <v>4</v>
      </c>
      <c r="AW179" t="s">
        <v>305</v>
      </c>
      <c r="AX179">
        <v>15100</v>
      </c>
      <c r="AY179">
        <v>4700</v>
      </c>
      <c r="AZ179" t="s">
        <v>12</v>
      </c>
      <c r="BA179" t="s">
        <v>12</v>
      </c>
      <c r="BB179" t="s">
        <v>4</v>
      </c>
      <c r="BC179" t="s">
        <v>1135</v>
      </c>
      <c r="BD179" t="s">
        <v>5802</v>
      </c>
      <c r="BE179" t="s">
        <v>4</v>
      </c>
      <c r="BF179" t="s">
        <v>12</v>
      </c>
      <c r="BG179" t="s">
        <v>4</v>
      </c>
      <c r="BH179" t="s">
        <v>12</v>
      </c>
      <c r="BI179" t="s">
        <v>12</v>
      </c>
      <c r="BJ179" t="s">
        <v>6168</v>
      </c>
      <c r="BK179" t="s">
        <v>4</v>
      </c>
      <c r="BL179">
        <v>1</v>
      </c>
      <c r="BM179" t="s">
        <v>12</v>
      </c>
      <c r="BN179">
        <v>19800</v>
      </c>
      <c r="BO179" t="s">
        <v>12</v>
      </c>
      <c r="BP179" t="s">
        <v>12</v>
      </c>
      <c r="BQ179" t="s">
        <v>12</v>
      </c>
      <c r="BR179" t="s">
        <v>4</v>
      </c>
      <c r="BS179" t="s">
        <v>4</v>
      </c>
      <c r="BT179" t="s">
        <v>4</v>
      </c>
      <c r="BU179" t="s">
        <v>12</v>
      </c>
      <c r="BV179" t="s">
        <v>4</v>
      </c>
      <c r="BW179" t="s">
        <v>303</v>
      </c>
      <c r="BX179" t="s">
        <v>4</v>
      </c>
      <c r="BY179" t="s">
        <v>12</v>
      </c>
      <c r="BZ179" t="s">
        <v>12</v>
      </c>
      <c r="CA179" t="s">
        <v>12</v>
      </c>
      <c r="CB179" t="s">
        <v>1074</v>
      </c>
      <c r="CC179" t="s">
        <v>12</v>
      </c>
      <c r="CD179" t="str" cm="1">
        <f t="array" aca="1" ref="CD179" ca="1">eConcatenar(A179:CB179,"|")</f>
        <v>RoJv7fvCDOt3GiVl|PAR2018-0399|3|ZAFIRO|TABASCO|PARAISO|PARAISO|2018-4-19|19800|X|X|200|1|x|X|x|X|X|X|X|X|X|X|X|x|X|x|SANCHEZ|SOLIS|RUSBELINA|CASADA|X|X|CALLE ZARAGOZA 1103 |SANTA AMELIA COLMALCALCO|X|9333342191|DADIBELLY MENDEZ SANCHEZ|BENEFICIARIO 2: AMAURI MENDEZ SANCHEZ|x|RUTA 4 M|X|MIERCOLES|x|x|X|X|X|DOMICILIO |15100|4700|x|x|X|2021-9-15|2021-9-29|X|x|X|x|x|SANTA AMALIA |X|1|x|19800|x|x|x|X|X|X|x|X|CARDENAS |X|x|x|x|final</v>
      </c>
    </row>
    <row r="180" spans="1:82" x14ac:dyDescent="0.25">
      <c r="A180" t="s">
        <v>6169</v>
      </c>
      <c r="B180" t="s">
        <v>6170</v>
      </c>
      <c r="C180">
        <v>3</v>
      </c>
      <c r="D180" t="s">
        <v>194</v>
      </c>
      <c r="E180" t="s">
        <v>2</v>
      </c>
      <c r="F180" t="s">
        <v>654</v>
      </c>
      <c r="G180" t="s">
        <v>654</v>
      </c>
      <c r="H180" t="s">
        <v>6171</v>
      </c>
      <c r="I180">
        <v>12900</v>
      </c>
      <c r="J180" t="s">
        <v>4</v>
      </c>
      <c r="K180" t="s">
        <v>4</v>
      </c>
      <c r="L180">
        <v>200</v>
      </c>
      <c r="M180">
        <v>1</v>
      </c>
      <c r="N180" t="s">
        <v>12</v>
      </c>
      <c r="O180" t="s">
        <v>4</v>
      </c>
      <c r="P180" t="s">
        <v>12</v>
      </c>
      <c r="Q180" t="s">
        <v>4</v>
      </c>
      <c r="R180" t="s">
        <v>4</v>
      </c>
      <c r="S180" t="s">
        <v>4</v>
      </c>
      <c r="T180" t="s">
        <v>4</v>
      </c>
      <c r="U180" t="s">
        <v>4</v>
      </c>
      <c r="V180" t="s">
        <v>4</v>
      </c>
      <c r="W180" t="s">
        <v>4</v>
      </c>
      <c r="X180" t="s">
        <v>4</v>
      </c>
      <c r="Y180" t="s">
        <v>12</v>
      </c>
      <c r="Z180" t="s">
        <v>4</v>
      </c>
      <c r="AA180" t="s">
        <v>12</v>
      </c>
      <c r="AB180" t="s">
        <v>655</v>
      </c>
      <c r="AC180" t="s">
        <v>36</v>
      </c>
      <c r="AD180" t="s">
        <v>552</v>
      </c>
      <c r="AE180" t="s">
        <v>29</v>
      </c>
      <c r="AF180" t="s">
        <v>4</v>
      </c>
      <c r="AG180" t="s">
        <v>4</v>
      </c>
      <c r="AH180" t="s">
        <v>92</v>
      </c>
      <c r="AI180" t="s">
        <v>6172</v>
      </c>
      <c r="AJ180" t="s">
        <v>4</v>
      </c>
      <c r="AK180">
        <v>9331174375</v>
      </c>
      <c r="AL180" t="s">
        <v>6173</v>
      </c>
      <c r="AM180" t="s">
        <v>6174</v>
      </c>
      <c r="AN180" t="s">
        <v>12</v>
      </c>
      <c r="AO180" t="s">
        <v>6118</v>
      </c>
      <c r="AP180" t="s">
        <v>4</v>
      </c>
      <c r="AQ180" t="s">
        <v>658</v>
      </c>
      <c r="AR180" t="s">
        <v>12</v>
      </c>
      <c r="AS180" t="s">
        <v>12</v>
      </c>
      <c r="AT180" t="s">
        <v>4</v>
      </c>
      <c r="AU180" t="s">
        <v>4</v>
      </c>
      <c r="AV180" t="s">
        <v>4</v>
      </c>
      <c r="AW180" t="s">
        <v>305</v>
      </c>
      <c r="AX180">
        <v>12250</v>
      </c>
      <c r="AY180">
        <v>650</v>
      </c>
      <c r="AZ180" t="s">
        <v>12</v>
      </c>
      <c r="BA180" t="s">
        <v>12</v>
      </c>
      <c r="BB180" t="s">
        <v>4</v>
      </c>
      <c r="BC180" t="s">
        <v>5309</v>
      </c>
      <c r="BD180" t="s">
        <v>5802</v>
      </c>
      <c r="BE180" t="s">
        <v>4</v>
      </c>
      <c r="BF180" t="s">
        <v>12</v>
      </c>
      <c r="BG180" t="s">
        <v>4</v>
      </c>
      <c r="BH180" t="s">
        <v>12</v>
      </c>
      <c r="BI180" t="s">
        <v>12</v>
      </c>
      <c r="BJ180" t="s">
        <v>5719</v>
      </c>
      <c r="BK180" t="s">
        <v>4</v>
      </c>
      <c r="BL180">
        <v>1</v>
      </c>
      <c r="BM180" t="s">
        <v>12</v>
      </c>
      <c r="BN180">
        <v>12900</v>
      </c>
      <c r="BO180" t="s">
        <v>12</v>
      </c>
      <c r="BP180" t="s">
        <v>12</v>
      </c>
      <c r="BQ180" t="s">
        <v>12</v>
      </c>
      <c r="BR180" t="s">
        <v>4</v>
      </c>
      <c r="BS180" t="s">
        <v>4</v>
      </c>
      <c r="BT180" t="s">
        <v>4</v>
      </c>
      <c r="BU180" t="s">
        <v>12</v>
      </c>
      <c r="BV180" t="s">
        <v>4</v>
      </c>
      <c r="BW180" t="s">
        <v>303</v>
      </c>
      <c r="BX180" t="s">
        <v>4</v>
      </c>
      <c r="BY180" t="s">
        <v>12</v>
      </c>
      <c r="BZ180" t="s">
        <v>12</v>
      </c>
      <c r="CA180" t="s">
        <v>12</v>
      </c>
      <c r="CB180" t="s">
        <v>1074</v>
      </c>
      <c r="CC180" t="s">
        <v>12</v>
      </c>
      <c r="CD180" t="str" cm="1">
        <f t="array" aca="1" ref="CD180" ca="1">eConcatenar(A180:CB180,"|")</f>
        <v>RzxogrEOzsR09aK9|PAR2018-0367|3|ECONOLINE|TABASCO|PARAISO|PARAISO|2018-4-12|12900|X|X|200|1|x|X|x|X|X|X|X|X|X|X|X|x|X|x|FLORES|HERNANDEZ|CANDELARIA|CASADA|X|X|CARRETERA PRINCIPAL|LIBERTAD PRIMERA |X|9331174375|MATUZALEN ANGULO DOMINGUEZ|BENEFICIARIO 2: YESICA DEL CARMEN FLORES HERNANDEZ|x|RUTA 4 M|X|MIERCOLES|x|x|X|X|X|DOMICILIO |12250|650|x|x|X|2021-9-06|2021-9-29|X|x|X|x|x|LIBERTAD PRIMERA|X|1|x|12900|x|x|x|X|X|X|x|X|CARDENAS |X|x|x|x|final</v>
      </c>
    </row>
    <row r="181" spans="1:82" x14ac:dyDescent="0.25">
      <c r="A181" t="s">
        <v>6175</v>
      </c>
      <c r="B181" t="s">
        <v>6176</v>
      </c>
      <c r="C181">
        <v>3</v>
      </c>
      <c r="D181" t="s">
        <v>194</v>
      </c>
      <c r="E181" t="s">
        <v>2</v>
      </c>
      <c r="F181" t="s">
        <v>654</v>
      </c>
      <c r="G181" t="s">
        <v>654</v>
      </c>
      <c r="H181" t="s">
        <v>6177</v>
      </c>
      <c r="I181">
        <v>12900</v>
      </c>
      <c r="J181" t="s">
        <v>4</v>
      </c>
      <c r="K181" t="s">
        <v>4</v>
      </c>
      <c r="L181">
        <v>200</v>
      </c>
      <c r="M181">
        <v>2</v>
      </c>
      <c r="N181" t="s">
        <v>12</v>
      </c>
      <c r="O181" t="s">
        <v>4</v>
      </c>
      <c r="P181" t="s">
        <v>12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12</v>
      </c>
      <c r="Z181" t="s">
        <v>4</v>
      </c>
      <c r="AA181" t="s">
        <v>12</v>
      </c>
      <c r="AB181" t="s">
        <v>728</v>
      </c>
      <c r="AC181" t="s">
        <v>265</v>
      </c>
      <c r="AD181" t="s">
        <v>6178</v>
      </c>
      <c r="AE181" t="s">
        <v>355</v>
      </c>
      <c r="AF181" t="s">
        <v>4</v>
      </c>
      <c r="AG181" t="s">
        <v>4</v>
      </c>
      <c r="AH181" t="s">
        <v>6179</v>
      </c>
      <c r="AI181" t="s">
        <v>6180</v>
      </c>
      <c r="AJ181" t="s">
        <v>4</v>
      </c>
      <c r="AK181">
        <v>9333032612</v>
      </c>
      <c r="AL181" t="s">
        <v>6181</v>
      </c>
      <c r="AM181" t="s">
        <v>6182</v>
      </c>
      <c r="AN181" t="s">
        <v>12</v>
      </c>
      <c r="AO181" t="s">
        <v>6118</v>
      </c>
      <c r="AP181" t="s">
        <v>4</v>
      </c>
      <c r="AQ181" t="s">
        <v>658</v>
      </c>
      <c r="AR181" t="s">
        <v>12</v>
      </c>
      <c r="AS181" t="s">
        <v>12</v>
      </c>
      <c r="AT181" t="s">
        <v>4</v>
      </c>
      <c r="AU181" t="s">
        <v>4</v>
      </c>
      <c r="AV181" t="s">
        <v>4</v>
      </c>
      <c r="AW181" t="s">
        <v>305</v>
      </c>
      <c r="AX181">
        <v>9000</v>
      </c>
      <c r="AY181">
        <v>3900</v>
      </c>
      <c r="AZ181" t="s">
        <v>12</v>
      </c>
      <c r="BA181" t="s">
        <v>12</v>
      </c>
      <c r="BB181" t="s">
        <v>4</v>
      </c>
      <c r="BC181" t="s">
        <v>5792</v>
      </c>
      <c r="BD181" t="s">
        <v>5793</v>
      </c>
      <c r="BE181" t="s">
        <v>4</v>
      </c>
      <c r="BF181" t="s">
        <v>12</v>
      </c>
      <c r="BG181" t="s">
        <v>4</v>
      </c>
      <c r="BH181" t="s">
        <v>12</v>
      </c>
      <c r="BI181" t="s">
        <v>12</v>
      </c>
      <c r="BJ181" t="s">
        <v>6180</v>
      </c>
      <c r="BK181" t="s">
        <v>4</v>
      </c>
      <c r="BL181">
        <v>1</v>
      </c>
      <c r="BM181" t="s">
        <v>12</v>
      </c>
      <c r="BN181">
        <v>12900</v>
      </c>
      <c r="BO181" t="s">
        <v>12</v>
      </c>
      <c r="BP181" t="s">
        <v>12</v>
      </c>
      <c r="BQ181" t="s">
        <v>12</v>
      </c>
      <c r="BR181" t="s">
        <v>4</v>
      </c>
      <c r="BS181" t="s">
        <v>4</v>
      </c>
      <c r="BT181" t="s">
        <v>4</v>
      </c>
      <c r="BU181" t="s">
        <v>12</v>
      </c>
      <c r="BV181" t="s">
        <v>4</v>
      </c>
      <c r="BW181" t="s">
        <v>303</v>
      </c>
      <c r="BX181" t="s">
        <v>4</v>
      </c>
      <c r="BY181" t="s">
        <v>12</v>
      </c>
      <c r="BZ181" t="s">
        <v>12</v>
      </c>
      <c r="CA181" t="s">
        <v>12</v>
      </c>
      <c r="CB181" t="s">
        <v>1074</v>
      </c>
      <c r="CC181" t="s">
        <v>12</v>
      </c>
      <c r="CD181" t="str" cm="1">
        <f t="array" aca="1" ref="CD181" ca="1">eConcatenar(A181:CB181,"|")</f>
        <v>QAwb6EdQYwbSeAGD|PAR2018-0342|3|ECONOLINE|TABASCO|PARAISO|PARAISO|2018-4-06|12900|X|X|200|2|x|X|x|X|X|X|X|X|X|X|X|x|X|x|FUENTES |DOMINGUEZ|MARIA TERESA|SEPARADA|X|X|ENTRADA EL RANCHITO|OCCIENTE PRIMERA SECCION|X|9333032612|ALEJANDRO CUSTODIO FUENTES|BENEFICIARIO 2: PABLO ANTONIO CUSTODIO|x|RUTA 4 M|X|MIERCOLES|x|x|X|X|X|DOMICILIO |9000|3900|x|x|X|2021-9-01|2021-10-06|X|x|X|x|x|OCCIENTE PRIMERA SECCION|X|1|x|12900|x|x|x|X|X|X|x|X|CARDENAS |X|x|x|x|final</v>
      </c>
    </row>
    <row r="182" spans="1:82" x14ac:dyDescent="0.25">
      <c r="A182" t="s">
        <v>6183</v>
      </c>
      <c r="B182" t="s">
        <v>6184</v>
      </c>
      <c r="C182">
        <v>3</v>
      </c>
      <c r="D182" t="s">
        <v>14</v>
      </c>
      <c r="E182" t="s">
        <v>2</v>
      </c>
      <c r="F182" t="s">
        <v>654</v>
      </c>
      <c r="G182" t="s">
        <v>654</v>
      </c>
      <c r="H182" t="s">
        <v>6185</v>
      </c>
      <c r="I182">
        <v>19800</v>
      </c>
      <c r="J182" t="s">
        <v>4</v>
      </c>
      <c r="K182" t="s">
        <v>4</v>
      </c>
      <c r="L182">
        <v>300</v>
      </c>
      <c r="M182">
        <v>2</v>
      </c>
      <c r="N182" t="s">
        <v>12</v>
      </c>
      <c r="O182" t="s">
        <v>4</v>
      </c>
      <c r="P182" t="s">
        <v>12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12</v>
      </c>
      <c r="Z182" t="s">
        <v>4</v>
      </c>
      <c r="AA182" t="s">
        <v>12</v>
      </c>
      <c r="AB182" t="s">
        <v>109</v>
      </c>
      <c r="AC182" t="s">
        <v>4717</v>
      </c>
      <c r="AD182" t="s">
        <v>6186</v>
      </c>
      <c r="AE182" t="s">
        <v>29</v>
      </c>
      <c r="AF182" t="s">
        <v>4</v>
      </c>
      <c r="AG182" t="s">
        <v>4</v>
      </c>
      <c r="AH182" t="s">
        <v>6187</v>
      </c>
      <c r="AI182" t="s">
        <v>40</v>
      </c>
      <c r="AJ182" t="s">
        <v>4</v>
      </c>
      <c r="AK182">
        <v>9331326383</v>
      </c>
      <c r="AL182" t="s">
        <v>6188</v>
      </c>
      <c r="AM182" t="s">
        <v>6189</v>
      </c>
      <c r="AN182" t="s">
        <v>12</v>
      </c>
      <c r="AO182" t="s">
        <v>6118</v>
      </c>
      <c r="AP182" t="s">
        <v>4</v>
      </c>
      <c r="AQ182" t="s">
        <v>658</v>
      </c>
      <c r="AR182" t="s">
        <v>12</v>
      </c>
      <c r="AS182" t="s">
        <v>12</v>
      </c>
      <c r="AT182" t="s">
        <v>4</v>
      </c>
      <c r="AU182" t="s">
        <v>4</v>
      </c>
      <c r="AV182" t="s">
        <v>4</v>
      </c>
      <c r="AW182" t="s">
        <v>305</v>
      </c>
      <c r="AX182">
        <v>17600</v>
      </c>
      <c r="AY182">
        <v>2200</v>
      </c>
      <c r="AZ182" t="s">
        <v>12</v>
      </c>
      <c r="BA182" t="s">
        <v>12</v>
      </c>
      <c r="BB182" t="s">
        <v>4</v>
      </c>
      <c r="BC182" t="s">
        <v>5792</v>
      </c>
      <c r="BD182" t="s">
        <v>5793</v>
      </c>
      <c r="BE182" t="s">
        <v>4</v>
      </c>
      <c r="BF182" t="s">
        <v>12</v>
      </c>
      <c r="BG182" t="s">
        <v>4</v>
      </c>
      <c r="BH182" t="s">
        <v>12</v>
      </c>
      <c r="BI182" t="s">
        <v>12</v>
      </c>
      <c r="BJ182" t="s">
        <v>40</v>
      </c>
      <c r="BK182" t="s">
        <v>4</v>
      </c>
      <c r="BL182">
        <v>1</v>
      </c>
      <c r="BM182" t="s">
        <v>12</v>
      </c>
      <c r="BN182">
        <v>19800</v>
      </c>
      <c r="BO182" t="s">
        <v>12</v>
      </c>
      <c r="BP182" t="s">
        <v>12</v>
      </c>
      <c r="BQ182" t="s">
        <v>12</v>
      </c>
      <c r="BR182" t="s">
        <v>4</v>
      </c>
      <c r="BS182" t="s">
        <v>4</v>
      </c>
      <c r="BT182" t="s">
        <v>4</v>
      </c>
      <c r="BU182" t="s">
        <v>12</v>
      </c>
      <c r="BV182" t="s">
        <v>4</v>
      </c>
      <c r="BW182" t="s">
        <v>303</v>
      </c>
      <c r="BX182" t="s">
        <v>4</v>
      </c>
      <c r="BY182" t="s">
        <v>12</v>
      </c>
      <c r="BZ182" t="s">
        <v>12</v>
      </c>
      <c r="CA182" t="s">
        <v>12</v>
      </c>
      <c r="CB182" t="s">
        <v>1074</v>
      </c>
      <c r="CC182" t="s">
        <v>12</v>
      </c>
      <c r="CD182" t="str" cm="1">
        <f t="array" aca="1" ref="CD182" ca="1">eConcatenar(A182:CB182,"|")</f>
        <v>9aT2eI2FMkPN10r3|PAR2018-376|3|ZAFIRO|TABASCO|PARAISO|PARAISO|2018-4-14|19800|X|X|300|2|x|X|x|X|X|X|X|X|X|X|X|x|X|x|PEREZ|ANGULO |OLGA NORMA|CASADA|X|X|COMONFORT NUMERO 601|CENTRO|X|9331326383|SHIRLEY ALEJANDRA GONZALEZ PEREZ|BENEFICIARIO 2: RENE GONZALEZ GARCIA|x|RUTA 4 M|X|MIERCOLES|x|x|X|X|X|DOMICILIO |17600|2200|x|x|X|2021-9-01|2021-10-06|X|x|X|x|x|CENTRO|X|1|x|19800|x|x|x|X|X|X|x|X|CARDENAS |X|x|x|x|final</v>
      </c>
    </row>
    <row r="183" spans="1:82" x14ac:dyDescent="0.25">
      <c r="A183" t="s">
        <v>6190</v>
      </c>
      <c r="B183" t="s">
        <v>6191</v>
      </c>
      <c r="C183">
        <v>3</v>
      </c>
      <c r="D183" t="s">
        <v>194</v>
      </c>
      <c r="E183" t="s">
        <v>2</v>
      </c>
      <c r="F183" t="s">
        <v>654</v>
      </c>
      <c r="G183" t="s">
        <v>654</v>
      </c>
      <c r="H183" t="s">
        <v>5875</v>
      </c>
      <c r="I183">
        <v>12900</v>
      </c>
      <c r="J183" t="s">
        <v>4</v>
      </c>
      <c r="K183" t="s">
        <v>4</v>
      </c>
      <c r="L183">
        <v>200</v>
      </c>
      <c r="M183">
        <v>1</v>
      </c>
      <c r="N183" t="s">
        <v>12</v>
      </c>
      <c r="O183" t="s">
        <v>4</v>
      </c>
      <c r="P183" t="s">
        <v>12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12</v>
      </c>
      <c r="Z183" t="s">
        <v>4</v>
      </c>
      <c r="AA183" t="s">
        <v>12</v>
      </c>
      <c r="AB183" t="s">
        <v>294</v>
      </c>
      <c r="AC183" t="s">
        <v>109</v>
      </c>
      <c r="AD183" t="s">
        <v>6100</v>
      </c>
      <c r="AE183" t="s">
        <v>29</v>
      </c>
      <c r="AF183" t="s">
        <v>4</v>
      </c>
      <c r="AG183" t="s">
        <v>4</v>
      </c>
      <c r="AH183" t="s">
        <v>6192</v>
      </c>
      <c r="AI183" t="s">
        <v>1761</v>
      </c>
      <c r="AJ183" t="s">
        <v>4</v>
      </c>
      <c r="AK183">
        <v>9331463187</v>
      </c>
      <c r="AL183" t="s">
        <v>6193</v>
      </c>
      <c r="AM183" t="s">
        <v>6194</v>
      </c>
      <c r="AN183" t="s">
        <v>12</v>
      </c>
      <c r="AO183" t="s">
        <v>6118</v>
      </c>
      <c r="AP183" t="s">
        <v>4</v>
      </c>
      <c r="AQ183" t="s">
        <v>658</v>
      </c>
      <c r="AR183" t="s">
        <v>12</v>
      </c>
      <c r="AS183" t="s">
        <v>12</v>
      </c>
      <c r="AT183" t="s">
        <v>4</v>
      </c>
      <c r="AU183" t="s">
        <v>4</v>
      </c>
      <c r="AV183" t="s">
        <v>4</v>
      </c>
      <c r="AW183" t="s">
        <v>305</v>
      </c>
      <c r="AX183">
        <v>8400</v>
      </c>
      <c r="AY183">
        <v>4500</v>
      </c>
      <c r="AZ183" t="s">
        <v>12</v>
      </c>
      <c r="BA183" t="s">
        <v>12</v>
      </c>
      <c r="BB183" t="s">
        <v>4</v>
      </c>
      <c r="BC183" t="s">
        <v>1135</v>
      </c>
      <c r="BD183" t="s">
        <v>5802</v>
      </c>
      <c r="BE183" t="s">
        <v>4</v>
      </c>
      <c r="BF183" t="s">
        <v>12</v>
      </c>
      <c r="BG183" t="s">
        <v>4</v>
      </c>
      <c r="BH183" t="s">
        <v>12</v>
      </c>
      <c r="BI183" t="s">
        <v>12</v>
      </c>
      <c r="BJ183" t="s">
        <v>1761</v>
      </c>
      <c r="BK183" t="s">
        <v>4</v>
      </c>
      <c r="BL183">
        <v>1</v>
      </c>
      <c r="BM183" t="s">
        <v>12</v>
      </c>
      <c r="BN183">
        <v>12900</v>
      </c>
      <c r="BO183" t="s">
        <v>12</v>
      </c>
      <c r="BP183" t="s">
        <v>12</v>
      </c>
      <c r="BQ183" t="s">
        <v>12</v>
      </c>
      <c r="BR183" t="s">
        <v>4</v>
      </c>
      <c r="BS183" t="s">
        <v>4</v>
      </c>
      <c r="BT183" t="s">
        <v>4</v>
      </c>
      <c r="BU183" t="s">
        <v>12</v>
      </c>
      <c r="BV183" t="s">
        <v>4</v>
      </c>
      <c r="BW183" t="s">
        <v>303</v>
      </c>
      <c r="BX183" t="s">
        <v>4</v>
      </c>
      <c r="BY183" t="s">
        <v>12</v>
      </c>
      <c r="BZ183" t="s">
        <v>12</v>
      </c>
      <c r="CA183" t="s">
        <v>12</v>
      </c>
      <c r="CB183" t="s">
        <v>1074</v>
      </c>
      <c r="CC183" t="s">
        <v>12</v>
      </c>
      <c r="CD183" t="str" cm="1">
        <f t="array" aca="1" ref="CD183" ca="1">eConcatenar(A183:CB183,"|")</f>
        <v>WUr9GeFyyyeprKV7|PAR2019-2514|3|ECONOLINE|TABASCO|PARAISO|PARAISO|2019-9-05|12900|X|X|200|1|x|X|x|X|X|X|X|X|X|X|X|x|X|x|ARIAS|PEREZ|LUCIA|CASADA|X|X|CALLE PRINCIPAL SIN NUMERO RAMIRO JAVIER|FRANCISCO I MADERO |X|9331463187|MARIA LUISA HERNANDEZ ARIAS|BENEFICIARIO 2: JOSE RUPERTO HERNANDEZ PALMA|x|RUTA 4 M|X|MIERCOLES|x|x|X|X|X|DOMICILIO |8400|4500|x|x|X|2021-9-15|2021-9-29|X|x|X|x|x|FRANCISCO I MADERO |X|1|x|12900|x|x|x|X|X|X|x|X|CARDENAS |X|x|x|x|final</v>
      </c>
    </row>
    <row r="184" spans="1:82" x14ac:dyDescent="0.25">
      <c r="A184" t="s">
        <v>6195</v>
      </c>
      <c r="B184" t="s">
        <v>6196</v>
      </c>
      <c r="C184">
        <v>3</v>
      </c>
      <c r="D184" t="s">
        <v>194</v>
      </c>
      <c r="E184" t="s">
        <v>2</v>
      </c>
      <c r="F184" t="s">
        <v>654</v>
      </c>
      <c r="G184" t="s">
        <v>654</v>
      </c>
      <c r="H184" t="s">
        <v>6197</v>
      </c>
      <c r="I184">
        <v>12900</v>
      </c>
      <c r="J184" t="s">
        <v>4</v>
      </c>
      <c r="K184" t="s">
        <v>4</v>
      </c>
      <c r="L184">
        <v>400</v>
      </c>
      <c r="M184">
        <v>2</v>
      </c>
      <c r="N184" t="s">
        <v>12</v>
      </c>
      <c r="O184" t="s">
        <v>4</v>
      </c>
      <c r="P184" t="s">
        <v>12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12</v>
      </c>
      <c r="Z184" t="s">
        <v>4</v>
      </c>
      <c r="AA184" t="s">
        <v>12</v>
      </c>
      <c r="AB184" t="s">
        <v>655</v>
      </c>
      <c r="AC184" t="s">
        <v>6198</v>
      </c>
      <c r="AD184" t="s">
        <v>6199</v>
      </c>
      <c r="AE184" t="s">
        <v>29</v>
      </c>
      <c r="AF184" t="s">
        <v>4</v>
      </c>
      <c r="AG184" t="s">
        <v>4</v>
      </c>
      <c r="AH184" t="s">
        <v>6200</v>
      </c>
      <c r="AI184" t="s">
        <v>6201</v>
      </c>
      <c r="AJ184" t="s">
        <v>4</v>
      </c>
      <c r="AK184">
        <v>9331108280</v>
      </c>
      <c r="AL184" t="s">
        <v>6202</v>
      </c>
      <c r="AM184" t="s">
        <v>6203</v>
      </c>
      <c r="AN184" t="s">
        <v>12</v>
      </c>
      <c r="AO184" t="s">
        <v>6118</v>
      </c>
      <c r="AP184" t="s">
        <v>4</v>
      </c>
      <c r="AQ184" t="s">
        <v>658</v>
      </c>
      <c r="AR184" t="s">
        <v>12</v>
      </c>
      <c r="AS184" t="s">
        <v>12</v>
      </c>
      <c r="AT184" t="s">
        <v>4</v>
      </c>
      <c r="AU184" t="s">
        <v>4</v>
      </c>
      <c r="AV184" t="s">
        <v>4</v>
      </c>
      <c r="AW184" t="s">
        <v>305</v>
      </c>
      <c r="AX184">
        <v>11300</v>
      </c>
      <c r="AY184">
        <v>1600</v>
      </c>
      <c r="AZ184" t="s">
        <v>12</v>
      </c>
      <c r="BA184" t="s">
        <v>12</v>
      </c>
      <c r="BB184" t="s">
        <v>4</v>
      </c>
      <c r="BC184" t="s">
        <v>5792</v>
      </c>
      <c r="BD184" t="s">
        <v>5793</v>
      </c>
      <c r="BE184" t="s">
        <v>4</v>
      </c>
      <c r="BF184" t="s">
        <v>12</v>
      </c>
      <c r="BG184" t="s">
        <v>4</v>
      </c>
      <c r="BH184" t="s">
        <v>12</v>
      </c>
      <c r="BI184" t="s">
        <v>12</v>
      </c>
      <c r="BJ184" t="s">
        <v>927</v>
      </c>
      <c r="BK184" t="s">
        <v>4</v>
      </c>
      <c r="BL184">
        <v>1</v>
      </c>
      <c r="BM184" t="s">
        <v>12</v>
      </c>
      <c r="BN184">
        <v>12900</v>
      </c>
      <c r="BO184" t="s">
        <v>12</v>
      </c>
      <c r="BP184" t="s">
        <v>12</v>
      </c>
      <c r="BQ184" t="s">
        <v>12</v>
      </c>
      <c r="BR184" t="s">
        <v>4</v>
      </c>
      <c r="BS184" t="s">
        <v>4</v>
      </c>
      <c r="BT184" t="s">
        <v>4</v>
      </c>
      <c r="BU184" t="s">
        <v>12</v>
      </c>
      <c r="BV184" t="s">
        <v>4</v>
      </c>
      <c r="BW184" t="s">
        <v>303</v>
      </c>
      <c r="BX184" t="s">
        <v>4</v>
      </c>
      <c r="BY184" t="s">
        <v>12</v>
      </c>
      <c r="BZ184" t="s">
        <v>12</v>
      </c>
      <c r="CA184" t="s">
        <v>12</v>
      </c>
      <c r="CB184" t="s">
        <v>1074</v>
      </c>
      <c r="CC184" t="s">
        <v>12</v>
      </c>
      <c r="CD184" t="str" cm="1">
        <f t="array" aca="1" ref="CD184" ca="1">eConcatenar(A184:CB184,"|")</f>
        <v>KHoJcDnL04TXSvvV|PAR2019-1705|3|ECONOLINE|TABASCO|PARAISO|PARAISO|2019-6-22|12900|X|X|400|2|x|X|x|X|X|X|X|X|X|X|X|x|X|x|FLORES|PACHECO |MARIA CELIA|CASADA|X|X|CARRETERA ESTATAL PARAISO A CHILTEPEC|JOSE MARIA MORELOS BELLOTE |X|9331108280|SANTIAGO CORDOVA PEREZ|BENEFICIARIO 2: SANTIAGO ARGENIS CORDOVA FLORES|x|RUTA 4 M|X|MIERCOLES|x|x|X|X|X|DOMICILIO |11300|1600|x|x|X|2021-9-01|2021-10-06|X|x|X|x|x|JOSE MARIA MORELOS BELLOTE|X|1|x|12900|x|x|x|X|X|X|x|X|CARDENAS |X|x|x|x|final</v>
      </c>
    </row>
    <row r="185" spans="1:82" x14ac:dyDescent="0.25">
      <c r="A185" t="s">
        <v>6204</v>
      </c>
      <c r="B185" t="s">
        <v>6205</v>
      </c>
      <c r="C185">
        <v>3</v>
      </c>
      <c r="D185" t="s">
        <v>194</v>
      </c>
      <c r="E185" t="s">
        <v>2</v>
      </c>
      <c r="F185" t="s">
        <v>654</v>
      </c>
      <c r="G185" t="s">
        <v>654</v>
      </c>
      <c r="H185" t="s">
        <v>6197</v>
      </c>
      <c r="I185">
        <v>12900</v>
      </c>
      <c r="J185" t="s">
        <v>4</v>
      </c>
      <c r="K185" t="s">
        <v>4</v>
      </c>
      <c r="L185">
        <v>400</v>
      </c>
      <c r="M185">
        <v>2</v>
      </c>
      <c r="N185" t="s">
        <v>12</v>
      </c>
      <c r="O185" t="s">
        <v>4</v>
      </c>
      <c r="P185" t="s">
        <v>12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12</v>
      </c>
      <c r="Z185" t="s">
        <v>4</v>
      </c>
      <c r="AA185" t="s">
        <v>12</v>
      </c>
      <c r="AB185" t="s">
        <v>971</v>
      </c>
      <c r="AC185" t="s">
        <v>6198</v>
      </c>
      <c r="AD185" t="s">
        <v>6199</v>
      </c>
      <c r="AE185" t="s">
        <v>6206</v>
      </c>
      <c r="AF185" t="s">
        <v>4</v>
      </c>
      <c r="AG185" t="s">
        <v>4</v>
      </c>
      <c r="AH185" t="s">
        <v>6200</v>
      </c>
      <c r="AI185" t="s">
        <v>6201</v>
      </c>
      <c r="AJ185" t="s">
        <v>4</v>
      </c>
      <c r="AK185">
        <v>9331108280</v>
      </c>
      <c r="AL185" t="s">
        <v>6202</v>
      </c>
      <c r="AM185" t="s">
        <v>6207</v>
      </c>
      <c r="AN185" t="s">
        <v>12</v>
      </c>
      <c r="AO185" t="s">
        <v>6118</v>
      </c>
      <c r="AP185" t="s">
        <v>4</v>
      </c>
      <c r="AQ185" t="s">
        <v>658</v>
      </c>
      <c r="AR185" t="s">
        <v>12</v>
      </c>
      <c r="AS185" t="s">
        <v>12</v>
      </c>
      <c r="AT185" t="s">
        <v>4</v>
      </c>
      <c r="AU185" t="s">
        <v>4</v>
      </c>
      <c r="AV185" t="s">
        <v>4</v>
      </c>
      <c r="AW185" t="s">
        <v>305</v>
      </c>
      <c r="AX185">
        <v>11300</v>
      </c>
      <c r="AY185">
        <v>1600</v>
      </c>
      <c r="AZ185" t="s">
        <v>12</v>
      </c>
      <c r="BA185" t="s">
        <v>12</v>
      </c>
      <c r="BB185" t="s">
        <v>4</v>
      </c>
      <c r="BC185" t="s">
        <v>5792</v>
      </c>
      <c r="BD185" t="s">
        <v>5793</v>
      </c>
      <c r="BE185" t="s">
        <v>4</v>
      </c>
      <c r="BF185" t="s">
        <v>12</v>
      </c>
      <c r="BG185" t="s">
        <v>4</v>
      </c>
      <c r="BH185" t="s">
        <v>12</v>
      </c>
      <c r="BI185" t="s">
        <v>12</v>
      </c>
      <c r="BJ185" t="s">
        <v>927</v>
      </c>
      <c r="BK185" t="s">
        <v>4</v>
      </c>
      <c r="BL185">
        <v>1</v>
      </c>
      <c r="BM185" t="s">
        <v>12</v>
      </c>
      <c r="BN185">
        <v>12900</v>
      </c>
      <c r="BO185" t="s">
        <v>12</v>
      </c>
      <c r="BP185" t="s">
        <v>12</v>
      </c>
      <c r="BQ185" t="s">
        <v>12</v>
      </c>
      <c r="BR185" t="s">
        <v>4</v>
      </c>
      <c r="BS185" t="s">
        <v>4</v>
      </c>
      <c r="BT185" t="s">
        <v>4</v>
      </c>
      <c r="BU185" t="s">
        <v>12</v>
      </c>
      <c r="BV185" t="s">
        <v>4</v>
      </c>
      <c r="BW185" t="s">
        <v>303</v>
      </c>
      <c r="BX185" t="s">
        <v>4</v>
      </c>
      <c r="BY185" t="s">
        <v>12</v>
      </c>
      <c r="BZ185" t="s">
        <v>12</v>
      </c>
      <c r="CA185" t="s">
        <v>12</v>
      </c>
      <c r="CB185" t="s">
        <v>1074</v>
      </c>
      <c r="CC185" t="s">
        <v>12</v>
      </c>
      <c r="CD185" t="str" cm="1">
        <f t="array" aca="1" ref="CD185" ca="1">eConcatenar(A185:CB185,"|")</f>
        <v>oYEvq4Gkw5XFJG1o|PAR2019-1706|3|ECONOLINE|TABASCO|PARAISO|PARAISO|2019-6-22|12900|X|X|400|2|x|X|x|X|X|X|X|X|X|X|X|x|X|x|FLORES |PACHECO |MARIA CELIA| CASADA|X|X|CARRETERA ESTATAL PARAISO A CHILTEPEC|JOSE MARIA MORELOS BELLOTE |X|9331108280|SANTIAGO CORDOVA PEREZ|BENEFICIARIO 2: AVENAMAR DOMINGUEZ FLORES|x|RUTA 4 M|X|MIERCOLES|x|x|X|X|X|DOMICILIO |11300|1600|x|x|X|2021-9-01|2021-10-06|X|x|X|x|x|JOSE MARIA MORELOS BELLOTE|X|1|x|12900|x|x|x|X|X|X|x|X|CARDENAS |X|x|x|x|final</v>
      </c>
    </row>
    <row r="186" spans="1:82" x14ac:dyDescent="0.25">
      <c r="A186" t="s">
        <v>6208</v>
      </c>
      <c r="B186" t="s">
        <v>6209</v>
      </c>
      <c r="C186">
        <v>3</v>
      </c>
      <c r="D186" t="s">
        <v>194</v>
      </c>
      <c r="E186" t="s">
        <v>2</v>
      </c>
      <c r="F186" t="s">
        <v>654</v>
      </c>
      <c r="G186" t="s">
        <v>654</v>
      </c>
      <c r="H186" t="s">
        <v>6197</v>
      </c>
      <c r="I186">
        <v>12900</v>
      </c>
      <c r="J186" t="s">
        <v>4</v>
      </c>
      <c r="K186" t="s">
        <v>4</v>
      </c>
      <c r="L186">
        <v>400</v>
      </c>
      <c r="M186">
        <v>2</v>
      </c>
      <c r="N186" t="s">
        <v>12</v>
      </c>
      <c r="O186" t="s">
        <v>4</v>
      </c>
      <c r="P186" t="s">
        <v>12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12</v>
      </c>
      <c r="Z186" t="s">
        <v>4</v>
      </c>
      <c r="AA186" t="s">
        <v>12</v>
      </c>
      <c r="AB186" t="s">
        <v>6210</v>
      </c>
      <c r="AC186" t="s">
        <v>655</v>
      </c>
      <c r="AD186" t="s">
        <v>6211</v>
      </c>
      <c r="AE186" t="s">
        <v>17</v>
      </c>
      <c r="AF186" t="s">
        <v>4</v>
      </c>
      <c r="AG186" t="s">
        <v>4</v>
      </c>
      <c r="AH186" t="s">
        <v>6200</v>
      </c>
      <c r="AI186" t="s">
        <v>6201</v>
      </c>
      <c r="AJ186" t="s">
        <v>12</v>
      </c>
      <c r="AK186">
        <v>9331111330</v>
      </c>
      <c r="AL186" t="s">
        <v>6212</v>
      </c>
      <c r="AM186" t="s">
        <v>6213</v>
      </c>
      <c r="AN186" t="s">
        <v>12</v>
      </c>
      <c r="AO186" t="s">
        <v>6118</v>
      </c>
      <c r="AP186" t="s">
        <v>4</v>
      </c>
      <c r="AQ186" t="s">
        <v>658</v>
      </c>
      <c r="AR186" t="s">
        <v>12</v>
      </c>
      <c r="AS186" t="s">
        <v>12</v>
      </c>
      <c r="AT186" t="s">
        <v>4</v>
      </c>
      <c r="AU186" t="s">
        <v>4</v>
      </c>
      <c r="AV186" t="s">
        <v>4</v>
      </c>
      <c r="AW186" t="s">
        <v>305</v>
      </c>
      <c r="AX186">
        <v>11300</v>
      </c>
      <c r="AY186">
        <v>1600</v>
      </c>
      <c r="AZ186" t="s">
        <v>12</v>
      </c>
      <c r="BA186" t="s">
        <v>12</v>
      </c>
      <c r="BB186" t="s">
        <v>4</v>
      </c>
      <c r="BC186" t="s">
        <v>5792</v>
      </c>
      <c r="BD186" t="s">
        <v>5793</v>
      </c>
      <c r="BE186" t="s">
        <v>4</v>
      </c>
      <c r="BF186" t="s">
        <v>12</v>
      </c>
      <c r="BG186" t="s">
        <v>4</v>
      </c>
      <c r="BH186" t="s">
        <v>12</v>
      </c>
      <c r="BI186" t="s">
        <v>12</v>
      </c>
      <c r="BJ186" t="s">
        <v>927</v>
      </c>
      <c r="BK186" t="s">
        <v>4</v>
      </c>
      <c r="BL186">
        <v>0</v>
      </c>
      <c r="BM186" t="s">
        <v>12</v>
      </c>
      <c r="BN186">
        <v>12900</v>
      </c>
      <c r="BO186" t="s">
        <v>12</v>
      </c>
      <c r="BP186" t="s">
        <v>12</v>
      </c>
      <c r="BQ186" t="s">
        <v>12</v>
      </c>
      <c r="BR186" t="s">
        <v>4</v>
      </c>
      <c r="BS186" t="s">
        <v>4</v>
      </c>
      <c r="BT186" t="s">
        <v>4</v>
      </c>
      <c r="BU186" t="s">
        <v>12</v>
      </c>
      <c r="BV186" t="s">
        <v>4</v>
      </c>
      <c r="BW186" t="s">
        <v>303</v>
      </c>
      <c r="BX186" t="s">
        <v>4</v>
      </c>
      <c r="BY186" t="s">
        <v>12</v>
      </c>
      <c r="BZ186" t="s">
        <v>12</v>
      </c>
      <c r="CA186" t="s">
        <v>12</v>
      </c>
      <c r="CB186" t="s">
        <v>1074</v>
      </c>
      <c r="CC186" t="s">
        <v>12</v>
      </c>
      <c r="CD186" t="str" cm="1">
        <f t="array" aca="1" ref="CD186" ca="1">eConcatenar(A186:CB186,"|")</f>
        <v>CUSYHfke1if6a4tr|PAR2019-1707|3|ECONOLINE|TABASCO|PARAISO|PARAISO|2019-6-22|12900|X|X|400|2|x|X|x|X|X|X|X|X|X|X|X|x|X|x|CORDPVA|FLORES|SANTIAGO ARGENIS|SOLTERO|X|X|CARRETERA ESTATAL PARAISO A CHILTEPEC|JOSE MARIA MORELOS BELLOTE |x|9331111330|MARIA CELIA FLORES PACHECO|BENEFICIARIO 2: SANTIAGO ARGENIS|x|RUTA 4 M|X|MIERCOLES|x|x|X|X|X|DOMICILIO |11300|1600|x|x|X|2021-9-01|2021-10-06|X|x|X|x|x|JOSE MARIA MORELOS BELLOTE|X|0|x|12900|x|x|x|X|X|X|x|X|CARDENAS |X|x|x|x|final</v>
      </c>
    </row>
    <row r="187" spans="1:82" x14ac:dyDescent="0.25">
      <c r="A187" t="s">
        <v>6214</v>
      </c>
      <c r="B187" t="s">
        <v>6215</v>
      </c>
      <c r="C187">
        <v>3</v>
      </c>
      <c r="D187" t="s">
        <v>1</v>
      </c>
      <c r="E187" t="s">
        <v>2</v>
      </c>
      <c r="F187" t="s">
        <v>722</v>
      </c>
      <c r="G187" t="s">
        <v>722</v>
      </c>
      <c r="H187" t="s">
        <v>4724</v>
      </c>
      <c r="I187">
        <v>12900</v>
      </c>
      <c r="J187" t="s">
        <v>4</v>
      </c>
      <c r="K187" t="s">
        <v>4</v>
      </c>
      <c r="L187">
        <v>200</v>
      </c>
      <c r="M187">
        <v>1</v>
      </c>
      <c r="N187" t="s">
        <v>12</v>
      </c>
      <c r="O187" t="s">
        <v>4</v>
      </c>
      <c r="P187" t="s">
        <v>12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12</v>
      </c>
      <c r="Z187" t="s">
        <v>4</v>
      </c>
      <c r="AA187" t="s">
        <v>12</v>
      </c>
      <c r="AB187" t="s">
        <v>88</v>
      </c>
      <c r="AC187" t="s">
        <v>28</v>
      </c>
      <c r="AD187" t="s">
        <v>6216</v>
      </c>
      <c r="AE187" t="s">
        <v>59</v>
      </c>
      <c r="AF187" t="s">
        <v>4</v>
      </c>
      <c r="AG187" t="s">
        <v>4</v>
      </c>
      <c r="AH187" t="s">
        <v>6217</v>
      </c>
      <c r="AI187" t="s">
        <v>6218</v>
      </c>
      <c r="AJ187" t="s">
        <v>4</v>
      </c>
      <c r="AK187">
        <v>9331674667</v>
      </c>
      <c r="AL187" t="s">
        <v>6219</v>
      </c>
      <c r="AM187" t="s">
        <v>6220</v>
      </c>
      <c r="AN187" t="s">
        <v>12</v>
      </c>
      <c r="AO187" t="s">
        <v>6118</v>
      </c>
      <c r="AP187" t="s">
        <v>4</v>
      </c>
      <c r="AQ187" t="s">
        <v>4775</v>
      </c>
      <c r="AR187" t="s">
        <v>12</v>
      </c>
      <c r="AS187" t="s">
        <v>12</v>
      </c>
      <c r="AT187" t="s">
        <v>4</v>
      </c>
      <c r="AU187" t="s">
        <v>4</v>
      </c>
      <c r="AV187" t="s">
        <v>4</v>
      </c>
      <c r="AW187" t="s">
        <v>305</v>
      </c>
      <c r="AX187">
        <v>3800</v>
      </c>
      <c r="AY187">
        <v>9100</v>
      </c>
      <c r="AZ187" t="s">
        <v>12</v>
      </c>
      <c r="BA187" t="s">
        <v>12</v>
      </c>
      <c r="BB187" t="s">
        <v>4</v>
      </c>
      <c r="BC187" t="s">
        <v>1136</v>
      </c>
      <c r="BD187" t="s">
        <v>5802</v>
      </c>
      <c r="BE187" t="s">
        <v>4</v>
      </c>
      <c r="BF187" t="s">
        <v>12</v>
      </c>
      <c r="BG187" t="s">
        <v>4</v>
      </c>
      <c r="BH187" t="s">
        <v>12</v>
      </c>
      <c r="BI187" t="s">
        <v>12</v>
      </c>
      <c r="BJ187" t="s">
        <v>6221</v>
      </c>
      <c r="BK187" t="s">
        <v>4</v>
      </c>
      <c r="BL187">
        <v>0</v>
      </c>
      <c r="BM187" t="s">
        <v>12</v>
      </c>
      <c r="BN187">
        <v>12900</v>
      </c>
      <c r="BO187" t="s">
        <v>12</v>
      </c>
      <c r="BP187" t="s">
        <v>12</v>
      </c>
      <c r="BQ187" t="s">
        <v>12</v>
      </c>
      <c r="BR187" t="s">
        <v>4</v>
      </c>
      <c r="BS187" t="s">
        <v>4</v>
      </c>
      <c r="BT187" t="s">
        <v>4</v>
      </c>
      <c r="BU187" t="s">
        <v>12</v>
      </c>
      <c r="BV187" t="s">
        <v>4</v>
      </c>
      <c r="BW187" t="s">
        <v>303</v>
      </c>
      <c r="BX187" t="s">
        <v>4</v>
      </c>
      <c r="BY187" t="s">
        <v>12</v>
      </c>
      <c r="BZ187" t="s">
        <v>12</v>
      </c>
      <c r="CA187" t="s">
        <v>12</v>
      </c>
      <c r="CB187" t="s">
        <v>1074</v>
      </c>
      <c r="CC187" t="s">
        <v>12</v>
      </c>
      <c r="CD187" t="str" cm="1">
        <f t="array" aca="1" ref="CD187" ca="1">eConcatenar(A187:CB187,"|")</f>
        <v>AI0ZLzDdlzSY3iYo|COM2021-0476|3|IMPERIAL DE LUJO|TABASCO|COMALCALCO|COMALCALCO|2021-2-15|12900|X|X|200|1|x|X|x|X|X|X|X|X|X|X|X|x|X|x|MARTINEZ|CORDOVA|TORIBIO|CASADO|X|X|CALLE  J MURILLO PULIDO MANZANA 3 LOTE 5|CONJUNTO HABITACIONAL PRESIDENTES 1|X|9331674667|ADRIANA GOMEZ TORRES|BENEFICIARIO 2: MARIA DOLORES MARTINEZ|x|RUTA 4 M|X|JUEVES|x|x|X|X|X|DOMICILIO |3800|9100|x|x|X|2021-9-16|2021-9-29|X|x|X|x|x|CONJUNTO MHABITACIONAL PRESIDENTES 1|X|0|x|12900|x|x|x|X|X|X|x|X|CARDENAS |X|x|x|x|final</v>
      </c>
    </row>
    <row r="188" spans="1:82" x14ac:dyDescent="0.25">
      <c r="A188" t="s">
        <v>6222</v>
      </c>
      <c r="B188" t="s">
        <v>6223</v>
      </c>
      <c r="C188">
        <v>3</v>
      </c>
      <c r="D188" t="s">
        <v>1</v>
      </c>
      <c r="E188" t="s">
        <v>2</v>
      </c>
      <c r="F188" t="s">
        <v>654</v>
      </c>
      <c r="G188" t="s">
        <v>654</v>
      </c>
      <c r="H188" t="s">
        <v>4724</v>
      </c>
      <c r="I188">
        <v>12900</v>
      </c>
      <c r="J188" t="s">
        <v>4</v>
      </c>
      <c r="K188" t="s">
        <v>4</v>
      </c>
      <c r="L188">
        <v>200</v>
      </c>
      <c r="M188">
        <v>2</v>
      </c>
      <c r="N188" t="s">
        <v>12</v>
      </c>
      <c r="O188" t="s">
        <v>4</v>
      </c>
      <c r="P188" t="s">
        <v>12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12</v>
      </c>
      <c r="Z188" t="s">
        <v>4</v>
      </c>
      <c r="AA188" t="s">
        <v>12</v>
      </c>
      <c r="AB188" t="s">
        <v>6224</v>
      </c>
      <c r="AC188" t="s">
        <v>6225</v>
      </c>
      <c r="AD188" t="s">
        <v>6226</v>
      </c>
      <c r="AE188" t="s">
        <v>29</v>
      </c>
      <c r="AF188" t="s">
        <v>4</v>
      </c>
      <c r="AG188" t="s">
        <v>4</v>
      </c>
      <c r="AH188" t="s">
        <v>6227</v>
      </c>
      <c r="AI188" t="s">
        <v>577</v>
      </c>
      <c r="AJ188" t="s">
        <v>4</v>
      </c>
      <c r="AK188">
        <v>9331583477</v>
      </c>
      <c r="AL188" t="s">
        <v>6228</v>
      </c>
      <c r="AM188" t="s">
        <v>6229</v>
      </c>
      <c r="AN188" t="s">
        <v>12</v>
      </c>
      <c r="AO188" t="s">
        <v>6118</v>
      </c>
      <c r="AP188" t="s">
        <v>4</v>
      </c>
      <c r="AQ188" t="s">
        <v>4775</v>
      </c>
      <c r="AR188" t="s">
        <v>12</v>
      </c>
      <c r="AS188" t="s">
        <v>12</v>
      </c>
      <c r="AT188" t="s">
        <v>4</v>
      </c>
      <c r="AU188" t="s">
        <v>4</v>
      </c>
      <c r="AV188" t="s">
        <v>4</v>
      </c>
      <c r="AW188" t="s">
        <v>305</v>
      </c>
      <c r="AX188">
        <v>2400</v>
      </c>
      <c r="AY188">
        <v>10500</v>
      </c>
      <c r="AZ188" t="s">
        <v>12</v>
      </c>
      <c r="BA188" t="s">
        <v>12</v>
      </c>
      <c r="BB188" t="s">
        <v>4</v>
      </c>
      <c r="BC188" t="s">
        <v>6230</v>
      </c>
      <c r="BD188" t="s">
        <v>5793</v>
      </c>
      <c r="BE188" t="s">
        <v>4</v>
      </c>
      <c r="BF188" t="s">
        <v>12</v>
      </c>
      <c r="BG188" t="s">
        <v>4</v>
      </c>
      <c r="BH188" t="s">
        <v>12</v>
      </c>
      <c r="BI188" t="s">
        <v>12</v>
      </c>
      <c r="BJ188" t="s">
        <v>577</v>
      </c>
      <c r="BK188" t="s">
        <v>4</v>
      </c>
      <c r="BL188">
        <v>1</v>
      </c>
      <c r="BM188" t="s">
        <v>12</v>
      </c>
      <c r="BN188">
        <v>12900</v>
      </c>
      <c r="BO188" t="s">
        <v>12</v>
      </c>
      <c r="BP188" t="s">
        <v>12</v>
      </c>
      <c r="BQ188" t="s">
        <v>12</v>
      </c>
      <c r="BR188" t="s">
        <v>4</v>
      </c>
      <c r="BS188" t="s">
        <v>4</v>
      </c>
      <c r="BT188" t="s">
        <v>4</v>
      </c>
      <c r="BU188" t="s">
        <v>12</v>
      </c>
      <c r="BV188" t="s">
        <v>4</v>
      </c>
      <c r="BW188" t="s">
        <v>303</v>
      </c>
      <c r="BX188" t="s">
        <v>4</v>
      </c>
      <c r="BY188" t="s">
        <v>12</v>
      </c>
      <c r="BZ188" t="s">
        <v>12</v>
      </c>
      <c r="CA188" t="s">
        <v>12</v>
      </c>
      <c r="CB188" t="s">
        <v>1074</v>
      </c>
      <c r="CC188" t="s">
        <v>12</v>
      </c>
      <c r="CD188" t="str" cm="1">
        <f t="array" aca="1" ref="CD188" ca="1">eConcatenar(A188:CB188,"|")</f>
        <v>zQ06LDd2xctLhOiQ|PAR2021-0475|3|IMPERIAL DE LUJO|TABASCO|PARAISO|PARAISO|2021-2-15|12900|X|X|200|2|x|X|x|X|X|X|X|X|X|X|X|x|X|x|BARRIENTOS|RODAS|ROSA ANGELICA|CASADA|X|X|CALLE FRENCISCO TRUJILLO GUIRRIA |QUINTIN ARAUZ|X|9331583477|ADRIAN LAZARO PEREZ|BENEFICIARIO 2: MARISOL BARRIENTO BREDA|x|RUTA 4 M|X|JUEVES|x|x|X|X|X|DOMICILIO |2400|10500|x|x|X|2021-9-09|2021-10-06|X|x|X|x|x|QUINTIN ARAUZ|X|1|x|12900|x|x|x|X|X|X|x|X|CARDENAS |X|x|x|x|final</v>
      </c>
    </row>
    <row r="189" spans="1:82" x14ac:dyDescent="0.25">
      <c r="A189" t="s">
        <v>6231</v>
      </c>
      <c r="B189" t="s">
        <v>6232</v>
      </c>
      <c r="C189">
        <v>3</v>
      </c>
      <c r="D189" t="s">
        <v>194</v>
      </c>
      <c r="E189" t="s">
        <v>2</v>
      </c>
      <c r="F189" t="s">
        <v>654</v>
      </c>
      <c r="G189" t="s">
        <v>654</v>
      </c>
      <c r="H189" t="s">
        <v>4750</v>
      </c>
      <c r="I189">
        <v>12900</v>
      </c>
      <c r="J189" t="s">
        <v>4</v>
      </c>
      <c r="K189" t="s">
        <v>4</v>
      </c>
      <c r="L189">
        <v>200</v>
      </c>
      <c r="M189">
        <v>2</v>
      </c>
      <c r="N189" t="s">
        <v>12</v>
      </c>
      <c r="O189" t="s">
        <v>4</v>
      </c>
      <c r="P189" t="s">
        <v>12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12</v>
      </c>
      <c r="Z189" t="s">
        <v>4</v>
      </c>
      <c r="AA189" t="s">
        <v>12</v>
      </c>
      <c r="AB189" t="s">
        <v>6</v>
      </c>
      <c r="AC189" t="s">
        <v>109</v>
      </c>
      <c r="AD189" t="s">
        <v>6233</v>
      </c>
      <c r="AE189" t="s">
        <v>134</v>
      </c>
      <c r="AF189" t="s">
        <v>4</v>
      </c>
      <c r="AG189" t="s">
        <v>4</v>
      </c>
      <c r="AH189" t="s">
        <v>4857</v>
      </c>
      <c r="AI189" t="s">
        <v>753</v>
      </c>
      <c r="AJ189" t="s">
        <v>4</v>
      </c>
      <c r="AK189">
        <v>9331642362</v>
      </c>
      <c r="AL189" t="s">
        <v>6234</v>
      </c>
      <c r="AM189" t="s">
        <v>6235</v>
      </c>
      <c r="AN189" t="s">
        <v>12</v>
      </c>
      <c r="AO189" t="s">
        <v>6118</v>
      </c>
      <c r="AP189" t="s">
        <v>4</v>
      </c>
      <c r="AQ189" t="s">
        <v>4775</v>
      </c>
      <c r="AR189" t="s">
        <v>12</v>
      </c>
      <c r="AS189" t="s">
        <v>12</v>
      </c>
      <c r="AT189" t="s">
        <v>4</v>
      </c>
      <c r="AU189" t="s">
        <v>4</v>
      </c>
      <c r="AV189" t="s">
        <v>4</v>
      </c>
      <c r="AW189" t="s">
        <v>305</v>
      </c>
      <c r="AX189">
        <v>5400</v>
      </c>
      <c r="AY189">
        <v>7500</v>
      </c>
      <c r="AZ189" t="s">
        <v>12</v>
      </c>
      <c r="BA189" t="s">
        <v>12</v>
      </c>
      <c r="BB189" t="s">
        <v>4</v>
      </c>
      <c r="BC189" t="s">
        <v>5792</v>
      </c>
      <c r="BD189" t="s">
        <v>5793</v>
      </c>
      <c r="BE189" t="s">
        <v>4</v>
      </c>
      <c r="BF189" t="s">
        <v>12</v>
      </c>
      <c r="BG189" t="s">
        <v>4</v>
      </c>
      <c r="BH189" t="s">
        <v>12</v>
      </c>
      <c r="BI189" t="s">
        <v>12</v>
      </c>
      <c r="BJ189" t="s">
        <v>753</v>
      </c>
      <c r="BK189" t="s">
        <v>4</v>
      </c>
      <c r="BL189">
        <v>1</v>
      </c>
      <c r="BM189" t="s">
        <v>12</v>
      </c>
      <c r="BN189">
        <v>12900</v>
      </c>
      <c r="BO189" t="s">
        <v>12</v>
      </c>
      <c r="BP189" t="s">
        <v>12</v>
      </c>
      <c r="BQ189" t="s">
        <v>12</v>
      </c>
      <c r="BR189" t="s">
        <v>4</v>
      </c>
      <c r="BS189" t="s">
        <v>4</v>
      </c>
      <c r="BT189" t="s">
        <v>4</v>
      </c>
      <c r="BU189" t="s">
        <v>12</v>
      </c>
      <c r="BV189" t="s">
        <v>4</v>
      </c>
      <c r="BW189" t="s">
        <v>303</v>
      </c>
      <c r="BX189" t="s">
        <v>4</v>
      </c>
      <c r="BY189" t="s">
        <v>12</v>
      </c>
      <c r="BZ189" t="s">
        <v>12</v>
      </c>
      <c r="CA189" t="s">
        <v>12</v>
      </c>
      <c r="CB189" t="s">
        <v>1074</v>
      </c>
      <c r="CC189" t="s">
        <v>12</v>
      </c>
      <c r="CD189" t="str" cm="1">
        <f t="array" aca="1" ref="CD189" ca="1">eConcatenar(A189:CB189,"|")</f>
        <v>KIUwcGuIo7y3fASU|PAR2020-1511|3|ECONOLINE|TABASCO|PARAISO|PARAISO|2020-7-31|12900|X|X|200|2|x|X|x|X|X|X|X|X|X|X|X|x|X|x|DE LA CRUZ|PEREZ|ELOISA|VIUDA|X|X|CALLE MIGUEL HIDALGO SIN NUMERO|VILLA PUERTO CEIBA|X|9331642362|ISAAC CORDOVA DE LA CRUZ|BENEFICIARIO 2: CRISTINA CORDOVA DE LA CRUZ|x|RUTA 4 M|X|JUEVES|x|x|X|X|X|DOMICILIO |5400|7500|x|x|X|2021-9-01|2021-10-06|X|x|X|x|x|VILLA PUERTO CEIBA|X|1|x|12900|x|x|x|X|X|X|x|X|CARDENAS |X|x|x|x|final</v>
      </c>
    </row>
    <row r="190" spans="1:82" x14ac:dyDescent="0.25">
      <c r="A190" t="s">
        <v>6236</v>
      </c>
      <c r="B190" t="s">
        <v>6237</v>
      </c>
      <c r="C190">
        <v>3</v>
      </c>
      <c r="D190" t="s">
        <v>194</v>
      </c>
      <c r="E190" t="s">
        <v>2</v>
      </c>
      <c r="F190" t="s">
        <v>654</v>
      </c>
      <c r="G190" t="s">
        <v>654</v>
      </c>
      <c r="H190" t="s">
        <v>4750</v>
      </c>
      <c r="I190">
        <v>12900</v>
      </c>
      <c r="J190" t="s">
        <v>4</v>
      </c>
      <c r="K190" t="s">
        <v>4</v>
      </c>
      <c r="L190">
        <v>200</v>
      </c>
      <c r="M190">
        <v>1</v>
      </c>
      <c r="N190" t="s">
        <v>12</v>
      </c>
      <c r="O190" t="s">
        <v>4</v>
      </c>
      <c r="P190" t="s">
        <v>12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12</v>
      </c>
      <c r="Z190" t="s">
        <v>4</v>
      </c>
      <c r="AA190" t="s">
        <v>12</v>
      </c>
      <c r="AB190" t="s">
        <v>116</v>
      </c>
      <c r="AC190" t="s">
        <v>80</v>
      </c>
      <c r="AD190" t="s">
        <v>5004</v>
      </c>
      <c r="AE190" t="s">
        <v>59</v>
      </c>
      <c r="AF190" t="s">
        <v>4</v>
      </c>
      <c r="AG190" t="s">
        <v>4</v>
      </c>
      <c r="AH190" t="s">
        <v>917</v>
      </c>
      <c r="AI190" t="s">
        <v>753</v>
      </c>
      <c r="AJ190" t="s">
        <v>4</v>
      </c>
      <c r="AK190">
        <v>9331327262</v>
      </c>
      <c r="AL190" t="s">
        <v>6238</v>
      </c>
      <c r="AM190" t="s">
        <v>6239</v>
      </c>
      <c r="AN190" t="s">
        <v>12</v>
      </c>
      <c r="AO190" t="s">
        <v>6118</v>
      </c>
      <c r="AP190" t="s">
        <v>4</v>
      </c>
      <c r="AQ190" t="s">
        <v>658</v>
      </c>
      <c r="AR190" t="s">
        <v>12</v>
      </c>
      <c r="AS190" t="s">
        <v>12</v>
      </c>
      <c r="AT190" t="s">
        <v>4</v>
      </c>
      <c r="AU190" t="s">
        <v>4</v>
      </c>
      <c r="AV190" t="s">
        <v>4</v>
      </c>
      <c r="AW190" t="s">
        <v>305</v>
      </c>
      <c r="AX190">
        <v>6000</v>
      </c>
      <c r="AY190">
        <v>6900</v>
      </c>
      <c r="AZ190" t="s">
        <v>12</v>
      </c>
      <c r="BA190" t="s">
        <v>12</v>
      </c>
      <c r="BB190" t="s">
        <v>4</v>
      </c>
      <c r="BC190" t="s">
        <v>1135</v>
      </c>
      <c r="BD190" t="s">
        <v>5802</v>
      </c>
      <c r="BE190" t="s">
        <v>4</v>
      </c>
      <c r="BF190" t="s">
        <v>12</v>
      </c>
      <c r="BG190" t="s">
        <v>4</v>
      </c>
      <c r="BH190" t="s">
        <v>12</v>
      </c>
      <c r="BI190" t="s">
        <v>12</v>
      </c>
      <c r="BJ190" t="s">
        <v>753</v>
      </c>
      <c r="BK190" t="s">
        <v>4</v>
      </c>
      <c r="BL190">
        <v>0</v>
      </c>
      <c r="BM190" t="s">
        <v>12</v>
      </c>
      <c r="BN190">
        <v>12900</v>
      </c>
      <c r="BO190" t="s">
        <v>12</v>
      </c>
      <c r="BP190" t="s">
        <v>12</v>
      </c>
      <c r="BQ190" t="s">
        <v>12</v>
      </c>
      <c r="BR190" t="s">
        <v>4</v>
      </c>
      <c r="BS190" t="s">
        <v>4</v>
      </c>
      <c r="BT190" t="s">
        <v>4</v>
      </c>
      <c r="BU190" t="s">
        <v>12</v>
      </c>
      <c r="BV190" t="s">
        <v>4</v>
      </c>
      <c r="BW190" t="s">
        <v>303</v>
      </c>
      <c r="BX190" t="s">
        <v>4</v>
      </c>
      <c r="BY190" t="s">
        <v>12</v>
      </c>
      <c r="BZ190" t="s">
        <v>12</v>
      </c>
      <c r="CA190" t="s">
        <v>12</v>
      </c>
      <c r="CB190" t="s">
        <v>1074</v>
      </c>
      <c r="CC190" t="s">
        <v>12</v>
      </c>
      <c r="CD190" t="str" cm="1">
        <f t="array" aca="1" ref="CD190" ca="1">eConcatenar(A190:CB190,"|")</f>
        <v>dQt7rqHahI5AB3i5|PAR2020-1505|3|ECONOLINE|TABASCO|PARAISO|PARAISO|2020-7-31|12900|X|X|200|1|x|X|x|X|X|X|X|X|X|X|X|x|X|x|RODRIGUEZ|LOPEZ|LUDIN|CASADO|X|X|CALLE LOS PESCADORES SIN NUMERO|VILLA PUERTO CEIBA|X|9331327262|CARLOS RODRIGUEZ RAMIREZ|BENEFICIARIO 2: NESTOR EDUARDO RODRIGUEZ RAMIREZ|x|RUTA 4 M|X|MIERCOLES|x|x|X|X|X|DOMICILIO |6000|6900|x|x|X|2021-9-15|2021-9-29|X|x|X|x|x|VILLA PUERTO CEIBA|X|0|x|12900|x|x|x|X|X|X|x|X|CARDENAS |X|x|x|x|final</v>
      </c>
    </row>
    <row r="191" spans="1:82" x14ac:dyDescent="0.25">
      <c r="A191" t="s">
        <v>6240</v>
      </c>
      <c r="B191" t="s">
        <v>6241</v>
      </c>
      <c r="C191">
        <v>3</v>
      </c>
      <c r="D191" t="s">
        <v>70</v>
      </c>
      <c r="E191" t="s">
        <v>2</v>
      </c>
      <c r="F191" t="s">
        <v>722</v>
      </c>
      <c r="G191" t="s">
        <v>722</v>
      </c>
      <c r="H191" t="s">
        <v>6242</v>
      </c>
      <c r="I191">
        <v>24500</v>
      </c>
      <c r="J191" t="s">
        <v>4</v>
      </c>
      <c r="K191" t="s">
        <v>4</v>
      </c>
      <c r="L191">
        <v>100</v>
      </c>
      <c r="M191">
        <v>0</v>
      </c>
      <c r="N191" t="s">
        <v>12</v>
      </c>
      <c r="O191" t="s">
        <v>4</v>
      </c>
      <c r="P191" t="s">
        <v>12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12</v>
      </c>
      <c r="Z191" t="s">
        <v>4</v>
      </c>
      <c r="AA191" t="s">
        <v>12</v>
      </c>
      <c r="AB191" t="s">
        <v>693</v>
      </c>
      <c r="AC191" t="s">
        <v>51</v>
      </c>
      <c r="AD191" t="s">
        <v>6243</v>
      </c>
      <c r="AE191" t="s">
        <v>59</v>
      </c>
      <c r="AF191" t="s">
        <v>4</v>
      </c>
      <c r="AG191" t="s">
        <v>4</v>
      </c>
      <c r="AH191" t="s">
        <v>6244</v>
      </c>
      <c r="AI191" t="s">
        <v>726</v>
      </c>
      <c r="AJ191" t="s">
        <v>4</v>
      </c>
      <c r="AK191">
        <v>9332094738</v>
      </c>
      <c r="AL191" t="s">
        <v>6245</v>
      </c>
      <c r="AM191" t="s">
        <v>6246</v>
      </c>
      <c r="AN191" t="s">
        <v>12</v>
      </c>
      <c r="AO191" t="s">
        <v>6118</v>
      </c>
      <c r="AP191" t="s">
        <v>4</v>
      </c>
      <c r="AQ191" t="s">
        <v>658</v>
      </c>
      <c r="AR191" t="s">
        <v>12</v>
      </c>
      <c r="AS191" t="s">
        <v>12</v>
      </c>
      <c r="AT191" t="s">
        <v>4</v>
      </c>
      <c r="AU191" t="s">
        <v>4</v>
      </c>
      <c r="AV191" t="s">
        <v>4</v>
      </c>
      <c r="AW191" t="s">
        <v>305</v>
      </c>
      <c r="AX191">
        <v>600</v>
      </c>
      <c r="AY191">
        <v>23900</v>
      </c>
      <c r="AZ191" t="s">
        <v>12</v>
      </c>
      <c r="BA191" t="s">
        <v>12</v>
      </c>
      <c r="BB191" t="s">
        <v>4</v>
      </c>
      <c r="BC191" t="s">
        <v>1122</v>
      </c>
      <c r="BD191" t="s">
        <v>5802</v>
      </c>
      <c r="BE191" t="s">
        <v>4</v>
      </c>
      <c r="BF191" t="s">
        <v>12</v>
      </c>
      <c r="BG191" t="s">
        <v>4</v>
      </c>
      <c r="BH191" t="s">
        <v>12</v>
      </c>
      <c r="BI191" t="s">
        <v>12</v>
      </c>
      <c r="BJ191" t="s">
        <v>726</v>
      </c>
      <c r="BK191" t="s">
        <v>4</v>
      </c>
      <c r="BL191">
        <v>0</v>
      </c>
      <c r="BM191" t="s">
        <v>12</v>
      </c>
      <c r="BN191">
        <v>24500</v>
      </c>
      <c r="BO191" t="s">
        <v>12</v>
      </c>
      <c r="BP191" t="s">
        <v>12</v>
      </c>
      <c r="BQ191" t="s">
        <v>12</v>
      </c>
      <c r="BR191" t="s">
        <v>4</v>
      </c>
      <c r="BS191" t="s">
        <v>4</v>
      </c>
      <c r="BT191" t="s">
        <v>4</v>
      </c>
      <c r="BU191" t="s">
        <v>12</v>
      </c>
      <c r="BV191" t="s">
        <v>4</v>
      </c>
      <c r="BW191" t="s">
        <v>303</v>
      </c>
      <c r="BX191" t="s">
        <v>4</v>
      </c>
      <c r="BY191" t="s">
        <v>12</v>
      </c>
      <c r="BZ191" t="s">
        <v>12</v>
      </c>
      <c r="CA191" t="s">
        <v>12</v>
      </c>
      <c r="CB191" t="s">
        <v>1074</v>
      </c>
      <c r="CC191" t="s">
        <v>12</v>
      </c>
      <c r="CD191" t="str" cm="1">
        <f t="array" aca="1" ref="CD191" ca="1">eConcatenar(A191:CB191,"|")</f>
        <v>dTNv4nh66mPBWDy3|COM2021-2567|3|DIGNITY|TABASCO|COMALCALCO|COMALCALCO|2021-8-04|24500|X|X|100|0|x|X|x|X|X|X|X|X|X|X|X|x|X|x|DOMINGUEZ |OLAN |LUIS|CASADO|X|X|CARRETERA FEDERAL A PARAISO SIN NUMERO|NORTE PRIMERA SECCION|X|9332094738|LEYDI FABIOLA RODRIGUEZ CRUZ|BENEFICIARIO 2: FELICITA OLAN ALVARADO|x|RUTA 4 M|X|MIERCOLES|x|x|X|X|X|DOMICILIO |600|23900|x|x|X|2021-9-13|2021-9-29|X|x|X|x|x|NORTE PRIMERA SECCION|X|0|x|24500|x|x|x|X|X|X|x|X|CARDENAS |X|x|x|x|final</v>
      </c>
    </row>
    <row r="192" spans="1:82" x14ac:dyDescent="0.25">
      <c r="A192" t="s">
        <v>6247</v>
      </c>
      <c r="B192" t="s">
        <v>6248</v>
      </c>
      <c r="C192">
        <v>3</v>
      </c>
      <c r="D192" t="s">
        <v>65</v>
      </c>
      <c r="E192" t="s">
        <v>361</v>
      </c>
      <c r="F192" t="s">
        <v>722</v>
      </c>
      <c r="G192" t="s">
        <v>722</v>
      </c>
      <c r="H192" t="s">
        <v>6249</v>
      </c>
      <c r="I192">
        <v>14800</v>
      </c>
      <c r="J192" t="s">
        <v>4</v>
      </c>
      <c r="K192" t="s">
        <v>4</v>
      </c>
      <c r="L192">
        <v>400</v>
      </c>
      <c r="M192">
        <v>2</v>
      </c>
      <c r="N192" t="s">
        <v>12</v>
      </c>
      <c r="O192" t="s">
        <v>4</v>
      </c>
      <c r="P192" t="s">
        <v>12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12</v>
      </c>
      <c r="Z192" t="s">
        <v>4</v>
      </c>
      <c r="AA192" t="s">
        <v>12</v>
      </c>
      <c r="AB192" t="s">
        <v>840</v>
      </c>
      <c r="AC192" t="s">
        <v>6</v>
      </c>
      <c r="AD192" t="s">
        <v>4797</v>
      </c>
      <c r="AE192" t="s">
        <v>48</v>
      </c>
      <c r="AF192" t="s">
        <v>4</v>
      </c>
      <c r="AG192" t="s">
        <v>4</v>
      </c>
      <c r="AH192" t="s">
        <v>6250</v>
      </c>
      <c r="AI192" t="s">
        <v>2079</v>
      </c>
      <c r="AJ192" t="s">
        <v>4</v>
      </c>
      <c r="AK192">
        <v>9332073015</v>
      </c>
      <c r="AL192" t="s">
        <v>6251</v>
      </c>
      <c r="AM192" t="s">
        <v>4</v>
      </c>
      <c r="AN192" t="s">
        <v>12</v>
      </c>
      <c r="AO192" t="s">
        <v>6118</v>
      </c>
      <c r="AP192" t="s">
        <v>4</v>
      </c>
      <c r="AQ192" t="s">
        <v>4775</v>
      </c>
      <c r="AR192" t="s">
        <v>12</v>
      </c>
      <c r="AS192" t="s">
        <v>12</v>
      </c>
      <c r="AT192" t="s">
        <v>4</v>
      </c>
      <c r="AU192" t="s">
        <v>4</v>
      </c>
      <c r="AV192" t="s">
        <v>4</v>
      </c>
      <c r="AW192" t="s">
        <v>305</v>
      </c>
      <c r="AX192">
        <v>800</v>
      </c>
      <c r="AY192">
        <v>14000</v>
      </c>
      <c r="AZ192" t="s">
        <v>12</v>
      </c>
      <c r="BA192" t="s">
        <v>12</v>
      </c>
      <c r="BB192" t="s">
        <v>4</v>
      </c>
      <c r="BC192" t="s">
        <v>6252</v>
      </c>
      <c r="BD192" t="s">
        <v>6059</v>
      </c>
      <c r="BE192" t="s">
        <v>4</v>
      </c>
      <c r="BF192" t="s">
        <v>12</v>
      </c>
      <c r="BG192" t="s">
        <v>4</v>
      </c>
      <c r="BH192" t="s">
        <v>12</v>
      </c>
      <c r="BI192" t="s">
        <v>12</v>
      </c>
      <c r="BJ192" t="s">
        <v>2079</v>
      </c>
      <c r="BK192" t="s">
        <v>4</v>
      </c>
      <c r="BL192">
        <v>1</v>
      </c>
      <c r="BM192" t="s">
        <v>12</v>
      </c>
      <c r="BN192">
        <v>14800</v>
      </c>
      <c r="BO192" t="s">
        <v>12</v>
      </c>
      <c r="BP192" t="s">
        <v>12</v>
      </c>
      <c r="BQ192" t="s">
        <v>12</v>
      </c>
      <c r="BR192" t="s">
        <v>4</v>
      </c>
      <c r="BS192" t="s">
        <v>4</v>
      </c>
      <c r="BT192" t="s">
        <v>4</v>
      </c>
      <c r="BU192" t="s">
        <v>12</v>
      </c>
      <c r="BV192" t="s">
        <v>4</v>
      </c>
      <c r="BW192" t="s">
        <v>303</v>
      </c>
      <c r="BX192" t="s">
        <v>4</v>
      </c>
      <c r="BY192" t="s">
        <v>12</v>
      </c>
      <c r="BZ192" t="s">
        <v>12</v>
      </c>
      <c r="CA192" t="s">
        <v>12</v>
      </c>
      <c r="CB192" t="s">
        <v>1074</v>
      </c>
      <c r="CC192" t="s">
        <v>12</v>
      </c>
      <c r="CD192" t="str" cm="1">
        <f t="array" aca="1" ref="CD192" ca="1">eConcatenar(A192:CB192,"|")</f>
        <v>SCcvBWXttUBOUrfs|COM2021-2550|3|MEMORIAL|TABASCO |COMALCALCO|COMALCALCO|2021-7-31|14800|X|X|400|2|x|X|x|X|X|X|X|X|X|X|X|x|X|x|LEYVA|DE LA CRUZ|NORMA|SOLTERA|X|X|CALLE TITO E ANDRADE MANZANA LOTE 17|SOLIDARIDAD|X|9332073015|ESTHER VELAZQUEZ LEYVA|X|x|RUTA 4 M|X|JUEVES|x|x|X|X|X|DOMICILIO |800|14000|x|x|X|2021-9-02|2021-10-07|X|x|X|x|x|SOLIDARIDAD|X|1|x|14800|x|x|x|X|X|X|x|X|CARDENAS |X|x|x|x|final</v>
      </c>
    </row>
    <row r="193" spans="1:82" x14ac:dyDescent="0.25">
      <c r="A193" t="s">
        <v>6253</v>
      </c>
      <c r="B193" t="s">
        <v>6254</v>
      </c>
      <c r="C193">
        <v>3</v>
      </c>
      <c r="D193" t="s">
        <v>65</v>
      </c>
      <c r="E193" t="s">
        <v>2</v>
      </c>
      <c r="F193" t="s">
        <v>722</v>
      </c>
      <c r="G193" t="s">
        <v>722</v>
      </c>
      <c r="H193" t="s">
        <v>4711</v>
      </c>
      <c r="I193">
        <v>14800</v>
      </c>
      <c r="J193" t="s">
        <v>4</v>
      </c>
      <c r="K193" t="s">
        <v>4</v>
      </c>
      <c r="L193">
        <v>100</v>
      </c>
      <c r="M193">
        <v>2</v>
      </c>
      <c r="N193" t="s">
        <v>12</v>
      </c>
      <c r="O193" t="s">
        <v>4</v>
      </c>
      <c r="P193" t="s">
        <v>12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12</v>
      </c>
      <c r="Z193" t="s">
        <v>4</v>
      </c>
      <c r="AA193" t="s">
        <v>12</v>
      </c>
      <c r="AB193" t="s">
        <v>971</v>
      </c>
      <c r="AC193" t="s">
        <v>960</v>
      </c>
      <c r="AD193" t="s">
        <v>6255</v>
      </c>
      <c r="AE193" t="s">
        <v>134</v>
      </c>
      <c r="AF193" t="s">
        <v>4</v>
      </c>
      <c r="AG193" t="s">
        <v>4</v>
      </c>
      <c r="AH193" t="s">
        <v>6256</v>
      </c>
      <c r="AI193" t="s">
        <v>5898</v>
      </c>
      <c r="AJ193" t="s">
        <v>4</v>
      </c>
      <c r="AK193">
        <v>9331030371</v>
      </c>
      <c r="AL193" t="s">
        <v>6257</v>
      </c>
      <c r="AM193" t="s">
        <v>6258</v>
      </c>
      <c r="AN193" t="s">
        <v>12</v>
      </c>
      <c r="AO193" t="s">
        <v>6118</v>
      </c>
      <c r="AP193" t="s">
        <v>4</v>
      </c>
      <c r="AQ193" t="s">
        <v>658</v>
      </c>
      <c r="AR193" t="s">
        <v>12</v>
      </c>
      <c r="AS193" t="s">
        <v>12</v>
      </c>
      <c r="AT193" t="s">
        <v>4</v>
      </c>
      <c r="AU193" t="s">
        <v>4</v>
      </c>
      <c r="AV193" t="s">
        <v>4</v>
      </c>
      <c r="AW193" t="s">
        <v>305</v>
      </c>
      <c r="AX193">
        <v>500</v>
      </c>
      <c r="AY193">
        <v>14300</v>
      </c>
      <c r="AZ193" t="s">
        <v>12</v>
      </c>
      <c r="BA193" t="s">
        <v>12</v>
      </c>
      <c r="BB193" t="s">
        <v>4</v>
      </c>
      <c r="BC193" t="s">
        <v>5792</v>
      </c>
      <c r="BD193" t="s">
        <v>5793</v>
      </c>
      <c r="BE193" t="s">
        <v>4</v>
      </c>
      <c r="BF193" t="s">
        <v>12</v>
      </c>
      <c r="BG193" t="s">
        <v>4</v>
      </c>
      <c r="BH193" t="s">
        <v>12</v>
      </c>
      <c r="BI193" t="s">
        <v>12</v>
      </c>
      <c r="BJ193" t="s">
        <v>5898</v>
      </c>
      <c r="BK193" t="s">
        <v>4</v>
      </c>
      <c r="BL193">
        <v>1</v>
      </c>
      <c r="BM193" t="s">
        <v>12</v>
      </c>
      <c r="BN193">
        <v>14800</v>
      </c>
      <c r="BO193" t="s">
        <v>12</v>
      </c>
      <c r="BP193" t="s">
        <v>12</v>
      </c>
      <c r="BQ193" t="s">
        <v>12</v>
      </c>
      <c r="BR193" t="s">
        <v>4</v>
      </c>
      <c r="BS193" t="s">
        <v>4</v>
      </c>
      <c r="BT193" t="s">
        <v>4</v>
      </c>
      <c r="BU193" t="s">
        <v>12</v>
      </c>
      <c r="BV193" t="s">
        <v>4</v>
      </c>
      <c r="BW193" t="s">
        <v>303</v>
      </c>
      <c r="BX193" t="s">
        <v>4</v>
      </c>
      <c r="BY193" t="s">
        <v>12</v>
      </c>
      <c r="BZ193" t="s">
        <v>12</v>
      </c>
      <c r="CA193" t="s">
        <v>12</v>
      </c>
      <c r="CB193" t="s">
        <v>1074</v>
      </c>
      <c r="CC193" t="s">
        <v>12</v>
      </c>
      <c r="CD193" t="str" cm="1">
        <f t="array" aca="1" ref="CD193" ca="1">eConcatenar(A193:CB193,"|")</f>
        <v>XPazj2wTmPu9vGwq|PAR2021-2577|3|MEMORIAL|TABASCO|COMALCALCO|COMALCALCO|2021-8-10|14800|X|X|100|2|x|X|x|X|X|X|X|X|X|X|X|x|X|x|FLORES |FUENTES|MA DEL CARMEN|VIUDA|X|X|CARRETERA VECINAL A PARAISO SIN NUMERO|OCCIDENTE PRIMERA SECCION|X|9331030371|TERESA DE JESUS LOPEZ FLORES|BENEFICIARIO 2: CRISTINA ANAYELI LOPEZ FLORES|x|RUTA 4 M|X|MIERCOLES|x|x|X|X|X|DOMICILIO |500|14300|x|x|X|2021-9-01|2021-10-06|X|x|X|x|x|OCCIDENTE PRIMERA SECCION|X|1|x|14800|x|x|x|X|X|X|x|X|CARDENAS |X|x|x|x|final</v>
      </c>
    </row>
    <row r="194" spans="1:82" x14ac:dyDescent="0.25">
      <c r="A194" t="s">
        <v>6259</v>
      </c>
      <c r="B194" t="s">
        <v>6260</v>
      </c>
      <c r="C194">
        <v>3</v>
      </c>
      <c r="D194" t="s">
        <v>65</v>
      </c>
      <c r="E194" t="s">
        <v>2</v>
      </c>
      <c r="F194" t="s">
        <v>722</v>
      </c>
      <c r="G194" t="s">
        <v>722</v>
      </c>
      <c r="H194" t="s">
        <v>6249</v>
      </c>
      <c r="I194">
        <v>14800</v>
      </c>
      <c r="J194" t="s">
        <v>4</v>
      </c>
      <c r="K194" t="s">
        <v>4</v>
      </c>
      <c r="L194">
        <v>200</v>
      </c>
      <c r="M194">
        <v>1</v>
      </c>
      <c r="N194" t="s">
        <v>12</v>
      </c>
      <c r="O194" t="s">
        <v>4</v>
      </c>
      <c r="P194" t="s">
        <v>12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12</v>
      </c>
      <c r="Z194" t="s">
        <v>4</v>
      </c>
      <c r="AA194" t="s">
        <v>12</v>
      </c>
      <c r="AB194" t="s">
        <v>693</v>
      </c>
      <c r="AC194" t="s">
        <v>36</v>
      </c>
      <c r="AD194" t="s">
        <v>6261</v>
      </c>
      <c r="AE194" t="s">
        <v>59</v>
      </c>
      <c r="AF194" t="s">
        <v>4</v>
      </c>
      <c r="AG194" t="s">
        <v>4</v>
      </c>
      <c r="AH194" t="s">
        <v>6262</v>
      </c>
      <c r="AI194" t="s">
        <v>276</v>
      </c>
      <c r="AJ194" t="s">
        <v>4</v>
      </c>
      <c r="AK194">
        <v>3342680</v>
      </c>
      <c r="AL194" t="s">
        <v>6263</v>
      </c>
      <c r="AM194" t="s">
        <v>6264</v>
      </c>
      <c r="AN194" t="s">
        <v>12</v>
      </c>
      <c r="AO194" t="s">
        <v>6118</v>
      </c>
      <c r="AP194" t="s">
        <v>4</v>
      </c>
      <c r="AQ194" t="s">
        <v>658</v>
      </c>
      <c r="AR194" t="s">
        <v>12</v>
      </c>
      <c r="AS194" t="s">
        <v>12</v>
      </c>
      <c r="AT194" t="s">
        <v>4</v>
      </c>
      <c r="AU194" t="s">
        <v>4</v>
      </c>
      <c r="AV194" t="s">
        <v>4</v>
      </c>
      <c r="AW194" t="s">
        <v>305</v>
      </c>
      <c r="AX194">
        <v>600</v>
      </c>
      <c r="AY194">
        <v>14200</v>
      </c>
      <c r="AZ194" t="s">
        <v>12</v>
      </c>
      <c r="BA194" t="s">
        <v>12</v>
      </c>
      <c r="BB194" t="s">
        <v>4</v>
      </c>
      <c r="BC194" t="s">
        <v>1136</v>
      </c>
      <c r="BD194" t="s">
        <v>1131</v>
      </c>
      <c r="BE194" t="s">
        <v>4</v>
      </c>
      <c r="BF194" t="s">
        <v>12</v>
      </c>
      <c r="BG194" t="s">
        <v>4</v>
      </c>
      <c r="BH194" t="s">
        <v>12</v>
      </c>
      <c r="BI194" t="s">
        <v>12</v>
      </c>
      <c r="BJ194" t="s">
        <v>276</v>
      </c>
      <c r="BK194" t="s">
        <v>4</v>
      </c>
      <c r="BL194">
        <v>0</v>
      </c>
      <c r="BM194" t="s">
        <v>12</v>
      </c>
      <c r="BN194">
        <v>14800</v>
      </c>
      <c r="BO194" t="s">
        <v>12</v>
      </c>
      <c r="BP194" t="s">
        <v>12</v>
      </c>
      <c r="BQ194" t="s">
        <v>12</v>
      </c>
      <c r="BR194" t="s">
        <v>4</v>
      </c>
      <c r="BS194" t="s">
        <v>4</v>
      </c>
      <c r="BT194" t="s">
        <v>4</v>
      </c>
      <c r="BU194" t="s">
        <v>12</v>
      </c>
      <c r="BV194" t="s">
        <v>4</v>
      </c>
      <c r="BW194" t="s">
        <v>303</v>
      </c>
      <c r="BX194" t="s">
        <v>4</v>
      </c>
      <c r="BY194" t="s">
        <v>12</v>
      </c>
      <c r="BZ194" t="s">
        <v>12</v>
      </c>
      <c r="CA194" t="s">
        <v>12</v>
      </c>
      <c r="CB194" t="s">
        <v>1074</v>
      </c>
      <c r="CC194" t="s">
        <v>12</v>
      </c>
      <c r="CD194" t="str" cm="1">
        <f t="array" aca="1" ref="CD194" ca="1">eConcatenar(A194:CB194,"|")</f>
        <v>6gxZAstKbv4DUnJZ|COM2021-2549|3|MEMORIAL|TABASCO|COMALCALCO|COMALCALCO|2021-7-31|14800|X|X|200|1|x|X|x|X|X|X|X|X|X|X|X|x|X|x|DOMINGUEZ |HERNANDEZ|OCTAVIO|CASADO|X|X|CALLE MINA 316 A|VICENTE GUERRERO|X|3342680|ELIZABETH DOMINGUEZ GARCIA |BENEFICIARIO 2: JOSE TRINIDAD DOMINGUEZ GARCIA|x|RUTA 4 M|X|MIERCOLES|x|x|X|X|X|DOMICILIO |600|14200|x|x|X|2021-9-16|2021-9-30|X|x|X|x|x|VICENTE GUERRERO|X|0|x|14800|x|x|x|X|X|X|x|X|CARDENAS |X|x|x|x|final</v>
      </c>
    </row>
    <row r="195" spans="1:82" x14ac:dyDescent="0.25">
      <c r="A195" t="s">
        <v>6265</v>
      </c>
      <c r="B195" t="s">
        <v>6266</v>
      </c>
      <c r="C195">
        <v>3</v>
      </c>
      <c r="D195" t="s">
        <v>194</v>
      </c>
      <c r="E195" t="s">
        <v>2</v>
      </c>
      <c r="F195" t="s">
        <v>654</v>
      </c>
      <c r="G195" t="s">
        <v>654</v>
      </c>
      <c r="H195" t="s">
        <v>6267</v>
      </c>
      <c r="I195">
        <v>11500</v>
      </c>
      <c r="J195" t="s">
        <v>4</v>
      </c>
      <c r="K195" t="s">
        <v>4</v>
      </c>
      <c r="L195">
        <v>200</v>
      </c>
      <c r="M195">
        <v>1</v>
      </c>
      <c r="N195" t="s">
        <v>12</v>
      </c>
      <c r="O195" t="s">
        <v>4</v>
      </c>
      <c r="P195" t="s">
        <v>12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12</v>
      </c>
      <c r="Z195" t="s">
        <v>4</v>
      </c>
      <c r="AA195" t="s">
        <v>12</v>
      </c>
      <c r="AB195" t="s">
        <v>6268</v>
      </c>
      <c r="AC195" t="s">
        <v>6</v>
      </c>
      <c r="AD195" t="s">
        <v>4754</v>
      </c>
      <c r="AE195" t="s">
        <v>7</v>
      </c>
      <c r="AF195" t="s">
        <v>4</v>
      </c>
      <c r="AG195" t="s">
        <v>4</v>
      </c>
      <c r="AH195" t="s">
        <v>6269</v>
      </c>
      <c r="AI195" t="s">
        <v>753</v>
      </c>
      <c r="AJ195" t="s">
        <v>4</v>
      </c>
      <c r="AK195">
        <v>9331029329</v>
      </c>
      <c r="AL195" t="s">
        <v>6270</v>
      </c>
      <c r="AM195" t="s">
        <v>6271</v>
      </c>
      <c r="AN195" t="s">
        <v>12</v>
      </c>
      <c r="AO195" t="s">
        <v>6118</v>
      </c>
      <c r="AP195" t="s">
        <v>4</v>
      </c>
      <c r="AQ195" t="s">
        <v>4767</v>
      </c>
      <c r="AR195" t="s">
        <v>12</v>
      </c>
      <c r="AS195" t="s">
        <v>12</v>
      </c>
      <c r="AT195" t="s">
        <v>4</v>
      </c>
      <c r="AU195" t="s">
        <v>4</v>
      </c>
      <c r="AV195" t="s">
        <v>4</v>
      </c>
      <c r="AW195" t="s">
        <v>11</v>
      </c>
      <c r="AX195">
        <v>10600</v>
      </c>
      <c r="AY195">
        <v>900</v>
      </c>
      <c r="AZ195" t="s">
        <v>12</v>
      </c>
      <c r="BA195" t="s">
        <v>12</v>
      </c>
      <c r="BB195" t="s">
        <v>4</v>
      </c>
      <c r="BC195" t="s">
        <v>1134</v>
      </c>
      <c r="BD195" t="s">
        <v>5793</v>
      </c>
      <c r="BE195" t="s">
        <v>4</v>
      </c>
      <c r="BF195" t="s">
        <v>12</v>
      </c>
      <c r="BG195" t="s">
        <v>4</v>
      </c>
      <c r="BH195" t="s">
        <v>12</v>
      </c>
      <c r="BI195" t="s">
        <v>12</v>
      </c>
      <c r="BJ195" t="s">
        <v>753</v>
      </c>
      <c r="BK195" t="s">
        <v>4</v>
      </c>
      <c r="BL195">
        <v>0</v>
      </c>
      <c r="BM195" t="s">
        <v>12</v>
      </c>
      <c r="BN195">
        <v>11500</v>
      </c>
      <c r="BO195" t="s">
        <v>12</v>
      </c>
      <c r="BP195" t="s">
        <v>12</v>
      </c>
      <c r="BQ195" t="s">
        <v>12</v>
      </c>
      <c r="BR195" t="s">
        <v>4</v>
      </c>
      <c r="BS195" t="s">
        <v>4</v>
      </c>
      <c r="BT195" t="s">
        <v>4</v>
      </c>
      <c r="BU195" t="s">
        <v>12</v>
      </c>
      <c r="BV195" t="s">
        <v>4</v>
      </c>
      <c r="BW195" t="s">
        <v>3</v>
      </c>
      <c r="BX195" t="s">
        <v>4</v>
      </c>
      <c r="BY195" t="s">
        <v>12</v>
      </c>
      <c r="BZ195" t="s">
        <v>12</v>
      </c>
      <c r="CA195" t="s">
        <v>12</v>
      </c>
      <c r="CB195" t="s">
        <v>1074</v>
      </c>
      <c r="CC195" t="s">
        <v>12</v>
      </c>
      <c r="CD195" t="str" cm="1">
        <f t="array" aca="1" ref="CD195" ca="1">eConcatenar(A195:CB195,"|")</f>
        <v>tXfeQiTtxqd0yI85|PAR2017-4236|3|ECONOLINE|TABASCO|PARAISO|PARAISO|2017-11-23|11500|X|X|200|1|x|X|x|X|X|X|X|X|X|X|X|x|X|x|CARRETA |DE LA CRUZ|RIGOBERTO|CASADO  |X|X|CALLE 27 DE FEBRERO NUMERO 14 INTERIOR|VILLA PUERTO CEIBA|X|9331029329|MERCEDES DE LA CRUZ AREVALOS|BENEFICIARIO 2: CIRENE DEL C GERONIMO LEON|x|RUTA 4 M|X|MIERCOLES |x|x|X|X|X|DOMICILIO|10600|900|x|x|X|2021-9-22|2021-10-06|X|x|X|x|x|VILLA PUERTO CEIBA|X|0|x|11500|x|x|x|X|X|X|x|X|CARDENAS|X|x|x|x|final</v>
      </c>
    </row>
    <row r="196" spans="1:82" x14ac:dyDescent="0.25">
      <c r="A196" t="s">
        <v>6272</v>
      </c>
      <c r="B196" t="s">
        <v>6273</v>
      </c>
      <c r="C196">
        <v>3</v>
      </c>
      <c r="D196" t="s">
        <v>194</v>
      </c>
      <c r="E196" t="s">
        <v>2</v>
      </c>
      <c r="F196" t="s">
        <v>722</v>
      </c>
      <c r="G196" t="s">
        <v>722</v>
      </c>
      <c r="H196" t="s">
        <v>6274</v>
      </c>
      <c r="I196">
        <v>12900</v>
      </c>
      <c r="J196" t="s">
        <v>4</v>
      </c>
      <c r="K196" t="s">
        <v>4</v>
      </c>
      <c r="L196">
        <v>200</v>
      </c>
      <c r="M196">
        <v>1</v>
      </c>
      <c r="N196" t="s">
        <v>12</v>
      </c>
      <c r="O196" t="s">
        <v>4</v>
      </c>
      <c r="P196" t="s">
        <v>12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12</v>
      </c>
      <c r="Z196" t="s">
        <v>4</v>
      </c>
      <c r="AA196" t="s">
        <v>12</v>
      </c>
      <c r="AB196" t="s">
        <v>36</v>
      </c>
      <c r="AC196" t="s">
        <v>551</v>
      </c>
      <c r="AD196" t="s">
        <v>6275</v>
      </c>
      <c r="AE196" t="s">
        <v>29</v>
      </c>
      <c r="AF196" t="s">
        <v>4</v>
      </c>
      <c r="AG196" t="s">
        <v>4</v>
      </c>
      <c r="AH196" t="s">
        <v>6276</v>
      </c>
      <c r="AI196" t="s">
        <v>2212</v>
      </c>
      <c r="AJ196" t="s">
        <v>5316</v>
      </c>
      <c r="AK196">
        <v>9331670038</v>
      </c>
      <c r="AL196" t="s">
        <v>6277</v>
      </c>
      <c r="AM196" t="s">
        <v>6278</v>
      </c>
      <c r="AN196" t="s">
        <v>12</v>
      </c>
      <c r="AO196" t="s">
        <v>6118</v>
      </c>
      <c r="AP196" t="s">
        <v>4</v>
      </c>
      <c r="AQ196" t="s">
        <v>4767</v>
      </c>
      <c r="AR196" t="s">
        <v>12</v>
      </c>
      <c r="AS196" t="s">
        <v>12</v>
      </c>
      <c r="AT196" t="s">
        <v>4</v>
      </c>
      <c r="AU196" t="s">
        <v>4</v>
      </c>
      <c r="AV196" t="s">
        <v>4</v>
      </c>
      <c r="AW196" t="s">
        <v>11</v>
      </c>
      <c r="AX196">
        <v>8100</v>
      </c>
      <c r="AY196">
        <v>4800</v>
      </c>
      <c r="AZ196" t="s">
        <v>12</v>
      </c>
      <c r="BA196" t="s">
        <v>12</v>
      </c>
      <c r="BB196" t="s">
        <v>4</v>
      </c>
      <c r="BC196" t="s">
        <v>1134</v>
      </c>
      <c r="BD196" t="s">
        <v>5793</v>
      </c>
      <c r="BE196" t="s">
        <v>4</v>
      </c>
      <c r="BF196" t="s">
        <v>12</v>
      </c>
      <c r="BG196" t="s">
        <v>4</v>
      </c>
      <c r="BH196" t="s">
        <v>12</v>
      </c>
      <c r="BI196" t="s">
        <v>12</v>
      </c>
      <c r="BJ196" t="s">
        <v>5898</v>
      </c>
      <c r="BK196" t="s">
        <v>4</v>
      </c>
      <c r="BL196">
        <v>1</v>
      </c>
      <c r="BM196" t="s">
        <v>12</v>
      </c>
      <c r="BN196">
        <v>12900</v>
      </c>
      <c r="BO196" t="s">
        <v>12</v>
      </c>
      <c r="BP196" t="s">
        <v>12</v>
      </c>
      <c r="BQ196" t="s">
        <v>12</v>
      </c>
      <c r="BR196" t="s">
        <v>4</v>
      </c>
      <c r="BS196" t="s">
        <v>4</v>
      </c>
      <c r="BT196" t="s">
        <v>4</v>
      </c>
      <c r="BU196" t="s">
        <v>12</v>
      </c>
      <c r="BV196" t="s">
        <v>4</v>
      </c>
      <c r="BW196" t="s">
        <v>3</v>
      </c>
      <c r="BX196" t="s">
        <v>4</v>
      </c>
      <c r="BY196" t="s">
        <v>12</v>
      </c>
      <c r="BZ196" t="s">
        <v>12</v>
      </c>
      <c r="CA196" t="s">
        <v>12</v>
      </c>
      <c r="CB196" t="s">
        <v>1074</v>
      </c>
      <c r="CC196" t="s">
        <v>12</v>
      </c>
      <c r="CD196" t="str" cm="1">
        <f t="array" aca="1" ref="CD196" ca="1">eConcatenar(A196:CB196,"|")</f>
        <v>m5MOrK054P7uzNVW|COM2018-1175|3|ECONOLINE|TABASCO|COMALCALCO|COMALCALCO|2018-7-10|12900|X|X|200|1|x|X|x|X|X|X|X|X|X|X|X|x|X|x|HERNANDEZ|TRINIDAD|ROSAURA|CASADA|X|X|ENTRADA DEL PAVO REAL|OCCIDENTE PRIMERA SECCION |CARRETERA VECINAL COMALCALCO PARAISO|9331670038|DIANA MORALES HERNANDEZ|BENEFICIARIO 2: PABLO MORALES JIMENEZ|x|RUTA 4 M|X|MIERCOLES |x|x|X|X|X|DOMICILIO|8100|4800|x|x|X|2021-9-22|2021-10-06|X|x|X|x|x|OCCIDENTE PRIMERA SECCION|X|1|x|12900|x|x|x|X|X|X|x|X|CARDENAS|X|x|x|x|final</v>
      </c>
    </row>
    <row r="197" spans="1:82" x14ac:dyDescent="0.25">
      <c r="A197" t="s">
        <v>6279</v>
      </c>
      <c r="B197" t="s">
        <v>6280</v>
      </c>
      <c r="C197">
        <v>3</v>
      </c>
      <c r="D197" t="s">
        <v>194</v>
      </c>
      <c r="E197" t="s">
        <v>2</v>
      </c>
      <c r="F197" t="s">
        <v>722</v>
      </c>
      <c r="G197" t="s">
        <v>722</v>
      </c>
      <c r="H197" t="s">
        <v>6281</v>
      </c>
      <c r="I197">
        <v>12900</v>
      </c>
      <c r="J197" t="s">
        <v>4</v>
      </c>
      <c r="K197" t="s">
        <v>4</v>
      </c>
      <c r="L197">
        <v>100</v>
      </c>
      <c r="M197">
        <v>0</v>
      </c>
      <c r="N197" t="s">
        <v>12</v>
      </c>
      <c r="O197" t="s">
        <v>4</v>
      </c>
      <c r="P197" t="s">
        <v>12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12</v>
      </c>
      <c r="Z197" t="s">
        <v>4</v>
      </c>
      <c r="AA197" t="s">
        <v>12</v>
      </c>
      <c r="AB197" t="s">
        <v>36</v>
      </c>
      <c r="AC197" t="s">
        <v>960</v>
      </c>
      <c r="AD197" t="s">
        <v>6282</v>
      </c>
      <c r="AE197" t="s">
        <v>29</v>
      </c>
      <c r="AF197" t="s">
        <v>4</v>
      </c>
      <c r="AG197" t="s">
        <v>4</v>
      </c>
      <c r="AH197" t="s">
        <v>5316</v>
      </c>
      <c r="AI197" t="s">
        <v>2212</v>
      </c>
      <c r="AJ197" t="s">
        <v>4</v>
      </c>
      <c r="AK197">
        <v>9331239258</v>
      </c>
      <c r="AL197" t="s">
        <v>6283</v>
      </c>
      <c r="AM197" t="s">
        <v>6284</v>
      </c>
      <c r="AN197" t="s">
        <v>12</v>
      </c>
      <c r="AO197" t="s">
        <v>6118</v>
      </c>
      <c r="AP197" t="s">
        <v>4</v>
      </c>
      <c r="AQ197" t="s">
        <v>4767</v>
      </c>
      <c r="AR197" t="s">
        <v>12</v>
      </c>
      <c r="AS197" t="s">
        <v>12</v>
      </c>
      <c r="AT197" t="s">
        <v>4</v>
      </c>
      <c r="AU197" t="s">
        <v>4</v>
      </c>
      <c r="AV197" t="s">
        <v>4</v>
      </c>
      <c r="AW197" t="s">
        <v>11</v>
      </c>
      <c r="AX197">
        <v>8350</v>
      </c>
      <c r="AY197">
        <v>4550</v>
      </c>
      <c r="AZ197" t="s">
        <v>12</v>
      </c>
      <c r="BA197" t="s">
        <v>12</v>
      </c>
      <c r="BB197" t="s">
        <v>4</v>
      </c>
      <c r="BC197" t="s">
        <v>1134</v>
      </c>
      <c r="BD197" t="s">
        <v>5802</v>
      </c>
      <c r="BE197" t="s">
        <v>4</v>
      </c>
      <c r="BF197" t="s">
        <v>12</v>
      </c>
      <c r="BG197" t="s">
        <v>4</v>
      </c>
      <c r="BH197" t="s">
        <v>12</v>
      </c>
      <c r="BI197" t="s">
        <v>12</v>
      </c>
      <c r="BJ197" t="s">
        <v>5898</v>
      </c>
      <c r="BK197" t="s">
        <v>4</v>
      </c>
      <c r="BL197">
        <v>1</v>
      </c>
      <c r="BM197" t="s">
        <v>12</v>
      </c>
      <c r="BN197">
        <v>12900</v>
      </c>
      <c r="BO197" t="s">
        <v>12</v>
      </c>
      <c r="BP197" t="s">
        <v>12</v>
      </c>
      <c r="BQ197" t="s">
        <v>12</v>
      </c>
      <c r="BR197" t="s">
        <v>4</v>
      </c>
      <c r="BS197" t="s">
        <v>4</v>
      </c>
      <c r="BT197" t="s">
        <v>4</v>
      </c>
      <c r="BU197" t="s">
        <v>12</v>
      </c>
      <c r="BV197" t="s">
        <v>4</v>
      </c>
      <c r="BW197" t="s">
        <v>3</v>
      </c>
      <c r="BX197" t="s">
        <v>4</v>
      </c>
      <c r="BY197" t="s">
        <v>12</v>
      </c>
      <c r="BZ197" t="s">
        <v>12</v>
      </c>
      <c r="CA197" t="s">
        <v>12</v>
      </c>
      <c r="CB197" t="s">
        <v>1074</v>
      </c>
      <c r="CC197" t="s">
        <v>12</v>
      </c>
      <c r="CD197" t="str" cm="1">
        <f t="array" aca="1" ref="CD197" ca="1">eConcatenar(A197:CB197,"|")</f>
        <v>rNtzBpshgTMTTjK4|COM2018-0787|3|ECONOLINE|TABASCO|COMALCALCO|COMALCALCO|2018-6-01|12900|X|X|100|0|x|X|x|X|X|X|X|X|X|X|X|x|X|x|HERNANDEZ|FUENTES|SELFA|CASADA|X|X|CARRETERA VECINAL COMALCALCO PARAISO|OCCIDENTE PRIMERA SECCION |X|9331239258|ELI HERNANDEZ FUENTES|BENEFICIARIO 2: JOVANNA HERNANDEZ HERNANDEZ|x|RUTA 4 M|X|MIERCOLES |x|x|X|X|X|DOMICILIO|8350|4550|x|x|X|2021-9-22|2021-9-29|X|x|X|x|x|OCCIDENTE PRIMERA SECCION|X|1|x|12900|x|x|x|X|X|X|x|X|CARDENAS|X|x|x|x|final</v>
      </c>
    </row>
    <row r="198" spans="1:82" x14ac:dyDescent="0.25">
      <c r="A198" t="s">
        <v>6285</v>
      </c>
      <c r="B198" t="s">
        <v>6286</v>
      </c>
      <c r="C198">
        <v>3</v>
      </c>
      <c r="D198" t="s">
        <v>194</v>
      </c>
      <c r="E198" t="s">
        <v>2</v>
      </c>
      <c r="F198" t="s">
        <v>654</v>
      </c>
      <c r="G198" t="s">
        <v>654</v>
      </c>
      <c r="H198" t="s">
        <v>6287</v>
      </c>
      <c r="I198">
        <v>12900</v>
      </c>
      <c r="J198" t="s">
        <v>4</v>
      </c>
      <c r="K198" t="s">
        <v>4</v>
      </c>
      <c r="L198">
        <v>100</v>
      </c>
      <c r="M198">
        <v>0</v>
      </c>
      <c r="N198" t="s">
        <v>12</v>
      </c>
      <c r="O198" t="s">
        <v>4</v>
      </c>
      <c r="P198" t="s">
        <v>12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12</v>
      </c>
      <c r="Z198" t="s">
        <v>4</v>
      </c>
      <c r="AA198" t="s">
        <v>12</v>
      </c>
      <c r="AB198" t="s">
        <v>80</v>
      </c>
      <c r="AC198" t="s">
        <v>160</v>
      </c>
      <c r="AD198" t="s">
        <v>4778</v>
      </c>
      <c r="AE198" t="s">
        <v>24</v>
      </c>
      <c r="AF198" t="s">
        <v>4</v>
      </c>
      <c r="AG198" t="s">
        <v>4</v>
      </c>
      <c r="AH198" t="s">
        <v>6288</v>
      </c>
      <c r="AI198" t="s">
        <v>6065</v>
      </c>
      <c r="AJ198" t="s">
        <v>5316</v>
      </c>
      <c r="AK198">
        <v>9331043471</v>
      </c>
      <c r="AL198" t="s">
        <v>6289</v>
      </c>
      <c r="AM198" t="s">
        <v>6290</v>
      </c>
      <c r="AN198" t="s">
        <v>12</v>
      </c>
      <c r="AO198" t="s">
        <v>6118</v>
      </c>
      <c r="AP198" t="s">
        <v>4</v>
      </c>
      <c r="AQ198" t="s">
        <v>4767</v>
      </c>
      <c r="AR198" t="s">
        <v>12</v>
      </c>
      <c r="AS198" t="s">
        <v>12</v>
      </c>
      <c r="AT198" t="s">
        <v>4</v>
      </c>
      <c r="AU198" t="s">
        <v>4</v>
      </c>
      <c r="AV198" t="s">
        <v>4</v>
      </c>
      <c r="AW198" t="s">
        <v>11</v>
      </c>
      <c r="AX198">
        <v>11600</v>
      </c>
      <c r="AY198">
        <v>1300</v>
      </c>
      <c r="AZ198" t="s">
        <v>12</v>
      </c>
      <c r="BA198" t="s">
        <v>12</v>
      </c>
      <c r="BB198" t="s">
        <v>4</v>
      </c>
      <c r="BC198" t="s">
        <v>1134</v>
      </c>
      <c r="BD198" t="s">
        <v>5802</v>
      </c>
      <c r="BE198" t="s">
        <v>4</v>
      </c>
      <c r="BF198" t="s">
        <v>12</v>
      </c>
      <c r="BG198" t="s">
        <v>4</v>
      </c>
      <c r="BH198" t="s">
        <v>12</v>
      </c>
      <c r="BI198" t="s">
        <v>12</v>
      </c>
      <c r="BJ198" t="s">
        <v>2020</v>
      </c>
      <c r="BK198" t="s">
        <v>4</v>
      </c>
      <c r="BL198">
        <v>1</v>
      </c>
      <c r="BM198" t="s">
        <v>12</v>
      </c>
      <c r="BN198">
        <v>12900</v>
      </c>
      <c r="BO198" t="s">
        <v>12</v>
      </c>
      <c r="BP198" t="s">
        <v>12</v>
      </c>
      <c r="BQ198" t="s">
        <v>12</v>
      </c>
      <c r="BR198" t="s">
        <v>4</v>
      </c>
      <c r="BS198" t="s">
        <v>4</v>
      </c>
      <c r="BT198" t="s">
        <v>4</v>
      </c>
      <c r="BU198" t="s">
        <v>12</v>
      </c>
      <c r="BV198" t="s">
        <v>4</v>
      </c>
      <c r="BW198" t="s">
        <v>3</v>
      </c>
      <c r="BX198" t="s">
        <v>4</v>
      </c>
      <c r="BY198" t="s">
        <v>12</v>
      </c>
      <c r="BZ198" t="s">
        <v>12</v>
      </c>
      <c r="CA198" t="s">
        <v>12</v>
      </c>
      <c r="CB198" t="s">
        <v>1074</v>
      </c>
      <c r="CC198" t="s">
        <v>12</v>
      </c>
      <c r="CD198" t="str" cm="1">
        <f t="array" aca="1" ref="CD198" ca="1">eConcatenar(A198:CB198,"|")</f>
        <v>DoXWtFMNuYUDrdOD|PAR2018-0742|3|ECONOLINE|TABASCO|PARAISO|PARAISO|2018-5-24|12900|X|X|100|0|x|X|x|X|X|X|X|X|X|X|X|x|X|x|LOPEZ|ALEJANDRO|LEONOR|UNION LIBRE|X|X|ENTRADA LOS LOPEZ SIN NUMERO|MOCTEZUMA SEGUNDA SECCION|CARRETERA VECINAL COMALCALCO PARAISO|9331043471|BAIRON ENRIQUE GUILLEN DOMINGUEZ|BENEFICIARIO 2: LILIANA CRISTEL GUILLEN LOPEZ|x|RUTA 4 M|X|MIERCOLES |x|x|X|X|X|DOMICILIO|11600|1300|x|x|X|2021-9-22|2021-9-29|X|x|X|x|x|MOCTEZUMA SEGUNDA SECCION |X|1|x|12900|x|x|x|X|X|X|x|X|CARDENAS|X|x|x|x|final</v>
      </c>
    </row>
    <row r="199" spans="1:82" x14ac:dyDescent="0.25">
      <c r="A199" t="s">
        <v>6291</v>
      </c>
      <c r="B199" t="s">
        <v>6292</v>
      </c>
      <c r="C199">
        <v>3</v>
      </c>
      <c r="D199" t="s">
        <v>14</v>
      </c>
      <c r="E199" t="s">
        <v>2</v>
      </c>
      <c r="F199" t="s">
        <v>654</v>
      </c>
      <c r="G199" t="s">
        <v>654</v>
      </c>
      <c r="H199" t="s">
        <v>5786</v>
      </c>
      <c r="I199">
        <v>19800</v>
      </c>
      <c r="J199" t="s">
        <v>4</v>
      </c>
      <c r="K199" t="s">
        <v>4</v>
      </c>
      <c r="L199">
        <v>100</v>
      </c>
      <c r="M199">
        <v>0</v>
      </c>
      <c r="N199" t="s">
        <v>12</v>
      </c>
      <c r="O199" t="s">
        <v>4</v>
      </c>
      <c r="P199" t="s">
        <v>12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12</v>
      </c>
      <c r="Z199" t="s">
        <v>4</v>
      </c>
      <c r="AA199" t="s">
        <v>12</v>
      </c>
      <c r="AB199" t="s">
        <v>6</v>
      </c>
      <c r="AC199" t="s">
        <v>47</v>
      </c>
      <c r="AD199" t="s">
        <v>605</v>
      </c>
      <c r="AE199" t="s">
        <v>59</v>
      </c>
      <c r="AF199" t="s">
        <v>4</v>
      </c>
      <c r="AG199" t="s">
        <v>4</v>
      </c>
      <c r="AH199" t="s">
        <v>6293</v>
      </c>
      <c r="AI199" t="s">
        <v>6294</v>
      </c>
      <c r="AJ199" t="s">
        <v>5316</v>
      </c>
      <c r="AK199">
        <v>9331588810</v>
      </c>
      <c r="AL199" t="s">
        <v>6295</v>
      </c>
      <c r="AM199" t="s">
        <v>6296</v>
      </c>
      <c r="AN199" t="s">
        <v>12</v>
      </c>
      <c r="AO199" t="s">
        <v>6118</v>
      </c>
      <c r="AP199" t="s">
        <v>4</v>
      </c>
      <c r="AQ199" t="s">
        <v>4767</v>
      </c>
      <c r="AR199" t="s">
        <v>12</v>
      </c>
      <c r="AS199" t="s">
        <v>12</v>
      </c>
      <c r="AT199" t="s">
        <v>4</v>
      </c>
      <c r="AU199" t="s">
        <v>4</v>
      </c>
      <c r="AV199" t="s">
        <v>4</v>
      </c>
      <c r="AW199" t="s">
        <v>11</v>
      </c>
      <c r="AX199">
        <v>18800</v>
      </c>
      <c r="AY199">
        <v>1000</v>
      </c>
      <c r="AZ199" t="s">
        <v>12</v>
      </c>
      <c r="BA199" t="s">
        <v>12</v>
      </c>
      <c r="BB199" t="s">
        <v>4</v>
      </c>
      <c r="BC199" t="s">
        <v>1134</v>
      </c>
      <c r="BD199" t="s">
        <v>5802</v>
      </c>
      <c r="BE199" t="s">
        <v>4</v>
      </c>
      <c r="BF199" t="s">
        <v>12</v>
      </c>
      <c r="BG199" t="s">
        <v>4</v>
      </c>
      <c r="BH199" t="s">
        <v>12</v>
      </c>
      <c r="BI199" t="s">
        <v>12</v>
      </c>
      <c r="BJ199" t="s">
        <v>1761</v>
      </c>
      <c r="BK199" t="s">
        <v>4</v>
      </c>
      <c r="BL199">
        <v>0</v>
      </c>
      <c r="BM199" t="s">
        <v>12</v>
      </c>
      <c r="BN199">
        <v>19800</v>
      </c>
      <c r="BO199" t="s">
        <v>12</v>
      </c>
      <c r="BP199" t="s">
        <v>12</v>
      </c>
      <c r="BQ199" t="s">
        <v>12</v>
      </c>
      <c r="BR199" t="s">
        <v>4</v>
      </c>
      <c r="BS199" t="s">
        <v>4</v>
      </c>
      <c r="BT199" t="s">
        <v>4</v>
      </c>
      <c r="BU199" t="s">
        <v>12</v>
      </c>
      <c r="BV199" t="s">
        <v>4</v>
      </c>
      <c r="BW199" t="s">
        <v>3</v>
      </c>
      <c r="BX199" t="s">
        <v>4</v>
      </c>
      <c r="BY199" t="s">
        <v>12</v>
      </c>
      <c r="BZ199" t="s">
        <v>12</v>
      </c>
      <c r="CA199" t="s">
        <v>12</v>
      </c>
      <c r="CB199" t="s">
        <v>1074</v>
      </c>
      <c r="CC199" t="s">
        <v>12</v>
      </c>
      <c r="CD199" t="str" cm="1">
        <f t="array" aca="1" ref="CD199" ca="1">eConcatenar(A199:CB199,"|")</f>
        <v>xp0qUK5DVGsfsHJC|PAR2018-0124|3|ZAFIRO|TABASCO|PARAISO|PARAISO|2018-1-19|19800|X|X|100|0|x|X|x|X|X|X|X|X|X|X|X|x|X|x|DE LA CRUZ|SANCHEZ|MARIO|CASADO|X|X|CALLE LUIS DOMINGUEZ VARGAS SIN NUMERO|POBLADO FRANCISCO I MADERO|CARRETERA VECINAL COMALCALCO PARAISO|9331588810|MIRIAN DE LA CRUZ PEREZ|BENEFICIARIO 2: JOSEFINA RUIZ CHABLE|x|RUTA 4 M|X|MIERCOLES |x|x|X|X|X|DOMICILIO|18800|1000|x|x|X|2021-9-22|2021-9-29|X|x|X|x|x|FRANCISCO I MADERO |X|0|x|19800|x|x|x|X|X|X|x|X|CARDENAS|X|x|x|x|final</v>
      </c>
    </row>
    <row r="200" spans="1:82" x14ac:dyDescent="0.25">
      <c r="A200" t="s">
        <v>6297</v>
      </c>
      <c r="B200" t="s">
        <v>6298</v>
      </c>
      <c r="C200">
        <v>3</v>
      </c>
      <c r="D200" t="s">
        <v>376</v>
      </c>
      <c r="E200" t="s">
        <v>2</v>
      </c>
      <c r="F200" t="s">
        <v>722</v>
      </c>
      <c r="G200" t="s">
        <v>722</v>
      </c>
      <c r="H200" t="s">
        <v>4768</v>
      </c>
      <c r="I200">
        <v>14800</v>
      </c>
      <c r="J200" t="s">
        <v>4</v>
      </c>
      <c r="K200" t="s">
        <v>4</v>
      </c>
      <c r="L200">
        <v>100</v>
      </c>
      <c r="M200">
        <v>0</v>
      </c>
      <c r="N200" t="s">
        <v>12</v>
      </c>
      <c r="O200" t="s">
        <v>4</v>
      </c>
      <c r="P200" t="s">
        <v>12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12</v>
      </c>
      <c r="Z200" t="s">
        <v>4</v>
      </c>
      <c r="AA200" t="s">
        <v>12</v>
      </c>
      <c r="AB200" t="s">
        <v>47</v>
      </c>
      <c r="AC200" t="s">
        <v>6299</v>
      </c>
      <c r="AD200" t="s">
        <v>6300</v>
      </c>
      <c r="AE200" t="s">
        <v>24</v>
      </c>
      <c r="AF200" t="s">
        <v>4</v>
      </c>
      <c r="AG200" t="s">
        <v>4</v>
      </c>
      <c r="AH200" t="s">
        <v>5316</v>
      </c>
      <c r="AI200" t="s">
        <v>2212</v>
      </c>
      <c r="AJ200" t="s">
        <v>6301</v>
      </c>
      <c r="AK200">
        <v>9331021912</v>
      </c>
      <c r="AL200" t="s">
        <v>6302</v>
      </c>
      <c r="AM200" t="s">
        <v>6303</v>
      </c>
      <c r="AN200" t="s">
        <v>12</v>
      </c>
      <c r="AO200" t="s">
        <v>6118</v>
      </c>
      <c r="AP200" t="s">
        <v>4</v>
      </c>
      <c r="AQ200" t="s">
        <v>4767</v>
      </c>
      <c r="AR200" t="s">
        <v>12</v>
      </c>
      <c r="AS200" t="s">
        <v>12</v>
      </c>
      <c r="AT200" t="s">
        <v>4</v>
      </c>
      <c r="AU200" t="s">
        <v>4</v>
      </c>
      <c r="AV200" t="s">
        <v>4</v>
      </c>
      <c r="AW200" t="s">
        <v>11</v>
      </c>
      <c r="AX200">
        <v>700</v>
      </c>
      <c r="AY200">
        <v>14100</v>
      </c>
      <c r="AZ200" t="s">
        <v>12</v>
      </c>
      <c r="BA200" t="s">
        <v>12</v>
      </c>
      <c r="BB200" t="s">
        <v>4</v>
      </c>
      <c r="BC200" t="s">
        <v>1134</v>
      </c>
      <c r="BD200" t="s">
        <v>5802</v>
      </c>
      <c r="BE200" t="s">
        <v>4</v>
      </c>
      <c r="BF200" t="s">
        <v>12</v>
      </c>
      <c r="BG200" t="s">
        <v>4</v>
      </c>
      <c r="BH200" t="s">
        <v>12</v>
      </c>
      <c r="BI200" t="s">
        <v>12</v>
      </c>
      <c r="BJ200" t="s">
        <v>5898</v>
      </c>
      <c r="BK200" t="s">
        <v>4</v>
      </c>
      <c r="BL200">
        <v>1</v>
      </c>
      <c r="BM200" t="s">
        <v>12</v>
      </c>
      <c r="BN200">
        <v>14800</v>
      </c>
      <c r="BO200" t="s">
        <v>12</v>
      </c>
      <c r="BP200" t="s">
        <v>12</v>
      </c>
      <c r="BQ200" t="s">
        <v>12</v>
      </c>
      <c r="BR200" t="s">
        <v>4</v>
      </c>
      <c r="BS200" t="s">
        <v>4</v>
      </c>
      <c r="BT200" t="s">
        <v>4</v>
      </c>
      <c r="BU200" t="s">
        <v>12</v>
      </c>
      <c r="BV200" t="s">
        <v>4</v>
      </c>
      <c r="BW200" t="s">
        <v>3</v>
      </c>
      <c r="BX200" t="s">
        <v>4</v>
      </c>
      <c r="BY200" t="s">
        <v>12</v>
      </c>
      <c r="BZ200" t="s">
        <v>12</v>
      </c>
      <c r="CA200" t="s">
        <v>12</v>
      </c>
      <c r="CB200" t="s">
        <v>1074</v>
      </c>
      <c r="CC200" t="s">
        <v>12</v>
      </c>
      <c r="CD200" t="str" cm="1">
        <f t="array" aca="1" ref="CD200" ca="1">eConcatenar(A200:CB200,"|")</f>
        <v>X5xJ4mzJFNzyux31|COM2021-2585|3|MEMORIAL |TABASCO|COMALCALCO|COMALCALCO|2021-8-12|14800|X|X|100|0|x|X|x|X|X|X|X|X|X|X|X|x|X|x|SANCHEZ|RABANALES|FLOR DE MARIA|UNION LIBRE|X|X|CARRETERA VECINAL COMALCALCO PARAISO|OCCIDENTE PRIMERA SECCION |ENTRE AVENIDA LAZARO CARDENAS Y CALLE LA ESPERANZA|9331021912|JORGE MORALES DOMINGUEZ|BENEFICIARIO 2: LILIA YERELI SANCHEZ RABANALES|x|RUTA 4 M|X|MIERCOLES |x|x|X|X|X|DOMICILIO|700|14100|x|x|X|2021-9-22|2021-9-29|X|x|X|x|x|OCCIDENTE PRIMERA SECCION|X|1|x|14800|x|x|x|X|X|X|x|X|CARDENAS|X|x|x|x|final</v>
      </c>
    </row>
    <row r="201" spans="1:82" x14ac:dyDescent="0.25">
      <c r="A201" t="s">
        <v>6304</v>
      </c>
      <c r="B201" t="s">
        <v>6305</v>
      </c>
      <c r="C201">
        <v>3</v>
      </c>
      <c r="D201" t="s">
        <v>376</v>
      </c>
      <c r="E201" t="s">
        <v>2</v>
      </c>
      <c r="F201" t="s">
        <v>654</v>
      </c>
      <c r="G201" t="s">
        <v>654</v>
      </c>
      <c r="H201" t="s">
        <v>1102</v>
      </c>
      <c r="I201">
        <v>14800</v>
      </c>
      <c r="J201" t="s">
        <v>4</v>
      </c>
      <c r="K201" t="s">
        <v>4</v>
      </c>
      <c r="L201">
        <v>100</v>
      </c>
      <c r="M201">
        <v>0</v>
      </c>
      <c r="N201" t="s">
        <v>12</v>
      </c>
      <c r="O201" t="s">
        <v>4</v>
      </c>
      <c r="P201" t="s">
        <v>12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12</v>
      </c>
      <c r="Z201" t="s">
        <v>4</v>
      </c>
      <c r="AA201" t="s">
        <v>12</v>
      </c>
      <c r="AB201" t="s">
        <v>109</v>
      </c>
      <c r="AC201" t="s">
        <v>94</v>
      </c>
      <c r="AD201" t="s">
        <v>525</v>
      </c>
      <c r="AE201" t="s">
        <v>59</v>
      </c>
      <c r="AF201" t="s">
        <v>4</v>
      </c>
      <c r="AG201" t="s">
        <v>4</v>
      </c>
      <c r="AH201" t="s">
        <v>917</v>
      </c>
      <c r="AI201" t="s">
        <v>6306</v>
      </c>
      <c r="AJ201" t="s">
        <v>6307</v>
      </c>
      <c r="AK201">
        <v>9331398345</v>
      </c>
      <c r="AL201" t="s">
        <v>6308</v>
      </c>
      <c r="AM201" t="s">
        <v>6309</v>
      </c>
      <c r="AN201" t="s">
        <v>12</v>
      </c>
      <c r="AO201" t="s">
        <v>6118</v>
      </c>
      <c r="AP201" t="s">
        <v>4</v>
      </c>
      <c r="AQ201" t="s">
        <v>4767</v>
      </c>
      <c r="AR201" t="s">
        <v>12</v>
      </c>
      <c r="AS201" t="s">
        <v>12</v>
      </c>
      <c r="AT201" t="s">
        <v>4</v>
      </c>
      <c r="AU201" t="s">
        <v>4</v>
      </c>
      <c r="AV201" t="s">
        <v>4</v>
      </c>
      <c r="AW201" t="s">
        <v>11</v>
      </c>
      <c r="AX201">
        <v>1400</v>
      </c>
      <c r="AY201">
        <v>13400</v>
      </c>
      <c r="AZ201" t="s">
        <v>12</v>
      </c>
      <c r="BA201" t="s">
        <v>12</v>
      </c>
      <c r="BB201" t="s">
        <v>4</v>
      </c>
      <c r="BC201" t="s">
        <v>1134</v>
      </c>
      <c r="BD201" t="s">
        <v>5802</v>
      </c>
      <c r="BE201" t="s">
        <v>4</v>
      </c>
      <c r="BF201" t="s">
        <v>12</v>
      </c>
      <c r="BG201" t="s">
        <v>4</v>
      </c>
      <c r="BH201" t="s">
        <v>12</v>
      </c>
      <c r="BI201" t="s">
        <v>12</v>
      </c>
      <c r="BJ201" t="s">
        <v>906</v>
      </c>
      <c r="BK201" t="s">
        <v>4</v>
      </c>
      <c r="BL201">
        <v>0</v>
      </c>
      <c r="BM201" t="s">
        <v>12</v>
      </c>
      <c r="BN201">
        <v>14800</v>
      </c>
      <c r="BO201" t="s">
        <v>12</v>
      </c>
      <c r="BP201" t="s">
        <v>12</v>
      </c>
      <c r="BQ201" t="s">
        <v>12</v>
      </c>
      <c r="BR201" t="s">
        <v>4</v>
      </c>
      <c r="BS201" t="s">
        <v>4</v>
      </c>
      <c r="BT201" t="s">
        <v>4</v>
      </c>
      <c r="BU201" t="s">
        <v>12</v>
      </c>
      <c r="BV201" t="s">
        <v>4</v>
      </c>
      <c r="BW201" t="s">
        <v>3</v>
      </c>
      <c r="BX201" t="s">
        <v>4</v>
      </c>
      <c r="BY201" t="s">
        <v>12</v>
      </c>
      <c r="BZ201" t="s">
        <v>12</v>
      </c>
      <c r="CA201" t="s">
        <v>12</v>
      </c>
      <c r="CB201" t="s">
        <v>1074</v>
      </c>
      <c r="CC201" t="s">
        <v>12</v>
      </c>
      <c r="CD201" t="str" cm="1">
        <f t="array" aca="1" ref="CD201" ca="1">eConcatenar(A201:CB201,"|")</f>
        <v>OU3KCGZy1rJdSUR3|PAR2021-2199|3|MEMORIAL |TABASCO|PARAISO|PARAISO|2021-6-29|14800|X|X|100|0|x|X|x|X|X|X|X|X|X|X|X|x|X|x|PEREZ|GOMEZ|MOISES|CASADO|X|X|CALLE LOS PESCADORES SIN NUMERO|EJIDO PUERTO CAIBA CARRIZAL|ENTRE CALLE PRINCIPAL Y CALLE LOS PESCADORES|9331398345|YOLANDA MARIA DE LA CRUZ PEREZ|BENEFICIARIO 2: STEPHANYE PEREZ DE LA CRUZ|x|RUTA 4 M|X|MIERCOLES |x|x|X|X|X|DOMICILIO|1400|13400|x|x|X|2021-9-22|2021-9-29|X|x|X|x|x|PUERTO CEIBA CARRIZAL |X|0|x|14800|x|x|x|X|X|X|x|X|CARDENAS|X|x|x|x|final</v>
      </c>
    </row>
    <row r="202" spans="1:82" x14ac:dyDescent="0.25">
      <c r="A202" t="s">
        <v>6310</v>
      </c>
      <c r="B202" t="s">
        <v>6311</v>
      </c>
      <c r="C202">
        <v>3</v>
      </c>
      <c r="D202" t="s">
        <v>376</v>
      </c>
      <c r="E202" t="s">
        <v>2</v>
      </c>
      <c r="F202" t="s">
        <v>654</v>
      </c>
      <c r="G202" t="s">
        <v>654</v>
      </c>
      <c r="H202" t="s">
        <v>1101</v>
      </c>
      <c r="I202">
        <v>14800</v>
      </c>
      <c r="J202" t="s">
        <v>4</v>
      </c>
      <c r="K202" t="s">
        <v>4</v>
      </c>
      <c r="L202">
        <v>100</v>
      </c>
      <c r="M202">
        <v>0</v>
      </c>
      <c r="N202" t="s">
        <v>12</v>
      </c>
      <c r="O202" t="s">
        <v>4</v>
      </c>
      <c r="P202" t="s">
        <v>12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12</v>
      </c>
      <c r="Z202" t="s">
        <v>4</v>
      </c>
      <c r="AA202" t="s">
        <v>12</v>
      </c>
      <c r="AB202" t="s">
        <v>36</v>
      </c>
      <c r="AC202" t="s">
        <v>875</v>
      </c>
      <c r="AD202" t="s">
        <v>5537</v>
      </c>
      <c r="AE202" t="s">
        <v>59</v>
      </c>
      <c r="AF202" t="s">
        <v>4</v>
      </c>
      <c r="AG202" t="s">
        <v>4</v>
      </c>
      <c r="AH202" t="s">
        <v>6312</v>
      </c>
      <c r="AI202" t="s">
        <v>6313</v>
      </c>
      <c r="AJ202" t="s">
        <v>4</v>
      </c>
      <c r="AK202">
        <v>9331365362</v>
      </c>
      <c r="AL202" t="s">
        <v>6314</v>
      </c>
      <c r="AM202" t="s">
        <v>6315</v>
      </c>
      <c r="AN202" t="s">
        <v>12</v>
      </c>
      <c r="AO202" t="s">
        <v>6118</v>
      </c>
      <c r="AP202" t="s">
        <v>4</v>
      </c>
      <c r="AQ202" t="s">
        <v>4767</v>
      </c>
      <c r="AR202" t="s">
        <v>12</v>
      </c>
      <c r="AS202" t="s">
        <v>12</v>
      </c>
      <c r="AT202" t="s">
        <v>4</v>
      </c>
      <c r="AU202" t="s">
        <v>4</v>
      </c>
      <c r="AV202" t="s">
        <v>4</v>
      </c>
      <c r="AW202" t="s">
        <v>11</v>
      </c>
      <c r="AX202">
        <v>1550</v>
      </c>
      <c r="AY202">
        <v>13250</v>
      </c>
      <c r="AZ202" t="s">
        <v>12</v>
      </c>
      <c r="BA202" t="s">
        <v>12</v>
      </c>
      <c r="BB202" t="s">
        <v>4</v>
      </c>
      <c r="BC202" t="s">
        <v>1134</v>
      </c>
      <c r="BD202" t="s">
        <v>5802</v>
      </c>
      <c r="BE202" t="s">
        <v>4</v>
      </c>
      <c r="BF202" t="s">
        <v>12</v>
      </c>
      <c r="BG202" t="s">
        <v>4</v>
      </c>
      <c r="BH202" t="s">
        <v>12</v>
      </c>
      <c r="BI202" t="s">
        <v>12</v>
      </c>
      <c r="BJ202" t="s">
        <v>577</v>
      </c>
      <c r="BK202" t="s">
        <v>4</v>
      </c>
      <c r="BL202">
        <v>0</v>
      </c>
      <c r="BM202" t="s">
        <v>12</v>
      </c>
      <c r="BN202">
        <v>14800</v>
      </c>
      <c r="BO202" t="s">
        <v>12</v>
      </c>
      <c r="BP202" t="s">
        <v>12</v>
      </c>
      <c r="BQ202" t="s">
        <v>12</v>
      </c>
      <c r="BR202" t="s">
        <v>4</v>
      </c>
      <c r="BS202" t="s">
        <v>4</v>
      </c>
      <c r="BT202" t="s">
        <v>4</v>
      </c>
      <c r="BU202" t="s">
        <v>12</v>
      </c>
      <c r="BV202" t="s">
        <v>4</v>
      </c>
      <c r="BW202" t="s">
        <v>3</v>
      </c>
      <c r="BX202" t="s">
        <v>4</v>
      </c>
      <c r="BY202" t="s">
        <v>12</v>
      </c>
      <c r="BZ202" t="s">
        <v>12</v>
      </c>
      <c r="CA202" t="s">
        <v>12</v>
      </c>
      <c r="CB202" t="s">
        <v>1074</v>
      </c>
      <c r="CC202" t="s">
        <v>12</v>
      </c>
      <c r="CD202" t="str" cm="1">
        <f t="array" aca="1" ref="CD202" ca="1">eConcatenar(A202:CB202,"|")</f>
        <v>BL5XIhC4EQTSLYba|PAR2021-2145|3|MEMORIAL |TABASCO|PARAISO|PARAISO|2021-6-22|14800|X|X|100|0|x|X|x|X|X|X|X|X|X|X|X|x|X|x|HERNANDEZ|LAZARO|RAUL|CASADO|X|X|CARRETERA MONTE ADENTRO|EJIDO QUINTIN ARAUZ|X|9331365362|MARTHA ELENA GARCIA RODRIGUEZ|BENEFICIARIO 2: GRESIETHEL HERNANDEZ GARCIA|x|RUTA 4 M|X|MIERCOLES |x|x|X|X|X|DOMICILIO|1550|13250|x|x|X|2021-9-22|2021-9-29|X|x|X|x|x|QUINTIN ARAUZ|X|0|x|14800|x|x|x|X|X|X|x|X|CARDENAS|X|x|x|x|final</v>
      </c>
    </row>
    <row r="203" spans="1:82" x14ac:dyDescent="0.25">
      <c r="A203" t="s">
        <v>6316</v>
      </c>
      <c r="B203" t="s">
        <v>6317</v>
      </c>
      <c r="C203">
        <v>3</v>
      </c>
      <c r="D203" t="s">
        <v>376</v>
      </c>
      <c r="E203" t="s">
        <v>2</v>
      </c>
      <c r="F203" t="s">
        <v>654</v>
      </c>
      <c r="G203" t="s">
        <v>654</v>
      </c>
      <c r="H203" t="s">
        <v>1101</v>
      </c>
      <c r="I203">
        <v>14800</v>
      </c>
      <c r="J203" t="s">
        <v>4</v>
      </c>
      <c r="K203" t="s">
        <v>4</v>
      </c>
      <c r="L203">
        <v>100</v>
      </c>
      <c r="M203">
        <v>0</v>
      </c>
      <c r="N203" t="s">
        <v>12</v>
      </c>
      <c r="O203" t="s">
        <v>4</v>
      </c>
      <c r="P203" t="s">
        <v>12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12</v>
      </c>
      <c r="Z203" t="s">
        <v>4</v>
      </c>
      <c r="AA203" t="s">
        <v>12</v>
      </c>
      <c r="AB203" t="s">
        <v>74</v>
      </c>
      <c r="AC203" t="s">
        <v>116</v>
      </c>
      <c r="AD203" t="s">
        <v>6318</v>
      </c>
      <c r="AE203" t="s">
        <v>29</v>
      </c>
      <c r="AF203" t="s">
        <v>4</v>
      </c>
      <c r="AG203" t="s">
        <v>4</v>
      </c>
      <c r="AH203" t="s">
        <v>6312</v>
      </c>
      <c r="AI203" t="s">
        <v>6319</v>
      </c>
      <c r="AJ203" t="s">
        <v>4</v>
      </c>
      <c r="AK203">
        <v>9331076129</v>
      </c>
      <c r="AL203" t="s">
        <v>6320</v>
      </c>
      <c r="AM203" t="s">
        <v>6315</v>
      </c>
      <c r="AN203" t="s">
        <v>12</v>
      </c>
      <c r="AO203" t="s">
        <v>6118</v>
      </c>
      <c r="AP203" t="s">
        <v>4</v>
      </c>
      <c r="AQ203" t="s">
        <v>4767</v>
      </c>
      <c r="AR203" t="s">
        <v>12</v>
      </c>
      <c r="AS203" t="s">
        <v>12</v>
      </c>
      <c r="AT203" t="s">
        <v>4</v>
      </c>
      <c r="AU203" t="s">
        <v>4</v>
      </c>
      <c r="AV203" t="s">
        <v>4</v>
      </c>
      <c r="AW203" t="s">
        <v>11</v>
      </c>
      <c r="AX203">
        <v>1550</v>
      </c>
      <c r="AY203">
        <v>13250</v>
      </c>
      <c r="AZ203" t="s">
        <v>12</v>
      </c>
      <c r="BA203" t="s">
        <v>12</v>
      </c>
      <c r="BB203" t="s">
        <v>4</v>
      </c>
      <c r="BC203" t="s">
        <v>1134</v>
      </c>
      <c r="BD203" t="s">
        <v>5802</v>
      </c>
      <c r="BE203" t="s">
        <v>4</v>
      </c>
      <c r="BF203" t="s">
        <v>12</v>
      </c>
      <c r="BG203" t="s">
        <v>4</v>
      </c>
      <c r="BH203" t="s">
        <v>12</v>
      </c>
      <c r="BI203" t="s">
        <v>12</v>
      </c>
      <c r="BJ203" t="s">
        <v>577</v>
      </c>
      <c r="BK203" t="s">
        <v>4</v>
      </c>
      <c r="BL203">
        <v>1</v>
      </c>
      <c r="BM203" t="s">
        <v>12</v>
      </c>
      <c r="BN203">
        <v>14800</v>
      </c>
      <c r="BO203" t="s">
        <v>12</v>
      </c>
      <c r="BP203" t="s">
        <v>12</v>
      </c>
      <c r="BQ203" t="s">
        <v>12</v>
      </c>
      <c r="BR203" t="s">
        <v>4</v>
      </c>
      <c r="BS203" t="s">
        <v>4</v>
      </c>
      <c r="BT203" t="s">
        <v>4</v>
      </c>
      <c r="BU203" t="s">
        <v>12</v>
      </c>
      <c r="BV203" t="s">
        <v>4</v>
      </c>
      <c r="BW203" t="s">
        <v>3</v>
      </c>
      <c r="BX203" t="s">
        <v>4</v>
      </c>
      <c r="BY203" t="s">
        <v>12</v>
      </c>
      <c r="BZ203" t="s">
        <v>12</v>
      </c>
      <c r="CA203" t="s">
        <v>12</v>
      </c>
      <c r="CB203" t="s">
        <v>1074</v>
      </c>
      <c r="CC203" t="s">
        <v>12</v>
      </c>
      <c r="CD203" t="str" cm="1">
        <f t="array" aca="1" ref="CD203" ca="1">eConcatenar(A203:CB203,"|")</f>
        <v>oKQRKgI6YL2jM9iN|PAR2021-2144|3|MEMORIAL |TABASCO|PARAISO|PARAISO|2021-6-22|14800|X|X|100|0|x|X|x|X|X|X|X|X|X|X|X|x|X|x|GARCIA |RODRIGUEZ|MARTHA ELENA |CASADA|X|X|CARRETERA MONTE ADENTRO|QUIINTIN ARAUZ|X|9331076129|RAUL HERNANDEZ LAZARO|BENEFICIARIO 2: GRESIETHEL HERNANDEZ GARCIA|x|RUTA 4 M|X|MIERCOLES |x|x|X|X|X|DOMICILIO|1550|13250|x|x|X|2021-9-22|2021-9-29|X|x|X|x|x|QUINTIN ARAUZ|X|1|x|14800|x|x|x|X|X|X|x|X|CARDENAS|X|x|x|x|final</v>
      </c>
    </row>
    <row r="204" spans="1:82" x14ac:dyDescent="0.25">
      <c r="A204" t="s">
        <v>6321</v>
      </c>
      <c r="B204" t="s">
        <v>6322</v>
      </c>
      <c r="C204">
        <v>3</v>
      </c>
      <c r="D204" t="s">
        <v>376</v>
      </c>
      <c r="E204" t="s">
        <v>2</v>
      </c>
      <c r="F204" t="s">
        <v>654</v>
      </c>
      <c r="G204" t="s">
        <v>654</v>
      </c>
      <c r="H204" t="s">
        <v>1105</v>
      </c>
      <c r="I204">
        <v>14800</v>
      </c>
      <c r="J204" t="s">
        <v>4</v>
      </c>
      <c r="K204" t="s">
        <v>4</v>
      </c>
      <c r="L204">
        <v>100</v>
      </c>
      <c r="M204">
        <v>0</v>
      </c>
      <c r="N204" t="s">
        <v>12</v>
      </c>
      <c r="O204" t="s">
        <v>4</v>
      </c>
      <c r="P204" t="s">
        <v>12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12</v>
      </c>
      <c r="Z204" t="s">
        <v>4</v>
      </c>
      <c r="AA204" t="s">
        <v>12</v>
      </c>
      <c r="AB204" t="s">
        <v>36</v>
      </c>
      <c r="AC204" t="s">
        <v>109</v>
      </c>
      <c r="AD204" t="s">
        <v>6323</v>
      </c>
      <c r="AE204" t="s">
        <v>48</v>
      </c>
      <c r="AF204" t="s">
        <v>4</v>
      </c>
      <c r="AG204" t="s">
        <v>4</v>
      </c>
      <c r="AH204" t="s">
        <v>5316</v>
      </c>
      <c r="AI204" t="s">
        <v>2052</v>
      </c>
      <c r="AJ204" t="s">
        <v>4</v>
      </c>
      <c r="AK204">
        <v>9331327151</v>
      </c>
      <c r="AL204" t="s">
        <v>6324</v>
      </c>
      <c r="AM204" t="s">
        <v>4</v>
      </c>
      <c r="AN204" t="s">
        <v>12</v>
      </c>
      <c r="AO204" t="s">
        <v>6118</v>
      </c>
      <c r="AP204" t="s">
        <v>4</v>
      </c>
      <c r="AQ204" t="s">
        <v>4767</v>
      </c>
      <c r="AR204" t="s">
        <v>12</v>
      </c>
      <c r="AS204" t="s">
        <v>12</v>
      </c>
      <c r="AT204" t="s">
        <v>4</v>
      </c>
      <c r="AU204" t="s">
        <v>4</v>
      </c>
      <c r="AV204" t="s">
        <v>4</v>
      </c>
      <c r="AW204" t="s">
        <v>11</v>
      </c>
      <c r="AX204">
        <v>1450</v>
      </c>
      <c r="AY204">
        <v>13350</v>
      </c>
      <c r="AZ204" t="s">
        <v>12</v>
      </c>
      <c r="BA204" t="s">
        <v>12</v>
      </c>
      <c r="BB204" t="s">
        <v>4</v>
      </c>
      <c r="BC204" t="s">
        <v>1134</v>
      </c>
      <c r="BD204" t="s">
        <v>5802</v>
      </c>
      <c r="BE204" t="s">
        <v>4</v>
      </c>
      <c r="BF204" t="s">
        <v>12</v>
      </c>
      <c r="BG204" t="s">
        <v>4</v>
      </c>
      <c r="BH204" t="s">
        <v>12</v>
      </c>
      <c r="BI204" t="s">
        <v>12</v>
      </c>
      <c r="BJ204" t="s">
        <v>1761</v>
      </c>
      <c r="BK204" t="s">
        <v>4</v>
      </c>
      <c r="BL204">
        <v>1</v>
      </c>
      <c r="BM204" t="s">
        <v>12</v>
      </c>
      <c r="BN204">
        <v>14800</v>
      </c>
      <c r="BO204" t="s">
        <v>12</v>
      </c>
      <c r="BP204" t="s">
        <v>12</v>
      </c>
      <c r="BQ204" t="s">
        <v>12</v>
      </c>
      <c r="BR204" t="s">
        <v>4</v>
      </c>
      <c r="BS204" t="s">
        <v>4</v>
      </c>
      <c r="BT204" t="s">
        <v>4</v>
      </c>
      <c r="BU204" t="s">
        <v>12</v>
      </c>
      <c r="BV204" t="s">
        <v>4</v>
      </c>
      <c r="BW204" t="s">
        <v>3</v>
      </c>
      <c r="BX204" t="s">
        <v>4</v>
      </c>
      <c r="BY204" t="s">
        <v>12</v>
      </c>
      <c r="BZ204" t="s">
        <v>12</v>
      </c>
      <c r="CA204" t="s">
        <v>12</v>
      </c>
      <c r="CB204" t="s">
        <v>1074</v>
      </c>
      <c r="CC204" t="s">
        <v>12</v>
      </c>
      <c r="CD204" t="str" cm="1">
        <f t="array" aca="1" ref="CD204" ca="1">eConcatenar(A204:CB204,"|")</f>
        <v>KM72Zxe0Ft8AMKh8|PAR2021-2127|3|MEMORIAL |TABASCO|PARAISO|PARAISO|2021-6-17|14800|X|X|100|0|x|X|x|X|X|X|X|X|X|X|X|x|X|x|HERNANDEZ|PEREZ|MARQUEZA|SOLTERA|X|X|CARRETERA VECINAL COMALCALCO PARAISO|FRANCISCO I MADERO|X|9331327151|JADE JAVIER HERNANDEZ|X|x|RUTA 4 M|X|MIERCOLES |x|x|X|X|X|DOMICILIO|1450|13350|x|x|X|2021-9-22|2021-9-29|X|x|X|x|x|FRANCISCO I MADERO |X|1|x|14800|x|x|x|X|X|X|x|X|CARDENAS|X|x|x|x|final</v>
      </c>
    </row>
    <row r="205" spans="1:82" x14ac:dyDescent="0.25">
      <c r="A205" t="s">
        <v>6325</v>
      </c>
      <c r="B205" t="s">
        <v>6326</v>
      </c>
      <c r="C205">
        <v>3</v>
      </c>
      <c r="D205" t="s">
        <v>376</v>
      </c>
      <c r="E205" t="s">
        <v>2</v>
      </c>
      <c r="F205" t="s">
        <v>654</v>
      </c>
      <c r="G205" t="s">
        <v>654</v>
      </c>
      <c r="H205" t="s">
        <v>1098</v>
      </c>
      <c r="I205">
        <v>14800</v>
      </c>
      <c r="J205" t="s">
        <v>4</v>
      </c>
      <c r="K205" t="s">
        <v>4</v>
      </c>
      <c r="L205">
        <v>100</v>
      </c>
      <c r="M205">
        <v>0</v>
      </c>
      <c r="N205" t="s">
        <v>12</v>
      </c>
      <c r="O205" t="s">
        <v>4</v>
      </c>
      <c r="P205" t="s">
        <v>12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12</v>
      </c>
      <c r="Z205" t="s">
        <v>4</v>
      </c>
      <c r="AA205" t="s">
        <v>12</v>
      </c>
      <c r="AB205" t="s">
        <v>1311</v>
      </c>
      <c r="AC205" t="s">
        <v>154</v>
      </c>
      <c r="AD205" t="s">
        <v>6148</v>
      </c>
      <c r="AE205" t="s">
        <v>59</v>
      </c>
      <c r="AF205" t="s">
        <v>4</v>
      </c>
      <c r="AG205" t="s">
        <v>4</v>
      </c>
      <c r="AH205" t="s">
        <v>5316</v>
      </c>
      <c r="AI205" t="s">
        <v>2052</v>
      </c>
      <c r="AJ205" t="s">
        <v>4</v>
      </c>
      <c r="AK205">
        <v>9331464396</v>
      </c>
      <c r="AL205" t="s">
        <v>6327</v>
      </c>
      <c r="AM205" t="s">
        <v>4</v>
      </c>
      <c r="AN205" t="s">
        <v>12</v>
      </c>
      <c r="AO205" t="s">
        <v>6118</v>
      </c>
      <c r="AP205" t="s">
        <v>4</v>
      </c>
      <c r="AQ205" t="s">
        <v>4767</v>
      </c>
      <c r="AR205" t="s">
        <v>12</v>
      </c>
      <c r="AS205" t="s">
        <v>12</v>
      </c>
      <c r="AT205" t="s">
        <v>4</v>
      </c>
      <c r="AU205" t="s">
        <v>4</v>
      </c>
      <c r="AV205" t="s">
        <v>4</v>
      </c>
      <c r="AW205" t="s">
        <v>11</v>
      </c>
      <c r="AX205">
        <v>1600</v>
      </c>
      <c r="AY205">
        <v>13200</v>
      </c>
      <c r="AZ205" t="s">
        <v>12</v>
      </c>
      <c r="BA205" t="s">
        <v>12</v>
      </c>
      <c r="BB205" t="s">
        <v>4</v>
      </c>
      <c r="BC205" t="s">
        <v>1134</v>
      </c>
      <c r="BD205" t="s">
        <v>5802</v>
      </c>
      <c r="BE205" t="s">
        <v>4</v>
      </c>
      <c r="BF205" t="s">
        <v>12</v>
      </c>
      <c r="BG205" t="s">
        <v>4</v>
      </c>
      <c r="BH205" t="s">
        <v>12</v>
      </c>
      <c r="BI205" t="s">
        <v>12</v>
      </c>
      <c r="BJ205" t="s">
        <v>1761</v>
      </c>
      <c r="BK205" t="s">
        <v>4</v>
      </c>
      <c r="BL205">
        <v>0</v>
      </c>
      <c r="BM205" t="s">
        <v>12</v>
      </c>
      <c r="BN205">
        <v>14800</v>
      </c>
      <c r="BO205" t="s">
        <v>12</v>
      </c>
      <c r="BP205" t="s">
        <v>12</v>
      </c>
      <c r="BQ205" t="s">
        <v>12</v>
      </c>
      <c r="BR205" t="s">
        <v>4</v>
      </c>
      <c r="BS205" t="s">
        <v>4</v>
      </c>
      <c r="BT205" t="s">
        <v>4</v>
      </c>
      <c r="BU205" t="s">
        <v>12</v>
      </c>
      <c r="BV205" t="s">
        <v>4</v>
      </c>
      <c r="BW205" t="s">
        <v>3</v>
      </c>
      <c r="BX205" t="s">
        <v>4</v>
      </c>
      <c r="BY205" t="s">
        <v>12</v>
      </c>
      <c r="BZ205" t="s">
        <v>12</v>
      </c>
      <c r="CA205" t="s">
        <v>12</v>
      </c>
      <c r="CB205" t="s">
        <v>1074</v>
      </c>
      <c r="CC205" t="s">
        <v>12</v>
      </c>
      <c r="CD205" t="str" cm="1">
        <f t="array" aca="1" ref="CD205" ca="1">eConcatenar(A205:CB205,"|")</f>
        <v>hR4ttvhJN2lGEgUH|PAR2021-2111|3|MEMORIAL |TABASCO|PARAISO|PARAISO|2021-6-16|14800|X|X|100|0|x|X|x|X|X|X|X|X|X|X|X|x|X|x|VALENCIA|DE DIOS|LUIS MANUEL|CASADO|X|X|CARRETERA VECINAL COMALCALCO PARAISO|FRANCISCO I MADERO|X|9331464396|IRAIS DEL VARMEN VALENCIA DE DIOS|X|x|RUTA 4 M|X|MIERCOLES |x|x|X|X|X|DOMICILIO|1600|13200|x|x|X|2021-9-22|2021-9-29|X|x|X|x|x|FRANCISCO I MADERO |X|0|x|14800|x|x|x|X|X|X|x|X|CARDENAS|X|x|x|x|final</v>
      </c>
    </row>
    <row r="206" spans="1:82" x14ac:dyDescent="0.25">
      <c r="A206" t="s">
        <v>6328</v>
      </c>
      <c r="B206" t="s">
        <v>6329</v>
      </c>
      <c r="C206">
        <v>3</v>
      </c>
      <c r="D206" t="s">
        <v>376</v>
      </c>
      <c r="E206" t="s">
        <v>2</v>
      </c>
      <c r="F206" t="s">
        <v>654</v>
      </c>
      <c r="G206" t="s">
        <v>654</v>
      </c>
      <c r="H206" t="s">
        <v>6330</v>
      </c>
      <c r="I206">
        <v>14800</v>
      </c>
      <c r="J206" t="s">
        <v>4</v>
      </c>
      <c r="K206" t="s">
        <v>4</v>
      </c>
      <c r="L206">
        <v>100</v>
      </c>
      <c r="M206">
        <v>0</v>
      </c>
      <c r="N206" t="s">
        <v>12</v>
      </c>
      <c r="O206" t="s">
        <v>4</v>
      </c>
      <c r="P206" t="s">
        <v>12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12</v>
      </c>
      <c r="Z206" t="s">
        <v>4</v>
      </c>
      <c r="AA206" t="s">
        <v>12</v>
      </c>
      <c r="AB206" t="s">
        <v>80</v>
      </c>
      <c r="AC206" t="s">
        <v>36</v>
      </c>
      <c r="AD206" t="s">
        <v>6331</v>
      </c>
      <c r="AE206" t="s">
        <v>29</v>
      </c>
      <c r="AF206" t="s">
        <v>4</v>
      </c>
      <c r="AG206" t="s">
        <v>4</v>
      </c>
      <c r="AH206" t="s">
        <v>6332</v>
      </c>
      <c r="AI206" t="s">
        <v>906</v>
      </c>
      <c r="AJ206" t="s">
        <v>4</v>
      </c>
      <c r="AK206">
        <v>9331331434</v>
      </c>
      <c r="AL206" t="s">
        <v>6333</v>
      </c>
      <c r="AM206" t="s">
        <v>6334</v>
      </c>
      <c r="AN206" t="s">
        <v>12</v>
      </c>
      <c r="AO206" t="s">
        <v>6118</v>
      </c>
      <c r="AP206" t="s">
        <v>4</v>
      </c>
      <c r="AQ206" t="s">
        <v>4767</v>
      </c>
      <c r="AR206" t="s">
        <v>12</v>
      </c>
      <c r="AS206" t="s">
        <v>12</v>
      </c>
      <c r="AT206" t="s">
        <v>4</v>
      </c>
      <c r="AU206" t="s">
        <v>4</v>
      </c>
      <c r="AV206" t="s">
        <v>4</v>
      </c>
      <c r="AW206" t="s">
        <v>11</v>
      </c>
      <c r="AX206">
        <v>2900</v>
      </c>
      <c r="AY206">
        <v>11900</v>
      </c>
      <c r="AZ206" t="s">
        <v>12</v>
      </c>
      <c r="BA206" t="s">
        <v>12</v>
      </c>
      <c r="BB206" t="s">
        <v>4</v>
      </c>
      <c r="BC206" t="s">
        <v>1134</v>
      </c>
      <c r="BD206" t="s">
        <v>5802</v>
      </c>
      <c r="BE206" t="s">
        <v>4</v>
      </c>
      <c r="BF206" t="s">
        <v>12</v>
      </c>
      <c r="BG206" t="s">
        <v>4</v>
      </c>
      <c r="BH206" t="s">
        <v>12</v>
      </c>
      <c r="BI206" t="s">
        <v>12</v>
      </c>
      <c r="BJ206" t="s">
        <v>906</v>
      </c>
      <c r="BK206" t="s">
        <v>4</v>
      </c>
      <c r="BL206">
        <v>1</v>
      </c>
      <c r="BM206" t="s">
        <v>12</v>
      </c>
      <c r="BN206">
        <v>14800</v>
      </c>
      <c r="BO206" t="s">
        <v>12</v>
      </c>
      <c r="BP206" t="s">
        <v>12</v>
      </c>
      <c r="BQ206" t="s">
        <v>12</v>
      </c>
      <c r="BR206" t="s">
        <v>4</v>
      </c>
      <c r="BS206" t="s">
        <v>4</v>
      </c>
      <c r="BT206" t="s">
        <v>4</v>
      </c>
      <c r="BU206" t="s">
        <v>12</v>
      </c>
      <c r="BV206" t="s">
        <v>4</v>
      </c>
      <c r="BW206" t="s">
        <v>3</v>
      </c>
      <c r="BX206" t="s">
        <v>4</v>
      </c>
      <c r="BY206" t="s">
        <v>12</v>
      </c>
      <c r="BZ206" t="s">
        <v>12</v>
      </c>
      <c r="CA206" t="s">
        <v>12</v>
      </c>
      <c r="CB206" t="s">
        <v>1074</v>
      </c>
      <c r="CC206" t="s">
        <v>12</v>
      </c>
      <c r="CD206" t="str" cm="1">
        <f t="array" aca="1" ref="CD206" ca="1">eConcatenar(A206:CB206,"|")</f>
        <v>GSWxaXWsLFglegby|PAR2021-1300|3|MEMORIAL |TABASCO|PARAISO|PARAISO|2021-4-03|14800|X|X|100|0|x|X|x|X|X|X|X|X|X|X|X|x|X|x|LOPEZ|HERNANDEZ|MARTHA  |CASADA|X|X|CARRETERA LOS PESCADORES SIN NUMERO |PUERTO CEIBA CARRIZAL |X|9331331434|CARLA ESTELA GARCIA DE LA CRUZ|BENEFICIARIO 2: JOSE LUIS GARCIA DE LA CRUZ|x|RUTA 4 M|X|MIERCOLES |x|x|X|X|X|DOMICILIO|2900|11900|x|x|X|2021-9-22|2021-9-29|X|x|X|x|x|PUERTO CEIBA CARRIZAL |X|1|x|14800|x|x|x|X|X|X|x|X|CARDENAS|X|x|x|x|final</v>
      </c>
    </row>
    <row r="207" spans="1:82" x14ac:dyDescent="0.25">
      <c r="A207" t="s">
        <v>6335</v>
      </c>
      <c r="B207" t="s">
        <v>6336</v>
      </c>
      <c r="C207">
        <v>3</v>
      </c>
      <c r="D207" t="s">
        <v>376</v>
      </c>
      <c r="E207" t="s">
        <v>2</v>
      </c>
      <c r="F207" t="s">
        <v>654</v>
      </c>
      <c r="G207" t="s">
        <v>654</v>
      </c>
      <c r="H207" t="s">
        <v>6337</v>
      </c>
      <c r="I207">
        <v>12900</v>
      </c>
      <c r="J207" t="s">
        <v>4</v>
      </c>
      <c r="K207" t="s">
        <v>4</v>
      </c>
      <c r="L207">
        <v>100</v>
      </c>
      <c r="M207">
        <v>0</v>
      </c>
      <c r="N207" t="s">
        <v>12</v>
      </c>
      <c r="O207" t="s">
        <v>4</v>
      </c>
      <c r="P207" t="s">
        <v>12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12</v>
      </c>
      <c r="Z207" t="s">
        <v>4</v>
      </c>
      <c r="AA207" t="s">
        <v>12</v>
      </c>
      <c r="AB207" t="s">
        <v>74</v>
      </c>
      <c r="AC207" t="s">
        <v>88</v>
      </c>
      <c r="AD207" t="s">
        <v>6338</v>
      </c>
      <c r="AE207" t="s">
        <v>48</v>
      </c>
      <c r="AF207" t="s">
        <v>4</v>
      </c>
      <c r="AG207" t="s">
        <v>4</v>
      </c>
      <c r="AH207" t="s">
        <v>6339</v>
      </c>
      <c r="AI207" t="s">
        <v>906</v>
      </c>
      <c r="AJ207" t="s">
        <v>4</v>
      </c>
      <c r="AK207">
        <v>9331357685</v>
      </c>
      <c r="AL207" t="s">
        <v>6340</v>
      </c>
      <c r="AM207" t="s">
        <v>6341</v>
      </c>
      <c r="AN207" t="s">
        <v>12</v>
      </c>
      <c r="AO207" t="s">
        <v>6118</v>
      </c>
      <c r="AP207" t="s">
        <v>4</v>
      </c>
      <c r="AQ207" t="s">
        <v>4767</v>
      </c>
      <c r="AR207" t="s">
        <v>12</v>
      </c>
      <c r="AS207" t="s">
        <v>12</v>
      </c>
      <c r="AT207" t="s">
        <v>4</v>
      </c>
      <c r="AU207" t="s">
        <v>4</v>
      </c>
      <c r="AV207" t="s">
        <v>4</v>
      </c>
      <c r="AW207" t="s">
        <v>11</v>
      </c>
      <c r="AX207">
        <v>7300</v>
      </c>
      <c r="AY207">
        <v>5600</v>
      </c>
      <c r="AZ207" t="s">
        <v>12</v>
      </c>
      <c r="BA207" t="s">
        <v>12</v>
      </c>
      <c r="BB207" t="s">
        <v>4</v>
      </c>
      <c r="BC207" t="s">
        <v>1130</v>
      </c>
      <c r="BD207" t="s">
        <v>5802</v>
      </c>
      <c r="BE207" t="s">
        <v>4</v>
      </c>
      <c r="BF207" t="s">
        <v>12</v>
      </c>
      <c r="BG207" t="s">
        <v>4</v>
      </c>
      <c r="BH207" t="s">
        <v>12</v>
      </c>
      <c r="BI207" t="s">
        <v>12</v>
      </c>
      <c r="BJ207" t="s">
        <v>906</v>
      </c>
      <c r="BK207" t="s">
        <v>4</v>
      </c>
      <c r="BL207">
        <v>1</v>
      </c>
      <c r="BM207" t="s">
        <v>12</v>
      </c>
      <c r="BN207">
        <v>12900</v>
      </c>
      <c r="BO207" t="s">
        <v>12</v>
      </c>
      <c r="BP207" t="s">
        <v>12</v>
      </c>
      <c r="BQ207" t="s">
        <v>12</v>
      </c>
      <c r="BR207" t="s">
        <v>4</v>
      </c>
      <c r="BS207" t="s">
        <v>4</v>
      </c>
      <c r="BT207" t="s">
        <v>4</v>
      </c>
      <c r="BU207" t="s">
        <v>12</v>
      </c>
      <c r="BV207" t="s">
        <v>4</v>
      </c>
      <c r="BW207" t="s">
        <v>3</v>
      </c>
      <c r="BX207" t="s">
        <v>4</v>
      </c>
      <c r="BY207" t="s">
        <v>12</v>
      </c>
      <c r="BZ207" t="s">
        <v>12</v>
      </c>
      <c r="CA207" t="s">
        <v>12</v>
      </c>
      <c r="CB207" t="s">
        <v>1074</v>
      </c>
      <c r="CC207" t="s">
        <v>12</v>
      </c>
      <c r="CD207" t="str" cm="1">
        <f t="array" aca="1" ref="CD207" ca="1">eConcatenar(A207:CB207,"|")</f>
        <v>PZVSBYnDBi4yasdh|PAR2020-5455|3|MEMORIAL |TABASCO|PARAISO|PARAISO|2020-12-21|12900|X|X|100|0|x|X|x|X|X|X|X|X|X|X|X|x|X|x|GARCIA |MARTINEZ|ANABEL|SOLTERA|X|X|CALLE PRIMERO DE MAYO|PUERTO CEIBA CARRIZAL |X|9331357685|SANTOS GARCIA GARCIA |BENEFICIARIO 2: ANITA MARTINEZ|x|RUTA 4 M|X|MIERCOLES |x|x|X|X|X|DOMICILIO|7300|5600|x|x|X|2021-9-21|2021-9-29|X|x|X|x|x|PUERTO CEIBA CARRIZAL |X|1|x|12900|x|x|x|X|X|X|x|X|CARDENAS|X|x|x|x|final</v>
      </c>
    </row>
    <row r="208" spans="1:82" x14ac:dyDescent="0.25">
      <c r="A208" t="s">
        <v>6342</v>
      </c>
      <c r="B208" t="s">
        <v>6343</v>
      </c>
      <c r="C208">
        <v>3</v>
      </c>
      <c r="D208" t="s">
        <v>1</v>
      </c>
      <c r="E208" t="s">
        <v>2</v>
      </c>
      <c r="F208" t="s">
        <v>654</v>
      </c>
      <c r="G208" t="s">
        <v>654</v>
      </c>
      <c r="H208" t="s">
        <v>6337</v>
      </c>
      <c r="I208">
        <v>12900</v>
      </c>
      <c r="J208" t="s">
        <v>4</v>
      </c>
      <c r="K208" t="s">
        <v>4</v>
      </c>
      <c r="L208">
        <v>100</v>
      </c>
      <c r="M208">
        <v>0</v>
      </c>
      <c r="N208" t="s">
        <v>12</v>
      </c>
      <c r="O208" t="s">
        <v>4</v>
      </c>
      <c r="P208" t="s">
        <v>12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12</v>
      </c>
      <c r="Z208" t="s">
        <v>4</v>
      </c>
      <c r="AA208" t="s">
        <v>12</v>
      </c>
      <c r="AB208" t="s">
        <v>74</v>
      </c>
      <c r="AC208" t="s">
        <v>109</v>
      </c>
      <c r="AD208" t="s">
        <v>6344</v>
      </c>
      <c r="AE208" t="s">
        <v>59</v>
      </c>
      <c r="AF208" t="s">
        <v>4</v>
      </c>
      <c r="AG208" t="s">
        <v>4</v>
      </c>
      <c r="AH208" t="s">
        <v>6339</v>
      </c>
      <c r="AI208" t="s">
        <v>906</v>
      </c>
      <c r="AJ208" t="s">
        <v>4</v>
      </c>
      <c r="AK208">
        <v>9331466841</v>
      </c>
      <c r="AL208" t="s">
        <v>6345</v>
      </c>
      <c r="AM208" t="s">
        <v>6341</v>
      </c>
      <c r="AN208" t="s">
        <v>12</v>
      </c>
      <c r="AO208" t="s">
        <v>6118</v>
      </c>
      <c r="AP208" t="s">
        <v>4</v>
      </c>
      <c r="AQ208" t="s">
        <v>4767</v>
      </c>
      <c r="AR208" t="s">
        <v>12</v>
      </c>
      <c r="AS208" t="s">
        <v>12</v>
      </c>
      <c r="AT208" t="s">
        <v>4</v>
      </c>
      <c r="AU208" t="s">
        <v>4</v>
      </c>
      <c r="AV208" t="s">
        <v>4</v>
      </c>
      <c r="AW208" t="s">
        <v>11</v>
      </c>
      <c r="AX208">
        <v>4100</v>
      </c>
      <c r="AY208">
        <v>8800</v>
      </c>
      <c r="AZ208" t="s">
        <v>12</v>
      </c>
      <c r="BA208" t="s">
        <v>12</v>
      </c>
      <c r="BB208" t="s">
        <v>4</v>
      </c>
      <c r="BC208" t="s">
        <v>1134</v>
      </c>
      <c r="BD208" t="s">
        <v>5802</v>
      </c>
      <c r="BE208" t="s">
        <v>4</v>
      </c>
      <c r="BF208" t="s">
        <v>12</v>
      </c>
      <c r="BG208" t="s">
        <v>4</v>
      </c>
      <c r="BH208" t="s">
        <v>12</v>
      </c>
      <c r="BI208" t="s">
        <v>12</v>
      </c>
      <c r="BJ208" t="s">
        <v>906</v>
      </c>
      <c r="BK208" t="s">
        <v>4</v>
      </c>
      <c r="BL208">
        <v>0</v>
      </c>
      <c r="BM208" t="s">
        <v>12</v>
      </c>
      <c r="BN208">
        <v>12900</v>
      </c>
      <c r="BO208" t="s">
        <v>12</v>
      </c>
      <c r="BP208" t="s">
        <v>12</v>
      </c>
      <c r="BQ208" t="s">
        <v>12</v>
      </c>
      <c r="BR208" t="s">
        <v>4</v>
      </c>
      <c r="BS208" t="s">
        <v>4</v>
      </c>
      <c r="BT208" t="s">
        <v>4</v>
      </c>
      <c r="BU208" t="s">
        <v>12</v>
      </c>
      <c r="BV208" t="s">
        <v>4</v>
      </c>
      <c r="BW208" t="s">
        <v>3</v>
      </c>
      <c r="BX208" t="s">
        <v>4</v>
      </c>
      <c r="BY208" t="s">
        <v>12</v>
      </c>
      <c r="BZ208" t="s">
        <v>12</v>
      </c>
      <c r="CA208" t="s">
        <v>12</v>
      </c>
      <c r="CB208" t="s">
        <v>1074</v>
      </c>
      <c r="CC208" t="s">
        <v>12</v>
      </c>
      <c r="CD208" t="str" cm="1">
        <f t="array" aca="1" ref="CD208" ca="1">eConcatenar(A208:CB208,"|")</f>
        <v>fVmorNdC3Dv1if1z|PAR2020-5454|3|IMPERIAL DE LUJO|TABASCO|PARAISO|PARAISO|2020-12-21|12900|X|X|100|0|x|X|x|X|X|X|X|X|X|X|X|x|X|x|GARCIA |PEREZ|JESUS ALBERTO|CASADO|X|X|CALLE PRIMERO DE MAYO|PUERTO CEIBA CARRIZAL |X|9331466841|ANABEL GARCIA GARCIA|BENEFICIARIO 2: ANITA MARTINEZ|x|RUTA 4 M|X|MIERCOLES |x|x|X|X|X|DOMICILIO|4100|8800|x|x|X|2021-9-22|2021-9-29|X|x|X|x|x|PUERTO CEIBA CARRIZAL |X|0|x|12900|x|x|x|X|X|X|x|X|CARDENAS|X|x|x|x|final</v>
      </c>
    </row>
    <row r="209" spans="1:82" x14ac:dyDescent="0.25">
      <c r="A209" t="s">
        <v>6346</v>
      </c>
      <c r="B209" t="s">
        <v>6347</v>
      </c>
      <c r="C209">
        <v>3</v>
      </c>
      <c r="D209" t="s">
        <v>1</v>
      </c>
      <c r="E209" t="s">
        <v>2</v>
      </c>
      <c r="F209" t="s">
        <v>654</v>
      </c>
      <c r="G209" t="s">
        <v>654</v>
      </c>
      <c r="H209" t="s">
        <v>6348</v>
      </c>
      <c r="I209">
        <v>12900</v>
      </c>
      <c r="J209" t="s">
        <v>4</v>
      </c>
      <c r="K209" t="s">
        <v>4</v>
      </c>
      <c r="L209">
        <v>400</v>
      </c>
      <c r="M209">
        <v>2</v>
      </c>
      <c r="N209" t="s">
        <v>12</v>
      </c>
      <c r="O209" t="s">
        <v>4</v>
      </c>
      <c r="P209" t="s">
        <v>12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12</v>
      </c>
      <c r="Z209" t="s">
        <v>4</v>
      </c>
      <c r="AA209" t="s">
        <v>12</v>
      </c>
      <c r="AB209" t="s">
        <v>679</v>
      </c>
      <c r="AC209" t="s">
        <v>839</v>
      </c>
      <c r="AD209" t="s">
        <v>81</v>
      </c>
      <c r="AE209" t="s">
        <v>24</v>
      </c>
      <c r="AF209" t="s">
        <v>4</v>
      </c>
      <c r="AG209" t="s">
        <v>4</v>
      </c>
      <c r="AH209" t="s">
        <v>917</v>
      </c>
      <c r="AI209" t="s">
        <v>906</v>
      </c>
      <c r="AJ209" t="s">
        <v>4</v>
      </c>
      <c r="AK209">
        <v>9332071069</v>
      </c>
      <c r="AL209" t="s">
        <v>6349</v>
      </c>
      <c r="AM209" t="s">
        <v>6350</v>
      </c>
      <c r="AN209" t="s">
        <v>12</v>
      </c>
      <c r="AO209" t="s">
        <v>6118</v>
      </c>
      <c r="AP209" t="s">
        <v>4</v>
      </c>
      <c r="AQ209" t="s">
        <v>4767</v>
      </c>
      <c r="AR209" t="s">
        <v>12</v>
      </c>
      <c r="AS209" t="s">
        <v>12</v>
      </c>
      <c r="AT209" t="s">
        <v>4</v>
      </c>
      <c r="AU209" t="s">
        <v>4</v>
      </c>
      <c r="AV209" t="s">
        <v>4</v>
      </c>
      <c r="AW209" t="s">
        <v>11</v>
      </c>
      <c r="AX209">
        <v>3400</v>
      </c>
      <c r="AY209">
        <v>9500</v>
      </c>
      <c r="AZ209" t="s">
        <v>12</v>
      </c>
      <c r="BA209" t="s">
        <v>12</v>
      </c>
      <c r="BB209" t="s">
        <v>4</v>
      </c>
      <c r="BC209" t="s">
        <v>1113</v>
      </c>
      <c r="BD209" t="s">
        <v>6351</v>
      </c>
      <c r="BE209" t="s">
        <v>4</v>
      </c>
      <c r="BF209" t="s">
        <v>12</v>
      </c>
      <c r="BG209" t="s">
        <v>4</v>
      </c>
      <c r="BH209" t="s">
        <v>12</v>
      </c>
      <c r="BI209" t="s">
        <v>12</v>
      </c>
      <c r="BJ209" t="s">
        <v>906</v>
      </c>
      <c r="BK209" t="s">
        <v>4</v>
      </c>
      <c r="BL209">
        <v>1</v>
      </c>
      <c r="BM209" t="s">
        <v>12</v>
      </c>
      <c r="BN209">
        <v>12900</v>
      </c>
      <c r="BO209" t="s">
        <v>12</v>
      </c>
      <c r="BP209" t="s">
        <v>12</v>
      </c>
      <c r="BQ209" t="s">
        <v>12</v>
      </c>
      <c r="BR209" t="s">
        <v>4</v>
      </c>
      <c r="BS209" t="s">
        <v>4</v>
      </c>
      <c r="BT209" t="s">
        <v>4</v>
      </c>
      <c r="BU209" t="s">
        <v>12</v>
      </c>
      <c r="BV209" t="s">
        <v>4</v>
      </c>
      <c r="BW209" t="s">
        <v>3</v>
      </c>
      <c r="BX209" t="s">
        <v>4</v>
      </c>
      <c r="BY209" t="s">
        <v>12</v>
      </c>
      <c r="BZ209" t="s">
        <v>12</v>
      </c>
      <c r="CA209" t="s">
        <v>12</v>
      </c>
      <c r="CB209" t="s">
        <v>1074</v>
      </c>
      <c r="CC209" t="s">
        <v>12</v>
      </c>
      <c r="CD209" t="str" cm="1">
        <f t="array" aca="1" ref="CD209" ca="1">eConcatenar(A209:CB209,"|")</f>
        <v>Dhbj9dgSAhSRS7QA|PAR2020-3112|3|IMPERIAL DE LUJO|TABASCO|PARAISO|PARAISO|2021-11-25|12900|X|X|400|2|x|X|x|X|X|X|X|X|X|X|X|x|X|x|IZQUIERDO|ALVARADO|GUADALUPE|UNION LIBRE|X|X|CALLE LOS PESCADORES SIN NUMERO|PUERTO CEIBA CARRIZAL |X|9332071069|ABDIEL ESAU IZQUIERDO ALVARADO|BENEFICIARIO 2: IRWING DANIEL VALDEOLIVIER IZQUIERDO|x|RUTA 4 M|X|MIERCOLES |x|x|X|X|X|DOMICILIO|3400|9500|x|x|X|2021-9-25|2021-10-20|X|x|X|x|x|PUERTO CEIBA CARRIZAL |X|1|x|12900|x|x|x|X|X|X|x|X|CARDENAS|X|x|x|x|final</v>
      </c>
    </row>
    <row r="210" spans="1:82" x14ac:dyDescent="0.25">
      <c r="A210" t="s">
        <v>6352</v>
      </c>
      <c r="B210" t="s">
        <v>6353</v>
      </c>
      <c r="C210">
        <v>3</v>
      </c>
      <c r="D210" t="s">
        <v>194</v>
      </c>
      <c r="E210" t="s">
        <v>2</v>
      </c>
      <c r="F210" t="s">
        <v>654</v>
      </c>
      <c r="G210" t="s">
        <v>654</v>
      </c>
      <c r="H210" t="s">
        <v>1104</v>
      </c>
      <c r="I210">
        <v>12900</v>
      </c>
      <c r="J210" t="s">
        <v>4</v>
      </c>
      <c r="K210" t="s">
        <v>4</v>
      </c>
      <c r="L210">
        <v>100</v>
      </c>
      <c r="M210">
        <v>0</v>
      </c>
      <c r="N210" t="s">
        <v>12</v>
      </c>
      <c r="O210" t="s">
        <v>4</v>
      </c>
      <c r="P210" t="s">
        <v>12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12</v>
      </c>
      <c r="Z210" t="s">
        <v>4</v>
      </c>
      <c r="AA210" t="s">
        <v>12</v>
      </c>
      <c r="AB210" t="s">
        <v>74</v>
      </c>
      <c r="AC210" t="s">
        <v>6</v>
      </c>
      <c r="AD210" t="s">
        <v>6354</v>
      </c>
      <c r="AE210" t="s">
        <v>307</v>
      </c>
      <c r="AF210" t="s">
        <v>4</v>
      </c>
      <c r="AG210" t="s">
        <v>4</v>
      </c>
      <c r="AH210" t="s">
        <v>6355</v>
      </c>
      <c r="AI210" t="s">
        <v>661</v>
      </c>
      <c r="AJ210" t="s">
        <v>4</v>
      </c>
      <c r="AK210">
        <v>9331335164</v>
      </c>
      <c r="AL210" t="s">
        <v>6356</v>
      </c>
      <c r="AM210" t="s">
        <v>6357</v>
      </c>
      <c r="AN210" t="s">
        <v>12</v>
      </c>
      <c r="AO210" t="s">
        <v>6118</v>
      </c>
      <c r="AP210" t="s">
        <v>4</v>
      </c>
      <c r="AQ210" t="s">
        <v>4767</v>
      </c>
      <c r="AR210" t="s">
        <v>12</v>
      </c>
      <c r="AS210" t="s">
        <v>12</v>
      </c>
      <c r="AT210" t="s">
        <v>4</v>
      </c>
      <c r="AU210" t="s">
        <v>4</v>
      </c>
      <c r="AV210" t="s">
        <v>4</v>
      </c>
      <c r="AW210" t="s">
        <v>11</v>
      </c>
      <c r="AX210">
        <v>5300</v>
      </c>
      <c r="AY210">
        <v>7600</v>
      </c>
      <c r="AZ210" t="s">
        <v>12</v>
      </c>
      <c r="BA210" t="s">
        <v>12</v>
      </c>
      <c r="BB210" t="s">
        <v>4</v>
      </c>
      <c r="BC210" t="s">
        <v>1134</v>
      </c>
      <c r="BD210" t="s">
        <v>5802</v>
      </c>
      <c r="BE210" t="s">
        <v>4</v>
      </c>
      <c r="BF210" t="s">
        <v>12</v>
      </c>
      <c r="BG210" t="s">
        <v>4</v>
      </c>
      <c r="BH210" t="s">
        <v>12</v>
      </c>
      <c r="BI210" t="s">
        <v>12</v>
      </c>
      <c r="BJ210" t="s">
        <v>661</v>
      </c>
      <c r="BK210" t="s">
        <v>4</v>
      </c>
      <c r="BL210">
        <v>0</v>
      </c>
      <c r="BM210" t="s">
        <v>12</v>
      </c>
      <c r="BN210">
        <v>12900</v>
      </c>
      <c r="BO210" t="s">
        <v>12</v>
      </c>
      <c r="BP210" t="s">
        <v>12</v>
      </c>
      <c r="BQ210" t="s">
        <v>12</v>
      </c>
      <c r="BR210" t="s">
        <v>4</v>
      </c>
      <c r="BS210" t="s">
        <v>4</v>
      </c>
      <c r="BT210" t="s">
        <v>4</v>
      </c>
      <c r="BU210" t="s">
        <v>12</v>
      </c>
      <c r="BV210" t="s">
        <v>4</v>
      </c>
      <c r="BW210" t="s">
        <v>3</v>
      </c>
      <c r="BX210" t="s">
        <v>4</v>
      </c>
      <c r="BY210" t="s">
        <v>12</v>
      </c>
      <c r="BZ210" t="s">
        <v>12</v>
      </c>
      <c r="CA210" t="s">
        <v>12</v>
      </c>
      <c r="CB210" t="s">
        <v>1074</v>
      </c>
      <c r="CC210" t="s">
        <v>12</v>
      </c>
      <c r="CD210" t="str" cm="1">
        <f t="array" aca="1" ref="CD210" ca="1">eConcatenar(A210:CB210,"|")</f>
        <v>P5qaw9muk8EbqDLu|PAR2020-2111|3|ECONOLINE|TABASCO|PARAISO|PARAISO|2021-9-18|12900|X|X|100|0|x|X|x|X|X|X|X|X|X|X|X|x|X|x|GARCIA |DE LA CRUZ|RUBISEL|VIUDO|X|X|CARRETERA LAS FLORES|EL ESCRIBANO|X|9331335164|DEYANIRA GARCIA DE LA CRUZ|BENEFICIARIO 2: NUAUN GARCIA DE LA CRUZ |x|RUTA 4 M|X|MIERCOLES |x|x|X|X|X|DOMICILIO|5300|7600|x|x|X|2021-9-22|2021-9-29|X|x|X|x|x|EL ESCRIBANO|X|0|x|12900|x|x|x|X|X|X|x|X|CARDENAS|X|x|x|x|final</v>
      </c>
    </row>
    <row r="211" spans="1:82" x14ac:dyDescent="0.25">
      <c r="A211" t="s">
        <v>6358</v>
      </c>
      <c r="B211" t="s">
        <v>6359</v>
      </c>
      <c r="C211">
        <v>3</v>
      </c>
      <c r="D211" t="s">
        <v>194</v>
      </c>
      <c r="E211" t="s">
        <v>2</v>
      </c>
      <c r="F211" t="s">
        <v>722</v>
      </c>
      <c r="G211" t="s">
        <v>722</v>
      </c>
      <c r="H211" t="s">
        <v>6360</v>
      </c>
      <c r="I211">
        <v>12900</v>
      </c>
      <c r="J211" t="s">
        <v>4</v>
      </c>
      <c r="K211" t="s">
        <v>4</v>
      </c>
      <c r="L211">
        <v>100</v>
      </c>
      <c r="M211">
        <v>0</v>
      </c>
      <c r="N211" t="s">
        <v>12</v>
      </c>
      <c r="O211" t="s">
        <v>4</v>
      </c>
      <c r="P211" t="s">
        <v>12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12</v>
      </c>
      <c r="Z211" t="s">
        <v>4</v>
      </c>
      <c r="AA211" t="s">
        <v>12</v>
      </c>
      <c r="AB211" t="s">
        <v>551</v>
      </c>
      <c r="AC211" t="s">
        <v>6</v>
      </c>
      <c r="AD211" t="s">
        <v>285</v>
      </c>
      <c r="AE211" t="s">
        <v>59</v>
      </c>
      <c r="AF211" t="s">
        <v>4</v>
      </c>
      <c r="AG211" t="s">
        <v>4</v>
      </c>
      <c r="AH211" t="s">
        <v>5316</v>
      </c>
      <c r="AI211" t="s">
        <v>2212</v>
      </c>
      <c r="AJ211" t="s">
        <v>4</v>
      </c>
      <c r="AK211">
        <v>9331496004</v>
      </c>
      <c r="AL211" t="s">
        <v>6361</v>
      </c>
      <c r="AM211" t="s">
        <v>6362</v>
      </c>
      <c r="AN211" t="s">
        <v>12</v>
      </c>
      <c r="AO211" t="s">
        <v>6118</v>
      </c>
      <c r="AP211" t="s">
        <v>4</v>
      </c>
      <c r="AQ211" t="s">
        <v>4767</v>
      </c>
      <c r="AR211" t="s">
        <v>12</v>
      </c>
      <c r="AS211" t="s">
        <v>12</v>
      </c>
      <c r="AT211" t="s">
        <v>4</v>
      </c>
      <c r="AU211" t="s">
        <v>4</v>
      </c>
      <c r="AV211" t="s">
        <v>4</v>
      </c>
      <c r="AW211" t="s">
        <v>11</v>
      </c>
      <c r="AX211">
        <v>6300</v>
      </c>
      <c r="AY211">
        <v>6600</v>
      </c>
      <c r="AZ211" t="s">
        <v>12</v>
      </c>
      <c r="BA211" t="s">
        <v>12</v>
      </c>
      <c r="BB211" t="s">
        <v>4</v>
      </c>
      <c r="BC211" t="s">
        <v>1134</v>
      </c>
      <c r="BD211" t="s">
        <v>5802</v>
      </c>
      <c r="BE211" t="s">
        <v>4</v>
      </c>
      <c r="BF211" t="s">
        <v>12</v>
      </c>
      <c r="BG211" t="s">
        <v>4</v>
      </c>
      <c r="BH211" t="s">
        <v>12</v>
      </c>
      <c r="BI211" t="s">
        <v>12</v>
      </c>
      <c r="BJ211" t="s">
        <v>5898</v>
      </c>
      <c r="BK211" t="s">
        <v>4</v>
      </c>
      <c r="BL211">
        <v>0</v>
      </c>
      <c r="BM211" t="s">
        <v>12</v>
      </c>
      <c r="BN211">
        <v>12900</v>
      </c>
      <c r="BO211" t="s">
        <v>12</v>
      </c>
      <c r="BP211" t="s">
        <v>12</v>
      </c>
      <c r="BQ211" t="s">
        <v>12</v>
      </c>
      <c r="BR211" t="s">
        <v>4</v>
      </c>
      <c r="BS211" t="s">
        <v>4</v>
      </c>
      <c r="BT211" t="s">
        <v>4</v>
      </c>
      <c r="BU211" t="s">
        <v>12</v>
      </c>
      <c r="BV211" t="s">
        <v>4</v>
      </c>
      <c r="BW211" t="s">
        <v>3</v>
      </c>
      <c r="BX211" t="s">
        <v>4</v>
      </c>
      <c r="BY211" t="s">
        <v>12</v>
      </c>
      <c r="BZ211" t="s">
        <v>12</v>
      </c>
      <c r="CA211" t="s">
        <v>12</v>
      </c>
      <c r="CB211" t="s">
        <v>1074</v>
      </c>
      <c r="CC211" t="s">
        <v>12</v>
      </c>
      <c r="CD211" t="str" cm="1">
        <f t="array" aca="1" ref="CD211" ca="1">eConcatenar(A211:CB211,"|")</f>
        <v>ungiFpIoF08y8QL8|COM2020-1914|3|ECONOLINE|TABASCO|COMALCALCO|COMALCALCO|2020-9-05|12900|X|X|100|0|x|X|x|X|X|X|X|X|X|X|X|x|X|x|TRINIDAD|DE LA CRUZ|DANIEL|CASADO|X|X|CARRETERA VECINAL COMALCALCO PARAISO|OCCIDENTE PRIMERA SECCION |X|9331496004|ESTHER CORDOVA AQUINO|BENEFICIARIO 2: DARIO TRINIDAD DE LA CRUZ|x|RUTA 4 M|X|MIERCOLES |x|x|X|X|X|DOMICILIO|6300|6600|x|x|X|2021-9-22|2021-9-29|X|x|X|x|x|OCCIDENTE PRIMERA SECCION|X|0|x|12900|x|x|x|X|X|X|x|X|CARDENAS|X|x|x|x|final</v>
      </c>
    </row>
    <row r="212" spans="1:82" x14ac:dyDescent="0.25">
      <c r="A212" t="s">
        <v>6363</v>
      </c>
      <c r="B212" t="s">
        <v>6364</v>
      </c>
      <c r="C212">
        <v>3</v>
      </c>
      <c r="D212" t="s">
        <v>194</v>
      </c>
      <c r="E212" t="s">
        <v>2</v>
      </c>
      <c r="F212" t="s">
        <v>722</v>
      </c>
      <c r="G212" t="s">
        <v>722</v>
      </c>
      <c r="H212" t="s">
        <v>6365</v>
      </c>
      <c r="I212">
        <v>12900</v>
      </c>
      <c r="J212" t="s">
        <v>4</v>
      </c>
      <c r="K212" t="s">
        <v>4</v>
      </c>
      <c r="L212">
        <v>100</v>
      </c>
      <c r="M212">
        <v>0</v>
      </c>
      <c r="N212" t="s">
        <v>12</v>
      </c>
      <c r="O212" t="s">
        <v>4</v>
      </c>
      <c r="P212" t="s">
        <v>12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12</v>
      </c>
      <c r="Z212" t="s">
        <v>4</v>
      </c>
      <c r="AA212" t="s">
        <v>12</v>
      </c>
      <c r="AB212" t="s">
        <v>540</v>
      </c>
      <c r="AC212" t="s">
        <v>36</v>
      </c>
      <c r="AD212" t="s">
        <v>5139</v>
      </c>
      <c r="AE212" t="s">
        <v>48</v>
      </c>
      <c r="AF212" t="s">
        <v>4</v>
      </c>
      <c r="AG212" t="s">
        <v>4</v>
      </c>
      <c r="AH212" t="s">
        <v>5316</v>
      </c>
      <c r="AI212" t="s">
        <v>2212</v>
      </c>
      <c r="AJ212" t="s">
        <v>4</v>
      </c>
      <c r="AK212">
        <v>9331173410</v>
      </c>
      <c r="AL212" t="s">
        <v>6366</v>
      </c>
      <c r="AM212" t="s">
        <v>6367</v>
      </c>
      <c r="AN212" t="s">
        <v>12</v>
      </c>
      <c r="AO212" t="s">
        <v>6118</v>
      </c>
      <c r="AP212" t="s">
        <v>4</v>
      </c>
      <c r="AQ212" t="s">
        <v>4767</v>
      </c>
      <c r="AR212" t="s">
        <v>12</v>
      </c>
      <c r="AS212" t="s">
        <v>12</v>
      </c>
      <c r="AT212" t="s">
        <v>4</v>
      </c>
      <c r="AU212" t="s">
        <v>4</v>
      </c>
      <c r="AV212" t="s">
        <v>4</v>
      </c>
      <c r="AW212" t="s">
        <v>11</v>
      </c>
      <c r="AX212">
        <v>5500</v>
      </c>
      <c r="AY212">
        <v>7400</v>
      </c>
      <c r="AZ212" t="s">
        <v>12</v>
      </c>
      <c r="BA212" t="s">
        <v>12</v>
      </c>
      <c r="BB212" t="s">
        <v>12</v>
      </c>
      <c r="BC212" t="s">
        <v>1134</v>
      </c>
      <c r="BD212" t="s">
        <v>5802</v>
      </c>
      <c r="BE212" t="s">
        <v>12</v>
      </c>
      <c r="BF212" t="s">
        <v>12</v>
      </c>
      <c r="BG212" t="s">
        <v>12</v>
      </c>
      <c r="BH212" t="s">
        <v>12</v>
      </c>
      <c r="BI212" t="s">
        <v>12</v>
      </c>
      <c r="BJ212" t="s">
        <v>5898</v>
      </c>
      <c r="BK212" t="s">
        <v>12</v>
      </c>
      <c r="BL212">
        <v>1</v>
      </c>
      <c r="BM212" t="s">
        <v>12</v>
      </c>
      <c r="BN212">
        <v>12900</v>
      </c>
      <c r="BO212" t="s">
        <v>12</v>
      </c>
      <c r="BP212" t="s">
        <v>12</v>
      </c>
      <c r="BQ212" t="s">
        <v>12</v>
      </c>
      <c r="BR212" t="s">
        <v>4</v>
      </c>
      <c r="BS212" t="s">
        <v>4</v>
      </c>
      <c r="BT212" t="s">
        <v>4</v>
      </c>
      <c r="BU212" t="s">
        <v>12</v>
      </c>
      <c r="BV212" t="s">
        <v>4</v>
      </c>
      <c r="BW212" t="s">
        <v>3</v>
      </c>
      <c r="BX212" t="s">
        <v>4</v>
      </c>
      <c r="BY212" t="s">
        <v>12</v>
      </c>
      <c r="BZ212" t="s">
        <v>12</v>
      </c>
      <c r="CA212" t="s">
        <v>12</v>
      </c>
      <c r="CB212" t="s">
        <v>1074</v>
      </c>
      <c r="CC212" t="s">
        <v>12</v>
      </c>
      <c r="CD212" t="str" cm="1">
        <f t="array" aca="1" ref="CD212" ca="1">eConcatenar(A212:CB212,"|")</f>
        <v>v5Rwes4RarkmYsGC|COM2020-1911|3|ECONOLINE|TABASCO|COMALCALCO|COMALCALCO|2021-9-05|12900|X|X|100|0|x|X|x|X|X|X|X|X|X|X|X|x|X|x|HERRERA|HERNANDEZ|BARTOLA|SOLTERA|X|X|CARRETERA VECINAL COMALCALCO PARAISO|OCCIDENTE PRIMERA SECCION |X|9331173410|FRANCISCO HERRERA HERNANDEZ|BENEFICIARIO 2: OCTAVIO HERRERA HERNANDEZ|x|RUTA 4 M|X|MIERCOLES |x|x|X|X|X|DOMICILIO|5500|7400|x|x|x|2021-9-22|2021-9-29|x|x|x|x|x|OCCIDENTE PRIMERA SECCION|x|1|x|12900|x|x|x|X|X|X|x|X|CARDENAS|X|x|x|x|final</v>
      </c>
    </row>
    <row r="213" spans="1:82" x14ac:dyDescent="0.25">
      <c r="A213" t="s">
        <v>6368</v>
      </c>
      <c r="B213" t="s">
        <v>6369</v>
      </c>
      <c r="C213">
        <v>3</v>
      </c>
      <c r="D213" t="s">
        <v>194</v>
      </c>
      <c r="E213" t="s">
        <v>2</v>
      </c>
      <c r="F213" t="s">
        <v>654</v>
      </c>
      <c r="G213" t="s">
        <v>654</v>
      </c>
      <c r="H213" t="s">
        <v>5072</v>
      </c>
      <c r="I213">
        <v>12900</v>
      </c>
      <c r="J213" t="s">
        <v>4</v>
      </c>
      <c r="K213" t="s">
        <v>4</v>
      </c>
      <c r="L213">
        <v>200</v>
      </c>
      <c r="M213">
        <v>1</v>
      </c>
      <c r="N213" t="s">
        <v>12</v>
      </c>
      <c r="O213" t="s">
        <v>4</v>
      </c>
      <c r="P213" t="s">
        <v>12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12</v>
      </c>
      <c r="Z213" t="s">
        <v>4</v>
      </c>
      <c r="AA213" t="s">
        <v>12</v>
      </c>
      <c r="AB213" t="s">
        <v>6370</v>
      </c>
      <c r="AC213" t="s">
        <v>55</v>
      </c>
      <c r="AD213" t="s">
        <v>6371</v>
      </c>
      <c r="AE213" t="s">
        <v>59</v>
      </c>
      <c r="AF213" t="s">
        <v>4</v>
      </c>
      <c r="AG213" t="s">
        <v>4</v>
      </c>
      <c r="AH213" t="s">
        <v>6372</v>
      </c>
      <c r="AI213" t="s">
        <v>906</v>
      </c>
      <c r="AJ213" t="s">
        <v>4</v>
      </c>
      <c r="AK213">
        <v>9331343853</v>
      </c>
      <c r="AL213" t="s">
        <v>6373</v>
      </c>
      <c r="AM213" t="s">
        <v>6374</v>
      </c>
      <c r="AN213" t="s">
        <v>12</v>
      </c>
      <c r="AO213" t="s">
        <v>6118</v>
      </c>
      <c r="AP213" t="s">
        <v>4</v>
      </c>
      <c r="AQ213" t="s">
        <v>4767</v>
      </c>
      <c r="AR213" t="s">
        <v>12</v>
      </c>
      <c r="AS213" t="s">
        <v>12</v>
      </c>
      <c r="AT213" t="s">
        <v>4</v>
      </c>
      <c r="AU213" t="s">
        <v>4</v>
      </c>
      <c r="AV213" t="s">
        <v>4</v>
      </c>
      <c r="AW213" t="s">
        <v>11</v>
      </c>
      <c r="AX213">
        <v>12160</v>
      </c>
      <c r="AY213">
        <v>740</v>
      </c>
      <c r="AZ213" t="s">
        <v>12</v>
      </c>
      <c r="BA213" t="s">
        <v>12</v>
      </c>
      <c r="BB213" t="s">
        <v>4</v>
      </c>
      <c r="BC213" t="s">
        <v>1134</v>
      </c>
      <c r="BD213" t="s">
        <v>5309</v>
      </c>
      <c r="BE213" t="s">
        <v>4</v>
      </c>
      <c r="BF213" t="s">
        <v>12</v>
      </c>
      <c r="BG213" t="s">
        <v>4</v>
      </c>
      <c r="BH213" t="s">
        <v>12</v>
      </c>
      <c r="BI213" t="s">
        <v>12</v>
      </c>
      <c r="BJ213" t="s">
        <v>906</v>
      </c>
      <c r="BK213" t="s">
        <v>4</v>
      </c>
      <c r="BL213">
        <v>0</v>
      </c>
      <c r="BM213" t="s">
        <v>12</v>
      </c>
      <c r="BN213">
        <v>12900</v>
      </c>
      <c r="BO213" t="s">
        <v>12</v>
      </c>
      <c r="BP213" t="s">
        <v>12</v>
      </c>
      <c r="BQ213" t="s">
        <v>12</v>
      </c>
      <c r="BR213" t="s">
        <v>4</v>
      </c>
      <c r="BS213" t="s">
        <v>4</v>
      </c>
      <c r="BT213" t="s">
        <v>4</v>
      </c>
      <c r="BU213" t="s">
        <v>12</v>
      </c>
      <c r="BV213" t="s">
        <v>4</v>
      </c>
      <c r="BW213" t="s">
        <v>3</v>
      </c>
      <c r="BX213" t="s">
        <v>4</v>
      </c>
      <c r="BY213" t="s">
        <v>12</v>
      </c>
      <c r="BZ213" t="s">
        <v>12</v>
      </c>
      <c r="CA213" t="s">
        <v>12</v>
      </c>
      <c r="CB213" t="s">
        <v>1074</v>
      </c>
      <c r="CC213" t="s">
        <v>12</v>
      </c>
      <c r="CD213" t="str" cm="1">
        <f t="array" aca="1" ref="CD213" ca="1">eConcatenar(A213:CB213,"|")</f>
        <v>3867BWY3m6HHUEt0|PAR2020-1530|3|ECONOLINE|TABASCO|PARAISO|PARAISO|2021-10-04|12900|X|X|200|1|x|X|x|X|X|X|X|X|X|X|X|x|X|x|MOLINA|GARCIA|FELIX|CASADO|X|X|CALLE LUIS DONALDO COLOSIO SIN NUMERO|PUERTO CEIBA CARRIZAL |X|9331343853|MARIA DOLORES JIMENEZ CUPIL|BENEFICIARIO 2: ERENDIDA MOLINA JIMENEZ|x|RUTA 4 M|X|MIERCOLES |x|x|X|X|X|DOMICILIO|12160|740|x|x|X|2021-9-22|2021-9-06|X|x|X|x|x|PUERTO CEIBA CARRIZAL |X|0|x|12900|x|x|x|X|X|X|x|X|CARDENAS|X|x|x|x|final</v>
      </c>
    </row>
    <row r="214" spans="1:82" x14ac:dyDescent="0.25">
      <c r="A214" t="s">
        <v>6375</v>
      </c>
      <c r="B214" t="s">
        <v>6376</v>
      </c>
      <c r="C214">
        <v>3</v>
      </c>
      <c r="D214" t="s">
        <v>194</v>
      </c>
      <c r="E214" t="s">
        <v>2</v>
      </c>
      <c r="F214" t="s">
        <v>654</v>
      </c>
      <c r="G214" t="s">
        <v>654</v>
      </c>
      <c r="H214" t="s">
        <v>6242</v>
      </c>
      <c r="I214">
        <v>12900</v>
      </c>
      <c r="J214" t="s">
        <v>4</v>
      </c>
      <c r="K214" t="s">
        <v>4</v>
      </c>
      <c r="L214">
        <v>100</v>
      </c>
      <c r="M214">
        <v>0</v>
      </c>
      <c r="N214" t="s">
        <v>12</v>
      </c>
      <c r="O214" t="s">
        <v>4</v>
      </c>
      <c r="P214" t="s">
        <v>12</v>
      </c>
      <c r="Q214" t="s">
        <v>4</v>
      </c>
      <c r="R214" t="s">
        <v>4</v>
      </c>
      <c r="S214" t="s">
        <v>4</v>
      </c>
      <c r="T214" t="s">
        <v>4</v>
      </c>
      <c r="U214" t="s">
        <v>4</v>
      </c>
      <c r="V214" t="s">
        <v>4</v>
      </c>
      <c r="W214" t="s">
        <v>4</v>
      </c>
      <c r="X214" t="s">
        <v>4</v>
      </c>
      <c r="Y214" t="s">
        <v>12</v>
      </c>
      <c r="Z214" t="s">
        <v>4</v>
      </c>
      <c r="AA214" t="s">
        <v>12</v>
      </c>
      <c r="AB214" t="s">
        <v>6</v>
      </c>
      <c r="AC214" t="s">
        <v>4721</v>
      </c>
      <c r="AD214" t="s">
        <v>505</v>
      </c>
      <c r="AE214" t="s">
        <v>59</v>
      </c>
      <c r="AF214" t="s">
        <v>4</v>
      </c>
      <c r="AG214" t="s">
        <v>4</v>
      </c>
      <c r="AH214" t="s">
        <v>6372</v>
      </c>
      <c r="AI214" t="s">
        <v>906</v>
      </c>
      <c r="AJ214" t="s">
        <v>6377</v>
      </c>
      <c r="AK214">
        <v>9331036041</v>
      </c>
      <c r="AL214" t="s">
        <v>6378</v>
      </c>
      <c r="AM214" t="s">
        <v>6379</v>
      </c>
      <c r="AN214" t="s">
        <v>12</v>
      </c>
      <c r="AO214" t="s">
        <v>6118</v>
      </c>
      <c r="AP214" t="s">
        <v>4</v>
      </c>
      <c r="AQ214" t="s">
        <v>4767</v>
      </c>
      <c r="AR214" t="s">
        <v>12</v>
      </c>
      <c r="AS214" t="s">
        <v>12</v>
      </c>
      <c r="AT214" t="s">
        <v>4</v>
      </c>
      <c r="AU214" t="s">
        <v>4</v>
      </c>
      <c r="AV214" t="s">
        <v>4</v>
      </c>
      <c r="AW214" t="s">
        <v>11</v>
      </c>
      <c r="AX214">
        <v>6100</v>
      </c>
      <c r="AY214">
        <v>6800</v>
      </c>
      <c r="AZ214" t="s">
        <v>12</v>
      </c>
      <c r="BA214" t="s">
        <v>12</v>
      </c>
      <c r="BB214" t="s">
        <v>4</v>
      </c>
      <c r="BC214" t="s">
        <v>1134</v>
      </c>
      <c r="BD214" t="s">
        <v>5309</v>
      </c>
      <c r="BE214" t="s">
        <v>4</v>
      </c>
      <c r="BF214" t="s">
        <v>12</v>
      </c>
      <c r="BG214" t="s">
        <v>4</v>
      </c>
      <c r="BH214" t="s">
        <v>12</v>
      </c>
      <c r="BI214" t="s">
        <v>12</v>
      </c>
      <c r="BJ214" t="s">
        <v>906</v>
      </c>
      <c r="BK214" t="s">
        <v>4</v>
      </c>
      <c r="BL214">
        <v>1</v>
      </c>
      <c r="BM214" t="s">
        <v>12</v>
      </c>
      <c r="BN214">
        <v>12900</v>
      </c>
      <c r="BO214" t="s">
        <v>12</v>
      </c>
      <c r="BP214" t="s">
        <v>12</v>
      </c>
      <c r="BQ214" t="s">
        <v>12</v>
      </c>
      <c r="BR214" t="s">
        <v>4</v>
      </c>
      <c r="BS214" t="s">
        <v>4</v>
      </c>
      <c r="BT214" t="s">
        <v>4</v>
      </c>
      <c r="BU214" t="s">
        <v>12</v>
      </c>
      <c r="BV214" t="s">
        <v>4</v>
      </c>
      <c r="BW214" t="s">
        <v>3</v>
      </c>
      <c r="BX214" t="s">
        <v>4</v>
      </c>
      <c r="BY214" t="s">
        <v>12</v>
      </c>
      <c r="BZ214" t="s">
        <v>12</v>
      </c>
      <c r="CA214" t="s">
        <v>12</v>
      </c>
      <c r="CB214" t="s">
        <v>1074</v>
      </c>
      <c r="CC214" t="s">
        <v>12</v>
      </c>
      <c r="CD214" t="str" cm="1">
        <f t="array" aca="1" ref="CD214" ca="1">eConcatenar(A214:CB214,"|")</f>
        <v>PqtBOLLDyaVoR8cZ|PAR2020-1529|3|ECONOLINE|TABASCO|PARAISO|PARAISO|2021-8-04|12900|X|X|100|0|x|X|x|X|X|X|X|X|X|X|X|x|X|x|DE LA CRUZ|AREVALO|MARGARITA|CASADO|X|X|CALLE LUIS DONALDO COLOSIO SIN NUMERO|PUERTO CEIBA CARRIZAL |POR CARRETERA PRINCIPAL CARRIZAL|9331036041|ESTHER PEREZ DE LA CRUZ|BENEFICIARIO 2: ANTONIO JIMENEZ CUPIL|x|RUTA 4 M|X|MIERCOLES |x|x|X|X|X|DOMICILIO|6100|6800|x|x|X|2021-9-22|2021-9-06|X|x|X|x|x|PUERTO CEIBA CARRIZAL |X|1|x|12900|x|x|x|X|X|X|x|X|CARDENAS|X|x|x|x|final</v>
      </c>
    </row>
    <row r="215" spans="1:82" x14ac:dyDescent="0.25">
      <c r="A215" t="s">
        <v>6380</v>
      </c>
      <c r="B215" t="s">
        <v>6381</v>
      </c>
      <c r="C215">
        <v>3</v>
      </c>
      <c r="D215" t="s">
        <v>194</v>
      </c>
      <c r="E215" t="s">
        <v>2</v>
      </c>
      <c r="F215" t="s">
        <v>654</v>
      </c>
      <c r="G215" t="s">
        <v>654</v>
      </c>
      <c r="H215" t="s">
        <v>6242</v>
      </c>
      <c r="I215">
        <v>12900</v>
      </c>
      <c r="J215" t="s">
        <v>4</v>
      </c>
      <c r="K215" t="s">
        <v>4</v>
      </c>
      <c r="L215">
        <v>100</v>
      </c>
      <c r="M215">
        <v>0</v>
      </c>
      <c r="N215" t="s">
        <v>12</v>
      </c>
      <c r="O215" t="s">
        <v>4</v>
      </c>
      <c r="P215" t="s">
        <v>12</v>
      </c>
      <c r="Q215" t="s">
        <v>4</v>
      </c>
      <c r="R215" t="s">
        <v>4</v>
      </c>
      <c r="S215" t="s">
        <v>4</v>
      </c>
      <c r="T215" t="s">
        <v>4</v>
      </c>
      <c r="U215" t="s">
        <v>4</v>
      </c>
      <c r="V215" t="s">
        <v>4</v>
      </c>
      <c r="W215" t="s">
        <v>4</v>
      </c>
      <c r="X215" t="s">
        <v>4</v>
      </c>
      <c r="Y215" t="s">
        <v>12</v>
      </c>
      <c r="Z215" t="s">
        <v>4</v>
      </c>
      <c r="AA215" t="s">
        <v>12</v>
      </c>
      <c r="AB215" t="s">
        <v>74</v>
      </c>
      <c r="AC215" t="s">
        <v>55</v>
      </c>
      <c r="AD215" t="s">
        <v>6382</v>
      </c>
      <c r="AE215" t="s">
        <v>59</v>
      </c>
      <c r="AF215" t="s">
        <v>4</v>
      </c>
      <c r="AG215" t="s">
        <v>4</v>
      </c>
      <c r="AH215" t="s">
        <v>917</v>
      </c>
      <c r="AI215" t="s">
        <v>906</v>
      </c>
      <c r="AJ215" t="s">
        <v>6383</v>
      </c>
      <c r="AK215">
        <v>9331331434</v>
      </c>
      <c r="AL215" t="s">
        <v>6384</v>
      </c>
      <c r="AM215" t="s">
        <v>6334</v>
      </c>
      <c r="AN215" t="s">
        <v>12</v>
      </c>
      <c r="AO215" t="s">
        <v>6118</v>
      </c>
      <c r="AP215" t="s">
        <v>4</v>
      </c>
      <c r="AQ215" t="s">
        <v>4767</v>
      </c>
      <c r="AR215" t="s">
        <v>12</v>
      </c>
      <c r="AS215" t="s">
        <v>12</v>
      </c>
      <c r="AT215" t="s">
        <v>4</v>
      </c>
      <c r="AU215" t="s">
        <v>4</v>
      </c>
      <c r="AV215" t="s">
        <v>4</v>
      </c>
      <c r="AW215" t="s">
        <v>11</v>
      </c>
      <c r="AX215">
        <v>6100</v>
      </c>
      <c r="AY215">
        <v>6800</v>
      </c>
      <c r="AZ215" t="s">
        <v>12</v>
      </c>
      <c r="BA215" t="s">
        <v>12</v>
      </c>
      <c r="BB215" t="s">
        <v>4</v>
      </c>
      <c r="BC215" t="s">
        <v>1134</v>
      </c>
      <c r="BD215" t="s">
        <v>5802</v>
      </c>
      <c r="BE215" t="s">
        <v>4</v>
      </c>
      <c r="BF215" t="s">
        <v>12</v>
      </c>
      <c r="BG215" t="s">
        <v>4</v>
      </c>
      <c r="BH215" t="s">
        <v>12</v>
      </c>
      <c r="BI215" t="s">
        <v>12</v>
      </c>
      <c r="BJ215" t="s">
        <v>906</v>
      </c>
      <c r="BK215" t="s">
        <v>4</v>
      </c>
      <c r="BL215">
        <v>0</v>
      </c>
      <c r="BM215" t="s">
        <v>12</v>
      </c>
      <c r="BN215">
        <v>12900</v>
      </c>
      <c r="BO215" t="s">
        <v>12</v>
      </c>
      <c r="BP215" t="s">
        <v>12</v>
      </c>
      <c r="BQ215" t="s">
        <v>12</v>
      </c>
      <c r="BR215" t="s">
        <v>4</v>
      </c>
      <c r="BS215" t="s">
        <v>4</v>
      </c>
      <c r="BT215" t="s">
        <v>4</v>
      </c>
      <c r="BU215" t="s">
        <v>12</v>
      </c>
      <c r="BV215" t="s">
        <v>4</v>
      </c>
      <c r="BW215" t="s">
        <v>3</v>
      </c>
      <c r="BX215" t="s">
        <v>4</v>
      </c>
      <c r="BY215" t="s">
        <v>12</v>
      </c>
      <c r="BZ215" t="s">
        <v>12</v>
      </c>
      <c r="CA215" t="s">
        <v>12</v>
      </c>
      <c r="CB215" t="s">
        <v>1074</v>
      </c>
      <c r="CC215" t="s">
        <v>12</v>
      </c>
      <c r="CD215" t="str" cm="1">
        <f t="array" aca="1" ref="CD215" ca="1">eConcatenar(A215:CB215,"|")</f>
        <v>otYf2dfW462Zx858|PAR2020-1527|3|ECONOLINE|TABASCO|PARAISO|PARAISO|2021-8-04|12900|X|X|100|0|x|X|x|X|X|X|X|X|X|X|X|x|X|x|GARCIA |GARCIA|AMANCIO|CASADO|X|X|CALLE LOS PESCADORES SIN NUMERO|PUERTO CEIBA CARRIZAL |ENTRE CALLE JOSE MANUEL BARJAOS|9331331434|KARLA ESTELA GARCIA DE LA CRUZ|BENEFICIARIO 2: JOSE LUIS GARCIA DE LA CRUZ|x|RUTA 4 M|X|MIERCOLES |x|x|X|X|X|DOMICILIO|6100|6800|x|x|X|2021-9-22|2021-9-29|X|x|X|x|x|PUERTO CEIBA CARRIZAL |X|0|x|12900|x|x|x|X|X|X|x|X|CARDENAS|X|x|x|x|final</v>
      </c>
    </row>
    <row r="216" spans="1:82" x14ac:dyDescent="0.25">
      <c r="A216" t="s">
        <v>6385</v>
      </c>
      <c r="B216" t="s">
        <v>6386</v>
      </c>
      <c r="C216">
        <v>3</v>
      </c>
      <c r="D216" t="s">
        <v>194</v>
      </c>
      <c r="E216" t="s">
        <v>2</v>
      </c>
      <c r="F216" t="s">
        <v>654</v>
      </c>
      <c r="G216" t="s">
        <v>654</v>
      </c>
      <c r="H216" t="s">
        <v>6387</v>
      </c>
      <c r="I216">
        <v>12900</v>
      </c>
      <c r="J216" t="s">
        <v>4</v>
      </c>
      <c r="K216" t="s">
        <v>4</v>
      </c>
      <c r="L216">
        <v>100</v>
      </c>
      <c r="M216">
        <v>0</v>
      </c>
      <c r="N216" t="s">
        <v>12</v>
      </c>
      <c r="O216" t="s">
        <v>4</v>
      </c>
      <c r="P216" t="s">
        <v>12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4</v>
      </c>
      <c r="W216" t="s">
        <v>4</v>
      </c>
      <c r="X216" t="s">
        <v>4</v>
      </c>
      <c r="Y216" t="s">
        <v>12</v>
      </c>
      <c r="Z216" t="s">
        <v>4</v>
      </c>
      <c r="AA216" t="s">
        <v>12</v>
      </c>
      <c r="AB216" t="s">
        <v>4742</v>
      </c>
      <c r="AC216" t="s">
        <v>23</v>
      </c>
      <c r="AD216" t="s">
        <v>6388</v>
      </c>
      <c r="AE216" t="s">
        <v>59</v>
      </c>
      <c r="AF216" t="s">
        <v>4</v>
      </c>
      <c r="AG216" t="s">
        <v>4</v>
      </c>
      <c r="AH216" t="s">
        <v>917</v>
      </c>
      <c r="AI216" t="s">
        <v>906</v>
      </c>
      <c r="AJ216" t="s">
        <v>4</v>
      </c>
      <c r="AK216">
        <v>9331461524</v>
      </c>
      <c r="AL216" t="s">
        <v>6389</v>
      </c>
      <c r="AM216" t="s">
        <v>6390</v>
      </c>
      <c r="AN216" t="s">
        <v>12</v>
      </c>
      <c r="AO216" t="s">
        <v>6118</v>
      </c>
      <c r="AP216" t="s">
        <v>4</v>
      </c>
      <c r="AQ216" t="s">
        <v>4767</v>
      </c>
      <c r="AR216" t="s">
        <v>12</v>
      </c>
      <c r="AS216" t="s">
        <v>12</v>
      </c>
      <c r="AT216" t="s">
        <v>4</v>
      </c>
      <c r="AU216" t="s">
        <v>4</v>
      </c>
      <c r="AV216" t="s">
        <v>4</v>
      </c>
      <c r="AW216" t="s">
        <v>11</v>
      </c>
      <c r="AX216">
        <v>4700</v>
      </c>
      <c r="AY216">
        <v>8200</v>
      </c>
      <c r="AZ216" t="s">
        <v>12</v>
      </c>
      <c r="BA216" t="s">
        <v>12</v>
      </c>
      <c r="BB216" t="s">
        <v>4</v>
      </c>
      <c r="BC216" t="s">
        <v>1134</v>
      </c>
      <c r="BD216" t="s">
        <v>5802</v>
      </c>
      <c r="BE216" t="s">
        <v>4</v>
      </c>
      <c r="BF216" t="s">
        <v>12</v>
      </c>
      <c r="BG216" t="s">
        <v>4</v>
      </c>
      <c r="BH216" t="s">
        <v>12</v>
      </c>
      <c r="BI216" t="s">
        <v>12</v>
      </c>
      <c r="BJ216" t="s">
        <v>906</v>
      </c>
      <c r="BK216" t="s">
        <v>4</v>
      </c>
      <c r="BL216">
        <v>0</v>
      </c>
      <c r="BM216" t="s">
        <v>12</v>
      </c>
      <c r="BN216">
        <v>12900</v>
      </c>
      <c r="BO216" t="s">
        <v>12</v>
      </c>
      <c r="BP216" t="s">
        <v>12</v>
      </c>
      <c r="BQ216" t="s">
        <v>12</v>
      </c>
      <c r="BR216" t="s">
        <v>4</v>
      </c>
      <c r="BS216" t="s">
        <v>4</v>
      </c>
      <c r="BT216" t="s">
        <v>4</v>
      </c>
      <c r="BU216" t="s">
        <v>12</v>
      </c>
      <c r="BV216" t="s">
        <v>4</v>
      </c>
      <c r="BW216" t="s">
        <v>3</v>
      </c>
      <c r="BX216" t="s">
        <v>4</v>
      </c>
      <c r="BY216" t="s">
        <v>12</v>
      </c>
      <c r="BZ216" t="s">
        <v>12</v>
      </c>
      <c r="CA216" t="s">
        <v>12</v>
      </c>
      <c r="CB216" t="s">
        <v>1074</v>
      </c>
      <c r="CC216" t="s">
        <v>12</v>
      </c>
      <c r="CD216" t="str" cm="1">
        <f t="array" aca="1" ref="CD216" ca="1">eConcatenar(A216:CB216,"|")</f>
        <v>xKszk2AdAscUWGOL|PAR2020-1521|3|ECONOLINE|TABASCO|PARAISO|PARAISO|2021-8-03|12900|X|X|100|0|x|X|x|X|X|X|X|X|X|X|X|x|X|x|RODRIGUEZ |RAMOS|ELIAS|CASADO|X|X|CALLE LOS PESCADORES SIN NUMERO|PUERTO CEIBA CARRIZAL |X|9331461524|JANET RODRIGUEZ LOPEZ|BENEFICIARIO 2: ELIAS RODRIGUEZ CHEN|x|RUTA 4 M|X|MIERCOLES |x|x|X|X|X|DOMICILIO|4700|8200|x|x|X|2021-9-22|2021-9-29|X|x|X|x|x|PUERTO CEIBA CARRIZAL |X|0|x|12900|x|x|x|X|X|X|x|X|CARDENAS|X|x|x|x|final</v>
      </c>
    </row>
    <row r="217" spans="1:82" x14ac:dyDescent="0.25">
      <c r="A217" t="s">
        <v>6391</v>
      </c>
      <c r="B217" t="s">
        <v>6392</v>
      </c>
      <c r="C217">
        <v>3</v>
      </c>
      <c r="D217" t="s">
        <v>194</v>
      </c>
      <c r="E217" t="s">
        <v>2</v>
      </c>
      <c r="F217" t="s">
        <v>654</v>
      </c>
      <c r="G217" t="s">
        <v>654</v>
      </c>
      <c r="H217" t="s">
        <v>4750</v>
      </c>
      <c r="I217">
        <v>12900</v>
      </c>
      <c r="J217" t="s">
        <v>4</v>
      </c>
      <c r="K217" t="s">
        <v>4</v>
      </c>
      <c r="L217">
        <v>100</v>
      </c>
      <c r="M217">
        <v>0</v>
      </c>
      <c r="N217" t="s">
        <v>12</v>
      </c>
      <c r="O217" t="s">
        <v>4</v>
      </c>
      <c r="P217" t="s">
        <v>12</v>
      </c>
      <c r="Q217" t="s">
        <v>4</v>
      </c>
      <c r="R217" t="s">
        <v>4</v>
      </c>
      <c r="S217" t="s">
        <v>4</v>
      </c>
      <c r="T217" t="s">
        <v>4</v>
      </c>
      <c r="U217" t="s">
        <v>4</v>
      </c>
      <c r="V217" t="s">
        <v>4</v>
      </c>
      <c r="W217" t="s">
        <v>4</v>
      </c>
      <c r="X217" t="s">
        <v>4</v>
      </c>
      <c r="Y217" t="s">
        <v>12</v>
      </c>
      <c r="Z217" t="s">
        <v>4</v>
      </c>
      <c r="AA217" t="s">
        <v>12</v>
      </c>
      <c r="AB217" t="s">
        <v>109</v>
      </c>
      <c r="AC217" t="s">
        <v>109</v>
      </c>
      <c r="AD217" t="s">
        <v>6393</v>
      </c>
      <c r="AE217" t="s">
        <v>59</v>
      </c>
      <c r="AF217" t="s">
        <v>4</v>
      </c>
      <c r="AG217" t="s">
        <v>4</v>
      </c>
      <c r="AH217" t="s">
        <v>917</v>
      </c>
      <c r="AI217" t="s">
        <v>753</v>
      </c>
      <c r="AJ217" t="s">
        <v>4</v>
      </c>
      <c r="AK217">
        <v>9331345883</v>
      </c>
      <c r="AL217" t="s">
        <v>6394</v>
      </c>
      <c r="AM217" t="s">
        <v>6395</v>
      </c>
      <c r="AN217" t="s">
        <v>12</v>
      </c>
      <c r="AO217" t="s">
        <v>6118</v>
      </c>
      <c r="AP217" t="s">
        <v>4</v>
      </c>
      <c r="AQ217" t="s">
        <v>4767</v>
      </c>
      <c r="AR217" t="s">
        <v>12</v>
      </c>
      <c r="AS217" t="s">
        <v>12</v>
      </c>
      <c r="AT217" t="s">
        <v>4</v>
      </c>
      <c r="AU217" t="s">
        <v>4</v>
      </c>
      <c r="AV217" t="s">
        <v>4</v>
      </c>
      <c r="AW217" t="s">
        <v>11</v>
      </c>
      <c r="AX217">
        <v>6200</v>
      </c>
      <c r="AY217">
        <v>6700</v>
      </c>
      <c r="AZ217" t="s">
        <v>12</v>
      </c>
      <c r="BA217" t="s">
        <v>12</v>
      </c>
      <c r="BB217" t="s">
        <v>4</v>
      </c>
      <c r="BC217" t="s">
        <v>1134</v>
      </c>
      <c r="BD217" t="s">
        <v>5802</v>
      </c>
      <c r="BE217" t="s">
        <v>4</v>
      </c>
      <c r="BF217" t="s">
        <v>12</v>
      </c>
      <c r="BG217" t="s">
        <v>4</v>
      </c>
      <c r="BH217" t="s">
        <v>12</v>
      </c>
      <c r="BI217" t="s">
        <v>12</v>
      </c>
      <c r="BJ217" t="s">
        <v>906</v>
      </c>
      <c r="BK217" t="s">
        <v>4</v>
      </c>
      <c r="BL217">
        <v>0</v>
      </c>
      <c r="BM217" t="s">
        <v>12</v>
      </c>
      <c r="BN217">
        <v>12900</v>
      </c>
      <c r="BO217" t="s">
        <v>12</v>
      </c>
      <c r="BP217" t="s">
        <v>12</v>
      </c>
      <c r="BQ217" t="s">
        <v>12</v>
      </c>
      <c r="BR217" t="s">
        <v>4</v>
      </c>
      <c r="BS217" t="s">
        <v>4</v>
      </c>
      <c r="BT217" t="s">
        <v>4</v>
      </c>
      <c r="BU217" t="s">
        <v>12</v>
      </c>
      <c r="BV217" t="s">
        <v>4</v>
      </c>
      <c r="BW217" t="s">
        <v>3</v>
      </c>
      <c r="BX217" t="s">
        <v>4</v>
      </c>
      <c r="BY217" t="s">
        <v>12</v>
      </c>
      <c r="BZ217" t="s">
        <v>12</v>
      </c>
      <c r="CA217" t="s">
        <v>12</v>
      </c>
      <c r="CB217" t="s">
        <v>1074</v>
      </c>
      <c r="CC217" t="s">
        <v>12</v>
      </c>
      <c r="CD217" t="str" cm="1">
        <f t="array" aca="1" ref="CD217" ca="1">eConcatenar(A217:CB217,"|")</f>
        <v>zXXmf3rFUu3OBnAh|PAR2020-1507|3|ECONOLINE|TABASCO|PARAISO|PARAISO|2020-7-31|12900|X|X|100|0|x|X|x|X|X|X|X|X|X|X|X|x|X|x|PEREZ|PEREZ|ADRIAN|CASADO|X|X|CALLE LOS PESCADORES SIN NUMERO|VILLA PUERTO CEIBA|X|9331345883|CARMELA SEGURA MENESES|BENEFICIARIO 2: LUIS ROBERTO PEREZ PEREZ|x|RUTA 4 M|X|MIERCOLES |x|x|X|X|X|DOMICILIO|6200|6700|x|x|X|2021-9-22|2021-9-29|X|x|X|x|x|PUERTO CEIBA CARRIZAL |X|0|x|12900|x|x|x|X|X|X|x|X|CARDENAS|X|x|x|x|final</v>
      </c>
    </row>
    <row r="218" spans="1:82" x14ac:dyDescent="0.25">
      <c r="A218" t="s">
        <v>6396</v>
      </c>
      <c r="B218" t="s">
        <v>6397</v>
      </c>
      <c r="C218">
        <v>3</v>
      </c>
      <c r="D218" t="s">
        <v>194</v>
      </c>
      <c r="E218" t="s">
        <v>2</v>
      </c>
      <c r="F218" t="s">
        <v>654</v>
      </c>
      <c r="G218" t="s">
        <v>654</v>
      </c>
      <c r="H218" t="s">
        <v>4750</v>
      </c>
      <c r="I218">
        <v>12900</v>
      </c>
      <c r="J218" t="s">
        <v>4</v>
      </c>
      <c r="K218" t="s">
        <v>4</v>
      </c>
      <c r="L218">
        <v>100</v>
      </c>
      <c r="M218">
        <v>0</v>
      </c>
      <c r="N218" t="s">
        <v>12</v>
      </c>
      <c r="O218" t="s">
        <v>4</v>
      </c>
      <c r="P218" t="s">
        <v>12</v>
      </c>
      <c r="Q218" t="s">
        <v>4</v>
      </c>
      <c r="R218" t="s">
        <v>4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12</v>
      </c>
      <c r="Z218" t="s">
        <v>4</v>
      </c>
      <c r="AA218" t="s">
        <v>12</v>
      </c>
      <c r="AB218" t="s">
        <v>5566</v>
      </c>
      <c r="AC218" t="s">
        <v>109</v>
      </c>
      <c r="AD218" t="s">
        <v>6398</v>
      </c>
      <c r="AE218" t="s">
        <v>59</v>
      </c>
      <c r="AF218" t="s">
        <v>4</v>
      </c>
      <c r="AG218" t="s">
        <v>4</v>
      </c>
      <c r="AH218" t="s">
        <v>4861</v>
      </c>
      <c r="AI218" t="s">
        <v>753</v>
      </c>
      <c r="AJ218" t="s">
        <v>6399</v>
      </c>
      <c r="AK218">
        <v>9331055276</v>
      </c>
      <c r="AL218" t="s">
        <v>6400</v>
      </c>
      <c r="AM218" t="s">
        <v>4</v>
      </c>
      <c r="AN218" t="s">
        <v>12</v>
      </c>
      <c r="AO218" t="s">
        <v>6118</v>
      </c>
      <c r="AP218" t="s">
        <v>4</v>
      </c>
      <c r="AQ218" t="s">
        <v>4767</v>
      </c>
      <c r="AR218" t="s">
        <v>12</v>
      </c>
      <c r="AS218" t="s">
        <v>12</v>
      </c>
      <c r="AT218" t="s">
        <v>4</v>
      </c>
      <c r="AU218" t="s">
        <v>4</v>
      </c>
      <c r="AV218" t="s">
        <v>4</v>
      </c>
      <c r="AW218" t="s">
        <v>11</v>
      </c>
      <c r="AX218">
        <v>6200</v>
      </c>
      <c r="AY218">
        <v>6700</v>
      </c>
      <c r="AZ218" t="s">
        <v>12</v>
      </c>
      <c r="BA218" t="s">
        <v>12</v>
      </c>
      <c r="BB218" t="s">
        <v>4</v>
      </c>
      <c r="BC218" t="s">
        <v>1134</v>
      </c>
      <c r="BD218" t="s">
        <v>5802</v>
      </c>
      <c r="BE218" t="s">
        <v>4</v>
      </c>
      <c r="BF218" t="s">
        <v>12</v>
      </c>
      <c r="BG218" t="s">
        <v>4</v>
      </c>
      <c r="BH218" t="s">
        <v>12</v>
      </c>
      <c r="BI218" t="s">
        <v>12</v>
      </c>
      <c r="BJ218" t="s">
        <v>906</v>
      </c>
      <c r="BK218" t="s">
        <v>4</v>
      </c>
      <c r="BL218">
        <v>0</v>
      </c>
      <c r="BM218" t="s">
        <v>12</v>
      </c>
      <c r="BN218">
        <v>12900</v>
      </c>
      <c r="BO218" t="s">
        <v>12</v>
      </c>
      <c r="BP218" t="s">
        <v>12</v>
      </c>
      <c r="BQ218" t="s">
        <v>12</v>
      </c>
      <c r="BR218" t="s">
        <v>4</v>
      </c>
      <c r="BS218" t="s">
        <v>4</v>
      </c>
      <c r="BT218" t="s">
        <v>4</v>
      </c>
      <c r="BU218" t="s">
        <v>12</v>
      </c>
      <c r="BV218" t="s">
        <v>4</v>
      </c>
      <c r="BW218" t="s">
        <v>3</v>
      </c>
      <c r="BX218" t="s">
        <v>4</v>
      </c>
      <c r="BY218" t="s">
        <v>12</v>
      </c>
      <c r="BZ218" t="s">
        <v>12</v>
      </c>
      <c r="CA218" t="s">
        <v>12</v>
      </c>
      <c r="CB218" t="s">
        <v>1074</v>
      </c>
      <c r="CC218" t="s">
        <v>12</v>
      </c>
      <c r="CD218" t="str" cm="1">
        <f t="array" aca="1" ref="CD218" ca="1">eConcatenar(A218:CB218,"|")</f>
        <v>44rpYhEZmvWj6rmf|PAR2020-1506|3|ECONOLINE|TABASCO|PARAISO|PARAISO|2020-7-31|12900|X|X|100|0|x|X|x|X|X|X|X|X|X|X|X|x|X|x|ORTIZ|PEREZ|ALFONSO|CASADO|X|X|CALLE 27 DE FEBRERO SIN NUMERO|VILLA PUERTO CEIBA|ENTRE PRIMERO DE MAYO Y 27 DE FEBRERO|9331055276|DEMIS HERNANDEZ MORALES|X|x|RUTA 4 M|X|MIERCOLES |x|x|X|X|X|DOMICILIO|6200|6700|x|x|X|2021-9-22|2021-9-29|X|x|X|x|x|PUERTO CEIBA CARRIZAL |X|0|x|12900|x|x|x|X|X|X|x|X|CARDENAS|X|x|x|x|final</v>
      </c>
    </row>
    <row r="219" spans="1:82" x14ac:dyDescent="0.25">
      <c r="A219" t="s">
        <v>6401</v>
      </c>
      <c r="B219" t="s">
        <v>6402</v>
      </c>
      <c r="C219">
        <v>3</v>
      </c>
      <c r="D219" t="s">
        <v>194</v>
      </c>
      <c r="E219" t="s">
        <v>2</v>
      </c>
      <c r="F219" t="s">
        <v>654</v>
      </c>
      <c r="G219" t="s">
        <v>654</v>
      </c>
      <c r="H219" t="s">
        <v>6403</v>
      </c>
      <c r="I219">
        <v>12900</v>
      </c>
      <c r="J219" t="s">
        <v>4</v>
      </c>
      <c r="K219" t="s">
        <v>4</v>
      </c>
      <c r="L219">
        <v>100</v>
      </c>
      <c r="M219">
        <v>0</v>
      </c>
      <c r="N219" t="s">
        <v>12</v>
      </c>
      <c r="O219" t="s">
        <v>4</v>
      </c>
      <c r="P219" t="s">
        <v>12</v>
      </c>
      <c r="Q219" t="s">
        <v>4</v>
      </c>
      <c r="R219" t="s">
        <v>4</v>
      </c>
      <c r="S219" t="s">
        <v>4</v>
      </c>
      <c r="T219" t="s">
        <v>4</v>
      </c>
      <c r="U219" t="s">
        <v>4</v>
      </c>
      <c r="V219" t="s">
        <v>4</v>
      </c>
      <c r="W219" t="s">
        <v>4</v>
      </c>
      <c r="X219" t="s">
        <v>4</v>
      </c>
      <c r="Y219" t="s">
        <v>12</v>
      </c>
      <c r="Z219" t="s">
        <v>4</v>
      </c>
      <c r="AA219" t="s">
        <v>12</v>
      </c>
      <c r="AB219" t="s">
        <v>94</v>
      </c>
      <c r="AC219" t="s">
        <v>265</v>
      </c>
      <c r="AD219" t="s">
        <v>853</v>
      </c>
      <c r="AE219" t="s">
        <v>29</v>
      </c>
      <c r="AF219" t="s">
        <v>4</v>
      </c>
      <c r="AG219" t="s">
        <v>4</v>
      </c>
      <c r="AH219" t="s">
        <v>6404</v>
      </c>
      <c r="AI219" t="s">
        <v>753</v>
      </c>
      <c r="AJ219" t="s">
        <v>4</v>
      </c>
      <c r="AK219">
        <v>9331575777</v>
      </c>
      <c r="AL219" t="s">
        <v>6405</v>
      </c>
      <c r="AM219" t="s">
        <v>6406</v>
      </c>
      <c r="AN219" t="s">
        <v>12</v>
      </c>
      <c r="AO219" t="s">
        <v>6118</v>
      </c>
      <c r="AP219" t="s">
        <v>4</v>
      </c>
      <c r="AQ219" t="s">
        <v>4767</v>
      </c>
      <c r="AR219" t="s">
        <v>12</v>
      </c>
      <c r="AS219" t="s">
        <v>12</v>
      </c>
      <c r="AT219" t="s">
        <v>4</v>
      </c>
      <c r="AU219" t="s">
        <v>4</v>
      </c>
      <c r="AV219" t="s">
        <v>4</v>
      </c>
      <c r="AW219" t="s">
        <v>11</v>
      </c>
      <c r="AX219">
        <v>6200</v>
      </c>
      <c r="AY219">
        <v>6700</v>
      </c>
      <c r="AZ219" t="s">
        <v>12</v>
      </c>
      <c r="BA219" t="s">
        <v>12</v>
      </c>
      <c r="BB219" t="s">
        <v>4</v>
      </c>
      <c r="BC219" t="s">
        <v>1134</v>
      </c>
      <c r="BD219" t="s">
        <v>6407</v>
      </c>
      <c r="BE219" t="s">
        <v>4</v>
      </c>
      <c r="BF219" t="s">
        <v>12</v>
      </c>
      <c r="BG219" t="s">
        <v>4</v>
      </c>
      <c r="BH219" t="s">
        <v>12</v>
      </c>
      <c r="BI219" t="s">
        <v>12</v>
      </c>
      <c r="BJ219" t="s">
        <v>906</v>
      </c>
      <c r="BK219" t="s">
        <v>4</v>
      </c>
      <c r="BL219">
        <v>1</v>
      </c>
      <c r="BM219" t="s">
        <v>12</v>
      </c>
      <c r="BN219">
        <v>12900</v>
      </c>
      <c r="BO219" t="s">
        <v>12</v>
      </c>
      <c r="BP219" t="s">
        <v>12</v>
      </c>
      <c r="BQ219" t="s">
        <v>12</v>
      </c>
      <c r="BR219" t="s">
        <v>4</v>
      </c>
      <c r="BS219" t="s">
        <v>4</v>
      </c>
      <c r="BT219" t="s">
        <v>4</v>
      </c>
      <c r="BU219" t="s">
        <v>12</v>
      </c>
      <c r="BV219" t="s">
        <v>4</v>
      </c>
      <c r="BW219" t="s">
        <v>3</v>
      </c>
      <c r="BX219" t="s">
        <v>4</v>
      </c>
      <c r="BY219" t="s">
        <v>12</v>
      </c>
      <c r="BZ219" t="s">
        <v>12</v>
      </c>
      <c r="CA219" t="s">
        <v>12</v>
      </c>
      <c r="CB219" t="s">
        <v>1074</v>
      </c>
      <c r="CC219" t="s">
        <v>12</v>
      </c>
      <c r="CD219" t="str" cm="1">
        <f t="array" aca="1" ref="CD219" ca="1">eConcatenar(A219:CB219,"|")</f>
        <v>qsPdDgorwlIZypKc|PAR2020-1361|3|ECONOLINE|TABASCO|PARAISO|PARAISO|2020-6-26|12900|X|X|100|0|x|X|x|X|X|X|X|X|X|X|X|x|X|x|GOMEZ|DOMINGUEZ|MARIA DEL ROSARIO|CASADA|X|X|CALLE 5 DE FEBRERO NUMERO 41|VILLA PUERTO CEIBA|X|9331575777|CARLOS ARTURO GUILLEMIN BERGES|BENEFICIARIO 2: SILVIA GOMEZ DOMINGUEZ|x|RUTA 4 M|X|MIERCOLES |x|x|X|X|X|DOMICILIO|6200|6700|x|x|X|2021-9-22|2021-10-29|X|x|X|x|x|PUERTO CEIBA CARRIZAL |X|1|x|12900|x|x|x|X|X|X|x|X|CARDENAS|X|x|x|x|final</v>
      </c>
    </row>
    <row r="220" spans="1:82" x14ac:dyDescent="0.25">
      <c r="A220" t="s">
        <v>6408</v>
      </c>
      <c r="B220" t="s">
        <v>6409</v>
      </c>
      <c r="C220">
        <v>3</v>
      </c>
      <c r="D220" t="s">
        <v>194</v>
      </c>
      <c r="E220" t="s">
        <v>2</v>
      </c>
      <c r="F220" t="s">
        <v>654</v>
      </c>
      <c r="G220" t="s">
        <v>654</v>
      </c>
      <c r="H220" t="s">
        <v>6410</v>
      </c>
      <c r="I220">
        <v>12900</v>
      </c>
      <c r="J220" t="s">
        <v>4</v>
      </c>
      <c r="K220" t="s">
        <v>4</v>
      </c>
      <c r="L220">
        <v>100</v>
      </c>
      <c r="M220">
        <v>0</v>
      </c>
      <c r="N220" t="s">
        <v>12</v>
      </c>
      <c r="O220" t="s">
        <v>4</v>
      </c>
      <c r="P220" t="s">
        <v>12</v>
      </c>
      <c r="Q220" t="s">
        <v>4</v>
      </c>
      <c r="R220" t="s">
        <v>4</v>
      </c>
      <c r="S220" t="s">
        <v>4</v>
      </c>
      <c r="T220" t="s">
        <v>4</v>
      </c>
      <c r="U220" t="s">
        <v>4</v>
      </c>
      <c r="V220" t="s">
        <v>4</v>
      </c>
      <c r="W220" t="s">
        <v>4</v>
      </c>
      <c r="X220" t="s">
        <v>4</v>
      </c>
      <c r="Y220" t="s">
        <v>12</v>
      </c>
      <c r="Z220" t="s">
        <v>4</v>
      </c>
      <c r="AA220" t="s">
        <v>12</v>
      </c>
      <c r="AB220" t="s">
        <v>6411</v>
      </c>
      <c r="AC220" t="s">
        <v>761</v>
      </c>
      <c r="AD220" t="s">
        <v>6412</v>
      </c>
      <c r="AE220" t="s">
        <v>59</v>
      </c>
      <c r="AF220" t="s">
        <v>4</v>
      </c>
      <c r="AG220" t="s">
        <v>4</v>
      </c>
      <c r="AH220" t="s">
        <v>6413</v>
      </c>
      <c r="AI220" t="s">
        <v>6319</v>
      </c>
      <c r="AJ220" t="s">
        <v>4</v>
      </c>
      <c r="AK220">
        <v>9331343495</v>
      </c>
      <c r="AL220" t="s">
        <v>6414</v>
      </c>
      <c r="AM220" t="s">
        <v>6415</v>
      </c>
      <c r="AN220" t="s">
        <v>12</v>
      </c>
      <c r="AO220" t="s">
        <v>6118</v>
      </c>
      <c r="AP220" t="s">
        <v>4</v>
      </c>
      <c r="AQ220" t="s">
        <v>4767</v>
      </c>
      <c r="AR220" t="s">
        <v>12</v>
      </c>
      <c r="AS220" t="s">
        <v>12</v>
      </c>
      <c r="AT220" t="s">
        <v>4</v>
      </c>
      <c r="AU220" t="s">
        <v>4</v>
      </c>
      <c r="AV220" t="s">
        <v>4</v>
      </c>
      <c r="AW220" t="s">
        <v>11</v>
      </c>
      <c r="AX220">
        <v>9200</v>
      </c>
      <c r="AY220">
        <v>3700</v>
      </c>
      <c r="AZ220" t="s">
        <v>12</v>
      </c>
      <c r="BA220" t="s">
        <v>12</v>
      </c>
      <c r="BB220" t="s">
        <v>4</v>
      </c>
      <c r="BC220" t="s">
        <v>1134</v>
      </c>
      <c r="BD220" t="s">
        <v>5802</v>
      </c>
      <c r="BE220" t="s">
        <v>4</v>
      </c>
      <c r="BF220" t="s">
        <v>12</v>
      </c>
      <c r="BG220" t="s">
        <v>4</v>
      </c>
      <c r="BH220" t="s">
        <v>12</v>
      </c>
      <c r="BI220" t="s">
        <v>12</v>
      </c>
      <c r="BJ220" t="s">
        <v>577</v>
      </c>
      <c r="BK220" t="s">
        <v>4</v>
      </c>
      <c r="BL220">
        <v>0</v>
      </c>
      <c r="BM220" t="s">
        <v>12</v>
      </c>
      <c r="BN220">
        <v>12900</v>
      </c>
      <c r="BO220" t="s">
        <v>12</v>
      </c>
      <c r="BP220" t="s">
        <v>12</v>
      </c>
      <c r="BQ220" t="s">
        <v>12</v>
      </c>
      <c r="BR220" t="s">
        <v>4</v>
      </c>
      <c r="BS220" t="s">
        <v>4</v>
      </c>
      <c r="BT220" t="s">
        <v>4</v>
      </c>
      <c r="BU220" t="s">
        <v>12</v>
      </c>
      <c r="BV220" t="s">
        <v>4</v>
      </c>
      <c r="BW220" t="s">
        <v>3</v>
      </c>
      <c r="BX220" t="s">
        <v>4</v>
      </c>
      <c r="BY220" t="s">
        <v>12</v>
      </c>
      <c r="BZ220" t="s">
        <v>12</v>
      </c>
      <c r="CA220" t="s">
        <v>12</v>
      </c>
      <c r="CB220" t="s">
        <v>1074</v>
      </c>
      <c r="CC220" t="s">
        <v>12</v>
      </c>
      <c r="CD220" t="str" cm="1">
        <f t="array" aca="1" ref="CD220" ca="1">eConcatenar(A220:CB220,"|")</f>
        <v>bQPGBGR4yNtHhizs|PAR2020-0985|3|ECONOLINE|TABASCO|PARAISO|PARAISO|2020-6-29|12900|X|X|100|0|x|X|x|X|X|X|X|X|X|X|X|x|X|x|SRISD|CASTELLANOS|LORENZO ANTONIO|CASADO|X|X|CALLE LAS PALMITAS SIN NUMERO|QUIINTIN ARAUZ|X|9331343495|CONCEPCION HERNANDEZ LOPES|BENEFICIARIO 2: IRMA ARIAS CASTELLANOS|x|RUTA 4 M|X|MIERCOLES |x|x|X|X|X|DOMICILIO|9200|3700|x|x|X|2021-9-22|2021-9-29|X|x|X|x|x|QUINTIN ARAUZ|X|0|x|12900|x|x|x|X|X|X|x|X|CARDENAS|X|x|x|x|final</v>
      </c>
    </row>
    <row r="221" spans="1:82" x14ac:dyDescent="0.25">
      <c r="A221" t="s">
        <v>6416</v>
      </c>
      <c r="B221" t="s">
        <v>6417</v>
      </c>
      <c r="C221">
        <v>3</v>
      </c>
      <c r="D221" t="s">
        <v>194</v>
      </c>
      <c r="E221" t="s">
        <v>2</v>
      </c>
      <c r="F221" t="s">
        <v>654</v>
      </c>
      <c r="G221" t="s">
        <v>654</v>
      </c>
      <c r="H221" t="s">
        <v>6418</v>
      </c>
      <c r="I221">
        <v>12900</v>
      </c>
      <c r="J221" t="s">
        <v>4</v>
      </c>
      <c r="K221" t="s">
        <v>4</v>
      </c>
      <c r="L221">
        <v>100</v>
      </c>
      <c r="M221">
        <v>0</v>
      </c>
      <c r="N221" t="s">
        <v>12</v>
      </c>
      <c r="O221" t="s">
        <v>4</v>
      </c>
      <c r="P221" t="s">
        <v>12</v>
      </c>
      <c r="Q221" t="s">
        <v>4</v>
      </c>
      <c r="R221" t="s">
        <v>4</v>
      </c>
      <c r="S221" t="s">
        <v>4</v>
      </c>
      <c r="T221" t="s">
        <v>4</v>
      </c>
      <c r="U221" t="s">
        <v>4</v>
      </c>
      <c r="V221" t="s">
        <v>4</v>
      </c>
      <c r="W221" t="s">
        <v>4</v>
      </c>
      <c r="X221" t="s">
        <v>4</v>
      </c>
      <c r="Y221" t="s">
        <v>12</v>
      </c>
      <c r="Z221" t="s">
        <v>4</v>
      </c>
      <c r="AA221" t="s">
        <v>12</v>
      </c>
      <c r="AB221" t="s">
        <v>6419</v>
      </c>
      <c r="AC221" t="s">
        <v>469</v>
      </c>
      <c r="AD221" t="s">
        <v>5139</v>
      </c>
      <c r="AE221" t="s">
        <v>134</v>
      </c>
      <c r="AF221" t="s">
        <v>4</v>
      </c>
      <c r="AG221" t="s">
        <v>4</v>
      </c>
      <c r="AH221" t="s">
        <v>6420</v>
      </c>
      <c r="AI221" t="s">
        <v>6421</v>
      </c>
      <c r="AJ221" t="s">
        <v>6422</v>
      </c>
      <c r="AK221" t="s">
        <v>4</v>
      </c>
      <c r="AL221" t="s">
        <v>6423</v>
      </c>
      <c r="AM221" t="s">
        <v>4</v>
      </c>
      <c r="AN221" t="s">
        <v>12</v>
      </c>
      <c r="AO221" t="s">
        <v>6118</v>
      </c>
      <c r="AP221" t="s">
        <v>4</v>
      </c>
      <c r="AQ221" t="s">
        <v>4767</v>
      </c>
      <c r="AR221" t="s">
        <v>12</v>
      </c>
      <c r="AS221" t="s">
        <v>12</v>
      </c>
      <c r="AT221" t="s">
        <v>4</v>
      </c>
      <c r="AU221" t="s">
        <v>4</v>
      </c>
      <c r="AV221" t="s">
        <v>4</v>
      </c>
      <c r="AW221" t="s">
        <v>11</v>
      </c>
      <c r="AX221">
        <v>5500</v>
      </c>
      <c r="AY221">
        <v>7400</v>
      </c>
      <c r="AZ221" t="s">
        <v>12</v>
      </c>
      <c r="BA221" t="s">
        <v>12</v>
      </c>
      <c r="BB221" t="s">
        <v>4</v>
      </c>
      <c r="BC221" t="s">
        <v>1134</v>
      </c>
      <c r="BD221" t="s">
        <v>5802</v>
      </c>
      <c r="BE221" t="s">
        <v>4</v>
      </c>
      <c r="BF221" t="s">
        <v>12</v>
      </c>
      <c r="BG221" t="s">
        <v>4</v>
      </c>
      <c r="BH221" t="s">
        <v>12</v>
      </c>
      <c r="BI221" t="s">
        <v>12</v>
      </c>
      <c r="BJ221" t="s">
        <v>6421</v>
      </c>
      <c r="BK221" t="s">
        <v>4</v>
      </c>
      <c r="BL221">
        <v>1</v>
      </c>
      <c r="BM221" t="s">
        <v>12</v>
      </c>
      <c r="BN221">
        <v>12900</v>
      </c>
      <c r="BO221" t="s">
        <v>12</v>
      </c>
      <c r="BP221" t="s">
        <v>12</v>
      </c>
      <c r="BQ221" t="s">
        <v>12</v>
      </c>
      <c r="BR221" t="s">
        <v>4</v>
      </c>
      <c r="BS221" t="s">
        <v>4</v>
      </c>
      <c r="BT221" t="s">
        <v>4</v>
      </c>
      <c r="BU221" t="s">
        <v>12</v>
      </c>
      <c r="BV221" t="s">
        <v>4</v>
      </c>
      <c r="BW221" t="s">
        <v>3</v>
      </c>
      <c r="BX221" t="s">
        <v>4</v>
      </c>
      <c r="BY221" t="s">
        <v>12</v>
      </c>
      <c r="BZ221" t="s">
        <v>12</v>
      </c>
      <c r="CA221" t="s">
        <v>12</v>
      </c>
      <c r="CB221" t="s">
        <v>1074</v>
      </c>
      <c r="CC221" t="s">
        <v>12</v>
      </c>
      <c r="CD221" t="str" cm="1">
        <f t="array" aca="1" ref="CD221" ca="1">eConcatenar(A221:CB221,"|")</f>
        <v>mcUCQsFcMGNOpKl7|PAR2020-0597|3|ECONOLINE|TABASCO|PARAISO|PARAISO|2020-3-11|12900|X|X|100|0|x|X|x|X|X|X|X|X|X|X|X|x|X|x|ONORIO|AGUILAR|BARTOLA|VIUDA|X|X|CALLE MANUEL SANCHEZ HERNANDEZ|CARLOS A MADRAZO BECERRA|ENTRE CALLE MAUEL SUAREZ HERRERA Y CARLOS A MADRAZO|X|BARTOLA ONORIO AGUILAR|X|x|RUTA 4 M|X|MIERCOLES |x|x|X|X|X|DOMICILIO|5500|7400|x|x|X|2021-9-22|2021-9-29|X|x|X|x|x|CARLOS A MADRAZO BECERRA|X|1|x|12900|x|x|x|X|X|X|x|X|CARDENAS|X|x|x|x|final</v>
      </c>
    </row>
    <row r="222" spans="1:82" x14ac:dyDescent="0.25">
      <c r="A222" t="s">
        <v>6424</v>
      </c>
      <c r="B222" t="s">
        <v>6425</v>
      </c>
      <c r="C222">
        <v>3</v>
      </c>
      <c r="D222" t="s">
        <v>194</v>
      </c>
      <c r="E222" t="s">
        <v>2</v>
      </c>
      <c r="F222" t="s">
        <v>654</v>
      </c>
      <c r="G222" t="s">
        <v>654</v>
      </c>
      <c r="H222" t="s">
        <v>6418</v>
      </c>
      <c r="I222">
        <v>12900</v>
      </c>
      <c r="J222" t="s">
        <v>4</v>
      </c>
      <c r="K222" t="s">
        <v>4</v>
      </c>
      <c r="L222">
        <v>100</v>
      </c>
      <c r="M222">
        <v>0</v>
      </c>
      <c r="N222" t="s">
        <v>12</v>
      </c>
      <c r="O222" t="s">
        <v>4</v>
      </c>
      <c r="P222" t="s">
        <v>12</v>
      </c>
      <c r="Q222" t="s">
        <v>4</v>
      </c>
      <c r="R222" t="s">
        <v>4</v>
      </c>
      <c r="S222" t="s">
        <v>4</v>
      </c>
      <c r="T222" t="s">
        <v>4</v>
      </c>
      <c r="U222" t="s">
        <v>4</v>
      </c>
      <c r="V222" t="s">
        <v>4</v>
      </c>
      <c r="W222" t="s">
        <v>4</v>
      </c>
      <c r="X222" t="s">
        <v>4</v>
      </c>
      <c r="Y222" t="s">
        <v>12</v>
      </c>
      <c r="Z222" t="s">
        <v>4</v>
      </c>
      <c r="AA222" t="s">
        <v>12</v>
      </c>
      <c r="AB222" t="s">
        <v>89</v>
      </c>
      <c r="AC222" t="s">
        <v>238</v>
      </c>
      <c r="AD222" t="s">
        <v>6426</v>
      </c>
      <c r="AE222" t="s">
        <v>29</v>
      </c>
      <c r="AF222" t="s">
        <v>4</v>
      </c>
      <c r="AG222" t="s">
        <v>4</v>
      </c>
      <c r="AH222" t="s">
        <v>6427</v>
      </c>
      <c r="AI222" t="s">
        <v>6319</v>
      </c>
      <c r="AJ222" t="s">
        <v>4</v>
      </c>
      <c r="AK222">
        <v>9333333840</v>
      </c>
      <c r="AL222" t="s">
        <v>6428</v>
      </c>
      <c r="AM222" t="s">
        <v>6429</v>
      </c>
      <c r="AN222" t="s">
        <v>12</v>
      </c>
      <c r="AO222" t="s">
        <v>6118</v>
      </c>
      <c r="AP222" t="s">
        <v>4</v>
      </c>
      <c r="AQ222" t="s">
        <v>4767</v>
      </c>
      <c r="AR222" t="s">
        <v>12</v>
      </c>
      <c r="AS222" t="s">
        <v>12</v>
      </c>
      <c r="AT222" t="s">
        <v>4</v>
      </c>
      <c r="AU222" t="s">
        <v>4</v>
      </c>
      <c r="AV222" t="s">
        <v>4</v>
      </c>
      <c r="AW222" t="s">
        <v>11</v>
      </c>
      <c r="AX222">
        <v>7500</v>
      </c>
      <c r="AY222">
        <v>5400</v>
      </c>
      <c r="AZ222" t="s">
        <v>12</v>
      </c>
      <c r="BA222" t="s">
        <v>12</v>
      </c>
      <c r="BB222" t="s">
        <v>4</v>
      </c>
      <c r="BC222" t="s">
        <v>1134</v>
      </c>
      <c r="BD222" t="s">
        <v>5802</v>
      </c>
      <c r="BE222" t="s">
        <v>4</v>
      </c>
      <c r="BF222" t="s">
        <v>12</v>
      </c>
      <c r="BG222" t="s">
        <v>4</v>
      </c>
      <c r="BH222" t="s">
        <v>12</v>
      </c>
      <c r="BI222" t="s">
        <v>12</v>
      </c>
      <c r="BJ222" t="s">
        <v>577</v>
      </c>
      <c r="BK222" t="s">
        <v>4</v>
      </c>
      <c r="BL222">
        <v>1</v>
      </c>
      <c r="BM222" t="s">
        <v>12</v>
      </c>
      <c r="BN222">
        <v>12900</v>
      </c>
      <c r="BO222" t="s">
        <v>12</v>
      </c>
      <c r="BP222" t="s">
        <v>12</v>
      </c>
      <c r="BQ222" t="s">
        <v>12</v>
      </c>
      <c r="BR222" t="s">
        <v>4</v>
      </c>
      <c r="BS222" t="s">
        <v>4</v>
      </c>
      <c r="BT222" t="s">
        <v>4</v>
      </c>
      <c r="BU222" t="s">
        <v>12</v>
      </c>
      <c r="BV222" t="s">
        <v>4</v>
      </c>
      <c r="BW222" t="s">
        <v>3</v>
      </c>
      <c r="BX222" t="s">
        <v>4</v>
      </c>
      <c r="BY222" t="s">
        <v>12</v>
      </c>
      <c r="BZ222" t="s">
        <v>12</v>
      </c>
      <c r="CA222" t="s">
        <v>12</v>
      </c>
      <c r="CB222" t="s">
        <v>1074</v>
      </c>
      <c r="CC222" t="s">
        <v>12</v>
      </c>
      <c r="CD222" t="str" cm="1">
        <f t="array" aca="1" ref="CD222" ca="1">eConcatenar(A222:CB222,"|")</f>
        <v>ByIhxjWH2sa9Dl7E|PAR2020-0598|3|ECONOLINE|TABASCO|PARAISO|PARAISO|2020-3-11|12900|X|X|100|0|x|X|x|X|X|X|X|X|X|X|X|x|X|x|DE LA ROSA|JUAREZ|ASUNCION|CASADA|X|X|CALLE BUGAMBILIA SIN NUMERO|QUIINTIN ARAUZ|X|9333333840|JOSE MANUEL ULIN SALVADOR|BENEFICIARIO 2: ELSI ULIN DE LA ROSA|x|RUTA 4 M|X|MIERCOLES |x|x|X|X|X|DOMICILIO|7500|5400|x|x|X|2021-9-22|2021-9-29|X|x|X|x|x|QUINTIN ARAUZ|X|1|x|12900|x|x|x|X|X|X|x|X|CARDENAS|X|x|x|x|final</v>
      </c>
    </row>
    <row r="223" spans="1:82" x14ac:dyDescent="0.25">
      <c r="A223" t="s">
        <v>6430</v>
      </c>
      <c r="B223" t="s">
        <v>6431</v>
      </c>
      <c r="C223">
        <v>3</v>
      </c>
      <c r="D223" t="s">
        <v>194</v>
      </c>
      <c r="E223" t="s">
        <v>2</v>
      </c>
      <c r="F223" t="s">
        <v>654</v>
      </c>
      <c r="G223" t="s">
        <v>654</v>
      </c>
      <c r="H223" t="s">
        <v>6432</v>
      </c>
      <c r="I223">
        <v>12900</v>
      </c>
      <c r="J223" t="s">
        <v>4</v>
      </c>
      <c r="K223" t="s">
        <v>4</v>
      </c>
      <c r="L223">
        <v>100</v>
      </c>
      <c r="M223">
        <v>0</v>
      </c>
      <c r="N223" t="s">
        <v>12</v>
      </c>
      <c r="O223" t="s">
        <v>4</v>
      </c>
      <c r="P223" t="s">
        <v>12</v>
      </c>
      <c r="Q223" t="s">
        <v>4</v>
      </c>
      <c r="R223" t="s">
        <v>4</v>
      </c>
      <c r="S223" t="s">
        <v>4</v>
      </c>
      <c r="T223" t="s">
        <v>4</v>
      </c>
      <c r="U223" t="s">
        <v>4</v>
      </c>
      <c r="V223" t="s">
        <v>4</v>
      </c>
      <c r="W223" t="s">
        <v>4</v>
      </c>
      <c r="X223" t="s">
        <v>4</v>
      </c>
      <c r="Y223" t="s">
        <v>12</v>
      </c>
      <c r="Z223" t="s">
        <v>4</v>
      </c>
      <c r="AA223" t="s">
        <v>12</v>
      </c>
      <c r="AB223" t="s">
        <v>6433</v>
      </c>
      <c r="AC223" t="s">
        <v>6</v>
      </c>
      <c r="AD223" t="s">
        <v>643</v>
      </c>
      <c r="AE223" t="s">
        <v>17</v>
      </c>
      <c r="AF223" t="s">
        <v>4</v>
      </c>
      <c r="AG223" t="s">
        <v>4</v>
      </c>
      <c r="AH223" t="s">
        <v>6434</v>
      </c>
      <c r="AI223" t="s">
        <v>753</v>
      </c>
      <c r="AJ223" t="s">
        <v>6435</v>
      </c>
      <c r="AK223">
        <v>9933986473</v>
      </c>
      <c r="AL223" t="s">
        <v>6436</v>
      </c>
      <c r="AM223" t="s">
        <v>6437</v>
      </c>
      <c r="AN223" t="s">
        <v>12</v>
      </c>
      <c r="AO223" t="s">
        <v>6118</v>
      </c>
      <c r="AP223" t="s">
        <v>4</v>
      </c>
      <c r="AQ223" t="s">
        <v>4767</v>
      </c>
      <c r="AR223" t="s">
        <v>12</v>
      </c>
      <c r="AS223" t="s">
        <v>12</v>
      </c>
      <c r="AT223" t="s">
        <v>4</v>
      </c>
      <c r="AU223" t="s">
        <v>4</v>
      </c>
      <c r="AV223" t="s">
        <v>4</v>
      </c>
      <c r="AW223" t="s">
        <v>11</v>
      </c>
      <c r="AX223">
        <v>7700</v>
      </c>
      <c r="AY223">
        <v>5200</v>
      </c>
      <c r="AZ223" t="s">
        <v>12</v>
      </c>
      <c r="BA223" t="s">
        <v>12</v>
      </c>
      <c r="BB223" t="s">
        <v>4</v>
      </c>
      <c r="BC223" t="s">
        <v>1134</v>
      </c>
      <c r="BD223" t="s">
        <v>5802</v>
      </c>
      <c r="BE223" t="s">
        <v>4</v>
      </c>
      <c r="BF223" t="s">
        <v>12</v>
      </c>
      <c r="BG223" t="s">
        <v>4</v>
      </c>
      <c r="BH223" t="s">
        <v>12</v>
      </c>
      <c r="BI223" t="s">
        <v>12</v>
      </c>
      <c r="BJ223" t="s">
        <v>753</v>
      </c>
      <c r="BK223" t="s">
        <v>4</v>
      </c>
      <c r="BL223">
        <v>0</v>
      </c>
      <c r="BM223" t="s">
        <v>12</v>
      </c>
      <c r="BN223">
        <v>12900</v>
      </c>
      <c r="BO223" t="s">
        <v>12</v>
      </c>
      <c r="BP223" t="s">
        <v>12</v>
      </c>
      <c r="BQ223" t="s">
        <v>12</v>
      </c>
      <c r="BR223" t="s">
        <v>4</v>
      </c>
      <c r="BS223" t="s">
        <v>4</v>
      </c>
      <c r="BT223" t="s">
        <v>4</v>
      </c>
      <c r="BU223" t="s">
        <v>12</v>
      </c>
      <c r="BV223" t="s">
        <v>4</v>
      </c>
      <c r="BW223" t="s">
        <v>3</v>
      </c>
      <c r="BX223" t="s">
        <v>4</v>
      </c>
      <c r="BY223" t="s">
        <v>12</v>
      </c>
      <c r="BZ223" t="s">
        <v>12</v>
      </c>
      <c r="CA223" t="s">
        <v>12</v>
      </c>
      <c r="CB223" t="s">
        <v>1074</v>
      </c>
      <c r="CC223" t="s">
        <v>12</v>
      </c>
      <c r="CD223" t="str" cm="1">
        <f t="array" aca="1" ref="CD223" ca="1">eConcatenar(A223:CB223,"|")</f>
        <v>qtERxkRXEoPAOeeU|PAR2020-0579|3|ECONOLINE|TABASCO|PARAISO|PARAISO|2020-3-07|12900|X|X|100|0|x|X|x|X|X|X|X|X|X|X|X|x|X|x|LEON |DE LA CRUZ|JULIO CESAR|SOLTERO|X|X|CALLE ESQUINA 5 DE MAYO|VILLA PUERTO CEIBA|CALLE 5 DE MAYO ESQUINA CON 27 DE FEBRERO|9933986473|JOSE JUAN LEON SANTOS|BENEFICIARIO 2: MADELEINE DE LA CRUZ MAGAÑA|x|RUTA 4 M|X|MIERCOLES |x|x|X|X|X|DOMICILIO|7700|5200|x|x|X|2021-9-22|2021-9-29|X|x|X|x|x|VILLA PUERTO CEIBA|X|0|x|12900|x|x|x|X|X|X|x|X|CARDENAS|X|x|x|x|final</v>
      </c>
    </row>
    <row r="224" spans="1:82" x14ac:dyDescent="0.25">
      <c r="A224" t="s">
        <v>6438</v>
      </c>
      <c r="B224" t="s">
        <v>6439</v>
      </c>
      <c r="C224">
        <v>3</v>
      </c>
      <c r="D224" t="s">
        <v>194</v>
      </c>
      <c r="E224" t="s">
        <v>2</v>
      </c>
      <c r="F224" t="s">
        <v>722</v>
      </c>
      <c r="G224" t="s">
        <v>722</v>
      </c>
      <c r="H224" t="s">
        <v>4993</v>
      </c>
      <c r="I224">
        <v>12900</v>
      </c>
      <c r="J224" t="s">
        <v>4</v>
      </c>
      <c r="K224" t="s">
        <v>4</v>
      </c>
      <c r="L224">
        <v>100</v>
      </c>
      <c r="M224">
        <v>0</v>
      </c>
      <c r="N224" t="s">
        <v>12</v>
      </c>
      <c r="O224" t="s">
        <v>4</v>
      </c>
      <c r="P224" t="s">
        <v>12</v>
      </c>
      <c r="Q224" t="s">
        <v>4</v>
      </c>
      <c r="R224" t="s">
        <v>4</v>
      </c>
      <c r="S224" t="s">
        <v>4</v>
      </c>
      <c r="T224" t="s">
        <v>4</v>
      </c>
      <c r="U224" t="s">
        <v>4</v>
      </c>
      <c r="V224" t="s">
        <v>4</v>
      </c>
      <c r="W224" t="s">
        <v>4</v>
      </c>
      <c r="X224" t="s">
        <v>4</v>
      </c>
      <c r="Y224" t="s">
        <v>12</v>
      </c>
      <c r="Z224" t="s">
        <v>4</v>
      </c>
      <c r="AA224" t="s">
        <v>12</v>
      </c>
      <c r="AB224" t="s">
        <v>5034</v>
      </c>
      <c r="AC224" t="s">
        <v>655</v>
      </c>
      <c r="AD224" t="s">
        <v>5212</v>
      </c>
      <c r="AE224" t="s">
        <v>59</v>
      </c>
      <c r="AF224" t="s">
        <v>4</v>
      </c>
      <c r="AG224" t="s">
        <v>4</v>
      </c>
      <c r="AH224" t="s">
        <v>6440</v>
      </c>
      <c r="AI224" t="s">
        <v>2079</v>
      </c>
      <c r="AJ224" t="s">
        <v>6441</v>
      </c>
      <c r="AK224">
        <v>9331246809</v>
      </c>
      <c r="AL224" t="s">
        <v>6442</v>
      </c>
      <c r="AM224" t="s">
        <v>6443</v>
      </c>
      <c r="AN224" t="s">
        <v>12</v>
      </c>
      <c r="AO224" t="s">
        <v>6118</v>
      </c>
      <c r="AP224" t="s">
        <v>4</v>
      </c>
      <c r="AQ224" t="s">
        <v>4767</v>
      </c>
      <c r="AR224" t="s">
        <v>12</v>
      </c>
      <c r="AS224" t="s">
        <v>12</v>
      </c>
      <c r="AT224" t="s">
        <v>4</v>
      </c>
      <c r="AU224" t="s">
        <v>4</v>
      </c>
      <c r="AV224" t="s">
        <v>4</v>
      </c>
      <c r="AW224" t="s">
        <v>11</v>
      </c>
      <c r="AX224">
        <v>2600</v>
      </c>
      <c r="AY224">
        <v>5100</v>
      </c>
      <c r="AZ224" t="s">
        <v>12</v>
      </c>
      <c r="BA224" t="s">
        <v>12</v>
      </c>
      <c r="BB224" t="s">
        <v>4</v>
      </c>
      <c r="BC224" t="s">
        <v>1134</v>
      </c>
      <c r="BD224" t="s">
        <v>5802</v>
      </c>
      <c r="BE224" t="s">
        <v>4</v>
      </c>
      <c r="BF224" t="s">
        <v>12</v>
      </c>
      <c r="BG224" t="s">
        <v>4</v>
      </c>
      <c r="BH224" t="s">
        <v>12</v>
      </c>
      <c r="BI224" t="s">
        <v>12</v>
      </c>
      <c r="BJ224" t="s">
        <v>2079</v>
      </c>
      <c r="BK224" t="s">
        <v>4</v>
      </c>
      <c r="BL224">
        <v>0</v>
      </c>
      <c r="BM224" t="s">
        <v>12</v>
      </c>
      <c r="BN224">
        <v>12900</v>
      </c>
      <c r="BO224" t="s">
        <v>12</v>
      </c>
      <c r="BP224" t="s">
        <v>12</v>
      </c>
      <c r="BQ224" t="s">
        <v>12</v>
      </c>
      <c r="BR224" t="s">
        <v>4</v>
      </c>
      <c r="BS224" t="s">
        <v>4</v>
      </c>
      <c r="BT224" t="s">
        <v>4</v>
      </c>
      <c r="BU224" t="s">
        <v>12</v>
      </c>
      <c r="BV224" t="s">
        <v>4</v>
      </c>
      <c r="BW224" t="s">
        <v>3</v>
      </c>
      <c r="BX224" t="s">
        <v>4</v>
      </c>
      <c r="BY224" t="s">
        <v>12</v>
      </c>
      <c r="BZ224" t="s">
        <v>12</v>
      </c>
      <c r="CA224" t="s">
        <v>12</v>
      </c>
      <c r="CB224" t="s">
        <v>1074</v>
      </c>
      <c r="CC224" t="s">
        <v>12</v>
      </c>
      <c r="CD224" t="str" cm="1">
        <f t="array" aca="1" ref="CD224" ca="1">eConcatenar(A224:CB224,"|")</f>
        <v>9sGdexO96iddpO4g|COM2019-3431|3|ECONOLINE|TABASCO|COMALCALCO|COMALCALCO|2019-12-30|12900|X|X|100|0|x|X|x|X|X|X|X|X|X|X|X|x|X|x|GODINEZ|FLORES|OMAR|CASADO|X|X|CALLE MARIA CHAPUZ MANZANA 8 LOTE 9|SOLIDARIDAD|ENTRE CALLE GREGORIO MENDEZ Y REFORMA|9331246809|OMAR ALBERTO GODINEZ LEON |BENEFICIARIO 2: OVETALI LEON LAZARO|x|RUTA 4 M|X|MIERCOLES |x|x|X|X|X|DOMICILIO|2600|5100|x|x|X|2021-9-22|2021-9-29|X|x|X|x|x|SOLIDARIDAD|X|0|x|12900|x|x|x|X|X|X|x|X|CARDENAS|X|x|x|x|final</v>
      </c>
    </row>
    <row r="225" spans="1:82" x14ac:dyDescent="0.25">
      <c r="A225" t="s">
        <v>6444</v>
      </c>
      <c r="B225" t="s">
        <v>6445</v>
      </c>
      <c r="C225">
        <v>3</v>
      </c>
      <c r="D225" t="s">
        <v>194</v>
      </c>
      <c r="E225" t="s">
        <v>2</v>
      </c>
      <c r="F225" t="s">
        <v>654</v>
      </c>
      <c r="G225" t="s">
        <v>654</v>
      </c>
      <c r="H225" t="s">
        <v>6446</v>
      </c>
      <c r="I225">
        <v>12900</v>
      </c>
      <c r="J225" t="s">
        <v>4</v>
      </c>
      <c r="K225" t="s">
        <v>4</v>
      </c>
      <c r="L225">
        <v>100</v>
      </c>
      <c r="M225">
        <v>0</v>
      </c>
      <c r="N225" t="s">
        <v>12</v>
      </c>
      <c r="O225" t="s">
        <v>4</v>
      </c>
      <c r="P225" t="s">
        <v>12</v>
      </c>
      <c r="Q225" t="s">
        <v>4</v>
      </c>
      <c r="R225" t="s">
        <v>4</v>
      </c>
      <c r="S225" t="s">
        <v>4</v>
      </c>
      <c r="T225" t="s">
        <v>4</v>
      </c>
      <c r="U225" t="s">
        <v>4</v>
      </c>
      <c r="V225" t="s">
        <v>4</v>
      </c>
      <c r="W225" t="s">
        <v>4</v>
      </c>
      <c r="X225" t="s">
        <v>4</v>
      </c>
      <c r="Y225" t="s">
        <v>12</v>
      </c>
      <c r="Z225" t="s">
        <v>4</v>
      </c>
      <c r="AA225" t="s">
        <v>12</v>
      </c>
      <c r="AB225" t="s">
        <v>400</v>
      </c>
      <c r="AC225" t="s">
        <v>153</v>
      </c>
      <c r="AD225" t="s">
        <v>6447</v>
      </c>
      <c r="AE225" t="s">
        <v>6448</v>
      </c>
      <c r="AF225" t="s">
        <v>4</v>
      </c>
      <c r="AG225" t="s">
        <v>4</v>
      </c>
      <c r="AH225" t="s">
        <v>5316</v>
      </c>
      <c r="AI225" t="s">
        <v>688</v>
      </c>
      <c r="AJ225" t="s">
        <v>4</v>
      </c>
      <c r="AK225">
        <v>9331352980</v>
      </c>
      <c r="AL225" t="s">
        <v>6449</v>
      </c>
      <c r="AM225" t="s">
        <v>6450</v>
      </c>
      <c r="AN225" t="s">
        <v>12</v>
      </c>
      <c r="AO225" t="s">
        <v>6118</v>
      </c>
      <c r="AP225" t="s">
        <v>4</v>
      </c>
      <c r="AQ225" t="s">
        <v>4767</v>
      </c>
      <c r="AR225" t="s">
        <v>12</v>
      </c>
      <c r="AS225" t="s">
        <v>12</v>
      </c>
      <c r="AT225" t="s">
        <v>4</v>
      </c>
      <c r="AU225" t="s">
        <v>4</v>
      </c>
      <c r="AV225" t="s">
        <v>4</v>
      </c>
      <c r="AW225" t="s">
        <v>11</v>
      </c>
      <c r="AX225">
        <v>8000</v>
      </c>
      <c r="AY225">
        <v>4900</v>
      </c>
      <c r="AZ225" t="s">
        <v>12</v>
      </c>
      <c r="BA225" t="s">
        <v>12</v>
      </c>
      <c r="BB225" t="s">
        <v>4</v>
      </c>
      <c r="BC225" t="s">
        <v>1134</v>
      </c>
      <c r="BD225" t="s">
        <v>5802</v>
      </c>
      <c r="BE225" t="s">
        <v>4</v>
      </c>
      <c r="BF225" t="s">
        <v>12</v>
      </c>
      <c r="BG225" t="s">
        <v>4</v>
      </c>
      <c r="BH225" t="s">
        <v>12</v>
      </c>
      <c r="BI225" t="s">
        <v>12</v>
      </c>
      <c r="BJ225" t="s">
        <v>688</v>
      </c>
      <c r="BK225" t="s">
        <v>4</v>
      </c>
      <c r="BL225">
        <v>0</v>
      </c>
      <c r="BM225" t="s">
        <v>12</v>
      </c>
      <c r="BN225">
        <v>12900</v>
      </c>
      <c r="BO225" t="s">
        <v>12</v>
      </c>
      <c r="BP225" t="s">
        <v>12</v>
      </c>
      <c r="BQ225" t="s">
        <v>12</v>
      </c>
      <c r="BR225" t="s">
        <v>4</v>
      </c>
      <c r="BS225" t="s">
        <v>4</v>
      </c>
      <c r="BT225" t="s">
        <v>4</v>
      </c>
      <c r="BU225" t="s">
        <v>12</v>
      </c>
      <c r="BV225" t="s">
        <v>4</v>
      </c>
      <c r="BW225" t="s">
        <v>3</v>
      </c>
      <c r="BX225" t="s">
        <v>4</v>
      </c>
      <c r="BY225" t="s">
        <v>12</v>
      </c>
      <c r="BZ225" t="s">
        <v>12</v>
      </c>
      <c r="CA225" t="s">
        <v>12</v>
      </c>
      <c r="CB225" t="s">
        <v>1074</v>
      </c>
      <c r="CC225" t="s">
        <v>12</v>
      </c>
      <c r="CD225" t="str" cm="1">
        <f t="array" aca="1" ref="CD225" ca="1">eConcatenar(A225:CB225,"|")</f>
        <v>ILpXkdlyQrSffKc9|PAR2019-3294|3|ECONOLINE|TABASCO|PARAISO|PARAISO|2019-12-15|12900|X|X|100|0|x|X|x|X|X|X|X|X|X|X|X|x|X|x|CHABLE |GONZALEZ|MANUEL JESUS|PAPA SOLTERO|X|X|CARRETERA VECINAL COMALCALCO PARAISO|MOCTEZUMA PRIMERA SECCION|X|9331352980|LUIS ALBERTO CHABLE ANGULO|BENEFICIARIO 2: TERESITA DE JESUS CHABLE ANGULO|x|RUTA 4 M|X|MIERCOLES |x|x|X|X|X|DOMICILIO|8000|4900|x|x|X|2021-9-22|2021-9-29|X|x|X|x|x|MOCTEZUMA PRIMERA SECCION|X|0|x|12900|x|x|x|X|X|X|x|X|CARDENAS|X|x|x|x|final</v>
      </c>
    </row>
    <row r="226" spans="1:82" x14ac:dyDescent="0.25">
      <c r="A226" t="s">
        <v>6451</v>
      </c>
      <c r="B226" t="s">
        <v>6452</v>
      </c>
      <c r="C226">
        <v>3</v>
      </c>
      <c r="D226" t="s">
        <v>194</v>
      </c>
      <c r="E226" t="s">
        <v>2</v>
      </c>
      <c r="F226" t="s">
        <v>654</v>
      </c>
      <c r="G226" t="s">
        <v>654</v>
      </c>
      <c r="H226" t="s">
        <v>6453</v>
      </c>
      <c r="I226">
        <v>12900</v>
      </c>
      <c r="J226" t="s">
        <v>4</v>
      </c>
      <c r="K226" t="s">
        <v>4</v>
      </c>
      <c r="L226">
        <v>100</v>
      </c>
      <c r="M226">
        <v>0</v>
      </c>
      <c r="N226" t="s">
        <v>12</v>
      </c>
      <c r="O226" t="s">
        <v>4</v>
      </c>
      <c r="P226" t="s">
        <v>12</v>
      </c>
      <c r="Q226" t="s">
        <v>4</v>
      </c>
      <c r="R226" t="s">
        <v>4</v>
      </c>
      <c r="S226" t="s">
        <v>4</v>
      </c>
      <c r="T226" t="s">
        <v>4</v>
      </c>
      <c r="U226" t="s">
        <v>4</v>
      </c>
      <c r="V226" t="s">
        <v>4</v>
      </c>
      <c r="W226" t="s">
        <v>4</v>
      </c>
      <c r="X226" t="s">
        <v>4</v>
      </c>
      <c r="Y226" t="s">
        <v>12</v>
      </c>
      <c r="Z226" t="s">
        <v>4</v>
      </c>
      <c r="AA226" t="s">
        <v>12</v>
      </c>
      <c r="AB226" t="s">
        <v>36</v>
      </c>
      <c r="AC226" t="s">
        <v>5130</v>
      </c>
      <c r="AD226" t="s">
        <v>6454</v>
      </c>
      <c r="AE226" t="s">
        <v>59</v>
      </c>
      <c r="AF226" t="s">
        <v>4</v>
      </c>
      <c r="AG226" t="s">
        <v>4</v>
      </c>
      <c r="AH226" t="s">
        <v>5001</v>
      </c>
      <c r="AI226" t="s">
        <v>2052</v>
      </c>
      <c r="AJ226" t="s">
        <v>6455</v>
      </c>
      <c r="AK226">
        <v>9331152619</v>
      </c>
      <c r="AL226" t="s">
        <v>6456</v>
      </c>
      <c r="AM226" t="s">
        <v>6457</v>
      </c>
      <c r="AN226" t="s">
        <v>12</v>
      </c>
      <c r="AO226" t="s">
        <v>6118</v>
      </c>
      <c r="AP226" t="s">
        <v>4</v>
      </c>
      <c r="AQ226" t="s">
        <v>4767</v>
      </c>
      <c r="AR226" t="s">
        <v>12</v>
      </c>
      <c r="AS226" t="s">
        <v>12</v>
      </c>
      <c r="AT226" t="s">
        <v>4</v>
      </c>
      <c r="AU226" t="s">
        <v>4</v>
      </c>
      <c r="AV226" t="s">
        <v>4</v>
      </c>
      <c r="AW226" t="s">
        <v>11</v>
      </c>
      <c r="AX226">
        <v>7300</v>
      </c>
      <c r="AY226">
        <v>5600</v>
      </c>
      <c r="AZ226" t="s">
        <v>12</v>
      </c>
      <c r="BA226" t="s">
        <v>12</v>
      </c>
      <c r="BB226" t="s">
        <v>4</v>
      </c>
      <c r="BC226" t="s">
        <v>1134</v>
      </c>
      <c r="BD226" t="s">
        <v>5802</v>
      </c>
      <c r="BE226" t="s">
        <v>4</v>
      </c>
      <c r="BF226" t="s">
        <v>12</v>
      </c>
      <c r="BG226" t="s">
        <v>4</v>
      </c>
      <c r="BH226" t="s">
        <v>12</v>
      </c>
      <c r="BI226" t="s">
        <v>12</v>
      </c>
      <c r="BJ226" t="s">
        <v>1761</v>
      </c>
      <c r="BK226" t="s">
        <v>4</v>
      </c>
      <c r="BL226">
        <v>0</v>
      </c>
      <c r="BM226" t="s">
        <v>12</v>
      </c>
      <c r="BN226">
        <v>12900</v>
      </c>
      <c r="BO226" t="s">
        <v>12</v>
      </c>
      <c r="BP226" t="s">
        <v>12</v>
      </c>
      <c r="BQ226" t="s">
        <v>12</v>
      </c>
      <c r="BR226" t="s">
        <v>4</v>
      </c>
      <c r="BS226" t="s">
        <v>4</v>
      </c>
      <c r="BT226" t="s">
        <v>4</v>
      </c>
      <c r="BU226" t="s">
        <v>12</v>
      </c>
      <c r="BV226" t="s">
        <v>4</v>
      </c>
      <c r="BW226" t="s">
        <v>3</v>
      </c>
      <c r="BX226" t="s">
        <v>4</v>
      </c>
      <c r="BY226" t="s">
        <v>12</v>
      </c>
      <c r="BZ226" t="s">
        <v>12</v>
      </c>
      <c r="CA226" t="s">
        <v>12</v>
      </c>
      <c r="CB226" t="s">
        <v>1074</v>
      </c>
      <c r="CC226" t="s">
        <v>12</v>
      </c>
      <c r="CD226" t="str" cm="1">
        <f t="array" aca="1" ref="CD226" ca="1">eConcatenar(A226:CB226,"|")</f>
        <v>IsI1OGoRZCEJI5yu|PAR2019-2535|3|ECONOLINE|TABASCO|PARAISO|PARAISO|2019-9-09|12900|X|X|100|0|x|X|x|X|X|X|X|X|X|X|X|x|X|x|HERNANDEZ|PALMA|LUIS MATEO|CASADO|X|X|CALLE PRINCIPAL SIN NUMERO|FRANCISCO I MADERO|SALIDA DE CARRETERA FEDERAL|9331152619|PATRICIA ELENA GOMEZ GERONIMO|BENEFICIARIO 2: PATRICIA HERNANDEZ PALMA|x|RUTA 4 M|X|MIERCOLES |x|x|X|X|X|DOMICILIO|7300|5600|x|x|X|2021-9-22|2021-9-29|X|x|X|x|x|FRANCISCO I MADERO |X|0|x|12900|x|x|x|X|X|X|x|X|CARDENAS|X|x|x|x|final</v>
      </c>
    </row>
    <row r="227" spans="1:82" x14ac:dyDescent="0.25">
      <c r="A227" t="s">
        <v>6458</v>
      </c>
      <c r="B227" t="s">
        <v>6459</v>
      </c>
      <c r="C227">
        <v>3</v>
      </c>
      <c r="D227" t="s">
        <v>194</v>
      </c>
      <c r="E227" t="s">
        <v>2</v>
      </c>
      <c r="F227" t="s">
        <v>654</v>
      </c>
      <c r="G227" t="s">
        <v>654</v>
      </c>
      <c r="H227" t="s">
        <v>5875</v>
      </c>
      <c r="I227">
        <v>12900</v>
      </c>
      <c r="J227" t="s">
        <v>4</v>
      </c>
      <c r="K227" t="s">
        <v>4</v>
      </c>
      <c r="L227">
        <v>100</v>
      </c>
      <c r="M227">
        <v>0</v>
      </c>
      <c r="N227" t="s">
        <v>12</v>
      </c>
      <c r="O227" t="s">
        <v>4</v>
      </c>
      <c r="P227" t="s">
        <v>12</v>
      </c>
      <c r="Q227" t="s">
        <v>4</v>
      </c>
      <c r="R227" t="s">
        <v>4</v>
      </c>
      <c r="S227" t="s">
        <v>4</v>
      </c>
      <c r="T227" t="s">
        <v>4</v>
      </c>
      <c r="U227" t="s">
        <v>4</v>
      </c>
      <c r="V227" t="s">
        <v>4</v>
      </c>
      <c r="W227" t="s">
        <v>4</v>
      </c>
      <c r="X227" t="s">
        <v>4</v>
      </c>
      <c r="Y227" t="s">
        <v>12</v>
      </c>
      <c r="Z227" t="s">
        <v>4</v>
      </c>
      <c r="AA227" t="s">
        <v>12</v>
      </c>
      <c r="AB227" t="s">
        <v>36</v>
      </c>
      <c r="AC227" t="s">
        <v>36</v>
      </c>
      <c r="AD227" t="s">
        <v>113</v>
      </c>
      <c r="AE227" t="s">
        <v>29</v>
      </c>
      <c r="AF227" t="s">
        <v>4</v>
      </c>
      <c r="AG227" t="s">
        <v>4</v>
      </c>
      <c r="AH227" t="s">
        <v>729</v>
      </c>
      <c r="AI227" t="s">
        <v>5025</v>
      </c>
      <c r="AJ227" t="s">
        <v>4</v>
      </c>
      <c r="AK227">
        <v>9331213822</v>
      </c>
      <c r="AL227" t="s">
        <v>6460</v>
      </c>
      <c r="AM227" t="s">
        <v>6461</v>
      </c>
      <c r="AN227" t="s">
        <v>12</v>
      </c>
      <c r="AO227" t="s">
        <v>6118</v>
      </c>
      <c r="AP227" t="s">
        <v>4</v>
      </c>
      <c r="AQ227" t="s">
        <v>4767</v>
      </c>
      <c r="AR227" t="s">
        <v>12</v>
      </c>
      <c r="AS227" t="s">
        <v>12</v>
      </c>
      <c r="AT227" t="s">
        <v>4</v>
      </c>
      <c r="AU227" t="s">
        <v>4</v>
      </c>
      <c r="AV227" t="s">
        <v>4</v>
      </c>
      <c r="AW227" t="s">
        <v>11</v>
      </c>
      <c r="AX227">
        <v>10630</v>
      </c>
      <c r="AY227">
        <v>2270</v>
      </c>
      <c r="AZ227" t="s">
        <v>12</v>
      </c>
      <c r="BA227" t="s">
        <v>12</v>
      </c>
      <c r="BB227" t="s">
        <v>4</v>
      </c>
      <c r="BC227" t="s">
        <v>1134</v>
      </c>
      <c r="BD227" t="s">
        <v>5802</v>
      </c>
      <c r="BE227" t="s">
        <v>4</v>
      </c>
      <c r="BF227" t="s">
        <v>12</v>
      </c>
      <c r="BG227" t="s">
        <v>4</v>
      </c>
      <c r="BH227" t="s">
        <v>12</v>
      </c>
      <c r="BI227" t="s">
        <v>12</v>
      </c>
      <c r="BJ227" t="s">
        <v>5026</v>
      </c>
      <c r="BK227" t="s">
        <v>4</v>
      </c>
      <c r="BL227">
        <v>1</v>
      </c>
      <c r="BM227" t="s">
        <v>12</v>
      </c>
      <c r="BN227">
        <v>12900</v>
      </c>
      <c r="BO227" t="s">
        <v>12</v>
      </c>
      <c r="BP227" t="s">
        <v>12</v>
      </c>
      <c r="BQ227" t="s">
        <v>12</v>
      </c>
      <c r="BR227" t="s">
        <v>4</v>
      </c>
      <c r="BS227" t="s">
        <v>4</v>
      </c>
      <c r="BT227" t="s">
        <v>4</v>
      </c>
      <c r="BU227" t="s">
        <v>12</v>
      </c>
      <c r="BV227" t="s">
        <v>4</v>
      </c>
      <c r="BW227" t="s">
        <v>3</v>
      </c>
      <c r="BX227" t="s">
        <v>4</v>
      </c>
      <c r="BY227" t="s">
        <v>12</v>
      </c>
      <c r="BZ227" t="s">
        <v>12</v>
      </c>
      <c r="CA227" t="s">
        <v>12</v>
      </c>
      <c r="CB227" t="s">
        <v>1074</v>
      </c>
      <c r="CC227" t="s">
        <v>12</v>
      </c>
      <c r="CD227" t="str" cm="1">
        <f t="array" aca="1" ref="CD227" ca="1">eConcatenar(A227:CB227,"|")</f>
        <v>85LdWn1fek1Sd0Oh|PAR2019-2520|3|ECONOLINE|TABASCO|PARAISO|PARAISO|2019-9-05|12900|X|X|100|0|x|X|x|X|X|X|X|X|X|X|X|x|X|x|HERNANDEZ|HERNANDEZ|CONCEPCION|CASADA|X|X|CARRETERA FEDERAL COMALCALCO PARAISO SIN NUMERO|ORIENTE SEGUNDA SECCION |X|9331213822|ELADIO FUENTES AVALOS|BENEFICIARIO 2: INGRID NALLELY FUENTES HERNANDEZ|x|RUTA 4 M|X|MIERCOLES |x|x|X|X|X|DOMICILIO|10630|2270|x|x|X|2021-9-22|2021-9-29|X|x|X|x|x|ORIENTE SEGUNDA SECCION|X|1|x|12900|x|x|x|X|X|X|x|X|CARDENAS|X|x|x|x|final</v>
      </c>
    </row>
    <row r="228" spans="1:82" x14ac:dyDescent="0.25">
      <c r="A228" t="s">
        <v>6462</v>
      </c>
      <c r="B228" t="s">
        <v>6463</v>
      </c>
      <c r="C228">
        <v>3</v>
      </c>
      <c r="D228" t="s">
        <v>194</v>
      </c>
      <c r="E228" t="s">
        <v>2</v>
      </c>
      <c r="F228" t="s">
        <v>654</v>
      </c>
      <c r="G228" t="s">
        <v>654</v>
      </c>
      <c r="H228" t="s">
        <v>6076</v>
      </c>
      <c r="I228">
        <v>12900</v>
      </c>
      <c r="J228" t="s">
        <v>4</v>
      </c>
      <c r="K228" t="s">
        <v>4</v>
      </c>
      <c r="L228">
        <v>100</v>
      </c>
      <c r="M228">
        <v>0</v>
      </c>
      <c r="N228" t="s">
        <v>12</v>
      </c>
      <c r="O228" t="s">
        <v>4</v>
      </c>
      <c r="P228" t="s">
        <v>12</v>
      </c>
      <c r="Q228" t="s">
        <v>4</v>
      </c>
      <c r="R228" t="s">
        <v>4</v>
      </c>
      <c r="S228" t="s">
        <v>4</v>
      </c>
      <c r="T228" t="s">
        <v>4</v>
      </c>
      <c r="U228" t="s">
        <v>4</v>
      </c>
      <c r="V228" t="s">
        <v>4</v>
      </c>
      <c r="W228" t="s">
        <v>4</v>
      </c>
      <c r="X228" t="s">
        <v>4</v>
      </c>
      <c r="Y228" t="s">
        <v>12</v>
      </c>
      <c r="Z228" t="s">
        <v>4</v>
      </c>
      <c r="AA228" t="s">
        <v>12</v>
      </c>
      <c r="AB228" t="s">
        <v>4723</v>
      </c>
      <c r="AC228" t="s">
        <v>47</v>
      </c>
      <c r="AD228" t="s">
        <v>6464</v>
      </c>
      <c r="AE228" t="s">
        <v>134</v>
      </c>
      <c r="AF228" t="s">
        <v>4</v>
      </c>
      <c r="AG228" t="s">
        <v>4</v>
      </c>
      <c r="AH228" t="s">
        <v>6465</v>
      </c>
      <c r="AI228" t="s">
        <v>6466</v>
      </c>
      <c r="AJ228" t="s">
        <v>4</v>
      </c>
      <c r="AK228">
        <v>9331393070</v>
      </c>
      <c r="AL228" t="s">
        <v>6467</v>
      </c>
      <c r="AM228" t="s">
        <v>6468</v>
      </c>
      <c r="AN228" t="s">
        <v>12</v>
      </c>
      <c r="AO228" t="s">
        <v>6118</v>
      </c>
      <c r="AP228" t="s">
        <v>4</v>
      </c>
      <c r="AQ228" t="s">
        <v>4767</v>
      </c>
      <c r="AR228" t="s">
        <v>12</v>
      </c>
      <c r="AS228" t="s">
        <v>12</v>
      </c>
      <c r="AT228" t="s">
        <v>4</v>
      </c>
      <c r="AU228" t="s">
        <v>4</v>
      </c>
      <c r="AV228" t="s">
        <v>4</v>
      </c>
      <c r="AW228" t="s">
        <v>11</v>
      </c>
      <c r="AX228">
        <v>4600</v>
      </c>
      <c r="AY228">
        <v>8300</v>
      </c>
      <c r="AZ228" t="s">
        <v>12</v>
      </c>
      <c r="BA228" t="s">
        <v>12</v>
      </c>
      <c r="BB228" t="s">
        <v>4</v>
      </c>
      <c r="BC228" t="s">
        <v>1134</v>
      </c>
      <c r="BD228" t="s">
        <v>5802</v>
      </c>
      <c r="BE228" t="s">
        <v>4</v>
      </c>
      <c r="BF228" t="s">
        <v>12</v>
      </c>
      <c r="BG228" t="s">
        <v>4</v>
      </c>
      <c r="BH228" t="s">
        <v>12</v>
      </c>
      <c r="BI228" t="s">
        <v>12</v>
      </c>
      <c r="BJ228" t="s">
        <v>6469</v>
      </c>
      <c r="BK228" t="s">
        <v>4</v>
      </c>
      <c r="BL228">
        <v>1</v>
      </c>
      <c r="BM228" t="s">
        <v>12</v>
      </c>
      <c r="BN228">
        <v>12900</v>
      </c>
      <c r="BO228" t="s">
        <v>12</v>
      </c>
      <c r="BP228" t="s">
        <v>12</v>
      </c>
      <c r="BQ228" t="s">
        <v>12</v>
      </c>
      <c r="BR228" t="s">
        <v>4</v>
      </c>
      <c r="BS228" t="s">
        <v>4</v>
      </c>
      <c r="BT228" t="s">
        <v>4</v>
      </c>
      <c r="BU228" t="s">
        <v>12</v>
      </c>
      <c r="BV228" t="s">
        <v>4</v>
      </c>
      <c r="BW228" t="s">
        <v>3</v>
      </c>
      <c r="BX228" t="s">
        <v>4</v>
      </c>
      <c r="BY228" t="s">
        <v>12</v>
      </c>
      <c r="BZ228" t="s">
        <v>12</v>
      </c>
      <c r="CA228" t="s">
        <v>12</v>
      </c>
      <c r="CB228" t="s">
        <v>1074</v>
      </c>
      <c r="CC228" t="s">
        <v>12</v>
      </c>
      <c r="CD228" t="str" cm="1">
        <f t="array" aca="1" ref="CD228" ca="1">eConcatenar(A228:CB228,"|")</f>
        <v>Ghp4tJqKH6IsOBm6|PAR2019-2393|3|ECONOLINE|TABASCO|PARAISO|PARAISO|2019-9-02|12900|X|X|100|0|x|X|x|X|X|X|X|X|X|X|X|x|X|x|IZQUIERDO |SANCHEZ|CARMITA|VIUDA|X|X|ENTRADA SOBRINO PRIMER CALLEJON|LA ISLA ORIENTE PRIMERA SECCION |X|9331393070|PETRONILA HERNANDEZ IZQUIERDO|BENEFICIARIO 2: JUAN DIEGO HERNANDEZ IZQUIERDO|x|RUTA 4 M|X|MIERCOLES |x|x|X|X|X|DOMICILIO|4600|8300|x|x|X|2021-9-22|2021-9-29|X|x|X|x|x|ORIENTE PRIMERA SECCION PRIMERA SECCION |X|1|x|12900|x|x|x|X|X|X|x|X|CARDENAS|X|x|x|x|final</v>
      </c>
    </row>
    <row r="229" spans="1:82" x14ac:dyDescent="0.25">
      <c r="A229" t="s">
        <v>6470</v>
      </c>
      <c r="B229" t="s">
        <v>6471</v>
      </c>
      <c r="C229">
        <v>3</v>
      </c>
      <c r="D229" t="s">
        <v>194</v>
      </c>
      <c r="E229" t="s">
        <v>2</v>
      </c>
      <c r="F229" t="s">
        <v>654</v>
      </c>
      <c r="G229" t="s">
        <v>654</v>
      </c>
      <c r="H229" t="s">
        <v>6472</v>
      </c>
      <c r="I229">
        <v>11500</v>
      </c>
      <c r="J229" t="s">
        <v>4</v>
      </c>
      <c r="K229" t="s">
        <v>4</v>
      </c>
      <c r="L229">
        <v>200</v>
      </c>
      <c r="M229">
        <v>1</v>
      </c>
      <c r="N229" t="s">
        <v>4</v>
      </c>
      <c r="O229" t="s">
        <v>4</v>
      </c>
      <c r="P229" t="s">
        <v>4</v>
      </c>
      <c r="Q229" t="s">
        <v>4</v>
      </c>
      <c r="R229" t="s">
        <v>4</v>
      </c>
      <c r="S229" t="s">
        <v>4</v>
      </c>
      <c r="T229" t="s">
        <v>4</v>
      </c>
      <c r="U229" t="s">
        <v>4</v>
      </c>
      <c r="V229" t="s">
        <v>4</v>
      </c>
      <c r="W229" t="s">
        <v>4</v>
      </c>
      <c r="X229" t="s">
        <v>4</v>
      </c>
      <c r="Y229" t="s">
        <v>4</v>
      </c>
      <c r="Z229" t="s">
        <v>4</v>
      </c>
      <c r="AA229" t="s">
        <v>4</v>
      </c>
      <c r="AB229" t="s">
        <v>294</v>
      </c>
      <c r="AC229" t="s">
        <v>36</v>
      </c>
      <c r="AD229" t="s">
        <v>6464</v>
      </c>
      <c r="AE229" t="s">
        <v>134</v>
      </c>
      <c r="AF229" t="s">
        <v>4</v>
      </c>
      <c r="AG229" t="s">
        <v>4</v>
      </c>
      <c r="AH229" t="s">
        <v>2016</v>
      </c>
      <c r="AI229" t="s">
        <v>4</v>
      </c>
      <c r="AJ229" t="s">
        <v>4</v>
      </c>
      <c r="AK229">
        <v>9331045867</v>
      </c>
      <c r="AL229" t="s">
        <v>6473</v>
      </c>
      <c r="AM229" t="s">
        <v>6474</v>
      </c>
      <c r="AN229" t="s">
        <v>4</v>
      </c>
      <c r="AO229" t="s">
        <v>6118</v>
      </c>
      <c r="AP229" t="s">
        <v>4</v>
      </c>
      <c r="AQ229" t="s">
        <v>658</v>
      </c>
      <c r="AR229" t="s">
        <v>4</v>
      </c>
      <c r="AS229" t="s">
        <v>4</v>
      </c>
      <c r="AT229" t="s">
        <v>4</v>
      </c>
      <c r="AU229" t="s">
        <v>4</v>
      </c>
      <c r="AV229" t="s">
        <v>4</v>
      </c>
      <c r="AW229" t="s">
        <v>11</v>
      </c>
      <c r="AX229">
        <v>9000</v>
      </c>
      <c r="AY229">
        <v>2500</v>
      </c>
      <c r="AZ229" t="s">
        <v>4</v>
      </c>
      <c r="BA229" t="s">
        <v>4</v>
      </c>
      <c r="BB229" t="s">
        <v>4</v>
      </c>
      <c r="BC229" t="s">
        <v>1135</v>
      </c>
      <c r="BD229" t="s">
        <v>5793</v>
      </c>
      <c r="BE229" t="s">
        <v>4</v>
      </c>
      <c r="BF229" t="s">
        <v>4</v>
      </c>
      <c r="BG229" t="s">
        <v>4</v>
      </c>
      <c r="BH229" t="s">
        <v>4</v>
      </c>
      <c r="BI229" t="s">
        <v>4</v>
      </c>
      <c r="BJ229" t="s">
        <v>2016</v>
      </c>
      <c r="BK229" t="s">
        <v>4</v>
      </c>
      <c r="BL229">
        <v>1</v>
      </c>
      <c r="BM229" t="s">
        <v>4</v>
      </c>
      <c r="BN229">
        <v>11500</v>
      </c>
      <c r="BO229" t="s">
        <v>4</v>
      </c>
      <c r="BP229" t="s">
        <v>4</v>
      </c>
      <c r="BQ229" t="s">
        <v>4</v>
      </c>
      <c r="BR229" t="s">
        <v>4</v>
      </c>
      <c r="BS229" t="s">
        <v>4</v>
      </c>
      <c r="BT229" t="s">
        <v>4</v>
      </c>
      <c r="BU229" t="s">
        <v>4</v>
      </c>
      <c r="BV229" t="s">
        <v>4</v>
      </c>
      <c r="BW229" t="s">
        <v>3</v>
      </c>
      <c r="BX229" t="s">
        <v>4</v>
      </c>
      <c r="BY229" t="s">
        <v>12</v>
      </c>
      <c r="BZ229" t="s">
        <v>12</v>
      </c>
      <c r="CA229" t="s">
        <v>12</v>
      </c>
      <c r="CB229" t="s">
        <v>1074</v>
      </c>
      <c r="CC229" t="s">
        <v>12</v>
      </c>
      <c r="CD229" t="str" cm="1">
        <f t="array" aca="1" ref="CD229" ca="1">eConcatenar(A229:CB229,"|")</f>
        <v>5CPEJXszpDkjJUy3|COM   2017-4075|3|ECONOLINE|TABASCO|PARAISO|PARAISO|2017-11-06|11500|X|X|200|1|X|X|X|X|X|X|X|X|X|X|X|X|X|X|ARIAS|HERNANDEZ|CARMITA|VIUDA|X|X|MONTE ADENTRO|X|X|9331045867|BARTOLA HERNANDEZ ARIAS|MIGUEL ANGEL ANGULO HERNANDEZ|X|RUTA 4 M|X|MIERCOLES|X|X|X|X|X|DOMICILIO|9000|2500|X|X|X|2021-9-15|2021-10-06|X|X|X|X|X|MONTE ADENTRO|X|1|X|11500|X|X|X|X|X|X|X|X|CARDENAS|X|x|x|x|final</v>
      </c>
    </row>
    <row r="230" spans="1:82" x14ac:dyDescent="0.25">
      <c r="A230" t="s">
        <v>6475</v>
      </c>
      <c r="B230" t="s">
        <v>6476</v>
      </c>
      <c r="C230">
        <v>3</v>
      </c>
      <c r="D230" t="s">
        <v>194</v>
      </c>
      <c r="E230" t="s">
        <v>2</v>
      </c>
      <c r="F230" t="s">
        <v>654</v>
      </c>
      <c r="G230" t="s">
        <v>654</v>
      </c>
      <c r="H230" t="s">
        <v>5684</v>
      </c>
      <c r="I230">
        <v>12900</v>
      </c>
      <c r="J230" t="s">
        <v>4</v>
      </c>
      <c r="K230" t="s">
        <v>4</v>
      </c>
      <c r="L230">
        <v>200</v>
      </c>
      <c r="M230">
        <v>1</v>
      </c>
      <c r="N230" t="s">
        <v>4</v>
      </c>
      <c r="O230" t="s">
        <v>4</v>
      </c>
      <c r="P230" t="s">
        <v>4</v>
      </c>
      <c r="Q230" t="s">
        <v>4</v>
      </c>
      <c r="R230" t="s">
        <v>4</v>
      </c>
      <c r="S230" t="s">
        <v>4</v>
      </c>
      <c r="T230" t="s">
        <v>4</v>
      </c>
      <c r="U230" t="s">
        <v>4</v>
      </c>
      <c r="V230" t="s">
        <v>4</v>
      </c>
      <c r="W230" t="s">
        <v>4</v>
      </c>
      <c r="X230" t="s">
        <v>4</v>
      </c>
      <c r="Y230" t="s">
        <v>4</v>
      </c>
      <c r="Z230" t="s">
        <v>4</v>
      </c>
      <c r="AA230" t="s">
        <v>4</v>
      </c>
      <c r="AB230" t="s">
        <v>99</v>
      </c>
      <c r="AC230" t="s">
        <v>655</v>
      </c>
      <c r="AD230" t="s">
        <v>6108</v>
      </c>
      <c r="AE230" t="s">
        <v>7</v>
      </c>
      <c r="AF230" t="s">
        <v>4</v>
      </c>
      <c r="AG230" t="s">
        <v>4</v>
      </c>
      <c r="AH230" t="s">
        <v>577</v>
      </c>
      <c r="AI230" t="s">
        <v>1960</v>
      </c>
      <c r="AJ230" t="s">
        <v>4</v>
      </c>
      <c r="AK230">
        <v>9331059596</v>
      </c>
      <c r="AL230" t="s">
        <v>6477</v>
      </c>
      <c r="AM230" t="s">
        <v>6478</v>
      </c>
      <c r="AN230" t="s">
        <v>4</v>
      </c>
      <c r="AO230" t="s">
        <v>6118</v>
      </c>
      <c r="AP230" t="s">
        <v>4</v>
      </c>
      <c r="AQ230" t="s">
        <v>658</v>
      </c>
      <c r="AR230" t="s">
        <v>4</v>
      </c>
      <c r="AS230" t="s">
        <v>4</v>
      </c>
      <c r="AT230" t="s">
        <v>4</v>
      </c>
      <c r="AU230" t="s">
        <v>4</v>
      </c>
      <c r="AV230" t="s">
        <v>4</v>
      </c>
      <c r="AW230" t="s">
        <v>11</v>
      </c>
      <c r="AX230">
        <v>4500</v>
      </c>
      <c r="AY230">
        <v>8400</v>
      </c>
      <c r="AZ230" t="s">
        <v>4</v>
      </c>
      <c r="BA230" t="s">
        <v>4</v>
      </c>
      <c r="BB230" t="s">
        <v>4</v>
      </c>
      <c r="BC230" t="s">
        <v>1135</v>
      </c>
      <c r="BD230" t="s">
        <v>1133</v>
      </c>
      <c r="BE230" t="s">
        <v>4</v>
      </c>
      <c r="BF230" t="s">
        <v>4</v>
      </c>
      <c r="BG230" t="s">
        <v>4</v>
      </c>
      <c r="BH230" t="s">
        <v>4</v>
      </c>
      <c r="BI230" t="s">
        <v>4</v>
      </c>
      <c r="BJ230" t="s">
        <v>577</v>
      </c>
      <c r="BK230" t="s">
        <v>4</v>
      </c>
      <c r="BL230">
        <v>0</v>
      </c>
      <c r="BM230" t="s">
        <v>4</v>
      </c>
      <c r="BN230">
        <v>12900</v>
      </c>
      <c r="BO230" t="s">
        <v>4</v>
      </c>
      <c r="BP230" t="s">
        <v>4</v>
      </c>
      <c r="BQ230" t="s">
        <v>4</v>
      </c>
      <c r="BR230" t="s">
        <v>4</v>
      </c>
      <c r="BS230" t="s">
        <v>4</v>
      </c>
      <c r="BT230" t="s">
        <v>4</v>
      </c>
      <c r="BU230" t="s">
        <v>4</v>
      </c>
      <c r="BV230" t="s">
        <v>4</v>
      </c>
      <c r="BW230" t="s">
        <v>3</v>
      </c>
      <c r="BX230" t="s">
        <v>4</v>
      </c>
      <c r="BY230" t="s">
        <v>12</v>
      </c>
      <c r="BZ230" t="s">
        <v>12</v>
      </c>
      <c r="CA230" t="s">
        <v>12</v>
      </c>
      <c r="CB230" t="s">
        <v>1074</v>
      </c>
      <c r="CC230" t="s">
        <v>12</v>
      </c>
      <c r="CD230" t="str" cm="1">
        <f t="array" aca="1" ref="CD230" ca="1">eConcatenar(A230:CB230,"|")</f>
        <v>DMasXA6DEuxaJr07|COM   2020-0715|3|ECONOLINE|TABASCO|PARAISO|PARAISO|2020-3-12|12900|X|X|200|1|X|X|X|X|X|X|X|X|X|X|X|X|X|X|DIAZ|FLORES|MANUEL ANTONIO|CASADO  |X|X|QUINTIN ARAUZ|LAS PALMAS|X|9331059596|IRMA MARTINEZ LOPEZ|JOHANA DEL CARMEN DIAZ MARTINEZ|X|RUTA 4 M|X|MIERCOLES|X|X|X|X|X|DOMICILIO|4500|8400|X|X|X|2021-9-15|2021-9-27|X|X|X|X|X|QUINTIN ARAUZ|X|0|X|12900|X|X|X|X|X|X|X|X|CARDENAS|X|x|x|x|final</v>
      </c>
    </row>
    <row r="231" spans="1:82" x14ac:dyDescent="0.25">
      <c r="A231" t="s">
        <v>6479</v>
      </c>
      <c r="B231" t="s">
        <v>6480</v>
      </c>
      <c r="C231">
        <v>3</v>
      </c>
      <c r="D231" t="s">
        <v>194</v>
      </c>
      <c r="E231" t="s">
        <v>2</v>
      </c>
      <c r="F231" t="s">
        <v>654</v>
      </c>
      <c r="G231" t="s">
        <v>654</v>
      </c>
      <c r="H231" t="s">
        <v>1111</v>
      </c>
      <c r="I231">
        <v>12900</v>
      </c>
      <c r="J231" t="s">
        <v>4</v>
      </c>
      <c r="K231" t="s">
        <v>4</v>
      </c>
      <c r="L231">
        <v>200</v>
      </c>
      <c r="M231">
        <v>1</v>
      </c>
      <c r="N231" t="s">
        <v>4</v>
      </c>
      <c r="O231" t="s">
        <v>4</v>
      </c>
      <c r="P231" t="s">
        <v>4</v>
      </c>
      <c r="Q231" t="s">
        <v>4</v>
      </c>
      <c r="R231" t="s">
        <v>4</v>
      </c>
      <c r="S231" t="s">
        <v>4</v>
      </c>
      <c r="T231" t="s">
        <v>4</v>
      </c>
      <c r="U231" t="s">
        <v>4</v>
      </c>
      <c r="V231" t="s">
        <v>4</v>
      </c>
      <c r="W231" t="s">
        <v>4</v>
      </c>
      <c r="X231" t="s">
        <v>4</v>
      </c>
      <c r="Y231" t="s">
        <v>4</v>
      </c>
      <c r="Z231" t="s">
        <v>4</v>
      </c>
      <c r="AA231" t="s">
        <v>4</v>
      </c>
      <c r="AB231" t="s">
        <v>679</v>
      </c>
      <c r="AC231" t="s">
        <v>265</v>
      </c>
      <c r="AD231" t="s">
        <v>6481</v>
      </c>
      <c r="AE231" t="s">
        <v>59</v>
      </c>
      <c r="AF231" t="s">
        <v>4</v>
      </c>
      <c r="AG231" t="s">
        <v>4</v>
      </c>
      <c r="AH231" t="s">
        <v>828</v>
      </c>
      <c r="AI231" t="s">
        <v>6482</v>
      </c>
      <c r="AJ231" t="s">
        <v>4</v>
      </c>
      <c r="AK231">
        <v>9331181408</v>
      </c>
      <c r="AL231" t="s">
        <v>6483</v>
      </c>
      <c r="AM231" t="s">
        <v>6484</v>
      </c>
      <c r="AN231" t="s">
        <v>4</v>
      </c>
      <c r="AO231" t="s">
        <v>6118</v>
      </c>
      <c r="AP231" t="s">
        <v>4</v>
      </c>
      <c r="AQ231" t="s">
        <v>658</v>
      </c>
      <c r="AR231" t="s">
        <v>4</v>
      </c>
      <c r="AS231" t="s">
        <v>4</v>
      </c>
      <c r="AT231" t="s">
        <v>4</v>
      </c>
      <c r="AU231" t="s">
        <v>4</v>
      </c>
      <c r="AV231" t="s">
        <v>4</v>
      </c>
      <c r="AW231" t="s">
        <v>11</v>
      </c>
      <c r="AX231">
        <v>7000</v>
      </c>
      <c r="AY231">
        <v>5900</v>
      </c>
      <c r="AZ231" t="s">
        <v>4</v>
      </c>
      <c r="BA231" t="s">
        <v>4</v>
      </c>
      <c r="BB231" t="s">
        <v>4</v>
      </c>
      <c r="BC231" t="s">
        <v>1135</v>
      </c>
      <c r="BD231" t="s">
        <v>5802</v>
      </c>
      <c r="BE231" t="s">
        <v>4</v>
      </c>
      <c r="BF231" t="s">
        <v>4</v>
      </c>
      <c r="BG231" t="s">
        <v>4</v>
      </c>
      <c r="BH231" t="s">
        <v>4</v>
      </c>
      <c r="BI231" t="s">
        <v>4</v>
      </c>
      <c r="BJ231" t="s">
        <v>828</v>
      </c>
      <c r="BK231" t="s">
        <v>4</v>
      </c>
      <c r="BL231">
        <v>0</v>
      </c>
      <c r="BM231" t="s">
        <v>4</v>
      </c>
      <c r="BN231">
        <v>12900</v>
      </c>
      <c r="BO231" t="s">
        <v>4</v>
      </c>
      <c r="BP231" t="s">
        <v>4</v>
      </c>
      <c r="BQ231" t="s">
        <v>4</v>
      </c>
      <c r="BR231" t="s">
        <v>4</v>
      </c>
      <c r="BS231" t="s">
        <v>4</v>
      </c>
      <c r="BT231" t="s">
        <v>4</v>
      </c>
      <c r="BU231" t="s">
        <v>4</v>
      </c>
      <c r="BV231" t="s">
        <v>4</v>
      </c>
      <c r="BW231" t="s">
        <v>3</v>
      </c>
      <c r="BX231" t="s">
        <v>4</v>
      </c>
      <c r="BY231" t="s">
        <v>12</v>
      </c>
      <c r="BZ231" t="s">
        <v>12</v>
      </c>
      <c r="CA231" t="s">
        <v>12</v>
      </c>
      <c r="CB231" t="s">
        <v>1074</v>
      </c>
      <c r="CC231" t="s">
        <v>12</v>
      </c>
      <c r="CD231" t="str" cm="1">
        <f t="array" aca="1" ref="CD231" ca="1">eConcatenar(A231:CB231,"|")</f>
        <v>ngTtGqFy5BFI7J74|COM   2020-0905|3|ECONOLINE|TABASCO|PARAISO|PARAISO|2020-3-25|12900|X|X|200|1|X|X|X|X|X|X|X|X|X|X|X|X|X|X|IZQUIERDO|DOMINGUEZ|ANTONIO|CASADO|X|X|FRANCISCO MADERO|BERNARDINO SANCHEZ ALEJANDRO|X|9331181408|DEISY MORALEZ DIAZ|ANDREZ IZQUIERDO MORALES|X|RUTA 4 M|X|MIERCOLES|X|X|X|X|X|DOMICILIO|7000|5900|X|X|X|2021-9-15|2021-9-29|X|X|X|X|X|FRANCISCO MADERO|X|0|X|12900|X|X|X|X|X|X|X|X|CARDENAS|X|x|x|x|final</v>
      </c>
    </row>
    <row r="232" spans="1:82" x14ac:dyDescent="0.25">
      <c r="A232" t="s">
        <v>6485</v>
      </c>
      <c r="B232" t="s">
        <v>6486</v>
      </c>
      <c r="C232">
        <v>3</v>
      </c>
      <c r="D232" t="s">
        <v>194</v>
      </c>
      <c r="E232" t="s">
        <v>2</v>
      </c>
      <c r="F232" t="s">
        <v>722</v>
      </c>
      <c r="G232" t="s">
        <v>722</v>
      </c>
      <c r="H232" t="s">
        <v>6487</v>
      </c>
      <c r="I232">
        <v>12900</v>
      </c>
      <c r="J232" t="s">
        <v>4</v>
      </c>
      <c r="K232" t="s">
        <v>4</v>
      </c>
      <c r="L232">
        <v>200</v>
      </c>
      <c r="M232">
        <v>1</v>
      </c>
      <c r="N232" t="s">
        <v>4</v>
      </c>
      <c r="O232" t="s">
        <v>4</v>
      </c>
      <c r="P232" t="s">
        <v>4</v>
      </c>
      <c r="Q232" t="s">
        <v>4</v>
      </c>
      <c r="R232" t="s">
        <v>4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4</v>
      </c>
      <c r="Y232" t="s">
        <v>4</v>
      </c>
      <c r="Z232" t="s">
        <v>4</v>
      </c>
      <c r="AA232" t="s">
        <v>4</v>
      </c>
      <c r="AB232" t="s">
        <v>15</v>
      </c>
      <c r="AC232" t="s">
        <v>218</v>
      </c>
      <c r="AD232" t="s">
        <v>6488</v>
      </c>
      <c r="AE232" t="s">
        <v>29</v>
      </c>
      <c r="AF232" t="s">
        <v>4</v>
      </c>
      <c r="AG232" t="s">
        <v>4</v>
      </c>
      <c r="AH232" t="s">
        <v>5734</v>
      </c>
      <c r="AI232" t="s">
        <v>6489</v>
      </c>
      <c r="AJ232" t="s">
        <v>4</v>
      </c>
      <c r="AK232">
        <v>9331103798</v>
      </c>
      <c r="AL232" t="s">
        <v>6490</v>
      </c>
      <c r="AM232" t="s">
        <v>6491</v>
      </c>
      <c r="AN232" t="s">
        <v>4</v>
      </c>
      <c r="AO232" t="s">
        <v>6118</v>
      </c>
      <c r="AP232" t="s">
        <v>4</v>
      </c>
      <c r="AQ232" t="s">
        <v>658</v>
      </c>
      <c r="AR232" t="s">
        <v>4</v>
      </c>
      <c r="AS232" t="s">
        <v>4</v>
      </c>
      <c r="AT232" t="s">
        <v>4</v>
      </c>
      <c r="AU232" t="s">
        <v>4</v>
      </c>
      <c r="AV232" t="s">
        <v>4</v>
      </c>
      <c r="AW232" t="s">
        <v>11</v>
      </c>
      <c r="AX232">
        <v>6800</v>
      </c>
      <c r="AY232">
        <v>6100</v>
      </c>
      <c r="AZ232" t="s">
        <v>4</v>
      </c>
      <c r="BA232" t="s">
        <v>4</v>
      </c>
      <c r="BB232" t="s">
        <v>4</v>
      </c>
      <c r="BC232" t="s">
        <v>1135</v>
      </c>
      <c r="BD232" t="s">
        <v>5802</v>
      </c>
      <c r="BE232" t="s">
        <v>4</v>
      </c>
      <c r="BF232" t="s">
        <v>4</v>
      </c>
      <c r="BG232" t="s">
        <v>4</v>
      </c>
      <c r="BH232" t="s">
        <v>4</v>
      </c>
      <c r="BI232" t="s">
        <v>4</v>
      </c>
      <c r="BJ232" t="s">
        <v>5734</v>
      </c>
      <c r="BK232" t="s">
        <v>4</v>
      </c>
      <c r="BL232">
        <v>1</v>
      </c>
      <c r="BM232" t="s">
        <v>4</v>
      </c>
      <c r="BN232">
        <v>12900</v>
      </c>
      <c r="BO232" t="s">
        <v>4</v>
      </c>
      <c r="BP232" t="s">
        <v>4</v>
      </c>
      <c r="BQ232" t="s">
        <v>4</v>
      </c>
      <c r="BR232" t="s">
        <v>4</v>
      </c>
      <c r="BS232" t="s">
        <v>4</v>
      </c>
      <c r="BT232" t="s">
        <v>4</v>
      </c>
      <c r="BU232" t="s">
        <v>4</v>
      </c>
      <c r="BV232" t="s">
        <v>4</v>
      </c>
      <c r="BW232" t="s">
        <v>3</v>
      </c>
      <c r="BX232" t="s">
        <v>4</v>
      </c>
      <c r="BY232" t="s">
        <v>12</v>
      </c>
      <c r="BZ232" t="s">
        <v>12</v>
      </c>
      <c r="CA232" t="s">
        <v>12</v>
      </c>
      <c r="CB232" t="s">
        <v>1074</v>
      </c>
      <c r="CC232" t="s">
        <v>12</v>
      </c>
      <c r="CD232" t="str" cm="1">
        <f t="array" aca="1" ref="CD232" ca="1">eConcatenar(A232:CB232,"|")</f>
        <v>3vX2jtojgKAf7EBG|COM   2020-0785|3|ECONOLINE|TABASCO|COMALCALCO|COMALCALCO|2020-3-21|12900|X|X|200|1|X|X|X|X|X|X|X|X|X|X|X|X|X|X|JIMENEZ|DE LOS SANTOS|ISIDRA|CASADA|X|X|NORTE SEGUNDA|LOS AMIGOS AL FINAL|X|9331103798|ROMAN OSORIO JIMENEZ|SANTIAGO OSORIO RODRIGUEZ|X|RUTA 4 M|X|MIERCOLES|X|X|X|X|X|DOMICILIO|6800|6100|X|X|X|2021-9-15|2021-9-29|X|X|X|X|X|NORTE SEGUNDA|X|1|X|12900|X|X|X|X|X|X|X|X|CARDENAS|X|x|x|x|final</v>
      </c>
    </row>
    <row r="233" spans="1:82" x14ac:dyDescent="0.25">
      <c r="A233" t="s">
        <v>6492</v>
      </c>
      <c r="B233" t="s">
        <v>6493</v>
      </c>
      <c r="C233">
        <v>3</v>
      </c>
      <c r="D233" t="s">
        <v>194</v>
      </c>
      <c r="E233" t="s">
        <v>2</v>
      </c>
      <c r="F233" t="s">
        <v>654</v>
      </c>
      <c r="G233" t="s">
        <v>654</v>
      </c>
      <c r="H233" t="s">
        <v>6494</v>
      </c>
      <c r="I233">
        <v>12900</v>
      </c>
      <c r="J233" t="s">
        <v>4</v>
      </c>
      <c r="K233" t="s">
        <v>4</v>
      </c>
      <c r="L233">
        <v>200</v>
      </c>
      <c r="M233">
        <v>1</v>
      </c>
      <c r="N233" t="s">
        <v>4</v>
      </c>
      <c r="O233" t="s">
        <v>4</v>
      </c>
      <c r="P233" t="s">
        <v>4</v>
      </c>
      <c r="Q233" t="s">
        <v>4</v>
      </c>
      <c r="R233" t="s">
        <v>4</v>
      </c>
      <c r="S233" t="s">
        <v>4</v>
      </c>
      <c r="T233" t="s">
        <v>4</v>
      </c>
      <c r="U233" t="s">
        <v>4</v>
      </c>
      <c r="V233" t="s">
        <v>4</v>
      </c>
      <c r="W233" t="s">
        <v>4</v>
      </c>
      <c r="X233" t="s">
        <v>4</v>
      </c>
      <c r="Y233" t="s">
        <v>4</v>
      </c>
      <c r="Z233" t="s">
        <v>4</v>
      </c>
      <c r="AA233" t="s">
        <v>4</v>
      </c>
      <c r="AB233" t="s">
        <v>265</v>
      </c>
      <c r="AC233" t="s">
        <v>294</v>
      </c>
      <c r="AD233" t="s">
        <v>6495</v>
      </c>
      <c r="AE233" t="s">
        <v>29</v>
      </c>
      <c r="AF233" t="s">
        <v>4</v>
      </c>
      <c r="AG233" t="s">
        <v>4</v>
      </c>
      <c r="AH233" t="s">
        <v>828</v>
      </c>
      <c r="AI233" t="s">
        <v>4</v>
      </c>
      <c r="AJ233" t="s">
        <v>4</v>
      </c>
      <c r="AK233">
        <v>9331272813</v>
      </c>
      <c r="AL233" t="s">
        <v>6496</v>
      </c>
      <c r="AM233" t="s">
        <v>6497</v>
      </c>
      <c r="AN233" t="s">
        <v>4</v>
      </c>
      <c r="AO233" t="s">
        <v>6118</v>
      </c>
      <c r="AP233" t="s">
        <v>4</v>
      </c>
      <c r="AQ233" t="s">
        <v>658</v>
      </c>
      <c r="AR233" t="s">
        <v>4</v>
      </c>
      <c r="AS233" t="s">
        <v>4</v>
      </c>
      <c r="AT233" t="s">
        <v>4</v>
      </c>
      <c r="AU233" t="s">
        <v>4</v>
      </c>
      <c r="AV233" t="s">
        <v>4</v>
      </c>
      <c r="AW233" t="s">
        <v>11</v>
      </c>
      <c r="AX233">
        <v>6000</v>
      </c>
      <c r="AY233">
        <v>6900</v>
      </c>
      <c r="AZ233" t="s">
        <v>4</v>
      </c>
      <c r="BA233" t="s">
        <v>4</v>
      </c>
      <c r="BB233" t="s">
        <v>4</v>
      </c>
      <c r="BC233" t="s">
        <v>1136</v>
      </c>
      <c r="BD233" t="s">
        <v>1131</v>
      </c>
      <c r="BE233" t="s">
        <v>4</v>
      </c>
      <c r="BF233" t="s">
        <v>4</v>
      </c>
      <c r="BG233" t="s">
        <v>4</v>
      </c>
      <c r="BH233" t="s">
        <v>4</v>
      </c>
      <c r="BI233" t="s">
        <v>4</v>
      </c>
      <c r="BJ233" t="s">
        <v>828</v>
      </c>
      <c r="BK233" t="s">
        <v>4</v>
      </c>
      <c r="BL233">
        <v>1</v>
      </c>
      <c r="BM233" t="s">
        <v>4</v>
      </c>
      <c r="BN233">
        <v>12900</v>
      </c>
      <c r="BO233" t="s">
        <v>4</v>
      </c>
      <c r="BP233" t="s">
        <v>4</v>
      </c>
      <c r="BQ233" t="s">
        <v>4</v>
      </c>
      <c r="BR233" t="s">
        <v>4</v>
      </c>
      <c r="BS233" t="s">
        <v>4</v>
      </c>
      <c r="BT233" t="s">
        <v>4</v>
      </c>
      <c r="BU233" t="s">
        <v>4</v>
      </c>
      <c r="BV233" t="s">
        <v>4</v>
      </c>
      <c r="BW233" t="s">
        <v>3</v>
      </c>
      <c r="BX233" t="s">
        <v>4</v>
      </c>
      <c r="BY233" t="s">
        <v>12</v>
      </c>
      <c r="BZ233" t="s">
        <v>12</v>
      </c>
      <c r="CA233" t="s">
        <v>12</v>
      </c>
      <c r="CB233" t="s">
        <v>1074</v>
      </c>
      <c r="CC233" t="s">
        <v>12</v>
      </c>
      <c r="CD233" t="str" cm="1">
        <f t="array" aca="1" ref="CD233" ca="1">eConcatenar(A233:CB233,"|")</f>
        <v>vb0WrE1Rq7a9lkYj|COM   2020-1688|3|ECONOLINE|TABASCO|PARAISO|PARAISO|2020-7-17|12900|X|X|200|1|X|X|X|X|X|X|X|X|X|X|X|X|X|X|DOMINGUEZ|ARIAS|IRMA|CASADA|X|X|FRANCISCO MADERO|X|X|9331272813|JULIO CESAR TRINIDAD GARCIA|RUBI TRINIDAD GARCIA|X|RUTA 4 M|X|MIERCOLES|X|X|X|X|X|DOMICILIO|6000|6900|X|X|X|2021-9-16|2021-9-30|X|X|X|X|X|FRANCISCO MADERO|X|1|X|12900|X|X|X|X|X|X|X|X|CARDENAS|X|x|x|x|final</v>
      </c>
    </row>
    <row r="234" spans="1:82" x14ac:dyDescent="0.25">
      <c r="A234" t="s">
        <v>6498</v>
      </c>
      <c r="B234" t="s">
        <v>6499</v>
      </c>
      <c r="C234">
        <v>3</v>
      </c>
      <c r="D234" t="s">
        <v>194</v>
      </c>
      <c r="E234" t="s">
        <v>2</v>
      </c>
      <c r="F234" t="s">
        <v>654</v>
      </c>
      <c r="G234" t="s">
        <v>654</v>
      </c>
      <c r="H234" t="s">
        <v>6500</v>
      </c>
      <c r="I234">
        <v>12900</v>
      </c>
      <c r="J234" t="s">
        <v>4</v>
      </c>
      <c r="K234" t="s">
        <v>4</v>
      </c>
      <c r="L234">
        <v>100</v>
      </c>
      <c r="M234">
        <v>0</v>
      </c>
      <c r="N234" t="s">
        <v>4</v>
      </c>
      <c r="O234" t="s">
        <v>4</v>
      </c>
      <c r="P234" t="s">
        <v>4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4</v>
      </c>
      <c r="W234" t="s">
        <v>4</v>
      </c>
      <c r="X234" t="s">
        <v>4</v>
      </c>
      <c r="Y234" t="s">
        <v>4</v>
      </c>
      <c r="Z234" t="s">
        <v>4</v>
      </c>
      <c r="AA234" t="s">
        <v>4</v>
      </c>
      <c r="AB234" t="s">
        <v>433</v>
      </c>
      <c r="AC234" t="s">
        <v>6501</v>
      </c>
      <c r="AD234" t="s">
        <v>6127</v>
      </c>
      <c r="AE234" t="s">
        <v>29</v>
      </c>
      <c r="AF234" t="s">
        <v>4</v>
      </c>
      <c r="AG234" t="s">
        <v>4</v>
      </c>
      <c r="AH234" t="s">
        <v>6502</v>
      </c>
      <c r="AI234" t="s">
        <v>6503</v>
      </c>
      <c r="AJ234" t="s">
        <v>4</v>
      </c>
      <c r="AK234">
        <v>9331346323</v>
      </c>
      <c r="AL234" t="s">
        <v>6504</v>
      </c>
      <c r="AM234" t="s">
        <v>4</v>
      </c>
      <c r="AN234" t="s">
        <v>4</v>
      </c>
      <c r="AO234" t="s">
        <v>6118</v>
      </c>
      <c r="AP234" t="s">
        <v>4</v>
      </c>
      <c r="AQ234" t="s">
        <v>658</v>
      </c>
      <c r="AR234" t="s">
        <v>4</v>
      </c>
      <c r="AS234" t="s">
        <v>4</v>
      </c>
      <c r="AT234" t="s">
        <v>4</v>
      </c>
      <c r="AU234" t="s">
        <v>4</v>
      </c>
      <c r="AV234" t="s">
        <v>4</v>
      </c>
      <c r="AW234" t="s">
        <v>11</v>
      </c>
      <c r="AX234">
        <v>11400</v>
      </c>
      <c r="AY234">
        <v>1500</v>
      </c>
      <c r="AZ234" t="s">
        <v>4</v>
      </c>
      <c r="BA234" t="s">
        <v>4</v>
      </c>
      <c r="BB234" t="s">
        <v>4</v>
      </c>
      <c r="BC234" t="s">
        <v>1136</v>
      </c>
      <c r="BD234" t="s">
        <v>1131</v>
      </c>
      <c r="BE234" t="s">
        <v>4</v>
      </c>
      <c r="BF234" t="s">
        <v>4</v>
      </c>
      <c r="BG234" t="s">
        <v>4</v>
      </c>
      <c r="BH234" t="s">
        <v>4</v>
      </c>
      <c r="BI234" t="s">
        <v>4</v>
      </c>
      <c r="BJ234" t="s">
        <v>6505</v>
      </c>
      <c r="BK234" t="s">
        <v>4</v>
      </c>
      <c r="BL234">
        <v>1</v>
      </c>
      <c r="BM234" t="s">
        <v>4</v>
      </c>
      <c r="BN234">
        <v>12900</v>
      </c>
      <c r="BO234" t="s">
        <v>4</v>
      </c>
      <c r="BP234" t="s">
        <v>4</v>
      </c>
      <c r="BQ234" t="s">
        <v>4</v>
      </c>
      <c r="BR234" t="s">
        <v>4</v>
      </c>
      <c r="BS234" t="s">
        <v>4</v>
      </c>
      <c r="BT234" t="s">
        <v>4</v>
      </c>
      <c r="BU234" t="s">
        <v>4</v>
      </c>
      <c r="BV234" t="s">
        <v>4</v>
      </c>
      <c r="BW234" t="s">
        <v>3</v>
      </c>
      <c r="BX234" t="s">
        <v>4</v>
      </c>
      <c r="BY234" t="s">
        <v>12</v>
      </c>
      <c r="BZ234" t="s">
        <v>12</v>
      </c>
      <c r="CA234" t="s">
        <v>12</v>
      </c>
      <c r="CB234" t="s">
        <v>1074</v>
      </c>
      <c r="CC234" t="s">
        <v>12</v>
      </c>
      <c r="CD234" t="str" cm="1">
        <f t="array" aca="1" ref="CD234" ca="1">eConcatenar(A234:CB234,"|")</f>
        <v>HR0jyIVscx2OBj4F|COM   2019-0787|3|ECONOLINE|TABASCO|PARAISO|PARAISO|2019-4-12|12900|X|X|100|0|X|X|X|X|X|X|X|X|X|X|X|X|X|X|PEREZ |FLOREZ|ISABEL|CASADA|X|X|LIANDRO VALLE 114|COMONFOR Y HIDALGO|X|9331346323|REYES URIAS SANDOVAL|X|X|RUTA 4 M|X|MIERCOLES|X|X|X|X|X|DOMICILIO|11400|1500|X|X|X|2021-9-16|2021-9-30|X|X|X|X|X|LIANDRO VALLE|X|1|X|12900|X|X|X|X|X|X|X|X|CARDENAS|X|x|x|x|final</v>
      </c>
    </row>
    <row r="235" spans="1:82" x14ac:dyDescent="0.25">
      <c r="A235" t="s">
        <v>6506</v>
      </c>
      <c r="B235" t="s">
        <v>6507</v>
      </c>
      <c r="C235">
        <v>3</v>
      </c>
      <c r="D235" t="s">
        <v>201</v>
      </c>
      <c r="E235" t="s">
        <v>2</v>
      </c>
      <c r="F235" t="s">
        <v>722</v>
      </c>
      <c r="G235" t="s">
        <v>722</v>
      </c>
      <c r="H235" t="s">
        <v>4765</v>
      </c>
      <c r="I235">
        <v>12900</v>
      </c>
      <c r="J235" t="s">
        <v>4</v>
      </c>
      <c r="K235" t="s">
        <v>4</v>
      </c>
      <c r="L235">
        <v>200</v>
      </c>
      <c r="M235">
        <v>1</v>
      </c>
      <c r="N235" t="s">
        <v>4</v>
      </c>
      <c r="O235" t="s">
        <v>4</v>
      </c>
      <c r="P235" t="s">
        <v>4</v>
      </c>
      <c r="Q235" t="s">
        <v>4</v>
      </c>
      <c r="R235" t="s">
        <v>4</v>
      </c>
      <c r="S235" t="s">
        <v>4</v>
      </c>
      <c r="T235" t="s">
        <v>4</v>
      </c>
      <c r="U235" t="s">
        <v>4</v>
      </c>
      <c r="V235" t="s">
        <v>4</v>
      </c>
      <c r="W235" t="s">
        <v>4</v>
      </c>
      <c r="X235" t="s">
        <v>4</v>
      </c>
      <c r="Y235" t="s">
        <v>4</v>
      </c>
      <c r="Z235" t="s">
        <v>4</v>
      </c>
      <c r="AA235" t="s">
        <v>4</v>
      </c>
      <c r="AB235" t="s">
        <v>4751</v>
      </c>
      <c r="AC235" t="s">
        <v>36</v>
      </c>
      <c r="AD235" t="s">
        <v>6508</v>
      </c>
      <c r="AE235" t="s">
        <v>48</v>
      </c>
      <c r="AF235" t="s">
        <v>4</v>
      </c>
      <c r="AG235" t="s">
        <v>4</v>
      </c>
      <c r="AH235" t="s">
        <v>2079</v>
      </c>
      <c r="AI235" t="s">
        <v>6509</v>
      </c>
      <c r="AJ235" t="s">
        <v>4</v>
      </c>
      <c r="AK235">
        <v>9331139040</v>
      </c>
      <c r="AL235" t="s">
        <v>6510</v>
      </c>
      <c r="AM235" t="s">
        <v>6511</v>
      </c>
      <c r="AN235" t="s">
        <v>4</v>
      </c>
      <c r="AO235" t="s">
        <v>6118</v>
      </c>
      <c r="AP235" t="s">
        <v>4</v>
      </c>
      <c r="AQ235" t="s">
        <v>658</v>
      </c>
      <c r="AR235" t="s">
        <v>4</v>
      </c>
      <c r="AS235" t="s">
        <v>4</v>
      </c>
      <c r="AT235" t="s">
        <v>4</v>
      </c>
      <c r="AU235" t="s">
        <v>4</v>
      </c>
      <c r="AV235" t="s">
        <v>4</v>
      </c>
      <c r="AW235" t="s">
        <v>11</v>
      </c>
      <c r="AX235">
        <v>4100</v>
      </c>
      <c r="AY235">
        <v>8800</v>
      </c>
      <c r="AZ235" t="s">
        <v>4</v>
      </c>
      <c r="BA235" t="s">
        <v>4</v>
      </c>
      <c r="BB235" t="s">
        <v>4</v>
      </c>
      <c r="BC235" t="s">
        <v>1135</v>
      </c>
      <c r="BD235" t="s">
        <v>5793</v>
      </c>
      <c r="BE235" t="s">
        <v>4</v>
      </c>
      <c r="BF235" t="s">
        <v>4</v>
      </c>
      <c r="BG235" t="s">
        <v>4</v>
      </c>
      <c r="BH235" t="s">
        <v>4</v>
      </c>
      <c r="BI235" t="s">
        <v>4</v>
      </c>
      <c r="BJ235" t="s">
        <v>6512</v>
      </c>
      <c r="BK235" t="s">
        <v>4</v>
      </c>
      <c r="BL235">
        <v>1</v>
      </c>
      <c r="BM235" t="s">
        <v>4</v>
      </c>
      <c r="BN235">
        <v>12900</v>
      </c>
      <c r="BO235" t="s">
        <v>4</v>
      </c>
      <c r="BP235" t="s">
        <v>4</v>
      </c>
      <c r="BQ235" t="s">
        <v>4</v>
      </c>
      <c r="BR235" t="s">
        <v>4</v>
      </c>
      <c r="BS235" t="s">
        <v>4</v>
      </c>
      <c r="BT235" t="s">
        <v>4</v>
      </c>
      <c r="BU235" t="s">
        <v>4</v>
      </c>
      <c r="BV235" t="s">
        <v>4</v>
      </c>
      <c r="BW235" t="s">
        <v>3</v>
      </c>
      <c r="BX235" t="s">
        <v>4</v>
      </c>
      <c r="BY235" t="s">
        <v>12</v>
      </c>
      <c r="BZ235" t="s">
        <v>12</v>
      </c>
      <c r="CA235" t="s">
        <v>12</v>
      </c>
      <c r="CB235" t="s">
        <v>1074</v>
      </c>
      <c r="CC235" t="s">
        <v>12</v>
      </c>
      <c r="CD235" t="str" cm="1">
        <f t="array" aca="1" ref="CD235" ca="1">eConcatenar(A235:CB235,"|")</f>
        <v>udvq0jgbZTez1PQW|COM   2020-2963|3|IMPERIAL|TABASCO|COMALCALCO|COMALCALCO|2020-11-13|12900|X|X|200|1|X|X|X|X|X|X|X|X|X|X|X|X|X|X|OVANDO|HERNANDEZ|CITLALI MALITZIN|SOLTERA|X|X|SOLIDARIDAD|CARLOS SALINAS DE GORTARI|X|9331139040|CINTHYA GUADALUPE OVANDO HERNANDEZ|YESENIA KRISTELL OVANDO HERNANDEZ|X|RUTA 4 M|X|MIERCOLES|X|X|X|X|X|DOMICILIO|4100|8800|X|X|X|2021-9-15|2021-10-06|X|X|X|X|X|SOLIDARIDAD CARLOS SALINAS DE GORTARI|X|1|X|12900|X|X|X|X|X|X|X|X|CARDENAS|X|x|x|x|final</v>
      </c>
    </row>
    <row r="236" spans="1:82" x14ac:dyDescent="0.25">
      <c r="A236" t="s">
        <v>6513</v>
      </c>
      <c r="B236" t="s">
        <v>6514</v>
      </c>
      <c r="C236">
        <v>3</v>
      </c>
      <c r="D236" t="s">
        <v>201</v>
      </c>
      <c r="E236" t="s">
        <v>2</v>
      </c>
      <c r="F236" t="s">
        <v>654</v>
      </c>
      <c r="G236" t="s">
        <v>654</v>
      </c>
      <c r="H236" t="s">
        <v>6515</v>
      </c>
      <c r="I236">
        <v>12900</v>
      </c>
      <c r="J236" t="s">
        <v>4</v>
      </c>
      <c r="K236" t="s">
        <v>4</v>
      </c>
      <c r="L236">
        <v>200</v>
      </c>
      <c r="M236">
        <v>1</v>
      </c>
      <c r="N236" t="s">
        <v>4</v>
      </c>
      <c r="O236" t="s">
        <v>4</v>
      </c>
      <c r="P236" t="s">
        <v>4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4</v>
      </c>
      <c r="Z236" t="s">
        <v>4</v>
      </c>
      <c r="AA236" t="s">
        <v>4</v>
      </c>
      <c r="AB236" t="s">
        <v>4730</v>
      </c>
      <c r="AC236" t="s">
        <v>458</v>
      </c>
      <c r="AD236" t="s">
        <v>6516</v>
      </c>
      <c r="AE236" t="s">
        <v>59</v>
      </c>
      <c r="AF236" t="s">
        <v>4</v>
      </c>
      <c r="AG236" t="s">
        <v>4</v>
      </c>
      <c r="AH236" t="s">
        <v>6517</v>
      </c>
      <c r="AI236" t="s">
        <v>6518</v>
      </c>
      <c r="AJ236" t="s">
        <v>4</v>
      </c>
      <c r="AK236">
        <v>9331264508</v>
      </c>
      <c r="AL236" t="s">
        <v>6519</v>
      </c>
      <c r="AM236" t="s">
        <v>6520</v>
      </c>
      <c r="AN236" t="s">
        <v>4</v>
      </c>
      <c r="AO236" t="s">
        <v>6118</v>
      </c>
      <c r="AP236" t="s">
        <v>4</v>
      </c>
      <c r="AQ236" t="s">
        <v>6521</v>
      </c>
      <c r="AR236" t="s">
        <v>4</v>
      </c>
      <c r="AS236" t="s">
        <v>4</v>
      </c>
      <c r="AT236" t="s">
        <v>4</v>
      </c>
      <c r="AU236" t="s">
        <v>4</v>
      </c>
      <c r="AV236" t="s">
        <v>4</v>
      </c>
      <c r="AW236" t="s">
        <v>11</v>
      </c>
      <c r="AX236">
        <v>4600</v>
      </c>
      <c r="AY236">
        <v>8300</v>
      </c>
      <c r="AZ236" t="s">
        <v>4</v>
      </c>
      <c r="BA236" t="s">
        <v>4</v>
      </c>
      <c r="BB236" t="s">
        <v>4</v>
      </c>
      <c r="BC236" t="s">
        <v>1136</v>
      </c>
      <c r="BD236" t="s">
        <v>1131</v>
      </c>
      <c r="BE236" t="s">
        <v>4</v>
      </c>
      <c r="BF236" t="s">
        <v>4</v>
      </c>
      <c r="BG236" t="s">
        <v>4</v>
      </c>
      <c r="BH236" t="s">
        <v>4</v>
      </c>
      <c r="BI236" t="s">
        <v>4</v>
      </c>
      <c r="BJ236" t="s">
        <v>6517</v>
      </c>
      <c r="BK236" t="s">
        <v>4</v>
      </c>
      <c r="BL236">
        <v>0</v>
      </c>
      <c r="BM236" t="s">
        <v>4</v>
      </c>
      <c r="BN236">
        <v>12900</v>
      </c>
      <c r="BO236" t="s">
        <v>4</v>
      </c>
      <c r="BP236" t="s">
        <v>4</v>
      </c>
      <c r="BQ236" t="s">
        <v>4</v>
      </c>
      <c r="BR236" t="s">
        <v>4</v>
      </c>
      <c r="BS236" t="s">
        <v>4</v>
      </c>
      <c r="BT236" t="s">
        <v>4</v>
      </c>
      <c r="BU236" t="s">
        <v>4</v>
      </c>
      <c r="BV236" t="s">
        <v>4</v>
      </c>
      <c r="BW236" t="s">
        <v>3</v>
      </c>
      <c r="BX236" t="s">
        <v>4</v>
      </c>
      <c r="BY236" t="s">
        <v>12</v>
      </c>
      <c r="BZ236" t="s">
        <v>12</v>
      </c>
      <c r="CA236" t="s">
        <v>12</v>
      </c>
      <c r="CB236" t="s">
        <v>1074</v>
      </c>
      <c r="CC236" t="s">
        <v>12</v>
      </c>
      <c r="CD236" t="str" cm="1">
        <f t="array" aca="1" ref="CD236" ca="1">eConcatenar(A236:CB236,"|")</f>
        <v>CLIFgLsXbthJ6dQo|COM   2020-2722|3|IMPERIAL|TABASCO|PARAISO|PARAISO|2020-10-28|12900|X|X|200|1|X|X|X|X|X|X|X|X|X|X|X|X|X|X|ALMEIDA|CHABLE|EDUARDO|CASADO|X|X|BLANCA MARIPOSA|ORQUIDEA MANZANA 5 C 14|X|9331264508|MARIA CRISTINA RICARDEZ PILIDO|CESAR EDUARDO ALMEIDA RICARDEZ|X|RUTA 4 M|X|MIÉRCOLES|X|X|X|X|X|DOMICILIO|4600|8300|X|X|X|2021-9-16|2021-9-30|X|X|X|X|X|BLANCA MARIPOSA|X|0|X|12900|X|X|X|X|X|X|X|X|CARDENAS|X|x|x|x|final</v>
      </c>
    </row>
    <row r="237" spans="1:82" x14ac:dyDescent="0.25">
      <c r="A237" t="s">
        <v>6522</v>
      </c>
      <c r="B237" t="s">
        <v>6523</v>
      </c>
      <c r="C237">
        <v>3</v>
      </c>
      <c r="D237" t="s">
        <v>14</v>
      </c>
      <c r="E237" t="s">
        <v>2</v>
      </c>
      <c r="F237" t="s">
        <v>654</v>
      </c>
      <c r="G237" t="s">
        <v>654</v>
      </c>
      <c r="H237" t="s">
        <v>4753</v>
      </c>
      <c r="I237">
        <v>19800</v>
      </c>
      <c r="J237" t="s">
        <v>4</v>
      </c>
      <c r="K237" t="s">
        <v>4</v>
      </c>
      <c r="L237">
        <v>400</v>
      </c>
      <c r="M237">
        <v>2</v>
      </c>
      <c r="N237" t="s">
        <v>4</v>
      </c>
      <c r="O237" t="s">
        <v>4</v>
      </c>
      <c r="P237" t="s">
        <v>4</v>
      </c>
      <c r="Q237" t="s">
        <v>4</v>
      </c>
      <c r="R237" t="s">
        <v>4</v>
      </c>
      <c r="S237" t="s">
        <v>4</v>
      </c>
      <c r="T237" t="s">
        <v>4</v>
      </c>
      <c r="U237" t="s">
        <v>4</v>
      </c>
      <c r="V237" t="s">
        <v>4</v>
      </c>
      <c r="W237" t="s">
        <v>4</v>
      </c>
      <c r="X237" t="s">
        <v>4</v>
      </c>
      <c r="Y237" t="s">
        <v>4</v>
      </c>
      <c r="Z237" t="s">
        <v>4</v>
      </c>
      <c r="AA237" t="s">
        <v>4</v>
      </c>
      <c r="AB237" t="s">
        <v>514</v>
      </c>
      <c r="AC237" t="s">
        <v>597</v>
      </c>
      <c r="AD237" t="s">
        <v>4863</v>
      </c>
      <c r="AE237" t="s">
        <v>29</v>
      </c>
      <c r="AF237" t="s">
        <v>4</v>
      </c>
      <c r="AG237" t="s">
        <v>4</v>
      </c>
      <c r="AH237" t="s">
        <v>6524</v>
      </c>
      <c r="AI237" t="s">
        <v>4</v>
      </c>
      <c r="AJ237" t="s">
        <v>4</v>
      </c>
      <c r="AK237">
        <v>9331077091</v>
      </c>
      <c r="AL237" t="s">
        <v>6525</v>
      </c>
      <c r="AM237" t="s">
        <v>6526</v>
      </c>
      <c r="AN237" t="s">
        <v>4</v>
      </c>
      <c r="AO237" t="s">
        <v>6118</v>
      </c>
      <c r="AP237" t="s">
        <v>4</v>
      </c>
      <c r="AQ237" t="s">
        <v>658</v>
      </c>
      <c r="AR237" t="s">
        <v>4</v>
      </c>
      <c r="AS237" t="s">
        <v>4</v>
      </c>
      <c r="AT237" t="s">
        <v>4</v>
      </c>
      <c r="AU237" t="s">
        <v>4</v>
      </c>
      <c r="AV237" t="s">
        <v>4</v>
      </c>
      <c r="AW237" t="s">
        <v>11</v>
      </c>
      <c r="AX237">
        <v>15600</v>
      </c>
      <c r="AY237">
        <v>4200</v>
      </c>
      <c r="AZ237" t="s">
        <v>4</v>
      </c>
      <c r="BA237" t="s">
        <v>4</v>
      </c>
      <c r="BB237" t="s">
        <v>4</v>
      </c>
      <c r="BC237" t="s">
        <v>6252</v>
      </c>
      <c r="BD237" t="s">
        <v>6059</v>
      </c>
      <c r="BE237" t="s">
        <v>4</v>
      </c>
      <c r="BF237" t="s">
        <v>4</v>
      </c>
      <c r="BG237" t="s">
        <v>4</v>
      </c>
      <c r="BH237" t="s">
        <v>4</v>
      </c>
      <c r="BI237" t="s">
        <v>4</v>
      </c>
      <c r="BJ237" t="s">
        <v>6524</v>
      </c>
      <c r="BK237" t="s">
        <v>4</v>
      </c>
      <c r="BL237">
        <v>1</v>
      </c>
      <c r="BM237" t="s">
        <v>4</v>
      </c>
      <c r="BN237">
        <v>19800</v>
      </c>
      <c r="BO237" t="s">
        <v>4</v>
      </c>
      <c r="BP237" t="s">
        <v>4</v>
      </c>
      <c r="BQ237" t="s">
        <v>4</v>
      </c>
      <c r="BR237" t="s">
        <v>4</v>
      </c>
      <c r="BS237" t="s">
        <v>4</v>
      </c>
      <c r="BT237" t="s">
        <v>4</v>
      </c>
      <c r="BU237" t="s">
        <v>4</v>
      </c>
      <c r="BV237" t="s">
        <v>4</v>
      </c>
      <c r="BW237" t="s">
        <v>3</v>
      </c>
      <c r="BX237" t="s">
        <v>4</v>
      </c>
      <c r="BY237" t="s">
        <v>12</v>
      </c>
      <c r="BZ237" t="s">
        <v>12</v>
      </c>
      <c r="CA237" t="s">
        <v>12</v>
      </c>
      <c r="CB237" t="s">
        <v>1074</v>
      </c>
      <c r="CC237" t="s">
        <v>12</v>
      </c>
      <c r="CD237" t="str" cm="1">
        <f t="array" aca="1" ref="CD237" ca="1">eConcatenar(A237:CB237,"|")</f>
        <v>knngSSKJLf9UuYmH|COM   2017-4266|3|ZAFIRO|TABASCO|PARAISO|PARAISO|2017-11-28|19800|X|X|400|2|X|X|X|X|X|X|X|X|X|X|X|X|X|X|OCAMPO|MAGAÑA|MINERVA|CASADA|X|X|LERDO DE TEJEDA|X|X|9331077091|ETHEL VAEZA OCAMPO|LEONIDAS VAEZA OCAMPO|X|RUTA 4 M|X|MIERCOLES|X|X|X|X|X|DOMICILIO|15600|4200|X|X|X|2021-9-02|2021-10-07|X|X|X|X|X|LERDO DE TEJEDA|X|1|X|19800|X|X|X|X|X|X|X|X|CARDENAS|X|x|x|x|final</v>
      </c>
    </row>
    <row r="238" spans="1:82" x14ac:dyDescent="0.25">
      <c r="A238" t="s">
        <v>6527</v>
      </c>
      <c r="B238" t="s">
        <v>6528</v>
      </c>
      <c r="C238">
        <v>3</v>
      </c>
      <c r="D238" t="s">
        <v>194</v>
      </c>
      <c r="E238" t="s">
        <v>2</v>
      </c>
      <c r="F238" t="s">
        <v>654</v>
      </c>
      <c r="G238" t="s">
        <v>654</v>
      </c>
      <c r="H238" t="s">
        <v>6529</v>
      </c>
      <c r="I238">
        <v>12900</v>
      </c>
      <c r="J238" t="s">
        <v>4</v>
      </c>
      <c r="K238" t="s">
        <v>4</v>
      </c>
      <c r="L238">
        <v>400</v>
      </c>
      <c r="M238">
        <v>2</v>
      </c>
      <c r="N238" t="s">
        <v>4</v>
      </c>
      <c r="O238" t="s">
        <v>4</v>
      </c>
      <c r="P238" t="s">
        <v>4</v>
      </c>
      <c r="Q238" t="s">
        <v>4</v>
      </c>
      <c r="R238" t="s">
        <v>4</v>
      </c>
      <c r="S238" t="s">
        <v>4</v>
      </c>
      <c r="T238" t="s">
        <v>4</v>
      </c>
      <c r="U238" t="s">
        <v>4</v>
      </c>
      <c r="V238" t="s">
        <v>4</v>
      </c>
      <c r="W238" t="s">
        <v>4</v>
      </c>
      <c r="X238" t="s">
        <v>4</v>
      </c>
      <c r="Y238" t="s">
        <v>4</v>
      </c>
      <c r="Z238" t="s">
        <v>4</v>
      </c>
      <c r="AA238" t="s">
        <v>4</v>
      </c>
      <c r="AB238" t="s">
        <v>94</v>
      </c>
      <c r="AC238" t="s">
        <v>223</v>
      </c>
      <c r="AD238" t="s">
        <v>5537</v>
      </c>
      <c r="AE238" t="s">
        <v>59</v>
      </c>
      <c r="AF238" t="s">
        <v>4</v>
      </c>
      <c r="AG238" t="s">
        <v>4</v>
      </c>
      <c r="AH238" t="s">
        <v>6530</v>
      </c>
      <c r="AI238" t="s">
        <v>6531</v>
      </c>
      <c r="AJ238" t="s">
        <v>4</v>
      </c>
      <c r="AK238">
        <v>9331395992</v>
      </c>
      <c r="AL238" t="s">
        <v>6532</v>
      </c>
      <c r="AM238" t="s">
        <v>6533</v>
      </c>
      <c r="AN238" t="s">
        <v>4</v>
      </c>
      <c r="AO238" t="s">
        <v>6118</v>
      </c>
      <c r="AP238" t="s">
        <v>4</v>
      </c>
      <c r="AQ238" t="s">
        <v>658</v>
      </c>
      <c r="AR238" t="s">
        <v>4</v>
      </c>
      <c r="AS238" t="s">
        <v>4</v>
      </c>
      <c r="AT238" t="s">
        <v>4</v>
      </c>
      <c r="AU238" t="s">
        <v>4</v>
      </c>
      <c r="AV238" t="s">
        <v>4</v>
      </c>
      <c r="AW238" t="s">
        <v>11</v>
      </c>
      <c r="AX238">
        <v>8500</v>
      </c>
      <c r="AY238">
        <v>4400</v>
      </c>
      <c r="AZ238" t="s">
        <v>4</v>
      </c>
      <c r="BA238" t="s">
        <v>4</v>
      </c>
      <c r="BB238" t="s">
        <v>4</v>
      </c>
      <c r="BC238" t="s">
        <v>6252</v>
      </c>
      <c r="BD238" t="s">
        <v>6059</v>
      </c>
      <c r="BE238" t="s">
        <v>4</v>
      </c>
      <c r="BF238" t="s">
        <v>4</v>
      </c>
      <c r="BG238" t="s">
        <v>4</v>
      </c>
      <c r="BH238" t="s">
        <v>4</v>
      </c>
      <c r="BI238" t="s">
        <v>4</v>
      </c>
      <c r="BJ238" t="s">
        <v>6534</v>
      </c>
      <c r="BK238" t="s">
        <v>4</v>
      </c>
      <c r="BL238">
        <v>0</v>
      </c>
      <c r="BM238" t="s">
        <v>4</v>
      </c>
      <c r="BN238">
        <v>12900</v>
      </c>
      <c r="BO238" t="s">
        <v>4</v>
      </c>
      <c r="BP238" t="s">
        <v>4</v>
      </c>
      <c r="BQ238" t="s">
        <v>4</v>
      </c>
      <c r="BR238" t="s">
        <v>4</v>
      </c>
      <c r="BS238" t="s">
        <v>4</v>
      </c>
      <c r="BT238" t="s">
        <v>4</v>
      </c>
      <c r="BU238" t="s">
        <v>4</v>
      </c>
      <c r="BV238" t="s">
        <v>4</v>
      </c>
      <c r="BW238" t="s">
        <v>3</v>
      </c>
      <c r="BX238" t="s">
        <v>4</v>
      </c>
      <c r="BY238" t="s">
        <v>12</v>
      </c>
      <c r="BZ238" t="s">
        <v>12</v>
      </c>
      <c r="CA238" t="s">
        <v>12</v>
      </c>
      <c r="CB238" t="s">
        <v>1074</v>
      </c>
      <c r="CC238" t="s">
        <v>12</v>
      </c>
      <c r="CD238" t="str" cm="1">
        <f t="array" aca="1" ref="CD238" ca="1">eConcatenar(A238:CB238,"|")</f>
        <v>b96AAqdUqxWcT243|COM   2019-3001|3|ECONOLINE|TABASCO|PARAISO|PARAISO|2019-10-25|12900|X|X|400|2|X|X|X|X|X|X|X|X|X|X|X|X|X|X|GOMEZ|CARRILLO|RAUL|CASADO|X|X|PRIMAVERA|AZUCENA|X|9331395992|MIRNA MAGAÑA DE LA CRUZ|FEBE GOMEZ MAGAÑA|X|RUTA 4 M|X|MIERCOLES|X|X|X|X|X|DOMICILIO|8500|4400|X|X|X|2021-9-02|2021-10-07|X|X|X|X|X|PRIMAVERA Y AZUCENA|X|0|X|12900|X|X|X|X|X|X|X|X|CARDENAS|X|x|x|x|final</v>
      </c>
    </row>
    <row r="239" spans="1:82" x14ac:dyDescent="0.25">
      <c r="A239" t="s">
        <v>6535</v>
      </c>
      <c r="B239" t="s">
        <v>6536</v>
      </c>
      <c r="C239">
        <v>3</v>
      </c>
      <c r="D239" t="s">
        <v>194</v>
      </c>
      <c r="E239" t="s">
        <v>2</v>
      </c>
      <c r="F239" t="s">
        <v>654</v>
      </c>
      <c r="G239" t="s">
        <v>654</v>
      </c>
      <c r="H239" t="s">
        <v>4968</v>
      </c>
      <c r="I239">
        <v>12900</v>
      </c>
      <c r="J239" t="s">
        <v>4</v>
      </c>
      <c r="K239" t="s">
        <v>4</v>
      </c>
      <c r="L239">
        <v>400</v>
      </c>
      <c r="M239">
        <v>2</v>
      </c>
      <c r="N239" t="s">
        <v>4</v>
      </c>
      <c r="O239" t="s">
        <v>4</v>
      </c>
      <c r="P239" t="s">
        <v>4</v>
      </c>
      <c r="Q239" t="s">
        <v>4</v>
      </c>
      <c r="R239" t="s">
        <v>4</v>
      </c>
      <c r="S239" t="s">
        <v>4</v>
      </c>
      <c r="T239" t="s">
        <v>4</v>
      </c>
      <c r="U239" t="s">
        <v>4</v>
      </c>
      <c r="V239" t="s">
        <v>4</v>
      </c>
      <c r="W239" t="s">
        <v>4</v>
      </c>
      <c r="X239" t="s">
        <v>4</v>
      </c>
      <c r="Y239" t="s">
        <v>4</v>
      </c>
      <c r="Z239" t="s">
        <v>4</v>
      </c>
      <c r="AA239" t="s">
        <v>4</v>
      </c>
      <c r="AB239" t="s">
        <v>47</v>
      </c>
      <c r="AC239" t="s">
        <v>6</v>
      </c>
      <c r="AD239" t="s">
        <v>6537</v>
      </c>
      <c r="AE239" t="s">
        <v>134</v>
      </c>
      <c r="AF239" t="s">
        <v>4</v>
      </c>
      <c r="AG239" t="s">
        <v>4</v>
      </c>
      <c r="AH239" t="s">
        <v>6421</v>
      </c>
      <c r="AI239" t="s">
        <v>6538</v>
      </c>
      <c r="AJ239" t="s">
        <v>6539</v>
      </c>
      <c r="AK239">
        <v>9331334615</v>
      </c>
      <c r="AL239" t="s">
        <v>6540</v>
      </c>
      <c r="AM239" t="s">
        <v>6541</v>
      </c>
      <c r="AN239" t="s">
        <v>4</v>
      </c>
      <c r="AO239" t="s">
        <v>6118</v>
      </c>
      <c r="AP239" t="s">
        <v>4</v>
      </c>
      <c r="AQ239" t="s">
        <v>658</v>
      </c>
      <c r="AR239" t="s">
        <v>4</v>
      </c>
      <c r="AS239" t="s">
        <v>4</v>
      </c>
      <c r="AT239" t="s">
        <v>4</v>
      </c>
      <c r="AU239" t="s">
        <v>4</v>
      </c>
      <c r="AV239" t="s">
        <v>4</v>
      </c>
      <c r="AW239" t="s">
        <v>11</v>
      </c>
      <c r="AX239">
        <v>6600</v>
      </c>
      <c r="AY239">
        <v>6300</v>
      </c>
      <c r="AZ239" t="s">
        <v>4</v>
      </c>
      <c r="BA239" t="s">
        <v>4</v>
      </c>
      <c r="BB239" t="s">
        <v>4</v>
      </c>
      <c r="BC239" t="s">
        <v>5792</v>
      </c>
      <c r="BD239" t="s">
        <v>5793</v>
      </c>
      <c r="BE239" t="s">
        <v>4</v>
      </c>
      <c r="BF239" t="s">
        <v>4</v>
      </c>
      <c r="BG239" t="s">
        <v>4</v>
      </c>
      <c r="BH239" t="s">
        <v>4</v>
      </c>
      <c r="BI239" t="s">
        <v>4</v>
      </c>
      <c r="BJ239" t="s">
        <v>6542</v>
      </c>
      <c r="BK239" t="s">
        <v>4</v>
      </c>
      <c r="BL239">
        <v>1</v>
      </c>
      <c r="BM239" t="s">
        <v>4</v>
      </c>
      <c r="BN239">
        <v>12900</v>
      </c>
      <c r="BO239" t="s">
        <v>4</v>
      </c>
      <c r="BP239" t="s">
        <v>4</v>
      </c>
      <c r="BQ239" t="s">
        <v>4</v>
      </c>
      <c r="BR239" t="s">
        <v>4</v>
      </c>
      <c r="BS239" t="s">
        <v>4</v>
      </c>
      <c r="BT239" t="s">
        <v>4</v>
      </c>
      <c r="BU239" t="s">
        <v>4</v>
      </c>
      <c r="BV239" t="s">
        <v>4</v>
      </c>
      <c r="BW239" t="s">
        <v>3</v>
      </c>
      <c r="BX239" t="s">
        <v>4</v>
      </c>
      <c r="BY239" t="s">
        <v>12</v>
      </c>
      <c r="BZ239" t="s">
        <v>12</v>
      </c>
      <c r="CA239" t="s">
        <v>12</v>
      </c>
      <c r="CB239" t="s">
        <v>1074</v>
      </c>
      <c r="CC239" t="s">
        <v>12</v>
      </c>
      <c r="CD239" t="str" cm="1">
        <f t="array" aca="1" ref="CD239" ca="1">eConcatenar(A239:CB239,"|")</f>
        <v>LynMS1vnH0M61Zo7|COM   2020-0599|3|ECONOLINE|TABASCO|PARAISO|PARAISO|2020-3-10|12900|X|X|400|2|X|X|X|X|X|X|X|X|X|X|X|X|X|X|SANCHEZ|DE LA CRUZ|OLGA|VIUDA|X|X|CARLOS A MADRAZO BECERRA|EVELIO ALEJAMDRO ROMERO II|CON FONAPO Y CON MARGARITO SANTOS|9331334615|FLOR AMADA PEREZ SANCHEZ|MELISSA GERTRUDIS PEREZ SANCHEZ|X|RUTA 4 M|X|MIERCOLES|X|X|X|X|X|DOMICILIO|6600|6300|X|X|X|2021-9-01|2021-10-06|X|X|X|X|X|CARLOS A MADRAZO EVELIO ALEJANDRO ROMERO 111|X|1|X|12900|X|X|X|X|X|X|X|X|CARDENAS|X|x|x|x|final</v>
      </c>
    </row>
    <row r="240" spans="1:82" x14ac:dyDescent="0.25">
      <c r="A240" t="s">
        <v>6543</v>
      </c>
      <c r="B240" t="s">
        <v>6544</v>
      </c>
      <c r="C240">
        <v>3</v>
      </c>
      <c r="D240" t="s">
        <v>194</v>
      </c>
      <c r="E240" t="s">
        <v>2</v>
      </c>
      <c r="F240" t="s">
        <v>654</v>
      </c>
      <c r="G240" t="s">
        <v>654</v>
      </c>
      <c r="H240" t="s">
        <v>6545</v>
      </c>
      <c r="I240">
        <v>12900</v>
      </c>
      <c r="J240" t="s">
        <v>4</v>
      </c>
      <c r="K240" t="s">
        <v>4</v>
      </c>
      <c r="L240">
        <v>400</v>
      </c>
      <c r="M240">
        <v>2</v>
      </c>
      <c r="N240" t="s">
        <v>4</v>
      </c>
      <c r="O240" t="s">
        <v>4</v>
      </c>
      <c r="P240" t="s">
        <v>4</v>
      </c>
      <c r="Q240" t="s">
        <v>4</v>
      </c>
      <c r="R240" t="s">
        <v>4</v>
      </c>
      <c r="S240" t="s">
        <v>4</v>
      </c>
      <c r="T240" t="s">
        <v>4</v>
      </c>
      <c r="U240" t="s">
        <v>4</v>
      </c>
      <c r="V240" t="s">
        <v>4</v>
      </c>
      <c r="W240" t="s">
        <v>4</v>
      </c>
      <c r="X240" t="s">
        <v>4</v>
      </c>
      <c r="Y240" t="s">
        <v>4</v>
      </c>
      <c r="Z240" t="s">
        <v>4</v>
      </c>
      <c r="AA240" t="s">
        <v>4</v>
      </c>
      <c r="AB240" t="s">
        <v>265</v>
      </c>
      <c r="AC240" t="s">
        <v>55</v>
      </c>
      <c r="AD240" t="s">
        <v>6546</v>
      </c>
      <c r="AE240" t="s">
        <v>134</v>
      </c>
      <c r="AF240" t="s">
        <v>4</v>
      </c>
      <c r="AG240" t="s">
        <v>4</v>
      </c>
      <c r="AH240" t="s">
        <v>828</v>
      </c>
      <c r="AI240" t="s">
        <v>6547</v>
      </c>
      <c r="AJ240" t="s">
        <v>6548</v>
      </c>
      <c r="AK240">
        <v>9331333525</v>
      </c>
      <c r="AL240" t="s">
        <v>6549</v>
      </c>
      <c r="AM240" t="s">
        <v>6550</v>
      </c>
      <c r="AN240" t="s">
        <v>4</v>
      </c>
      <c r="AO240" t="s">
        <v>6118</v>
      </c>
      <c r="AP240" t="s">
        <v>4</v>
      </c>
      <c r="AQ240" t="s">
        <v>658</v>
      </c>
      <c r="AR240" t="s">
        <v>4</v>
      </c>
      <c r="AS240" t="s">
        <v>4</v>
      </c>
      <c r="AT240" t="s">
        <v>4</v>
      </c>
      <c r="AU240" t="s">
        <v>4</v>
      </c>
      <c r="AV240" t="s">
        <v>4</v>
      </c>
      <c r="AW240" t="s">
        <v>11</v>
      </c>
      <c r="AX240">
        <v>9900</v>
      </c>
      <c r="AY240">
        <v>3000</v>
      </c>
      <c r="AZ240" t="s">
        <v>4</v>
      </c>
      <c r="BA240" t="s">
        <v>4</v>
      </c>
      <c r="BB240" t="s">
        <v>4</v>
      </c>
      <c r="BC240" t="s">
        <v>6551</v>
      </c>
      <c r="BD240" t="s">
        <v>5802</v>
      </c>
      <c r="BE240" t="s">
        <v>4</v>
      </c>
      <c r="BF240" t="s">
        <v>4</v>
      </c>
      <c r="BG240" t="s">
        <v>4</v>
      </c>
      <c r="BH240" t="s">
        <v>4</v>
      </c>
      <c r="BI240" t="s">
        <v>4</v>
      </c>
      <c r="BJ240" t="s">
        <v>6552</v>
      </c>
      <c r="BK240" t="s">
        <v>4</v>
      </c>
      <c r="BL240">
        <v>1</v>
      </c>
      <c r="BM240" t="s">
        <v>4</v>
      </c>
      <c r="BN240">
        <v>12900</v>
      </c>
      <c r="BO240" t="s">
        <v>4</v>
      </c>
      <c r="BP240" t="s">
        <v>4</v>
      </c>
      <c r="BQ240" t="s">
        <v>4</v>
      </c>
      <c r="BR240" t="s">
        <v>4</v>
      </c>
      <c r="BS240" t="s">
        <v>4</v>
      </c>
      <c r="BT240" t="s">
        <v>4</v>
      </c>
      <c r="BU240" t="s">
        <v>4</v>
      </c>
      <c r="BV240" t="s">
        <v>4</v>
      </c>
      <c r="BW240" t="s">
        <v>3</v>
      </c>
      <c r="BX240" t="s">
        <v>4</v>
      </c>
      <c r="BY240" t="s">
        <v>12</v>
      </c>
      <c r="BZ240" t="s">
        <v>12</v>
      </c>
      <c r="CA240" t="s">
        <v>12</v>
      </c>
      <c r="CB240" t="s">
        <v>1074</v>
      </c>
      <c r="CC240" t="s">
        <v>12</v>
      </c>
      <c r="CD240" t="str" cm="1">
        <f t="array" aca="1" ref="CD240" ca="1">eConcatenar(A240:CB240,"|")</f>
        <v>kBp2BuJtrmdOfQan|COM   2018-1118|3|ECONOLINE|TABASCO|PARAISO|PARAISO|2018-6-21|12900|X|X|400|2|X|X|X|X|X|X|X|X|X|X|X|X|X|X|DOMINGUEZ|GARCIA|EVERINA|VIUDA|X|X|FRANCISCO MADERO|VECINAL PARAISO|CAMELLON HERNANDEZ|9331333525|ANA MARIA MAGAÑA DOMINGUEZ|JOAQUIN CRUZ PEREZ|X|RUTA 4 M|X|MIERCOLES|X|X|X|X|X|DOMICILIO|9900|3000|X|X|X|2021-2-03|2021-9-29|X|X|X|X|X|FRANCISCO MADERO SEGUNDA|X|1|X|12900|X|X|X|X|X|X|X|X|CARDENAS|X|x|x|x|final</v>
      </c>
    </row>
    <row r="241" spans="1:82" x14ac:dyDescent="0.25">
      <c r="A241" t="s">
        <v>6553</v>
      </c>
      <c r="B241" t="s">
        <v>6554</v>
      </c>
      <c r="C241">
        <v>3</v>
      </c>
      <c r="D241" t="s">
        <v>194</v>
      </c>
      <c r="E241" t="s">
        <v>2</v>
      </c>
      <c r="F241" t="s">
        <v>722</v>
      </c>
      <c r="G241" t="s">
        <v>722</v>
      </c>
      <c r="H241" t="s">
        <v>6555</v>
      </c>
      <c r="I241">
        <v>12900</v>
      </c>
      <c r="J241" t="s">
        <v>4</v>
      </c>
      <c r="K241" t="s">
        <v>4</v>
      </c>
      <c r="L241">
        <v>400</v>
      </c>
      <c r="M241">
        <v>2</v>
      </c>
      <c r="N241" t="s">
        <v>4</v>
      </c>
      <c r="O241" t="s">
        <v>4</v>
      </c>
      <c r="P241" t="s">
        <v>4</v>
      </c>
      <c r="Q241" t="s">
        <v>4</v>
      </c>
      <c r="R241" t="s">
        <v>4</v>
      </c>
      <c r="S241" t="s">
        <v>4</v>
      </c>
      <c r="T241" t="s">
        <v>4</v>
      </c>
      <c r="U241" t="s">
        <v>4</v>
      </c>
      <c r="V241" t="s">
        <v>4</v>
      </c>
      <c r="W241" t="s">
        <v>4</v>
      </c>
      <c r="X241" t="s">
        <v>4</v>
      </c>
      <c r="Y241" t="s">
        <v>4</v>
      </c>
      <c r="Z241" t="s">
        <v>4</v>
      </c>
      <c r="AA241" t="s">
        <v>4</v>
      </c>
      <c r="AB241" t="s">
        <v>6556</v>
      </c>
      <c r="AC241" t="s">
        <v>737</v>
      </c>
      <c r="AD241" t="s">
        <v>81</v>
      </c>
      <c r="AE241" t="s">
        <v>29</v>
      </c>
      <c r="AF241" t="s">
        <v>4</v>
      </c>
      <c r="AG241" t="s">
        <v>4</v>
      </c>
      <c r="AH241" t="s">
        <v>6557</v>
      </c>
      <c r="AI241" t="s">
        <v>6558</v>
      </c>
      <c r="AJ241" t="s">
        <v>4</v>
      </c>
      <c r="AK241">
        <v>9331468639</v>
      </c>
      <c r="AL241" t="s">
        <v>6559</v>
      </c>
      <c r="AM241" t="s">
        <v>6560</v>
      </c>
      <c r="AN241" t="s">
        <v>4</v>
      </c>
      <c r="AO241" t="s">
        <v>6118</v>
      </c>
      <c r="AP241" t="s">
        <v>4</v>
      </c>
      <c r="AQ241" t="s">
        <v>658</v>
      </c>
      <c r="AR241" t="s">
        <v>4</v>
      </c>
      <c r="AS241" t="s">
        <v>4</v>
      </c>
      <c r="AT241" t="s">
        <v>4</v>
      </c>
      <c r="AU241" t="s">
        <v>4</v>
      </c>
      <c r="AV241" t="s">
        <v>4</v>
      </c>
      <c r="AW241" t="s">
        <v>11</v>
      </c>
      <c r="AX241">
        <v>3550</v>
      </c>
      <c r="AY241">
        <v>9350</v>
      </c>
      <c r="AZ241" t="s">
        <v>4</v>
      </c>
      <c r="BA241" t="s">
        <v>4</v>
      </c>
      <c r="BB241" t="s">
        <v>4</v>
      </c>
      <c r="BC241" t="s">
        <v>6561</v>
      </c>
      <c r="BD241" t="s">
        <v>6059</v>
      </c>
      <c r="BE241" t="s">
        <v>4</v>
      </c>
      <c r="BF241" t="s">
        <v>4</v>
      </c>
      <c r="BG241" t="s">
        <v>4</v>
      </c>
      <c r="BH241" t="s">
        <v>4</v>
      </c>
      <c r="BI241" t="s">
        <v>4</v>
      </c>
      <c r="BJ241" t="s">
        <v>6562</v>
      </c>
      <c r="BK241" t="s">
        <v>4</v>
      </c>
      <c r="BL241">
        <v>1</v>
      </c>
      <c r="BM241" t="s">
        <v>4</v>
      </c>
      <c r="BN241">
        <v>12900</v>
      </c>
      <c r="BO241" t="s">
        <v>4</v>
      </c>
      <c r="BP241" t="s">
        <v>4</v>
      </c>
      <c r="BQ241" t="s">
        <v>4</v>
      </c>
      <c r="BR241" t="s">
        <v>4</v>
      </c>
      <c r="BS241" t="s">
        <v>4</v>
      </c>
      <c r="BT241" t="s">
        <v>4</v>
      </c>
      <c r="BU241" t="s">
        <v>4</v>
      </c>
      <c r="BV241" t="s">
        <v>4</v>
      </c>
      <c r="BW241" t="s">
        <v>3</v>
      </c>
      <c r="BX241" t="s">
        <v>4</v>
      </c>
      <c r="BY241" t="s">
        <v>12</v>
      </c>
      <c r="BZ241" t="s">
        <v>12</v>
      </c>
      <c r="CA241" t="s">
        <v>12</v>
      </c>
      <c r="CB241" t="s">
        <v>1074</v>
      </c>
      <c r="CC241" t="s">
        <v>12</v>
      </c>
      <c r="CD241" t="str" cm="1">
        <f t="array" aca="1" ref="CD241" ca="1">eConcatenar(A241:CB241,"|")</f>
        <v>zH06r6cHv1wbwz3a|COM   2019-0548|3|ECONOLINE|TABASCO|COMALCALCO|COMALCALCO|2019-3-11|12900|X|X|400|2|X|X|X|X|X|X|X|X|X|X|X|X|X|X|ORTEGA |MENDOZA|GUADALUPE|CASADA|X|X|MARTINICA 102|SANTO DOMINGO|X|9331468639|ROBERTO JIMENEZ HIDALGO|BERTHA MENDOZA REYES|X|RUTA 4 M|X|MIERCOLES|X|X|X|X|X|DOMICILIO|3550|9350|X|X|X|2021-7-09|2021-10-07|X|X|X|X|X|MARTINICA 102 SANTO DOMING|X|1|X|12900|X|X|X|X|X|X|X|X|CARDENAS|X|x|x|x|final</v>
      </c>
    </row>
    <row r="242" spans="1:82" x14ac:dyDescent="0.25">
      <c r="A242" t="s">
        <v>6563</v>
      </c>
      <c r="B242" t="s">
        <v>6564</v>
      </c>
      <c r="C242">
        <v>3</v>
      </c>
      <c r="D242" t="s">
        <v>201</v>
      </c>
      <c r="E242" t="s">
        <v>2</v>
      </c>
      <c r="F242" t="s">
        <v>654</v>
      </c>
      <c r="G242" t="s">
        <v>654</v>
      </c>
      <c r="H242" t="s">
        <v>6565</v>
      </c>
      <c r="I242">
        <v>12900</v>
      </c>
      <c r="J242" t="s">
        <v>4</v>
      </c>
      <c r="K242" t="s">
        <v>4</v>
      </c>
      <c r="L242">
        <v>400</v>
      </c>
      <c r="M242">
        <v>2</v>
      </c>
      <c r="N242" t="s">
        <v>4</v>
      </c>
      <c r="O242" t="s">
        <v>4</v>
      </c>
      <c r="P242" t="s">
        <v>4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4</v>
      </c>
      <c r="W242" t="s">
        <v>4</v>
      </c>
      <c r="X242" t="s">
        <v>4</v>
      </c>
      <c r="Y242" t="s">
        <v>4</v>
      </c>
      <c r="Z242" t="s">
        <v>4</v>
      </c>
      <c r="AA242" t="s">
        <v>4</v>
      </c>
      <c r="AB242" t="s">
        <v>108</v>
      </c>
      <c r="AC242" t="s">
        <v>6566</v>
      </c>
      <c r="AD242" t="s">
        <v>6567</v>
      </c>
      <c r="AE242" t="s">
        <v>29</v>
      </c>
      <c r="AF242" t="s">
        <v>4</v>
      </c>
      <c r="AG242" t="s">
        <v>4</v>
      </c>
      <c r="AH242" t="s">
        <v>905</v>
      </c>
      <c r="AI242" t="s">
        <v>6568</v>
      </c>
      <c r="AJ242" t="s">
        <v>4</v>
      </c>
      <c r="AK242">
        <v>9331604914</v>
      </c>
      <c r="AL242" t="s">
        <v>6569</v>
      </c>
      <c r="AM242" t="s">
        <v>6570</v>
      </c>
      <c r="AN242" t="s">
        <v>4</v>
      </c>
      <c r="AO242" t="s">
        <v>6118</v>
      </c>
      <c r="AP242" t="s">
        <v>4</v>
      </c>
      <c r="AQ242" t="s">
        <v>658</v>
      </c>
      <c r="AR242" t="s">
        <v>4</v>
      </c>
      <c r="AS242" t="s">
        <v>4</v>
      </c>
      <c r="AT242" t="s">
        <v>4</v>
      </c>
      <c r="AU242" t="s">
        <v>4</v>
      </c>
      <c r="AV242" t="s">
        <v>4</v>
      </c>
      <c r="AW242" t="s">
        <v>11</v>
      </c>
      <c r="AX242">
        <v>4000</v>
      </c>
      <c r="AY242">
        <v>8900</v>
      </c>
      <c r="AZ242" t="s">
        <v>4</v>
      </c>
      <c r="BA242" t="s">
        <v>4</v>
      </c>
      <c r="BB242" t="s">
        <v>4</v>
      </c>
      <c r="BC242" t="s">
        <v>6111</v>
      </c>
      <c r="BD242" t="s">
        <v>5793</v>
      </c>
      <c r="BE242" t="s">
        <v>4</v>
      </c>
      <c r="BF242" t="s">
        <v>4</v>
      </c>
      <c r="BG242" t="s">
        <v>4</v>
      </c>
      <c r="BH242" t="s">
        <v>4</v>
      </c>
      <c r="BI242" t="s">
        <v>4</v>
      </c>
      <c r="BJ242" t="s">
        <v>905</v>
      </c>
      <c r="BK242" t="s">
        <v>4</v>
      </c>
      <c r="BL242">
        <v>1</v>
      </c>
      <c r="BM242" t="s">
        <v>4</v>
      </c>
      <c r="BN242">
        <v>12900</v>
      </c>
      <c r="BO242" t="s">
        <v>4</v>
      </c>
      <c r="BP242" t="s">
        <v>4</v>
      </c>
      <c r="BQ242" t="s">
        <v>4</v>
      </c>
      <c r="BR242" t="s">
        <v>4</v>
      </c>
      <c r="BS242" t="s">
        <v>4</v>
      </c>
      <c r="BT242" t="s">
        <v>4</v>
      </c>
      <c r="BU242" t="s">
        <v>4</v>
      </c>
      <c r="BV242" t="s">
        <v>4</v>
      </c>
      <c r="BW242" t="s">
        <v>3</v>
      </c>
      <c r="BX242" t="s">
        <v>4</v>
      </c>
      <c r="BY242" t="s">
        <v>12</v>
      </c>
      <c r="BZ242" t="s">
        <v>12</v>
      </c>
      <c r="CA242" t="s">
        <v>12</v>
      </c>
      <c r="CB242" t="s">
        <v>1074</v>
      </c>
      <c r="CC242" t="s">
        <v>12</v>
      </c>
      <c r="CD242" t="str" cm="1">
        <f t="array" aca="1" ref="CD242" ca="1">eConcatenar(A242:CB242,"|")</f>
        <v>YOckfJLcXlc2F1WL|COM   2020-3114|3|IMPERIAL|TABASCO|PARAISO|PARAISO|2022-11-24|12900|X|X|400|2|X|X|X|X|X|X|X|X|X|X|X|X|X|X|VELAZQUEZ |PERERA|CRISTINA MARIELA|CASADA|X|X|PUERTO CEIBA CARRIZAL|PRIMERO DE MAYO|X|9331604914|ALFREDO VELAZQUEZ MAY|MARIA DEL ROSARIO PERERA HERNANDE|X|RUTA 4 M|X|MIERCOLES|X|X|X|X|X|DOMICILIO|4000|8900|X|X|X|2021-9-08|2021-10-06|X|X|X|X|X|PUERTO CEIBA CARRIZAL|X|1|X|12900|X|X|X|X|X|X|X|X|CARDENAS|X|x|x|x|final</v>
      </c>
    </row>
    <row r="243" spans="1:82" x14ac:dyDescent="0.25">
      <c r="A243" t="s">
        <v>6571</v>
      </c>
      <c r="B243" t="s">
        <v>6572</v>
      </c>
      <c r="C243">
        <v>3</v>
      </c>
      <c r="D243" t="s">
        <v>194</v>
      </c>
      <c r="E243" t="s">
        <v>2</v>
      </c>
      <c r="F243" t="s">
        <v>654</v>
      </c>
      <c r="G243" t="s">
        <v>654</v>
      </c>
      <c r="H243" t="s">
        <v>6573</v>
      </c>
      <c r="I243">
        <v>12900</v>
      </c>
      <c r="J243" t="s">
        <v>4</v>
      </c>
      <c r="K243" t="s">
        <v>4</v>
      </c>
      <c r="L243">
        <v>400</v>
      </c>
      <c r="M243">
        <v>2</v>
      </c>
      <c r="N243" t="s">
        <v>4</v>
      </c>
      <c r="O243" t="s">
        <v>4</v>
      </c>
      <c r="P243" t="s">
        <v>4</v>
      </c>
      <c r="Q243" t="s">
        <v>4</v>
      </c>
      <c r="R243" t="s">
        <v>4</v>
      </c>
      <c r="S243" t="s">
        <v>4</v>
      </c>
      <c r="T243" t="s">
        <v>4</v>
      </c>
      <c r="U243" t="s">
        <v>4</v>
      </c>
      <c r="V243" t="s">
        <v>4</v>
      </c>
      <c r="W243" t="s">
        <v>4</v>
      </c>
      <c r="X243" t="s">
        <v>4</v>
      </c>
      <c r="Y243" t="s">
        <v>4</v>
      </c>
      <c r="Z243" t="s">
        <v>4</v>
      </c>
      <c r="AA243" t="s">
        <v>4</v>
      </c>
      <c r="AB243" t="s">
        <v>6574</v>
      </c>
      <c r="AC243" t="s">
        <v>16</v>
      </c>
      <c r="AD243" t="s">
        <v>6575</v>
      </c>
      <c r="AE243" t="s">
        <v>29</v>
      </c>
      <c r="AF243" t="s">
        <v>4</v>
      </c>
      <c r="AG243" t="s">
        <v>4</v>
      </c>
      <c r="AH243" t="s">
        <v>905</v>
      </c>
      <c r="AI243" t="s">
        <v>6576</v>
      </c>
      <c r="AJ243" t="s">
        <v>6577</v>
      </c>
      <c r="AK243">
        <v>9334064736</v>
      </c>
      <c r="AL243" t="s">
        <v>6578</v>
      </c>
      <c r="AM243" t="s">
        <v>6579</v>
      </c>
      <c r="AN243" t="s">
        <v>4</v>
      </c>
      <c r="AO243" t="s">
        <v>6118</v>
      </c>
      <c r="AP243" t="s">
        <v>4</v>
      </c>
      <c r="AQ243" t="s">
        <v>6521</v>
      </c>
      <c r="AR243" t="s">
        <v>4</v>
      </c>
      <c r="AS243" t="s">
        <v>4</v>
      </c>
      <c r="AT243" t="s">
        <v>4</v>
      </c>
      <c r="AU243" t="s">
        <v>4</v>
      </c>
      <c r="AV243" t="s">
        <v>4</v>
      </c>
      <c r="AW243" t="s">
        <v>11</v>
      </c>
      <c r="AX243">
        <v>5400</v>
      </c>
      <c r="AY243">
        <v>7500</v>
      </c>
      <c r="AZ243" t="s">
        <v>4</v>
      </c>
      <c r="BA243" t="s">
        <v>4</v>
      </c>
      <c r="BB243" t="s">
        <v>4</v>
      </c>
      <c r="BC243" t="s">
        <v>6111</v>
      </c>
      <c r="BD243" t="s">
        <v>5793</v>
      </c>
      <c r="BE243" t="s">
        <v>4</v>
      </c>
      <c r="BF243" t="s">
        <v>4</v>
      </c>
      <c r="BG243" t="s">
        <v>4</v>
      </c>
      <c r="BH243" t="s">
        <v>4</v>
      </c>
      <c r="BI243" t="s">
        <v>4</v>
      </c>
      <c r="BJ243" t="s">
        <v>905</v>
      </c>
      <c r="BK243" t="s">
        <v>4</v>
      </c>
      <c r="BL243">
        <v>1</v>
      </c>
      <c r="BM243" t="s">
        <v>4</v>
      </c>
      <c r="BN243">
        <v>12900</v>
      </c>
      <c r="BO243" t="s">
        <v>4</v>
      </c>
      <c r="BP243" t="s">
        <v>4</v>
      </c>
      <c r="BQ243" t="s">
        <v>4</v>
      </c>
      <c r="BR243" t="s">
        <v>4</v>
      </c>
      <c r="BS243" t="s">
        <v>4</v>
      </c>
      <c r="BT243" t="s">
        <v>4</v>
      </c>
      <c r="BU243" t="s">
        <v>4</v>
      </c>
      <c r="BV243" t="s">
        <v>4</v>
      </c>
      <c r="BW243" t="s">
        <v>3</v>
      </c>
      <c r="BX243" t="s">
        <v>4</v>
      </c>
      <c r="BY243" t="s">
        <v>12</v>
      </c>
      <c r="BZ243" t="s">
        <v>12</v>
      </c>
      <c r="CA243" t="s">
        <v>12</v>
      </c>
      <c r="CB243" t="s">
        <v>1074</v>
      </c>
      <c r="CC243" t="s">
        <v>12</v>
      </c>
      <c r="CD243" t="str" cm="1">
        <f t="array" aca="1" ref="CD243" ca="1">eConcatenar(A243:CB243,"|")</f>
        <v>GZV08XC9bowqbazN|COM   2020-1512|3|ECONOLINE|TABASCO|PARAISO|PARAISO|2020-7-30|12900|X|X|400|2|X|X|X|X|X|X|X|X|X|X|X|X|X|X|MONDRAGON|SANTOS|KIKEY|CASADA|X|X|PUERTO CEIBA CARRIZAL|JOSE COFFIN SANCHEZ|PROGRESO|9334064736|GRACIANO MORALES MONTOYA|KAREN XICOTENCALT PEREZ|X|RUTA 4 M|X|MIÉRCOLES|X|X|X|X|X|DOMICILIO|5400|7500|X|X|X|2021-9-08|2021-10-06|X|X|X|X|X|PUERTO CEIBA CARRIZAL|X|1|X|12900|X|X|X|X|X|X|X|X|CARDENAS|X|x|x|x|final</v>
      </c>
    </row>
    <row r="244" spans="1:82" x14ac:dyDescent="0.25">
      <c r="A244" t="s">
        <v>6580</v>
      </c>
      <c r="B244" t="s">
        <v>6581</v>
      </c>
      <c r="C244">
        <v>3</v>
      </c>
      <c r="D244" t="s">
        <v>65</v>
      </c>
      <c r="E244" t="s">
        <v>2</v>
      </c>
      <c r="F244" t="s">
        <v>654</v>
      </c>
      <c r="G244" t="s">
        <v>654</v>
      </c>
      <c r="H244" t="s">
        <v>6242</v>
      </c>
      <c r="I244">
        <v>14800</v>
      </c>
      <c r="J244" t="s">
        <v>4</v>
      </c>
      <c r="K244" t="s">
        <v>4</v>
      </c>
      <c r="L244">
        <v>400</v>
      </c>
      <c r="M244">
        <v>2</v>
      </c>
      <c r="N244" t="s">
        <v>4</v>
      </c>
      <c r="O244" t="s">
        <v>4</v>
      </c>
      <c r="P244" t="s">
        <v>4</v>
      </c>
      <c r="Q244" t="s">
        <v>4</v>
      </c>
      <c r="R244" t="s">
        <v>4</v>
      </c>
      <c r="S244" t="s">
        <v>4</v>
      </c>
      <c r="T244" t="s">
        <v>4</v>
      </c>
      <c r="U244" t="s">
        <v>4</v>
      </c>
      <c r="V244" t="s">
        <v>4</v>
      </c>
      <c r="W244" t="s">
        <v>4</v>
      </c>
      <c r="X244" t="s">
        <v>4</v>
      </c>
      <c r="Y244" t="s">
        <v>4</v>
      </c>
      <c r="Z244" t="s">
        <v>4</v>
      </c>
      <c r="AA244" t="s">
        <v>4</v>
      </c>
      <c r="AB244" t="s">
        <v>6419</v>
      </c>
      <c r="AC244" t="s">
        <v>655</v>
      </c>
      <c r="AD244" t="s">
        <v>6582</v>
      </c>
      <c r="AE244" t="s">
        <v>48</v>
      </c>
      <c r="AF244" t="s">
        <v>4</v>
      </c>
      <c r="AG244" t="s">
        <v>4</v>
      </c>
      <c r="AH244" t="s">
        <v>40</v>
      </c>
      <c r="AI244" t="s">
        <v>6583</v>
      </c>
      <c r="AJ244" t="s">
        <v>4</v>
      </c>
      <c r="AK244">
        <v>9331352439</v>
      </c>
      <c r="AL244" t="s">
        <v>6584</v>
      </c>
      <c r="AM244" t="s">
        <v>6585</v>
      </c>
      <c r="AN244" t="s">
        <v>4</v>
      </c>
      <c r="AO244" t="s">
        <v>6118</v>
      </c>
      <c r="AP244" t="s">
        <v>4</v>
      </c>
      <c r="AQ244" t="s">
        <v>658</v>
      </c>
      <c r="AR244" t="s">
        <v>4</v>
      </c>
      <c r="AS244" t="s">
        <v>4</v>
      </c>
      <c r="AT244" t="s">
        <v>4</v>
      </c>
      <c r="AU244" t="s">
        <v>4</v>
      </c>
      <c r="AV244" t="s">
        <v>4</v>
      </c>
      <c r="AW244" t="s">
        <v>11</v>
      </c>
      <c r="AX244">
        <v>600</v>
      </c>
      <c r="AY244">
        <v>14200</v>
      </c>
      <c r="AZ244" t="s">
        <v>4</v>
      </c>
      <c r="BA244" t="s">
        <v>4</v>
      </c>
      <c r="BB244" t="s">
        <v>4</v>
      </c>
      <c r="BC244" t="s">
        <v>6111</v>
      </c>
      <c r="BD244" t="s">
        <v>5793</v>
      </c>
      <c r="BE244" t="s">
        <v>4</v>
      </c>
      <c r="BF244" t="s">
        <v>4</v>
      </c>
      <c r="BG244" t="s">
        <v>4</v>
      </c>
      <c r="BH244" t="s">
        <v>4</v>
      </c>
      <c r="BI244" t="s">
        <v>4</v>
      </c>
      <c r="BJ244" t="s">
        <v>6586</v>
      </c>
      <c r="BK244" t="s">
        <v>4</v>
      </c>
      <c r="BL244">
        <v>0</v>
      </c>
      <c r="BM244" t="s">
        <v>4</v>
      </c>
      <c r="BN244">
        <v>14800</v>
      </c>
      <c r="BO244" t="s">
        <v>4</v>
      </c>
      <c r="BP244" t="s">
        <v>4</v>
      </c>
      <c r="BQ244" t="s">
        <v>4</v>
      </c>
      <c r="BR244" t="s">
        <v>4</v>
      </c>
      <c r="BS244" t="s">
        <v>4</v>
      </c>
      <c r="BT244" t="s">
        <v>4</v>
      </c>
      <c r="BU244" t="s">
        <v>4</v>
      </c>
      <c r="BV244" t="s">
        <v>4</v>
      </c>
      <c r="BW244" t="s">
        <v>3</v>
      </c>
      <c r="BX244" t="s">
        <v>4</v>
      </c>
      <c r="BY244" t="s">
        <v>12</v>
      </c>
      <c r="BZ244" t="s">
        <v>12</v>
      </c>
      <c r="CA244" t="s">
        <v>12</v>
      </c>
      <c r="CB244" t="s">
        <v>1074</v>
      </c>
      <c r="CC244" t="s">
        <v>12</v>
      </c>
      <c r="CD244" t="str" cm="1">
        <f t="array" aca="1" ref="CD244" ca="1">eConcatenar(A244:CB244,"|")</f>
        <v>EZ9bpAKBPEmHstAx|COM   2021-2561|3|MEMORIAL|TABASCO|PARAISO|PARAISO|2021-8-04|14800|X|X|400|2|X|X|X|X|X|X|X|X|X|X|X|X|X|X|ONORIO|FLORES|PABLO JOSE|SOLTERA|X|X|CENTRO|LENDRO VALLE SIN NUMERO|X|9331352439|MARIA DEL CARME FLORES LOPEZ|MARIA ELENA FLORES LOPEZ|X|RUTA 4 M|X|MIERCOLES|X|X|X|X|X|DOMICILIO|600|14200|X|X|X|2021-9-08|2021-10-06|X|X|X|X|X|LEANDRO VALLE SIN NUMERO|X|0|X|14800|X|X|X|X|X|X|X|X|CARDENAS|X|x|x|x|final</v>
      </c>
    </row>
    <row r="245" spans="1:82" x14ac:dyDescent="0.25">
      <c r="A245" t="s">
        <v>6587</v>
      </c>
      <c r="B245" t="s">
        <v>6588</v>
      </c>
      <c r="C245">
        <v>3</v>
      </c>
      <c r="D245" t="s">
        <v>70</v>
      </c>
      <c r="E245" t="s">
        <v>2</v>
      </c>
      <c r="F245" t="s">
        <v>722</v>
      </c>
      <c r="G245" t="s">
        <v>722</v>
      </c>
      <c r="H245" t="s">
        <v>6387</v>
      </c>
      <c r="I245">
        <v>24500</v>
      </c>
      <c r="J245" t="s">
        <v>4</v>
      </c>
      <c r="K245" t="s">
        <v>4</v>
      </c>
      <c r="L245">
        <v>400</v>
      </c>
      <c r="M245">
        <v>2</v>
      </c>
      <c r="N245" t="s">
        <v>4</v>
      </c>
      <c r="O245" t="s">
        <v>4</v>
      </c>
      <c r="P245" t="s">
        <v>4</v>
      </c>
      <c r="Q245" t="s">
        <v>4</v>
      </c>
      <c r="R245" t="s">
        <v>4</v>
      </c>
      <c r="S245" t="s">
        <v>4</v>
      </c>
      <c r="T245" t="s">
        <v>4</v>
      </c>
      <c r="U245" t="s">
        <v>4</v>
      </c>
      <c r="V245" t="s">
        <v>4</v>
      </c>
      <c r="W245" t="s">
        <v>4</v>
      </c>
      <c r="X245" t="s">
        <v>4</v>
      </c>
      <c r="Y245" t="s">
        <v>4</v>
      </c>
      <c r="Z245" t="s">
        <v>4</v>
      </c>
      <c r="AA245" t="s">
        <v>4</v>
      </c>
      <c r="AB245" t="s">
        <v>817</v>
      </c>
      <c r="AC245" t="s">
        <v>47</v>
      </c>
      <c r="AD245" t="s">
        <v>4719</v>
      </c>
      <c r="AE245" t="s">
        <v>59</v>
      </c>
      <c r="AF245" t="s">
        <v>4</v>
      </c>
      <c r="AG245" t="s">
        <v>4</v>
      </c>
      <c r="AH245" t="s">
        <v>6589</v>
      </c>
      <c r="AI245" t="s">
        <v>4</v>
      </c>
      <c r="AJ245" t="s">
        <v>4</v>
      </c>
      <c r="AK245">
        <v>9331479072</v>
      </c>
      <c r="AL245" t="s">
        <v>6590</v>
      </c>
      <c r="AM245" t="s">
        <v>4</v>
      </c>
      <c r="AN245" t="s">
        <v>4</v>
      </c>
      <c r="AO245" t="s">
        <v>6118</v>
      </c>
      <c r="AP245" t="s">
        <v>4</v>
      </c>
      <c r="AQ245" t="s">
        <v>658</v>
      </c>
      <c r="AR245" t="s">
        <v>4</v>
      </c>
      <c r="AS245" t="s">
        <v>4</v>
      </c>
      <c r="AT245" t="s">
        <v>4</v>
      </c>
      <c r="AU245" t="s">
        <v>4</v>
      </c>
      <c r="AV245" t="s">
        <v>4</v>
      </c>
      <c r="AW245" t="s">
        <v>11</v>
      </c>
      <c r="AX245">
        <v>700</v>
      </c>
      <c r="AY245">
        <v>23800</v>
      </c>
      <c r="AZ245" t="s">
        <v>4</v>
      </c>
      <c r="BA245" t="s">
        <v>4</v>
      </c>
      <c r="BB245" t="s">
        <v>4</v>
      </c>
      <c r="BC245" t="s">
        <v>6111</v>
      </c>
      <c r="BD245" t="s">
        <v>5793</v>
      </c>
      <c r="BE245" t="s">
        <v>4</v>
      </c>
      <c r="BF245" t="s">
        <v>4</v>
      </c>
      <c r="BG245" t="s">
        <v>4</v>
      </c>
      <c r="BH245" t="s">
        <v>4</v>
      </c>
      <c r="BI245" t="s">
        <v>4</v>
      </c>
      <c r="BJ245" t="s">
        <v>6591</v>
      </c>
      <c r="BK245" t="s">
        <v>4</v>
      </c>
      <c r="BL245">
        <v>0</v>
      </c>
      <c r="BM245" t="s">
        <v>4</v>
      </c>
      <c r="BN245">
        <v>24500</v>
      </c>
      <c r="BO245" t="s">
        <v>4</v>
      </c>
      <c r="BP245" t="s">
        <v>4</v>
      </c>
      <c r="BQ245" t="s">
        <v>4</v>
      </c>
      <c r="BR245" t="s">
        <v>4</v>
      </c>
      <c r="BS245" t="s">
        <v>4</v>
      </c>
      <c r="BT245" t="s">
        <v>4</v>
      </c>
      <c r="BU245" t="s">
        <v>4</v>
      </c>
      <c r="BV245" t="s">
        <v>4</v>
      </c>
      <c r="BW245" t="s">
        <v>3</v>
      </c>
      <c r="BX245" t="s">
        <v>4</v>
      </c>
      <c r="BY245" t="s">
        <v>12</v>
      </c>
      <c r="BZ245" t="s">
        <v>12</v>
      </c>
      <c r="CA245" t="s">
        <v>12</v>
      </c>
      <c r="CB245" t="s">
        <v>1074</v>
      </c>
      <c r="CC245" t="s">
        <v>12</v>
      </c>
      <c r="CD245" t="str" cm="1">
        <f t="array" aca="1" ref="CD245" ca="1">eConcatenar(A245:CB245,"|")</f>
        <v>jgJSCTNUZ4fuDTY2|COM   2021-2555|3|DIGNITY|TABASCO|COMALCALCO|COMALCALCO|2021-8-03|24500|X|X|400|2|X|X|X|X|X|X|X|X|X|X|X|X|X|X|MANUEL|SANCHEZ|JOSE|CASADO|X|X|OCCIDENTE PRIMERA|X|X|9331479072|GABRIELA ISIDRO JIMENEZ|X|X|RUTA 4 M|X|MIERCOLES|X|X|X|X|X|DOMICILIO|700|23800|X|X|X|2021-9-08|2021-10-06|X|X|X|X|X|OCCIDENTE PRIMERA |X|0|X|24500|X|X|X|X|X|X|X|X|CARDENAS|X|x|x|x|final</v>
      </c>
    </row>
    <row r="246" spans="1:82" x14ac:dyDescent="0.25">
      <c r="A246" t="s">
        <v>6592</v>
      </c>
      <c r="B246" t="s">
        <v>6593</v>
      </c>
      <c r="C246">
        <v>3</v>
      </c>
      <c r="D246" t="s">
        <v>194</v>
      </c>
      <c r="E246" t="s">
        <v>2</v>
      </c>
      <c r="F246" t="s">
        <v>654</v>
      </c>
      <c r="G246" t="s">
        <v>654</v>
      </c>
      <c r="H246" t="s">
        <v>6594</v>
      </c>
      <c r="I246">
        <v>12900</v>
      </c>
      <c r="J246" t="s">
        <v>4</v>
      </c>
      <c r="K246" t="s">
        <v>4</v>
      </c>
      <c r="L246">
        <v>200</v>
      </c>
      <c r="M246">
        <v>1</v>
      </c>
      <c r="N246" t="s">
        <v>4</v>
      </c>
      <c r="O246" t="s">
        <v>4</v>
      </c>
      <c r="P246" t="s">
        <v>4</v>
      </c>
      <c r="Q246" t="s">
        <v>4</v>
      </c>
      <c r="R246" t="s">
        <v>4</v>
      </c>
      <c r="S246" t="s">
        <v>4</v>
      </c>
      <c r="T246" t="s">
        <v>4</v>
      </c>
      <c r="U246" t="s">
        <v>4</v>
      </c>
      <c r="V246" t="s">
        <v>4</v>
      </c>
      <c r="W246" t="s">
        <v>4</v>
      </c>
      <c r="X246" t="s">
        <v>4</v>
      </c>
      <c r="Y246" t="s">
        <v>4</v>
      </c>
      <c r="Z246" t="s">
        <v>4</v>
      </c>
      <c r="AA246" t="s">
        <v>4</v>
      </c>
      <c r="AB246" t="s">
        <v>433</v>
      </c>
      <c r="AC246" t="s">
        <v>47</v>
      </c>
      <c r="AD246" t="s">
        <v>6595</v>
      </c>
      <c r="AE246" t="s">
        <v>29</v>
      </c>
      <c r="AF246" t="s">
        <v>4</v>
      </c>
      <c r="AG246" t="s">
        <v>4</v>
      </c>
      <c r="AH246" t="s">
        <v>905</v>
      </c>
      <c r="AI246" t="s">
        <v>6596</v>
      </c>
      <c r="AJ246" t="s">
        <v>106</v>
      </c>
      <c r="AK246">
        <v>9331269045</v>
      </c>
      <c r="AL246" t="s">
        <v>6597</v>
      </c>
      <c r="AM246" t="s">
        <v>6579</v>
      </c>
      <c r="AN246" t="s">
        <v>4</v>
      </c>
      <c r="AO246" t="s">
        <v>6118</v>
      </c>
      <c r="AP246" t="s">
        <v>4</v>
      </c>
      <c r="AQ246" t="s">
        <v>658</v>
      </c>
      <c r="AR246" t="s">
        <v>4</v>
      </c>
      <c r="AS246" t="s">
        <v>4</v>
      </c>
      <c r="AT246" t="s">
        <v>4</v>
      </c>
      <c r="AU246" t="s">
        <v>4</v>
      </c>
      <c r="AV246" t="s">
        <v>4</v>
      </c>
      <c r="AW246" t="s">
        <v>11</v>
      </c>
      <c r="AX246">
        <v>4900</v>
      </c>
      <c r="AY246">
        <v>8000</v>
      </c>
      <c r="AZ246" t="s">
        <v>4</v>
      </c>
      <c r="BA246" t="s">
        <v>4</v>
      </c>
      <c r="BB246" t="s">
        <v>4</v>
      </c>
      <c r="BC246" t="s">
        <v>6598</v>
      </c>
      <c r="BD246" t="s">
        <v>5802</v>
      </c>
      <c r="BE246" t="s">
        <v>4</v>
      </c>
      <c r="BF246" t="s">
        <v>4</v>
      </c>
      <c r="BG246" t="s">
        <v>4</v>
      </c>
      <c r="BH246" t="s">
        <v>4</v>
      </c>
      <c r="BI246" t="s">
        <v>4</v>
      </c>
      <c r="BJ246" t="s">
        <v>905</v>
      </c>
      <c r="BK246" t="s">
        <v>4</v>
      </c>
      <c r="BL246">
        <v>1</v>
      </c>
      <c r="BM246" t="s">
        <v>4</v>
      </c>
      <c r="BN246">
        <v>12900</v>
      </c>
      <c r="BO246" t="s">
        <v>4</v>
      </c>
      <c r="BP246" t="s">
        <v>4</v>
      </c>
      <c r="BQ246" t="s">
        <v>4</v>
      </c>
      <c r="BR246" t="s">
        <v>4</v>
      </c>
      <c r="BS246" t="s">
        <v>4</v>
      </c>
      <c r="BT246" t="s">
        <v>4</v>
      </c>
      <c r="BU246" t="s">
        <v>4</v>
      </c>
      <c r="BV246" t="s">
        <v>4</v>
      </c>
      <c r="BW246" t="s">
        <v>3</v>
      </c>
      <c r="BX246" t="s">
        <v>4</v>
      </c>
      <c r="BY246" t="s">
        <v>12</v>
      </c>
      <c r="BZ246" t="s">
        <v>12</v>
      </c>
      <c r="CA246" t="s">
        <v>12</v>
      </c>
      <c r="CB246" t="s">
        <v>1074</v>
      </c>
      <c r="CC246" t="s">
        <v>12</v>
      </c>
      <c r="CD246" t="str" cm="1">
        <f t="array" aca="1" ref="CD246" ca="1">eConcatenar(A246:CB246,"|")</f>
        <v>fiwh0iYldIqWD307|COM   2020-1531|3|ECONOLINE|TABASCO|PARAISO|PARAISO|2020-8-01|12900|X|X|200|1|X|X|X|X|X|X|X|X|X|X|X|X|X|X|PEREZ |SANCHEZ|YADIRA|CASADA|X|X|PUERTO CEIBA CARRIZAL|SAN JUAN BAUTISTA |PRINCIPAL|9331269045|PEDRO XICOTENCALT|KAREN XICOTENCALT PEREZ|X|RUTA 4 M|X|MIERCOLES|X|X|X|X|X|DOMICILIO|4900|8000|X|X|X|2021-6-30|2021-9-29|X|X|X|X|X|PUERTO CEIBA CARRIZAL|X|1|X|12900|X|X|X|X|X|X|X|X|CARDENAS|X|x|x|x|final</v>
      </c>
    </row>
    <row r="247" spans="1:82" x14ac:dyDescent="0.25">
      <c r="A247" t="s">
        <v>6599</v>
      </c>
      <c r="B247" t="s">
        <v>6600</v>
      </c>
      <c r="C247">
        <v>3</v>
      </c>
      <c r="D247" t="s">
        <v>194</v>
      </c>
      <c r="E247" t="s">
        <v>2</v>
      </c>
      <c r="F247" t="s">
        <v>3</v>
      </c>
      <c r="G247" t="s">
        <v>3</v>
      </c>
      <c r="H247" t="s">
        <v>6601</v>
      </c>
      <c r="I247">
        <v>12900</v>
      </c>
      <c r="J247" t="s">
        <v>4</v>
      </c>
      <c r="K247" t="s">
        <v>4</v>
      </c>
      <c r="L247">
        <v>400</v>
      </c>
      <c r="M247">
        <v>2</v>
      </c>
      <c r="N247" t="s">
        <v>4</v>
      </c>
      <c r="O247" t="s">
        <v>4</v>
      </c>
      <c r="P247" t="s">
        <v>4</v>
      </c>
      <c r="Q247" t="s">
        <v>4</v>
      </c>
      <c r="R247" t="s">
        <v>4</v>
      </c>
      <c r="S247" t="s">
        <v>4</v>
      </c>
      <c r="T247" t="s">
        <v>4</v>
      </c>
      <c r="U247" t="s">
        <v>4</v>
      </c>
      <c r="V247" t="s">
        <v>4</v>
      </c>
      <c r="W247" t="s">
        <v>4</v>
      </c>
      <c r="X247" t="s">
        <v>4</v>
      </c>
      <c r="Y247" t="s">
        <v>4</v>
      </c>
      <c r="Z247" t="s">
        <v>4</v>
      </c>
      <c r="AA247" t="s">
        <v>4</v>
      </c>
      <c r="AB247" t="s">
        <v>36</v>
      </c>
      <c r="AC247" t="s">
        <v>36</v>
      </c>
      <c r="AD247" t="s">
        <v>6602</v>
      </c>
      <c r="AE247" t="s">
        <v>134</v>
      </c>
      <c r="AF247" t="s">
        <v>4</v>
      </c>
      <c r="AG247" t="s">
        <v>4</v>
      </c>
      <c r="AH247" t="s">
        <v>2001</v>
      </c>
      <c r="AI247" t="s">
        <v>462</v>
      </c>
      <c r="AJ247" t="s">
        <v>4</v>
      </c>
      <c r="AK247">
        <v>9933948514</v>
      </c>
      <c r="AL247" t="s">
        <v>6603</v>
      </c>
      <c r="AM247" t="s">
        <v>6604</v>
      </c>
      <c r="AN247" t="s">
        <v>4</v>
      </c>
      <c r="AO247" t="s">
        <v>6118</v>
      </c>
      <c r="AP247" t="s">
        <v>4</v>
      </c>
      <c r="AQ247" t="s">
        <v>658</v>
      </c>
      <c r="AR247" t="s">
        <v>4</v>
      </c>
      <c r="AS247" t="s">
        <v>4</v>
      </c>
      <c r="AT247" t="s">
        <v>4</v>
      </c>
      <c r="AU247" t="s">
        <v>4</v>
      </c>
      <c r="AV247" t="s">
        <v>4</v>
      </c>
      <c r="AW247" t="s">
        <v>11</v>
      </c>
      <c r="AX247">
        <v>10550</v>
      </c>
      <c r="AY247">
        <v>2350</v>
      </c>
      <c r="AZ247" t="s">
        <v>4</v>
      </c>
      <c r="BA247" t="s">
        <v>4</v>
      </c>
      <c r="BB247" t="s">
        <v>4</v>
      </c>
      <c r="BC247" t="s">
        <v>6605</v>
      </c>
      <c r="BD247" t="s">
        <v>1134</v>
      </c>
      <c r="BE247" t="s">
        <v>4</v>
      </c>
      <c r="BF247" t="s">
        <v>4</v>
      </c>
      <c r="BG247" t="s">
        <v>4</v>
      </c>
      <c r="BH247" t="s">
        <v>4</v>
      </c>
      <c r="BI247" t="s">
        <v>4</v>
      </c>
      <c r="BJ247" t="s">
        <v>2001</v>
      </c>
      <c r="BK247" t="s">
        <v>4</v>
      </c>
      <c r="BL247">
        <v>1</v>
      </c>
      <c r="BM247" t="s">
        <v>4</v>
      </c>
      <c r="BN247">
        <v>12900</v>
      </c>
      <c r="BO247" t="s">
        <v>4</v>
      </c>
      <c r="BP247" t="s">
        <v>4</v>
      </c>
      <c r="BQ247" t="s">
        <v>4</v>
      </c>
      <c r="BR247" t="s">
        <v>4</v>
      </c>
      <c r="BS247" t="s">
        <v>4</v>
      </c>
      <c r="BT247" t="s">
        <v>4</v>
      </c>
      <c r="BU247" t="s">
        <v>4</v>
      </c>
      <c r="BV247" t="s">
        <v>4</v>
      </c>
      <c r="BW247" t="s">
        <v>3</v>
      </c>
      <c r="BX247" t="s">
        <v>4</v>
      </c>
      <c r="BY247" t="s">
        <v>12</v>
      </c>
      <c r="BZ247" t="s">
        <v>12</v>
      </c>
      <c r="CA247" t="s">
        <v>12</v>
      </c>
      <c r="CB247" t="s">
        <v>1074</v>
      </c>
      <c r="CC247" t="s">
        <v>12</v>
      </c>
      <c r="CD247" t="str" cm="1">
        <f t="array" aca="1" ref="CD247" ca="1">eConcatenar(A247:CB247,"|")</f>
        <v>Mo1bIW9wt57Ir6Qg|COM   2017-4200|3|ECONOLINE|TABASCO|CARDENAS|CARDENAS|2017-11-17|12900|X|X|400|2|X|X|X|X|X|X|X|X|X|X|X|X|X|X|HERNANDEZ|HERNANDEZ|ANGELA ANTONIA|VIUDA|X|X|ORIENTE SAN CAYETANO|EMILIANO ZAPATA|X|9933948514|YASMIN PEREZ HERNANDEZ|JEREMIAS PEREZ HERNANDEZ|X|RUTA 4 M|X|MIERCOLES|X|X|X|X|X|DOMICILIO|10550|2350|X|X|X|2021-8-28|2021-9-22|X|X|X|X|X|ORIENTE SAN CAYETANO|X|1|X|12900|X|X|X|X|X|X|X|X|CARDENAS|X|x|x|x|final</v>
      </c>
    </row>
    <row r="248" spans="1:82" x14ac:dyDescent="0.25">
      <c r="A248" t="s">
        <v>6606</v>
      </c>
      <c r="B248" t="s">
        <v>6607</v>
      </c>
      <c r="C248">
        <v>3</v>
      </c>
      <c r="D248" t="s">
        <v>201</v>
      </c>
      <c r="E248" t="s">
        <v>2</v>
      </c>
      <c r="F248" t="s">
        <v>654</v>
      </c>
      <c r="G248" t="s">
        <v>654</v>
      </c>
      <c r="H248" t="s">
        <v>6608</v>
      </c>
      <c r="I248">
        <v>12900</v>
      </c>
      <c r="J248" t="s">
        <v>4</v>
      </c>
      <c r="K248" t="s">
        <v>4</v>
      </c>
      <c r="L248">
        <v>200</v>
      </c>
      <c r="M248">
        <v>1</v>
      </c>
      <c r="N248" t="s">
        <v>4</v>
      </c>
      <c r="O248" t="s">
        <v>4</v>
      </c>
      <c r="P248" t="s">
        <v>4</v>
      </c>
      <c r="Q248" t="s">
        <v>4</v>
      </c>
      <c r="R248" t="s">
        <v>4</v>
      </c>
      <c r="S248" t="s">
        <v>4</v>
      </c>
      <c r="T248" t="s">
        <v>4</v>
      </c>
      <c r="U248" t="s">
        <v>4</v>
      </c>
      <c r="V248" t="s">
        <v>4</v>
      </c>
      <c r="W248" t="s">
        <v>4</v>
      </c>
      <c r="X248" t="s">
        <v>4</v>
      </c>
      <c r="Y248" t="s">
        <v>4</v>
      </c>
      <c r="Z248" t="s">
        <v>4</v>
      </c>
      <c r="AA248" t="s">
        <v>4</v>
      </c>
      <c r="AB248" t="s">
        <v>812</v>
      </c>
      <c r="AC248" t="s">
        <v>875</v>
      </c>
      <c r="AD248" t="s">
        <v>612</v>
      </c>
      <c r="AE248" t="s">
        <v>134</v>
      </c>
      <c r="AF248" t="s">
        <v>4</v>
      </c>
      <c r="AG248" t="s">
        <v>4</v>
      </c>
      <c r="AH248" t="s">
        <v>6609</v>
      </c>
      <c r="AI248" t="s">
        <v>6610</v>
      </c>
      <c r="AJ248" t="s">
        <v>4</v>
      </c>
      <c r="AK248">
        <v>9331325396</v>
      </c>
      <c r="AL248" t="s">
        <v>6611</v>
      </c>
      <c r="AM248" t="s">
        <v>6612</v>
      </c>
      <c r="AN248" t="s">
        <v>4</v>
      </c>
      <c r="AO248" t="s">
        <v>6118</v>
      </c>
      <c r="AP248" t="s">
        <v>4</v>
      </c>
      <c r="AQ248" t="s">
        <v>658</v>
      </c>
      <c r="AR248" t="s">
        <v>4</v>
      </c>
      <c r="AS248" t="s">
        <v>4</v>
      </c>
      <c r="AT248" t="s">
        <v>4</v>
      </c>
      <c r="AU248" t="s">
        <v>4</v>
      </c>
      <c r="AV248" t="s">
        <v>4</v>
      </c>
      <c r="AW248" t="s">
        <v>11</v>
      </c>
      <c r="AX248">
        <v>1000</v>
      </c>
      <c r="AY248">
        <v>11900</v>
      </c>
      <c r="AZ248" t="s">
        <v>4</v>
      </c>
      <c r="BA248" t="s">
        <v>4</v>
      </c>
      <c r="BB248" t="s">
        <v>4</v>
      </c>
      <c r="BC248" t="s">
        <v>1105</v>
      </c>
      <c r="BD248" t="s">
        <v>5802</v>
      </c>
      <c r="BE248" t="s">
        <v>4</v>
      </c>
      <c r="BF248" t="s">
        <v>4</v>
      </c>
      <c r="BG248" t="s">
        <v>4</v>
      </c>
      <c r="BH248" t="s">
        <v>4</v>
      </c>
      <c r="BI248" t="s">
        <v>4</v>
      </c>
      <c r="BJ248" t="s">
        <v>6609</v>
      </c>
      <c r="BK248" t="s">
        <v>4</v>
      </c>
      <c r="BL248">
        <v>1</v>
      </c>
      <c r="BM248" t="s">
        <v>4</v>
      </c>
      <c r="BN248">
        <v>12900</v>
      </c>
      <c r="BO248" t="s">
        <v>4</v>
      </c>
      <c r="BP248" t="s">
        <v>4</v>
      </c>
      <c r="BQ248" t="s">
        <v>4</v>
      </c>
      <c r="BR248" t="s">
        <v>4</v>
      </c>
      <c r="BS248" t="s">
        <v>4</v>
      </c>
      <c r="BT248" t="s">
        <v>4</v>
      </c>
      <c r="BU248" t="s">
        <v>4</v>
      </c>
      <c r="BV248" t="s">
        <v>4</v>
      </c>
      <c r="BW248" t="s">
        <v>3</v>
      </c>
      <c r="BX248" t="s">
        <v>4</v>
      </c>
      <c r="BY248" t="s">
        <v>12</v>
      </c>
      <c r="BZ248" t="s">
        <v>12</v>
      </c>
      <c r="CA248" t="s">
        <v>12</v>
      </c>
      <c r="CB248" t="s">
        <v>1074</v>
      </c>
      <c r="CC248" t="s">
        <v>12</v>
      </c>
      <c r="CD248" t="str" cm="1">
        <f t="array" aca="1" ref="CD248" ca="1">eConcatenar(A248:CB248,"|")</f>
        <v>RmlvCBVlLkDjCDVY|COM   2021-0507|3|IMPERIAL|TABASCO|PARAISO|PARAISO|2021-2-08|12900|X|X|200|1|X|X|X|X|X|X|X|X|X|X|X|X|X|X|ROMERO|LAZARO|JOSEFINA|VIUDA|X|X|ADALBERTO SANCHEZ MAGAÑA|ADALBERTO SANTOS|X|9331325396|JESUS MANUEL ROMERO LAZARO|ANTONIA SALAZAR HERNANDEZ|X|RUTA 4 M|X|MIERCOLES|X|X|X|X|X|DOMICILIO|1000|11900|X|X|X|2021-6-17|2021-9-29|X|X|X|X|X|ADALBERTO SANCHEZ MAGAÑA|X|1|X|12900|X|X|X|X|X|X|X|X|CARDENAS|X|x|x|x|final</v>
      </c>
    </row>
    <row r="249" spans="1:82" x14ac:dyDescent="0.25">
      <c r="A249" t="s">
        <v>6613</v>
      </c>
      <c r="B249" t="s">
        <v>6614</v>
      </c>
      <c r="C249">
        <v>3</v>
      </c>
      <c r="D249" t="s">
        <v>201</v>
      </c>
      <c r="E249" t="s">
        <v>2</v>
      </c>
      <c r="F249" t="s">
        <v>722</v>
      </c>
      <c r="G249" t="s">
        <v>722</v>
      </c>
      <c r="H249" t="s">
        <v>6615</v>
      </c>
      <c r="I249">
        <v>12900</v>
      </c>
      <c r="J249" t="s">
        <v>4</v>
      </c>
      <c r="K249" t="s">
        <v>4</v>
      </c>
      <c r="L249">
        <v>200</v>
      </c>
      <c r="M249">
        <v>1</v>
      </c>
      <c r="N249" t="s">
        <v>4</v>
      </c>
      <c r="O249" t="s">
        <v>4</v>
      </c>
      <c r="P249" t="s">
        <v>4</v>
      </c>
      <c r="Q249" t="s">
        <v>4</v>
      </c>
      <c r="R249" t="s">
        <v>4</v>
      </c>
      <c r="S249" t="s">
        <v>4</v>
      </c>
      <c r="T249" t="s">
        <v>4</v>
      </c>
      <c r="U249" t="s">
        <v>4</v>
      </c>
      <c r="V249" t="s">
        <v>4</v>
      </c>
      <c r="W249" t="s">
        <v>4</v>
      </c>
      <c r="X249" t="s">
        <v>4</v>
      </c>
      <c r="Y249" t="s">
        <v>4</v>
      </c>
      <c r="Z249" t="s">
        <v>4</v>
      </c>
      <c r="AA249" t="s">
        <v>4</v>
      </c>
      <c r="AB249" t="s">
        <v>604</v>
      </c>
      <c r="AC249" t="s">
        <v>6616</v>
      </c>
      <c r="AD249" t="s">
        <v>6617</v>
      </c>
      <c r="AE249" t="s">
        <v>24</v>
      </c>
      <c r="AF249" t="s">
        <v>4</v>
      </c>
      <c r="AG249" t="s">
        <v>4</v>
      </c>
      <c r="AH249" t="s">
        <v>40</v>
      </c>
      <c r="AI249" t="s">
        <v>6618</v>
      </c>
      <c r="AJ249" t="s">
        <v>6619</v>
      </c>
      <c r="AK249">
        <v>9934507369</v>
      </c>
      <c r="AL249" t="s">
        <v>6620</v>
      </c>
      <c r="AM249" t="s">
        <v>6621</v>
      </c>
      <c r="AN249" t="s">
        <v>4</v>
      </c>
      <c r="AO249" t="s">
        <v>6118</v>
      </c>
      <c r="AP249" t="s">
        <v>4</v>
      </c>
      <c r="AQ249" t="s">
        <v>658</v>
      </c>
      <c r="AR249" t="s">
        <v>4</v>
      </c>
      <c r="AS249" t="s">
        <v>4</v>
      </c>
      <c r="AT249" t="s">
        <v>4</v>
      </c>
      <c r="AU249" t="s">
        <v>4</v>
      </c>
      <c r="AV249" t="s">
        <v>4</v>
      </c>
      <c r="AW249" t="s">
        <v>11</v>
      </c>
      <c r="AX249">
        <v>700</v>
      </c>
      <c r="AY249">
        <v>12200</v>
      </c>
      <c r="AZ249" t="s">
        <v>4</v>
      </c>
      <c r="BA249" t="s">
        <v>4</v>
      </c>
      <c r="BB249" t="s">
        <v>4</v>
      </c>
      <c r="BC249" t="s">
        <v>6622</v>
      </c>
      <c r="BD249" t="s">
        <v>5802</v>
      </c>
      <c r="BE249" t="s">
        <v>4</v>
      </c>
      <c r="BF249" t="s">
        <v>4</v>
      </c>
      <c r="BG249" t="s">
        <v>4</v>
      </c>
      <c r="BH249" t="s">
        <v>4</v>
      </c>
      <c r="BI249" t="s">
        <v>4</v>
      </c>
      <c r="BJ249" t="s">
        <v>6618</v>
      </c>
      <c r="BK249" t="s">
        <v>4</v>
      </c>
      <c r="BL249">
        <v>1</v>
      </c>
      <c r="BM249" t="s">
        <v>4</v>
      </c>
      <c r="BN249">
        <v>12900</v>
      </c>
      <c r="BO249" t="s">
        <v>4</v>
      </c>
      <c r="BP249" t="s">
        <v>4</v>
      </c>
      <c r="BQ249" t="s">
        <v>4</v>
      </c>
      <c r="BR249" t="s">
        <v>4</v>
      </c>
      <c r="BS249" t="s">
        <v>4</v>
      </c>
      <c r="BT249" t="s">
        <v>4</v>
      </c>
      <c r="BU249" t="s">
        <v>4</v>
      </c>
      <c r="BV249" t="s">
        <v>4</v>
      </c>
      <c r="BW249" t="s">
        <v>3</v>
      </c>
      <c r="BX249" t="s">
        <v>4</v>
      </c>
      <c r="BY249" t="s">
        <v>12</v>
      </c>
      <c r="BZ249" t="s">
        <v>12</v>
      </c>
      <c r="CA249" t="s">
        <v>12</v>
      </c>
      <c r="CB249" t="s">
        <v>1074</v>
      </c>
      <c r="CC249" t="s">
        <v>12</v>
      </c>
      <c r="CD249" t="str" cm="1">
        <f t="array" aca="1" ref="CD249" ca="1">eConcatenar(A249:CB249,"|")</f>
        <v>baDKzLBmkTJbPBaJ|COM   2020-3383|3|IMPERIAL|TABASCO|COMALCALCO|COMALCALCO|2020-12-17|12900|X|X|200|1|X|X|X|X|X|X|X|X|X|X|X|X|X|X|GERONIMO| DE LA CRUZ|ANA GUADALUPE|UNION LIBRE|X|X|CENTRO|SANCHEZ MARMOL|MALINCHE|9934507369|RUBICEL GARCIA DE LA CRUZ|JUANA DE LA CRUZ GERONIMO|X|RUTA 4 M|X|MIERCOLES|X|X|X|X|X|DOMICILIO|700|12200|X|X|X|2021-2-17|2021-9-29|X|X|X|X|X|SANCHEZ MARMOL|X|1|X|12900|X|X|X|X|X|X|X|X|CARDENAS|X|x|x|x|final</v>
      </c>
    </row>
    <row r="250" spans="1:82" x14ac:dyDescent="0.25">
      <c r="A250" t="s">
        <v>6623</v>
      </c>
      <c r="B250" t="s">
        <v>6624</v>
      </c>
      <c r="C250">
        <v>3</v>
      </c>
      <c r="D250" t="s">
        <v>194</v>
      </c>
      <c r="E250" t="s">
        <v>2</v>
      </c>
      <c r="F250" t="s">
        <v>654</v>
      </c>
      <c r="G250" t="s">
        <v>654</v>
      </c>
      <c r="H250" t="s">
        <v>5481</v>
      </c>
      <c r="I250">
        <v>12900</v>
      </c>
      <c r="J250" t="s">
        <v>4</v>
      </c>
      <c r="K250" t="s">
        <v>4</v>
      </c>
      <c r="L250">
        <v>200</v>
      </c>
      <c r="M250">
        <v>1</v>
      </c>
      <c r="N250" t="s">
        <v>4</v>
      </c>
      <c r="O250" t="s">
        <v>4</v>
      </c>
      <c r="P250" t="s">
        <v>4</v>
      </c>
      <c r="Q250" t="s">
        <v>4</v>
      </c>
      <c r="R250" t="s">
        <v>4</v>
      </c>
      <c r="S250" t="s">
        <v>4</v>
      </c>
      <c r="T250" t="s">
        <v>4</v>
      </c>
      <c r="U250" t="s">
        <v>4</v>
      </c>
      <c r="V250" t="s">
        <v>4</v>
      </c>
      <c r="W250" t="s">
        <v>4</v>
      </c>
      <c r="X250" t="s">
        <v>4</v>
      </c>
      <c r="Y250" t="s">
        <v>4</v>
      </c>
      <c r="Z250" t="s">
        <v>4</v>
      </c>
      <c r="AA250" t="s">
        <v>4</v>
      </c>
      <c r="AB250" t="s">
        <v>265</v>
      </c>
      <c r="AC250" t="s">
        <v>6</v>
      </c>
      <c r="AD250" t="s">
        <v>4719</v>
      </c>
      <c r="AE250" t="s">
        <v>59</v>
      </c>
      <c r="AF250" t="s">
        <v>4</v>
      </c>
      <c r="AG250" t="s">
        <v>4</v>
      </c>
      <c r="AH250" t="s">
        <v>6625</v>
      </c>
      <c r="AI250" t="s">
        <v>6626</v>
      </c>
      <c r="AJ250" t="s">
        <v>4</v>
      </c>
      <c r="AK250">
        <v>9331579053</v>
      </c>
      <c r="AL250" t="s">
        <v>6627</v>
      </c>
      <c r="AM250" t="s">
        <v>6628</v>
      </c>
      <c r="AN250" t="s">
        <v>4</v>
      </c>
      <c r="AO250" t="s">
        <v>6118</v>
      </c>
      <c r="AP250" t="s">
        <v>4</v>
      </c>
      <c r="AQ250" t="s">
        <v>6521</v>
      </c>
      <c r="AR250" t="s">
        <v>4</v>
      </c>
      <c r="AS250" t="s">
        <v>4</v>
      </c>
      <c r="AT250" t="s">
        <v>4</v>
      </c>
      <c r="AU250" t="s">
        <v>4</v>
      </c>
      <c r="AV250" t="s">
        <v>4</v>
      </c>
      <c r="AW250" t="s">
        <v>11</v>
      </c>
      <c r="AX250">
        <v>4500</v>
      </c>
      <c r="AY250">
        <v>8400</v>
      </c>
      <c r="AZ250" t="s">
        <v>4</v>
      </c>
      <c r="BA250" t="s">
        <v>4</v>
      </c>
      <c r="BB250" t="s">
        <v>4</v>
      </c>
      <c r="BC250" t="s">
        <v>1098</v>
      </c>
      <c r="BD250" t="s">
        <v>5802</v>
      </c>
      <c r="BE250" t="s">
        <v>4</v>
      </c>
      <c r="BF250" t="s">
        <v>4</v>
      </c>
      <c r="BG250" t="s">
        <v>4</v>
      </c>
      <c r="BH250" t="s">
        <v>4</v>
      </c>
      <c r="BI250" t="s">
        <v>4</v>
      </c>
      <c r="BJ250" t="s">
        <v>6591</v>
      </c>
      <c r="BK250" t="s">
        <v>4</v>
      </c>
      <c r="BL250">
        <v>0</v>
      </c>
      <c r="BM250" t="s">
        <v>4</v>
      </c>
      <c r="BN250">
        <v>12900</v>
      </c>
      <c r="BO250" t="s">
        <v>4</v>
      </c>
      <c r="BP250" t="s">
        <v>4</v>
      </c>
      <c r="BQ250" t="s">
        <v>4</v>
      </c>
      <c r="BR250" t="s">
        <v>4</v>
      </c>
      <c r="BS250" t="s">
        <v>4</v>
      </c>
      <c r="BT250" t="s">
        <v>4</v>
      </c>
      <c r="BU250" t="s">
        <v>4</v>
      </c>
      <c r="BV250" t="s">
        <v>4</v>
      </c>
      <c r="BW250" t="s">
        <v>3</v>
      </c>
      <c r="BX250" t="s">
        <v>4</v>
      </c>
      <c r="BY250" t="s">
        <v>12</v>
      </c>
      <c r="BZ250" t="s">
        <v>12</v>
      </c>
      <c r="CA250" t="s">
        <v>12</v>
      </c>
      <c r="CB250" t="s">
        <v>1074</v>
      </c>
      <c r="CC250" t="s">
        <v>12</v>
      </c>
      <c r="CD250" t="str" cm="1">
        <f t="array" aca="1" ref="CD250" ca="1">eConcatenar(A250:CB250,"|")</f>
        <v>6lXqRJzb6sO7mgP3|COM   2019-2519|3|ECONOLINE|TABASCO|PARAISO|PARAISO|2019-9-04|12900|X|X|200|1|X|X|X|X|X|X|X|X|X|X|X|X|X|X|DOMINGUEZ|DE LA CRUZ|JOSE|CASADO|X|X|ORIENTE SEGUNDA|COMALCALCO PARAISO|X|9331579053|MARIA TERESA HERNANDEZ PALMA|ALEJANDRA DOMINGUEZ HERNANDEZ|X|RUTA 4 M|X|MIÉRCOLES|X|X|X|X|X|DOMICILIO|4500|8400|X|X|X|2021-6-16|2021-9-29|X|X|X|X|X|OCCIDENTE PRIMERA |X|0|X|12900|X|X|X|X|X|X|X|X|CARDENAS|X|x|x|x|final</v>
      </c>
    </row>
    <row r="251" spans="1:82" x14ac:dyDescent="0.25">
      <c r="A251" t="s">
        <v>6629</v>
      </c>
      <c r="B251" t="s">
        <v>6630</v>
      </c>
      <c r="C251">
        <v>3</v>
      </c>
      <c r="D251" t="s">
        <v>194</v>
      </c>
      <c r="E251" t="s">
        <v>2</v>
      </c>
      <c r="F251" t="s">
        <v>722</v>
      </c>
      <c r="G251" t="s">
        <v>722</v>
      </c>
      <c r="H251" t="s">
        <v>6631</v>
      </c>
      <c r="I251">
        <v>12900</v>
      </c>
      <c r="J251" t="s">
        <v>4</v>
      </c>
      <c r="K251" t="s">
        <v>4</v>
      </c>
      <c r="L251">
        <v>100</v>
      </c>
      <c r="M251">
        <v>0</v>
      </c>
      <c r="N251" t="s">
        <v>4</v>
      </c>
      <c r="O251" t="s">
        <v>4</v>
      </c>
      <c r="P251" t="s">
        <v>4</v>
      </c>
      <c r="Q251" t="s">
        <v>4</v>
      </c>
      <c r="R251" t="s">
        <v>4</v>
      </c>
      <c r="S251" t="s">
        <v>4</v>
      </c>
      <c r="T251" t="s">
        <v>4</v>
      </c>
      <c r="U251" t="s">
        <v>4</v>
      </c>
      <c r="V251" t="s">
        <v>4</v>
      </c>
      <c r="W251" t="s">
        <v>4</v>
      </c>
      <c r="X251" t="s">
        <v>4</v>
      </c>
      <c r="Y251" t="s">
        <v>4</v>
      </c>
      <c r="Z251" t="s">
        <v>4</v>
      </c>
      <c r="AA251" t="s">
        <v>4</v>
      </c>
      <c r="AB251" t="s">
        <v>265</v>
      </c>
      <c r="AC251" t="s">
        <v>265</v>
      </c>
      <c r="AD251" t="s">
        <v>4731</v>
      </c>
      <c r="AE251" t="s">
        <v>48</v>
      </c>
      <c r="AF251" t="s">
        <v>4</v>
      </c>
      <c r="AG251" t="s">
        <v>4</v>
      </c>
      <c r="AH251" t="s">
        <v>6632</v>
      </c>
      <c r="AI251" t="s">
        <v>6633</v>
      </c>
      <c r="AJ251" t="s">
        <v>4</v>
      </c>
      <c r="AK251">
        <v>9331275222</v>
      </c>
      <c r="AL251" t="s">
        <v>6634</v>
      </c>
      <c r="AM251" t="s">
        <v>6635</v>
      </c>
      <c r="AN251" t="s">
        <v>4</v>
      </c>
      <c r="AO251" t="s">
        <v>6118</v>
      </c>
      <c r="AP251" t="s">
        <v>4</v>
      </c>
      <c r="AQ251" t="s">
        <v>658</v>
      </c>
      <c r="AR251" t="s">
        <v>4</v>
      </c>
      <c r="AS251" t="s">
        <v>4</v>
      </c>
      <c r="AT251" t="s">
        <v>4</v>
      </c>
      <c r="AU251" t="s">
        <v>4</v>
      </c>
      <c r="AV251" t="s">
        <v>4</v>
      </c>
      <c r="AW251" t="s">
        <v>11</v>
      </c>
      <c r="AX251">
        <v>3300</v>
      </c>
      <c r="AY251">
        <v>9600</v>
      </c>
      <c r="AZ251" t="s">
        <v>4</v>
      </c>
      <c r="BA251" t="s">
        <v>4</v>
      </c>
      <c r="BB251" t="s">
        <v>4</v>
      </c>
      <c r="BC251" t="s">
        <v>1107</v>
      </c>
      <c r="BD251" t="s">
        <v>5802</v>
      </c>
      <c r="BE251" t="s">
        <v>4</v>
      </c>
      <c r="BF251" t="s">
        <v>4</v>
      </c>
      <c r="BG251" t="s">
        <v>4</v>
      </c>
      <c r="BH251" t="s">
        <v>4</v>
      </c>
      <c r="BI251" t="s">
        <v>4</v>
      </c>
      <c r="BJ251" t="s">
        <v>6591</v>
      </c>
      <c r="BK251" t="s">
        <v>4</v>
      </c>
      <c r="BL251">
        <v>1</v>
      </c>
      <c r="BM251" t="s">
        <v>4</v>
      </c>
      <c r="BN251">
        <v>12900</v>
      </c>
      <c r="BO251" t="s">
        <v>4</v>
      </c>
      <c r="BP251" t="s">
        <v>4</v>
      </c>
      <c r="BQ251" t="s">
        <v>4</v>
      </c>
      <c r="BR251" t="s">
        <v>4</v>
      </c>
      <c r="BS251" t="s">
        <v>4</v>
      </c>
      <c r="BT251" t="s">
        <v>4</v>
      </c>
      <c r="BU251" t="s">
        <v>4</v>
      </c>
      <c r="BV251" t="s">
        <v>4</v>
      </c>
      <c r="BW251" t="s">
        <v>3</v>
      </c>
      <c r="BX251" t="s">
        <v>4</v>
      </c>
      <c r="BY251" t="s">
        <v>12</v>
      </c>
      <c r="BZ251" t="s">
        <v>12</v>
      </c>
      <c r="CA251" t="s">
        <v>12</v>
      </c>
      <c r="CB251" t="s">
        <v>1074</v>
      </c>
      <c r="CC251" t="s">
        <v>12</v>
      </c>
      <c r="CD251" t="str" cm="1">
        <f t="array" aca="1" ref="CD251" ca="1">eConcatenar(A251:CB251,"|")</f>
        <v>u30N8Lb31uihwoSO|COM   2020-0764|3|ECONOLINE|TABASCO|COMALCALCO|COMALCALCO|2020-3-20|12900|X|X|100|0|X|X|X|X|X|X|X|X|X|X|X|X|X|X|DOMINGUEZ|DOMINGUEZ|SEBASTIANA|SOLTERA|X|X|OCCIDENTE  3|AL CHIPILIN|X|9331275222|ABEL PAULINO DOMINGUEZ DOMONGUEZ|DIEGO ALEJANDRO DOMINGUEZ|X|RUTA 4 M|X|MIERCOLES|X|X|X|X|X|DOMICILIO|3300|9600|X|X|X|2021-7-21|2021-9-29|X|X|X|X|X|OCCIDENTE PRIMERA |X|1|X|12900|X|X|X|X|X|X|X|X|CARDENAS|X|x|x|x|final</v>
      </c>
    </row>
    <row r="252" spans="1:82" x14ac:dyDescent="0.25">
      <c r="A252" t="s">
        <v>6636</v>
      </c>
      <c r="B252" t="s">
        <v>6637</v>
      </c>
      <c r="C252">
        <v>3</v>
      </c>
      <c r="D252" t="s">
        <v>194</v>
      </c>
      <c r="E252" t="s">
        <v>2</v>
      </c>
      <c r="F252" t="s">
        <v>654</v>
      </c>
      <c r="G252" t="s">
        <v>654</v>
      </c>
      <c r="H252" t="s">
        <v>5684</v>
      </c>
      <c r="I252">
        <v>12900</v>
      </c>
      <c r="J252" t="s">
        <v>4</v>
      </c>
      <c r="K252" t="s">
        <v>4</v>
      </c>
      <c r="L252">
        <v>200</v>
      </c>
      <c r="M252">
        <v>1</v>
      </c>
      <c r="N252" t="s">
        <v>4</v>
      </c>
      <c r="O252" t="s">
        <v>4</v>
      </c>
      <c r="P252" t="s">
        <v>4</v>
      </c>
      <c r="Q252" t="s">
        <v>4</v>
      </c>
      <c r="R252" t="s">
        <v>4</v>
      </c>
      <c r="S252" t="s">
        <v>4</v>
      </c>
      <c r="T252" t="s">
        <v>4</v>
      </c>
      <c r="U252" t="s">
        <v>4</v>
      </c>
      <c r="V252" t="s">
        <v>4</v>
      </c>
      <c r="W252" t="s">
        <v>4</v>
      </c>
      <c r="X252" t="s">
        <v>4</v>
      </c>
      <c r="Y252" t="s">
        <v>4</v>
      </c>
      <c r="Z252" t="s">
        <v>4</v>
      </c>
      <c r="AA252" t="s">
        <v>4</v>
      </c>
      <c r="AB252" t="s">
        <v>265</v>
      </c>
      <c r="AC252" t="s">
        <v>6638</v>
      </c>
      <c r="AD252" t="s">
        <v>6639</v>
      </c>
      <c r="AE252" t="s">
        <v>17</v>
      </c>
      <c r="AF252" t="s">
        <v>4</v>
      </c>
      <c r="AG252" t="s">
        <v>4</v>
      </c>
      <c r="AH252" t="s">
        <v>6421</v>
      </c>
      <c r="AI252" t="s">
        <v>6538</v>
      </c>
      <c r="AJ252" t="s">
        <v>4</v>
      </c>
      <c r="AK252">
        <v>9331368854</v>
      </c>
      <c r="AL252" t="s">
        <v>6640</v>
      </c>
      <c r="AM252" t="s">
        <v>6641</v>
      </c>
      <c r="AN252" t="s">
        <v>4</v>
      </c>
      <c r="AO252" t="s">
        <v>6118</v>
      </c>
      <c r="AP252" t="s">
        <v>4</v>
      </c>
      <c r="AQ252" t="s">
        <v>658</v>
      </c>
      <c r="AR252" t="s">
        <v>4</v>
      </c>
      <c r="AS252" t="s">
        <v>4</v>
      </c>
      <c r="AT252" t="s">
        <v>4</v>
      </c>
      <c r="AU252" t="s">
        <v>4</v>
      </c>
      <c r="AV252" t="s">
        <v>4</v>
      </c>
      <c r="AW252" t="s">
        <v>11</v>
      </c>
      <c r="AX252">
        <v>5100</v>
      </c>
      <c r="AY252">
        <v>7100</v>
      </c>
      <c r="AZ252" t="s">
        <v>4</v>
      </c>
      <c r="BA252" t="s">
        <v>4</v>
      </c>
      <c r="BB252" t="s">
        <v>4</v>
      </c>
      <c r="BC252" t="s">
        <v>1136</v>
      </c>
      <c r="BD252" t="s">
        <v>5802</v>
      </c>
      <c r="BE252" t="s">
        <v>4</v>
      </c>
      <c r="BF252" t="s">
        <v>4</v>
      </c>
      <c r="BG252" t="s">
        <v>4</v>
      </c>
      <c r="BH252" t="s">
        <v>4</v>
      </c>
      <c r="BI252" t="s">
        <v>4</v>
      </c>
      <c r="BJ252" t="s">
        <v>6542</v>
      </c>
      <c r="BK252" t="s">
        <v>4</v>
      </c>
      <c r="BL252">
        <v>1</v>
      </c>
      <c r="BM252" t="s">
        <v>4</v>
      </c>
      <c r="BN252">
        <v>12900</v>
      </c>
      <c r="BO252" t="s">
        <v>4</v>
      </c>
      <c r="BP252" t="s">
        <v>4</v>
      </c>
      <c r="BQ252" t="s">
        <v>4</v>
      </c>
      <c r="BR252" t="s">
        <v>4</v>
      </c>
      <c r="BS252" t="s">
        <v>4</v>
      </c>
      <c r="BT252" t="s">
        <v>4</v>
      </c>
      <c r="BU252" t="s">
        <v>4</v>
      </c>
      <c r="BV252" t="s">
        <v>4</v>
      </c>
      <c r="BW252" t="s">
        <v>3</v>
      </c>
      <c r="BX252" t="s">
        <v>4</v>
      </c>
      <c r="BY252" t="s">
        <v>12</v>
      </c>
      <c r="BZ252" t="s">
        <v>12</v>
      </c>
      <c r="CA252" t="s">
        <v>12</v>
      </c>
      <c r="CB252" t="s">
        <v>1074</v>
      </c>
      <c r="CC252" t="s">
        <v>12</v>
      </c>
      <c r="CD252" t="str" cm="1">
        <f t="array" aca="1" ref="CD252" ca="1">eConcatenar(A252:CB252,"|")</f>
        <v>THINJPPRzEr6iauS|COM   2020-0730|3|ECONOLINE|TABASCO|PARAISO|PARAISO|2020-3-12|12900|X|X|200|1|X|X|X|X|X|X|X|X|X|X|X|X|X|X|DOMINGUEZ|LANDERO|ELEAZAR|SOLTERO|X|X|CARLOS A MADRAZO BECERRA|EVELIO ALEJAMDRO ROMERO II|X|9331368854|SUSANA DOMINGUEZ LANDERO|AMISADAY DOMINGUEZ|X|RUTA 4 M|X|MIERCOLES|X|X|X|X|X|DOMICILIO|5100|7100|X|X|X|2021-9-16|2021-9-29|X|X|X|X|X|CARLOS A MADRAZO EVELIO ALEJANDRO ROMERO 111|X|1|X|12900|X|X|X|X|X|X|X|X|CARDENAS|X|x|x|x|final</v>
      </c>
    </row>
    <row r="253" spans="1:82" x14ac:dyDescent="0.25">
      <c r="A253" t="s">
        <v>6642</v>
      </c>
      <c r="B253" t="s">
        <v>6643</v>
      </c>
      <c r="C253">
        <v>3</v>
      </c>
      <c r="D253" t="s">
        <v>194</v>
      </c>
      <c r="E253" t="s">
        <v>2</v>
      </c>
      <c r="F253" t="s">
        <v>654</v>
      </c>
      <c r="G253" t="s">
        <v>654</v>
      </c>
      <c r="H253" t="s">
        <v>5678</v>
      </c>
      <c r="I253">
        <v>12900</v>
      </c>
      <c r="J253" t="s">
        <v>4</v>
      </c>
      <c r="K253" t="s">
        <v>4</v>
      </c>
      <c r="L253">
        <v>100</v>
      </c>
      <c r="M253">
        <v>0</v>
      </c>
      <c r="N253" t="s">
        <v>4</v>
      </c>
      <c r="O253" t="s">
        <v>4</v>
      </c>
      <c r="P253" t="s">
        <v>4</v>
      </c>
      <c r="Q253" t="s">
        <v>4</v>
      </c>
      <c r="R253" t="s">
        <v>4</v>
      </c>
      <c r="S253" t="s">
        <v>4</v>
      </c>
      <c r="T253" t="s">
        <v>4</v>
      </c>
      <c r="U253" t="s">
        <v>4</v>
      </c>
      <c r="V253" t="s">
        <v>4</v>
      </c>
      <c r="W253" t="s">
        <v>4</v>
      </c>
      <c r="X253" t="s">
        <v>4</v>
      </c>
      <c r="Y253" t="s">
        <v>4</v>
      </c>
      <c r="Z253" t="s">
        <v>4</v>
      </c>
      <c r="AA253" t="s">
        <v>4</v>
      </c>
      <c r="AB253" t="s">
        <v>116</v>
      </c>
      <c r="AC253" t="s">
        <v>109</v>
      </c>
      <c r="AD253" t="s">
        <v>6644</v>
      </c>
      <c r="AE253" t="s">
        <v>29</v>
      </c>
      <c r="AF253" t="s">
        <v>4</v>
      </c>
      <c r="AG253" t="s">
        <v>4</v>
      </c>
      <c r="AH253" t="s">
        <v>577</v>
      </c>
      <c r="AI253" t="s">
        <v>5679</v>
      </c>
      <c r="AJ253" t="s">
        <v>4</v>
      </c>
      <c r="AK253">
        <v>9331341442</v>
      </c>
      <c r="AL253" t="s">
        <v>6645</v>
      </c>
      <c r="AM253" t="s">
        <v>4</v>
      </c>
      <c r="AN253" t="s">
        <v>4</v>
      </c>
      <c r="AO253" t="s">
        <v>6118</v>
      </c>
      <c r="AP253" t="s">
        <v>4</v>
      </c>
      <c r="AQ253" t="s">
        <v>658</v>
      </c>
      <c r="AR253" t="s">
        <v>4</v>
      </c>
      <c r="AS253" t="s">
        <v>4</v>
      </c>
      <c r="AT253" t="s">
        <v>4</v>
      </c>
      <c r="AU253" t="s">
        <v>4</v>
      </c>
      <c r="AV253" t="s">
        <v>4</v>
      </c>
      <c r="AW253" t="s">
        <v>11</v>
      </c>
      <c r="AX253">
        <v>7410</v>
      </c>
      <c r="AY253">
        <v>5490</v>
      </c>
      <c r="AZ253" t="s">
        <v>4</v>
      </c>
      <c r="BA253" t="s">
        <v>4</v>
      </c>
      <c r="BB253" t="s">
        <v>4</v>
      </c>
      <c r="BC253" t="s">
        <v>6646</v>
      </c>
      <c r="BD253" t="s">
        <v>1131</v>
      </c>
      <c r="BE253" t="s">
        <v>4</v>
      </c>
      <c r="BF253" t="s">
        <v>4</v>
      </c>
      <c r="BG253" t="s">
        <v>4</v>
      </c>
      <c r="BH253" t="s">
        <v>4</v>
      </c>
      <c r="BI253" t="s">
        <v>4</v>
      </c>
      <c r="BJ253" t="s">
        <v>577</v>
      </c>
      <c r="BK253" t="s">
        <v>4</v>
      </c>
      <c r="BL253">
        <v>1</v>
      </c>
      <c r="BM253" t="s">
        <v>4</v>
      </c>
      <c r="BN253">
        <v>12900</v>
      </c>
      <c r="BO253" t="s">
        <v>4</v>
      </c>
      <c r="BP253" t="s">
        <v>4</v>
      </c>
      <c r="BQ253" t="s">
        <v>4</v>
      </c>
      <c r="BR253" t="s">
        <v>4</v>
      </c>
      <c r="BS253" t="s">
        <v>4</v>
      </c>
      <c r="BT253" t="s">
        <v>4</v>
      </c>
      <c r="BU253" t="s">
        <v>4</v>
      </c>
      <c r="BV253" t="s">
        <v>4</v>
      </c>
      <c r="BW253" t="s">
        <v>3</v>
      </c>
      <c r="BX253" t="s">
        <v>4</v>
      </c>
      <c r="BY253" t="s">
        <v>12</v>
      </c>
      <c r="BZ253" t="s">
        <v>12</v>
      </c>
      <c r="CA253" t="s">
        <v>12</v>
      </c>
      <c r="CB253" t="s">
        <v>1074</v>
      </c>
      <c r="CC253" t="s">
        <v>12</v>
      </c>
      <c r="CD253" t="str" cm="1">
        <f t="array" aca="1" ref="CD253" ca="1">eConcatenar(A253:CB253,"|")</f>
        <v>04OCEwoD1wSqISjU|COM   2020-0736|3|ECONOLINE|TABASCO|PARAISO|PARAISO|2020-3-16|12900|X|X|100|0|X|X|X|X|X|X|X|X|X|X|X|X|X|X|RODRIGUEZ|PEREZ|NIDIA|CASADA|X|X|QUINTIN ARAUZ|LOS MAGAÑAS|X|9331341442|LUIS MIGUEL DIAZ RODRIGUEZ|X|X|RUTA 4 M|X|MIERCOLES|X|X|X|X|X|DOMICILIO|7410|5490|X|X|X|2020-9-16|2021-9-30|X|X|X|X|X|QUINTIN ARAUZ|X|1|X|12900|X|X|X|X|X|X|X|X|CARDENAS|X|x|x|x|final</v>
      </c>
    </row>
    <row r="254" spans="1:82" x14ac:dyDescent="0.25">
      <c r="A254" t="s">
        <v>6647</v>
      </c>
      <c r="B254" t="s">
        <v>6648</v>
      </c>
      <c r="C254">
        <v>3</v>
      </c>
      <c r="D254" t="s">
        <v>194</v>
      </c>
      <c r="E254" t="s">
        <v>2</v>
      </c>
      <c r="F254" t="s">
        <v>654</v>
      </c>
      <c r="G254" t="s">
        <v>654</v>
      </c>
      <c r="H254" t="s">
        <v>5669</v>
      </c>
      <c r="I254">
        <v>12900</v>
      </c>
      <c r="J254" t="s">
        <v>4</v>
      </c>
      <c r="K254" t="s">
        <v>4</v>
      </c>
      <c r="L254">
        <v>200</v>
      </c>
      <c r="M254">
        <v>1</v>
      </c>
      <c r="N254" t="s">
        <v>4</v>
      </c>
      <c r="O254" t="s">
        <v>4</v>
      </c>
      <c r="P254" t="s">
        <v>4</v>
      </c>
      <c r="Q254" t="s">
        <v>4</v>
      </c>
      <c r="R254" t="s">
        <v>4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4</v>
      </c>
      <c r="Y254" t="s">
        <v>4</v>
      </c>
      <c r="Z254" t="s">
        <v>4</v>
      </c>
      <c r="AA254" t="s">
        <v>4</v>
      </c>
      <c r="AB254" t="s">
        <v>116</v>
      </c>
      <c r="AC254" t="s">
        <v>780</v>
      </c>
      <c r="AD254" t="s">
        <v>6649</v>
      </c>
      <c r="AE254" t="s">
        <v>29</v>
      </c>
      <c r="AF254" t="s">
        <v>4</v>
      </c>
      <c r="AG254" t="s">
        <v>4</v>
      </c>
      <c r="AH254" t="s">
        <v>828</v>
      </c>
      <c r="AI254" t="s">
        <v>6650</v>
      </c>
      <c r="AJ254" t="s">
        <v>4</v>
      </c>
      <c r="AK254">
        <v>9331173465</v>
      </c>
      <c r="AL254" t="s">
        <v>6651</v>
      </c>
      <c r="AM254" t="s">
        <v>6652</v>
      </c>
      <c r="AN254" t="s">
        <v>4</v>
      </c>
      <c r="AO254" t="s">
        <v>6118</v>
      </c>
      <c r="AP254" t="s">
        <v>4</v>
      </c>
      <c r="AQ254" t="s">
        <v>658</v>
      </c>
      <c r="AR254" t="s">
        <v>4</v>
      </c>
      <c r="AS254" t="s">
        <v>4</v>
      </c>
      <c r="AT254" t="s">
        <v>4</v>
      </c>
      <c r="AU254" t="s">
        <v>4</v>
      </c>
      <c r="AV254" t="s">
        <v>4</v>
      </c>
      <c r="AW254" t="s">
        <v>11</v>
      </c>
      <c r="AX254">
        <v>6600</v>
      </c>
      <c r="AY254">
        <v>6300</v>
      </c>
      <c r="AZ254" t="s">
        <v>4</v>
      </c>
      <c r="BA254" t="s">
        <v>4</v>
      </c>
      <c r="BB254" t="s">
        <v>4</v>
      </c>
      <c r="BC254" t="s">
        <v>1136</v>
      </c>
      <c r="BD254" t="s">
        <v>1131</v>
      </c>
      <c r="BE254" t="s">
        <v>4</v>
      </c>
      <c r="BF254" t="s">
        <v>4</v>
      </c>
      <c r="BG254" t="s">
        <v>4</v>
      </c>
      <c r="BH254" t="s">
        <v>4</v>
      </c>
      <c r="BI254" t="s">
        <v>4</v>
      </c>
      <c r="BJ254" t="s">
        <v>828</v>
      </c>
      <c r="BK254" t="s">
        <v>4</v>
      </c>
      <c r="BL254">
        <v>1</v>
      </c>
      <c r="BM254" t="s">
        <v>4</v>
      </c>
      <c r="BN254">
        <v>12900</v>
      </c>
      <c r="BO254" t="s">
        <v>4</v>
      </c>
      <c r="BP254" t="s">
        <v>4</v>
      </c>
      <c r="BQ254" t="s">
        <v>4</v>
      </c>
      <c r="BR254" t="s">
        <v>4</v>
      </c>
      <c r="BS254" t="s">
        <v>4</v>
      </c>
      <c r="BT254" t="s">
        <v>4</v>
      </c>
      <c r="BU254" t="s">
        <v>4</v>
      </c>
      <c r="BV254" t="s">
        <v>4</v>
      </c>
      <c r="BW254" t="s">
        <v>3</v>
      </c>
      <c r="BX254" t="s">
        <v>4</v>
      </c>
      <c r="BY254" t="s">
        <v>12</v>
      </c>
      <c r="BZ254" t="s">
        <v>12</v>
      </c>
      <c r="CA254" t="s">
        <v>12</v>
      </c>
      <c r="CB254" t="s">
        <v>1074</v>
      </c>
      <c r="CC254" t="s">
        <v>12</v>
      </c>
      <c r="CD254" t="str" cm="1">
        <f t="array" aca="1" ref="CD254" ca="1">eConcatenar(A254:CB254,"|")</f>
        <v>qtemVKlueCoYAWEV|COM   2020-0761|3|ECONOLINE|TABASCO|PARAISO|PARAISO|2020-3-17|12900|X|X|200|1|X|X|X|X|X|X|X|X|X|X|X|X|X|X|RODRIGUEZ|MARQUEZ|XOCHILT|CASADA|X|X|FRANCISCO MADERO|ANGELA TRINIDAD|X|9331173465|JOCELYN SADAY RODRIGUEZ MARQUEZ|ENRIQUE FLORES GALLEGOS|X|RUTA 4 M|X|MIERCOLES|X|X|X|X|X|DOMICILIO|6600|6300|X|X|X|2021-9-16|2021-9-30|X|X|X|X|X|FRANCISCO MADERO|X|1|X|12900|X|X|X|X|X|X|X|X|CARDENAS|X|x|x|x|final</v>
      </c>
    </row>
    <row r="255" spans="1:82" x14ac:dyDescent="0.25">
      <c r="A255" t="s">
        <v>6653</v>
      </c>
      <c r="B255" t="s">
        <v>6654</v>
      </c>
      <c r="C255">
        <v>3</v>
      </c>
      <c r="D255" t="s">
        <v>70</v>
      </c>
      <c r="E255" t="s">
        <v>2</v>
      </c>
      <c r="F255" t="s">
        <v>654</v>
      </c>
      <c r="G255" t="s">
        <v>654</v>
      </c>
      <c r="H255" t="s">
        <v>6655</v>
      </c>
      <c r="I255">
        <v>24500</v>
      </c>
      <c r="J255" t="s">
        <v>4</v>
      </c>
      <c r="K255" t="s">
        <v>4</v>
      </c>
      <c r="L255">
        <v>400</v>
      </c>
      <c r="M255">
        <v>1</v>
      </c>
      <c r="N255" t="s">
        <v>4</v>
      </c>
      <c r="O255" t="s">
        <v>4</v>
      </c>
      <c r="P255" t="s">
        <v>4</v>
      </c>
      <c r="Q255" t="s">
        <v>4</v>
      </c>
      <c r="R255" t="s">
        <v>4</v>
      </c>
      <c r="S255" t="s">
        <v>4</v>
      </c>
      <c r="T255" t="s">
        <v>4</v>
      </c>
      <c r="U255" t="s">
        <v>4</v>
      </c>
      <c r="V255" t="s">
        <v>4</v>
      </c>
      <c r="W255" t="s">
        <v>4</v>
      </c>
      <c r="X255" t="s">
        <v>4</v>
      </c>
      <c r="Y255" t="s">
        <v>4</v>
      </c>
      <c r="Z255" t="s">
        <v>4</v>
      </c>
      <c r="AA255" t="s">
        <v>4</v>
      </c>
      <c r="AB255" t="s">
        <v>36</v>
      </c>
      <c r="AC255" t="s">
        <v>16</v>
      </c>
      <c r="AD255" t="s">
        <v>6656</v>
      </c>
      <c r="AE255" t="s">
        <v>48</v>
      </c>
      <c r="AF255" t="s">
        <v>4</v>
      </c>
      <c r="AG255" t="s">
        <v>4</v>
      </c>
      <c r="AH255" t="s">
        <v>577</v>
      </c>
      <c r="AI255" t="s">
        <v>6657</v>
      </c>
      <c r="AJ255" t="s">
        <v>4</v>
      </c>
      <c r="AK255">
        <v>9331474967</v>
      </c>
      <c r="AL255" t="s">
        <v>6658</v>
      </c>
      <c r="AM255" t="s">
        <v>6659</v>
      </c>
      <c r="AN255" t="s">
        <v>4</v>
      </c>
      <c r="AO255" t="s">
        <v>6118</v>
      </c>
      <c r="AP255" t="s">
        <v>4</v>
      </c>
      <c r="AQ255" t="s">
        <v>658</v>
      </c>
      <c r="AR255" t="s">
        <v>4</v>
      </c>
      <c r="AS255" t="s">
        <v>4</v>
      </c>
      <c r="AT255" t="s">
        <v>4</v>
      </c>
      <c r="AU255" t="s">
        <v>4</v>
      </c>
      <c r="AV255" t="s">
        <v>4</v>
      </c>
      <c r="AW255" t="s">
        <v>11</v>
      </c>
      <c r="AX255">
        <v>3000</v>
      </c>
      <c r="AY255">
        <v>21500</v>
      </c>
      <c r="AZ255" t="s">
        <v>4</v>
      </c>
      <c r="BA255" t="s">
        <v>4</v>
      </c>
      <c r="BB255" t="s">
        <v>4</v>
      </c>
      <c r="BC255" t="s">
        <v>1136</v>
      </c>
      <c r="BD255" t="s">
        <v>1131</v>
      </c>
      <c r="BE255" t="s">
        <v>4</v>
      </c>
      <c r="BF255" t="s">
        <v>4</v>
      </c>
      <c r="BG255" t="s">
        <v>4</v>
      </c>
      <c r="BH255" t="s">
        <v>4</v>
      </c>
      <c r="BI255" t="s">
        <v>4</v>
      </c>
      <c r="BJ255" t="s">
        <v>577</v>
      </c>
      <c r="BK255" t="s">
        <v>4</v>
      </c>
      <c r="BL255">
        <v>1</v>
      </c>
      <c r="BM255" t="s">
        <v>4</v>
      </c>
      <c r="BN255">
        <v>24500</v>
      </c>
      <c r="BO255" t="s">
        <v>4</v>
      </c>
      <c r="BP255" t="s">
        <v>4</v>
      </c>
      <c r="BQ255" t="s">
        <v>4</v>
      </c>
      <c r="BR255" t="s">
        <v>4</v>
      </c>
      <c r="BS255" t="s">
        <v>4</v>
      </c>
      <c r="BT255" t="s">
        <v>4</v>
      </c>
      <c r="BU255" t="s">
        <v>4</v>
      </c>
      <c r="BV255" t="s">
        <v>4</v>
      </c>
      <c r="BW255" t="s">
        <v>3</v>
      </c>
      <c r="BX255" t="s">
        <v>4</v>
      </c>
      <c r="BY255" t="s">
        <v>12</v>
      </c>
      <c r="BZ255" t="s">
        <v>12</v>
      </c>
      <c r="CA255" t="s">
        <v>12</v>
      </c>
      <c r="CB255" t="s">
        <v>1074</v>
      </c>
      <c r="CC255" t="s">
        <v>12</v>
      </c>
      <c r="CD255" t="str" cm="1">
        <f t="array" aca="1" ref="CD255" ca="1">eConcatenar(A255:CB255,"|")</f>
        <v>kDURpMXJzOAv6peU|COM   2021-2315|3|DIGNITY|TABASCO|PARAISO|PARAISO|2021-6-28|24500|X|X|400|1|X|X|X|X|X|X|X|X|X|X|X|X|X|X|HERNANDEZ|SANTOS|DEL ROCIO|SOLTERA|X|X|QUINTIN ARAUZ|BENITO JUAREZ 10 |X|9331474967|YULISA QUINTO HERNANDEZ|OSIRIS SELENE HERNANDEZ SANTO|X|RUTA 4 M|X|MIERCOLES|X|X|X|X|X|DOMICILIO|3000|21500|X|X|X|2021-9-16|2021-9-30|X|X|X|X|X|QUINTIN ARAUZ|X|1|X|24500|X|X|X|X|X|X|X|X|CARDENAS|X|x|x|x|final</v>
      </c>
    </row>
    <row r="256" spans="1:82" x14ac:dyDescent="0.25">
      <c r="A256" t="s">
        <v>6660</v>
      </c>
      <c r="B256" t="s">
        <v>6661</v>
      </c>
      <c r="C256">
        <v>3</v>
      </c>
      <c r="D256" t="s">
        <v>65</v>
      </c>
      <c r="E256" t="s">
        <v>2</v>
      </c>
      <c r="F256" t="s">
        <v>654</v>
      </c>
      <c r="G256" t="s">
        <v>654</v>
      </c>
      <c r="H256" t="s">
        <v>6662</v>
      </c>
      <c r="I256">
        <v>14800</v>
      </c>
      <c r="J256" t="s">
        <v>4</v>
      </c>
      <c r="K256" t="s">
        <v>4</v>
      </c>
      <c r="L256">
        <v>200</v>
      </c>
      <c r="M256">
        <v>1</v>
      </c>
      <c r="N256" t="s">
        <v>4</v>
      </c>
      <c r="O256" t="s">
        <v>4</v>
      </c>
      <c r="P256" t="s">
        <v>4</v>
      </c>
      <c r="Q256" t="s">
        <v>4</v>
      </c>
      <c r="R256" t="s">
        <v>4</v>
      </c>
      <c r="S256" t="s">
        <v>4</v>
      </c>
      <c r="T256" t="s">
        <v>4</v>
      </c>
      <c r="U256" t="s">
        <v>4</v>
      </c>
      <c r="V256" t="s">
        <v>4</v>
      </c>
      <c r="W256" t="s">
        <v>4</v>
      </c>
      <c r="X256" t="s">
        <v>4</v>
      </c>
      <c r="Y256" t="s">
        <v>4</v>
      </c>
      <c r="Z256" t="s">
        <v>4</v>
      </c>
      <c r="AA256" t="s">
        <v>4</v>
      </c>
      <c r="AB256" t="s">
        <v>99</v>
      </c>
      <c r="AC256" t="s">
        <v>28</v>
      </c>
      <c r="AD256" t="s">
        <v>4731</v>
      </c>
      <c r="AE256" t="s">
        <v>29</v>
      </c>
      <c r="AF256" t="s">
        <v>4</v>
      </c>
      <c r="AG256" t="s">
        <v>4</v>
      </c>
      <c r="AH256" t="s">
        <v>5557</v>
      </c>
      <c r="AI256" t="s">
        <v>6547</v>
      </c>
      <c r="AJ256" t="s">
        <v>4</v>
      </c>
      <c r="AK256">
        <v>9331355351</v>
      </c>
      <c r="AL256" t="s">
        <v>6663</v>
      </c>
      <c r="AM256" t="s">
        <v>6664</v>
      </c>
      <c r="AN256" t="s">
        <v>4</v>
      </c>
      <c r="AO256" t="s">
        <v>6118</v>
      </c>
      <c r="AP256" t="s">
        <v>4</v>
      </c>
      <c r="AQ256" t="s">
        <v>658</v>
      </c>
      <c r="AR256" t="s">
        <v>4</v>
      </c>
      <c r="AS256" t="s">
        <v>4</v>
      </c>
      <c r="AT256" t="s">
        <v>4</v>
      </c>
      <c r="AU256" t="s">
        <v>4</v>
      </c>
      <c r="AV256" t="s">
        <v>4</v>
      </c>
      <c r="AW256" t="s">
        <v>11</v>
      </c>
      <c r="AX256">
        <v>11050</v>
      </c>
      <c r="AY256">
        <v>3750</v>
      </c>
      <c r="AZ256" t="s">
        <v>4</v>
      </c>
      <c r="BA256" t="s">
        <v>4</v>
      </c>
      <c r="BB256" t="s">
        <v>4</v>
      </c>
      <c r="BC256" t="s">
        <v>1136</v>
      </c>
      <c r="BD256" t="s">
        <v>1131</v>
      </c>
      <c r="BE256" t="s">
        <v>4</v>
      </c>
      <c r="BF256" t="s">
        <v>4</v>
      </c>
      <c r="BG256" t="s">
        <v>4</v>
      </c>
      <c r="BH256" t="s">
        <v>4</v>
      </c>
      <c r="BI256" t="s">
        <v>4</v>
      </c>
      <c r="BJ256" t="s">
        <v>5557</v>
      </c>
      <c r="BK256" t="s">
        <v>4</v>
      </c>
      <c r="BL256">
        <v>1</v>
      </c>
      <c r="BM256" t="s">
        <v>4</v>
      </c>
      <c r="BN256">
        <v>14800</v>
      </c>
      <c r="BO256" t="s">
        <v>4</v>
      </c>
      <c r="BP256" t="s">
        <v>4</v>
      </c>
      <c r="BQ256" t="s">
        <v>4</v>
      </c>
      <c r="BR256" t="s">
        <v>4</v>
      </c>
      <c r="BS256" t="s">
        <v>4</v>
      </c>
      <c r="BT256" t="s">
        <v>4</v>
      </c>
      <c r="BU256" t="s">
        <v>4</v>
      </c>
      <c r="BV256" t="s">
        <v>4</v>
      </c>
      <c r="BW256" t="s">
        <v>3</v>
      </c>
      <c r="BX256" t="s">
        <v>4</v>
      </c>
      <c r="BY256" t="s">
        <v>12</v>
      </c>
      <c r="BZ256" t="s">
        <v>12</v>
      </c>
      <c r="CA256" t="s">
        <v>12</v>
      </c>
      <c r="CB256" t="s">
        <v>1074</v>
      </c>
      <c r="CC256" t="s">
        <v>12</v>
      </c>
      <c r="CD256" t="str" cm="1">
        <f t="array" aca="1" ref="CD256" ca="1">eConcatenar(A256:CB256,"|")</f>
        <v>8dga6KgxivrHqQYX|COM   2021-2344|3|MEMORIAL|TABASCO|PARAISO|PARAISO|2021-7-07|14800|X|X|200|1|X|X|X|X|X|X|X|X|X|X|X|X|X|X|DIAZ|CORDOVA|SEBASTIANA|CASADA|X|X|MOCTEZUMA SEGUNDA|VECINAL PARAISO|X|9331355351|BETZABEL DIAZ CORDOVA|GENARO RAUL CARRILLO DENIS|X|RUTA 4 M|X|MIERCOLES|X|X|X|X|X|DOMICILIO|11050|3750|X|X|X|2021-9-16|2021-9-30|X|X|X|X|X|MOCTEZUMA SEGUNDA|X|1|X|14800|X|X|X|X|X|X|X|X|CARDENAS|X|x|x|x|final</v>
      </c>
    </row>
    <row r="257" spans="1:82" x14ac:dyDescent="0.25">
      <c r="A257" t="s">
        <v>6665</v>
      </c>
      <c r="B257" t="s">
        <v>6666</v>
      </c>
      <c r="C257">
        <v>3</v>
      </c>
      <c r="D257" t="s">
        <v>65</v>
      </c>
      <c r="E257" t="s">
        <v>2</v>
      </c>
      <c r="F257" t="s">
        <v>654</v>
      </c>
      <c r="G257" t="s">
        <v>654</v>
      </c>
      <c r="H257" t="s">
        <v>4744</v>
      </c>
      <c r="I257">
        <v>14800</v>
      </c>
      <c r="J257" t="s">
        <v>4</v>
      </c>
      <c r="K257" t="s">
        <v>4</v>
      </c>
      <c r="L257">
        <v>200</v>
      </c>
      <c r="M257">
        <v>1</v>
      </c>
      <c r="N257" t="s">
        <v>4</v>
      </c>
      <c r="O257" t="s">
        <v>4</v>
      </c>
      <c r="P257" t="s">
        <v>4</v>
      </c>
      <c r="Q257" t="s">
        <v>4</v>
      </c>
      <c r="R257" t="s">
        <v>4</v>
      </c>
      <c r="S257" t="s">
        <v>4</v>
      </c>
      <c r="T257" t="s">
        <v>4</v>
      </c>
      <c r="U257" t="s">
        <v>4</v>
      </c>
      <c r="V257" t="s">
        <v>4</v>
      </c>
      <c r="W257" t="s">
        <v>4</v>
      </c>
      <c r="X257" t="s">
        <v>4</v>
      </c>
      <c r="Y257" t="s">
        <v>4</v>
      </c>
      <c r="Z257" t="s">
        <v>4</v>
      </c>
      <c r="AA257" t="s">
        <v>4</v>
      </c>
      <c r="AB257" t="s">
        <v>6667</v>
      </c>
      <c r="AC257" t="s">
        <v>116</v>
      </c>
      <c r="AD257" t="s">
        <v>6668</v>
      </c>
      <c r="AE257" t="s">
        <v>29</v>
      </c>
      <c r="AF257" t="s">
        <v>4</v>
      </c>
      <c r="AG257" t="s">
        <v>4</v>
      </c>
      <c r="AH257" t="s">
        <v>6669</v>
      </c>
      <c r="AI257" t="s">
        <v>6670</v>
      </c>
      <c r="AJ257" t="s">
        <v>4</v>
      </c>
      <c r="AK257">
        <v>9331705337</v>
      </c>
      <c r="AL257" t="s">
        <v>6671</v>
      </c>
      <c r="AM257" t="s">
        <v>6672</v>
      </c>
      <c r="AN257" t="s">
        <v>4</v>
      </c>
      <c r="AO257" t="s">
        <v>6118</v>
      </c>
      <c r="AP257" t="s">
        <v>4</v>
      </c>
      <c r="AQ257" t="s">
        <v>6521</v>
      </c>
      <c r="AR257" t="s">
        <v>4</v>
      </c>
      <c r="AS257" t="s">
        <v>4</v>
      </c>
      <c r="AT257" t="s">
        <v>4</v>
      </c>
      <c r="AU257" t="s">
        <v>4</v>
      </c>
      <c r="AV257" t="s">
        <v>4</v>
      </c>
      <c r="AW257" t="s">
        <v>11</v>
      </c>
      <c r="AX257">
        <v>700</v>
      </c>
      <c r="AY257">
        <v>14100</v>
      </c>
      <c r="AZ257" t="s">
        <v>4</v>
      </c>
      <c r="BA257" t="s">
        <v>4</v>
      </c>
      <c r="BB257" t="s">
        <v>4</v>
      </c>
      <c r="BC257" t="s">
        <v>1136</v>
      </c>
      <c r="BD257" t="s">
        <v>1131</v>
      </c>
      <c r="BE257" t="s">
        <v>4</v>
      </c>
      <c r="BF257" t="s">
        <v>4</v>
      </c>
      <c r="BG257" t="s">
        <v>4</v>
      </c>
      <c r="BH257" t="s">
        <v>4</v>
      </c>
      <c r="BI257" t="s">
        <v>4</v>
      </c>
      <c r="BJ257" t="s">
        <v>6669</v>
      </c>
      <c r="BK257" t="s">
        <v>4</v>
      </c>
      <c r="BL257">
        <v>1</v>
      </c>
      <c r="BM257" t="s">
        <v>4</v>
      </c>
      <c r="BN257">
        <v>14800</v>
      </c>
      <c r="BO257" t="s">
        <v>4</v>
      </c>
      <c r="BP257" t="s">
        <v>4</v>
      </c>
      <c r="BQ257" t="s">
        <v>4</v>
      </c>
      <c r="BR257" t="s">
        <v>4</v>
      </c>
      <c r="BS257" t="s">
        <v>4</v>
      </c>
      <c r="BT257" t="s">
        <v>4</v>
      </c>
      <c r="BU257" t="s">
        <v>4</v>
      </c>
      <c r="BV257" t="s">
        <v>4</v>
      </c>
      <c r="BW257" t="s">
        <v>3</v>
      </c>
      <c r="BX257" t="s">
        <v>4</v>
      </c>
      <c r="BY257" t="s">
        <v>12</v>
      </c>
      <c r="BZ257" t="s">
        <v>12</v>
      </c>
      <c r="CA257" t="s">
        <v>12</v>
      </c>
      <c r="CB257" t="s">
        <v>1074</v>
      </c>
      <c r="CC257" t="s">
        <v>12</v>
      </c>
      <c r="CD257" t="str" cm="1">
        <f t="array" aca="1" ref="CD257" ca="1">eConcatenar(A257:CB257,"|")</f>
        <v>Jph8e9sjJpWp8wlT|COM   2021-2379|3|MEMORIAL|TABASCO|PARAISO|PARAISO|2021-7-12|14800|X|X|200|1|X|X|X|X|X|X|X|X|X|X|X|X|X|X|ARCE|RODRIGUEZ|MARIA DEL PILAR|CASADA|X|X|LAS DELICIAS INFONAVID|MANGO 10B|X|9331705337|ROBERTO RAFAEL ACOSTA ARCE|JULIO DAVID ACOSTA ARCE|X|RUTA 4 M|X|MIÉRCOLES|X|X|X|X|X|DOMICILIO|700|14100|X|X|X|2021-9-16|2021-9-30|X|X|X|X|X|LAS DELICIAS INFONAVID|X|1|X|14800|X|X|X|X|X|X|X|X|CARDENAS|X|x|x|x|final</v>
      </c>
    </row>
    <row r="258" spans="1:82" x14ac:dyDescent="0.25">
      <c r="A258" t="s">
        <v>6673</v>
      </c>
      <c r="B258" t="s">
        <v>6674</v>
      </c>
      <c r="C258">
        <v>3</v>
      </c>
      <c r="D258" t="s">
        <v>201</v>
      </c>
      <c r="E258" t="s">
        <v>2</v>
      </c>
      <c r="F258" t="s">
        <v>654</v>
      </c>
      <c r="G258" t="s">
        <v>654</v>
      </c>
      <c r="H258" t="s">
        <v>6675</v>
      </c>
      <c r="I258">
        <v>12900</v>
      </c>
      <c r="J258" t="s">
        <v>4</v>
      </c>
      <c r="K258" t="s">
        <v>4</v>
      </c>
      <c r="L258">
        <v>200</v>
      </c>
      <c r="M258">
        <v>1</v>
      </c>
      <c r="N258" t="s">
        <v>4</v>
      </c>
      <c r="O258" t="s">
        <v>4</v>
      </c>
      <c r="P258" t="s">
        <v>4</v>
      </c>
      <c r="Q258" t="s">
        <v>4</v>
      </c>
      <c r="R258" t="s">
        <v>4</v>
      </c>
      <c r="S258" t="s">
        <v>4</v>
      </c>
      <c r="T258" t="s">
        <v>4</v>
      </c>
      <c r="U258" t="s">
        <v>4</v>
      </c>
      <c r="V258" t="s">
        <v>4</v>
      </c>
      <c r="W258" t="s">
        <v>4</v>
      </c>
      <c r="X258" t="s">
        <v>4</v>
      </c>
      <c r="Y258" t="s">
        <v>4</v>
      </c>
      <c r="Z258" t="s">
        <v>4</v>
      </c>
      <c r="AA258" t="s">
        <v>4</v>
      </c>
      <c r="AB258" t="s">
        <v>6676</v>
      </c>
      <c r="AC258" t="s">
        <v>6677</v>
      </c>
      <c r="AD258" t="s">
        <v>295</v>
      </c>
      <c r="AE258" t="s">
        <v>59</v>
      </c>
      <c r="AF258" t="s">
        <v>4</v>
      </c>
      <c r="AG258" t="s">
        <v>4</v>
      </c>
      <c r="AH258" t="s">
        <v>40</v>
      </c>
      <c r="AI258" t="s">
        <v>6678</v>
      </c>
      <c r="AJ258" t="s">
        <v>4</v>
      </c>
      <c r="AK258">
        <v>9331059446</v>
      </c>
      <c r="AL258" t="s">
        <v>6679</v>
      </c>
      <c r="AM258" t="s">
        <v>6680</v>
      </c>
      <c r="AN258" t="s">
        <v>4</v>
      </c>
      <c r="AO258" t="s">
        <v>6118</v>
      </c>
      <c r="AP258" t="s">
        <v>4</v>
      </c>
      <c r="AQ258" t="s">
        <v>658</v>
      </c>
      <c r="AR258" t="s">
        <v>4</v>
      </c>
      <c r="AS258" t="s">
        <v>4</v>
      </c>
      <c r="AT258" t="s">
        <v>4</v>
      </c>
      <c r="AU258" t="s">
        <v>4</v>
      </c>
      <c r="AV258" t="s">
        <v>4</v>
      </c>
      <c r="AW258" t="s">
        <v>11</v>
      </c>
      <c r="AX258">
        <v>4200</v>
      </c>
      <c r="AY258">
        <v>8200</v>
      </c>
      <c r="AZ258" t="s">
        <v>4</v>
      </c>
      <c r="BA258" t="s">
        <v>4</v>
      </c>
      <c r="BB258" t="s">
        <v>4</v>
      </c>
      <c r="BC258" t="s">
        <v>1136</v>
      </c>
      <c r="BD258" t="s">
        <v>1131</v>
      </c>
      <c r="BE258" t="s">
        <v>4</v>
      </c>
      <c r="BF258" t="s">
        <v>4</v>
      </c>
      <c r="BG258" t="s">
        <v>4</v>
      </c>
      <c r="BH258" t="s">
        <v>4</v>
      </c>
      <c r="BI258" t="s">
        <v>4</v>
      </c>
      <c r="BJ258" t="s">
        <v>6681</v>
      </c>
      <c r="BK258" t="s">
        <v>4</v>
      </c>
      <c r="BL258">
        <v>0</v>
      </c>
      <c r="BM258" t="s">
        <v>4</v>
      </c>
      <c r="BN258">
        <v>12900</v>
      </c>
      <c r="BO258" t="s">
        <v>4</v>
      </c>
      <c r="BP258" t="s">
        <v>4</v>
      </c>
      <c r="BQ258" t="s">
        <v>4</v>
      </c>
      <c r="BR258" t="s">
        <v>4</v>
      </c>
      <c r="BS258" t="s">
        <v>4</v>
      </c>
      <c r="BT258" t="s">
        <v>4</v>
      </c>
      <c r="BU258" t="s">
        <v>4</v>
      </c>
      <c r="BV258" t="s">
        <v>4</v>
      </c>
      <c r="BW258" t="s">
        <v>3</v>
      </c>
      <c r="BX258" t="s">
        <v>4</v>
      </c>
      <c r="BY258" t="s">
        <v>12</v>
      </c>
      <c r="BZ258" t="s">
        <v>12</v>
      </c>
      <c r="CA258" t="s">
        <v>12</v>
      </c>
      <c r="CB258" t="s">
        <v>1074</v>
      </c>
      <c r="CC258" t="s">
        <v>12</v>
      </c>
      <c r="CD258" t="str" cm="1">
        <f t="array" aca="1" ref="CD258" ca="1">eConcatenar(A258:CB258,"|")</f>
        <v>KjCnmm8ZSdrtfTAb|COM   2020-2530|3|IMPERIAL|TABASCO|PARAISO|PARAISO|2020-9-19|12900|X|X|200|1|X|X|X|X|X|X|X|X|X|X|X|X|X|X|GUZMAN|BUENO|JUAN ANTONIO|CASADO|X|X|CENTRO|5 DE MAYO223|X|9331059446|SILVIA LUISA MARTINEZ CHACON|MARIA LUISA GUZMAN MARTINEZ|X|RUTA 4 M|X|MIERCOLES|X|X|X|X|X|DOMICILIO|4200|8200|X|X|X|2021-9-16|2021-9-30|X|X|X|X|X|5 DE MAYO CENTRO 223|X|0|X|12900|X|X|X|X|X|X|X|X|CARDENAS|X|x|x|x|final</v>
      </c>
    </row>
    <row r="259" spans="1:82" x14ac:dyDescent="0.25">
      <c r="A259" t="s">
        <v>6682</v>
      </c>
      <c r="B259" t="s">
        <v>6683</v>
      </c>
      <c r="C259">
        <v>3</v>
      </c>
      <c r="D259" t="s">
        <v>65</v>
      </c>
      <c r="E259" t="s">
        <v>2</v>
      </c>
      <c r="F259" t="s">
        <v>654</v>
      </c>
      <c r="G259" t="s">
        <v>654</v>
      </c>
      <c r="H259" t="s">
        <v>6684</v>
      </c>
      <c r="I259">
        <v>14800</v>
      </c>
      <c r="J259" t="s">
        <v>4</v>
      </c>
      <c r="K259" t="s">
        <v>4</v>
      </c>
      <c r="L259">
        <v>100</v>
      </c>
      <c r="M259">
        <v>0</v>
      </c>
      <c r="N259" t="s">
        <v>4</v>
      </c>
      <c r="O259" t="s">
        <v>4</v>
      </c>
      <c r="P259" t="s">
        <v>4</v>
      </c>
      <c r="Q259" t="s">
        <v>4</v>
      </c>
      <c r="R259" t="s">
        <v>4</v>
      </c>
      <c r="S259" t="s">
        <v>4</v>
      </c>
      <c r="T259" t="s">
        <v>4</v>
      </c>
      <c r="U259" t="s">
        <v>4</v>
      </c>
      <c r="V259" t="s">
        <v>4</v>
      </c>
      <c r="W259" t="s">
        <v>4</v>
      </c>
      <c r="X259" t="s">
        <v>4</v>
      </c>
      <c r="Y259" t="s">
        <v>4</v>
      </c>
      <c r="Z259" t="s">
        <v>4</v>
      </c>
      <c r="AA259" t="s">
        <v>4</v>
      </c>
      <c r="AB259" t="s">
        <v>36</v>
      </c>
      <c r="AC259" t="s">
        <v>6685</v>
      </c>
      <c r="AD259" t="s">
        <v>6686</v>
      </c>
      <c r="AE259" t="s">
        <v>59</v>
      </c>
      <c r="AF259" t="s">
        <v>4</v>
      </c>
      <c r="AG259" t="s">
        <v>4</v>
      </c>
      <c r="AH259" t="s">
        <v>219</v>
      </c>
      <c r="AI259" t="s">
        <v>866</v>
      </c>
      <c r="AJ259" t="s">
        <v>4</v>
      </c>
      <c r="AK259">
        <v>9333333767</v>
      </c>
      <c r="AL259" t="s">
        <v>6687</v>
      </c>
      <c r="AM259" t="s">
        <v>4</v>
      </c>
      <c r="AN259" t="s">
        <v>4</v>
      </c>
      <c r="AO259" t="s">
        <v>6118</v>
      </c>
      <c r="AP259" t="s">
        <v>4</v>
      </c>
      <c r="AQ259" t="s">
        <v>658</v>
      </c>
      <c r="AR259" t="s">
        <v>4</v>
      </c>
      <c r="AS259" t="s">
        <v>4</v>
      </c>
      <c r="AT259" t="s">
        <v>4</v>
      </c>
      <c r="AU259" t="s">
        <v>4</v>
      </c>
      <c r="AV259" t="s">
        <v>4</v>
      </c>
      <c r="AW259" t="s">
        <v>11</v>
      </c>
      <c r="AX259">
        <v>1200</v>
      </c>
      <c r="AY259">
        <v>13600</v>
      </c>
      <c r="AZ259" t="s">
        <v>4</v>
      </c>
      <c r="BA259" t="s">
        <v>4</v>
      </c>
      <c r="BB259" t="s">
        <v>4</v>
      </c>
      <c r="BC259" t="s">
        <v>1135</v>
      </c>
      <c r="BD259" t="s">
        <v>5802</v>
      </c>
      <c r="BE259" t="s">
        <v>4</v>
      </c>
      <c r="BF259" t="s">
        <v>4</v>
      </c>
      <c r="BG259" t="s">
        <v>4</v>
      </c>
      <c r="BH259" t="s">
        <v>4</v>
      </c>
      <c r="BI259" t="s">
        <v>4</v>
      </c>
      <c r="BJ259" t="s">
        <v>6688</v>
      </c>
      <c r="BK259" t="s">
        <v>4</v>
      </c>
      <c r="BL259">
        <v>0</v>
      </c>
      <c r="BM259" t="s">
        <v>4</v>
      </c>
      <c r="BN259">
        <v>14800</v>
      </c>
      <c r="BO259" t="s">
        <v>4</v>
      </c>
      <c r="BP259" t="s">
        <v>4</v>
      </c>
      <c r="BQ259" t="s">
        <v>4</v>
      </c>
      <c r="BR259" t="s">
        <v>4</v>
      </c>
      <c r="BS259" t="s">
        <v>4</v>
      </c>
      <c r="BT259" t="s">
        <v>4</v>
      </c>
      <c r="BU259" t="s">
        <v>4</v>
      </c>
      <c r="BV259" t="s">
        <v>4</v>
      </c>
      <c r="BW259" t="s">
        <v>3</v>
      </c>
      <c r="BX259" t="s">
        <v>4</v>
      </c>
      <c r="BY259" t="s">
        <v>12</v>
      </c>
      <c r="BZ259" t="s">
        <v>12</v>
      </c>
      <c r="CA259" t="s">
        <v>12</v>
      </c>
      <c r="CB259" t="s">
        <v>1074</v>
      </c>
      <c r="CC259" t="s">
        <v>12</v>
      </c>
      <c r="CD259" t="str" cm="1">
        <f t="array" aca="1" ref="CD259" ca="1">eConcatenar(A259:CB259,"|")</f>
        <v>48hTmQBRVAncbjV3|COM   2021-2345|3|MEMORIAL|TABASCO|PARAISO|PARAISO|2021-7-06|14800|X|X|100|0|X|X|X|X|X|X|X|X|X|X|X|X|X|X|HERNANDEZ|ENRIQUE|OSCAR|CASADO|X|X|EL LIMON|GREGORIO MENDEZ|X|9333333767|LAURA MARIA HERNANDEZ HERNANDEZ|X|X|RUTA 4 M|X|MIERCOLES|X|X|X|X|X|DOMICILIO|1200|13600|X|X|X|2021-9-15|2021-9-29|X|X|X|X|X|EL LIMON GREGORIO MENDEZ|X|0|X|14800|X|X|X|X|X|X|X|X|CARDENAS|X|x|x|x|final</v>
      </c>
    </row>
    <row r="260" spans="1:82" x14ac:dyDescent="0.25">
      <c r="A260" t="s">
        <v>6689</v>
      </c>
      <c r="B260" t="s">
        <v>6690</v>
      </c>
      <c r="C260">
        <v>3</v>
      </c>
      <c r="D260" t="s">
        <v>194</v>
      </c>
      <c r="E260" t="s">
        <v>2</v>
      </c>
      <c r="F260" t="s">
        <v>654</v>
      </c>
      <c r="G260" t="s">
        <v>654</v>
      </c>
      <c r="H260" t="s">
        <v>6691</v>
      </c>
      <c r="I260">
        <v>12900</v>
      </c>
      <c r="J260" t="s">
        <v>4</v>
      </c>
      <c r="K260" t="s">
        <v>4</v>
      </c>
      <c r="L260">
        <v>200</v>
      </c>
      <c r="M260">
        <v>1</v>
      </c>
      <c r="N260" t="s">
        <v>4</v>
      </c>
      <c r="O260" t="s">
        <v>4</v>
      </c>
      <c r="P260" t="s">
        <v>4</v>
      </c>
      <c r="Q260" t="s">
        <v>4</v>
      </c>
      <c r="R260" t="s">
        <v>4</v>
      </c>
      <c r="S260" t="s">
        <v>4</v>
      </c>
      <c r="T260" t="s">
        <v>4</v>
      </c>
      <c r="U260" t="s">
        <v>4</v>
      </c>
      <c r="V260" t="s">
        <v>4</v>
      </c>
      <c r="W260" t="s">
        <v>4</v>
      </c>
      <c r="X260" t="s">
        <v>4</v>
      </c>
      <c r="Y260" t="s">
        <v>4</v>
      </c>
      <c r="Z260" t="s">
        <v>4</v>
      </c>
      <c r="AA260" t="s">
        <v>4</v>
      </c>
      <c r="AB260" t="s">
        <v>36</v>
      </c>
      <c r="AC260" t="s">
        <v>80</v>
      </c>
      <c r="AD260" t="s">
        <v>6692</v>
      </c>
      <c r="AE260" t="s">
        <v>29</v>
      </c>
      <c r="AF260" t="s">
        <v>4</v>
      </c>
      <c r="AG260" t="s">
        <v>4</v>
      </c>
      <c r="AH260" t="s">
        <v>828</v>
      </c>
      <c r="AI260" t="s">
        <v>6693</v>
      </c>
      <c r="AJ260" t="s">
        <v>4</v>
      </c>
      <c r="AK260">
        <v>9331561800</v>
      </c>
      <c r="AL260" t="s">
        <v>6694</v>
      </c>
      <c r="AM260" t="s">
        <v>6695</v>
      </c>
      <c r="AN260" t="s">
        <v>4</v>
      </c>
      <c r="AO260" t="s">
        <v>6118</v>
      </c>
      <c r="AP260" t="s">
        <v>4</v>
      </c>
      <c r="AQ260" t="s">
        <v>658</v>
      </c>
      <c r="AR260" t="s">
        <v>4</v>
      </c>
      <c r="AS260" t="s">
        <v>4</v>
      </c>
      <c r="AT260" t="s">
        <v>4</v>
      </c>
      <c r="AU260" t="s">
        <v>4</v>
      </c>
      <c r="AV260" t="s">
        <v>4</v>
      </c>
      <c r="AW260" t="s">
        <v>11</v>
      </c>
      <c r="AX260">
        <v>6000</v>
      </c>
      <c r="AY260">
        <v>6900</v>
      </c>
      <c r="AZ260" t="s">
        <v>4</v>
      </c>
      <c r="BA260" t="s">
        <v>4</v>
      </c>
      <c r="BB260" t="s">
        <v>4</v>
      </c>
      <c r="BC260" t="s">
        <v>1135</v>
      </c>
      <c r="BD260" t="s">
        <v>5802</v>
      </c>
      <c r="BE260" t="s">
        <v>4</v>
      </c>
      <c r="BF260" t="s">
        <v>4</v>
      </c>
      <c r="BG260" t="s">
        <v>4</v>
      </c>
      <c r="BH260" t="s">
        <v>4</v>
      </c>
      <c r="BI260" t="s">
        <v>4</v>
      </c>
      <c r="BJ260" t="s">
        <v>828</v>
      </c>
      <c r="BK260" t="s">
        <v>4</v>
      </c>
      <c r="BL260">
        <v>1</v>
      </c>
      <c r="BM260" t="s">
        <v>4</v>
      </c>
      <c r="BN260">
        <v>12900</v>
      </c>
      <c r="BO260" t="s">
        <v>4</v>
      </c>
      <c r="BP260" t="s">
        <v>4</v>
      </c>
      <c r="BQ260" t="s">
        <v>4</v>
      </c>
      <c r="BR260" t="s">
        <v>4</v>
      </c>
      <c r="BS260" t="s">
        <v>4</v>
      </c>
      <c r="BT260" t="s">
        <v>4</v>
      </c>
      <c r="BU260" t="s">
        <v>4</v>
      </c>
      <c r="BV260" t="s">
        <v>4</v>
      </c>
      <c r="BW260" t="s">
        <v>3</v>
      </c>
      <c r="BX260" t="s">
        <v>4</v>
      </c>
      <c r="BY260" t="s">
        <v>12</v>
      </c>
      <c r="BZ260" t="s">
        <v>12</v>
      </c>
      <c r="CA260" t="s">
        <v>12</v>
      </c>
      <c r="CB260" t="s">
        <v>1074</v>
      </c>
      <c r="CC260" t="s">
        <v>12</v>
      </c>
      <c r="CD260" t="str" cm="1">
        <f t="array" aca="1" ref="CD260" ca="1">eConcatenar(A260:CB260,"|")</f>
        <v>6hyxKZ5it2JLpEBZ|COM   2020-0784|3|ECONOLINE|TABASCO|PARAISO|PARAISO|2020-3-22|12900|X|X|200|1|X|X|X|X|X|X|X|X|X|X|X|X|X|X|HERNANDEZ|LOPEZ|ROSA ADELA|CASADA|X|X|FRANCISCO MADERO|JOSE CORDOVA CRUZ|X|9331561800|RICARDO CRUZ GOMEZ|FABIOLA CRUZ HERNANDEZ|X|RUTA 4 M|X|MIERCOLES|X|X|X|X|X|DOMICILIO|6000|6900|X|X|X|2021-9-15|2021-9-29|X|X|X|X|X|FRANCISCO MADERO|X|1|X|12900|X|X|X|X|X|X|X|X|CARDENAS|X|x|x|x|final</v>
      </c>
    </row>
    <row r="261" spans="1:82" x14ac:dyDescent="0.25">
      <c r="A261" t="s">
        <v>6696</v>
      </c>
      <c r="B261" t="s">
        <v>6697</v>
      </c>
      <c r="C261">
        <v>3</v>
      </c>
      <c r="D261" t="s">
        <v>194</v>
      </c>
      <c r="E261" t="s">
        <v>2</v>
      </c>
      <c r="F261" t="s">
        <v>654</v>
      </c>
      <c r="G261" t="s">
        <v>654</v>
      </c>
      <c r="H261" t="s">
        <v>5669</v>
      </c>
      <c r="I261">
        <v>12900</v>
      </c>
      <c r="J261" t="s">
        <v>4</v>
      </c>
      <c r="K261" t="s">
        <v>4</v>
      </c>
      <c r="L261">
        <v>200</v>
      </c>
      <c r="M261">
        <v>1</v>
      </c>
      <c r="N261" t="s">
        <v>4</v>
      </c>
      <c r="O261" t="s">
        <v>4</v>
      </c>
      <c r="P261" t="s">
        <v>4</v>
      </c>
      <c r="Q261" t="s">
        <v>4</v>
      </c>
      <c r="R261" t="s">
        <v>4</v>
      </c>
      <c r="S261" t="s">
        <v>4</v>
      </c>
      <c r="T261" t="s">
        <v>4</v>
      </c>
      <c r="U261" t="s">
        <v>4</v>
      </c>
      <c r="V261" t="s">
        <v>4</v>
      </c>
      <c r="W261" t="s">
        <v>4</v>
      </c>
      <c r="X261" t="s">
        <v>4</v>
      </c>
      <c r="Y261" t="s">
        <v>4</v>
      </c>
      <c r="Z261" t="s">
        <v>4</v>
      </c>
      <c r="AA261" t="s">
        <v>4</v>
      </c>
      <c r="AB261" t="s">
        <v>80</v>
      </c>
      <c r="AC261" t="s">
        <v>15</v>
      </c>
      <c r="AD261" t="s">
        <v>5349</v>
      </c>
      <c r="AE261" t="s">
        <v>134</v>
      </c>
      <c r="AF261" t="s">
        <v>4</v>
      </c>
      <c r="AG261" t="s">
        <v>4</v>
      </c>
      <c r="AH261" t="s">
        <v>6552</v>
      </c>
      <c r="AI261" t="s">
        <v>6547</v>
      </c>
      <c r="AJ261" t="s">
        <v>4</v>
      </c>
      <c r="AK261">
        <v>9331338346</v>
      </c>
      <c r="AL261" t="s">
        <v>6698</v>
      </c>
      <c r="AM261" t="s">
        <v>6699</v>
      </c>
      <c r="AN261" t="s">
        <v>4</v>
      </c>
      <c r="AO261" t="s">
        <v>6118</v>
      </c>
      <c r="AP261" t="s">
        <v>4</v>
      </c>
      <c r="AQ261" t="s">
        <v>658</v>
      </c>
      <c r="AR261" t="s">
        <v>4</v>
      </c>
      <c r="AS261" t="s">
        <v>4</v>
      </c>
      <c r="AT261" t="s">
        <v>4</v>
      </c>
      <c r="AU261" t="s">
        <v>4</v>
      </c>
      <c r="AV261" t="s">
        <v>4</v>
      </c>
      <c r="AW261" t="s">
        <v>11</v>
      </c>
      <c r="AX261">
        <v>9300</v>
      </c>
      <c r="AY261">
        <v>3600</v>
      </c>
      <c r="AZ261" t="s">
        <v>4</v>
      </c>
      <c r="BA261" t="s">
        <v>4</v>
      </c>
      <c r="BB261" t="s">
        <v>4</v>
      </c>
      <c r="BC261" t="s">
        <v>1135</v>
      </c>
      <c r="BD261" t="s">
        <v>5802</v>
      </c>
      <c r="BE261" t="s">
        <v>4</v>
      </c>
      <c r="BF261" t="s">
        <v>4</v>
      </c>
      <c r="BG261" t="s">
        <v>4</v>
      </c>
      <c r="BH261" t="s">
        <v>4</v>
      </c>
      <c r="BI261" t="s">
        <v>4</v>
      </c>
      <c r="BJ261" t="s">
        <v>6552</v>
      </c>
      <c r="BK261" t="s">
        <v>4</v>
      </c>
      <c r="BL261">
        <v>1</v>
      </c>
      <c r="BM261" t="s">
        <v>4</v>
      </c>
      <c r="BN261">
        <v>12900</v>
      </c>
      <c r="BO261" t="s">
        <v>4</v>
      </c>
      <c r="BP261" t="s">
        <v>4</v>
      </c>
      <c r="BQ261" t="s">
        <v>4</v>
      </c>
      <c r="BR261" t="s">
        <v>4</v>
      </c>
      <c r="BS261" t="s">
        <v>4</v>
      </c>
      <c r="BT261" t="s">
        <v>4</v>
      </c>
      <c r="BU261" t="s">
        <v>4</v>
      </c>
      <c r="BV261" t="s">
        <v>4</v>
      </c>
      <c r="BW261" t="s">
        <v>3</v>
      </c>
      <c r="BX261" t="s">
        <v>4</v>
      </c>
      <c r="BY261" t="s">
        <v>12</v>
      </c>
      <c r="BZ261" t="s">
        <v>12</v>
      </c>
      <c r="CA261" t="s">
        <v>12</v>
      </c>
      <c r="CB261" t="s">
        <v>1074</v>
      </c>
      <c r="CC261" t="s">
        <v>12</v>
      </c>
      <c r="CD261" t="str" cm="1">
        <f t="array" aca="1" ref="CD261" ca="1">eConcatenar(A261:CB261,"|")</f>
        <v>FYk34D9wx3Aa2Mnv|COM   2020-0751|3|ECONOLINE|TABASCO|PARAISO|PARAISO|2020-3-17|12900|X|X|200|1|X|X|X|X|X|X|X|X|X|X|X|X|X|X|LOPEZ|JIMENEZ|ANTONIA|VIUDA|X|X|FRANCISCO MADERO SEGUNDA|VECINAL PARAISO|X|9331338346|ERNESTO PEREZ LOPEZ|NORMALICIA PEREZ LOPEZ|X|RUTA 4 M|X|MIERCOLES|X|X|X|X|X|DOMICILIO|9300|3600|X|X|X|2021-9-15|2021-9-29|X|X|X|X|X|FRANCISCO MADERO SEGUNDA|X|1|X|12900|X|X|X|X|X|X|X|X|CARDENAS|X|x|x|x|final</v>
      </c>
    </row>
    <row r="262" spans="1:82" x14ac:dyDescent="0.25">
      <c r="A262" t="s">
        <v>6700</v>
      </c>
      <c r="B262" t="s">
        <v>6701</v>
      </c>
      <c r="C262">
        <v>3</v>
      </c>
      <c r="D262" t="s">
        <v>14</v>
      </c>
      <c r="E262" t="s">
        <v>2</v>
      </c>
      <c r="F262" t="s">
        <v>654</v>
      </c>
      <c r="G262" t="s">
        <v>654</v>
      </c>
      <c r="H262" s="26" t="s">
        <v>6767</v>
      </c>
      <c r="I262">
        <v>19800</v>
      </c>
      <c r="J262" t="s">
        <v>4</v>
      </c>
      <c r="K262" t="s">
        <v>4</v>
      </c>
      <c r="L262">
        <v>200</v>
      </c>
      <c r="M262">
        <v>1</v>
      </c>
      <c r="N262" t="s">
        <v>4</v>
      </c>
      <c r="O262" t="s">
        <v>4</v>
      </c>
      <c r="P262" t="s">
        <v>4</v>
      </c>
      <c r="Q262" t="s">
        <v>4</v>
      </c>
      <c r="R262" t="s">
        <v>4</v>
      </c>
      <c r="S262" t="s">
        <v>4</v>
      </c>
      <c r="T262" t="s">
        <v>4</v>
      </c>
      <c r="U262" t="s">
        <v>4</v>
      </c>
      <c r="V262" t="s">
        <v>4</v>
      </c>
      <c r="W262" t="s">
        <v>4</v>
      </c>
      <c r="X262" t="s">
        <v>4</v>
      </c>
      <c r="Y262" t="s">
        <v>4</v>
      </c>
      <c r="Z262" t="s">
        <v>4</v>
      </c>
      <c r="AA262" t="s">
        <v>4</v>
      </c>
      <c r="AB262" t="s">
        <v>6702</v>
      </c>
      <c r="AC262" t="s">
        <v>469</v>
      </c>
      <c r="AD262" t="s">
        <v>4713</v>
      </c>
      <c r="AE262" t="s">
        <v>29</v>
      </c>
      <c r="AF262" t="s">
        <v>4</v>
      </c>
      <c r="AG262" t="s">
        <v>4</v>
      </c>
      <c r="AH262" t="s">
        <v>828</v>
      </c>
      <c r="AI262" t="s">
        <v>6703</v>
      </c>
      <c r="AJ262" t="s">
        <v>4</v>
      </c>
      <c r="AK262">
        <v>9331004555</v>
      </c>
      <c r="AL262" t="s">
        <v>6704</v>
      </c>
      <c r="AM262" t="s">
        <v>6705</v>
      </c>
      <c r="AN262" t="s">
        <v>4</v>
      </c>
      <c r="AO262" t="s">
        <v>6118</v>
      </c>
      <c r="AP262" t="s">
        <v>4</v>
      </c>
      <c r="AQ262" t="s">
        <v>658</v>
      </c>
      <c r="AR262" t="s">
        <v>4</v>
      </c>
      <c r="AS262" t="s">
        <v>4</v>
      </c>
      <c r="AT262" t="s">
        <v>4</v>
      </c>
      <c r="AU262" t="s">
        <v>4</v>
      </c>
      <c r="AV262" t="s">
        <v>4</v>
      </c>
      <c r="AW262" t="s">
        <v>11</v>
      </c>
      <c r="AX262">
        <v>10750</v>
      </c>
      <c r="AY262">
        <v>9050</v>
      </c>
      <c r="AZ262" t="s">
        <v>4</v>
      </c>
      <c r="BA262" t="s">
        <v>4</v>
      </c>
      <c r="BB262" t="s">
        <v>4</v>
      </c>
      <c r="BC262" t="s">
        <v>5553</v>
      </c>
      <c r="BD262" t="s">
        <v>5802</v>
      </c>
      <c r="BE262" t="s">
        <v>4</v>
      </c>
      <c r="BF262" t="s">
        <v>4</v>
      </c>
      <c r="BG262" t="s">
        <v>4</v>
      </c>
      <c r="BH262" t="s">
        <v>4</v>
      </c>
      <c r="BI262" t="s">
        <v>4</v>
      </c>
      <c r="BJ262" t="s">
        <v>828</v>
      </c>
      <c r="BK262" t="s">
        <v>4</v>
      </c>
      <c r="BL262">
        <v>1</v>
      </c>
      <c r="BM262" t="s">
        <v>4</v>
      </c>
      <c r="BN262">
        <v>19800</v>
      </c>
      <c r="BO262" t="s">
        <v>4</v>
      </c>
      <c r="BP262" t="s">
        <v>4</v>
      </c>
      <c r="BQ262" t="s">
        <v>4</v>
      </c>
      <c r="BR262" t="s">
        <v>4</v>
      </c>
      <c r="BS262" t="s">
        <v>4</v>
      </c>
      <c r="BT262" t="s">
        <v>4</v>
      </c>
      <c r="BU262" t="s">
        <v>4</v>
      </c>
      <c r="BV262" t="s">
        <v>4</v>
      </c>
      <c r="BW262" t="s">
        <v>3</v>
      </c>
      <c r="BX262" t="s">
        <v>4</v>
      </c>
      <c r="BY262" t="s">
        <v>12</v>
      </c>
      <c r="BZ262" t="s">
        <v>12</v>
      </c>
      <c r="CA262" t="s">
        <v>12</v>
      </c>
      <c r="CB262" t="s">
        <v>1074</v>
      </c>
      <c r="CC262" t="s">
        <v>12</v>
      </c>
      <c r="CD262" t="str" cm="1">
        <f t="array" aca="1" ref="CD262" ca="1">eConcatenar(A262:CB262,"|")</f>
        <v>SRiIMR2UUoBDHzWu|COM   2020-0746|3|ZAFIRO|TABASCO|PARAISO|PARAISO|2020-5-17|19800|X|X|200|1|X|X|X|X|X|X|X|X|X|X|X|X|X|X|CANCINO|AGUILAR|LORENA|CASADA|X|X|FRANCISCO MADERO|FRANCISCO JAVIER|X|9331004555|TARQUINIO JAVIER HERNANDEZ|KERY SMITH JAVIER CANCINO|X|RUTA 4 M|X|MIERCOLES|X|X|X|X|X|DOMICILIO|10750|9050|X|X|X|2021-9-07|2021-9-29|X|X|X|X|X|FRANCISCO MADERO|X|1|X|19800|X|X|X|X|X|X|X|X|CARDENAS|X|x|x|x|final</v>
      </c>
    </row>
    <row r="263" spans="1:82" x14ac:dyDescent="0.25">
      <c r="A263" t="s">
        <v>6706</v>
      </c>
      <c r="B263" t="s">
        <v>6707</v>
      </c>
      <c r="C263">
        <v>3</v>
      </c>
      <c r="D263" t="s">
        <v>6708</v>
      </c>
      <c r="E263" t="s">
        <v>2</v>
      </c>
      <c r="F263" t="s">
        <v>654</v>
      </c>
      <c r="G263" t="s">
        <v>654</v>
      </c>
      <c r="H263" t="s">
        <v>5669</v>
      </c>
      <c r="I263">
        <v>31800</v>
      </c>
      <c r="J263" t="s">
        <v>4</v>
      </c>
      <c r="K263" t="s">
        <v>4</v>
      </c>
      <c r="L263">
        <v>200</v>
      </c>
      <c r="M263">
        <v>1</v>
      </c>
      <c r="N263" t="s">
        <v>4</v>
      </c>
      <c r="O263" t="s">
        <v>4</v>
      </c>
      <c r="P263" t="s">
        <v>4</v>
      </c>
      <c r="Q263" t="s">
        <v>4</v>
      </c>
      <c r="R263" t="s">
        <v>4</v>
      </c>
      <c r="S263" t="s">
        <v>4</v>
      </c>
      <c r="T263" t="s">
        <v>4</v>
      </c>
      <c r="U263" t="s">
        <v>4</v>
      </c>
      <c r="V263" t="s">
        <v>4</v>
      </c>
      <c r="W263" t="s">
        <v>4</v>
      </c>
      <c r="X263" t="s">
        <v>4</v>
      </c>
      <c r="Y263" t="s">
        <v>4</v>
      </c>
      <c r="Z263" t="s">
        <v>4</v>
      </c>
      <c r="AA263" t="s">
        <v>4</v>
      </c>
      <c r="AB263" t="s">
        <v>6702</v>
      </c>
      <c r="AC263" t="s">
        <v>469</v>
      </c>
      <c r="AD263" t="s">
        <v>6709</v>
      </c>
      <c r="AE263" t="s">
        <v>29</v>
      </c>
      <c r="AF263" t="s">
        <v>4</v>
      </c>
      <c r="AG263" t="s">
        <v>4</v>
      </c>
      <c r="AH263" t="s">
        <v>828</v>
      </c>
      <c r="AI263" t="s">
        <v>6703</v>
      </c>
      <c r="AJ263" t="s">
        <v>4</v>
      </c>
      <c r="AK263">
        <v>9331004555</v>
      </c>
      <c r="AL263" t="s">
        <v>6704</v>
      </c>
      <c r="AM263" t="s">
        <v>6710</v>
      </c>
      <c r="AN263" t="s">
        <v>4</v>
      </c>
      <c r="AO263" t="s">
        <v>6118</v>
      </c>
      <c r="AP263" t="s">
        <v>4</v>
      </c>
      <c r="AQ263" t="s">
        <v>658</v>
      </c>
      <c r="AR263" t="s">
        <v>4</v>
      </c>
      <c r="AS263" t="s">
        <v>4</v>
      </c>
      <c r="AT263" t="s">
        <v>4</v>
      </c>
      <c r="AU263" t="s">
        <v>4</v>
      </c>
      <c r="AV263" t="s">
        <v>4</v>
      </c>
      <c r="AW263" t="s">
        <v>11</v>
      </c>
      <c r="AX263">
        <v>10450</v>
      </c>
      <c r="AY263">
        <v>21350</v>
      </c>
      <c r="AZ263" t="s">
        <v>4</v>
      </c>
      <c r="BA263" t="s">
        <v>4</v>
      </c>
      <c r="BB263" t="s">
        <v>4</v>
      </c>
      <c r="BC263" t="s">
        <v>5553</v>
      </c>
      <c r="BD263" t="s">
        <v>5802</v>
      </c>
      <c r="BE263" t="s">
        <v>4</v>
      </c>
      <c r="BF263" t="s">
        <v>4</v>
      </c>
      <c r="BG263" t="s">
        <v>4</v>
      </c>
      <c r="BH263" t="s">
        <v>4</v>
      </c>
      <c r="BI263" t="s">
        <v>4</v>
      </c>
      <c r="BJ263" t="s">
        <v>828</v>
      </c>
      <c r="BK263" t="s">
        <v>4</v>
      </c>
      <c r="BL263">
        <v>1</v>
      </c>
      <c r="BM263" t="s">
        <v>4</v>
      </c>
      <c r="BN263">
        <v>31800</v>
      </c>
      <c r="BO263" t="s">
        <v>4</v>
      </c>
      <c r="BP263" t="s">
        <v>4</v>
      </c>
      <c r="BQ263" t="s">
        <v>4</v>
      </c>
      <c r="BR263" t="s">
        <v>4</v>
      </c>
      <c r="BS263" t="s">
        <v>4</v>
      </c>
      <c r="BT263" t="s">
        <v>4</v>
      </c>
      <c r="BU263" t="s">
        <v>4</v>
      </c>
      <c r="BV263" t="s">
        <v>4</v>
      </c>
      <c r="BW263" t="s">
        <v>3</v>
      </c>
      <c r="BX263" t="s">
        <v>4</v>
      </c>
      <c r="BY263" t="s">
        <v>12</v>
      </c>
      <c r="BZ263" t="s">
        <v>12</v>
      </c>
      <c r="CA263" t="s">
        <v>12</v>
      </c>
      <c r="CB263" t="s">
        <v>1074</v>
      </c>
      <c r="CC263" t="s">
        <v>12</v>
      </c>
      <c r="CD263" t="str" cm="1">
        <f t="array" aca="1" ref="CD263" ca="1">eConcatenar(A263:CB263,"|")</f>
        <v>niIf0rcPKgCNxupF|COM   2020-0743|3|CREMACION|TABASCO|PARAISO|PARAISO|2020-3-17|31800|X|X|200|1|X|X|X|X|X|X|X|X|X|X|X|X|X|X|CANCINO|AGUILAR|LORENA DEL CARMEN|CASADA|X|X|FRANCISCO MADERO|FRANCISCO JAVIER|X|9331004555|TARQUINIO JAVIER HERNANDEZ|JOHANA KRISTHEL JAVIER CASINO|X|RUTA 4 M|X|MIERCOLES|X|X|X|X|X|DOMICILIO|10450|21350|X|X|X|2021-9-07|2021-9-29|X|X|X|X|X|FRANCISCO MADERO|X|1|X|31800|X|X|X|X|X|X|X|X|CARDENAS|X|x|x|x|final</v>
      </c>
    </row>
    <row r="264" spans="1:82" x14ac:dyDescent="0.25">
      <c r="A264" t="s">
        <v>6711</v>
      </c>
      <c r="B264" t="s">
        <v>6712</v>
      </c>
      <c r="C264">
        <v>3</v>
      </c>
      <c r="D264" t="s">
        <v>194</v>
      </c>
      <c r="E264" t="s">
        <v>2</v>
      </c>
      <c r="F264" t="s">
        <v>654</v>
      </c>
      <c r="G264" t="s">
        <v>654</v>
      </c>
      <c r="H264" t="s">
        <v>6487</v>
      </c>
      <c r="I264">
        <v>12900</v>
      </c>
      <c r="J264" t="s">
        <v>4</v>
      </c>
      <c r="K264" t="s">
        <v>4</v>
      </c>
      <c r="L264">
        <v>100</v>
      </c>
      <c r="M264">
        <v>0</v>
      </c>
      <c r="N264" t="s">
        <v>4</v>
      </c>
      <c r="O264" t="s">
        <v>4</v>
      </c>
      <c r="P264" t="s">
        <v>4</v>
      </c>
      <c r="Q264" t="s">
        <v>4</v>
      </c>
      <c r="R264" t="s">
        <v>4</v>
      </c>
      <c r="S264" t="s">
        <v>4</v>
      </c>
      <c r="T264" t="s">
        <v>4</v>
      </c>
      <c r="U264" t="s">
        <v>4</v>
      </c>
      <c r="V264" t="s">
        <v>4</v>
      </c>
      <c r="W264" t="s">
        <v>4</v>
      </c>
      <c r="X264" t="s">
        <v>4</v>
      </c>
      <c r="Y264" t="s">
        <v>4</v>
      </c>
      <c r="Z264" t="s">
        <v>4</v>
      </c>
      <c r="AA264" t="s">
        <v>4</v>
      </c>
      <c r="AB264" t="s">
        <v>433</v>
      </c>
      <c r="AC264" t="s">
        <v>36</v>
      </c>
      <c r="AD264" t="s">
        <v>450</v>
      </c>
      <c r="AE264" t="s">
        <v>59</v>
      </c>
      <c r="AF264" t="s">
        <v>4</v>
      </c>
      <c r="AG264" t="s">
        <v>4</v>
      </c>
      <c r="AH264" t="s">
        <v>577</v>
      </c>
      <c r="AI264" t="s">
        <v>6713</v>
      </c>
      <c r="AJ264" t="s">
        <v>4</v>
      </c>
      <c r="AK264">
        <v>9332099149</v>
      </c>
      <c r="AL264" t="s">
        <v>6714</v>
      </c>
      <c r="AM264" t="s">
        <v>6715</v>
      </c>
      <c r="AN264" t="s">
        <v>4</v>
      </c>
      <c r="AO264" t="s">
        <v>6118</v>
      </c>
      <c r="AP264" t="s">
        <v>4</v>
      </c>
      <c r="AQ264" t="s">
        <v>658</v>
      </c>
      <c r="AR264" t="s">
        <v>4</v>
      </c>
      <c r="AS264" t="s">
        <v>4</v>
      </c>
      <c r="AT264" t="s">
        <v>4</v>
      </c>
      <c r="AU264" t="s">
        <v>4</v>
      </c>
      <c r="AV264" t="s">
        <v>4</v>
      </c>
      <c r="AW264" t="s">
        <v>11</v>
      </c>
      <c r="AX264">
        <v>6150</v>
      </c>
      <c r="AY264">
        <v>6750</v>
      </c>
      <c r="AZ264" t="s">
        <v>4</v>
      </c>
      <c r="BA264" t="s">
        <v>4</v>
      </c>
      <c r="BB264" t="s">
        <v>4</v>
      </c>
      <c r="BC264" t="s">
        <v>6716</v>
      </c>
      <c r="BD264" t="s">
        <v>5802</v>
      </c>
      <c r="BE264" t="s">
        <v>4</v>
      </c>
      <c r="BF264" t="s">
        <v>4</v>
      </c>
      <c r="BG264" t="s">
        <v>4</v>
      </c>
      <c r="BH264" t="s">
        <v>4</v>
      </c>
      <c r="BI264" t="s">
        <v>4</v>
      </c>
      <c r="BJ264" t="s">
        <v>577</v>
      </c>
      <c r="BK264" t="s">
        <v>4</v>
      </c>
      <c r="BL264">
        <v>0</v>
      </c>
      <c r="BM264" t="s">
        <v>4</v>
      </c>
      <c r="BN264">
        <v>12900</v>
      </c>
      <c r="BO264" t="s">
        <v>4</v>
      </c>
      <c r="BP264" t="s">
        <v>4</v>
      </c>
      <c r="BQ264" t="s">
        <v>4</v>
      </c>
      <c r="BR264" t="s">
        <v>4</v>
      </c>
      <c r="BS264" t="s">
        <v>4</v>
      </c>
      <c r="BT264" t="s">
        <v>4</v>
      </c>
      <c r="BU264" t="s">
        <v>4</v>
      </c>
      <c r="BV264" t="s">
        <v>4</v>
      </c>
      <c r="BW264" t="s">
        <v>3</v>
      </c>
      <c r="BX264" t="s">
        <v>4</v>
      </c>
      <c r="BY264" t="s">
        <v>12</v>
      </c>
      <c r="BZ264" t="s">
        <v>12</v>
      </c>
      <c r="CA264" t="s">
        <v>12</v>
      </c>
      <c r="CB264" t="s">
        <v>1074</v>
      </c>
      <c r="CC264" t="s">
        <v>12</v>
      </c>
      <c r="CD264" t="str" cm="1">
        <f t="array" aca="1" ref="CD264" ca="1">eConcatenar(A264:CB264,"|")</f>
        <v>uzl1IbK512DMYJ3i|COM   2020-0791|3|ECONOLINE|TABASCO|PARAISO|PARAISO|2020-3-21|12900|X|X|100|0|X|X|X|X|X|X|X|X|X|X|X|X|X|X|PEREZ |HERNANDEZ|JORGE|CASADO|X|X|QUINTIN ARAUZ|BENIGNO CARRILLO|X|9332099149|PAULA PEREZ LAZARO|JORGE GUADALUPE PEREZ LAZARO|X|RUTA 4 M|X|MIERCOLES|X|X|X|X|X|DOMICILIO|6150|6750|X|X|X|2121-9-15|2021-9-29|X|X|X|X|X|QUINTIN ARAUZ|X|0|X|12900|X|X|X|X|X|X|X|X|CARDENAS|X|x|x|x|final</v>
      </c>
    </row>
    <row r="265" spans="1:82" x14ac:dyDescent="0.25">
      <c r="A265" t="s">
        <v>6717</v>
      </c>
      <c r="B265" t="s">
        <v>6718</v>
      </c>
      <c r="C265">
        <v>3</v>
      </c>
      <c r="D265" t="s">
        <v>65</v>
      </c>
      <c r="E265" t="s">
        <v>2</v>
      </c>
      <c r="F265" t="s">
        <v>654</v>
      </c>
      <c r="G265" t="s">
        <v>654</v>
      </c>
      <c r="H265" t="s">
        <v>4716</v>
      </c>
      <c r="I265">
        <v>14800</v>
      </c>
      <c r="J265" t="s">
        <v>4</v>
      </c>
      <c r="K265" t="s">
        <v>4</v>
      </c>
      <c r="L265">
        <v>200</v>
      </c>
      <c r="M265">
        <v>1</v>
      </c>
      <c r="N265" t="s">
        <v>4</v>
      </c>
      <c r="O265" t="s">
        <v>4</v>
      </c>
      <c r="P265" t="s">
        <v>4</v>
      </c>
      <c r="Q265" t="s">
        <v>4</v>
      </c>
      <c r="R265" t="s">
        <v>4</v>
      </c>
      <c r="S265" t="s">
        <v>4</v>
      </c>
      <c r="T265" t="s">
        <v>4</v>
      </c>
      <c r="U265" t="s">
        <v>4</v>
      </c>
      <c r="V265" t="s">
        <v>4</v>
      </c>
      <c r="W265" t="s">
        <v>4</v>
      </c>
      <c r="X265" t="s">
        <v>4</v>
      </c>
      <c r="Y265" t="s">
        <v>4</v>
      </c>
      <c r="Z265" t="s">
        <v>4</v>
      </c>
      <c r="AA265" t="s">
        <v>4</v>
      </c>
      <c r="AB265" t="s">
        <v>28</v>
      </c>
      <c r="AC265" t="s">
        <v>28</v>
      </c>
      <c r="AD265" t="s">
        <v>16</v>
      </c>
      <c r="AE265" t="s">
        <v>307</v>
      </c>
      <c r="AF265" t="s">
        <v>4</v>
      </c>
      <c r="AG265" t="s">
        <v>4</v>
      </c>
      <c r="AH265" t="s">
        <v>219</v>
      </c>
      <c r="AI265" t="s">
        <v>6719</v>
      </c>
      <c r="AJ265" t="s">
        <v>4</v>
      </c>
      <c r="AK265">
        <v>9331351196</v>
      </c>
      <c r="AL265" t="s">
        <v>6720</v>
      </c>
      <c r="AM265" t="s">
        <v>6721</v>
      </c>
      <c r="AN265" t="s">
        <v>4</v>
      </c>
      <c r="AO265" t="s">
        <v>6118</v>
      </c>
      <c r="AP265" t="s">
        <v>4</v>
      </c>
      <c r="AQ265" t="s">
        <v>658</v>
      </c>
      <c r="AR265" t="s">
        <v>4</v>
      </c>
      <c r="AS265" t="s">
        <v>4</v>
      </c>
      <c r="AT265" t="s">
        <v>4</v>
      </c>
      <c r="AU265" t="s">
        <v>4</v>
      </c>
      <c r="AV265" t="s">
        <v>4</v>
      </c>
      <c r="AW265" t="s">
        <v>11</v>
      </c>
      <c r="AX265">
        <v>1050</v>
      </c>
      <c r="AY265">
        <v>13750</v>
      </c>
      <c r="AZ265" t="s">
        <v>4</v>
      </c>
      <c r="BA265" t="s">
        <v>4</v>
      </c>
      <c r="BB265" t="s">
        <v>4</v>
      </c>
      <c r="BC265" t="s">
        <v>1136</v>
      </c>
      <c r="BD265" t="s">
        <v>5802</v>
      </c>
      <c r="BE265" t="s">
        <v>4</v>
      </c>
      <c r="BF265" t="s">
        <v>4</v>
      </c>
      <c r="BG265" t="s">
        <v>4</v>
      </c>
      <c r="BH265" t="s">
        <v>4</v>
      </c>
      <c r="BI265" t="s">
        <v>4</v>
      </c>
      <c r="BJ265" t="s">
        <v>6688</v>
      </c>
      <c r="BK265" t="s">
        <v>4</v>
      </c>
      <c r="BL265">
        <v>0</v>
      </c>
      <c r="BM265" t="s">
        <v>4</v>
      </c>
      <c r="BN265">
        <v>14800</v>
      </c>
      <c r="BO265" t="s">
        <v>4</v>
      </c>
      <c r="BP265" t="s">
        <v>4</v>
      </c>
      <c r="BQ265" t="s">
        <v>4</v>
      </c>
      <c r="BR265" t="s">
        <v>4</v>
      </c>
      <c r="BS265" t="s">
        <v>4</v>
      </c>
      <c r="BT265" t="s">
        <v>4</v>
      </c>
      <c r="BU265" t="s">
        <v>4</v>
      </c>
      <c r="BV265" t="s">
        <v>4</v>
      </c>
      <c r="BW265" t="s">
        <v>3</v>
      </c>
      <c r="BX265" t="s">
        <v>4</v>
      </c>
      <c r="BY265" t="s">
        <v>12</v>
      </c>
      <c r="BZ265" t="s">
        <v>12</v>
      </c>
      <c r="CA265" t="s">
        <v>12</v>
      </c>
      <c r="CB265" t="s">
        <v>1074</v>
      </c>
      <c r="CC265" t="s">
        <v>12</v>
      </c>
      <c r="CD265" t="str" cm="1">
        <f t="array" aca="1" ref="CD265" ca="1">eConcatenar(A265:CB265,"|")</f>
        <v>aAjGzvnITQME9klA|COM   2021-2391|3|MEMORIAL|TABASCO|PARAISO|PARAISO|2021-7-13|14800|X|X|200|1|X|X|X|X|X|X|X|X|X|X|X|X|X|X|CORDOVA|CORDOVA|SANTOS|VIUDO|X|X|EL LIMON|5 DEMAYO |X|9331351196|PAOLA CECILIA CORDOVA PEREZ|RUVEN ALBERTO CORDOVA PEREZ|X|RUTA 4 M|X|MIERCOLES|X|X|X|X|X|DOMICILIO|1050|13750|X|X|X|2021-9-16|2021-9-29|X|X|X|X|X|EL LIMON GREGORIO MENDEZ|X|0|X|14800|X|X|X|X|X|X|X|X|CARDENAS|X|x|x|x|final</v>
      </c>
    </row>
    <row r="266" spans="1:82" x14ac:dyDescent="0.25">
      <c r="A266" t="s">
        <v>6722</v>
      </c>
      <c r="B266" t="s">
        <v>6523</v>
      </c>
      <c r="C266">
        <v>3</v>
      </c>
      <c r="D266" t="s">
        <v>194</v>
      </c>
      <c r="E266" t="s">
        <v>2</v>
      </c>
      <c r="F266" t="s">
        <v>654</v>
      </c>
      <c r="G266" t="s">
        <v>654</v>
      </c>
      <c r="H266" t="s">
        <v>6723</v>
      </c>
      <c r="I266">
        <v>11500</v>
      </c>
      <c r="J266" t="s">
        <v>4</v>
      </c>
      <c r="K266" t="s">
        <v>4</v>
      </c>
      <c r="L266">
        <v>100</v>
      </c>
      <c r="M266">
        <v>0</v>
      </c>
      <c r="N266" t="s">
        <v>4</v>
      </c>
      <c r="O266" t="s">
        <v>4</v>
      </c>
      <c r="P266" t="s">
        <v>4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4</v>
      </c>
      <c r="Z266" t="s">
        <v>4</v>
      </c>
      <c r="AA266" t="s">
        <v>4</v>
      </c>
      <c r="AB266" t="s">
        <v>74</v>
      </c>
      <c r="AC266" t="s">
        <v>327</v>
      </c>
      <c r="AD266" t="s">
        <v>4727</v>
      </c>
      <c r="AE266" t="s">
        <v>17</v>
      </c>
      <c r="AF266" t="s">
        <v>4</v>
      </c>
      <c r="AG266" t="s">
        <v>4</v>
      </c>
      <c r="AH266" t="s">
        <v>827</v>
      </c>
      <c r="AI266" t="s">
        <v>6724</v>
      </c>
      <c r="AJ266" t="s">
        <v>4</v>
      </c>
      <c r="AK266">
        <v>9334063479</v>
      </c>
      <c r="AL266" t="s">
        <v>6725</v>
      </c>
      <c r="AM266" t="s">
        <v>6726</v>
      </c>
      <c r="AN266" t="s">
        <v>4</v>
      </c>
      <c r="AO266" t="s">
        <v>6118</v>
      </c>
      <c r="AP266" t="s">
        <v>4</v>
      </c>
      <c r="AQ266" t="s">
        <v>658</v>
      </c>
      <c r="AR266" t="s">
        <v>4</v>
      </c>
      <c r="AS266" t="s">
        <v>4</v>
      </c>
      <c r="AT266" t="s">
        <v>4</v>
      </c>
      <c r="AU266" t="s">
        <v>4</v>
      </c>
      <c r="AV266" t="s">
        <v>4</v>
      </c>
      <c r="AW266" t="s">
        <v>11</v>
      </c>
      <c r="AX266">
        <v>11000</v>
      </c>
      <c r="AY266">
        <v>500</v>
      </c>
      <c r="AZ266" t="s">
        <v>4</v>
      </c>
      <c r="BA266" t="s">
        <v>4</v>
      </c>
      <c r="BB266" t="s">
        <v>4</v>
      </c>
      <c r="BC266" t="s">
        <v>1135</v>
      </c>
      <c r="BD266" t="s">
        <v>5802</v>
      </c>
      <c r="BE266" t="s">
        <v>4</v>
      </c>
      <c r="BF266" t="s">
        <v>4</v>
      </c>
      <c r="BG266" t="s">
        <v>4</v>
      </c>
      <c r="BH266" t="s">
        <v>4</v>
      </c>
      <c r="BI266" t="s">
        <v>4</v>
      </c>
      <c r="BJ266" t="s">
        <v>6017</v>
      </c>
      <c r="BK266" t="s">
        <v>4</v>
      </c>
      <c r="BL266">
        <v>0</v>
      </c>
      <c r="BM266" t="s">
        <v>4</v>
      </c>
      <c r="BN266">
        <v>11500</v>
      </c>
      <c r="BO266" t="s">
        <v>4</v>
      </c>
      <c r="BP266" t="s">
        <v>4</v>
      </c>
      <c r="BQ266" t="s">
        <v>4</v>
      </c>
      <c r="BR266" t="s">
        <v>4</v>
      </c>
      <c r="BS266" t="s">
        <v>4</v>
      </c>
      <c r="BT266" t="s">
        <v>4</v>
      </c>
      <c r="BU266" t="s">
        <v>4</v>
      </c>
      <c r="BV266" t="s">
        <v>4</v>
      </c>
      <c r="BW266" t="s">
        <v>3</v>
      </c>
      <c r="BX266" t="s">
        <v>4</v>
      </c>
      <c r="BY266" t="s">
        <v>12</v>
      </c>
      <c r="BZ266" t="s">
        <v>12</v>
      </c>
      <c r="CA266" t="s">
        <v>12</v>
      </c>
      <c r="CB266" t="s">
        <v>1074</v>
      </c>
      <c r="CC266" t="s">
        <v>12</v>
      </c>
      <c r="CD266" t="str" cm="1">
        <f t="array" aca="1" ref="CD266" ca="1">eConcatenar(A266:CB266,"|")</f>
        <v>AUUagTXCDQ41g4qx|COM   2017-4266|3|ECONOLINE|TABASCO|PARAISO|PARAISO|2017-11-30|11500|X|X|100|0|X|X|X|X|X|X|X|X|X|X|X|X|X|X|GARCIA |CASTILLO|PEDRO|SOLTERO|X|X|NICOLAS BRAVO|CENTRO PARAISO|X|9334063479|ADRIANA DEL CARMEN GARCIA FLORES|MARIA DEL CARMEN FLORES CASTILLO|X|RUTA 4 M|X|MIERCOLES|X|X|X|X|X|DOMICILIO|11000|500|X|X|X|2021-9-15|2021-9-29|X|X|X|X|X|NICOLAS BRAVO |X|0|X|11500|X|X|X|X|X|X|X|X|CARDENAS|X|x|x|x|final</v>
      </c>
    </row>
    <row r="267" spans="1:82" x14ac:dyDescent="0.25">
      <c r="A267" t="s">
        <v>6727</v>
      </c>
      <c r="B267" t="s">
        <v>6728</v>
      </c>
      <c r="C267">
        <v>3</v>
      </c>
      <c r="D267" t="s">
        <v>194</v>
      </c>
      <c r="E267" t="s">
        <v>2</v>
      </c>
      <c r="F267" t="s">
        <v>722</v>
      </c>
      <c r="G267" t="s">
        <v>722</v>
      </c>
      <c r="H267" t="s">
        <v>6729</v>
      </c>
      <c r="I267">
        <v>12900</v>
      </c>
      <c r="J267" t="s">
        <v>4</v>
      </c>
      <c r="K267" t="s">
        <v>4</v>
      </c>
      <c r="L267">
        <v>100</v>
      </c>
      <c r="M267">
        <v>0</v>
      </c>
      <c r="N267" t="s">
        <v>4</v>
      </c>
      <c r="O267" t="s">
        <v>4</v>
      </c>
      <c r="P267" t="s">
        <v>4</v>
      </c>
      <c r="Q267" t="s">
        <v>4</v>
      </c>
      <c r="R267" t="s">
        <v>4</v>
      </c>
      <c r="S267" t="s">
        <v>4</v>
      </c>
      <c r="T267" t="s">
        <v>4</v>
      </c>
      <c r="U267" t="s">
        <v>4</v>
      </c>
      <c r="V267" t="s">
        <v>4</v>
      </c>
      <c r="W267" t="s">
        <v>4</v>
      </c>
      <c r="X267" t="s">
        <v>4</v>
      </c>
      <c r="Y267" t="s">
        <v>4</v>
      </c>
      <c r="Z267" t="s">
        <v>4</v>
      </c>
      <c r="AA267" t="s">
        <v>4</v>
      </c>
      <c r="AB267" t="s">
        <v>679</v>
      </c>
      <c r="AC267" t="s">
        <v>780</v>
      </c>
      <c r="AD267" t="s">
        <v>598</v>
      </c>
      <c r="AE267" t="s">
        <v>24</v>
      </c>
      <c r="AF267" t="s">
        <v>4</v>
      </c>
      <c r="AG267" t="s">
        <v>4</v>
      </c>
      <c r="AH267" t="s">
        <v>6168</v>
      </c>
      <c r="AI267" t="s">
        <v>6730</v>
      </c>
      <c r="AJ267" t="s">
        <v>4</v>
      </c>
      <c r="AK267">
        <v>9331682715</v>
      </c>
      <c r="AL267" t="s">
        <v>6731</v>
      </c>
      <c r="AM267" t="s">
        <v>6732</v>
      </c>
      <c r="AN267" t="s">
        <v>4</v>
      </c>
      <c r="AO267" t="s">
        <v>6118</v>
      </c>
      <c r="AP267" t="s">
        <v>4</v>
      </c>
      <c r="AQ267" t="s">
        <v>658</v>
      </c>
      <c r="AR267" t="s">
        <v>4</v>
      </c>
      <c r="AS267" t="s">
        <v>4</v>
      </c>
      <c r="AT267" t="s">
        <v>4</v>
      </c>
      <c r="AU267" t="s">
        <v>4</v>
      </c>
      <c r="AV267" t="s">
        <v>4</v>
      </c>
      <c r="AW267" t="s">
        <v>11</v>
      </c>
      <c r="AX267">
        <v>1230</v>
      </c>
      <c r="AY267">
        <v>600</v>
      </c>
      <c r="AZ267" t="s">
        <v>4</v>
      </c>
      <c r="BA267" t="s">
        <v>4</v>
      </c>
      <c r="BB267" t="s">
        <v>4</v>
      </c>
      <c r="BC267" t="s">
        <v>1136</v>
      </c>
      <c r="BD267" t="s">
        <v>5802</v>
      </c>
      <c r="BE267" t="s">
        <v>4</v>
      </c>
      <c r="BF267" t="s">
        <v>4</v>
      </c>
      <c r="BG267" t="s">
        <v>4</v>
      </c>
      <c r="BH267" t="s">
        <v>4</v>
      </c>
      <c r="BI267" t="s">
        <v>4</v>
      </c>
      <c r="BJ267" t="s">
        <v>6733</v>
      </c>
      <c r="BK267" t="s">
        <v>4</v>
      </c>
      <c r="BL267">
        <v>0</v>
      </c>
      <c r="BM267" t="s">
        <v>4</v>
      </c>
      <c r="BN267">
        <v>12900</v>
      </c>
      <c r="BO267" t="s">
        <v>4</v>
      </c>
      <c r="BP267" t="s">
        <v>4</v>
      </c>
      <c r="BQ267" t="s">
        <v>4</v>
      </c>
      <c r="BR267" t="s">
        <v>4</v>
      </c>
      <c r="BS267" t="s">
        <v>4</v>
      </c>
      <c r="BT267" t="s">
        <v>4</v>
      </c>
      <c r="BU267" t="s">
        <v>4</v>
      </c>
      <c r="BV267" t="s">
        <v>4</v>
      </c>
      <c r="BW267" t="s">
        <v>3</v>
      </c>
      <c r="BX267" t="s">
        <v>4</v>
      </c>
      <c r="BY267" t="s">
        <v>12</v>
      </c>
      <c r="BZ267" t="s">
        <v>12</v>
      </c>
      <c r="CA267" t="s">
        <v>12</v>
      </c>
      <c r="CB267" t="s">
        <v>1074</v>
      </c>
      <c r="CC267" t="s">
        <v>12</v>
      </c>
      <c r="CD267" t="str" cm="1">
        <f t="array" aca="1" ref="CD267" ca="1">eConcatenar(A267:CB267,"|")</f>
        <v>aoms2sg6ldeNzurR|COM   2018-0520|3|ECONOLINE|TABASCO|COMALCALCO|COMALCALCO|2014-4-21|12900|X|X|100|0|X|X|X|X|X|X|X|X|X|X|X|X|X|X|IZQUIERDO|MARQUEZ|LUIS ALBERTO|UNION LIBRE|X|X|SANTA AMALIA |FERNANDO ENRIQUE DE LA FUENTE 114|X|9331682715|ADRIANA LIZBETH CRUZ TRUJILLO|FERNANDO MARQUEZ ASRIAS|X|RUTA 4 M|X|MIERCOLES|X|X|X|X|X|DOMICILIO|1230|600|X|X|X|2021-9-16|2021-9-29|X|X|X|X|X|AMALIA COMALCALCO|X|0|X|12900|X|X|X|X|X|X|X|X|CARDENAS|X|x|x|x|final</v>
      </c>
    </row>
    <row r="268" spans="1:82" x14ac:dyDescent="0.25">
      <c r="A268" t="s">
        <v>6734</v>
      </c>
      <c r="B268" t="s">
        <v>6735</v>
      </c>
      <c r="C268">
        <v>3</v>
      </c>
      <c r="D268" t="s">
        <v>194</v>
      </c>
      <c r="E268" t="s">
        <v>2</v>
      </c>
      <c r="F268" t="s">
        <v>722</v>
      </c>
      <c r="G268" t="s">
        <v>722</v>
      </c>
      <c r="H268" t="s">
        <v>6736</v>
      </c>
      <c r="I268">
        <v>12900</v>
      </c>
      <c r="J268" t="s">
        <v>4</v>
      </c>
      <c r="K268" t="s">
        <v>4</v>
      </c>
      <c r="L268">
        <v>200</v>
      </c>
      <c r="M268">
        <v>1</v>
      </c>
      <c r="N268" t="s">
        <v>4</v>
      </c>
      <c r="O268" t="s">
        <v>4</v>
      </c>
      <c r="P268" t="s">
        <v>4</v>
      </c>
      <c r="Q268" t="s">
        <v>4</v>
      </c>
      <c r="R268" t="s">
        <v>4</v>
      </c>
      <c r="S268" t="s">
        <v>4</v>
      </c>
      <c r="T268" t="s">
        <v>4</v>
      </c>
      <c r="U268" t="s">
        <v>4</v>
      </c>
      <c r="V268" t="s">
        <v>4</v>
      </c>
      <c r="W268" t="s">
        <v>4</v>
      </c>
      <c r="X268" t="s">
        <v>4</v>
      </c>
      <c r="Y268" t="s">
        <v>4</v>
      </c>
      <c r="Z268" t="s">
        <v>4</v>
      </c>
      <c r="AA268" t="s">
        <v>4</v>
      </c>
      <c r="AB268" t="s">
        <v>294</v>
      </c>
      <c r="AC268" t="s">
        <v>28</v>
      </c>
      <c r="AD268" t="s">
        <v>5139</v>
      </c>
      <c r="AE268" t="s">
        <v>29</v>
      </c>
      <c r="AF268" t="s">
        <v>4</v>
      </c>
      <c r="AG268" t="s">
        <v>4</v>
      </c>
      <c r="AH268" t="s">
        <v>6135</v>
      </c>
      <c r="AI268" t="s">
        <v>1792</v>
      </c>
      <c r="AJ268" t="s">
        <v>4</v>
      </c>
      <c r="AK268">
        <v>9331456508</v>
      </c>
      <c r="AL268" t="s">
        <v>6737</v>
      </c>
      <c r="AM268" t="s">
        <v>6738</v>
      </c>
      <c r="AN268" t="s">
        <v>4</v>
      </c>
      <c r="AO268" t="s">
        <v>6118</v>
      </c>
      <c r="AP268" t="s">
        <v>4</v>
      </c>
      <c r="AQ268" t="s">
        <v>658</v>
      </c>
      <c r="AR268" t="s">
        <v>4</v>
      </c>
      <c r="AS268" t="s">
        <v>4</v>
      </c>
      <c r="AT268" t="s">
        <v>4</v>
      </c>
      <c r="AU268" t="s">
        <v>4</v>
      </c>
      <c r="AV268" t="s">
        <v>4</v>
      </c>
      <c r="AW268" t="s">
        <v>11</v>
      </c>
      <c r="AX268">
        <v>12900</v>
      </c>
      <c r="AY268">
        <v>12900</v>
      </c>
      <c r="AZ268" t="s">
        <v>4</v>
      </c>
      <c r="BA268" t="s">
        <v>4</v>
      </c>
      <c r="BB268" t="s">
        <v>4</v>
      </c>
      <c r="BC268" t="s">
        <v>1136</v>
      </c>
      <c r="BD268" t="s">
        <v>1136</v>
      </c>
      <c r="BE268" t="s">
        <v>4</v>
      </c>
      <c r="BF268" t="s">
        <v>4</v>
      </c>
      <c r="BG268" t="s">
        <v>4</v>
      </c>
      <c r="BH268" t="s">
        <v>4</v>
      </c>
      <c r="BI268" t="s">
        <v>4</v>
      </c>
      <c r="BJ268" t="s">
        <v>5557</v>
      </c>
      <c r="BK268" t="s">
        <v>4</v>
      </c>
      <c r="BL268">
        <v>1</v>
      </c>
      <c r="BM268" t="s">
        <v>4</v>
      </c>
      <c r="BN268">
        <v>12900</v>
      </c>
      <c r="BO268" t="s">
        <v>4</v>
      </c>
      <c r="BP268" t="s">
        <v>4</v>
      </c>
      <c r="BQ268" t="s">
        <v>4</v>
      </c>
      <c r="BR268" t="s">
        <v>4</v>
      </c>
      <c r="BS268" t="s">
        <v>4</v>
      </c>
      <c r="BT268" t="s">
        <v>4</v>
      </c>
      <c r="BU268" t="s">
        <v>4</v>
      </c>
      <c r="BV268" t="s">
        <v>4</v>
      </c>
      <c r="BW268" t="s">
        <v>3</v>
      </c>
      <c r="BX268" t="s">
        <v>4</v>
      </c>
      <c r="BY268" t="s">
        <v>12</v>
      </c>
      <c r="BZ268" t="s">
        <v>12</v>
      </c>
      <c r="CA268" t="s">
        <v>12</v>
      </c>
      <c r="CB268" t="s">
        <v>1074</v>
      </c>
      <c r="CC268" t="s">
        <v>12</v>
      </c>
      <c r="CD268" t="str" cm="1">
        <f t="array" aca="1" ref="CD268" ca="1">eConcatenar(A268:CB268,"|")</f>
        <v>P1cWBClbGn2s9OLP|COM   2020-0372|3|ECONOLINE|TABASCO|COMALCALCO|COMALCALCO|2020-2-08|12900|X|X|200|1|X|X|X|X|X|X|X|X|X|X|X|X|X|X|ARIAS|CORDOVA|BARTOLA|CASADA|X|X|MOCTEZUMA TERCERA|EL HORMIGUERO|X|9331456508|LUIZ MARIA PEREZ ARIAS|JOSE LA CRUZ PEREZ CORDOVA|X|RUTA 4 M|X|MIERCOLES|X|X|X|X|X|DOMICILIO|12900|12900|X|X|X|2021-9-16|2021-9-16|X|X|X|X|X|MOCTEZUMA SEGUNDA|X|1|X|12900|X|X|X|X|X|X|X|X|CARDENAS|X|x|x|x|final</v>
      </c>
    </row>
    <row r="269" spans="1:82" x14ac:dyDescent="0.25">
      <c r="A269" t="s">
        <v>6739</v>
      </c>
      <c r="B269" t="s">
        <v>6740</v>
      </c>
      <c r="C269">
        <v>3</v>
      </c>
      <c r="D269" t="s">
        <v>194</v>
      </c>
      <c r="E269" t="s">
        <v>2</v>
      </c>
      <c r="F269" t="s">
        <v>654</v>
      </c>
      <c r="G269" t="s">
        <v>654</v>
      </c>
      <c r="H269" t="s">
        <v>6741</v>
      </c>
      <c r="I269">
        <v>11500</v>
      </c>
      <c r="J269" t="s">
        <v>4</v>
      </c>
      <c r="K269" t="s">
        <v>4</v>
      </c>
      <c r="L269">
        <v>200</v>
      </c>
      <c r="M269">
        <v>1</v>
      </c>
      <c r="N269" t="s">
        <v>4</v>
      </c>
      <c r="O269" t="s">
        <v>4</v>
      </c>
      <c r="P269" t="s">
        <v>4</v>
      </c>
      <c r="Q269" t="s">
        <v>4</v>
      </c>
      <c r="R269" t="s">
        <v>4</v>
      </c>
      <c r="S269" t="s">
        <v>4</v>
      </c>
      <c r="T269" t="s">
        <v>4</v>
      </c>
      <c r="U269" t="s">
        <v>4</v>
      </c>
      <c r="V269" t="s">
        <v>4</v>
      </c>
      <c r="W269" t="s">
        <v>4</v>
      </c>
      <c r="X269" t="s">
        <v>4</v>
      </c>
      <c r="Y269" t="s">
        <v>4</v>
      </c>
      <c r="Z269" t="s">
        <v>4</v>
      </c>
      <c r="AA269" t="s">
        <v>4</v>
      </c>
      <c r="AB269" t="s">
        <v>206</v>
      </c>
      <c r="AC269" t="s">
        <v>395</v>
      </c>
      <c r="AD269" t="s">
        <v>5322</v>
      </c>
      <c r="AE269" t="s">
        <v>243</v>
      </c>
      <c r="AF269" t="s">
        <v>4</v>
      </c>
      <c r="AG269" t="s">
        <v>4</v>
      </c>
      <c r="AH269" t="s">
        <v>6742</v>
      </c>
      <c r="AI269" t="s">
        <v>6743</v>
      </c>
      <c r="AJ269" t="s">
        <v>4</v>
      </c>
      <c r="AK269">
        <v>9331268997</v>
      </c>
      <c r="AL269" t="s">
        <v>6744</v>
      </c>
      <c r="AM269" t="s">
        <v>6745</v>
      </c>
      <c r="AN269" t="s">
        <v>4</v>
      </c>
      <c r="AO269" t="s">
        <v>6118</v>
      </c>
      <c r="AP269" t="s">
        <v>4</v>
      </c>
      <c r="AQ269" t="s">
        <v>658</v>
      </c>
      <c r="AR269" t="s">
        <v>4</v>
      </c>
      <c r="AS269" t="s">
        <v>4</v>
      </c>
      <c r="AT269" t="s">
        <v>4</v>
      </c>
      <c r="AU269" t="s">
        <v>4</v>
      </c>
      <c r="AV269" t="s">
        <v>4</v>
      </c>
      <c r="AW269" t="s">
        <v>11</v>
      </c>
      <c r="AX269">
        <v>10600</v>
      </c>
      <c r="AY269">
        <v>1150</v>
      </c>
      <c r="AZ269" t="s">
        <v>4</v>
      </c>
      <c r="BA269" t="s">
        <v>4</v>
      </c>
      <c r="BB269" t="s">
        <v>4</v>
      </c>
      <c r="BC269" t="s">
        <v>1135</v>
      </c>
      <c r="BD269" t="s">
        <v>5802</v>
      </c>
      <c r="BE269" t="s">
        <v>4</v>
      </c>
      <c r="BF269" t="s">
        <v>4</v>
      </c>
      <c r="BG269" t="s">
        <v>4</v>
      </c>
      <c r="BH269" t="s">
        <v>4</v>
      </c>
      <c r="BI269" t="s">
        <v>4</v>
      </c>
      <c r="BJ269" t="s">
        <v>6742</v>
      </c>
      <c r="BK269" t="s">
        <v>4</v>
      </c>
      <c r="BL269">
        <v>1</v>
      </c>
      <c r="BM269" t="s">
        <v>4</v>
      </c>
      <c r="BN269">
        <v>11500</v>
      </c>
      <c r="BO269" t="s">
        <v>4</v>
      </c>
      <c r="BP269" t="s">
        <v>4</v>
      </c>
      <c r="BQ269" t="s">
        <v>4</v>
      </c>
      <c r="BR269" t="s">
        <v>4</v>
      </c>
      <c r="BS269" t="s">
        <v>4</v>
      </c>
      <c r="BT269" t="s">
        <v>4</v>
      </c>
      <c r="BU269" t="s">
        <v>4</v>
      </c>
      <c r="BV269" t="s">
        <v>4</v>
      </c>
      <c r="BW269" t="s">
        <v>3</v>
      </c>
      <c r="BX269" t="s">
        <v>4</v>
      </c>
      <c r="BY269" t="s">
        <v>12</v>
      </c>
      <c r="BZ269" t="s">
        <v>12</v>
      </c>
      <c r="CA269" t="s">
        <v>12</v>
      </c>
      <c r="CB269" t="s">
        <v>1074</v>
      </c>
      <c r="CC269" t="s">
        <v>12</v>
      </c>
      <c r="CD269" t="str" cm="1">
        <f t="array" aca="1" ref="CD269" ca="1">eConcatenar(A269:CB269,"|")</f>
        <v>rLY7dkf9uzJWSrxY|COM   2013-4316|3|ECONOLINE|TABASCO|PARAISO|PARAISO|2017-12-06|11500|X|X|200|1|X|X|X|X|X|X|X|X|X|X|X|X|X|X|ALVAREZ|ARELLANO|NATIVIDAD|DIVORCIADA|X|X|NUEVO PARAISO|AVE DEL PARAISO|X|9331268997|JOSE GUADALUPE MADRIGAL ALVAREZ|SALLY GUADALUPE MADRIGAL ALVAREZ|X|RUTA 4 M|X|MIERCOLES|X|X|X|X|X|DOMICILIO|10600|1150|X|X|X|2021-9-15|2021-9-29|X|X|X|X|X|NUEVO PARAISO|X|1|X|11500|X|X|X|X|X|X|X|X|CARDENAS|X|x|x|x|final</v>
      </c>
    </row>
    <row r="270" spans="1:82" x14ac:dyDescent="0.25">
      <c r="A270" t="s">
        <v>6746</v>
      </c>
      <c r="B270" t="s">
        <v>6747</v>
      </c>
      <c r="C270">
        <v>3</v>
      </c>
      <c r="D270" t="s">
        <v>194</v>
      </c>
      <c r="E270" t="s">
        <v>2</v>
      </c>
      <c r="F270" t="s">
        <v>722</v>
      </c>
      <c r="G270" t="s">
        <v>722</v>
      </c>
      <c r="H270" t="s">
        <v>5481</v>
      </c>
      <c r="I270">
        <v>12900</v>
      </c>
      <c r="J270" t="s">
        <v>4</v>
      </c>
      <c r="K270" t="s">
        <v>4</v>
      </c>
      <c r="L270">
        <v>200</v>
      </c>
      <c r="M270">
        <v>0</v>
      </c>
      <c r="N270" t="s">
        <v>4</v>
      </c>
      <c r="O270" t="s">
        <v>4</v>
      </c>
      <c r="P270" t="s">
        <v>4</v>
      </c>
      <c r="Q270" t="s">
        <v>4</v>
      </c>
      <c r="R270" t="s">
        <v>4</v>
      </c>
      <c r="S270" t="s">
        <v>4</v>
      </c>
      <c r="T270" t="s">
        <v>4</v>
      </c>
      <c r="U270" t="s">
        <v>4</v>
      </c>
      <c r="V270" t="s">
        <v>4</v>
      </c>
      <c r="W270" t="s">
        <v>4</v>
      </c>
      <c r="X270" t="s">
        <v>4</v>
      </c>
      <c r="Y270" t="s">
        <v>4</v>
      </c>
      <c r="Z270" t="s">
        <v>4</v>
      </c>
      <c r="AA270" t="s">
        <v>4</v>
      </c>
      <c r="AB270" t="s">
        <v>540</v>
      </c>
      <c r="AC270" t="s">
        <v>780</v>
      </c>
      <c r="AD270" t="s">
        <v>564</v>
      </c>
      <c r="AE270" t="s">
        <v>48</v>
      </c>
      <c r="AF270" t="s">
        <v>4</v>
      </c>
      <c r="AG270" t="s">
        <v>4</v>
      </c>
      <c r="AH270" t="s">
        <v>6748</v>
      </c>
      <c r="AI270" t="s">
        <v>6749</v>
      </c>
      <c r="AJ270" t="s">
        <v>4</v>
      </c>
      <c r="AK270">
        <v>9333032145</v>
      </c>
      <c r="AL270" t="s">
        <v>6750</v>
      </c>
      <c r="AM270" t="s">
        <v>6751</v>
      </c>
      <c r="AN270" t="s">
        <v>4</v>
      </c>
      <c r="AO270" t="s">
        <v>6118</v>
      </c>
      <c r="AP270" t="s">
        <v>4</v>
      </c>
      <c r="AQ270" t="s">
        <v>658</v>
      </c>
      <c r="AR270" t="s">
        <v>4</v>
      </c>
      <c r="AS270" t="s">
        <v>4</v>
      </c>
      <c r="AT270" t="s">
        <v>4</v>
      </c>
      <c r="AU270" t="s">
        <v>4</v>
      </c>
      <c r="AV270" t="s">
        <v>4</v>
      </c>
      <c r="AW270" t="s">
        <v>11</v>
      </c>
      <c r="AX270">
        <v>5300</v>
      </c>
      <c r="AY270">
        <v>7600</v>
      </c>
      <c r="AZ270" t="s">
        <v>4</v>
      </c>
      <c r="BA270" t="s">
        <v>4</v>
      </c>
      <c r="BB270" t="s">
        <v>4</v>
      </c>
      <c r="BC270" t="s">
        <v>4793</v>
      </c>
      <c r="BD270" t="s">
        <v>1131</v>
      </c>
      <c r="BE270" t="s">
        <v>4</v>
      </c>
      <c r="BF270" t="s">
        <v>4</v>
      </c>
      <c r="BG270" t="s">
        <v>4</v>
      </c>
      <c r="BH270" t="s">
        <v>4</v>
      </c>
      <c r="BI270" t="s">
        <v>4</v>
      </c>
      <c r="BJ270" t="s">
        <v>6591</v>
      </c>
      <c r="BK270" t="s">
        <v>4</v>
      </c>
      <c r="BL270">
        <v>1</v>
      </c>
      <c r="BM270" t="s">
        <v>4</v>
      </c>
      <c r="BN270">
        <v>12900</v>
      </c>
      <c r="BO270" t="s">
        <v>4</v>
      </c>
      <c r="BP270" t="s">
        <v>4</v>
      </c>
      <c r="BQ270" t="s">
        <v>4</v>
      </c>
      <c r="BR270" t="s">
        <v>4</v>
      </c>
      <c r="BS270" t="s">
        <v>4</v>
      </c>
      <c r="BT270" t="s">
        <v>4</v>
      </c>
      <c r="BU270" t="s">
        <v>4</v>
      </c>
      <c r="BV270" t="s">
        <v>4</v>
      </c>
      <c r="BW270" t="s">
        <v>3</v>
      </c>
      <c r="BX270" t="s">
        <v>4</v>
      </c>
      <c r="BY270" t="s">
        <v>12</v>
      </c>
      <c r="BZ270" t="s">
        <v>12</v>
      </c>
      <c r="CA270" t="s">
        <v>12</v>
      </c>
      <c r="CB270" t="s">
        <v>1074</v>
      </c>
      <c r="CC270" t="s">
        <v>12</v>
      </c>
      <c r="CD270" t="str" cm="1">
        <f t="array" aca="1" ref="CD270" ca="1">eConcatenar(A270:CB270,"|")</f>
        <v>PXXUGHx42SZPmb8A|COM   2019-2515|3|ECONOLINE|TABASCO|COMALCALCO|COMALCALCO|2019-9-04|12900|X|X|200|0|X|X|X|X|X|X|X|X|X|X|X|X|X|X|HERRERA|MARQUEZ|VERONICA|SOLTERA|X|X|OCCIDENTE PRIMERA SECCIOIN|ENTRADA LA RAYA|X|9333032145|SAUL HERRERA HERRERA|FRANCISCO HERRERA MARQUEZ|X|RUTA 4 M|X|MIERCOLES|X|X|X|X|X|DOMICILIO|5300|7600|X|X|X|2021-9-23|2021-9-30|X|X|X|X|X|OCCIDENTE PRIMERA |X|1|X|12900|X|X|X|X|X|X|X|X|CARDENAS|X|x|x|x|final</v>
      </c>
    </row>
    <row r="271" spans="1:82" x14ac:dyDescent="0.25">
      <c r="A271" t="s">
        <v>6752</v>
      </c>
      <c r="B271" t="s">
        <v>6753</v>
      </c>
      <c r="C271">
        <v>3</v>
      </c>
      <c r="D271" t="s">
        <v>194</v>
      </c>
      <c r="E271" t="s">
        <v>2</v>
      </c>
      <c r="F271" t="s">
        <v>722</v>
      </c>
      <c r="G271" t="s">
        <v>722</v>
      </c>
      <c r="H271" t="s">
        <v>4993</v>
      </c>
      <c r="I271">
        <v>12900</v>
      </c>
      <c r="J271" t="s">
        <v>4</v>
      </c>
      <c r="K271" t="s">
        <v>4</v>
      </c>
      <c r="L271">
        <v>100</v>
      </c>
      <c r="M271">
        <v>0</v>
      </c>
      <c r="N271" t="s">
        <v>4</v>
      </c>
      <c r="O271" t="s">
        <v>4</v>
      </c>
      <c r="P271" t="s">
        <v>4</v>
      </c>
      <c r="Q271" t="s">
        <v>4</v>
      </c>
      <c r="R271" t="s">
        <v>4</v>
      </c>
      <c r="S271" t="s">
        <v>4</v>
      </c>
      <c r="T271" t="s">
        <v>4</v>
      </c>
      <c r="U271" t="s">
        <v>4</v>
      </c>
      <c r="V271" t="s">
        <v>4</v>
      </c>
      <c r="W271" t="s">
        <v>4</v>
      </c>
      <c r="X271" t="s">
        <v>4</v>
      </c>
      <c r="Y271" t="s">
        <v>4</v>
      </c>
      <c r="Z271" t="s">
        <v>4</v>
      </c>
      <c r="AA271" t="s">
        <v>4</v>
      </c>
      <c r="AB271" t="s">
        <v>116</v>
      </c>
      <c r="AC271" t="s">
        <v>327</v>
      </c>
      <c r="AD271" t="s">
        <v>647</v>
      </c>
      <c r="AE271" t="s">
        <v>59</v>
      </c>
      <c r="AF271" t="s">
        <v>4</v>
      </c>
      <c r="AG271" t="s">
        <v>4</v>
      </c>
      <c r="AH271" t="s">
        <v>40</v>
      </c>
      <c r="AI271" t="s">
        <v>6754</v>
      </c>
      <c r="AJ271" t="s">
        <v>4</v>
      </c>
      <c r="AK271">
        <v>9331540906</v>
      </c>
      <c r="AL271" t="s">
        <v>6755</v>
      </c>
      <c r="AM271" t="s">
        <v>4</v>
      </c>
      <c r="AN271" t="s">
        <v>4</v>
      </c>
      <c r="AO271" t="s">
        <v>6118</v>
      </c>
      <c r="AP271" t="s">
        <v>4</v>
      </c>
      <c r="AQ271" t="s">
        <v>6521</v>
      </c>
      <c r="AR271" t="s">
        <v>4</v>
      </c>
      <c r="AS271" t="s">
        <v>4</v>
      </c>
      <c r="AT271" t="s">
        <v>4</v>
      </c>
      <c r="AU271" t="s">
        <v>4</v>
      </c>
      <c r="AV271" t="s">
        <v>4</v>
      </c>
      <c r="AW271" t="s">
        <v>11</v>
      </c>
      <c r="AX271">
        <v>7700</v>
      </c>
      <c r="AY271">
        <v>5200</v>
      </c>
      <c r="AZ271" t="s">
        <v>4</v>
      </c>
      <c r="BA271" t="s">
        <v>4</v>
      </c>
      <c r="BB271" t="s">
        <v>4</v>
      </c>
      <c r="BC271" t="s">
        <v>1136</v>
      </c>
      <c r="BD271" t="s">
        <v>1131</v>
      </c>
      <c r="BE271" t="s">
        <v>4</v>
      </c>
      <c r="BF271" t="s">
        <v>4</v>
      </c>
      <c r="BG271" t="s">
        <v>4</v>
      </c>
      <c r="BH271" t="s">
        <v>4</v>
      </c>
      <c r="BI271" t="s">
        <v>4</v>
      </c>
      <c r="BJ271" t="s">
        <v>6756</v>
      </c>
      <c r="BK271" t="s">
        <v>4</v>
      </c>
      <c r="BL271">
        <v>0</v>
      </c>
      <c r="BM271" t="s">
        <v>4</v>
      </c>
      <c r="BN271">
        <v>12900</v>
      </c>
      <c r="BO271" t="s">
        <v>4</v>
      </c>
      <c r="BP271" t="s">
        <v>4</v>
      </c>
      <c r="BQ271" t="s">
        <v>4</v>
      </c>
      <c r="BR271" t="s">
        <v>4</v>
      </c>
      <c r="BS271" t="s">
        <v>4</v>
      </c>
      <c r="BT271" t="s">
        <v>4</v>
      </c>
      <c r="BU271" t="s">
        <v>4</v>
      </c>
      <c r="BV271" t="s">
        <v>4</v>
      </c>
      <c r="BW271" t="s">
        <v>3</v>
      </c>
      <c r="BX271" t="s">
        <v>4</v>
      </c>
      <c r="BY271" t="s">
        <v>12</v>
      </c>
      <c r="BZ271" t="s">
        <v>12</v>
      </c>
      <c r="CA271" t="s">
        <v>12</v>
      </c>
      <c r="CB271" t="s">
        <v>1074</v>
      </c>
      <c r="CC271" t="s">
        <v>12</v>
      </c>
      <c r="CD271" t="str" cm="1">
        <f t="array" aca="1" ref="CD271" ca="1">eConcatenar(A271:CB271,"|")</f>
        <v>o8ksiYNeT8f9zgiO|COM   2019-3443|3|ECONOLINE|TABASCO|COMALCALCO|COMALCALCO|2019-12-30|12900|X|X|100|0|X|X|X|X|X|X|X|X|X|X|X|X|X|X|RODRIGUEZ|CASTILLO|CANDELARIO|CASADO|X|X|CENTRO|DAVID BOSADA 303|X|9331540906|LILIANA DE LOS SANTOS|X|X|RUTA 4 M|X|MIÉRCOLES|X|X|X|X|X|DOMICILIO|7700|5200|X|X|X|2021-9-16|2021-9-30|X|X|X|X|X|DAVID BOSADA|X|0|X|12900|X|X|X|X|X|X|X|X|CARDENAS|X|x|x|x|final</v>
      </c>
    </row>
    <row r="272" spans="1:82" x14ac:dyDescent="0.25">
      <c r="A272" t="s">
        <v>6757</v>
      </c>
      <c r="B272" t="s">
        <v>6758</v>
      </c>
      <c r="C272">
        <v>3</v>
      </c>
      <c r="D272" t="s">
        <v>14</v>
      </c>
      <c r="E272" t="s">
        <v>2</v>
      </c>
      <c r="F272" t="s">
        <v>722</v>
      </c>
      <c r="G272" t="s">
        <v>722</v>
      </c>
      <c r="H272" t="s">
        <v>1096</v>
      </c>
      <c r="I272">
        <v>19800</v>
      </c>
      <c r="J272" t="s">
        <v>4</v>
      </c>
      <c r="K272" t="s">
        <v>4</v>
      </c>
      <c r="L272">
        <v>300</v>
      </c>
      <c r="M272">
        <v>1</v>
      </c>
      <c r="N272" t="s">
        <v>4</v>
      </c>
      <c r="O272" t="s">
        <v>4</v>
      </c>
      <c r="P272" t="s">
        <v>4</v>
      </c>
      <c r="Q272" t="s">
        <v>4</v>
      </c>
      <c r="R272" t="s">
        <v>4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4</v>
      </c>
      <c r="Y272" t="s">
        <v>4</v>
      </c>
      <c r="Z272" t="s">
        <v>4</v>
      </c>
      <c r="AA272" t="s">
        <v>4</v>
      </c>
      <c r="AB272" t="s">
        <v>138</v>
      </c>
      <c r="AC272" t="s">
        <v>812</v>
      </c>
      <c r="AD272" t="s">
        <v>6759</v>
      </c>
      <c r="AE272" t="s">
        <v>29</v>
      </c>
      <c r="AF272" t="s">
        <v>4</v>
      </c>
      <c r="AG272" t="s">
        <v>4</v>
      </c>
      <c r="AH272" t="s">
        <v>40</v>
      </c>
      <c r="AI272" t="s">
        <v>6760</v>
      </c>
      <c r="AJ272" t="s">
        <v>4</v>
      </c>
      <c r="AK272">
        <v>9331032584</v>
      </c>
      <c r="AL272" t="s">
        <v>6761</v>
      </c>
      <c r="AM272" t="s">
        <v>6762</v>
      </c>
      <c r="AN272" t="s">
        <v>4</v>
      </c>
      <c r="AO272" t="s">
        <v>6118</v>
      </c>
      <c r="AP272" t="s">
        <v>4</v>
      </c>
      <c r="AQ272" t="s">
        <v>658</v>
      </c>
      <c r="AR272" t="s">
        <v>4</v>
      </c>
      <c r="AS272" t="s">
        <v>4</v>
      </c>
      <c r="AT272" t="s">
        <v>4</v>
      </c>
      <c r="AU272" t="s">
        <v>4</v>
      </c>
      <c r="AV272" t="s">
        <v>4</v>
      </c>
      <c r="AW272" t="s">
        <v>11</v>
      </c>
      <c r="AX272">
        <v>6000</v>
      </c>
      <c r="AY272">
        <v>13800</v>
      </c>
      <c r="AZ272" t="s">
        <v>4</v>
      </c>
      <c r="BA272" t="s">
        <v>4</v>
      </c>
      <c r="BB272" t="s">
        <v>4</v>
      </c>
      <c r="BC272" t="s">
        <v>6111</v>
      </c>
      <c r="BD272" t="s">
        <v>1131</v>
      </c>
      <c r="BE272" t="s">
        <v>4</v>
      </c>
      <c r="BF272" t="s">
        <v>4</v>
      </c>
      <c r="BG272" t="s">
        <v>4</v>
      </c>
      <c r="BH272" t="s">
        <v>4</v>
      </c>
      <c r="BI272" t="s">
        <v>4</v>
      </c>
      <c r="BJ272" t="s">
        <v>6760</v>
      </c>
      <c r="BK272" t="s">
        <v>4</v>
      </c>
      <c r="BL272">
        <v>1</v>
      </c>
      <c r="BM272" t="s">
        <v>4</v>
      </c>
      <c r="BN272">
        <v>19800</v>
      </c>
      <c r="BO272" t="s">
        <v>4</v>
      </c>
      <c r="BP272" t="s">
        <v>4</v>
      </c>
      <c r="BQ272" t="s">
        <v>4</v>
      </c>
      <c r="BR272" t="s">
        <v>4</v>
      </c>
      <c r="BS272" t="s">
        <v>4</v>
      </c>
      <c r="BT272" t="s">
        <v>4</v>
      </c>
      <c r="BU272" t="s">
        <v>4</v>
      </c>
      <c r="BV272" t="s">
        <v>4</v>
      </c>
      <c r="BW272" t="s">
        <v>3</v>
      </c>
      <c r="BX272" t="s">
        <v>4</v>
      </c>
      <c r="BY272" t="s">
        <v>12</v>
      </c>
      <c r="BZ272" t="s">
        <v>12</v>
      </c>
      <c r="CA272" t="s">
        <v>12</v>
      </c>
      <c r="CB272" t="s">
        <v>1074</v>
      </c>
      <c r="CC272" t="s">
        <v>12</v>
      </c>
      <c r="CD272" t="str" cm="1">
        <f t="array" aca="1" ref="CD272" ca="1">eConcatenar(A272:CB272,"|")</f>
        <v>dTpZa3NFfTN1U2KR|COM   2020-4862|3|ZAFIRO|TABASCO|COMALCALCO|COMALCALCO|2020-11-25|19800|X|X|300|1|X|X|X|X|X|X|X|X|X|X|X|X|X|X|MONTIEL|ROMERO|RUTH VERONICA|CASADA|X|X|CENTRO|ZARAGOZA 410 ALTOS|X|9331032584|WILLIAM HERBERT CAMPOS ZALAZAR|BRENDA ELIZABETH REYES ROMERO|X|RUTA 4 M|X|MIERCOLES|X|X|X|X|X|DOMICILIO|6000|13800|X|X|X|2021-9-08|2021-9-30|X|X|X|X|X|ZARAGOZA 410 ALTOS|X|1|X|19800|X|X|X|X|X|X|X|X|CARDENAS|X|x|x|x|final</v>
      </c>
    </row>
    <row r="273" spans="9:82" x14ac:dyDescent="0.25">
      <c r="BY273" s="9" t="s">
        <v>12</v>
      </c>
      <c r="BZ273" s="9" t="s">
        <v>12</v>
      </c>
      <c r="CA273" s="9" t="s">
        <v>12</v>
      </c>
      <c r="CB273" s="9" t="s">
        <v>1074</v>
      </c>
      <c r="CC273" t="s">
        <v>12</v>
      </c>
      <c r="CD273" t="str" cm="1">
        <f t="array" aca="1" ref="CD273" ca="1">eConcatenar(A273:CB273,"|")</f>
        <v>||||||||||||||||||||||||||||||||||||||||||||||||||||||||||||||||||||||||||||x|x|x|final</v>
      </c>
    </row>
    <row r="274" spans="9:82" x14ac:dyDescent="0.25">
      <c r="BY274" s="9" t="s">
        <v>12</v>
      </c>
      <c r="BZ274" s="9" t="s">
        <v>12</v>
      </c>
      <c r="CA274" s="9" t="s">
        <v>12</v>
      </c>
      <c r="CB274" s="9" t="s">
        <v>1074</v>
      </c>
      <c r="CC274" t="s">
        <v>12</v>
      </c>
      <c r="CD274" t="str" cm="1">
        <f t="array" aca="1" ref="CD274" ca="1">eConcatenar(A274:CB274,"|")</f>
        <v>||||||||||||||||||||||||||||||||||||||||||||||||||||||||||||||||||||||||||||x|x|x|final</v>
      </c>
    </row>
    <row r="275" spans="9:82" x14ac:dyDescent="0.25">
      <c r="BY275" s="9" t="s">
        <v>12</v>
      </c>
      <c r="BZ275" s="9" t="s">
        <v>12</v>
      </c>
      <c r="CA275" s="9" t="s">
        <v>12</v>
      </c>
      <c r="CB275" s="9" t="s">
        <v>1074</v>
      </c>
      <c r="CC275" t="s">
        <v>12</v>
      </c>
      <c r="CD275" t="str" cm="1">
        <f t="array" aca="1" ref="CD275" ca="1">eConcatenar(A275:CB275,"|")</f>
        <v>||||||||||||||||||||||||||||||||||||||||||||||||||||||||||||||||||||||||||||x|x|x|final</v>
      </c>
    </row>
    <row r="276" spans="9:82" x14ac:dyDescent="0.25">
      <c r="BY276" s="9" t="s">
        <v>12</v>
      </c>
      <c r="BZ276" s="9" t="s">
        <v>12</v>
      </c>
      <c r="CA276" s="9" t="s">
        <v>12</v>
      </c>
      <c r="CB276" s="9" t="s">
        <v>1074</v>
      </c>
      <c r="CC276" t="s">
        <v>12</v>
      </c>
      <c r="CD276" t="str" cm="1">
        <f t="array" aca="1" ref="CD276" ca="1">eConcatenar(A276:CB276,"|")</f>
        <v>||||||||||||||||||||||||||||||||||||||||||||||||||||||||||||||||||||||||||||x|x|x|final</v>
      </c>
    </row>
    <row r="277" spans="9:82" x14ac:dyDescent="0.25">
      <c r="BY277" s="9" t="s">
        <v>12</v>
      </c>
      <c r="BZ277" s="9" t="s">
        <v>12</v>
      </c>
      <c r="CA277" s="9" t="s">
        <v>12</v>
      </c>
      <c r="CB277" s="9" t="s">
        <v>1074</v>
      </c>
      <c r="CC277" t="s">
        <v>12</v>
      </c>
      <c r="CD277" t="str" cm="1">
        <f t="array" aca="1" ref="CD277" ca="1">eConcatenar(A277:CB277,"|")</f>
        <v>||||||||||||||||||||||||||||||||||||||||||||||||||||||||||||||||||||||||||||x|x|x|final</v>
      </c>
    </row>
    <row r="278" spans="9:82" x14ac:dyDescent="0.25">
      <c r="BY278" s="9" t="s">
        <v>12</v>
      </c>
      <c r="BZ278" s="9" t="s">
        <v>12</v>
      </c>
      <c r="CA278" s="9" t="s">
        <v>12</v>
      </c>
      <c r="CB278" s="9" t="s">
        <v>1074</v>
      </c>
      <c r="CC278" t="s">
        <v>12</v>
      </c>
      <c r="CD278" t="str" cm="1">
        <f t="array" aca="1" ref="CD278" ca="1">eConcatenar(A278:CB278,"|")</f>
        <v>||||||||||||||||||||||||||||||||||||||||||||||||||||||||||||||||||||||||||||x|x|x|final</v>
      </c>
    </row>
    <row r="279" spans="9:82" x14ac:dyDescent="0.25">
      <c r="BY279" s="9" t="s">
        <v>12</v>
      </c>
      <c r="BZ279" s="9" t="s">
        <v>12</v>
      </c>
      <c r="CA279" s="9" t="s">
        <v>12</v>
      </c>
      <c r="CB279" s="9" t="s">
        <v>1074</v>
      </c>
      <c r="CC279" t="s">
        <v>12</v>
      </c>
      <c r="CD279" t="str" cm="1">
        <f t="array" aca="1" ref="CD279" ca="1">eConcatenar(A279:CB279,"|")</f>
        <v>||||||||||||||||||||||||||||||||||||||||||||||||||||||||||||||||||||||||||||x|x|x|final</v>
      </c>
    </row>
    <row r="280" spans="9:82" x14ac:dyDescent="0.25">
      <c r="BY280" s="9" t="s">
        <v>12</v>
      </c>
      <c r="BZ280" s="9" t="s">
        <v>12</v>
      </c>
      <c r="CA280" s="9" t="s">
        <v>12</v>
      </c>
      <c r="CB280" s="9" t="s">
        <v>1074</v>
      </c>
      <c r="CC280" t="s">
        <v>12</v>
      </c>
      <c r="CD280" t="str" cm="1">
        <f t="array" aca="1" ref="CD280" ca="1">eConcatenar(A280:CB280,"|")</f>
        <v>||||||||||||||||||||||||||||||||||||||||||||||||||||||||||||||||||||||||||||x|x|x|final</v>
      </c>
    </row>
    <row r="281" spans="9:82" x14ac:dyDescent="0.25">
      <c r="BY281" s="9" t="s">
        <v>12</v>
      </c>
      <c r="BZ281" s="9" t="s">
        <v>12</v>
      </c>
      <c r="CA281" s="9" t="s">
        <v>12</v>
      </c>
      <c r="CB281" s="9" t="s">
        <v>1074</v>
      </c>
      <c r="CC281" t="s">
        <v>12</v>
      </c>
      <c r="CD281" t="str" cm="1">
        <f t="array" aca="1" ref="CD281" ca="1">eConcatenar(A281:CB281,"|")</f>
        <v>||||||||||||||||||||||||||||||||||||||||||||||||||||||||||||||||||||||||||||x|x|x|final</v>
      </c>
    </row>
    <row r="282" spans="9:82" x14ac:dyDescent="0.25">
      <c r="BY282" s="9" t="s">
        <v>12</v>
      </c>
      <c r="BZ282" s="9" t="s">
        <v>12</v>
      </c>
      <c r="CA282" s="9" t="s">
        <v>12</v>
      </c>
      <c r="CB282" s="9" t="s">
        <v>1074</v>
      </c>
      <c r="CC282" t="s">
        <v>12</v>
      </c>
      <c r="CD282" t="str" cm="1">
        <f t="array" aca="1" ref="CD282" ca="1">eConcatenar(A282:CB282,"|")</f>
        <v>||||||||||||||||||||||||||||||||||||||||||||||||||||||||||||||||||||||||||||x|x|x|final</v>
      </c>
    </row>
    <row r="283" spans="9:82" x14ac:dyDescent="0.25">
      <c r="K283" s="3"/>
      <c r="AX283" s="17"/>
      <c r="BY283" s="9" t="s">
        <v>12</v>
      </c>
      <c r="BZ283" s="9" t="s">
        <v>12</v>
      </c>
      <c r="CA283" s="9" t="s">
        <v>12</v>
      </c>
      <c r="CB283" s="9" t="s">
        <v>1074</v>
      </c>
      <c r="CC283" t="s">
        <v>12</v>
      </c>
      <c r="CD283" t="str" cm="1">
        <f t="array" aca="1" ref="CD283" ca="1">eConcatenar(A283:CB283,"|")</f>
        <v>||||||||||||||||||||||||||||||||||||||||||||||||||||||||||||||||||||||||||||x|x|x|final</v>
      </c>
    </row>
    <row r="284" spans="9:82" x14ac:dyDescent="0.25">
      <c r="K284" s="3"/>
      <c r="BY284" s="9" t="s">
        <v>12</v>
      </c>
      <c r="BZ284" s="9" t="s">
        <v>12</v>
      </c>
      <c r="CA284" s="9" t="s">
        <v>12</v>
      </c>
      <c r="CB284" s="9" t="s">
        <v>1074</v>
      </c>
      <c r="CC284" t="s">
        <v>12</v>
      </c>
      <c r="CD284" t="str" cm="1">
        <f t="array" aca="1" ref="CD284" ca="1">eConcatenar(A284:CB284,"|")</f>
        <v>||||||||||||||||||||||||||||||||||||||||||||||||||||||||||||||||||||||||||||x|x|x|final</v>
      </c>
    </row>
    <row r="285" spans="9:82" x14ac:dyDescent="0.25">
      <c r="I285" s="3"/>
      <c r="K285" s="3"/>
      <c r="BY285" s="9" t="s">
        <v>12</v>
      </c>
      <c r="BZ285" s="9" t="s">
        <v>12</v>
      </c>
      <c r="CA285" s="9" t="s">
        <v>12</v>
      </c>
      <c r="CB285" s="9" t="s">
        <v>1074</v>
      </c>
      <c r="CC285" t="s">
        <v>12</v>
      </c>
      <c r="CD285" t="str" cm="1">
        <f t="array" aca="1" ref="CD285" ca="1">eConcatenar(A285:CB285,"|")</f>
        <v>||||||||||||||||||||||||||||||||||||||||||||||||||||||||||||||||||||||||||||x|x|x|final</v>
      </c>
    </row>
    <row r="286" spans="9:82" x14ac:dyDescent="0.25">
      <c r="I286" s="3"/>
      <c r="K286" s="3"/>
      <c r="BY286" s="9" t="s">
        <v>12</v>
      </c>
      <c r="BZ286" s="9" t="s">
        <v>12</v>
      </c>
      <c r="CA286" s="9" t="s">
        <v>12</v>
      </c>
      <c r="CB286" s="9" t="s">
        <v>1074</v>
      </c>
      <c r="CC286" t="s">
        <v>12</v>
      </c>
      <c r="CD286" t="str" cm="1">
        <f t="array" aca="1" ref="CD286" ca="1">eConcatenar(A286:CB286,"|")</f>
        <v>||||||||||||||||||||||||||||||||||||||||||||||||||||||||||||||||||||||||||||x|x|x|final</v>
      </c>
    </row>
    <row r="287" spans="9:82" x14ac:dyDescent="0.25">
      <c r="I287" s="3"/>
      <c r="K287" s="3"/>
      <c r="BY287" s="9" t="s">
        <v>12</v>
      </c>
      <c r="BZ287" s="9" t="s">
        <v>12</v>
      </c>
      <c r="CA287" s="9" t="s">
        <v>12</v>
      </c>
      <c r="CB287" s="9" t="s">
        <v>1074</v>
      </c>
      <c r="CC287" t="s">
        <v>12</v>
      </c>
      <c r="CD287" t="str" cm="1">
        <f t="array" aca="1" ref="CD287" ca="1">eConcatenar(A287:CB287,"|")</f>
        <v>||||||||||||||||||||||||||||||||||||||||||||||||||||||||||||||||||||||||||||x|x|x|final</v>
      </c>
    </row>
    <row r="288" spans="9:82" x14ac:dyDescent="0.25">
      <c r="I288" s="3"/>
      <c r="K288" s="3"/>
      <c r="BY288" s="9" t="s">
        <v>12</v>
      </c>
      <c r="BZ288" s="9" t="s">
        <v>12</v>
      </c>
      <c r="CA288" s="9" t="s">
        <v>12</v>
      </c>
      <c r="CB288" s="9" t="s">
        <v>1074</v>
      </c>
      <c r="CC288" t="s">
        <v>12</v>
      </c>
      <c r="CD288" t="str" cm="1">
        <f t="array" aca="1" ref="CD288" ca="1">eConcatenar(A288:CB288,"|")</f>
        <v>||||||||||||||||||||||||||||||||||||||||||||||||||||||||||||||||||||||||||||x|x|x|final</v>
      </c>
    </row>
    <row r="289" spans="9:82" x14ac:dyDescent="0.25">
      <c r="I289" s="3"/>
      <c r="K289" s="3"/>
      <c r="BY289" s="9" t="s">
        <v>12</v>
      </c>
      <c r="BZ289" s="9" t="s">
        <v>12</v>
      </c>
      <c r="CA289" s="9" t="s">
        <v>12</v>
      </c>
      <c r="CB289" s="9" t="s">
        <v>1074</v>
      </c>
      <c r="CC289" t="s">
        <v>12</v>
      </c>
      <c r="CD289" t="str" cm="1">
        <f t="array" aca="1" ref="CD289" ca="1">eConcatenar(A289:CB289,"|")</f>
        <v>||||||||||||||||||||||||||||||||||||||||||||||||||||||||||||||||||||||||||||x|x|x|final</v>
      </c>
    </row>
    <row r="290" spans="9:82" x14ac:dyDescent="0.25">
      <c r="I290" s="3"/>
      <c r="K290" s="3"/>
      <c r="BY290" s="9" t="s">
        <v>12</v>
      </c>
      <c r="BZ290" s="9" t="s">
        <v>12</v>
      </c>
      <c r="CA290" s="9" t="s">
        <v>12</v>
      </c>
      <c r="CB290" s="9" t="s">
        <v>1074</v>
      </c>
      <c r="CC290" t="s">
        <v>12</v>
      </c>
      <c r="CD290" t="str" cm="1">
        <f t="array" aca="1" ref="CD290" ca="1">eConcatenar(A290:CB290,"|")</f>
        <v>||||||||||||||||||||||||||||||||||||||||||||||||||||||||||||||||||||||||||||x|x|x|final</v>
      </c>
    </row>
    <row r="291" spans="9:82" x14ac:dyDescent="0.25">
      <c r="I291" s="3"/>
      <c r="K291" s="3"/>
      <c r="BY291" s="9" t="s">
        <v>12</v>
      </c>
      <c r="BZ291" s="9" t="s">
        <v>12</v>
      </c>
      <c r="CA291" s="9" t="s">
        <v>12</v>
      </c>
      <c r="CB291" s="9" t="s">
        <v>1074</v>
      </c>
      <c r="CC291" t="s">
        <v>12</v>
      </c>
      <c r="CD291" t="str" cm="1">
        <f t="array" aca="1" ref="CD291" ca="1">eConcatenar(A291:CB291,"|")</f>
        <v>||||||||||||||||||||||||||||||||||||||||||||||||||||||||||||||||||||||||||||x|x|x|final</v>
      </c>
    </row>
    <row r="292" spans="9:82" x14ac:dyDescent="0.25">
      <c r="I292" s="3"/>
      <c r="K292" s="3"/>
      <c r="BY292" s="9" t="s">
        <v>12</v>
      </c>
      <c r="BZ292" s="9" t="s">
        <v>12</v>
      </c>
      <c r="CA292" s="9" t="s">
        <v>12</v>
      </c>
      <c r="CB292" s="9" t="s">
        <v>1074</v>
      </c>
      <c r="CC292" t="s">
        <v>12</v>
      </c>
      <c r="CD292" t="str" cm="1">
        <f t="array" aca="1" ref="CD292" ca="1">eConcatenar(A292:CB292,"|")</f>
        <v>||||||||||||||||||||||||||||||||||||||||||||||||||||||||||||||||||||||||||||x|x|x|final</v>
      </c>
    </row>
    <row r="293" spans="9:82" x14ac:dyDescent="0.25">
      <c r="I293" s="3"/>
      <c r="K293" s="3"/>
      <c r="BY293" s="9" t="s">
        <v>12</v>
      </c>
      <c r="BZ293" s="9" t="s">
        <v>12</v>
      </c>
      <c r="CA293" s="9" t="s">
        <v>12</v>
      </c>
      <c r="CB293" s="9" t="s">
        <v>1074</v>
      </c>
      <c r="CC293" t="s">
        <v>12</v>
      </c>
      <c r="CD293" t="str" cm="1">
        <f t="array" aca="1" ref="CD293" ca="1">eConcatenar(A293:CB293,"|")</f>
        <v>||||||||||||||||||||||||||||||||||||||||||||||||||||||||||||||||||||||||||||x|x|x|final</v>
      </c>
    </row>
    <row r="294" spans="9:82" x14ac:dyDescent="0.25">
      <c r="I294" s="3"/>
      <c r="K294" s="3"/>
      <c r="AF294" s="1"/>
      <c r="BY294" s="9" t="s">
        <v>12</v>
      </c>
      <c r="BZ294" s="9" t="s">
        <v>12</v>
      </c>
      <c r="CA294" s="9" t="s">
        <v>12</v>
      </c>
      <c r="CB294" s="9" t="s">
        <v>1074</v>
      </c>
      <c r="CC294" t="s">
        <v>12</v>
      </c>
      <c r="CD294" t="str" cm="1">
        <f t="array" aca="1" ref="CD294" ca="1">eConcatenar(A294:CB294,"|")</f>
        <v>||||||||||||||||||||||||||||||||||||||||||||||||||||||||||||||||||||||||||||x|x|x|final</v>
      </c>
    </row>
    <row r="295" spans="9:82" x14ac:dyDescent="0.25">
      <c r="I295" s="3"/>
      <c r="K295" s="3"/>
      <c r="BY295" s="9" t="s">
        <v>12</v>
      </c>
      <c r="BZ295" s="9" t="s">
        <v>12</v>
      </c>
      <c r="CA295" s="9" t="s">
        <v>12</v>
      </c>
      <c r="CB295" s="9" t="s">
        <v>1074</v>
      </c>
      <c r="CC295" t="s">
        <v>12</v>
      </c>
      <c r="CD295" t="str" cm="1">
        <f t="array" aca="1" ref="CD295" ca="1">eConcatenar(A295:CB295,"|")</f>
        <v>||||||||||||||||||||||||||||||||||||||||||||||||||||||||||||||||||||||||||||x|x|x|final</v>
      </c>
    </row>
    <row r="296" spans="9:82" x14ac:dyDescent="0.25">
      <c r="I296" s="3"/>
      <c r="K296" s="3"/>
      <c r="BY296" s="9" t="s">
        <v>12</v>
      </c>
      <c r="BZ296" s="9" t="s">
        <v>12</v>
      </c>
      <c r="CA296" s="9" t="s">
        <v>12</v>
      </c>
      <c r="CB296" s="9" t="s">
        <v>1074</v>
      </c>
      <c r="CC296" t="s">
        <v>12</v>
      </c>
      <c r="CD296" t="str" cm="1">
        <f t="array" aca="1" ref="CD296" ca="1">eConcatenar(A296:CB296,"|")</f>
        <v>||||||||||||||||||||||||||||||||||||||||||||||||||||||||||||||||||||||||||||x|x|x|final</v>
      </c>
    </row>
    <row r="297" spans="9:82" x14ac:dyDescent="0.25">
      <c r="I297" s="3"/>
      <c r="K297" s="3"/>
      <c r="BY297" s="9" t="s">
        <v>12</v>
      </c>
      <c r="BZ297" s="9" t="s">
        <v>12</v>
      </c>
      <c r="CA297" s="9" t="s">
        <v>12</v>
      </c>
      <c r="CB297" s="9" t="s">
        <v>1074</v>
      </c>
      <c r="CC297" t="s">
        <v>12</v>
      </c>
      <c r="CD297" t="str" cm="1">
        <f t="array" aca="1" ref="CD297" ca="1">eConcatenar(A297:CB297,"|")</f>
        <v>||||||||||||||||||||||||||||||||||||||||||||||||||||||||||||||||||||||||||||x|x|x|final</v>
      </c>
    </row>
    <row r="298" spans="9:82" x14ac:dyDescent="0.25">
      <c r="I298" s="3"/>
      <c r="K298" s="3"/>
      <c r="BY298" s="9" t="s">
        <v>12</v>
      </c>
      <c r="BZ298" s="9" t="s">
        <v>12</v>
      </c>
      <c r="CA298" s="9" t="s">
        <v>12</v>
      </c>
      <c r="CB298" s="9" t="s">
        <v>1074</v>
      </c>
      <c r="CC298" t="s">
        <v>12</v>
      </c>
      <c r="CD298" t="str" cm="1">
        <f t="array" aca="1" ref="CD298" ca="1">eConcatenar(A298:CB298,"|")</f>
        <v>||||||||||||||||||||||||||||||||||||||||||||||||||||||||||||||||||||||||||||x|x|x|final</v>
      </c>
    </row>
    <row r="299" spans="9:82" x14ac:dyDescent="0.25">
      <c r="I299" s="3"/>
      <c r="K299" s="3"/>
      <c r="BY299" s="9" t="s">
        <v>12</v>
      </c>
      <c r="BZ299" s="9" t="s">
        <v>12</v>
      </c>
      <c r="CA299" s="9" t="s">
        <v>12</v>
      </c>
      <c r="CB299" s="9" t="s">
        <v>1074</v>
      </c>
      <c r="CC299" t="s">
        <v>12</v>
      </c>
      <c r="CD299" t="str" cm="1">
        <f t="array" aca="1" ref="CD299" ca="1">eConcatenar(A299:CB299,"|")</f>
        <v>||||||||||||||||||||||||||||||||||||||||||||||||||||||||||||||||||||||||||||x|x|x|final</v>
      </c>
    </row>
    <row r="300" spans="9:82" x14ac:dyDescent="0.25">
      <c r="I300" s="3"/>
      <c r="K300" s="3"/>
      <c r="BY300" s="9" t="s">
        <v>12</v>
      </c>
      <c r="BZ300" s="9" t="s">
        <v>12</v>
      </c>
      <c r="CA300" s="9" t="s">
        <v>12</v>
      </c>
      <c r="CB300" s="9" t="s">
        <v>1074</v>
      </c>
      <c r="CC300" t="s">
        <v>12</v>
      </c>
      <c r="CD300" t="str" cm="1">
        <f t="array" aca="1" ref="CD300" ca="1">eConcatenar(A300:CB300,"|")</f>
        <v>||||||||||||||||||||||||||||||||||||||||||||||||||||||||||||||||||||||||||||x|x|x|final</v>
      </c>
    </row>
    <row r="301" spans="9:82" x14ac:dyDescent="0.25">
      <c r="I301" s="3"/>
      <c r="K301" s="3"/>
      <c r="BY301" s="9" t="s">
        <v>12</v>
      </c>
      <c r="BZ301" s="9" t="s">
        <v>12</v>
      </c>
      <c r="CA301" s="9" t="s">
        <v>12</v>
      </c>
      <c r="CB301" s="9" t="s">
        <v>1074</v>
      </c>
      <c r="CC301" t="s">
        <v>12</v>
      </c>
      <c r="CD301" t="str" cm="1">
        <f t="array" aca="1" ref="CD301" ca="1">eConcatenar(A301:CB301,"|")</f>
        <v>||||||||||||||||||||||||||||||||||||||||||||||||||||||||||||||||||||||||||||x|x|x|final</v>
      </c>
    </row>
    <row r="302" spans="9:82" x14ac:dyDescent="0.25">
      <c r="I302" s="3"/>
      <c r="K302" s="3"/>
      <c r="L302" s="3"/>
      <c r="BY302" s="9" t="s">
        <v>12</v>
      </c>
      <c r="BZ302" s="9" t="s">
        <v>12</v>
      </c>
      <c r="CA302" s="9" t="s">
        <v>12</v>
      </c>
      <c r="CB302" s="9" t="s">
        <v>1074</v>
      </c>
      <c r="CC302" t="s">
        <v>12</v>
      </c>
      <c r="CD302" t="str" cm="1">
        <f t="array" aca="1" ref="CD302" ca="1">eConcatenar(A302:CB302,"|")</f>
        <v>||||||||||||||||||||||||||||||||||||||||||||||||||||||||||||||||||||||||||||x|x|x|final</v>
      </c>
    </row>
    <row r="303" spans="9:82" x14ac:dyDescent="0.25">
      <c r="BY303" s="9" t="s">
        <v>12</v>
      </c>
      <c r="BZ303" s="9" t="s">
        <v>12</v>
      </c>
      <c r="CA303" s="9" t="s">
        <v>12</v>
      </c>
      <c r="CB303" s="9" t="s">
        <v>1074</v>
      </c>
      <c r="CC303" t="s">
        <v>12</v>
      </c>
      <c r="CD303" t="str" cm="1">
        <f t="array" aca="1" ref="CD303" ca="1">eConcatenar(A303:CB303,"|")</f>
        <v>||||||||||||||||||||||||||||||||||||||||||||||||||||||||||||||||||||||||||||x|x|x|final</v>
      </c>
    </row>
    <row r="304" spans="9:82" x14ac:dyDescent="0.25">
      <c r="BY304" t="s">
        <v>12</v>
      </c>
      <c r="BZ304" t="s">
        <v>12</v>
      </c>
      <c r="CA304" t="s">
        <v>12</v>
      </c>
      <c r="CB304" t="s">
        <v>1074</v>
      </c>
      <c r="CC304" t="s">
        <v>12</v>
      </c>
      <c r="CD304" t="str" cm="1">
        <f t="array" aca="1" ref="CD304" ca="1">eConcatenar(A304:CB304,"|")</f>
        <v>||||||||||||||||||||||||||||||||||||||||||||||||||||||||||||||||||||||||||||x|x|x|final</v>
      </c>
    </row>
    <row r="305" spans="77:82" x14ac:dyDescent="0.25">
      <c r="BY305" t="s">
        <v>12</v>
      </c>
      <c r="BZ305" t="s">
        <v>12</v>
      </c>
      <c r="CA305" t="s">
        <v>12</v>
      </c>
      <c r="CB305" t="s">
        <v>1074</v>
      </c>
      <c r="CC305" t="s">
        <v>12</v>
      </c>
      <c r="CD305" t="str" cm="1">
        <f t="array" aca="1" ref="CD305" ca="1">eConcatenar(A305:CB305,"|")</f>
        <v>||||||||||||||||||||||||||||||||||||||||||||||||||||||||||||||||||||||||||||x|x|x|final</v>
      </c>
    </row>
    <row r="306" spans="77:82" x14ac:dyDescent="0.25">
      <c r="BY306" t="s">
        <v>12</v>
      </c>
      <c r="BZ306" t="s">
        <v>12</v>
      </c>
      <c r="CA306" t="s">
        <v>12</v>
      </c>
      <c r="CB306" t="s">
        <v>1074</v>
      </c>
      <c r="CC306" t="s">
        <v>12</v>
      </c>
      <c r="CD306" t="str" cm="1">
        <f t="array" aca="1" ref="CD306" ca="1">eConcatenar(A306:CB306,"|")</f>
        <v>||||||||||||||||||||||||||||||||||||||||||||||||||||||||||||||||||||||||||||x|x|x|final</v>
      </c>
    </row>
    <row r="307" spans="77:82" x14ac:dyDescent="0.25">
      <c r="BY307" t="s">
        <v>12</v>
      </c>
      <c r="BZ307" t="s">
        <v>12</v>
      </c>
      <c r="CA307" t="s">
        <v>12</v>
      </c>
      <c r="CB307" t="s">
        <v>1074</v>
      </c>
      <c r="CC307" t="s">
        <v>12</v>
      </c>
      <c r="CD307" t="str" cm="1">
        <f t="array" aca="1" ref="CD307" ca="1">eConcatenar(A307:CB307,"|")</f>
        <v>||||||||||||||||||||||||||||||||||||||||||||||||||||||||||||||||||||||||||||x|x|x|final</v>
      </c>
    </row>
    <row r="308" spans="77:82" x14ac:dyDescent="0.25">
      <c r="BY308" t="s">
        <v>12</v>
      </c>
      <c r="BZ308" t="s">
        <v>12</v>
      </c>
      <c r="CA308" t="s">
        <v>12</v>
      </c>
      <c r="CB308" t="s">
        <v>1074</v>
      </c>
      <c r="CC308" t="s">
        <v>12</v>
      </c>
      <c r="CD308" t="str" cm="1">
        <f t="array" aca="1" ref="CD308" ca="1">eConcatenar(A308:CB308,"|")</f>
        <v>||||||||||||||||||||||||||||||||||||||||||||||||||||||||||||||||||||||||||||x|x|x|final</v>
      </c>
    </row>
    <row r="309" spans="77:82" x14ac:dyDescent="0.25">
      <c r="BY309" t="s">
        <v>12</v>
      </c>
      <c r="BZ309" t="s">
        <v>12</v>
      </c>
      <c r="CA309" t="s">
        <v>12</v>
      </c>
      <c r="CB309" t="s">
        <v>1074</v>
      </c>
      <c r="CC309" t="s">
        <v>12</v>
      </c>
      <c r="CD309" t="str" cm="1">
        <f t="array" aca="1" ref="CD309" ca="1">eConcatenar(A309:CB309,"|")</f>
        <v>||||||||||||||||||||||||||||||||||||||||||||||||||||||||||||||||||||||||||||x|x|x|final</v>
      </c>
    </row>
    <row r="310" spans="77:82" x14ac:dyDescent="0.25">
      <c r="BY310" t="s">
        <v>12</v>
      </c>
      <c r="BZ310" t="s">
        <v>12</v>
      </c>
      <c r="CA310" t="s">
        <v>12</v>
      </c>
      <c r="CB310" t="s">
        <v>1074</v>
      </c>
      <c r="CC310" t="s">
        <v>12</v>
      </c>
      <c r="CD310" t="str" cm="1">
        <f t="array" aca="1" ref="CD310" ca="1">eConcatenar(A310:CB310,"|")</f>
        <v>||||||||||||||||||||||||||||||||||||||||||||||||||||||||||||||||||||||||||||x|x|x|final</v>
      </c>
    </row>
    <row r="311" spans="77:82" x14ac:dyDescent="0.25">
      <c r="BY311" t="s">
        <v>12</v>
      </c>
      <c r="BZ311" t="s">
        <v>12</v>
      </c>
      <c r="CA311" t="s">
        <v>12</v>
      </c>
      <c r="CB311" t="s">
        <v>1074</v>
      </c>
      <c r="CC311" t="s">
        <v>12</v>
      </c>
      <c r="CD311" t="str" cm="1">
        <f t="array" aca="1" ref="CD311" ca="1">eConcatenar(A311:CB311,"|")</f>
        <v>||||||||||||||||||||||||||||||||||||||||||||||||||||||||||||||||||||||||||||x|x|x|final</v>
      </c>
    </row>
    <row r="312" spans="77:82" x14ac:dyDescent="0.25">
      <c r="BY312" t="s">
        <v>12</v>
      </c>
      <c r="BZ312" t="s">
        <v>12</v>
      </c>
      <c r="CA312" t="s">
        <v>12</v>
      </c>
      <c r="CB312" t="s">
        <v>1074</v>
      </c>
      <c r="CC312" t="s">
        <v>12</v>
      </c>
      <c r="CD312" t="str" cm="1">
        <f t="array" aca="1" ref="CD312" ca="1">eConcatenar(A312:CB312,"|")</f>
        <v>||||||||||||||||||||||||||||||||||||||||||||||||||||||||||||||||||||||||||||x|x|x|final</v>
      </c>
    </row>
    <row r="313" spans="77:82" x14ac:dyDescent="0.25">
      <c r="BY313" t="s">
        <v>12</v>
      </c>
      <c r="BZ313" t="s">
        <v>12</v>
      </c>
      <c r="CA313" t="s">
        <v>12</v>
      </c>
      <c r="CB313" t="s">
        <v>1074</v>
      </c>
      <c r="CC313" t="s">
        <v>12</v>
      </c>
      <c r="CD313" t="str" cm="1">
        <f t="array" aca="1" ref="CD313" ca="1">eConcatenar(A313:CB313,"|")</f>
        <v>||||||||||||||||||||||||||||||||||||||||||||||||||||||||||||||||||||||||||||x|x|x|final</v>
      </c>
    </row>
    <row r="314" spans="77:82" x14ac:dyDescent="0.25">
      <c r="BY314" t="s">
        <v>12</v>
      </c>
      <c r="BZ314" t="s">
        <v>12</v>
      </c>
      <c r="CA314" t="s">
        <v>12</v>
      </c>
      <c r="CB314" t="s">
        <v>1074</v>
      </c>
      <c r="CC314" t="s">
        <v>12</v>
      </c>
      <c r="CD314" t="str" cm="1">
        <f t="array" aca="1" ref="CD314" ca="1">eConcatenar(A314:CB314,"|")</f>
        <v>||||||||||||||||||||||||||||||||||||||||||||||||||||||||||||||||||||||||||||x|x|x|final</v>
      </c>
    </row>
    <row r="315" spans="77:82" x14ac:dyDescent="0.25">
      <c r="BY315" t="s">
        <v>12</v>
      </c>
      <c r="BZ315" t="s">
        <v>12</v>
      </c>
      <c r="CA315" t="s">
        <v>12</v>
      </c>
      <c r="CB315" t="s">
        <v>1074</v>
      </c>
      <c r="CC315" t="s">
        <v>12</v>
      </c>
      <c r="CD315" t="str" cm="1">
        <f t="array" aca="1" ref="CD315" ca="1">eConcatenar(A315:CB315,"|")</f>
        <v>||||||||||||||||||||||||||||||||||||||||||||||||||||||||||||||||||||||||||||x|x|x|final</v>
      </c>
    </row>
    <row r="316" spans="77:82" x14ac:dyDescent="0.25">
      <c r="BY316" t="s">
        <v>12</v>
      </c>
      <c r="BZ316" t="s">
        <v>12</v>
      </c>
      <c r="CA316" t="s">
        <v>12</v>
      </c>
      <c r="CB316" t="s">
        <v>1074</v>
      </c>
      <c r="CC316" t="s">
        <v>12</v>
      </c>
      <c r="CD316" t="str" cm="1">
        <f t="array" aca="1" ref="CD316" ca="1">eConcatenar(A316:CB316,"|")</f>
        <v>||||||||||||||||||||||||||||||||||||||||||||||||||||||||||||||||||||||||||||x|x|x|final</v>
      </c>
    </row>
    <row r="317" spans="77:82" x14ac:dyDescent="0.25">
      <c r="BY317" t="s">
        <v>12</v>
      </c>
      <c r="BZ317" t="s">
        <v>12</v>
      </c>
      <c r="CA317" t="s">
        <v>12</v>
      </c>
      <c r="CB317" t="s">
        <v>1074</v>
      </c>
      <c r="CC317" t="s">
        <v>12</v>
      </c>
      <c r="CD317" t="str" cm="1">
        <f t="array" aca="1" ref="CD317" ca="1">eConcatenar(A317:CB317,"|")</f>
        <v>||||||||||||||||||||||||||||||||||||||||||||||||||||||||||||||||||||||||||||x|x|x|final</v>
      </c>
    </row>
    <row r="318" spans="77:82" x14ac:dyDescent="0.25">
      <c r="BY318" t="s">
        <v>12</v>
      </c>
      <c r="BZ318" t="s">
        <v>12</v>
      </c>
      <c r="CA318" t="s">
        <v>12</v>
      </c>
      <c r="CB318" t="s">
        <v>1074</v>
      </c>
      <c r="CC318" t="s">
        <v>12</v>
      </c>
      <c r="CD318" t="str" cm="1">
        <f t="array" aca="1" ref="CD318" ca="1">eConcatenar(A318:CB318,"|")</f>
        <v>||||||||||||||||||||||||||||||||||||||||||||||||||||||||||||||||||||||||||||x|x|x|final</v>
      </c>
    </row>
    <row r="319" spans="77:82" x14ac:dyDescent="0.25">
      <c r="BY319" t="s">
        <v>12</v>
      </c>
      <c r="BZ319" t="s">
        <v>12</v>
      </c>
      <c r="CA319" t="s">
        <v>12</v>
      </c>
      <c r="CB319" t="s">
        <v>1074</v>
      </c>
      <c r="CC319" t="s">
        <v>12</v>
      </c>
      <c r="CD319" t="str" cm="1">
        <f t="array" aca="1" ref="CD319" ca="1">eConcatenar(A319:CB319,"|")</f>
        <v>||||||||||||||||||||||||||||||||||||||||||||||||||||||||||||||||||||||||||||x|x|x|final</v>
      </c>
    </row>
    <row r="320" spans="77:82" x14ac:dyDescent="0.25">
      <c r="BY320" t="s">
        <v>12</v>
      </c>
      <c r="BZ320" t="s">
        <v>12</v>
      </c>
      <c r="CA320" t="s">
        <v>12</v>
      </c>
      <c r="CB320" t="s">
        <v>1074</v>
      </c>
      <c r="CC320" t="s">
        <v>12</v>
      </c>
      <c r="CD320" t="str" cm="1">
        <f t="array" aca="1" ref="CD320" ca="1">eConcatenar(A320:CB320,"|")</f>
        <v>||||||||||||||||||||||||||||||||||||||||||||||||||||||||||||||||||||||||||||x|x|x|final</v>
      </c>
    </row>
    <row r="321" spans="77:82" x14ac:dyDescent="0.25">
      <c r="BY321" t="s">
        <v>12</v>
      </c>
      <c r="BZ321" t="s">
        <v>12</v>
      </c>
      <c r="CA321" t="s">
        <v>12</v>
      </c>
      <c r="CB321" t="s">
        <v>1074</v>
      </c>
      <c r="CC321" t="s">
        <v>12</v>
      </c>
      <c r="CD321" t="str" cm="1">
        <f t="array" aca="1" ref="CD321" ca="1">eConcatenar(A321:CB321,"|")</f>
        <v>||||||||||||||||||||||||||||||||||||||||||||||||||||||||||||||||||||||||||||x|x|x|final</v>
      </c>
    </row>
    <row r="322" spans="77:82" x14ac:dyDescent="0.25">
      <c r="BY322" t="s">
        <v>12</v>
      </c>
      <c r="BZ322" t="s">
        <v>12</v>
      </c>
      <c r="CA322" t="s">
        <v>12</v>
      </c>
      <c r="CB322" t="s">
        <v>1074</v>
      </c>
      <c r="CC322" t="s">
        <v>12</v>
      </c>
      <c r="CD322" t="str" cm="1">
        <f t="array" aca="1" ref="CD322" ca="1">eConcatenar(A322:CB322,"|")</f>
        <v>||||||||||||||||||||||||||||||||||||||||||||||||||||||||||||||||||||||||||||x|x|x|final</v>
      </c>
    </row>
    <row r="323" spans="77:82" x14ac:dyDescent="0.25">
      <c r="BY323" t="s">
        <v>12</v>
      </c>
      <c r="BZ323" t="s">
        <v>12</v>
      </c>
      <c r="CA323" t="s">
        <v>12</v>
      </c>
      <c r="CB323" t="s">
        <v>1074</v>
      </c>
      <c r="CC323" t="s">
        <v>12</v>
      </c>
      <c r="CD323" t="str" cm="1">
        <f t="array" aca="1" ref="CD323" ca="1">eConcatenar(A323:CB323,"|")</f>
        <v>||||||||||||||||||||||||||||||||||||||||||||||||||||||||||||||||||||||||||||x|x|x|final</v>
      </c>
    </row>
    <row r="324" spans="77:82" x14ac:dyDescent="0.25">
      <c r="BY324" t="s">
        <v>12</v>
      </c>
      <c r="BZ324" t="s">
        <v>12</v>
      </c>
      <c r="CA324" t="s">
        <v>12</v>
      </c>
      <c r="CB324" t="s">
        <v>1074</v>
      </c>
      <c r="CC324" t="s">
        <v>12</v>
      </c>
      <c r="CD324" t="str" cm="1">
        <f t="array" aca="1" ref="CD324" ca="1">eConcatenar(A324:CB324,"|")</f>
        <v>||||||||||||||||||||||||||||||||||||||||||||||||||||||||||||||||||||||||||||x|x|x|final</v>
      </c>
    </row>
    <row r="325" spans="77:82" x14ac:dyDescent="0.25">
      <c r="BY325" t="s">
        <v>12</v>
      </c>
      <c r="BZ325" t="s">
        <v>12</v>
      </c>
      <c r="CA325" t="s">
        <v>12</v>
      </c>
      <c r="CB325" t="s">
        <v>1074</v>
      </c>
      <c r="CC325" t="s">
        <v>12</v>
      </c>
      <c r="CD325" t="str" cm="1">
        <f t="array" aca="1" ref="CD325" ca="1">eConcatenar(A325:CB325,"|")</f>
        <v>||||||||||||||||||||||||||||||||||||||||||||||||||||||||||||||||||||||||||||x|x|x|final</v>
      </c>
    </row>
    <row r="326" spans="77:82" x14ac:dyDescent="0.25">
      <c r="BY326" t="s">
        <v>12</v>
      </c>
      <c r="BZ326" t="s">
        <v>12</v>
      </c>
      <c r="CA326" t="s">
        <v>12</v>
      </c>
      <c r="CB326" t="s">
        <v>1074</v>
      </c>
      <c r="CC326" t="s">
        <v>12</v>
      </c>
      <c r="CD326" t="str" cm="1">
        <f t="array" aca="1" ref="CD326" ca="1">eConcatenar(A326:CB326,"|")</f>
        <v>||||||||||||||||||||||||||||||||||||||||||||||||||||||||||||||||||||||||||||x|x|x|final</v>
      </c>
    </row>
    <row r="327" spans="77:82" x14ac:dyDescent="0.25">
      <c r="BY327" t="s">
        <v>12</v>
      </c>
      <c r="BZ327" t="s">
        <v>12</v>
      </c>
      <c r="CA327" t="s">
        <v>12</v>
      </c>
      <c r="CB327" t="s">
        <v>1074</v>
      </c>
      <c r="CC327" t="s">
        <v>12</v>
      </c>
      <c r="CD327" t="str" cm="1">
        <f t="array" aca="1" ref="CD327" ca="1">eConcatenar(A327:CB327,"|")</f>
        <v>||||||||||||||||||||||||||||||||||||||||||||||||||||||||||||||||||||||||||||x|x|x|final</v>
      </c>
    </row>
    <row r="328" spans="77:82" x14ac:dyDescent="0.25">
      <c r="BY328" t="s">
        <v>12</v>
      </c>
      <c r="BZ328" t="s">
        <v>12</v>
      </c>
      <c r="CA328" t="s">
        <v>12</v>
      </c>
      <c r="CB328" t="s">
        <v>1074</v>
      </c>
      <c r="CC328" t="s">
        <v>12</v>
      </c>
      <c r="CD328" t="str" cm="1">
        <f t="array" aca="1" ref="CD328" ca="1">eConcatenar(A328:CB328,"|")</f>
        <v>||||||||||||||||||||||||||||||||||||||||||||||||||||||||||||||||||||||||||||x|x|x|final</v>
      </c>
    </row>
    <row r="329" spans="77:82" x14ac:dyDescent="0.25">
      <c r="BY329" t="s">
        <v>12</v>
      </c>
      <c r="BZ329" t="s">
        <v>12</v>
      </c>
      <c r="CA329" t="s">
        <v>12</v>
      </c>
      <c r="CB329" t="s">
        <v>1074</v>
      </c>
      <c r="CC329" t="s">
        <v>12</v>
      </c>
      <c r="CD329" t="str" cm="1">
        <f t="array" aca="1" ref="CD329" ca="1">eConcatenar(A329:CB329,"|")</f>
        <v>||||||||||||||||||||||||||||||||||||||||||||||||||||||||||||||||||||||||||||x|x|x|final</v>
      </c>
    </row>
    <row r="330" spans="77:82" x14ac:dyDescent="0.25">
      <c r="BY330" t="s">
        <v>12</v>
      </c>
      <c r="BZ330" t="s">
        <v>12</v>
      </c>
      <c r="CA330" t="s">
        <v>12</v>
      </c>
      <c r="CB330" t="s">
        <v>1074</v>
      </c>
      <c r="CC330" t="s">
        <v>12</v>
      </c>
      <c r="CD330" t="str" cm="1">
        <f t="array" aca="1" ref="CD330" ca="1">eConcatenar(A330:CB330,"|")</f>
        <v>||||||||||||||||||||||||||||||||||||||||||||||||||||||||||||||||||||||||||||x|x|x|final</v>
      </c>
    </row>
    <row r="331" spans="77:82" x14ac:dyDescent="0.25">
      <c r="BY331" t="s">
        <v>12</v>
      </c>
      <c r="BZ331" t="s">
        <v>12</v>
      </c>
      <c r="CA331" t="s">
        <v>12</v>
      </c>
      <c r="CB331" t="s">
        <v>1074</v>
      </c>
      <c r="CC331" t="s">
        <v>12</v>
      </c>
      <c r="CD331" t="str" cm="1">
        <f t="array" aca="1" ref="CD331" ca="1">eConcatenar(A331:CB331,"|")</f>
        <v>||||||||||||||||||||||||||||||||||||||||||||||||||||||||||||||||||||||||||||x|x|x|final</v>
      </c>
    </row>
    <row r="332" spans="77:82" x14ac:dyDescent="0.25">
      <c r="BY332" t="s">
        <v>12</v>
      </c>
      <c r="BZ332" t="s">
        <v>12</v>
      </c>
      <c r="CA332" t="s">
        <v>12</v>
      </c>
      <c r="CB332" t="s">
        <v>1074</v>
      </c>
      <c r="CC332" t="s">
        <v>12</v>
      </c>
      <c r="CD332" t="str" cm="1">
        <f t="array" aca="1" ref="CD332" ca="1">eConcatenar(A332:CB332,"|")</f>
        <v>||||||||||||||||||||||||||||||||||||||||||||||||||||||||||||||||||||||||||||x|x|x|final</v>
      </c>
    </row>
    <row r="333" spans="77:82" x14ac:dyDescent="0.25">
      <c r="BY333" t="s">
        <v>12</v>
      </c>
      <c r="BZ333" t="s">
        <v>12</v>
      </c>
      <c r="CA333" t="s">
        <v>12</v>
      </c>
      <c r="CB333" t="s">
        <v>1074</v>
      </c>
      <c r="CC333" t="s">
        <v>12</v>
      </c>
      <c r="CD333" t="str" cm="1">
        <f t="array" aca="1" ref="CD333" ca="1">eConcatenar(A333:CB333,"|")</f>
        <v>||||||||||||||||||||||||||||||||||||||||||||||||||||||||||||||||||||||||||||x|x|x|final</v>
      </c>
    </row>
    <row r="334" spans="77:82" x14ac:dyDescent="0.25">
      <c r="BY334" t="s">
        <v>12</v>
      </c>
      <c r="BZ334" t="s">
        <v>12</v>
      </c>
      <c r="CA334" t="s">
        <v>12</v>
      </c>
      <c r="CB334" t="s">
        <v>1074</v>
      </c>
      <c r="CC334" t="s">
        <v>12</v>
      </c>
      <c r="CD334" t="str" cm="1">
        <f t="array" aca="1" ref="CD334" ca="1">eConcatenar(A334:CB334,"|")</f>
        <v>||||||||||||||||||||||||||||||||||||||||||||||||||||||||||||||||||||||||||||x|x|x|final</v>
      </c>
    </row>
    <row r="335" spans="77:82" x14ac:dyDescent="0.25">
      <c r="BY335" t="s">
        <v>12</v>
      </c>
      <c r="BZ335" t="s">
        <v>12</v>
      </c>
      <c r="CA335" t="s">
        <v>12</v>
      </c>
      <c r="CB335" t="s">
        <v>1074</v>
      </c>
      <c r="CC335" t="s">
        <v>12</v>
      </c>
      <c r="CD335" t="str" cm="1">
        <f t="array" aca="1" ref="CD335" ca="1">eConcatenar(A335:CB335,"|")</f>
        <v>||||||||||||||||||||||||||||||||||||||||||||||||||||||||||||||||||||||||||||x|x|x|final</v>
      </c>
    </row>
    <row r="336" spans="77:82" x14ac:dyDescent="0.25">
      <c r="BY336" t="s">
        <v>12</v>
      </c>
      <c r="BZ336" t="s">
        <v>12</v>
      </c>
      <c r="CA336" t="s">
        <v>12</v>
      </c>
      <c r="CB336" t="s">
        <v>1074</v>
      </c>
      <c r="CC336" t="s">
        <v>12</v>
      </c>
      <c r="CD336" t="str" cm="1">
        <f t="array" aca="1" ref="CD336" ca="1">eConcatenar(A336:CB336,"|")</f>
        <v>||||||||||||||||||||||||||||||||||||||||||||||||||||||||||||||||||||||||||||x|x|x|final</v>
      </c>
    </row>
    <row r="337" spans="54:82" x14ac:dyDescent="0.25">
      <c r="BY337" t="s">
        <v>12</v>
      </c>
      <c r="BZ337" t="s">
        <v>12</v>
      </c>
      <c r="CA337" t="s">
        <v>12</v>
      </c>
      <c r="CB337" t="s">
        <v>1074</v>
      </c>
      <c r="CC337" t="s">
        <v>12</v>
      </c>
      <c r="CD337" t="str" cm="1">
        <f t="array" aca="1" ref="CD337" ca="1">eConcatenar(A337:CB337,"|")</f>
        <v>||||||||||||||||||||||||||||||||||||||||||||||||||||||||||||||||||||||||||||x|x|x|final</v>
      </c>
    </row>
    <row r="338" spans="54:82" x14ac:dyDescent="0.25">
      <c r="BY338" t="s">
        <v>12</v>
      </c>
      <c r="BZ338" t="s">
        <v>12</v>
      </c>
      <c r="CA338" t="s">
        <v>12</v>
      </c>
      <c r="CB338" t="s">
        <v>1074</v>
      </c>
      <c r="CC338" t="s">
        <v>12</v>
      </c>
      <c r="CD338" t="str" cm="1">
        <f t="array" aca="1" ref="CD338" ca="1">eConcatenar(A338:CB338,"|")</f>
        <v>||||||||||||||||||||||||||||||||||||||||||||||||||||||||||||||||||||||||||||x|x|x|final</v>
      </c>
    </row>
    <row r="339" spans="54:82" x14ac:dyDescent="0.25">
      <c r="BY339" t="s">
        <v>12</v>
      </c>
      <c r="BZ339" t="s">
        <v>12</v>
      </c>
      <c r="CA339" t="s">
        <v>12</v>
      </c>
      <c r="CB339" t="s">
        <v>1074</v>
      </c>
      <c r="CC339" t="s">
        <v>12</v>
      </c>
      <c r="CD339" t="str" cm="1">
        <f t="array" aca="1" ref="CD339" ca="1">eConcatenar(A339:CB339,"|")</f>
        <v>||||||||||||||||||||||||||||||||||||||||||||||||||||||||||||||||||||||||||||x|x|x|final</v>
      </c>
    </row>
    <row r="340" spans="54:82" x14ac:dyDescent="0.25">
      <c r="BY340" t="s">
        <v>12</v>
      </c>
      <c r="BZ340" t="s">
        <v>12</v>
      </c>
      <c r="CA340" t="s">
        <v>12</v>
      </c>
      <c r="CB340" t="s">
        <v>1074</v>
      </c>
      <c r="CC340" t="s">
        <v>12</v>
      </c>
      <c r="CD340" t="str" cm="1">
        <f t="array" aca="1" ref="CD340" ca="1">eConcatenar(A340:CB340,"|")</f>
        <v>||||||||||||||||||||||||||||||||||||||||||||||||||||||||||||||||||||||||||||x|x|x|final</v>
      </c>
    </row>
    <row r="341" spans="54:82" x14ac:dyDescent="0.25">
      <c r="BY341" t="s">
        <v>12</v>
      </c>
      <c r="BZ341" t="s">
        <v>12</v>
      </c>
      <c r="CA341" t="s">
        <v>12</v>
      </c>
      <c r="CB341" t="s">
        <v>1074</v>
      </c>
      <c r="CC341" t="s">
        <v>12</v>
      </c>
      <c r="CD341" t="str" cm="1">
        <f t="array" aca="1" ref="CD341" ca="1">eConcatenar(A341:CB341,"|")</f>
        <v>||||||||||||||||||||||||||||||||||||||||||||||||||||||||||||||||||||||||||||x|x|x|final</v>
      </c>
    </row>
    <row r="342" spans="54:82" x14ac:dyDescent="0.25">
      <c r="BY342" t="s">
        <v>12</v>
      </c>
      <c r="BZ342" t="s">
        <v>12</v>
      </c>
      <c r="CA342" t="s">
        <v>12</v>
      </c>
      <c r="CB342" t="s">
        <v>1074</v>
      </c>
      <c r="CC342" t="s">
        <v>12</v>
      </c>
      <c r="CD342" t="str" cm="1">
        <f t="array" aca="1" ref="CD342" ca="1">eConcatenar(A342:CB342,"|")</f>
        <v>||||||||||||||||||||||||||||||||||||||||||||||||||||||||||||||||||||||||||||x|x|x|final</v>
      </c>
    </row>
    <row r="343" spans="54:82" x14ac:dyDescent="0.25">
      <c r="BY343" t="s">
        <v>12</v>
      </c>
      <c r="BZ343" t="s">
        <v>12</v>
      </c>
      <c r="CA343" t="s">
        <v>12</v>
      </c>
      <c r="CB343" t="s">
        <v>1074</v>
      </c>
      <c r="CC343" t="s">
        <v>12</v>
      </c>
      <c r="CD343" t="str" cm="1">
        <f t="array" aca="1" ref="CD343" ca="1">eConcatenar(A343:CB343,"|")</f>
        <v>||||||||||||||||||||||||||||||||||||||||||||||||||||||||||||||||||||||||||||x|x|x|final</v>
      </c>
    </row>
    <row r="344" spans="54:82" x14ac:dyDescent="0.25">
      <c r="BY344" t="s">
        <v>12</v>
      </c>
      <c r="BZ344" t="s">
        <v>12</v>
      </c>
      <c r="CA344" t="s">
        <v>12</v>
      </c>
      <c r="CB344" t="s">
        <v>1074</v>
      </c>
      <c r="CC344" t="s">
        <v>12</v>
      </c>
      <c r="CD344" t="str" cm="1">
        <f t="array" aca="1" ref="CD344" ca="1">eConcatenar(A344:CB344,"|")</f>
        <v>||||||||||||||||||||||||||||||||||||||||||||||||||||||||||||||||||||||||||||x|x|x|final</v>
      </c>
    </row>
    <row r="345" spans="54:82" x14ac:dyDescent="0.25">
      <c r="BY345" t="s">
        <v>12</v>
      </c>
      <c r="BZ345" t="s">
        <v>12</v>
      </c>
      <c r="CA345" t="s">
        <v>12</v>
      </c>
      <c r="CB345" t="s">
        <v>1074</v>
      </c>
      <c r="CC345" t="s">
        <v>12</v>
      </c>
      <c r="CD345" t="str" cm="1">
        <f t="array" aca="1" ref="CD345" ca="1">eConcatenar(A345:CB345,"|")</f>
        <v>||||||||||||||||||||||||||||||||||||||||||||||||||||||||||||||||||||||||||||x|x|x|final</v>
      </c>
    </row>
    <row r="346" spans="54:82" x14ac:dyDescent="0.25">
      <c r="BY346" t="s">
        <v>12</v>
      </c>
      <c r="BZ346" t="s">
        <v>12</v>
      </c>
      <c r="CA346" t="s">
        <v>12</v>
      </c>
      <c r="CB346" t="s">
        <v>1074</v>
      </c>
      <c r="CC346" t="s">
        <v>12</v>
      </c>
      <c r="CD346" t="str" cm="1">
        <f t="array" aca="1" ref="CD346" ca="1">eConcatenar(A346:CB346,"|")</f>
        <v>||||||||||||||||||||||||||||||||||||||||||||||||||||||||||||||||||||||||||||x|x|x|final</v>
      </c>
    </row>
    <row r="347" spans="54:82" x14ac:dyDescent="0.25">
      <c r="BY347" t="s">
        <v>12</v>
      </c>
      <c r="BZ347" t="s">
        <v>12</v>
      </c>
      <c r="CA347" t="s">
        <v>12</v>
      </c>
      <c r="CB347" t="s">
        <v>1074</v>
      </c>
      <c r="CC347" t="s">
        <v>12</v>
      </c>
      <c r="CD347" t="str" cm="1">
        <f t="array" aca="1" ref="CD347" ca="1">eConcatenar(A347:CB347,"|")</f>
        <v>||||||||||||||||||||||||||||||||||||||||||||||||||||||||||||||||||||||||||||x|x|x|final</v>
      </c>
    </row>
    <row r="348" spans="54:82" x14ac:dyDescent="0.25">
      <c r="BY348" t="s">
        <v>12</v>
      </c>
      <c r="BZ348" t="s">
        <v>12</v>
      </c>
      <c r="CA348" t="s">
        <v>12</v>
      </c>
      <c r="CB348" t="s">
        <v>1074</v>
      </c>
      <c r="CC348" t="s">
        <v>12</v>
      </c>
      <c r="CD348" t="str" cm="1">
        <f t="array" aca="1" ref="CD348" ca="1">eConcatenar(A348:CB348,"|")</f>
        <v>||||||||||||||||||||||||||||||||||||||||||||||||||||||||||||||||||||||||||||x|x|x|final</v>
      </c>
    </row>
    <row r="349" spans="54:82" x14ac:dyDescent="0.25">
      <c r="BY349" t="s">
        <v>12</v>
      </c>
      <c r="BZ349" t="s">
        <v>12</v>
      </c>
      <c r="CA349" t="s">
        <v>12</v>
      </c>
      <c r="CB349" t="s">
        <v>1074</v>
      </c>
      <c r="CC349" t="s">
        <v>12</v>
      </c>
      <c r="CD349" t="str" cm="1">
        <f t="array" aca="1" ref="CD349" ca="1">eConcatenar(A349:CB349,"|")</f>
        <v>||||||||||||||||||||||||||||||||||||||||||||||||||||||||||||||||||||||||||||x|x|x|final</v>
      </c>
    </row>
    <row r="350" spans="54:82" x14ac:dyDescent="0.25">
      <c r="BY350" t="s">
        <v>12</v>
      </c>
      <c r="BZ350" t="s">
        <v>12</v>
      </c>
      <c r="CA350" t="s">
        <v>12</v>
      </c>
      <c r="CB350" t="s">
        <v>1074</v>
      </c>
      <c r="CC350" t="s">
        <v>12</v>
      </c>
      <c r="CD350" t="str" cm="1">
        <f t="array" aca="1" ref="CD350" ca="1">eConcatenar(A350:CB350,"|")</f>
        <v>||||||||||||||||||||||||||||||||||||||||||||||||||||||||||||||||||||||||||||x|x|x|final</v>
      </c>
    </row>
    <row r="351" spans="54:82" x14ac:dyDescent="0.25">
      <c r="BB351" s="1"/>
      <c r="BY351" t="s">
        <v>12</v>
      </c>
      <c r="BZ351" t="s">
        <v>12</v>
      </c>
      <c r="CA351" t="s">
        <v>12</v>
      </c>
      <c r="CB351" t="s">
        <v>1074</v>
      </c>
      <c r="CC351" t="s">
        <v>12</v>
      </c>
      <c r="CD351" t="str" cm="1">
        <f t="array" aca="1" ref="CD351" ca="1">eConcatenar(A351:CB351,"|")</f>
        <v>||||||||||||||||||||||||||||||||||||||||||||||||||||||||||||||||||||||||||||x|x|x|final</v>
      </c>
    </row>
    <row r="352" spans="54:82" x14ac:dyDescent="0.25">
      <c r="BY352" t="s">
        <v>12</v>
      </c>
      <c r="BZ352" t="s">
        <v>12</v>
      </c>
      <c r="CA352" t="s">
        <v>12</v>
      </c>
      <c r="CB352" t="s">
        <v>1074</v>
      </c>
      <c r="CC352" t="s">
        <v>12</v>
      </c>
      <c r="CD352" t="str" cm="1">
        <f t="array" aca="1" ref="CD352" ca="1">eConcatenar(A352:CB352,"|")</f>
        <v>||||||||||||||||||||||||||||||||||||||||||||||||||||||||||||||||||||||||||||x|x|x|final</v>
      </c>
    </row>
    <row r="353" spans="77:82" x14ac:dyDescent="0.25">
      <c r="BY353" t="s">
        <v>12</v>
      </c>
      <c r="BZ353" t="s">
        <v>12</v>
      </c>
      <c r="CA353" t="s">
        <v>12</v>
      </c>
      <c r="CB353" t="s">
        <v>1074</v>
      </c>
      <c r="CC353" t="s">
        <v>12</v>
      </c>
      <c r="CD353" t="str" cm="1">
        <f t="array" aca="1" ref="CD353" ca="1">eConcatenar(A353:CB353,"|")</f>
        <v>||||||||||||||||||||||||||||||||||||||||||||||||||||||||||||||||||||||||||||x|x|x|final</v>
      </c>
    </row>
    <row r="354" spans="77:82" x14ac:dyDescent="0.25">
      <c r="BY354" t="s">
        <v>12</v>
      </c>
      <c r="BZ354" t="s">
        <v>12</v>
      </c>
      <c r="CA354" t="s">
        <v>12</v>
      </c>
      <c r="CB354" t="s">
        <v>1074</v>
      </c>
      <c r="CC354" t="s">
        <v>12</v>
      </c>
      <c r="CD354" t="str" cm="1">
        <f t="array" aca="1" ref="CD354" ca="1">eConcatenar(A354:CB354,"|")</f>
        <v>||||||||||||||||||||||||||||||||||||||||||||||||||||||||||||||||||||||||||||x|x|x|final</v>
      </c>
    </row>
    <row r="355" spans="77:82" x14ac:dyDescent="0.25">
      <c r="BY355" t="s">
        <v>12</v>
      </c>
      <c r="BZ355" t="s">
        <v>12</v>
      </c>
      <c r="CA355" t="s">
        <v>12</v>
      </c>
      <c r="CB355" t="s">
        <v>1074</v>
      </c>
      <c r="CC355" t="s">
        <v>12</v>
      </c>
      <c r="CD355" t="str" cm="1">
        <f t="array" aca="1" ref="CD355" ca="1">eConcatenar(A355:CB355,"|")</f>
        <v>||||||||||||||||||||||||||||||||||||||||||||||||||||||||||||||||||||||||||||x|x|x|final</v>
      </c>
    </row>
    <row r="356" spans="77:82" x14ac:dyDescent="0.25">
      <c r="BY356" t="s">
        <v>12</v>
      </c>
      <c r="BZ356" t="s">
        <v>12</v>
      </c>
      <c r="CA356" t="s">
        <v>12</v>
      </c>
      <c r="CB356" t="s">
        <v>1074</v>
      </c>
      <c r="CC356" t="s">
        <v>12</v>
      </c>
      <c r="CD356" t="str" cm="1">
        <f t="array" aca="1" ref="CD356" ca="1">eConcatenar(A356:CB356,"|")</f>
        <v>||||||||||||||||||||||||||||||||||||||||||||||||||||||||||||||||||||||||||||x|x|x|final</v>
      </c>
    </row>
    <row r="357" spans="77:82" x14ac:dyDescent="0.25">
      <c r="BY357" t="s">
        <v>12</v>
      </c>
      <c r="BZ357" t="s">
        <v>12</v>
      </c>
      <c r="CA357" t="s">
        <v>12</v>
      </c>
      <c r="CB357" t="s">
        <v>1074</v>
      </c>
      <c r="CC357" t="s">
        <v>12</v>
      </c>
      <c r="CD357" t="str" cm="1">
        <f t="array" aca="1" ref="CD357" ca="1">eConcatenar(A357:CB357,"|")</f>
        <v>||||||||||||||||||||||||||||||||||||||||||||||||||||||||||||||||||||||||||||x|x|x|final</v>
      </c>
    </row>
    <row r="358" spans="77:82" x14ac:dyDescent="0.25">
      <c r="BY358" t="s">
        <v>12</v>
      </c>
      <c r="BZ358" t="s">
        <v>12</v>
      </c>
      <c r="CA358" t="s">
        <v>12</v>
      </c>
      <c r="CB358" t="s">
        <v>1074</v>
      </c>
      <c r="CC358" t="s">
        <v>12</v>
      </c>
      <c r="CD358" t="str" cm="1">
        <f t="array" aca="1" ref="CD358" ca="1">eConcatenar(A358:CB358,"|")</f>
        <v>||||||||||||||||||||||||||||||||||||||||||||||||||||||||||||||||||||||||||||x|x|x|final</v>
      </c>
    </row>
    <row r="359" spans="77:82" x14ac:dyDescent="0.25">
      <c r="BY359" t="s">
        <v>12</v>
      </c>
      <c r="BZ359" t="s">
        <v>12</v>
      </c>
      <c r="CA359" t="s">
        <v>12</v>
      </c>
      <c r="CB359" t="s">
        <v>1074</v>
      </c>
      <c r="CC359" t="s">
        <v>12</v>
      </c>
      <c r="CD359" t="str" cm="1">
        <f t="array" aca="1" ref="CD359" ca="1">eConcatenar(A359:CB359,"|")</f>
        <v>||||||||||||||||||||||||||||||||||||||||||||||||||||||||||||||||||||||||||||x|x|x|final</v>
      </c>
    </row>
    <row r="360" spans="77:82" x14ac:dyDescent="0.25">
      <c r="BY360" t="s">
        <v>12</v>
      </c>
      <c r="BZ360" t="s">
        <v>12</v>
      </c>
      <c r="CA360" t="s">
        <v>12</v>
      </c>
      <c r="CB360" t="s">
        <v>1074</v>
      </c>
      <c r="CC360" t="s">
        <v>12</v>
      </c>
      <c r="CD360" t="str" cm="1">
        <f t="array" aca="1" ref="CD360" ca="1">eConcatenar(A360:CB360,"|")</f>
        <v>||||||||||||||||||||||||||||||||||||||||||||||||||||||||||||||||||||||||||||x|x|x|final</v>
      </c>
    </row>
    <row r="361" spans="77:82" x14ac:dyDescent="0.25">
      <c r="BY361" t="s">
        <v>12</v>
      </c>
      <c r="BZ361" t="s">
        <v>12</v>
      </c>
      <c r="CA361" t="s">
        <v>12</v>
      </c>
      <c r="CB361" t="s">
        <v>1074</v>
      </c>
      <c r="CC361" t="s">
        <v>12</v>
      </c>
      <c r="CD361" t="str" cm="1">
        <f t="array" aca="1" ref="CD361" ca="1">eConcatenar(A361:CB361,"|")</f>
        <v>||||||||||||||||||||||||||||||||||||||||||||||||||||||||||||||||||||||||||||x|x|x|final</v>
      </c>
    </row>
    <row r="362" spans="77:82" x14ac:dyDescent="0.25">
      <c r="BY362" t="s">
        <v>12</v>
      </c>
      <c r="BZ362" t="s">
        <v>12</v>
      </c>
      <c r="CA362" t="s">
        <v>12</v>
      </c>
      <c r="CB362" t="s">
        <v>1074</v>
      </c>
      <c r="CC362" t="s">
        <v>12</v>
      </c>
      <c r="CD362" t="str" cm="1">
        <f t="array" aca="1" ref="CD362" ca="1">eConcatenar(A362:CB362,"|")</f>
        <v>||||||||||||||||||||||||||||||||||||||||||||||||||||||||||||||||||||||||||||x|x|x|final</v>
      </c>
    </row>
    <row r="363" spans="77:82" x14ac:dyDescent="0.25">
      <c r="BY363" t="s">
        <v>12</v>
      </c>
      <c r="BZ363" t="s">
        <v>12</v>
      </c>
      <c r="CA363" t="s">
        <v>12</v>
      </c>
      <c r="CB363" t="s">
        <v>1074</v>
      </c>
      <c r="CC363" t="s">
        <v>12</v>
      </c>
      <c r="CD363" t="str" cm="1">
        <f t="array" aca="1" ref="CD363" ca="1">eConcatenar(A363:CB363,"|")</f>
        <v>||||||||||||||||||||||||||||||||||||||||||||||||||||||||||||||||||||||||||||x|x|x|final</v>
      </c>
    </row>
    <row r="364" spans="77:82" x14ac:dyDescent="0.25">
      <c r="BY364" t="s">
        <v>12</v>
      </c>
      <c r="BZ364" t="s">
        <v>12</v>
      </c>
      <c r="CA364" t="s">
        <v>12</v>
      </c>
      <c r="CB364" t="s">
        <v>1074</v>
      </c>
      <c r="CC364" t="s">
        <v>12</v>
      </c>
      <c r="CD364" t="str" cm="1">
        <f t="array" aca="1" ref="CD364" ca="1">eConcatenar(A364:CB364,"|")</f>
        <v>||||||||||||||||||||||||||||||||||||||||||||||||||||||||||||||||||||||||||||x|x|x|final</v>
      </c>
    </row>
    <row r="365" spans="77:82" x14ac:dyDescent="0.25">
      <c r="BY365" t="s">
        <v>12</v>
      </c>
      <c r="BZ365" t="s">
        <v>12</v>
      </c>
      <c r="CA365" t="s">
        <v>12</v>
      </c>
      <c r="CB365" t="s">
        <v>1074</v>
      </c>
      <c r="CC365" t="s">
        <v>12</v>
      </c>
      <c r="CD365" t="str" cm="1">
        <f t="array" aca="1" ref="CD365" ca="1">eConcatenar(A365:CB365,"|")</f>
        <v>||||||||||||||||||||||||||||||||||||||||||||||||||||||||||||||||||||||||||||x|x|x|final</v>
      </c>
    </row>
    <row r="366" spans="77:82" x14ac:dyDescent="0.25">
      <c r="BY366" t="s">
        <v>12</v>
      </c>
      <c r="BZ366" t="s">
        <v>12</v>
      </c>
      <c r="CA366" t="s">
        <v>12</v>
      </c>
      <c r="CB366" t="s">
        <v>1074</v>
      </c>
      <c r="CC366" t="s">
        <v>12</v>
      </c>
      <c r="CD366" t="str" cm="1">
        <f t="array" aca="1" ref="CD366" ca="1">eConcatenar(A366:CB366,"|")</f>
        <v>||||||||||||||||||||||||||||||||||||||||||||||||||||||||||||||||||||||||||||x|x|x|final</v>
      </c>
    </row>
    <row r="367" spans="77:82" x14ac:dyDescent="0.25">
      <c r="BY367" t="s">
        <v>12</v>
      </c>
      <c r="BZ367" t="s">
        <v>12</v>
      </c>
      <c r="CA367" t="s">
        <v>12</v>
      </c>
      <c r="CB367" t="s">
        <v>1074</v>
      </c>
      <c r="CC367" t="s">
        <v>12</v>
      </c>
      <c r="CD367" t="str" cm="1">
        <f t="array" aca="1" ref="CD367" ca="1">eConcatenar(A367:CB367,"|")</f>
        <v>||||||||||||||||||||||||||||||||||||||||||||||||||||||||||||||||||||||||||||x|x|x|final</v>
      </c>
    </row>
    <row r="368" spans="77:82" x14ac:dyDescent="0.25">
      <c r="BY368" t="s">
        <v>12</v>
      </c>
      <c r="BZ368" t="s">
        <v>12</v>
      </c>
      <c r="CA368" t="s">
        <v>12</v>
      </c>
      <c r="CB368" t="s">
        <v>1074</v>
      </c>
      <c r="CC368" t="s">
        <v>12</v>
      </c>
      <c r="CD368" t="str" cm="1">
        <f t="array" aca="1" ref="CD368" ca="1">eConcatenar(A368:CB368,"|")</f>
        <v>||||||||||||||||||||||||||||||||||||||||||||||||||||||||||||||||||||||||||||x|x|x|final</v>
      </c>
    </row>
    <row r="369" spans="77:82" x14ac:dyDescent="0.25">
      <c r="BY369" t="s">
        <v>12</v>
      </c>
      <c r="BZ369" t="s">
        <v>12</v>
      </c>
      <c r="CA369" t="s">
        <v>12</v>
      </c>
      <c r="CB369" t="s">
        <v>1074</v>
      </c>
      <c r="CC369" t="s">
        <v>12</v>
      </c>
      <c r="CD369" t="str" cm="1">
        <f t="array" aca="1" ref="CD369" ca="1">eConcatenar(A369:CB369,"|")</f>
        <v>||||||||||||||||||||||||||||||||||||||||||||||||||||||||||||||||||||||||||||x|x|x|final</v>
      </c>
    </row>
    <row r="370" spans="77:82" x14ac:dyDescent="0.25">
      <c r="BY370" t="s">
        <v>12</v>
      </c>
      <c r="BZ370" t="s">
        <v>12</v>
      </c>
      <c r="CA370" t="s">
        <v>12</v>
      </c>
      <c r="CB370" t="s">
        <v>1074</v>
      </c>
      <c r="CC370" t="s">
        <v>12</v>
      </c>
      <c r="CD370" t="str" cm="1">
        <f t="array" aca="1" ref="CD370" ca="1">eConcatenar(A370:CB370,"|")</f>
        <v>||||||||||||||||||||||||||||||||||||||||||||||||||||||||||||||||||||||||||||x|x|x|final</v>
      </c>
    </row>
    <row r="371" spans="77:82" x14ac:dyDescent="0.25">
      <c r="BY371" t="s">
        <v>12</v>
      </c>
      <c r="BZ371" t="s">
        <v>12</v>
      </c>
      <c r="CA371" t="s">
        <v>12</v>
      </c>
      <c r="CB371" t="s">
        <v>1074</v>
      </c>
      <c r="CC371" t="s">
        <v>12</v>
      </c>
      <c r="CD371" t="str" cm="1">
        <f t="array" aca="1" ref="CD371" ca="1">eConcatenar(A371:CB371,"|")</f>
        <v>||||||||||||||||||||||||||||||||||||||||||||||||||||||||||||||||||||||||||||x|x|x|final</v>
      </c>
    </row>
    <row r="372" spans="77:82" x14ac:dyDescent="0.25">
      <c r="BY372" t="s">
        <v>12</v>
      </c>
      <c r="BZ372" t="s">
        <v>12</v>
      </c>
      <c r="CA372" t="s">
        <v>12</v>
      </c>
      <c r="CB372" t="s">
        <v>1074</v>
      </c>
      <c r="CC372" t="s">
        <v>12</v>
      </c>
      <c r="CD372" t="str" cm="1">
        <f t="array" aca="1" ref="CD372" ca="1">eConcatenar(A372:CB372,"|")</f>
        <v>||||||||||||||||||||||||||||||||||||||||||||||||||||||||||||||||||||||||||||x|x|x|final</v>
      </c>
    </row>
    <row r="373" spans="77:82" x14ac:dyDescent="0.25">
      <c r="BY373" t="s">
        <v>12</v>
      </c>
      <c r="BZ373" t="s">
        <v>12</v>
      </c>
      <c r="CA373" t="s">
        <v>12</v>
      </c>
      <c r="CB373" t="s">
        <v>1074</v>
      </c>
      <c r="CC373" t="s">
        <v>12</v>
      </c>
      <c r="CD373" t="str" cm="1">
        <f t="array" aca="1" ref="CD373" ca="1">eConcatenar(A373:CB373,"|")</f>
        <v>||||||||||||||||||||||||||||||||||||||||||||||||||||||||||||||||||||||||||||x|x|x|final</v>
      </c>
    </row>
    <row r="374" spans="77:82" x14ac:dyDescent="0.25">
      <c r="BY374" t="s">
        <v>12</v>
      </c>
      <c r="BZ374" t="s">
        <v>12</v>
      </c>
      <c r="CA374" t="s">
        <v>12</v>
      </c>
      <c r="CB374" t="s">
        <v>1074</v>
      </c>
      <c r="CC374" t="s">
        <v>12</v>
      </c>
      <c r="CD374" t="str" cm="1">
        <f t="array" aca="1" ref="CD374" ca="1">eConcatenar(A374:CB374,"|")</f>
        <v>||||||||||||||||||||||||||||||||||||||||||||||||||||||||||||||||||||||||||||x|x|x|final</v>
      </c>
    </row>
    <row r="375" spans="77:82" x14ac:dyDescent="0.25">
      <c r="BY375" t="s">
        <v>12</v>
      </c>
      <c r="BZ375" t="s">
        <v>12</v>
      </c>
      <c r="CA375" t="s">
        <v>12</v>
      </c>
      <c r="CB375" t="s">
        <v>1074</v>
      </c>
      <c r="CC375" t="s">
        <v>12</v>
      </c>
      <c r="CD375" t="str" cm="1">
        <f t="array" aca="1" ref="CD375" ca="1">eConcatenar(A375:CB375,"|")</f>
        <v>||||||||||||||||||||||||||||||||||||||||||||||||||||||||||||||||||||||||||||x|x|x|final</v>
      </c>
    </row>
    <row r="376" spans="77:82" x14ac:dyDescent="0.25">
      <c r="BY376" t="s">
        <v>12</v>
      </c>
      <c r="BZ376" t="s">
        <v>12</v>
      </c>
      <c r="CA376" t="s">
        <v>12</v>
      </c>
      <c r="CB376" t="s">
        <v>1074</v>
      </c>
      <c r="CC376" t="s">
        <v>12</v>
      </c>
      <c r="CD376" t="str" cm="1">
        <f t="array" aca="1" ref="CD376" ca="1">eConcatenar(A376:CB376,"|")</f>
        <v>||||||||||||||||||||||||||||||||||||||||||||||||||||||||||||||||||||||||||||x|x|x|final</v>
      </c>
    </row>
    <row r="377" spans="77:82" x14ac:dyDescent="0.25">
      <c r="BY377" t="s">
        <v>12</v>
      </c>
      <c r="BZ377" t="s">
        <v>12</v>
      </c>
      <c r="CA377" t="s">
        <v>12</v>
      </c>
      <c r="CB377" t="s">
        <v>1074</v>
      </c>
      <c r="CC377" t="s">
        <v>12</v>
      </c>
      <c r="CD377" t="str" cm="1">
        <f t="array" aca="1" ref="CD377" ca="1">eConcatenar(A377:CB377,"|")</f>
        <v>||||||||||||||||||||||||||||||||||||||||||||||||||||||||||||||||||||||||||||x|x|x|final</v>
      </c>
    </row>
    <row r="378" spans="77:82" x14ac:dyDescent="0.25">
      <c r="BY378" t="s">
        <v>12</v>
      </c>
      <c r="BZ378" t="s">
        <v>12</v>
      </c>
      <c r="CA378" t="s">
        <v>12</v>
      </c>
      <c r="CB378" t="s">
        <v>1074</v>
      </c>
      <c r="CC378" t="s">
        <v>12</v>
      </c>
      <c r="CD378" t="str" cm="1">
        <f t="array" aca="1" ref="CD378" ca="1">eConcatenar(A378:CB378,"|")</f>
        <v>||||||||||||||||||||||||||||||||||||||||||||||||||||||||||||||||||||||||||||x|x|x|final</v>
      </c>
    </row>
    <row r="379" spans="77:82" x14ac:dyDescent="0.25">
      <c r="BY379" t="s">
        <v>12</v>
      </c>
      <c r="BZ379" t="s">
        <v>12</v>
      </c>
      <c r="CA379" t="s">
        <v>12</v>
      </c>
      <c r="CB379" t="s">
        <v>1074</v>
      </c>
      <c r="CC379" t="s">
        <v>12</v>
      </c>
      <c r="CD379" t="str" cm="1">
        <f t="array" aca="1" ref="CD379" ca="1">eConcatenar(A379:CB379,"|")</f>
        <v>||||||||||||||||||||||||||||||||||||||||||||||||||||||||||||||||||||||||||||x|x|x|final</v>
      </c>
    </row>
    <row r="380" spans="77:82" x14ac:dyDescent="0.25">
      <c r="BY380" t="s">
        <v>12</v>
      </c>
      <c r="BZ380" t="s">
        <v>12</v>
      </c>
      <c r="CA380" t="s">
        <v>12</v>
      </c>
      <c r="CB380" t="s">
        <v>1074</v>
      </c>
      <c r="CC380" t="s">
        <v>12</v>
      </c>
      <c r="CD380" t="str" cm="1">
        <f t="array" aca="1" ref="CD380" ca="1">eConcatenar(A380:CB380,"|")</f>
        <v>||||||||||||||||||||||||||||||||||||||||||||||||||||||||||||||||||||||||||||x|x|x|final</v>
      </c>
    </row>
    <row r="381" spans="77:82" x14ac:dyDescent="0.25">
      <c r="BY381" t="s">
        <v>12</v>
      </c>
      <c r="BZ381" t="s">
        <v>12</v>
      </c>
      <c r="CA381" t="s">
        <v>12</v>
      </c>
      <c r="CB381" t="s">
        <v>1074</v>
      </c>
      <c r="CC381" t="s">
        <v>12</v>
      </c>
      <c r="CD381" t="str" cm="1">
        <f t="array" aca="1" ref="CD381" ca="1">eConcatenar(A381:CB381,"|")</f>
        <v>||||||||||||||||||||||||||||||||||||||||||||||||||||||||||||||||||||||||||||x|x|x|final</v>
      </c>
    </row>
    <row r="382" spans="77:82" x14ac:dyDescent="0.25">
      <c r="BY382" t="s">
        <v>12</v>
      </c>
      <c r="BZ382" t="s">
        <v>12</v>
      </c>
      <c r="CA382" t="s">
        <v>12</v>
      </c>
      <c r="CB382" t="s">
        <v>1074</v>
      </c>
      <c r="CC382" t="s">
        <v>12</v>
      </c>
      <c r="CD382" t="str" cm="1">
        <f t="array" aca="1" ref="CD382" ca="1">eConcatenar(A382:CB382,"|")</f>
        <v>||||||||||||||||||||||||||||||||||||||||||||||||||||||||||||||||||||||||||||x|x|x|final</v>
      </c>
    </row>
    <row r="383" spans="77:82" x14ac:dyDescent="0.25">
      <c r="BY383" t="s">
        <v>12</v>
      </c>
      <c r="BZ383" t="s">
        <v>12</v>
      </c>
      <c r="CA383" t="s">
        <v>12</v>
      </c>
      <c r="CB383" t="s">
        <v>1074</v>
      </c>
      <c r="CC383" t="s">
        <v>12</v>
      </c>
      <c r="CD383" t="str" cm="1">
        <f t="array" aca="1" ref="CD383" ca="1">eConcatenar(A383:CB383,"|")</f>
        <v>||||||||||||||||||||||||||||||||||||||||||||||||||||||||||||||||||||||||||||x|x|x|final</v>
      </c>
    </row>
    <row r="384" spans="77:82" x14ac:dyDescent="0.25">
      <c r="BY384" t="s">
        <v>12</v>
      </c>
      <c r="BZ384" t="s">
        <v>12</v>
      </c>
      <c r="CA384" t="s">
        <v>12</v>
      </c>
      <c r="CB384" t="s">
        <v>1074</v>
      </c>
      <c r="CC384" t="s">
        <v>12</v>
      </c>
      <c r="CD384" t="str" cm="1">
        <f t="array" aca="1" ref="CD384" ca="1">eConcatenar(A384:CB384,"|")</f>
        <v>||||||||||||||||||||||||||||||||||||||||||||||||||||||||||||||||||||||||||||x|x|x|final</v>
      </c>
    </row>
    <row r="385" spans="1:82" x14ac:dyDescent="0.25">
      <c r="BY385" t="s">
        <v>12</v>
      </c>
      <c r="BZ385" t="s">
        <v>12</v>
      </c>
      <c r="CA385" t="s">
        <v>12</v>
      </c>
      <c r="CB385" t="s">
        <v>1074</v>
      </c>
      <c r="CC385" t="s">
        <v>12</v>
      </c>
      <c r="CD385" t="str" cm="1">
        <f t="array" aca="1" ref="CD385" ca="1">eConcatenar(A385:CB385,"|")</f>
        <v>||||||||||||||||||||||||||||||||||||||||||||||||||||||||||||||||||||||||||||x|x|x|final</v>
      </c>
    </row>
    <row r="386" spans="1:82" x14ac:dyDescent="0.25">
      <c r="BY386" t="s">
        <v>12</v>
      </c>
      <c r="BZ386" t="s">
        <v>12</v>
      </c>
      <c r="CA386" t="s">
        <v>12</v>
      </c>
      <c r="CB386" t="s">
        <v>1074</v>
      </c>
      <c r="CC386" t="s">
        <v>12</v>
      </c>
      <c r="CD386" t="str" cm="1">
        <f t="array" aca="1" ref="CD386" ca="1">eConcatenar(A386:CB386,"|")</f>
        <v>||||||||||||||||||||||||||||||||||||||||||||||||||||||||||||||||||||||||||||x|x|x|final</v>
      </c>
    </row>
    <row r="387" spans="1:82" x14ac:dyDescent="0.25">
      <c r="BY387" t="s">
        <v>12</v>
      </c>
      <c r="BZ387" t="s">
        <v>12</v>
      </c>
      <c r="CA387" t="s">
        <v>12</v>
      </c>
      <c r="CB387" t="s">
        <v>1074</v>
      </c>
      <c r="CC387" t="s">
        <v>12</v>
      </c>
      <c r="CD387" t="str" cm="1">
        <f t="array" aca="1" ref="CD387" ca="1">eConcatenar(A387:CB387,"|")</f>
        <v>||||||||||||||||||||||||||||||||||||||||||||||||||||||||||||||||||||||||||||x|x|x|final</v>
      </c>
    </row>
    <row r="388" spans="1:82" x14ac:dyDescent="0.25">
      <c r="BY388" t="s">
        <v>12</v>
      </c>
      <c r="BZ388" t="s">
        <v>12</v>
      </c>
      <c r="CA388" t="s">
        <v>12</v>
      </c>
      <c r="CB388" t="s">
        <v>1074</v>
      </c>
      <c r="CC388" t="s">
        <v>12</v>
      </c>
      <c r="CD388" t="str" cm="1">
        <f t="array" aca="1" ref="CD388" ca="1">eConcatenar(A388:CB388,"|")</f>
        <v>||||||||||||||||||||||||||||||||||||||||||||||||||||||||||||||||||||||||||||x|x|x|final</v>
      </c>
    </row>
    <row r="389" spans="1:82" x14ac:dyDescent="0.25">
      <c r="BY389" t="s">
        <v>12</v>
      </c>
      <c r="BZ389" t="s">
        <v>12</v>
      </c>
      <c r="CA389" t="s">
        <v>12</v>
      </c>
      <c r="CB389" t="s">
        <v>1074</v>
      </c>
      <c r="CC389" t="s">
        <v>12</v>
      </c>
      <c r="CD389" t="str" cm="1">
        <f t="array" aca="1" ref="CD389" ca="1">eConcatenar(A389:CB389,"|")</f>
        <v>||||||||||||||||||||||||||||||||||||||||||||||||||||||||||||||||||||||||||||x|x|x|final</v>
      </c>
    </row>
    <row r="390" spans="1:82" x14ac:dyDescent="0.25">
      <c r="BY390" t="s">
        <v>12</v>
      </c>
      <c r="BZ390" t="s">
        <v>12</v>
      </c>
      <c r="CA390" t="s">
        <v>12</v>
      </c>
      <c r="CB390" t="s">
        <v>1074</v>
      </c>
      <c r="CC390" t="s">
        <v>12</v>
      </c>
      <c r="CD390" t="str" cm="1">
        <f t="array" aca="1" ref="CD390" ca="1">eConcatenar(A390:CB390,"|")</f>
        <v>||||||||||||||||||||||||||||||||||||||||||||||||||||||||||||||||||||||||||||x|x|x|final</v>
      </c>
    </row>
    <row r="391" spans="1:82" x14ac:dyDescent="0.25">
      <c r="BY391" t="s">
        <v>12</v>
      </c>
      <c r="BZ391" t="s">
        <v>12</v>
      </c>
      <c r="CA391" t="s">
        <v>12</v>
      </c>
      <c r="CB391" t="s">
        <v>1074</v>
      </c>
      <c r="CC391" t="s">
        <v>12</v>
      </c>
      <c r="CD391" t="str" cm="1">
        <f t="array" aca="1" ref="CD391" ca="1">eConcatenar(A391:CB391,"|")</f>
        <v>||||||||||||||||||||||||||||||||||||||||||||||||||||||||||||||||||||||||||||x|x|x|final</v>
      </c>
    </row>
    <row r="392" spans="1:82" x14ac:dyDescent="0.25">
      <c r="BY392" t="s">
        <v>12</v>
      </c>
      <c r="BZ392" t="s">
        <v>12</v>
      </c>
      <c r="CA392" t="s">
        <v>12</v>
      </c>
      <c r="CB392" t="s">
        <v>1074</v>
      </c>
      <c r="CC392" t="s">
        <v>12</v>
      </c>
      <c r="CD392" t="str" cm="1">
        <f t="array" aca="1" ref="CD392" ca="1">eConcatenar(A392:CB392,"|")</f>
        <v>||||||||||||||||||||||||||||||||||||||||||||||||||||||||||||||||||||||||||||x|x|x|final</v>
      </c>
    </row>
    <row r="393" spans="1:82" x14ac:dyDescent="0.25">
      <c r="A393" s="18"/>
      <c r="B393" s="18"/>
      <c r="C393" s="18"/>
      <c r="D393" s="18"/>
      <c r="E393" s="18"/>
      <c r="F393" s="18"/>
      <c r="G393" s="18"/>
      <c r="I393" s="18"/>
      <c r="J393" s="18"/>
      <c r="K393" s="18"/>
      <c r="L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8"/>
      <c r="BE393" s="18"/>
      <c r="BF393" s="18"/>
      <c r="BG393" s="18"/>
      <c r="BH393" s="18"/>
      <c r="BI393" s="18"/>
      <c r="BJ393" s="18"/>
      <c r="BK393" s="18"/>
      <c r="BL393" s="18"/>
      <c r="BM393" s="18"/>
      <c r="BN393" s="18"/>
      <c r="BO393" s="18"/>
      <c r="BP393" s="18"/>
      <c r="BQ393" s="18"/>
      <c r="BR393" s="18"/>
      <c r="BS393" s="18"/>
      <c r="BT393" s="18"/>
      <c r="BU393" s="18"/>
      <c r="BV393" s="18"/>
      <c r="BW393" s="18"/>
      <c r="BX393" s="18"/>
      <c r="BY393" t="s">
        <v>12</v>
      </c>
      <c r="BZ393" t="s">
        <v>12</v>
      </c>
      <c r="CA393" t="s">
        <v>12</v>
      </c>
      <c r="CB393" t="s">
        <v>1074</v>
      </c>
      <c r="CC393" t="s">
        <v>12</v>
      </c>
      <c r="CD393" t="str" cm="1">
        <f t="array" aca="1" ref="CD393" ca="1">eConcatenar(A393:CB393,"|")</f>
        <v>||||||||||||||||||||||||||||||||||||||||||||||||||||||||||||||||||||||||||||x|x|x|final</v>
      </c>
    </row>
    <row r="394" spans="1:82" x14ac:dyDescent="0.25">
      <c r="A394" s="18"/>
      <c r="B394" s="18"/>
      <c r="C394" s="18"/>
      <c r="D394" s="18"/>
      <c r="E394" s="18"/>
      <c r="F394" s="18"/>
      <c r="G394" s="18"/>
      <c r="I394" s="18"/>
      <c r="J394" s="18"/>
      <c r="K394" s="18"/>
      <c r="L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8"/>
      <c r="BE394" s="18"/>
      <c r="BF394" s="18"/>
      <c r="BG394" s="18"/>
      <c r="BH394" s="18"/>
      <c r="BI394" s="18"/>
      <c r="BJ394" s="18"/>
      <c r="BK394" s="18"/>
      <c r="BL394" s="18"/>
      <c r="BM394" s="18"/>
      <c r="BN394" s="18"/>
      <c r="BO394" s="18"/>
      <c r="BP394" s="18"/>
      <c r="BQ394" s="18"/>
      <c r="BR394" s="18"/>
      <c r="BS394" s="18"/>
      <c r="BT394" s="18"/>
      <c r="BU394" s="18"/>
      <c r="BV394" s="18"/>
      <c r="BW394" s="18"/>
      <c r="BX394" s="18"/>
      <c r="BY394" t="s">
        <v>12</v>
      </c>
      <c r="BZ394" t="s">
        <v>12</v>
      </c>
      <c r="CA394" t="s">
        <v>12</v>
      </c>
      <c r="CB394" t="s">
        <v>1074</v>
      </c>
      <c r="CC394" t="s">
        <v>12</v>
      </c>
      <c r="CD394" t="str" cm="1">
        <f t="array" aca="1" ref="CD394" ca="1">eConcatenar(A394:CB394,"|")</f>
        <v>||||||||||||||||||||||||||||||||||||||||||||||||||||||||||||||||||||||||||||x|x|x|final</v>
      </c>
    </row>
    <row r="395" spans="1:82" x14ac:dyDescent="0.25">
      <c r="A395" s="18"/>
      <c r="B395" s="18"/>
      <c r="C395" s="18"/>
      <c r="D395" s="18"/>
      <c r="E395" s="18"/>
      <c r="F395" s="18"/>
      <c r="G395" s="18"/>
      <c r="I395" s="18"/>
      <c r="J395" s="18"/>
      <c r="K395" s="18"/>
      <c r="L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8"/>
      <c r="BE395" s="18"/>
      <c r="BF395" s="18"/>
      <c r="BG395" s="18"/>
      <c r="BH395" s="18"/>
      <c r="BI395" s="18"/>
      <c r="BJ395" s="18"/>
      <c r="BK395" s="18"/>
      <c r="BL395" s="18"/>
      <c r="BM395" s="18"/>
      <c r="BN395" s="18"/>
      <c r="BO395" s="18"/>
      <c r="BP395" s="18"/>
      <c r="BQ395" s="18"/>
      <c r="BR395" s="18"/>
      <c r="BS395" s="18"/>
      <c r="BT395" s="18"/>
      <c r="BU395" s="18"/>
      <c r="BV395" s="18"/>
      <c r="BW395" s="18"/>
      <c r="BX395" s="18"/>
      <c r="BY395" t="s">
        <v>12</v>
      </c>
      <c r="BZ395" t="s">
        <v>12</v>
      </c>
      <c r="CA395" t="s">
        <v>12</v>
      </c>
      <c r="CB395" t="s">
        <v>1074</v>
      </c>
      <c r="CC395" t="s">
        <v>12</v>
      </c>
      <c r="CD395" t="str" cm="1">
        <f t="array" aca="1" ref="CD395" ca="1">eConcatenar(A395:CB395,"|")</f>
        <v>||||||||||||||||||||||||||||||||||||||||||||||||||||||||||||||||||||||||||||x|x|x|final</v>
      </c>
    </row>
    <row r="396" spans="1:82" x14ac:dyDescent="0.25">
      <c r="A396" s="18"/>
      <c r="B396" s="18"/>
      <c r="C396" s="18"/>
      <c r="D396" s="18"/>
      <c r="E396" s="18"/>
      <c r="F396" s="18"/>
      <c r="G396" s="18"/>
      <c r="I396" s="18"/>
      <c r="J396" s="18"/>
      <c r="K396" s="18"/>
      <c r="L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8"/>
      <c r="BE396" s="18"/>
      <c r="BF396" s="18"/>
      <c r="BG396" s="18"/>
      <c r="BH396" s="18"/>
      <c r="BI396" s="18"/>
      <c r="BJ396" s="18"/>
      <c r="BK396" s="18"/>
      <c r="BL396" s="18"/>
      <c r="BM396" s="18"/>
      <c r="BN396" s="18"/>
      <c r="BO396" s="18"/>
      <c r="BP396" s="18"/>
      <c r="BQ396" s="18"/>
      <c r="BR396" s="18"/>
      <c r="BS396" s="18"/>
      <c r="BT396" s="18"/>
      <c r="BU396" s="18"/>
      <c r="BV396" s="18"/>
      <c r="BW396" s="18"/>
      <c r="BX396" s="18"/>
      <c r="BY396" t="s">
        <v>12</v>
      </c>
      <c r="BZ396" t="s">
        <v>12</v>
      </c>
      <c r="CA396" t="s">
        <v>12</v>
      </c>
      <c r="CB396" t="s">
        <v>1074</v>
      </c>
      <c r="CC396" t="s">
        <v>12</v>
      </c>
      <c r="CD396" t="str" cm="1">
        <f t="array" aca="1" ref="CD396" ca="1">eConcatenar(A396:CB396,"|")</f>
        <v>||||||||||||||||||||||||||||||||||||||||||||||||||||||||||||||||||||||||||||x|x|x|final</v>
      </c>
    </row>
    <row r="397" spans="1:82" x14ac:dyDescent="0.25">
      <c r="A397" s="18"/>
      <c r="B397" s="18"/>
      <c r="C397" s="18"/>
      <c r="D397" s="18"/>
      <c r="E397" s="18"/>
      <c r="F397" s="18"/>
      <c r="G397" s="18"/>
      <c r="I397" s="18"/>
      <c r="J397" s="18"/>
      <c r="K397" s="18"/>
      <c r="L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8"/>
      <c r="BE397" s="18"/>
      <c r="BF397" s="18"/>
      <c r="BG397" s="18"/>
      <c r="BH397" s="18"/>
      <c r="BI397" s="18"/>
      <c r="BJ397" s="18"/>
      <c r="BK397" s="18"/>
      <c r="BL397" s="18"/>
      <c r="BM397" s="18"/>
      <c r="BN397" s="18"/>
      <c r="BO397" s="18"/>
      <c r="BP397" s="18"/>
      <c r="BQ397" s="18"/>
      <c r="BR397" s="18"/>
      <c r="BS397" s="18"/>
      <c r="BT397" s="18"/>
      <c r="BU397" s="18"/>
      <c r="BV397" s="18"/>
      <c r="BW397" s="18"/>
      <c r="BX397" s="18"/>
      <c r="BY397" t="s">
        <v>12</v>
      </c>
      <c r="BZ397" t="s">
        <v>12</v>
      </c>
      <c r="CA397" t="s">
        <v>12</v>
      </c>
      <c r="CB397" t="s">
        <v>1074</v>
      </c>
      <c r="CC397" t="s">
        <v>12</v>
      </c>
      <c r="CD397" t="str" cm="1">
        <f t="array" aca="1" ref="CD397" ca="1">eConcatenar(A397:CB397,"|")</f>
        <v>||||||||||||||||||||||||||||||||||||||||||||||||||||||||||||||||||||||||||||x|x|x|final</v>
      </c>
    </row>
    <row r="398" spans="1:82" x14ac:dyDescent="0.25">
      <c r="A398" s="18"/>
      <c r="B398" s="18"/>
      <c r="C398" s="18"/>
      <c r="D398" s="18"/>
      <c r="E398" s="18"/>
      <c r="F398" s="18"/>
      <c r="G398" s="18"/>
      <c r="I398" s="18"/>
      <c r="J398" s="18"/>
      <c r="K398" s="18"/>
      <c r="L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8"/>
      <c r="BE398" s="18"/>
      <c r="BF398" s="18"/>
      <c r="BG398" s="18"/>
      <c r="BH398" s="18"/>
      <c r="BI398" s="18"/>
      <c r="BJ398" s="18"/>
      <c r="BK398" s="18"/>
      <c r="BL398" s="18"/>
      <c r="BM398" s="18"/>
      <c r="BN398" s="18"/>
      <c r="BO398" s="18"/>
      <c r="BP398" s="18"/>
      <c r="BQ398" s="18"/>
      <c r="BR398" s="18"/>
      <c r="BS398" s="18"/>
      <c r="BT398" s="18"/>
      <c r="BU398" s="18"/>
      <c r="BV398" s="18"/>
      <c r="BW398" s="18"/>
      <c r="BX398" s="18"/>
      <c r="BY398" t="s">
        <v>12</v>
      </c>
      <c r="BZ398" t="s">
        <v>12</v>
      </c>
      <c r="CA398" t="s">
        <v>12</v>
      </c>
      <c r="CB398" t="s">
        <v>1074</v>
      </c>
      <c r="CC398" t="s">
        <v>12</v>
      </c>
      <c r="CD398" t="str" cm="1">
        <f t="array" aca="1" ref="CD398" ca="1">eConcatenar(A398:CB398,"|")</f>
        <v>||||||||||||||||||||||||||||||||||||||||||||||||||||||||||||||||||||||||||||x|x|x|final</v>
      </c>
    </row>
    <row r="399" spans="1:82" x14ac:dyDescent="0.25">
      <c r="A399" s="18"/>
      <c r="B399" s="18"/>
      <c r="C399" s="18"/>
      <c r="D399" s="18"/>
      <c r="E399" s="18"/>
      <c r="F399" s="18"/>
      <c r="G399" s="18"/>
      <c r="I399" s="18"/>
      <c r="J399" s="18"/>
      <c r="K399" s="18"/>
      <c r="L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8"/>
      <c r="BE399" s="18"/>
      <c r="BF399" s="18"/>
      <c r="BG399" s="18"/>
      <c r="BH399" s="18"/>
      <c r="BI399" s="18"/>
      <c r="BJ399" s="18"/>
      <c r="BK399" s="18"/>
      <c r="BL399" s="18"/>
      <c r="BM399" s="18"/>
      <c r="BN399" s="18"/>
      <c r="BO399" s="18"/>
      <c r="BP399" s="18"/>
      <c r="BQ399" s="18"/>
      <c r="BR399" s="18"/>
      <c r="BS399" s="18"/>
      <c r="BT399" s="18"/>
      <c r="BU399" s="18"/>
      <c r="BV399" s="18"/>
      <c r="BW399" s="18"/>
      <c r="BX399" s="18"/>
      <c r="BY399" t="s">
        <v>12</v>
      </c>
      <c r="BZ399" t="s">
        <v>12</v>
      </c>
      <c r="CA399" t="s">
        <v>12</v>
      </c>
      <c r="CB399" t="s">
        <v>1074</v>
      </c>
      <c r="CC399" t="s">
        <v>12</v>
      </c>
      <c r="CD399" t="str" cm="1">
        <f t="array" aca="1" ref="CD399" ca="1">eConcatenar(A399:CB399,"|")</f>
        <v>||||||||||||||||||||||||||||||||||||||||||||||||||||||||||||||||||||||||||||x|x|x|final</v>
      </c>
    </row>
    <row r="400" spans="1:82" x14ac:dyDescent="0.25">
      <c r="A400" s="18"/>
      <c r="B400" s="18"/>
      <c r="C400" s="18"/>
      <c r="D400" s="18"/>
      <c r="E400" s="18"/>
      <c r="F400" s="18"/>
      <c r="G400" s="18"/>
      <c r="I400" s="18"/>
      <c r="J400" s="18"/>
      <c r="K400" s="18"/>
      <c r="L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8"/>
      <c r="BE400" s="18"/>
      <c r="BF400" s="18"/>
      <c r="BG400" s="18"/>
      <c r="BH400" s="18"/>
      <c r="BI400" s="18"/>
      <c r="BJ400" s="18"/>
      <c r="BK400" s="18"/>
      <c r="BL400" s="18"/>
      <c r="BM400" s="18"/>
      <c r="BN400" s="18"/>
      <c r="BO400" s="18"/>
      <c r="BP400" s="18"/>
      <c r="BQ400" s="18"/>
      <c r="BR400" s="18"/>
      <c r="BS400" s="18"/>
      <c r="BT400" s="18"/>
      <c r="BU400" s="18"/>
      <c r="BV400" s="18"/>
      <c r="BW400" s="18"/>
      <c r="BX400" s="18"/>
      <c r="BY400" t="s">
        <v>12</v>
      </c>
      <c r="BZ400" t="s">
        <v>12</v>
      </c>
      <c r="CA400" t="s">
        <v>12</v>
      </c>
      <c r="CB400" t="s">
        <v>1074</v>
      </c>
      <c r="CC400" t="s">
        <v>12</v>
      </c>
      <c r="CD400" t="str" cm="1">
        <f t="array" aca="1" ref="CD400" ca="1">eConcatenar(A400:CB400,"|")</f>
        <v>||||||||||||||||||||||||||||||||||||||||||||||||||||||||||||||||||||||||||||x|x|x|final</v>
      </c>
    </row>
    <row r="401" spans="1:82" x14ac:dyDescent="0.25">
      <c r="A401" s="18"/>
      <c r="B401" s="18"/>
      <c r="C401" s="18"/>
      <c r="D401" s="18"/>
      <c r="E401" s="18"/>
      <c r="F401" s="18"/>
      <c r="G401" s="18"/>
      <c r="I401" s="18"/>
      <c r="J401" s="18"/>
      <c r="K401" s="18"/>
      <c r="L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8"/>
      <c r="BE401" s="18"/>
      <c r="BF401" s="18"/>
      <c r="BG401" s="18"/>
      <c r="BH401" s="18"/>
      <c r="BI401" s="18"/>
      <c r="BJ401" s="18"/>
      <c r="BK401" s="18"/>
      <c r="BL401" s="18"/>
      <c r="BM401" s="18"/>
      <c r="BN401" s="18"/>
      <c r="BO401" s="18"/>
      <c r="BP401" s="18"/>
      <c r="BQ401" s="18"/>
      <c r="BR401" s="18"/>
      <c r="BS401" s="18"/>
      <c r="BT401" s="18"/>
      <c r="BU401" s="18"/>
      <c r="BV401" s="18"/>
      <c r="BW401" s="18"/>
      <c r="BX401" s="18"/>
      <c r="BY401" t="s">
        <v>12</v>
      </c>
      <c r="BZ401" t="s">
        <v>12</v>
      </c>
      <c r="CA401" t="s">
        <v>12</v>
      </c>
      <c r="CB401" t="s">
        <v>1074</v>
      </c>
      <c r="CC401" t="s">
        <v>12</v>
      </c>
      <c r="CD401" t="str" cm="1">
        <f t="array" aca="1" ref="CD401" ca="1">eConcatenar(A401:CB401,"|")</f>
        <v>||||||||||||||||||||||||||||||||||||||||||||||||||||||||||||||||||||||||||||x|x|x|final</v>
      </c>
    </row>
    <row r="402" spans="1:82" x14ac:dyDescent="0.25">
      <c r="A402" s="18"/>
      <c r="B402" s="18"/>
      <c r="C402" s="18"/>
      <c r="D402" s="18"/>
      <c r="E402" s="18"/>
      <c r="F402" s="18"/>
      <c r="G402" s="18"/>
      <c r="I402" s="18"/>
      <c r="J402" s="18"/>
      <c r="K402" s="18"/>
      <c r="L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8"/>
      <c r="BE402" s="18"/>
      <c r="BF402" s="18"/>
      <c r="BG402" s="18"/>
      <c r="BH402" s="18"/>
      <c r="BI402" s="18"/>
      <c r="BJ402" s="18"/>
      <c r="BK402" s="18"/>
      <c r="BL402" s="18"/>
      <c r="BM402" s="18"/>
      <c r="BN402" s="18"/>
      <c r="BO402" s="18"/>
      <c r="BP402" s="18"/>
      <c r="BQ402" s="18"/>
      <c r="BR402" s="18"/>
      <c r="BS402" s="18"/>
      <c r="BT402" s="18"/>
      <c r="BU402" s="18"/>
      <c r="BV402" s="18"/>
      <c r="BW402" s="18"/>
      <c r="BX402" s="18"/>
      <c r="BY402" t="s">
        <v>12</v>
      </c>
      <c r="BZ402" t="s">
        <v>12</v>
      </c>
      <c r="CA402" t="s">
        <v>12</v>
      </c>
      <c r="CB402" t="s">
        <v>1074</v>
      </c>
      <c r="CC402" t="s">
        <v>12</v>
      </c>
      <c r="CD402" t="str" cm="1">
        <f t="array" aca="1" ref="CD402" ca="1">eConcatenar(A402:CB402,"|")</f>
        <v>||||||||||||||||||||||||||||||||||||||||||||||||||||||||||||||||||||||||||||x|x|x|final</v>
      </c>
    </row>
    <row r="403" spans="1:82" x14ac:dyDescent="0.25">
      <c r="A403" s="18"/>
      <c r="B403" s="18"/>
      <c r="C403" s="18"/>
      <c r="D403" s="18"/>
      <c r="E403" s="18"/>
      <c r="F403" s="18"/>
      <c r="G403" s="18"/>
      <c r="I403" s="18"/>
      <c r="J403" s="18"/>
      <c r="K403" s="18"/>
      <c r="L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8"/>
      <c r="BE403" s="18"/>
      <c r="BF403" s="18"/>
      <c r="BG403" s="18"/>
      <c r="BH403" s="18"/>
      <c r="BI403" s="18"/>
      <c r="BJ403" s="18"/>
      <c r="BK403" s="18"/>
      <c r="BL403" s="18"/>
      <c r="BM403" s="18"/>
      <c r="BN403" s="18"/>
      <c r="BO403" s="18"/>
      <c r="BP403" s="18"/>
      <c r="BQ403" s="18"/>
      <c r="BR403" s="18"/>
      <c r="BS403" s="18"/>
      <c r="BT403" s="18"/>
      <c r="BU403" s="18"/>
      <c r="BV403" s="18"/>
      <c r="BW403" s="18"/>
      <c r="BX403" s="18"/>
      <c r="BY403" t="s">
        <v>12</v>
      </c>
      <c r="BZ403" t="s">
        <v>12</v>
      </c>
      <c r="CA403" t="s">
        <v>12</v>
      </c>
      <c r="CB403" t="s">
        <v>1074</v>
      </c>
      <c r="CC403" t="s">
        <v>12</v>
      </c>
      <c r="CD403" t="str" cm="1">
        <f t="array" aca="1" ref="CD403" ca="1">eConcatenar(A403:CB403,"|")</f>
        <v>||||||||||||||||||||||||||||||||||||||||||||||||||||||||||||||||||||||||||||x|x|x|final</v>
      </c>
    </row>
    <row r="404" spans="1:82" x14ac:dyDescent="0.25">
      <c r="A404" s="18"/>
      <c r="B404" s="18"/>
      <c r="C404" s="18"/>
      <c r="D404" s="18"/>
      <c r="E404" s="18"/>
      <c r="F404" s="18"/>
      <c r="G404" s="18"/>
      <c r="I404" s="18"/>
      <c r="J404" s="18"/>
      <c r="K404" s="18"/>
      <c r="L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8"/>
      <c r="BE404" s="18"/>
      <c r="BF404" s="18"/>
      <c r="BG404" s="18"/>
      <c r="BH404" s="18"/>
      <c r="BI404" s="18"/>
      <c r="BJ404" s="18"/>
      <c r="BK404" s="18"/>
      <c r="BL404" s="18"/>
      <c r="BM404" s="18"/>
      <c r="BN404" s="18"/>
      <c r="BO404" s="18"/>
      <c r="BP404" s="18"/>
      <c r="BQ404" s="18"/>
      <c r="BR404" s="18"/>
      <c r="BS404" s="18"/>
      <c r="BT404" s="18"/>
      <c r="BU404" s="18"/>
      <c r="BV404" s="18"/>
      <c r="BW404" s="18"/>
      <c r="BX404" s="18"/>
      <c r="BY404" t="s">
        <v>12</v>
      </c>
      <c r="BZ404" t="s">
        <v>12</v>
      </c>
      <c r="CA404" t="s">
        <v>12</v>
      </c>
      <c r="CB404" t="s">
        <v>1074</v>
      </c>
      <c r="CC404" t="s">
        <v>12</v>
      </c>
      <c r="CD404" t="str" cm="1">
        <f t="array" aca="1" ref="CD404" ca="1">eConcatenar(A404:CB404,"|")</f>
        <v>||||||||||||||||||||||||||||||||||||||||||||||||||||||||||||||||||||||||||||x|x|x|final</v>
      </c>
    </row>
    <row r="405" spans="1:82" x14ac:dyDescent="0.25">
      <c r="A405" s="18"/>
      <c r="B405" s="18"/>
      <c r="C405" s="18"/>
      <c r="D405" s="18"/>
      <c r="E405" s="18"/>
      <c r="F405" s="18"/>
      <c r="G405" s="18"/>
      <c r="I405" s="18"/>
      <c r="J405" s="18"/>
      <c r="K405" s="18"/>
      <c r="L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8"/>
      <c r="BE405" s="18"/>
      <c r="BF405" s="18"/>
      <c r="BG405" s="18"/>
      <c r="BH405" s="18"/>
      <c r="BI405" s="18"/>
      <c r="BJ405" s="18"/>
      <c r="BK405" s="18"/>
      <c r="BL405" s="18"/>
      <c r="BM405" s="18"/>
      <c r="BN405" s="18"/>
      <c r="BO405" s="18"/>
      <c r="BP405" s="18"/>
      <c r="BQ405" s="18"/>
      <c r="BR405" s="18"/>
      <c r="BS405" s="18"/>
      <c r="BT405" s="18"/>
      <c r="BU405" s="18"/>
      <c r="BV405" s="18"/>
      <c r="BW405" s="18"/>
      <c r="BX405" s="18"/>
      <c r="BY405" t="s">
        <v>12</v>
      </c>
      <c r="BZ405" t="s">
        <v>12</v>
      </c>
      <c r="CA405" t="s">
        <v>12</v>
      </c>
      <c r="CB405" t="s">
        <v>1074</v>
      </c>
      <c r="CC405" t="s">
        <v>12</v>
      </c>
      <c r="CD405" t="str" cm="1">
        <f t="array" aca="1" ref="CD405" ca="1">eConcatenar(A405:CB405,"|")</f>
        <v>||||||||||||||||||||||||||||||||||||||||||||||||||||||||||||||||||||||||||||x|x|x|final</v>
      </c>
    </row>
    <row r="406" spans="1:82" x14ac:dyDescent="0.25">
      <c r="A406" s="18"/>
      <c r="B406" s="18"/>
      <c r="C406" s="18"/>
      <c r="D406" s="18"/>
      <c r="E406" s="18"/>
      <c r="F406" s="18"/>
      <c r="G406" s="18"/>
      <c r="I406" s="18"/>
      <c r="J406" s="18"/>
      <c r="K406" s="18"/>
      <c r="L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8"/>
      <c r="BE406" s="18"/>
      <c r="BF406" s="18"/>
      <c r="BG406" s="18"/>
      <c r="BH406" s="18"/>
      <c r="BI406" s="18"/>
      <c r="BJ406" s="18"/>
      <c r="BK406" s="18"/>
      <c r="BL406" s="18"/>
      <c r="BM406" s="18"/>
      <c r="BN406" s="18"/>
      <c r="BO406" s="18"/>
      <c r="BP406" s="18"/>
      <c r="BQ406" s="18"/>
      <c r="BR406" s="18"/>
      <c r="BS406" s="18"/>
      <c r="BT406" s="18"/>
      <c r="BU406" s="18"/>
      <c r="BV406" s="18"/>
      <c r="BW406" s="18"/>
      <c r="BX406" s="18"/>
      <c r="BY406" t="s">
        <v>12</v>
      </c>
      <c r="BZ406" t="s">
        <v>12</v>
      </c>
      <c r="CA406" t="s">
        <v>12</v>
      </c>
      <c r="CB406" t="s">
        <v>1074</v>
      </c>
      <c r="CC406" t="s">
        <v>12</v>
      </c>
      <c r="CD406" t="str" cm="1">
        <f t="array" aca="1" ref="CD406" ca="1">eConcatenar(A406:CB406,"|")</f>
        <v>||||||||||||||||||||||||||||||||||||||||||||||||||||||||||||||||||||||||||||x|x|x|final</v>
      </c>
    </row>
    <row r="407" spans="1:82" x14ac:dyDescent="0.25">
      <c r="A407" s="18"/>
      <c r="B407" s="18"/>
      <c r="C407" s="18"/>
      <c r="D407" s="18"/>
      <c r="E407" s="18"/>
      <c r="F407" s="18"/>
      <c r="G407" s="18"/>
      <c r="I407" s="18"/>
      <c r="J407" s="18"/>
      <c r="K407" s="18"/>
      <c r="L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8"/>
      <c r="BE407" s="18"/>
      <c r="BF407" s="18"/>
      <c r="BG407" s="18"/>
      <c r="BH407" s="18"/>
      <c r="BI407" s="18"/>
      <c r="BJ407" s="18"/>
      <c r="BK407" s="18"/>
      <c r="BL407" s="18"/>
      <c r="BM407" s="18"/>
      <c r="BN407" s="18"/>
      <c r="BO407" s="18"/>
      <c r="BP407" s="18"/>
      <c r="BQ407" s="18"/>
      <c r="BR407" s="18"/>
      <c r="BS407" s="18"/>
      <c r="BT407" s="18"/>
      <c r="BU407" s="18"/>
      <c r="BV407" s="18"/>
      <c r="BW407" s="18"/>
      <c r="BX407" s="18"/>
      <c r="BY407" t="s">
        <v>12</v>
      </c>
      <c r="BZ407" t="s">
        <v>12</v>
      </c>
      <c r="CA407" t="s">
        <v>12</v>
      </c>
      <c r="CB407" t="s">
        <v>1074</v>
      </c>
      <c r="CC407" t="s">
        <v>12</v>
      </c>
      <c r="CD407" t="str" cm="1">
        <f t="array" aca="1" ref="CD407" ca="1">eConcatenar(A407:CB407,"|")</f>
        <v>||||||||||||||||||||||||||||||||||||||||||||||||||||||||||||||||||||||||||||x|x|x|final</v>
      </c>
    </row>
    <row r="408" spans="1:82" x14ac:dyDescent="0.25">
      <c r="A408" s="18"/>
      <c r="B408" s="18"/>
      <c r="C408" s="18"/>
      <c r="D408" s="18"/>
      <c r="E408" s="18"/>
      <c r="F408" s="18"/>
      <c r="G408" s="18"/>
      <c r="I408" s="18"/>
      <c r="J408" s="18"/>
      <c r="K408" s="18"/>
      <c r="L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8"/>
      <c r="BE408" s="18"/>
      <c r="BF408" s="18"/>
      <c r="BG408" s="18"/>
      <c r="BH408" s="18"/>
      <c r="BI408" s="18"/>
      <c r="BJ408" s="18"/>
      <c r="BK408" s="18"/>
      <c r="BL408" s="18"/>
      <c r="BM408" s="18"/>
      <c r="BN408" s="18"/>
      <c r="BO408" s="18"/>
      <c r="BP408" s="18"/>
      <c r="BQ408" s="18"/>
      <c r="BR408" s="18"/>
      <c r="BS408" s="18"/>
      <c r="BT408" s="18"/>
      <c r="BU408" s="18"/>
      <c r="BV408" s="18"/>
      <c r="BW408" s="18"/>
      <c r="BX408" s="18"/>
      <c r="BY408" t="s">
        <v>12</v>
      </c>
      <c r="BZ408" t="s">
        <v>12</v>
      </c>
      <c r="CA408" t="s">
        <v>12</v>
      </c>
      <c r="CB408" t="s">
        <v>1074</v>
      </c>
      <c r="CC408" t="s">
        <v>12</v>
      </c>
      <c r="CD408" t="str" cm="1">
        <f t="array" aca="1" ref="CD408" ca="1">eConcatenar(A408:CB408,"|")</f>
        <v>||||||||||||||||||||||||||||||||||||||||||||||||||||||||||||||||||||||||||||x|x|x|final</v>
      </c>
    </row>
    <row r="409" spans="1:82" x14ac:dyDescent="0.25">
      <c r="A409" s="18"/>
      <c r="B409" s="18"/>
      <c r="C409" s="18"/>
      <c r="D409" s="18"/>
      <c r="E409" s="18"/>
      <c r="F409" s="18"/>
      <c r="G409" s="18"/>
      <c r="I409" s="18"/>
      <c r="J409" s="18"/>
      <c r="K409" s="18"/>
      <c r="L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8"/>
      <c r="BE409" s="18"/>
      <c r="BF409" s="18"/>
      <c r="BG409" s="18"/>
      <c r="BH409" s="18"/>
      <c r="BI409" s="18"/>
      <c r="BJ409" s="18"/>
      <c r="BK409" s="18"/>
      <c r="BL409" s="18"/>
      <c r="BM409" s="18"/>
      <c r="BN409" s="18"/>
      <c r="BO409" s="18"/>
      <c r="BP409" s="18"/>
      <c r="BQ409" s="18"/>
      <c r="BR409" s="18"/>
      <c r="BS409" s="18"/>
      <c r="BT409" s="18"/>
      <c r="BU409" s="18"/>
      <c r="BV409" s="18"/>
      <c r="BW409" s="18"/>
      <c r="BX409" s="18"/>
      <c r="BY409" t="s">
        <v>12</v>
      </c>
      <c r="BZ409" t="s">
        <v>12</v>
      </c>
      <c r="CA409" t="s">
        <v>12</v>
      </c>
      <c r="CB409" t="s">
        <v>1074</v>
      </c>
      <c r="CC409" t="s">
        <v>12</v>
      </c>
      <c r="CD409" t="str" cm="1">
        <f t="array" aca="1" ref="CD409" ca="1">eConcatenar(A409:CB409,"|")</f>
        <v>||||||||||||||||||||||||||||||||||||||||||||||||||||||||||||||||||||||||||||x|x|x|final</v>
      </c>
    </row>
    <row r="410" spans="1:82" x14ac:dyDescent="0.25">
      <c r="A410" s="18"/>
      <c r="B410" s="18"/>
      <c r="C410" s="18"/>
      <c r="D410" s="18"/>
      <c r="E410" s="18"/>
      <c r="F410" s="18"/>
      <c r="G410" s="18"/>
      <c r="I410" s="18"/>
      <c r="J410" s="18"/>
      <c r="K410" s="18"/>
      <c r="L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8"/>
      <c r="BE410" s="18"/>
      <c r="BF410" s="18"/>
      <c r="BG410" s="18"/>
      <c r="BH410" s="18"/>
      <c r="BI410" s="18"/>
      <c r="BJ410" s="18"/>
      <c r="BK410" s="18"/>
      <c r="BL410" s="18"/>
      <c r="BM410" s="18"/>
      <c r="BN410" s="18"/>
      <c r="BO410" s="18"/>
      <c r="BP410" s="18"/>
      <c r="BQ410" s="18"/>
      <c r="BR410" s="18"/>
      <c r="BS410" s="18"/>
      <c r="BT410" s="18"/>
      <c r="BU410" s="18"/>
      <c r="BV410" s="18"/>
      <c r="BW410" s="18"/>
      <c r="BX410" s="18"/>
      <c r="BY410" t="s">
        <v>12</v>
      </c>
      <c r="BZ410" t="s">
        <v>12</v>
      </c>
      <c r="CA410" t="s">
        <v>12</v>
      </c>
      <c r="CB410" t="s">
        <v>1074</v>
      </c>
      <c r="CC410" t="s">
        <v>12</v>
      </c>
      <c r="CD410" t="str" cm="1">
        <f t="array" aca="1" ref="CD410" ca="1">eConcatenar(A410:CB410,"|")</f>
        <v>||||||||||||||||||||||||||||||||||||||||||||||||||||||||||||||||||||||||||||x|x|x|final</v>
      </c>
    </row>
    <row r="411" spans="1:82" x14ac:dyDescent="0.25">
      <c r="BE411" s="1"/>
      <c r="BM411" s="2"/>
      <c r="BY411" t="s">
        <v>12</v>
      </c>
      <c r="BZ411" t="s">
        <v>12</v>
      </c>
      <c r="CA411" t="s">
        <v>12</v>
      </c>
      <c r="CB411" t="s">
        <v>1074</v>
      </c>
      <c r="CC411" t="s">
        <v>12</v>
      </c>
      <c r="CD411" t="str" cm="1">
        <f t="array" aca="1" ref="CD411" ca="1">eConcatenar(A411:CB411,"|")</f>
        <v>||||||||||||||||||||||||||||||||||||||||||||||||||||||||||||||||||||||||||||x|x|x|final</v>
      </c>
    </row>
    <row r="412" spans="1:82" x14ac:dyDescent="0.25">
      <c r="BY412" t="s">
        <v>12</v>
      </c>
      <c r="BZ412" t="s">
        <v>12</v>
      </c>
      <c r="CA412" t="s">
        <v>12</v>
      </c>
      <c r="CB412" t="s">
        <v>1074</v>
      </c>
      <c r="CC412" t="s">
        <v>12</v>
      </c>
      <c r="CD412" t="str" cm="1">
        <f t="array" aca="1" ref="CD412" ca="1">eConcatenar(A412:CB412,"|")</f>
        <v>||||||||||||||||||||||||||||||||||||||||||||||||||||||||||||||||||||||||||||x|x|x|final</v>
      </c>
    </row>
    <row r="413" spans="1:82" x14ac:dyDescent="0.25">
      <c r="BY413" t="s">
        <v>12</v>
      </c>
      <c r="BZ413" t="s">
        <v>12</v>
      </c>
      <c r="CA413" t="s">
        <v>12</v>
      </c>
      <c r="CB413" t="s">
        <v>1074</v>
      </c>
      <c r="CC413" t="s">
        <v>12</v>
      </c>
      <c r="CD413" t="str" cm="1">
        <f t="array" aca="1" ref="CD413" ca="1">eConcatenar(A413:CB413,"|")</f>
        <v>||||||||||||||||||||||||||||||||||||||||||||||||||||||||||||||||||||||||||||x|x|x|final</v>
      </c>
    </row>
    <row r="414" spans="1:82" x14ac:dyDescent="0.25">
      <c r="BY414" t="s">
        <v>12</v>
      </c>
      <c r="BZ414" t="s">
        <v>12</v>
      </c>
      <c r="CA414" t="s">
        <v>12</v>
      </c>
      <c r="CB414" t="s">
        <v>1074</v>
      </c>
      <c r="CC414" t="s">
        <v>12</v>
      </c>
      <c r="CD414" t="str" cm="1">
        <f t="array" aca="1" ref="CD414" ca="1">eConcatenar(A414:CB414,"|")</f>
        <v>||||||||||||||||||||||||||||||||||||||||||||||||||||||||||||||||||||||||||||x|x|x|final</v>
      </c>
    </row>
    <row r="415" spans="1:82" x14ac:dyDescent="0.25">
      <c r="BY415" t="s">
        <v>12</v>
      </c>
      <c r="BZ415" t="s">
        <v>12</v>
      </c>
      <c r="CA415" t="s">
        <v>12</v>
      </c>
      <c r="CB415" t="s">
        <v>1074</v>
      </c>
      <c r="CC415" t="s">
        <v>12</v>
      </c>
      <c r="CD415" t="str" cm="1">
        <f t="array" aca="1" ref="CD415" ca="1">eConcatenar(A415:CB415,"|")</f>
        <v>||||||||||||||||||||||||||||||||||||||||||||||||||||||||||||||||||||||||||||x|x|x|final</v>
      </c>
    </row>
    <row r="416" spans="1:82" x14ac:dyDescent="0.25">
      <c r="BY416" t="s">
        <v>12</v>
      </c>
      <c r="BZ416" t="s">
        <v>12</v>
      </c>
      <c r="CA416" t="s">
        <v>12</v>
      </c>
      <c r="CB416" t="s">
        <v>1074</v>
      </c>
      <c r="CC416" t="s">
        <v>12</v>
      </c>
      <c r="CD416" t="str" cm="1">
        <f t="array" aca="1" ref="CD416" ca="1">eConcatenar(A416:CB416,"|")</f>
        <v>||||||||||||||||||||||||||||||||||||||||||||||||||||||||||||||||||||||||||||x|x|x|final</v>
      </c>
    </row>
    <row r="417" spans="77:82" x14ac:dyDescent="0.25">
      <c r="BY417" t="s">
        <v>12</v>
      </c>
      <c r="BZ417" t="s">
        <v>12</v>
      </c>
      <c r="CA417" t="s">
        <v>12</v>
      </c>
      <c r="CB417" t="s">
        <v>1074</v>
      </c>
      <c r="CC417" t="s">
        <v>12</v>
      </c>
      <c r="CD417" t="str" cm="1">
        <f t="array" aca="1" ref="CD417" ca="1">eConcatenar(A417:CB417,"|")</f>
        <v>||||||||||||||||||||||||||||||||||||||||||||||||||||||||||||||||||||||||||||x|x|x|final</v>
      </c>
    </row>
    <row r="418" spans="77:82" x14ac:dyDescent="0.25">
      <c r="BY418" t="s">
        <v>12</v>
      </c>
      <c r="BZ418" t="s">
        <v>12</v>
      </c>
      <c r="CA418" t="s">
        <v>12</v>
      </c>
      <c r="CB418" t="s">
        <v>1074</v>
      </c>
      <c r="CC418" t="s">
        <v>12</v>
      </c>
      <c r="CD418" t="str" cm="1">
        <f t="array" aca="1" ref="CD418" ca="1">eConcatenar(A418:CB418,"|")</f>
        <v>||||||||||||||||||||||||||||||||||||||||||||||||||||||||||||||||||||||||||||x|x|x|final</v>
      </c>
    </row>
    <row r="419" spans="77:82" x14ac:dyDescent="0.25">
      <c r="BY419" t="s">
        <v>12</v>
      </c>
      <c r="BZ419" t="s">
        <v>12</v>
      </c>
      <c r="CA419" t="s">
        <v>12</v>
      </c>
      <c r="CB419" t="s">
        <v>1074</v>
      </c>
      <c r="CC419" t="s">
        <v>12</v>
      </c>
      <c r="CD419" t="str" cm="1">
        <f t="array" aca="1" ref="CD419" ca="1">eConcatenar(A419:CB419,"|")</f>
        <v>||||||||||||||||||||||||||||||||||||||||||||||||||||||||||||||||||||||||||||x|x|x|final</v>
      </c>
    </row>
    <row r="420" spans="77:82" x14ac:dyDescent="0.25">
      <c r="BY420" t="s">
        <v>12</v>
      </c>
      <c r="BZ420" t="s">
        <v>12</v>
      </c>
      <c r="CA420" t="s">
        <v>12</v>
      </c>
      <c r="CB420" t="s">
        <v>1074</v>
      </c>
      <c r="CC420" t="s">
        <v>12</v>
      </c>
      <c r="CD420" t="str" cm="1">
        <f t="array" aca="1" ref="CD420" ca="1">eConcatenar(A420:CB420,"|")</f>
        <v>||||||||||||||||||||||||||||||||||||||||||||||||||||||||||||||||||||||||||||x|x|x|final</v>
      </c>
    </row>
    <row r="421" spans="77:82" x14ac:dyDescent="0.25">
      <c r="BY421" t="s">
        <v>12</v>
      </c>
      <c r="BZ421" t="s">
        <v>12</v>
      </c>
      <c r="CA421" t="s">
        <v>12</v>
      </c>
      <c r="CB421" t="s">
        <v>1074</v>
      </c>
      <c r="CC421" t="s">
        <v>12</v>
      </c>
      <c r="CD421" t="str" cm="1">
        <f t="array" aca="1" ref="CD421" ca="1">eConcatenar(A421:CB421,"|")</f>
        <v>||||||||||||||||||||||||||||||||||||||||||||||||||||||||||||||||||||||||||||x|x|x|final</v>
      </c>
    </row>
    <row r="422" spans="77:82" x14ac:dyDescent="0.25">
      <c r="BY422" t="s">
        <v>12</v>
      </c>
      <c r="BZ422" t="s">
        <v>12</v>
      </c>
      <c r="CA422" t="s">
        <v>12</v>
      </c>
      <c r="CB422" t="s">
        <v>1074</v>
      </c>
      <c r="CC422" t="s">
        <v>12</v>
      </c>
      <c r="CD422" t="str" cm="1">
        <f t="array" aca="1" ref="CD422" ca="1">eConcatenar(A422:CB422,"|")</f>
        <v>||||||||||||||||||||||||||||||||||||||||||||||||||||||||||||||||||||||||||||x|x|x|final</v>
      </c>
    </row>
    <row r="423" spans="77:82" x14ac:dyDescent="0.25">
      <c r="BY423" t="s">
        <v>12</v>
      </c>
      <c r="BZ423" t="s">
        <v>12</v>
      </c>
      <c r="CA423" t="s">
        <v>12</v>
      </c>
      <c r="CB423" t="s">
        <v>1074</v>
      </c>
      <c r="CC423" t="s">
        <v>12</v>
      </c>
      <c r="CD423" t="str" cm="1">
        <f t="array" aca="1" ref="CD423" ca="1">eConcatenar(A423:CB423,"|")</f>
        <v>||||||||||||||||||||||||||||||||||||||||||||||||||||||||||||||||||||||||||||x|x|x|final</v>
      </c>
    </row>
    <row r="424" spans="77:82" x14ac:dyDescent="0.25">
      <c r="BY424" t="s">
        <v>12</v>
      </c>
      <c r="BZ424" t="s">
        <v>12</v>
      </c>
      <c r="CA424" t="s">
        <v>12</v>
      </c>
      <c r="CB424" t="s">
        <v>1074</v>
      </c>
      <c r="CC424" t="s">
        <v>12</v>
      </c>
      <c r="CD424" t="str" cm="1">
        <f t="array" aca="1" ref="CD424" ca="1">eConcatenar(A424:CB424,"|")</f>
        <v>||||||||||||||||||||||||||||||||||||||||||||||||||||||||||||||||||||||||||||x|x|x|final</v>
      </c>
    </row>
    <row r="425" spans="77:82" x14ac:dyDescent="0.25">
      <c r="BY425" t="s">
        <v>12</v>
      </c>
      <c r="BZ425" t="s">
        <v>12</v>
      </c>
      <c r="CA425" t="s">
        <v>12</v>
      </c>
      <c r="CB425" t="s">
        <v>1074</v>
      </c>
      <c r="CC425" t="s">
        <v>12</v>
      </c>
      <c r="CD425" t="str" cm="1">
        <f t="array" aca="1" ref="CD425" ca="1">eConcatenar(A425:CB425,"|")</f>
        <v>||||||||||||||||||||||||||||||||||||||||||||||||||||||||||||||||||||||||||||x|x|x|final</v>
      </c>
    </row>
    <row r="426" spans="77:82" x14ac:dyDescent="0.25">
      <c r="BY426" t="s">
        <v>12</v>
      </c>
      <c r="BZ426" t="s">
        <v>12</v>
      </c>
      <c r="CA426" t="s">
        <v>12</v>
      </c>
      <c r="CB426" t="s">
        <v>1074</v>
      </c>
      <c r="CC426" t="s">
        <v>12</v>
      </c>
      <c r="CD426" t="str" cm="1">
        <f t="array" aca="1" ref="CD426" ca="1">eConcatenar(A426:CB426,"|")</f>
        <v>||||||||||||||||||||||||||||||||||||||||||||||||||||||||||||||||||||||||||||x|x|x|final</v>
      </c>
    </row>
    <row r="427" spans="77:82" x14ac:dyDescent="0.25">
      <c r="BY427" t="s">
        <v>12</v>
      </c>
      <c r="BZ427" t="s">
        <v>12</v>
      </c>
      <c r="CA427" t="s">
        <v>12</v>
      </c>
      <c r="CB427" t="s">
        <v>1074</v>
      </c>
      <c r="CC427" t="s">
        <v>12</v>
      </c>
      <c r="CD427" t="str" cm="1">
        <f t="array" aca="1" ref="CD427" ca="1">eConcatenar(A427:CB427,"|")</f>
        <v>||||||||||||||||||||||||||||||||||||||||||||||||||||||||||||||||||||||||||||x|x|x|final</v>
      </c>
    </row>
    <row r="428" spans="77:82" x14ac:dyDescent="0.25">
      <c r="BY428" t="s">
        <v>12</v>
      </c>
      <c r="BZ428" t="s">
        <v>12</v>
      </c>
      <c r="CA428" t="s">
        <v>12</v>
      </c>
      <c r="CB428" t="s">
        <v>1074</v>
      </c>
      <c r="CC428" t="s">
        <v>12</v>
      </c>
      <c r="CD428" t="str" cm="1">
        <f t="array" aca="1" ref="CD428" ca="1">eConcatenar(A428:CB428,"|")</f>
        <v>||||||||||||||||||||||||||||||||||||||||||||||||||||||||||||||||||||||||||||x|x|x|final</v>
      </c>
    </row>
    <row r="429" spans="77:82" x14ac:dyDescent="0.25">
      <c r="BY429" t="s">
        <v>12</v>
      </c>
      <c r="BZ429" t="s">
        <v>12</v>
      </c>
      <c r="CA429" t="s">
        <v>12</v>
      </c>
      <c r="CB429" t="s">
        <v>1074</v>
      </c>
      <c r="CC429" t="s">
        <v>12</v>
      </c>
      <c r="CD429" t="str" cm="1">
        <f t="array" aca="1" ref="CD429" ca="1">eConcatenar(A429:CB429,"|")</f>
        <v>||||||||||||||||||||||||||||||||||||||||||||||||||||||||||||||||||||||||||||x|x|x|final</v>
      </c>
    </row>
    <row r="430" spans="77:82" x14ac:dyDescent="0.25">
      <c r="BY430" t="s">
        <v>12</v>
      </c>
      <c r="BZ430" t="s">
        <v>12</v>
      </c>
      <c r="CA430" t="s">
        <v>12</v>
      </c>
      <c r="CB430" t="s">
        <v>1074</v>
      </c>
      <c r="CC430" t="s">
        <v>12</v>
      </c>
      <c r="CD430" t="str" cm="1">
        <f t="array" aca="1" ref="CD430" ca="1">eConcatenar(A430:CB430,"|")</f>
        <v>||||||||||||||||||||||||||||||||||||||||||||||||||||||||||||||||||||||||||||x|x|x|final</v>
      </c>
    </row>
    <row r="431" spans="77:82" x14ac:dyDescent="0.25">
      <c r="BY431" t="s">
        <v>12</v>
      </c>
      <c r="BZ431" t="s">
        <v>12</v>
      </c>
      <c r="CA431" t="s">
        <v>12</v>
      </c>
      <c r="CB431" t="s">
        <v>1074</v>
      </c>
      <c r="CC431" t="s">
        <v>12</v>
      </c>
      <c r="CD431" t="str" cm="1">
        <f t="array" aca="1" ref="CD431" ca="1">eConcatenar(A431:CB431,"|")</f>
        <v>||||||||||||||||||||||||||||||||||||||||||||||||||||||||||||||||||||||||||||x|x|x|final</v>
      </c>
    </row>
    <row r="432" spans="77:82" x14ac:dyDescent="0.25">
      <c r="BY432" t="s">
        <v>12</v>
      </c>
      <c r="BZ432" t="s">
        <v>12</v>
      </c>
      <c r="CA432" t="s">
        <v>12</v>
      </c>
      <c r="CB432" t="s">
        <v>1074</v>
      </c>
      <c r="CC432" t="s">
        <v>12</v>
      </c>
      <c r="CD432" t="str" cm="1">
        <f t="array" aca="1" ref="CD432" ca="1">eConcatenar(A432:CB432,"|")</f>
        <v>||||||||||||||||||||||||||||||||||||||||||||||||||||||||||||||||||||||||||||x|x|x|final</v>
      </c>
    </row>
    <row r="433" spans="77:82" x14ac:dyDescent="0.25">
      <c r="BY433" t="s">
        <v>12</v>
      </c>
      <c r="BZ433" t="s">
        <v>12</v>
      </c>
      <c r="CA433" t="s">
        <v>12</v>
      </c>
      <c r="CB433" t="s">
        <v>1074</v>
      </c>
      <c r="CC433" t="s">
        <v>12</v>
      </c>
      <c r="CD433" t="str" cm="1">
        <f t="array" aca="1" ref="CD433" ca="1">eConcatenar(A433:CB433,"|")</f>
        <v>||||||||||||||||||||||||||||||||||||||||||||||||||||||||||||||||||||||||||||x|x|x|final</v>
      </c>
    </row>
    <row r="434" spans="77:82" x14ac:dyDescent="0.25">
      <c r="BY434" t="s">
        <v>12</v>
      </c>
      <c r="BZ434" t="s">
        <v>12</v>
      </c>
      <c r="CA434" t="s">
        <v>12</v>
      </c>
      <c r="CB434" t="s">
        <v>1074</v>
      </c>
      <c r="CC434" t="s">
        <v>12</v>
      </c>
      <c r="CD434" t="str" cm="1">
        <f t="array" aca="1" ref="CD434" ca="1">eConcatenar(A434:CB434,"|")</f>
        <v>||||||||||||||||||||||||||||||||||||||||||||||||||||||||||||||||||||||||||||x|x|x|final</v>
      </c>
    </row>
    <row r="435" spans="77:82" x14ac:dyDescent="0.25">
      <c r="BY435" t="s">
        <v>12</v>
      </c>
      <c r="BZ435" t="s">
        <v>12</v>
      </c>
      <c r="CA435" t="s">
        <v>12</v>
      </c>
      <c r="CB435" t="s">
        <v>1074</v>
      </c>
      <c r="CC435" t="s">
        <v>12</v>
      </c>
      <c r="CD435" t="str" cm="1">
        <f t="array" aca="1" ref="CD435" ca="1">eConcatenar(A435:CB435,"|")</f>
        <v>||||||||||||||||||||||||||||||||||||||||||||||||||||||||||||||||||||||||||||x|x|x|final</v>
      </c>
    </row>
    <row r="436" spans="77:82" x14ac:dyDescent="0.25">
      <c r="BY436" t="s">
        <v>12</v>
      </c>
      <c r="BZ436" t="s">
        <v>12</v>
      </c>
      <c r="CA436" t="s">
        <v>12</v>
      </c>
      <c r="CB436" t="s">
        <v>1074</v>
      </c>
      <c r="CC436" t="s">
        <v>12</v>
      </c>
      <c r="CD436" t="str" cm="1">
        <f t="array" aca="1" ref="CD436" ca="1">eConcatenar(A436:CB436,"|")</f>
        <v>||||||||||||||||||||||||||||||||||||||||||||||||||||||||||||||||||||||||||||x|x|x|final</v>
      </c>
    </row>
    <row r="437" spans="77:82" x14ac:dyDescent="0.25">
      <c r="BY437" t="s">
        <v>12</v>
      </c>
      <c r="BZ437" t="s">
        <v>12</v>
      </c>
      <c r="CA437" t="s">
        <v>12</v>
      </c>
      <c r="CB437" t="s">
        <v>1074</v>
      </c>
      <c r="CC437" t="s">
        <v>12</v>
      </c>
      <c r="CD437" t="str" cm="1">
        <f t="array" aca="1" ref="CD437" ca="1">eConcatenar(A437:CB437,"|")</f>
        <v>||||||||||||||||||||||||||||||||||||||||||||||||||||||||||||||||||||||||||||x|x|x|final</v>
      </c>
    </row>
    <row r="438" spans="77:82" x14ac:dyDescent="0.25">
      <c r="BY438" t="s">
        <v>12</v>
      </c>
      <c r="BZ438" t="s">
        <v>12</v>
      </c>
      <c r="CA438" t="s">
        <v>12</v>
      </c>
      <c r="CB438" t="s">
        <v>1074</v>
      </c>
      <c r="CC438" t="s">
        <v>12</v>
      </c>
      <c r="CD438" t="str" cm="1">
        <f t="array" aca="1" ref="CD438" ca="1">eConcatenar(A438:CB438,"|")</f>
        <v>||||||||||||||||||||||||||||||||||||||||||||||||||||||||||||||||||||||||||||x|x|x|final</v>
      </c>
    </row>
    <row r="439" spans="77:82" x14ac:dyDescent="0.25">
      <c r="BY439" t="s">
        <v>12</v>
      </c>
      <c r="BZ439" t="s">
        <v>12</v>
      </c>
      <c r="CA439" t="s">
        <v>12</v>
      </c>
      <c r="CB439" t="s">
        <v>1074</v>
      </c>
      <c r="CC439" t="s">
        <v>12</v>
      </c>
      <c r="CD439" t="str" cm="1">
        <f t="array" aca="1" ref="CD439" ca="1">eConcatenar(A439:CB439,"|")</f>
        <v>||||||||||||||||||||||||||||||||||||||||||||||||||||||||||||||||||||||||||||x|x|x|final</v>
      </c>
    </row>
    <row r="440" spans="77:82" x14ac:dyDescent="0.25">
      <c r="BY440" t="s">
        <v>12</v>
      </c>
      <c r="BZ440" t="s">
        <v>12</v>
      </c>
      <c r="CA440" t="s">
        <v>12</v>
      </c>
      <c r="CB440" t="s">
        <v>1074</v>
      </c>
      <c r="CC440" t="s">
        <v>12</v>
      </c>
      <c r="CD440" t="str" cm="1">
        <f t="array" aca="1" ref="CD440" ca="1">eConcatenar(A440:CB440,"|")</f>
        <v>||||||||||||||||||||||||||||||||||||||||||||||||||||||||||||||||||||||||||||x|x|x|final</v>
      </c>
    </row>
    <row r="441" spans="77:82" x14ac:dyDescent="0.25">
      <c r="BY441" t="s">
        <v>12</v>
      </c>
      <c r="BZ441" t="s">
        <v>12</v>
      </c>
      <c r="CA441" t="s">
        <v>12</v>
      </c>
      <c r="CB441" t="s">
        <v>1074</v>
      </c>
      <c r="CC441" t="s">
        <v>12</v>
      </c>
      <c r="CD441" t="str" cm="1">
        <f t="array" aca="1" ref="CD441" ca="1">eConcatenar(A441:CB441,"|")</f>
        <v>||||||||||||||||||||||||||||||||||||||||||||||||||||||||||||||||||||||||||||x|x|x|final</v>
      </c>
    </row>
    <row r="442" spans="77:82" x14ac:dyDescent="0.25">
      <c r="BY442" t="s">
        <v>12</v>
      </c>
      <c r="BZ442" t="s">
        <v>12</v>
      </c>
      <c r="CA442" t="s">
        <v>12</v>
      </c>
      <c r="CB442" t="s">
        <v>1074</v>
      </c>
      <c r="CC442" t="s">
        <v>12</v>
      </c>
      <c r="CD442" t="str" cm="1">
        <f t="array" aca="1" ref="CD442" ca="1">eConcatenar(A442:CB442,"|")</f>
        <v>||||||||||||||||||||||||||||||||||||||||||||||||||||||||||||||||||||||||||||x|x|x|final</v>
      </c>
    </row>
    <row r="443" spans="77:82" x14ac:dyDescent="0.25">
      <c r="BY443" t="s">
        <v>12</v>
      </c>
      <c r="BZ443" t="s">
        <v>12</v>
      </c>
      <c r="CA443" t="s">
        <v>12</v>
      </c>
      <c r="CB443" t="s">
        <v>1074</v>
      </c>
      <c r="CC443" t="s">
        <v>12</v>
      </c>
      <c r="CD443" t="str" cm="1">
        <f t="array" aca="1" ref="CD443" ca="1">eConcatenar(A443:CB443,"|")</f>
        <v>||||||||||||||||||||||||||||||||||||||||||||||||||||||||||||||||||||||||||||x|x|x|final</v>
      </c>
    </row>
    <row r="444" spans="77:82" x14ac:dyDescent="0.25">
      <c r="BY444" t="s">
        <v>12</v>
      </c>
      <c r="BZ444" t="s">
        <v>12</v>
      </c>
      <c r="CA444" t="s">
        <v>12</v>
      </c>
      <c r="CB444" t="s">
        <v>1074</v>
      </c>
      <c r="CC444" t="s">
        <v>12</v>
      </c>
      <c r="CD444" t="str" cm="1">
        <f t="array" aca="1" ref="CD444" ca="1">eConcatenar(A444:CB444,"|")</f>
        <v>||||||||||||||||||||||||||||||||||||||||||||||||||||||||||||||||||||||||||||x|x|x|final</v>
      </c>
    </row>
    <row r="445" spans="77:82" x14ac:dyDescent="0.25">
      <c r="BY445" t="s">
        <v>12</v>
      </c>
      <c r="BZ445" t="s">
        <v>12</v>
      </c>
      <c r="CA445" t="s">
        <v>12</v>
      </c>
      <c r="CB445" t="s">
        <v>1074</v>
      </c>
      <c r="CC445" t="s">
        <v>12</v>
      </c>
      <c r="CD445" t="str" cm="1">
        <f t="array" aca="1" ref="CD445" ca="1">eConcatenar(A445:CB445,"|")</f>
        <v>||||||||||||||||||||||||||||||||||||||||||||||||||||||||||||||||||||||||||||x|x|x|final</v>
      </c>
    </row>
    <row r="446" spans="77:82" x14ac:dyDescent="0.25">
      <c r="BY446" t="s">
        <v>12</v>
      </c>
      <c r="BZ446" t="s">
        <v>12</v>
      </c>
      <c r="CA446" t="s">
        <v>12</v>
      </c>
      <c r="CB446" t="s">
        <v>1074</v>
      </c>
      <c r="CC446" t="s">
        <v>12</v>
      </c>
      <c r="CD446" t="str" cm="1">
        <f t="array" aca="1" ref="CD446" ca="1">eConcatenar(A446:CB446,"|")</f>
        <v>||||||||||||||||||||||||||||||||||||||||||||||||||||||||||||||||||||||||||||x|x|x|final</v>
      </c>
    </row>
    <row r="447" spans="77:82" x14ac:dyDescent="0.25">
      <c r="BY447" t="s">
        <v>12</v>
      </c>
      <c r="BZ447" t="s">
        <v>12</v>
      </c>
      <c r="CA447" t="s">
        <v>12</v>
      </c>
      <c r="CB447" t="s">
        <v>1074</v>
      </c>
      <c r="CC447" t="s">
        <v>12</v>
      </c>
      <c r="CD447" t="str" cm="1">
        <f t="array" aca="1" ref="CD447" ca="1">eConcatenar(A447:CB447,"|")</f>
        <v>||||||||||||||||||||||||||||||||||||||||||||||||||||||||||||||||||||||||||||x|x|x|final</v>
      </c>
    </row>
    <row r="448" spans="77:82" x14ac:dyDescent="0.25">
      <c r="BY448" t="s">
        <v>12</v>
      </c>
      <c r="BZ448" t="s">
        <v>12</v>
      </c>
      <c r="CA448" t="s">
        <v>12</v>
      </c>
      <c r="CB448" t="s">
        <v>1074</v>
      </c>
      <c r="CC448" t="s">
        <v>12</v>
      </c>
      <c r="CD448" t="str" cm="1">
        <f t="array" aca="1" ref="CD448" ca="1">eConcatenar(A448:CB448,"|")</f>
        <v>||||||||||||||||||||||||||||||||||||||||||||||||||||||||||||||||||||||||||||x|x|x|final</v>
      </c>
    </row>
    <row r="449" spans="77:82" x14ac:dyDescent="0.25">
      <c r="BY449" t="s">
        <v>12</v>
      </c>
      <c r="BZ449" t="s">
        <v>12</v>
      </c>
      <c r="CA449" t="s">
        <v>12</v>
      </c>
      <c r="CB449" t="s">
        <v>1074</v>
      </c>
      <c r="CC449" t="s">
        <v>12</v>
      </c>
      <c r="CD449" t="str" cm="1">
        <f t="array" aca="1" ref="CD449" ca="1">eConcatenar(A449:CB449,"|")</f>
        <v>||||||||||||||||||||||||||||||||||||||||||||||||||||||||||||||||||||||||||||x|x|x|final</v>
      </c>
    </row>
    <row r="450" spans="77:82" x14ac:dyDescent="0.25">
      <c r="BY450" t="s">
        <v>12</v>
      </c>
      <c r="BZ450" t="s">
        <v>12</v>
      </c>
      <c r="CA450" t="s">
        <v>12</v>
      </c>
      <c r="CB450" t="s">
        <v>1074</v>
      </c>
      <c r="CC450" t="s">
        <v>12</v>
      </c>
      <c r="CD450" t="str" cm="1">
        <f t="array" aca="1" ref="CD450" ca="1">eConcatenar(A450:CB450,"|")</f>
        <v>||||||||||||||||||||||||||||||||||||||||||||||||||||||||||||||||||||||||||||x|x|x|final</v>
      </c>
    </row>
    <row r="451" spans="77:82" x14ac:dyDescent="0.25">
      <c r="BY451" t="s">
        <v>12</v>
      </c>
      <c r="BZ451" t="s">
        <v>12</v>
      </c>
      <c r="CA451" t="s">
        <v>12</v>
      </c>
      <c r="CB451" t="s">
        <v>1074</v>
      </c>
      <c r="CC451" t="s">
        <v>12</v>
      </c>
      <c r="CD451" t="str" cm="1">
        <f t="array" aca="1" ref="CD451" ca="1">eConcatenar(A451:CB451,"|")</f>
        <v>||||||||||||||||||||||||||||||||||||||||||||||||||||||||||||||||||||||||||||x|x|x|final</v>
      </c>
    </row>
    <row r="452" spans="77:82" x14ac:dyDescent="0.25">
      <c r="BY452" t="s">
        <v>12</v>
      </c>
      <c r="BZ452" t="s">
        <v>12</v>
      </c>
      <c r="CA452" t="s">
        <v>12</v>
      </c>
      <c r="CB452" t="s">
        <v>1074</v>
      </c>
      <c r="CC452" t="s">
        <v>12</v>
      </c>
      <c r="CD452" t="str" cm="1">
        <f t="array" aca="1" ref="CD452" ca="1">eConcatenar(A452:CB452,"|")</f>
        <v>||||||||||||||||||||||||||||||||||||||||||||||||||||||||||||||||||||||||||||x|x|x|final</v>
      </c>
    </row>
    <row r="453" spans="77:82" x14ac:dyDescent="0.25">
      <c r="BY453" t="s">
        <v>12</v>
      </c>
      <c r="BZ453" t="s">
        <v>12</v>
      </c>
      <c r="CA453" t="s">
        <v>12</v>
      </c>
      <c r="CB453" t="s">
        <v>1074</v>
      </c>
      <c r="CC453" t="s">
        <v>12</v>
      </c>
      <c r="CD453" t="str" cm="1">
        <f t="array" aca="1" ref="CD453" ca="1">eConcatenar(A453:CB453,"|")</f>
        <v>||||||||||||||||||||||||||||||||||||||||||||||||||||||||||||||||||||||||||||x|x|x|final</v>
      </c>
    </row>
    <row r="454" spans="77:82" x14ac:dyDescent="0.25">
      <c r="BY454" t="s">
        <v>12</v>
      </c>
      <c r="BZ454" t="s">
        <v>12</v>
      </c>
      <c r="CA454" t="s">
        <v>12</v>
      </c>
      <c r="CB454" t="s">
        <v>1074</v>
      </c>
      <c r="CC454" t="s">
        <v>12</v>
      </c>
      <c r="CD454" t="str" cm="1">
        <f t="array" aca="1" ref="CD454" ca="1">eConcatenar(A454:CB454,"|")</f>
        <v>||||||||||||||||||||||||||||||||||||||||||||||||||||||||||||||||||||||||||||x|x|x|final</v>
      </c>
    </row>
    <row r="455" spans="77:82" x14ac:dyDescent="0.25">
      <c r="BY455" t="s">
        <v>12</v>
      </c>
      <c r="BZ455" t="s">
        <v>12</v>
      </c>
      <c r="CA455" t="s">
        <v>12</v>
      </c>
      <c r="CB455" t="s">
        <v>1074</v>
      </c>
      <c r="CC455" t="s">
        <v>12</v>
      </c>
      <c r="CD455" t="str" cm="1">
        <f t="array" aca="1" ref="CD455" ca="1">eConcatenar(A455:CB455,"|")</f>
        <v>||||||||||||||||||||||||||||||||||||||||||||||||||||||||||||||||||||||||||||x|x|x|final</v>
      </c>
    </row>
    <row r="456" spans="77:82" x14ac:dyDescent="0.25">
      <c r="BY456" t="s">
        <v>12</v>
      </c>
      <c r="BZ456" t="s">
        <v>12</v>
      </c>
      <c r="CA456" t="s">
        <v>12</v>
      </c>
      <c r="CB456" t="s">
        <v>1074</v>
      </c>
      <c r="CC456" t="s">
        <v>12</v>
      </c>
      <c r="CD456" t="str" cm="1">
        <f t="array" aca="1" ref="CD456" ca="1">eConcatenar(A456:CB456,"|")</f>
        <v>||||||||||||||||||||||||||||||||||||||||||||||||||||||||||||||||||||||||||||x|x|x|final</v>
      </c>
    </row>
    <row r="457" spans="77:82" x14ac:dyDescent="0.25">
      <c r="BY457" t="s">
        <v>12</v>
      </c>
      <c r="BZ457" t="s">
        <v>12</v>
      </c>
      <c r="CA457" t="s">
        <v>12</v>
      </c>
      <c r="CB457" t="s">
        <v>1074</v>
      </c>
      <c r="CC457" t="s">
        <v>12</v>
      </c>
      <c r="CD457" t="str" cm="1">
        <f t="array" aca="1" ref="CD457" ca="1">eConcatenar(A457:CB457,"|")</f>
        <v>||||||||||||||||||||||||||||||||||||||||||||||||||||||||||||||||||||||||||||x|x|x|final</v>
      </c>
    </row>
    <row r="458" spans="77:82" x14ac:dyDescent="0.25">
      <c r="BY458" t="s">
        <v>12</v>
      </c>
      <c r="BZ458" t="s">
        <v>12</v>
      </c>
      <c r="CA458" t="s">
        <v>12</v>
      </c>
      <c r="CB458" t="s">
        <v>1074</v>
      </c>
      <c r="CC458" t="s">
        <v>12</v>
      </c>
      <c r="CD458" t="str" cm="1">
        <f t="array" aca="1" ref="CD458" ca="1">eConcatenar(A458:CB458,"|")</f>
        <v>||||||||||||||||||||||||||||||||||||||||||||||||||||||||||||||||||||||||||||x|x|x|final</v>
      </c>
    </row>
    <row r="459" spans="77:82" x14ac:dyDescent="0.25">
      <c r="BY459" t="s">
        <v>12</v>
      </c>
      <c r="BZ459" t="s">
        <v>12</v>
      </c>
      <c r="CA459" t="s">
        <v>12</v>
      </c>
      <c r="CB459" t="s">
        <v>1074</v>
      </c>
      <c r="CC459" t="s">
        <v>12</v>
      </c>
      <c r="CD459" t="str" cm="1">
        <f t="array" aca="1" ref="CD459" ca="1">eConcatenar(A459:CB459,"|")</f>
        <v>||||||||||||||||||||||||||||||||||||||||||||||||||||||||||||||||||||||||||||x|x|x|final</v>
      </c>
    </row>
    <row r="460" spans="77:82" x14ac:dyDescent="0.25">
      <c r="BY460" t="s">
        <v>12</v>
      </c>
      <c r="BZ460" t="s">
        <v>12</v>
      </c>
      <c r="CA460" t="s">
        <v>12</v>
      </c>
      <c r="CB460" t="s">
        <v>1074</v>
      </c>
      <c r="CC460" t="s">
        <v>12</v>
      </c>
      <c r="CD460" t="str" cm="1">
        <f t="array" aca="1" ref="CD460" ca="1">eConcatenar(A460:CB460,"|")</f>
        <v>||||||||||||||||||||||||||||||||||||||||||||||||||||||||||||||||||||||||||||x|x|x|final</v>
      </c>
    </row>
    <row r="461" spans="77:82" x14ac:dyDescent="0.25">
      <c r="BY461" t="s">
        <v>12</v>
      </c>
      <c r="BZ461" t="s">
        <v>12</v>
      </c>
      <c r="CA461" t="s">
        <v>12</v>
      </c>
      <c r="CB461" t="s">
        <v>1074</v>
      </c>
      <c r="CC461" t="s">
        <v>12</v>
      </c>
      <c r="CD461" t="str" cm="1">
        <f t="array" aca="1" ref="CD461" ca="1">eConcatenar(A461:CB461,"|")</f>
        <v>||||||||||||||||||||||||||||||||||||||||||||||||||||||||||||||||||||||||||||x|x|x|final</v>
      </c>
    </row>
    <row r="462" spans="77:82" x14ac:dyDescent="0.25">
      <c r="BY462" t="s">
        <v>12</v>
      </c>
      <c r="BZ462" t="s">
        <v>12</v>
      </c>
      <c r="CA462" t="s">
        <v>12</v>
      </c>
      <c r="CB462" t="s">
        <v>1074</v>
      </c>
      <c r="CC462" t="s">
        <v>12</v>
      </c>
      <c r="CD462" t="str" cm="1">
        <f t="array" aca="1" ref="CD462" ca="1">eConcatenar(A462:CB462,"|")</f>
        <v>||||||||||||||||||||||||||||||||||||||||||||||||||||||||||||||||||||||||||||x|x|x|final</v>
      </c>
    </row>
    <row r="463" spans="77:82" x14ac:dyDescent="0.25">
      <c r="BY463" t="s">
        <v>12</v>
      </c>
      <c r="BZ463" t="s">
        <v>12</v>
      </c>
      <c r="CA463" t="s">
        <v>12</v>
      </c>
      <c r="CB463" t="s">
        <v>1074</v>
      </c>
      <c r="CC463" t="s">
        <v>12</v>
      </c>
      <c r="CD463" t="str" cm="1">
        <f t="array" aca="1" ref="CD463" ca="1">eConcatenar(A463:CB463,"|")</f>
        <v>||||||||||||||||||||||||||||||||||||||||||||||||||||||||||||||||||||||||||||x|x|x|final</v>
      </c>
    </row>
    <row r="464" spans="77:82" x14ac:dyDescent="0.25">
      <c r="BY464" t="s">
        <v>12</v>
      </c>
      <c r="BZ464" t="s">
        <v>12</v>
      </c>
      <c r="CA464" t="s">
        <v>12</v>
      </c>
      <c r="CB464" t="s">
        <v>1074</v>
      </c>
      <c r="CC464" t="s">
        <v>12</v>
      </c>
      <c r="CD464" t="str" cm="1">
        <f t="array" aca="1" ref="CD464" ca="1">eConcatenar(A464:CB464,"|")</f>
        <v>||||||||||||||||||||||||||||||||||||||||||||||||||||||||||||||||||||||||||||x|x|x|final</v>
      </c>
    </row>
    <row r="465" spans="77:82" x14ac:dyDescent="0.25">
      <c r="BY465" t="s">
        <v>12</v>
      </c>
      <c r="BZ465" t="s">
        <v>12</v>
      </c>
      <c r="CA465" t="s">
        <v>12</v>
      </c>
      <c r="CB465" t="s">
        <v>1074</v>
      </c>
      <c r="CC465" t="s">
        <v>12</v>
      </c>
      <c r="CD465" t="str" cm="1">
        <f t="array" aca="1" ref="CD465" ca="1">eConcatenar(A465:CB465,"|")</f>
        <v>||||||||||||||||||||||||||||||||||||||||||||||||||||||||||||||||||||||||||||x|x|x|final</v>
      </c>
    </row>
    <row r="466" spans="77:82" x14ac:dyDescent="0.25">
      <c r="BY466" t="s">
        <v>12</v>
      </c>
      <c r="BZ466" t="s">
        <v>12</v>
      </c>
      <c r="CA466" t="s">
        <v>12</v>
      </c>
      <c r="CB466" t="s">
        <v>1074</v>
      </c>
      <c r="CC466" t="s">
        <v>12</v>
      </c>
      <c r="CD466" t="str" cm="1">
        <f t="array" aca="1" ref="CD466" ca="1">eConcatenar(A466:CB466,"|")</f>
        <v>||||||||||||||||||||||||||||||||||||||||||||||||||||||||||||||||||||||||||||x|x|x|final</v>
      </c>
    </row>
    <row r="467" spans="77:82" x14ac:dyDescent="0.25">
      <c r="BY467" t="s">
        <v>12</v>
      </c>
      <c r="BZ467" t="s">
        <v>12</v>
      </c>
      <c r="CA467" t="s">
        <v>12</v>
      </c>
      <c r="CB467" t="s">
        <v>1074</v>
      </c>
      <c r="CC467" t="s">
        <v>12</v>
      </c>
      <c r="CD467" t="str" cm="1">
        <f t="array" aca="1" ref="CD467" ca="1">eConcatenar(A467:CB467,"|")</f>
        <v>||||||||||||||||||||||||||||||||||||||||||||||||||||||||||||||||||||||||||||x|x|x|final</v>
      </c>
    </row>
    <row r="468" spans="77:82" x14ac:dyDescent="0.25">
      <c r="BY468" t="s">
        <v>12</v>
      </c>
      <c r="BZ468" t="s">
        <v>12</v>
      </c>
      <c r="CA468" t="s">
        <v>12</v>
      </c>
      <c r="CB468" t="s">
        <v>1074</v>
      </c>
      <c r="CC468" t="s">
        <v>12</v>
      </c>
      <c r="CD468" t="str" cm="1">
        <f t="array" aca="1" ref="CD468" ca="1">eConcatenar(A468:CB468,"|")</f>
        <v>||||||||||||||||||||||||||||||||||||||||||||||||||||||||||||||||||||||||||||x|x|x|final</v>
      </c>
    </row>
    <row r="469" spans="77:82" x14ac:dyDescent="0.25">
      <c r="BY469" t="s">
        <v>12</v>
      </c>
      <c r="BZ469" t="s">
        <v>12</v>
      </c>
      <c r="CA469" t="s">
        <v>12</v>
      </c>
      <c r="CB469" t="s">
        <v>1074</v>
      </c>
      <c r="CC469" t="s">
        <v>12</v>
      </c>
      <c r="CD469" t="str" cm="1">
        <f t="array" aca="1" ref="CD469" ca="1">eConcatenar(A469:CB469,"|")</f>
        <v>||||||||||||||||||||||||||||||||||||||||||||||||||||||||||||||||||||||||||||x|x|x|final</v>
      </c>
    </row>
    <row r="470" spans="77:82" x14ac:dyDescent="0.25">
      <c r="BY470" t="s">
        <v>12</v>
      </c>
      <c r="BZ470" t="s">
        <v>12</v>
      </c>
      <c r="CA470" t="s">
        <v>12</v>
      </c>
      <c r="CB470" t="s">
        <v>1074</v>
      </c>
      <c r="CC470" t="s">
        <v>12</v>
      </c>
      <c r="CD470" t="str" cm="1">
        <f t="array" aca="1" ref="CD470" ca="1">eConcatenar(A470:CB470,"|")</f>
        <v>||||||||||||||||||||||||||||||||||||||||||||||||||||||||||||||||||||||||||||x|x|x|final</v>
      </c>
    </row>
    <row r="471" spans="77:82" x14ac:dyDescent="0.25">
      <c r="BY471" t="s">
        <v>12</v>
      </c>
      <c r="BZ471" t="s">
        <v>12</v>
      </c>
      <c r="CA471" t="s">
        <v>12</v>
      </c>
      <c r="CB471" t="s">
        <v>1074</v>
      </c>
      <c r="CC471" t="s">
        <v>12</v>
      </c>
      <c r="CD471" t="str" cm="1">
        <f t="array" aca="1" ref="CD471" ca="1">eConcatenar(A471:CB471,"|")</f>
        <v>||||||||||||||||||||||||||||||||||||||||||||||||||||||||||||||||||||||||||||x|x|x|final</v>
      </c>
    </row>
    <row r="472" spans="77:82" x14ac:dyDescent="0.25">
      <c r="BY472" t="s">
        <v>12</v>
      </c>
      <c r="BZ472" t="s">
        <v>12</v>
      </c>
      <c r="CA472" t="s">
        <v>12</v>
      </c>
      <c r="CB472" t="s">
        <v>1074</v>
      </c>
      <c r="CC472" t="s">
        <v>12</v>
      </c>
      <c r="CD472" t="str" cm="1">
        <f t="array" aca="1" ref="CD472" ca="1">eConcatenar(A472:CB472,"|")</f>
        <v>||||||||||||||||||||||||||||||||||||||||||||||||||||||||||||||||||||||||||||x|x|x|final</v>
      </c>
    </row>
    <row r="473" spans="77:82" x14ac:dyDescent="0.25">
      <c r="BY473" t="s">
        <v>12</v>
      </c>
      <c r="BZ473" t="s">
        <v>12</v>
      </c>
      <c r="CA473" t="s">
        <v>12</v>
      </c>
      <c r="CB473" t="s">
        <v>1074</v>
      </c>
      <c r="CC473" t="s">
        <v>12</v>
      </c>
      <c r="CD473" t="str" cm="1">
        <f t="array" aca="1" ref="CD473" ca="1">eConcatenar(A473:CB473,"|")</f>
        <v>||||||||||||||||||||||||||||||||||||||||||||||||||||||||||||||||||||||||||||x|x|x|final</v>
      </c>
    </row>
    <row r="474" spans="77:82" x14ac:dyDescent="0.25">
      <c r="BY474" t="s">
        <v>12</v>
      </c>
      <c r="BZ474" t="s">
        <v>12</v>
      </c>
      <c r="CA474" t="s">
        <v>12</v>
      </c>
      <c r="CB474" t="s">
        <v>1074</v>
      </c>
      <c r="CC474" t="s">
        <v>12</v>
      </c>
      <c r="CD474" t="str" cm="1">
        <f t="array" aca="1" ref="CD474" ca="1">eConcatenar(A474:CB474,"|")</f>
        <v>||||||||||||||||||||||||||||||||||||||||||||||||||||||||||||||||||||||||||||x|x|x|final</v>
      </c>
    </row>
    <row r="475" spans="77:82" x14ac:dyDescent="0.25">
      <c r="BY475" t="s">
        <v>12</v>
      </c>
      <c r="BZ475" t="s">
        <v>12</v>
      </c>
      <c r="CA475" t="s">
        <v>12</v>
      </c>
      <c r="CB475" t="s">
        <v>1074</v>
      </c>
      <c r="CC475" t="s">
        <v>12</v>
      </c>
      <c r="CD475" t="str" cm="1">
        <f t="array" aca="1" ref="CD475" ca="1">eConcatenar(A475:CB475,"|")</f>
        <v>||||||||||||||||||||||||||||||||||||||||||||||||||||||||||||||||||||||||||||x|x|x|final</v>
      </c>
    </row>
    <row r="476" spans="77:82" x14ac:dyDescent="0.25">
      <c r="BY476" t="s">
        <v>12</v>
      </c>
      <c r="BZ476" t="s">
        <v>12</v>
      </c>
      <c r="CA476" t="s">
        <v>12</v>
      </c>
      <c r="CB476" t="s">
        <v>1074</v>
      </c>
      <c r="CC476" t="s">
        <v>12</v>
      </c>
      <c r="CD476" t="str" cm="1">
        <f t="array" aca="1" ref="CD476" ca="1">eConcatenar(A476:CB476,"|")</f>
        <v>||||||||||||||||||||||||||||||||||||||||||||||||||||||||||||||||||||||||||||x|x|x|final</v>
      </c>
    </row>
    <row r="477" spans="77:82" x14ac:dyDescent="0.25">
      <c r="BY477" t="s">
        <v>12</v>
      </c>
      <c r="BZ477" t="s">
        <v>12</v>
      </c>
      <c r="CA477" t="s">
        <v>12</v>
      </c>
      <c r="CB477" t="s">
        <v>1074</v>
      </c>
      <c r="CC477" t="s">
        <v>12</v>
      </c>
      <c r="CD477" t="str" cm="1">
        <f t="array" aca="1" ref="CD477" ca="1">eConcatenar(A477:CB477,"|")</f>
        <v>||||||||||||||||||||||||||||||||||||||||||||||||||||||||||||||||||||||||||||x|x|x|final</v>
      </c>
    </row>
    <row r="478" spans="77:82" x14ac:dyDescent="0.25">
      <c r="BY478" t="s">
        <v>12</v>
      </c>
      <c r="BZ478" t="s">
        <v>12</v>
      </c>
      <c r="CA478" t="s">
        <v>12</v>
      </c>
      <c r="CB478" t="s">
        <v>1074</v>
      </c>
      <c r="CC478" t="s">
        <v>12</v>
      </c>
      <c r="CD478" t="str" cm="1">
        <f t="array" aca="1" ref="CD478" ca="1">eConcatenar(A478:CB478,"|")</f>
        <v>||||||||||||||||||||||||||||||||||||||||||||||||||||||||||||||||||||||||||||x|x|x|final</v>
      </c>
    </row>
    <row r="479" spans="77:82" x14ac:dyDescent="0.25">
      <c r="BY479" t="s">
        <v>12</v>
      </c>
      <c r="BZ479" t="s">
        <v>12</v>
      </c>
      <c r="CA479" t="s">
        <v>12</v>
      </c>
      <c r="CB479" t="s">
        <v>1074</v>
      </c>
      <c r="CC479" t="s">
        <v>12</v>
      </c>
      <c r="CD479" t="str" cm="1">
        <f t="array" aca="1" ref="CD479" ca="1">eConcatenar(A479:CB479,"|")</f>
        <v>||||||||||||||||||||||||||||||||||||||||||||||||||||||||||||||||||||||||||||x|x|x|final</v>
      </c>
    </row>
    <row r="480" spans="77:82" x14ac:dyDescent="0.25">
      <c r="BY480" t="s">
        <v>12</v>
      </c>
      <c r="BZ480" t="s">
        <v>12</v>
      </c>
      <c r="CA480" t="s">
        <v>12</v>
      </c>
      <c r="CB480" t="s">
        <v>1074</v>
      </c>
      <c r="CC480" t="s">
        <v>12</v>
      </c>
      <c r="CD480" t="str" cm="1">
        <f t="array" aca="1" ref="CD480" ca="1">eConcatenar(A480:CB480,"|")</f>
        <v>||||||||||||||||||||||||||||||||||||||||||||||||||||||||||||||||||||||||||||x|x|x|final</v>
      </c>
    </row>
    <row r="481" spans="77:82" x14ac:dyDescent="0.25">
      <c r="BY481" t="s">
        <v>12</v>
      </c>
      <c r="BZ481" t="s">
        <v>12</v>
      </c>
      <c r="CA481" t="s">
        <v>12</v>
      </c>
      <c r="CB481" t="s">
        <v>1074</v>
      </c>
      <c r="CC481" t="s">
        <v>12</v>
      </c>
      <c r="CD481" t="str" cm="1">
        <f t="array" aca="1" ref="CD481" ca="1">eConcatenar(A481:CB481,"|")</f>
        <v>||||||||||||||||||||||||||||||||||||||||||||||||||||||||||||||||||||||||||||x|x|x|final</v>
      </c>
    </row>
    <row r="482" spans="77:82" x14ac:dyDescent="0.25">
      <c r="BY482" t="s">
        <v>12</v>
      </c>
      <c r="BZ482" t="s">
        <v>12</v>
      </c>
      <c r="CA482" t="s">
        <v>12</v>
      </c>
      <c r="CB482" t="s">
        <v>1074</v>
      </c>
      <c r="CC482" t="s">
        <v>12</v>
      </c>
      <c r="CD482" t="str" cm="1">
        <f t="array" aca="1" ref="CD482" ca="1">eConcatenar(A482:CB482,"|")</f>
        <v>||||||||||||||||||||||||||||||||||||||||||||||||||||||||||||||||||||||||||||x|x|x|final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8BA8-56FF-44FE-9FB0-FB1A2549194F}">
  <sheetPr codeName="Hoja2"/>
  <dimension ref="A1:G478"/>
  <sheetViews>
    <sheetView tabSelected="1" topLeftCell="A2" workbookViewId="0">
      <selection activeCell="I15" sqref="I14:I15"/>
    </sheetView>
  </sheetViews>
  <sheetFormatPr baseColWidth="10" defaultRowHeight="15" x14ac:dyDescent="0.25"/>
  <cols>
    <col min="4" max="4" width="12.85546875" bestFit="1" customWidth="1"/>
  </cols>
  <sheetData>
    <row r="1" spans="1:7" x14ac:dyDescent="0.25">
      <c r="A1" t="s">
        <v>1137</v>
      </c>
      <c r="B1" t="s">
        <v>1138</v>
      </c>
      <c r="C1" t="s">
        <v>1139</v>
      </c>
      <c r="D1" t="s">
        <v>1140</v>
      </c>
      <c r="E1" t="s">
        <v>1074</v>
      </c>
    </row>
    <row r="2" spans="1:7" ht="15.75" x14ac:dyDescent="0.25">
      <c r="A2" s="6" t="s">
        <v>5032</v>
      </c>
      <c r="B2" s="4">
        <v>7400</v>
      </c>
      <c r="C2" s="4" t="s">
        <v>1129</v>
      </c>
      <c r="D2" s="12">
        <v>0</v>
      </c>
      <c r="E2" t="s">
        <v>1074</v>
      </c>
      <c r="G2" t="str" cm="1">
        <f t="array" aca="1" ref="G2" ca="1">eConcatenar(A2:E2,"|")</f>
        <v>tMdNmYaROLSlN6fq|7400|2021-9-20|0|final</v>
      </c>
    </row>
    <row r="3" spans="1:7" x14ac:dyDescent="0.25">
      <c r="A3" s="6" t="s">
        <v>5042</v>
      </c>
      <c r="B3" s="4">
        <v>1700</v>
      </c>
      <c r="C3" s="4" t="s">
        <v>1129</v>
      </c>
      <c r="D3" s="13">
        <v>0</v>
      </c>
      <c r="E3" t="s">
        <v>1074</v>
      </c>
      <c r="G3" t="str" cm="1">
        <f t="array" aca="1" ref="G3" ca="1">eConcatenar(A3:E3,"|")</f>
        <v>8suxH3s6Ii0UCp53|1700|2021-9-20|0|final</v>
      </c>
    </row>
    <row r="4" spans="1:7" x14ac:dyDescent="0.25">
      <c r="A4" s="6" t="s">
        <v>5047</v>
      </c>
      <c r="B4" s="4">
        <v>7100</v>
      </c>
      <c r="C4" s="4" t="s">
        <v>5049</v>
      </c>
      <c r="D4" s="13">
        <v>0</v>
      </c>
      <c r="E4" t="s">
        <v>1074</v>
      </c>
      <c r="G4" t="str" cm="1">
        <f t="array" aca="1" ref="G4" ca="1">eConcatenar(A4:E4,"|")</f>
        <v>rFZroy6fhzlfkqIZ|7100|2021-2-06|0|final</v>
      </c>
    </row>
    <row r="5" spans="1:7" x14ac:dyDescent="0.25">
      <c r="A5" s="6" t="s">
        <v>5055</v>
      </c>
      <c r="B5" s="4">
        <v>5100</v>
      </c>
      <c r="C5" s="4" t="s">
        <v>1129</v>
      </c>
      <c r="D5" s="13">
        <v>0</v>
      </c>
      <c r="E5" t="s">
        <v>1074</v>
      </c>
      <c r="G5" t="str" cm="1">
        <f t="array" aca="1" ref="G5" ca="1">eConcatenar(A5:E5,"|")</f>
        <v>0XOnsv6skpk6rVOW|5100|2021-9-20|0|final</v>
      </c>
    </row>
    <row r="6" spans="1:7" x14ac:dyDescent="0.25">
      <c r="A6" s="6" t="s">
        <v>5064</v>
      </c>
      <c r="B6" s="4">
        <v>10300</v>
      </c>
      <c r="C6" s="4" t="s">
        <v>1129</v>
      </c>
      <c r="D6" s="13">
        <v>0</v>
      </c>
      <c r="E6" t="s">
        <v>1074</v>
      </c>
      <c r="G6" t="str" cm="1">
        <f t="array" aca="1" ref="G6" ca="1">eConcatenar(A6:E6,"|")</f>
        <v>GYhghewZtZREKGRN|10300|2021-9-20|0|final</v>
      </c>
    </row>
    <row r="7" spans="1:7" x14ac:dyDescent="0.25">
      <c r="A7" s="6" t="s">
        <v>5073</v>
      </c>
      <c r="B7" s="4">
        <v>5500</v>
      </c>
      <c r="C7" s="4" t="s">
        <v>1129</v>
      </c>
      <c r="D7" s="13">
        <v>0</v>
      </c>
      <c r="E7" t="s">
        <v>1074</v>
      </c>
      <c r="G7" t="str" cm="1">
        <f t="array" aca="1" ref="G7" ca="1">eConcatenar(A7:E7,"|")</f>
        <v>2kSCCCzBQcODKVBw|5500|2021-9-20|0|final</v>
      </c>
    </row>
    <row r="8" spans="1:7" x14ac:dyDescent="0.25">
      <c r="A8" s="6" t="s">
        <v>5079</v>
      </c>
      <c r="B8" s="4">
        <v>4200</v>
      </c>
      <c r="C8" s="4" t="s">
        <v>1129</v>
      </c>
      <c r="D8" s="13">
        <v>0</v>
      </c>
      <c r="E8" t="s">
        <v>1074</v>
      </c>
      <c r="G8" t="str" cm="1">
        <f t="array" aca="1" ref="G8" ca="1">eConcatenar(A8:E8,"|")</f>
        <v>WZiEsmYro5Wpnbgo|4200|2021-9-20|0|final</v>
      </c>
    </row>
    <row r="9" spans="1:7" x14ac:dyDescent="0.25">
      <c r="A9" s="6" t="s">
        <v>5086</v>
      </c>
      <c r="B9" s="4">
        <v>5400</v>
      </c>
      <c r="C9" s="4" t="s">
        <v>1129</v>
      </c>
      <c r="D9" s="13">
        <v>0</v>
      </c>
      <c r="E9" t="s">
        <v>1074</v>
      </c>
      <c r="G9" t="str" cm="1">
        <f t="array" aca="1" ref="G9" ca="1">eConcatenar(A9:E9,"|")</f>
        <v>KgV7nWJjptZI9B4V|5400|2021-9-20|0|final</v>
      </c>
    </row>
    <row r="10" spans="1:7" x14ac:dyDescent="0.25">
      <c r="A10" s="6" t="s">
        <v>5093</v>
      </c>
      <c r="B10" s="4">
        <v>4000</v>
      </c>
      <c r="C10" s="4" t="s">
        <v>1129</v>
      </c>
      <c r="D10" s="13">
        <v>0</v>
      </c>
      <c r="E10" t="s">
        <v>1074</v>
      </c>
      <c r="G10" t="str" cm="1">
        <f t="array" aca="1" ref="G10" ca="1">eConcatenar(A10:E10,"|")</f>
        <v>6EycNg8T5ySeTm7M|4000|2021-9-20|0|final</v>
      </c>
    </row>
    <row r="11" spans="1:7" x14ac:dyDescent="0.25">
      <c r="A11" s="6" t="s">
        <v>5097</v>
      </c>
      <c r="B11" s="4">
        <v>3800</v>
      </c>
      <c r="C11" s="4" t="s">
        <v>1130</v>
      </c>
      <c r="D11" s="13">
        <v>0</v>
      </c>
      <c r="E11" t="s">
        <v>1074</v>
      </c>
      <c r="G11" t="str" cm="1">
        <f t="array" aca="1" ref="G11" ca="1">eConcatenar(A11:E11,"|")</f>
        <v>yBzI8qXHHsV8488l|3800|2021-9-21|0|final</v>
      </c>
    </row>
    <row r="12" spans="1:7" x14ac:dyDescent="0.25">
      <c r="A12" s="6" t="s">
        <v>5103</v>
      </c>
      <c r="B12" s="4">
        <v>3500</v>
      </c>
      <c r="C12" s="4" t="s">
        <v>1129</v>
      </c>
      <c r="D12" s="13">
        <v>0</v>
      </c>
      <c r="E12" t="s">
        <v>1074</v>
      </c>
      <c r="G12" t="str" cm="1">
        <f t="array" aca="1" ref="G12" ca="1">eConcatenar(A12:E12,"|")</f>
        <v>NV8N7DqYQFnJguDJ|3500|2021-9-20|0|final</v>
      </c>
    </row>
    <row r="13" spans="1:7" x14ac:dyDescent="0.25">
      <c r="A13" s="6" t="s">
        <v>5107</v>
      </c>
      <c r="B13" s="4">
        <v>3300</v>
      </c>
      <c r="C13" s="4" t="s">
        <v>1129</v>
      </c>
      <c r="D13" s="13">
        <v>0</v>
      </c>
      <c r="E13" t="s">
        <v>1074</v>
      </c>
      <c r="G13" t="str" cm="1">
        <f t="array" aca="1" ref="G13" ca="1">eConcatenar(A13:E13,"|")</f>
        <v>tkImKyXRBnSTeusB|3300|2021-9-20|0|final</v>
      </c>
    </row>
    <row r="14" spans="1:7" x14ac:dyDescent="0.25">
      <c r="A14" s="6" t="s">
        <v>5114</v>
      </c>
      <c r="B14" s="4">
        <v>5400</v>
      </c>
      <c r="C14" s="4" t="s">
        <v>1129</v>
      </c>
      <c r="D14" s="13">
        <v>0</v>
      </c>
      <c r="E14" t="s">
        <v>1074</v>
      </c>
      <c r="G14" t="str" cm="1">
        <f t="array" aca="1" ref="G14" ca="1">eConcatenar(A14:E14,"|")</f>
        <v>TrPdTP5cFagh5vpL|5400|2021-9-20|0|final</v>
      </c>
    </row>
    <row r="15" spans="1:7" x14ac:dyDescent="0.25">
      <c r="A15" s="6" t="s">
        <v>5119</v>
      </c>
      <c r="B15" s="4">
        <v>1700</v>
      </c>
      <c r="C15" s="4" t="s">
        <v>1129</v>
      </c>
      <c r="D15" s="13">
        <v>0</v>
      </c>
      <c r="E15" t="s">
        <v>1074</v>
      </c>
      <c r="G15" t="str" cm="1">
        <f t="array" aca="1" ref="G15" ca="1">eConcatenar(A15:E15,"|")</f>
        <v>vysz5LdxGkkxsAjT|1700|2021-9-20|0|final</v>
      </c>
    </row>
    <row r="16" spans="1:7" x14ac:dyDescent="0.25">
      <c r="A16" s="6" t="s">
        <v>5127</v>
      </c>
      <c r="B16" s="4">
        <v>7600</v>
      </c>
      <c r="C16" s="4" t="s">
        <v>1129</v>
      </c>
      <c r="D16" s="13">
        <v>0</v>
      </c>
      <c r="E16" t="s">
        <v>1074</v>
      </c>
      <c r="G16" t="str" cm="1">
        <f t="array" aca="1" ref="G16" ca="1">eConcatenar(A16:E16,"|")</f>
        <v>vgfpAcg0XNatRyoH|7600|2021-9-20|0|final</v>
      </c>
    </row>
    <row r="17" spans="1:7" x14ac:dyDescent="0.25">
      <c r="A17" s="6" t="s">
        <v>5137</v>
      </c>
      <c r="B17" s="4">
        <v>4600</v>
      </c>
      <c r="C17" s="4" t="s">
        <v>1129</v>
      </c>
      <c r="D17" s="13">
        <v>0</v>
      </c>
      <c r="E17" t="s">
        <v>1074</v>
      </c>
      <c r="G17" t="str" cm="1">
        <f t="array" aca="1" ref="G17" ca="1">eConcatenar(A17:E17,"|")</f>
        <v>0gzWq8v0YPJt1zUT|4600|2021-9-20|0|final</v>
      </c>
    </row>
    <row r="18" spans="1:7" x14ac:dyDescent="0.25">
      <c r="A18" s="6" t="s">
        <v>5145</v>
      </c>
      <c r="B18" s="4">
        <v>1400</v>
      </c>
      <c r="C18" s="4" t="s">
        <v>1129</v>
      </c>
      <c r="D18" s="13">
        <v>0</v>
      </c>
      <c r="E18" t="s">
        <v>1074</v>
      </c>
      <c r="G18" t="str" cm="1">
        <f t="array" aca="1" ref="G18" ca="1">eConcatenar(A18:E18,"|")</f>
        <v>AWrhdk2IVDOw5mWN|1400|2021-9-20|0|final</v>
      </c>
    </row>
    <row r="19" spans="1:7" x14ac:dyDescent="0.25">
      <c r="A19" s="6" t="s">
        <v>5152</v>
      </c>
      <c r="B19" s="4">
        <v>1900</v>
      </c>
      <c r="C19" s="4" t="s">
        <v>1129</v>
      </c>
      <c r="D19" s="13">
        <v>0</v>
      </c>
      <c r="E19" t="s">
        <v>1074</v>
      </c>
      <c r="G19" t="str" cm="1">
        <f t="array" aca="1" ref="G19" ca="1">eConcatenar(A19:E19,"|")</f>
        <v>gbQMUiJwHn7QCSGI|1900|2021-9-20|0|final</v>
      </c>
    </row>
    <row r="20" spans="1:7" x14ac:dyDescent="0.25">
      <c r="A20" s="6" t="s">
        <v>5158</v>
      </c>
      <c r="B20" s="4">
        <v>1600</v>
      </c>
      <c r="C20" s="4" t="s">
        <v>1129</v>
      </c>
      <c r="D20" s="13">
        <v>0</v>
      </c>
      <c r="E20" t="s">
        <v>1074</v>
      </c>
      <c r="G20" t="str" cm="1">
        <f t="array" aca="1" ref="G20" ca="1">eConcatenar(A20:E20,"|")</f>
        <v>Wg72ehNotgSHx8wj|1600|2021-9-20|0|final</v>
      </c>
    </row>
    <row r="21" spans="1:7" x14ac:dyDescent="0.25">
      <c r="A21" s="6" t="s">
        <v>5164</v>
      </c>
      <c r="B21" s="4">
        <v>1300</v>
      </c>
      <c r="C21" s="4" t="s">
        <v>1129</v>
      </c>
      <c r="D21" s="13">
        <v>0</v>
      </c>
      <c r="E21" t="s">
        <v>1074</v>
      </c>
      <c r="G21" t="str" cm="1">
        <f t="array" aca="1" ref="G21" ca="1">eConcatenar(A21:E21,"|")</f>
        <v>aq6iFGloDJzkDPp0|1300|2021-9-20|0|final</v>
      </c>
    </row>
    <row r="22" spans="1:7" x14ac:dyDescent="0.25">
      <c r="A22" s="6" t="s">
        <v>5169</v>
      </c>
      <c r="B22" s="4">
        <v>6300</v>
      </c>
      <c r="C22" s="4" t="s">
        <v>1129</v>
      </c>
      <c r="D22" s="13">
        <v>0</v>
      </c>
      <c r="E22" t="s">
        <v>1074</v>
      </c>
      <c r="G22" t="str" cm="1">
        <f t="array" aca="1" ref="G22" ca="1">eConcatenar(A22:E22,"|")</f>
        <v>zqMLAdN4UMoPdpGs|6300|2021-9-20|0|final</v>
      </c>
    </row>
    <row r="23" spans="1:7" x14ac:dyDescent="0.25">
      <c r="A23" s="6" t="s">
        <v>5176</v>
      </c>
      <c r="B23" s="4">
        <v>1100</v>
      </c>
      <c r="C23" s="4" t="s">
        <v>1129</v>
      </c>
      <c r="D23" s="13">
        <v>0</v>
      </c>
      <c r="E23" t="s">
        <v>1074</v>
      </c>
      <c r="G23" t="str" cm="1">
        <f t="array" aca="1" ref="G23" ca="1">eConcatenar(A23:E23,"|")</f>
        <v>gCIoiK8HpWPCZjvJ|1100|2021-9-20|0|final</v>
      </c>
    </row>
    <row r="24" spans="1:7" x14ac:dyDescent="0.25">
      <c r="A24" s="6" t="s">
        <v>5182</v>
      </c>
      <c r="B24" s="4">
        <v>1400</v>
      </c>
      <c r="C24" s="4" t="s">
        <v>1129</v>
      </c>
      <c r="D24" s="13">
        <v>0</v>
      </c>
      <c r="E24" t="s">
        <v>1074</v>
      </c>
      <c r="G24" t="str" cm="1">
        <f t="array" aca="1" ref="G24" ca="1">eConcatenar(A24:E24,"|")</f>
        <v>z5S1FhZyk8vzuCdr|1400|2021-9-20|0|final</v>
      </c>
    </row>
    <row r="25" spans="1:7" x14ac:dyDescent="0.25">
      <c r="A25" s="6" t="s">
        <v>5188</v>
      </c>
      <c r="B25" s="4">
        <v>1200</v>
      </c>
      <c r="C25" s="4" t="s">
        <v>1129</v>
      </c>
      <c r="D25" s="13">
        <v>0</v>
      </c>
      <c r="E25" t="s">
        <v>1074</v>
      </c>
      <c r="G25" t="str" cm="1">
        <f t="array" aca="1" ref="G25" ca="1">eConcatenar(A25:E25,"|")</f>
        <v>Jmi6dp5cJTxbzCFs|1200|2021-9-20|0|final</v>
      </c>
    </row>
    <row r="26" spans="1:7" x14ac:dyDescent="0.25">
      <c r="A26" s="6" t="s">
        <v>5195</v>
      </c>
      <c r="B26" s="4">
        <v>12000</v>
      </c>
      <c r="C26" s="4" t="s">
        <v>1129</v>
      </c>
      <c r="D26" s="13">
        <v>0</v>
      </c>
      <c r="E26" t="s">
        <v>1074</v>
      </c>
      <c r="G26" t="str" cm="1">
        <f t="array" aca="1" ref="G26" ca="1">eConcatenar(A26:E26,"|")</f>
        <v>Nk2frastd9nd13cc|12000|2021-9-20|0|final</v>
      </c>
    </row>
    <row r="27" spans="1:7" x14ac:dyDescent="0.25">
      <c r="A27" s="6" t="s">
        <v>5203</v>
      </c>
      <c r="B27" s="4">
        <v>800</v>
      </c>
      <c r="C27" s="4" t="s">
        <v>1129</v>
      </c>
      <c r="D27" s="13">
        <v>0</v>
      </c>
      <c r="E27" t="s">
        <v>1074</v>
      </c>
      <c r="G27" t="str" cm="1">
        <f t="array" aca="1" ref="G27" ca="1">eConcatenar(A27:E27,"|")</f>
        <v>A9hdHXJjfhXURuI0|800|2021-9-20|0|final</v>
      </c>
    </row>
    <row r="28" spans="1:7" x14ac:dyDescent="0.25">
      <c r="A28" s="6" t="s">
        <v>5208</v>
      </c>
      <c r="B28" s="4">
        <v>11200</v>
      </c>
      <c r="C28" s="4" t="s">
        <v>1129</v>
      </c>
      <c r="D28" s="13">
        <v>0</v>
      </c>
      <c r="E28" t="s">
        <v>1074</v>
      </c>
      <c r="G28" t="str" cm="1">
        <f t="array" aca="1" ref="G28" ca="1">eConcatenar(A28:E28,"|")</f>
        <v>VCRF3aj0W3sqVk8L|11200|2021-9-20|0|final</v>
      </c>
    </row>
    <row r="29" spans="1:7" x14ac:dyDescent="0.25">
      <c r="A29" s="6" t="s">
        <v>5219</v>
      </c>
      <c r="B29" s="4">
        <v>1300</v>
      </c>
      <c r="C29" s="4" t="s">
        <v>1129</v>
      </c>
      <c r="D29" s="13">
        <v>0</v>
      </c>
      <c r="E29" t="s">
        <v>1074</v>
      </c>
      <c r="G29" t="str" cm="1">
        <f t="array" aca="1" ref="G29" ca="1">eConcatenar(A29:E29,"|")</f>
        <v>Uh2ymLflNdC7HS46|1300|2021-9-20|0|final</v>
      </c>
    </row>
    <row r="30" spans="1:7" x14ac:dyDescent="0.25">
      <c r="A30" s="6" t="s">
        <v>5226</v>
      </c>
      <c r="B30" s="4">
        <v>2300</v>
      </c>
      <c r="C30" s="4" t="s">
        <v>1129</v>
      </c>
      <c r="D30" s="13">
        <v>0</v>
      </c>
      <c r="E30" t="s">
        <v>1074</v>
      </c>
      <c r="G30" t="str" cm="1">
        <f t="array" aca="1" ref="G30" ca="1">eConcatenar(A30:E30,"|")</f>
        <v>cpF9wIGRx4TH78My|2300|2021-9-20|0|final</v>
      </c>
    </row>
    <row r="31" spans="1:7" x14ac:dyDescent="0.25">
      <c r="A31" s="6" t="s">
        <v>5233</v>
      </c>
      <c r="B31" s="4">
        <v>1500</v>
      </c>
      <c r="C31" s="4" t="s">
        <v>1129</v>
      </c>
      <c r="D31" s="13">
        <v>0</v>
      </c>
      <c r="E31" t="s">
        <v>1074</v>
      </c>
      <c r="G31" t="str" cm="1">
        <f t="array" aca="1" ref="G31" ca="1">eConcatenar(A31:E31,"|")</f>
        <v>2YBbdYWVWI5zdyTO|1500|2021-9-20|0|final</v>
      </c>
    </row>
    <row r="32" spans="1:7" x14ac:dyDescent="0.25">
      <c r="A32" s="6" t="s">
        <v>5242</v>
      </c>
      <c r="B32" s="4">
        <v>500</v>
      </c>
      <c r="C32" s="4" t="s">
        <v>1129</v>
      </c>
      <c r="D32" s="13">
        <v>0</v>
      </c>
      <c r="E32" t="s">
        <v>1074</v>
      </c>
      <c r="G32" t="str" cm="1">
        <f t="array" aca="1" ref="G32" ca="1">eConcatenar(A32:E32,"|")</f>
        <v>XPRCbwJ5WUXdWNnT|500|2021-9-20|0|final</v>
      </c>
    </row>
    <row r="33" spans="1:7" x14ac:dyDescent="0.25">
      <c r="A33" s="6" t="s">
        <v>5247</v>
      </c>
      <c r="B33" s="4">
        <v>2980</v>
      </c>
      <c r="C33" s="4" t="s">
        <v>1129</v>
      </c>
      <c r="D33" s="13">
        <v>0</v>
      </c>
      <c r="E33" t="s">
        <v>1074</v>
      </c>
      <c r="G33" t="str" cm="1">
        <f t="array" aca="1" ref="G33" ca="1">eConcatenar(A33:E33,"|")</f>
        <v>2vMDKCcza9gnmI0R|2980|2021-9-20|0|final</v>
      </c>
    </row>
    <row r="34" spans="1:7" x14ac:dyDescent="0.25">
      <c r="A34" s="6" t="s">
        <v>5256</v>
      </c>
      <c r="B34" s="4">
        <v>9500</v>
      </c>
      <c r="C34" s="4" t="s">
        <v>1129</v>
      </c>
      <c r="D34" s="13">
        <v>0</v>
      </c>
      <c r="E34" t="s">
        <v>1074</v>
      </c>
      <c r="G34" t="str" cm="1">
        <f t="array" aca="1" ref="G34" ca="1">eConcatenar(A34:E34,"|")</f>
        <v>I9juY5mrTYyGOpll|9500|2021-9-20|0|final</v>
      </c>
    </row>
    <row r="35" spans="1:7" x14ac:dyDescent="0.25">
      <c r="A35" s="6" t="s">
        <v>5265</v>
      </c>
      <c r="B35" s="4">
        <v>11100</v>
      </c>
      <c r="C35" s="4" t="s">
        <v>1129</v>
      </c>
      <c r="D35" s="13">
        <v>0</v>
      </c>
      <c r="E35" t="s">
        <v>1074</v>
      </c>
      <c r="G35" t="str" cm="1">
        <f t="array" aca="1" ref="G35" ca="1">eConcatenar(A35:E35,"|")</f>
        <v>EyFtsgXYbqpQMcyt|11100|2021-9-20|0|final</v>
      </c>
    </row>
    <row r="36" spans="1:7" x14ac:dyDescent="0.25">
      <c r="A36" s="6" t="s">
        <v>5273</v>
      </c>
      <c r="B36" s="4">
        <v>8700</v>
      </c>
      <c r="C36" s="4" t="s">
        <v>1129</v>
      </c>
      <c r="D36" s="13">
        <v>0</v>
      </c>
      <c r="E36" t="s">
        <v>1074</v>
      </c>
      <c r="G36" t="str" cm="1">
        <f t="array" aca="1" ref="G36" ca="1">eConcatenar(A36:E36,"|")</f>
        <v>lgJngRE9xZFklxV8|8700|2021-9-20|0|final</v>
      </c>
    </row>
    <row r="37" spans="1:7" x14ac:dyDescent="0.25">
      <c r="A37" s="6" t="s">
        <v>5281</v>
      </c>
      <c r="B37" s="4">
        <v>8900</v>
      </c>
      <c r="C37" s="4" t="s">
        <v>1129</v>
      </c>
      <c r="D37" s="13">
        <v>0</v>
      </c>
      <c r="E37" t="s">
        <v>1074</v>
      </c>
      <c r="G37" t="str" cm="1">
        <f t="array" aca="1" ref="G37" ca="1">eConcatenar(A37:E37,"|")</f>
        <v>tQaiE3PjWeHSEyUb|8900|2021-9-20|0|final</v>
      </c>
    </row>
    <row r="38" spans="1:7" x14ac:dyDescent="0.25">
      <c r="A38" s="6" t="s">
        <v>5289</v>
      </c>
      <c r="B38" s="4">
        <v>9100</v>
      </c>
      <c r="C38" s="4" t="s">
        <v>1129</v>
      </c>
      <c r="D38" s="13">
        <v>0</v>
      </c>
      <c r="E38" t="s">
        <v>1074</v>
      </c>
      <c r="G38" t="str" cm="1">
        <f t="array" aca="1" ref="G38" ca="1">eConcatenar(A38:E38,"|")</f>
        <v>RHUzNUBaPOK9LVlC|9100|2021-9-20|0|final</v>
      </c>
    </row>
    <row r="39" spans="1:7" x14ac:dyDescent="0.25">
      <c r="A39" s="6" t="s">
        <v>5296</v>
      </c>
      <c r="B39" s="4">
        <v>7300</v>
      </c>
      <c r="C39" s="4" t="s">
        <v>1129</v>
      </c>
      <c r="D39" s="13">
        <v>0</v>
      </c>
      <c r="E39" t="s">
        <v>1074</v>
      </c>
      <c r="G39" t="str" cm="1">
        <f t="array" aca="1" ref="G39" ca="1">eConcatenar(A39:E39,"|")</f>
        <v>vctdP1QHuEkmjGXJ|7300|2021-9-20|0|final</v>
      </c>
    </row>
    <row r="40" spans="1:7" x14ac:dyDescent="0.25">
      <c r="A40" s="6" t="s">
        <v>5300</v>
      </c>
      <c r="B40" s="4">
        <v>1700</v>
      </c>
      <c r="C40" s="4" t="s">
        <v>1129</v>
      </c>
      <c r="D40" s="13">
        <v>0</v>
      </c>
      <c r="E40" t="s">
        <v>1074</v>
      </c>
      <c r="G40" t="str" cm="1">
        <f t="array" aca="1" ref="G40" ca="1">eConcatenar(A40:E40,"|")</f>
        <v>fna6dAmd3t2fQuUa|1700|2021-9-20|0|final</v>
      </c>
    </row>
    <row r="41" spans="1:7" x14ac:dyDescent="0.25">
      <c r="A41" s="6" t="s">
        <v>5307</v>
      </c>
      <c r="B41" s="4">
        <v>9650</v>
      </c>
      <c r="C41" s="4" t="s">
        <v>1129</v>
      </c>
      <c r="D41" s="13">
        <v>0</v>
      </c>
      <c r="E41" t="s">
        <v>1074</v>
      </c>
      <c r="G41" t="str" cm="1">
        <f t="array" aca="1" ref="G41" ca="1">eConcatenar(A41:E41,"|")</f>
        <v>rqbY1HGEq8JKe8xE|9650|2021-9-20|0|final</v>
      </c>
    </row>
    <row r="42" spans="1:7" x14ac:dyDescent="0.25">
      <c r="A42" s="6" t="s">
        <v>5313</v>
      </c>
      <c r="B42" s="4">
        <v>9900</v>
      </c>
      <c r="C42" s="4" t="s">
        <v>1129</v>
      </c>
      <c r="D42" s="13">
        <v>0</v>
      </c>
      <c r="E42" t="s">
        <v>1074</v>
      </c>
      <c r="G42" t="str" cm="1">
        <f t="array" aca="1" ref="G42" ca="1">eConcatenar(A42:E42,"|")</f>
        <v>8xUYm7A8s7UAyWXI|9900|2021-9-20|0|final</v>
      </c>
    </row>
    <row r="43" spans="1:7" x14ac:dyDescent="0.25">
      <c r="A43" s="6" t="s">
        <v>5319</v>
      </c>
      <c r="B43" s="4">
        <v>7800</v>
      </c>
      <c r="C43" s="4" t="s">
        <v>1129</v>
      </c>
      <c r="D43" s="13">
        <v>0</v>
      </c>
      <c r="E43" t="s">
        <v>1074</v>
      </c>
      <c r="G43" t="str" cm="1">
        <f t="array" aca="1" ref="G43" ca="1">eConcatenar(A43:E43,"|")</f>
        <v>eYIDuzAchCgNbEWM|7800|2021-9-20|0|final</v>
      </c>
    </row>
    <row r="44" spans="1:7" x14ac:dyDescent="0.25">
      <c r="A44" s="6" t="s">
        <v>5327</v>
      </c>
      <c r="B44" s="4">
        <v>9700</v>
      </c>
      <c r="C44" s="4" t="s">
        <v>1129</v>
      </c>
      <c r="D44" s="13">
        <v>0</v>
      </c>
      <c r="E44" t="s">
        <v>1074</v>
      </c>
      <c r="G44" t="str" cm="1">
        <f t="array" aca="1" ref="G44" ca="1">eConcatenar(A44:E44,"|")</f>
        <v>ZuXf0EMgQjDI2uHq|9700|2021-9-20|0|final</v>
      </c>
    </row>
    <row r="45" spans="1:7" x14ac:dyDescent="0.25">
      <c r="A45" s="6" t="s">
        <v>5333</v>
      </c>
      <c r="B45" s="4">
        <v>11100</v>
      </c>
      <c r="C45" s="4" t="s">
        <v>1129</v>
      </c>
      <c r="D45" s="13">
        <v>0</v>
      </c>
      <c r="E45" t="s">
        <v>1074</v>
      </c>
      <c r="G45" t="str" cm="1">
        <f t="array" aca="1" ref="G45" ca="1">eConcatenar(A45:E45,"|")</f>
        <v>73MpVRpJUJzgk7AC|11100|2021-9-20|0|final</v>
      </c>
    </row>
    <row r="46" spans="1:7" x14ac:dyDescent="0.25">
      <c r="A46" s="6" t="s">
        <v>5341</v>
      </c>
      <c r="B46" s="4">
        <v>1400</v>
      </c>
      <c r="C46" s="4" t="s">
        <v>1129</v>
      </c>
      <c r="D46" s="13">
        <v>0</v>
      </c>
      <c r="E46" t="s">
        <v>1074</v>
      </c>
      <c r="G46" t="str" cm="1">
        <f t="array" aca="1" ref="G46" ca="1">eConcatenar(A46:E46,"|")</f>
        <v>VnxRZS9PfHjsF3EJ|1400|2021-9-20|0|final</v>
      </c>
    </row>
    <row r="47" spans="1:7" x14ac:dyDescent="0.25">
      <c r="A47" s="6" t="s">
        <v>5346</v>
      </c>
      <c r="B47" s="4">
        <v>4200</v>
      </c>
      <c r="C47" s="4" t="s">
        <v>1129</v>
      </c>
      <c r="D47" s="13">
        <v>0</v>
      </c>
      <c r="E47" t="s">
        <v>1074</v>
      </c>
      <c r="G47" t="str" cm="1">
        <f t="array" aca="1" ref="G47" ca="1">eConcatenar(A47:E47,"|")</f>
        <v>Brub26TdNgM9bita|4200|2021-9-20|0|final</v>
      </c>
    </row>
    <row r="48" spans="1:7" x14ac:dyDescent="0.25">
      <c r="A48" s="6" t="s">
        <v>5354</v>
      </c>
      <c r="B48" s="4">
        <v>3500</v>
      </c>
      <c r="C48" s="4" t="s">
        <v>1129</v>
      </c>
      <c r="D48" s="13">
        <v>0</v>
      </c>
      <c r="E48" t="s">
        <v>1074</v>
      </c>
      <c r="G48" t="str" cm="1">
        <f t="array" aca="1" ref="G48" ca="1">eConcatenar(A48:E48,"|")</f>
        <v>Bb94wXgvuguqaYty|3500|2021-9-20|0|final</v>
      </c>
    </row>
    <row r="49" spans="1:7" x14ac:dyDescent="0.25">
      <c r="A49" s="6" t="s">
        <v>5360</v>
      </c>
      <c r="B49" s="4">
        <v>11400</v>
      </c>
      <c r="C49" s="4" t="s">
        <v>1130</v>
      </c>
      <c r="D49" s="13">
        <v>0</v>
      </c>
      <c r="E49" t="s">
        <v>1074</v>
      </c>
      <c r="G49" t="str" cm="1">
        <f t="array" aca="1" ref="G49" ca="1">eConcatenar(A49:E49,"|")</f>
        <v>agPD6svkOHbYniwT|11400|2021-9-21|0|final</v>
      </c>
    </row>
    <row r="50" spans="1:7" x14ac:dyDescent="0.25">
      <c r="A50" s="6" t="s">
        <v>5368</v>
      </c>
      <c r="B50" s="4">
        <v>4800</v>
      </c>
      <c r="C50" s="4" t="s">
        <v>1130</v>
      </c>
      <c r="D50" s="13">
        <v>0</v>
      </c>
      <c r="E50" t="s">
        <v>1074</v>
      </c>
      <c r="G50" t="str" cm="1">
        <f t="array" aca="1" ref="G50" ca="1">eConcatenar(A50:E50,"|")</f>
        <v>ew9QSr1t0vLcgUyQ|4800|2021-9-21|0|final</v>
      </c>
    </row>
    <row r="51" spans="1:7" x14ac:dyDescent="0.25">
      <c r="A51" s="6" t="s">
        <v>5373</v>
      </c>
      <c r="B51" s="4">
        <v>4600</v>
      </c>
      <c r="C51" s="4" t="s">
        <v>1130</v>
      </c>
      <c r="D51" s="13">
        <v>0</v>
      </c>
      <c r="E51" t="s">
        <v>1074</v>
      </c>
      <c r="G51" t="str" cm="1">
        <f t="array" aca="1" ref="G51" ca="1">eConcatenar(A51:E51,"|")</f>
        <v>yJ5jWztgLYxxUaib|4600|2021-9-21|0|final</v>
      </c>
    </row>
    <row r="52" spans="1:7" x14ac:dyDescent="0.25">
      <c r="A52" s="6" t="s">
        <v>5381</v>
      </c>
      <c r="B52" s="4">
        <v>9800</v>
      </c>
      <c r="C52" s="4" t="s">
        <v>1130</v>
      </c>
      <c r="D52" s="13">
        <v>0</v>
      </c>
      <c r="E52" t="s">
        <v>1074</v>
      </c>
      <c r="G52" t="str" cm="1">
        <f t="array" aca="1" ref="G52" ca="1">eConcatenar(A52:E52,"|")</f>
        <v>LwrYaCdDgovgzmRh|9800|2021-9-21|0|final</v>
      </c>
    </row>
    <row r="53" spans="1:7" x14ac:dyDescent="0.25">
      <c r="A53" s="6" t="s">
        <v>5389</v>
      </c>
      <c r="B53" s="4">
        <v>10950</v>
      </c>
      <c r="C53" s="4" t="s">
        <v>1130</v>
      </c>
      <c r="D53" s="13">
        <v>0</v>
      </c>
      <c r="E53" t="s">
        <v>1074</v>
      </c>
      <c r="G53" t="str" cm="1">
        <f t="array" aca="1" ref="G53" ca="1">eConcatenar(A53:E53,"|")</f>
        <v>UgqrRfUzIPUXqb1r|10950|2021-9-21|0|final</v>
      </c>
    </row>
    <row r="54" spans="1:7" x14ac:dyDescent="0.25">
      <c r="A54" s="6" t="s">
        <v>5395</v>
      </c>
      <c r="B54" s="4">
        <v>30100</v>
      </c>
      <c r="C54" s="4" t="s">
        <v>1130</v>
      </c>
      <c r="D54" s="13">
        <v>0</v>
      </c>
      <c r="E54" t="s">
        <v>1074</v>
      </c>
      <c r="G54" t="str" cm="1">
        <f t="array" aca="1" ref="G54" ca="1">eConcatenar(A54:E54,"|")</f>
        <v>ka6a2D7Ga1sqln5P|30100|2021-9-21|0|final</v>
      </c>
    </row>
    <row r="55" spans="1:7" x14ac:dyDescent="0.25">
      <c r="A55" s="6" t="s">
        <v>5401</v>
      </c>
      <c r="B55" s="4">
        <v>7700</v>
      </c>
      <c r="C55" s="4" t="s">
        <v>1130</v>
      </c>
      <c r="D55" s="13">
        <v>0</v>
      </c>
      <c r="E55" t="s">
        <v>1074</v>
      </c>
      <c r="G55" t="str" cm="1">
        <f t="array" aca="1" ref="G55" ca="1">eConcatenar(A55:E55,"|")</f>
        <v>SCJUNn4s2wKuEGWn|7700|2021-9-21|0|final</v>
      </c>
    </row>
    <row r="56" spans="1:7" x14ac:dyDescent="0.25">
      <c r="A56" s="6" t="s">
        <v>5406</v>
      </c>
      <c r="B56" s="4">
        <v>10200</v>
      </c>
      <c r="C56" s="4" t="s">
        <v>1130</v>
      </c>
      <c r="D56" s="13">
        <v>0</v>
      </c>
      <c r="E56" t="s">
        <v>1074</v>
      </c>
      <c r="G56" t="str" cm="1">
        <f t="array" aca="1" ref="G56" ca="1">eConcatenar(A56:E56,"|")</f>
        <v>7h84MQygG285P9M8|10200|2021-9-21|0|final</v>
      </c>
    </row>
    <row r="57" spans="1:7" x14ac:dyDescent="0.25">
      <c r="A57" s="6" t="s">
        <v>5414</v>
      </c>
      <c r="B57" s="4">
        <v>3000</v>
      </c>
      <c r="C57" s="4" t="s">
        <v>1130</v>
      </c>
      <c r="D57" s="13">
        <v>0</v>
      </c>
      <c r="E57" t="s">
        <v>1074</v>
      </c>
      <c r="G57" t="str" cm="1">
        <f t="array" aca="1" ref="G57" ca="1">eConcatenar(A57:E57,"|")</f>
        <v>HH4IqfG5nXc00uVk|3000|2021-9-21|0|final</v>
      </c>
    </row>
    <row r="58" spans="1:7" x14ac:dyDescent="0.25">
      <c r="A58" s="6" t="s">
        <v>5419</v>
      </c>
      <c r="B58" s="4">
        <v>11250</v>
      </c>
      <c r="C58" s="4" t="s">
        <v>1130</v>
      </c>
      <c r="D58" s="13">
        <v>0</v>
      </c>
      <c r="E58" t="s">
        <v>1074</v>
      </c>
      <c r="G58" t="str" cm="1">
        <f t="array" aca="1" ref="G58" ca="1">eConcatenar(A58:E58,"|")</f>
        <v>W96dmIAI9ED6Q2Wq|11250|2021-9-21|0|final</v>
      </c>
    </row>
    <row r="59" spans="1:7" x14ac:dyDescent="0.25">
      <c r="A59" s="6" t="s">
        <v>5426</v>
      </c>
      <c r="B59" s="4">
        <v>10500</v>
      </c>
      <c r="C59" s="4" t="s">
        <v>1130</v>
      </c>
      <c r="D59" s="13">
        <v>0</v>
      </c>
      <c r="E59" t="s">
        <v>1074</v>
      </c>
      <c r="G59" t="str" cm="1">
        <f t="array" aca="1" ref="G59" ca="1">eConcatenar(A59:E59,"|")</f>
        <v>nLvKh8WcPjXfa7yc|10500|2021-9-21|0|final</v>
      </c>
    </row>
    <row r="60" spans="1:7" x14ac:dyDescent="0.25">
      <c r="A60" s="6" t="s">
        <v>5434</v>
      </c>
      <c r="B60" s="4">
        <v>8100</v>
      </c>
      <c r="C60" s="4" t="s">
        <v>1130</v>
      </c>
      <c r="D60" s="13">
        <v>0</v>
      </c>
      <c r="E60" t="s">
        <v>1074</v>
      </c>
      <c r="G60" t="str" cm="1">
        <f t="array" aca="1" ref="G60" ca="1">eConcatenar(A60:E60,"|")</f>
        <v>orwTduiDXMozkJSF|8100|2021-9-21|0|final</v>
      </c>
    </row>
    <row r="61" spans="1:7" x14ac:dyDescent="0.25">
      <c r="A61" s="6" t="s">
        <v>5441</v>
      </c>
      <c r="B61" s="4">
        <v>10700</v>
      </c>
      <c r="C61" s="4" t="s">
        <v>1130</v>
      </c>
      <c r="D61" s="13">
        <v>0</v>
      </c>
      <c r="E61" t="s">
        <v>1074</v>
      </c>
      <c r="G61" t="str" cm="1">
        <f t="array" aca="1" ref="G61" ca="1">eConcatenar(A61:E61,"|")</f>
        <v>gkTczq6dXW0f5qlf|10700|2021-9-21|0|final</v>
      </c>
    </row>
    <row r="62" spans="1:7" x14ac:dyDescent="0.25">
      <c r="A62" s="6" t="s">
        <v>5446</v>
      </c>
      <c r="B62" s="4">
        <v>5800</v>
      </c>
      <c r="C62" s="4" t="s">
        <v>1130</v>
      </c>
      <c r="D62" s="13">
        <v>0</v>
      </c>
      <c r="E62" t="s">
        <v>1074</v>
      </c>
      <c r="G62" t="str" cm="1">
        <f t="array" aca="1" ref="G62" ca="1">eConcatenar(A62:E62,"|")</f>
        <v>zyhrsUltLAJQzFA3|5800|2021-9-21|0|final</v>
      </c>
    </row>
    <row r="63" spans="1:7" x14ac:dyDescent="0.25">
      <c r="A63" s="6" t="s">
        <v>5454</v>
      </c>
      <c r="B63" s="4">
        <v>6600</v>
      </c>
      <c r="C63" s="4" t="s">
        <v>1130</v>
      </c>
      <c r="D63" s="13">
        <v>0</v>
      </c>
      <c r="E63" t="s">
        <v>1074</v>
      </c>
      <c r="G63" t="str" cm="1">
        <f t="array" aca="1" ref="G63" ca="1">eConcatenar(A63:E63,"|")</f>
        <v>5DuybASBUONdV7Yx|6600|2021-9-21|0|final</v>
      </c>
    </row>
    <row r="64" spans="1:7" x14ac:dyDescent="0.25">
      <c r="A64" s="6" t="s">
        <v>5459</v>
      </c>
      <c r="B64" s="4">
        <v>9000</v>
      </c>
      <c r="C64" s="4" t="s">
        <v>1130</v>
      </c>
      <c r="D64" s="13">
        <v>0</v>
      </c>
      <c r="E64" t="s">
        <v>1074</v>
      </c>
      <c r="G64" t="str" cm="1">
        <f t="array" aca="1" ref="G64" ca="1">eConcatenar(A64:E64,"|")</f>
        <v>ZppR8EArJv64TwO1|9000|2021-9-21|0|final</v>
      </c>
    </row>
    <row r="65" spans="1:7" x14ac:dyDescent="0.25">
      <c r="A65" s="6" t="s">
        <v>5466</v>
      </c>
      <c r="B65" s="4">
        <v>6300</v>
      </c>
      <c r="C65" s="4" t="s">
        <v>1130</v>
      </c>
      <c r="D65" s="13">
        <v>0</v>
      </c>
      <c r="E65" t="s">
        <v>1074</v>
      </c>
      <c r="G65" t="str" cm="1">
        <f t="array" aca="1" ref="G65" ca="1">eConcatenar(A65:E65,"|")</f>
        <v>PjTyWspSQRJSCH7i|6300|2021-9-21|0|final</v>
      </c>
    </row>
    <row r="66" spans="1:7" x14ac:dyDescent="0.25">
      <c r="A66" s="6" t="s">
        <v>5474</v>
      </c>
      <c r="B66" s="4">
        <v>7100</v>
      </c>
      <c r="C66" s="4" t="s">
        <v>1130</v>
      </c>
      <c r="D66" s="13">
        <v>0</v>
      </c>
      <c r="E66" t="s">
        <v>1074</v>
      </c>
      <c r="G66" t="str" cm="1">
        <f t="array" aca="1" ref="G66" ca="1">eConcatenar(A66:E66,"|")</f>
        <v>u75gVJAT49OxlyUG|7100|2021-9-21|0|final</v>
      </c>
    </row>
    <row r="67" spans="1:7" x14ac:dyDescent="0.25">
      <c r="A67" s="6" t="s">
        <v>5479</v>
      </c>
      <c r="B67" s="4">
        <v>7700</v>
      </c>
      <c r="C67" s="4" t="s">
        <v>1130</v>
      </c>
      <c r="D67" s="13">
        <v>0</v>
      </c>
      <c r="E67" t="s">
        <v>1074</v>
      </c>
      <c r="G67" t="str" cm="1">
        <f t="array" aca="1" ref="G67" ca="1">eConcatenar(A67:E67,"|")</f>
        <v>sCpuyudvoClPk58c|7700|2021-9-21|0|final</v>
      </c>
    </row>
    <row r="68" spans="1:7" x14ac:dyDescent="0.25">
      <c r="A68" s="6" t="s">
        <v>5484</v>
      </c>
      <c r="B68" s="4">
        <v>500</v>
      </c>
      <c r="C68" s="4" t="s">
        <v>1130</v>
      </c>
      <c r="D68" s="13">
        <v>0</v>
      </c>
      <c r="E68" t="s">
        <v>1074</v>
      </c>
      <c r="G68" t="str" cm="1">
        <f t="array" aca="1" ref="G68" ca="1">eConcatenar(A68:E68,"|")</f>
        <v>tp7VaxJTc8bOvXSl|500|2021-9-21|0|final</v>
      </c>
    </row>
    <row r="69" spans="1:7" x14ac:dyDescent="0.25">
      <c r="A69" s="6" t="s">
        <v>5490</v>
      </c>
      <c r="B69" s="4">
        <v>4400</v>
      </c>
      <c r="C69" s="4" t="s">
        <v>1130</v>
      </c>
      <c r="D69" s="13">
        <v>0</v>
      </c>
      <c r="E69" t="s">
        <v>1074</v>
      </c>
      <c r="G69" t="str" cm="1">
        <f t="array" aca="1" ref="G69" ca="1">eConcatenar(A69:E69,"|")</f>
        <v>UR8BAhKiXPVZAL4M|4400|2021-9-21|0|final</v>
      </c>
    </row>
    <row r="70" spans="1:7" x14ac:dyDescent="0.25">
      <c r="A70" s="6" t="s">
        <v>5495</v>
      </c>
      <c r="B70" s="4">
        <v>650</v>
      </c>
      <c r="C70" s="4" t="s">
        <v>1130</v>
      </c>
      <c r="D70" s="13">
        <v>0</v>
      </c>
      <c r="E70" t="s">
        <v>1074</v>
      </c>
      <c r="G70" t="str" cm="1">
        <f t="array" aca="1" ref="G70" ca="1">eConcatenar(A70:E70,"|")</f>
        <v>J9o6paD82A6q8P5F|650|2021-9-21|0|final</v>
      </c>
    </row>
    <row r="71" spans="1:7" x14ac:dyDescent="0.25">
      <c r="A71" s="6" t="s">
        <v>5500</v>
      </c>
      <c r="B71" s="4">
        <v>4200</v>
      </c>
      <c r="C71" s="4" t="s">
        <v>1130</v>
      </c>
      <c r="D71" s="13">
        <v>0</v>
      </c>
      <c r="E71" t="s">
        <v>1074</v>
      </c>
      <c r="G71" t="str" cm="1">
        <f t="array" aca="1" ref="G71" ca="1">eConcatenar(A71:E71,"|")</f>
        <v>FfZRT7UKkXADRYv0|4200|2021-9-21|0|final</v>
      </c>
    </row>
    <row r="72" spans="1:7" x14ac:dyDescent="0.25">
      <c r="A72" s="6" t="s">
        <v>5506</v>
      </c>
      <c r="B72" s="4">
        <v>2700</v>
      </c>
      <c r="C72" s="4" t="s">
        <v>1130</v>
      </c>
      <c r="D72" s="13">
        <v>0</v>
      </c>
      <c r="E72" t="s">
        <v>1074</v>
      </c>
      <c r="G72" t="str" cm="1">
        <f t="array" aca="1" ref="G72" ca="1">eConcatenar(A72:E72,"|")</f>
        <v>kyN1p1hmPb2RoZ6d|2700|2021-9-21|0|final</v>
      </c>
    </row>
    <row r="73" spans="1:7" x14ac:dyDescent="0.25">
      <c r="A73" s="6" t="s">
        <v>5511</v>
      </c>
      <c r="B73" s="4">
        <v>1100</v>
      </c>
      <c r="C73" s="4" t="s">
        <v>1130</v>
      </c>
      <c r="D73" s="13">
        <v>0</v>
      </c>
      <c r="E73" t="s">
        <v>1074</v>
      </c>
      <c r="G73" t="str" cm="1">
        <f t="array" aca="1" ref="G73" ca="1">eConcatenar(A73:E73,"|")</f>
        <v>uMFVNYH3DMF9DWx8|1100|2021-9-21|0|final</v>
      </c>
    </row>
    <row r="74" spans="1:7" x14ac:dyDescent="0.25">
      <c r="A74" s="6" t="s">
        <v>5516</v>
      </c>
      <c r="B74" s="4">
        <v>8200</v>
      </c>
      <c r="C74" s="4" t="s">
        <v>1122</v>
      </c>
      <c r="D74" s="13">
        <v>0</v>
      </c>
      <c r="E74" t="s">
        <v>1074</v>
      </c>
      <c r="G74" t="str" cm="1">
        <f t="array" aca="1" ref="G74" ca="1">eConcatenar(A74:E74,"|")</f>
        <v>aY7uofBx7O6f74RM|8200|2021-9-13|0|final</v>
      </c>
    </row>
    <row r="75" spans="1:7" x14ac:dyDescent="0.25">
      <c r="A75" s="6" t="s">
        <v>5523</v>
      </c>
      <c r="B75" s="4">
        <v>7700</v>
      </c>
      <c r="C75" s="4" t="s">
        <v>5528</v>
      </c>
      <c r="D75" s="13">
        <v>0</v>
      </c>
      <c r="E75" t="s">
        <v>1074</v>
      </c>
      <c r="G75" t="str" cm="1">
        <f t="array" aca="1" ref="G75" ca="1">eConcatenar(A75:E75,"|")</f>
        <v>puebld5V61tc39uX|7700|2021-8-02|0|final</v>
      </c>
    </row>
    <row r="76" spans="1:7" x14ac:dyDescent="0.25">
      <c r="A76" s="6" t="s">
        <v>5529</v>
      </c>
      <c r="B76" s="4">
        <v>8500</v>
      </c>
      <c r="C76" s="4" t="s">
        <v>1130</v>
      </c>
      <c r="D76" s="13">
        <v>0</v>
      </c>
      <c r="E76" t="s">
        <v>1074</v>
      </c>
      <c r="G76" t="str" cm="1">
        <f t="array" aca="1" ref="G76" ca="1">eConcatenar(A76:E76,"|")</f>
        <v>KLVaQKUObCabILKw|8500|2021-9-21|0|final</v>
      </c>
    </row>
    <row r="77" spans="1:7" x14ac:dyDescent="0.25">
      <c r="A77" s="6" t="s">
        <v>5535</v>
      </c>
      <c r="B77" s="4">
        <v>7500</v>
      </c>
      <c r="C77" s="4" t="s">
        <v>5309</v>
      </c>
      <c r="D77" s="13">
        <v>0</v>
      </c>
      <c r="E77" t="s">
        <v>1074</v>
      </c>
      <c r="G77" t="str" cm="1">
        <f t="array" aca="1" ref="G77" ca="1">eConcatenar(A77:E77,"|")</f>
        <v>5ibaDZOiYGDPmWIr|7500|2021-9-06|0|final</v>
      </c>
    </row>
    <row r="78" spans="1:7" x14ac:dyDescent="0.25">
      <c r="A78" s="6" t="s">
        <v>5541</v>
      </c>
      <c r="B78" s="4">
        <v>1100</v>
      </c>
      <c r="C78" s="4" t="s">
        <v>1122</v>
      </c>
      <c r="D78" s="13">
        <v>0</v>
      </c>
      <c r="E78" t="s">
        <v>1074</v>
      </c>
      <c r="G78" t="str" cm="1">
        <f t="array" aca="1" ref="G78" ca="1">eConcatenar(A78:E78,"|")</f>
        <v>zvakUL0ZRygarn7i|1100|2021-9-13|0|final</v>
      </c>
    </row>
    <row r="79" spans="1:7" x14ac:dyDescent="0.25">
      <c r="A79" s="6" t="s">
        <v>5547</v>
      </c>
      <c r="B79" s="4">
        <v>800</v>
      </c>
      <c r="C79" s="4" t="s">
        <v>5553</v>
      </c>
      <c r="D79" s="13">
        <v>0</v>
      </c>
      <c r="E79" t="s">
        <v>1074</v>
      </c>
      <c r="G79" t="str" cm="1">
        <f t="array" aca="1" ref="G79" ca="1">eConcatenar(A79:E79,"|")</f>
        <v>SPsgV3P37aVe70qb|800|2021-9-07|0|final</v>
      </c>
    </row>
    <row r="80" spans="1:7" x14ac:dyDescent="0.25">
      <c r="A80" s="6" t="s">
        <v>5554</v>
      </c>
      <c r="B80" s="4">
        <v>900</v>
      </c>
      <c r="C80" s="4" t="s">
        <v>1122</v>
      </c>
      <c r="D80" s="13">
        <v>0</v>
      </c>
      <c r="E80" t="s">
        <v>1074</v>
      </c>
      <c r="G80" t="str" cm="1">
        <f t="array" aca="1" ref="G80" ca="1">eConcatenar(A80:E80,"|")</f>
        <v>LxDnbfcxd48GvLyh|900|2021-9-13|0|final</v>
      </c>
    </row>
    <row r="81" spans="1:7" x14ac:dyDescent="0.25">
      <c r="A81" s="6" t="s">
        <v>5559</v>
      </c>
      <c r="B81" s="4">
        <v>7250</v>
      </c>
      <c r="C81" s="4" t="s">
        <v>1122</v>
      </c>
      <c r="D81" s="13">
        <v>0</v>
      </c>
      <c r="E81" t="s">
        <v>1074</v>
      </c>
      <c r="G81" t="str" cm="1">
        <f t="array" aca="1" ref="G81" ca="1">eConcatenar(A81:E81,"|")</f>
        <v>9TYdY2Q4kohvYLf2|7250|2021-9-13|0|final</v>
      </c>
    </row>
    <row r="82" spans="1:7" x14ac:dyDescent="0.25">
      <c r="A82" s="6" t="s">
        <v>5563</v>
      </c>
      <c r="B82" s="4">
        <v>11700</v>
      </c>
      <c r="C82" s="4" t="s">
        <v>1129</v>
      </c>
      <c r="D82" s="13">
        <v>0</v>
      </c>
      <c r="E82" t="s">
        <v>1074</v>
      </c>
      <c r="G82" t="str" cm="1">
        <f t="array" aca="1" ref="G82" ca="1">eConcatenar(A82:E82,"|")</f>
        <v>xhcOf5CT96oILf4L|11700|2021-9-20|0|final</v>
      </c>
    </row>
    <row r="83" spans="1:7" x14ac:dyDescent="0.25">
      <c r="A83" s="6" t="s">
        <v>5571</v>
      </c>
      <c r="B83" s="4">
        <v>8200</v>
      </c>
      <c r="C83" s="4" t="s">
        <v>1129</v>
      </c>
      <c r="D83" s="13">
        <v>0</v>
      </c>
      <c r="E83" t="s">
        <v>1074</v>
      </c>
      <c r="G83" t="str" cm="1">
        <f t="array" aca="1" ref="G83" ca="1">eConcatenar(A83:E83,"|")</f>
        <v>P2rU25K4DaP6tLvJ|8200|2021-9-20|0|final</v>
      </c>
    </row>
    <row r="84" spans="1:7" x14ac:dyDescent="0.25">
      <c r="A84" s="6" t="s">
        <v>5577</v>
      </c>
      <c r="B84" s="4">
        <v>6800</v>
      </c>
      <c r="C84" s="4" t="s">
        <v>1129</v>
      </c>
      <c r="D84" s="13">
        <v>0</v>
      </c>
      <c r="E84" t="s">
        <v>1074</v>
      </c>
      <c r="G84" t="str" cm="1">
        <f t="array" aca="1" ref="G84" ca="1">eConcatenar(A84:E84,"|")</f>
        <v>ChnrVLEoFaqoDpWz|6800|2021-9-20|0|final</v>
      </c>
    </row>
    <row r="85" spans="1:7" x14ac:dyDescent="0.25">
      <c r="A85" s="6" t="s">
        <v>5582</v>
      </c>
      <c r="B85" s="4">
        <v>6400</v>
      </c>
      <c r="C85" s="4" t="s">
        <v>1129</v>
      </c>
      <c r="D85" s="13">
        <v>0</v>
      </c>
      <c r="E85" t="s">
        <v>1074</v>
      </c>
      <c r="G85" t="str" cm="1">
        <f t="array" aca="1" ref="G85" ca="1">eConcatenar(A85:E85,"|")</f>
        <v>LYcSmOf1iUzZHYu3|6400|2021-9-20|0|final</v>
      </c>
    </row>
    <row r="86" spans="1:7" x14ac:dyDescent="0.25">
      <c r="A86" s="6" t="s">
        <v>5589</v>
      </c>
      <c r="B86" s="4">
        <v>10350</v>
      </c>
      <c r="C86" s="4" t="s">
        <v>1129</v>
      </c>
      <c r="D86" s="13">
        <v>0</v>
      </c>
      <c r="E86" t="s">
        <v>1074</v>
      </c>
      <c r="G86" t="str" cm="1">
        <f t="array" aca="1" ref="G86" ca="1">eConcatenar(A86:E86,"|")</f>
        <v>5TnJVTx1VX6FwDCw|10350|2021-9-20|0|final</v>
      </c>
    </row>
    <row r="87" spans="1:7" x14ac:dyDescent="0.25">
      <c r="A87" s="6" t="s">
        <v>5595</v>
      </c>
      <c r="B87" s="4">
        <v>4600</v>
      </c>
      <c r="C87" s="4" t="s">
        <v>1129</v>
      </c>
      <c r="D87" s="13">
        <v>0</v>
      </c>
      <c r="E87" t="s">
        <v>1074</v>
      </c>
      <c r="G87" t="str" cm="1">
        <f t="array" aca="1" ref="G87" ca="1">eConcatenar(A87:E87,"|")</f>
        <v>v6i7H4iJdosJoM8Y|4600|2021-9-20|0|final</v>
      </c>
    </row>
    <row r="88" spans="1:7" x14ac:dyDescent="0.25">
      <c r="A88" s="6" t="s">
        <v>5601</v>
      </c>
      <c r="B88" s="4">
        <v>6400</v>
      </c>
      <c r="C88" s="4" t="s">
        <v>1129</v>
      </c>
      <c r="D88" s="13">
        <v>0</v>
      </c>
      <c r="E88" t="s">
        <v>1074</v>
      </c>
      <c r="G88" t="str" cm="1">
        <f t="array" aca="1" ref="G88" ca="1">eConcatenar(A88:E88,"|")</f>
        <v>eM4EBuaaREFahEBY|6400|2021-9-20|0|final</v>
      </c>
    </row>
    <row r="89" spans="1:7" x14ac:dyDescent="0.25">
      <c r="A89" s="6" t="s">
        <v>5608</v>
      </c>
      <c r="B89" s="4">
        <v>1200</v>
      </c>
      <c r="C89" s="4" t="s">
        <v>1129</v>
      </c>
      <c r="D89" s="13">
        <v>0</v>
      </c>
      <c r="E89" t="s">
        <v>1074</v>
      </c>
      <c r="G89" t="str" cm="1">
        <f t="array" aca="1" ref="G89" ca="1">eConcatenar(A89:E89,"|")</f>
        <v>XVry2yJdeBzXbdE1|1200|2021-9-20|0|final</v>
      </c>
    </row>
    <row r="90" spans="1:7" x14ac:dyDescent="0.25">
      <c r="A90" s="6" t="s">
        <v>5614</v>
      </c>
      <c r="B90" s="4">
        <v>2400</v>
      </c>
      <c r="C90" s="4" t="s">
        <v>1129</v>
      </c>
      <c r="D90" s="13">
        <v>0</v>
      </c>
      <c r="E90" t="s">
        <v>1074</v>
      </c>
      <c r="G90" t="str" cm="1">
        <f t="array" aca="1" ref="G90" ca="1">eConcatenar(A90:E90,"|")</f>
        <v>xJpVtxaGRBe6EYit|2400|2021-9-20|0|final</v>
      </c>
    </row>
    <row r="91" spans="1:7" x14ac:dyDescent="0.25">
      <c r="A91" s="6" t="s">
        <v>5622</v>
      </c>
      <c r="B91" s="4">
        <v>4000</v>
      </c>
      <c r="C91" s="4" t="s">
        <v>1129</v>
      </c>
      <c r="D91" s="13">
        <v>0</v>
      </c>
      <c r="E91" t="s">
        <v>1074</v>
      </c>
      <c r="G91" t="str" cm="1">
        <f t="array" aca="1" ref="G91" ca="1">eConcatenar(A91:E91,"|")</f>
        <v>xsCrdIPa38BoDrMc|4000|2021-9-20|0|final</v>
      </c>
    </row>
    <row r="92" spans="1:7" x14ac:dyDescent="0.25">
      <c r="A92" s="6" t="s">
        <v>5626</v>
      </c>
      <c r="B92" s="4">
        <v>7900</v>
      </c>
      <c r="C92" s="4" t="s">
        <v>1129</v>
      </c>
      <c r="D92" s="13">
        <v>0</v>
      </c>
      <c r="E92" t="s">
        <v>1074</v>
      </c>
      <c r="G92" t="str" cm="1">
        <f t="array" aca="1" ref="G92" ca="1">eConcatenar(A92:E92,"|")</f>
        <v>rZruFT0piFAMQyTA|7900|2021-9-20|0|final</v>
      </c>
    </row>
    <row r="93" spans="1:7" x14ac:dyDescent="0.25">
      <c r="A93" s="6" t="s">
        <v>5632</v>
      </c>
      <c r="B93" s="4">
        <v>12600</v>
      </c>
      <c r="C93" s="4" t="s">
        <v>1129</v>
      </c>
      <c r="D93" s="13">
        <v>0</v>
      </c>
      <c r="E93" t="s">
        <v>1074</v>
      </c>
      <c r="G93" t="str" cm="1">
        <f t="array" aca="1" ref="G93" ca="1">eConcatenar(A93:E93,"|")</f>
        <v>6jjPHbJ36smuJIrs|12600|2021-9-20|0|final</v>
      </c>
    </row>
    <row r="94" spans="1:7" x14ac:dyDescent="0.25">
      <c r="A94" s="6" t="s">
        <v>5639</v>
      </c>
      <c r="B94" s="4">
        <v>7200</v>
      </c>
      <c r="C94" s="4" t="s">
        <v>1129</v>
      </c>
      <c r="D94" s="13">
        <v>0</v>
      </c>
      <c r="E94" t="s">
        <v>1074</v>
      </c>
      <c r="G94" t="str" cm="1">
        <f t="array" aca="1" ref="G94" ca="1">eConcatenar(A94:E94,"|")</f>
        <v>OHFRWieBm250GJ37|7200|2021-9-20|0|final</v>
      </c>
    </row>
    <row r="95" spans="1:7" x14ac:dyDescent="0.25">
      <c r="A95" s="6" t="s">
        <v>5646</v>
      </c>
      <c r="B95" s="4">
        <v>11600</v>
      </c>
      <c r="C95" s="4" t="s">
        <v>1129</v>
      </c>
      <c r="D95" s="13">
        <v>0</v>
      </c>
      <c r="E95" t="s">
        <v>1074</v>
      </c>
      <c r="G95" t="str" cm="1">
        <f t="array" aca="1" ref="G95" ca="1">eConcatenar(A95:E95,"|")</f>
        <v>QQ45tFNohoikVvvn|11600|2021-9-20|0|final</v>
      </c>
    </row>
    <row r="96" spans="1:7" x14ac:dyDescent="0.25">
      <c r="A96" s="6" t="s">
        <v>5653</v>
      </c>
      <c r="B96" s="4">
        <v>4000</v>
      </c>
      <c r="C96" s="4" t="s">
        <v>1129</v>
      </c>
      <c r="D96" s="13">
        <v>0</v>
      </c>
      <c r="E96" t="s">
        <v>1074</v>
      </c>
      <c r="G96" t="str" cm="1">
        <f t="array" aca="1" ref="G96" ca="1">eConcatenar(A96:E96,"|")</f>
        <v>17IKL6OyCntqfts6|4000|2021-9-20|0|final</v>
      </c>
    </row>
    <row r="97" spans="1:7" x14ac:dyDescent="0.25">
      <c r="A97" s="6" t="s">
        <v>5660</v>
      </c>
      <c r="B97" s="4">
        <v>6300</v>
      </c>
      <c r="C97" s="4" t="s">
        <v>1129</v>
      </c>
      <c r="D97" s="13">
        <v>0</v>
      </c>
      <c r="E97" t="s">
        <v>1074</v>
      </c>
      <c r="G97" t="str" cm="1">
        <f t="array" aca="1" ref="G97" ca="1">eConcatenar(A97:E97,"|")</f>
        <v>IgiatAZp2xUMouv8|6300|2021-9-20|0|final</v>
      </c>
    </row>
    <row r="98" spans="1:7" x14ac:dyDescent="0.25">
      <c r="A98" s="6" t="s">
        <v>5667</v>
      </c>
      <c r="B98" s="4">
        <v>7000</v>
      </c>
      <c r="C98" s="4" t="s">
        <v>1129</v>
      </c>
      <c r="D98" s="13">
        <v>0</v>
      </c>
      <c r="E98" t="s">
        <v>1074</v>
      </c>
      <c r="G98" t="str" cm="1">
        <f t="array" aca="1" ref="G98" ca="1">eConcatenar(A98:E98,"|")</f>
        <v>0hjDuWbEGHy9DgnL|7000|2021-9-20|0|final</v>
      </c>
    </row>
    <row r="99" spans="1:7" x14ac:dyDescent="0.25">
      <c r="A99" s="6" t="s">
        <v>5676</v>
      </c>
      <c r="B99" s="4">
        <v>10150</v>
      </c>
      <c r="C99" s="4" t="s">
        <v>1129</v>
      </c>
      <c r="D99" s="13">
        <v>0</v>
      </c>
      <c r="E99" t="s">
        <v>1074</v>
      </c>
      <c r="G99" t="str" cm="1">
        <f t="array" aca="1" ref="G99" ca="1">eConcatenar(A99:E99,"|")</f>
        <v>crbhDs1NT2lhqTcQ|10150|2021-9-20|0|final</v>
      </c>
    </row>
    <row r="100" spans="1:7" x14ac:dyDescent="0.25">
      <c r="A100" s="6" t="s">
        <v>5682</v>
      </c>
      <c r="B100" s="4">
        <v>7900</v>
      </c>
      <c r="C100" s="4" t="s">
        <v>1129</v>
      </c>
      <c r="D100" s="13">
        <v>0</v>
      </c>
      <c r="E100" t="s">
        <v>1074</v>
      </c>
      <c r="G100" t="str" cm="1">
        <f t="array" aca="1" ref="G100" ca="1">eConcatenar(A100:E100,"|")</f>
        <v>zPh8Lh1aLire5HlC|7900|2021-9-20|0|final</v>
      </c>
    </row>
    <row r="101" spans="1:7" x14ac:dyDescent="0.25">
      <c r="A101" s="6" t="s">
        <v>5686</v>
      </c>
      <c r="B101" s="4">
        <v>6700</v>
      </c>
      <c r="C101" s="4" t="s">
        <v>1129</v>
      </c>
      <c r="D101" s="13">
        <v>0</v>
      </c>
      <c r="E101" t="s">
        <v>1074</v>
      </c>
      <c r="G101" t="str" cm="1">
        <f t="array" aca="1" ref="G101" ca="1">eConcatenar(A101:E101,"|")</f>
        <v>76RHVMeSt79gNmgA|6700|2021-9-20|0|final</v>
      </c>
    </row>
    <row r="102" spans="1:7" x14ac:dyDescent="0.25">
      <c r="A102" s="6" t="s">
        <v>5692</v>
      </c>
      <c r="B102" s="4">
        <v>7200</v>
      </c>
      <c r="C102" s="4" t="s">
        <v>1129</v>
      </c>
      <c r="D102" s="13">
        <v>0</v>
      </c>
      <c r="E102" t="s">
        <v>1074</v>
      </c>
      <c r="G102" t="str" cm="1">
        <f t="array" aca="1" ref="G102" ca="1">eConcatenar(A102:E102,"|")</f>
        <v>ww9fqwbHND9mg34g|7200|2021-9-20|0|final</v>
      </c>
    </row>
    <row r="103" spans="1:7" x14ac:dyDescent="0.25">
      <c r="A103" s="6" t="s">
        <v>5696</v>
      </c>
      <c r="B103" s="4">
        <v>8500</v>
      </c>
      <c r="C103" s="4" t="s">
        <v>1129</v>
      </c>
      <c r="D103" s="13">
        <v>0</v>
      </c>
      <c r="E103" t="s">
        <v>1074</v>
      </c>
      <c r="G103" t="str" cm="1">
        <f t="array" aca="1" ref="G103" ca="1">eConcatenar(A103:E103,"|")</f>
        <v>WP8yGLB0fRVzBtF2|8500|2021-9-20|0|final</v>
      </c>
    </row>
    <row r="104" spans="1:7" x14ac:dyDescent="0.25">
      <c r="A104" s="6" t="s">
        <v>5703</v>
      </c>
      <c r="B104" s="4">
        <v>4400</v>
      </c>
      <c r="C104" s="4" t="s">
        <v>1129</v>
      </c>
      <c r="D104" s="13">
        <v>0</v>
      </c>
      <c r="E104" t="s">
        <v>1074</v>
      </c>
      <c r="G104" t="str" cm="1">
        <f t="array" aca="1" ref="G104" ca="1">eConcatenar(A104:E104,"|")</f>
        <v>Kg6fS3AesuryLmnD|4400|2021-9-20|0|final</v>
      </c>
    </row>
    <row r="105" spans="1:7" x14ac:dyDescent="0.25">
      <c r="A105" s="6" t="s">
        <v>5709</v>
      </c>
      <c r="B105" s="4">
        <v>4800</v>
      </c>
      <c r="C105" s="4" t="s">
        <v>1129</v>
      </c>
      <c r="D105" s="13">
        <v>0</v>
      </c>
      <c r="E105" t="s">
        <v>1074</v>
      </c>
      <c r="G105" t="str" cm="1">
        <f t="array" aca="1" ref="G105" ca="1">eConcatenar(A105:E105,"|")</f>
        <v>8QyBD9dHpeJU8w4E|4800|2021-9-20|0|final</v>
      </c>
    </row>
    <row r="106" spans="1:7" x14ac:dyDescent="0.25">
      <c r="A106" s="6" t="s">
        <v>5716</v>
      </c>
      <c r="B106" s="4">
        <v>4400</v>
      </c>
      <c r="C106" s="4" t="s">
        <v>1129</v>
      </c>
      <c r="D106" s="13">
        <v>0</v>
      </c>
      <c r="E106" t="s">
        <v>1074</v>
      </c>
      <c r="G106" t="str" cm="1">
        <f t="array" aca="1" ref="G106" ca="1">eConcatenar(A106:E106,"|")</f>
        <v>q0VFI2C4dt7EpozY|4400|2021-9-20|0|final</v>
      </c>
    </row>
    <row r="107" spans="1:7" x14ac:dyDescent="0.25">
      <c r="A107" s="6" t="s">
        <v>5723</v>
      </c>
      <c r="B107" s="4">
        <v>8100</v>
      </c>
      <c r="C107" s="4" t="s">
        <v>1129</v>
      </c>
      <c r="D107" s="13">
        <v>0</v>
      </c>
      <c r="E107" t="s">
        <v>1074</v>
      </c>
      <c r="G107" t="str" cm="1">
        <f t="array" aca="1" ref="G107" ca="1">eConcatenar(A107:E107,"|")</f>
        <v>XZyPHO1W01zvH4XG|8100|2021-9-20|0|final</v>
      </c>
    </row>
    <row r="108" spans="1:7" x14ac:dyDescent="0.25">
      <c r="A108" s="6" t="s">
        <v>5731</v>
      </c>
      <c r="B108" s="4">
        <v>8200</v>
      </c>
      <c r="C108" s="4" t="s">
        <v>1129</v>
      </c>
      <c r="D108" s="13">
        <v>0</v>
      </c>
      <c r="E108" t="s">
        <v>1074</v>
      </c>
      <c r="G108" t="str" cm="1">
        <f t="array" aca="1" ref="G108" ca="1">eConcatenar(A108:E108,"|")</f>
        <v>GcLlKrjrmCJuKWcz|8200|2021-9-20|0|final</v>
      </c>
    </row>
    <row r="109" spans="1:7" x14ac:dyDescent="0.25">
      <c r="A109" s="6" t="s">
        <v>5737</v>
      </c>
      <c r="B109" s="4">
        <v>15550</v>
      </c>
      <c r="C109" s="4" t="s">
        <v>1129</v>
      </c>
      <c r="D109" s="13">
        <v>0</v>
      </c>
      <c r="E109" t="s">
        <v>1074</v>
      </c>
      <c r="G109" t="str" cm="1">
        <f t="array" aca="1" ref="G109" ca="1">eConcatenar(A109:E109,"|")</f>
        <v>aLXJ4Plt4FCc7HmZ|15550|2021-9-20|0|final</v>
      </c>
    </row>
    <row r="110" spans="1:7" x14ac:dyDescent="0.25">
      <c r="A110" s="6" t="s">
        <v>5742</v>
      </c>
      <c r="B110" s="4">
        <v>4500</v>
      </c>
      <c r="C110" s="4" t="s">
        <v>1129</v>
      </c>
      <c r="D110" s="13">
        <v>0</v>
      </c>
      <c r="E110" t="s">
        <v>1074</v>
      </c>
      <c r="G110" t="str" cm="1">
        <f t="array" aca="1" ref="G110" ca="1">eConcatenar(A110:E110,"|")</f>
        <v>KNcIcZ3lRcwfhzOF|4500|2021-9-20|0|final</v>
      </c>
    </row>
    <row r="111" spans="1:7" x14ac:dyDescent="0.25">
      <c r="A111" s="6" t="s">
        <v>5746</v>
      </c>
      <c r="B111" s="4">
        <v>12700</v>
      </c>
      <c r="C111" s="4" t="s">
        <v>1129</v>
      </c>
      <c r="D111" s="13">
        <v>0</v>
      </c>
      <c r="E111" t="s">
        <v>1074</v>
      </c>
      <c r="G111" t="str" cm="1">
        <f t="array" aca="1" ref="G111" ca="1">eConcatenar(A111:E111,"|")</f>
        <v>52I13DNJkzTVGps5|12700|2021-9-20|0|final</v>
      </c>
    </row>
    <row r="112" spans="1:7" x14ac:dyDescent="0.25">
      <c r="A112" s="6" t="s">
        <v>5752</v>
      </c>
      <c r="B112" s="4">
        <v>12900</v>
      </c>
      <c r="C112" s="4" t="s">
        <v>1129</v>
      </c>
      <c r="D112" s="13">
        <v>0</v>
      </c>
      <c r="E112" t="s">
        <v>1074</v>
      </c>
      <c r="G112" t="str" cm="1">
        <f t="array" aca="1" ref="G112" ca="1">eConcatenar(A112:E112,"|")</f>
        <v>MM436M59H7ambsED|12900|2021-9-20|0|final</v>
      </c>
    </row>
    <row r="113" spans="1:7" x14ac:dyDescent="0.25">
      <c r="A113" s="6" t="s">
        <v>5758</v>
      </c>
      <c r="B113" s="4">
        <v>5600</v>
      </c>
      <c r="C113" s="4" t="s">
        <v>1129</v>
      </c>
      <c r="D113" s="13">
        <v>0</v>
      </c>
      <c r="E113" t="s">
        <v>1074</v>
      </c>
      <c r="G113" t="str" cm="1">
        <f t="array" aca="1" ref="G113" ca="1">eConcatenar(A113:E113,"|")</f>
        <v>XTkJq2flopfktGPA|5600|2021-9-20|0|final</v>
      </c>
    </row>
    <row r="114" spans="1:7" x14ac:dyDescent="0.25">
      <c r="A114" s="6" t="s">
        <v>5763</v>
      </c>
      <c r="B114" s="4">
        <v>6400</v>
      </c>
      <c r="C114" s="4" t="s">
        <v>1129</v>
      </c>
      <c r="D114" s="13">
        <v>0</v>
      </c>
      <c r="E114" t="s">
        <v>1074</v>
      </c>
      <c r="G114" t="str" cm="1">
        <f t="array" aca="1" ref="G114" ca="1">eConcatenar(A114:E114,"|")</f>
        <v>pRWsOzcuE0XylXX5|6400|2021-9-20|0|final</v>
      </c>
    </row>
    <row r="115" spans="1:7" x14ac:dyDescent="0.25">
      <c r="A115" s="6" t="s">
        <v>5767</v>
      </c>
      <c r="B115" s="4">
        <v>6100</v>
      </c>
      <c r="C115" s="4" t="s">
        <v>1129</v>
      </c>
      <c r="D115" s="13">
        <v>0</v>
      </c>
      <c r="E115" t="s">
        <v>1074</v>
      </c>
      <c r="G115" t="str" cm="1">
        <f t="array" aca="1" ref="G115" ca="1">eConcatenar(A115:E115,"|")</f>
        <v>CAh0dKstPUkY7Em2|6100|2021-9-20|0|final</v>
      </c>
    </row>
    <row r="116" spans="1:7" x14ac:dyDescent="0.25">
      <c r="A116" s="6" t="s">
        <v>5773</v>
      </c>
      <c r="B116" s="4">
        <v>5100</v>
      </c>
      <c r="C116" s="4" t="s">
        <v>1129</v>
      </c>
      <c r="D116" s="13">
        <v>0</v>
      </c>
      <c r="E116" t="s">
        <v>1074</v>
      </c>
      <c r="G116" t="str" cm="1">
        <f t="array" aca="1" ref="G116" ca="1">eConcatenar(A116:E116,"|")</f>
        <v>3VtxS6y9EKtloI9J|5100|2021-9-20|0|final</v>
      </c>
    </row>
    <row r="117" spans="1:7" x14ac:dyDescent="0.25">
      <c r="A117" s="6" t="s">
        <v>5779</v>
      </c>
      <c r="B117" s="4">
        <v>9200</v>
      </c>
      <c r="C117" s="4" t="s">
        <v>1129</v>
      </c>
      <c r="D117" s="13">
        <v>0</v>
      </c>
      <c r="E117" t="s">
        <v>1074</v>
      </c>
      <c r="G117" t="str" cm="1">
        <f t="array" aca="1" ref="G117" ca="1">eConcatenar(A117:E117,"|")</f>
        <v>e09k5SapCbk2iDIx|9200|2021-9-20|0|final</v>
      </c>
    </row>
    <row r="118" spans="1:7" x14ac:dyDescent="0.25">
      <c r="A118" s="6" t="s">
        <v>5783</v>
      </c>
      <c r="B118" s="4">
        <v>1400</v>
      </c>
      <c r="C118" s="4" t="s">
        <v>1129</v>
      </c>
      <c r="D118" s="13">
        <v>0</v>
      </c>
      <c r="E118" t="s">
        <v>1074</v>
      </c>
      <c r="G118" t="str" cm="1">
        <f t="array" aca="1" ref="G118" ca="1">eConcatenar(A118:E118,"|")</f>
        <v>Gbwy56KhGcnERtR1|1400|2021-9-20|0|final</v>
      </c>
    </row>
    <row r="119" spans="1:7" x14ac:dyDescent="0.25">
      <c r="A119" s="6" t="s">
        <v>5784</v>
      </c>
      <c r="B119" s="27">
        <v>18200</v>
      </c>
      <c r="C119" s="4" t="s">
        <v>5792</v>
      </c>
      <c r="D119" s="13">
        <v>0</v>
      </c>
      <c r="E119" t="s">
        <v>1074</v>
      </c>
      <c r="G119" t="str" cm="1">
        <f t="array" aca="1" ref="G119" ca="1">eConcatenar(A119:E119,"|")</f>
        <v>IHbaxoLebDotN1Li|18200|2021-9-01|0|final</v>
      </c>
    </row>
    <row r="120" spans="1:7" x14ac:dyDescent="0.25">
      <c r="A120" s="6" t="s">
        <v>5794</v>
      </c>
      <c r="B120" s="28">
        <v>12500</v>
      </c>
      <c r="C120" s="4" t="s">
        <v>5792</v>
      </c>
      <c r="D120" s="13">
        <v>0</v>
      </c>
      <c r="E120" t="s">
        <v>1074</v>
      </c>
      <c r="G120" t="str" cm="1">
        <f t="array" aca="1" ref="G120" ca="1">eConcatenar(A120:E120,"|")</f>
        <v>95lrPdItOi7mbJ3g|12500|2021-9-01|0|final</v>
      </c>
    </row>
    <row r="121" spans="1:7" x14ac:dyDescent="0.25">
      <c r="A121" s="6" t="s">
        <v>5803</v>
      </c>
      <c r="B121" s="29">
        <v>1100</v>
      </c>
      <c r="C121" s="4" t="s">
        <v>1136</v>
      </c>
      <c r="D121" s="13">
        <v>0</v>
      </c>
      <c r="E121" t="s">
        <v>1074</v>
      </c>
      <c r="G121" t="str" cm="1">
        <f t="array" aca="1" ref="G121" ca="1">eConcatenar(A121:E121,"|")</f>
        <v>YQaBoS3Tsw2an4gp|1100|2021-9-16|0|final</v>
      </c>
    </row>
    <row r="122" spans="1:7" x14ac:dyDescent="0.25">
      <c r="A122" s="6" t="s">
        <v>5811</v>
      </c>
      <c r="B122" s="29">
        <v>7600</v>
      </c>
      <c r="C122" s="4" t="s">
        <v>5553</v>
      </c>
      <c r="D122" s="13">
        <v>0</v>
      </c>
      <c r="E122" t="s">
        <v>1074</v>
      </c>
      <c r="G122" t="str" cm="1">
        <f t="array" aca="1" ref="G122" ca="1">eConcatenar(A122:E122,"|")</f>
        <v>om3M7DkF3G2DF862|7600|2021-9-07|0|final</v>
      </c>
    </row>
    <row r="123" spans="1:7" x14ac:dyDescent="0.25">
      <c r="A123" s="6" t="s">
        <v>5818</v>
      </c>
      <c r="B123" s="29">
        <v>7000</v>
      </c>
      <c r="C123" s="4" t="s">
        <v>1136</v>
      </c>
      <c r="D123" s="13">
        <v>0</v>
      </c>
      <c r="E123" t="s">
        <v>1074</v>
      </c>
      <c r="G123" t="str" cm="1">
        <f t="array" aca="1" ref="G123" ca="1">eConcatenar(A123:E123,"|")</f>
        <v>9gkwCPmMTE5PZBPn|7000|2021-9-16|0|final</v>
      </c>
    </row>
    <row r="124" spans="1:7" x14ac:dyDescent="0.25">
      <c r="A124" s="6" t="s">
        <v>5825</v>
      </c>
      <c r="B124" s="29">
        <v>2000</v>
      </c>
      <c r="C124" s="4" t="s">
        <v>1136</v>
      </c>
      <c r="D124" s="13">
        <v>0</v>
      </c>
      <c r="E124" t="s">
        <v>1074</v>
      </c>
      <c r="G124" t="str" cm="1">
        <f t="array" aca="1" ref="G124" ca="1">eConcatenar(A124:E124,"|")</f>
        <v>n4iumfqmhayROPlL|2000|2021-9-16|0|final</v>
      </c>
    </row>
    <row r="125" spans="1:7" x14ac:dyDescent="0.25">
      <c r="A125" s="6" t="s">
        <v>5832</v>
      </c>
      <c r="B125" s="29">
        <v>3000</v>
      </c>
      <c r="C125" s="4" t="s">
        <v>1136</v>
      </c>
      <c r="D125" s="13">
        <v>0</v>
      </c>
      <c r="E125" t="s">
        <v>1074</v>
      </c>
      <c r="G125" t="str" cm="1">
        <f t="array" aca="1" ref="G125" ca="1">eConcatenar(A125:E125,"|")</f>
        <v>1fswvs2teh9foeke|3000|2021-9-16|0|final</v>
      </c>
    </row>
    <row r="126" spans="1:7" x14ac:dyDescent="0.25">
      <c r="A126" s="6" t="s">
        <v>5843</v>
      </c>
      <c r="B126" s="4">
        <v>8000</v>
      </c>
      <c r="C126" s="4" t="s">
        <v>1135</v>
      </c>
      <c r="D126" s="13">
        <v>0</v>
      </c>
      <c r="E126" t="s">
        <v>1074</v>
      </c>
      <c r="G126" t="str" cm="1">
        <f t="array" aca="1" ref="G126" ca="1">eConcatenar(A126:E126,"|")</f>
        <v>WIcPzsWf2RSWpVjB|8000|2021-9-15|0|final</v>
      </c>
    </row>
    <row r="127" spans="1:7" x14ac:dyDescent="0.25">
      <c r="A127" s="6" t="s">
        <v>5849</v>
      </c>
      <c r="B127" s="4">
        <v>9300</v>
      </c>
      <c r="C127" s="4" t="s">
        <v>1135</v>
      </c>
      <c r="D127" s="13">
        <v>0</v>
      </c>
      <c r="E127" t="s">
        <v>1074</v>
      </c>
      <c r="G127" t="str" cm="1">
        <f t="array" aca="1" ref="G127" ca="1">eConcatenar(A127:E127,"|")</f>
        <v>91rp6ydXjAB1uKxl|9300|2021-9-15|0|final</v>
      </c>
    </row>
    <row r="128" spans="1:7" x14ac:dyDescent="0.25">
      <c r="A128" s="6" t="s">
        <v>5855</v>
      </c>
      <c r="B128" s="4">
        <v>11400</v>
      </c>
      <c r="C128" s="4" t="s">
        <v>1135</v>
      </c>
      <c r="D128" s="13">
        <v>0</v>
      </c>
      <c r="E128" t="s">
        <v>1074</v>
      </c>
      <c r="G128" t="str" cm="1">
        <f t="array" aca="1" ref="G128" ca="1">eConcatenar(A128:E128,"|")</f>
        <v>8sRuqrSfdLNZQr9U|11400|2021-9-15|0|final</v>
      </c>
    </row>
    <row r="129" spans="1:7" x14ac:dyDescent="0.25">
      <c r="A129" s="6" t="s">
        <v>5861</v>
      </c>
      <c r="B129" s="4">
        <v>9100</v>
      </c>
      <c r="C129" s="4" t="s">
        <v>1135</v>
      </c>
      <c r="D129" s="13">
        <v>0</v>
      </c>
      <c r="E129" t="s">
        <v>1074</v>
      </c>
      <c r="G129" t="str" cm="1">
        <f t="array" aca="1" ref="G129" ca="1">eConcatenar(A129:E129,"|")</f>
        <v>EioJKWiUyulCYIGa|9100|2021-9-15|0|final</v>
      </c>
    </row>
    <row r="130" spans="1:7" x14ac:dyDescent="0.25">
      <c r="A130" s="6" t="s">
        <v>5867</v>
      </c>
      <c r="B130" s="4">
        <v>11000</v>
      </c>
      <c r="C130" s="4" t="s">
        <v>1135</v>
      </c>
      <c r="D130" s="13">
        <v>0</v>
      </c>
      <c r="E130" t="s">
        <v>1074</v>
      </c>
      <c r="G130" t="str" cm="1">
        <f t="array" aca="1" ref="G130" ca="1">eConcatenar(A130:E130,"|")</f>
        <v>HH5fZ35gxhK7sjkb|11000|2021-9-15|0|final</v>
      </c>
    </row>
    <row r="131" spans="1:7" x14ac:dyDescent="0.25">
      <c r="A131" s="6" t="s">
        <v>5873</v>
      </c>
      <c r="B131" s="4">
        <v>8600</v>
      </c>
      <c r="C131" s="4" t="s">
        <v>1135</v>
      </c>
      <c r="D131" s="13">
        <v>0</v>
      </c>
      <c r="E131" t="s">
        <v>1074</v>
      </c>
      <c r="G131" t="str" cm="1">
        <f t="array" aca="1" ref="G131" ca="1">eConcatenar(A131:E131,"|")</f>
        <v>is3BunoUTNzjk80K|8600|2021-9-15|0|final</v>
      </c>
    </row>
    <row r="132" spans="1:7" x14ac:dyDescent="0.25">
      <c r="A132" s="6" t="s">
        <v>5880</v>
      </c>
      <c r="B132" s="4">
        <v>10500</v>
      </c>
      <c r="C132" s="4" t="s">
        <v>1135</v>
      </c>
      <c r="D132" s="13">
        <v>0</v>
      </c>
      <c r="E132" t="s">
        <v>1074</v>
      </c>
      <c r="G132" t="str" cm="1">
        <f t="array" aca="1" ref="G132" ca="1">eConcatenar(A132:E132,"|")</f>
        <v>EjnXkcoREXc43nul|10500|2021-9-15|0|final</v>
      </c>
    </row>
    <row r="133" spans="1:7" x14ac:dyDescent="0.25">
      <c r="A133" s="6" t="s">
        <v>5887</v>
      </c>
      <c r="B133" s="4">
        <v>8800</v>
      </c>
      <c r="C133" s="4" t="s">
        <v>1135</v>
      </c>
      <c r="D133" s="13">
        <v>0</v>
      </c>
      <c r="E133" t="s">
        <v>1074</v>
      </c>
      <c r="G133" t="str" cm="1">
        <f t="array" aca="1" ref="G133" ca="1">eConcatenar(A133:E133,"|")</f>
        <v>vA0KjZAkBPIWFYjJ|8800|2021-9-15|0|final</v>
      </c>
    </row>
    <row r="134" spans="1:7" x14ac:dyDescent="0.25">
      <c r="A134" s="6" t="s">
        <v>5895</v>
      </c>
      <c r="B134" s="4">
        <v>9900</v>
      </c>
      <c r="C134" s="4" t="s">
        <v>1135</v>
      </c>
      <c r="D134" s="13">
        <v>0</v>
      </c>
      <c r="E134" t="s">
        <v>1074</v>
      </c>
      <c r="G134" t="str" cm="1">
        <f t="array" aca="1" ref="G134" ca="1">eConcatenar(A134:E134,"|")</f>
        <v>XBGG3BYaRBU6DmbE|9900|2021-9-15|0|final</v>
      </c>
    </row>
    <row r="135" spans="1:7" x14ac:dyDescent="0.25">
      <c r="A135" s="6" t="s">
        <v>5901</v>
      </c>
      <c r="B135" s="4">
        <v>6650</v>
      </c>
      <c r="C135" s="4" t="s">
        <v>1135</v>
      </c>
      <c r="D135" s="13">
        <v>0</v>
      </c>
      <c r="E135" t="s">
        <v>1074</v>
      </c>
      <c r="G135" t="str" cm="1">
        <f t="array" aca="1" ref="G135" ca="1">eConcatenar(A135:E135,"|")</f>
        <v>Xxe6dJYiCwnIDp3C|6650|2021-9-15|0|final</v>
      </c>
    </row>
    <row r="136" spans="1:7" x14ac:dyDescent="0.25">
      <c r="A136" s="6" t="s">
        <v>5906</v>
      </c>
      <c r="B136" s="4">
        <v>8100</v>
      </c>
      <c r="C136" s="4" t="s">
        <v>1135</v>
      </c>
      <c r="D136" s="13">
        <v>0</v>
      </c>
      <c r="E136" t="s">
        <v>1074</v>
      </c>
      <c r="G136" t="str" cm="1">
        <f t="array" aca="1" ref="G136" ca="1">eConcatenar(A136:E136,"|")</f>
        <v>4He93Si8I841Cgy8|8100|2021-9-15|0|final</v>
      </c>
    </row>
    <row r="137" spans="1:7" x14ac:dyDescent="0.25">
      <c r="A137" s="6" t="s">
        <v>5913</v>
      </c>
      <c r="B137" s="4">
        <v>2500</v>
      </c>
      <c r="C137" s="4" t="s">
        <v>1135</v>
      </c>
      <c r="D137" s="13">
        <v>0</v>
      </c>
      <c r="E137" t="s">
        <v>1074</v>
      </c>
      <c r="G137" t="str" cm="1">
        <f t="array" aca="1" ref="G137" ca="1">eConcatenar(A137:E137,"|")</f>
        <v>nySiKPPFuHCD9ynz|2500|2021-9-15|0|final</v>
      </c>
    </row>
    <row r="138" spans="1:7" x14ac:dyDescent="0.25">
      <c r="A138" s="6" t="s">
        <v>5920</v>
      </c>
      <c r="B138" s="4">
        <v>3100</v>
      </c>
      <c r="C138" s="4" t="s">
        <v>1135</v>
      </c>
      <c r="D138" s="13">
        <v>0</v>
      </c>
      <c r="E138" t="s">
        <v>1074</v>
      </c>
      <c r="G138" t="str" cm="1">
        <f t="array" aca="1" ref="G138" ca="1">eConcatenar(A138:E138,"|")</f>
        <v>zp0uDcvo83yFS7B2|3100|2021-9-15|0|final</v>
      </c>
    </row>
    <row r="139" spans="1:7" x14ac:dyDescent="0.25">
      <c r="A139" s="6" t="s">
        <v>5925</v>
      </c>
      <c r="B139" s="4">
        <v>8600</v>
      </c>
      <c r="C139" s="4" t="s">
        <v>1136</v>
      </c>
      <c r="D139" s="13">
        <v>0</v>
      </c>
      <c r="E139" t="s">
        <v>1074</v>
      </c>
      <c r="G139" t="str" cm="1">
        <f t="array" aca="1" ref="G139" ca="1">eConcatenar(A139:E139,"|")</f>
        <v>2CRmGk6bqszQBw56|8600|2021-9-16|0|final</v>
      </c>
    </row>
    <row r="140" spans="1:7" x14ac:dyDescent="0.25">
      <c r="A140" s="6" t="s">
        <v>5931</v>
      </c>
      <c r="B140" s="4">
        <v>10600</v>
      </c>
      <c r="C140" s="4" t="s">
        <v>1135</v>
      </c>
      <c r="D140" s="13">
        <v>0</v>
      </c>
      <c r="E140" t="s">
        <v>1074</v>
      </c>
      <c r="G140" t="str" cm="1">
        <f t="array" aca="1" ref="G140" ca="1">eConcatenar(A140:E140,"|")</f>
        <v>567s6UEVuJJkyzpx|10600|2021-9-15|0|final</v>
      </c>
    </row>
    <row r="141" spans="1:7" x14ac:dyDescent="0.25">
      <c r="A141" s="6" t="s">
        <v>5940</v>
      </c>
      <c r="B141" s="4">
        <v>4455</v>
      </c>
      <c r="C141" s="4" t="s">
        <v>1135</v>
      </c>
      <c r="D141" s="13">
        <v>0</v>
      </c>
      <c r="E141" t="s">
        <v>1074</v>
      </c>
      <c r="G141" t="str" cm="1">
        <f t="array" aca="1" ref="G141" ca="1">eConcatenar(A141:E141,"|")</f>
        <v>f7bgISv824M22gmW|4455|2021-9-15|0|final</v>
      </c>
    </row>
    <row r="142" spans="1:7" x14ac:dyDescent="0.25">
      <c r="A142" s="6" t="s">
        <v>5945</v>
      </c>
      <c r="B142" s="4">
        <v>11500</v>
      </c>
      <c r="C142" s="4" t="s">
        <v>5792</v>
      </c>
      <c r="D142" s="13">
        <v>0</v>
      </c>
      <c r="E142" t="s">
        <v>1074</v>
      </c>
      <c r="G142" t="str" cm="1">
        <f t="array" aca="1" ref="G142" ca="1">eConcatenar(A142:E142,"|")</f>
        <v>gXFAVI2ph2rDp710|11500|2021-9-01|0|final</v>
      </c>
    </row>
    <row r="143" spans="1:7" x14ac:dyDescent="0.25">
      <c r="A143" s="6" t="s">
        <v>5950</v>
      </c>
      <c r="B143" s="4">
        <v>1900</v>
      </c>
      <c r="C143" s="4" t="s">
        <v>1135</v>
      </c>
      <c r="D143" s="13">
        <v>0</v>
      </c>
      <c r="E143" t="s">
        <v>1074</v>
      </c>
      <c r="G143" t="str" cm="1">
        <f t="array" aca="1" ref="G143" ca="1">eConcatenar(A143:E143,"|")</f>
        <v>wlT9HyK0vuMPiBad|1900|2021-9-15|0|final</v>
      </c>
    </row>
    <row r="144" spans="1:7" x14ac:dyDescent="0.25">
      <c r="A144" s="6" t="s">
        <v>5956</v>
      </c>
      <c r="B144" s="4">
        <v>4300</v>
      </c>
      <c r="C144" s="4" t="s">
        <v>1135</v>
      </c>
      <c r="D144" s="13">
        <v>0</v>
      </c>
      <c r="E144" t="s">
        <v>1074</v>
      </c>
      <c r="G144" t="str" cm="1">
        <f t="array" aca="1" ref="G144" ca="1">eConcatenar(A144:E144,"|")</f>
        <v>9CXm1mEv3CYwI9jY|4300|2021-9-15|0|final</v>
      </c>
    </row>
    <row r="145" spans="1:7" x14ac:dyDescent="0.25">
      <c r="A145" s="6" t="s">
        <v>5961</v>
      </c>
      <c r="B145" s="4">
        <v>9400</v>
      </c>
      <c r="C145" s="4" t="s">
        <v>1135</v>
      </c>
      <c r="D145" s="13">
        <v>0</v>
      </c>
      <c r="E145" t="s">
        <v>1074</v>
      </c>
      <c r="G145" t="str" cm="1">
        <f t="array" aca="1" ref="G145" ca="1">eConcatenar(A145:E145,"|")</f>
        <v>dBl9xqXW9NGoO8cT|9400|2021-9-15|0|final</v>
      </c>
    </row>
    <row r="146" spans="1:7" x14ac:dyDescent="0.25">
      <c r="A146" s="6" t="s">
        <v>5966</v>
      </c>
      <c r="B146" s="4">
        <v>10400</v>
      </c>
      <c r="C146" s="4" t="s">
        <v>5792</v>
      </c>
      <c r="D146" s="13">
        <v>0</v>
      </c>
      <c r="E146" t="s">
        <v>1074</v>
      </c>
      <c r="G146" t="str" cm="1">
        <f t="array" aca="1" ref="G146" ca="1">eConcatenar(A146:E146,"|")</f>
        <v>sGYfGBCO3ekdoaB2|10400|2021-9-01|0|final</v>
      </c>
    </row>
    <row r="147" spans="1:7" x14ac:dyDescent="0.25">
      <c r="A147" s="6" t="s">
        <v>5972</v>
      </c>
      <c r="B147" s="4">
        <v>5400</v>
      </c>
      <c r="C147" s="4" t="s">
        <v>5792</v>
      </c>
      <c r="D147" s="13">
        <v>0</v>
      </c>
      <c r="E147" t="s">
        <v>1074</v>
      </c>
      <c r="G147" t="str" cm="1">
        <f t="array" aca="1" ref="G147" ca="1">eConcatenar(A147:E147,"|")</f>
        <v>EUmKM4J4l5tm2UgE|5400|2021-9-01|0|final</v>
      </c>
    </row>
    <row r="148" spans="1:7" x14ac:dyDescent="0.25">
      <c r="A148" s="6" t="s">
        <v>5980</v>
      </c>
      <c r="B148" s="4">
        <v>6200</v>
      </c>
      <c r="C148" s="4" t="s">
        <v>5792</v>
      </c>
      <c r="D148" s="13">
        <v>0</v>
      </c>
      <c r="E148" t="s">
        <v>1074</v>
      </c>
      <c r="G148" t="str" cm="1">
        <f t="array" aca="1" ref="G148" ca="1">eConcatenar(A148:E148,"|")</f>
        <v>LymKxJmSxALoy4wx|6200|2021-9-01|0|final</v>
      </c>
    </row>
    <row r="149" spans="1:7" x14ac:dyDescent="0.25">
      <c r="A149" s="6" t="s">
        <v>5986</v>
      </c>
      <c r="B149" s="4">
        <v>7000</v>
      </c>
      <c r="C149" s="4" t="s">
        <v>5792</v>
      </c>
      <c r="D149" s="13">
        <v>0</v>
      </c>
      <c r="E149" t="s">
        <v>1074</v>
      </c>
      <c r="G149" t="str" cm="1">
        <f t="array" aca="1" ref="G149" ca="1">eConcatenar(A149:E149,"|")</f>
        <v>NgvKn8dzB5O8JNvs|7000|2021-9-01|0|final</v>
      </c>
    </row>
    <row r="150" spans="1:7" x14ac:dyDescent="0.25">
      <c r="A150" s="6" t="s">
        <v>5993</v>
      </c>
      <c r="B150" s="4">
        <v>8100</v>
      </c>
      <c r="C150" s="4" t="s">
        <v>1136</v>
      </c>
      <c r="D150" s="13">
        <v>0</v>
      </c>
      <c r="E150" t="s">
        <v>1074</v>
      </c>
      <c r="G150" t="str" cm="1">
        <f t="array" aca="1" ref="G150" ca="1">eConcatenar(A150:E150,"|")</f>
        <v>HFh0VmULpZBKlGQl|8100|2021-9-16|0|final</v>
      </c>
    </row>
    <row r="151" spans="1:7" x14ac:dyDescent="0.25">
      <c r="A151" s="6" t="s">
        <v>6001</v>
      </c>
      <c r="B151" s="4">
        <v>9900</v>
      </c>
      <c r="C151" s="4" t="s">
        <v>1136</v>
      </c>
      <c r="D151" s="13">
        <v>0</v>
      </c>
      <c r="E151" t="s">
        <v>1074</v>
      </c>
      <c r="G151" t="str" cm="1">
        <f t="array" aca="1" ref="G151" ca="1">eConcatenar(A151:E151,"|")</f>
        <v>tqWxa4bzJ8wp7ty7|9900|2021-9-16|0|final</v>
      </c>
    </row>
    <row r="152" spans="1:7" x14ac:dyDescent="0.25">
      <c r="A152" s="6" t="s">
        <v>6006</v>
      </c>
      <c r="B152" s="4">
        <v>8600</v>
      </c>
      <c r="C152" s="4" t="s">
        <v>1136</v>
      </c>
      <c r="D152" s="13">
        <v>0</v>
      </c>
      <c r="E152" t="s">
        <v>1074</v>
      </c>
      <c r="G152" t="str" cm="1">
        <f t="array" aca="1" ref="G152" ca="1">eConcatenar(A152:E152,"|")</f>
        <v>ZcivWtBAqEFUGSxF|8600|2021-9-16|0|final</v>
      </c>
    </row>
    <row r="153" spans="1:7" x14ac:dyDescent="0.25">
      <c r="A153" s="6" t="s">
        <v>6012</v>
      </c>
      <c r="B153" s="4">
        <v>11600</v>
      </c>
      <c r="C153" s="4" t="s">
        <v>1136</v>
      </c>
      <c r="D153" s="13">
        <v>0</v>
      </c>
      <c r="E153" t="s">
        <v>1074</v>
      </c>
      <c r="G153" t="str" cm="1">
        <f t="array" aca="1" ref="G153" ca="1">eConcatenar(A153:E153,"|")</f>
        <v>R9jZxdQfoTLyuVVZ|11600|2021-9-16|0|final</v>
      </c>
    </row>
    <row r="154" spans="1:7" x14ac:dyDescent="0.25">
      <c r="A154" s="6" t="s">
        <v>6020</v>
      </c>
      <c r="B154" s="4">
        <v>11000</v>
      </c>
      <c r="C154" s="4" t="s">
        <v>1136</v>
      </c>
      <c r="D154" s="13">
        <v>0</v>
      </c>
      <c r="E154" t="s">
        <v>1074</v>
      </c>
      <c r="G154" t="str" cm="1">
        <f t="array" aca="1" ref="G154" ca="1">eConcatenar(A154:E154,"|")</f>
        <v>4U4kjRo8NvEISzIq|11000|2021-9-16|0|final</v>
      </c>
    </row>
    <row r="155" spans="1:7" x14ac:dyDescent="0.25">
      <c r="A155" s="6" t="s">
        <v>6026</v>
      </c>
      <c r="B155" s="4">
        <v>10400</v>
      </c>
      <c r="C155" s="4" t="s">
        <v>5792</v>
      </c>
      <c r="D155" s="13">
        <v>0</v>
      </c>
      <c r="E155" t="s">
        <v>1074</v>
      </c>
      <c r="G155" t="str" cm="1">
        <f t="array" aca="1" ref="G155" ca="1">eConcatenar(A155:E155,"|")</f>
        <v>SLl63SS9xsvX1nSh|10400|2021-9-01|0|final</v>
      </c>
    </row>
    <row r="156" spans="1:7" x14ac:dyDescent="0.25">
      <c r="A156" s="6" t="s">
        <v>6032</v>
      </c>
      <c r="B156" s="4">
        <v>3600</v>
      </c>
      <c r="C156" s="4" t="s">
        <v>4793</v>
      </c>
      <c r="D156" s="13">
        <v>0</v>
      </c>
      <c r="E156" t="s">
        <v>1074</v>
      </c>
      <c r="G156" t="str" cm="1">
        <f t="array" aca="1" ref="G156" ca="1">eConcatenar(A156:E156,"|")</f>
        <v>v9dQnqrb4vkBDEUY|3600|2021-9-23|0|final</v>
      </c>
    </row>
    <row r="157" spans="1:7" x14ac:dyDescent="0.25">
      <c r="A157" s="6" t="s">
        <v>6040</v>
      </c>
      <c r="B157" s="4">
        <v>1100</v>
      </c>
      <c r="C157" s="4" t="s">
        <v>4793</v>
      </c>
      <c r="D157" s="13">
        <v>0</v>
      </c>
      <c r="E157" t="s">
        <v>1074</v>
      </c>
      <c r="G157" t="str" cm="1">
        <f t="array" aca="1" ref="G157" ca="1">eConcatenar(A157:E157,"|")</f>
        <v>VnAlGl6LRLgqFPAi|1100|2021-9-23|0|final</v>
      </c>
    </row>
    <row r="158" spans="1:7" x14ac:dyDescent="0.25">
      <c r="A158" s="6" t="s">
        <v>6045</v>
      </c>
      <c r="B158" s="4">
        <v>8800</v>
      </c>
      <c r="C158" s="4" t="s">
        <v>4793</v>
      </c>
      <c r="D158" s="13">
        <v>0</v>
      </c>
      <c r="E158" t="s">
        <v>1074</v>
      </c>
      <c r="G158" t="str" cm="1">
        <f t="array" aca="1" ref="G158" ca="1">eConcatenar(A158:E158,"|")</f>
        <v>NEMtxw2ltp1of662|8800|2021-9-23|0|final</v>
      </c>
    </row>
    <row r="159" spans="1:7" x14ac:dyDescent="0.25">
      <c r="A159" s="6" t="s">
        <v>6052</v>
      </c>
      <c r="B159" s="4">
        <v>8300</v>
      </c>
      <c r="C159" s="4" t="s">
        <v>4793</v>
      </c>
      <c r="D159" s="13">
        <v>0</v>
      </c>
      <c r="E159" t="s">
        <v>1074</v>
      </c>
      <c r="G159" t="str" cm="1">
        <f t="array" aca="1" ref="G159" ca="1">eConcatenar(A159:E159,"|")</f>
        <v>lQSr13DlEem73cyZ|8300|2021-9-23|0|final</v>
      </c>
    </row>
    <row r="160" spans="1:7" x14ac:dyDescent="0.25">
      <c r="A160" s="6" t="s">
        <v>6060</v>
      </c>
      <c r="B160" s="4">
        <v>8400</v>
      </c>
      <c r="C160" s="4" t="s">
        <v>4793</v>
      </c>
      <c r="D160" s="13">
        <v>0</v>
      </c>
      <c r="E160" t="s">
        <v>1074</v>
      </c>
      <c r="G160" t="str" cm="1">
        <f t="array" aca="1" ref="G160" ca="1">eConcatenar(A160:E160,"|")</f>
        <v>fipdNLQ71CqxBzEF|8400|2021-9-23|0|final</v>
      </c>
    </row>
    <row r="161" spans="1:7" x14ac:dyDescent="0.25">
      <c r="A161" s="6" t="s">
        <v>6068</v>
      </c>
      <c r="B161" s="4">
        <v>7000</v>
      </c>
      <c r="C161" s="4" t="s">
        <v>4793</v>
      </c>
      <c r="D161" s="13">
        <v>0</v>
      </c>
      <c r="E161" t="s">
        <v>1074</v>
      </c>
      <c r="G161" t="str" cm="1">
        <f t="array" aca="1" ref="G161" ca="1">eConcatenar(A161:E161,"|")</f>
        <v>etiS70G0lY4WewjW|7000|2021-9-23|0|final</v>
      </c>
    </row>
    <row r="162" spans="1:7" x14ac:dyDescent="0.25">
      <c r="A162" s="6" t="s">
        <v>6074</v>
      </c>
      <c r="B162" s="4">
        <v>8600</v>
      </c>
      <c r="C162" s="4" t="s">
        <v>4793</v>
      </c>
      <c r="D162" s="13">
        <v>0</v>
      </c>
      <c r="E162" t="s">
        <v>1074</v>
      </c>
      <c r="G162" t="str" cm="1">
        <f t="array" aca="1" ref="G162" ca="1">eConcatenar(A162:E162,"|")</f>
        <v>CSko5UQ8fJ8eWOAr|8600|2021-9-23|0|final</v>
      </c>
    </row>
    <row r="163" spans="1:7" x14ac:dyDescent="0.25">
      <c r="A163" s="6" t="s">
        <v>6081</v>
      </c>
      <c r="B163" s="4">
        <v>9800</v>
      </c>
      <c r="C163" s="4" t="s">
        <v>4793</v>
      </c>
      <c r="D163" s="13">
        <v>0</v>
      </c>
      <c r="E163" t="s">
        <v>1074</v>
      </c>
      <c r="G163" t="str" cm="1">
        <f t="array" aca="1" ref="G163" ca="1">eConcatenar(A163:E163,"|")</f>
        <v>UVNnVTZlP0CUFSnb|9800|2021-9-23|0|final</v>
      </c>
    </row>
    <row r="164" spans="1:7" x14ac:dyDescent="0.25">
      <c r="A164" s="6" t="s">
        <v>6086</v>
      </c>
      <c r="B164" s="4">
        <v>2800</v>
      </c>
      <c r="C164" s="4" t="s">
        <v>1103</v>
      </c>
      <c r="D164" s="13">
        <v>0</v>
      </c>
      <c r="E164" t="s">
        <v>1074</v>
      </c>
      <c r="G164" t="str" cm="1">
        <f t="array" aca="1" ref="G164" ca="1">eConcatenar(A164:E164,"|")</f>
        <v>RPKL54Rx2MCHegb2|2800|2021-8-18|0|final</v>
      </c>
    </row>
    <row r="165" spans="1:7" x14ac:dyDescent="0.25">
      <c r="A165" s="6" t="s">
        <v>6092</v>
      </c>
      <c r="B165" s="4">
        <v>1900</v>
      </c>
      <c r="C165" s="4" t="s">
        <v>5792</v>
      </c>
      <c r="D165" s="13">
        <v>0</v>
      </c>
      <c r="E165" t="s">
        <v>1074</v>
      </c>
      <c r="G165" t="str" cm="1">
        <f t="array" aca="1" ref="G165" ca="1">eConcatenar(A165:E165,"|")</f>
        <v>g6L6CyWhTxLssGZb|1900|2021-9-01|0|final</v>
      </c>
    </row>
    <row r="166" spans="1:7" x14ac:dyDescent="0.25">
      <c r="A166" s="6" t="s">
        <v>6097</v>
      </c>
      <c r="B166" s="4">
        <v>5000</v>
      </c>
      <c r="C166" s="4" t="s">
        <v>4793</v>
      </c>
      <c r="D166" s="13">
        <v>0</v>
      </c>
      <c r="E166" t="s">
        <v>1074</v>
      </c>
      <c r="G166" t="str" cm="1">
        <f t="array" aca="1" ref="G166" ca="1">eConcatenar(A166:E166,"|")</f>
        <v>7iYBX7O3N53ip43I|5000|2021-9-23|0|final</v>
      </c>
    </row>
    <row r="167" spans="1:7" x14ac:dyDescent="0.25">
      <c r="A167" s="6" t="s">
        <v>6105</v>
      </c>
      <c r="B167" s="4">
        <v>4600</v>
      </c>
      <c r="C167" s="4" t="s">
        <v>6111</v>
      </c>
      <c r="D167" s="13">
        <v>0</v>
      </c>
      <c r="E167" t="s">
        <v>1074</v>
      </c>
      <c r="G167" t="str" cm="1">
        <f t="array" aca="1" ref="G167" ca="1">eConcatenar(A167:E167,"|")</f>
        <v>DmI2G8Ak51xrWoaR|4600|2021-9-08|0|final</v>
      </c>
    </row>
    <row r="168" spans="1:7" x14ac:dyDescent="0.25">
      <c r="A168" s="6" t="s">
        <v>6112</v>
      </c>
      <c r="B168" s="4">
        <v>1800</v>
      </c>
      <c r="C168" s="4" t="s">
        <v>1135</v>
      </c>
      <c r="D168" s="13">
        <v>0</v>
      </c>
      <c r="E168" t="s">
        <v>1074</v>
      </c>
      <c r="G168" t="str" cm="1">
        <f t="array" aca="1" ref="G168" ca="1">eConcatenar(A168:E168,"|")</f>
        <v>BByvJjhJjKclnltf|1800|2021-9-15|0|final</v>
      </c>
    </row>
    <row r="169" spans="1:7" x14ac:dyDescent="0.25">
      <c r="A169" s="6" t="s">
        <v>6119</v>
      </c>
      <c r="B169" s="4">
        <v>1800</v>
      </c>
      <c r="C169" s="4" t="s">
        <v>1135</v>
      </c>
      <c r="D169" s="13">
        <v>0</v>
      </c>
      <c r="E169" t="s">
        <v>1074</v>
      </c>
      <c r="G169" t="str" cm="1">
        <f t="array" aca="1" ref="G169" ca="1">eConcatenar(A169:E169,"|")</f>
        <v>gmqroQla55RAUDkP|1800|2021-9-15|0|final</v>
      </c>
    </row>
    <row r="170" spans="1:7" x14ac:dyDescent="0.25">
      <c r="A170" s="6" t="s">
        <v>6125</v>
      </c>
      <c r="B170" s="4">
        <v>9400</v>
      </c>
      <c r="C170" s="4" t="s">
        <v>1135</v>
      </c>
      <c r="D170" s="13">
        <v>0</v>
      </c>
      <c r="E170" t="s">
        <v>1074</v>
      </c>
      <c r="G170" t="str" cm="1">
        <f t="array" aca="1" ref="G170" ca="1">eConcatenar(A170:E170,"|")</f>
        <v>aQNgDvxruaLAncAK|9400|2021-9-15|0|final</v>
      </c>
    </row>
    <row r="171" spans="1:7" x14ac:dyDescent="0.25">
      <c r="A171" s="6" t="s">
        <v>6131</v>
      </c>
      <c r="B171" s="4">
        <v>10450</v>
      </c>
      <c r="C171" s="4" t="s">
        <v>6111</v>
      </c>
      <c r="D171" s="13">
        <v>0</v>
      </c>
      <c r="E171" t="s">
        <v>1074</v>
      </c>
      <c r="G171" t="str" cm="1">
        <f t="array" aca="1" ref="G171" ca="1">eConcatenar(A171:E171,"|")</f>
        <v>F5rAFVh5JTjXQz3C|10450|2021-9-08|0|final</v>
      </c>
    </row>
    <row r="172" spans="1:7" x14ac:dyDescent="0.25">
      <c r="A172" s="6" t="s">
        <v>6139</v>
      </c>
      <c r="B172" s="4">
        <v>1000</v>
      </c>
      <c r="C172" s="4" t="s">
        <v>1135</v>
      </c>
      <c r="D172" s="13">
        <v>0</v>
      </c>
      <c r="E172" t="s">
        <v>1074</v>
      </c>
      <c r="G172" t="str" cm="1">
        <f t="array" aca="1" ref="G172" ca="1">eConcatenar(A172:E172,"|")</f>
        <v>CZ74RK091h7eNBJF|1000|2021-9-15|0|final</v>
      </c>
    </row>
    <row r="173" spans="1:7" x14ac:dyDescent="0.25">
      <c r="A173" s="6" t="s">
        <v>6146</v>
      </c>
      <c r="B173" s="4">
        <v>1750</v>
      </c>
      <c r="C173" s="4" t="s">
        <v>1116</v>
      </c>
      <c r="D173" s="13">
        <v>0</v>
      </c>
      <c r="E173" t="s">
        <v>1074</v>
      </c>
      <c r="G173" t="str" cm="1">
        <f t="array" aca="1" ref="G173" ca="1">eConcatenar(A173:E173,"|")</f>
        <v>Nsvnm3qLc8H2Asez|1750|2021-8-16|0|final</v>
      </c>
    </row>
    <row r="174" spans="1:7" x14ac:dyDescent="0.25">
      <c r="A174" s="6" t="s">
        <v>6151</v>
      </c>
      <c r="B174" s="4">
        <v>4200</v>
      </c>
      <c r="C174" s="4" t="s">
        <v>1135</v>
      </c>
      <c r="D174" s="13">
        <v>0</v>
      </c>
      <c r="E174" t="s">
        <v>1074</v>
      </c>
      <c r="G174" t="str" cm="1">
        <f t="array" aca="1" ref="G174" ca="1">eConcatenar(A174:E174,"|")</f>
        <v>iUDXr9GJ6sgaGzp8|4200|2021-9-15|0|final</v>
      </c>
    </row>
    <row r="175" spans="1:7" x14ac:dyDescent="0.25">
      <c r="A175" s="6" t="s">
        <v>6159</v>
      </c>
      <c r="B175" s="4">
        <v>15100</v>
      </c>
      <c r="C175" s="4" t="s">
        <v>1135</v>
      </c>
      <c r="D175" s="13">
        <v>0</v>
      </c>
      <c r="E175" t="s">
        <v>1074</v>
      </c>
      <c r="G175" t="str" cm="1">
        <f t="array" aca="1" ref="G175" ca="1">eConcatenar(A175:E175,"|")</f>
        <v>RoJv7fvCDOt3GiVl|15100|2021-9-15|0|final</v>
      </c>
    </row>
    <row r="176" spans="1:7" x14ac:dyDescent="0.25">
      <c r="A176" s="6" t="s">
        <v>6169</v>
      </c>
      <c r="B176" s="4">
        <v>12250</v>
      </c>
      <c r="C176" s="4" t="s">
        <v>5309</v>
      </c>
      <c r="D176" s="13">
        <v>0</v>
      </c>
      <c r="E176" t="s">
        <v>1074</v>
      </c>
      <c r="G176" t="str" cm="1">
        <f t="array" aca="1" ref="G176" ca="1">eConcatenar(A176:E176,"|")</f>
        <v>RzxogrEOzsR09aK9|12250|2021-9-06|0|final</v>
      </c>
    </row>
    <row r="177" spans="1:7" x14ac:dyDescent="0.25">
      <c r="A177" s="6" t="s">
        <v>6175</v>
      </c>
      <c r="B177" s="4">
        <v>9000</v>
      </c>
      <c r="C177" s="4" t="s">
        <v>5792</v>
      </c>
      <c r="D177" s="13">
        <v>0</v>
      </c>
      <c r="E177" t="s">
        <v>1074</v>
      </c>
      <c r="G177" t="str" cm="1">
        <f t="array" aca="1" ref="G177" ca="1">eConcatenar(A177:E177,"|")</f>
        <v>QAwb6EdQYwbSeAGD|9000|2021-9-01|0|final</v>
      </c>
    </row>
    <row r="178" spans="1:7" x14ac:dyDescent="0.25">
      <c r="A178" s="6" t="s">
        <v>6183</v>
      </c>
      <c r="B178" s="4">
        <v>17600</v>
      </c>
      <c r="C178" s="4" t="s">
        <v>5792</v>
      </c>
      <c r="D178" s="13">
        <v>0</v>
      </c>
      <c r="E178" t="s">
        <v>1074</v>
      </c>
      <c r="G178" t="str" cm="1">
        <f t="array" aca="1" ref="G178" ca="1">eConcatenar(A178:E178,"|")</f>
        <v>9aT2eI2FMkPN10r3|17600|2021-9-01|0|final</v>
      </c>
    </row>
    <row r="179" spans="1:7" x14ac:dyDescent="0.25">
      <c r="A179" s="6" t="s">
        <v>6190</v>
      </c>
      <c r="B179" s="4">
        <v>8400</v>
      </c>
      <c r="C179" s="4" t="s">
        <v>1135</v>
      </c>
      <c r="D179" s="13">
        <v>0</v>
      </c>
      <c r="E179" t="s">
        <v>1074</v>
      </c>
      <c r="G179" t="str" cm="1">
        <f t="array" aca="1" ref="G179" ca="1">eConcatenar(A179:E179,"|")</f>
        <v>WUr9GeFyyyeprKV7|8400|2021-9-15|0|final</v>
      </c>
    </row>
    <row r="180" spans="1:7" x14ac:dyDescent="0.25">
      <c r="A180" s="6" t="s">
        <v>6195</v>
      </c>
      <c r="B180" s="4">
        <v>11300</v>
      </c>
      <c r="C180" s="4" t="s">
        <v>5792</v>
      </c>
      <c r="D180" s="13">
        <v>0</v>
      </c>
      <c r="E180" t="s">
        <v>1074</v>
      </c>
      <c r="G180" t="str" cm="1">
        <f t="array" aca="1" ref="G180" ca="1">eConcatenar(A180:E180,"|")</f>
        <v>KHoJcDnL04TXSvvV|11300|2021-9-01|0|final</v>
      </c>
    </row>
    <row r="181" spans="1:7" x14ac:dyDescent="0.25">
      <c r="A181" s="6" t="s">
        <v>6204</v>
      </c>
      <c r="B181" s="4">
        <v>11300</v>
      </c>
      <c r="C181" s="4" t="s">
        <v>5792</v>
      </c>
      <c r="D181" s="13">
        <v>0</v>
      </c>
      <c r="E181" t="s">
        <v>1074</v>
      </c>
      <c r="G181" t="str" cm="1">
        <f t="array" aca="1" ref="G181" ca="1">eConcatenar(A181:E181,"|")</f>
        <v>oYEvq4Gkw5XFJG1o|11300|2021-9-01|0|final</v>
      </c>
    </row>
    <row r="182" spans="1:7" x14ac:dyDescent="0.25">
      <c r="A182" s="6" t="s">
        <v>6208</v>
      </c>
      <c r="B182" s="4">
        <v>11300</v>
      </c>
      <c r="C182" s="4" t="s">
        <v>5792</v>
      </c>
      <c r="D182" s="13">
        <v>0</v>
      </c>
      <c r="E182" t="s">
        <v>1074</v>
      </c>
      <c r="G182" t="str" cm="1">
        <f t="array" aca="1" ref="G182" ca="1">eConcatenar(A182:E182,"|")</f>
        <v>CUSYHfke1if6a4tr|11300|2021-9-01|0|final</v>
      </c>
    </row>
    <row r="183" spans="1:7" x14ac:dyDescent="0.25">
      <c r="A183" s="6" t="s">
        <v>6214</v>
      </c>
      <c r="B183" s="4">
        <v>3800</v>
      </c>
      <c r="C183" s="4" t="s">
        <v>1136</v>
      </c>
      <c r="D183" s="13">
        <v>0</v>
      </c>
      <c r="E183" t="s">
        <v>1074</v>
      </c>
      <c r="G183" t="str" cm="1">
        <f t="array" aca="1" ref="G183" ca="1">eConcatenar(A183:E183,"|")</f>
        <v>AI0ZLzDdlzSY3iYo|3800|2021-9-16|0|final</v>
      </c>
    </row>
    <row r="184" spans="1:7" x14ac:dyDescent="0.25">
      <c r="A184" s="6" t="s">
        <v>6222</v>
      </c>
      <c r="B184" s="4">
        <v>2400</v>
      </c>
      <c r="C184" s="4" t="s">
        <v>6230</v>
      </c>
      <c r="D184" s="13">
        <v>0</v>
      </c>
      <c r="E184" t="s">
        <v>1074</v>
      </c>
      <c r="G184" t="str" cm="1">
        <f t="array" aca="1" ref="G184" ca="1">eConcatenar(A184:E184,"|")</f>
        <v>zQ06LDd2xctLhOiQ|2400|2021-9-09|0|final</v>
      </c>
    </row>
    <row r="185" spans="1:7" x14ac:dyDescent="0.25">
      <c r="A185" s="6" t="s">
        <v>6231</v>
      </c>
      <c r="B185" s="4">
        <v>5400</v>
      </c>
      <c r="C185" s="4" t="s">
        <v>5792</v>
      </c>
      <c r="D185" s="13">
        <v>0</v>
      </c>
      <c r="E185" t="s">
        <v>1074</v>
      </c>
      <c r="G185" t="str" cm="1">
        <f t="array" aca="1" ref="G185" ca="1">eConcatenar(A185:E185,"|")</f>
        <v>KIUwcGuIo7y3fASU|5400|2021-9-01|0|final</v>
      </c>
    </row>
    <row r="186" spans="1:7" x14ac:dyDescent="0.25">
      <c r="A186" s="6" t="s">
        <v>6236</v>
      </c>
      <c r="B186" s="4">
        <v>6000</v>
      </c>
      <c r="C186" s="4" t="s">
        <v>1135</v>
      </c>
      <c r="D186" s="13">
        <v>0</v>
      </c>
      <c r="E186" t="s">
        <v>1074</v>
      </c>
      <c r="G186" t="str" cm="1">
        <f t="array" aca="1" ref="G186" ca="1">eConcatenar(A186:E186,"|")</f>
        <v>dQt7rqHahI5AB3i5|6000|2021-9-15|0|final</v>
      </c>
    </row>
    <row r="187" spans="1:7" x14ac:dyDescent="0.25">
      <c r="A187" s="6" t="s">
        <v>6240</v>
      </c>
      <c r="B187" s="4">
        <v>600</v>
      </c>
      <c r="C187" s="4" t="s">
        <v>1122</v>
      </c>
      <c r="D187" s="13">
        <v>0</v>
      </c>
      <c r="E187" t="s">
        <v>1074</v>
      </c>
      <c r="G187" t="str" cm="1">
        <f t="array" aca="1" ref="G187" ca="1">eConcatenar(A187:E187,"|")</f>
        <v>dTNv4nh66mPBWDy3|600|2021-9-13|0|final</v>
      </c>
    </row>
    <row r="188" spans="1:7" x14ac:dyDescent="0.25">
      <c r="A188" s="6" t="s">
        <v>6247</v>
      </c>
      <c r="B188" s="4">
        <v>800</v>
      </c>
      <c r="C188" s="4" t="s">
        <v>6252</v>
      </c>
      <c r="D188" s="13">
        <v>0</v>
      </c>
      <c r="E188" t="s">
        <v>1074</v>
      </c>
      <c r="G188" t="str" cm="1">
        <f t="array" aca="1" ref="G188" ca="1">eConcatenar(A188:E188,"|")</f>
        <v>SCcvBWXttUBOUrfs|800|2021-9-02|0|final</v>
      </c>
    </row>
    <row r="189" spans="1:7" x14ac:dyDescent="0.25">
      <c r="A189" s="6" t="s">
        <v>6253</v>
      </c>
      <c r="B189" s="4">
        <v>500</v>
      </c>
      <c r="C189" s="4" t="s">
        <v>5792</v>
      </c>
      <c r="D189" s="13">
        <v>0</v>
      </c>
      <c r="E189" t="s">
        <v>1074</v>
      </c>
      <c r="G189" t="str" cm="1">
        <f t="array" aca="1" ref="G189" ca="1">eConcatenar(A189:E189,"|")</f>
        <v>XPazj2wTmPu9vGwq|500|2021-9-01|0|final</v>
      </c>
    </row>
    <row r="190" spans="1:7" x14ac:dyDescent="0.25">
      <c r="A190" s="6" t="s">
        <v>6259</v>
      </c>
      <c r="B190" s="4">
        <v>600</v>
      </c>
      <c r="C190" s="4" t="s">
        <v>1136</v>
      </c>
      <c r="D190" s="13">
        <v>0</v>
      </c>
      <c r="E190" t="s">
        <v>1074</v>
      </c>
      <c r="G190" t="str" cm="1">
        <f t="array" aca="1" ref="G190" ca="1">eConcatenar(A190:E190,"|")</f>
        <v>6gxZAstKbv4DUnJZ|600|2021-9-16|0|final</v>
      </c>
    </row>
    <row r="191" spans="1:7" x14ac:dyDescent="0.25">
      <c r="A191" s="6" t="s">
        <v>6265</v>
      </c>
      <c r="B191" s="4">
        <v>10600</v>
      </c>
      <c r="C191" s="4" t="s">
        <v>1134</v>
      </c>
      <c r="D191" s="13">
        <v>0</v>
      </c>
      <c r="E191" t="s">
        <v>1074</v>
      </c>
      <c r="G191" t="str" cm="1">
        <f t="array" aca="1" ref="G191" ca="1">eConcatenar(A191:E191,"|")</f>
        <v>tXfeQiTtxqd0yI85|10600|2021-9-22|0|final</v>
      </c>
    </row>
    <row r="192" spans="1:7" x14ac:dyDescent="0.25">
      <c r="A192" s="6" t="s">
        <v>6272</v>
      </c>
      <c r="B192" s="4">
        <v>8100</v>
      </c>
      <c r="C192" s="4" t="s">
        <v>1134</v>
      </c>
      <c r="D192" s="13">
        <v>0</v>
      </c>
      <c r="E192" t="s">
        <v>1074</v>
      </c>
      <c r="G192" t="str" cm="1">
        <f t="array" aca="1" ref="G192" ca="1">eConcatenar(A192:E192,"|")</f>
        <v>m5MOrK054P7uzNVW|8100|2021-9-22|0|final</v>
      </c>
    </row>
    <row r="193" spans="1:7" x14ac:dyDescent="0.25">
      <c r="A193" s="6" t="s">
        <v>6279</v>
      </c>
      <c r="B193" s="4">
        <v>8350</v>
      </c>
      <c r="C193" s="4" t="s">
        <v>1134</v>
      </c>
      <c r="D193" s="13">
        <v>0</v>
      </c>
      <c r="E193" t="s">
        <v>1074</v>
      </c>
      <c r="G193" t="str" cm="1">
        <f t="array" aca="1" ref="G193" ca="1">eConcatenar(A193:E193,"|")</f>
        <v>rNtzBpshgTMTTjK4|8350|2021-9-22|0|final</v>
      </c>
    </row>
    <row r="194" spans="1:7" x14ac:dyDescent="0.25">
      <c r="A194" s="6" t="s">
        <v>6285</v>
      </c>
      <c r="B194" s="4">
        <v>11600</v>
      </c>
      <c r="C194" s="4" t="s">
        <v>1134</v>
      </c>
      <c r="D194" s="13">
        <v>0</v>
      </c>
      <c r="E194" t="s">
        <v>1074</v>
      </c>
      <c r="G194" t="str" cm="1">
        <f t="array" aca="1" ref="G194" ca="1">eConcatenar(A194:E194,"|")</f>
        <v>DoXWtFMNuYUDrdOD|11600|2021-9-22|0|final</v>
      </c>
    </row>
    <row r="195" spans="1:7" x14ac:dyDescent="0.25">
      <c r="A195" s="6" t="s">
        <v>6291</v>
      </c>
      <c r="B195" s="4">
        <v>18800</v>
      </c>
      <c r="C195" s="4" t="s">
        <v>1134</v>
      </c>
      <c r="D195" s="13">
        <v>0</v>
      </c>
      <c r="E195" t="s">
        <v>1074</v>
      </c>
      <c r="G195" t="str" cm="1">
        <f t="array" aca="1" ref="G195" ca="1">eConcatenar(A195:E195,"|")</f>
        <v>xp0qUK5DVGsfsHJC|18800|2021-9-22|0|final</v>
      </c>
    </row>
    <row r="196" spans="1:7" x14ac:dyDescent="0.25">
      <c r="A196" s="6" t="s">
        <v>6297</v>
      </c>
      <c r="B196" s="4">
        <v>700</v>
      </c>
      <c r="C196" s="4" t="s">
        <v>1134</v>
      </c>
      <c r="D196" s="13">
        <v>0</v>
      </c>
      <c r="E196" t="s">
        <v>1074</v>
      </c>
      <c r="G196" t="str" cm="1">
        <f t="array" aca="1" ref="G196" ca="1">eConcatenar(A196:E196,"|")</f>
        <v>X5xJ4mzJFNzyux31|700|2021-9-22|0|final</v>
      </c>
    </row>
    <row r="197" spans="1:7" x14ac:dyDescent="0.25">
      <c r="A197" s="6" t="s">
        <v>6304</v>
      </c>
      <c r="B197" s="4">
        <v>1400</v>
      </c>
      <c r="C197" s="4" t="s">
        <v>1134</v>
      </c>
      <c r="D197" s="13">
        <v>0</v>
      </c>
      <c r="E197" t="s">
        <v>1074</v>
      </c>
      <c r="G197" t="str" cm="1">
        <f t="array" aca="1" ref="G197" ca="1">eConcatenar(A197:E197,"|")</f>
        <v>OU3KCGZy1rJdSUR3|1400|2021-9-22|0|final</v>
      </c>
    </row>
    <row r="198" spans="1:7" x14ac:dyDescent="0.25">
      <c r="A198" s="6" t="s">
        <v>6310</v>
      </c>
      <c r="B198" s="4">
        <v>1550</v>
      </c>
      <c r="C198" s="4" t="s">
        <v>1134</v>
      </c>
      <c r="D198" s="13">
        <v>0</v>
      </c>
      <c r="E198" t="s">
        <v>1074</v>
      </c>
      <c r="G198" t="str" cm="1">
        <f t="array" aca="1" ref="G198" ca="1">eConcatenar(A198:E198,"|")</f>
        <v>BL5XIhC4EQTSLYba|1550|2021-9-22|0|final</v>
      </c>
    </row>
    <row r="199" spans="1:7" x14ac:dyDescent="0.25">
      <c r="A199" s="6" t="s">
        <v>6316</v>
      </c>
      <c r="B199" s="4">
        <v>1550</v>
      </c>
      <c r="C199" s="4" t="s">
        <v>1134</v>
      </c>
      <c r="D199" s="13">
        <v>0</v>
      </c>
      <c r="E199" t="s">
        <v>1074</v>
      </c>
      <c r="G199" t="str" cm="1">
        <f t="array" aca="1" ref="G199" ca="1">eConcatenar(A199:E199,"|")</f>
        <v>oKQRKgI6YL2jM9iN|1550|2021-9-22|0|final</v>
      </c>
    </row>
    <row r="200" spans="1:7" x14ac:dyDescent="0.25">
      <c r="A200" s="6" t="s">
        <v>6321</v>
      </c>
      <c r="B200" s="4">
        <v>1450</v>
      </c>
      <c r="C200" s="4" t="s">
        <v>1134</v>
      </c>
      <c r="D200" s="13">
        <v>0</v>
      </c>
      <c r="E200" t="s">
        <v>1074</v>
      </c>
      <c r="G200" t="str" cm="1">
        <f t="array" aca="1" ref="G200" ca="1">eConcatenar(A200:E200,"|")</f>
        <v>KM72Zxe0Ft8AMKh8|1450|2021-9-22|0|final</v>
      </c>
    </row>
    <row r="201" spans="1:7" x14ac:dyDescent="0.25">
      <c r="A201" s="6" t="s">
        <v>6325</v>
      </c>
      <c r="B201" s="4">
        <v>1600</v>
      </c>
      <c r="C201" s="4" t="s">
        <v>1134</v>
      </c>
      <c r="D201" s="13">
        <v>0</v>
      </c>
      <c r="E201" t="s">
        <v>1074</v>
      </c>
      <c r="G201" t="str" cm="1">
        <f t="array" aca="1" ref="G201" ca="1">eConcatenar(A201:E201,"|")</f>
        <v>hR4ttvhJN2lGEgUH|1600|2021-9-22|0|final</v>
      </c>
    </row>
    <row r="202" spans="1:7" x14ac:dyDescent="0.25">
      <c r="A202" s="6" t="s">
        <v>6328</v>
      </c>
      <c r="B202" s="4">
        <v>2900</v>
      </c>
      <c r="C202" s="4" t="s">
        <v>1134</v>
      </c>
      <c r="D202" s="13">
        <v>0</v>
      </c>
      <c r="E202" t="s">
        <v>1074</v>
      </c>
      <c r="G202" t="str" cm="1">
        <f t="array" aca="1" ref="G202" ca="1">eConcatenar(A202:E202,"|")</f>
        <v>GSWxaXWsLFglegby|2900|2021-9-22|0|final</v>
      </c>
    </row>
    <row r="203" spans="1:7" x14ac:dyDescent="0.25">
      <c r="A203" s="6" t="s">
        <v>6335</v>
      </c>
      <c r="B203" s="4">
        <v>7300</v>
      </c>
      <c r="C203" s="4" t="s">
        <v>1130</v>
      </c>
      <c r="D203" s="13">
        <v>0</v>
      </c>
      <c r="E203" t="s">
        <v>1074</v>
      </c>
      <c r="G203" t="str" cm="1">
        <f t="array" aca="1" ref="G203" ca="1">eConcatenar(A203:E203,"|")</f>
        <v>PZVSBYnDBi4yasdh|7300|2021-9-21|0|final</v>
      </c>
    </row>
    <row r="204" spans="1:7" x14ac:dyDescent="0.25">
      <c r="A204" s="6" t="s">
        <v>6342</v>
      </c>
      <c r="B204" s="4">
        <v>4100</v>
      </c>
      <c r="C204" s="4" t="s">
        <v>1134</v>
      </c>
      <c r="D204" s="13">
        <v>0</v>
      </c>
      <c r="E204" t="s">
        <v>1074</v>
      </c>
      <c r="G204" t="str" cm="1">
        <f t="array" aca="1" ref="G204" ca="1">eConcatenar(A204:E204,"|")</f>
        <v>fVmorNdC3Dv1if1z|4100|2021-9-22|0|final</v>
      </c>
    </row>
    <row r="205" spans="1:7" x14ac:dyDescent="0.25">
      <c r="A205" s="6" t="s">
        <v>6346</v>
      </c>
      <c r="B205" s="4">
        <v>3400</v>
      </c>
      <c r="C205" s="4" t="s">
        <v>1113</v>
      </c>
      <c r="D205" s="13">
        <v>0</v>
      </c>
      <c r="E205" t="s">
        <v>1074</v>
      </c>
      <c r="G205" t="str" cm="1">
        <f t="array" aca="1" ref="G205" ca="1">eConcatenar(A205:E205,"|")</f>
        <v>Dhbj9dgSAhSRS7QA|3400|2021-9-25|0|final</v>
      </c>
    </row>
    <row r="206" spans="1:7" x14ac:dyDescent="0.25">
      <c r="A206" s="6" t="s">
        <v>6352</v>
      </c>
      <c r="B206" s="4">
        <v>5300</v>
      </c>
      <c r="C206" s="4" t="s">
        <v>1134</v>
      </c>
      <c r="D206" s="13">
        <v>0</v>
      </c>
      <c r="E206" t="s">
        <v>1074</v>
      </c>
      <c r="G206" t="str" cm="1">
        <f t="array" aca="1" ref="G206" ca="1">eConcatenar(A206:E206,"|")</f>
        <v>P5qaw9muk8EbqDLu|5300|2021-9-22|0|final</v>
      </c>
    </row>
    <row r="207" spans="1:7" x14ac:dyDescent="0.25">
      <c r="A207" s="6" t="s">
        <v>6358</v>
      </c>
      <c r="B207" s="4">
        <v>6300</v>
      </c>
      <c r="C207" s="4" t="s">
        <v>1134</v>
      </c>
      <c r="D207" s="13">
        <v>0</v>
      </c>
      <c r="E207" t="s">
        <v>1074</v>
      </c>
      <c r="G207" t="str" cm="1">
        <f t="array" aca="1" ref="G207" ca="1">eConcatenar(A207:E207,"|")</f>
        <v>ungiFpIoF08y8QL8|6300|2021-9-22|0|final</v>
      </c>
    </row>
    <row r="208" spans="1:7" x14ac:dyDescent="0.25">
      <c r="A208" s="6" t="s">
        <v>6363</v>
      </c>
      <c r="B208" s="4">
        <v>5500</v>
      </c>
      <c r="C208" s="4" t="s">
        <v>1134</v>
      </c>
      <c r="D208" s="13">
        <v>0</v>
      </c>
      <c r="E208" t="s">
        <v>1074</v>
      </c>
      <c r="G208" t="str" cm="1">
        <f t="array" aca="1" ref="G208" ca="1">eConcatenar(A208:E208,"|")</f>
        <v>v5Rwes4RarkmYsGC|5500|2021-9-22|0|final</v>
      </c>
    </row>
    <row r="209" spans="1:7" x14ac:dyDescent="0.25">
      <c r="A209" s="6" t="s">
        <v>6368</v>
      </c>
      <c r="B209" s="4">
        <v>12160</v>
      </c>
      <c r="C209" s="4" t="s">
        <v>1134</v>
      </c>
      <c r="D209" s="13">
        <v>0</v>
      </c>
      <c r="E209" t="s">
        <v>1074</v>
      </c>
      <c r="G209" t="str" cm="1">
        <f t="array" aca="1" ref="G209" ca="1">eConcatenar(A209:E209,"|")</f>
        <v>3867BWY3m6HHUEt0|12160|2021-9-22|0|final</v>
      </c>
    </row>
    <row r="210" spans="1:7" x14ac:dyDescent="0.25">
      <c r="A210" s="6" t="s">
        <v>6375</v>
      </c>
      <c r="B210" s="4">
        <v>6100</v>
      </c>
      <c r="C210" s="4" t="s">
        <v>1134</v>
      </c>
      <c r="D210" s="13">
        <v>0</v>
      </c>
      <c r="E210" t="s">
        <v>1074</v>
      </c>
      <c r="G210" t="str" cm="1">
        <f t="array" aca="1" ref="G210" ca="1">eConcatenar(A210:E210,"|")</f>
        <v>PqtBOLLDyaVoR8cZ|6100|2021-9-22|0|final</v>
      </c>
    </row>
    <row r="211" spans="1:7" x14ac:dyDescent="0.25">
      <c r="A211" s="6" t="s">
        <v>6380</v>
      </c>
      <c r="B211" s="4">
        <v>6100</v>
      </c>
      <c r="C211" s="4" t="s">
        <v>1134</v>
      </c>
      <c r="D211" s="13">
        <v>0</v>
      </c>
      <c r="E211" t="s">
        <v>1074</v>
      </c>
      <c r="G211" t="str" cm="1">
        <f t="array" aca="1" ref="G211" ca="1">eConcatenar(A211:E211,"|")</f>
        <v>otYf2dfW462Zx858|6100|2021-9-22|0|final</v>
      </c>
    </row>
    <row r="212" spans="1:7" x14ac:dyDescent="0.25">
      <c r="A212" s="6" t="s">
        <v>6385</v>
      </c>
      <c r="B212" s="4">
        <v>4700</v>
      </c>
      <c r="C212" s="4" t="s">
        <v>1134</v>
      </c>
      <c r="D212" s="13">
        <v>0</v>
      </c>
      <c r="E212" t="s">
        <v>1074</v>
      </c>
      <c r="G212" t="str" cm="1">
        <f t="array" aca="1" ref="G212" ca="1">eConcatenar(A212:E212,"|")</f>
        <v>xKszk2AdAscUWGOL|4700|2021-9-22|0|final</v>
      </c>
    </row>
    <row r="213" spans="1:7" x14ac:dyDescent="0.25">
      <c r="A213" s="6" t="s">
        <v>6391</v>
      </c>
      <c r="B213" s="4">
        <v>6200</v>
      </c>
      <c r="C213" s="4" t="s">
        <v>1134</v>
      </c>
      <c r="D213" s="13">
        <v>0</v>
      </c>
      <c r="E213" t="s">
        <v>1074</v>
      </c>
      <c r="G213" t="str" cm="1">
        <f t="array" aca="1" ref="G213" ca="1">eConcatenar(A213:E213,"|")</f>
        <v>zXXmf3rFUu3OBnAh|6200|2021-9-22|0|final</v>
      </c>
    </row>
    <row r="214" spans="1:7" x14ac:dyDescent="0.25">
      <c r="A214" s="6" t="s">
        <v>6396</v>
      </c>
      <c r="B214" s="4">
        <v>6200</v>
      </c>
      <c r="C214" s="4" t="s">
        <v>1134</v>
      </c>
      <c r="D214" s="13">
        <v>0</v>
      </c>
      <c r="E214" t="s">
        <v>1074</v>
      </c>
      <c r="G214" t="str" cm="1">
        <f t="array" aca="1" ref="G214" ca="1">eConcatenar(A214:E214,"|")</f>
        <v>44rpYhEZmvWj6rmf|6200|2021-9-22|0|final</v>
      </c>
    </row>
    <row r="215" spans="1:7" x14ac:dyDescent="0.25">
      <c r="A215" s="6" t="s">
        <v>6401</v>
      </c>
      <c r="B215" s="4">
        <v>6200</v>
      </c>
      <c r="C215" s="4" t="s">
        <v>1134</v>
      </c>
      <c r="D215" s="13">
        <v>0</v>
      </c>
      <c r="E215" t="s">
        <v>1074</v>
      </c>
      <c r="G215" t="str" cm="1">
        <f t="array" aca="1" ref="G215" ca="1">eConcatenar(A215:E215,"|")</f>
        <v>qsPdDgorwlIZypKc|6200|2021-9-22|0|final</v>
      </c>
    </row>
    <row r="216" spans="1:7" x14ac:dyDescent="0.25">
      <c r="A216" s="6" t="s">
        <v>6408</v>
      </c>
      <c r="B216" s="4">
        <v>9200</v>
      </c>
      <c r="C216" s="4" t="s">
        <v>1134</v>
      </c>
      <c r="D216" s="13">
        <v>0</v>
      </c>
      <c r="E216" t="s">
        <v>1074</v>
      </c>
      <c r="G216" t="str" cm="1">
        <f t="array" aca="1" ref="G216" ca="1">eConcatenar(A216:E216,"|")</f>
        <v>bQPGBGR4yNtHhizs|9200|2021-9-22|0|final</v>
      </c>
    </row>
    <row r="217" spans="1:7" x14ac:dyDescent="0.25">
      <c r="A217" s="6" t="s">
        <v>6416</v>
      </c>
      <c r="B217" s="4">
        <v>5500</v>
      </c>
      <c r="C217" s="4" t="s">
        <v>1134</v>
      </c>
      <c r="D217" s="13">
        <v>0</v>
      </c>
      <c r="E217" t="s">
        <v>1074</v>
      </c>
      <c r="G217" t="str" cm="1">
        <f t="array" aca="1" ref="G217" ca="1">eConcatenar(A217:E217,"|")</f>
        <v>mcUCQsFcMGNOpKl7|5500|2021-9-22|0|final</v>
      </c>
    </row>
    <row r="218" spans="1:7" x14ac:dyDescent="0.25">
      <c r="A218" s="6" t="s">
        <v>6424</v>
      </c>
      <c r="B218" s="4">
        <v>7500</v>
      </c>
      <c r="C218" s="4" t="s">
        <v>1134</v>
      </c>
      <c r="D218" s="13">
        <v>0</v>
      </c>
      <c r="E218" t="s">
        <v>1074</v>
      </c>
      <c r="G218" t="str" cm="1">
        <f t="array" aca="1" ref="G218" ca="1">eConcatenar(A218:E218,"|")</f>
        <v>ByIhxjWH2sa9Dl7E|7500|2021-9-22|0|final</v>
      </c>
    </row>
    <row r="219" spans="1:7" x14ac:dyDescent="0.25">
      <c r="A219" s="6" t="s">
        <v>6430</v>
      </c>
      <c r="B219" s="4">
        <v>7700</v>
      </c>
      <c r="C219" s="4" t="s">
        <v>1134</v>
      </c>
      <c r="D219" s="13">
        <v>0</v>
      </c>
      <c r="E219" t="s">
        <v>1074</v>
      </c>
      <c r="G219" t="str" cm="1">
        <f t="array" aca="1" ref="G219" ca="1">eConcatenar(A219:E219,"|")</f>
        <v>qtERxkRXEoPAOeeU|7700|2021-9-22|0|final</v>
      </c>
    </row>
    <row r="220" spans="1:7" x14ac:dyDescent="0.25">
      <c r="A220" s="6" t="s">
        <v>6438</v>
      </c>
      <c r="B220" s="4">
        <v>2600</v>
      </c>
      <c r="C220" s="4" t="s">
        <v>1134</v>
      </c>
      <c r="D220" s="13">
        <v>0</v>
      </c>
      <c r="E220" t="s">
        <v>1074</v>
      </c>
      <c r="G220" t="str" cm="1">
        <f t="array" aca="1" ref="G220" ca="1">eConcatenar(A220:E220,"|")</f>
        <v>9sGdexO96iddpO4g|2600|2021-9-22|0|final</v>
      </c>
    </row>
    <row r="221" spans="1:7" x14ac:dyDescent="0.25">
      <c r="A221" s="6" t="s">
        <v>6444</v>
      </c>
      <c r="B221" s="4">
        <v>8000</v>
      </c>
      <c r="C221" s="4" t="s">
        <v>1134</v>
      </c>
      <c r="D221" s="13">
        <v>0</v>
      </c>
      <c r="E221" t="s">
        <v>1074</v>
      </c>
      <c r="G221" t="str" cm="1">
        <f t="array" aca="1" ref="G221" ca="1">eConcatenar(A221:E221,"|")</f>
        <v>ILpXkdlyQrSffKc9|8000|2021-9-22|0|final</v>
      </c>
    </row>
    <row r="222" spans="1:7" x14ac:dyDescent="0.25">
      <c r="A222" s="6" t="s">
        <v>6451</v>
      </c>
      <c r="B222" s="4">
        <v>7300</v>
      </c>
      <c r="C222" s="4" t="s">
        <v>1134</v>
      </c>
      <c r="D222" s="13">
        <v>0</v>
      </c>
      <c r="E222" t="s">
        <v>1074</v>
      </c>
      <c r="G222" t="str" cm="1">
        <f t="array" aca="1" ref="G222" ca="1">eConcatenar(A222:E222,"|")</f>
        <v>IsI1OGoRZCEJI5yu|7300|2021-9-22|0|final</v>
      </c>
    </row>
    <row r="223" spans="1:7" x14ac:dyDescent="0.25">
      <c r="A223" s="6" t="s">
        <v>6458</v>
      </c>
      <c r="B223" s="4">
        <v>10630</v>
      </c>
      <c r="C223" s="4" t="s">
        <v>1134</v>
      </c>
      <c r="D223" s="13">
        <v>0</v>
      </c>
      <c r="E223" t="s">
        <v>1074</v>
      </c>
      <c r="G223" t="str" cm="1">
        <f t="array" aca="1" ref="G223" ca="1">eConcatenar(A223:E223,"|")</f>
        <v>85LdWn1fek1Sd0Oh|10630|2021-9-22|0|final</v>
      </c>
    </row>
    <row r="224" spans="1:7" x14ac:dyDescent="0.25">
      <c r="A224" s="6" t="s">
        <v>6462</v>
      </c>
      <c r="B224" s="4">
        <v>4600</v>
      </c>
      <c r="C224" s="4" t="s">
        <v>1134</v>
      </c>
      <c r="D224" s="13">
        <v>0</v>
      </c>
      <c r="E224" t="s">
        <v>1074</v>
      </c>
      <c r="G224" t="str" cm="1">
        <f t="array" aca="1" ref="G224" ca="1">eConcatenar(A224:E224,"|")</f>
        <v>Ghp4tJqKH6IsOBm6|4600|2021-9-22|0|final</v>
      </c>
    </row>
    <row r="225" spans="1:7" x14ac:dyDescent="0.25">
      <c r="A225" s="6" t="s">
        <v>6470</v>
      </c>
      <c r="B225" s="4">
        <v>9000</v>
      </c>
      <c r="C225" s="4" t="s">
        <v>1135</v>
      </c>
      <c r="D225" s="13">
        <v>0</v>
      </c>
      <c r="E225" t="s">
        <v>1074</v>
      </c>
      <c r="G225" t="str" cm="1">
        <f t="array" aca="1" ref="G225" ca="1">eConcatenar(A225:E225,"|")</f>
        <v>5CPEJXszpDkjJUy3|9000|2021-9-15|0|final</v>
      </c>
    </row>
    <row r="226" spans="1:7" x14ac:dyDescent="0.25">
      <c r="A226" s="6" t="s">
        <v>6475</v>
      </c>
      <c r="B226" s="4">
        <v>4500</v>
      </c>
      <c r="C226" s="4" t="s">
        <v>1135</v>
      </c>
      <c r="D226" s="13">
        <v>0</v>
      </c>
      <c r="E226" t="s">
        <v>1074</v>
      </c>
      <c r="G226" t="str" cm="1">
        <f t="array" aca="1" ref="G226" ca="1">eConcatenar(A226:E226,"|")</f>
        <v>DMasXA6DEuxaJr07|4500|2021-9-15|0|final</v>
      </c>
    </row>
    <row r="227" spans="1:7" x14ac:dyDescent="0.25">
      <c r="A227" s="6" t="s">
        <v>6479</v>
      </c>
      <c r="B227" s="4">
        <v>7000</v>
      </c>
      <c r="C227" s="4" t="s">
        <v>1135</v>
      </c>
      <c r="D227" s="13">
        <v>0</v>
      </c>
      <c r="E227" t="s">
        <v>1074</v>
      </c>
      <c r="G227" t="str" cm="1">
        <f t="array" aca="1" ref="G227" ca="1">eConcatenar(A227:E227,"|")</f>
        <v>ngTtGqFy5BFI7J74|7000|2021-9-15|0|final</v>
      </c>
    </row>
    <row r="228" spans="1:7" x14ac:dyDescent="0.25">
      <c r="A228" s="6" t="s">
        <v>6485</v>
      </c>
      <c r="B228" s="4">
        <v>6800</v>
      </c>
      <c r="C228" s="4" t="s">
        <v>1135</v>
      </c>
      <c r="D228" s="13">
        <v>0</v>
      </c>
      <c r="E228" t="s">
        <v>1074</v>
      </c>
      <c r="G228" t="str" cm="1">
        <f t="array" aca="1" ref="G228" ca="1">eConcatenar(A228:E228,"|")</f>
        <v>3vX2jtojgKAf7EBG|6800|2021-9-15|0|final</v>
      </c>
    </row>
    <row r="229" spans="1:7" x14ac:dyDescent="0.25">
      <c r="A229" s="6" t="s">
        <v>6492</v>
      </c>
      <c r="B229" s="4">
        <v>6000</v>
      </c>
      <c r="C229" s="4" t="s">
        <v>1136</v>
      </c>
      <c r="D229" s="13">
        <v>0</v>
      </c>
      <c r="E229" t="s">
        <v>1074</v>
      </c>
      <c r="G229" t="str" cm="1">
        <f t="array" aca="1" ref="G229" ca="1">eConcatenar(A229:E229,"|")</f>
        <v>vb0WrE1Rq7a9lkYj|6000|2021-9-16|0|final</v>
      </c>
    </row>
    <row r="230" spans="1:7" x14ac:dyDescent="0.25">
      <c r="A230" s="6" t="s">
        <v>6498</v>
      </c>
      <c r="B230" s="4">
        <v>11400</v>
      </c>
      <c r="C230" s="4" t="s">
        <v>1136</v>
      </c>
      <c r="D230" s="13">
        <v>0</v>
      </c>
      <c r="E230" t="s">
        <v>1074</v>
      </c>
      <c r="G230" t="str" cm="1">
        <f t="array" aca="1" ref="G230" ca="1">eConcatenar(A230:E230,"|")</f>
        <v>HR0jyIVscx2OBj4F|11400|2021-9-16|0|final</v>
      </c>
    </row>
    <row r="231" spans="1:7" x14ac:dyDescent="0.25">
      <c r="A231" s="6" t="s">
        <v>6506</v>
      </c>
      <c r="B231" s="4">
        <v>4100</v>
      </c>
      <c r="C231" s="4" t="s">
        <v>1135</v>
      </c>
      <c r="D231" s="13">
        <v>0</v>
      </c>
      <c r="E231" t="s">
        <v>1074</v>
      </c>
      <c r="G231" t="str" cm="1">
        <f t="array" aca="1" ref="G231" ca="1">eConcatenar(A231:E231,"|")</f>
        <v>udvq0jgbZTez1PQW|4100|2021-9-15|0|final</v>
      </c>
    </row>
    <row r="232" spans="1:7" x14ac:dyDescent="0.25">
      <c r="A232" s="6" t="s">
        <v>6513</v>
      </c>
      <c r="B232" s="4">
        <v>4600</v>
      </c>
      <c r="C232" s="4" t="s">
        <v>1136</v>
      </c>
      <c r="D232" s="13">
        <v>0</v>
      </c>
      <c r="E232" t="s">
        <v>1074</v>
      </c>
      <c r="G232" t="str" cm="1">
        <f t="array" aca="1" ref="G232" ca="1">eConcatenar(A232:E232,"|")</f>
        <v>CLIFgLsXbthJ6dQo|4600|2021-9-16|0|final</v>
      </c>
    </row>
    <row r="233" spans="1:7" x14ac:dyDescent="0.25">
      <c r="A233" s="6" t="s">
        <v>6522</v>
      </c>
      <c r="B233" s="4">
        <v>15600</v>
      </c>
      <c r="C233" s="4" t="s">
        <v>6252</v>
      </c>
      <c r="D233" s="13">
        <v>0</v>
      </c>
      <c r="E233" t="s">
        <v>1074</v>
      </c>
      <c r="G233" t="str" cm="1">
        <f t="array" aca="1" ref="G233" ca="1">eConcatenar(A233:E233,"|")</f>
        <v>knngSSKJLf9UuYmH|15600|2021-9-02|0|final</v>
      </c>
    </row>
    <row r="234" spans="1:7" x14ac:dyDescent="0.25">
      <c r="A234" s="6" t="s">
        <v>6527</v>
      </c>
      <c r="B234" s="4">
        <v>8500</v>
      </c>
      <c r="C234" s="4" t="s">
        <v>6252</v>
      </c>
      <c r="D234" s="13">
        <v>0</v>
      </c>
      <c r="E234" t="s">
        <v>1074</v>
      </c>
      <c r="G234" t="str" cm="1">
        <f t="array" aca="1" ref="G234" ca="1">eConcatenar(A234:E234,"|")</f>
        <v>b96AAqdUqxWcT243|8500|2021-9-02|0|final</v>
      </c>
    </row>
    <row r="235" spans="1:7" x14ac:dyDescent="0.25">
      <c r="A235" s="6" t="s">
        <v>6535</v>
      </c>
      <c r="B235" s="4">
        <v>6600</v>
      </c>
      <c r="C235" s="4" t="s">
        <v>5792</v>
      </c>
      <c r="D235" s="13">
        <v>0</v>
      </c>
      <c r="E235" t="s">
        <v>1074</v>
      </c>
      <c r="G235" t="str" cm="1">
        <f t="array" aca="1" ref="G235" ca="1">eConcatenar(A235:E235,"|")</f>
        <v>LynMS1vnH0M61Zo7|6600|2021-9-01|0|final</v>
      </c>
    </row>
    <row r="236" spans="1:7" x14ac:dyDescent="0.25">
      <c r="A236" s="6" t="s">
        <v>6543</v>
      </c>
      <c r="B236" s="4">
        <v>9900</v>
      </c>
      <c r="C236" s="4" t="s">
        <v>6551</v>
      </c>
      <c r="D236" s="13">
        <v>0</v>
      </c>
      <c r="E236" t="s">
        <v>1074</v>
      </c>
      <c r="G236" t="str" cm="1">
        <f t="array" aca="1" ref="G236" ca="1">eConcatenar(A236:E236,"|")</f>
        <v>kBp2BuJtrmdOfQan|9900|2021-2-03|0|final</v>
      </c>
    </row>
    <row r="237" spans="1:7" x14ac:dyDescent="0.25">
      <c r="A237" s="6" t="s">
        <v>6553</v>
      </c>
      <c r="B237" s="4">
        <v>3550</v>
      </c>
      <c r="C237" s="4" t="s">
        <v>6561</v>
      </c>
      <c r="D237" s="13">
        <v>0</v>
      </c>
      <c r="E237" t="s">
        <v>1074</v>
      </c>
      <c r="G237" t="str" cm="1">
        <f t="array" aca="1" ref="G237" ca="1">eConcatenar(A237:E237,"|")</f>
        <v>zH06r6cHv1wbwz3a|3550|2021-7-09|0|final</v>
      </c>
    </row>
    <row r="238" spans="1:7" x14ac:dyDescent="0.25">
      <c r="A238" s="6" t="s">
        <v>6563</v>
      </c>
      <c r="B238" s="4">
        <v>4000</v>
      </c>
      <c r="C238" s="4" t="s">
        <v>6111</v>
      </c>
      <c r="D238" s="13">
        <v>0</v>
      </c>
      <c r="E238" t="s">
        <v>1074</v>
      </c>
      <c r="G238" t="str" cm="1">
        <f t="array" aca="1" ref="G238" ca="1">eConcatenar(A238:E238,"|")</f>
        <v>YOckfJLcXlc2F1WL|4000|2021-9-08|0|final</v>
      </c>
    </row>
    <row r="239" spans="1:7" x14ac:dyDescent="0.25">
      <c r="A239" s="6" t="s">
        <v>6571</v>
      </c>
      <c r="B239" s="4">
        <v>5400</v>
      </c>
      <c r="C239" s="4" t="s">
        <v>6111</v>
      </c>
      <c r="D239" s="13">
        <v>0</v>
      </c>
      <c r="E239" t="s">
        <v>1074</v>
      </c>
      <c r="G239" t="str" cm="1">
        <f t="array" aca="1" ref="G239" ca="1">eConcatenar(A239:E239,"|")</f>
        <v>GZV08XC9bowqbazN|5400|2021-9-08|0|final</v>
      </c>
    </row>
    <row r="240" spans="1:7" x14ac:dyDescent="0.25">
      <c r="A240" s="6" t="s">
        <v>6580</v>
      </c>
      <c r="B240" s="4">
        <v>600</v>
      </c>
      <c r="C240" s="4" t="s">
        <v>6111</v>
      </c>
      <c r="D240" s="13">
        <v>0</v>
      </c>
      <c r="E240" t="s">
        <v>1074</v>
      </c>
      <c r="G240" t="str" cm="1">
        <f t="array" aca="1" ref="G240" ca="1">eConcatenar(A240:E240,"|")</f>
        <v>EZ9bpAKBPEmHstAx|600|2021-9-08|0|final</v>
      </c>
    </row>
    <row r="241" spans="1:7" x14ac:dyDescent="0.25">
      <c r="A241" s="6" t="s">
        <v>6587</v>
      </c>
      <c r="B241" s="4">
        <v>700</v>
      </c>
      <c r="C241" s="4" t="s">
        <v>6111</v>
      </c>
      <c r="D241" s="13">
        <v>0</v>
      </c>
      <c r="E241" t="s">
        <v>1074</v>
      </c>
      <c r="G241" t="str" cm="1">
        <f t="array" aca="1" ref="G241" ca="1">eConcatenar(A241:E241,"|")</f>
        <v>jgJSCTNUZ4fuDTY2|700|2021-9-08|0|final</v>
      </c>
    </row>
    <row r="242" spans="1:7" x14ac:dyDescent="0.25">
      <c r="A242" s="6" t="s">
        <v>6592</v>
      </c>
      <c r="B242" s="4">
        <v>4900</v>
      </c>
      <c r="C242" s="4" t="s">
        <v>6598</v>
      </c>
      <c r="D242" s="13">
        <v>0</v>
      </c>
      <c r="E242" t="s">
        <v>1074</v>
      </c>
      <c r="G242" t="str" cm="1">
        <f t="array" aca="1" ref="G242" ca="1">eConcatenar(A242:E242,"|")</f>
        <v>fiwh0iYldIqWD307|4900|2021-6-30|0|final</v>
      </c>
    </row>
    <row r="243" spans="1:7" x14ac:dyDescent="0.25">
      <c r="A243" s="6" t="s">
        <v>6599</v>
      </c>
      <c r="B243" s="4">
        <v>10550</v>
      </c>
      <c r="C243" s="4" t="s">
        <v>6605</v>
      </c>
      <c r="D243" s="13">
        <v>0</v>
      </c>
      <c r="E243" t="s">
        <v>1074</v>
      </c>
      <c r="G243" t="str" cm="1">
        <f t="array" aca="1" ref="G243" ca="1">eConcatenar(A243:E243,"|")</f>
        <v>Mo1bIW9wt57Ir6Qg|10550|2021-8-28|0|final</v>
      </c>
    </row>
    <row r="244" spans="1:7" x14ac:dyDescent="0.25">
      <c r="A244" s="6" t="s">
        <v>6606</v>
      </c>
      <c r="B244" s="4">
        <v>1000</v>
      </c>
      <c r="C244" s="4" t="s">
        <v>1105</v>
      </c>
      <c r="D244" s="13">
        <v>0</v>
      </c>
      <c r="E244" t="s">
        <v>1074</v>
      </c>
      <c r="G244" t="str" cm="1">
        <f t="array" aca="1" ref="G244" ca="1">eConcatenar(A244:E244,"|")</f>
        <v>RmlvCBVlLkDjCDVY|1000|2021-6-17|0|final</v>
      </c>
    </row>
    <row r="245" spans="1:7" x14ac:dyDescent="0.25">
      <c r="A245" s="6" t="s">
        <v>6613</v>
      </c>
      <c r="B245" s="4">
        <v>700</v>
      </c>
      <c r="C245" s="4" t="s">
        <v>6622</v>
      </c>
      <c r="D245" s="13">
        <v>0</v>
      </c>
      <c r="E245" t="s">
        <v>1074</v>
      </c>
      <c r="G245" t="str" cm="1">
        <f t="array" aca="1" ref="G245" ca="1">eConcatenar(A245:E245,"|")</f>
        <v>baDKzLBmkTJbPBaJ|700|2021-2-17|0|final</v>
      </c>
    </row>
    <row r="246" spans="1:7" x14ac:dyDescent="0.25">
      <c r="A246" s="6" t="s">
        <v>6623</v>
      </c>
      <c r="B246" s="4">
        <v>4500</v>
      </c>
      <c r="C246" s="4" t="s">
        <v>1098</v>
      </c>
      <c r="D246" s="13">
        <v>0</v>
      </c>
      <c r="E246" t="s">
        <v>1074</v>
      </c>
      <c r="G246" t="str" cm="1">
        <f t="array" aca="1" ref="G246" ca="1">eConcatenar(A246:E246,"|")</f>
        <v>6lXqRJzb6sO7mgP3|4500|2021-6-16|0|final</v>
      </c>
    </row>
    <row r="247" spans="1:7" x14ac:dyDescent="0.25">
      <c r="A247" s="6" t="s">
        <v>6629</v>
      </c>
      <c r="B247" s="4">
        <v>3300</v>
      </c>
      <c r="C247" s="4" t="s">
        <v>1107</v>
      </c>
      <c r="D247" s="13">
        <v>0</v>
      </c>
      <c r="E247" t="s">
        <v>1074</v>
      </c>
      <c r="G247" t="str" cm="1">
        <f t="array" aca="1" ref="G247" ca="1">eConcatenar(A247:E247,"|")</f>
        <v>u30N8Lb31uihwoSO|3300|2021-7-21|0|final</v>
      </c>
    </row>
    <row r="248" spans="1:7" x14ac:dyDescent="0.25">
      <c r="A248" s="6" t="s">
        <v>6636</v>
      </c>
      <c r="B248" s="4">
        <v>5100</v>
      </c>
      <c r="C248" s="4" t="s">
        <v>1136</v>
      </c>
      <c r="D248" s="13">
        <v>0</v>
      </c>
      <c r="E248" t="s">
        <v>1074</v>
      </c>
      <c r="G248" t="str" cm="1">
        <f t="array" aca="1" ref="G248" ca="1">eConcatenar(A248:E248,"|")</f>
        <v>THINJPPRzEr6iauS|5100|2021-9-16|0|final</v>
      </c>
    </row>
    <row r="249" spans="1:7" x14ac:dyDescent="0.25">
      <c r="A249" s="6" t="s">
        <v>6642</v>
      </c>
      <c r="B249" s="4">
        <v>7410</v>
      </c>
      <c r="C249" s="4" t="s">
        <v>6646</v>
      </c>
      <c r="D249" s="13">
        <v>0</v>
      </c>
      <c r="E249" t="s">
        <v>1074</v>
      </c>
      <c r="G249" t="str" cm="1">
        <f t="array" aca="1" ref="G249" ca="1">eConcatenar(A249:E249,"|")</f>
        <v>04OCEwoD1wSqISjU|7410|2020-9-16|0|final</v>
      </c>
    </row>
    <row r="250" spans="1:7" x14ac:dyDescent="0.25">
      <c r="A250" s="6" t="s">
        <v>6647</v>
      </c>
      <c r="B250" s="4">
        <v>6600</v>
      </c>
      <c r="C250" s="4" t="s">
        <v>1136</v>
      </c>
      <c r="D250" s="13">
        <v>0</v>
      </c>
      <c r="E250" t="s">
        <v>1074</v>
      </c>
      <c r="G250" t="str" cm="1">
        <f t="array" aca="1" ref="G250" ca="1">eConcatenar(A250:E250,"|")</f>
        <v>qtemVKlueCoYAWEV|6600|2021-9-16|0|final</v>
      </c>
    </row>
    <row r="251" spans="1:7" x14ac:dyDescent="0.25">
      <c r="A251" s="6" t="s">
        <v>6653</v>
      </c>
      <c r="B251" s="4">
        <v>3000</v>
      </c>
      <c r="C251" s="4" t="s">
        <v>1136</v>
      </c>
      <c r="D251" s="13">
        <v>0</v>
      </c>
      <c r="E251" t="s">
        <v>1074</v>
      </c>
      <c r="G251" t="str" cm="1">
        <f t="array" aca="1" ref="G251" ca="1">eConcatenar(A251:E251,"|")</f>
        <v>kDURpMXJzOAv6peU|3000|2021-9-16|0|final</v>
      </c>
    </row>
    <row r="252" spans="1:7" x14ac:dyDescent="0.25">
      <c r="A252" s="6" t="s">
        <v>6660</v>
      </c>
      <c r="B252" s="4">
        <v>11050</v>
      </c>
      <c r="C252" s="4" t="s">
        <v>1136</v>
      </c>
      <c r="D252" s="13">
        <v>0</v>
      </c>
      <c r="E252" t="s">
        <v>1074</v>
      </c>
      <c r="G252" t="str" cm="1">
        <f t="array" aca="1" ref="G252" ca="1">eConcatenar(A252:E252,"|")</f>
        <v>8dga6KgxivrHqQYX|11050|2021-9-16|0|final</v>
      </c>
    </row>
    <row r="253" spans="1:7" x14ac:dyDescent="0.25">
      <c r="A253" s="6" t="s">
        <v>6665</v>
      </c>
      <c r="B253" s="4">
        <v>700</v>
      </c>
      <c r="C253" s="4" t="s">
        <v>1136</v>
      </c>
      <c r="D253" s="13">
        <v>0</v>
      </c>
      <c r="E253" t="s">
        <v>1074</v>
      </c>
      <c r="G253" t="str" cm="1">
        <f t="array" aca="1" ref="G253" ca="1">eConcatenar(A253:E253,"|")</f>
        <v>Jph8e9sjJpWp8wlT|700|2021-9-16|0|final</v>
      </c>
    </row>
    <row r="254" spans="1:7" x14ac:dyDescent="0.25">
      <c r="A254" s="6" t="s">
        <v>6673</v>
      </c>
      <c r="B254" s="4">
        <v>4200</v>
      </c>
      <c r="C254" s="4" t="s">
        <v>1136</v>
      </c>
      <c r="D254" s="13">
        <v>0</v>
      </c>
      <c r="E254" t="s">
        <v>1074</v>
      </c>
      <c r="G254" t="str" cm="1">
        <f t="array" aca="1" ref="G254" ca="1">eConcatenar(A254:E254,"|")</f>
        <v>KjCnmm8ZSdrtfTAb|4200|2021-9-16|0|final</v>
      </c>
    </row>
    <row r="255" spans="1:7" x14ac:dyDescent="0.25">
      <c r="A255" s="6" t="s">
        <v>6682</v>
      </c>
      <c r="B255" s="4">
        <v>1200</v>
      </c>
      <c r="C255" s="4" t="s">
        <v>1135</v>
      </c>
      <c r="D255" s="13">
        <v>0</v>
      </c>
      <c r="E255" t="s">
        <v>1074</v>
      </c>
      <c r="G255" t="str" cm="1">
        <f t="array" aca="1" ref="G255" ca="1">eConcatenar(A255:E255,"|")</f>
        <v>48hTmQBRVAncbjV3|1200|2021-9-15|0|final</v>
      </c>
    </row>
    <row r="256" spans="1:7" x14ac:dyDescent="0.25">
      <c r="A256" s="6" t="s">
        <v>6689</v>
      </c>
      <c r="B256" s="4">
        <v>6000</v>
      </c>
      <c r="C256" s="4" t="s">
        <v>1135</v>
      </c>
      <c r="D256" s="13">
        <v>0</v>
      </c>
      <c r="E256" t="s">
        <v>1074</v>
      </c>
      <c r="G256" t="str" cm="1">
        <f t="array" aca="1" ref="G256" ca="1">eConcatenar(A256:E256,"|")</f>
        <v>6hyxKZ5it2JLpEBZ|6000|2021-9-15|0|final</v>
      </c>
    </row>
    <row r="257" spans="1:7" x14ac:dyDescent="0.25">
      <c r="A257" s="6" t="s">
        <v>6696</v>
      </c>
      <c r="B257" s="4">
        <v>9300</v>
      </c>
      <c r="C257" s="4" t="s">
        <v>1135</v>
      </c>
      <c r="D257" s="13">
        <v>0</v>
      </c>
      <c r="E257" t="s">
        <v>1074</v>
      </c>
      <c r="G257" t="str" cm="1">
        <f t="array" aca="1" ref="G257" ca="1">eConcatenar(A257:E257,"|")</f>
        <v>FYk34D9wx3Aa2Mnv|9300|2021-9-15|0|final</v>
      </c>
    </row>
    <row r="258" spans="1:7" x14ac:dyDescent="0.25">
      <c r="A258" s="6" t="s">
        <v>6700</v>
      </c>
      <c r="B258" s="4">
        <v>10750</v>
      </c>
      <c r="C258" s="4" t="s">
        <v>5553</v>
      </c>
      <c r="D258" s="13">
        <v>0</v>
      </c>
      <c r="E258" t="s">
        <v>1074</v>
      </c>
      <c r="G258" t="str" cm="1">
        <f t="array" aca="1" ref="G258" ca="1">eConcatenar(A258:E258,"|")</f>
        <v>SRiIMR2UUoBDHzWu|10750|2021-9-07|0|final</v>
      </c>
    </row>
    <row r="259" spans="1:7" x14ac:dyDescent="0.25">
      <c r="A259" s="6" t="s">
        <v>6706</v>
      </c>
      <c r="B259" s="4">
        <v>10450</v>
      </c>
      <c r="C259" s="4" t="s">
        <v>5553</v>
      </c>
      <c r="D259" s="13">
        <v>0</v>
      </c>
      <c r="E259" t="s">
        <v>1074</v>
      </c>
      <c r="G259" t="str" cm="1">
        <f t="array" aca="1" ref="G259" ca="1">eConcatenar(A259:E259,"|")</f>
        <v>niIf0rcPKgCNxupF|10450|2021-9-07|0|final</v>
      </c>
    </row>
    <row r="260" spans="1:7" x14ac:dyDescent="0.25">
      <c r="A260" s="6" t="s">
        <v>6711</v>
      </c>
      <c r="B260" s="4">
        <v>6150</v>
      </c>
      <c r="C260" s="4" t="s">
        <v>6716</v>
      </c>
      <c r="D260" s="13">
        <v>0</v>
      </c>
      <c r="E260" t="s">
        <v>1074</v>
      </c>
      <c r="G260" t="str" cm="1">
        <f t="array" aca="1" ref="G260" ca="1">eConcatenar(A260:E260,"|")</f>
        <v>uzl1IbK512DMYJ3i|6150|2121-9-15|0|final</v>
      </c>
    </row>
    <row r="261" spans="1:7" x14ac:dyDescent="0.25">
      <c r="A261" s="6" t="s">
        <v>6717</v>
      </c>
      <c r="B261" s="4">
        <v>1050</v>
      </c>
      <c r="C261" s="4" t="s">
        <v>1136</v>
      </c>
      <c r="D261" s="13">
        <v>0</v>
      </c>
      <c r="E261" t="s">
        <v>1074</v>
      </c>
      <c r="G261" t="str" cm="1">
        <f t="array" aca="1" ref="G261" ca="1">eConcatenar(A261:E261,"|")</f>
        <v>aAjGzvnITQME9klA|1050|2021-9-16|0|final</v>
      </c>
    </row>
    <row r="262" spans="1:7" x14ac:dyDescent="0.25">
      <c r="A262" s="6" t="s">
        <v>6722</v>
      </c>
      <c r="B262" s="4">
        <v>11000</v>
      </c>
      <c r="C262" s="4" t="s">
        <v>1135</v>
      </c>
      <c r="D262" s="13">
        <v>0</v>
      </c>
      <c r="E262" t="s">
        <v>1074</v>
      </c>
      <c r="G262" t="str" cm="1">
        <f t="array" aca="1" ref="G262" ca="1">eConcatenar(A262:E262,"|")</f>
        <v>AUUagTXCDQ41g4qx|11000|2021-9-15|0|final</v>
      </c>
    </row>
    <row r="263" spans="1:7" x14ac:dyDescent="0.25">
      <c r="A263" s="6" t="s">
        <v>6727</v>
      </c>
      <c r="B263" s="4">
        <v>1230</v>
      </c>
      <c r="C263" s="4" t="s">
        <v>1136</v>
      </c>
      <c r="D263" s="13">
        <v>0</v>
      </c>
      <c r="E263" t="s">
        <v>1074</v>
      </c>
      <c r="G263" t="str" cm="1">
        <f t="array" aca="1" ref="G263" ca="1">eConcatenar(A263:E263,"|")</f>
        <v>aoms2sg6ldeNzurR|1230|2021-9-16|0|final</v>
      </c>
    </row>
    <row r="264" spans="1:7" x14ac:dyDescent="0.25">
      <c r="A264" s="6" t="s">
        <v>6734</v>
      </c>
      <c r="B264" s="4">
        <v>12900</v>
      </c>
      <c r="C264" s="4" t="s">
        <v>1136</v>
      </c>
      <c r="D264" s="13">
        <v>0</v>
      </c>
      <c r="E264" t="s">
        <v>1074</v>
      </c>
      <c r="G264" t="str" cm="1">
        <f t="array" aca="1" ref="G264" ca="1">eConcatenar(A264:E264,"|")</f>
        <v>P1cWBClbGn2s9OLP|12900|2021-9-16|0|final</v>
      </c>
    </row>
    <row r="265" spans="1:7" x14ac:dyDescent="0.25">
      <c r="A265" s="6" t="s">
        <v>6739</v>
      </c>
      <c r="B265" s="4">
        <v>10600</v>
      </c>
      <c r="C265" s="4" t="s">
        <v>1135</v>
      </c>
      <c r="D265" s="13">
        <v>0</v>
      </c>
      <c r="E265" t="s">
        <v>1074</v>
      </c>
      <c r="G265" t="str" cm="1">
        <f t="array" aca="1" ref="G265" ca="1">eConcatenar(A265:E265,"|")</f>
        <v>rLY7dkf9uzJWSrxY|10600|2021-9-15|0|final</v>
      </c>
    </row>
    <row r="266" spans="1:7" x14ac:dyDescent="0.25">
      <c r="A266" s="6" t="s">
        <v>6746</v>
      </c>
      <c r="B266" s="4">
        <v>5300</v>
      </c>
      <c r="C266" s="4" t="s">
        <v>4793</v>
      </c>
      <c r="D266" s="13">
        <v>0</v>
      </c>
      <c r="E266" t="s">
        <v>1074</v>
      </c>
      <c r="G266" t="str" cm="1">
        <f t="array" aca="1" ref="G266" ca="1">eConcatenar(A266:E266,"|")</f>
        <v>PXXUGHx42SZPmb8A|5300|2021-9-23|0|final</v>
      </c>
    </row>
    <row r="267" spans="1:7" x14ac:dyDescent="0.25">
      <c r="A267" s="6" t="s">
        <v>6752</v>
      </c>
      <c r="B267" s="4">
        <v>7700</v>
      </c>
      <c r="C267" s="4" t="s">
        <v>1136</v>
      </c>
      <c r="D267" s="13">
        <v>0</v>
      </c>
      <c r="E267" t="s">
        <v>1074</v>
      </c>
      <c r="G267" t="str" cm="1">
        <f t="array" aca="1" ref="G267" ca="1">eConcatenar(A267:E267,"|")</f>
        <v>o8ksiYNeT8f9zgiO|7700|2021-9-16|0|final</v>
      </c>
    </row>
    <row r="268" spans="1:7" x14ac:dyDescent="0.25">
      <c r="A268" s="6" t="s">
        <v>6757</v>
      </c>
      <c r="B268" s="4">
        <v>6000</v>
      </c>
      <c r="C268" s="4" t="s">
        <v>6111</v>
      </c>
      <c r="D268" s="13">
        <v>0</v>
      </c>
      <c r="E268" t="s">
        <v>1074</v>
      </c>
      <c r="G268" t="str" cm="1">
        <f t="array" aca="1" ref="G268" ca="1">eConcatenar(A268:E268,"|")</f>
        <v>dTpZa3NFfTN1U2KR|6000|2021-9-08|0|final</v>
      </c>
    </row>
    <row r="269" spans="1:7" x14ac:dyDescent="0.25">
      <c r="A269" s="6" t="s">
        <v>4780</v>
      </c>
      <c r="B269" s="4">
        <v>5750</v>
      </c>
      <c r="C269" s="4" t="s">
        <v>1124</v>
      </c>
      <c r="D269" s="13">
        <v>0</v>
      </c>
      <c r="E269" t="s">
        <v>1074</v>
      </c>
      <c r="G269" t="str" cm="1">
        <f t="array" aca="1" ref="G269" ca="1">eConcatenar(A269:E269,"|")</f>
        <v>C09UVwciDqyrK8GM|5750|2021-9-1|0|final</v>
      </c>
    </row>
    <row r="270" spans="1:7" x14ac:dyDescent="0.25">
      <c r="A270" s="6" t="s">
        <v>4781</v>
      </c>
      <c r="B270" s="4">
        <v>5350</v>
      </c>
      <c r="C270" s="4" t="s">
        <v>1128</v>
      </c>
      <c r="D270" s="13">
        <v>0</v>
      </c>
      <c r="E270" t="s">
        <v>1074</v>
      </c>
      <c r="G270" t="str" cm="1">
        <f t="array" aca="1" ref="G270" ca="1">eConcatenar(A270:E270,"|")</f>
        <v>yRwO1z6uCNlY7qgF|5350|2021-8-5|0|final</v>
      </c>
    </row>
    <row r="271" spans="1:7" x14ac:dyDescent="0.25">
      <c r="A271" s="6" t="s">
        <v>4782</v>
      </c>
      <c r="B271" s="4">
        <v>5800</v>
      </c>
      <c r="C271" s="4" t="s">
        <v>1103</v>
      </c>
      <c r="D271" s="13">
        <v>0</v>
      </c>
      <c r="E271" t="s">
        <v>1074</v>
      </c>
      <c r="G271" t="str" cm="1">
        <f t="array" aca="1" ref="G271" ca="1">eConcatenar(A271:E271,"|")</f>
        <v>obnJ4aFDH8EbKRJN|5800|2021-8-18|0|final</v>
      </c>
    </row>
    <row r="272" spans="1:7" x14ac:dyDescent="0.25">
      <c r="A272" s="6" t="s">
        <v>4783</v>
      </c>
      <c r="B272" s="4">
        <v>8500</v>
      </c>
      <c r="C272" s="4" t="s">
        <v>1126</v>
      </c>
      <c r="D272" s="13">
        <v>0</v>
      </c>
      <c r="E272" t="s">
        <v>1074</v>
      </c>
      <c r="G272" t="str" cm="1">
        <f t="array" aca="1" ref="G272" ca="1">eConcatenar(A272:E272,"|")</f>
        <v>NB3VYimEpn8nxned|8500|2021-9-2|0|final</v>
      </c>
    </row>
    <row r="273" spans="1:7" x14ac:dyDescent="0.25">
      <c r="A273" s="6" t="s">
        <v>4784</v>
      </c>
      <c r="B273" s="4">
        <v>12500</v>
      </c>
      <c r="C273" s="4" t="s">
        <v>1124</v>
      </c>
      <c r="D273" s="13">
        <v>0</v>
      </c>
      <c r="E273" t="s">
        <v>1074</v>
      </c>
      <c r="G273" t="str" cm="1">
        <f t="array" aca="1" ref="G273" ca="1">eConcatenar(A273:E273,"|")</f>
        <v>vMPgWq8jm2cBZUKv|12500|2021-9-1|0|final</v>
      </c>
    </row>
    <row r="274" spans="1:7" x14ac:dyDescent="0.25">
      <c r="A274" s="6" t="s">
        <v>4785</v>
      </c>
      <c r="B274" s="4">
        <v>5400</v>
      </c>
      <c r="C274" s="4" t="s">
        <v>1126</v>
      </c>
      <c r="D274" s="13">
        <v>0</v>
      </c>
      <c r="E274" t="s">
        <v>1074</v>
      </c>
      <c r="G274" t="str" cm="1">
        <f t="array" aca="1" ref="G274" ca="1">eConcatenar(A274:E274,"|")</f>
        <v>IvnrlL9sz1PCHxEV|5400|2021-9-2|0|final</v>
      </c>
    </row>
    <row r="275" spans="1:7" x14ac:dyDescent="0.25">
      <c r="A275" s="6" t="s">
        <v>4786</v>
      </c>
      <c r="B275" s="4">
        <v>9200</v>
      </c>
      <c r="C275" s="4" t="s">
        <v>1103</v>
      </c>
      <c r="D275" s="13">
        <v>0</v>
      </c>
      <c r="E275" t="s">
        <v>1074</v>
      </c>
      <c r="G275" t="str" cm="1">
        <f t="array" aca="1" ref="G275" ca="1">eConcatenar(A275:E275,"|")</f>
        <v>RUm5mfv6il9j2Amv|9200|2021-8-18|0|final</v>
      </c>
    </row>
    <row r="276" spans="1:7" x14ac:dyDescent="0.25">
      <c r="A276" s="6" t="s">
        <v>4787</v>
      </c>
      <c r="B276" s="4">
        <v>9450</v>
      </c>
      <c r="C276" s="4" t="s">
        <v>1124</v>
      </c>
      <c r="D276" s="13">
        <v>0</v>
      </c>
      <c r="E276" t="s">
        <v>1074</v>
      </c>
      <c r="G276" t="str" cm="1">
        <f t="array" aca="1" ref="G276" ca="1">eConcatenar(A276:E276,"|")</f>
        <v>kNI6UBPtZwU0LMNo|9450|2021-9-1|0|final</v>
      </c>
    </row>
    <row r="277" spans="1:7" x14ac:dyDescent="0.25">
      <c r="A277" s="6" t="s">
        <v>4789</v>
      </c>
      <c r="B277" s="4">
        <v>4400</v>
      </c>
      <c r="C277" s="4" t="s">
        <v>1126</v>
      </c>
      <c r="D277" s="13">
        <v>0</v>
      </c>
      <c r="E277" t="s">
        <v>1074</v>
      </c>
      <c r="G277" t="str" cm="1">
        <f t="array" aca="1" ref="G277" ca="1">eConcatenar(A277:E277,"|")</f>
        <v>xpjZXN6ZWteTRThg|4400|2021-9-2|0|final</v>
      </c>
    </row>
    <row r="278" spans="1:7" x14ac:dyDescent="0.25">
      <c r="A278" s="6" t="s">
        <v>4790</v>
      </c>
      <c r="B278" s="4">
        <v>1900</v>
      </c>
      <c r="C278" s="4" t="s">
        <v>4792</v>
      </c>
      <c r="D278" s="13">
        <v>0</v>
      </c>
      <c r="E278" t="s">
        <v>1074</v>
      </c>
      <c r="G278" t="str" cm="1">
        <f t="array" aca="1" ref="G278" ca="1">eConcatenar(A278:E278,"|")</f>
        <v>Sr3fBh7e5ixg3NCl|1900|2021-9-9|0|final</v>
      </c>
    </row>
    <row r="279" spans="1:7" x14ac:dyDescent="0.25">
      <c r="A279" s="6" t="s">
        <v>4794</v>
      </c>
      <c r="B279" s="20">
        <v>3400</v>
      </c>
      <c r="C279" s="4" t="s">
        <v>4792</v>
      </c>
      <c r="D279" s="13">
        <v>0</v>
      </c>
      <c r="E279" t="s">
        <v>1074</v>
      </c>
      <c r="G279" t="str" cm="1">
        <f t="array" aca="1" ref="G279" ca="1">eConcatenar(A279:E279,"|")</f>
        <v>cLwXaqlMWPSf2wxe|3400|2021-9-9|0|final</v>
      </c>
    </row>
    <row r="280" spans="1:7" x14ac:dyDescent="0.25">
      <c r="A280" s="6" t="s">
        <v>4795</v>
      </c>
      <c r="B280" s="4">
        <v>1200</v>
      </c>
      <c r="C280" s="4" t="s">
        <v>4792</v>
      </c>
      <c r="D280" s="13">
        <v>0</v>
      </c>
      <c r="E280" t="s">
        <v>1074</v>
      </c>
      <c r="G280" t="str" cm="1">
        <f t="array" aca="1" ref="G280" ca="1">eConcatenar(A280:E280,"|")</f>
        <v>znTKRWL2fuEdNzxr|1200|2021-9-9|0|final</v>
      </c>
    </row>
    <row r="281" spans="1:7" x14ac:dyDescent="0.25">
      <c r="A281" s="6" t="s">
        <v>4796</v>
      </c>
      <c r="B281" s="4">
        <v>6300</v>
      </c>
      <c r="C281" s="4" t="s">
        <v>4798</v>
      </c>
      <c r="D281" s="13">
        <v>0</v>
      </c>
      <c r="E281" t="s">
        <v>1074</v>
      </c>
      <c r="G281" t="str" cm="1">
        <f t="array" aca="1" ref="G281" ca="1">eConcatenar(A281:E281,"|")</f>
        <v>0CDlxGAUGQpMLOuK|6300|2021-7-22|0|final</v>
      </c>
    </row>
    <row r="282" spans="1:7" x14ac:dyDescent="0.25">
      <c r="A282" s="6" t="s">
        <v>4799</v>
      </c>
      <c r="B282" s="4">
        <v>6600</v>
      </c>
      <c r="C282" s="4" t="s">
        <v>4800</v>
      </c>
      <c r="D282" s="13">
        <v>0</v>
      </c>
      <c r="E282" t="s">
        <v>1074</v>
      </c>
      <c r="G282" t="str" cm="1">
        <f t="array" aca="1" ref="G282" ca="1">eConcatenar(A282:E282,"|")</f>
        <v>I4gTD5gL1dRfMWKA|6600|2021-8-26|0|final</v>
      </c>
    </row>
    <row r="283" spans="1:7" x14ac:dyDescent="0.25">
      <c r="A283" s="6" t="s">
        <v>4801</v>
      </c>
      <c r="B283" s="4">
        <v>3400</v>
      </c>
      <c r="C283" s="4" t="s">
        <v>4792</v>
      </c>
      <c r="D283" s="13">
        <v>0</v>
      </c>
      <c r="E283" t="s">
        <v>1074</v>
      </c>
      <c r="G283" t="str" cm="1">
        <f t="array" aca="1" ref="G283" ca="1">eConcatenar(A283:E283,"|")</f>
        <v>4jwIQImkCuzZo0HR|3400|2021-9-9|0|final</v>
      </c>
    </row>
    <row r="284" spans="1:7" x14ac:dyDescent="0.25">
      <c r="A284" s="6" t="s">
        <v>4802</v>
      </c>
      <c r="B284" s="4">
        <v>9550</v>
      </c>
      <c r="C284" s="4" t="s">
        <v>1128</v>
      </c>
      <c r="D284" s="13">
        <v>0</v>
      </c>
      <c r="E284" t="s">
        <v>1074</v>
      </c>
      <c r="G284" t="str" cm="1">
        <f t="array" aca="1" ref="G284" ca="1">eConcatenar(A284:E284,"|")</f>
        <v>zgRkrYfMtvCmbcMp|9550|2021-8-5|0|final</v>
      </c>
    </row>
    <row r="285" spans="1:7" x14ac:dyDescent="0.25">
      <c r="A285" s="6" t="s">
        <v>4803</v>
      </c>
      <c r="B285" s="4">
        <v>8200</v>
      </c>
      <c r="C285" s="4" t="s">
        <v>1124</v>
      </c>
      <c r="D285" s="13">
        <v>0</v>
      </c>
      <c r="E285" t="s">
        <v>1074</v>
      </c>
      <c r="G285" t="str" cm="1">
        <f t="array" aca="1" ref="G285" ca="1">eConcatenar(A285:E285,"|")</f>
        <v>KbChGZDNcQsuGcE9|8200|2021-9-1|0|final</v>
      </c>
    </row>
    <row r="286" spans="1:7" x14ac:dyDescent="0.25">
      <c r="A286" s="6" t="s">
        <v>4804</v>
      </c>
      <c r="B286" s="4">
        <v>7500</v>
      </c>
      <c r="C286" s="4" t="s">
        <v>1128</v>
      </c>
      <c r="D286" s="13">
        <v>0</v>
      </c>
      <c r="E286" t="s">
        <v>1074</v>
      </c>
      <c r="G286" t="str" cm="1">
        <f t="array" aca="1" ref="G286" ca="1">eConcatenar(A286:E286,"|")</f>
        <v>siGzrAQVGe4IaZxI|7500|2021-8-5|0|final</v>
      </c>
    </row>
    <row r="287" spans="1:7" x14ac:dyDescent="0.25">
      <c r="A287" s="6" t="s">
        <v>4805</v>
      </c>
      <c r="B287" s="4">
        <v>6500</v>
      </c>
      <c r="C287" s="4" t="s">
        <v>1126</v>
      </c>
      <c r="D287" s="13">
        <v>0</v>
      </c>
      <c r="E287" t="s">
        <v>1074</v>
      </c>
      <c r="G287" t="str" cm="1">
        <f t="array" aca="1" ref="G287" ca="1">eConcatenar(A287:E287,"|")</f>
        <v>d0Tp6XvH11MjR8Du|6500|2021-9-2|0|final</v>
      </c>
    </row>
    <row r="288" spans="1:7" x14ac:dyDescent="0.25">
      <c r="A288" s="6" t="s">
        <v>4806</v>
      </c>
      <c r="B288" s="4">
        <v>1450</v>
      </c>
      <c r="C288" s="4" t="s">
        <v>4732</v>
      </c>
      <c r="D288" s="13">
        <v>0</v>
      </c>
      <c r="E288" t="s">
        <v>1074</v>
      </c>
      <c r="G288" t="str" cm="1">
        <f t="array" aca="1" ref="G288" ca="1">eConcatenar(A288:E288,"|")</f>
        <v>yFx4KQWvrgVxnYuo|1450|2021-7-1|0|final</v>
      </c>
    </row>
    <row r="289" spans="1:7" x14ac:dyDescent="0.25">
      <c r="A289" s="6" t="s">
        <v>4807</v>
      </c>
      <c r="B289" s="4">
        <v>800</v>
      </c>
      <c r="C289" s="4" t="s">
        <v>1124</v>
      </c>
      <c r="D289" s="13">
        <v>0</v>
      </c>
      <c r="E289" t="s">
        <v>1074</v>
      </c>
      <c r="G289" t="str" cm="1">
        <f t="array" aca="1" ref="G289" ca="1">eConcatenar(A289:E289,"|")</f>
        <v>stcfLKybYgXA61dL|800|2021-9-1|0|final</v>
      </c>
    </row>
    <row r="290" spans="1:7" x14ac:dyDescent="0.25">
      <c r="A290" s="6" t="s">
        <v>4808</v>
      </c>
      <c r="B290" s="4">
        <v>600</v>
      </c>
      <c r="C290" s="4" t="s">
        <v>4777</v>
      </c>
      <c r="D290" s="13">
        <v>0</v>
      </c>
      <c r="E290" t="s">
        <v>1074</v>
      </c>
      <c r="G290" t="str" cm="1">
        <f t="array" aca="1" ref="G290" ca="1">eConcatenar(A290:E290,"|")</f>
        <v>I8E8dOEXiAcwKLuk|600|2021-8-4|0|final</v>
      </c>
    </row>
    <row r="291" spans="1:7" x14ac:dyDescent="0.25">
      <c r="A291" s="6" t="s">
        <v>4809</v>
      </c>
      <c r="B291" s="4">
        <v>4260</v>
      </c>
      <c r="C291" s="4" t="s">
        <v>1128</v>
      </c>
      <c r="D291" s="13">
        <v>0</v>
      </c>
      <c r="E291" t="s">
        <v>1074</v>
      </c>
      <c r="G291" t="str" cm="1">
        <f t="array" aca="1" ref="G291" ca="1">eConcatenar(A291:E291,"|")</f>
        <v>vvmRxlCRHkBZRDhv|4260|2021-8-5|0|final</v>
      </c>
    </row>
    <row r="292" spans="1:7" x14ac:dyDescent="0.25">
      <c r="A292" s="6" t="s">
        <v>4810</v>
      </c>
      <c r="B292" s="4">
        <v>600</v>
      </c>
      <c r="C292" s="4" t="s">
        <v>1103</v>
      </c>
      <c r="D292" s="13">
        <v>0</v>
      </c>
      <c r="E292" t="s">
        <v>1074</v>
      </c>
      <c r="G292" t="str" cm="1">
        <f t="array" aca="1" ref="G292" ca="1">eConcatenar(A292:E292,"|")</f>
        <v>09ljezEPO0k4fRFs|600|2021-8-18|0|final</v>
      </c>
    </row>
    <row r="293" spans="1:7" x14ac:dyDescent="0.25">
      <c r="A293" s="6" t="s">
        <v>4811</v>
      </c>
      <c r="B293" s="4">
        <v>600</v>
      </c>
      <c r="C293" s="4" t="s">
        <v>4712</v>
      </c>
      <c r="D293" s="13">
        <v>0</v>
      </c>
      <c r="E293" t="s">
        <v>1074</v>
      </c>
      <c r="G293" t="str" cm="1">
        <f t="array" aca="1" ref="G293" ca="1">eConcatenar(A293:E293,"|")</f>
        <v>kNfbEYY9HyqzSk12|600|2021-8-25|0|final</v>
      </c>
    </row>
    <row r="294" spans="1:7" x14ac:dyDescent="0.25">
      <c r="A294" s="6" t="s">
        <v>4812</v>
      </c>
      <c r="B294" s="4">
        <v>600</v>
      </c>
      <c r="C294" s="4" t="s">
        <v>1124</v>
      </c>
      <c r="D294" s="13">
        <v>0</v>
      </c>
      <c r="E294" t="s">
        <v>1074</v>
      </c>
      <c r="G294" t="str" cm="1">
        <f t="array" aca="1" ref="G294" ca="1">eConcatenar(A294:E294,"|")</f>
        <v>xQ0XolYNs5RWUZSb|600|2021-9-1|0|final</v>
      </c>
    </row>
    <row r="295" spans="1:7" x14ac:dyDescent="0.25">
      <c r="A295" s="6" t="s">
        <v>4813</v>
      </c>
      <c r="B295" s="4">
        <v>200</v>
      </c>
      <c r="C295" s="4" t="s">
        <v>4814</v>
      </c>
      <c r="D295" s="13">
        <v>0</v>
      </c>
      <c r="E295" t="s">
        <v>1074</v>
      </c>
      <c r="G295" t="str" cm="1">
        <f t="array" aca="1" ref="G295" ca="1">eConcatenar(A295:E295,"|")</f>
        <v>u5Er05vFssCfvnpU|200|2021-8-29|0|final</v>
      </c>
    </row>
    <row r="296" spans="1:7" x14ac:dyDescent="0.25">
      <c r="A296" s="6" t="s">
        <v>4815</v>
      </c>
      <c r="B296" s="4">
        <v>50</v>
      </c>
      <c r="C296" s="4" t="s">
        <v>4711</v>
      </c>
      <c r="D296" s="13">
        <v>0</v>
      </c>
      <c r="E296" t="s">
        <v>1074</v>
      </c>
      <c r="G296" t="str" cm="1">
        <f t="array" aca="1" ref="G296" ca="1">eConcatenar(A296:E296,"|")</f>
        <v>42iLjT02Xn9x5SQd|50|2021-8-10|0|final</v>
      </c>
    </row>
    <row r="297" spans="1:7" x14ac:dyDescent="0.25">
      <c r="A297" s="6" t="s">
        <v>4817</v>
      </c>
      <c r="B297" s="4">
        <v>150</v>
      </c>
      <c r="C297" s="4" t="s">
        <v>1124</v>
      </c>
      <c r="D297" s="13">
        <v>0</v>
      </c>
      <c r="E297" t="s">
        <v>1074</v>
      </c>
      <c r="G297" t="str" cm="1">
        <f t="array" aca="1" ref="G297" ca="1">eConcatenar(A297:E297,"|")</f>
        <v>2H9LBf01Ap9I8qyw|150|2021-9-1|0|final</v>
      </c>
    </row>
    <row r="298" spans="1:7" x14ac:dyDescent="0.25">
      <c r="A298" s="6" t="s">
        <v>4818</v>
      </c>
      <c r="B298" s="4">
        <v>21300</v>
      </c>
      <c r="C298" s="4" t="s">
        <v>4820</v>
      </c>
      <c r="D298" s="13">
        <v>0</v>
      </c>
      <c r="E298" t="s">
        <v>1074</v>
      </c>
      <c r="G298" t="str" cm="1">
        <f t="array" aca="1" ref="G298" ca="1">eConcatenar(A298:E298,"|")</f>
        <v>QVNZfDSnDDYtfsYS|21300|2021-7-9|0|final</v>
      </c>
    </row>
    <row r="299" spans="1:7" x14ac:dyDescent="0.25">
      <c r="A299" s="6" t="s">
        <v>4821</v>
      </c>
      <c r="B299" s="4">
        <v>1700</v>
      </c>
      <c r="C299" s="4" t="s">
        <v>4792</v>
      </c>
      <c r="D299" s="13">
        <v>0</v>
      </c>
      <c r="E299" t="s">
        <v>1074</v>
      </c>
      <c r="G299" t="str" cm="1">
        <f t="array" aca="1" ref="G299" ca="1">eConcatenar(A299:E299,"|")</f>
        <v>sdaSKRH7OTgQnavX|1700|2021-9-9|0|final</v>
      </c>
    </row>
    <row r="300" spans="1:7" x14ac:dyDescent="0.25">
      <c r="A300" s="6" t="s">
        <v>4822</v>
      </c>
      <c r="B300" s="4">
        <v>300</v>
      </c>
      <c r="C300" s="4" t="s">
        <v>4792</v>
      </c>
      <c r="D300" s="13">
        <v>0</v>
      </c>
      <c r="E300" t="s">
        <v>1074</v>
      </c>
      <c r="G300" t="str" cm="1">
        <f t="array" aca="1" ref="G300" ca="1">eConcatenar(A300:E300,"|")</f>
        <v>KX9kmwk5YshAgQjM|300|2021-9-9|0|final</v>
      </c>
    </row>
    <row r="301" spans="1:7" x14ac:dyDescent="0.25">
      <c r="A301" s="6" t="s">
        <v>4823</v>
      </c>
      <c r="B301" s="4">
        <v>1500</v>
      </c>
      <c r="C301" s="4" t="s">
        <v>4792</v>
      </c>
      <c r="D301" s="13">
        <v>0</v>
      </c>
      <c r="E301" t="s">
        <v>1074</v>
      </c>
      <c r="G301" t="str" cm="1">
        <f t="array" aca="1" ref="G301" ca="1">eConcatenar(A301:E301,"|")</f>
        <v>sB3s8Dg84VAng2Rl|1500|2021-9-9|0|final</v>
      </c>
    </row>
    <row r="302" spans="1:7" x14ac:dyDescent="0.25">
      <c r="A302" s="6" t="s">
        <v>4824</v>
      </c>
      <c r="B302" s="4">
        <v>4800</v>
      </c>
      <c r="C302" s="4" t="s">
        <v>4792</v>
      </c>
      <c r="D302" s="13">
        <v>0</v>
      </c>
      <c r="E302" t="s">
        <v>1074</v>
      </c>
      <c r="G302" t="str" cm="1">
        <f t="array" aca="1" ref="G302" ca="1">eConcatenar(A302:E302,"|")</f>
        <v>Da7yC4Oi2qIFKPii|4800|2021-9-9|0|final</v>
      </c>
    </row>
    <row r="303" spans="1:7" x14ac:dyDescent="0.25">
      <c r="A303" s="6" t="s">
        <v>4825</v>
      </c>
      <c r="B303" s="4">
        <v>4300</v>
      </c>
      <c r="C303" s="4" t="s">
        <v>4792</v>
      </c>
      <c r="D303" s="13">
        <v>0</v>
      </c>
      <c r="E303" t="s">
        <v>1074</v>
      </c>
      <c r="G303" t="str" cm="1">
        <f t="array" aca="1" ref="G303" ca="1">eConcatenar(A303:E303,"|")</f>
        <v>WlBuwBEoxVKGJhs9|4300|2021-9-9|0|final</v>
      </c>
    </row>
    <row r="304" spans="1:7" x14ac:dyDescent="0.25">
      <c r="A304" s="6" t="s">
        <v>4826</v>
      </c>
      <c r="B304" s="4">
        <v>1500</v>
      </c>
      <c r="C304" s="4" t="s">
        <v>4792</v>
      </c>
      <c r="D304" s="13">
        <v>0</v>
      </c>
      <c r="E304" t="s">
        <v>1074</v>
      </c>
      <c r="G304" t="str" cm="1">
        <f t="array" aca="1" ref="G304" ca="1">eConcatenar(A304:E304,"|")</f>
        <v>v5cYBpJ6kxvMVM7t|1500|2021-9-9|0|final</v>
      </c>
    </row>
    <row r="305" spans="1:7" x14ac:dyDescent="0.25">
      <c r="A305" s="6" t="s">
        <v>4827</v>
      </c>
      <c r="B305" s="4">
        <v>6790</v>
      </c>
      <c r="C305" s="4" t="s">
        <v>4792</v>
      </c>
      <c r="D305" s="13">
        <v>0</v>
      </c>
      <c r="E305" t="s">
        <v>1074</v>
      </c>
      <c r="G305" t="str" cm="1">
        <f t="array" aca="1" ref="G305" ca="1">eConcatenar(A305:E305,"|")</f>
        <v>76TiWw9zAB9QFf8p|6790|2021-9-9|0|final</v>
      </c>
    </row>
    <row r="306" spans="1:7" x14ac:dyDescent="0.25">
      <c r="A306" s="6" t="s">
        <v>4828</v>
      </c>
      <c r="B306" s="4">
        <v>1400</v>
      </c>
      <c r="C306" s="4" t="s">
        <v>4792</v>
      </c>
      <c r="D306" s="13">
        <v>0</v>
      </c>
      <c r="E306" t="s">
        <v>1074</v>
      </c>
      <c r="G306" t="str" cm="1">
        <f t="array" aca="1" ref="G306" ca="1">eConcatenar(A306:E306,"|")</f>
        <v>DnCmTnVkwobTeqgR|1400|2021-9-9|0|final</v>
      </c>
    </row>
    <row r="307" spans="1:7" x14ac:dyDescent="0.25">
      <c r="A307" s="6" t="s">
        <v>4829</v>
      </c>
      <c r="B307" s="4">
        <v>7700</v>
      </c>
      <c r="C307" s="4" t="s">
        <v>4792</v>
      </c>
      <c r="D307" s="13">
        <v>0</v>
      </c>
      <c r="E307" t="s">
        <v>1074</v>
      </c>
      <c r="G307" t="str" cm="1">
        <f t="array" aca="1" ref="G307" ca="1">eConcatenar(A307:E307,"|")</f>
        <v>qlw9q3v6EUEarJAW|7700|2021-9-9|0|final</v>
      </c>
    </row>
    <row r="308" spans="1:7" x14ac:dyDescent="0.25">
      <c r="A308" s="6" t="s">
        <v>4830</v>
      </c>
      <c r="B308" s="4">
        <v>10200</v>
      </c>
      <c r="C308" s="4" t="s">
        <v>4792</v>
      </c>
      <c r="D308" s="13">
        <v>0</v>
      </c>
      <c r="E308" t="s">
        <v>1074</v>
      </c>
      <c r="G308" t="str" cm="1">
        <f t="array" aca="1" ref="G308" ca="1">eConcatenar(A308:E308,"|")</f>
        <v>H00QHCsLlMiAaBct|10200|2021-9-9|0|final</v>
      </c>
    </row>
    <row r="309" spans="1:7" x14ac:dyDescent="0.25">
      <c r="A309" s="6" t="s">
        <v>4831</v>
      </c>
      <c r="B309" s="4">
        <v>5600</v>
      </c>
      <c r="C309" s="4" t="s">
        <v>4792</v>
      </c>
      <c r="D309" s="13">
        <v>0</v>
      </c>
      <c r="E309" t="s">
        <v>1074</v>
      </c>
      <c r="G309" t="str" cm="1">
        <f t="array" aca="1" ref="G309" ca="1">eConcatenar(A309:E309,"|")</f>
        <v>QRJ5hd0NffZ3DwUE|5600|2021-9-9|0|final</v>
      </c>
    </row>
    <row r="310" spans="1:7" x14ac:dyDescent="0.25">
      <c r="A310" s="6" t="s">
        <v>4832</v>
      </c>
      <c r="B310" s="4">
        <v>6960</v>
      </c>
      <c r="C310" s="4" t="s">
        <v>4792</v>
      </c>
      <c r="D310" s="13">
        <v>0</v>
      </c>
      <c r="E310" t="s">
        <v>1074</v>
      </c>
      <c r="G310" t="str" cm="1">
        <f t="array" aca="1" ref="G310" ca="1">eConcatenar(A310:E310,"|")</f>
        <v>Iyf7o4fgnHCbkrvn|6960|2021-9-9|0|final</v>
      </c>
    </row>
    <row r="311" spans="1:7" x14ac:dyDescent="0.25">
      <c r="A311" s="6" t="s">
        <v>4833</v>
      </c>
      <c r="B311" s="4">
        <v>2700</v>
      </c>
      <c r="C311" s="4" t="s">
        <v>4792</v>
      </c>
      <c r="D311" s="13">
        <v>0</v>
      </c>
      <c r="E311" t="s">
        <v>1074</v>
      </c>
      <c r="G311" t="str" cm="1">
        <f t="array" aca="1" ref="G311" ca="1">eConcatenar(A311:E311,"|")</f>
        <v>ODOfz53bkJ1XfOah|2700|2021-9-9|0|final</v>
      </c>
    </row>
    <row r="312" spans="1:7" x14ac:dyDescent="0.25">
      <c r="A312" s="6" t="s">
        <v>4834</v>
      </c>
      <c r="B312" s="4">
        <v>4300</v>
      </c>
      <c r="C312" s="4" t="s">
        <v>4792</v>
      </c>
      <c r="D312" s="13">
        <v>0</v>
      </c>
      <c r="E312" t="s">
        <v>1074</v>
      </c>
      <c r="G312" t="str" cm="1">
        <f t="array" aca="1" ref="G312" ca="1">eConcatenar(A312:E312,"|")</f>
        <v>LPJZWKJu39KuzJjc|4300|2021-9-9|0|final</v>
      </c>
    </row>
    <row r="313" spans="1:7" x14ac:dyDescent="0.25">
      <c r="A313" s="6" t="s">
        <v>4835</v>
      </c>
      <c r="B313" s="4">
        <v>600</v>
      </c>
      <c r="C313" s="4" t="s">
        <v>4792</v>
      </c>
      <c r="D313" s="13">
        <v>0</v>
      </c>
      <c r="E313" t="s">
        <v>1074</v>
      </c>
      <c r="G313" t="str" cm="1">
        <f t="array" aca="1" ref="G313" ca="1">eConcatenar(A313:E313,"|")</f>
        <v>g8zo56PgZna17rZP|600|2021-9-9|0|final</v>
      </c>
    </row>
    <row r="314" spans="1:7" x14ac:dyDescent="0.25">
      <c r="A314" s="6" t="s">
        <v>4836</v>
      </c>
      <c r="B314" s="4">
        <v>1400</v>
      </c>
      <c r="C314" s="4" t="s">
        <v>4792</v>
      </c>
      <c r="D314" s="13">
        <v>0</v>
      </c>
      <c r="E314" t="s">
        <v>1074</v>
      </c>
      <c r="G314" t="str" cm="1">
        <f t="array" aca="1" ref="G314" ca="1">eConcatenar(A314:E314,"|")</f>
        <v>ZbkGK7MP1c7kIcni|1400|2021-9-9|0|final</v>
      </c>
    </row>
    <row r="315" spans="1:7" x14ac:dyDescent="0.25">
      <c r="A315" s="6" t="s">
        <v>4837</v>
      </c>
      <c r="B315" s="4">
        <v>2200</v>
      </c>
      <c r="C315" s="4" t="s">
        <v>4792</v>
      </c>
      <c r="D315" s="13">
        <v>0</v>
      </c>
      <c r="E315" t="s">
        <v>1074</v>
      </c>
      <c r="G315" t="str" cm="1">
        <f t="array" aca="1" ref="G315" ca="1">eConcatenar(A315:E315,"|")</f>
        <v>o5rvNoDPTTVMfkPY|2200|2021-9-9|0|final</v>
      </c>
    </row>
    <row r="316" spans="1:7" x14ac:dyDescent="0.25">
      <c r="A316" s="6" t="s">
        <v>4838</v>
      </c>
      <c r="B316" s="4">
        <v>2200</v>
      </c>
      <c r="C316" s="4" t="s">
        <v>4792</v>
      </c>
      <c r="D316" s="13">
        <v>0</v>
      </c>
      <c r="E316" t="s">
        <v>1074</v>
      </c>
      <c r="G316" t="str" cm="1">
        <f t="array" aca="1" ref="G316" ca="1">eConcatenar(A316:E316,"|")</f>
        <v>RbX5tEr0zUm0wHCz|2200|2021-9-9|0|final</v>
      </c>
    </row>
    <row r="317" spans="1:7" x14ac:dyDescent="0.25">
      <c r="A317" s="6" t="s">
        <v>4840</v>
      </c>
      <c r="B317" s="4">
        <v>1700</v>
      </c>
      <c r="C317" s="4" t="s">
        <v>4792</v>
      </c>
      <c r="D317" s="13">
        <v>0</v>
      </c>
      <c r="E317" t="s">
        <v>1074</v>
      </c>
      <c r="G317" t="str" cm="1">
        <f t="array" aca="1" ref="G317" ca="1">eConcatenar(A317:E317,"|")</f>
        <v>9vA4SWaXzJhUG78Z|1700|2021-9-9|0|final</v>
      </c>
    </row>
    <row r="318" spans="1:7" x14ac:dyDescent="0.25">
      <c r="A318" s="6" t="s">
        <v>4841</v>
      </c>
      <c r="B318" s="4">
        <v>1200</v>
      </c>
      <c r="C318" s="4" t="s">
        <v>4792</v>
      </c>
      <c r="D318" s="13">
        <v>0</v>
      </c>
      <c r="E318" t="s">
        <v>1074</v>
      </c>
      <c r="G318" t="str" cm="1">
        <f t="array" aca="1" ref="G318" ca="1">eConcatenar(A318:E318,"|")</f>
        <v>ZJaFly4whOXCtF12|1200|2021-9-9|0|final</v>
      </c>
    </row>
    <row r="319" spans="1:7" x14ac:dyDescent="0.25">
      <c r="A319" s="6" t="s">
        <v>4842</v>
      </c>
      <c r="B319" s="4">
        <v>2600</v>
      </c>
      <c r="C319" s="4" t="s">
        <v>4792</v>
      </c>
      <c r="D319" s="13">
        <v>0</v>
      </c>
      <c r="E319" t="s">
        <v>1074</v>
      </c>
      <c r="G319" t="str" cm="1">
        <f t="array" aca="1" ref="G319" ca="1">eConcatenar(A319:E319,"|")</f>
        <v>8akJmppL29Bfx3As|2600|2021-9-9|0|final</v>
      </c>
    </row>
    <row r="320" spans="1:7" x14ac:dyDescent="0.25">
      <c r="A320" s="6" t="s">
        <v>4843</v>
      </c>
      <c r="B320" s="4">
        <v>1400</v>
      </c>
      <c r="C320" s="4" t="s">
        <v>4792</v>
      </c>
      <c r="D320" s="13">
        <v>0</v>
      </c>
      <c r="E320" t="s">
        <v>1074</v>
      </c>
      <c r="G320" t="str" cm="1">
        <f t="array" aca="1" ref="G320" ca="1">eConcatenar(A320:E320,"|")</f>
        <v>erFyOn8Csc8raOCw|1400|2021-9-9|0|final</v>
      </c>
    </row>
    <row r="321" spans="1:7" x14ac:dyDescent="0.25">
      <c r="A321" s="6" t="s">
        <v>4844</v>
      </c>
      <c r="B321" s="4">
        <v>900</v>
      </c>
      <c r="C321" s="4" t="s">
        <v>4792</v>
      </c>
      <c r="D321" s="13">
        <v>0</v>
      </c>
      <c r="E321" t="s">
        <v>1074</v>
      </c>
      <c r="G321" t="str" cm="1">
        <f t="array" aca="1" ref="G321" ca="1">eConcatenar(A321:E321,"|")</f>
        <v>nmGXn80QQmmx7MWY|900|2021-9-9|0|final</v>
      </c>
    </row>
    <row r="322" spans="1:7" x14ac:dyDescent="0.25">
      <c r="A322" s="6" t="s">
        <v>4846</v>
      </c>
      <c r="B322" s="4">
        <v>300</v>
      </c>
      <c r="C322" s="4" t="s">
        <v>4792</v>
      </c>
      <c r="D322" s="13">
        <v>0</v>
      </c>
      <c r="E322" t="s">
        <v>1074</v>
      </c>
      <c r="G322" t="str" cm="1">
        <f t="array" aca="1" ref="G322" ca="1">eConcatenar(A322:E322,"|")</f>
        <v>tRfpQTkMs8QQ0ONu|300|2021-9-9|0|final</v>
      </c>
    </row>
    <row r="323" spans="1:7" x14ac:dyDescent="0.25">
      <c r="A323" s="6" t="s">
        <v>4847</v>
      </c>
      <c r="B323" s="4">
        <v>6400</v>
      </c>
      <c r="C323" s="4" t="s">
        <v>4792</v>
      </c>
      <c r="D323" s="13">
        <v>0</v>
      </c>
      <c r="E323" t="s">
        <v>1074</v>
      </c>
      <c r="G323" t="str" cm="1">
        <f t="array" aca="1" ref="G323" ca="1">eConcatenar(A323:E323,"|")</f>
        <v>VpO1L8n24rKmbxVn|6400|2021-9-9|0|final</v>
      </c>
    </row>
    <row r="324" spans="1:7" x14ac:dyDescent="0.25">
      <c r="A324" s="6" t="s">
        <v>4849</v>
      </c>
      <c r="B324" s="4">
        <v>5800</v>
      </c>
      <c r="C324" s="4" t="s">
        <v>4792</v>
      </c>
      <c r="D324" s="13">
        <v>0</v>
      </c>
      <c r="E324" t="s">
        <v>1074</v>
      </c>
      <c r="G324" t="str" cm="1">
        <f t="array" aca="1" ref="G324" ca="1">eConcatenar(A324:E324,"|")</f>
        <v>xWfuY0wrpFOgyxna|5800|2021-9-9|0|final</v>
      </c>
    </row>
    <row r="325" spans="1:7" x14ac:dyDescent="0.25">
      <c r="A325" s="6" t="s">
        <v>4850</v>
      </c>
      <c r="B325" s="4">
        <v>9800</v>
      </c>
      <c r="C325" s="4" t="s">
        <v>4792</v>
      </c>
      <c r="D325" s="13">
        <v>0</v>
      </c>
      <c r="E325" t="s">
        <v>1074</v>
      </c>
      <c r="G325" t="str" cm="1">
        <f t="array" aca="1" ref="G325" ca="1">eConcatenar(A325:E325,"|")</f>
        <v>XK1vBQve4jx9DAnY|9800|2021-9-9|0|final</v>
      </c>
    </row>
    <row r="326" spans="1:7" x14ac:dyDescent="0.25">
      <c r="A326" s="6" t="s">
        <v>4851</v>
      </c>
      <c r="B326" s="4">
        <v>900</v>
      </c>
      <c r="C326" s="4" t="s">
        <v>4792</v>
      </c>
      <c r="D326" s="13">
        <v>0</v>
      </c>
      <c r="E326" t="s">
        <v>1074</v>
      </c>
      <c r="G326" t="str" cm="1">
        <f t="array" aca="1" ref="G326" ca="1">eConcatenar(A326:E326,"|")</f>
        <v>H9jURiw9mzTTgBFO|900|2021-9-9|0|final</v>
      </c>
    </row>
    <row r="327" spans="1:7" x14ac:dyDescent="0.25">
      <c r="A327" s="6" t="s">
        <v>4852</v>
      </c>
      <c r="B327" s="4">
        <v>5200</v>
      </c>
      <c r="C327" s="4" t="s">
        <v>4792</v>
      </c>
      <c r="D327" s="13">
        <v>0</v>
      </c>
      <c r="E327" t="s">
        <v>1074</v>
      </c>
      <c r="G327" t="str" cm="1">
        <f t="array" aca="1" ref="G327" ca="1">eConcatenar(A327:E327,"|")</f>
        <v>ALnWC5eMfbJGDgTT|5200|2021-9-9|0|final</v>
      </c>
    </row>
    <row r="328" spans="1:7" x14ac:dyDescent="0.25">
      <c r="A328" s="6" t="s">
        <v>4853</v>
      </c>
      <c r="B328" s="4">
        <v>1000</v>
      </c>
      <c r="C328" s="4" t="s">
        <v>4792</v>
      </c>
      <c r="D328" s="13">
        <v>0</v>
      </c>
      <c r="E328" t="s">
        <v>1074</v>
      </c>
      <c r="G328" t="str" cm="1">
        <f t="array" aca="1" ref="G328" ca="1">eConcatenar(A328:E328,"|")</f>
        <v>s6YuRO5jclYWKwop|1000|2021-9-9|0|final</v>
      </c>
    </row>
    <row r="329" spans="1:7" x14ac:dyDescent="0.25">
      <c r="A329" s="6" t="s">
        <v>4854</v>
      </c>
      <c r="B329" s="4">
        <v>7000</v>
      </c>
      <c r="C329" s="4" t="s">
        <v>4792</v>
      </c>
      <c r="D329" s="13">
        <v>0</v>
      </c>
      <c r="E329" t="s">
        <v>1074</v>
      </c>
      <c r="G329" t="str" cm="1">
        <f t="array" aca="1" ref="G329" ca="1">eConcatenar(A329:E329,"|")</f>
        <v>n6dVaQCoAkOsJK7I|7000|2021-9-9|0|final</v>
      </c>
    </row>
    <row r="330" spans="1:7" x14ac:dyDescent="0.25">
      <c r="A330" s="6" t="s">
        <v>4856</v>
      </c>
      <c r="B330" s="4">
        <v>5700</v>
      </c>
      <c r="C330" s="4" t="s">
        <v>4792</v>
      </c>
      <c r="D330" s="13">
        <v>0</v>
      </c>
      <c r="E330" t="s">
        <v>1074</v>
      </c>
      <c r="G330" t="str" cm="1">
        <f t="array" aca="1" ref="G330" ca="1">eConcatenar(A330:E330,"|")</f>
        <v>nOfZZ8IMHDnKhBmI|5700|2021-9-9|0|final</v>
      </c>
    </row>
    <row r="331" spans="1:7" x14ac:dyDescent="0.25">
      <c r="A331" s="6" t="s">
        <v>4858</v>
      </c>
      <c r="B331" s="4">
        <v>2700</v>
      </c>
      <c r="C331" s="4" t="s">
        <v>4792</v>
      </c>
      <c r="D331" s="13">
        <v>0</v>
      </c>
      <c r="E331" t="s">
        <v>1074</v>
      </c>
      <c r="G331" t="str" cm="1">
        <f t="array" aca="1" ref="G331" ca="1">eConcatenar(A331:E331,"|")</f>
        <v>bov1eayaFoXltiX3|2700|2021-9-9|0|final</v>
      </c>
    </row>
    <row r="332" spans="1:7" x14ac:dyDescent="0.25">
      <c r="A332" s="6" t="s">
        <v>4859</v>
      </c>
      <c r="B332" s="4">
        <v>11950</v>
      </c>
      <c r="C332" s="4" t="s">
        <v>4792</v>
      </c>
      <c r="D332" s="13">
        <v>0</v>
      </c>
      <c r="E332" t="s">
        <v>1074</v>
      </c>
      <c r="G332" t="str" cm="1">
        <f t="array" aca="1" ref="G332" ca="1">eConcatenar(A332:E332,"|")</f>
        <v>M2fu2PmCxbNl9D8f|11950|2021-9-9|0|final</v>
      </c>
    </row>
    <row r="333" spans="1:7" x14ac:dyDescent="0.25">
      <c r="A333" s="6" t="s">
        <v>4862</v>
      </c>
      <c r="B333" s="4">
        <v>5300</v>
      </c>
      <c r="C333" s="4" t="s">
        <v>4792</v>
      </c>
      <c r="D333" s="13">
        <v>0</v>
      </c>
      <c r="E333" t="s">
        <v>1074</v>
      </c>
      <c r="G333" t="str" cm="1">
        <f t="array" aca="1" ref="G333" ca="1">eConcatenar(A333:E333,"|")</f>
        <v>vPUCHZLU20zKxF1j|5300|2021-9-9|0|final</v>
      </c>
    </row>
    <row r="334" spans="1:7" x14ac:dyDescent="0.25">
      <c r="A334" s="6" t="s">
        <v>4864</v>
      </c>
      <c r="B334" s="4">
        <v>3400</v>
      </c>
      <c r="C334" s="4" t="s">
        <v>4792</v>
      </c>
      <c r="D334" s="13">
        <v>0</v>
      </c>
      <c r="E334" t="s">
        <v>1074</v>
      </c>
      <c r="G334" t="str" cm="1">
        <f t="array" aca="1" ref="G334" ca="1">eConcatenar(A334:E334,"|")</f>
        <v>T8W95521KMMnw59o|3400|2021-9-9|0|final</v>
      </c>
    </row>
    <row r="335" spans="1:7" x14ac:dyDescent="0.25">
      <c r="A335" s="6" t="s">
        <v>4865</v>
      </c>
      <c r="B335" s="4">
        <v>2400</v>
      </c>
      <c r="C335" s="4" t="s">
        <v>4792</v>
      </c>
      <c r="D335" s="13">
        <v>0</v>
      </c>
      <c r="E335" t="s">
        <v>1074</v>
      </c>
      <c r="G335" t="str" cm="1">
        <f t="array" aca="1" ref="G335" ca="1">eConcatenar(A335:E335,"|")</f>
        <v>JV0U87V5e2cOfr12|2400|2021-9-9|0|final</v>
      </c>
    </row>
    <row r="336" spans="1:7" x14ac:dyDescent="0.25">
      <c r="A336" s="6" t="s">
        <v>4866</v>
      </c>
      <c r="B336" s="4">
        <v>3300</v>
      </c>
      <c r="C336" s="4" t="s">
        <v>4792</v>
      </c>
      <c r="D336" s="13">
        <v>0</v>
      </c>
      <c r="E336" t="s">
        <v>1074</v>
      </c>
      <c r="G336" t="str" cm="1">
        <f t="array" aca="1" ref="G336" ca="1">eConcatenar(A336:E336,"|")</f>
        <v>BIYtnl60fkUk7XTt|3300|2021-9-9|0|final</v>
      </c>
    </row>
    <row r="337" spans="1:7" x14ac:dyDescent="0.25">
      <c r="A337" s="6" t="s">
        <v>4867</v>
      </c>
      <c r="B337" s="4">
        <v>300</v>
      </c>
      <c r="C337" s="4" t="s">
        <v>4792</v>
      </c>
      <c r="D337" s="13">
        <v>0</v>
      </c>
      <c r="E337" t="s">
        <v>1074</v>
      </c>
      <c r="G337" t="str" cm="1">
        <f t="array" aca="1" ref="G337" ca="1">eConcatenar(A337:E337,"|")</f>
        <v>3s7QAeP1dWVv5xpf|300|2021-9-9|0|final</v>
      </c>
    </row>
    <row r="338" spans="1:7" x14ac:dyDescent="0.25">
      <c r="A338" s="6" t="s">
        <v>4868</v>
      </c>
      <c r="B338" s="4">
        <v>250</v>
      </c>
      <c r="C338" s="4" t="s">
        <v>1126</v>
      </c>
      <c r="D338" s="13">
        <v>0</v>
      </c>
      <c r="E338" t="s">
        <v>1074</v>
      </c>
      <c r="G338" t="str" cm="1">
        <f t="array" aca="1" ref="G338" ca="1">eConcatenar(A338:E338,"|")</f>
        <v>MVmucS1WN7S21P0r|250|2021-9-2|0|final</v>
      </c>
    </row>
    <row r="339" spans="1:7" x14ac:dyDescent="0.25">
      <c r="A339" s="6" t="s">
        <v>4870</v>
      </c>
      <c r="B339" s="4">
        <v>100</v>
      </c>
      <c r="C339" s="4" t="s">
        <v>1116</v>
      </c>
      <c r="D339" s="13">
        <v>0</v>
      </c>
      <c r="E339" t="s">
        <v>1074</v>
      </c>
      <c r="G339" t="str" cm="1">
        <f t="array" aca="1" ref="G339" ca="1">eConcatenar(A339:E339,"|")</f>
        <v>r1087GssgrB5DjAG|100|2021-8-16|0|final</v>
      </c>
    </row>
    <row r="340" spans="1:7" x14ac:dyDescent="0.25">
      <c r="A340" s="6" t="s">
        <v>4871</v>
      </c>
      <c r="B340" s="4">
        <v>250</v>
      </c>
      <c r="C340" s="4" t="s">
        <v>4816</v>
      </c>
      <c r="D340" s="13">
        <v>0</v>
      </c>
      <c r="E340" t="s">
        <v>1074</v>
      </c>
      <c r="G340" t="str" cm="1">
        <f t="array" aca="1" ref="G340" ca="1">eConcatenar(A340:E340,"|")</f>
        <v>Y57xWYk5MwHUpJnz|250|2021-8-11|0|final</v>
      </c>
    </row>
    <row r="341" spans="1:7" x14ac:dyDescent="0.25">
      <c r="A341" s="6" t="s">
        <v>4872</v>
      </c>
      <c r="B341" s="4">
        <v>300</v>
      </c>
      <c r="C341" s="4" t="s">
        <v>1124</v>
      </c>
      <c r="D341" s="13">
        <v>0</v>
      </c>
      <c r="E341" t="s">
        <v>1074</v>
      </c>
      <c r="G341" t="str" cm="1">
        <f t="array" aca="1" ref="G341" ca="1">eConcatenar(A341:E341,"|")</f>
        <v>BY1MMrhH0GLfTAXq|300|2021-9-1|0|final</v>
      </c>
    </row>
    <row r="342" spans="1:7" x14ac:dyDescent="0.25">
      <c r="A342" s="6" t="s">
        <v>4873</v>
      </c>
      <c r="B342" s="4">
        <v>3800</v>
      </c>
      <c r="C342" s="4" t="s">
        <v>1124</v>
      </c>
      <c r="D342" s="13">
        <v>0</v>
      </c>
      <c r="E342" t="s">
        <v>1074</v>
      </c>
      <c r="G342" t="str" cm="1">
        <f t="array" aca="1" ref="G342" ca="1">eConcatenar(A342:E342,"|")</f>
        <v>5gCmGt7A17Arwy4j|3800|2021-9-1|0|final</v>
      </c>
    </row>
    <row r="343" spans="1:7" x14ac:dyDescent="0.25">
      <c r="A343" s="6" t="s">
        <v>4874</v>
      </c>
      <c r="B343" s="4">
        <v>1450</v>
      </c>
      <c r="C343" s="4" t="s">
        <v>1105</v>
      </c>
      <c r="D343" s="13">
        <v>0</v>
      </c>
      <c r="E343" t="s">
        <v>1074</v>
      </c>
      <c r="G343" t="str" cm="1">
        <f t="array" aca="1" ref="G343" ca="1">eConcatenar(A343:E343,"|")</f>
        <v>PgF7A6JkCFhNseNw|1450|2021-6-17|0|final</v>
      </c>
    </row>
    <row r="344" spans="1:7" x14ac:dyDescent="0.25">
      <c r="A344" s="6" t="s">
        <v>4875</v>
      </c>
      <c r="B344" s="4">
        <v>11500</v>
      </c>
      <c r="C344" s="4" t="s">
        <v>4745</v>
      </c>
      <c r="D344" s="13">
        <v>0</v>
      </c>
      <c r="E344" t="s">
        <v>1074</v>
      </c>
      <c r="G344" t="str" cm="1">
        <f t="array" aca="1" ref="G344" ca="1">eConcatenar(A344:E344,"|")</f>
        <v>Nt621sDE8vGErj6k|11500|2021-7-8|0|final</v>
      </c>
    </row>
    <row r="345" spans="1:7" x14ac:dyDescent="0.25">
      <c r="A345" s="6" t="s">
        <v>4876</v>
      </c>
      <c r="B345" s="4">
        <v>3800</v>
      </c>
      <c r="C345" s="4" t="s">
        <v>1126</v>
      </c>
      <c r="D345" s="21">
        <v>0</v>
      </c>
      <c r="E345" t="s">
        <v>1074</v>
      </c>
      <c r="G345" t="str" cm="1">
        <f t="array" aca="1" ref="G345" ca="1">eConcatenar(A345:E345,"|")</f>
        <v>KXBuen030xqJtgON|3800|2021-9-2|0|final</v>
      </c>
    </row>
    <row r="346" spans="1:7" x14ac:dyDescent="0.25">
      <c r="A346" s="6" t="s">
        <v>4877</v>
      </c>
      <c r="B346" s="4">
        <v>3400</v>
      </c>
      <c r="C346" s="4" t="s">
        <v>1124</v>
      </c>
      <c r="D346" s="21">
        <v>0</v>
      </c>
      <c r="E346" t="s">
        <v>1074</v>
      </c>
      <c r="G346" t="str" cm="1">
        <f t="array" aca="1" ref="G346" ca="1">eConcatenar(A346:E346,"|")</f>
        <v>WVIGLcXfkGsFaaYa|3400|2021-9-1|0|final</v>
      </c>
    </row>
    <row r="347" spans="1:7" x14ac:dyDescent="0.25">
      <c r="A347" s="6" t="s">
        <v>4878</v>
      </c>
      <c r="B347" s="4">
        <v>3800</v>
      </c>
      <c r="C347" s="4" t="s">
        <v>1126</v>
      </c>
      <c r="D347" s="21">
        <v>0</v>
      </c>
      <c r="E347" t="s">
        <v>1074</v>
      </c>
      <c r="G347" t="str" cm="1">
        <f t="array" aca="1" ref="G347" ca="1">eConcatenar(A347:E347,"|")</f>
        <v>x0D8zC7Zjh6n3WaH|3800|2021-9-2|0|final</v>
      </c>
    </row>
    <row r="348" spans="1:7" x14ac:dyDescent="0.25">
      <c r="A348" s="6" t="s">
        <v>4879</v>
      </c>
      <c r="B348" s="4">
        <v>1400</v>
      </c>
      <c r="C348" s="4" t="s">
        <v>1115</v>
      </c>
      <c r="D348" s="21">
        <v>0</v>
      </c>
      <c r="E348" t="s">
        <v>1074</v>
      </c>
      <c r="G348" t="str" cm="1">
        <f t="array" aca="1" ref="G348" ca="1">eConcatenar(A348:E348,"|")</f>
        <v>96Umo3u3ivCWpr8m|1400|2021-2-11|0|final</v>
      </c>
    </row>
    <row r="349" spans="1:7" x14ac:dyDescent="0.25">
      <c r="A349" s="6" t="s">
        <v>4880</v>
      </c>
      <c r="B349" s="4">
        <v>3500</v>
      </c>
      <c r="C349" s="4" t="s">
        <v>1127</v>
      </c>
      <c r="D349" s="21">
        <v>0</v>
      </c>
      <c r="E349" t="s">
        <v>1074</v>
      </c>
      <c r="G349" t="str" cm="1">
        <f t="array" aca="1" ref="G349" ca="1">eConcatenar(A349:E349,"|")</f>
        <v>eItUSUBdltpRimPu|3500|2021-8-19|0|final</v>
      </c>
    </row>
    <row r="350" spans="1:7" x14ac:dyDescent="0.25">
      <c r="A350" s="6" t="s">
        <v>4882</v>
      </c>
      <c r="B350" s="4">
        <v>2650</v>
      </c>
      <c r="C350" s="4" t="s">
        <v>1124</v>
      </c>
      <c r="D350" s="21">
        <v>0</v>
      </c>
      <c r="E350" t="s">
        <v>1074</v>
      </c>
      <c r="G350" t="str" cm="1">
        <f t="array" aca="1" ref="G350" ca="1">eConcatenar(A350:E350,"|")</f>
        <v>8ToM88ZgcOQvaTCy|2650|2021-9-1|0|final</v>
      </c>
    </row>
    <row r="351" spans="1:7" x14ac:dyDescent="0.25">
      <c r="A351" s="6" t="s">
        <v>4883</v>
      </c>
      <c r="B351" s="4">
        <v>600</v>
      </c>
      <c r="C351" s="4" t="s">
        <v>1126</v>
      </c>
      <c r="D351" s="21">
        <v>0</v>
      </c>
      <c r="E351" t="s">
        <v>1074</v>
      </c>
      <c r="G351" t="str" cm="1">
        <f t="array" aca="1" ref="G351" ca="1">eConcatenar(A351:E351,"|")</f>
        <v>mjO7eUz70wOX2lZr|600|2021-9-2|0|final</v>
      </c>
    </row>
    <row r="352" spans="1:7" x14ac:dyDescent="0.25">
      <c r="A352" s="6" t="s">
        <v>4884</v>
      </c>
      <c r="B352" s="4">
        <v>5800</v>
      </c>
      <c r="C352" s="4" t="s">
        <v>4800</v>
      </c>
      <c r="D352" s="21">
        <v>0</v>
      </c>
      <c r="E352" t="s">
        <v>1074</v>
      </c>
      <c r="G352" t="str" cm="1">
        <f t="array" aca="1" ref="G352" ca="1">eConcatenar(A352:E352,"|")</f>
        <v>26aFHxCxkgQUvWMy|5800|2021-8-26|0|final</v>
      </c>
    </row>
    <row r="353" spans="1:7" x14ac:dyDescent="0.25">
      <c r="A353" s="6" t="s">
        <v>4885</v>
      </c>
      <c r="B353" s="4">
        <v>250</v>
      </c>
      <c r="C353" s="4" t="s">
        <v>1126</v>
      </c>
      <c r="D353" s="21">
        <v>0</v>
      </c>
      <c r="E353" t="s">
        <v>1074</v>
      </c>
      <c r="G353" t="str" cm="1">
        <f t="array" aca="1" ref="G353" ca="1">eConcatenar(A353:E353,"|")</f>
        <v>c56uYDsEOVHGaNB4|250|2021-9-2|0|final</v>
      </c>
    </row>
    <row r="354" spans="1:7" x14ac:dyDescent="0.25">
      <c r="A354" s="6" t="s">
        <v>4886</v>
      </c>
      <c r="B354" s="4">
        <v>800</v>
      </c>
      <c r="C354" s="4" t="s">
        <v>1124</v>
      </c>
      <c r="D354" s="21">
        <v>0</v>
      </c>
      <c r="E354" t="s">
        <v>1074</v>
      </c>
      <c r="G354" t="str" cm="1">
        <f t="array" aca="1" ref="G354" ca="1">eConcatenar(A354:E354,"|")</f>
        <v>y6KlP3gHPtuilVMR|800|2021-9-1|0|final</v>
      </c>
    </row>
    <row r="355" spans="1:7" x14ac:dyDescent="0.25">
      <c r="A355" s="6" t="s">
        <v>4887</v>
      </c>
      <c r="B355" s="4">
        <v>800</v>
      </c>
      <c r="C355" s="4" t="s">
        <v>1103</v>
      </c>
      <c r="D355" s="21">
        <v>0</v>
      </c>
      <c r="E355" t="s">
        <v>1074</v>
      </c>
      <c r="G355" t="str" cm="1">
        <f t="array" aca="1" ref="G355" ca="1">eConcatenar(A355:E355,"|")</f>
        <v>clK8fvOERAh2BUiP|800|2021-8-18|0|final</v>
      </c>
    </row>
    <row r="356" spans="1:7" x14ac:dyDescent="0.25">
      <c r="A356" s="6" t="s">
        <v>4888</v>
      </c>
      <c r="B356" s="4">
        <v>500</v>
      </c>
      <c r="C356" s="4" t="s">
        <v>4768</v>
      </c>
      <c r="D356" s="21">
        <v>0</v>
      </c>
      <c r="E356" t="s">
        <v>1074</v>
      </c>
      <c r="G356" t="str" cm="1">
        <f t="array" aca="1" ref="G356" ca="1">eConcatenar(A356:E356,"|")</f>
        <v>UVKQjTqeEWSc0Ehf|500|2021-8-12|0|final</v>
      </c>
    </row>
    <row r="357" spans="1:7" x14ac:dyDescent="0.25">
      <c r="A357" s="6" t="s">
        <v>4889</v>
      </c>
      <c r="B357" s="4">
        <v>2960</v>
      </c>
      <c r="C357" s="4" t="s">
        <v>4777</v>
      </c>
      <c r="D357" s="21">
        <v>0</v>
      </c>
      <c r="E357" t="s">
        <v>1074</v>
      </c>
      <c r="G357" t="str" cm="1">
        <f t="array" aca="1" ref="G357" ca="1">eConcatenar(A357:E357,"|")</f>
        <v>tb2D9TcgbLOqmnAD|2960|2021-8-4|0|final</v>
      </c>
    </row>
    <row r="358" spans="1:7" x14ac:dyDescent="0.25">
      <c r="A358" s="6" t="s">
        <v>4890</v>
      </c>
      <c r="B358" s="4">
        <v>700</v>
      </c>
      <c r="C358" s="4" t="s">
        <v>1124</v>
      </c>
      <c r="D358" s="21">
        <v>0</v>
      </c>
      <c r="E358" t="s">
        <v>1074</v>
      </c>
      <c r="G358" t="str" cm="1">
        <f t="array" aca="1" ref="G358" ca="1">eConcatenar(A358:E358,"|")</f>
        <v>EAceQYGoHbDEJI1z|700|2021-9-1|0|final</v>
      </c>
    </row>
    <row r="359" spans="1:7" x14ac:dyDescent="0.25">
      <c r="A359" s="6" t="s">
        <v>4891</v>
      </c>
      <c r="B359" s="4">
        <v>1200</v>
      </c>
      <c r="C359" s="4" t="s">
        <v>1126</v>
      </c>
      <c r="D359" s="21">
        <v>0</v>
      </c>
      <c r="E359" t="s">
        <v>1074</v>
      </c>
      <c r="G359" t="str" cm="1">
        <f t="array" aca="1" ref="G359" ca="1">eConcatenar(A359:E359,"|")</f>
        <v>C5B21BmPcMPQMnnS|1200|2021-9-2|0|final</v>
      </c>
    </row>
    <row r="360" spans="1:7" x14ac:dyDescent="0.25">
      <c r="A360" s="6" t="s">
        <v>4892</v>
      </c>
      <c r="B360" s="4">
        <v>2000</v>
      </c>
      <c r="C360" s="4" t="s">
        <v>4893</v>
      </c>
      <c r="D360" s="21">
        <v>0</v>
      </c>
      <c r="E360" t="s">
        <v>1074</v>
      </c>
      <c r="G360" t="str" cm="1">
        <f t="array" aca="1" ref="G360" ca="1">eConcatenar(A360:E360,"|")</f>
        <v>nfQ300pCxLcpe0Mh|2000|2021-8-8|0|final</v>
      </c>
    </row>
    <row r="361" spans="1:7" x14ac:dyDescent="0.25">
      <c r="A361" s="6" t="s">
        <v>4894</v>
      </c>
      <c r="B361" s="4">
        <v>1200</v>
      </c>
      <c r="C361" s="4" t="s">
        <v>1126</v>
      </c>
      <c r="D361" s="21">
        <v>0</v>
      </c>
      <c r="E361" t="s">
        <v>1074</v>
      </c>
      <c r="G361" t="str" cm="1">
        <f t="array" aca="1" ref="G361" ca="1">eConcatenar(A361:E361,"|")</f>
        <v>WqmoGEru1JUVGqAZ|1200|2021-9-2|0|final</v>
      </c>
    </row>
    <row r="362" spans="1:7" x14ac:dyDescent="0.25">
      <c r="A362" s="6" t="s">
        <v>4895</v>
      </c>
      <c r="B362" s="4">
        <v>1500</v>
      </c>
      <c r="C362" s="4" t="s">
        <v>1126</v>
      </c>
      <c r="D362" s="21">
        <v>0</v>
      </c>
      <c r="E362" t="s">
        <v>1074</v>
      </c>
      <c r="G362" t="str" cm="1">
        <f t="array" aca="1" ref="G362" ca="1">eConcatenar(A362:E362,"|")</f>
        <v>2jsYZ0MQKqriTvhQ|1500|2021-9-2|0|final</v>
      </c>
    </row>
    <row r="363" spans="1:7" x14ac:dyDescent="0.25">
      <c r="A363" s="6" t="s">
        <v>4896</v>
      </c>
      <c r="B363" s="4">
        <v>700</v>
      </c>
      <c r="C363" s="4" t="s">
        <v>1126</v>
      </c>
      <c r="D363" s="21">
        <v>0</v>
      </c>
      <c r="E363" t="s">
        <v>1074</v>
      </c>
      <c r="G363" t="str" cm="1">
        <f t="array" aca="1" ref="G363" ca="1">eConcatenar(A363:E363,"|")</f>
        <v>4YlLCPmOvPHMeN3p|700|2021-9-2|0|final</v>
      </c>
    </row>
    <row r="364" spans="1:7" x14ac:dyDescent="0.25">
      <c r="A364" s="6" t="s">
        <v>4897</v>
      </c>
      <c r="B364" s="4">
        <v>1300</v>
      </c>
      <c r="C364" s="4" t="s">
        <v>1124</v>
      </c>
      <c r="D364" s="21">
        <v>0</v>
      </c>
      <c r="E364" t="s">
        <v>1074</v>
      </c>
      <c r="G364" t="str" cm="1">
        <f t="array" aca="1" ref="G364" ca="1">eConcatenar(A364:E364,"|")</f>
        <v>E4LdVKxpl9naTYYB|1300|2021-9-1|0|final</v>
      </c>
    </row>
    <row r="365" spans="1:7" x14ac:dyDescent="0.25">
      <c r="A365" s="6" t="s">
        <v>4898</v>
      </c>
      <c r="B365" s="4">
        <v>1700</v>
      </c>
      <c r="C365" s="4" t="s">
        <v>1126</v>
      </c>
      <c r="D365" s="21">
        <v>0</v>
      </c>
      <c r="E365" t="s">
        <v>1074</v>
      </c>
      <c r="G365" t="str" cm="1">
        <f t="array" aca="1" ref="G365" ca="1">eConcatenar(A365:E365,"|")</f>
        <v>cdGPXXLK3IAbymJK|1700|2021-9-2|0|final</v>
      </c>
    </row>
    <row r="366" spans="1:7" x14ac:dyDescent="0.25">
      <c r="A366" s="6" t="s">
        <v>4899</v>
      </c>
      <c r="B366" s="4">
        <v>1800</v>
      </c>
      <c r="C366" s="4" t="s">
        <v>1126</v>
      </c>
      <c r="D366" s="21">
        <v>0</v>
      </c>
      <c r="E366" t="s">
        <v>1074</v>
      </c>
      <c r="G366" t="str" cm="1">
        <f t="array" aca="1" ref="G366" ca="1">eConcatenar(A366:E366,"|")</f>
        <v>C8pf3bBjb5JABeKF|1800|2021-9-2|0|final</v>
      </c>
    </row>
    <row r="367" spans="1:7" x14ac:dyDescent="0.25">
      <c r="A367" s="6" t="s">
        <v>4900</v>
      </c>
      <c r="B367" s="4">
        <v>2700</v>
      </c>
      <c r="C367" s="4" t="s">
        <v>1126</v>
      </c>
      <c r="D367" s="21">
        <v>0</v>
      </c>
      <c r="E367" t="s">
        <v>1074</v>
      </c>
      <c r="G367" t="str" cm="1">
        <f t="array" aca="1" ref="G367" ca="1">eConcatenar(A367:E367,"|")</f>
        <v>oT8CJVvjCXQBdUE9|2700|2021-9-2|0|final</v>
      </c>
    </row>
    <row r="368" spans="1:7" x14ac:dyDescent="0.25">
      <c r="A368" s="6" t="s">
        <v>4901</v>
      </c>
      <c r="B368" s="4">
        <v>2000</v>
      </c>
      <c r="C368" s="4" t="s">
        <v>1126</v>
      </c>
      <c r="D368" s="21">
        <v>0</v>
      </c>
      <c r="E368" t="s">
        <v>1074</v>
      </c>
      <c r="G368" t="str" cm="1">
        <f t="array" aca="1" ref="G368" ca="1">eConcatenar(A368:E368,"|")</f>
        <v>fNWFlCqB57jqrBel|2000|2021-9-2|0|final</v>
      </c>
    </row>
    <row r="369" spans="1:7" x14ac:dyDescent="0.25">
      <c r="A369" s="6" t="s">
        <v>4902</v>
      </c>
      <c r="B369" s="4">
        <v>2000</v>
      </c>
      <c r="C369" s="4" t="s">
        <v>1124</v>
      </c>
      <c r="D369" s="21">
        <v>0</v>
      </c>
      <c r="E369" t="s">
        <v>1074</v>
      </c>
      <c r="G369" t="str" cm="1">
        <f t="array" aca="1" ref="G369" ca="1">eConcatenar(A369:E369,"|")</f>
        <v>kpSfnruvphL6h4gO|2000|2021-9-1|0|final</v>
      </c>
    </row>
    <row r="370" spans="1:7" x14ac:dyDescent="0.25">
      <c r="A370" s="6" t="s">
        <v>4903</v>
      </c>
      <c r="B370" s="4">
        <v>5400</v>
      </c>
      <c r="C370" s="4" t="s">
        <v>1126</v>
      </c>
      <c r="D370" s="21">
        <v>0</v>
      </c>
      <c r="E370" t="s">
        <v>1074</v>
      </c>
      <c r="G370" t="str" cm="1">
        <f t="array" aca="1" ref="G370" ca="1">eConcatenar(A370:E370,"|")</f>
        <v>IjE1Sb4r131wqJjy|5400|2021-9-2|0|final</v>
      </c>
    </row>
    <row r="371" spans="1:7" x14ac:dyDescent="0.25">
      <c r="A371" s="6" t="s">
        <v>4904</v>
      </c>
      <c r="B371" s="4">
        <v>2200</v>
      </c>
      <c r="C371" s="4" t="s">
        <v>1124</v>
      </c>
      <c r="D371" s="21">
        <v>0</v>
      </c>
      <c r="E371" t="s">
        <v>1074</v>
      </c>
      <c r="G371" t="str" cm="1">
        <f t="array" aca="1" ref="G371" ca="1">eConcatenar(A371:E371,"|")</f>
        <v>GE4U0TdD1O6HEcxk|2200|2021-9-1|0|final</v>
      </c>
    </row>
    <row r="372" spans="1:7" x14ac:dyDescent="0.25">
      <c r="A372" s="6" t="s">
        <v>4905</v>
      </c>
      <c r="B372" s="4">
        <v>1350</v>
      </c>
      <c r="C372" s="4" t="s">
        <v>1126</v>
      </c>
      <c r="D372" s="21">
        <v>0</v>
      </c>
      <c r="E372" t="s">
        <v>1074</v>
      </c>
      <c r="G372" t="str" cm="1">
        <f t="array" aca="1" ref="G372" ca="1">eConcatenar(A372:E372,"|")</f>
        <v>Bt99IgTI1vxH4YJ1|1350|2021-9-2|0|final</v>
      </c>
    </row>
    <row r="373" spans="1:7" x14ac:dyDescent="0.25">
      <c r="A373" s="6" t="s">
        <v>4906</v>
      </c>
      <c r="B373" s="4">
        <v>2600</v>
      </c>
      <c r="C373" s="4" t="s">
        <v>1124</v>
      </c>
      <c r="D373" s="21">
        <v>0</v>
      </c>
      <c r="E373" t="s">
        <v>1074</v>
      </c>
      <c r="G373" t="str" cm="1">
        <f t="array" aca="1" ref="G373" ca="1">eConcatenar(A373:E373,"|")</f>
        <v>1cEQQMTUzPK64NFP|2600|2021-9-1|0|final</v>
      </c>
    </row>
    <row r="374" spans="1:7" x14ac:dyDescent="0.25">
      <c r="A374" s="6" t="s">
        <v>4907</v>
      </c>
      <c r="B374" s="4">
        <v>2200</v>
      </c>
      <c r="C374" s="4" t="s">
        <v>1103</v>
      </c>
      <c r="D374" s="21">
        <v>0</v>
      </c>
      <c r="E374" t="s">
        <v>1074</v>
      </c>
      <c r="G374" t="str" cm="1">
        <f t="array" aca="1" ref="G374" ca="1">eConcatenar(A374:E374,"|")</f>
        <v>mBZyduCtUmxkFcYf|2200|2021-8-18|0|final</v>
      </c>
    </row>
    <row r="375" spans="1:7" x14ac:dyDescent="0.25">
      <c r="A375" s="6" t="s">
        <v>4908</v>
      </c>
      <c r="B375" s="4">
        <v>1850</v>
      </c>
      <c r="C375" s="4" t="s">
        <v>1126</v>
      </c>
      <c r="D375" s="21">
        <v>0</v>
      </c>
      <c r="E375" t="s">
        <v>1074</v>
      </c>
      <c r="G375" t="str" cm="1">
        <f t="array" aca="1" ref="G375" ca="1">eConcatenar(A375:E375,"|")</f>
        <v>awX0RS8xW572Hknt|1850|2021-9-2|0|final</v>
      </c>
    </row>
    <row r="376" spans="1:7" x14ac:dyDescent="0.25">
      <c r="A376" s="6" t="s">
        <v>4909</v>
      </c>
      <c r="B376" s="4">
        <v>3200</v>
      </c>
      <c r="C376" s="4" t="s">
        <v>1126</v>
      </c>
      <c r="D376" s="21">
        <v>0</v>
      </c>
      <c r="E376" t="s">
        <v>1074</v>
      </c>
      <c r="G376" t="str" cm="1">
        <f t="array" aca="1" ref="G376" ca="1">eConcatenar(A376:E376,"|")</f>
        <v>sITKATcNUnwgrZ1a|3200|2021-9-2|0|final</v>
      </c>
    </row>
    <row r="377" spans="1:7" x14ac:dyDescent="0.25">
      <c r="A377" s="6" t="s">
        <v>4910</v>
      </c>
      <c r="B377" s="4">
        <v>2100</v>
      </c>
      <c r="C377" s="4" t="s">
        <v>1124</v>
      </c>
      <c r="D377" s="21">
        <v>0</v>
      </c>
      <c r="E377" t="s">
        <v>1074</v>
      </c>
      <c r="G377" t="str" cm="1">
        <f t="array" aca="1" ref="G377" ca="1">eConcatenar(A377:E377,"|")</f>
        <v>PEjsuBiJ9nuPzfz1|2100|2021-9-1|0|final</v>
      </c>
    </row>
    <row r="378" spans="1:7" x14ac:dyDescent="0.25">
      <c r="A378" s="6" t="s">
        <v>4912</v>
      </c>
      <c r="B378" s="4">
        <v>7300</v>
      </c>
      <c r="C378" s="4" t="s">
        <v>1124</v>
      </c>
      <c r="D378" s="21">
        <v>0</v>
      </c>
      <c r="E378" t="s">
        <v>1074</v>
      </c>
      <c r="G378" t="str" cm="1">
        <f t="array" aca="1" ref="G378" ca="1">eConcatenar(A378:E378,"|")</f>
        <v>OXU7tmsJdLqT3yI3|7300|2021-9-1|0|final</v>
      </c>
    </row>
    <row r="379" spans="1:7" x14ac:dyDescent="0.25">
      <c r="A379" s="6" t="s">
        <v>4913</v>
      </c>
      <c r="B379" s="4">
        <v>2100</v>
      </c>
      <c r="C379" s="4" t="s">
        <v>1124</v>
      </c>
      <c r="D379" s="21">
        <v>0</v>
      </c>
      <c r="E379" t="s">
        <v>1074</v>
      </c>
      <c r="G379" t="str" cm="1">
        <f t="array" aca="1" ref="G379" ca="1">eConcatenar(A379:E379,"|")</f>
        <v>T9Tp0ZgTJWS8laoI|2100|2021-9-1|0|final</v>
      </c>
    </row>
    <row r="380" spans="1:7" x14ac:dyDescent="0.25">
      <c r="A380" s="6" t="s">
        <v>4914</v>
      </c>
      <c r="B380" s="4">
        <v>2400</v>
      </c>
      <c r="C380" s="4" t="s">
        <v>1124</v>
      </c>
      <c r="D380" s="21">
        <v>0</v>
      </c>
      <c r="E380" t="s">
        <v>1074</v>
      </c>
      <c r="G380" t="str" cm="1">
        <f t="array" aca="1" ref="G380" ca="1">eConcatenar(A380:E380,"|")</f>
        <v>r5uDzbUy9KdSTRV4|2400|2021-9-1|0|final</v>
      </c>
    </row>
    <row r="381" spans="1:7" x14ac:dyDescent="0.25">
      <c r="A381" s="6" t="s">
        <v>4915</v>
      </c>
      <c r="B381" s="4">
        <v>2800</v>
      </c>
      <c r="C381" s="4" t="s">
        <v>1126</v>
      </c>
      <c r="D381" s="21">
        <v>0</v>
      </c>
      <c r="E381" t="s">
        <v>1074</v>
      </c>
      <c r="G381" t="str" cm="1">
        <f t="array" aca="1" ref="G381" ca="1">eConcatenar(A381:E381,"|")</f>
        <v>SgFgZzKDlyg94XLR|2800|2021-9-2|0|final</v>
      </c>
    </row>
    <row r="382" spans="1:7" x14ac:dyDescent="0.25">
      <c r="A382" s="6" t="s">
        <v>4917</v>
      </c>
      <c r="B382" s="4">
        <v>2800</v>
      </c>
      <c r="C382" s="4" t="s">
        <v>1126</v>
      </c>
      <c r="D382" s="21">
        <v>0</v>
      </c>
      <c r="E382" t="s">
        <v>1074</v>
      </c>
      <c r="G382" t="str" cm="1">
        <f t="array" aca="1" ref="G382" ca="1">eConcatenar(A382:E382,"|")</f>
        <v>6TVESOA2S9fZdT7U|2800|2021-9-2|0|final</v>
      </c>
    </row>
    <row r="383" spans="1:7" x14ac:dyDescent="0.25">
      <c r="A383" s="6" t="s">
        <v>4918</v>
      </c>
      <c r="B383" s="4">
        <v>2200</v>
      </c>
      <c r="C383" s="4" t="s">
        <v>1126</v>
      </c>
      <c r="D383" s="21">
        <v>0</v>
      </c>
      <c r="E383" t="s">
        <v>1074</v>
      </c>
      <c r="G383" t="str" cm="1">
        <f t="array" aca="1" ref="G383" ca="1">eConcatenar(A383:E383,"|")</f>
        <v>ifZlxasHgPDi5OL9|2200|2021-9-2|0|final</v>
      </c>
    </row>
    <row r="384" spans="1:7" x14ac:dyDescent="0.25">
      <c r="A384" s="6" t="s">
        <v>4919</v>
      </c>
      <c r="B384" s="4">
        <v>5000</v>
      </c>
      <c r="C384" s="4" t="s">
        <v>1127</v>
      </c>
      <c r="D384" s="21">
        <v>0</v>
      </c>
      <c r="E384" t="s">
        <v>1074</v>
      </c>
      <c r="G384" t="str" cm="1">
        <f t="array" aca="1" ref="G384" ca="1">eConcatenar(A384:E384,"|")</f>
        <v>CNyIAJDqgI4Njuvg|5000|2021-8-19|0|final</v>
      </c>
    </row>
    <row r="385" spans="1:7" x14ac:dyDescent="0.25">
      <c r="A385" s="6" t="s">
        <v>4920</v>
      </c>
      <c r="B385" s="4">
        <v>3200</v>
      </c>
      <c r="C385" s="4" t="s">
        <v>1119</v>
      </c>
      <c r="D385" s="21">
        <v>0</v>
      </c>
      <c r="E385" t="s">
        <v>1074</v>
      </c>
      <c r="G385" t="str" cm="1">
        <f t="array" aca="1" ref="G385" ca="1">eConcatenar(A385:E385,"|")</f>
        <v>9PzKgV6Hv33DxgmI|3200|2021-8-2|0|final</v>
      </c>
    </row>
    <row r="386" spans="1:7" x14ac:dyDescent="0.25">
      <c r="A386" s="6" t="s">
        <v>4921</v>
      </c>
      <c r="B386" s="4">
        <v>2800</v>
      </c>
      <c r="C386" s="4" t="s">
        <v>1124</v>
      </c>
      <c r="D386" s="21">
        <v>0</v>
      </c>
      <c r="E386" t="s">
        <v>1074</v>
      </c>
      <c r="G386" t="str" cm="1">
        <f t="array" aca="1" ref="G386" ca="1">eConcatenar(A386:E386,"|")</f>
        <v>UiGrZx7i2zDxf0uL|2800|2021-9-1|0|final</v>
      </c>
    </row>
    <row r="387" spans="1:7" x14ac:dyDescent="0.25">
      <c r="A387" s="6" t="s">
        <v>4922</v>
      </c>
      <c r="B387" s="4">
        <v>2200</v>
      </c>
      <c r="C387" s="4" t="s">
        <v>1128</v>
      </c>
      <c r="D387" s="21">
        <v>0</v>
      </c>
      <c r="E387" t="s">
        <v>1074</v>
      </c>
      <c r="G387" t="str" cm="1">
        <f t="array" aca="1" ref="G387" ca="1">eConcatenar(A387:E387,"|")</f>
        <v>K2IgiyDatRmFwEnE|2200|2021-8-5|0|final</v>
      </c>
    </row>
    <row r="388" spans="1:7" x14ac:dyDescent="0.25">
      <c r="A388" s="6" t="s">
        <v>4923</v>
      </c>
      <c r="B388" s="4">
        <v>3050</v>
      </c>
      <c r="C388" s="4" t="s">
        <v>4777</v>
      </c>
      <c r="D388" s="21">
        <v>0</v>
      </c>
      <c r="E388" t="s">
        <v>1074</v>
      </c>
      <c r="G388" t="str" cm="1">
        <f t="array" aca="1" ref="G388" ca="1">eConcatenar(A388:E388,"|")</f>
        <v>HlZ77BB6dzETQQex|3050|2021-8-4|0|final</v>
      </c>
    </row>
    <row r="389" spans="1:7" x14ac:dyDescent="0.25">
      <c r="A389" s="19" t="s">
        <v>4924</v>
      </c>
      <c r="B389" s="19">
        <v>2900</v>
      </c>
      <c r="C389" s="4" t="s">
        <v>1108</v>
      </c>
      <c r="D389" s="21">
        <v>0</v>
      </c>
      <c r="E389" t="s">
        <v>1074</v>
      </c>
      <c r="G389" t="str" cm="1">
        <f t="array" aca="1" ref="G389" ca="1">eConcatenar(A389:E389,"|")</f>
        <v>ZphCZMIxfcPanhz3|2900|2021-9-8|0|final</v>
      </c>
    </row>
    <row r="390" spans="1:7" x14ac:dyDescent="0.25">
      <c r="A390" s="19" t="s">
        <v>4925</v>
      </c>
      <c r="B390" s="19">
        <v>5200</v>
      </c>
      <c r="C390" s="4" t="s">
        <v>1126</v>
      </c>
      <c r="D390" s="21">
        <v>0</v>
      </c>
      <c r="E390" t="s">
        <v>1074</v>
      </c>
      <c r="G390" t="str" cm="1">
        <f t="array" aca="1" ref="G390" ca="1">eConcatenar(A390:E390,"|")</f>
        <v>shmNmUXa4KFiq8pu|5200|2021-9-2|0|final</v>
      </c>
    </row>
    <row r="391" spans="1:7" x14ac:dyDescent="0.25">
      <c r="A391" s="19" t="s">
        <v>4926</v>
      </c>
      <c r="B391" s="19">
        <v>11200</v>
      </c>
      <c r="C391" s="4" t="s">
        <v>1124</v>
      </c>
      <c r="D391" s="21">
        <v>0</v>
      </c>
      <c r="E391" t="s">
        <v>1074</v>
      </c>
      <c r="G391" t="str" cm="1">
        <f t="array" aca="1" ref="G391" ca="1">eConcatenar(A391:E391,"|")</f>
        <v>aYX5MjmaaH3u8oEM|11200|2021-9-1|0|final</v>
      </c>
    </row>
    <row r="392" spans="1:7" x14ac:dyDescent="0.25">
      <c r="A392" s="19" t="s">
        <v>4927</v>
      </c>
      <c r="B392" s="19">
        <v>2300</v>
      </c>
      <c r="C392" s="4" t="s">
        <v>1126</v>
      </c>
      <c r="D392" s="21">
        <v>0</v>
      </c>
      <c r="E392" t="s">
        <v>1074</v>
      </c>
      <c r="G392" t="str" cm="1">
        <f t="array" aca="1" ref="G392" ca="1">eConcatenar(A392:E392,"|")</f>
        <v>nXmW9iGQmj5m2xbP|2300|2021-9-2|0|final</v>
      </c>
    </row>
    <row r="393" spans="1:7" x14ac:dyDescent="0.25">
      <c r="A393" s="19" t="s">
        <v>4928</v>
      </c>
      <c r="B393" s="19">
        <v>8000</v>
      </c>
      <c r="C393" s="4" t="s">
        <v>1126</v>
      </c>
      <c r="D393" s="21">
        <v>0</v>
      </c>
      <c r="E393" t="s">
        <v>1074</v>
      </c>
      <c r="G393" t="str" cm="1">
        <f t="array" aca="1" ref="G393" ca="1">eConcatenar(A393:E393,"|")</f>
        <v>VVcY895R0COxq3x9|8000|2021-9-2|0|final</v>
      </c>
    </row>
    <row r="394" spans="1:7" x14ac:dyDescent="0.25">
      <c r="A394" s="19" t="s">
        <v>4929</v>
      </c>
      <c r="B394" s="19">
        <v>6200</v>
      </c>
      <c r="C394" s="4" t="s">
        <v>1124</v>
      </c>
      <c r="D394" s="21">
        <v>0</v>
      </c>
      <c r="E394" t="s">
        <v>1074</v>
      </c>
      <c r="G394" t="str" cm="1">
        <f t="array" aca="1" ref="G394" ca="1">eConcatenar(A394:E394,"|")</f>
        <v>MCnDX1F062addXBt|6200|2021-9-1|0|final</v>
      </c>
    </row>
    <row r="395" spans="1:7" x14ac:dyDescent="0.25">
      <c r="A395" s="19" t="s">
        <v>4930</v>
      </c>
      <c r="B395" s="19">
        <v>6800</v>
      </c>
      <c r="C395" s="4" t="s">
        <v>1126</v>
      </c>
      <c r="D395" s="21">
        <v>0</v>
      </c>
      <c r="E395" t="s">
        <v>1074</v>
      </c>
      <c r="G395" t="str" cm="1">
        <f t="array" aca="1" ref="G395" ca="1">eConcatenar(A395:E395,"|")</f>
        <v>EqEVJ1J5TlJYDmHu|6800|2021-9-2|0|final</v>
      </c>
    </row>
    <row r="396" spans="1:7" x14ac:dyDescent="0.25">
      <c r="A396" s="19" t="s">
        <v>4931</v>
      </c>
      <c r="B396" s="19">
        <v>8850</v>
      </c>
      <c r="C396" s="4" t="s">
        <v>1124</v>
      </c>
      <c r="D396" s="21">
        <v>0</v>
      </c>
      <c r="E396" t="s">
        <v>1074</v>
      </c>
      <c r="G396" t="str" cm="1">
        <f t="array" aca="1" ref="G396" ca="1">eConcatenar(A396:E396,"|")</f>
        <v>O6Slm838oWXfjVZN|8850|2021-9-1|0|final</v>
      </c>
    </row>
    <row r="397" spans="1:7" x14ac:dyDescent="0.25">
      <c r="A397" s="19" t="s">
        <v>4932</v>
      </c>
      <c r="B397" s="19">
        <v>9400</v>
      </c>
      <c r="C397" s="4" t="s">
        <v>1127</v>
      </c>
      <c r="D397" s="21">
        <v>0</v>
      </c>
      <c r="E397" t="s">
        <v>1074</v>
      </c>
      <c r="G397" t="str" cm="1">
        <f t="array" aca="1" ref="G397" ca="1">eConcatenar(A397:E397,"|")</f>
        <v>ZfwuCu15ocRtaaes|9400|2021-8-19|0|final</v>
      </c>
    </row>
    <row r="398" spans="1:7" x14ac:dyDescent="0.25">
      <c r="A398" s="19" t="s">
        <v>4933</v>
      </c>
      <c r="B398" s="19">
        <v>8700</v>
      </c>
      <c r="C398" s="4" t="s">
        <v>1126</v>
      </c>
      <c r="D398" s="21">
        <v>0</v>
      </c>
      <c r="E398" t="s">
        <v>1074</v>
      </c>
      <c r="G398" t="str" cm="1">
        <f t="array" aca="1" ref="G398" ca="1">eConcatenar(A398:E398,"|")</f>
        <v>oDS4ZINSesOkrN0d|8700|2021-9-2|0|final</v>
      </c>
    </row>
    <row r="399" spans="1:7" x14ac:dyDescent="0.25">
      <c r="A399" s="19" t="s">
        <v>4934</v>
      </c>
      <c r="B399" s="19">
        <v>11300</v>
      </c>
      <c r="C399" s="4" t="s">
        <v>1119</v>
      </c>
      <c r="D399" s="21">
        <v>0</v>
      </c>
      <c r="E399" t="s">
        <v>1074</v>
      </c>
      <c r="G399" t="str" cm="1">
        <f t="array" aca="1" ref="G399" ca="1">eConcatenar(A399:E399,"|")</f>
        <v>XBFaMxGu9oCCWedQ|11300|2021-8-2|0|final</v>
      </c>
    </row>
    <row r="400" spans="1:7" x14ac:dyDescent="0.25">
      <c r="A400" s="19" t="s">
        <v>4935</v>
      </c>
      <c r="B400" s="19">
        <v>5600</v>
      </c>
      <c r="C400" s="4" t="s">
        <v>1124</v>
      </c>
      <c r="D400" s="21">
        <v>0</v>
      </c>
      <c r="E400" t="s">
        <v>1074</v>
      </c>
      <c r="G400" t="str" cm="1">
        <f t="array" aca="1" ref="G400" ca="1">eConcatenar(A400:E400,"|")</f>
        <v>8sjphOqOKulCbIe3|5600|2021-9-1|0|final</v>
      </c>
    </row>
    <row r="401" spans="1:7" x14ac:dyDescent="0.25">
      <c r="A401" s="19" t="s">
        <v>4936</v>
      </c>
      <c r="B401" s="19">
        <v>3600</v>
      </c>
      <c r="C401" s="4" t="s">
        <v>1124</v>
      </c>
      <c r="D401" s="21">
        <v>0</v>
      </c>
      <c r="E401" t="s">
        <v>1074</v>
      </c>
      <c r="G401" t="str" cm="1">
        <f t="array" aca="1" ref="G401" ca="1">eConcatenar(A401:E401,"|")</f>
        <v>tBX5DWSjtds6Baeq|3600|2021-9-1|0|final</v>
      </c>
    </row>
    <row r="402" spans="1:7" x14ac:dyDescent="0.25">
      <c r="A402" s="19" t="s">
        <v>4937</v>
      </c>
      <c r="B402" s="19">
        <v>3600</v>
      </c>
      <c r="C402" s="4" t="s">
        <v>1124</v>
      </c>
      <c r="D402" s="21">
        <v>0</v>
      </c>
      <c r="E402" t="s">
        <v>1074</v>
      </c>
      <c r="G402" t="str" cm="1">
        <f t="array" aca="1" ref="G402" ca="1">eConcatenar(A402:E402,"|")</f>
        <v>Y4ugrAv7HXteDITF|3600|2021-9-1|0|final</v>
      </c>
    </row>
    <row r="403" spans="1:7" x14ac:dyDescent="0.25">
      <c r="A403" s="19" t="s">
        <v>4938</v>
      </c>
      <c r="B403" s="19">
        <v>9730</v>
      </c>
      <c r="C403" s="4" t="s">
        <v>1126</v>
      </c>
      <c r="D403" s="21">
        <v>0</v>
      </c>
      <c r="E403" t="s">
        <v>1074</v>
      </c>
      <c r="G403" t="str" cm="1">
        <f t="array" aca="1" ref="G403" ca="1">eConcatenar(A403:E403,"|")</f>
        <v>ODnM4Rhuy4bvprwL|9730|2021-9-2|0|final</v>
      </c>
    </row>
    <row r="404" spans="1:7" x14ac:dyDescent="0.25">
      <c r="A404" s="19" t="s">
        <v>4939</v>
      </c>
      <c r="B404" s="19">
        <v>12500</v>
      </c>
      <c r="C404" s="4" t="s">
        <v>1103</v>
      </c>
      <c r="D404" s="21">
        <v>0</v>
      </c>
      <c r="E404" t="s">
        <v>1074</v>
      </c>
      <c r="G404" t="str" cm="1">
        <f t="array" aca="1" ref="G404" ca="1">eConcatenar(A404:E404,"|")</f>
        <v>mH6MmdNYVJgp61sE|12500|2021-8-18|0|final</v>
      </c>
    </row>
    <row r="405" spans="1:7" x14ac:dyDescent="0.25">
      <c r="A405" s="19" t="s">
        <v>4940</v>
      </c>
      <c r="B405" s="19">
        <v>3420</v>
      </c>
      <c r="C405" s="4" t="s">
        <v>4777</v>
      </c>
      <c r="D405" s="21">
        <v>0</v>
      </c>
      <c r="E405" t="s">
        <v>1074</v>
      </c>
      <c r="G405" t="str" cm="1">
        <f t="array" aca="1" ref="G405" ca="1">eConcatenar(A405:E405,"|")</f>
        <v>lm9lLMOs7kVTPEIU|3420|2021-8-4|0|final</v>
      </c>
    </row>
    <row r="406" spans="1:7" x14ac:dyDescent="0.25">
      <c r="A406" s="19" t="s">
        <v>4941</v>
      </c>
      <c r="B406" s="19">
        <v>3800</v>
      </c>
      <c r="C406" s="4" t="s">
        <v>1127</v>
      </c>
      <c r="D406" s="21">
        <v>0</v>
      </c>
      <c r="E406" t="s">
        <v>1074</v>
      </c>
      <c r="G406" t="str" cm="1">
        <f t="array" aca="1" ref="G406" ca="1">eConcatenar(A406:E406,"|")</f>
        <v>ah84gP8zlsu89Ip9|3800|2021-8-19|0|final</v>
      </c>
    </row>
    <row r="407" spans="1:7" x14ac:dyDescent="0.25">
      <c r="A407" s="6" t="s">
        <v>4942</v>
      </c>
      <c r="B407" s="4">
        <v>8900</v>
      </c>
      <c r="C407" s="4" t="s">
        <v>4943</v>
      </c>
      <c r="D407" s="21">
        <v>0</v>
      </c>
      <c r="E407" t="s">
        <v>1074</v>
      </c>
      <c r="G407" t="str" cm="1">
        <f t="array" aca="1" ref="G407" ca="1">eConcatenar(A407:E407,"|")</f>
        <v>OldMrLrG8ui850NF|8900|2021-9-3|0|final</v>
      </c>
    </row>
    <row r="408" spans="1:7" x14ac:dyDescent="0.25">
      <c r="A408" s="6" t="s">
        <v>4944</v>
      </c>
      <c r="B408" s="4">
        <v>11200</v>
      </c>
      <c r="C408" s="4" t="s">
        <v>4945</v>
      </c>
      <c r="D408" s="21">
        <v>0</v>
      </c>
      <c r="E408" t="s">
        <v>1074</v>
      </c>
      <c r="G408" t="str" cm="1">
        <f t="array" aca="1" ref="G408" ca="1">eConcatenar(A408:E408,"|")</f>
        <v>jdlXfV12JS57PhIg|11200|2021-8-20|0|final</v>
      </c>
    </row>
    <row r="409" spans="1:7" x14ac:dyDescent="0.25">
      <c r="A409" s="6" t="s">
        <v>4946</v>
      </c>
      <c r="B409" s="4">
        <v>11500</v>
      </c>
      <c r="C409" s="4" t="s">
        <v>1121</v>
      </c>
      <c r="D409" s="21">
        <v>0</v>
      </c>
      <c r="E409" t="s">
        <v>1074</v>
      </c>
      <c r="G409" t="str" cm="1">
        <f t="array" aca="1" ref="G409" ca="1">eConcatenar(A409:E409,"|")</f>
        <v>ryOXdIydEoxtqRCi|11500|2021-8-7|0|final</v>
      </c>
    </row>
    <row r="410" spans="1:7" x14ac:dyDescent="0.25">
      <c r="A410" s="6" t="s">
        <v>4947</v>
      </c>
      <c r="B410" s="4">
        <v>12200</v>
      </c>
      <c r="C410" s="4" t="s">
        <v>1107</v>
      </c>
      <c r="D410" s="21">
        <v>0</v>
      </c>
      <c r="E410" t="s">
        <v>1074</v>
      </c>
      <c r="G410" t="str" cm="1">
        <f t="array" aca="1" ref="G410" ca="1">eConcatenar(A410:E410,"|")</f>
        <v>pzDFQvOPpKhvCrmt|12200|2021-7-21|0|final</v>
      </c>
    </row>
    <row r="411" spans="1:7" x14ac:dyDescent="0.25">
      <c r="A411" s="6" t="s">
        <v>4948</v>
      </c>
      <c r="B411" s="4">
        <v>9700</v>
      </c>
      <c r="C411" s="4" t="s">
        <v>1125</v>
      </c>
      <c r="D411" s="21">
        <v>0</v>
      </c>
      <c r="E411" t="s">
        <v>1074</v>
      </c>
      <c r="G411" t="str" cm="1">
        <f t="array" aca="1" ref="G411" ca="1">eConcatenar(A411:E411,"|")</f>
        <v>E3NcI7JmvAk0mtiC|9700|2021-8-21|0|final</v>
      </c>
    </row>
    <row r="412" spans="1:7" x14ac:dyDescent="0.25">
      <c r="A412" s="6" t="s">
        <v>4950</v>
      </c>
      <c r="B412" s="4">
        <v>12300</v>
      </c>
      <c r="C412" s="4" t="s">
        <v>1125</v>
      </c>
      <c r="D412" s="21">
        <v>0</v>
      </c>
      <c r="E412" t="s">
        <v>1074</v>
      </c>
      <c r="G412" t="str" cm="1">
        <f t="array" aca="1" ref="G412" ca="1">eConcatenar(A412:E412,"|")</f>
        <v>vxp1dyY2HKbDEOwf|12300|2021-8-21|0|final</v>
      </c>
    </row>
    <row r="413" spans="1:7" x14ac:dyDescent="0.25">
      <c r="A413" s="6" t="s">
        <v>4951</v>
      </c>
      <c r="B413" s="4">
        <v>9400</v>
      </c>
      <c r="C413" s="4" t="s">
        <v>1132</v>
      </c>
      <c r="D413" s="21">
        <v>0</v>
      </c>
      <c r="E413" t="s">
        <v>1074</v>
      </c>
      <c r="G413" t="str" cm="1">
        <f t="array" aca="1" ref="G413" ca="1">eConcatenar(A413:E413,"|")</f>
        <v>H6ivdD7aPxc4GAkr|9400|2021-9-4|0|final</v>
      </c>
    </row>
    <row r="414" spans="1:7" x14ac:dyDescent="0.25">
      <c r="A414" s="6" t="s">
        <v>4952</v>
      </c>
      <c r="B414" s="4">
        <v>12200</v>
      </c>
      <c r="C414" s="4" t="s">
        <v>1125</v>
      </c>
      <c r="D414" s="21">
        <v>0</v>
      </c>
      <c r="E414" t="s">
        <v>1074</v>
      </c>
      <c r="G414" t="str" cm="1">
        <f t="array" aca="1" ref="G414" ca="1">eConcatenar(A414:E414,"|")</f>
        <v>GEHDuFVHCCltrPxd|12200|2021-8-21|0|final</v>
      </c>
    </row>
    <row r="415" spans="1:7" x14ac:dyDescent="0.25">
      <c r="A415" s="6" t="s">
        <v>4953</v>
      </c>
      <c r="B415" s="4">
        <v>12300</v>
      </c>
      <c r="C415" s="4" t="s">
        <v>4943</v>
      </c>
      <c r="D415" s="21">
        <v>0</v>
      </c>
      <c r="E415" t="s">
        <v>1074</v>
      </c>
      <c r="G415" t="str" cm="1">
        <f t="array" aca="1" ref="G415" ca="1">eConcatenar(A415:E415,"|")</f>
        <v>I7s1Qw37IevYs33V|12300|2021-9-3|0|final</v>
      </c>
    </row>
    <row r="416" spans="1:7" x14ac:dyDescent="0.25">
      <c r="A416" s="6" t="s">
        <v>4954</v>
      </c>
      <c r="B416" s="4">
        <v>4900</v>
      </c>
      <c r="C416" s="4" t="s">
        <v>1132</v>
      </c>
      <c r="D416" s="21">
        <v>0</v>
      </c>
      <c r="E416" t="s">
        <v>1074</v>
      </c>
      <c r="G416" t="str" cm="1">
        <f t="array" aca="1" ref="G416" ca="1">eConcatenar(A416:E416,"|")</f>
        <v>7bSb8tt5f2Fwv9so|4900|2021-9-4|0|final</v>
      </c>
    </row>
    <row r="417" spans="1:7" x14ac:dyDescent="0.25">
      <c r="A417" s="6" t="s">
        <v>4955</v>
      </c>
      <c r="B417" s="4">
        <v>4600</v>
      </c>
      <c r="C417" s="4" t="s">
        <v>4943</v>
      </c>
      <c r="D417" s="21">
        <v>0</v>
      </c>
      <c r="E417" t="s">
        <v>1074</v>
      </c>
      <c r="G417" t="str" cm="1">
        <f t="array" aca="1" ref="G417" ca="1">eConcatenar(A417:E417,"|")</f>
        <v>u2wGA7xf8TTCjc2z|4600|2021-9-3|0|final</v>
      </c>
    </row>
    <row r="418" spans="1:7" x14ac:dyDescent="0.25">
      <c r="A418" s="6" t="s">
        <v>4956</v>
      </c>
      <c r="B418" s="4">
        <v>4400</v>
      </c>
      <c r="C418" s="4" t="s">
        <v>1125</v>
      </c>
      <c r="D418" s="21">
        <v>0</v>
      </c>
      <c r="E418" t="s">
        <v>1074</v>
      </c>
      <c r="G418" t="str" cm="1">
        <f t="array" aca="1" ref="G418" ca="1">eConcatenar(A418:E418,"|")</f>
        <v>nPxYmq9aHdT5iPeV|4400|2021-8-21|0|final</v>
      </c>
    </row>
    <row r="419" spans="1:7" x14ac:dyDescent="0.25">
      <c r="A419" s="6" t="s">
        <v>4958</v>
      </c>
      <c r="B419" s="4">
        <v>3400</v>
      </c>
      <c r="C419" s="4" t="s">
        <v>4943</v>
      </c>
      <c r="D419" s="21">
        <v>0</v>
      </c>
      <c r="E419" t="s">
        <v>1074</v>
      </c>
      <c r="G419" t="str" cm="1">
        <f t="array" aca="1" ref="G419" ca="1">eConcatenar(A419:E419,"|")</f>
        <v>icbDcammDITlb72t|3400|2021-9-3|0|final</v>
      </c>
    </row>
    <row r="420" spans="1:7" x14ac:dyDescent="0.25">
      <c r="A420" s="6" t="s">
        <v>4959</v>
      </c>
      <c r="B420" s="4">
        <v>2600</v>
      </c>
      <c r="C420" s="4" t="s">
        <v>4760</v>
      </c>
      <c r="D420" s="21">
        <v>0</v>
      </c>
      <c r="E420" t="s">
        <v>1074</v>
      </c>
      <c r="G420" t="str" cm="1">
        <f t="array" aca="1" ref="G420" ca="1">eConcatenar(A420:E420,"|")</f>
        <v>FwTklmxva7bOVRtq|2600|2021-8-9|0|final</v>
      </c>
    </row>
    <row r="421" spans="1:7" x14ac:dyDescent="0.25">
      <c r="A421" s="6" t="s">
        <v>4960</v>
      </c>
      <c r="B421" s="4">
        <v>5000</v>
      </c>
      <c r="C421" s="4" t="s">
        <v>1132</v>
      </c>
      <c r="D421" s="21">
        <v>0</v>
      </c>
      <c r="E421" t="s">
        <v>1074</v>
      </c>
      <c r="G421" t="str" cm="1">
        <f t="array" aca="1" ref="G421" ca="1">eConcatenar(A421:E421,"|")</f>
        <v>BNCUD6ckDeV2wsSL|5000|2021-9-4|0|final</v>
      </c>
    </row>
    <row r="422" spans="1:7" x14ac:dyDescent="0.25">
      <c r="A422" s="6" t="s">
        <v>4962</v>
      </c>
      <c r="B422" s="4">
        <v>5300</v>
      </c>
      <c r="C422" s="4" t="s">
        <v>1132</v>
      </c>
      <c r="D422" s="21">
        <v>0</v>
      </c>
      <c r="E422" t="s">
        <v>1074</v>
      </c>
      <c r="G422" t="str" cm="1">
        <f t="array" aca="1" ref="G422" ca="1">eConcatenar(A422:E422,"|")</f>
        <v>3BxZxzOfat3xygF5|5300|2021-9-4|0|final</v>
      </c>
    </row>
    <row r="423" spans="1:7" x14ac:dyDescent="0.25">
      <c r="A423" s="6" t="s">
        <v>4963</v>
      </c>
      <c r="B423" s="4">
        <v>3800</v>
      </c>
      <c r="C423" s="4" t="s">
        <v>1120</v>
      </c>
      <c r="D423" s="21">
        <v>0</v>
      </c>
      <c r="E423" t="s">
        <v>1074</v>
      </c>
      <c r="G423" t="str" cm="1">
        <f t="array" aca="1" ref="G423" ca="1">eConcatenar(A423:E423,"|")</f>
        <v>hIpX1WE1Ej5ts1A5|3800|2021-8-6|0|final</v>
      </c>
    </row>
    <row r="424" spans="1:7" x14ac:dyDescent="0.25">
      <c r="A424" s="6" t="s">
        <v>4964</v>
      </c>
      <c r="B424" s="4">
        <v>10850</v>
      </c>
      <c r="C424" s="4" t="s">
        <v>1132</v>
      </c>
      <c r="D424" s="21">
        <v>0</v>
      </c>
      <c r="E424" t="s">
        <v>1074</v>
      </c>
      <c r="G424" t="str" cm="1">
        <f t="array" aca="1" ref="G424" ca="1">eConcatenar(A424:E424,"|")</f>
        <v>CrL1QyTSgyOcfqhD|10850|2021-9-4|0|final</v>
      </c>
    </row>
    <row r="425" spans="1:7" x14ac:dyDescent="0.25">
      <c r="A425" s="6" t="s">
        <v>4965</v>
      </c>
      <c r="B425" s="4">
        <v>4000</v>
      </c>
      <c r="C425" s="4" t="s">
        <v>1125</v>
      </c>
      <c r="D425" s="21">
        <v>0</v>
      </c>
      <c r="E425" t="s">
        <v>1074</v>
      </c>
      <c r="G425" t="str" cm="1">
        <f t="array" aca="1" ref="G425" ca="1">eConcatenar(A425:E425,"|")</f>
        <v>iKHqPdx6v8Z8MhxK|4000|2021-8-21|0|final</v>
      </c>
    </row>
    <row r="426" spans="1:7" x14ac:dyDescent="0.25">
      <c r="A426" s="6" t="s">
        <v>4966</v>
      </c>
      <c r="B426" s="4">
        <v>2000</v>
      </c>
      <c r="C426" s="4" t="s">
        <v>1118</v>
      </c>
      <c r="D426" s="21">
        <v>0</v>
      </c>
      <c r="E426" t="s">
        <v>1074</v>
      </c>
      <c r="G426" t="str" cm="1">
        <f t="array" aca="1" ref="G426" ca="1">eConcatenar(A426:E426,"|")</f>
        <v>d8Xw7MWxUeMA9K6K|2000|2021-2-20|0|final</v>
      </c>
    </row>
    <row r="427" spans="1:7" x14ac:dyDescent="0.25">
      <c r="A427" s="6" t="s">
        <v>4967</v>
      </c>
      <c r="B427" s="4">
        <v>5900</v>
      </c>
      <c r="C427" s="4" t="s">
        <v>1132</v>
      </c>
      <c r="D427" s="21">
        <v>0</v>
      </c>
      <c r="E427" t="s">
        <v>1074</v>
      </c>
      <c r="G427" t="str" cm="1">
        <f t="array" aca="1" ref="G427" ca="1">eConcatenar(A427:E427,"|")</f>
        <v>IV4KmbGc2vZlVvO9|5900|2021-9-4|0|final</v>
      </c>
    </row>
    <row r="428" spans="1:7" x14ac:dyDescent="0.25">
      <c r="A428" s="6" t="s">
        <v>4969</v>
      </c>
      <c r="B428" s="4">
        <v>8600</v>
      </c>
      <c r="C428" s="4" t="s">
        <v>1132</v>
      </c>
      <c r="D428" s="21">
        <v>0</v>
      </c>
      <c r="E428" t="s">
        <v>1074</v>
      </c>
      <c r="G428" t="str" cm="1">
        <f t="array" aca="1" ref="G428" ca="1">eConcatenar(A428:E428,"|")</f>
        <v>Bxy6vW3PQ8eU5A4l|8600|2021-9-4|0|final</v>
      </c>
    </row>
    <row r="429" spans="1:7" x14ac:dyDescent="0.25">
      <c r="A429" s="6" t="s">
        <v>4970</v>
      </c>
      <c r="B429" s="4">
        <v>8600</v>
      </c>
      <c r="C429" s="4" t="s">
        <v>1132</v>
      </c>
      <c r="D429" s="21">
        <v>0</v>
      </c>
      <c r="E429" t="s">
        <v>1074</v>
      </c>
      <c r="G429" t="str" cm="1">
        <f t="array" aca="1" ref="G429" ca="1">eConcatenar(A429:E429,"|")</f>
        <v>KPDNgH4fK0tyYuUx|8600|2021-9-4|0|final</v>
      </c>
    </row>
    <row r="430" spans="1:7" x14ac:dyDescent="0.25">
      <c r="A430" s="6" t="s">
        <v>4971</v>
      </c>
      <c r="B430" s="4">
        <v>7250</v>
      </c>
      <c r="C430" s="4" t="s">
        <v>4945</v>
      </c>
      <c r="D430" s="21">
        <v>0</v>
      </c>
      <c r="E430" t="s">
        <v>1074</v>
      </c>
      <c r="G430" t="str" cm="1">
        <f t="array" aca="1" ref="G430" ca="1">eConcatenar(A430:E430,"|")</f>
        <v>lo5sGoNdsndQd9kg|7250|2021-8-20|0|final</v>
      </c>
    </row>
    <row r="431" spans="1:7" x14ac:dyDescent="0.25">
      <c r="A431" s="6" t="s">
        <v>4972</v>
      </c>
      <c r="B431" s="4">
        <v>7250</v>
      </c>
      <c r="C431" s="4" t="s">
        <v>4945</v>
      </c>
      <c r="D431" s="21">
        <v>0</v>
      </c>
      <c r="E431" t="s">
        <v>1074</v>
      </c>
      <c r="G431" t="str" cm="1">
        <f t="array" aca="1" ref="G431" ca="1">eConcatenar(A431:E431,"|")</f>
        <v>8T6q0xZlnsQJCNYe|7250|2021-8-20|0|final</v>
      </c>
    </row>
    <row r="432" spans="1:7" x14ac:dyDescent="0.25">
      <c r="A432" s="6" t="s">
        <v>4973</v>
      </c>
      <c r="B432" s="4">
        <v>4500</v>
      </c>
      <c r="C432" s="4" t="s">
        <v>1125</v>
      </c>
      <c r="D432" s="21">
        <v>0</v>
      </c>
      <c r="E432" t="s">
        <v>1074</v>
      </c>
      <c r="G432" t="str" cm="1">
        <f t="array" aca="1" ref="G432" ca="1">eConcatenar(A432:E432,"|")</f>
        <v>wORFOh4A1M83GwNi|4500|2021-8-21|0|final</v>
      </c>
    </row>
    <row r="433" spans="1:7" x14ac:dyDescent="0.25">
      <c r="A433" s="6" t="s">
        <v>4974</v>
      </c>
      <c r="B433" s="4">
        <v>7000</v>
      </c>
      <c r="C433" s="4" t="s">
        <v>4943</v>
      </c>
      <c r="D433" s="21">
        <v>0</v>
      </c>
      <c r="E433" t="s">
        <v>1074</v>
      </c>
      <c r="G433" t="str" cm="1">
        <f t="array" aca="1" ref="G433" ca="1">eConcatenar(A433:E433,"|")</f>
        <v>1Z6bqEeTaIpwwOEG|7000|2021-9-3|0|final</v>
      </c>
    </row>
    <row r="434" spans="1:7" x14ac:dyDescent="0.25">
      <c r="A434" s="6" t="s">
        <v>4975</v>
      </c>
      <c r="B434" s="4">
        <v>4200</v>
      </c>
      <c r="C434" s="4" t="s">
        <v>1120</v>
      </c>
      <c r="D434" s="21">
        <v>0</v>
      </c>
      <c r="E434" t="s">
        <v>1074</v>
      </c>
      <c r="G434" t="str" cm="1">
        <f t="array" aca="1" ref="G434" ca="1">eConcatenar(A434:E434,"|")</f>
        <v>GoWlJ5oosaqb2CF6|4200|2021-8-6|0|final</v>
      </c>
    </row>
    <row r="435" spans="1:7" x14ac:dyDescent="0.25">
      <c r="A435" s="6" t="s">
        <v>4976</v>
      </c>
      <c r="B435" s="4">
        <v>12500</v>
      </c>
      <c r="C435" s="4" t="s">
        <v>1120</v>
      </c>
      <c r="D435" s="21">
        <v>0</v>
      </c>
      <c r="E435" t="s">
        <v>1074</v>
      </c>
      <c r="G435" t="str" cm="1">
        <f t="array" aca="1" ref="G435" ca="1">eConcatenar(A435:E435,"|")</f>
        <v>hr6wlyYYu3MOuKqO|12500|2021-8-6|0|final</v>
      </c>
    </row>
    <row r="436" spans="1:7" x14ac:dyDescent="0.25">
      <c r="A436" s="6" t="s">
        <v>4977</v>
      </c>
      <c r="B436" s="4">
        <v>450</v>
      </c>
      <c r="C436" s="4" t="s">
        <v>4943</v>
      </c>
      <c r="D436" s="21">
        <v>0</v>
      </c>
      <c r="E436" t="s">
        <v>1074</v>
      </c>
      <c r="G436" t="str" cm="1">
        <f t="array" aca="1" ref="G436" ca="1">eConcatenar(A436:E436,"|")</f>
        <v>mOpM1vybHYMT9UXS|450|2021-9-3|0|final</v>
      </c>
    </row>
    <row r="437" spans="1:7" x14ac:dyDescent="0.25">
      <c r="A437" s="6" t="s">
        <v>4978</v>
      </c>
      <c r="B437" s="4">
        <v>800</v>
      </c>
      <c r="C437" s="4" t="s">
        <v>1132</v>
      </c>
      <c r="D437" s="21">
        <v>0</v>
      </c>
      <c r="E437" t="s">
        <v>1074</v>
      </c>
      <c r="G437" t="str" cm="1">
        <f t="array" aca="1" ref="G437" ca="1">eConcatenar(A437:E437,"|")</f>
        <v>qKC0gM659HFZuInh|800|2021-9-4|0|final</v>
      </c>
    </row>
    <row r="438" spans="1:7" x14ac:dyDescent="0.25">
      <c r="A438" s="6" t="s">
        <v>4979</v>
      </c>
      <c r="B438" s="4">
        <v>700</v>
      </c>
      <c r="C438" s="4" t="s">
        <v>4752</v>
      </c>
      <c r="D438" s="21">
        <v>0</v>
      </c>
      <c r="E438" t="s">
        <v>1074</v>
      </c>
      <c r="G438" t="str" cm="1">
        <f t="array" aca="1" ref="G438" ca="1">eConcatenar(A438:E438,"|")</f>
        <v>11lWkLtwJQcaJxbe|700|2021-8-27|0|final</v>
      </c>
    </row>
    <row r="439" spans="1:7" x14ac:dyDescent="0.25">
      <c r="A439" s="6" t="s">
        <v>4980</v>
      </c>
      <c r="B439" s="4">
        <v>1400</v>
      </c>
      <c r="C439" s="4" t="s">
        <v>1132</v>
      </c>
      <c r="D439" s="21">
        <v>0</v>
      </c>
      <c r="E439" t="s">
        <v>1074</v>
      </c>
      <c r="G439" t="str" cm="1">
        <f t="array" aca="1" ref="G439" ca="1">eConcatenar(A439:E439,"|")</f>
        <v>a2eITpFpKfUqL46u|1400|2021-9-4|0|final</v>
      </c>
    </row>
    <row r="440" spans="1:7" x14ac:dyDescent="0.25">
      <c r="A440" s="6" t="s">
        <v>4981</v>
      </c>
      <c r="B440" s="4">
        <v>1300</v>
      </c>
      <c r="C440" s="4" t="s">
        <v>4943</v>
      </c>
      <c r="D440" s="21">
        <v>0</v>
      </c>
      <c r="E440" t="s">
        <v>1074</v>
      </c>
      <c r="G440" t="str" cm="1">
        <f t="array" aca="1" ref="G440" ca="1">eConcatenar(A440:E440,"|")</f>
        <v>ButBxOeqejG7NlbB|1300|2021-9-3|0|final</v>
      </c>
    </row>
    <row r="441" spans="1:7" x14ac:dyDescent="0.25">
      <c r="A441" s="6" t="s">
        <v>4982</v>
      </c>
      <c r="B441" s="4">
        <v>1300</v>
      </c>
      <c r="C441" s="4" t="s">
        <v>4945</v>
      </c>
      <c r="D441" s="21">
        <v>0</v>
      </c>
      <c r="E441" t="s">
        <v>1074</v>
      </c>
      <c r="G441" t="str" cm="1">
        <f t="array" aca="1" ref="G441" ca="1">eConcatenar(A441:E441,"|")</f>
        <v>EeeIbglDBrtxTWAN|1300|2021-8-20|0|final</v>
      </c>
    </row>
    <row r="442" spans="1:7" x14ac:dyDescent="0.25">
      <c r="A442" s="6" t="s">
        <v>4983</v>
      </c>
      <c r="B442" s="4">
        <v>1400</v>
      </c>
      <c r="C442" s="4" t="s">
        <v>4943</v>
      </c>
      <c r="D442" s="21">
        <v>0</v>
      </c>
      <c r="E442" t="s">
        <v>1074</v>
      </c>
      <c r="G442" t="str" cm="1">
        <f t="array" aca="1" ref="G442" ca="1">eConcatenar(A442:E442,"|")</f>
        <v>87h4ZscXo6ctQKnG|1400|2021-9-3|0|final</v>
      </c>
    </row>
    <row r="443" spans="1:7" x14ac:dyDescent="0.25">
      <c r="A443" s="6" t="s">
        <v>4984</v>
      </c>
      <c r="B443" s="4">
        <v>2600</v>
      </c>
      <c r="C443" s="4" t="s">
        <v>1132</v>
      </c>
      <c r="D443" s="21">
        <v>0</v>
      </c>
      <c r="E443" t="s">
        <v>1074</v>
      </c>
      <c r="G443" t="str" cm="1">
        <f t="array" aca="1" ref="G443" ca="1">eConcatenar(A443:E443,"|")</f>
        <v>Bhqt1jHOBRd6pURP|2600|2021-9-4|0|final</v>
      </c>
    </row>
    <row r="444" spans="1:7" x14ac:dyDescent="0.25">
      <c r="A444" s="6" t="s">
        <v>4985</v>
      </c>
      <c r="B444" s="4">
        <v>6350</v>
      </c>
      <c r="C444" s="4" t="s">
        <v>4945</v>
      </c>
      <c r="D444" s="21">
        <v>0</v>
      </c>
      <c r="E444" t="s">
        <v>1074</v>
      </c>
      <c r="G444" t="str" cm="1">
        <f t="array" aca="1" ref="G444" ca="1">eConcatenar(A444:E444,"|")</f>
        <v>yUR7Qrenvl3slbUW|6350|2021-8-20|0|final</v>
      </c>
    </row>
    <row r="445" spans="1:7" x14ac:dyDescent="0.25">
      <c r="A445" s="6" t="s">
        <v>4986</v>
      </c>
      <c r="B445" s="4">
        <v>1300</v>
      </c>
      <c r="C445" s="4" t="s">
        <v>1125</v>
      </c>
      <c r="D445" s="21">
        <v>0</v>
      </c>
      <c r="E445" t="s">
        <v>1074</v>
      </c>
      <c r="G445" t="str" cm="1">
        <f t="array" aca="1" ref="G445" ca="1">eConcatenar(A445:E445,"|")</f>
        <v>uzmM45nEI3Bl3bqW|1300|2021-8-21|0|final</v>
      </c>
    </row>
    <row r="446" spans="1:7" x14ac:dyDescent="0.25">
      <c r="A446" s="6" t="s">
        <v>4987</v>
      </c>
      <c r="B446" s="4">
        <v>2950</v>
      </c>
      <c r="C446" s="4" t="s">
        <v>4988</v>
      </c>
      <c r="D446" s="21">
        <v>0</v>
      </c>
      <c r="E446" t="s">
        <v>1074</v>
      </c>
      <c r="G446" t="str" cm="1">
        <f t="array" aca="1" ref="G446" ca="1">eConcatenar(A446:E446,"|")</f>
        <v>gAeAjWPMh3OVOASn|2950|2021-7-3|0|final</v>
      </c>
    </row>
    <row r="447" spans="1:7" x14ac:dyDescent="0.25">
      <c r="A447" s="6" t="s">
        <v>4989</v>
      </c>
      <c r="B447" s="4">
        <v>700</v>
      </c>
      <c r="C447" s="4" t="s">
        <v>4988</v>
      </c>
      <c r="D447" s="21">
        <v>0</v>
      </c>
      <c r="E447" t="s">
        <v>1074</v>
      </c>
      <c r="G447" t="str" cm="1">
        <f t="array" aca="1" ref="G447" ca="1">eConcatenar(A447:E447,"|")</f>
        <v>RWiej093tAiQW48T|700|2021-7-3|0|final</v>
      </c>
    </row>
    <row r="448" spans="1:7" x14ac:dyDescent="0.25">
      <c r="A448" s="6" t="s">
        <v>4990</v>
      </c>
      <c r="B448" s="4">
        <v>9100</v>
      </c>
      <c r="C448" s="4" t="s">
        <v>1132</v>
      </c>
      <c r="D448" s="21">
        <v>0</v>
      </c>
      <c r="E448" t="s">
        <v>1074</v>
      </c>
      <c r="G448" t="str" cm="1">
        <f t="array" aca="1" ref="G448" ca="1">eConcatenar(A448:E448,"|")</f>
        <v>bNRu5yJgoDWgYP8x|9100|2021-9-4|0|final</v>
      </c>
    </row>
    <row r="449" spans="1:7" x14ac:dyDescent="0.25">
      <c r="A449" s="6" t="s">
        <v>4991</v>
      </c>
      <c r="B449" s="4">
        <v>10400</v>
      </c>
      <c r="C449" s="4" t="s">
        <v>4943</v>
      </c>
      <c r="D449" s="21">
        <v>0</v>
      </c>
      <c r="E449" t="s">
        <v>1074</v>
      </c>
      <c r="G449" t="str" cm="1">
        <f t="array" aca="1" ref="G449" ca="1">eConcatenar(A449:E449,"|")</f>
        <v>Mt8Yt203wSGF2CcU|10400|2021-9-3|0|final</v>
      </c>
    </row>
    <row r="450" spans="1:7" x14ac:dyDescent="0.25">
      <c r="A450" s="6" t="s">
        <v>4992</v>
      </c>
      <c r="B450" s="4">
        <v>4700</v>
      </c>
      <c r="C450" s="4" t="s">
        <v>4814</v>
      </c>
      <c r="D450" s="21">
        <v>0</v>
      </c>
      <c r="E450" t="s">
        <v>1074</v>
      </c>
      <c r="G450" t="str" cm="1">
        <f t="array" aca="1" ref="G450" ca="1">eConcatenar(A450:E450,"|")</f>
        <v>OWI3J7c0vw8pOMA5|4700|2021-8-29|0|final</v>
      </c>
    </row>
    <row r="451" spans="1:7" x14ac:dyDescent="0.25">
      <c r="A451" s="6" t="s">
        <v>4994</v>
      </c>
      <c r="B451" s="4">
        <v>4000</v>
      </c>
      <c r="C451" s="4" t="s">
        <v>1132</v>
      </c>
      <c r="D451" s="21">
        <v>0</v>
      </c>
      <c r="E451" t="s">
        <v>1074</v>
      </c>
      <c r="G451" t="str" cm="1">
        <f t="array" aca="1" ref="G451" ca="1">eConcatenar(A451:E451,"|")</f>
        <v>GhBWoQKOK6LFMlVo|4000|2021-9-4|0|final</v>
      </c>
    </row>
    <row r="452" spans="1:7" x14ac:dyDescent="0.25">
      <c r="A452" s="6" t="s">
        <v>4995</v>
      </c>
      <c r="B452" s="4">
        <v>7100</v>
      </c>
      <c r="C452" s="4" t="s">
        <v>1132</v>
      </c>
      <c r="D452" s="21">
        <v>0</v>
      </c>
      <c r="E452" t="s">
        <v>1074</v>
      </c>
      <c r="G452" t="str" cm="1">
        <f t="array" aca="1" ref="G452" ca="1">eConcatenar(A452:E452,"|")</f>
        <v>LT0zDk1l5YNcqqBt|7100|2021-9-4|0|final</v>
      </c>
    </row>
    <row r="453" spans="1:7" x14ac:dyDescent="0.25">
      <c r="A453" s="6" t="s">
        <v>4996</v>
      </c>
      <c r="B453" s="4">
        <v>6150</v>
      </c>
      <c r="C453" s="4" t="s">
        <v>4943</v>
      </c>
      <c r="D453" s="21">
        <v>0</v>
      </c>
      <c r="E453" t="s">
        <v>1074</v>
      </c>
      <c r="G453" t="str" cm="1">
        <f t="array" aca="1" ref="G453" ca="1">eConcatenar(A453:E453,"|")</f>
        <v>FKqTYImWxCvhdfes|6150|2021-9-3|0|final</v>
      </c>
    </row>
    <row r="454" spans="1:7" x14ac:dyDescent="0.25">
      <c r="A454" s="6" t="s">
        <v>4997</v>
      </c>
      <c r="B454" s="4">
        <v>8800</v>
      </c>
      <c r="C454" s="4" t="s">
        <v>1132</v>
      </c>
      <c r="D454" s="21">
        <v>0</v>
      </c>
      <c r="E454" t="s">
        <v>1074</v>
      </c>
      <c r="G454" t="str" cm="1">
        <f t="array" aca="1" ref="G454" ca="1">eConcatenar(A454:E454,"|")</f>
        <v>52WkgPBYTeah5qjA|8800|2021-9-4|0|final</v>
      </c>
    </row>
    <row r="455" spans="1:7" x14ac:dyDescent="0.25">
      <c r="A455" s="6" t="s">
        <v>4998</v>
      </c>
      <c r="B455" s="4">
        <v>7400</v>
      </c>
      <c r="C455" s="4" t="s">
        <v>1125</v>
      </c>
      <c r="D455" s="21">
        <v>0</v>
      </c>
      <c r="E455" t="s">
        <v>1074</v>
      </c>
      <c r="G455" t="str" cm="1">
        <f t="array" aca="1" ref="G455" ca="1">eConcatenar(A455:E455,"|")</f>
        <v>2YXTL8tsAsyC1K5c|7400|2021-8-21|0|final</v>
      </c>
    </row>
    <row r="456" spans="1:7" x14ac:dyDescent="0.25">
      <c r="A456" s="6" t="s">
        <v>4999</v>
      </c>
      <c r="B456" s="4">
        <v>7900</v>
      </c>
      <c r="C456" s="4" t="s">
        <v>1132</v>
      </c>
      <c r="D456" s="21">
        <v>0</v>
      </c>
      <c r="E456" t="s">
        <v>1074</v>
      </c>
      <c r="G456" t="str" cm="1">
        <f t="array" aca="1" ref="G456" ca="1">eConcatenar(A456:E456,"|")</f>
        <v>CU0hpaEj5upBRKOa|7900|2021-9-4|0|final</v>
      </c>
    </row>
    <row r="457" spans="1:7" x14ac:dyDescent="0.25">
      <c r="A457" s="6" t="s">
        <v>5000</v>
      </c>
      <c r="B457" s="4">
        <v>2500</v>
      </c>
      <c r="C457" s="4" t="s">
        <v>1132</v>
      </c>
      <c r="D457" s="21">
        <v>0</v>
      </c>
      <c r="E457" t="s">
        <v>1074</v>
      </c>
      <c r="G457" t="str" cm="1">
        <f t="array" aca="1" ref="G457" ca="1">eConcatenar(A457:E457,"|")</f>
        <v>Wc0B0mD0GMRgVntI|2500|2021-9-4|0|final</v>
      </c>
    </row>
    <row r="458" spans="1:7" x14ac:dyDescent="0.25">
      <c r="A458" s="6" t="s">
        <v>5002</v>
      </c>
      <c r="B458" s="4">
        <v>5930</v>
      </c>
      <c r="C458" s="4" t="s">
        <v>1132</v>
      </c>
      <c r="D458" s="21">
        <v>0</v>
      </c>
      <c r="E458" t="s">
        <v>1074</v>
      </c>
      <c r="G458" t="str" cm="1">
        <f t="array" aca="1" ref="G458" ca="1">eConcatenar(A458:E458,"|")</f>
        <v>C6ADxQp010WSu1mZ|5930|2021-9-4|0|final</v>
      </c>
    </row>
    <row r="459" spans="1:7" x14ac:dyDescent="0.25">
      <c r="A459" s="6" t="s">
        <v>5003</v>
      </c>
      <c r="B459" s="4">
        <v>9200</v>
      </c>
      <c r="C459" s="4" t="s">
        <v>4945</v>
      </c>
      <c r="D459" s="21">
        <v>0</v>
      </c>
      <c r="E459" t="s">
        <v>1074</v>
      </c>
      <c r="G459" t="str" cm="1">
        <f t="array" aca="1" ref="G459" ca="1">eConcatenar(A459:E459,"|")</f>
        <v>3UK1TiGY2h2I9AMt|9200|2021-8-20|0|final</v>
      </c>
    </row>
    <row r="460" spans="1:7" x14ac:dyDescent="0.25">
      <c r="A460" s="6" t="s">
        <v>5005</v>
      </c>
      <c r="B460" s="4">
        <v>7000</v>
      </c>
      <c r="C460" s="4" t="s">
        <v>1132</v>
      </c>
      <c r="D460" s="21">
        <v>0</v>
      </c>
      <c r="E460" t="s">
        <v>1074</v>
      </c>
      <c r="G460" t="str" cm="1">
        <f t="array" aca="1" ref="G460" ca="1">eConcatenar(A460:E460,"|")</f>
        <v>pbek2QTih6z0Tyrn|7000|2021-9-4|0|final</v>
      </c>
    </row>
    <row r="461" spans="1:7" x14ac:dyDescent="0.25">
      <c r="A461" s="6" t="s">
        <v>5006</v>
      </c>
      <c r="B461" s="4">
        <v>8200</v>
      </c>
      <c r="C461" s="4" t="s">
        <v>1132</v>
      </c>
      <c r="D461" s="21">
        <v>0</v>
      </c>
      <c r="E461" t="s">
        <v>1074</v>
      </c>
      <c r="G461" t="str" cm="1">
        <f t="array" aca="1" ref="G461" ca="1">eConcatenar(A461:E461,"|")</f>
        <v>zozYGkgHmnbEGgji|8200|2021-9-4|0|final</v>
      </c>
    </row>
    <row r="462" spans="1:7" x14ac:dyDescent="0.25">
      <c r="A462" s="6" t="s">
        <v>5007</v>
      </c>
      <c r="B462" s="4">
        <v>8600</v>
      </c>
      <c r="C462" s="4" t="s">
        <v>1125</v>
      </c>
      <c r="D462" s="21">
        <v>0</v>
      </c>
      <c r="E462" t="s">
        <v>1074</v>
      </c>
      <c r="G462" t="str" cm="1">
        <f t="array" aca="1" ref="G462" ca="1">eConcatenar(A462:E462,"|")</f>
        <v>ZwOQcrt1pRcIFIBY|8600|2021-8-21|0|final</v>
      </c>
    </row>
    <row r="463" spans="1:7" x14ac:dyDescent="0.25">
      <c r="A463" s="6" t="s">
        <v>5008</v>
      </c>
      <c r="B463" s="4">
        <v>7050</v>
      </c>
      <c r="C463" s="4" t="s">
        <v>1125</v>
      </c>
      <c r="D463" s="21">
        <v>0</v>
      </c>
      <c r="E463" t="s">
        <v>1074</v>
      </c>
      <c r="G463" t="str" cm="1">
        <f t="array" aca="1" ref="G463" ca="1">eConcatenar(A463:E463,"|")</f>
        <v>1GgRF3jVx7dHRvQu|7050|2021-8-21|0|final</v>
      </c>
    </row>
    <row r="464" spans="1:7" x14ac:dyDescent="0.25">
      <c r="A464" s="6" t="s">
        <v>5009</v>
      </c>
      <c r="B464" s="4">
        <v>8600</v>
      </c>
      <c r="C464" s="4" t="s">
        <v>4945</v>
      </c>
      <c r="D464" s="21">
        <v>0</v>
      </c>
      <c r="E464" t="s">
        <v>1074</v>
      </c>
      <c r="G464" t="str" cm="1">
        <f t="array" aca="1" ref="G464" ca="1">eConcatenar(A464:E464,"|")</f>
        <v>c8itM4w4eoa3B8ku|8600|2021-8-20|0|final</v>
      </c>
    </row>
    <row r="465" spans="1:7" x14ac:dyDescent="0.25">
      <c r="A465" s="6" t="s">
        <v>5010</v>
      </c>
      <c r="B465" s="4">
        <v>8800</v>
      </c>
      <c r="C465" s="4" t="s">
        <v>1132</v>
      </c>
      <c r="D465" s="21">
        <v>0</v>
      </c>
      <c r="E465" t="s">
        <v>1074</v>
      </c>
      <c r="G465" t="str" cm="1">
        <f t="array" aca="1" ref="G465" ca="1">eConcatenar(A465:E465,"|")</f>
        <v>mAixH1lT6z7kqIun|8800|2021-9-4|0|final</v>
      </c>
    </row>
    <row r="466" spans="1:7" x14ac:dyDescent="0.25">
      <c r="A466" s="6" t="s">
        <v>5011</v>
      </c>
      <c r="B466" s="4">
        <v>8800</v>
      </c>
      <c r="C466" s="4" t="s">
        <v>1132</v>
      </c>
      <c r="D466" s="21">
        <v>0</v>
      </c>
      <c r="E466" t="s">
        <v>1074</v>
      </c>
      <c r="G466" t="str" cm="1">
        <f t="array" aca="1" ref="G466" ca="1">eConcatenar(A466:E466,"|")</f>
        <v>KKEep0LPaBE1QJAc|8800|2021-9-4|0|final</v>
      </c>
    </row>
    <row r="467" spans="1:7" x14ac:dyDescent="0.25">
      <c r="A467" s="6" t="s">
        <v>5012</v>
      </c>
      <c r="B467" s="4">
        <v>7700</v>
      </c>
      <c r="C467" s="4" t="s">
        <v>4945</v>
      </c>
      <c r="D467" s="21">
        <v>0</v>
      </c>
      <c r="E467" t="s">
        <v>1074</v>
      </c>
      <c r="G467" t="str" cm="1">
        <f t="array" aca="1" ref="G467" ca="1">eConcatenar(A467:E467,"|")</f>
        <v>aofP5hiDJE9dUugz|7700|2021-8-20|0|final</v>
      </c>
    </row>
    <row r="468" spans="1:7" x14ac:dyDescent="0.25">
      <c r="A468" s="6" t="s">
        <v>5014</v>
      </c>
      <c r="B468" s="4">
        <v>7800</v>
      </c>
      <c r="C468" s="4" t="s">
        <v>1125</v>
      </c>
      <c r="D468" s="21">
        <v>0</v>
      </c>
      <c r="E468" t="s">
        <v>1074</v>
      </c>
      <c r="G468" t="str" cm="1">
        <f t="array" aca="1" ref="G468" ca="1">eConcatenar(A468:E468,"|")</f>
        <v>umWhdCm8S21vOarq|7800|2021-8-21|0|final</v>
      </c>
    </row>
    <row r="469" spans="1:7" x14ac:dyDescent="0.25">
      <c r="A469" s="6" t="s">
        <v>5015</v>
      </c>
      <c r="B469" s="4">
        <v>7200</v>
      </c>
      <c r="C469" s="4" t="s">
        <v>1099</v>
      </c>
      <c r="D469" s="21">
        <v>0</v>
      </c>
      <c r="E469" t="s">
        <v>1074</v>
      </c>
      <c r="G469" t="str" cm="1">
        <f t="array" aca="1" ref="G469" ca="1">eConcatenar(A469:E469,"|")</f>
        <v>arxG83C3XSnojCG4|7200|2021-6-19|0|final</v>
      </c>
    </row>
    <row r="470" spans="1:7" x14ac:dyDescent="0.25">
      <c r="A470" s="6" t="s">
        <v>5017</v>
      </c>
      <c r="B470" s="4">
        <v>8600</v>
      </c>
      <c r="C470" s="4" t="s">
        <v>1132</v>
      </c>
      <c r="D470" s="21">
        <v>0</v>
      </c>
      <c r="E470" t="s">
        <v>1074</v>
      </c>
      <c r="G470" t="str" cm="1">
        <f t="array" aca="1" ref="G470" ca="1">eConcatenar(A470:E470,"|")</f>
        <v>cRYRs7nnvTAPMQvx|8600|2021-9-4|0|final</v>
      </c>
    </row>
    <row r="471" spans="1:7" x14ac:dyDescent="0.25">
      <c r="A471" s="6" t="s">
        <v>5018</v>
      </c>
      <c r="B471" s="4">
        <v>7600</v>
      </c>
      <c r="C471" s="4" t="s">
        <v>5020</v>
      </c>
      <c r="D471" s="21">
        <v>0</v>
      </c>
      <c r="E471" t="s">
        <v>1074</v>
      </c>
      <c r="G471" t="str" cm="1">
        <f t="array" aca="1" ref="G471" ca="1">eConcatenar(A471:E471,"|")</f>
        <v>9s6573QbAX441iPd|7600|2019-9-3|0|final</v>
      </c>
    </row>
    <row r="472" spans="1:7" x14ac:dyDescent="0.25">
      <c r="A472" s="6" t="s">
        <v>5021</v>
      </c>
      <c r="B472" s="4">
        <v>6700</v>
      </c>
      <c r="C472" s="4" t="s">
        <v>4943</v>
      </c>
      <c r="D472" s="21">
        <v>0</v>
      </c>
      <c r="E472" t="s">
        <v>1074</v>
      </c>
      <c r="G472" t="str" cm="1">
        <f t="array" aca="1" ref="G472" ca="1">eConcatenar(A472:E472,"|")</f>
        <v>skV7zNVNcSubCYv8|6700|2021-9-3|0|final</v>
      </c>
    </row>
    <row r="473" spans="1:7" x14ac:dyDescent="0.25">
      <c r="A473" s="6" t="s">
        <v>5022</v>
      </c>
      <c r="B473" s="4">
        <v>11800</v>
      </c>
      <c r="C473" s="4" t="s">
        <v>1132</v>
      </c>
      <c r="D473" s="21">
        <v>0</v>
      </c>
      <c r="E473" t="s">
        <v>1074</v>
      </c>
      <c r="G473" t="str" cm="1">
        <f t="array" aca="1" ref="G473" ca="1">eConcatenar(A473:E473,"|")</f>
        <v>DuAZPjhNckTxPrmo|11800|2021-9-4|0|final</v>
      </c>
    </row>
    <row r="474" spans="1:7" x14ac:dyDescent="0.25">
      <c r="A474" s="6" t="s">
        <v>5023</v>
      </c>
      <c r="B474" s="4">
        <v>7700</v>
      </c>
      <c r="C474" s="4" t="s">
        <v>1125</v>
      </c>
      <c r="D474" s="21">
        <v>0</v>
      </c>
      <c r="E474" t="s">
        <v>1074</v>
      </c>
      <c r="G474" t="str" cm="1">
        <f t="array" aca="1" ref="G474" ca="1">eConcatenar(A474:E474,"|")</f>
        <v>KMd0sWZUCtrp0CWd|7700|2021-8-21|0|final</v>
      </c>
    </row>
    <row r="475" spans="1:7" x14ac:dyDescent="0.25">
      <c r="A475" s="6" t="s">
        <v>5024</v>
      </c>
      <c r="B475" s="4">
        <v>8900</v>
      </c>
      <c r="C475" s="4" t="s">
        <v>4943</v>
      </c>
      <c r="D475" s="21">
        <v>0</v>
      </c>
      <c r="E475" t="s">
        <v>1074</v>
      </c>
      <c r="G475" t="str" cm="1">
        <f t="array" aca="1" ref="G475" ca="1">eConcatenar(A475:E475,"|")</f>
        <v>jtrbYBcj9jf9csFE|8900|2021-9-3|0|final</v>
      </c>
    </row>
    <row r="476" spans="1:7" x14ac:dyDescent="0.25">
      <c r="A476" s="6" t="s">
        <v>5027</v>
      </c>
      <c r="B476" s="4">
        <v>8850</v>
      </c>
      <c r="C476" s="4" t="s">
        <v>4943</v>
      </c>
      <c r="D476" s="21">
        <v>0</v>
      </c>
      <c r="E476" t="s">
        <v>1074</v>
      </c>
      <c r="G476" t="str" cm="1">
        <f t="array" aca="1" ref="G476" ca="1">eConcatenar(A476:E476,"|")</f>
        <v>XgXCyiCqa0H1dhL9|8850|2021-9-3|0|final</v>
      </c>
    </row>
    <row r="477" spans="1:7" x14ac:dyDescent="0.25">
      <c r="A477" s="6" t="s">
        <v>5028</v>
      </c>
      <c r="B477" s="4">
        <v>10700</v>
      </c>
      <c r="C477" s="4" t="s">
        <v>1132</v>
      </c>
      <c r="D477" s="21">
        <v>0</v>
      </c>
      <c r="E477" t="s">
        <v>1074</v>
      </c>
      <c r="G477" t="str" cm="1">
        <f t="array" aca="1" ref="G477" ca="1">eConcatenar(A477:E477,"|")</f>
        <v>QWu7WgHwV6EGMD8K|10700|2021-9-4|0|final</v>
      </c>
    </row>
    <row r="478" spans="1:7" x14ac:dyDescent="0.25">
      <c r="A478" s="7" t="s">
        <v>5029</v>
      </c>
      <c r="B478" s="5">
        <v>10500</v>
      </c>
      <c r="C478" s="5" t="s">
        <v>5030</v>
      </c>
      <c r="D478" s="21">
        <v>0</v>
      </c>
      <c r="E478" t="s">
        <v>1074</v>
      </c>
      <c r="F478" t="s">
        <v>5031</v>
      </c>
      <c r="G478" t="str" cm="1">
        <f t="array" aca="1" ref="G478" ca="1">eConcatenar(A478:E478,"|")</f>
        <v>1B2Ynu9GoQhGX2l3|10500|2019-8-21|0|final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01DA-BB8B-488A-8028-6F28D776B96B}">
  <dimension ref="A1:E268"/>
  <sheetViews>
    <sheetView topLeftCell="A2" workbookViewId="0">
      <selection activeCell="I6" sqref="I6"/>
    </sheetView>
  </sheetViews>
  <sheetFormatPr baseColWidth="10" defaultRowHeight="15" x14ac:dyDescent="0.25"/>
  <cols>
    <col min="1" max="1" width="21.5703125" bestFit="1" customWidth="1"/>
  </cols>
  <sheetData>
    <row r="1" spans="1:5" x14ac:dyDescent="0.25">
      <c r="A1" t="s">
        <v>6768</v>
      </c>
      <c r="B1" t="s">
        <v>6769</v>
      </c>
      <c r="C1" t="s">
        <v>6770</v>
      </c>
    </row>
    <row r="2" spans="1:5" x14ac:dyDescent="0.25">
      <c r="A2" s="6" t="s">
        <v>5032</v>
      </c>
      <c r="B2" s="4" t="s">
        <v>5039</v>
      </c>
      <c r="C2" s="4" t="s">
        <v>6771</v>
      </c>
      <c r="E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`idcontrato_individual`='tMdNmYaROLSlN6fq';</v>
      </c>
    </row>
    <row r="3" spans="1:5" x14ac:dyDescent="0.25">
      <c r="A3" s="6" t="s">
        <v>5042</v>
      </c>
      <c r="B3" s="4" t="s">
        <v>5039</v>
      </c>
      <c r="C3" t="s">
        <v>6771</v>
      </c>
      <c r="E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`idcontrato_individual`='8suxH3s6Ii0UCp53';</v>
      </c>
    </row>
    <row r="4" spans="1:5" x14ac:dyDescent="0.25">
      <c r="A4" s="6" t="s">
        <v>5047</v>
      </c>
      <c r="B4" s="4" t="s">
        <v>5039</v>
      </c>
      <c r="C4" t="s">
        <v>6771</v>
      </c>
      <c r="E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`idcontrato_individual`='rFZroy6fhzlfkqIZ';</v>
      </c>
    </row>
    <row r="5" spans="1:5" x14ac:dyDescent="0.25">
      <c r="A5" s="6" t="s">
        <v>5055</v>
      </c>
      <c r="B5" s="4" t="s">
        <v>5039</v>
      </c>
      <c r="C5" t="s">
        <v>6771</v>
      </c>
      <c r="E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`idcontrato_individual`='0XOnsv6skpk6rVOW';</v>
      </c>
    </row>
    <row r="6" spans="1:5" x14ac:dyDescent="0.25">
      <c r="A6" s="6" t="s">
        <v>5064</v>
      </c>
      <c r="B6" s="4" t="s">
        <v>5039</v>
      </c>
      <c r="C6" t="s">
        <v>6771</v>
      </c>
      <c r="E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`idcontrato_individual`='GYhghewZtZREKGRN';</v>
      </c>
    </row>
    <row r="7" spans="1:5" x14ac:dyDescent="0.25">
      <c r="A7" s="6" t="s">
        <v>5073</v>
      </c>
      <c r="B7" s="4" t="s">
        <v>5039</v>
      </c>
      <c r="C7" t="s">
        <v>6771</v>
      </c>
      <c r="E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`idcontrato_individual`='2kSCCCzBQcODKVBw';</v>
      </c>
    </row>
    <row r="8" spans="1:5" x14ac:dyDescent="0.25">
      <c r="A8" s="6" t="s">
        <v>5079</v>
      </c>
      <c r="B8" s="4" t="s">
        <v>5039</v>
      </c>
      <c r="C8" t="s">
        <v>6771</v>
      </c>
      <c r="E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`idcontrato_individual`='WZiEsmYro5Wpnbgo';</v>
      </c>
    </row>
    <row r="9" spans="1:5" x14ac:dyDescent="0.25">
      <c r="A9" s="6" t="s">
        <v>5086</v>
      </c>
      <c r="B9" s="4" t="s">
        <v>5039</v>
      </c>
      <c r="C9" t="s">
        <v>6771</v>
      </c>
      <c r="E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`idcontrato_individual`='KgV7nWJjptZI9B4V';</v>
      </c>
    </row>
    <row r="10" spans="1:5" x14ac:dyDescent="0.25">
      <c r="A10" s="6" t="s">
        <v>5093</v>
      </c>
      <c r="B10" s="4" t="s">
        <v>5039</v>
      </c>
      <c r="C10" t="s">
        <v>6771</v>
      </c>
      <c r="E1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`idcontrato_individual`='6EycNg8T5ySeTm7M';</v>
      </c>
    </row>
    <row r="11" spans="1:5" x14ac:dyDescent="0.25">
      <c r="A11" s="6" t="s">
        <v>5097</v>
      </c>
      <c r="B11" s="4" t="s">
        <v>5039</v>
      </c>
      <c r="C11" t="s">
        <v>6771</v>
      </c>
      <c r="E1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`idcontrato_individual`='yBzI8qXHHsV8488l';</v>
      </c>
    </row>
    <row r="12" spans="1:5" x14ac:dyDescent="0.25">
      <c r="A12" s="6" t="s">
        <v>5103</v>
      </c>
      <c r="B12" s="4" t="s">
        <v>5039</v>
      </c>
      <c r="C12" t="s">
        <v>6771</v>
      </c>
      <c r="E1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`idcontrato_individual`='NV8N7DqYQFnJguDJ';</v>
      </c>
    </row>
    <row r="13" spans="1:5" x14ac:dyDescent="0.25">
      <c r="A13" s="6" t="s">
        <v>5107</v>
      </c>
      <c r="B13" s="4" t="s">
        <v>5039</v>
      </c>
      <c r="C13" t="s">
        <v>6771</v>
      </c>
      <c r="E1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`idcontrato_individual`='tkImKyXRBnSTeusB';</v>
      </c>
    </row>
    <row r="14" spans="1:5" x14ac:dyDescent="0.25">
      <c r="A14" s="6" t="s">
        <v>5114</v>
      </c>
      <c r="B14" s="4" t="s">
        <v>5039</v>
      </c>
      <c r="C14" t="s">
        <v>6771</v>
      </c>
      <c r="E1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`idcontrato_individual`='TrPdTP5cFagh5vpL';</v>
      </c>
    </row>
    <row r="15" spans="1:5" x14ac:dyDescent="0.25">
      <c r="A15" s="6" t="s">
        <v>5119</v>
      </c>
      <c r="B15" s="4" t="s">
        <v>5039</v>
      </c>
      <c r="C15" t="s">
        <v>6771</v>
      </c>
      <c r="E1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`idcontrato_individual`='vysz5LdxGkkxsAjT';</v>
      </c>
    </row>
    <row r="16" spans="1:5" x14ac:dyDescent="0.25">
      <c r="A16" s="6" t="s">
        <v>5127</v>
      </c>
      <c r="B16" s="4" t="s">
        <v>5039</v>
      </c>
      <c r="C16" t="s">
        <v>6771</v>
      </c>
      <c r="E1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`idcontrato_individual`='vgfpAcg0XNatRyoH';</v>
      </c>
    </row>
    <row r="17" spans="1:5" x14ac:dyDescent="0.25">
      <c r="A17" s="6" t="s">
        <v>5137</v>
      </c>
      <c r="B17" s="4" t="s">
        <v>5039</v>
      </c>
      <c r="C17" t="s">
        <v>6771</v>
      </c>
      <c r="E1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`idcontrato_individual`='0gzWq8v0YPJt1zUT';</v>
      </c>
    </row>
    <row r="18" spans="1:5" x14ac:dyDescent="0.25">
      <c r="A18" s="6" t="s">
        <v>5145</v>
      </c>
      <c r="B18" s="4" t="s">
        <v>5039</v>
      </c>
      <c r="C18" t="s">
        <v>6771</v>
      </c>
      <c r="E1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`idcontrato_individual`='AWrhdk2IVDOw5mWN';</v>
      </c>
    </row>
    <row r="19" spans="1:5" x14ac:dyDescent="0.25">
      <c r="A19" s="6" t="s">
        <v>5152</v>
      </c>
      <c r="B19" s="4" t="s">
        <v>5039</v>
      </c>
      <c r="C19" t="s">
        <v>6771</v>
      </c>
      <c r="E1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`idcontrato_individual`='gbQMUiJwHn7QCSGI';</v>
      </c>
    </row>
    <row r="20" spans="1:5" x14ac:dyDescent="0.25">
      <c r="A20" s="6" t="s">
        <v>5158</v>
      </c>
      <c r="B20" s="4" t="s">
        <v>5039</v>
      </c>
      <c r="C20" t="s">
        <v>6771</v>
      </c>
      <c r="E2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`idcontrato_individual`='Wg72ehNotgSHx8wj';</v>
      </c>
    </row>
    <row r="21" spans="1:5" x14ac:dyDescent="0.25">
      <c r="A21" s="6" t="s">
        <v>5164</v>
      </c>
      <c r="B21" s="4" t="s">
        <v>5039</v>
      </c>
      <c r="C21" t="s">
        <v>6771</v>
      </c>
      <c r="E2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`idcontrato_individual`='aq6iFGloDJzkDPp0';</v>
      </c>
    </row>
    <row r="22" spans="1:5" x14ac:dyDescent="0.25">
      <c r="A22" s="6" t="s">
        <v>5169</v>
      </c>
      <c r="B22" s="4" t="s">
        <v>5039</v>
      </c>
      <c r="C22" t="s">
        <v>6771</v>
      </c>
      <c r="E2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`idcontrato_individual`='zqMLAdN4UMoPdpGs';</v>
      </c>
    </row>
    <row r="23" spans="1:5" x14ac:dyDescent="0.25">
      <c r="A23" s="6" t="s">
        <v>5176</v>
      </c>
      <c r="B23" s="4" t="s">
        <v>5039</v>
      </c>
      <c r="C23" t="s">
        <v>6771</v>
      </c>
      <c r="E2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`idcontrato_individual`='gCIoiK8HpWPCZjvJ';</v>
      </c>
    </row>
    <row r="24" spans="1:5" x14ac:dyDescent="0.25">
      <c r="A24" s="6" t="s">
        <v>5182</v>
      </c>
      <c r="B24" s="4" t="s">
        <v>5039</v>
      </c>
      <c r="C24" t="s">
        <v>6771</v>
      </c>
      <c r="E2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`idcontrato_individual`='z5S1FhZyk8vzuCdr';</v>
      </c>
    </row>
    <row r="25" spans="1:5" x14ac:dyDescent="0.25">
      <c r="A25" s="6" t="s">
        <v>5188</v>
      </c>
      <c r="B25" s="4" t="s">
        <v>5039</v>
      </c>
      <c r="C25" t="s">
        <v>6771</v>
      </c>
      <c r="E2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`idcontrato_individual`='Jmi6dp5cJTxbzCFs';</v>
      </c>
    </row>
    <row r="26" spans="1:5" x14ac:dyDescent="0.25">
      <c r="A26" s="6" t="s">
        <v>5195</v>
      </c>
      <c r="B26" s="4" t="s">
        <v>5039</v>
      </c>
      <c r="C26" t="s">
        <v>6771</v>
      </c>
      <c r="E2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`idcontrato_individual`='Nk2frastd9nd13cc';</v>
      </c>
    </row>
    <row r="27" spans="1:5" x14ac:dyDescent="0.25">
      <c r="A27" s="6" t="s">
        <v>5203</v>
      </c>
      <c r="B27" s="4" t="s">
        <v>5039</v>
      </c>
      <c r="C27" t="s">
        <v>6771</v>
      </c>
      <c r="E2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`idcontrato_individual`='A9hdHXJjfhXURuI0';</v>
      </c>
    </row>
    <row r="28" spans="1:5" x14ac:dyDescent="0.25">
      <c r="A28" s="6" t="s">
        <v>5208</v>
      </c>
      <c r="B28" s="4" t="s">
        <v>5039</v>
      </c>
      <c r="C28" t="s">
        <v>6771</v>
      </c>
      <c r="E2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`idcontrato_individual`='VCRF3aj0W3sqVk8L';</v>
      </c>
    </row>
    <row r="29" spans="1:5" x14ac:dyDescent="0.25">
      <c r="A29" s="6" t="s">
        <v>5219</v>
      </c>
      <c r="B29" s="4" t="s">
        <v>5039</v>
      </c>
      <c r="C29" t="s">
        <v>6771</v>
      </c>
      <c r="E2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`idcontrato_individual`='Uh2ymLflNdC7HS46';</v>
      </c>
    </row>
    <row r="30" spans="1:5" x14ac:dyDescent="0.25">
      <c r="A30" s="6" t="s">
        <v>5226</v>
      </c>
      <c r="B30" s="4" t="s">
        <v>5039</v>
      </c>
      <c r="C30" t="s">
        <v>6771</v>
      </c>
      <c r="E3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`idcontrato_individual`='cpF9wIGRx4TH78My';</v>
      </c>
    </row>
    <row r="31" spans="1:5" x14ac:dyDescent="0.25">
      <c r="A31" s="6" t="s">
        <v>5233</v>
      </c>
      <c r="B31" s="4" t="s">
        <v>5039</v>
      </c>
      <c r="C31" t="s">
        <v>6771</v>
      </c>
      <c r="E3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`idcontrato_individual`='2YBbdYWVWI5zdyTO';</v>
      </c>
    </row>
    <row r="32" spans="1:5" x14ac:dyDescent="0.25">
      <c r="A32" s="6" t="s">
        <v>5242</v>
      </c>
      <c r="B32" s="4" t="s">
        <v>5039</v>
      </c>
      <c r="C32" t="s">
        <v>6771</v>
      </c>
      <c r="E3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`idcontrato_individual`='XPRCbwJ5WUXdWNnT';</v>
      </c>
    </row>
    <row r="33" spans="1:5" x14ac:dyDescent="0.25">
      <c r="A33" s="6" t="s">
        <v>5247</v>
      </c>
      <c r="B33" s="4" t="s">
        <v>5039</v>
      </c>
      <c r="C33" t="s">
        <v>6771</v>
      </c>
      <c r="E3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`idcontrato_individual`='2vMDKCcza9gnmI0R';</v>
      </c>
    </row>
    <row r="34" spans="1:5" x14ac:dyDescent="0.25">
      <c r="A34" s="6" t="s">
        <v>5256</v>
      </c>
      <c r="B34" s="4" t="s">
        <v>5039</v>
      </c>
      <c r="C34" t="s">
        <v>6771</v>
      </c>
      <c r="E3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`idcontrato_individual`='I9juY5mrTYyGOpll';</v>
      </c>
    </row>
    <row r="35" spans="1:5" x14ac:dyDescent="0.25">
      <c r="A35" s="6" t="s">
        <v>5265</v>
      </c>
      <c r="B35" s="4" t="s">
        <v>5039</v>
      </c>
      <c r="C35" t="s">
        <v>6771</v>
      </c>
      <c r="E3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`idcontrato_individual`='EyFtsgXYbqpQMcyt';</v>
      </c>
    </row>
    <row r="36" spans="1:5" x14ac:dyDescent="0.25">
      <c r="A36" s="6" t="s">
        <v>5273</v>
      </c>
      <c r="B36" s="4" t="s">
        <v>5039</v>
      </c>
      <c r="C36" t="s">
        <v>6771</v>
      </c>
      <c r="E3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`idcontrato_individual`='lgJngRE9xZFklxV8';</v>
      </c>
    </row>
    <row r="37" spans="1:5" x14ac:dyDescent="0.25">
      <c r="A37" s="6" t="s">
        <v>5281</v>
      </c>
      <c r="B37" s="4" t="s">
        <v>5039</v>
      </c>
      <c r="C37" t="s">
        <v>6771</v>
      </c>
      <c r="E3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`idcontrato_individual`='tQaiE3PjWeHSEyUb';</v>
      </c>
    </row>
    <row r="38" spans="1:5" x14ac:dyDescent="0.25">
      <c r="A38" s="6" t="s">
        <v>5289</v>
      </c>
      <c r="B38" s="4" t="s">
        <v>5039</v>
      </c>
      <c r="C38" t="s">
        <v>6771</v>
      </c>
      <c r="E3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`idcontrato_individual`='RHUzNUBaPOK9LVlC';</v>
      </c>
    </row>
    <row r="39" spans="1:5" x14ac:dyDescent="0.25">
      <c r="A39" s="6" t="s">
        <v>5296</v>
      </c>
      <c r="B39" s="4" t="s">
        <v>5039</v>
      </c>
      <c r="C39" t="s">
        <v>6771</v>
      </c>
      <c r="E3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`idcontrato_individual`='vctdP1QHuEkmjGXJ';</v>
      </c>
    </row>
    <row r="40" spans="1:5" x14ac:dyDescent="0.25">
      <c r="A40" s="6" t="s">
        <v>5300</v>
      </c>
      <c r="B40" s="4" t="s">
        <v>5039</v>
      </c>
      <c r="C40" t="s">
        <v>6771</v>
      </c>
      <c r="E4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`idcontrato_individual`='fna6dAmd3t2fQuUa';</v>
      </c>
    </row>
    <row r="41" spans="1:5" x14ac:dyDescent="0.25">
      <c r="A41" s="6" t="s">
        <v>5307</v>
      </c>
      <c r="B41" s="4" t="s">
        <v>5039</v>
      </c>
      <c r="C41" t="s">
        <v>6771</v>
      </c>
      <c r="E4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`idcontrato_individual`='rqbY1HGEq8JKe8xE';</v>
      </c>
    </row>
    <row r="42" spans="1:5" x14ac:dyDescent="0.25">
      <c r="A42" s="6" t="s">
        <v>5313</v>
      </c>
      <c r="B42" s="4" t="s">
        <v>5039</v>
      </c>
      <c r="C42" t="s">
        <v>6771</v>
      </c>
      <c r="E4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`idcontrato_individual`='8xUYm7A8s7UAyWXI';</v>
      </c>
    </row>
    <row r="43" spans="1:5" x14ac:dyDescent="0.25">
      <c r="A43" s="6" t="s">
        <v>5319</v>
      </c>
      <c r="B43" s="4" t="s">
        <v>5039</v>
      </c>
      <c r="C43" t="s">
        <v>6771</v>
      </c>
      <c r="E4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`idcontrato_individual`='eYIDuzAchCgNbEWM';</v>
      </c>
    </row>
    <row r="44" spans="1:5" x14ac:dyDescent="0.25">
      <c r="A44" s="6" t="s">
        <v>5327</v>
      </c>
      <c r="B44" s="4" t="s">
        <v>5039</v>
      </c>
      <c r="C44" t="s">
        <v>6771</v>
      </c>
      <c r="E4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`idcontrato_individual`='ZuXf0EMgQjDI2uHq';</v>
      </c>
    </row>
    <row r="45" spans="1:5" x14ac:dyDescent="0.25">
      <c r="A45" s="6" t="s">
        <v>5333</v>
      </c>
      <c r="B45" s="4" t="s">
        <v>5039</v>
      </c>
      <c r="C45" t="s">
        <v>6771</v>
      </c>
      <c r="E4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`idcontrato_individual`='73MpVRpJUJzgk7AC';</v>
      </c>
    </row>
    <row r="46" spans="1:5" x14ac:dyDescent="0.25">
      <c r="A46" s="6" t="s">
        <v>5341</v>
      </c>
      <c r="B46" s="4" t="s">
        <v>5039</v>
      </c>
      <c r="C46" t="s">
        <v>6771</v>
      </c>
      <c r="E4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`idcontrato_individual`='VnxRZS9PfHjsF3EJ';</v>
      </c>
    </row>
    <row r="47" spans="1:5" x14ac:dyDescent="0.25">
      <c r="A47" s="6" t="s">
        <v>5346</v>
      </c>
      <c r="B47" s="4" t="s">
        <v>5039</v>
      </c>
      <c r="C47" t="s">
        <v>6771</v>
      </c>
      <c r="E4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`idcontrato_individual`='Brub26TdNgM9bita';</v>
      </c>
    </row>
    <row r="48" spans="1:5" x14ac:dyDescent="0.25">
      <c r="A48" s="6" t="s">
        <v>5354</v>
      </c>
      <c r="B48" s="4" t="s">
        <v>5039</v>
      </c>
      <c r="C48" t="s">
        <v>6771</v>
      </c>
      <c r="E4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`idcontrato_individual`='Bb94wXgvuguqaYty';</v>
      </c>
    </row>
    <row r="49" spans="1:5" x14ac:dyDescent="0.25">
      <c r="A49" s="6" t="s">
        <v>5360</v>
      </c>
      <c r="B49" s="4" t="s">
        <v>5039</v>
      </c>
      <c r="C49" t="s">
        <v>6771</v>
      </c>
      <c r="E4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`idcontrato_individual`='agPD6svkOHbYniwT';</v>
      </c>
    </row>
    <row r="50" spans="1:5" x14ac:dyDescent="0.25">
      <c r="A50" s="6" t="s">
        <v>5368</v>
      </c>
      <c r="B50" s="4" t="s">
        <v>5039</v>
      </c>
      <c r="C50" t="s">
        <v>6771</v>
      </c>
      <c r="E5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`idcontrato_individual`='ew9QSr1t0vLcgUyQ';</v>
      </c>
    </row>
    <row r="51" spans="1:5" x14ac:dyDescent="0.25">
      <c r="A51" s="6" t="s">
        <v>5373</v>
      </c>
      <c r="B51" s="4" t="s">
        <v>5039</v>
      </c>
      <c r="C51" t="s">
        <v>6771</v>
      </c>
      <c r="E5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`idcontrato_individual`='yJ5jWztgLYxxUaib';</v>
      </c>
    </row>
    <row r="52" spans="1:5" x14ac:dyDescent="0.25">
      <c r="A52" s="6" t="s">
        <v>5381</v>
      </c>
      <c r="B52" s="4" t="s">
        <v>5039</v>
      </c>
      <c r="C52" t="s">
        <v>6771</v>
      </c>
      <c r="E5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`idcontrato_individual`='LwrYaCdDgovgzmRh';</v>
      </c>
    </row>
    <row r="53" spans="1:5" x14ac:dyDescent="0.25">
      <c r="A53" s="6" t="s">
        <v>5389</v>
      </c>
      <c r="B53" s="4" t="s">
        <v>5039</v>
      </c>
      <c r="C53" t="s">
        <v>6771</v>
      </c>
      <c r="E5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`idcontrato_individual`='UgqrRfUzIPUXqb1r';</v>
      </c>
    </row>
    <row r="54" spans="1:5" x14ac:dyDescent="0.25">
      <c r="A54" s="6" t="s">
        <v>5395</v>
      </c>
      <c r="B54" s="4" t="s">
        <v>5039</v>
      </c>
      <c r="C54" t="s">
        <v>6771</v>
      </c>
      <c r="E5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`idcontrato_individual`='ka6a2D7Ga1sqln5P';</v>
      </c>
    </row>
    <row r="55" spans="1:5" x14ac:dyDescent="0.25">
      <c r="A55" s="6" t="s">
        <v>5401</v>
      </c>
      <c r="B55" s="4" t="s">
        <v>5039</v>
      </c>
      <c r="C55" t="s">
        <v>6771</v>
      </c>
      <c r="E5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`idcontrato_individual`='SCJUNn4s2wKuEGWn';</v>
      </c>
    </row>
    <row r="56" spans="1:5" x14ac:dyDescent="0.25">
      <c r="A56" s="6" t="s">
        <v>5406</v>
      </c>
      <c r="B56" s="4" t="s">
        <v>5039</v>
      </c>
      <c r="C56" t="s">
        <v>6771</v>
      </c>
      <c r="E5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`idcontrato_individual`='7h84MQygG285P9M8';</v>
      </c>
    </row>
    <row r="57" spans="1:5" x14ac:dyDescent="0.25">
      <c r="A57" s="6" t="s">
        <v>5414</v>
      </c>
      <c r="B57" s="4" t="s">
        <v>5039</v>
      </c>
      <c r="C57" t="s">
        <v>6771</v>
      </c>
      <c r="E5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`idcontrato_individual`='HH4IqfG5nXc00uVk';</v>
      </c>
    </row>
    <row r="58" spans="1:5" x14ac:dyDescent="0.25">
      <c r="A58" s="6" t="s">
        <v>5419</v>
      </c>
      <c r="B58" s="4" t="s">
        <v>5039</v>
      </c>
      <c r="C58" t="s">
        <v>6771</v>
      </c>
      <c r="E5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`idcontrato_individual`='W96dmIAI9ED6Q2Wq';</v>
      </c>
    </row>
    <row r="59" spans="1:5" x14ac:dyDescent="0.25">
      <c r="A59" s="6" t="s">
        <v>5426</v>
      </c>
      <c r="B59" s="4" t="s">
        <v>5039</v>
      </c>
      <c r="C59" t="s">
        <v>6771</v>
      </c>
      <c r="E5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`idcontrato_individual`='nLvKh8WcPjXfa7yc';</v>
      </c>
    </row>
    <row r="60" spans="1:5" x14ac:dyDescent="0.25">
      <c r="A60" s="6" t="s">
        <v>5434</v>
      </c>
      <c r="B60" s="4" t="s">
        <v>5039</v>
      </c>
      <c r="C60" t="s">
        <v>6771</v>
      </c>
      <c r="E6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`idcontrato_individual`='orwTduiDXMozkJSF';</v>
      </c>
    </row>
    <row r="61" spans="1:5" x14ac:dyDescent="0.25">
      <c r="A61" s="6" t="s">
        <v>5441</v>
      </c>
      <c r="B61" s="4" t="s">
        <v>5039</v>
      </c>
      <c r="C61" t="s">
        <v>6771</v>
      </c>
      <c r="E6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`idcontrato_individual`='gkTczq6dXW0f5qlf';</v>
      </c>
    </row>
    <row r="62" spans="1:5" x14ac:dyDescent="0.25">
      <c r="A62" s="6" t="s">
        <v>5446</v>
      </c>
      <c r="B62" s="4" t="s">
        <v>5039</v>
      </c>
      <c r="C62" t="s">
        <v>6771</v>
      </c>
      <c r="E6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`idcontrato_individual`='zyhrsUltLAJQzFA3';</v>
      </c>
    </row>
    <row r="63" spans="1:5" x14ac:dyDescent="0.25">
      <c r="A63" s="6" t="s">
        <v>5454</v>
      </c>
      <c r="B63" s="4" t="s">
        <v>5039</v>
      </c>
      <c r="C63" t="s">
        <v>6771</v>
      </c>
      <c r="E6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`idcontrato_individual`='5DuybASBUONdV7Yx';</v>
      </c>
    </row>
    <row r="64" spans="1:5" x14ac:dyDescent="0.25">
      <c r="A64" s="6" t="s">
        <v>5459</v>
      </c>
      <c r="B64" s="4" t="s">
        <v>5039</v>
      </c>
      <c r="C64" t="s">
        <v>6771</v>
      </c>
      <c r="E6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`idcontrato_individual`='ZppR8EArJv64TwO1';</v>
      </c>
    </row>
    <row r="65" spans="1:5" x14ac:dyDescent="0.25">
      <c r="A65" s="6" t="s">
        <v>5466</v>
      </c>
      <c r="B65" s="4" t="s">
        <v>5039</v>
      </c>
      <c r="C65" t="s">
        <v>6771</v>
      </c>
      <c r="E6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`idcontrato_individual`='PjTyWspSQRJSCH7i';</v>
      </c>
    </row>
    <row r="66" spans="1:5" x14ac:dyDescent="0.25">
      <c r="A66" s="6" t="s">
        <v>5474</v>
      </c>
      <c r="B66" s="4" t="s">
        <v>5039</v>
      </c>
      <c r="C66" t="s">
        <v>6771</v>
      </c>
      <c r="E6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`idcontrato_individual`='u75gVJAT49OxlyUG';</v>
      </c>
    </row>
    <row r="67" spans="1:5" x14ac:dyDescent="0.25">
      <c r="A67" s="6" t="s">
        <v>5479</v>
      </c>
      <c r="B67" s="4" t="s">
        <v>5039</v>
      </c>
      <c r="C67" t="s">
        <v>6771</v>
      </c>
      <c r="E6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`idcontrato_individual`='sCpuyudvoClPk58c';</v>
      </c>
    </row>
    <row r="68" spans="1:5" x14ac:dyDescent="0.25">
      <c r="A68" s="6" t="s">
        <v>5484</v>
      </c>
      <c r="B68" s="4" t="s">
        <v>5039</v>
      </c>
      <c r="C68" t="s">
        <v>6771</v>
      </c>
      <c r="E6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`idcontrato_individual`='tp7VaxJTc8bOvXSl';</v>
      </c>
    </row>
    <row r="69" spans="1:5" x14ac:dyDescent="0.25">
      <c r="A69" s="6" t="s">
        <v>5490</v>
      </c>
      <c r="B69" s="4" t="s">
        <v>5039</v>
      </c>
      <c r="C69" t="s">
        <v>6771</v>
      </c>
      <c r="E6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`idcontrato_individual`='UR8BAhKiXPVZAL4M';</v>
      </c>
    </row>
    <row r="70" spans="1:5" x14ac:dyDescent="0.25">
      <c r="A70" s="6" t="s">
        <v>5495</v>
      </c>
      <c r="B70" s="4" t="s">
        <v>5039</v>
      </c>
      <c r="C70" t="s">
        <v>6771</v>
      </c>
      <c r="E7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`idcontrato_individual`='J9o6paD82A6q8P5F';</v>
      </c>
    </row>
    <row r="71" spans="1:5" x14ac:dyDescent="0.25">
      <c r="A71" s="6" t="s">
        <v>5500</v>
      </c>
      <c r="B71" s="4" t="s">
        <v>5039</v>
      </c>
      <c r="C71" t="s">
        <v>6771</v>
      </c>
      <c r="E7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`idcontrato_individual`='FfZRT7UKkXADRYv0';</v>
      </c>
    </row>
    <row r="72" spans="1:5" x14ac:dyDescent="0.25">
      <c r="A72" s="6" t="s">
        <v>5506</v>
      </c>
      <c r="B72" s="4" t="s">
        <v>5039</v>
      </c>
      <c r="C72" t="s">
        <v>6771</v>
      </c>
      <c r="E7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`idcontrato_individual`='kyN1p1hmPb2RoZ6d';</v>
      </c>
    </row>
    <row r="73" spans="1:5" x14ac:dyDescent="0.25">
      <c r="A73" s="6" t="s">
        <v>5511</v>
      </c>
      <c r="B73" s="4" t="s">
        <v>5039</v>
      </c>
      <c r="C73" t="s">
        <v>6771</v>
      </c>
      <c r="E7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`idcontrato_individual`='uMFVNYH3DMF9DWx8';</v>
      </c>
    </row>
    <row r="74" spans="1:5" x14ac:dyDescent="0.25">
      <c r="A74" s="6" t="s">
        <v>5516</v>
      </c>
      <c r="B74" s="4" t="s">
        <v>5039</v>
      </c>
      <c r="C74" t="s">
        <v>6771</v>
      </c>
      <c r="E7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`idcontrato_individual`='aY7uofBx7O6f74RM';</v>
      </c>
    </row>
    <row r="75" spans="1:5" x14ac:dyDescent="0.25">
      <c r="A75" s="6" t="s">
        <v>5523</v>
      </c>
      <c r="B75" s="4" t="s">
        <v>5039</v>
      </c>
      <c r="C75" t="s">
        <v>6771</v>
      </c>
      <c r="E7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`idcontrato_individual`='puebld5V61tc39uX';</v>
      </c>
    </row>
    <row r="76" spans="1:5" x14ac:dyDescent="0.25">
      <c r="A76" s="6" t="s">
        <v>5529</v>
      </c>
      <c r="B76" s="4" t="s">
        <v>5039</v>
      </c>
      <c r="C76" t="s">
        <v>6771</v>
      </c>
      <c r="E7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`idcontrato_individual`='KLVaQKUObCabILKw';</v>
      </c>
    </row>
    <row r="77" spans="1:5" x14ac:dyDescent="0.25">
      <c r="A77" s="6" t="s">
        <v>5535</v>
      </c>
      <c r="B77" s="4" t="s">
        <v>5039</v>
      </c>
      <c r="C77" t="s">
        <v>6771</v>
      </c>
      <c r="E7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`idcontrato_individual`='5ibaDZOiYGDPmWIr';</v>
      </c>
    </row>
    <row r="78" spans="1:5" x14ac:dyDescent="0.25">
      <c r="A78" s="6" t="s">
        <v>5541</v>
      </c>
      <c r="B78" s="4" t="s">
        <v>5039</v>
      </c>
      <c r="C78" t="s">
        <v>6771</v>
      </c>
      <c r="E7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`idcontrato_individual`='zvakUL0ZRygarn7i';</v>
      </c>
    </row>
    <row r="79" spans="1:5" x14ac:dyDescent="0.25">
      <c r="A79" s="6" t="s">
        <v>5547</v>
      </c>
      <c r="B79" s="4" t="s">
        <v>5039</v>
      </c>
      <c r="C79" t="s">
        <v>6771</v>
      </c>
      <c r="E7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`idcontrato_individual`='SPsgV3P37aVe70qb';</v>
      </c>
    </row>
    <row r="80" spans="1:5" x14ac:dyDescent="0.25">
      <c r="A80" s="6" t="s">
        <v>5554</v>
      </c>
      <c r="B80" s="4" t="s">
        <v>5039</v>
      </c>
      <c r="C80" t="s">
        <v>6771</v>
      </c>
      <c r="E8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`idcontrato_individual`='LxDnbfcxd48GvLyh';</v>
      </c>
    </row>
    <row r="81" spans="1:5" x14ac:dyDescent="0.25">
      <c r="A81" s="6" t="s">
        <v>5559</v>
      </c>
      <c r="B81" s="4" t="s">
        <v>5039</v>
      </c>
      <c r="C81" t="s">
        <v>6771</v>
      </c>
      <c r="E8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`idcontrato_individual`='9TYdY2Q4kohvYLf2';</v>
      </c>
    </row>
    <row r="82" spans="1:5" x14ac:dyDescent="0.25">
      <c r="A82" s="6" t="s">
        <v>5563</v>
      </c>
      <c r="B82" s="4" t="s">
        <v>5039</v>
      </c>
      <c r="C82" t="s">
        <v>6771</v>
      </c>
      <c r="E8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`idcontrato_individual`='xhcOf5CT96oILf4L';</v>
      </c>
    </row>
    <row r="83" spans="1:5" x14ac:dyDescent="0.25">
      <c r="A83" s="6" t="s">
        <v>5571</v>
      </c>
      <c r="B83" s="4" t="s">
        <v>5039</v>
      </c>
      <c r="C83" t="s">
        <v>6771</v>
      </c>
      <c r="E8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`idcontrato_individual`='P2rU25K4DaP6tLvJ';</v>
      </c>
    </row>
    <row r="84" spans="1:5" x14ac:dyDescent="0.25">
      <c r="A84" s="6" t="s">
        <v>5577</v>
      </c>
      <c r="B84" s="4" t="s">
        <v>5039</v>
      </c>
      <c r="C84" t="s">
        <v>6771</v>
      </c>
      <c r="E8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`idcontrato_individual`='ChnrVLEoFaqoDpWz';</v>
      </c>
    </row>
    <row r="85" spans="1:5" x14ac:dyDescent="0.25">
      <c r="A85" s="6" t="s">
        <v>5582</v>
      </c>
      <c r="B85" s="4" t="s">
        <v>5039</v>
      </c>
      <c r="C85" t="s">
        <v>6771</v>
      </c>
      <c r="E8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`idcontrato_individual`='LYcSmOf1iUzZHYu3';</v>
      </c>
    </row>
    <row r="86" spans="1:5" x14ac:dyDescent="0.25">
      <c r="A86" s="6" t="s">
        <v>5589</v>
      </c>
      <c r="B86" s="4" t="s">
        <v>5039</v>
      </c>
      <c r="C86" t="s">
        <v>6771</v>
      </c>
      <c r="E8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`idcontrato_individual`='5TnJVTx1VX6FwDCw';</v>
      </c>
    </row>
    <row r="87" spans="1:5" x14ac:dyDescent="0.25">
      <c r="A87" s="6" t="s">
        <v>5595</v>
      </c>
      <c r="B87" s="4" t="s">
        <v>5039</v>
      </c>
      <c r="C87" t="s">
        <v>6771</v>
      </c>
      <c r="E8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`idcontrato_individual`='v6i7H4iJdosJoM8Y';</v>
      </c>
    </row>
    <row r="88" spans="1:5" x14ac:dyDescent="0.25">
      <c r="A88" s="6" t="s">
        <v>5601</v>
      </c>
      <c r="B88" s="4" t="s">
        <v>5039</v>
      </c>
      <c r="C88" t="s">
        <v>6771</v>
      </c>
      <c r="E8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`idcontrato_individual`='eM4EBuaaREFahEBY';</v>
      </c>
    </row>
    <row r="89" spans="1:5" x14ac:dyDescent="0.25">
      <c r="A89" s="6" t="s">
        <v>5608</v>
      </c>
      <c r="B89" s="4" t="s">
        <v>5039</v>
      </c>
      <c r="C89" t="s">
        <v>6771</v>
      </c>
      <c r="E8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`idcontrato_individual`='XVry2yJdeBzXbdE1';</v>
      </c>
    </row>
    <row r="90" spans="1:5" x14ac:dyDescent="0.25">
      <c r="A90" s="6" t="s">
        <v>5614</v>
      </c>
      <c r="B90" s="4" t="s">
        <v>5039</v>
      </c>
      <c r="C90" t="s">
        <v>6771</v>
      </c>
      <c r="E9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`idcontrato_individual`='xJpVtxaGRBe6EYit';</v>
      </c>
    </row>
    <row r="91" spans="1:5" x14ac:dyDescent="0.25">
      <c r="A91" s="6" t="s">
        <v>5622</v>
      </c>
      <c r="B91" s="4" t="s">
        <v>5039</v>
      </c>
      <c r="C91" t="s">
        <v>6771</v>
      </c>
      <c r="E9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`idcontrato_individual`='xsCrdIPa38BoDrMc';</v>
      </c>
    </row>
    <row r="92" spans="1:5" x14ac:dyDescent="0.25">
      <c r="A92" s="6" t="s">
        <v>5626</v>
      </c>
      <c r="B92" s="4" t="s">
        <v>5039</v>
      </c>
      <c r="C92" t="s">
        <v>6771</v>
      </c>
      <c r="E9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`idcontrato_individual`='rZruFT0piFAMQyTA';</v>
      </c>
    </row>
    <row r="93" spans="1:5" x14ac:dyDescent="0.25">
      <c r="A93" s="6" t="s">
        <v>5632</v>
      </c>
      <c r="B93" s="4" t="s">
        <v>5039</v>
      </c>
      <c r="C93" t="s">
        <v>6771</v>
      </c>
      <c r="E9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`idcontrato_individual`='6jjPHbJ36smuJIrs';</v>
      </c>
    </row>
    <row r="94" spans="1:5" x14ac:dyDescent="0.25">
      <c r="A94" s="6" t="s">
        <v>5639</v>
      </c>
      <c r="B94" s="4" t="s">
        <v>5039</v>
      </c>
      <c r="C94" t="s">
        <v>6771</v>
      </c>
      <c r="E9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`idcontrato_individual`='OHFRWieBm250GJ37';</v>
      </c>
    </row>
    <row r="95" spans="1:5" x14ac:dyDescent="0.25">
      <c r="A95" s="6" t="s">
        <v>5646</v>
      </c>
      <c r="B95" s="4" t="s">
        <v>5039</v>
      </c>
      <c r="C95" t="s">
        <v>6771</v>
      </c>
      <c r="E9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`idcontrato_individual`='QQ45tFNohoikVvvn';</v>
      </c>
    </row>
    <row r="96" spans="1:5" x14ac:dyDescent="0.25">
      <c r="A96" s="6" t="s">
        <v>5653</v>
      </c>
      <c r="B96" s="4" t="s">
        <v>5039</v>
      </c>
      <c r="C96" t="s">
        <v>6771</v>
      </c>
      <c r="E9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`idcontrato_individual`='17IKL6OyCntqfts6';</v>
      </c>
    </row>
    <row r="97" spans="1:5" x14ac:dyDescent="0.25">
      <c r="A97" s="6" t="s">
        <v>5660</v>
      </c>
      <c r="B97" s="4" t="s">
        <v>5039</v>
      </c>
      <c r="C97" t="s">
        <v>6771</v>
      </c>
      <c r="E9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`idcontrato_individual`='IgiatAZp2xUMouv8';</v>
      </c>
    </row>
    <row r="98" spans="1:5" x14ac:dyDescent="0.25">
      <c r="A98" s="6" t="s">
        <v>5667</v>
      </c>
      <c r="B98" s="4" t="s">
        <v>5039</v>
      </c>
      <c r="C98" t="s">
        <v>6771</v>
      </c>
      <c r="E9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`idcontrato_individual`='0hjDuWbEGHy9DgnL';</v>
      </c>
    </row>
    <row r="99" spans="1:5" x14ac:dyDescent="0.25">
      <c r="A99" s="6" t="s">
        <v>5676</v>
      </c>
      <c r="B99" s="4" t="s">
        <v>5039</v>
      </c>
      <c r="C99" t="s">
        <v>6771</v>
      </c>
      <c r="E9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`idcontrato_individual`='crbhDs1NT2lhqTcQ';</v>
      </c>
    </row>
    <row r="100" spans="1:5" x14ac:dyDescent="0.25">
      <c r="A100" s="6" t="s">
        <v>5682</v>
      </c>
      <c r="B100" s="4" t="s">
        <v>5039</v>
      </c>
      <c r="C100" t="s">
        <v>6771</v>
      </c>
      <c r="E10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`idcontrato_individual`='zPh8Lh1aLire5HlC';</v>
      </c>
    </row>
    <row r="101" spans="1:5" x14ac:dyDescent="0.25">
      <c r="A101" s="6" t="s">
        <v>5686</v>
      </c>
      <c r="B101" s="4" t="s">
        <v>5039</v>
      </c>
      <c r="C101" t="s">
        <v>6771</v>
      </c>
      <c r="E10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`idcontrato_individual`='76RHVMeSt79gNmgA';</v>
      </c>
    </row>
    <row r="102" spans="1:5" x14ac:dyDescent="0.25">
      <c r="A102" s="6" t="s">
        <v>5692</v>
      </c>
      <c r="B102" s="4" t="s">
        <v>5039</v>
      </c>
      <c r="C102" t="s">
        <v>6771</v>
      </c>
      <c r="E10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`idcontrato_individual`='ww9fqwbHND9mg34g';</v>
      </c>
    </row>
    <row r="103" spans="1:5" x14ac:dyDescent="0.25">
      <c r="A103" s="6" t="s">
        <v>5696</v>
      </c>
      <c r="B103" s="4" t="s">
        <v>5039</v>
      </c>
      <c r="C103" t="s">
        <v>6771</v>
      </c>
      <c r="E10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`idcontrato_individual`='WP8yGLB0fRVzBtF2';</v>
      </c>
    </row>
    <row r="104" spans="1:5" x14ac:dyDescent="0.25">
      <c r="A104" s="6" t="s">
        <v>5703</v>
      </c>
      <c r="B104" s="4" t="s">
        <v>5039</v>
      </c>
      <c r="C104" t="s">
        <v>6771</v>
      </c>
      <c r="E10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`idcontrato_individual`='Kg6fS3AesuryLmnD';</v>
      </c>
    </row>
    <row r="105" spans="1:5" x14ac:dyDescent="0.25">
      <c r="A105" s="6" t="s">
        <v>5709</v>
      </c>
      <c r="B105" s="4" t="s">
        <v>5039</v>
      </c>
      <c r="C105" t="s">
        <v>6771</v>
      </c>
      <c r="E10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`idcontrato_individual`='8QyBD9dHpeJU8w4E';</v>
      </c>
    </row>
    <row r="106" spans="1:5" x14ac:dyDescent="0.25">
      <c r="A106" s="6" t="s">
        <v>5716</v>
      </c>
      <c r="B106" s="4" t="s">
        <v>5039</v>
      </c>
      <c r="C106" t="s">
        <v>6771</v>
      </c>
      <c r="E10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`idcontrato_individual`='q0VFI2C4dt7EpozY';</v>
      </c>
    </row>
    <row r="107" spans="1:5" x14ac:dyDescent="0.25">
      <c r="A107" s="6" t="s">
        <v>5723</v>
      </c>
      <c r="B107" s="4" t="s">
        <v>5039</v>
      </c>
      <c r="C107" t="s">
        <v>6771</v>
      </c>
      <c r="E10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`idcontrato_individual`='XZyPHO1W01zvH4XG';</v>
      </c>
    </row>
    <row r="108" spans="1:5" x14ac:dyDescent="0.25">
      <c r="A108" s="6" t="s">
        <v>5731</v>
      </c>
      <c r="B108" s="4" t="s">
        <v>5039</v>
      </c>
      <c r="C108" t="s">
        <v>6771</v>
      </c>
      <c r="E10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`idcontrato_individual`='GcLlKrjrmCJuKWcz';</v>
      </c>
    </row>
    <row r="109" spans="1:5" x14ac:dyDescent="0.25">
      <c r="A109" s="6" t="s">
        <v>5737</v>
      </c>
      <c r="B109" s="4" t="s">
        <v>5039</v>
      </c>
      <c r="C109" t="s">
        <v>6771</v>
      </c>
      <c r="E10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`idcontrato_individual`='aLXJ4Plt4FCc7HmZ';</v>
      </c>
    </row>
    <row r="110" spans="1:5" x14ac:dyDescent="0.25">
      <c r="A110" s="6" t="s">
        <v>5742</v>
      </c>
      <c r="B110" s="4" t="s">
        <v>5039</v>
      </c>
      <c r="C110" t="s">
        <v>6771</v>
      </c>
      <c r="E11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`idcontrato_individual`='KNcIcZ3lRcwfhzOF';</v>
      </c>
    </row>
    <row r="111" spans="1:5" x14ac:dyDescent="0.25">
      <c r="A111" s="6" t="s">
        <v>5746</v>
      </c>
      <c r="B111" s="4" t="s">
        <v>5039</v>
      </c>
      <c r="C111" t="s">
        <v>6771</v>
      </c>
      <c r="E11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`idcontrato_individual`='52I13DNJkzTVGps5';</v>
      </c>
    </row>
    <row r="112" spans="1:5" x14ac:dyDescent="0.25">
      <c r="A112" s="6" t="s">
        <v>5752</v>
      </c>
      <c r="B112" s="4" t="s">
        <v>5039</v>
      </c>
      <c r="C112" t="s">
        <v>6771</v>
      </c>
      <c r="E11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`idcontrato_individual`='MM436M59H7ambsED';</v>
      </c>
    </row>
    <row r="113" spans="1:5" x14ac:dyDescent="0.25">
      <c r="A113" s="6" t="s">
        <v>5758</v>
      </c>
      <c r="B113" s="4" t="s">
        <v>5039</v>
      </c>
      <c r="C113" t="s">
        <v>6771</v>
      </c>
      <c r="E11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`idcontrato_individual`='XTkJq2flopfktGPA';</v>
      </c>
    </row>
    <row r="114" spans="1:5" x14ac:dyDescent="0.25">
      <c r="A114" s="6" t="s">
        <v>5763</v>
      </c>
      <c r="B114" s="4" t="s">
        <v>5039</v>
      </c>
      <c r="C114" t="s">
        <v>6771</v>
      </c>
      <c r="E11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`idcontrato_individual`='pRWsOzcuE0XylXX5';</v>
      </c>
    </row>
    <row r="115" spans="1:5" x14ac:dyDescent="0.25">
      <c r="A115" s="6" t="s">
        <v>5767</v>
      </c>
      <c r="B115" s="4" t="s">
        <v>5039</v>
      </c>
      <c r="C115" t="s">
        <v>6771</v>
      </c>
      <c r="E11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`idcontrato_individual`='CAh0dKstPUkY7Em2';</v>
      </c>
    </row>
    <row r="116" spans="1:5" x14ac:dyDescent="0.25">
      <c r="A116" s="6" t="s">
        <v>5773</v>
      </c>
      <c r="B116" s="4" t="s">
        <v>5039</v>
      </c>
      <c r="C116" t="s">
        <v>6771</v>
      </c>
      <c r="E11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`idcontrato_individual`='3VtxS6y9EKtloI9J';</v>
      </c>
    </row>
    <row r="117" spans="1:5" x14ac:dyDescent="0.25">
      <c r="A117" s="6" t="s">
        <v>5779</v>
      </c>
      <c r="B117" s="4" t="s">
        <v>5039</v>
      </c>
      <c r="C117" t="s">
        <v>6771</v>
      </c>
      <c r="E11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`idcontrato_individual`='e09k5SapCbk2iDIx';</v>
      </c>
    </row>
    <row r="118" spans="1:5" x14ac:dyDescent="0.25">
      <c r="A118" s="6" t="s">
        <v>5783</v>
      </c>
      <c r="B118" s="4" t="s">
        <v>5039</v>
      </c>
      <c r="C118" t="s">
        <v>6771</v>
      </c>
      <c r="E11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`idcolonia`='QWZGYYNU9KVTQO' WHERE  `idcontrato_individual`='Gbwy56KhGcnERtR1';</v>
      </c>
    </row>
    <row r="119" spans="1:5" hidden="1" x14ac:dyDescent="0.25">
      <c r="A119" s="6" t="s">
        <v>5784</v>
      </c>
      <c r="B119" s="4" t="s">
        <v>4</v>
      </c>
      <c r="E11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`idcontrato_individual`='IHbaxoLebDotN1Li';</v>
      </c>
    </row>
    <row r="120" spans="1:5" hidden="1" x14ac:dyDescent="0.25">
      <c r="A120" s="6" t="s">
        <v>5794</v>
      </c>
      <c r="B120" s="4" t="s">
        <v>4</v>
      </c>
      <c r="E12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`idcontrato_individual`='95lrPdItOi7mbJ3g';</v>
      </c>
    </row>
    <row r="121" spans="1:5" hidden="1" x14ac:dyDescent="0.25">
      <c r="A121" s="6" t="s">
        <v>5803</v>
      </c>
      <c r="B121" s="4" t="s">
        <v>4</v>
      </c>
      <c r="E12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`idcontrato_individual`='YQaBoS3Tsw2an4gp';</v>
      </c>
    </row>
    <row r="122" spans="1:5" hidden="1" x14ac:dyDescent="0.25">
      <c r="A122" s="6" t="s">
        <v>5811</v>
      </c>
      <c r="B122" s="4" t="s">
        <v>4</v>
      </c>
      <c r="E12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`idcontrato_individual`='om3M7DkF3G2DF862';</v>
      </c>
    </row>
    <row r="123" spans="1:5" hidden="1" x14ac:dyDescent="0.25">
      <c r="A123" s="6" t="s">
        <v>5818</v>
      </c>
      <c r="B123" s="4" t="s">
        <v>4</v>
      </c>
      <c r="E12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`idcontrato_individual`='9gkwCPmMTE5PZBPn';</v>
      </c>
    </row>
    <row r="124" spans="1:5" hidden="1" x14ac:dyDescent="0.25">
      <c r="A124" s="6" t="s">
        <v>5825</v>
      </c>
      <c r="B124" s="4" t="s">
        <v>4</v>
      </c>
      <c r="E12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`idcontrato_individual`='n4iumfqmhayROPlL';</v>
      </c>
    </row>
    <row r="125" spans="1:5" hidden="1" x14ac:dyDescent="0.25">
      <c r="A125" s="6" t="s">
        <v>5832</v>
      </c>
      <c r="B125" s="4" t="s">
        <v>4</v>
      </c>
      <c r="E12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`idcontrato_individual`='1fswvs2teh9foeke';</v>
      </c>
    </row>
    <row r="126" spans="1:5" hidden="1" x14ac:dyDescent="0.25">
      <c r="A126" s="6" t="s">
        <v>5843</v>
      </c>
      <c r="B126" s="4" t="s">
        <v>4</v>
      </c>
      <c r="E12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`idcontrato_individual`='WIcPzsWf2RSWpVjB';</v>
      </c>
    </row>
    <row r="127" spans="1:5" hidden="1" x14ac:dyDescent="0.25">
      <c r="A127" s="6" t="s">
        <v>5849</v>
      </c>
      <c r="B127" s="4" t="s">
        <v>4</v>
      </c>
      <c r="E12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`idcontrato_individual`='91rp6ydXjAB1uKxl';</v>
      </c>
    </row>
    <row r="128" spans="1:5" hidden="1" x14ac:dyDescent="0.25">
      <c r="A128" s="6" t="s">
        <v>5855</v>
      </c>
      <c r="B128" s="4" t="s">
        <v>4</v>
      </c>
      <c r="E12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`idcontrato_individual`='8sRuqrSfdLNZQr9U';</v>
      </c>
    </row>
    <row r="129" spans="1:5" hidden="1" x14ac:dyDescent="0.25">
      <c r="A129" s="6" t="s">
        <v>5861</v>
      </c>
      <c r="B129" s="4" t="s">
        <v>4</v>
      </c>
      <c r="E12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`idcontrato_individual`='EioJKWiUyulCYIGa';</v>
      </c>
    </row>
    <row r="130" spans="1:5" hidden="1" x14ac:dyDescent="0.25">
      <c r="A130" s="6" t="s">
        <v>5867</v>
      </c>
      <c r="B130" s="4" t="s">
        <v>4</v>
      </c>
      <c r="E13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`idcontrato_individual`='HH5fZ35gxhK7sjkb';</v>
      </c>
    </row>
    <row r="131" spans="1:5" hidden="1" x14ac:dyDescent="0.25">
      <c r="A131" s="6" t="s">
        <v>5873</v>
      </c>
      <c r="B131" s="4" t="s">
        <v>4</v>
      </c>
      <c r="E13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`idcontrato_individual`='is3BunoUTNzjk80K';</v>
      </c>
    </row>
    <row r="132" spans="1:5" hidden="1" x14ac:dyDescent="0.25">
      <c r="A132" s="6" t="s">
        <v>5880</v>
      </c>
      <c r="B132" s="4" t="s">
        <v>4</v>
      </c>
      <c r="E13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`idcontrato_individual`='EjnXkcoREXc43nul';</v>
      </c>
    </row>
    <row r="133" spans="1:5" hidden="1" x14ac:dyDescent="0.25">
      <c r="A133" s="6" t="s">
        <v>5887</v>
      </c>
      <c r="B133" s="4" t="s">
        <v>4</v>
      </c>
      <c r="E13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`idcontrato_individual`='vA0KjZAkBPIWFYjJ';</v>
      </c>
    </row>
    <row r="134" spans="1:5" hidden="1" x14ac:dyDescent="0.25">
      <c r="A134" s="6" t="s">
        <v>5895</v>
      </c>
      <c r="B134" s="4" t="s">
        <v>4</v>
      </c>
      <c r="E13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`idcontrato_individual`='XBGG3BYaRBU6DmbE';</v>
      </c>
    </row>
    <row r="135" spans="1:5" hidden="1" x14ac:dyDescent="0.25">
      <c r="A135" s="6" t="s">
        <v>5901</v>
      </c>
      <c r="B135" s="4" t="s">
        <v>4</v>
      </c>
      <c r="E13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`idcontrato_individual`='Xxe6dJYiCwnIDp3C';</v>
      </c>
    </row>
    <row r="136" spans="1:5" hidden="1" x14ac:dyDescent="0.25">
      <c r="A136" s="6" t="s">
        <v>5906</v>
      </c>
      <c r="B136" s="4" t="s">
        <v>4</v>
      </c>
      <c r="E13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`idcontrato_individual`='4He93Si8I841Cgy8';</v>
      </c>
    </row>
    <row r="137" spans="1:5" hidden="1" x14ac:dyDescent="0.25">
      <c r="A137" s="6" t="s">
        <v>5913</v>
      </c>
      <c r="B137" s="4" t="s">
        <v>4</v>
      </c>
      <c r="E13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`idcontrato_individual`='nySiKPPFuHCD9ynz';</v>
      </c>
    </row>
    <row r="138" spans="1:5" hidden="1" x14ac:dyDescent="0.25">
      <c r="A138" s="6" t="s">
        <v>5920</v>
      </c>
      <c r="B138" s="4" t="s">
        <v>4</v>
      </c>
      <c r="E13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`idcontrato_individual`='zp0uDcvo83yFS7B2';</v>
      </c>
    </row>
    <row r="139" spans="1:5" hidden="1" x14ac:dyDescent="0.25">
      <c r="A139" s="6" t="s">
        <v>5925</v>
      </c>
      <c r="B139" s="4" t="s">
        <v>4</v>
      </c>
      <c r="E13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`idcontrato_individual`='2CRmGk6bqszQBw56';</v>
      </c>
    </row>
    <row r="140" spans="1:5" hidden="1" x14ac:dyDescent="0.25">
      <c r="A140" s="6" t="s">
        <v>5931</v>
      </c>
      <c r="B140" s="4" t="s">
        <v>4</v>
      </c>
      <c r="E14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`idcontrato_individual`='567s6UEVuJJkyzpx';</v>
      </c>
    </row>
    <row r="141" spans="1:5" hidden="1" x14ac:dyDescent="0.25">
      <c r="A141" s="6" t="s">
        <v>5940</v>
      </c>
      <c r="B141" s="4" t="s">
        <v>4</v>
      </c>
      <c r="E14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`idcontrato_individual`='f7bgISv824M22gmW';</v>
      </c>
    </row>
    <row r="142" spans="1:5" hidden="1" x14ac:dyDescent="0.25">
      <c r="A142" s="6" t="s">
        <v>5945</v>
      </c>
      <c r="B142" s="4" t="s">
        <v>4</v>
      </c>
      <c r="E14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`idcontrato_individual`='gXFAVI2ph2rDp710';</v>
      </c>
    </row>
    <row r="143" spans="1:5" hidden="1" x14ac:dyDescent="0.25">
      <c r="A143" s="6" t="s">
        <v>5950</v>
      </c>
      <c r="B143" s="4" t="s">
        <v>4</v>
      </c>
      <c r="E14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`idcontrato_individual`='wlT9HyK0vuMPiBad';</v>
      </c>
    </row>
    <row r="144" spans="1:5" hidden="1" x14ac:dyDescent="0.25">
      <c r="A144" s="6" t="s">
        <v>5956</v>
      </c>
      <c r="B144" s="4" t="s">
        <v>4</v>
      </c>
      <c r="E14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`idcontrato_individual`='9CXm1mEv3CYwI9jY';</v>
      </c>
    </row>
    <row r="145" spans="1:5" hidden="1" x14ac:dyDescent="0.25">
      <c r="A145" s="6" t="s">
        <v>5961</v>
      </c>
      <c r="B145" s="4" t="s">
        <v>4</v>
      </c>
      <c r="E14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`idcontrato_individual`='dBl9xqXW9NGoO8cT';</v>
      </c>
    </row>
    <row r="146" spans="1:5" hidden="1" x14ac:dyDescent="0.25">
      <c r="A146" s="6" t="s">
        <v>5966</v>
      </c>
      <c r="B146" s="4" t="s">
        <v>4</v>
      </c>
      <c r="E14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`idcontrato_individual`='sGYfGBCO3ekdoaB2';</v>
      </c>
    </row>
    <row r="147" spans="1:5" hidden="1" x14ac:dyDescent="0.25">
      <c r="A147" s="6" t="s">
        <v>5972</v>
      </c>
      <c r="B147" s="4" t="s">
        <v>4</v>
      </c>
      <c r="E14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`idcontrato_individual`='EUmKM4J4l5tm2UgE';</v>
      </c>
    </row>
    <row r="148" spans="1:5" hidden="1" x14ac:dyDescent="0.25">
      <c r="A148" s="6" t="s">
        <v>5980</v>
      </c>
      <c r="B148" s="4" t="s">
        <v>4</v>
      </c>
      <c r="E14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`idcontrato_individual`='LymKxJmSxALoy4wx';</v>
      </c>
    </row>
    <row r="149" spans="1:5" hidden="1" x14ac:dyDescent="0.25">
      <c r="A149" s="6" t="s">
        <v>5986</v>
      </c>
      <c r="B149" s="4" t="s">
        <v>4</v>
      </c>
      <c r="E14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`idcontrato_individual`='NgvKn8dzB5O8JNvs';</v>
      </c>
    </row>
    <row r="150" spans="1:5" hidden="1" x14ac:dyDescent="0.25">
      <c r="A150" s="6" t="s">
        <v>5993</v>
      </c>
      <c r="B150" s="4" t="s">
        <v>4</v>
      </c>
      <c r="E15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`idcontrato_individual`='HFh0VmULpZBKlGQl';</v>
      </c>
    </row>
    <row r="151" spans="1:5" hidden="1" x14ac:dyDescent="0.25">
      <c r="A151" s="6" t="s">
        <v>6001</v>
      </c>
      <c r="B151" s="4" t="s">
        <v>4</v>
      </c>
      <c r="E15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`idcontrato_individual`='tqWxa4bzJ8wp7ty7';</v>
      </c>
    </row>
    <row r="152" spans="1:5" hidden="1" x14ac:dyDescent="0.25">
      <c r="A152" s="6" t="s">
        <v>6006</v>
      </c>
      <c r="B152" s="4" t="s">
        <v>4</v>
      </c>
      <c r="E15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`idcontrato_individual`='ZcivWtBAqEFUGSxF';</v>
      </c>
    </row>
    <row r="153" spans="1:5" hidden="1" x14ac:dyDescent="0.25">
      <c r="A153" s="6" t="s">
        <v>6012</v>
      </c>
      <c r="B153" s="4" t="s">
        <v>4</v>
      </c>
      <c r="E15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`idcontrato_individual`='R9jZxdQfoTLyuVVZ';</v>
      </c>
    </row>
    <row r="154" spans="1:5" hidden="1" x14ac:dyDescent="0.25">
      <c r="A154" s="6" t="s">
        <v>6020</v>
      </c>
      <c r="B154" s="4" t="s">
        <v>4</v>
      </c>
      <c r="E15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`idcontrato_individual`='4U4kjRo8NvEISzIq';</v>
      </c>
    </row>
    <row r="155" spans="1:5" hidden="1" x14ac:dyDescent="0.25">
      <c r="A155" s="6" t="s">
        <v>6026</v>
      </c>
      <c r="B155" s="4" t="s">
        <v>4</v>
      </c>
      <c r="E15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`idcontrato_individual`='SLl63SS9xsvX1nSh';</v>
      </c>
    </row>
    <row r="156" spans="1:5" hidden="1" x14ac:dyDescent="0.25">
      <c r="A156" s="6" t="s">
        <v>6032</v>
      </c>
      <c r="B156" s="4" t="s">
        <v>4</v>
      </c>
      <c r="E15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`idcontrato_individual`='v9dQnqrb4vkBDEUY';</v>
      </c>
    </row>
    <row r="157" spans="1:5" hidden="1" x14ac:dyDescent="0.25">
      <c r="A157" s="6" t="s">
        <v>6040</v>
      </c>
      <c r="B157" s="4" t="s">
        <v>4</v>
      </c>
      <c r="E15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`idcontrato_individual`='VnAlGl6LRLgqFPAi';</v>
      </c>
    </row>
    <row r="158" spans="1:5" hidden="1" x14ac:dyDescent="0.25">
      <c r="A158" s="6" t="s">
        <v>6045</v>
      </c>
      <c r="B158" s="4" t="s">
        <v>4</v>
      </c>
      <c r="E15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`idcontrato_individual`='NEMtxw2ltp1of662';</v>
      </c>
    </row>
    <row r="159" spans="1:5" hidden="1" x14ac:dyDescent="0.25">
      <c r="A159" s="6" t="s">
        <v>6052</v>
      </c>
      <c r="B159" s="4" t="s">
        <v>4</v>
      </c>
      <c r="E15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`idcontrato_individual`='lQSr13DlEem73cyZ';</v>
      </c>
    </row>
    <row r="160" spans="1:5" hidden="1" x14ac:dyDescent="0.25">
      <c r="A160" s="6" t="s">
        <v>6060</v>
      </c>
      <c r="B160" s="4" t="s">
        <v>4</v>
      </c>
      <c r="E16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`idcontrato_individual`='fipdNLQ71CqxBzEF';</v>
      </c>
    </row>
    <row r="161" spans="1:5" hidden="1" x14ac:dyDescent="0.25">
      <c r="A161" s="6" t="s">
        <v>6068</v>
      </c>
      <c r="B161" s="4" t="s">
        <v>4</v>
      </c>
      <c r="E16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`idcontrato_individual`='etiS70G0lY4WewjW';</v>
      </c>
    </row>
    <row r="162" spans="1:5" hidden="1" x14ac:dyDescent="0.25">
      <c r="A162" s="6" t="s">
        <v>6074</v>
      </c>
      <c r="B162" s="4" t="s">
        <v>4</v>
      </c>
      <c r="E16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`idcontrato_individual`='CSko5UQ8fJ8eWOAr';</v>
      </c>
    </row>
    <row r="163" spans="1:5" hidden="1" x14ac:dyDescent="0.25">
      <c r="A163" s="6" t="s">
        <v>6081</v>
      </c>
      <c r="B163" s="4" t="s">
        <v>4</v>
      </c>
      <c r="E16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`idcontrato_individual`='UVNnVTZlP0CUFSnb';</v>
      </c>
    </row>
    <row r="164" spans="1:5" hidden="1" x14ac:dyDescent="0.25">
      <c r="A164" s="6" t="s">
        <v>6086</v>
      </c>
      <c r="B164" s="4" t="s">
        <v>4</v>
      </c>
      <c r="E16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`idcontrato_individual`='RPKL54Rx2MCHegb2';</v>
      </c>
    </row>
    <row r="165" spans="1:5" hidden="1" x14ac:dyDescent="0.25">
      <c r="A165" s="6" t="s">
        <v>6092</v>
      </c>
      <c r="B165" s="4" t="s">
        <v>4</v>
      </c>
      <c r="E16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`idcontrato_individual`='g6L6CyWhTxLssGZb';</v>
      </c>
    </row>
    <row r="166" spans="1:5" hidden="1" x14ac:dyDescent="0.25">
      <c r="A166" s="6" t="s">
        <v>6097</v>
      </c>
      <c r="B166" s="4" t="s">
        <v>4</v>
      </c>
      <c r="E16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`idcontrato_individual`='7iYBX7O3N53ip43I';</v>
      </c>
    </row>
    <row r="167" spans="1:5" hidden="1" x14ac:dyDescent="0.25">
      <c r="A167" s="6" t="s">
        <v>6105</v>
      </c>
      <c r="B167" s="4" t="s">
        <v>4</v>
      </c>
      <c r="E16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`idcolonia`='' WHERE  `idcontrato_individual`='DmI2G8Ak51xrWoaR';</v>
      </c>
    </row>
    <row r="168" spans="1:5" x14ac:dyDescent="0.25">
      <c r="A168" s="6" t="s">
        <v>6112</v>
      </c>
      <c r="B168" s="4" t="s">
        <v>6118</v>
      </c>
      <c r="C168" s="4" t="s">
        <v>6772</v>
      </c>
      <c r="E16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`idcontrato_individual`='BByvJjhJjKclnltf';</v>
      </c>
    </row>
    <row r="169" spans="1:5" x14ac:dyDescent="0.25">
      <c r="A169" s="6" t="s">
        <v>6119</v>
      </c>
      <c r="B169" s="4" t="s">
        <v>6118</v>
      </c>
      <c r="C169" t="s">
        <v>6772</v>
      </c>
      <c r="E16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`idcontrato_individual`='gmqroQla55RAUDkP';</v>
      </c>
    </row>
    <row r="170" spans="1:5" x14ac:dyDescent="0.25">
      <c r="A170" s="6" t="s">
        <v>6125</v>
      </c>
      <c r="B170" s="4" t="s">
        <v>6118</v>
      </c>
      <c r="C170" t="s">
        <v>6772</v>
      </c>
      <c r="E17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`idcontrato_individual`='aQNgDvxruaLAncAK';</v>
      </c>
    </row>
    <row r="171" spans="1:5" x14ac:dyDescent="0.25">
      <c r="A171" s="6" t="s">
        <v>6131</v>
      </c>
      <c r="B171" s="4" t="s">
        <v>6118</v>
      </c>
      <c r="C171" t="s">
        <v>6772</v>
      </c>
      <c r="E17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`idcontrato_individual`='F5rAFVh5JTjXQz3C';</v>
      </c>
    </row>
    <row r="172" spans="1:5" x14ac:dyDescent="0.25">
      <c r="A172" s="6" t="s">
        <v>6139</v>
      </c>
      <c r="B172" s="4" t="s">
        <v>6118</v>
      </c>
      <c r="C172" t="s">
        <v>6772</v>
      </c>
      <c r="E17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`idcontrato_individual`='CZ74RK091h7eNBJF';</v>
      </c>
    </row>
    <row r="173" spans="1:5" x14ac:dyDescent="0.25">
      <c r="A173" s="6" t="s">
        <v>6146</v>
      </c>
      <c r="B173" s="4" t="s">
        <v>6118</v>
      </c>
      <c r="C173" t="s">
        <v>6772</v>
      </c>
      <c r="E17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`idcontrato_individual`='Nsvnm3qLc8H2Asez';</v>
      </c>
    </row>
    <row r="174" spans="1:5" x14ac:dyDescent="0.25">
      <c r="A174" s="6" t="s">
        <v>6151</v>
      </c>
      <c r="B174" s="4" t="s">
        <v>6118</v>
      </c>
      <c r="C174" t="s">
        <v>6772</v>
      </c>
      <c r="E17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`idcontrato_individual`='iUDXr9GJ6sgaGzp8';</v>
      </c>
    </row>
    <row r="175" spans="1:5" x14ac:dyDescent="0.25">
      <c r="A175" s="6" t="s">
        <v>6159</v>
      </c>
      <c r="B175" s="4" t="s">
        <v>6118</v>
      </c>
      <c r="C175" t="s">
        <v>6772</v>
      </c>
      <c r="E17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`idcontrato_individual`='RoJv7fvCDOt3GiVl';</v>
      </c>
    </row>
    <row r="176" spans="1:5" x14ac:dyDescent="0.25">
      <c r="A176" s="6" t="s">
        <v>6169</v>
      </c>
      <c r="B176" s="4" t="s">
        <v>6118</v>
      </c>
      <c r="C176" t="s">
        <v>6772</v>
      </c>
      <c r="E17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`idcontrato_individual`='RzxogrEOzsR09aK9';</v>
      </c>
    </row>
    <row r="177" spans="1:5" x14ac:dyDescent="0.25">
      <c r="A177" s="6" t="s">
        <v>6175</v>
      </c>
      <c r="B177" s="4" t="s">
        <v>6118</v>
      </c>
      <c r="C177" t="s">
        <v>6772</v>
      </c>
      <c r="E17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`idcontrato_individual`='QAwb6EdQYwbSeAGD';</v>
      </c>
    </row>
    <row r="178" spans="1:5" x14ac:dyDescent="0.25">
      <c r="A178" s="6" t="s">
        <v>6183</v>
      </c>
      <c r="B178" s="4" t="s">
        <v>6118</v>
      </c>
      <c r="C178" t="s">
        <v>6772</v>
      </c>
      <c r="E17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`idcontrato_individual`='9aT2eI2FMkPN10r3';</v>
      </c>
    </row>
    <row r="179" spans="1:5" x14ac:dyDescent="0.25">
      <c r="A179" s="6" t="s">
        <v>6190</v>
      </c>
      <c r="B179" s="4" t="s">
        <v>6118</v>
      </c>
      <c r="C179" t="s">
        <v>6772</v>
      </c>
      <c r="E17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`idcontrato_individual`='WUr9GeFyyyeprKV7';</v>
      </c>
    </row>
    <row r="180" spans="1:5" x14ac:dyDescent="0.25">
      <c r="A180" s="6" t="s">
        <v>6195</v>
      </c>
      <c r="B180" s="4" t="s">
        <v>6118</v>
      </c>
      <c r="C180" t="s">
        <v>6772</v>
      </c>
      <c r="E18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`idcontrato_individual`='KHoJcDnL04TXSvvV';</v>
      </c>
    </row>
    <row r="181" spans="1:5" x14ac:dyDescent="0.25">
      <c r="A181" s="6" t="s">
        <v>6204</v>
      </c>
      <c r="B181" s="4" t="s">
        <v>6118</v>
      </c>
      <c r="C181" t="s">
        <v>6772</v>
      </c>
      <c r="E18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`idcontrato_individual`='oYEvq4Gkw5XFJG1o';</v>
      </c>
    </row>
    <row r="182" spans="1:5" x14ac:dyDescent="0.25">
      <c r="A182" s="6" t="s">
        <v>6208</v>
      </c>
      <c r="B182" s="4" t="s">
        <v>6118</v>
      </c>
      <c r="C182" t="s">
        <v>6772</v>
      </c>
      <c r="E18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`idcontrato_individual`='CUSYHfke1if6a4tr';</v>
      </c>
    </row>
    <row r="183" spans="1:5" x14ac:dyDescent="0.25">
      <c r="A183" s="6" t="s">
        <v>6214</v>
      </c>
      <c r="B183" s="4" t="s">
        <v>6118</v>
      </c>
      <c r="C183" t="s">
        <v>6772</v>
      </c>
      <c r="E18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`idcontrato_individual`='AI0ZLzDdlzSY3iYo';</v>
      </c>
    </row>
    <row r="184" spans="1:5" x14ac:dyDescent="0.25">
      <c r="A184" s="6" t="s">
        <v>6222</v>
      </c>
      <c r="B184" s="4" t="s">
        <v>6118</v>
      </c>
      <c r="C184" t="s">
        <v>6772</v>
      </c>
      <c r="E18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`idcontrato_individual`='zQ06LDd2xctLhOiQ';</v>
      </c>
    </row>
    <row r="185" spans="1:5" x14ac:dyDescent="0.25">
      <c r="A185" s="6" t="s">
        <v>6231</v>
      </c>
      <c r="B185" s="4" t="s">
        <v>6118</v>
      </c>
      <c r="C185" t="s">
        <v>6772</v>
      </c>
      <c r="E18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`idcontrato_individual`='KIUwcGuIo7y3fASU';</v>
      </c>
    </row>
    <row r="186" spans="1:5" x14ac:dyDescent="0.25">
      <c r="A186" s="6" t="s">
        <v>6236</v>
      </c>
      <c r="B186" s="4" t="s">
        <v>6118</v>
      </c>
      <c r="C186" t="s">
        <v>6772</v>
      </c>
      <c r="E18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`idcontrato_individual`='dQt7rqHahI5AB3i5';</v>
      </c>
    </row>
    <row r="187" spans="1:5" x14ac:dyDescent="0.25">
      <c r="A187" s="6" t="s">
        <v>6240</v>
      </c>
      <c r="B187" s="4" t="s">
        <v>6118</v>
      </c>
      <c r="C187" t="s">
        <v>6772</v>
      </c>
      <c r="E18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`idcontrato_individual`='dTNv4nh66mPBWDy3';</v>
      </c>
    </row>
    <row r="188" spans="1:5" x14ac:dyDescent="0.25">
      <c r="A188" s="6" t="s">
        <v>6247</v>
      </c>
      <c r="B188" s="4" t="s">
        <v>6118</v>
      </c>
      <c r="C188" t="s">
        <v>6772</v>
      </c>
      <c r="E18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`idcontrato_individual`='SCcvBWXttUBOUrfs';</v>
      </c>
    </row>
    <row r="189" spans="1:5" x14ac:dyDescent="0.25">
      <c r="A189" s="6" t="s">
        <v>6253</v>
      </c>
      <c r="B189" s="4" t="s">
        <v>6118</v>
      </c>
      <c r="C189" t="s">
        <v>6772</v>
      </c>
      <c r="E18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`idcontrato_individual`='XPazj2wTmPu9vGwq';</v>
      </c>
    </row>
    <row r="190" spans="1:5" x14ac:dyDescent="0.25">
      <c r="A190" s="6" t="s">
        <v>6259</v>
      </c>
      <c r="B190" s="4" t="s">
        <v>6118</v>
      </c>
      <c r="C190" t="s">
        <v>6772</v>
      </c>
      <c r="E19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`idcontrato_individual`='6gxZAstKbv4DUnJZ';</v>
      </c>
    </row>
    <row r="191" spans="1:5" x14ac:dyDescent="0.25">
      <c r="A191" s="6" t="s">
        <v>6265</v>
      </c>
      <c r="B191" s="4" t="s">
        <v>6118</v>
      </c>
      <c r="C191" t="s">
        <v>6772</v>
      </c>
      <c r="E19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`idcontrato_individual`='tXfeQiTtxqd0yI85';</v>
      </c>
    </row>
    <row r="192" spans="1:5" x14ac:dyDescent="0.25">
      <c r="A192" s="6" t="s">
        <v>6272</v>
      </c>
      <c r="B192" s="4" t="s">
        <v>6118</v>
      </c>
      <c r="C192" t="s">
        <v>6772</v>
      </c>
      <c r="E19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`idcontrato_individual`='m5MOrK054P7uzNVW';</v>
      </c>
    </row>
    <row r="193" spans="1:5" x14ac:dyDescent="0.25">
      <c r="A193" s="6" t="s">
        <v>6279</v>
      </c>
      <c r="B193" s="4" t="s">
        <v>6118</v>
      </c>
      <c r="C193" t="s">
        <v>6772</v>
      </c>
      <c r="E19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`idcontrato_individual`='rNtzBpshgTMTTjK4';</v>
      </c>
    </row>
    <row r="194" spans="1:5" x14ac:dyDescent="0.25">
      <c r="A194" s="6" t="s">
        <v>6285</v>
      </c>
      <c r="B194" s="4" t="s">
        <v>6118</v>
      </c>
      <c r="C194" t="s">
        <v>6772</v>
      </c>
      <c r="E19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`idcontrato_individual`='DoXWtFMNuYUDrdOD';</v>
      </c>
    </row>
    <row r="195" spans="1:5" x14ac:dyDescent="0.25">
      <c r="A195" s="6" t="s">
        <v>6291</v>
      </c>
      <c r="B195" s="4" t="s">
        <v>6118</v>
      </c>
      <c r="C195" t="s">
        <v>6772</v>
      </c>
      <c r="E19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`idcontrato_individual`='xp0qUK5DVGsfsHJC';</v>
      </c>
    </row>
    <row r="196" spans="1:5" x14ac:dyDescent="0.25">
      <c r="A196" s="6" t="s">
        <v>6297</v>
      </c>
      <c r="B196" s="4" t="s">
        <v>6118</v>
      </c>
      <c r="C196" t="s">
        <v>6772</v>
      </c>
      <c r="E19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`idcontrato_individual`='X5xJ4mzJFNzyux31';</v>
      </c>
    </row>
    <row r="197" spans="1:5" x14ac:dyDescent="0.25">
      <c r="A197" s="6" t="s">
        <v>6304</v>
      </c>
      <c r="B197" s="4" t="s">
        <v>6118</v>
      </c>
      <c r="C197" t="s">
        <v>6772</v>
      </c>
      <c r="E19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`idcontrato_individual`='OU3KCGZy1rJdSUR3';</v>
      </c>
    </row>
    <row r="198" spans="1:5" x14ac:dyDescent="0.25">
      <c r="A198" s="6" t="s">
        <v>6310</v>
      </c>
      <c r="B198" s="4" t="s">
        <v>6118</v>
      </c>
      <c r="C198" t="s">
        <v>6772</v>
      </c>
      <c r="E19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`idcontrato_individual`='BL5XIhC4EQTSLYba';</v>
      </c>
    </row>
    <row r="199" spans="1:5" x14ac:dyDescent="0.25">
      <c r="A199" s="6" t="s">
        <v>6316</v>
      </c>
      <c r="B199" s="4" t="s">
        <v>6118</v>
      </c>
      <c r="C199" t="s">
        <v>6772</v>
      </c>
      <c r="E19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`idcontrato_individual`='oKQRKgI6YL2jM9iN';</v>
      </c>
    </row>
    <row r="200" spans="1:5" x14ac:dyDescent="0.25">
      <c r="A200" s="6" t="s">
        <v>6321</v>
      </c>
      <c r="B200" s="4" t="s">
        <v>6118</v>
      </c>
      <c r="C200" t="s">
        <v>6772</v>
      </c>
      <c r="E20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`idcontrato_individual`='KM72Zxe0Ft8AMKh8';</v>
      </c>
    </row>
    <row r="201" spans="1:5" x14ac:dyDescent="0.25">
      <c r="A201" s="6" t="s">
        <v>6325</v>
      </c>
      <c r="B201" s="4" t="s">
        <v>6118</v>
      </c>
      <c r="C201" t="s">
        <v>6772</v>
      </c>
      <c r="E20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`idcontrato_individual`='hR4ttvhJN2lGEgUH';</v>
      </c>
    </row>
    <row r="202" spans="1:5" x14ac:dyDescent="0.25">
      <c r="A202" s="6" t="s">
        <v>6328</v>
      </c>
      <c r="B202" s="4" t="s">
        <v>6118</v>
      </c>
      <c r="C202" t="s">
        <v>6772</v>
      </c>
      <c r="E20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`idcontrato_individual`='GSWxaXWsLFglegby';</v>
      </c>
    </row>
    <row r="203" spans="1:5" x14ac:dyDescent="0.25">
      <c r="A203" s="6" t="s">
        <v>6335</v>
      </c>
      <c r="B203" s="4" t="s">
        <v>6118</v>
      </c>
      <c r="C203" t="s">
        <v>6772</v>
      </c>
      <c r="E20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`idcontrato_individual`='PZVSBYnDBi4yasdh';</v>
      </c>
    </row>
    <row r="204" spans="1:5" x14ac:dyDescent="0.25">
      <c r="A204" s="6" t="s">
        <v>6342</v>
      </c>
      <c r="B204" s="4" t="s">
        <v>6118</v>
      </c>
      <c r="C204" t="s">
        <v>6772</v>
      </c>
      <c r="E20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`idcontrato_individual`='fVmorNdC3Dv1if1z';</v>
      </c>
    </row>
    <row r="205" spans="1:5" x14ac:dyDescent="0.25">
      <c r="A205" s="6" t="s">
        <v>6346</v>
      </c>
      <c r="B205" s="4" t="s">
        <v>6118</v>
      </c>
      <c r="C205" t="s">
        <v>6772</v>
      </c>
      <c r="E20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`idcontrato_individual`='Dhbj9dgSAhSRS7QA';</v>
      </c>
    </row>
    <row r="206" spans="1:5" x14ac:dyDescent="0.25">
      <c r="A206" s="6" t="s">
        <v>6352</v>
      </c>
      <c r="B206" s="4" t="s">
        <v>6118</v>
      </c>
      <c r="C206" t="s">
        <v>6772</v>
      </c>
      <c r="E20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`idcontrato_individual`='P5qaw9muk8EbqDLu';</v>
      </c>
    </row>
    <row r="207" spans="1:5" x14ac:dyDescent="0.25">
      <c r="A207" s="6" t="s">
        <v>6358</v>
      </c>
      <c r="B207" s="4" t="s">
        <v>6118</v>
      </c>
      <c r="C207" t="s">
        <v>6772</v>
      </c>
      <c r="E20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`idcontrato_individual`='ungiFpIoF08y8QL8';</v>
      </c>
    </row>
    <row r="208" spans="1:5" x14ac:dyDescent="0.25">
      <c r="A208" s="6" t="s">
        <v>6363</v>
      </c>
      <c r="B208" s="4" t="s">
        <v>6118</v>
      </c>
      <c r="C208" t="s">
        <v>6772</v>
      </c>
      <c r="E20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`idcontrato_individual`='v5Rwes4RarkmYsGC';</v>
      </c>
    </row>
    <row r="209" spans="1:5" x14ac:dyDescent="0.25">
      <c r="A209" s="6" t="s">
        <v>6368</v>
      </c>
      <c r="B209" s="4" t="s">
        <v>6118</v>
      </c>
      <c r="C209" t="s">
        <v>6772</v>
      </c>
      <c r="E20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`idcontrato_individual`='3867BWY3m6HHUEt0';</v>
      </c>
    </row>
    <row r="210" spans="1:5" x14ac:dyDescent="0.25">
      <c r="A210" s="6" t="s">
        <v>6375</v>
      </c>
      <c r="B210" s="4" t="s">
        <v>6118</v>
      </c>
      <c r="C210" t="s">
        <v>6772</v>
      </c>
      <c r="E21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`idcontrato_individual`='PqtBOLLDyaVoR8cZ';</v>
      </c>
    </row>
    <row r="211" spans="1:5" x14ac:dyDescent="0.25">
      <c r="A211" s="6" t="s">
        <v>6380</v>
      </c>
      <c r="B211" s="4" t="s">
        <v>6118</v>
      </c>
      <c r="C211" t="s">
        <v>6772</v>
      </c>
      <c r="E21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`idcontrato_individual`='otYf2dfW462Zx858';</v>
      </c>
    </row>
    <row r="212" spans="1:5" x14ac:dyDescent="0.25">
      <c r="A212" s="6" t="s">
        <v>6385</v>
      </c>
      <c r="B212" s="4" t="s">
        <v>6118</v>
      </c>
      <c r="C212" t="s">
        <v>6772</v>
      </c>
      <c r="E21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`idcontrato_individual`='xKszk2AdAscUWGOL';</v>
      </c>
    </row>
    <row r="213" spans="1:5" x14ac:dyDescent="0.25">
      <c r="A213" s="6" t="s">
        <v>6391</v>
      </c>
      <c r="B213" s="4" t="s">
        <v>6118</v>
      </c>
      <c r="C213" t="s">
        <v>6772</v>
      </c>
      <c r="E21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`idcontrato_individual`='zXXmf3rFUu3OBnAh';</v>
      </c>
    </row>
    <row r="214" spans="1:5" x14ac:dyDescent="0.25">
      <c r="A214" s="6" t="s">
        <v>6396</v>
      </c>
      <c r="B214" s="4" t="s">
        <v>6118</v>
      </c>
      <c r="C214" t="s">
        <v>6772</v>
      </c>
      <c r="E21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`idcontrato_individual`='44rpYhEZmvWj6rmf';</v>
      </c>
    </row>
    <row r="215" spans="1:5" x14ac:dyDescent="0.25">
      <c r="A215" s="6" t="s">
        <v>6401</v>
      </c>
      <c r="B215" s="4" t="s">
        <v>6118</v>
      </c>
      <c r="C215" t="s">
        <v>6772</v>
      </c>
      <c r="E21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`idcontrato_individual`='qsPdDgorwlIZypKc';</v>
      </c>
    </row>
    <row r="216" spans="1:5" x14ac:dyDescent="0.25">
      <c r="A216" s="6" t="s">
        <v>6408</v>
      </c>
      <c r="B216" s="4" t="s">
        <v>6118</v>
      </c>
      <c r="C216" t="s">
        <v>6772</v>
      </c>
      <c r="E21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`idcontrato_individual`='bQPGBGR4yNtHhizs';</v>
      </c>
    </row>
    <row r="217" spans="1:5" x14ac:dyDescent="0.25">
      <c r="A217" s="6" t="s">
        <v>6416</v>
      </c>
      <c r="B217" s="4" t="s">
        <v>6118</v>
      </c>
      <c r="C217" t="s">
        <v>6772</v>
      </c>
      <c r="E21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`idcontrato_individual`='mcUCQsFcMGNOpKl7';</v>
      </c>
    </row>
    <row r="218" spans="1:5" x14ac:dyDescent="0.25">
      <c r="A218" s="6" t="s">
        <v>6424</v>
      </c>
      <c r="B218" s="4" t="s">
        <v>6118</v>
      </c>
      <c r="C218" t="s">
        <v>6772</v>
      </c>
      <c r="E21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`idcontrato_individual`='ByIhxjWH2sa9Dl7E';</v>
      </c>
    </row>
    <row r="219" spans="1:5" x14ac:dyDescent="0.25">
      <c r="A219" s="6" t="s">
        <v>6430</v>
      </c>
      <c r="B219" s="4" t="s">
        <v>6118</v>
      </c>
      <c r="C219" t="s">
        <v>6772</v>
      </c>
      <c r="E21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`idcontrato_individual`='qtERxkRXEoPAOeeU';</v>
      </c>
    </row>
    <row r="220" spans="1:5" x14ac:dyDescent="0.25">
      <c r="A220" s="6" t="s">
        <v>6438</v>
      </c>
      <c r="B220" s="4" t="s">
        <v>6118</v>
      </c>
      <c r="C220" t="s">
        <v>6772</v>
      </c>
      <c r="E22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`idcontrato_individual`='9sGdexO96iddpO4g';</v>
      </c>
    </row>
    <row r="221" spans="1:5" x14ac:dyDescent="0.25">
      <c r="A221" s="6" t="s">
        <v>6444</v>
      </c>
      <c r="B221" s="4" t="s">
        <v>6118</v>
      </c>
      <c r="C221" t="s">
        <v>6772</v>
      </c>
      <c r="E22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`idcontrato_individual`='ILpXkdlyQrSffKc9';</v>
      </c>
    </row>
    <row r="222" spans="1:5" x14ac:dyDescent="0.25">
      <c r="A222" s="6" t="s">
        <v>6451</v>
      </c>
      <c r="B222" s="4" t="s">
        <v>6118</v>
      </c>
      <c r="C222" t="s">
        <v>6772</v>
      </c>
      <c r="E22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`idcontrato_individual`='IsI1OGoRZCEJI5yu';</v>
      </c>
    </row>
    <row r="223" spans="1:5" x14ac:dyDescent="0.25">
      <c r="A223" s="6" t="s">
        <v>6458</v>
      </c>
      <c r="B223" s="4" t="s">
        <v>6118</v>
      </c>
      <c r="C223" t="s">
        <v>6772</v>
      </c>
      <c r="E22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`idcontrato_individual`='85LdWn1fek1Sd0Oh';</v>
      </c>
    </row>
    <row r="224" spans="1:5" x14ac:dyDescent="0.25">
      <c r="A224" s="6" t="s">
        <v>6462</v>
      </c>
      <c r="B224" s="4" t="s">
        <v>6118</v>
      </c>
      <c r="C224" t="s">
        <v>6772</v>
      </c>
      <c r="E22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`idcontrato_individual`='Ghp4tJqKH6IsOBm6';</v>
      </c>
    </row>
    <row r="225" spans="1:5" x14ac:dyDescent="0.25">
      <c r="A225" s="6" t="s">
        <v>6470</v>
      </c>
      <c r="B225" s="4" t="s">
        <v>6118</v>
      </c>
      <c r="C225" t="s">
        <v>6772</v>
      </c>
      <c r="E22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`idcontrato_individual`='5CPEJXszpDkjJUy3';</v>
      </c>
    </row>
    <row r="226" spans="1:5" x14ac:dyDescent="0.25">
      <c r="A226" s="6" t="s">
        <v>6475</v>
      </c>
      <c r="B226" s="4" t="s">
        <v>6118</v>
      </c>
      <c r="C226" t="s">
        <v>6772</v>
      </c>
      <c r="E22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`idcontrato_individual`='DMasXA6DEuxaJr07';</v>
      </c>
    </row>
    <row r="227" spans="1:5" x14ac:dyDescent="0.25">
      <c r="A227" s="6" t="s">
        <v>6479</v>
      </c>
      <c r="B227" s="4" t="s">
        <v>6118</v>
      </c>
      <c r="C227" t="s">
        <v>6772</v>
      </c>
      <c r="E22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`idcontrato_individual`='ngTtGqFy5BFI7J74';</v>
      </c>
    </row>
    <row r="228" spans="1:5" x14ac:dyDescent="0.25">
      <c r="A228" s="6" t="s">
        <v>6485</v>
      </c>
      <c r="B228" s="4" t="s">
        <v>6118</v>
      </c>
      <c r="C228" t="s">
        <v>6772</v>
      </c>
      <c r="E22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`idcontrato_individual`='3vX2jtojgKAf7EBG';</v>
      </c>
    </row>
    <row r="229" spans="1:5" x14ac:dyDescent="0.25">
      <c r="A229" s="6" t="s">
        <v>6492</v>
      </c>
      <c r="B229" s="4" t="s">
        <v>6118</v>
      </c>
      <c r="C229" t="s">
        <v>6772</v>
      </c>
      <c r="E22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`idcontrato_individual`='vb0WrE1Rq7a9lkYj';</v>
      </c>
    </row>
    <row r="230" spans="1:5" x14ac:dyDescent="0.25">
      <c r="A230" s="6" t="s">
        <v>6498</v>
      </c>
      <c r="B230" s="4" t="s">
        <v>6118</v>
      </c>
      <c r="C230" t="s">
        <v>6772</v>
      </c>
      <c r="E23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`idcontrato_individual`='HR0jyIVscx2OBj4F';</v>
      </c>
    </row>
    <row r="231" spans="1:5" x14ac:dyDescent="0.25">
      <c r="A231" s="6" t="s">
        <v>6506</v>
      </c>
      <c r="B231" s="4" t="s">
        <v>6118</v>
      </c>
      <c r="C231" t="s">
        <v>6772</v>
      </c>
      <c r="E23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`idcontrato_individual`='udvq0jgbZTez1PQW';</v>
      </c>
    </row>
    <row r="232" spans="1:5" x14ac:dyDescent="0.25">
      <c r="A232" s="6" t="s">
        <v>6513</v>
      </c>
      <c r="B232" s="4" t="s">
        <v>6118</v>
      </c>
      <c r="C232" t="s">
        <v>6772</v>
      </c>
      <c r="E23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`idcontrato_individual`='CLIFgLsXbthJ6dQo';</v>
      </c>
    </row>
    <row r="233" spans="1:5" x14ac:dyDescent="0.25">
      <c r="A233" s="6" t="s">
        <v>6522</v>
      </c>
      <c r="B233" s="4" t="s">
        <v>6118</v>
      </c>
      <c r="C233" t="s">
        <v>6772</v>
      </c>
      <c r="E23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`idcontrato_individual`='knngSSKJLf9UuYmH';</v>
      </c>
    </row>
    <row r="234" spans="1:5" x14ac:dyDescent="0.25">
      <c r="A234" s="6" t="s">
        <v>6527</v>
      </c>
      <c r="B234" s="4" t="s">
        <v>6118</v>
      </c>
      <c r="C234" t="s">
        <v>6772</v>
      </c>
      <c r="E23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`idcontrato_individual`='b96AAqdUqxWcT243';</v>
      </c>
    </row>
    <row r="235" spans="1:5" x14ac:dyDescent="0.25">
      <c r="A235" s="6" t="s">
        <v>6535</v>
      </c>
      <c r="B235" s="4" t="s">
        <v>6118</v>
      </c>
      <c r="C235" t="s">
        <v>6772</v>
      </c>
      <c r="E23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`idcontrato_individual`='LynMS1vnH0M61Zo7';</v>
      </c>
    </row>
    <row r="236" spans="1:5" x14ac:dyDescent="0.25">
      <c r="A236" s="6" t="s">
        <v>6543</v>
      </c>
      <c r="B236" s="4" t="s">
        <v>6118</v>
      </c>
      <c r="C236" t="s">
        <v>6772</v>
      </c>
      <c r="E23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`idcontrato_individual`='kBp2BuJtrmdOfQan';</v>
      </c>
    </row>
    <row r="237" spans="1:5" x14ac:dyDescent="0.25">
      <c r="A237" s="6" t="s">
        <v>6553</v>
      </c>
      <c r="B237" s="4" t="s">
        <v>6118</v>
      </c>
      <c r="C237" t="s">
        <v>6772</v>
      </c>
      <c r="E23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`idcontrato_individual`='zH06r6cHv1wbwz3a';</v>
      </c>
    </row>
    <row r="238" spans="1:5" x14ac:dyDescent="0.25">
      <c r="A238" s="6" t="s">
        <v>6563</v>
      </c>
      <c r="B238" s="4" t="s">
        <v>6118</v>
      </c>
      <c r="C238" t="s">
        <v>6772</v>
      </c>
      <c r="E23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`idcontrato_individual`='YOckfJLcXlc2F1WL';</v>
      </c>
    </row>
    <row r="239" spans="1:5" x14ac:dyDescent="0.25">
      <c r="A239" s="6" t="s">
        <v>6571</v>
      </c>
      <c r="B239" s="4" t="s">
        <v>6118</v>
      </c>
      <c r="C239" t="s">
        <v>6772</v>
      </c>
      <c r="E23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`idcontrato_individual`='GZV08XC9bowqbazN';</v>
      </c>
    </row>
    <row r="240" spans="1:5" x14ac:dyDescent="0.25">
      <c r="A240" s="6" t="s">
        <v>6580</v>
      </c>
      <c r="B240" s="4" t="s">
        <v>6118</v>
      </c>
      <c r="C240" t="s">
        <v>6772</v>
      </c>
      <c r="E24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`idcontrato_individual`='EZ9bpAKBPEmHstAx';</v>
      </c>
    </row>
    <row r="241" spans="1:5" x14ac:dyDescent="0.25">
      <c r="A241" s="6" t="s">
        <v>6587</v>
      </c>
      <c r="B241" s="4" t="s">
        <v>6118</v>
      </c>
      <c r="C241" t="s">
        <v>6772</v>
      </c>
      <c r="E24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`idcontrato_individual`='jgJSCTNUZ4fuDTY2';</v>
      </c>
    </row>
    <row r="242" spans="1:5" x14ac:dyDescent="0.25">
      <c r="A242" s="6" t="s">
        <v>6592</v>
      </c>
      <c r="B242" s="4" t="s">
        <v>6118</v>
      </c>
      <c r="C242" t="s">
        <v>6772</v>
      </c>
      <c r="E24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`idcontrato_individual`='fiwh0iYldIqWD307';</v>
      </c>
    </row>
    <row r="243" spans="1:5" x14ac:dyDescent="0.25">
      <c r="A243" s="6" t="s">
        <v>6599</v>
      </c>
      <c r="B243" s="4" t="s">
        <v>6118</v>
      </c>
      <c r="C243" t="s">
        <v>6772</v>
      </c>
      <c r="E24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`idcontrato_individual`='Mo1bIW9wt57Ir6Qg';</v>
      </c>
    </row>
    <row r="244" spans="1:5" x14ac:dyDescent="0.25">
      <c r="A244" s="6" t="s">
        <v>6606</v>
      </c>
      <c r="B244" s="4" t="s">
        <v>6118</v>
      </c>
      <c r="C244" t="s">
        <v>6772</v>
      </c>
      <c r="E24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`idcontrato_individual`='RmlvCBVlLkDjCDVY';</v>
      </c>
    </row>
    <row r="245" spans="1:5" x14ac:dyDescent="0.25">
      <c r="A245" s="6" t="s">
        <v>6613</v>
      </c>
      <c r="B245" s="4" t="s">
        <v>6118</v>
      </c>
      <c r="C245" t="s">
        <v>6772</v>
      </c>
      <c r="E24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`idcontrato_individual`='baDKzLBmkTJbPBaJ';</v>
      </c>
    </row>
    <row r="246" spans="1:5" x14ac:dyDescent="0.25">
      <c r="A246" s="6" t="s">
        <v>6623</v>
      </c>
      <c r="B246" s="4" t="s">
        <v>6118</v>
      </c>
      <c r="C246" t="s">
        <v>6772</v>
      </c>
      <c r="E24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`idcontrato_individual`='6lXqRJzb6sO7mgP3';</v>
      </c>
    </row>
    <row r="247" spans="1:5" x14ac:dyDescent="0.25">
      <c r="A247" s="6" t="s">
        <v>6629</v>
      </c>
      <c r="B247" s="4" t="s">
        <v>6118</v>
      </c>
      <c r="C247" t="s">
        <v>6772</v>
      </c>
      <c r="E24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`idcontrato_individual`='u30N8Lb31uihwoSO';</v>
      </c>
    </row>
    <row r="248" spans="1:5" x14ac:dyDescent="0.25">
      <c r="A248" s="6" t="s">
        <v>6636</v>
      </c>
      <c r="B248" s="4" t="s">
        <v>6118</v>
      </c>
      <c r="C248" t="s">
        <v>6772</v>
      </c>
      <c r="E24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`idcontrato_individual`='THINJPPRzEr6iauS';</v>
      </c>
    </row>
    <row r="249" spans="1:5" x14ac:dyDescent="0.25">
      <c r="A249" s="6" t="s">
        <v>6642</v>
      </c>
      <c r="B249" s="4" t="s">
        <v>6118</v>
      </c>
      <c r="C249" t="s">
        <v>6772</v>
      </c>
      <c r="E24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`idcontrato_individual`='04OCEwoD1wSqISjU';</v>
      </c>
    </row>
    <row r="250" spans="1:5" x14ac:dyDescent="0.25">
      <c r="A250" s="6" t="s">
        <v>6647</v>
      </c>
      <c r="B250" s="4" t="s">
        <v>6118</v>
      </c>
      <c r="C250" t="s">
        <v>6772</v>
      </c>
      <c r="E25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`idcontrato_individual`='qtemVKlueCoYAWEV';</v>
      </c>
    </row>
    <row r="251" spans="1:5" x14ac:dyDescent="0.25">
      <c r="A251" s="6" t="s">
        <v>6653</v>
      </c>
      <c r="B251" s="4" t="s">
        <v>6118</v>
      </c>
      <c r="C251" t="s">
        <v>6772</v>
      </c>
      <c r="E25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`idcontrato_individual`='kDURpMXJzOAv6peU';</v>
      </c>
    </row>
    <row r="252" spans="1:5" x14ac:dyDescent="0.25">
      <c r="A252" s="6" t="s">
        <v>6660</v>
      </c>
      <c r="B252" s="4" t="s">
        <v>6118</v>
      </c>
      <c r="C252" t="s">
        <v>6772</v>
      </c>
      <c r="E25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`idcontrato_individual`='8dga6KgxivrHqQYX';</v>
      </c>
    </row>
    <row r="253" spans="1:5" x14ac:dyDescent="0.25">
      <c r="A253" s="6" t="s">
        <v>6665</v>
      </c>
      <c r="B253" s="4" t="s">
        <v>6118</v>
      </c>
      <c r="C253" t="s">
        <v>6772</v>
      </c>
      <c r="E25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`idcontrato_individual`='Jph8e9sjJpWp8wlT';</v>
      </c>
    </row>
    <row r="254" spans="1:5" x14ac:dyDescent="0.25">
      <c r="A254" s="6" t="s">
        <v>6673</v>
      </c>
      <c r="B254" s="4" t="s">
        <v>6118</v>
      </c>
      <c r="C254" t="s">
        <v>6772</v>
      </c>
      <c r="E25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`idcontrato_individual`='KjCnmm8ZSdrtfTAb';</v>
      </c>
    </row>
    <row r="255" spans="1:5" x14ac:dyDescent="0.25">
      <c r="A255" s="6" t="s">
        <v>6682</v>
      </c>
      <c r="B255" s="4" t="s">
        <v>6118</v>
      </c>
      <c r="C255" t="s">
        <v>6772</v>
      </c>
      <c r="E25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`idcontrato_individual`='48hTmQBRVAncbjV3';</v>
      </c>
    </row>
    <row r="256" spans="1:5" x14ac:dyDescent="0.25">
      <c r="A256" s="6" t="s">
        <v>6689</v>
      </c>
      <c r="B256" s="4" t="s">
        <v>6118</v>
      </c>
      <c r="C256" t="s">
        <v>6772</v>
      </c>
      <c r="E25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`idcontrato_individual`='6hyxKZ5it2JLpEBZ';</v>
      </c>
    </row>
    <row r="257" spans="1:5" x14ac:dyDescent="0.25">
      <c r="A257" s="6" t="s">
        <v>6696</v>
      </c>
      <c r="B257" s="4" t="s">
        <v>6118</v>
      </c>
      <c r="C257" t="s">
        <v>6772</v>
      </c>
      <c r="E25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`idcontrato_individual`='FYk34D9wx3Aa2Mnv';</v>
      </c>
    </row>
    <row r="258" spans="1:5" x14ac:dyDescent="0.25">
      <c r="A258" s="6" t="s">
        <v>6700</v>
      </c>
      <c r="B258" s="4" t="s">
        <v>6118</v>
      </c>
      <c r="C258" t="s">
        <v>6772</v>
      </c>
      <c r="E25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`idcontrato_individual`='SRiIMR2UUoBDHzWu';</v>
      </c>
    </row>
    <row r="259" spans="1:5" x14ac:dyDescent="0.25">
      <c r="A259" s="6" t="s">
        <v>6706</v>
      </c>
      <c r="B259" s="4" t="s">
        <v>6118</v>
      </c>
      <c r="C259" t="s">
        <v>6772</v>
      </c>
      <c r="E25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`idcontrato_individual`='niIf0rcPKgCNxupF';</v>
      </c>
    </row>
    <row r="260" spans="1:5" x14ac:dyDescent="0.25">
      <c r="A260" s="6" t="s">
        <v>6711</v>
      </c>
      <c r="B260" s="4" t="s">
        <v>6118</v>
      </c>
      <c r="C260" t="s">
        <v>6772</v>
      </c>
      <c r="E26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`idcontrato_individual`='uzl1IbK512DMYJ3i';</v>
      </c>
    </row>
    <row r="261" spans="1:5" x14ac:dyDescent="0.25">
      <c r="A261" s="6" t="s">
        <v>6717</v>
      </c>
      <c r="B261" s="4" t="s">
        <v>6118</v>
      </c>
      <c r="C261" t="s">
        <v>6772</v>
      </c>
      <c r="E26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`idcontrato_individual`='aAjGzvnITQME9klA';</v>
      </c>
    </row>
    <row r="262" spans="1:5" x14ac:dyDescent="0.25">
      <c r="A262" s="6" t="s">
        <v>6722</v>
      </c>
      <c r="B262" s="4" t="s">
        <v>6118</v>
      </c>
      <c r="C262" t="s">
        <v>6772</v>
      </c>
      <c r="E26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`idcontrato_individual`='AUUagTXCDQ41g4qx';</v>
      </c>
    </row>
    <row r="263" spans="1:5" x14ac:dyDescent="0.25">
      <c r="A263" s="6" t="s">
        <v>6727</v>
      </c>
      <c r="B263" s="4" t="s">
        <v>6118</v>
      </c>
      <c r="C263" t="s">
        <v>6772</v>
      </c>
      <c r="E26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`idcontrato_individual`='aoms2sg6ldeNzurR';</v>
      </c>
    </row>
    <row r="264" spans="1:5" x14ac:dyDescent="0.25">
      <c r="A264" s="6" t="s">
        <v>6734</v>
      </c>
      <c r="B264" s="4" t="s">
        <v>6118</v>
      </c>
      <c r="C264" t="s">
        <v>6772</v>
      </c>
      <c r="E26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`idcontrato_individual`='P1cWBClbGn2s9OLP';</v>
      </c>
    </row>
    <row r="265" spans="1:5" x14ac:dyDescent="0.25">
      <c r="A265" s="6" t="s">
        <v>6739</v>
      </c>
      <c r="B265" s="4" t="s">
        <v>6118</v>
      </c>
      <c r="C265" t="s">
        <v>6772</v>
      </c>
      <c r="E26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`idcontrato_individual`='rLY7dkf9uzJWSrxY';</v>
      </c>
    </row>
    <row r="266" spans="1:5" x14ac:dyDescent="0.25">
      <c r="A266" s="6" t="s">
        <v>6746</v>
      </c>
      <c r="B266" s="4" t="s">
        <v>6118</v>
      </c>
      <c r="C266" t="s">
        <v>6772</v>
      </c>
      <c r="E26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`idcontrato_individual`='PXXUGHx42SZPmb8A';</v>
      </c>
    </row>
    <row r="267" spans="1:5" x14ac:dyDescent="0.25">
      <c r="A267" s="6" t="s">
        <v>6752</v>
      </c>
      <c r="B267" s="4" t="s">
        <v>6118</v>
      </c>
      <c r="C267" t="s">
        <v>6772</v>
      </c>
      <c r="E26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`idcontrato_individual`='o8ksiYNeT8f9zgiO';</v>
      </c>
    </row>
    <row r="268" spans="1:5" x14ac:dyDescent="0.25">
      <c r="A268" s="6" t="s">
        <v>6757</v>
      </c>
      <c r="B268" s="4" t="s">
        <v>6118</v>
      </c>
      <c r="C268" t="s">
        <v>6772</v>
      </c>
      <c r="E26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`idcolonia`='QWZGYZFM9KVTQO' WHERE  `idcontrato_individual`='dTpZa3NFfTN1U2KR';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A3AD-8CCC-4F0A-8089-1D8BF0D152AE}">
  <dimension ref="A1:F1001"/>
  <sheetViews>
    <sheetView workbookViewId="0">
      <selection activeCell="C4" sqref="C4"/>
    </sheetView>
  </sheetViews>
  <sheetFormatPr baseColWidth="10" defaultRowHeight="15" x14ac:dyDescent="0.25"/>
  <cols>
    <col min="1" max="1" width="20.28515625" bestFit="1" customWidth="1"/>
    <col min="2" max="2" width="20.7109375" bestFit="1" customWidth="1"/>
    <col min="3" max="3" width="57.85546875" bestFit="1" customWidth="1"/>
  </cols>
  <sheetData>
    <row r="1" spans="1:6" x14ac:dyDescent="0.25">
      <c r="A1" t="s">
        <v>3028</v>
      </c>
      <c r="B1" t="s">
        <v>3027</v>
      </c>
      <c r="C1" t="s">
        <v>1001</v>
      </c>
      <c r="D1" t="s">
        <v>1074</v>
      </c>
    </row>
    <row r="2" spans="1:6" x14ac:dyDescent="0.25">
      <c r="A2" t="s">
        <v>3029</v>
      </c>
      <c r="B2" t="s">
        <v>3026</v>
      </c>
      <c r="C2" t="s">
        <v>208</v>
      </c>
      <c r="D2" t="s">
        <v>1074</v>
      </c>
      <c r="F2" t="str" cm="1">
        <f t="array" aca="1" ref="F2" ca="1">eConcatenar(A2:D2,"|")</f>
        <v>localidadmigrada1|QWVOR6EAP6XNYS|SECCION 40|final</v>
      </c>
    </row>
    <row r="3" spans="1:6" x14ac:dyDescent="0.25">
      <c r="A3" t="s">
        <v>3030</v>
      </c>
      <c r="B3" t="s">
        <v>3025</v>
      </c>
      <c r="C3" t="s">
        <v>240</v>
      </c>
      <c r="D3" t="s">
        <v>1074</v>
      </c>
      <c r="F3" t="str" cm="1">
        <f t="array" aca="1" ref="F3" ca="1">eConcatenar(A3:D3,"|")</f>
        <v>localidadmigrada2|QWVOR74EP6XNYS|27 DE FEBRERO|final</v>
      </c>
    </row>
    <row r="4" spans="1:6" x14ac:dyDescent="0.25">
      <c r="A4" t="s">
        <v>3031</v>
      </c>
      <c r="B4" t="s">
        <v>3024</v>
      </c>
      <c r="C4" t="s">
        <v>1282</v>
      </c>
      <c r="D4" t="s">
        <v>1074</v>
      </c>
      <c r="F4" t="str" cm="1">
        <f t="array" aca="1" ref="F4" ca="1">eConcatenar(A4:D4,"|")</f>
        <v>localidadmigrada3|QWVORLUYP6XNYS|5 DE MAYO|final</v>
      </c>
    </row>
    <row r="5" spans="1:6" x14ac:dyDescent="0.25">
      <c r="A5" t="s">
        <v>3032</v>
      </c>
      <c r="B5" t="s">
        <v>3023</v>
      </c>
      <c r="C5" t="s">
        <v>3022</v>
      </c>
      <c r="D5" t="s">
        <v>1074</v>
      </c>
      <c r="F5" t="str" cm="1">
        <f t="array" aca="1" ref="F5" ca="1">eConcatenar(A5:D5,"|")</f>
        <v>localidadmigrada4|QWVORMD0P6XNYS|AMPLIACION CARRIZAL|final</v>
      </c>
    </row>
    <row r="6" spans="1:6" x14ac:dyDescent="0.25">
      <c r="A6" t="s">
        <v>3033</v>
      </c>
      <c r="B6" t="s">
        <v>3021</v>
      </c>
      <c r="C6" t="s">
        <v>3020</v>
      </c>
      <c r="D6" t="s">
        <v>1074</v>
      </c>
      <c r="F6" t="str" cm="1">
        <f t="array" aca="1" ref="F6" ca="1">eConcatenar(A6:D6,"|")</f>
        <v>localidadmigrada5|QWVORMI0P6XNYS|ARROYO HONDO|final</v>
      </c>
    </row>
    <row r="7" spans="1:6" x14ac:dyDescent="0.25">
      <c r="A7" t="s">
        <v>3034</v>
      </c>
      <c r="B7" t="s">
        <v>3019</v>
      </c>
      <c r="C7" t="s">
        <v>3018</v>
      </c>
      <c r="D7" t="s">
        <v>1074</v>
      </c>
      <c r="F7" t="str" cm="1">
        <f t="array" aca="1" ref="F7" ca="1">eConcatenar(A7:D7,"|")</f>
        <v>localidadmigrada6|QWVORNVQP6XNYS|ARROYO HONDO 1A SECCION |final</v>
      </c>
    </row>
    <row r="8" spans="1:6" x14ac:dyDescent="0.25">
      <c r="A8" t="s">
        <v>3035</v>
      </c>
      <c r="B8" t="s">
        <v>3017</v>
      </c>
      <c r="C8" t="s">
        <v>3016</v>
      </c>
      <c r="D8" t="s">
        <v>1074</v>
      </c>
      <c r="F8" t="str" cm="1">
        <f t="array" aca="1" ref="F8" ca="1">eConcatenar(A8:D8,"|")</f>
        <v>localidadmigrada7|QWVORQ5EP6XNYS|ARROYO HONDO 2A SECCION SANTA TERESA B|final</v>
      </c>
    </row>
    <row r="9" spans="1:6" x14ac:dyDescent="0.25">
      <c r="A9" t="s">
        <v>3036</v>
      </c>
      <c r="B9" t="s">
        <v>3015</v>
      </c>
      <c r="C9" t="s">
        <v>3014</v>
      </c>
      <c r="D9" t="s">
        <v>1074</v>
      </c>
      <c r="F9" t="str" cm="1">
        <f t="array" aca="1" ref="F9" ca="1">eConcatenar(A9:D9,"|")</f>
        <v>localidadmigrada8|QWVORQDQP6XNYS|ARROYO HONDO ABEJONAL |final</v>
      </c>
    </row>
    <row r="10" spans="1:6" x14ac:dyDescent="0.25">
      <c r="A10" t="s">
        <v>3037</v>
      </c>
      <c r="B10" t="s">
        <v>3013</v>
      </c>
      <c r="C10" t="s">
        <v>3012</v>
      </c>
      <c r="D10" t="s">
        <v>1074</v>
      </c>
      <c r="F10" t="str" cm="1">
        <f t="array" aca="1" ref="F10" ca="1">eConcatenar(A10:D10,"|")</f>
        <v>localidadmigrada9|QWVORQIQP6XNYS|AZUCENA PRIMERA SECCION |final</v>
      </c>
    </row>
    <row r="11" spans="1:6" x14ac:dyDescent="0.25">
      <c r="A11" t="s">
        <v>3038</v>
      </c>
      <c r="B11" t="s">
        <v>3011</v>
      </c>
      <c r="C11" t="s">
        <v>3010</v>
      </c>
      <c r="D11" t="s">
        <v>1074</v>
      </c>
      <c r="F11" t="str" cm="1">
        <f t="array" aca="1" ref="F11" ca="1">eConcatenar(A11:D11,"|")</f>
        <v>localidadmigrada10|QWVORQXQP6XNYS|AZUCENA SEGUNDA SECCION |final</v>
      </c>
    </row>
    <row r="12" spans="1:6" x14ac:dyDescent="0.25">
      <c r="A12" t="s">
        <v>3039</v>
      </c>
      <c r="B12" t="s">
        <v>3009</v>
      </c>
      <c r="C12" t="s">
        <v>3008</v>
      </c>
      <c r="D12" t="s">
        <v>1074</v>
      </c>
      <c r="F12" t="str" cm="1">
        <f t="array" aca="1" ref="F12" ca="1">eConcatenar(A12:D12,"|")</f>
        <v>localidadmigrada11|QWVORR1MP6XNYS|AZUCENA TERCERA SECCION |final</v>
      </c>
    </row>
    <row r="13" spans="1:6" x14ac:dyDescent="0.25">
      <c r="A13" t="s">
        <v>3040</v>
      </c>
      <c r="B13" t="s">
        <v>3007</v>
      </c>
      <c r="C13" t="s">
        <v>3006</v>
      </c>
      <c r="D13" t="s">
        <v>1074</v>
      </c>
      <c r="F13" t="str" cm="1">
        <f t="array" aca="1" ref="F13" ca="1">eConcatenar(A13:D13,"|")</f>
        <v>localidadmigrada12|QWVORR5SP6XNYS|AZUCENA CUARTA SECCION |final</v>
      </c>
    </row>
    <row r="14" spans="1:6" x14ac:dyDescent="0.25">
      <c r="A14" t="s">
        <v>3041</v>
      </c>
      <c r="B14" t="s">
        <v>3005</v>
      </c>
      <c r="C14" t="s">
        <v>3004</v>
      </c>
      <c r="D14" t="s">
        <v>1074</v>
      </c>
      <c r="F14" t="str" cm="1">
        <f t="array" aca="1" ref="F14" ca="1">eConcatenar(A14:D14,"|")</f>
        <v>localidadmigrada13|QWVORR94P6XNYS|AZUCENA QUINTA SECCION |final</v>
      </c>
    </row>
    <row r="15" spans="1:6" x14ac:dyDescent="0.25">
      <c r="A15" t="s">
        <v>3042</v>
      </c>
      <c r="B15" t="s">
        <v>3003</v>
      </c>
      <c r="C15" t="s">
        <v>3002</v>
      </c>
      <c r="D15" t="s">
        <v>1074</v>
      </c>
      <c r="F15" t="str" cm="1">
        <f t="array" aca="1" ref="F15" ca="1">eConcatenar(A15:D15,"|")</f>
        <v>localidadmigrada14|QWVORRNUP6XNYS|AZUCENA SEXTA SECCION |final</v>
      </c>
    </row>
    <row r="16" spans="1:6" x14ac:dyDescent="0.25">
      <c r="A16" t="s">
        <v>3043</v>
      </c>
      <c r="B16" t="s">
        <v>3001</v>
      </c>
      <c r="C16" t="s">
        <v>3000</v>
      </c>
      <c r="D16" t="s">
        <v>1074</v>
      </c>
      <c r="F16" t="str" cm="1">
        <f t="array" aca="1" ref="F16" ca="1">eConcatenar(A16:D16,"|")</f>
        <v>localidadmigrada15|QWVORRT4P6XNYS|AZUCENA SEPTIMA SECCION |final</v>
      </c>
    </row>
    <row r="17" spans="1:6" x14ac:dyDescent="0.25">
      <c r="A17" t="s">
        <v>3044</v>
      </c>
      <c r="B17" t="s">
        <v>2999</v>
      </c>
      <c r="C17" t="s">
        <v>2998</v>
      </c>
      <c r="D17" t="s">
        <v>1074</v>
      </c>
      <c r="F17" t="str" cm="1">
        <f t="array" aca="1" ref="F17" ca="1">eConcatenar(A17:D17,"|")</f>
        <v>localidadmigrada16|QWVORRXKP6XNYS|AZUCENITA PRIMERA SECCION B |final</v>
      </c>
    </row>
    <row r="18" spans="1:6" x14ac:dyDescent="0.25">
      <c r="A18" t="s">
        <v>3045</v>
      </c>
      <c r="B18" t="s">
        <v>2997</v>
      </c>
      <c r="C18" t="s">
        <v>2996</v>
      </c>
      <c r="D18" t="s">
        <v>1074</v>
      </c>
      <c r="F18" t="str" cm="1">
        <f t="array" aca="1" ref="F18" ca="1">eConcatenar(A18:D18,"|")</f>
        <v>localidadmigrada17|QWVOSN9MP6XNYS|BAJIO PRIMERA SECCION A|final</v>
      </c>
    </row>
    <row r="19" spans="1:6" x14ac:dyDescent="0.25">
      <c r="A19" t="s">
        <v>3046</v>
      </c>
      <c r="B19" t="s">
        <v>2995</v>
      </c>
      <c r="C19" t="s">
        <v>1910</v>
      </c>
      <c r="D19" t="s">
        <v>1074</v>
      </c>
      <c r="F19" t="str" cm="1">
        <f t="array" aca="1" ref="F19" ca="1">eConcatenar(A19:D19,"|")</f>
        <v>localidadmigrada18|QWW0EPT2P6XNYS|BENITO JUAREZ|final</v>
      </c>
    </row>
    <row r="20" spans="1:6" x14ac:dyDescent="0.25">
      <c r="A20" t="s">
        <v>3047</v>
      </c>
      <c r="B20" t="s">
        <v>2994</v>
      </c>
      <c r="C20" t="s">
        <v>2993</v>
      </c>
      <c r="D20" t="s">
        <v>1074</v>
      </c>
      <c r="F20" t="str" cm="1">
        <f t="array" aca="1" ref="F20" ca="1">eConcatenar(A20:D20,"|")</f>
        <v>localidadmigrada19|QWW0EQC8P6XNYS|BUENA VISTA PRIMERA SECCION |final</v>
      </c>
    </row>
    <row r="21" spans="1:6" x14ac:dyDescent="0.25">
      <c r="A21" t="s">
        <v>3048</v>
      </c>
      <c r="B21" t="s">
        <v>2992</v>
      </c>
      <c r="C21" t="s">
        <v>2991</v>
      </c>
      <c r="D21" t="s">
        <v>1074</v>
      </c>
      <c r="F21" t="str" cm="1">
        <f t="array" aca="1" ref="F21" ca="1">eConcatenar(A21:D21,"|")</f>
        <v>localidadmigrada20|QWW0ES12P6XNYS|BUENA VISTA SEGUNDA SECCION |final</v>
      </c>
    </row>
    <row r="22" spans="1:6" x14ac:dyDescent="0.25">
      <c r="A22" t="s">
        <v>3049</v>
      </c>
      <c r="B22" t="s">
        <v>2990</v>
      </c>
      <c r="C22" t="s">
        <v>2989</v>
      </c>
      <c r="D22" t="s">
        <v>1074</v>
      </c>
      <c r="F22" t="str" cm="1">
        <f t="array" aca="1" ref="F22" ca="1">eConcatenar(A22:D22,"|")</f>
        <v>localidadmigrada21|QWW0ETBQP6XNYS|CALZADA PRIMERA SECCION NORTE A |final</v>
      </c>
    </row>
    <row r="23" spans="1:6" x14ac:dyDescent="0.25">
      <c r="A23" t="s">
        <v>3050</v>
      </c>
      <c r="B23" t="s">
        <v>2988</v>
      </c>
      <c r="C23" t="s">
        <v>2987</v>
      </c>
      <c r="D23" t="s">
        <v>1074</v>
      </c>
      <c r="F23" t="str" cm="1">
        <f t="array" aca="1" ref="F23" ca="1">eConcatenar(A23:D23,"|")</f>
        <v>localidadmigrada22|QWW0ETIYP6XNYS|CALZADA PRIEMERA SECCION SUR|final</v>
      </c>
    </row>
    <row r="24" spans="1:6" x14ac:dyDescent="0.25">
      <c r="A24" t="s">
        <v>3051</v>
      </c>
      <c r="B24" t="s">
        <v>2986</v>
      </c>
      <c r="C24" t="s">
        <v>428</v>
      </c>
      <c r="D24" t="s">
        <v>1074</v>
      </c>
      <c r="F24" t="str" cm="1">
        <f t="array" aca="1" ref="F24" ca="1">eConcatenar(A24:D24,"|")</f>
        <v>localidadmigrada23|QWW0ETPMP6XNYS|CALZADA PRIMERA SECCION |final</v>
      </c>
    </row>
    <row r="25" spans="1:6" x14ac:dyDescent="0.25">
      <c r="A25" t="s">
        <v>3052</v>
      </c>
      <c r="B25" t="s">
        <v>2985</v>
      </c>
      <c r="C25" t="s">
        <v>2984</v>
      </c>
      <c r="D25" t="s">
        <v>1074</v>
      </c>
      <c r="F25" t="str" cm="1">
        <f t="array" aca="1" ref="F25" ca="1">eConcatenar(A25:D25,"|")</f>
        <v>localidadmigrada24|QWW0EU3SP6XNYS|CAMPO MAGALLANES |final</v>
      </c>
    </row>
    <row r="26" spans="1:6" x14ac:dyDescent="0.25">
      <c r="A26" t="s">
        <v>3053</v>
      </c>
      <c r="B26" t="s">
        <v>2983</v>
      </c>
      <c r="C26" t="s">
        <v>2982</v>
      </c>
      <c r="D26" t="s">
        <v>1074</v>
      </c>
      <c r="F26" t="str" cm="1">
        <f t="array" aca="1" ref="F26" ca="1">eConcatenar(A26:D26,"|")</f>
        <v>localidadmigrada25|QWW0EU60P6XNYS|CAMPO NUEVO|final</v>
      </c>
    </row>
    <row r="27" spans="1:6" x14ac:dyDescent="0.25">
      <c r="A27" t="s">
        <v>3054</v>
      </c>
      <c r="B27" t="s">
        <v>2981</v>
      </c>
      <c r="C27" t="s">
        <v>2980</v>
      </c>
      <c r="D27" t="s">
        <v>1074</v>
      </c>
      <c r="F27" t="str" cm="1">
        <f t="array" aca="1" ref="F27" ca="1">eConcatenar(A27:D27,"|")</f>
        <v>localidadmigrada26|QWW0EUBKP6XNYS|WILSON GOMEZ |final</v>
      </c>
    </row>
    <row r="28" spans="1:6" x14ac:dyDescent="0.25">
      <c r="A28" t="s">
        <v>3055</v>
      </c>
      <c r="B28" t="s">
        <v>2979</v>
      </c>
      <c r="C28" t="s">
        <v>2978</v>
      </c>
      <c r="D28" t="s">
        <v>1074</v>
      </c>
      <c r="F28" t="str" cm="1">
        <f t="array" aca="1" ref="F28" ca="1">eConcatenar(A28:D28,"|")</f>
        <v>localidadmigrada27|QWW0EUFGP6XNYS|CARTAGENA|final</v>
      </c>
    </row>
    <row r="29" spans="1:6" x14ac:dyDescent="0.25">
      <c r="A29" t="s">
        <v>3056</v>
      </c>
      <c r="B29" t="s">
        <v>2977</v>
      </c>
      <c r="C29" t="s">
        <v>2976</v>
      </c>
      <c r="D29" t="s">
        <v>1074</v>
      </c>
      <c r="F29" t="str" cm="1">
        <f t="array" aca="1" ref="F29" ca="1">eConcatenar(A29:D29,"|")</f>
        <v>localidadmigrada28|QWW0EUUGP6XNYS|LAZARO CARDENAS |final</v>
      </c>
    </row>
    <row r="30" spans="1:6" x14ac:dyDescent="0.25">
      <c r="A30" t="s">
        <v>3057</v>
      </c>
      <c r="B30" t="s">
        <v>2975</v>
      </c>
      <c r="C30" t="s">
        <v>2974</v>
      </c>
      <c r="D30" t="s">
        <v>1074</v>
      </c>
      <c r="F30" t="str" cm="1">
        <f t="array" aca="1" ref="F30" ca="1">eConcatenar(A30:D30,"|")</f>
        <v>localidadmigrada29|QWW0EV00P6XNYS|CARDENAS SEGUNDA SECCION |final</v>
      </c>
    </row>
    <row r="31" spans="1:6" x14ac:dyDescent="0.25">
      <c r="A31" t="s">
        <v>3058</v>
      </c>
      <c r="B31" t="s">
        <v>2973</v>
      </c>
      <c r="C31" t="s">
        <v>2972</v>
      </c>
      <c r="D31" t="s">
        <v>1074</v>
      </c>
      <c r="F31" t="str" cm="1">
        <f t="array" aca="1" ref="F31" ca="1">eConcatenar(A31:D31,"|")</f>
        <v>localidadmigrada30|QWW0EV4QP6XNYS|CECILIA GONZALEZ DE ROVIROSA |final</v>
      </c>
    </row>
    <row r="32" spans="1:6" x14ac:dyDescent="0.25">
      <c r="A32" t="s">
        <v>3059</v>
      </c>
      <c r="B32" t="s">
        <v>2971</v>
      </c>
      <c r="C32" t="s">
        <v>2970</v>
      </c>
      <c r="D32" t="s">
        <v>1074</v>
      </c>
      <c r="F32" t="str" cm="1">
        <f t="array" aca="1" ref="F32" ca="1">eConcatenar(A32:D32,"|")</f>
        <v>localidadmigrada31|QWW0EVLYP6XNYS|CHICOZAPOTE PRIMERA SECCION |final</v>
      </c>
    </row>
    <row r="33" spans="1:6" x14ac:dyDescent="0.25">
      <c r="A33" t="s">
        <v>3060</v>
      </c>
      <c r="B33" t="s">
        <v>2969</v>
      </c>
      <c r="C33" t="s">
        <v>2968</v>
      </c>
      <c r="D33" t="s">
        <v>1074</v>
      </c>
      <c r="F33" t="str" cm="1">
        <f t="array" aca="1" ref="F33" ca="1">eConcatenar(A33:D33,"|")</f>
        <v>localidadmigrada32|QWW0EVU0P6XNYS|CHICOZAPOTE SEGUNDA SECCION (EL RETIRO)|final</v>
      </c>
    </row>
    <row r="34" spans="1:6" x14ac:dyDescent="0.25">
      <c r="A34" t="s">
        <v>3061</v>
      </c>
      <c r="B34" t="s">
        <v>2967</v>
      </c>
      <c r="C34" t="s">
        <v>2966</v>
      </c>
      <c r="D34" t="s">
        <v>1074</v>
      </c>
      <c r="F34" t="str" cm="1">
        <f t="array" aca="1" ref="F34" ca="1">eConcatenar(A34:D34,"|")</f>
        <v>localidadmigrada33|QWW0EWD6P6XNYS|ANDRES SANCHES MAGALLANES |final</v>
      </c>
    </row>
    <row r="35" spans="1:6" x14ac:dyDescent="0.25">
      <c r="A35" t="s">
        <v>3062</v>
      </c>
      <c r="B35" t="s">
        <v>2965</v>
      </c>
      <c r="C35" t="s">
        <v>2964</v>
      </c>
      <c r="D35" t="s">
        <v>1074</v>
      </c>
      <c r="F35" t="str" cm="1">
        <f t="array" aca="1" ref="F35" ca="1">eConcatenar(A35:D35,"|")</f>
        <v>localidadmigrada34|QWW0EWIGP6XNYS|CORONEL GREGORIO MENDEZ MAGAÑA|final</v>
      </c>
    </row>
    <row r="36" spans="1:6" x14ac:dyDescent="0.25">
      <c r="A36" t="s">
        <v>3063</v>
      </c>
      <c r="B36" t="s">
        <v>2963</v>
      </c>
      <c r="C36" t="s">
        <v>1842</v>
      </c>
      <c r="D36" t="s">
        <v>1074</v>
      </c>
      <c r="F36" t="str" cm="1">
        <f t="array" aca="1" ref="F36" ca="1">eConcatenar(A36:D36,"|")</f>
        <v>localidadmigrada35|QWW0EWNQP6XNYS|CUAUHTEMOC|final</v>
      </c>
    </row>
    <row r="37" spans="1:6" x14ac:dyDescent="0.25">
      <c r="A37" t="s">
        <v>3064</v>
      </c>
      <c r="B37" t="s">
        <v>2962</v>
      </c>
      <c r="C37" t="s">
        <v>2961</v>
      </c>
      <c r="D37" t="s">
        <v>1074</v>
      </c>
      <c r="F37" t="str" cm="1">
        <f t="array" aca="1" ref="F37" ca="1">eConcatenar(A37:D37,"|")</f>
        <v>localidadmigrada36|QWW0EWTAP6XNYS|CUAUHTEMOCZIN|final</v>
      </c>
    </row>
    <row r="38" spans="1:6" x14ac:dyDescent="0.25">
      <c r="A38" t="s">
        <v>3065</v>
      </c>
      <c r="B38" t="s">
        <v>2960</v>
      </c>
      <c r="C38" t="s">
        <v>2959</v>
      </c>
      <c r="D38" t="s">
        <v>1074</v>
      </c>
      <c r="F38" t="str" cm="1">
        <f t="array" aca="1" ref="F38" ca="1">eConcatenar(A38:D38,"|")</f>
        <v>localidadmigrada37|QWW0EXCQP6XNYS|CUAUHTEMOCZIN SEGUNDA SECCION |final</v>
      </c>
    </row>
    <row r="39" spans="1:6" x14ac:dyDescent="0.25">
      <c r="A39" t="s">
        <v>3066</v>
      </c>
      <c r="B39" t="s">
        <v>2958</v>
      </c>
      <c r="C39" t="s">
        <v>218</v>
      </c>
      <c r="D39" t="s">
        <v>1074</v>
      </c>
      <c r="F39" t="str" cm="1">
        <f t="array" aca="1" ref="F39" ca="1">eConcatenar(A39:D39,"|")</f>
        <v>localidadmigrada38|QWW0EXIAP6XNYS|DE LOS SANTOS|final</v>
      </c>
    </row>
    <row r="40" spans="1:6" x14ac:dyDescent="0.25">
      <c r="A40" t="s">
        <v>3067</v>
      </c>
      <c r="B40" t="s">
        <v>2957</v>
      </c>
      <c r="C40" t="s">
        <v>2956</v>
      </c>
      <c r="D40" t="s">
        <v>1074</v>
      </c>
      <c r="F40" t="str" cm="1">
        <f t="array" aca="1" ref="F40" ca="1">eConcatenar(A40:D40,"|")</f>
        <v>localidadmigrada39|QWW0EXKIP6XNYS|EL ALACRAN|final</v>
      </c>
    </row>
    <row r="41" spans="1:6" x14ac:dyDescent="0.25">
      <c r="A41" t="s">
        <v>3068</v>
      </c>
      <c r="B41" t="s">
        <v>2955</v>
      </c>
      <c r="C41" t="s">
        <v>2954</v>
      </c>
      <c r="D41" t="s">
        <v>1074</v>
      </c>
      <c r="F41" t="str" cm="1">
        <f t="array" aca="1" ref="F41" ca="1">eConcatenar(A41:D41,"|")</f>
        <v>localidadmigrada40|QWW0EY1QP6XNYS|EL ALACRAN  (MANATINERO)|final</v>
      </c>
    </row>
    <row r="42" spans="1:6" x14ac:dyDescent="0.25">
      <c r="A42" t="s">
        <v>3069</v>
      </c>
      <c r="B42" t="s">
        <v>2953</v>
      </c>
      <c r="C42" t="s">
        <v>2952</v>
      </c>
      <c r="D42" t="s">
        <v>1074</v>
      </c>
      <c r="F42" t="str" cm="1">
        <f t="array" aca="1" ref="F42" ca="1">eConcatenar(A42:D42,"|")</f>
        <v>localidadmigrada41|QWW0EY3YP6XNYS|EL ARROZAL|final</v>
      </c>
    </row>
    <row r="43" spans="1:6" x14ac:dyDescent="0.25">
      <c r="A43" t="s">
        <v>3070</v>
      </c>
      <c r="B43" t="s">
        <v>2951</v>
      </c>
      <c r="C43" t="s">
        <v>423</v>
      </c>
      <c r="D43" t="s">
        <v>1074</v>
      </c>
      <c r="F43" t="str" cm="1">
        <f t="array" aca="1" ref="F43" ca="1">eConcatenar(A43:D43,"|")</f>
        <v>localidadmigrada42|QWW0EY70P6XNYS|EL BAJIO PRIMERA SECCION |final</v>
      </c>
    </row>
    <row r="44" spans="1:6" x14ac:dyDescent="0.25">
      <c r="A44" t="s">
        <v>3071</v>
      </c>
      <c r="B44" t="s">
        <v>2950</v>
      </c>
      <c r="C44" t="s">
        <v>130</v>
      </c>
      <c r="D44" t="s">
        <v>1074</v>
      </c>
      <c r="F44" t="str" cm="1">
        <f t="array" aca="1" ref="F44" ca="1">eConcatenar(A44:D44,"|")</f>
        <v>localidadmigrada43|QWW0EY9IP6XNYS|EL BAJIO SEGUNDA SECCION |final</v>
      </c>
    </row>
    <row r="45" spans="1:6" x14ac:dyDescent="0.25">
      <c r="A45" t="s">
        <v>3072</v>
      </c>
      <c r="B45" t="s">
        <v>2949</v>
      </c>
      <c r="C45" t="s">
        <v>2948</v>
      </c>
      <c r="D45" t="s">
        <v>1074</v>
      </c>
      <c r="F45" t="str" cm="1">
        <f t="array" aca="1" ref="F45" ca="1">eConcatenar(A45:D45,"|")</f>
        <v>localidadmigrada44|QWW0EYOIP6XNYS|EL BARI PRIMERA SECCION |final</v>
      </c>
    </row>
    <row r="46" spans="1:6" x14ac:dyDescent="0.25">
      <c r="A46" t="s">
        <v>3073</v>
      </c>
      <c r="B46" t="s">
        <v>2947</v>
      </c>
      <c r="C46" t="s">
        <v>2946</v>
      </c>
      <c r="D46" t="s">
        <v>1074</v>
      </c>
      <c r="F46" t="str" cm="1">
        <f t="array" aca="1" ref="F46" ca="1">eConcatenar(A46:D46,"|")</f>
        <v>localidadmigrada45|QWW0EYR0P6XNYS|EL BARI SEGUNDA SECCION |final</v>
      </c>
    </row>
    <row r="47" spans="1:6" x14ac:dyDescent="0.25">
      <c r="A47" t="s">
        <v>3074</v>
      </c>
      <c r="B47" t="s">
        <v>2945</v>
      </c>
      <c r="C47" t="s">
        <v>2944</v>
      </c>
      <c r="D47" t="s">
        <v>1074</v>
      </c>
      <c r="F47" t="str" cm="1">
        <f t="array" aca="1" ref="F47" ca="1">eConcatenar(A47:D47,"|")</f>
        <v>localidadmigrada46|QWW0EYT8P6XNYS|EL BRONCE|final</v>
      </c>
    </row>
    <row r="48" spans="1:6" x14ac:dyDescent="0.25">
      <c r="A48" t="s">
        <v>3075</v>
      </c>
      <c r="B48" t="s">
        <v>2943</v>
      </c>
      <c r="C48" t="s">
        <v>2942</v>
      </c>
      <c r="D48" t="s">
        <v>1074</v>
      </c>
      <c r="F48" t="str" cm="1">
        <f t="array" aca="1" ref="F48" ca="1">eConcatenar(A48:D48,"|")</f>
        <v>localidadmigrada47|QWW0EYVGP6XNYS|EL CAPRICHO|final</v>
      </c>
    </row>
    <row r="49" spans="1:6" x14ac:dyDescent="0.25">
      <c r="A49" t="s">
        <v>3076</v>
      </c>
      <c r="B49" t="s">
        <v>2941</v>
      </c>
      <c r="C49" t="s">
        <v>861</v>
      </c>
      <c r="D49" t="s">
        <v>1074</v>
      </c>
      <c r="F49" t="str" cm="1">
        <f t="array" aca="1" ref="F49" ca="1">eConcatenar(A49:D49,"|")</f>
        <v>localidadmigrada48|QWW0EYXYP6XNYS|EL CARMEN|final</v>
      </c>
    </row>
    <row r="50" spans="1:6" x14ac:dyDescent="0.25">
      <c r="A50" t="s">
        <v>3077</v>
      </c>
      <c r="B50" t="s">
        <v>2940</v>
      </c>
      <c r="C50" t="s">
        <v>2939</v>
      </c>
      <c r="D50" t="s">
        <v>1074</v>
      </c>
      <c r="F50" t="str" cm="1">
        <f t="array" aca="1" ref="F50" ca="1">eConcatenar(A50:D50,"|")</f>
        <v>localidadmigrada49|QWW0EZ0GP6XNYS|EL CARRIZAL |final</v>
      </c>
    </row>
    <row r="51" spans="1:6" x14ac:dyDescent="0.25">
      <c r="A51" t="s">
        <v>3078</v>
      </c>
      <c r="B51" t="s">
        <v>2938</v>
      </c>
      <c r="C51" t="s">
        <v>2937</v>
      </c>
      <c r="D51" t="s">
        <v>1074</v>
      </c>
      <c r="F51" t="str" cm="1">
        <f t="array" aca="1" ref="F51" ca="1">eConcatenar(A51:D51,"|")</f>
        <v>localidadmigrada50|QWW0EZ4CP6XNYS|EL CHOCHO (BOCA DEL RIO)|final</v>
      </c>
    </row>
    <row r="52" spans="1:6" x14ac:dyDescent="0.25">
      <c r="A52" t="s">
        <v>3079</v>
      </c>
      <c r="B52" t="s">
        <v>2936</v>
      </c>
      <c r="C52" t="s">
        <v>2935</v>
      </c>
      <c r="D52" t="s">
        <v>1074</v>
      </c>
      <c r="F52" t="str" cm="1">
        <f t="array" aca="1" ref="F52" ca="1">eConcatenar(A52:D52,"|")</f>
        <v>localidadmigrada51|QWW0EZHEP6XNYS|EL GOLPE|final</v>
      </c>
    </row>
    <row r="53" spans="1:6" x14ac:dyDescent="0.25">
      <c r="A53" t="s">
        <v>3080</v>
      </c>
      <c r="B53" t="s">
        <v>2934</v>
      </c>
      <c r="C53" t="s">
        <v>2933</v>
      </c>
      <c r="D53" t="s">
        <v>1074</v>
      </c>
      <c r="F53" t="str" cm="1">
        <f t="array" aca="1" ref="F53" ca="1">eConcatenar(A53:D53,"|")</f>
        <v>localidadmigrada52|QWW0EZM4P6XNYS|EL GOLPE SEGUNDA SECCION (LOS PATOS)|final</v>
      </c>
    </row>
    <row r="54" spans="1:6" x14ac:dyDescent="0.25">
      <c r="A54" t="s">
        <v>3081</v>
      </c>
      <c r="B54" t="s">
        <v>2932</v>
      </c>
      <c r="C54" t="s">
        <v>2931</v>
      </c>
      <c r="D54" t="s">
        <v>1074</v>
      </c>
      <c r="F54" t="str" cm="1">
        <f t="array" aca="1" ref="F54" ca="1">eConcatenar(A54:D54,"|")</f>
        <v>localidadmigrada53|QWW0EZQKP6XNYS|EL JOBO (PUNTA BRAVA)|final</v>
      </c>
    </row>
    <row r="55" spans="1:6" x14ac:dyDescent="0.25">
      <c r="A55" t="s">
        <v>3082</v>
      </c>
      <c r="B55" t="s">
        <v>2930</v>
      </c>
      <c r="C55" t="s">
        <v>2929</v>
      </c>
      <c r="D55" t="s">
        <v>1074</v>
      </c>
      <c r="F55" t="str" cm="1">
        <f t="array" aca="1" ref="F55" ca="1">eConcatenar(A55:D55,"|")</f>
        <v>localidadmigrada54|QWW0EZTMP6XNYS|EL MINGO|final</v>
      </c>
    </row>
    <row r="56" spans="1:6" x14ac:dyDescent="0.25">
      <c r="A56" t="s">
        <v>3083</v>
      </c>
      <c r="B56" t="s">
        <v>2928</v>
      </c>
      <c r="C56" t="s">
        <v>2927</v>
      </c>
      <c r="D56" t="s">
        <v>1074</v>
      </c>
      <c r="F56" t="str" cm="1">
        <f t="array" aca="1" ref="F56" ca="1">eConcatenar(A56:D56,"|")</f>
        <v>localidadmigrada55|QWW0EZW4P6XNYS|EL PARNASO|final</v>
      </c>
    </row>
    <row r="57" spans="1:6" x14ac:dyDescent="0.25">
      <c r="A57" t="s">
        <v>3084</v>
      </c>
      <c r="B57" t="s">
        <v>2926</v>
      </c>
      <c r="C57" t="s">
        <v>2925</v>
      </c>
      <c r="D57" t="s">
        <v>1074</v>
      </c>
      <c r="F57" t="str" cm="1">
        <f t="array" aca="1" ref="F57" ca="1">eConcatenar(A57:D57,"|")</f>
        <v>localidadmigrada56|QWW0F09QP6XNYS|EL PERSICO|final</v>
      </c>
    </row>
    <row r="58" spans="1:6" x14ac:dyDescent="0.25">
      <c r="A58" t="s">
        <v>3085</v>
      </c>
      <c r="B58" t="s">
        <v>2924</v>
      </c>
      <c r="C58" t="s">
        <v>2923</v>
      </c>
      <c r="D58" t="s">
        <v>1074</v>
      </c>
      <c r="F58" t="str" cm="1">
        <f t="array" aca="1" ref="F58" ca="1">eConcatenar(A58:D58,"|")</f>
        <v>localidadmigrada57|QWW0F0D2P6XNYS|EL PORVENIR|final</v>
      </c>
    </row>
    <row r="59" spans="1:6" x14ac:dyDescent="0.25">
      <c r="A59" t="s">
        <v>3086</v>
      </c>
      <c r="B59" t="s">
        <v>2922</v>
      </c>
      <c r="C59" t="s">
        <v>1731</v>
      </c>
      <c r="D59" t="s">
        <v>1074</v>
      </c>
      <c r="F59" t="str" cm="1">
        <f t="array" aca="1" ref="F59" ca="1">eConcatenar(A59:D59,"|")</f>
        <v>localidadmigrada58|QWW0F0FAP6XNYS|EL SUSPIRO|final</v>
      </c>
    </row>
    <row r="60" spans="1:6" x14ac:dyDescent="0.25">
      <c r="A60" t="s">
        <v>3087</v>
      </c>
      <c r="B60" t="s">
        <v>2921</v>
      </c>
      <c r="C60" t="s">
        <v>2920</v>
      </c>
      <c r="D60" t="s">
        <v>1074</v>
      </c>
      <c r="F60" t="str" cm="1">
        <f t="array" aca="1" ref="F60" ca="1">eConcatenar(A60:D60,"|")</f>
        <v>localidadmigrada59|QWW0F0ZKP6XNYS|EL YUCATECO (PAYLEBOT SEGUNDA SECCION)|final</v>
      </c>
    </row>
    <row r="61" spans="1:6" x14ac:dyDescent="0.25">
      <c r="A61" t="s">
        <v>3088</v>
      </c>
      <c r="B61" t="s">
        <v>2919</v>
      </c>
      <c r="C61" t="s">
        <v>2918</v>
      </c>
      <c r="D61" t="s">
        <v>1074</v>
      </c>
      <c r="F61" t="str" cm="1">
        <f t="array" aca="1" ref="F61" ca="1">eConcatenar(A61:D61,"|")</f>
        <v>localidadmigrada60|QWW0F14UP6XNYS|ENCRUCIJADA PRIMERA SECCION RINCON BRUJO|final</v>
      </c>
    </row>
    <row r="62" spans="1:6" x14ac:dyDescent="0.25">
      <c r="A62" t="s">
        <v>3089</v>
      </c>
      <c r="B62" t="s">
        <v>2917</v>
      </c>
      <c r="C62" t="s">
        <v>2916</v>
      </c>
      <c r="D62" t="s">
        <v>1074</v>
      </c>
      <c r="F62" t="str" cm="1">
        <f t="array" aca="1" ref="F62" ca="1">eConcatenar(A62:D62,"|")</f>
        <v>localidadmigrada61|QWW0F19KP6XNYS|ENCRUCIJADA SEGUNDA SECCION |final</v>
      </c>
    </row>
    <row r="63" spans="1:6" x14ac:dyDescent="0.25">
      <c r="A63" t="s">
        <v>3090</v>
      </c>
      <c r="B63" t="s">
        <v>2915</v>
      </c>
      <c r="C63" t="s">
        <v>2914</v>
      </c>
      <c r="D63" t="s">
        <v>1074</v>
      </c>
      <c r="F63" t="str" cm="1">
        <f t="array" aca="1" ref="F63" ca="1">eConcatenar(A63:D63,"|")</f>
        <v>localidadmigrada62|QWW0F1RCP6XNYS|ENCRUCIJADA TERCERA SECCION |final</v>
      </c>
    </row>
    <row r="64" spans="1:6" x14ac:dyDescent="0.25">
      <c r="A64" t="s">
        <v>3091</v>
      </c>
      <c r="B64" t="s">
        <v>2913</v>
      </c>
      <c r="C64" t="s">
        <v>2912</v>
      </c>
      <c r="D64" t="s">
        <v>1074</v>
      </c>
      <c r="F64" t="str" cm="1">
        <f t="array" aca="1" ref="F64" ca="1">eConcatenar(A64:D64,"|")</f>
        <v>localidadmigrada63|QWW0F1VIP6XNYS|ENCRUCIJADA CUARTA SECCION A |final</v>
      </c>
    </row>
    <row r="65" spans="1:6" x14ac:dyDescent="0.25">
      <c r="A65" t="s">
        <v>3092</v>
      </c>
      <c r="B65" t="s">
        <v>2911</v>
      </c>
      <c r="C65" t="s">
        <v>2910</v>
      </c>
      <c r="D65" t="s">
        <v>1074</v>
      </c>
      <c r="F65" t="str" cm="1">
        <f t="array" aca="1" ref="F65" ca="1">eConcatenar(A65:D65,"|")</f>
        <v>localidadmigrada64|QWW0F20SP6XNYS|ENCRUCIJADA CUARTA SECCION B (LA LUCHA)|final</v>
      </c>
    </row>
    <row r="66" spans="1:6" x14ac:dyDescent="0.25">
      <c r="A66" t="s">
        <v>3093</v>
      </c>
      <c r="B66" t="s">
        <v>2909</v>
      </c>
      <c r="C66" t="s">
        <v>2908</v>
      </c>
      <c r="D66" t="s">
        <v>1074</v>
      </c>
      <c r="F66" t="str" cm="1">
        <f t="array" aca="1" ref="F66" ca="1">eConcatenar(A66:D66,"|")</f>
        <v>localidadmigrada65|QWW0F24OP6XNYS|ENCRUCIJADA QUINTA SECCION |final</v>
      </c>
    </row>
    <row r="67" spans="1:6" x14ac:dyDescent="0.25">
      <c r="A67" t="s">
        <v>3094</v>
      </c>
      <c r="B67" t="s">
        <v>2907</v>
      </c>
      <c r="C67" t="s">
        <v>1721</v>
      </c>
      <c r="D67" t="s">
        <v>1074</v>
      </c>
      <c r="F67" t="str" cm="1">
        <f t="array" aca="1" ref="F67" ca="1">eConcatenar(A67:D67,"|")</f>
        <v>localidadmigrada66|QWW0F2KIP6XNYS|FRANCISCO TRUJILLO GURRIA |final</v>
      </c>
    </row>
    <row r="68" spans="1:6" x14ac:dyDescent="0.25">
      <c r="A68" t="s">
        <v>3095</v>
      </c>
      <c r="B68" t="s">
        <v>2906</v>
      </c>
      <c r="C68" t="s">
        <v>2905</v>
      </c>
      <c r="D68" t="s">
        <v>1074</v>
      </c>
      <c r="F68" t="str" cm="1">
        <f t="array" aca="1" ref="F68" ca="1">eConcatenar(A68:D68,"|")</f>
        <v>localidadmigrada67|QWW0F2NKP6XNYS|GENERAL FRANCISCO VILLA |final</v>
      </c>
    </row>
    <row r="69" spans="1:6" x14ac:dyDescent="0.25">
      <c r="A69" t="s">
        <v>3096</v>
      </c>
      <c r="B69" t="s">
        <v>2904</v>
      </c>
      <c r="C69" t="s">
        <v>2903</v>
      </c>
      <c r="D69" t="s">
        <v>1074</v>
      </c>
      <c r="F69" t="str" cm="1">
        <f t="array" aca="1" ref="F69" ca="1">eConcatenar(A69:D69,"|")</f>
        <v>localidadmigrada68|QWW0F2QMP6XNYS|HABANERO PRIMERA SECCION |final</v>
      </c>
    </row>
    <row r="70" spans="1:6" x14ac:dyDescent="0.25">
      <c r="A70" t="s">
        <v>3097</v>
      </c>
      <c r="B70" t="s">
        <v>2902</v>
      </c>
      <c r="C70" t="s">
        <v>2901</v>
      </c>
      <c r="D70" t="s">
        <v>1074</v>
      </c>
      <c r="F70" t="str" cm="1">
        <f t="array" aca="1" ref="F70" ca="1">eConcatenar(A70:D70,"|")</f>
        <v>localidadmigrada69|QWW0F3B6P6XNYS|HABANERO PRIMERA SECCION (VENUSTIANO CARRANZA)|final</v>
      </c>
    </row>
    <row r="71" spans="1:6" x14ac:dyDescent="0.25">
      <c r="A71" t="s">
        <v>3098</v>
      </c>
      <c r="B71" t="s">
        <v>2900</v>
      </c>
      <c r="C71" t="s">
        <v>2899</v>
      </c>
      <c r="D71" t="s">
        <v>1074</v>
      </c>
      <c r="F71" t="str" cm="1">
        <f t="array" aca="1" ref="F71" ca="1">eConcatenar(A71:D71,"|")</f>
        <v>localidadmigrada70|QWW0F3GGP6XNYS|HABANERO SEGUNDA SECCION (EL CASTAÑO)|final</v>
      </c>
    </row>
    <row r="72" spans="1:6" x14ac:dyDescent="0.25">
      <c r="A72" t="s">
        <v>3099</v>
      </c>
      <c r="B72" t="s">
        <v>2898</v>
      </c>
      <c r="C72" t="s">
        <v>2897</v>
      </c>
      <c r="D72" t="s">
        <v>1074</v>
      </c>
      <c r="F72" t="str" cm="1">
        <f t="array" aca="1" ref="F72" ca="1">eConcatenar(A72:D72,"|")</f>
        <v>localidadmigrada71|QWW0F3N4P6XNYS|IGNACIO GUTIERREZ GOMEZ (SAN FELIPE)|final</v>
      </c>
    </row>
    <row r="73" spans="1:6" x14ac:dyDescent="0.25">
      <c r="A73" t="s">
        <v>3100</v>
      </c>
      <c r="B73" t="s">
        <v>2896</v>
      </c>
      <c r="C73" t="s">
        <v>2895</v>
      </c>
      <c r="D73" t="s">
        <v>1074</v>
      </c>
      <c r="F73" t="str" cm="1">
        <f t="array" aca="1" ref="F73" ca="1">eConcatenar(A73:D73,"|")</f>
        <v>localidadmigrada72|QWW0F3PMP6XNYS|IGNACIO ZARAGOZA |final</v>
      </c>
    </row>
    <row r="74" spans="1:6" x14ac:dyDescent="0.25">
      <c r="A74" t="s">
        <v>3101</v>
      </c>
      <c r="B74" t="s">
        <v>2894</v>
      </c>
      <c r="C74" t="s">
        <v>2893</v>
      </c>
      <c r="D74" t="s">
        <v>1074</v>
      </c>
      <c r="F74" t="str" cm="1">
        <f t="array" aca="1" ref="F74" ca="1">eConcatenar(A74:D74,"|")</f>
        <v>localidadmigrada73|QWW0F460P6XNYS|INGENIO BENITO JUAREZ |final</v>
      </c>
    </row>
    <row r="75" spans="1:6" x14ac:dyDescent="0.25">
      <c r="A75" t="s">
        <v>3102</v>
      </c>
      <c r="B75" t="s">
        <v>2892</v>
      </c>
      <c r="C75" t="s">
        <v>2891</v>
      </c>
      <c r="D75" t="s">
        <v>1074</v>
      </c>
      <c r="F75" t="str" cm="1">
        <f t="array" aca="1" ref="F75" ca="1">eConcatenar(A75:D75,"|")</f>
        <v>localidadmigrada74|QWW0F4G0P6XNYS|ISALAS ENCANTADAS (EL ZAPOTE Y REYES HEROLES)|final</v>
      </c>
    </row>
    <row r="76" spans="1:6" x14ac:dyDescent="0.25">
      <c r="A76" t="s">
        <v>3103</v>
      </c>
      <c r="B76" t="s">
        <v>2890</v>
      </c>
      <c r="C76" t="s">
        <v>2889</v>
      </c>
      <c r="D76" t="s">
        <v>1074</v>
      </c>
      <c r="F76" t="str" cm="1">
        <f t="array" aca="1" ref="F76" ca="1">eConcatenar(A76:D76,"|")</f>
        <v>localidadmigrada75|QWW0F4I8P6XNYS|JUAN ESCUTIA|final</v>
      </c>
    </row>
    <row r="77" spans="1:6" x14ac:dyDescent="0.25">
      <c r="A77" t="s">
        <v>3104</v>
      </c>
      <c r="B77" t="s">
        <v>2888</v>
      </c>
      <c r="C77" t="s">
        <v>2887</v>
      </c>
      <c r="D77" t="s">
        <v>1074</v>
      </c>
      <c r="F77" t="str" cm="1">
        <f t="array" aca="1" ref="F77" ca="1">eConcatenar(A77:D77,"|")</f>
        <v>localidadmigrada76|QWW0F4WOP6XNYS|JULIAN MONTEJO VELAZQUEZ |final</v>
      </c>
    </row>
    <row r="78" spans="1:6" x14ac:dyDescent="0.25">
      <c r="A78" t="s">
        <v>3105</v>
      </c>
      <c r="B78" t="s">
        <v>2886</v>
      </c>
      <c r="C78" t="s">
        <v>2885</v>
      </c>
      <c r="D78" t="s">
        <v>1074</v>
      </c>
      <c r="F78" t="str" cm="1">
        <f t="array" aca="1" ref="F78" ca="1">eConcatenar(A78:D78,"|")</f>
        <v>localidadmigrada77|QWW0F4YMP6XNYS|LA ALIANZA |final</v>
      </c>
    </row>
    <row r="79" spans="1:6" x14ac:dyDescent="0.25">
      <c r="A79" t="s">
        <v>3106</v>
      </c>
      <c r="B79" t="s">
        <v>2884</v>
      </c>
      <c r="C79" t="s">
        <v>1633</v>
      </c>
      <c r="D79" t="s">
        <v>1074</v>
      </c>
      <c r="F79" t="str" cm="1">
        <f t="array" aca="1" ref="F79" ca="1">eConcatenar(A79:D79,"|")</f>
        <v>localidadmigrada78|QWW0F514P6XNYS|LA ESPERANZA |final</v>
      </c>
    </row>
    <row r="80" spans="1:6" x14ac:dyDescent="0.25">
      <c r="A80" t="s">
        <v>3107</v>
      </c>
      <c r="B80" t="s">
        <v>2883</v>
      </c>
      <c r="C80" t="s">
        <v>2882</v>
      </c>
      <c r="D80" t="s">
        <v>1074</v>
      </c>
      <c r="F80" t="str" cm="1">
        <f t="array" aca="1" ref="F80" ca="1">eConcatenar(A80:D80,"|")</f>
        <v>localidadmigrada79|QWW0F53WP6XNYS|LA PENINSULA|final</v>
      </c>
    </row>
    <row r="81" spans="1:6" x14ac:dyDescent="0.25">
      <c r="A81" t="s">
        <v>3108</v>
      </c>
      <c r="B81" t="s">
        <v>2881</v>
      </c>
      <c r="C81" t="s">
        <v>1601</v>
      </c>
      <c r="D81" t="s">
        <v>1074</v>
      </c>
      <c r="F81" t="str" cm="1">
        <f t="array" aca="1" ref="F81" ca="1">eConcatenar(A81:D81,"|")</f>
        <v>localidadmigrada80|QWW0F55UP6XNYS|LA TRINIDAD |final</v>
      </c>
    </row>
    <row r="82" spans="1:6" x14ac:dyDescent="0.25">
      <c r="A82" t="s">
        <v>3109</v>
      </c>
      <c r="B82" t="s">
        <v>2880</v>
      </c>
      <c r="C82" t="s">
        <v>2879</v>
      </c>
      <c r="D82" t="s">
        <v>1074</v>
      </c>
      <c r="F82" t="str" cm="1">
        <f t="array" aca="1" ref="F82" ca="1">eConcatenar(A82:D82,"|")</f>
        <v>localidadmigrada81|QWW0F58MP6XNYS|LAS CALZADAS |final</v>
      </c>
    </row>
    <row r="83" spans="1:6" x14ac:dyDescent="0.25">
      <c r="A83" t="s">
        <v>3110</v>
      </c>
      <c r="B83" t="s">
        <v>2878</v>
      </c>
      <c r="C83" t="s">
        <v>2877</v>
      </c>
      <c r="D83" t="s">
        <v>1074</v>
      </c>
      <c r="F83" t="str" cm="1">
        <f t="array" aca="1" ref="F83" ca="1">eConcatenar(A83:D83,"|")</f>
        <v>localidadmigrada82|QWW0F5NMP6XNYS|LAS COLORADAS PRIMERA SECCION |final</v>
      </c>
    </row>
    <row r="84" spans="1:6" x14ac:dyDescent="0.25">
      <c r="A84" t="s">
        <v>3111</v>
      </c>
      <c r="B84" t="s">
        <v>2876</v>
      </c>
      <c r="C84" t="s">
        <v>2875</v>
      </c>
      <c r="D84" t="s">
        <v>1074</v>
      </c>
      <c r="F84" t="str" cm="1">
        <f t="array" aca="1" ref="F84" ca="1">eConcatenar(A84:D84,"|")</f>
        <v>localidadmigrada83|QWW0F5XCP6XNYS|LAS COLORADAS SEGUNDA SECCION (AMPLIACION LAS ALDEAS)|final</v>
      </c>
    </row>
    <row r="85" spans="1:6" x14ac:dyDescent="0.25">
      <c r="A85" t="s">
        <v>3112</v>
      </c>
      <c r="B85" t="s">
        <v>2874</v>
      </c>
      <c r="C85" t="s">
        <v>2873</v>
      </c>
      <c r="D85" t="s">
        <v>1074</v>
      </c>
      <c r="F85" t="str" cm="1">
        <f t="array" aca="1" ref="F85" ca="1">eConcatenar(A85:D85,"|")</f>
        <v>localidadmigrada84|QWW0F61IP6XNYS|LAS COLORADAS SEGUNDA SECCION B|final</v>
      </c>
    </row>
    <row r="86" spans="1:6" x14ac:dyDescent="0.25">
      <c r="A86" t="s">
        <v>3113</v>
      </c>
      <c r="B86" t="s">
        <v>2872</v>
      </c>
      <c r="C86" t="s">
        <v>2871</v>
      </c>
      <c r="D86" t="s">
        <v>1074</v>
      </c>
      <c r="F86" t="str" cm="1">
        <f t="array" aca="1" ref="F86" ca="1">eConcatenar(A86:D86,"|")</f>
        <v>localidadmigrada85|QWW0F6FEP6XNYS|LAS ESPERANZAS |final</v>
      </c>
    </row>
    <row r="87" spans="1:6" x14ac:dyDescent="0.25">
      <c r="A87" t="s">
        <v>3114</v>
      </c>
      <c r="B87" t="s">
        <v>2870</v>
      </c>
      <c r="C87" t="s">
        <v>2869</v>
      </c>
      <c r="D87" t="s">
        <v>1074</v>
      </c>
      <c r="F87" t="str" cm="1">
        <f t="array" aca="1" ref="F87" ca="1">eConcatenar(A87:D87,"|")</f>
        <v>localidadmigrada86|QWW0F6LIP6XNYS|LAS FLORES (LAS PALMAS)|final</v>
      </c>
    </row>
    <row r="88" spans="1:6" x14ac:dyDescent="0.25">
      <c r="A88" t="s">
        <v>3115</v>
      </c>
      <c r="B88" t="s">
        <v>2868</v>
      </c>
      <c r="C88" t="s">
        <v>2867</v>
      </c>
      <c r="D88" t="s">
        <v>1074</v>
      </c>
      <c r="F88" t="str" cm="1">
        <f t="array" aca="1" ref="F88" ca="1">eConcatenar(A88:D88,"|")</f>
        <v>localidadmigrada87|QWW0F6MWP6XNYS|LAS LIMAS|final</v>
      </c>
    </row>
    <row r="89" spans="1:6" x14ac:dyDescent="0.25">
      <c r="A89" t="s">
        <v>3116</v>
      </c>
      <c r="B89" t="s">
        <v>2866</v>
      </c>
      <c r="C89" t="s">
        <v>2865</v>
      </c>
      <c r="D89" t="s">
        <v>1074</v>
      </c>
      <c r="F89" t="str" cm="1">
        <f t="array" aca="1" ref="F89" ca="1">eConcatenar(A89:D89,"|")</f>
        <v>localidadmigrada88|QWW0F6QSP6XNYS|LAS NUEVAS ESPERANZAS|final</v>
      </c>
    </row>
    <row r="90" spans="1:6" x14ac:dyDescent="0.25">
      <c r="A90" t="s">
        <v>3117</v>
      </c>
      <c r="B90" t="s">
        <v>2864</v>
      </c>
      <c r="C90" t="s">
        <v>2863</v>
      </c>
      <c r="D90" t="s">
        <v>1074</v>
      </c>
      <c r="F90" t="str" cm="1">
        <f t="array" aca="1" ref="F90" ca="1">eConcatenar(A90:D90,"|")</f>
        <v>localidadmigrada89|QWW0F6U4P6XNYS|LEON PACHECO|final</v>
      </c>
    </row>
    <row r="91" spans="1:6" x14ac:dyDescent="0.25">
      <c r="A91" t="s">
        <v>3118</v>
      </c>
      <c r="B91" t="s">
        <v>2862</v>
      </c>
      <c r="C91" t="s">
        <v>2861</v>
      </c>
      <c r="D91" t="s">
        <v>1074</v>
      </c>
      <c r="F91" t="str" cm="1">
        <f t="array" aca="1" ref="F91" ca="1">eConcatenar(A91:D91,"|")</f>
        <v>localidadmigrada90|QWW0F7J4P6XNYS|LEY FEDERAL DE LA REFORMA AGRARIA |final</v>
      </c>
    </row>
    <row r="92" spans="1:6" x14ac:dyDescent="0.25">
      <c r="A92" t="s">
        <v>3119</v>
      </c>
      <c r="B92" t="s">
        <v>2860</v>
      </c>
      <c r="C92" t="s">
        <v>2859</v>
      </c>
      <c r="D92" t="s">
        <v>1074</v>
      </c>
      <c r="F92" t="str" cm="1">
        <f t="array" aca="1" ref="F92" ca="1">eConcatenar(A92:D92,"|")</f>
        <v>localidadmigrada91|QWW0F7Z8P6XNYS|JOSE EDUARDO DE CARDENAS|final</v>
      </c>
    </row>
    <row r="93" spans="1:6" x14ac:dyDescent="0.25">
      <c r="A93" t="s">
        <v>3120</v>
      </c>
      <c r="B93" t="s">
        <v>2858</v>
      </c>
      <c r="C93" t="s">
        <v>2857</v>
      </c>
      <c r="D93" t="s">
        <v>1074</v>
      </c>
      <c r="F93" t="str" cm="1">
        <f t="array" aca="1" ref="F93" ca="1">eConcatenar(A93:D93,"|")</f>
        <v>localidadmigrada92|QWW0F83YP6XNYS|LOS AREVALOS |final</v>
      </c>
    </row>
    <row r="94" spans="1:6" x14ac:dyDescent="0.25">
      <c r="A94" t="s">
        <v>3121</v>
      </c>
      <c r="B94" t="s">
        <v>2856</v>
      </c>
      <c r="C94" t="s">
        <v>2855</v>
      </c>
      <c r="D94" t="s">
        <v>1074</v>
      </c>
      <c r="F94" t="str" cm="1">
        <f t="array" aca="1" ref="F94" ca="1">eConcatenar(A94:D94,"|")</f>
        <v>localidadmigrada93|QWW0F898P6XNYS|LUIS DONALDO COLOSIO MURRIETA|final</v>
      </c>
    </row>
    <row r="95" spans="1:6" x14ac:dyDescent="0.25">
      <c r="A95" t="s">
        <v>3122</v>
      </c>
      <c r="B95" t="s">
        <v>2854</v>
      </c>
      <c r="C95" t="s">
        <v>2853</v>
      </c>
      <c r="D95" t="s">
        <v>1074</v>
      </c>
      <c r="F95" t="str" cm="1">
        <f t="array" aca="1" ref="F95" ca="1">eConcatenar(A95:D95,"|")</f>
        <v>localidadmigrada94|QWW0F8PMP6XNYS|MADRIGAL PEREZ |final</v>
      </c>
    </row>
    <row r="96" spans="1:6" x14ac:dyDescent="0.25">
      <c r="A96" t="s">
        <v>3123</v>
      </c>
      <c r="B96" t="s">
        <v>2852</v>
      </c>
      <c r="C96" t="s">
        <v>2851</v>
      </c>
      <c r="D96" t="s">
        <v>1074</v>
      </c>
      <c r="F96" t="str" cm="1">
        <f t="array" aca="1" ref="F96" ca="1">eConcatenar(A96:D96,"|")</f>
        <v>localidadmigrada95|QWW0F8V6P6XNYS|MARIO MORALES (DE LOS MORALES)|final</v>
      </c>
    </row>
    <row r="97" spans="1:6" x14ac:dyDescent="0.25">
      <c r="A97" t="s">
        <v>3124</v>
      </c>
      <c r="B97" t="s">
        <v>2850</v>
      </c>
      <c r="C97" t="s">
        <v>91</v>
      </c>
      <c r="D97" t="s">
        <v>1074</v>
      </c>
      <c r="F97" t="str" cm="1">
        <f t="array" aca="1" ref="F97" ca="1">eConcatenar(A97:D97,"|")</f>
        <v>localidadmigrada96|QWW0F8YSP6XNYS|MELCHOR OCAMPO|final</v>
      </c>
    </row>
    <row r="98" spans="1:6" x14ac:dyDescent="0.25">
      <c r="A98" t="s">
        <v>3125</v>
      </c>
      <c r="B98" t="s">
        <v>2849</v>
      </c>
      <c r="C98" t="s">
        <v>860</v>
      </c>
      <c r="D98" t="s">
        <v>1074</v>
      </c>
      <c r="F98" t="str" cm="1">
        <f t="array" aca="1" ref="F98" ca="1">eConcatenar(A98:D98,"|")</f>
        <v>localidadmigrada97|QWW0F91UP6XNYS|MIGUEL HIDALGO|final</v>
      </c>
    </row>
    <row r="99" spans="1:6" x14ac:dyDescent="0.25">
      <c r="A99" t="s">
        <v>3126</v>
      </c>
      <c r="B99" t="s">
        <v>2848</v>
      </c>
      <c r="C99" t="s">
        <v>2847</v>
      </c>
      <c r="D99" t="s">
        <v>1074</v>
      </c>
      <c r="F99" t="str" cm="1">
        <f t="array" aca="1" ref="F99" ca="1">eConcatenar(A99:D99,"|")</f>
        <v>localidadmigrada98|QWW0FKP0P6XNYS|MIGUEL HIDALGO PRIMERA SECCION |final</v>
      </c>
    </row>
    <row r="100" spans="1:6" x14ac:dyDescent="0.25">
      <c r="A100" t="s">
        <v>3127</v>
      </c>
      <c r="B100" t="s">
        <v>2846</v>
      </c>
      <c r="C100" t="s">
        <v>2845</v>
      </c>
      <c r="D100" t="s">
        <v>1074</v>
      </c>
      <c r="F100" t="str" cm="1">
        <f t="array" aca="1" ref="F100" ca="1">eConcatenar(A100:D100,"|")</f>
        <v>localidadmigrada99|QWW0FLCWP6XNYS|MIGUEL HIDALGO SEGUNDA SECCION (EL EDEN)|final</v>
      </c>
    </row>
    <row r="101" spans="1:6" x14ac:dyDescent="0.25">
      <c r="A101" t="s">
        <v>3128</v>
      </c>
      <c r="B101" t="s">
        <v>2844</v>
      </c>
      <c r="C101" t="s">
        <v>2843</v>
      </c>
      <c r="D101" t="s">
        <v>1074</v>
      </c>
      <c r="F101" t="str" cm="1">
        <f t="array" aca="1" ref="F101" ca="1">eConcatenar(A101:D101,"|")</f>
        <v>localidadmigrada100|QWW0FPTQP6XNYS|MIGUEL HIDALGO SEGUNDA SECCION B  (LA NATIDVIDAD)|final</v>
      </c>
    </row>
    <row r="102" spans="1:6" x14ac:dyDescent="0.25">
      <c r="A102" t="s">
        <v>3129</v>
      </c>
      <c r="B102" t="s">
        <v>2842</v>
      </c>
      <c r="C102" t="s">
        <v>2841</v>
      </c>
      <c r="D102" t="s">
        <v>1074</v>
      </c>
      <c r="F102" t="str" cm="1">
        <f t="array" aca="1" ref="F102" ca="1">eConcatenar(A102:D102,"|")</f>
        <v>localidadmigrada101|QWW0FQI6P6XNYS|MIGUEL HIDALGO ZAPOTAL SEGUNDA SECCION |final</v>
      </c>
    </row>
    <row r="103" spans="1:6" x14ac:dyDescent="0.25">
      <c r="A103" t="s">
        <v>3130</v>
      </c>
      <c r="B103" t="s">
        <v>2840</v>
      </c>
      <c r="C103" t="s">
        <v>2839</v>
      </c>
      <c r="D103" t="s">
        <v>1074</v>
      </c>
      <c r="F103" t="str" cm="1">
        <f t="array" aca="1" ref="F103" ca="1">eConcatenar(A103:D103,"|")</f>
        <v>localidadmigrada102|QWW0FQUYP6XNYS|NARANJEÑO PRIMERA SECCION (COLONIA LA FE)|final</v>
      </c>
    </row>
    <row r="104" spans="1:6" x14ac:dyDescent="0.25">
      <c r="A104" t="s">
        <v>3131</v>
      </c>
      <c r="B104" t="s">
        <v>2838</v>
      </c>
      <c r="C104" t="s">
        <v>2837</v>
      </c>
      <c r="D104" t="s">
        <v>1074</v>
      </c>
      <c r="F104" t="str" cm="1">
        <f t="array" aca="1" ref="F104" ca="1">eConcatenar(A104:D104,"|")</f>
        <v>localidadmigrada103|QWW0FRASP6XNYS|NARANJEÑO SEGUNDA SECCION A|final</v>
      </c>
    </row>
    <row r="105" spans="1:6" x14ac:dyDescent="0.25">
      <c r="A105" t="s">
        <v>3132</v>
      </c>
      <c r="B105" t="s">
        <v>2836</v>
      </c>
      <c r="C105" t="s">
        <v>2835</v>
      </c>
      <c r="D105" t="s">
        <v>1074</v>
      </c>
      <c r="F105" t="str" cm="1">
        <f t="array" aca="1" ref="F105" ca="1">eConcatenar(A105:D105,"|")</f>
        <v>localidadmigrada104|QWW0FRHGP6XNYS|NARANJEÑO SEGUNDA SECCION B|final</v>
      </c>
    </row>
    <row r="106" spans="1:6" x14ac:dyDescent="0.25">
      <c r="A106" t="s">
        <v>3133</v>
      </c>
      <c r="B106" t="s">
        <v>2834</v>
      </c>
      <c r="C106" t="s">
        <v>2833</v>
      </c>
      <c r="D106" t="s">
        <v>1074</v>
      </c>
      <c r="F106" t="str" cm="1">
        <f t="array" aca="1" ref="F106" ca="1">eConcatenar(A106:D106,"|")</f>
        <v>localidadmigrada105|QWW0FSUCP6XNYS|OJOSHAL|final</v>
      </c>
    </row>
    <row r="107" spans="1:6" x14ac:dyDescent="0.25">
      <c r="A107" t="s">
        <v>3134</v>
      </c>
      <c r="B107" t="s">
        <v>2832</v>
      </c>
      <c r="C107" t="s">
        <v>2434</v>
      </c>
      <c r="D107" t="s">
        <v>1074</v>
      </c>
      <c r="F107" t="str" cm="1">
        <f t="array" aca="1" ref="F107" ca="1">eConcatenar(A107:D107,"|")</f>
        <v>localidadmigrada106|QWW0FT2YP6XNYS|NUEVA ESPERANZA|final</v>
      </c>
    </row>
    <row r="108" spans="1:6" x14ac:dyDescent="0.25">
      <c r="A108" t="s">
        <v>3135</v>
      </c>
      <c r="B108" t="s">
        <v>2831</v>
      </c>
      <c r="C108" t="s">
        <v>2830</v>
      </c>
      <c r="D108" t="s">
        <v>1074</v>
      </c>
      <c r="F108" t="str" cm="1">
        <f t="array" aca="1" ref="F108" ca="1">eConcatenar(A108:D108,"|")</f>
        <v>localidadmigrada107|QWW0GSBKP6XNYS|NARANJEÑO TERCERA SECCION |final</v>
      </c>
    </row>
    <row r="109" spans="1:6" x14ac:dyDescent="0.25">
      <c r="A109" t="s">
        <v>3136</v>
      </c>
      <c r="B109" t="s">
        <v>2829</v>
      </c>
      <c r="C109" t="s">
        <v>2828</v>
      </c>
      <c r="D109" t="s">
        <v>1074</v>
      </c>
      <c r="F109" t="str" cm="1">
        <f t="array" aca="1" ref="F109" ca="1">eConcatenar(A109:D109,"|")</f>
        <v>localidadmigrada108|QWW0GSISP6XNYS|NUEVA ZELANDIA  |final</v>
      </c>
    </row>
    <row r="110" spans="1:6" x14ac:dyDescent="0.25">
      <c r="A110" t="s">
        <v>3137</v>
      </c>
      <c r="B110" t="s">
        <v>2827</v>
      </c>
      <c r="C110" t="s">
        <v>2826</v>
      </c>
      <c r="D110" t="s">
        <v>1074</v>
      </c>
      <c r="F110" t="str" cm="1">
        <f t="array" aca="1" ref="F110" ca="1">eConcatenar(A110:D110,"|")</f>
        <v>localidadmigrada109|QWW0GSP6P6XNYS|PASO Y PLAYA|final</v>
      </c>
    </row>
    <row r="111" spans="1:6" x14ac:dyDescent="0.25">
      <c r="A111" t="s">
        <v>3138</v>
      </c>
      <c r="B111" t="s">
        <v>2825</v>
      </c>
      <c r="C111" t="s">
        <v>2824</v>
      </c>
      <c r="D111" t="s">
        <v>1074</v>
      </c>
      <c r="F111" t="str" cm="1">
        <f t="array" aca="1" ref="F111" ca="1">eConcatenar(A111:D111,"|")</f>
        <v>localidadmigrada110|QWW0GT3MP6XNYS|PAYLEBOT|final</v>
      </c>
    </row>
    <row r="112" spans="1:6" x14ac:dyDescent="0.25">
      <c r="A112" t="s">
        <v>3139</v>
      </c>
      <c r="B112" t="s">
        <v>2823</v>
      </c>
      <c r="C112" t="s">
        <v>2822</v>
      </c>
      <c r="D112" t="s">
        <v>1074</v>
      </c>
      <c r="F112" t="str" cm="1">
        <f t="array" aca="1" ref="F112" ca="1">eConcatenar(A112:D112,"|")</f>
        <v>localidadmigrada111|QWW0GT78P6XNYS|PEDRO SANCHEZ MAGALLANES |final</v>
      </c>
    </row>
    <row r="113" spans="1:6" x14ac:dyDescent="0.25">
      <c r="A113" t="s">
        <v>3140</v>
      </c>
      <c r="B113" t="s">
        <v>2821</v>
      </c>
      <c r="C113" t="s">
        <v>2820</v>
      </c>
      <c r="D113" t="s">
        <v>1074</v>
      </c>
      <c r="F113" t="str" cm="1">
        <f t="array" aca="1" ref="F113" ca="1">eConcatenar(A113:D113,"|")</f>
        <v>localidadmigrada112|QWW0GTVOP6XNYS|POBLADO C-9 LICENCIADO FRANCISCO I. MADERO|final</v>
      </c>
    </row>
    <row r="114" spans="1:6" x14ac:dyDescent="0.25">
      <c r="A114" t="s">
        <v>3141</v>
      </c>
      <c r="B114" t="s">
        <v>2819</v>
      </c>
      <c r="C114" t="s">
        <v>2818</v>
      </c>
      <c r="D114" t="s">
        <v>1074</v>
      </c>
      <c r="F114" t="str" cm="1">
        <f t="array" aca="1" ref="F114" ca="1">eConcatenar(A114:D114,"|")</f>
        <v>localidadmigrada113|QWW0GX60P6XNYS|POBLADO C-10 GENERAL LAZARO CARDENAS DEL RIO |final</v>
      </c>
    </row>
    <row r="115" spans="1:6" x14ac:dyDescent="0.25">
      <c r="A115" t="s">
        <v>3142</v>
      </c>
      <c r="B115" t="s">
        <v>2817</v>
      </c>
      <c r="C115" t="s">
        <v>2816</v>
      </c>
      <c r="D115" t="s">
        <v>1074</v>
      </c>
      <c r="F115" t="str" cm="1">
        <f t="array" aca="1" ref="F115" ca="1">eConcatenar(A115:D115,"|")</f>
        <v>localidadmigrada114|QWW0GXT2P6XNYS|POBLADO C-11 JOSE MARIA MORELOS Y PAVON |final</v>
      </c>
    </row>
    <row r="116" spans="1:6" x14ac:dyDescent="0.25">
      <c r="A116" t="s">
        <v>3143</v>
      </c>
      <c r="B116" t="s">
        <v>2815</v>
      </c>
      <c r="C116" t="s">
        <v>2814</v>
      </c>
      <c r="D116" t="s">
        <v>1074</v>
      </c>
      <c r="F116" t="str" cm="1">
        <f t="array" aca="1" ref="F116" ca="1">eConcatenar(A116:D116,"|")</f>
        <v>localidadmigrada115|QWW0GY0UP6XNYS|POBLADO C-14 GENERAL PLUTARCO ELIAS CALLES |final</v>
      </c>
    </row>
    <row r="117" spans="1:6" x14ac:dyDescent="0.25">
      <c r="A117" t="s">
        <v>3144</v>
      </c>
      <c r="B117" t="s">
        <v>2813</v>
      </c>
      <c r="C117" t="s">
        <v>2812</v>
      </c>
      <c r="D117" t="s">
        <v>1074</v>
      </c>
      <c r="F117" t="str" cm="1">
        <f t="array" aca="1" ref="F117" ca="1">eConcatenar(A117:D117,"|")</f>
        <v>localidadmigrada116|QWW0GYIMP6XNYS|POBLADO C-15 ADOLFO LOPEZ MATEO|final</v>
      </c>
    </row>
    <row r="118" spans="1:6" x14ac:dyDescent="0.25">
      <c r="A118" t="s">
        <v>3145</v>
      </c>
      <c r="B118" t="s">
        <v>2811</v>
      </c>
      <c r="C118" t="s">
        <v>2810</v>
      </c>
      <c r="D118" t="s">
        <v>1074</v>
      </c>
      <c r="F118" t="str" cm="1">
        <f t="array" aca="1" ref="F118" ca="1">eConcatenar(A118:D118,"|")</f>
        <v>localidadmigrada117|QWW0GYRIP6XNYS|POBLADO C-15 ADOLFO LOPEZ MATEO UNO|final</v>
      </c>
    </row>
    <row r="119" spans="1:6" x14ac:dyDescent="0.25">
      <c r="A119" t="s">
        <v>3146</v>
      </c>
      <c r="B119" t="s">
        <v>2809</v>
      </c>
      <c r="C119" t="s">
        <v>2808</v>
      </c>
      <c r="D119" t="s">
        <v>1074</v>
      </c>
      <c r="F119" t="str" cm="1">
        <f t="array" aca="1" ref="F119" ca="1">eConcatenar(A119:D119,"|")</f>
        <v>localidadmigrada118|QWW0GZ90P6XNYS|POBLADO C-15 GENERAL EMILIANO ZAPATA|final</v>
      </c>
    </row>
    <row r="120" spans="1:6" x14ac:dyDescent="0.25">
      <c r="A120" t="s">
        <v>3147</v>
      </c>
      <c r="B120" t="s">
        <v>2807</v>
      </c>
      <c r="C120" t="s">
        <v>2806</v>
      </c>
      <c r="D120" t="s">
        <v>1074</v>
      </c>
      <c r="F120" t="str" cm="1">
        <f t="array" aca="1" ref="F120" ca="1">eConcatenar(A120:D120,"|")</f>
        <v>localidadmigrada119|QWW0GZHMP6XNYS|POBLADO C-16 EMILIAMO ZAPATA DOS |final</v>
      </c>
    </row>
    <row r="121" spans="1:6" x14ac:dyDescent="0.25">
      <c r="A121" t="s">
        <v>3148</v>
      </c>
      <c r="B121" t="s">
        <v>2805</v>
      </c>
      <c r="C121" t="s">
        <v>2798</v>
      </c>
      <c r="D121" t="s">
        <v>1074</v>
      </c>
      <c r="F121" t="str" cm="1">
        <f t="array" aca="1" ref="F121" ca="1">eConcatenar(A121:D121,"|")</f>
        <v>localidadmigrada120|QWW0H45EP6XNYS|MIGUEL HIDALGO SEGUNDA SECCION B (LA NATIVIDAD)|final</v>
      </c>
    </row>
    <row r="122" spans="1:6" x14ac:dyDescent="0.25">
      <c r="A122" t="s">
        <v>3149</v>
      </c>
      <c r="B122" t="s">
        <v>2804</v>
      </c>
      <c r="C122" t="s">
        <v>2803</v>
      </c>
      <c r="D122" t="s">
        <v>1074</v>
      </c>
      <c r="F122" t="str" cm="1">
        <f t="array" aca="1" ref="F122" ca="1">eConcatenar(A122:D122,"|")</f>
        <v>localidadmigrada121|QWW0H5KSP6XNYS|NUEVA ZELANDIA|final</v>
      </c>
    </row>
    <row r="123" spans="1:6" x14ac:dyDescent="0.25">
      <c r="A123" t="s">
        <v>3150</v>
      </c>
      <c r="B123" t="s">
        <v>2802</v>
      </c>
      <c r="C123" t="s">
        <v>1504</v>
      </c>
      <c r="D123" t="s">
        <v>1074</v>
      </c>
      <c r="F123" t="str" cm="1">
        <f t="array" aca="1" ref="F123" ca="1">eConcatenar(A123:D123,"|")</f>
        <v>localidadmigrada122|QWW0H5OOP6XNYS|NUEVA ESPERANZA |final</v>
      </c>
    </row>
    <row r="124" spans="1:6" x14ac:dyDescent="0.25">
      <c r="A124" t="s">
        <v>3151</v>
      </c>
      <c r="B124" t="s">
        <v>2801</v>
      </c>
      <c r="C124" t="s">
        <v>2800</v>
      </c>
      <c r="D124" t="s">
        <v>1074</v>
      </c>
      <c r="F124" t="str" cm="1">
        <f t="array" aca="1" ref="F124" ca="1">eConcatenar(A124:D124,"|")</f>
        <v>localidadmigrada123|QWW0H5TYP6XNYS|NARANJEÑO TERCELA SECCION |final</v>
      </c>
    </row>
    <row r="125" spans="1:6" x14ac:dyDescent="0.25">
      <c r="A125" t="s">
        <v>3152</v>
      </c>
      <c r="B125" t="s">
        <v>2799</v>
      </c>
      <c r="C125" t="s">
        <v>2798</v>
      </c>
      <c r="D125" t="s">
        <v>1074</v>
      </c>
      <c r="F125" t="str" cm="1">
        <f t="array" aca="1" ref="F125" ca="1">eConcatenar(A125:D125,"|")</f>
        <v>localidadmigrada124|QWW0H6F2P6XNYS|MIGUEL HIDALGO SEGUNDA SECCION B (LA NATIVIDAD)|final</v>
      </c>
    </row>
    <row r="126" spans="1:6" x14ac:dyDescent="0.25">
      <c r="A126" t="s">
        <v>3153</v>
      </c>
      <c r="B126" t="s">
        <v>2797</v>
      </c>
      <c r="C126" t="s">
        <v>2796</v>
      </c>
      <c r="D126" t="s">
        <v>1074</v>
      </c>
      <c r="F126" t="str" cm="1">
        <f t="array" aca="1" ref="F126" ca="1">eConcatenar(A126:D126,"|")</f>
        <v>localidadmigrada125|QWW0H8VOP6XNYS|POBLADO C-16 EMILIANO ZAPATA |final</v>
      </c>
    </row>
    <row r="127" spans="1:6" x14ac:dyDescent="0.25">
      <c r="A127" t="s">
        <v>3154</v>
      </c>
      <c r="B127" t="s">
        <v>2795</v>
      </c>
      <c r="C127" t="s">
        <v>2794</v>
      </c>
      <c r="D127" t="s">
        <v>1074</v>
      </c>
      <c r="F127" t="str" cm="1">
        <f t="array" aca="1" ref="F127" ca="1">eConcatenar(A127:D127,"|")</f>
        <v>localidadmigrada126|QWW0H9DGP6XNYS|POBLADO C-16 EMILIANO ZAPATA TRES |final</v>
      </c>
    </row>
    <row r="128" spans="1:6" x14ac:dyDescent="0.25">
      <c r="A128" t="s">
        <v>3155</v>
      </c>
      <c r="B128" t="s">
        <v>2793</v>
      </c>
      <c r="C128" t="s">
        <v>2792</v>
      </c>
      <c r="D128" t="s">
        <v>1074</v>
      </c>
      <c r="F128" t="str" cm="1">
        <f t="array" aca="1" ref="F128" ca="1">eConcatenar(A128:D128,"|")</f>
        <v>localidadmigrada127|QWW0HAEOP6XNYS|POBLADO C-16 EMILIANO ZAPATA UNO|final</v>
      </c>
    </row>
    <row r="129" spans="1:6" x14ac:dyDescent="0.25">
      <c r="A129" t="s">
        <v>3156</v>
      </c>
      <c r="B129" t="s">
        <v>2791</v>
      </c>
      <c r="C129" t="s">
        <v>2790</v>
      </c>
      <c r="D129" t="s">
        <v>1074</v>
      </c>
      <c r="F129" t="str" cm="1">
        <f t="array" aca="1" ref="F129" ca="1">eConcatenar(A129:D129,"|")</f>
        <v>localidadmigrada128|QWW0HAY4P6XNYS|POBLADO C-20 MIGUEL HIDALGO Y COSTILLA |final</v>
      </c>
    </row>
    <row r="130" spans="1:6" x14ac:dyDescent="0.25">
      <c r="A130" t="s">
        <v>3157</v>
      </c>
      <c r="B130" t="s">
        <v>2789</v>
      </c>
      <c r="C130" t="s">
        <v>2788</v>
      </c>
      <c r="D130" t="s">
        <v>1074</v>
      </c>
      <c r="F130" t="str" cm="1">
        <f t="array" aca="1" ref="F130" ca="1">eConcatenar(A130:D130,"|")</f>
        <v>localidadmigrada129|QWW0HB6GP6XNYS|POBLADO C-21 LICENCIADO BENITO JUAREZ GARCIA |final</v>
      </c>
    </row>
    <row r="131" spans="1:6" x14ac:dyDescent="0.25">
      <c r="A131" t="s">
        <v>3158</v>
      </c>
      <c r="B131" t="s">
        <v>2787</v>
      </c>
      <c r="C131" t="s">
        <v>2786</v>
      </c>
      <c r="D131" t="s">
        <v>1074</v>
      </c>
      <c r="F131" t="str" cm="1">
        <f t="array" aca="1" ref="F131" ca="1">eConcatenar(A131:D131,"|")</f>
        <v>localidadmigrada130|QWW0HBOSP6XNYS|POBLADO C-22 JOSE MARIA PINO SUAREZ|final</v>
      </c>
    </row>
    <row r="132" spans="1:6" x14ac:dyDescent="0.25">
      <c r="A132" t="s">
        <v>3159</v>
      </c>
      <c r="B132" t="s">
        <v>2785</v>
      </c>
      <c r="C132" t="s">
        <v>2784</v>
      </c>
      <c r="D132" t="s">
        <v>1074</v>
      </c>
      <c r="F132" t="str" cm="1">
        <f t="array" aca="1" ref="F132" ca="1">eConcatenar(A132:D132,"|")</f>
        <v>localidadmigrada131|QWW0HDI2P6XNYS|POBLADO C-22 JOSE MARIA PINO SUAREZ UNO|final</v>
      </c>
    </row>
    <row r="133" spans="1:6" x14ac:dyDescent="0.25">
      <c r="A133" t="s">
        <v>3160</v>
      </c>
      <c r="B133" t="s">
        <v>2783</v>
      </c>
      <c r="C133" t="s">
        <v>2782</v>
      </c>
      <c r="D133" t="s">
        <v>1074</v>
      </c>
      <c r="F133" t="str" cm="1">
        <f t="array" aca="1" ref="F133" ca="1">eConcatenar(A133:D133,"|")</f>
        <v>localidadmigrada132|QWW0HE1SP6XNYS|POBLADO C-23 VENUSTIANO CARRANZA |final</v>
      </c>
    </row>
    <row r="134" spans="1:6" x14ac:dyDescent="0.25">
      <c r="A134" t="s">
        <v>3161</v>
      </c>
      <c r="B134" t="s">
        <v>2781</v>
      </c>
      <c r="C134" t="s">
        <v>2780</v>
      </c>
      <c r="D134" t="s">
        <v>1074</v>
      </c>
      <c r="F134" t="str" cm="1">
        <f t="array" aca="1" ref="F134" ca="1">eConcatenar(A134:D134,"|")</f>
        <v>localidadmigrada133|QWW0HERCP6XNYS|POBLADO C-27 EDUARDO CHAVEZ RAMIREZ|final</v>
      </c>
    </row>
    <row r="135" spans="1:6" x14ac:dyDescent="0.25">
      <c r="A135" t="s">
        <v>3162</v>
      </c>
      <c r="B135" t="s">
        <v>2779</v>
      </c>
      <c r="C135" t="s">
        <v>2778</v>
      </c>
      <c r="D135" t="s">
        <v>1074</v>
      </c>
      <c r="F135" t="str" cm="1">
        <f t="array" aca="1" ref="F135" ca="1">eConcatenar(A135:D135,"|")</f>
        <v>localidadmigrada134|QWW0HEWCP6XNYS|POBLADO C-28 GREGORIO MENDEZ MAGAÑA|final</v>
      </c>
    </row>
    <row r="136" spans="1:6" x14ac:dyDescent="0.25">
      <c r="A136" t="s">
        <v>3163</v>
      </c>
      <c r="B136" t="s">
        <v>2777</v>
      </c>
      <c r="C136" t="s">
        <v>2776</v>
      </c>
      <c r="D136" t="s">
        <v>1074</v>
      </c>
      <c r="F136" t="str" cm="1">
        <f t="array" aca="1" ref="F136" ca="1">eConcatenar(A136:D136,"|")</f>
        <v>localidadmigrada135|QWW0HF1MP6XNYS|POBLADO C-28  GREGORIO MENDEZ MAGAÑA 1 |final</v>
      </c>
    </row>
    <row r="137" spans="1:6" x14ac:dyDescent="0.25">
      <c r="A137" t="s">
        <v>3164</v>
      </c>
      <c r="B137" t="s">
        <v>2775</v>
      </c>
      <c r="C137" t="s">
        <v>2774</v>
      </c>
      <c r="D137" t="s">
        <v>1074</v>
      </c>
      <c r="F137" t="str" cm="1">
        <f t="array" aca="1" ref="F137" ca="1">eConcatenar(A137:D137,"|")</f>
        <v>localidadmigrada136|QWW0HFSKP6XNYS|POBLADO C-29 VICENTE GUERRERO|final</v>
      </c>
    </row>
    <row r="138" spans="1:6" x14ac:dyDescent="0.25">
      <c r="A138" t="s">
        <v>3165</v>
      </c>
      <c r="B138" t="s">
        <v>2773</v>
      </c>
      <c r="C138" t="s">
        <v>2772</v>
      </c>
      <c r="D138" t="s">
        <v>1074</v>
      </c>
      <c r="F138" t="str" cm="1">
        <f t="array" aca="1" ref="F138" ca="1">eConcatenar(A138:D138,"|")</f>
        <v>localidadmigrada137|QWW0HG98P6XNYS|POBLADO C-33 VEINTE DE NOVIEMBRE |final</v>
      </c>
    </row>
    <row r="139" spans="1:6" x14ac:dyDescent="0.25">
      <c r="A139" t="s">
        <v>3166</v>
      </c>
      <c r="B139" t="s">
        <v>2771</v>
      </c>
      <c r="C139" t="s">
        <v>2770</v>
      </c>
      <c r="D139" t="s">
        <v>1074</v>
      </c>
      <c r="F139" t="str" cm="1">
        <f t="array" aca="1" ref="F139" ca="1">eConcatenar(A139:D139,"|")</f>
        <v>localidadmigrada138|QWW0HGHUP6XNYS|POBLADO C-17 INDEPENDENCIA|final</v>
      </c>
    </row>
    <row r="140" spans="1:6" x14ac:dyDescent="0.25">
      <c r="A140" t="s">
        <v>3167</v>
      </c>
      <c r="B140" t="s">
        <v>2769</v>
      </c>
      <c r="C140" t="s">
        <v>2768</v>
      </c>
      <c r="D140" t="s">
        <v>1074</v>
      </c>
      <c r="F140" t="str" cm="1">
        <f t="array" aca="1" ref="F140" ca="1">eConcatenar(A140:D140,"|")</f>
        <v>localidadmigrada139|QWW0LLGMP6XNYS|POZA REDONDA  PRIMERA SECION |final</v>
      </c>
    </row>
    <row r="141" spans="1:6" x14ac:dyDescent="0.25">
      <c r="A141" t="s">
        <v>3168</v>
      </c>
      <c r="B141" t="s">
        <v>2767</v>
      </c>
      <c r="C141" t="s">
        <v>2766</v>
      </c>
      <c r="D141" t="s">
        <v>1074</v>
      </c>
      <c r="F141" t="str" cm="1">
        <f t="array" aca="1" ref="F141" ca="1">eConcatenar(A141:D141,"|")</f>
        <v>localidadmigrada140|QWW0LLW6P6XNYS|POZA REDONDA SEGUNDA SECCION |final</v>
      </c>
    </row>
    <row r="142" spans="1:6" x14ac:dyDescent="0.25">
      <c r="A142" t="s">
        <v>3169</v>
      </c>
      <c r="B142" t="s">
        <v>2765</v>
      </c>
      <c r="C142" t="s">
        <v>2764</v>
      </c>
      <c r="D142" t="s">
        <v>1074</v>
      </c>
      <c r="F142" t="str" cm="1">
        <f t="array" aca="1" ref="F142" ca="1">eConcatenar(A142:D142,"|")</f>
        <v>localidadmigrada141|QWW0LM0CP6XNYS|POZA REDONDA TERCERA SECCION |final</v>
      </c>
    </row>
    <row r="143" spans="1:6" x14ac:dyDescent="0.25">
      <c r="A143" t="s">
        <v>3170</v>
      </c>
      <c r="B143" t="s">
        <v>2763</v>
      </c>
      <c r="C143" t="s">
        <v>2762</v>
      </c>
      <c r="D143" t="s">
        <v>1074</v>
      </c>
      <c r="F143" t="str" cm="1">
        <f t="array" aca="1" ref="F143" ca="1">eConcatenar(A143:D143,"|")</f>
        <v>localidadmigrada142|QWW0LM48P6XNYS|POZA REDONDA CUARTA SECCION |final</v>
      </c>
    </row>
    <row r="144" spans="1:6" x14ac:dyDescent="0.25">
      <c r="A144" t="s">
        <v>3171</v>
      </c>
      <c r="B144" t="s">
        <v>2761</v>
      </c>
      <c r="C144" t="s">
        <v>2760</v>
      </c>
      <c r="D144" t="s">
        <v>1074</v>
      </c>
      <c r="F144" t="str" cm="1">
        <f t="array" aca="1" ref="F144" ca="1">eConcatenar(A144:D144,"|")</f>
        <v>localidadmigrada143|QWW0LMA2P6XNYS|PUERTO ESCONDIDO|final</v>
      </c>
    </row>
    <row r="145" spans="1:6" x14ac:dyDescent="0.25">
      <c r="A145" t="s">
        <v>3172</v>
      </c>
      <c r="B145" t="s">
        <v>2759</v>
      </c>
      <c r="C145" t="s">
        <v>2415</v>
      </c>
      <c r="D145" t="s">
        <v>1074</v>
      </c>
      <c r="F145" t="str" cm="1">
        <f t="array" aca="1" ref="F145" ca="1">eConcatenar(A145:D145,"|")</f>
        <v>localidadmigrada144|QWW0LMOIP6XNYS|RIO SECO PRIMERA SECCION |final</v>
      </c>
    </row>
    <row r="146" spans="1:6" x14ac:dyDescent="0.25">
      <c r="A146" t="s">
        <v>3173</v>
      </c>
      <c r="B146" t="s">
        <v>2758</v>
      </c>
      <c r="C146" t="s">
        <v>2757</v>
      </c>
      <c r="D146" t="s">
        <v>1074</v>
      </c>
      <c r="F146" t="str" cm="1">
        <f t="array" aca="1" ref="F146" ca="1">eConcatenar(A146:D146,"|")</f>
        <v>localidadmigrada145|QWW0LMS4P6XNYS|RIO SECO SEGUNDA SECCION A|final</v>
      </c>
    </row>
    <row r="147" spans="1:6" x14ac:dyDescent="0.25">
      <c r="A147" t="s">
        <v>3174</v>
      </c>
      <c r="B147" t="s">
        <v>2756</v>
      </c>
      <c r="C147" t="s">
        <v>2755</v>
      </c>
      <c r="D147" t="s">
        <v>1074</v>
      </c>
      <c r="F147" t="str" cm="1">
        <f t="array" aca="1" ref="F147" ca="1">eConcatenar(A147:D147,"|")</f>
        <v>localidadmigrada146|QWW0LN10P6XNYS|RIO SECO SEGUNDA SECCION B|final</v>
      </c>
    </row>
    <row r="148" spans="1:6" x14ac:dyDescent="0.25">
      <c r="A148" t="s">
        <v>3175</v>
      </c>
      <c r="B148" t="s">
        <v>2754</v>
      </c>
      <c r="C148" t="s">
        <v>2753</v>
      </c>
      <c r="D148" t="s">
        <v>1074</v>
      </c>
      <c r="F148" t="str" cm="1">
        <f t="array" aca="1" ref="F148" ca="1">eConcatenar(A148:D148,"|")</f>
        <v>localidadmigrada147|QWW0LP8GP6XNYS|RIO SECO SEGUNDA SECCION C |final</v>
      </c>
    </row>
    <row r="149" spans="1:6" x14ac:dyDescent="0.25">
      <c r="A149" t="s">
        <v>3176</v>
      </c>
      <c r="B149" t="s">
        <v>2752</v>
      </c>
      <c r="C149" t="s">
        <v>2751</v>
      </c>
      <c r="D149" t="s">
        <v>1074</v>
      </c>
      <c r="F149" t="str" cm="1">
        <f t="array" aca="1" ref="F149" ca="1">eConcatenar(A149:D149,"|")</f>
        <v>localidadmigrada148|QWW0M9VIP6XNYS|RIO SECO SEGUNDA SECCION NORTE|final</v>
      </c>
    </row>
    <row r="150" spans="1:6" x14ac:dyDescent="0.25">
      <c r="A150" t="s">
        <v>3177</v>
      </c>
      <c r="B150" t="s">
        <v>2750</v>
      </c>
      <c r="C150" t="s">
        <v>2749</v>
      </c>
      <c r="D150" t="s">
        <v>1074</v>
      </c>
      <c r="F150" t="str" cm="1">
        <f t="array" aca="1" ref="F150" ca="1">eConcatenar(A150:D150,"|")</f>
        <v>localidadmigrada149|QWW0M9Z4P6XNYS|RODRIGUEZ POLANCO|final</v>
      </c>
    </row>
    <row r="151" spans="1:6" x14ac:dyDescent="0.25">
      <c r="A151" t="s">
        <v>3178</v>
      </c>
      <c r="B151" t="s">
        <v>2748</v>
      </c>
      <c r="C151" t="s">
        <v>2747</v>
      </c>
      <c r="D151" t="s">
        <v>1074</v>
      </c>
      <c r="F151" t="str" cm="1">
        <f t="array" aca="1" ref="F151" ca="1">eConcatenar(A151:D151,"|")</f>
        <v>localidadmigrada150|QWW0MA5SP6XNYS|ROSIQUE PALAVICINI|final</v>
      </c>
    </row>
    <row r="152" spans="1:6" x14ac:dyDescent="0.25">
      <c r="A152" t="s">
        <v>3179</v>
      </c>
      <c r="B152" t="s">
        <v>2746</v>
      </c>
      <c r="C152" t="s">
        <v>2745</v>
      </c>
      <c r="D152" t="s">
        <v>1074</v>
      </c>
      <c r="F152" t="str" cm="1">
        <f t="array" aca="1" ref="F152" ca="1">eConcatenar(A152:D152,"|")</f>
        <v>localidadmigrada151|QWW0MALCP6XNYS|RUBEN JARAMILLO LAZO|final</v>
      </c>
    </row>
    <row r="153" spans="1:6" x14ac:dyDescent="0.25">
      <c r="A153" t="s">
        <v>3180</v>
      </c>
      <c r="B153" t="s">
        <v>2744</v>
      </c>
      <c r="C153" t="s">
        <v>1362</v>
      </c>
      <c r="D153" t="s">
        <v>1074</v>
      </c>
      <c r="F153" t="str" cm="1">
        <f t="array" aca="1" ref="F153" ca="1">eConcatenar(A153:D153,"|")</f>
        <v>localidadmigrada152|QWW0MAOEP6XNYS|SAN RAFAEL|final</v>
      </c>
    </row>
    <row r="154" spans="1:6" x14ac:dyDescent="0.25">
      <c r="A154" t="s">
        <v>3181</v>
      </c>
      <c r="B154" t="s">
        <v>2743</v>
      </c>
      <c r="C154" t="s">
        <v>2742</v>
      </c>
      <c r="D154" t="s">
        <v>1074</v>
      </c>
      <c r="F154" t="str" cm="1">
        <f t="array" aca="1" ref="F154" ca="1">eConcatenar(A154:D154,"|")</f>
        <v>localidadmigrada153|QWW0MAR6P6XNYS|SANTA ISIDRA|final</v>
      </c>
    </row>
    <row r="155" spans="1:6" x14ac:dyDescent="0.25">
      <c r="A155" t="s">
        <v>3182</v>
      </c>
      <c r="B155" t="s">
        <v>2741</v>
      </c>
      <c r="C155" t="s">
        <v>2740</v>
      </c>
      <c r="D155" t="s">
        <v>1074</v>
      </c>
      <c r="F155" t="str" cm="1">
        <f t="array" aca="1" ref="F155" ca="1">eConcatenar(A155:D155,"|")</f>
        <v>localidadmigrada154|QWW0MAXAP6XNYS|SANTA ROSALIA |final</v>
      </c>
    </row>
    <row r="156" spans="1:6" x14ac:dyDescent="0.25">
      <c r="A156" t="s">
        <v>3183</v>
      </c>
      <c r="B156" t="s">
        <v>2739</v>
      </c>
      <c r="C156" t="s">
        <v>2738</v>
      </c>
      <c r="D156" t="s">
        <v>1074</v>
      </c>
      <c r="F156" t="str" cm="1">
        <f t="array" aca="1" ref="F156" ca="1">eConcatenar(A156:D156,"|")</f>
        <v>localidadmigrada155|QWW0N6C4P6XNYS|SANTA ROSALIA (MIGUEL HIDALGO SEGUNDA SECCION)|final</v>
      </c>
    </row>
    <row r="157" spans="1:6" x14ac:dyDescent="0.25">
      <c r="A157" t="s">
        <v>3184</v>
      </c>
      <c r="B157" t="s">
        <v>2737</v>
      </c>
      <c r="C157" t="s">
        <v>503</v>
      </c>
      <c r="D157" t="s">
        <v>1074</v>
      </c>
      <c r="F157" t="str" cm="1">
        <f t="array" aca="1" ref="F157" ca="1">eConcatenar(A157:D157,"|")</f>
        <v>localidadmigrada156|QWW0N6FGP6XNYS|SANTANA PRIMERA SECCION A|final</v>
      </c>
    </row>
    <row r="158" spans="1:6" x14ac:dyDescent="0.25">
      <c r="A158" t="s">
        <v>3185</v>
      </c>
      <c r="B158" t="s">
        <v>2736</v>
      </c>
      <c r="C158" t="s">
        <v>2735</v>
      </c>
      <c r="D158" t="s">
        <v>1074</v>
      </c>
      <c r="F158" t="str" cm="1">
        <f t="array" aca="1" ref="F158" ca="1">eConcatenar(A158:D158,"|")</f>
        <v>localidadmigrada157|QWW0N6KGP6XNYS|SANTANA PRIMERA SECCION B |final</v>
      </c>
    </row>
    <row r="159" spans="1:6" x14ac:dyDescent="0.25">
      <c r="A159" t="s">
        <v>3186</v>
      </c>
      <c r="B159" t="s">
        <v>2734</v>
      </c>
      <c r="C159" t="s">
        <v>2733</v>
      </c>
      <c r="D159" t="s">
        <v>1074</v>
      </c>
      <c r="F159" t="str" cm="1">
        <f t="array" aca="1" ref="F159" ca="1">eConcatenar(A159:D159,"|")</f>
        <v>localidadmigrada158|QWW0N6YWP6XNYS|SANTANA SEGUNDA SECCION A |final</v>
      </c>
    </row>
    <row r="160" spans="1:6" x14ac:dyDescent="0.25">
      <c r="A160" t="s">
        <v>3187</v>
      </c>
      <c r="B160" t="s">
        <v>2732</v>
      </c>
      <c r="C160" t="s">
        <v>2731</v>
      </c>
      <c r="D160" t="s">
        <v>1074</v>
      </c>
      <c r="F160" t="str" cm="1">
        <f t="array" aca="1" ref="F160" ca="1">eConcatenar(A160:D160,"|")</f>
        <v>localidadmigrada159|QWW0N76YP6XNYS|SANTANA SEGUNDA SECCION B (LA PALMA)|final</v>
      </c>
    </row>
    <row r="161" spans="1:6" x14ac:dyDescent="0.25">
      <c r="A161" t="s">
        <v>3188</v>
      </c>
      <c r="B161" t="s">
        <v>2730</v>
      </c>
      <c r="C161" t="s">
        <v>2729</v>
      </c>
      <c r="D161" t="s">
        <v>1074</v>
      </c>
      <c r="F161" t="str" cm="1">
        <f t="array" aca="1" ref="F161" ca="1">eConcatenar(A161:D161,"|")</f>
        <v>localidadmigrada160|QWW0N7CSP6XNYS|SANTANA SEGUNDA SECCION C|final</v>
      </c>
    </row>
    <row r="162" spans="1:6" x14ac:dyDescent="0.25">
      <c r="A162" t="s">
        <v>3189</v>
      </c>
      <c r="B162" t="s">
        <v>2728</v>
      </c>
      <c r="C162" t="s">
        <v>2727</v>
      </c>
      <c r="D162" t="s">
        <v>1074</v>
      </c>
      <c r="F162" t="str" cm="1">
        <f t="array" aca="1" ref="F162" ca="1">eConcatenar(A162:D162,"|")</f>
        <v>localidadmigrada161|QWW0N83QP6XNYS|SANTANA TERCERA SECCION A|final</v>
      </c>
    </row>
    <row r="163" spans="1:6" x14ac:dyDescent="0.25">
      <c r="A163" t="s">
        <v>3190</v>
      </c>
      <c r="B163" t="s">
        <v>2726</v>
      </c>
      <c r="C163" t="s">
        <v>2725</v>
      </c>
      <c r="D163" t="s">
        <v>1074</v>
      </c>
      <c r="F163" t="str" cm="1">
        <f t="array" aca="1" ref="F163" ca="1">eConcatenar(A163:D163,"|")</f>
        <v>localidadmigrada162|QWW0N8IGP6XNYS|SANTANA TERCERA SECCION B|final</v>
      </c>
    </row>
    <row r="164" spans="1:6" x14ac:dyDescent="0.25">
      <c r="A164" t="s">
        <v>3191</v>
      </c>
      <c r="B164" t="s">
        <v>2724</v>
      </c>
      <c r="C164" t="s">
        <v>2723</v>
      </c>
      <c r="D164" t="s">
        <v>1074</v>
      </c>
      <c r="F164" t="str" cm="1">
        <f t="array" aca="1" ref="F164" ca="1">eConcatenar(A164:D164,"|")</f>
        <v>localidadmigrada163|QWW0N8MMP6XNYS|SANTANA CUARTA SECCION|final</v>
      </c>
    </row>
    <row r="165" spans="1:6" x14ac:dyDescent="0.25">
      <c r="A165" t="s">
        <v>3192</v>
      </c>
      <c r="B165" t="s">
        <v>2722</v>
      </c>
      <c r="C165" t="s">
        <v>2721</v>
      </c>
      <c r="D165" t="s">
        <v>1074</v>
      </c>
      <c r="F165" t="str" cm="1">
        <f t="array" aca="1" ref="F165" ca="1">eConcatenar(A165:D165,"|")</f>
        <v>localidadmigrada164|QWW0N9B2P6XNYS|SANTA QUINTA SECCION (EL ESPINO)|final</v>
      </c>
    </row>
    <row r="166" spans="1:6" x14ac:dyDescent="0.25">
      <c r="A166" t="s">
        <v>3193</v>
      </c>
      <c r="B166" t="s">
        <v>2720</v>
      </c>
      <c r="C166" t="s">
        <v>2719</v>
      </c>
      <c r="D166" t="s">
        <v>1074</v>
      </c>
      <c r="F166" t="str" cm="1">
        <f t="array" aca="1" ref="F166" ca="1">eConcatenar(A166:D166,"|")</f>
        <v>localidadmigrada165|QWW0N9H6P6XNYS|SANTUARIO PRIMERA SECION |final</v>
      </c>
    </row>
    <row r="167" spans="1:6" x14ac:dyDescent="0.25">
      <c r="A167" t="s">
        <v>3194</v>
      </c>
      <c r="B167" t="s">
        <v>2718</v>
      </c>
      <c r="C167" t="s">
        <v>2717</v>
      </c>
      <c r="D167" t="s">
        <v>1074</v>
      </c>
      <c r="F167" t="str" cm="1">
        <f t="array" aca="1" ref="F167" ca="1">eConcatenar(A167:D167,"|")</f>
        <v>localidadmigrada166|QWW0N9LWP6XNYS|SANTUARIO SEGUNDA SECCION |final</v>
      </c>
    </row>
    <row r="168" spans="1:6" x14ac:dyDescent="0.25">
      <c r="A168" t="s">
        <v>3195</v>
      </c>
      <c r="B168" t="s">
        <v>2716</v>
      </c>
      <c r="C168" t="s">
        <v>2715</v>
      </c>
      <c r="D168" t="s">
        <v>1074</v>
      </c>
      <c r="F168" t="str" cm="1">
        <f t="array" aca="1" ref="F168" ca="1">eConcatenar(A168:D168,"|")</f>
        <v>localidadmigrada167|QWW0NA70P6XNYS|SANTUARIO TERCERA SECCION (PIEDRAS NEGRAS)|final</v>
      </c>
    </row>
    <row r="169" spans="1:6" x14ac:dyDescent="0.25">
      <c r="A169" t="s">
        <v>3196</v>
      </c>
      <c r="B169" t="s">
        <v>2714</v>
      </c>
      <c r="C169" t="s">
        <v>2713</v>
      </c>
      <c r="D169" t="s">
        <v>1074</v>
      </c>
      <c r="F169" t="str" cm="1">
        <f t="array" aca="1" ref="F169" ca="1">eConcatenar(A169:D169,"|")</f>
        <v>localidadmigrada168|QWW0NACKP6XNYS|SANTUARIO CUARTA SECCION|final</v>
      </c>
    </row>
    <row r="170" spans="1:6" x14ac:dyDescent="0.25">
      <c r="A170" t="s">
        <v>3197</v>
      </c>
      <c r="B170" t="s">
        <v>2712</v>
      </c>
      <c r="C170" t="s">
        <v>2711</v>
      </c>
      <c r="D170" t="s">
        <v>1074</v>
      </c>
      <c r="F170" t="str" cm="1">
        <f t="array" aca="1" ref="F170" ca="1">eConcatenar(A170:D170,"|")</f>
        <v>localidadmigrada169|QWW0NHYQP6XNYS|SANTUARIO CUARTA SECCION |final</v>
      </c>
    </row>
    <row r="171" spans="1:6" x14ac:dyDescent="0.25">
      <c r="A171" t="s">
        <v>3198</v>
      </c>
      <c r="B171" t="s">
        <v>2710</v>
      </c>
      <c r="C171" t="s">
        <v>2709</v>
      </c>
      <c r="D171" t="s">
        <v>1074</v>
      </c>
      <c r="F171" t="str" cm="1">
        <f t="array" aca="1" ref="F171" ca="1">eConcatenar(A171:D171,"|")</f>
        <v>localidadmigrada170|QWW0NI40P6XNYS|SANTUARIO QUINTA SECCION BUENA VISTA|final</v>
      </c>
    </row>
    <row r="172" spans="1:6" x14ac:dyDescent="0.25">
      <c r="A172" t="s">
        <v>3199</v>
      </c>
      <c r="B172" t="s">
        <v>2708</v>
      </c>
      <c r="C172" t="s">
        <v>2707</v>
      </c>
      <c r="D172" t="s">
        <v>1074</v>
      </c>
      <c r="F172" t="str" cm="1">
        <f t="array" aca="1" ref="F172" ca="1">eConcatenar(A172:D172,"|")</f>
        <v>localidadmigrada171|QWW0NILIP6XNYS|SECCION DE 10 DE AZUCAREROS|final</v>
      </c>
    </row>
    <row r="173" spans="1:6" x14ac:dyDescent="0.25">
      <c r="A173" t="s">
        <v>3200</v>
      </c>
      <c r="B173" t="s">
        <v>2706</v>
      </c>
      <c r="C173" t="s">
        <v>2705</v>
      </c>
      <c r="D173" t="s">
        <v>1074</v>
      </c>
      <c r="F173" t="str" cm="1">
        <f t="array" aca="1" ref="F173" ca="1">eConcatenar(A173:D173,"|")</f>
        <v>localidadmigrada172|QWW0NIOKP6XNYS|SINALOA PRIMERA SECCION |final</v>
      </c>
    </row>
    <row r="174" spans="1:6" x14ac:dyDescent="0.25">
      <c r="A174" t="s">
        <v>3201</v>
      </c>
      <c r="B174" t="s">
        <v>2704</v>
      </c>
      <c r="C174" t="s">
        <v>2703</v>
      </c>
      <c r="D174" t="s">
        <v>1074</v>
      </c>
      <c r="F174" t="str" cm="1">
        <f t="array" aca="1" ref="F174" ca="1">eConcatenar(A174:D174,"|")</f>
        <v>localidadmigrada173|QWW0NIWCP6XNYS|SINALOA SEGUNDA SECCION (ARJONA)|final</v>
      </c>
    </row>
    <row r="175" spans="1:6" x14ac:dyDescent="0.25">
      <c r="A175" t="s">
        <v>3202</v>
      </c>
      <c r="B175" t="s">
        <v>2702</v>
      </c>
      <c r="C175" t="s">
        <v>2701</v>
      </c>
      <c r="D175" t="s">
        <v>1074</v>
      </c>
      <c r="F175" t="str" cm="1">
        <f t="array" aca="1" ref="F175" ca="1">eConcatenar(A175:D175,"|")</f>
        <v>localidadmigrada174|QWW0NJBMP6XNYS|SINALOA TERCERA SECCION |final</v>
      </c>
    </row>
    <row r="176" spans="1:6" x14ac:dyDescent="0.25">
      <c r="A176" t="s">
        <v>3203</v>
      </c>
      <c r="B176" t="s">
        <v>2700</v>
      </c>
      <c r="C176" t="s">
        <v>2699</v>
      </c>
      <c r="D176" t="s">
        <v>1074</v>
      </c>
      <c r="F176" t="str" cm="1">
        <f t="array" aca="1" ref="F176" ca="1">eConcatenar(A176:D176,"|")</f>
        <v>localidadmigrada175|QWW0NJEEP6XNYS|TIO MONCHO|final</v>
      </c>
    </row>
    <row r="177" spans="1:6" x14ac:dyDescent="0.25">
      <c r="A177" t="s">
        <v>3204</v>
      </c>
      <c r="B177" t="s">
        <v>2698</v>
      </c>
      <c r="C177" t="s">
        <v>2132</v>
      </c>
      <c r="D177" t="s">
        <v>1074</v>
      </c>
      <c r="F177" t="str" cm="1">
        <f t="array" aca="1" ref="F177" ca="1">eConcatenar(A177:D177,"|")</f>
        <v>localidadmigrada176|QWW0NJI0P6XNYS|ZAPOTAL PRIMERA SECCION |final</v>
      </c>
    </row>
    <row r="178" spans="1:6" x14ac:dyDescent="0.25">
      <c r="A178" t="s">
        <v>3205</v>
      </c>
      <c r="B178" t="s">
        <v>2697</v>
      </c>
      <c r="C178" t="s">
        <v>2130</v>
      </c>
      <c r="D178" t="s">
        <v>1074</v>
      </c>
      <c r="F178" t="str" cm="1">
        <f t="array" aca="1" ref="F178" ca="1">eConcatenar(A178:D178,"|")</f>
        <v>localidadmigrada177|QWW0NJL2P6XNYS|ZAPOTAL SEGUNDA SECCION |final</v>
      </c>
    </row>
    <row r="179" spans="1:6" x14ac:dyDescent="0.25">
      <c r="A179" t="s">
        <v>3206</v>
      </c>
      <c r="B179" t="s">
        <v>2696</v>
      </c>
      <c r="C179" t="s">
        <v>2128</v>
      </c>
      <c r="D179" t="s">
        <v>1074</v>
      </c>
      <c r="F179" t="str" cm="1">
        <f t="array" aca="1" ref="F179" ca="1">eConcatenar(A179:D179,"|")</f>
        <v>localidadmigrada178|QWW0NK52P6XNYS|ZAPOTAL TERCERA SECCION |final</v>
      </c>
    </row>
    <row r="180" spans="1:6" x14ac:dyDescent="0.25">
      <c r="A180" t="s">
        <v>3207</v>
      </c>
      <c r="B180" t="s">
        <v>2695</v>
      </c>
      <c r="C180" t="s">
        <v>529</v>
      </c>
      <c r="D180" t="s">
        <v>1074</v>
      </c>
      <c r="F180" t="str" cm="1">
        <f t="array" aca="1" ref="F180" ca="1">eConcatenar(A180:D180,"|")</f>
        <v>localidadmigrada179|QWW0NK7UP6XNYS|7 DE OCTUBRE|final</v>
      </c>
    </row>
    <row r="181" spans="1:6" x14ac:dyDescent="0.25">
      <c r="A181" t="s">
        <v>3208</v>
      </c>
      <c r="B181" t="s">
        <v>2694</v>
      </c>
      <c r="C181" t="s">
        <v>177</v>
      </c>
      <c r="D181" t="s">
        <v>1074</v>
      </c>
      <c r="F181" t="str" cm="1">
        <f t="array" aca="1" ref="F181" ca="1">eConcatenar(A181:D181,"|")</f>
        <v>localidadmigrada180|QWW0NKA2P6XNYS|ALAMEDA|final</v>
      </c>
    </row>
    <row r="182" spans="1:6" x14ac:dyDescent="0.25">
      <c r="A182" t="s">
        <v>3209</v>
      </c>
      <c r="B182" t="s">
        <v>2693</v>
      </c>
      <c r="C182" t="s">
        <v>147</v>
      </c>
      <c r="D182" t="s">
        <v>1074</v>
      </c>
      <c r="F182" t="str" cm="1">
        <f t="array" aca="1" ref="F182" ca="1">eConcatenar(A182:D182,"|")</f>
        <v>localidadmigrada181|QWW0NKESP6XNYS|AMPLIACION CAÑALES SEGUNDA ETAPA|final</v>
      </c>
    </row>
    <row r="183" spans="1:6" x14ac:dyDescent="0.25">
      <c r="A183" t="s">
        <v>3210</v>
      </c>
      <c r="B183" t="s">
        <v>2692</v>
      </c>
      <c r="C183" t="s">
        <v>2691</v>
      </c>
      <c r="D183" t="s">
        <v>1074</v>
      </c>
      <c r="F183" t="str" cm="1">
        <f t="array" aca="1" ref="F183" ca="1">eConcatenar(A183:D183,"|")</f>
        <v>localidadmigrada182|QWW0NKVGP6XNYS|AMPLIACION CAÑALES TERCERA ETAPA NORTE|final</v>
      </c>
    </row>
    <row r="184" spans="1:6" x14ac:dyDescent="0.25">
      <c r="A184" t="s">
        <v>3211</v>
      </c>
      <c r="B184" t="s">
        <v>2690</v>
      </c>
      <c r="C184" t="s">
        <v>2689</v>
      </c>
      <c r="D184" t="s">
        <v>1074</v>
      </c>
      <c r="F184" t="str" cm="1">
        <f t="array" aca="1" ref="F184" ca="1">eConcatenar(A184:D184,"|")</f>
        <v>localidadmigrada183|QWW0NL1AP6XNYS|AMPLIACION CAÑALES TERCERA ETAPA SUR |final</v>
      </c>
    </row>
    <row r="185" spans="1:6" x14ac:dyDescent="0.25">
      <c r="A185" t="s">
        <v>3212</v>
      </c>
      <c r="B185" t="s">
        <v>2688</v>
      </c>
      <c r="C185" t="s">
        <v>2687</v>
      </c>
      <c r="D185" t="s">
        <v>1074</v>
      </c>
      <c r="F185" t="str" cm="1">
        <f t="array" aca="1" ref="F185" ca="1">eConcatenar(A185:D185,"|")</f>
        <v>localidadmigrada184|QWW0NMRSP6XNYS|MPLIACION CAÑALES TERCERA ETAPA SUR|final</v>
      </c>
    </row>
    <row r="186" spans="1:6" x14ac:dyDescent="0.25">
      <c r="A186" t="s">
        <v>3213</v>
      </c>
      <c r="B186" t="s">
        <v>2686</v>
      </c>
      <c r="C186" t="s">
        <v>483</v>
      </c>
      <c r="D186" t="s">
        <v>1074</v>
      </c>
      <c r="F186" t="str" cm="1">
        <f t="array" aca="1" ref="F186" ca="1">eConcatenar(A186:D186,"|")</f>
        <v>localidadmigrada185|QWW0NNAOP6XNYS|CALZADA|final</v>
      </c>
    </row>
    <row r="187" spans="1:6" x14ac:dyDescent="0.25">
      <c r="A187" t="s">
        <v>3214</v>
      </c>
      <c r="B187" t="s">
        <v>2685</v>
      </c>
      <c r="C187" t="s">
        <v>192</v>
      </c>
      <c r="D187" t="s">
        <v>1074</v>
      </c>
      <c r="F187" t="str" cm="1">
        <f t="array" aca="1" ref="F187" ca="1">eConcatenar(A187:D187,"|")</f>
        <v>localidadmigrada186|QWW0NNDQP6XNYS|CAMPAMENTO SARH|final</v>
      </c>
    </row>
    <row r="188" spans="1:6" x14ac:dyDescent="0.25">
      <c r="A188" t="s">
        <v>3215</v>
      </c>
      <c r="B188" t="s">
        <v>2684</v>
      </c>
      <c r="C188" t="s">
        <v>2683</v>
      </c>
      <c r="D188" t="s">
        <v>1074</v>
      </c>
      <c r="F188" t="str" cm="1">
        <f t="array" aca="1" ref="F188" ca="1">eConcatenar(A188:D188,"|")</f>
        <v>localidadmigrada187|QWW0NNJ0P6XNYS|CARDENAS CENTRO|final</v>
      </c>
    </row>
    <row r="189" spans="1:6" x14ac:dyDescent="0.25">
      <c r="A189" t="s">
        <v>3216</v>
      </c>
      <c r="B189" t="s">
        <v>2682</v>
      </c>
      <c r="C189" t="s">
        <v>583</v>
      </c>
      <c r="D189" t="s">
        <v>1074</v>
      </c>
      <c r="F189" t="str" cm="1">
        <f t="array" aca="1" ref="F189" ca="1">eConcatenar(A189:D189,"|")</f>
        <v>localidadmigrada188|QWW0NNMMP6XNYS|CARLOS PELLICER CAMARA|final</v>
      </c>
    </row>
    <row r="190" spans="1:6" x14ac:dyDescent="0.25">
      <c r="A190" t="s">
        <v>3217</v>
      </c>
      <c r="B190" t="s">
        <v>2681</v>
      </c>
      <c r="C190" t="s">
        <v>212</v>
      </c>
      <c r="D190" t="s">
        <v>1074</v>
      </c>
      <c r="F190" t="str" cm="1">
        <f t="array" aca="1" ref="F190" ca="1">eConcatenar(A190:D190,"|")</f>
        <v>localidadmigrada189|QWW0NO30P6XNYS|INFONAVIT DEPORTIVA|final</v>
      </c>
    </row>
    <row r="191" spans="1:6" x14ac:dyDescent="0.25">
      <c r="A191" t="s">
        <v>3218</v>
      </c>
      <c r="B191" t="s">
        <v>2680</v>
      </c>
      <c r="C191" t="s">
        <v>2679</v>
      </c>
      <c r="D191" t="s">
        <v>1074</v>
      </c>
      <c r="F191" t="str" cm="1">
        <f t="array" aca="1" ref="F191" ca="1">eConcatenar(A191:D191,"|")</f>
        <v>localidadmigrada190|QWW0NO76P6XNYS|EL EMBUDO FOVISSSTE|final</v>
      </c>
    </row>
    <row r="192" spans="1:6" x14ac:dyDescent="0.25">
      <c r="A192" t="s">
        <v>3219</v>
      </c>
      <c r="B192" t="s">
        <v>2678</v>
      </c>
      <c r="C192" t="s">
        <v>359</v>
      </c>
      <c r="D192" t="s">
        <v>1074</v>
      </c>
      <c r="F192" t="str" cm="1">
        <f t="array" aca="1" ref="F192" ca="1">eConcatenar(A192:D192,"|")</f>
        <v>localidadmigrada191|QWW0NOBCP6XNYS|EL GRINGO|final</v>
      </c>
    </row>
    <row r="193" spans="1:6" x14ac:dyDescent="0.25">
      <c r="A193" t="s">
        <v>3220</v>
      </c>
      <c r="B193" t="s">
        <v>2677</v>
      </c>
      <c r="C193" t="s">
        <v>31</v>
      </c>
      <c r="D193" t="s">
        <v>1074</v>
      </c>
      <c r="F193" t="str" cm="1">
        <f t="array" aca="1" ref="F193" ca="1">eConcatenar(A193:D193,"|")</f>
        <v>localidadmigrada192|QWW0NOPSP6XNYS|EL PALMAR|final</v>
      </c>
    </row>
    <row r="194" spans="1:6" x14ac:dyDescent="0.25">
      <c r="A194" t="s">
        <v>3221</v>
      </c>
      <c r="B194" t="s">
        <v>2676</v>
      </c>
      <c r="C194" t="s">
        <v>34</v>
      </c>
      <c r="D194" t="s">
        <v>1074</v>
      </c>
      <c r="F194" t="str" cm="1">
        <f t="array" aca="1" ref="F194" ca="1">eConcatenar(A194:D194,"|")</f>
        <v>localidadmigrada193|QWW0NOSKP6XNYS|EL TOLOQUE|final</v>
      </c>
    </row>
    <row r="195" spans="1:6" x14ac:dyDescent="0.25">
      <c r="A195" t="s">
        <v>3222</v>
      </c>
      <c r="B195" t="s">
        <v>2675</v>
      </c>
      <c r="C195" t="s">
        <v>462</v>
      </c>
      <c r="D195" t="s">
        <v>1074</v>
      </c>
      <c r="F195" t="str" cm="1">
        <f t="array" aca="1" ref="F195" ca="1">eConcatenar(A195:D195,"|")</f>
        <v>localidadmigrada194|QWW0NOVCP6XNYS|EMILIANO ZAPATA|final</v>
      </c>
    </row>
    <row r="196" spans="1:6" x14ac:dyDescent="0.25">
      <c r="A196" t="s">
        <v>3223</v>
      </c>
      <c r="B196" t="s">
        <v>2674</v>
      </c>
      <c r="C196" t="s">
        <v>2673</v>
      </c>
      <c r="D196" t="s">
        <v>1074</v>
      </c>
      <c r="F196" t="str" cm="1">
        <f t="array" aca="1" ref="F196" ca="1">eConcatenar(A196:D196,"|")</f>
        <v>localidadmigrada195|QWW0NOYOP6XNYS|EMPLEADOS DE CONFIANZA |final</v>
      </c>
    </row>
    <row r="197" spans="1:6" x14ac:dyDescent="0.25">
      <c r="A197" t="s">
        <v>3224</v>
      </c>
      <c r="B197" t="s">
        <v>2672</v>
      </c>
      <c r="C197" t="s">
        <v>2671</v>
      </c>
      <c r="D197" t="s">
        <v>1074</v>
      </c>
      <c r="F197" t="str" cm="1">
        <f t="array" aca="1" ref="F197" ca="1">eConcatenar(A197:D197,"|")</f>
        <v>localidadmigrada196|QWW0NP2KP6XNYS|EMPLEADOS DEL CSAT|final</v>
      </c>
    </row>
    <row r="198" spans="1:6" x14ac:dyDescent="0.25">
      <c r="A198" t="s">
        <v>3225</v>
      </c>
      <c r="B198" t="s">
        <v>2670</v>
      </c>
      <c r="C198" t="s">
        <v>20</v>
      </c>
      <c r="D198" t="s">
        <v>1074</v>
      </c>
      <c r="F198" t="str" cm="1">
        <f t="array" aca="1" ref="F198" ca="1">eConcatenar(A198:D198,"|")</f>
        <v>localidadmigrada197|QWW0NP5MP6XNYS|FOVISSSTE|final</v>
      </c>
    </row>
    <row r="199" spans="1:6" x14ac:dyDescent="0.25">
      <c r="A199" t="s">
        <v>3226</v>
      </c>
      <c r="B199" t="s">
        <v>2669</v>
      </c>
      <c r="C199" t="s">
        <v>2668</v>
      </c>
      <c r="D199" t="s">
        <v>1074</v>
      </c>
      <c r="F199" t="str" cm="1">
        <f t="array" aca="1" ref="F199" ca="1">eConcatenar(A199:D199,"|")</f>
        <v>localidadmigrada198|QWW0NPKMP6XNYS|FRACCIONAMIENTO CAÑALES DOS|final</v>
      </c>
    </row>
    <row r="200" spans="1:6" x14ac:dyDescent="0.25">
      <c r="A200" t="s">
        <v>3227</v>
      </c>
      <c r="B200" t="s">
        <v>2667</v>
      </c>
      <c r="C200" t="s">
        <v>595</v>
      </c>
      <c r="D200" t="s">
        <v>1074</v>
      </c>
      <c r="F200" t="str" cm="1">
        <f t="array" aca="1" ref="F200" ca="1">eConcatenar(A200:D200,"|")</f>
        <v>localidadmigrada199|QWW0NPNOP6XNYS|FRACCIONAMIENTO EL ENCANTO|final</v>
      </c>
    </row>
    <row r="201" spans="1:6" x14ac:dyDescent="0.25">
      <c r="A201" t="s">
        <v>3228</v>
      </c>
      <c r="B201" t="s">
        <v>2666</v>
      </c>
      <c r="C201" t="s">
        <v>2665</v>
      </c>
      <c r="D201" t="s">
        <v>1074</v>
      </c>
      <c r="F201" t="str" cm="1">
        <f t="array" aca="1" ref="F201" ca="1">eConcatenar(A201:D201,"|")</f>
        <v>localidadmigrada200|QWW0NPRKP6XNYS|FRACCIONAMIENTO LOS CAÑALES|final</v>
      </c>
    </row>
    <row r="202" spans="1:6" x14ac:dyDescent="0.25">
      <c r="A202" t="s">
        <v>3229</v>
      </c>
      <c r="B202" t="s">
        <v>2664</v>
      </c>
      <c r="C202" t="s">
        <v>2663</v>
      </c>
      <c r="D202" t="s">
        <v>1074</v>
      </c>
      <c r="F202" t="str" cm="1">
        <f t="array" aca="1" ref="F202" ca="1">eConcatenar(A202:D202,"|")</f>
        <v>localidadmigrada201|QWW0NPW0P6XNYS|FRACCIONAMIENTO LOS REYES LOMAS ALTA|final</v>
      </c>
    </row>
    <row r="203" spans="1:6" x14ac:dyDescent="0.25">
      <c r="A203" t="s">
        <v>3230</v>
      </c>
      <c r="B203" t="s">
        <v>2662</v>
      </c>
      <c r="C203" t="s">
        <v>2661</v>
      </c>
      <c r="D203" t="s">
        <v>1074</v>
      </c>
      <c r="F203" t="str" cm="1">
        <f t="array" aca="1" ref="F203" ca="1">eConcatenar(A203:D203,"|")</f>
        <v>localidadmigrada202|QWW0NQBAP6XNYS|FRACCIONAMIENTO PRADOS DE CARDENAS |final</v>
      </c>
    </row>
    <row r="204" spans="1:6" x14ac:dyDescent="0.25">
      <c r="A204" t="s">
        <v>3231</v>
      </c>
      <c r="B204" t="s">
        <v>2660</v>
      </c>
      <c r="C204" t="s">
        <v>2659</v>
      </c>
      <c r="D204" t="s">
        <v>1074</v>
      </c>
      <c r="F204" t="str" cm="1">
        <f t="array" aca="1" ref="F204" ca="1">eConcatenar(A204:D204,"|")</f>
        <v>localidadmigrada203|QWW0NQFGP6XNYS|FRACCIONAMIENTO PUERTO RICO|final</v>
      </c>
    </row>
    <row r="205" spans="1:6" x14ac:dyDescent="0.25">
      <c r="A205" t="s">
        <v>3232</v>
      </c>
      <c r="B205" t="s">
        <v>2658</v>
      </c>
      <c r="C205" t="s">
        <v>2657</v>
      </c>
      <c r="D205" t="s">
        <v>1074</v>
      </c>
      <c r="F205" t="str" cm="1">
        <f t="array" aca="1" ref="F205" ca="1">eConcatenar(A205:D205,"|")</f>
        <v>localidadmigrada204|QWW0NQKQP6XNYS|FRACCIONAMIENTO SAN PEDRO DE LOS CEDROS |final</v>
      </c>
    </row>
    <row r="206" spans="1:6" x14ac:dyDescent="0.25">
      <c r="A206" t="s">
        <v>3233</v>
      </c>
      <c r="B206" t="s">
        <v>2656</v>
      </c>
      <c r="C206" t="s">
        <v>2655</v>
      </c>
      <c r="D206" t="s">
        <v>1074</v>
      </c>
      <c r="F206" t="str" cm="1">
        <f t="array" aca="1" ref="F206" ca="1">eConcatenar(A206:D206,"|")</f>
        <v>localidadmigrada205|QWW0NR1EP6XNYS|FRACCIONAMIENTO VILLA ESMERALDA |final</v>
      </c>
    </row>
    <row r="207" spans="1:6" x14ac:dyDescent="0.25">
      <c r="A207" t="s">
        <v>3234</v>
      </c>
      <c r="B207" t="s">
        <v>2654</v>
      </c>
      <c r="C207" t="s">
        <v>2653</v>
      </c>
      <c r="D207" t="s">
        <v>1074</v>
      </c>
      <c r="F207" t="str" cm="1">
        <f t="array" aca="1" ref="F207" ca="1">eConcatenar(A207:D207,"|")</f>
        <v>localidadmigrada206|QWW0NRYQP6XNYS|GENERAL VICENTE GUERRERO|final</v>
      </c>
    </row>
    <row r="208" spans="1:6" x14ac:dyDescent="0.25">
      <c r="A208" t="s">
        <v>3235</v>
      </c>
      <c r="B208" t="s">
        <v>2652</v>
      </c>
      <c r="C208" t="s">
        <v>2651</v>
      </c>
      <c r="D208" t="s">
        <v>1074</v>
      </c>
      <c r="F208" t="str" cm="1">
        <f t="array" aca="1" ref="F208" ca="1">eConcatenar(A208:D208,"|")</f>
        <v>localidadmigrada207|QWW0NS0YP6XNYS|GUADALUPANA|final</v>
      </c>
    </row>
    <row r="209" spans="1:6" x14ac:dyDescent="0.25">
      <c r="A209" t="s">
        <v>3236</v>
      </c>
      <c r="B209" t="s">
        <v>2650</v>
      </c>
      <c r="C209" t="s">
        <v>2649</v>
      </c>
      <c r="D209" t="s">
        <v>1074</v>
      </c>
      <c r="F209" t="str" cm="1">
        <f t="array" aca="1" ref="F209" ca="1">eConcatenar(A209:D209,"|")</f>
        <v>localidadmigrada208|QWW0NS4KP6XNYS|HIDALGO SEGUNDA SECCION |final</v>
      </c>
    </row>
    <row r="210" spans="1:6" x14ac:dyDescent="0.25">
      <c r="A210" t="s">
        <v>3237</v>
      </c>
      <c r="B210" t="s">
        <v>2648</v>
      </c>
      <c r="C210" t="s">
        <v>53</v>
      </c>
      <c r="D210" t="s">
        <v>1074</v>
      </c>
      <c r="F210" t="str" cm="1">
        <f t="array" aca="1" ref="F210" ca="1">eConcatenar(A210:D210,"|")</f>
        <v>localidadmigrada209|QWW0NS8GP6XNYS|INFONAVIT LOMA BONITA|final</v>
      </c>
    </row>
    <row r="211" spans="1:6" x14ac:dyDescent="0.25">
      <c r="A211" t="s">
        <v>3238</v>
      </c>
      <c r="B211" t="s">
        <v>2647</v>
      </c>
      <c r="C211" t="s">
        <v>2646</v>
      </c>
      <c r="D211" t="s">
        <v>1074</v>
      </c>
      <c r="F211" t="str" cm="1">
        <f t="array" aca="1" ref="F211" ca="1">eConcatenar(A211:D211,"|")</f>
        <v>localidadmigrada210|QWW0NSMMP6XNYS|INGENIO BENITO JUAREZ|final</v>
      </c>
    </row>
    <row r="212" spans="1:6" x14ac:dyDescent="0.25">
      <c r="A212" t="s">
        <v>3239</v>
      </c>
      <c r="B212" t="s">
        <v>2645</v>
      </c>
      <c r="C212" t="s">
        <v>2644</v>
      </c>
      <c r="D212" t="s">
        <v>1074</v>
      </c>
      <c r="F212" t="str" cm="1">
        <f t="array" aca="1" ref="F212" ca="1">eConcatenar(A212:D212,"|")</f>
        <v>localidadmigrada211|QWW0NSQ8P6XNYS|INGENIO SANTA ROSALIA|final</v>
      </c>
    </row>
    <row r="213" spans="1:6" x14ac:dyDescent="0.25">
      <c r="A213" t="s">
        <v>3240</v>
      </c>
      <c r="B213" t="s">
        <v>2643</v>
      </c>
      <c r="C213" t="s">
        <v>72</v>
      </c>
      <c r="D213" t="s">
        <v>1074</v>
      </c>
      <c r="F213" t="str" cm="1">
        <f t="array" aca="1" ref="F213" ca="1">eConcatenar(A213:D213,"|")</f>
        <v>localidadmigrada212|QWW0NSV8P6XNYS|JACINTO LOPEZ|final</v>
      </c>
    </row>
    <row r="214" spans="1:6" x14ac:dyDescent="0.25">
      <c r="A214" t="s">
        <v>3241</v>
      </c>
      <c r="B214" t="s">
        <v>2642</v>
      </c>
      <c r="C214" t="s">
        <v>630</v>
      </c>
      <c r="D214" t="s">
        <v>1074</v>
      </c>
      <c r="F214" t="str" cm="1">
        <f t="array" aca="1" ref="F214" ca="1">eConcatenar(A214:D214,"|")</f>
        <v>localidadmigrada213|QWW0NSYUP6XNYS|JARDINES DE TABASCO|final</v>
      </c>
    </row>
    <row r="215" spans="1:6" x14ac:dyDescent="0.25">
      <c r="A215" t="s">
        <v>3242</v>
      </c>
      <c r="B215" t="s">
        <v>2641</v>
      </c>
      <c r="C215" t="s">
        <v>281</v>
      </c>
      <c r="D215" t="s">
        <v>1074</v>
      </c>
      <c r="F215" t="str" cm="1">
        <f t="array" aca="1" ref="F215" ca="1">eConcatenar(A215:D215,"|")</f>
        <v>localidadmigrada214|QWW0NTCGP6XNYS|LA CEIBA|final</v>
      </c>
    </row>
    <row r="216" spans="1:6" x14ac:dyDescent="0.25">
      <c r="A216" t="s">
        <v>3243</v>
      </c>
      <c r="B216" t="s">
        <v>2640</v>
      </c>
      <c r="C216" t="s">
        <v>2639</v>
      </c>
      <c r="D216" t="s">
        <v>1074</v>
      </c>
      <c r="F216" t="str" cm="1">
        <f t="array" aca="1" ref="F216" ca="1">eConcatenar(A216:D216,"|")</f>
        <v>localidadmigrada215|QWW0NTEEP6XNYS|LA ORZA|final</v>
      </c>
    </row>
    <row r="217" spans="1:6" x14ac:dyDescent="0.25">
      <c r="A217" t="s">
        <v>3244</v>
      </c>
      <c r="B217" t="s">
        <v>2638</v>
      </c>
      <c r="C217" t="s">
        <v>2637</v>
      </c>
      <c r="D217" t="s">
        <v>1074</v>
      </c>
      <c r="F217" t="str" cm="1">
        <f t="array" aca="1" ref="F217" ca="1">eConcatenar(A217:D217,"|")</f>
        <v>localidadmigrada216|QWW0NTGCP6XNYS|LA UNION|final</v>
      </c>
    </row>
    <row r="218" spans="1:6" x14ac:dyDescent="0.25">
      <c r="A218" t="s">
        <v>3245</v>
      </c>
      <c r="B218" t="s">
        <v>2636</v>
      </c>
      <c r="C218" t="s">
        <v>2635</v>
      </c>
      <c r="D218" t="s">
        <v>1074</v>
      </c>
      <c r="F218" t="str" cm="1">
        <f t="array" aca="1" ref="F218" ca="1">eConcatenar(A218:D218,"|")</f>
        <v>localidadmigrada217|QWW0NTJOP6XNYS|LICENCIADO ADOLFO LOPEZ MATEO|final</v>
      </c>
    </row>
    <row r="219" spans="1:6" x14ac:dyDescent="0.25">
      <c r="A219" t="s">
        <v>3246</v>
      </c>
      <c r="B219" t="s">
        <v>2634</v>
      </c>
      <c r="C219" t="s">
        <v>2633</v>
      </c>
      <c r="D219" t="s">
        <v>1074</v>
      </c>
      <c r="F219" t="str" cm="1">
        <f t="array" aca="1" ref="F219" ca="1">eConcatenar(A219:D219,"|")</f>
        <v>localidadmigrada218|QWW0NTNUP6XNYS|LOMA BONITA|final</v>
      </c>
    </row>
    <row r="220" spans="1:6" x14ac:dyDescent="0.25">
      <c r="A220" t="s">
        <v>3247</v>
      </c>
      <c r="B220" t="s">
        <v>2632</v>
      </c>
      <c r="C220" t="s">
        <v>158</v>
      </c>
      <c r="D220" t="s">
        <v>1074</v>
      </c>
      <c r="F220" t="str" cm="1">
        <f t="array" aca="1" ref="F220" ca="1">eConcatenar(A220:D220,"|")</f>
        <v>localidadmigrada219|QWW0NTQWP6XNYS|NUEVO PROGRESO|final</v>
      </c>
    </row>
    <row r="221" spans="1:6" x14ac:dyDescent="0.25">
      <c r="A221" t="s">
        <v>3248</v>
      </c>
      <c r="B221" t="s">
        <v>2631</v>
      </c>
      <c r="C221" t="s">
        <v>102</v>
      </c>
      <c r="D221" t="s">
        <v>1074</v>
      </c>
      <c r="F221" t="str" cm="1">
        <f t="array" aca="1" ref="F221" ca="1">eConcatenar(A221:D221,"|")</f>
        <v>localidadmigrada220|QWW0NU4IP6XNYS|OBRERA|final</v>
      </c>
    </row>
    <row r="222" spans="1:6" x14ac:dyDescent="0.25">
      <c r="A222" t="s">
        <v>3249</v>
      </c>
      <c r="B222" t="s">
        <v>2630</v>
      </c>
      <c r="C222" t="s">
        <v>2629</v>
      </c>
      <c r="D222" t="s">
        <v>1074</v>
      </c>
      <c r="F222" t="str" cm="1">
        <f t="array" aca="1" ref="F222" ca="1">eConcatenar(A222:D222,"|")</f>
        <v>localidadmigrada221|QWW0NU7UP6XNYS|PASO Y PLAYA INVITAB|final</v>
      </c>
    </row>
    <row r="223" spans="1:6" x14ac:dyDescent="0.25">
      <c r="A223" t="s">
        <v>3250</v>
      </c>
      <c r="B223" t="s">
        <v>2628</v>
      </c>
      <c r="C223" t="s">
        <v>557</v>
      </c>
      <c r="D223" t="s">
        <v>1074</v>
      </c>
      <c r="F223" t="str" cm="1">
        <f t="array" aca="1" ref="F223" ca="1">eConcatenar(A223:D223,"|")</f>
        <v>localidadmigrada222|QWW0NUA2P6XNYS|PETROLERA|final</v>
      </c>
    </row>
    <row r="224" spans="1:6" x14ac:dyDescent="0.25">
      <c r="A224" t="s">
        <v>3251</v>
      </c>
      <c r="B224" t="s">
        <v>2627</v>
      </c>
      <c r="C224" t="s">
        <v>57</v>
      </c>
      <c r="D224" t="s">
        <v>1074</v>
      </c>
      <c r="F224" t="str" cm="1">
        <f t="array" aca="1" ref="F224" ca="1">eConcatenar(A224:D224,"|")</f>
        <v>localidadmigrada223|QWW0NUCKP6XNYS|PUEBLO NUEVO|final</v>
      </c>
    </row>
    <row r="225" spans="1:6" x14ac:dyDescent="0.25">
      <c r="A225" t="s">
        <v>3252</v>
      </c>
      <c r="B225" t="s">
        <v>2626</v>
      </c>
      <c r="C225" t="s">
        <v>405</v>
      </c>
      <c r="D225" t="s">
        <v>1074</v>
      </c>
      <c r="F225" t="str" cm="1">
        <f t="array" aca="1" ref="F225" ca="1">eConcatenar(A225:D225,"|")</f>
        <v>localidadmigrada224|QWW0NUFWP6XNYS|BAJIO PRIMERA SECCION |final</v>
      </c>
    </row>
    <row r="226" spans="1:6" x14ac:dyDescent="0.25">
      <c r="A226" t="s">
        <v>3253</v>
      </c>
      <c r="B226" t="s">
        <v>2625</v>
      </c>
      <c r="C226" t="s">
        <v>91</v>
      </c>
      <c r="D226" t="s">
        <v>1074</v>
      </c>
      <c r="F226" t="str" cm="1">
        <f t="array" aca="1" ref="F226" ca="1">eConcatenar(A226:D226,"|")</f>
        <v>localidadmigrada225|QWW0NUIOP6XNYS|MELCHOR OCAMPO|final</v>
      </c>
    </row>
    <row r="227" spans="1:6" x14ac:dyDescent="0.25">
      <c r="A227" t="s">
        <v>3254</v>
      </c>
      <c r="B227" t="s">
        <v>2624</v>
      </c>
      <c r="C227" t="s">
        <v>2623</v>
      </c>
      <c r="D227" t="s">
        <v>1074</v>
      </c>
      <c r="F227" t="str" cm="1">
        <f t="array" aca="1" ref="F227" ca="1">eConcatenar(A227:D227,"|")</f>
        <v>localidadmigrada226|QWW0NVCEP6XNYS|ROGER FALCONI VERA|final</v>
      </c>
    </row>
    <row r="228" spans="1:6" x14ac:dyDescent="0.25">
      <c r="A228" t="s">
        <v>3255</v>
      </c>
      <c r="B228" t="s">
        <v>2622</v>
      </c>
      <c r="C228" t="s">
        <v>78</v>
      </c>
      <c r="D228" t="s">
        <v>1074</v>
      </c>
      <c r="F228" t="str" cm="1">
        <f t="array" aca="1" ref="F228" ca="1">eConcatenar(A228:D228,"|")</f>
        <v>localidadmigrada227|QWW0NVQ0P6XNYS|SANTA CRUZ|final</v>
      </c>
    </row>
    <row r="229" spans="1:6" x14ac:dyDescent="0.25">
      <c r="A229" t="s">
        <v>3256</v>
      </c>
      <c r="B229" t="s">
        <v>2621</v>
      </c>
      <c r="C229" t="s">
        <v>2620</v>
      </c>
      <c r="D229" t="s">
        <v>1074</v>
      </c>
      <c r="F229" t="str" cm="1">
        <f t="array" aca="1" ref="F229" ca="1">eConcatenar(A229:D229,"|")</f>
        <v>localidadmigrada228|QWW0NVVAP6XNYS|SANTA MARIA DE GUADALUPE |final</v>
      </c>
    </row>
    <row r="230" spans="1:6" x14ac:dyDescent="0.25">
      <c r="A230" t="s">
        <v>3257</v>
      </c>
      <c r="B230" t="s">
        <v>2619</v>
      </c>
      <c r="C230" t="s">
        <v>253</v>
      </c>
      <c r="D230" t="s">
        <v>1074</v>
      </c>
      <c r="F230" t="str" cm="1">
        <f t="array" aca="1" ref="F230" ca="1">eConcatenar(A230:D230,"|")</f>
        <v>localidadmigrada229|QWW0NW00P6XNYS|SANTA MARIA PERIFERICO|final</v>
      </c>
    </row>
    <row r="231" spans="1:6" x14ac:dyDescent="0.25">
      <c r="A231" t="s">
        <v>3258</v>
      </c>
      <c r="B231" t="s">
        <v>2618</v>
      </c>
      <c r="C231" t="s">
        <v>2617</v>
      </c>
      <c r="D231" t="s">
        <v>1074</v>
      </c>
      <c r="F231" t="str" cm="1">
        <f t="array" aca="1" ref="F231" ca="1">eConcatenar(A231:D231,"|")</f>
        <v>localidadmigrada230|QWW0NWICP6XNYS|SANTA RITA INFONAVIT|final</v>
      </c>
    </row>
    <row r="232" spans="1:6" x14ac:dyDescent="0.25">
      <c r="A232" t="s">
        <v>3259</v>
      </c>
      <c r="B232" t="s">
        <v>2616</v>
      </c>
      <c r="C232" t="s">
        <v>2615</v>
      </c>
      <c r="D232" t="s">
        <v>1074</v>
      </c>
      <c r="F232" t="str" cm="1">
        <f t="array" aca="1" ref="F232" ca="1">eConcatenar(A232:D232,"|")</f>
        <v>localidadmigrada231|QWW0NWLEP6XNYS|SARH|final</v>
      </c>
    </row>
    <row r="233" spans="1:6" x14ac:dyDescent="0.25">
      <c r="A233" t="s">
        <v>3260</v>
      </c>
      <c r="B233" t="s">
        <v>2614</v>
      </c>
      <c r="C233" t="s">
        <v>208</v>
      </c>
      <c r="D233" t="s">
        <v>1074</v>
      </c>
      <c r="F233" t="str" cm="1">
        <f t="array" aca="1" ref="F233" ca="1">eConcatenar(A233:D233,"|")</f>
        <v>localidadmigrada232|QWW0NWO6P6XNYS|SECCION 40|final</v>
      </c>
    </row>
    <row r="234" spans="1:6" x14ac:dyDescent="0.25">
      <c r="A234" t="s">
        <v>3261</v>
      </c>
      <c r="B234" t="s">
        <v>2613</v>
      </c>
      <c r="C234" t="s">
        <v>2612</v>
      </c>
      <c r="D234" t="s">
        <v>1074</v>
      </c>
      <c r="F234" t="str" cm="1">
        <f t="array" aca="1" ref="F234" ca="1">eConcatenar(A234:D234,"|")</f>
        <v>localidadmigrada233|QWW0NWRIP6XNYS|SECTOR CANDELARIO DE DIOS |final</v>
      </c>
    </row>
    <row r="235" spans="1:6" x14ac:dyDescent="0.25">
      <c r="A235" t="s">
        <v>3262</v>
      </c>
      <c r="B235" t="s">
        <v>2611</v>
      </c>
      <c r="C235" t="s">
        <v>2610</v>
      </c>
      <c r="D235" t="s">
        <v>1074</v>
      </c>
      <c r="F235" t="str" cm="1">
        <f t="array" aca="1" ref="F235" ca="1">eConcatenar(A235:D235,"|")</f>
        <v>localidadmigrada234|QWW0NWVEP6XNYS|SECTOR RIO SECO|final</v>
      </c>
    </row>
    <row r="236" spans="1:6" x14ac:dyDescent="0.25">
      <c r="A236" t="s">
        <v>3263</v>
      </c>
      <c r="B236" t="s">
        <v>2609</v>
      </c>
      <c r="C236" t="s">
        <v>2608</v>
      </c>
      <c r="D236" t="s">
        <v>1074</v>
      </c>
      <c r="F236" t="str" cm="1">
        <f t="array" aca="1" ref="F236" ca="1">eConcatenar(A236:D236,"|")</f>
        <v>localidadmigrada235|QWW0NX9UP6XNYS|SECTOR SAN ANTONIO|final</v>
      </c>
    </row>
    <row r="237" spans="1:6" x14ac:dyDescent="0.25">
      <c r="A237" t="s">
        <v>3264</v>
      </c>
      <c r="B237" t="s">
        <v>2607</v>
      </c>
      <c r="C237" t="s">
        <v>2606</v>
      </c>
      <c r="D237" t="s">
        <v>1074</v>
      </c>
      <c r="F237" t="str" cm="1">
        <f t="array" aca="1" ref="F237" ca="1">eConcatenar(A237:D237,"|")</f>
        <v>localidadmigrada236|QWW0NXG8P6XNYS|SANCHEZ MAGALLANES (SANTA ANA )|final</v>
      </c>
    </row>
    <row r="238" spans="1:6" x14ac:dyDescent="0.25">
      <c r="A238" t="s">
        <v>3265</v>
      </c>
      <c r="B238" t="s">
        <v>2605</v>
      </c>
      <c r="C238" t="s">
        <v>2604</v>
      </c>
      <c r="D238" t="s">
        <v>1074</v>
      </c>
      <c r="F238" t="str" cm="1">
        <f t="array" aca="1" ref="F238" ca="1">eConcatenar(A238:D238,"|")</f>
        <v>localidadmigrada237|QWW0NXJAP6XNYS|VAQUEIROS|final</v>
      </c>
    </row>
    <row r="239" spans="1:6" x14ac:dyDescent="0.25">
      <c r="A239" t="s">
        <v>3266</v>
      </c>
      <c r="B239" t="s">
        <v>2603</v>
      </c>
      <c r="C239" t="s">
        <v>2602</v>
      </c>
      <c r="D239" t="s">
        <v>1074</v>
      </c>
      <c r="F239" t="str" cm="1">
        <f t="array" aca="1" ref="F239" ca="1">eConcatenar(A239:D239,"|")</f>
        <v>localidadmigrada238|QWW0O0GKP6XNYS|VEREDA|final</v>
      </c>
    </row>
    <row r="240" spans="1:6" x14ac:dyDescent="0.25">
      <c r="A240" t="s">
        <v>3267</v>
      </c>
      <c r="B240" t="s">
        <v>2601</v>
      </c>
      <c r="C240" t="s">
        <v>2600</v>
      </c>
      <c r="D240" t="s">
        <v>1074</v>
      </c>
      <c r="F240" t="str" cm="1">
        <f t="array" aca="1" ref="F240" ca="1">eConcatenar(A240:D240,"|")</f>
        <v>localidadmigrada239|QWW0O1H8P6XNYS|ZOILA E. PEÑA FALCON|final</v>
      </c>
    </row>
    <row r="241" spans="1:6" x14ac:dyDescent="0.25">
      <c r="A241" t="s">
        <v>3268</v>
      </c>
      <c r="B241" t="s">
        <v>2599</v>
      </c>
      <c r="C241" t="s">
        <v>2598</v>
      </c>
      <c r="D241" t="s">
        <v>1074</v>
      </c>
      <c r="F241" t="str" cm="1">
        <f t="array" aca="1" ref="F241" ca="1">eConcatenar(A241:D241,"|")</f>
        <v>localidadmigrada240|QWW6D470P6XNYS|ADOLFO RUIZ CORTINEZ|final</v>
      </c>
    </row>
    <row r="242" spans="1:6" x14ac:dyDescent="0.25">
      <c r="A242" t="s">
        <v>3269</v>
      </c>
      <c r="B242" t="s">
        <v>2597</v>
      </c>
      <c r="C242" t="s">
        <v>2596</v>
      </c>
      <c r="D242" t="s">
        <v>1074</v>
      </c>
      <c r="F242" t="str" cm="1">
        <f t="array" aca="1" ref="F242" ca="1">eConcatenar(A242:D242,"|")</f>
        <v>localidadmigrada241|QWW6D4M0P6XNYS|ALIAN PARA LA PRODUCCION |final</v>
      </c>
    </row>
    <row r="243" spans="1:6" x14ac:dyDescent="0.25">
      <c r="A243" t="s">
        <v>3270</v>
      </c>
      <c r="B243" t="s">
        <v>2595</v>
      </c>
      <c r="C243" t="s">
        <v>2594</v>
      </c>
      <c r="D243" t="s">
        <v>1074</v>
      </c>
      <c r="F243" t="str" cm="1">
        <f t="array" aca="1" ref="F243" ca="1">eConcatenar(A243:D243,"|")</f>
        <v>localidadmigrada242|QWW6D4R0P6XNYS|ALIANZA PERIFERICO|final</v>
      </c>
    </row>
    <row r="244" spans="1:6" x14ac:dyDescent="0.25">
      <c r="A244" t="s">
        <v>3271</v>
      </c>
      <c r="B244" t="s">
        <v>2593</v>
      </c>
      <c r="C244" t="s">
        <v>2592</v>
      </c>
      <c r="D244" t="s">
        <v>1074</v>
      </c>
      <c r="F244" t="str" cm="1">
        <f t="array" aca="1" ref="F244" ca="1">eConcatenar(A244:D244,"|")</f>
        <v>localidadmigrada243|QWW6D4UMP6XNYS|AMADO GOMEZ|final</v>
      </c>
    </row>
    <row r="245" spans="1:6" x14ac:dyDescent="0.25">
      <c r="A245" t="s">
        <v>3272</v>
      </c>
      <c r="B245" t="s">
        <v>2591</v>
      </c>
      <c r="C245" t="s">
        <v>2590</v>
      </c>
      <c r="D245" t="s">
        <v>1074</v>
      </c>
      <c r="F245" t="str" cm="1">
        <f t="array" aca="1" ref="F245" ca="1">eConcatenar(A245:D245,"|")</f>
        <v>localidadmigrada244|QWW6D5COP6XNYS|AMADO GOMEZ SEGUNDA SECCION |final</v>
      </c>
    </row>
    <row r="246" spans="1:6" x14ac:dyDescent="0.25">
      <c r="A246" t="s">
        <v>3273</v>
      </c>
      <c r="B246" t="s">
        <v>2589</v>
      </c>
      <c r="C246" t="s">
        <v>2588</v>
      </c>
      <c r="D246" t="s">
        <v>1074</v>
      </c>
      <c r="F246" t="str" cm="1">
        <f t="array" aca="1" ref="F246" ca="1">eConcatenar(A246:D246,"|")</f>
        <v>localidadmigrada245|QWW6D5EMP6XNYS|ANTA|final</v>
      </c>
    </row>
    <row r="247" spans="1:6" x14ac:dyDescent="0.25">
      <c r="A247" t="s">
        <v>3274</v>
      </c>
      <c r="B247" t="s">
        <v>2587</v>
      </c>
      <c r="C247" t="s">
        <v>2586</v>
      </c>
      <c r="D247" t="s">
        <v>1074</v>
      </c>
      <c r="F247" t="str" cm="1">
        <f t="array" aca="1" ref="F247" ca="1">eConcatenar(A247:D247,"|")</f>
        <v>localidadmigrada246|QWW6D5HOP6XNYS|ANTA Y CULICO|final</v>
      </c>
    </row>
    <row r="248" spans="1:6" x14ac:dyDescent="0.25">
      <c r="A248" t="s">
        <v>3275</v>
      </c>
      <c r="B248" t="s">
        <v>2585</v>
      </c>
      <c r="C248" t="s">
        <v>2584</v>
      </c>
      <c r="D248" t="s">
        <v>1074</v>
      </c>
      <c r="F248" t="str" cm="1">
        <f t="array" aca="1" ref="F248" ca="1">eConcatenar(A248:D248,"|")</f>
        <v>localidadmigrada247|QWW6D5KQP6XNYS|BENITO JUARAEZ|final</v>
      </c>
    </row>
    <row r="249" spans="1:6" x14ac:dyDescent="0.25">
      <c r="A249" t="s">
        <v>3276</v>
      </c>
      <c r="B249" t="s">
        <v>2583</v>
      </c>
      <c r="C249" t="s">
        <v>2582</v>
      </c>
      <c r="D249" t="s">
        <v>1074</v>
      </c>
      <c r="F249" t="str" cm="1">
        <f t="array" aca="1" ref="F249" ca="1">eConcatenar(A249:D249,"|")</f>
        <v>localidadmigrada248|QWW6D5O2P6XNYS|BUENAVENTURA|final</v>
      </c>
    </row>
    <row r="250" spans="1:6" x14ac:dyDescent="0.25">
      <c r="A250" t="s">
        <v>3277</v>
      </c>
      <c r="B250" t="s">
        <v>2581</v>
      </c>
      <c r="C250" t="s">
        <v>2580</v>
      </c>
      <c r="D250" t="s">
        <v>1074</v>
      </c>
      <c r="F250" t="str" cm="1">
        <f t="array" aca="1" ref="F250" ca="1">eConcatenar(A250:D250,"|")</f>
        <v>localidadmigrada249|QWW6D5REP6XNYS|BUENOS AIRES |final</v>
      </c>
    </row>
    <row r="251" spans="1:6" x14ac:dyDescent="0.25">
      <c r="A251" t="s">
        <v>3278</v>
      </c>
      <c r="B251" t="s">
        <v>2579</v>
      </c>
      <c r="C251" t="s">
        <v>2578</v>
      </c>
      <c r="D251" t="s">
        <v>1074</v>
      </c>
      <c r="F251" t="str" cm="1">
        <f t="array" aca="1" ref="F251" ca="1">eConcatenar(A251:D251,"|")</f>
        <v>localidadmigrada250|QWW6D65UP6XNYS|CARLOS ROVIROSA|final</v>
      </c>
    </row>
    <row r="252" spans="1:6" x14ac:dyDescent="0.25">
      <c r="A252" t="s">
        <v>3279</v>
      </c>
      <c r="B252" t="s">
        <v>2577</v>
      </c>
      <c r="C252" t="s">
        <v>2576</v>
      </c>
      <c r="D252" t="s">
        <v>1074</v>
      </c>
      <c r="F252" t="str" cm="1">
        <f t="array" aca="1" ref="F252" ca="1">eConcatenar(A252:D252,"|")</f>
        <v>localidadmigrada251|QWW6D6AAP6XNYS|CASA BLANCA PRIMERA SECCION |final</v>
      </c>
    </row>
    <row r="253" spans="1:6" x14ac:dyDescent="0.25">
      <c r="A253" t="s">
        <v>3280</v>
      </c>
      <c r="B253" t="s">
        <v>2575</v>
      </c>
      <c r="C253" t="s">
        <v>2574</v>
      </c>
      <c r="D253" t="s">
        <v>1074</v>
      </c>
      <c r="F253" t="str" cm="1">
        <f t="array" aca="1" ref="F253" ca="1">eConcatenar(A253:D253,"|")</f>
        <v>localidadmigrada252|QWW6D6ICP6XNYS|CASA BLANA SEGUNDA SECCION |final</v>
      </c>
    </row>
    <row r="254" spans="1:6" x14ac:dyDescent="0.25">
      <c r="A254" t="s">
        <v>3281</v>
      </c>
      <c r="B254" t="s">
        <v>2573</v>
      </c>
      <c r="C254" t="s">
        <v>2572</v>
      </c>
      <c r="D254" t="s">
        <v>1074</v>
      </c>
      <c r="F254" t="str" cm="1">
        <f t="array" aca="1" ref="F254" ca="1">eConcatenar(A254:D254,"|")</f>
        <v>localidadmigrada253|QWW6D6W8P6XNYS|CULICO|final</v>
      </c>
    </row>
    <row r="255" spans="1:6" x14ac:dyDescent="0.25">
      <c r="A255" t="s">
        <v>3282</v>
      </c>
      <c r="B255" t="s">
        <v>2571</v>
      </c>
      <c r="C255" t="s">
        <v>2570</v>
      </c>
      <c r="D255" t="s">
        <v>1074</v>
      </c>
      <c r="F255" t="str" cm="1">
        <f t="array" aca="1" ref="F255" ca="1">eConcatenar(A255:D255,"|")</f>
        <v>localidadmigrada254|QWW6D6ZAP6XNYS|CULICO SEGUNDA SECCION |final</v>
      </c>
    </row>
    <row r="256" spans="1:6" x14ac:dyDescent="0.25">
      <c r="A256" t="s">
        <v>3283</v>
      </c>
      <c r="B256" t="s">
        <v>2569</v>
      </c>
      <c r="C256" t="s">
        <v>2568</v>
      </c>
      <c r="D256" t="s">
        <v>1074</v>
      </c>
      <c r="F256" t="str" cm="1">
        <f t="array" aca="1" ref="F256" ca="1">eConcatenar(A256:D256,"|")</f>
        <v>localidadmigrada255|QWW6D76IP6XNYS|CEIBA PRIMERA SECCION  (JAHUACTAL)|final</v>
      </c>
    </row>
    <row r="257" spans="1:6" x14ac:dyDescent="0.25">
      <c r="A257" t="s">
        <v>3284</v>
      </c>
      <c r="B257" t="s">
        <v>2567</v>
      </c>
      <c r="C257" t="s">
        <v>2566</v>
      </c>
      <c r="D257" t="s">
        <v>1074</v>
      </c>
      <c r="F257" t="str" cm="1">
        <f t="array" aca="1" ref="F257" ca="1">eConcatenar(A257:D257,"|")</f>
        <v>localidadmigrada256|QWW6D79AP6XNYS|COLIMA|final</v>
      </c>
    </row>
    <row r="258" spans="1:6" x14ac:dyDescent="0.25">
      <c r="A258" t="s">
        <v>3285</v>
      </c>
      <c r="B258" t="s">
        <v>2565</v>
      </c>
      <c r="C258" t="s">
        <v>2564</v>
      </c>
      <c r="D258" t="s">
        <v>1074</v>
      </c>
      <c r="F258" t="str" cm="1">
        <f t="array" aca="1" ref="F258" ca="1">eConcatenar(A258:D258,"|")</f>
        <v>localidadmigrada257|QWW6D7NGP6XNYS|CUCUYULAPA|final</v>
      </c>
    </row>
    <row r="259" spans="1:6" x14ac:dyDescent="0.25">
      <c r="A259" t="s">
        <v>3286</v>
      </c>
      <c r="B259" t="s">
        <v>2563</v>
      </c>
      <c r="C259" t="s">
        <v>2562</v>
      </c>
      <c r="D259" t="s">
        <v>1074</v>
      </c>
      <c r="F259" t="str" cm="1">
        <f t="array" aca="1" ref="F259" ca="1">eConcatenar(A259:D259,"|")</f>
        <v>localidadmigrada258|QWW6D7U4P6XNYS|CUCUYULAPA SEGUNDA SECCION (PUENTE SAMARIA)|final</v>
      </c>
    </row>
    <row r="260" spans="1:6" x14ac:dyDescent="0.25">
      <c r="A260" t="s">
        <v>3287</v>
      </c>
      <c r="B260" t="s">
        <v>2561</v>
      </c>
      <c r="C260" t="s">
        <v>2560</v>
      </c>
      <c r="D260" t="s">
        <v>1074</v>
      </c>
      <c r="F260" t="str" cm="1">
        <f t="array" aca="1" ref="F260" ca="1">eConcatenar(A260:D260,"|")</f>
        <v>localidadmigrada259|QWW6D8EYP6XNYS|CUMUAPA PRIMERA SECCION |final</v>
      </c>
    </row>
    <row r="261" spans="1:6" x14ac:dyDescent="0.25">
      <c r="A261" t="s">
        <v>3288</v>
      </c>
      <c r="B261" t="s">
        <v>2559</v>
      </c>
      <c r="C261" t="s">
        <v>2558</v>
      </c>
      <c r="D261" t="s">
        <v>1074</v>
      </c>
      <c r="F261" t="str" cm="1">
        <f t="array" aca="1" ref="F261" ca="1">eConcatenar(A261:D261,"|")</f>
        <v>localidadmigrada260|QWW6D8KIP6XNYS|CUMUAPA SEGUNDA SECCION |final</v>
      </c>
    </row>
    <row r="262" spans="1:6" x14ac:dyDescent="0.25">
      <c r="A262" t="s">
        <v>3289</v>
      </c>
      <c r="B262" t="s">
        <v>2557</v>
      </c>
      <c r="C262" t="s">
        <v>2556</v>
      </c>
      <c r="D262" t="s">
        <v>1074</v>
      </c>
      <c r="F262" t="str" cm="1">
        <f t="array" aca="1" ref="F262" ca="1">eConcatenar(A262:D262,"|")</f>
        <v>localidadmigrada261|QWW6D8P8P6XNYS|CUMUAPA TERCERA SECCION |final</v>
      </c>
    </row>
    <row r="263" spans="1:6" x14ac:dyDescent="0.25">
      <c r="A263" t="s">
        <v>3290</v>
      </c>
      <c r="B263" t="s">
        <v>2555</v>
      </c>
      <c r="C263" t="s">
        <v>836</v>
      </c>
      <c r="D263" t="s">
        <v>1074</v>
      </c>
      <c r="F263" t="str" cm="1">
        <f t="array" aca="1" ref="F263" ca="1">eConcatenar(A263:D263,"|")</f>
        <v>localidadmigrada262|QWW6D8R6P6XNYS|CUNDUACAN|final</v>
      </c>
    </row>
    <row r="264" spans="1:6" x14ac:dyDescent="0.25">
      <c r="A264" t="s">
        <v>3291</v>
      </c>
      <c r="B264" t="s">
        <v>2554</v>
      </c>
      <c r="C264" t="s">
        <v>2553</v>
      </c>
      <c r="D264" t="s">
        <v>1074</v>
      </c>
      <c r="F264" t="str" cm="1">
        <f t="array" aca="1" ref="F264" ca="1">eConcatenar(A264:D264,"|")</f>
        <v>localidadmigrada263|QWW6D97AP6XNYS|CUNDUACAN (EL MONTE)|final</v>
      </c>
    </row>
    <row r="265" spans="1:6" x14ac:dyDescent="0.25">
      <c r="A265" t="s">
        <v>3292</v>
      </c>
      <c r="B265" t="s">
        <v>2552</v>
      </c>
      <c r="C265" t="s">
        <v>2551</v>
      </c>
      <c r="D265" t="s">
        <v>1074</v>
      </c>
      <c r="F265" t="str" cm="1">
        <f t="array" aca="1" ref="F265" ca="1">eConcatenar(A265:D265,"|")</f>
        <v>localidadmigrada264|QWW6DBRSP6XNYS|CUNDUACAN (SAN PEDRO)|final</v>
      </c>
    </row>
    <row r="266" spans="1:6" x14ac:dyDescent="0.25">
      <c r="A266" t="s">
        <v>3293</v>
      </c>
      <c r="B266" t="s">
        <v>2550</v>
      </c>
      <c r="C266" t="s">
        <v>2549</v>
      </c>
      <c r="D266" t="s">
        <v>1074</v>
      </c>
      <c r="F266" t="str" cm="1">
        <f t="array" aca="1" ref="F266" ca="1">eConcatenar(A266:D266,"|")</f>
        <v>localidadmigrada265|QWW6DBXWP6XNYS|DIECISEIS DE SEPTIEMBRE|final</v>
      </c>
    </row>
    <row r="267" spans="1:6" x14ac:dyDescent="0.25">
      <c r="A267" t="s">
        <v>3294</v>
      </c>
      <c r="B267" t="s">
        <v>2548</v>
      </c>
      <c r="C267" t="s">
        <v>2547</v>
      </c>
      <c r="D267" t="s">
        <v>1074</v>
      </c>
      <c r="F267" t="str" cm="1">
        <f t="array" aca="1" ref="F267" ca="1">eConcatenar(A267:D267,"|")</f>
        <v>localidadmigrada266|QWW6DCOKP6XNYS|DOMINGO AMADO BRITO SALGADO|final</v>
      </c>
    </row>
    <row r="268" spans="1:6" x14ac:dyDescent="0.25">
      <c r="A268" t="s">
        <v>3295</v>
      </c>
      <c r="B268" t="s">
        <v>2546</v>
      </c>
      <c r="C268" t="s">
        <v>2545</v>
      </c>
      <c r="D268" t="s">
        <v>1074</v>
      </c>
      <c r="F268" t="str" cm="1">
        <f t="array" aca="1" ref="F268" ca="1">eConcatenar(A268:D268,"|")</f>
        <v>localidadmigrada267|QWW6DD2GP6XNYS|DOS CEIBAS|final</v>
      </c>
    </row>
    <row r="269" spans="1:6" x14ac:dyDescent="0.25">
      <c r="A269" t="s">
        <v>3296</v>
      </c>
      <c r="B269" t="s">
        <v>2544</v>
      </c>
      <c r="C269" t="s">
        <v>2543</v>
      </c>
      <c r="D269" t="s">
        <v>1074</v>
      </c>
      <c r="F269" t="str" cm="1">
        <f t="array" aca="1" ref="F269" ca="1">eConcatenar(A269:D269,"|")</f>
        <v>localidadmigrada268|QWW6DD6MP6XNYS|EL CARMEN (CUMUAPA)|final</v>
      </c>
    </row>
    <row r="270" spans="1:6" x14ac:dyDescent="0.25">
      <c r="A270" t="s">
        <v>3297</v>
      </c>
      <c r="B270" t="s">
        <v>2542</v>
      </c>
      <c r="C270" t="s">
        <v>31</v>
      </c>
      <c r="D270" t="s">
        <v>1074</v>
      </c>
      <c r="F270" t="str" cm="1">
        <f t="array" aca="1" ref="F270" ca="1">eConcatenar(A270:D270,"|")</f>
        <v>localidadmigrada269|QWW6DDDUP6XNYS|EL PALMAR|final</v>
      </c>
    </row>
    <row r="271" spans="1:6" x14ac:dyDescent="0.25">
      <c r="A271" t="s">
        <v>3298</v>
      </c>
      <c r="B271" t="s">
        <v>2541</v>
      </c>
      <c r="C271" t="s">
        <v>2540</v>
      </c>
      <c r="D271" t="s">
        <v>1074</v>
      </c>
      <c r="F271" t="str" cm="1">
        <f t="array" aca="1" ref="F271" ca="1">eConcatenar(A271:D271,"|")</f>
        <v>localidadmigrada270|QWW6DDHGP6XNYS|EL PROGRESO|final</v>
      </c>
    </row>
    <row r="272" spans="1:6" x14ac:dyDescent="0.25">
      <c r="A272" t="s">
        <v>3299</v>
      </c>
      <c r="B272" t="s">
        <v>2539</v>
      </c>
      <c r="C272" t="s">
        <v>2538</v>
      </c>
      <c r="D272" t="s">
        <v>1074</v>
      </c>
      <c r="F272" t="str" cm="1">
        <f t="array" aca="1" ref="F272" ca="1">eConcatenar(A272:D272,"|")</f>
        <v>localidadmigrada271|QWW6DDUSP6XNYS|EL TULAR|final</v>
      </c>
    </row>
    <row r="273" spans="1:6" x14ac:dyDescent="0.25">
      <c r="A273" t="s">
        <v>3300</v>
      </c>
      <c r="B273" t="s">
        <v>2537</v>
      </c>
      <c r="C273" t="s">
        <v>2536</v>
      </c>
      <c r="D273" t="s">
        <v>1074</v>
      </c>
      <c r="F273" t="str" cm="1">
        <f t="array" aca="1" ref="F273" ca="1">eConcatenar(A273:D273,"|")</f>
        <v>localidadmigrada272|QWW6DDXAP6XNYS|EL TUNAL|final</v>
      </c>
    </row>
    <row r="274" spans="1:6" x14ac:dyDescent="0.25">
      <c r="A274" t="s">
        <v>3301</v>
      </c>
      <c r="B274" t="s">
        <v>2535</v>
      </c>
      <c r="C274" t="s">
        <v>462</v>
      </c>
      <c r="D274" t="s">
        <v>1074</v>
      </c>
      <c r="F274" t="str" cm="1">
        <f t="array" aca="1" ref="F274" ca="1">eConcatenar(A274:D274,"|")</f>
        <v>localidadmigrada273|QWW6DE0CP6XNYS|EMILIANO ZAPATA|final</v>
      </c>
    </row>
    <row r="275" spans="1:6" x14ac:dyDescent="0.25">
      <c r="A275" t="s">
        <v>3302</v>
      </c>
      <c r="B275" t="s">
        <v>2534</v>
      </c>
      <c r="C275" t="s">
        <v>2533</v>
      </c>
      <c r="D275" t="s">
        <v>1074</v>
      </c>
      <c r="F275" t="str" cm="1">
        <f t="array" aca="1" ref="F275" ca="1">eConcatenar(A275:D275,"|")</f>
        <v>localidadmigrada274|QWW6DE5WP6XNYS|EMILIANO ZAPATA (SAN MATEO)|final</v>
      </c>
    </row>
    <row r="276" spans="1:6" x14ac:dyDescent="0.25">
      <c r="A276" t="s">
        <v>3303</v>
      </c>
      <c r="B276" t="s">
        <v>2532</v>
      </c>
      <c r="C276" t="s">
        <v>2531</v>
      </c>
      <c r="D276" t="s">
        <v>1074</v>
      </c>
      <c r="F276" t="str" cm="1">
        <f t="array" aca="1" ref="F276" ca="1">eConcatenar(A276:D276,"|")</f>
        <v>localidadmigrada275|QWW6DEKWP6XNYS|ENRIQUE GONZALEZ PEDRERO|final</v>
      </c>
    </row>
    <row r="277" spans="1:6" x14ac:dyDescent="0.25">
      <c r="A277" t="s">
        <v>3304</v>
      </c>
      <c r="B277" t="s">
        <v>2530</v>
      </c>
      <c r="C277" t="s">
        <v>2529</v>
      </c>
      <c r="D277" t="s">
        <v>1074</v>
      </c>
      <c r="F277" t="str" cm="1">
        <f t="array" aca="1" ref="F277" ca="1">eConcatenar(A277:D277,"|")</f>
        <v>localidadmigrada276|QWW6DEOSP6XNYS|FELIPE CARRILLO PUERTO|final</v>
      </c>
    </row>
    <row r="278" spans="1:6" x14ac:dyDescent="0.25">
      <c r="A278" t="s">
        <v>3305</v>
      </c>
      <c r="B278" t="s">
        <v>2528</v>
      </c>
      <c r="C278" t="s">
        <v>2527</v>
      </c>
      <c r="D278" t="s">
        <v>1074</v>
      </c>
      <c r="F278" t="str" cm="1">
        <f t="array" aca="1" ref="F278" ca="1">eConcatenar(A278:D278,"|")</f>
        <v>localidadmigrada277|QWW6DEVGP6XNYS|FELIPE CARRILLO PUERTO AMPLIACION SAN FELIPITO|final</v>
      </c>
    </row>
    <row r="279" spans="1:6" x14ac:dyDescent="0.25">
      <c r="A279" t="s">
        <v>3306</v>
      </c>
      <c r="B279" t="s">
        <v>2526</v>
      </c>
      <c r="C279" t="s">
        <v>2525</v>
      </c>
      <c r="D279" t="s">
        <v>1074</v>
      </c>
      <c r="F279" t="str" cm="1">
        <f t="array" aca="1" ref="F279" ca="1">eConcatenar(A279:D279,"|")</f>
        <v>localidadmigrada278|QWW6DNX0P6XNYS|FELIPE GALVAN |final</v>
      </c>
    </row>
    <row r="280" spans="1:6" x14ac:dyDescent="0.25">
      <c r="A280" t="s">
        <v>3307</v>
      </c>
      <c r="B280" t="s">
        <v>2524</v>
      </c>
      <c r="C280" t="s">
        <v>2523</v>
      </c>
      <c r="D280" t="s">
        <v>1074</v>
      </c>
      <c r="F280" t="str" cm="1">
        <f t="array" aca="1" ref="F280" ca="1">eConcatenar(A280:D280,"|")</f>
        <v>localidadmigrada279|QWW6DQ7IP6XNYS|GENERAL FRANCISCO MUJICA |final</v>
      </c>
    </row>
    <row r="281" spans="1:6" x14ac:dyDescent="0.25">
      <c r="A281" t="s">
        <v>3308</v>
      </c>
      <c r="B281" t="s">
        <v>2522</v>
      </c>
      <c r="C281" t="s">
        <v>1705</v>
      </c>
      <c r="D281" t="s">
        <v>1074</v>
      </c>
      <c r="F281" t="str" cm="1">
        <f t="array" aca="1" ref="F281" ca="1">eConcatenar(A281:D281,"|")</f>
        <v>localidadmigrada280|QWW6DQGEP6XNYS|GREGORIO MENDEZ |final</v>
      </c>
    </row>
    <row r="282" spans="1:6" x14ac:dyDescent="0.25">
      <c r="A282" t="s">
        <v>3309</v>
      </c>
      <c r="B282" t="s">
        <v>2521</v>
      </c>
      <c r="C282" t="s">
        <v>2520</v>
      </c>
      <c r="D282" t="s">
        <v>1074</v>
      </c>
      <c r="F282" t="str" cm="1">
        <f t="array" aca="1" ref="F282" ca="1">eConcatenar(A282:D282,"|")</f>
        <v>localidadmigrada281|QWW6DQL4P6XNYS|HUACAPA Y AMESTOY|final</v>
      </c>
    </row>
    <row r="283" spans="1:6" x14ac:dyDescent="0.25">
      <c r="A283" t="s">
        <v>3310</v>
      </c>
      <c r="B283" t="s">
        <v>2519</v>
      </c>
      <c r="C283" t="s">
        <v>1689</v>
      </c>
      <c r="D283" t="s">
        <v>1074</v>
      </c>
      <c r="F283" t="str" cm="1">
        <f t="array" aca="1" ref="F283" ca="1">eConcatenar(A283:D283,"|")</f>
        <v>localidadmigrada282|QWW6DR18P6XNYS|HUAPACAL PRIMERA SECCION |final</v>
      </c>
    </row>
    <row r="284" spans="1:6" x14ac:dyDescent="0.25">
      <c r="A284" t="s">
        <v>3311</v>
      </c>
      <c r="B284" t="s">
        <v>2518</v>
      </c>
      <c r="C284" t="s">
        <v>1687</v>
      </c>
      <c r="D284" t="s">
        <v>1074</v>
      </c>
      <c r="F284" t="str" cm="1">
        <f t="array" aca="1" ref="F284" ca="1">eConcatenar(A284:D284,"|")</f>
        <v>localidadmigrada283|QWW6DR54P6XNYS|HUAPACAL SEGUNDA SECCION |final</v>
      </c>
    </row>
    <row r="285" spans="1:6" x14ac:dyDescent="0.25">
      <c r="A285" t="s">
        <v>3312</v>
      </c>
      <c r="B285" t="s">
        <v>2517</v>
      </c>
      <c r="C285" t="s">
        <v>2516</v>
      </c>
      <c r="D285" t="s">
        <v>1074</v>
      </c>
      <c r="F285" t="str" cm="1">
        <f t="array" aca="1" ref="F285" ca="1">eConcatenar(A285:D285,"|")</f>
        <v>localidadmigrada284|QWW6DR9UP6XNYS|HUIMANGO|final</v>
      </c>
    </row>
    <row r="286" spans="1:6" x14ac:dyDescent="0.25">
      <c r="A286" t="s">
        <v>3313</v>
      </c>
      <c r="B286" t="s">
        <v>2515</v>
      </c>
      <c r="C286" t="s">
        <v>2514</v>
      </c>
      <c r="D286" t="s">
        <v>1074</v>
      </c>
      <c r="F286" t="str" cm="1">
        <f t="array" aca="1" ref="F286" ca="1">eConcatenar(A286:D286,"|")</f>
        <v>localidadmigrada285|QWW6DRRCP6XNYS|HUIMANGO (EL DREN)|final</v>
      </c>
    </row>
    <row r="287" spans="1:6" x14ac:dyDescent="0.25">
      <c r="A287" t="s">
        <v>3314</v>
      </c>
      <c r="B287" t="s">
        <v>2513</v>
      </c>
      <c r="C287" t="s">
        <v>2512</v>
      </c>
      <c r="D287" t="s">
        <v>1074</v>
      </c>
      <c r="F287" t="str" cm="1">
        <f t="array" aca="1" ref="F287" ca="1">eConcatenar(A287:D287,"|")</f>
        <v>localidadmigrada286|QWW6DRVSP6XNYS|HUIMANGO PRIMERA SECCION |final</v>
      </c>
    </row>
    <row r="288" spans="1:6" x14ac:dyDescent="0.25">
      <c r="A288" t="s">
        <v>3315</v>
      </c>
      <c r="B288" t="s">
        <v>2511</v>
      </c>
      <c r="C288" t="s">
        <v>2510</v>
      </c>
      <c r="D288" t="s">
        <v>1074</v>
      </c>
      <c r="F288" t="str" cm="1">
        <f t="array" aca="1" ref="F288" ca="1">eConcatenar(A288:D288,"|")</f>
        <v>localidadmigrada287|QWW6DRYKP6XNYS|HUIMANGO SEGUNDA SECCION |final</v>
      </c>
    </row>
    <row r="289" spans="1:6" x14ac:dyDescent="0.25">
      <c r="A289" t="s">
        <v>3316</v>
      </c>
      <c r="B289" t="s">
        <v>2509</v>
      </c>
      <c r="C289" t="s">
        <v>2508</v>
      </c>
      <c r="D289" t="s">
        <v>1074</v>
      </c>
      <c r="F289" t="str" cm="1">
        <f t="array" aca="1" ref="F289" ca="1">eConcatenar(A289:D289,"|")</f>
        <v>localidadmigrada288|QWW6E1AOP6XNYS|HUIMANGO SEGUNDA SECCION LA MONA|final</v>
      </c>
    </row>
    <row r="290" spans="1:6" x14ac:dyDescent="0.25">
      <c r="A290" t="s">
        <v>3317</v>
      </c>
      <c r="B290" t="s">
        <v>2507</v>
      </c>
      <c r="C290" t="s">
        <v>2506</v>
      </c>
      <c r="D290" t="s">
        <v>1074</v>
      </c>
      <c r="F290" t="str" cm="1">
        <f t="array" aca="1" ref="F290" ca="1">eConcatenar(A290:D290,"|")</f>
        <v>localidadmigrada289|QWW6E3FWP6XNYS|HUIMANGO TERCERA SECCION (LOS CERROS)|final</v>
      </c>
    </row>
    <row r="291" spans="1:6" x14ac:dyDescent="0.25">
      <c r="A291" t="s">
        <v>3318</v>
      </c>
      <c r="B291" t="s">
        <v>2505</v>
      </c>
      <c r="C291" t="s">
        <v>2504</v>
      </c>
      <c r="D291" t="s">
        <v>1074</v>
      </c>
      <c r="F291" t="str" cm="1">
        <f t="array" aca="1" ref="F291" ca="1">eConcatenar(A291:D291,"|")</f>
        <v>localidadmigrada290|QWW6E3IYP6XNYS|IGNACIO ZARAGOZA|final</v>
      </c>
    </row>
    <row r="292" spans="1:6" x14ac:dyDescent="0.25">
      <c r="A292" t="s">
        <v>3319</v>
      </c>
      <c r="B292" t="s">
        <v>2503</v>
      </c>
      <c r="C292" t="s">
        <v>2502</v>
      </c>
      <c r="D292" t="s">
        <v>1074</v>
      </c>
      <c r="F292" t="str" cm="1">
        <f t="array" aca="1" ref="F292" ca="1">eConcatenar(A292:D292,"|")</f>
        <v>localidadmigrada291|QWW6E3NEP6XNYS|JOSE MARIA MORELOS Y PAVON (MORELITOS)|final</v>
      </c>
    </row>
    <row r="293" spans="1:6" x14ac:dyDescent="0.25">
      <c r="A293" t="s">
        <v>3320</v>
      </c>
      <c r="B293" t="s">
        <v>2501</v>
      </c>
      <c r="C293" t="s">
        <v>2500</v>
      </c>
      <c r="D293" t="s">
        <v>1074</v>
      </c>
      <c r="F293" t="str" cm="1">
        <f t="array" aca="1" ref="F293" ca="1">eConcatenar(A293:D293,"|")</f>
        <v>localidadmigrada292|QWW6E44MP6XNYS|JOSE MARIA PINO SUAREZ|final</v>
      </c>
    </row>
    <row r="294" spans="1:6" x14ac:dyDescent="0.25">
      <c r="A294" t="s">
        <v>3321</v>
      </c>
      <c r="B294" t="s">
        <v>2499</v>
      </c>
      <c r="C294" t="s">
        <v>2498</v>
      </c>
      <c r="D294" t="s">
        <v>1074</v>
      </c>
      <c r="F294" t="str" cm="1">
        <f t="array" aca="1" ref="F294" ca="1">eConcatenar(A294:D294,"|")</f>
        <v>localidadmigrada293|QWW6E4UQP6XNYS|LA CHONITA|final</v>
      </c>
    </row>
    <row r="295" spans="1:6" x14ac:dyDescent="0.25">
      <c r="A295" t="s">
        <v>3322</v>
      </c>
      <c r="B295" t="s">
        <v>2497</v>
      </c>
      <c r="C295" t="s">
        <v>2496</v>
      </c>
      <c r="D295" t="s">
        <v>1074</v>
      </c>
      <c r="F295" t="str" cm="1">
        <f t="array" aca="1" ref="F295" ca="1">eConcatenar(A295:D295,"|")</f>
        <v>localidadmigrada294|QWW6E4XSP6XNYS|LA ESMERALDA|final</v>
      </c>
    </row>
    <row r="296" spans="1:6" x14ac:dyDescent="0.25">
      <c r="A296" t="s">
        <v>3323</v>
      </c>
      <c r="B296" t="s">
        <v>2495</v>
      </c>
      <c r="C296" t="s">
        <v>2494</v>
      </c>
      <c r="D296" t="s">
        <v>1074</v>
      </c>
      <c r="F296" t="str" cm="1">
        <f t="array" aca="1" ref="F296" ca="1">eConcatenar(A296:D296,"|")</f>
        <v>localidadmigrada295|QWW6E500P6XNYS|LA ISLA|final</v>
      </c>
    </row>
    <row r="297" spans="1:6" x14ac:dyDescent="0.25">
      <c r="A297" t="s">
        <v>3324</v>
      </c>
      <c r="B297" t="s">
        <v>2493</v>
      </c>
      <c r="C297" t="s">
        <v>1617</v>
      </c>
      <c r="D297" t="s">
        <v>1074</v>
      </c>
      <c r="F297" t="str" cm="1">
        <f t="array" aca="1" ref="F297" ca="1">eConcatenar(A297:D297,"|")</f>
        <v>localidadmigrada296|QWW6E528P6XNYS|LA LUCHA|final</v>
      </c>
    </row>
    <row r="298" spans="1:6" x14ac:dyDescent="0.25">
      <c r="A298" t="s">
        <v>3325</v>
      </c>
      <c r="B298" t="s">
        <v>2492</v>
      </c>
      <c r="C298" t="s">
        <v>2491</v>
      </c>
      <c r="D298" t="s">
        <v>1074</v>
      </c>
      <c r="F298" t="str" cm="1">
        <f t="array" aca="1" ref="F298" ca="1">eConcatenar(A298:D298,"|")</f>
        <v>localidadmigrada297|QWW6E5L4P6XNYS|LA PIEDRA PRIMERA SECCION |final</v>
      </c>
    </row>
    <row r="299" spans="1:6" x14ac:dyDescent="0.25">
      <c r="A299" t="s">
        <v>3326</v>
      </c>
      <c r="B299" t="s">
        <v>2490</v>
      </c>
      <c r="C299" t="s">
        <v>2489</v>
      </c>
      <c r="D299" t="s">
        <v>1074</v>
      </c>
      <c r="F299" t="str" cm="1">
        <f t="array" aca="1" ref="F299" ca="1">eConcatenar(A299:D299,"|")</f>
        <v>localidadmigrada298|QWW6E5OQP6XNYS|LA PIEDRA SEGUNDA SECCION |final</v>
      </c>
    </row>
    <row r="300" spans="1:6" x14ac:dyDescent="0.25">
      <c r="A300" t="s">
        <v>3327</v>
      </c>
      <c r="B300" t="s">
        <v>2488</v>
      </c>
      <c r="C300" t="s">
        <v>2487</v>
      </c>
      <c r="D300" t="s">
        <v>1074</v>
      </c>
      <c r="F300" t="str" cm="1">
        <f t="array" aca="1" ref="F300" ca="1">eConcatenar(A300:D300,"|")</f>
        <v>localidadmigrada299|QWW6E5SMP6XNYS|LA PIEDRA SEGUNDA SECCION LA CANDELARIA|final</v>
      </c>
    </row>
    <row r="301" spans="1:6" x14ac:dyDescent="0.25">
      <c r="A301" t="s">
        <v>3328</v>
      </c>
      <c r="B301" t="s">
        <v>2486</v>
      </c>
      <c r="C301" t="s">
        <v>2485</v>
      </c>
      <c r="D301" t="s">
        <v>1074</v>
      </c>
      <c r="F301" t="str" cm="1">
        <f t="array" aca="1" ref="F301" ca="1">eConcatenar(A301:D301,"|")</f>
        <v>localidadmigrada300|QWW6E5WSP6XNYS|LA PIEDRA TERCERA SECCION |final</v>
      </c>
    </row>
    <row r="302" spans="1:6" x14ac:dyDescent="0.25">
      <c r="A302" t="s">
        <v>3329</v>
      </c>
      <c r="B302" t="s">
        <v>2484</v>
      </c>
      <c r="C302" t="s">
        <v>2483</v>
      </c>
      <c r="D302" t="s">
        <v>1074</v>
      </c>
      <c r="F302" t="str" cm="1">
        <f t="array" aca="1" ref="F302" ca="1">eConcatenar(A302:D302,"|")</f>
        <v>localidadmigrada301|QWW6E604P6XNYS|LA PIEDRA CUARTA SECCION |final</v>
      </c>
    </row>
    <row r="303" spans="1:6" x14ac:dyDescent="0.25">
      <c r="A303" t="s">
        <v>3330</v>
      </c>
      <c r="B303" t="s">
        <v>2482</v>
      </c>
      <c r="C303" t="s">
        <v>2481</v>
      </c>
      <c r="D303" t="s">
        <v>1074</v>
      </c>
      <c r="F303" t="str" cm="1">
        <f t="array" aca="1" ref="F303" ca="1">eConcatenar(A303:D303,"|")</f>
        <v>localidadmigrada302|QWW6E6EUP6XNYS|LAGUNA DE CUCUYULAPA|final</v>
      </c>
    </row>
    <row r="304" spans="1:6" x14ac:dyDescent="0.25">
      <c r="A304" t="s">
        <v>3331</v>
      </c>
      <c r="B304" t="s">
        <v>2480</v>
      </c>
      <c r="C304" t="s">
        <v>1574</v>
      </c>
      <c r="D304" t="s">
        <v>1074</v>
      </c>
      <c r="F304" t="str" cm="1">
        <f t="array" aca="1" ref="F304" ca="1">eConcatenar(A304:D304,"|")</f>
        <v>localidadmigrada303|QWW6E6HMP6XNYS|LIBERTAD|final</v>
      </c>
    </row>
    <row r="305" spans="1:6" x14ac:dyDescent="0.25">
      <c r="A305" t="s">
        <v>3332</v>
      </c>
      <c r="B305" t="s">
        <v>2479</v>
      </c>
      <c r="C305" t="s">
        <v>2478</v>
      </c>
      <c r="D305" t="s">
        <v>1074</v>
      </c>
      <c r="F305" t="str" cm="1">
        <f t="array" aca="1" ref="F305" ca="1">eConcatenar(A305:D305,"|")</f>
        <v>localidadmigrada304|QWW6E6RWP6XNYS|LIBERTAD (COLONIA LAS PALMITAS)|final</v>
      </c>
    </row>
    <row r="306" spans="1:6" x14ac:dyDescent="0.25">
      <c r="A306" t="s">
        <v>3333</v>
      </c>
      <c r="B306" t="s">
        <v>2477</v>
      </c>
      <c r="C306" t="s">
        <v>2025</v>
      </c>
      <c r="D306" t="s">
        <v>1074</v>
      </c>
      <c r="F306" t="str" cm="1">
        <f t="array" aca="1" ref="F306" ca="1">eConcatenar(A306:D306,"|")</f>
        <v>localidadmigrada305|QWW6E76WP6XNYS|LIBERTAD SEGUNDA SECCION |final</v>
      </c>
    </row>
    <row r="307" spans="1:6" x14ac:dyDescent="0.25">
      <c r="A307" t="s">
        <v>3334</v>
      </c>
      <c r="B307" t="s">
        <v>2476</v>
      </c>
      <c r="C307" t="s">
        <v>2475</v>
      </c>
      <c r="D307" t="s">
        <v>1074</v>
      </c>
      <c r="F307" t="str" cm="1">
        <f t="array" aca="1" ref="F307" ca="1">eConcatenar(A307:D307,"|")</f>
        <v>localidadmigrada306|QWW6E7C6P6XNYS|LIBERTAD TERCERA SECCION (MONTE GRANDE)|final</v>
      </c>
    </row>
    <row r="308" spans="1:6" x14ac:dyDescent="0.25">
      <c r="A308" t="s">
        <v>3335</v>
      </c>
      <c r="B308" t="s">
        <v>2474</v>
      </c>
      <c r="C308" t="s">
        <v>2473</v>
      </c>
      <c r="D308" t="s">
        <v>1074</v>
      </c>
      <c r="F308" t="str" cm="1">
        <f t="array" aca="1" ref="F308" ca="1">eConcatenar(A308:D308,"|")</f>
        <v>localidadmigrada307|QWW6E7J4P6XNYS|LIBERTAD CUARTA SECCION (VICENTE GUERRERO)|final</v>
      </c>
    </row>
    <row r="309" spans="1:6" x14ac:dyDescent="0.25">
      <c r="A309" t="s">
        <v>3336</v>
      </c>
      <c r="B309" t="s">
        <v>2472</v>
      </c>
      <c r="C309" t="s">
        <v>2471</v>
      </c>
      <c r="D309" t="s">
        <v>1074</v>
      </c>
      <c r="F309" t="str" cm="1">
        <f t="array" aca="1" ref="F309" ca="1">eConcatenar(A309:D309,"|")</f>
        <v>localidadmigrada308|QWW6F2SYP6XNYS|LIBERTAD QUINTA SECCION |final</v>
      </c>
    </row>
    <row r="310" spans="1:6" x14ac:dyDescent="0.25">
      <c r="A310" t="s">
        <v>3337</v>
      </c>
      <c r="B310" t="s">
        <v>2470</v>
      </c>
      <c r="C310" t="s">
        <v>2469</v>
      </c>
      <c r="D310" t="s">
        <v>1074</v>
      </c>
      <c r="F310" t="str" cm="1">
        <f t="array" aca="1" ref="F310" ca="1">eConcatenar(A310:D310,"|")</f>
        <v>localidadmigrada309|QWW6F2Y8P6XNYS|LIBERTAD SEXTA SECCION (LOS MARTINEZ)|final</v>
      </c>
    </row>
    <row r="311" spans="1:6" x14ac:dyDescent="0.25">
      <c r="A311" t="s">
        <v>3338</v>
      </c>
      <c r="B311" t="s">
        <v>2468</v>
      </c>
      <c r="C311" t="s">
        <v>2467</v>
      </c>
      <c r="D311" t="s">
        <v>1074</v>
      </c>
      <c r="F311" t="str" cm="1">
        <f t="array" aca="1" ref="F311" ca="1">eConcatenar(A311:D311,"|")</f>
        <v>localidadmigrada310|QWW6F324P6XNYS|LOS AGUILARES|final</v>
      </c>
    </row>
    <row r="312" spans="1:6" x14ac:dyDescent="0.25">
      <c r="A312" t="s">
        <v>3339</v>
      </c>
      <c r="B312" t="s">
        <v>2466</v>
      </c>
      <c r="C312" t="s">
        <v>2465</v>
      </c>
      <c r="D312" t="s">
        <v>1074</v>
      </c>
      <c r="F312" t="str" cm="1">
        <f t="array" aca="1" ref="F312" ca="1">eConcatenar(A312:D312,"|")</f>
        <v>localidadmigrada311|QWW6F34WP6XNYS|LOS CEDROS|final</v>
      </c>
    </row>
    <row r="313" spans="1:6" x14ac:dyDescent="0.25">
      <c r="A313" t="s">
        <v>3340</v>
      </c>
      <c r="B313" t="s">
        <v>2464</v>
      </c>
      <c r="C313" t="s">
        <v>2463</v>
      </c>
      <c r="D313" t="s">
        <v>1074</v>
      </c>
      <c r="F313" t="str" cm="1">
        <f t="array" aca="1" ref="F313" ca="1">eConcatenar(A313:D313,"|")</f>
        <v>localidadmigrada312|QWW6F37OP6XNYS|LOS CERROS|final</v>
      </c>
    </row>
    <row r="314" spans="1:6" x14ac:dyDescent="0.25">
      <c r="A314" t="s">
        <v>3341</v>
      </c>
      <c r="B314" t="s">
        <v>2462</v>
      </c>
      <c r="C314" t="s">
        <v>2461</v>
      </c>
      <c r="D314" t="s">
        <v>1074</v>
      </c>
      <c r="F314" t="str" cm="1">
        <f t="array" aca="1" ref="F314" ca="1">eConcatenar(A314:D314,"|")</f>
        <v>localidadmigrada313|QWW6F3MOP6XNYS|MANTILLA|final</v>
      </c>
    </row>
    <row r="315" spans="1:6" x14ac:dyDescent="0.25">
      <c r="A315" t="s">
        <v>3342</v>
      </c>
      <c r="B315" t="s">
        <v>2460</v>
      </c>
      <c r="C315" t="s">
        <v>2459</v>
      </c>
      <c r="D315" t="s">
        <v>1074</v>
      </c>
      <c r="F315" t="str" cm="1">
        <f t="array" aca="1" ref="F315" ca="1">eConcatenar(A315:D315,"|")</f>
        <v>localidadmigrada314|QWW6F3PGP6XNYS|MARIN|final</v>
      </c>
    </row>
    <row r="316" spans="1:6" x14ac:dyDescent="0.25">
      <c r="A316" t="s">
        <v>3343</v>
      </c>
      <c r="B316" t="s">
        <v>2458</v>
      </c>
      <c r="C316" t="s">
        <v>2457</v>
      </c>
      <c r="D316" t="s">
        <v>1074</v>
      </c>
      <c r="F316" t="str" cm="1">
        <f t="array" aca="1" ref="F316" ca="1">eConcatenar(A316:D316,"|")</f>
        <v>localidadmigrada315|QWW6F3VKP6XNYS|MARIN (RAMPA DE PANUNCIO)|final</v>
      </c>
    </row>
    <row r="317" spans="1:6" x14ac:dyDescent="0.25">
      <c r="A317" t="s">
        <v>3344</v>
      </c>
      <c r="B317" t="s">
        <v>2456</v>
      </c>
      <c r="C317" t="s">
        <v>2455</v>
      </c>
      <c r="D317" t="s">
        <v>1074</v>
      </c>
      <c r="F317" t="str" cm="1">
        <f t="array" aca="1" ref="F317" ca="1">eConcatenar(A317:D317,"|")</f>
        <v>localidadmigrada316|QWW6F3ZGP6XNYS|MARIO BARRUETA GARCIA|final</v>
      </c>
    </row>
    <row r="318" spans="1:6" x14ac:dyDescent="0.25">
      <c r="A318" t="s">
        <v>3345</v>
      </c>
      <c r="B318" t="s">
        <v>2454</v>
      </c>
      <c r="C318" t="s">
        <v>2453</v>
      </c>
      <c r="D318" t="s">
        <v>1074</v>
      </c>
      <c r="F318" t="str" cm="1">
        <f t="array" aca="1" ref="F318" ca="1">eConcatenar(A318:D318,"|")</f>
        <v>localidadmigrada317|QWW6F4GEP6XNYS|MIAHUATLAN SAN ANTONIO|final</v>
      </c>
    </row>
    <row r="319" spans="1:6" x14ac:dyDescent="0.25">
      <c r="A319" t="s">
        <v>3346</v>
      </c>
      <c r="B319" t="s">
        <v>2452</v>
      </c>
      <c r="C319" t="s">
        <v>2451</v>
      </c>
      <c r="D319" t="s">
        <v>1074</v>
      </c>
      <c r="F319" t="str" cm="1">
        <f t="array" aca="1" ref="F319" ca="1">eConcatenar(A319:D319,"|")</f>
        <v>localidadmigrada318|QWW6F4M8P6XNYS|MIAHUATLAN SAN GREGORIO|final</v>
      </c>
    </row>
    <row r="320" spans="1:6" x14ac:dyDescent="0.25">
      <c r="A320" t="s">
        <v>3347</v>
      </c>
      <c r="B320" t="s">
        <v>2450</v>
      </c>
      <c r="C320" t="s">
        <v>2449</v>
      </c>
      <c r="D320" t="s">
        <v>1074</v>
      </c>
      <c r="F320" t="str" cm="1">
        <f t="array" aca="1" ref="F320" ca="1">eConcatenar(A320:D320,"|")</f>
        <v>localidadmigrada319|QWW6F4PKP6XNYS|MIAHUATLAN SAN ISIDRO|final</v>
      </c>
    </row>
    <row r="321" spans="1:6" x14ac:dyDescent="0.25">
      <c r="A321" t="s">
        <v>3348</v>
      </c>
      <c r="B321" t="s">
        <v>2448</v>
      </c>
      <c r="C321" t="s">
        <v>2447</v>
      </c>
      <c r="D321" t="s">
        <v>1074</v>
      </c>
      <c r="F321" t="str" cm="1">
        <f t="array" aca="1" ref="F321" ca="1">eConcatenar(A321:D321,"|")</f>
        <v>localidadmigrada320|QWW6F54KP6XNYS|MIAHUATLAN SAN NICOLAS|final</v>
      </c>
    </row>
    <row r="322" spans="1:6" x14ac:dyDescent="0.25">
      <c r="A322" t="s">
        <v>3349</v>
      </c>
      <c r="B322" t="s">
        <v>2446</v>
      </c>
      <c r="C322" t="s">
        <v>2445</v>
      </c>
      <c r="D322" t="s">
        <v>1074</v>
      </c>
      <c r="F322" t="str" cm="1">
        <f t="array" aca="1" ref="F322" ca="1">eConcatenar(A322:D322,"|")</f>
        <v>localidadmigrada321|QWW6F5A4P6XNYS|MIAHUATLAN PRIMERA SECCION |final</v>
      </c>
    </row>
    <row r="323" spans="1:6" x14ac:dyDescent="0.25">
      <c r="A323" t="s">
        <v>3350</v>
      </c>
      <c r="B323" t="s">
        <v>2444</v>
      </c>
      <c r="C323" t="s">
        <v>2443</v>
      </c>
      <c r="D323" t="s">
        <v>1074</v>
      </c>
      <c r="F323" t="str" cm="1">
        <f t="array" aca="1" ref="F323" ca="1">eConcatenar(A323:D323,"|")</f>
        <v>localidadmigrada322|QWW6F5E0P6XNYS|MIAHUATLAN SEGUNDA SECCION |final</v>
      </c>
    </row>
    <row r="324" spans="1:6" x14ac:dyDescent="0.25">
      <c r="A324" t="s">
        <v>3351</v>
      </c>
      <c r="B324" t="s">
        <v>2442</v>
      </c>
      <c r="C324" t="s">
        <v>2441</v>
      </c>
      <c r="D324" t="s">
        <v>1074</v>
      </c>
      <c r="F324" t="str" cm="1">
        <f t="array" aca="1" ref="F324" ca="1">eConcatenar(A324:D324,"|")</f>
        <v>localidadmigrada323|QWW6F5HWP6XNYS|MIAHUATLAN TERCERA SECCION |final</v>
      </c>
    </row>
    <row r="325" spans="1:6" x14ac:dyDescent="0.25">
      <c r="A325" t="s">
        <v>3352</v>
      </c>
      <c r="B325" t="s">
        <v>2440</v>
      </c>
      <c r="C325" t="s">
        <v>2439</v>
      </c>
      <c r="D325" t="s">
        <v>1074</v>
      </c>
      <c r="F325" t="str" cm="1">
        <f t="array" aca="1" ref="F325" ca="1">eConcatenar(A325:D325,"|")</f>
        <v>localidadmigrada324|QWW6F5ZOP6XNYS|MONTERREY|final</v>
      </c>
    </row>
    <row r="326" spans="1:6" x14ac:dyDescent="0.25">
      <c r="A326" t="s">
        <v>3353</v>
      </c>
      <c r="B326" t="s">
        <v>2438</v>
      </c>
      <c r="C326" t="s">
        <v>2437</v>
      </c>
      <c r="D326" t="s">
        <v>1074</v>
      </c>
      <c r="F326" t="str" cm="1">
        <f t="array" aca="1" ref="F326" ca="1">eConcatenar(A326:D326,"|")</f>
        <v>localidadmigrada325|QWW6F694P6XNYS|MORELOS PIEDRA TERCERA SECCION |final</v>
      </c>
    </row>
    <row r="327" spans="1:6" x14ac:dyDescent="0.25">
      <c r="A327" t="s">
        <v>3354</v>
      </c>
      <c r="B327" t="s">
        <v>2436</v>
      </c>
      <c r="C327" t="s">
        <v>827</v>
      </c>
      <c r="D327" t="s">
        <v>1074</v>
      </c>
      <c r="F327" t="str" cm="1">
        <f t="array" aca="1" ref="F327" ca="1">eConcatenar(A327:D327,"|")</f>
        <v>localidadmigrada326|QWW6F6MQP6XNYS|NICOLAS BRAVO|final</v>
      </c>
    </row>
    <row r="328" spans="1:6" x14ac:dyDescent="0.25">
      <c r="A328" t="s">
        <v>3355</v>
      </c>
      <c r="B328" t="s">
        <v>2435</v>
      </c>
      <c r="C328" t="s">
        <v>2434</v>
      </c>
      <c r="D328" t="s">
        <v>1074</v>
      </c>
      <c r="F328" t="str" cm="1">
        <f t="array" aca="1" ref="F328" ca="1">eConcatenar(A328:D328,"|")</f>
        <v>localidadmigrada327|QWW6FAPEP6XNYS|NUEVA ESPERANZA|final</v>
      </c>
    </row>
    <row r="329" spans="1:6" x14ac:dyDescent="0.25">
      <c r="A329" t="s">
        <v>3356</v>
      </c>
      <c r="B329" t="s">
        <v>2433</v>
      </c>
      <c r="C329" t="s">
        <v>2432</v>
      </c>
      <c r="D329" t="s">
        <v>1074</v>
      </c>
      <c r="F329" t="str" cm="1">
        <f t="array" aca="1" ref="F329" ca="1">eConcatenar(A329:D329,"|")</f>
        <v>localidadmigrada328|QWW6FBNUP6XNYS|ONCE DE FEBRERO CAMPO BELLOTA|final</v>
      </c>
    </row>
    <row r="330" spans="1:6" x14ac:dyDescent="0.25">
      <c r="A330" t="s">
        <v>3357</v>
      </c>
      <c r="B330" t="s">
        <v>2431</v>
      </c>
      <c r="C330" t="s">
        <v>2430</v>
      </c>
      <c r="D330" t="s">
        <v>1074</v>
      </c>
      <c r="F330" t="str" cm="1">
        <f t="array" aca="1" ref="F330" ca="1">eConcatenar(A330:D330,"|")</f>
        <v>localidadmigrada329|QWW6FC2KP6XNYS|ONCE DE FEBRERO PRIMERA SECCION |final</v>
      </c>
    </row>
    <row r="331" spans="1:6" x14ac:dyDescent="0.25">
      <c r="A331" t="s">
        <v>3358</v>
      </c>
      <c r="B331" t="s">
        <v>2429</v>
      </c>
      <c r="C331" t="s">
        <v>2428</v>
      </c>
      <c r="D331" t="s">
        <v>1074</v>
      </c>
      <c r="F331" t="str" cm="1">
        <f t="array" aca="1" ref="F331" ca="1">eConcatenar(A331:D331,"|")</f>
        <v>localidadmigrada330|QWW6FC66P6XNYS|ONCE DE FEBRERRO SEGUNDA SECCION |final</v>
      </c>
    </row>
    <row r="332" spans="1:6" x14ac:dyDescent="0.25">
      <c r="A332" t="s">
        <v>3359</v>
      </c>
      <c r="B332" t="s">
        <v>2427</v>
      </c>
      <c r="C332" t="s">
        <v>2426</v>
      </c>
      <c r="D332" t="s">
        <v>1074</v>
      </c>
      <c r="F332" t="str" cm="1">
        <f t="array" aca="1" ref="F332" ca="1">eConcatenar(A332:D332,"|")</f>
        <v>localidadmigrada331|QWW6FC9SP6XNYS|OSCAR GOMEZ SAUZ|final</v>
      </c>
    </row>
    <row r="333" spans="1:6" x14ac:dyDescent="0.25">
      <c r="A333" t="s">
        <v>3360</v>
      </c>
      <c r="B333" t="s">
        <v>2425</v>
      </c>
      <c r="C333" t="s">
        <v>2424</v>
      </c>
      <c r="D333" t="s">
        <v>1074</v>
      </c>
      <c r="F333" t="str" cm="1">
        <f t="array" aca="1" ref="F333" ca="1">eConcatenar(A333:D333,"|")</f>
        <v>localidadmigrada332|QWW6FCDEP6XNYS|PECHUCALCO|final</v>
      </c>
    </row>
    <row r="334" spans="1:6" x14ac:dyDescent="0.25">
      <c r="A334" t="s">
        <v>3361</v>
      </c>
      <c r="B334" t="s">
        <v>2423</v>
      </c>
      <c r="C334" t="s">
        <v>2422</v>
      </c>
      <c r="D334" t="s">
        <v>1074</v>
      </c>
      <c r="F334" t="str" cm="1">
        <f t="array" aca="1" ref="F334" ca="1">eConcatenar(A334:D334,"|")</f>
        <v>localidadmigrada333|QWW6FCTIP6XNYS|PECHUCALCO SEGUNDA SECCION LAS CRUCES|final</v>
      </c>
    </row>
    <row r="335" spans="1:6" x14ac:dyDescent="0.25">
      <c r="A335" t="s">
        <v>3362</v>
      </c>
      <c r="B335" t="s">
        <v>2421</v>
      </c>
      <c r="C335" t="s">
        <v>2420</v>
      </c>
      <c r="D335" t="s">
        <v>1074</v>
      </c>
      <c r="F335" t="str" cm="1">
        <f t="array" aca="1" ref="F335" ca="1">eConcatenar(A335:D335,"|")</f>
        <v>localidadmigrada334|QWW6FCZ2P6XNYS|PLATANO PRIMERA SECCION |final</v>
      </c>
    </row>
    <row r="336" spans="1:6" x14ac:dyDescent="0.25">
      <c r="A336" t="s">
        <v>3363</v>
      </c>
      <c r="B336" t="s">
        <v>2419</v>
      </c>
      <c r="C336" t="s">
        <v>2418</v>
      </c>
      <c r="D336" t="s">
        <v>1074</v>
      </c>
      <c r="F336" t="str" cm="1">
        <f t="array" aca="1" ref="F336" ca="1">eConcatenar(A336:D336,"|")</f>
        <v>localidadmigrada335|QWW6FD6KP6XNYS|PLATANO SEGUNDA SECCION |final</v>
      </c>
    </row>
    <row r="337" spans="1:6" x14ac:dyDescent="0.25">
      <c r="A337" t="s">
        <v>3364</v>
      </c>
      <c r="B337" t="s">
        <v>2417</v>
      </c>
      <c r="C337" t="s">
        <v>1396</v>
      </c>
      <c r="D337" t="s">
        <v>1074</v>
      </c>
      <c r="F337" t="str" cm="1">
        <f t="array" aca="1" ref="F337" ca="1">eConcatenar(A337:D337,"|")</f>
        <v>localidadmigrada336|QWW6FDKQP6XNYS|RANCHO NUEVO|final</v>
      </c>
    </row>
    <row r="338" spans="1:6" x14ac:dyDescent="0.25">
      <c r="A338" t="s">
        <v>3365</v>
      </c>
      <c r="B338" t="s">
        <v>2416</v>
      </c>
      <c r="C338" t="s">
        <v>2415</v>
      </c>
      <c r="D338" t="s">
        <v>1074</v>
      </c>
      <c r="F338" t="str" cm="1">
        <f t="array" aca="1" ref="F338" ca="1">eConcatenar(A338:D338,"|")</f>
        <v>localidadmigrada337|QWW6FDOMP6XNYS|RIO SECO PRIMERA SECCION |final</v>
      </c>
    </row>
    <row r="339" spans="1:6" x14ac:dyDescent="0.25">
      <c r="A339" t="s">
        <v>3366</v>
      </c>
      <c r="B339" t="s">
        <v>2414</v>
      </c>
      <c r="C339" t="s">
        <v>2413</v>
      </c>
      <c r="D339" t="s">
        <v>1074</v>
      </c>
      <c r="F339" t="str" cm="1">
        <f t="array" aca="1" ref="F339" ca="1">eConcatenar(A339:D339,"|")</f>
        <v>localidadmigrada338|QWW6FDTMP6XNYS|RIO SECO SEGUNDA SECCION SANTIAGUITO|final</v>
      </c>
    </row>
    <row r="340" spans="1:6" x14ac:dyDescent="0.25">
      <c r="A340" t="s">
        <v>3367</v>
      </c>
      <c r="B340" t="s">
        <v>2412</v>
      </c>
      <c r="C340" t="s">
        <v>2411</v>
      </c>
      <c r="D340" t="s">
        <v>1074</v>
      </c>
      <c r="F340" t="str" cm="1">
        <f t="array" aca="1" ref="F340" ca="1">eConcatenar(A340:D340,"|")</f>
        <v>localidadmigrada339|QWW6FDZQP6XNYS|RIO SECO TERCERA SECCION LA PLAYITA|final</v>
      </c>
    </row>
    <row r="341" spans="1:6" x14ac:dyDescent="0.25">
      <c r="A341" t="s">
        <v>3368</v>
      </c>
      <c r="B341" t="s">
        <v>2410</v>
      </c>
      <c r="C341" t="s">
        <v>837</v>
      </c>
      <c r="D341" t="s">
        <v>1074</v>
      </c>
      <c r="F341" t="str" cm="1">
        <f t="array" aca="1" ref="F341" ca="1">eConcatenar(A341:D341,"|")</f>
        <v>localidadmigrada340|QWW6FEDMP6XNYS|REFORMA|final</v>
      </c>
    </row>
    <row r="342" spans="1:6" x14ac:dyDescent="0.25">
      <c r="A342" t="s">
        <v>3369</v>
      </c>
      <c r="B342" t="s">
        <v>2409</v>
      </c>
      <c r="C342" t="s">
        <v>2408</v>
      </c>
      <c r="D342" t="s">
        <v>1074</v>
      </c>
      <c r="F342" t="str" cm="1">
        <f t="array" aca="1" ref="F342" ca="1">eConcatenar(A342:D342,"|")</f>
        <v>localidadmigrada341|QWW6FEI2P6XNYS|SAN BENITO TIERRA Y LIBERTAD|final</v>
      </c>
    </row>
    <row r="343" spans="1:6" x14ac:dyDescent="0.25">
      <c r="A343" t="s">
        <v>3370</v>
      </c>
      <c r="B343" t="s">
        <v>2407</v>
      </c>
      <c r="C343" t="s">
        <v>2406</v>
      </c>
      <c r="D343" t="s">
        <v>1074</v>
      </c>
      <c r="F343" t="str" cm="1">
        <f t="array" aca="1" ref="F343" ca="1">eConcatenar(A343:D343,"|")</f>
        <v>localidadmigrada342|QWW6FEKKP6XNYS|SAN ELIGIO|final</v>
      </c>
    </row>
    <row r="344" spans="1:6" x14ac:dyDescent="0.25">
      <c r="A344" t="s">
        <v>3371</v>
      </c>
      <c r="B344" t="s">
        <v>2405</v>
      </c>
      <c r="C344" t="s">
        <v>2404</v>
      </c>
      <c r="D344" t="s">
        <v>1074</v>
      </c>
      <c r="F344" t="str" cm="1">
        <f t="array" aca="1" ref="F344" ca="1">eConcatenar(A344:D344,"|")</f>
        <v>localidadmigrada343|QWW6FENCP6XNYS|SAN PEDRO CUMUAPA|final</v>
      </c>
    </row>
    <row r="345" spans="1:6" x14ac:dyDescent="0.25">
      <c r="A345" t="s">
        <v>3372</v>
      </c>
      <c r="B345" t="s">
        <v>2403</v>
      </c>
      <c r="C345" t="s">
        <v>1362</v>
      </c>
      <c r="D345" t="s">
        <v>1074</v>
      </c>
      <c r="F345" t="str" cm="1">
        <f t="array" aca="1" ref="F345" ca="1">eConcatenar(A345:D345,"|")</f>
        <v>localidadmigrada344|QWW6FEPKP6XNYS|SAN RAFAEL|final</v>
      </c>
    </row>
    <row r="346" spans="1:6" x14ac:dyDescent="0.25">
      <c r="A346" t="s">
        <v>3373</v>
      </c>
      <c r="B346" t="s">
        <v>2402</v>
      </c>
      <c r="C346" t="s">
        <v>2401</v>
      </c>
      <c r="D346" t="s">
        <v>1074</v>
      </c>
      <c r="F346" t="str" cm="1">
        <f t="array" aca="1" ref="F346" ca="1">eConcatenar(A346:D346,"|")</f>
        <v>localidadmigrada345|QWW6FF4AP6XNYS|SANTA ISABEL|final</v>
      </c>
    </row>
    <row r="347" spans="1:6" x14ac:dyDescent="0.25">
      <c r="A347" t="s">
        <v>3374</v>
      </c>
      <c r="B347" t="s">
        <v>2400</v>
      </c>
      <c r="C347" t="s">
        <v>554</v>
      </c>
      <c r="D347" t="s">
        <v>1074</v>
      </c>
      <c r="F347" t="str" cm="1">
        <f t="array" aca="1" ref="F347" ca="1">eConcatenar(A347:D347,"|")</f>
        <v>localidadmigrada346|QWW6FF72P6XNYS|SANTA LUCIA|final</v>
      </c>
    </row>
    <row r="348" spans="1:6" x14ac:dyDescent="0.25">
      <c r="A348" t="s">
        <v>3375</v>
      </c>
      <c r="B348" t="s">
        <v>2399</v>
      </c>
      <c r="C348" t="s">
        <v>2398</v>
      </c>
      <c r="D348" t="s">
        <v>1074</v>
      </c>
      <c r="F348" t="str" cm="1">
        <f t="array" aca="1" ref="F348" ca="1">eConcatenar(A348:D348,"|")</f>
        <v>localidadmigrada347|QWW6FFAEP6XNYS|SANTO TOMAS|final</v>
      </c>
    </row>
    <row r="349" spans="1:6" x14ac:dyDescent="0.25">
      <c r="A349" t="s">
        <v>3376</v>
      </c>
      <c r="B349" t="s">
        <v>2397</v>
      </c>
      <c r="C349" t="s">
        <v>2396</v>
      </c>
      <c r="D349" t="s">
        <v>1074</v>
      </c>
      <c r="F349" t="str" cm="1">
        <f t="array" aca="1" ref="F349" ca="1">eConcatenar(A349:D349,"|")</f>
        <v>localidadmigrada348|QWW6FFG8P6XNYS|TIERRA Y LIBERTAD|final</v>
      </c>
    </row>
    <row r="350" spans="1:6" x14ac:dyDescent="0.25">
      <c r="A350" t="s">
        <v>3377</v>
      </c>
      <c r="B350" t="s">
        <v>2395</v>
      </c>
      <c r="C350" t="s">
        <v>2394</v>
      </c>
      <c r="D350" t="s">
        <v>1074</v>
      </c>
      <c r="F350" t="str" cm="1">
        <f t="array" aca="1" ref="F350" ca="1">eConcatenar(A350:D350,"|")</f>
        <v>localidadmigrada349|QWW6FG1WP6XNYS|YOLOXOCHITL ESCOBILLAL|final</v>
      </c>
    </row>
    <row r="351" spans="1:6" x14ac:dyDescent="0.25">
      <c r="A351" t="s">
        <v>3378</v>
      </c>
      <c r="B351" t="s">
        <v>2393</v>
      </c>
      <c r="C351" t="s">
        <v>2392</v>
      </c>
      <c r="D351" t="s">
        <v>1074</v>
      </c>
      <c r="F351" t="str" cm="1">
        <f t="array" aca="1" ref="F351" ca="1">eConcatenar(A351:D351,"|")</f>
        <v>localidadmigrada350|QWW6FG6CP6XNYS|YOLOXOCHITL SEGUNDA SECCION |final</v>
      </c>
    </row>
    <row r="352" spans="1:6" x14ac:dyDescent="0.25">
      <c r="A352" t="s">
        <v>3379</v>
      </c>
      <c r="B352" t="s">
        <v>2391</v>
      </c>
      <c r="C352" t="s">
        <v>2390</v>
      </c>
      <c r="D352" t="s">
        <v>1074</v>
      </c>
      <c r="F352" t="str" cm="1">
        <f t="array" aca="1" ref="F352" ca="1">eConcatenar(A352:D352,"|")</f>
        <v>localidadmigrada351|QWW6FGRGP6XNYS|YOLOXOCHITL SEGUNDA SECCION SAN SEVERO|final</v>
      </c>
    </row>
    <row r="353" spans="1:6" x14ac:dyDescent="0.25">
      <c r="A353" t="s">
        <v>3380</v>
      </c>
      <c r="B353" t="s">
        <v>2389</v>
      </c>
      <c r="C353" t="s">
        <v>2388</v>
      </c>
      <c r="D353" t="s">
        <v>1074</v>
      </c>
      <c r="F353" t="str" cm="1">
        <f t="array" aca="1" ref="F353" ca="1">eConcatenar(A353:D353,"|")</f>
        <v>localidadmigrada352|QWW6FH2UP6XNYS|YOLOXOCHITL PRIMERA SECCION|final</v>
      </c>
    </row>
    <row r="354" spans="1:6" x14ac:dyDescent="0.25">
      <c r="A354" t="s">
        <v>3381</v>
      </c>
      <c r="B354" t="s">
        <v>2387</v>
      </c>
      <c r="C354" t="s">
        <v>2386</v>
      </c>
      <c r="D354" t="s">
        <v>1074</v>
      </c>
      <c r="F354" t="str" cm="1">
        <f t="array" aca="1" ref="F354" ca="1">eConcatenar(A354:D354,"|")</f>
        <v>localidadmigrada353|QWW6FHN4P6XNYS|YOLOXOCHITL TERCERA SECCION |final</v>
      </c>
    </row>
    <row r="355" spans="1:6" x14ac:dyDescent="0.25">
      <c r="A355" t="s">
        <v>3382</v>
      </c>
      <c r="B355" t="s">
        <v>2385</v>
      </c>
      <c r="C355" t="s">
        <v>2384</v>
      </c>
      <c r="D355" t="s">
        <v>1074</v>
      </c>
      <c r="F355" t="str" cm="1">
        <f t="array" aca="1" ref="F355" ca="1">eConcatenar(A355:D355,"|")</f>
        <v>localidadmigrada354|QWW6FI9WP6XNYS|11 DE FEBRERO|final</v>
      </c>
    </row>
    <row r="356" spans="1:6" x14ac:dyDescent="0.25">
      <c r="A356" t="s">
        <v>3383</v>
      </c>
      <c r="B356" t="s">
        <v>2383</v>
      </c>
      <c r="C356" t="s">
        <v>2382</v>
      </c>
      <c r="D356" t="s">
        <v>1074</v>
      </c>
      <c r="F356" t="str" cm="1">
        <f t="array" aca="1" ref="F356" ca="1">eConcatenar(A356:D356,"|")</f>
        <v>localidadmigrada355|QWW6FIE2P6XNYS|ABRAHAM DE LA CRUZ |final</v>
      </c>
    </row>
    <row r="357" spans="1:6" x14ac:dyDescent="0.25">
      <c r="A357" t="s">
        <v>3384</v>
      </c>
      <c r="B357" t="s">
        <v>2381</v>
      </c>
      <c r="C357" t="s">
        <v>2380</v>
      </c>
      <c r="D357" t="s">
        <v>1074</v>
      </c>
      <c r="F357" t="str" cm="1">
        <f t="array" aca="1" ref="F357" ca="1">eConcatenar(A357:D357,"|")</f>
        <v>localidadmigrada356|QWW6FIHYP6XNYS|BARRIO SANTIAGUITO|final</v>
      </c>
    </row>
    <row r="358" spans="1:6" x14ac:dyDescent="0.25">
      <c r="A358" t="s">
        <v>3385</v>
      </c>
      <c r="B358" t="s">
        <v>2379</v>
      </c>
      <c r="C358" t="s">
        <v>2378</v>
      </c>
      <c r="D358" t="s">
        <v>1074</v>
      </c>
      <c r="F358" t="str" cm="1">
        <f t="array" aca="1" ref="F358" ca="1">eConcatenar(A358:D358,"|")</f>
        <v>localidadmigrada357|QWW6FIKGP6XNYS|CRISTAL|final</v>
      </c>
    </row>
    <row r="359" spans="1:6" x14ac:dyDescent="0.25">
      <c r="A359" t="s">
        <v>3386</v>
      </c>
      <c r="B359" t="s">
        <v>2377</v>
      </c>
      <c r="C359" t="s">
        <v>2376</v>
      </c>
      <c r="D359" t="s">
        <v>1074</v>
      </c>
      <c r="F359" t="str" cm="1">
        <f t="array" aca="1" ref="F359" ca="1">eConcatenar(A359:D359,"|")</f>
        <v>localidadmigrada358|QWW6FJ64P6XNYS|CUNDUACAN CENTRO|final</v>
      </c>
    </row>
    <row r="360" spans="1:6" x14ac:dyDescent="0.25">
      <c r="A360" t="s">
        <v>3387</v>
      </c>
      <c r="B360" t="s">
        <v>2375</v>
      </c>
      <c r="C360" t="s">
        <v>2374</v>
      </c>
      <c r="D360" t="s">
        <v>1074</v>
      </c>
      <c r="F360" t="str" cm="1">
        <f t="array" aca="1" ref="F360" ca="1">eConcatenar(A360:D360,"|")</f>
        <v>localidadmigrada359|QWW6FJ9GP6XNYS|EJIDO TULAR|final</v>
      </c>
    </row>
    <row r="361" spans="1:6" x14ac:dyDescent="0.25">
      <c r="A361" t="s">
        <v>3388</v>
      </c>
      <c r="B361" t="s">
        <v>2373</v>
      </c>
      <c r="C361" t="s">
        <v>2372</v>
      </c>
      <c r="D361" t="s">
        <v>1074</v>
      </c>
      <c r="F361" t="str" cm="1">
        <f t="array" aca="1" ref="F361" ca="1">eConcatenar(A361:D361,"|")</f>
        <v>localidadmigrada360|QWW6FJE6P6XNYS|FRACCIONAMIENTO ATENAS |final</v>
      </c>
    </row>
    <row r="362" spans="1:6" x14ac:dyDescent="0.25">
      <c r="A362" t="s">
        <v>3389</v>
      </c>
      <c r="B362" t="s">
        <v>2371</v>
      </c>
      <c r="C362" t="s">
        <v>2370</v>
      </c>
      <c r="D362" t="s">
        <v>1074</v>
      </c>
      <c r="F362" t="str" cm="1">
        <f t="array" aca="1" ref="F362" ca="1">eConcatenar(A362:D362,"|")</f>
        <v>localidadmigrada361|QWW6FJUKP6XNYS|FRACCIONAMIENTO CUANDUACAN 2000|final</v>
      </c>
    </row>
    <row r="363" spans="1:6" x14ac:dyDescent="0.25">
      <c r="A363" t="s">
        <v>3390</v>
      </c>
      <c r="B363" t="s">
        <v>2369</v>
      </c>
      <c r="C363" t="s">
        <v>2368</v>
      </c>
      <c r="D363" t="s">
        <v>1074</v>
      </c>
      <c r="F363" t="str" cm="1">
        <f t="array" aca="1" ref="F363" ca="1">eConcatenar(A363:D363,"|")</f>
        <v>localidadmigrada362|QWW6FK1IP6XNYS|FRACCIONAMIENTO LAS FINCAS|final</v>
      </c>
    </row>
    <row r="364" spans="1:6" x14ac:dyDescent="0.25">
      <c r="A364" t="s">
        <v>3391</v>
      </c>
      <c r="B364" t="s">
        <v>2367</v>
      </c>
      <c r="C364" t="s">
        <v>2366</v>
      </c>
      <c r="D364" t="s">
        <v>1074</v>
      </c>
      <c r="F364" t="str" cm="1">
        <f t="array" aca="1" ref="F364" ca="1">eConcatenar(A364:D364,"|")</f>
        <v>localidadmigrada363|QWW6FK5OP6XNYS|FRACCIONAMIENTO SALAMANCA|final</v>
      </c>
    </row>
    <row r="365" spans="1:6" x14ac:dyDescent="0.25">
      <c r="A365" t="s">
        <v>3392</v>
      </c>
      <c r="B365" t="s">
        <v>2365</v>
      </c>
      <c r="C365" t="s">
        <v>2364</v>
      </c>
      <c r="D365" t="s">
        <v>1074</v>
      </c>
      <c r="F365" t="str" cm="1">
        <f t="array" aca="1" ref="F365" ca="1">eConcatenar(A365:D365,"|")</f>
        <v>localidadmigrada364|QWW6FKKYP6XNYS|FRACCIONAMIENTO SAN ANTONIO|final</v>
      </c>
    </row>
    <row r="366" spans="1:6" x14ac:dyDescent="0.25">
      <c r="A366" t="s">
        <v>3393</v>
      </c>
      <c r="B366" t="s">
        <v>2363</v>
      </c>
      <c r="C366" t="s">
        <v>2362</v>
      </c>
      <c r="D366" t="s">
        <v>1074</v>
      </c>
      <c r="F366" t="str" cm="1">
        <f t="array" aca="1" ref="F366" ca="1">eConcatenar(A366:D366,"|")</f>
        <v>localidadmigrada365|QWW6FKQ8P6XNYS|HUIMANGO SEGUNDA SECCCION |final</v>
      </c>
    </row>
    <row r="367" spans="1:6" x14ac:dyDescent="0.25">
      <c r="A367" t="s">
        <v>3394</v>
      </c>
      <c r="B367" t="s">
        <v>2361</v>
      </c>
      <c r="C367" t="s">
        <v>2360</v>
      </c>
      <c r="D367" t="s">
        <v>1074</v>
      </c>
      <c r="F367" t="str" cm="1">
        <f t="array" aca="1" ref="F367" ca="1">eConcatenar(A367:D367,"|")</f>
        <v>localidadmigrada366|QWW6FKUOP6XNYS|JARDINES DEL BOSQUE|final</v>
      </c>
    </row>
    <row r="368" spans="1:6" x14ac:dyDescent="0.25">
      <c r="A368" t="s">
        <v>3395</v>
      </c>
      <c r="B368" t="s">
        <v>2359</v>
      </c>
      <c r="C368" t="s">
        <v>2358</v>
      </c>
      <c r="D368" t="s">
        <v>1074</v>
      </c>
      <c r="F368" t="str" cm="1">
        <f t="array" aca="1" ref="F368" ca="1">eConcatenar(A368:D368,"|")</f>
        <v>localidadmigrada367|QWW6FKX6P6XNYS|LA PLAYITA|final</v>
      </c>
    </row>
    <row r="369" spans="1:6" x14ac:dyDescent="0.25">
      <c r="A369" t="s">
        <v>3396</v>
      </c>
      <c r="B369" t="s">
        <v>2357</v>
      </c>
      <c r="C369" t="s">
        <v>2356</v>
      </c>
      <c r="D369" t="s">
        <v>1074</v>
      </c>
      <c r="F369" t="str" cm="1">
        <f t="array" aca="1" ref="F369" ca="1">eConcatenar(A369:D369,"|")</f>
        <v>localidadmigrada368|QWW6FLBWP6XNYS|LIBERTAD PRIMERA SECCION |final</v>
      </c>
    </row>
    <row r="370" spans="1:6" x14ac:dyDescent="0.25">
      <c r="A370" t="s">
        <v>3397</v>
      </c>
      <c r="B370" t="s">
        <v>2355</v>
      </c>
      <c r="C370" t="s">
        <v>1528</v>
      </c>
      <c r="D370" t="s">
        <v>1074</v>
      </c>
      <c r="F370" t="str" cm="1">
        <f t="array" aca="1" ref="F370" ca="1">eConcatenar(A370:D370,"|")</f>
        <v>localidadmigrada369|QWW6FLFSP6XNYS|MANUEL SANCHEZ MARMOL|final</v>
      </c>
    </row>
    <row r="371" spans="1:6" x14ac:dyDescent="0.25">
      <c r="A371" t="s">
        <v>3398</v>
      </c>
      <c r="B371" t="s">
        <v>2354</v>
      </c>
      <c r="C371" t="s">
        <v>2353</v>
      </c>
      <c r="D371" t="s">
        <v>1074</v>
      </c>
      <c r="F371" t="str" cm="1">
        <f t="array" aca="1" ref="F371" ca="1">eConcatenar(A371:D371,"|")</f>
        <v>localidadmigrada370|QWW6FLJ4P6XNYS|OBRERA A|final</v>
      </c>
    </row>
    <row r="372" spans="1:6" x14ac:dyDescent="0.25">
      <c r="A372" t="s">
        <v>3399</v>
      </c>
      <c r="B372" t="s">
        <v>2352</v>
      </c>
      <c r="C372" t="s">
        <v>815</v>
      </c>
      <c r="D372" t="s">
        <v>1074</v>
      </c>
      <c r="F372" t="str" cm="1">
        <f t="array" aca="1" ref="F372" ca="1">eConcatenar(A372:D372,"|")</f>
        <v>localidadmigrada371|QWW6FMD4P6XNYS|ALDAMA|final</v>
      </c>
    </row>
    <row r="373" spans="1:6" x14ac:dyDescent="0.25">
      <c r="A373" t="s">
        <v>3400</v>
      </c>
      <c r="B373" t="s">
        <v>2351</v>
      </c>
      <c r="C373" t="s">
        <v>2350</v>
      </c>
      <c r="D373" t="s">
        <v>1074</v>
      </c>
      <c r="F373" t="str" cm="1">
        <f t="array" aca="1" ref="F373" ca="1">eConcatenar(A373:D373,"|")</f>
        <v>localidadmigrada372|QWW6FMWAP6XNYS|ALDAMA SEGUNDA SECCION FERNANDO SEGOVIA|final</v>
      </c>
    </row>
    <row r="374" spans="1:6" x14ac:dyDescent="0.25">
      <c r="A374" t="s">
        <v>3401</v>
      </c>
      <c r="B374" t="s">
        <v>2349</v>
      </c>
      <c r="C374" t="s">
        <v>2348</v>
      </c>
      <c r="D374" t="s">
        <v>1074</v>
      </c>
      <c r="F374" t="str" cm="1">
        <f t="array" aca="1" ref="F374" ca="1">eConcatenar(A374:D374,"|")</f>
        <v>localidadmigrada373|QWW6FN38P6XNYS|ALDAMA TERCERA SECCION HUAPACALITO|final</v>
      </c>
    </row>
    <row r="375" spans="1:6" x14ac:dyDescent="0.25">
      <c r="A375" t="s">
        <v>3402</v>
      </c>
      <c r="B375" t="s">
        <v>2347</v>
      </c>
      <c r="C375" t="s">
        <v>2346</v>
      </c>
      <c r="D375" t="s">
        <v>1074</v>
      </c>
      <c r="F375" t="str" cm="1">
        <f t="array" aca="1" ref="F375" ca="1">eConcatenar(A375:D375,"|")</f>
        <v>localidadmigrada374|QWW6FN8IP6XNYS|ALDAMA CUARTA SECCION EL NARANJITO|final</v>
      </c>
    </row>
    <row r="376" spans="1:6" x14ac:dyDescent="0.25">
      <c r="A376" t="s">
        <v>3403</v>
      </c>
      <c r="B376" t="s">
        <v>2345</v>
      </c>
      <c r="C376" t="s">
        <v>2344</v>
      </c>
      <c r="D376" t="s">
        <v>1074</v>
      </c>
      <c r="F376" t="str" cm="1">
        <f t="array" aca="1" ref="F376" ca="1">eConcatenar(A376:D376,"|")</f>
        <v>localidadmigrada375|QWW6FNMYP6XNYS|ARENA PRIMERA SECCION |final</v>
      </c>
    </row>
    <row r="377" spans="1:6" x14ac:dyDescent="0.25">
      <c r="A377" t="s">
        <v>3404</v>
      </c>
      <c r="B377" t="s">
        <v>2343</v>
      </c>
      <c r="C377" t="s">
        <v>2342</v>
      </c>
      <c r="D377" t="s">
        <v>1074</v>
      </c>
      <c r="F377" t="str" cm="1">
        <f t="array" aca="1" ref="F377" ca="1">eConcatenar(A377:D377,"|")</f>
        <v>localidadmigrada376|QWW6FNQKP6XNYS|ARENA SEGUNDA SECCION |final</v>
      </c>
    </row>
    <row r="378" spans="1:6" x14ac:dyDescent="0.25">
      <c r="A378" t="s">
        <v>3405</v>
      </c>
      <c r="B378" t="s">
        <v>2341</v>
      </c>
      <c r="C378" t="s">
        <v>2340</v>
      </c>
      <c r="D378" t="s">
        <v>1074</v>
      </c>
      <c r="F378" t="str" cm="1">
        <f t="array" aca="1" ref="F378" ca="1">eConcatenar(A378:D378,"|")</f>
        <v>localidadmigrada377|QWW6FNU6P6XNYS|ARENA TERCERA SECCION |final</v>
      </c>
    </row>
    <row r="379" spans="1:6" x14ac:dyDescent="0.25">
      <c r="A379" t="s">
        <v>3406</v>
      </c>
      <c r="B379" t="s">
        <v>2339</v>
      </c>
      <c r="C379" t="s">
        <v>2338</v>
      </c>
      <c r="D379" t="s">
        <v>1074</v>
      </c>
      <c r="F379" t="str" cm="1">
        <f t="array" aca="1" ref="F379" ca="1">eConcatenar(A379:D379,"|")</f>
        <v>localidadmigrada378|QWW6FNWOP6XNYS|ARENA CUARTA SECCION |final</v>
      </c>
    </row>
    <row r="380" spans="1:6" x14ac:dyDescent="0.25">
      <c r="A380" t="s">
        <v>3407</v>
      </c>
      <c r="B380" t="s">
        <v>2337</v>
      </c>
      <c r="C380" t="s">
        <v>2336</v>
      </c>
      <c r="D380" t="s">
        <v>1074</v>
      </c>
      <c r="F380" t="str" cm="1">
        <f t="array" aca="1" ref="F380" ca="1">eConcatenar(A380:D380,"|")</f>
        <v>localidadmigrada379|QWW6FO00P6XNYS|ARENA QUINTA SECCION |final</v>
      </c>
    </row>
    <row r="381" spans="1:6" x14ac:dyDescent="0.25">
      <c r="A381" t="s">
        <v>3408</v>
      </c>
      <c r="B381" t="s">
        <v>2335</v>
      </c>
      <c r="C381" t="s">
        <v>2334</v>
      </c>
      <c r="D381" t="s">
        <v>1074</v>
      </c>
      <c r="F381" t="str" cm="1">
        <f t="array" aca="1" ref="F381" ca="1">eConcatenar(A381:D381,"|")</f>
        <v>localidadmigrada380|QWW6FOFUP6XNYS|ARENA SEXTA SECCION LA BOLSA|final</v>
      </c>
    </row>
    <row r="382" spans="1:6" x14ac:dyDescent="0.25">
      <c r="A382" t="s">
        <v>3409</v>
      </c>
      <c r="B382" t="s">
        <v>2333</v>
      </c>
      <c r="C382" t="s">
        <v>2332</v>
      </c>
      <c r="D382" t="s">
        <v>1074</v>
      </c>
      <c r="F382" t="str" cm="1">
        <f t="array" aca="1" ref="F382" ca="1">eConcatenar(A382:D382,"|")</f>
        <v>localidadmigrada381|QWW6FOM8P6XNYS|ARROYO HONDO PRIMERA SECCION GUACIMO|final</v>
      </c>
    </row>
    <row r="383" spans="1:6" x14ac:dyDescent="0.25">
      <c r="A383" t="s">
        <v>3410</v>
      </c>
      <c r="B383" t="s">
        <v>2331</v>
      </c>
      <c r="C383" t="s">
        <v>2330</v>
      </c>
      <c r="D383" t="s">
        <v>1074</v>
      </c>
      <c r="F383" t="str" cm="1">
        <f t="array" aca="1" ref="F383" ca="1">eConcatenar(A383:D383,"|")</f>
        <v>localidadmigrada382|QWW6FORSP6XNYS|ARROYO HONDO SEGUNDA SECCION |final</v>
      </c>
    </row>
    <row r="384" spans="1:6" x14ac:dyDescent="0.25">
      <c r="A384" t="s">
        <v>3411</v>
      </c>
      <c r="B384" t="s">
        <v>2329</v>
      </c>
      <c r="C384" t="s">
        <v>2328</v>
      </c>
      <c r="D384" t="s">
        <v>1074</v>
      </c>
      <c r="F384" t="str" cm="1">
        <f t="array" aca="1" ref="F384" ca="1">eConcatenar(A384:D384,"|")</f>
        <v>localidadmigrada383|QWW6FP7WP6XNYS|ARROYO HONDO TERCERA SECCION |final</v>
      </c>
    </row>
    <row r="385" spans="1:6" x14ac:dyDescent="0.25">
      <c r="A385" t="s">
        <v>3412</v>
      </c>
      <c r="B385" t="s">
        <v>2327</v>
      </c>
      <c r="C385" t="s">
        <v>2326</v>
      </c>
      <c r="D385" t="s">
        <v>1074</v>
      </c>
      <c r="F385" t="str" cm="1">
        <f t="array" aca="1" ref="F385" ca="1">eConcatenar(A385:D385,"|")</f>
        <v>localidadmigrada384|QWW6FPDQP6XNYS|ARROYO HONDO CUARTA SECCION |final</v>
      </c>
    </row>
    <row r="386" spans="1:6" x14ac:dyDescent="0.25">
      <c r="A386" t="s">
        <v>3413</v>
      </c>
      <c r="B386" t="s">
        <v>2325</v>
      </c>
      <c r="C386" t="s">
        <v>2324</v>
      </c>
      <c r="D386" t="s">
        <v>1074</v>
      </c>
      <c r="F386" t="str" cm="1">
        <f t="array" aca="1" ref="F386" ca="1">eConcatenar(A386:D386,"|")</f>
        <v>localidadmigrada385|QWW6FPHCP6XNYS|BELISARIO DOMINGUEZ|final</v>
      </c>
    </row>
    <row r="387" spans="1:6" x14ac:dyDescent="0.25">
      <c r="A387" t="s">
        <v>3414</v>
      </c>
      <c r="B387" t="s">
        <v>2323</v>
      </c>
      <c r="C387" t="s">
        <v>2322</v>
      </c>
      <c r="D387" t="s">
        <v>1074</v>
      </c>
      <c r="F387" t="str" cm="1">
        <f t="array" aca="1" ref="F387" ca="1">eConcatenar(A387:D387,"|")</f>
        <v>localidadmigrada386|QWW6FPKEP6XNYS|BETANIA|final</v>
      </c>
    </row>
    <row r="388" spans="1:6" x14ac:dyDescent="0.25">
      <c r="A388" t="s">
        <v>3415</v>
      </c>
      <c r="B388" t="s">
        <v>2321</v>
      </c>
      <c r="C388" t="s">
        <v>2320</v>
      </c>
      <c r="D388" t="s">
        <v>1074</v>
      </c>
      <c r="F388" t="str" cm="1">
        <f t="array" aca="1" ref="F388" ca="1">eConcatenar(A388:D388,"|")</f>
        <v>localidadmigrada387|QWW6FPYUP6XNYS|CARLOS GREEN |final</v>
      </c>
    </row>
    <row r="389" spans="1:6" x14ac:dyDescent="0.25">
      <c r="A389" t="s">
        <v>3416</v>
      </c>
      <c r="B389" t="s">
        <v>2319</v>
      </c>
      <c r="C389" t="s">
        <v>2318</v>
      </c>
      <c r="D389" t="s">
        <v>1074</v>
      </c>
      <c r="F389" t="str" cm="1">
        <f t="array" aca="1" ref="F389" ca="1">eConcatenar(A389:D389,"|")</f>
        <v>localidadmigrada388|QWW6FQ3KP6XNYS|CARLOS GREEN PRIMERA SECCION DOS|final</v>
      </c>
    </row>
    <row r="390" spans="1:6" x14ac:dyDescent="0.25">
      <c r="A390" t="s">
        <v>3417</v>
      </c>
      <c r="B390" t="s">
        <v>2317</v>
      </c>
      <c r="C390" t="s">
        <v>2316</v>
      </c>
      <c r="D390" t="s">
        <v>1074</v>
      </c>
      <c r="F390" t="str" cm="1">
        <f t="array" aca="1" ref="F390" ca="1">eConcatenar(A390:D390,"|")</f>
        <v>localidadmigrada389|QWW6FQ7QP6XNYS|CARLOS GREEN PRIMERA SECCION TRES|final</v>
      </c>
    </row>
    <row r="391" spans="1:6" x14ac:dyDescent="0.25">
      <c r="A391" t="s">
        <v>3418</v>
      </c>
      <c r="B391" t="s">
        <v>2315</v>
      </c>
      <c r="C391" t="s">
        <v>2314</v>
      </c>
      <c r="D391" t="s">
        <v>1074</v>
      </c>
      <c r="F391" t="str" cm="1">
        <f t="array" aca="1" ref="F391" ca="1">eConcatenar(A391:D391,"|")</f>
        <v>localidadmigrada390|QWW6FQD0P6XNYS|CARLOS GREEN TERCERA SECCION |final</v>
      </c>
    </row>
    <row r="392" spans="1:6" x14ac:dyDescent="0.25">
      <c r="A392" t="s">
        <v>3419</v>
      </c>
      <c r="B392" t="s">
        <v>2313</v>
      </c>
      <c r="C392" t="s">
        <v>2312</v>
      </c>
      <c r="D392" t="s">
        <v>1074</v>
      </c>
      <c r="F392" t="str" cm="1">
        <f t="array" aca="1" ref="F392" ca="1">eConcatenar(A392:D392,"|")</f>
        <v>localidadmigrada391|QWW6FQVMP6XNYS|CARLOS GREEN SEGUNDA SECCION |final</v>
      </c>
    </row>
    <row r="393" spans="1:6" x14ac:dyDescent="0.25">
      <c r="A393" t="s">
        <v>3420</v>
      </c>
      <c r="B393" t="s">
        <v>2311</v>
      </c>
      <c r="C393" t="s">
        <v>2310</v>
      </c>
      <c r="D393" t="s">
        <v>1074</v>
      </c>
      <c r="F393" t="str" cm="1">
        <f t="array" aca="1" ref="F393" ca="1">eConcatenar(A393:D393,"|")</f>
        <v>localidadmigrada392|QWW6FR02P6XNYS|CARLOS GREEN CUARTA SECCION |final</v>
      </c>
    </row>
    <row r="394" spans="1:6" x14ac:dyDescent="0.25">
      <c r="A394" t="s">
        <v>3421</v>
      </c>
      <c r="B394" t="s">
        <v>2309</v>
      </c>
      <c r="C394" t="s">
        <v>583</v>
      </c>
      <c r="D394" t="s">
        <v>1074</v>
      </c>
      <c r="F394" t="str" cm="1">
        <f t="array" aca="1" ref="F394" ca="1">eConcatenar(A394:D394,"|")</f>
        <v>localidadmigrada393|QWW6FRNEP6XNYS|CARLOS PELLICER CAMARA|final</v>
      </c>
    </row>
    <row r="395" spans="1:6" x14ac:dyDescent="0.25">
      <c r="A395" t="s">
        <v>3422</v>
      </c>
      <c r="B395" t="s">
        <v>2308</v>
      </c>
      <c r="C395" t="s">
        <v>2307</v>
      </c>
      <c r="D395" t="s">
        <v>1074</v>
      </c>
      <c r="F395" t="str" cm="1">
        <f t="array" aca="1" ref="F395" ca="1">eConcatenar(A395:D395,"|")</f>
        <v>localidadmigrada394|QWW6FRSEP6XNYS|CENTRO TULAR PRIMERA SECCION |final</v>
      </c>
    </row>
    <row r="396" spans="1:6" x14ac:dyDescent="0.25">
      <c r="A396" t="s">
        <v>3423</v>
      </c>
      <c r="B396" t="s">
        <v>2306</v>
      </c>
      <c r="C396" t="s">
        <v>2305</v>
      </c>
      <c r="D396" t="s">
        <v>1074</v>
      </c>
      <c r="F396" t="str" cm="1">
        <f t="array" aca="1" ref="F396" ca="1">eConcatenar(A396:D396,"|")</f>
        <v>localidadmigrada395|QWW6FRWKP6XNYS|CENTRO TULAR SEGUNDA SECCION |final</v>
      </c>
    </row>
    <row r="397" spans="1:6" x14ac:dyDescent="0.25">
      <c r="A397" t="s">
        <v>3424</v>
      </c>
      <c r="B397" t="s">
        <v>2304</v>
      </c>
      <c r="C397" t="s">
        <v>2303</v>
      </c>
      <c r="D397" t="s">
        <v>1074</v>
      </c>
      <c r="F397" t="str" cm="1">
        <f t="array" aca="1" ref="F397" ca="1">eConcatenar(A397:D397,"|")</f>
        <v>localidadmigrada396|QWW6FSBAP6XNYS|CHAMPA DE CUPILCO|final</v>
      </c>
    </row>
    <row r="398" spans="1:6" x14ac:dyDescent="0.25">
      <c r="A398" t="s">
        <v>3425</v>
      </c>
      <c r="B398" t="s">
        <v>2302</v>
      </c>
      <c r="C398" t="s">
        <v>2301</v>
      </c>
      <c r="D398" t="s">
        <v>1074</v>
      </c>
      <c r="F398" t="str" cm="1">
        <f t="array" aca="1" ref="F398" ca="1">eConcatenar(A398:D398,"|")</f>
        <v>localidadmigrada397|QWW6FSEMP6XNYS|CHICHICAPA|final</v>
      </c>
    </row>
    <row r="399" spans="1:6" x14ac:dyDescent="0.25">
      <c r="A399" t="s">
        <v>3426</v>
      </c>
      <c r="B399" t="s">
        <v>2300</v>
      </c>
      <c r="C399" t="s">
        <v>2299</v>
      </c>
      <c r="D399" t="s">
        <v>1074</v>
      </c>
      <c r="F399" t="str" cm="1">
        <f t="array" aca="1" ref="F399" ca="1">eConcatenar(A399:D399,"|")</f>
        <v>localidadmigrada398|QWW6FSIIP6XNYS|CHICHICAPA DOS|final</v>
      </c>
    </row>
    <row r="400" spans="1:6" x14ac:dyDescent="0.25">
      <c r="A400" t="s">
        <v>3427</v>
      </c>
      <c r="B400" t="s">
        <v>2298</v>
      </c>
      <c r="C400" t="s">
        <v>2297</v>
      </c>
      <c r="D400" t="s">
        <v>1074</v>
      </c>
      <c r="F400" t="str" cm="1">
        <f t="array" aca="1" ref="F400" ca="1">eConcatenar(A400:D400,"|")</f>
        <v>localidadmigrada399|QWW6FSMOP6XNYS|CHICOZAPOTE|final</v>
      </c>
    </row>
    <row r="401" spans="1:6" x14ac:dyDescent="0.25">
      <c r="A401" t="s">
        <v>3428</v>
      </c>
      <c r="B401" t="s">
        <v>2296</v>
      </c>
      <c r="C401" t="s">
        <v>2295</v>
      </c>
      <c r="D401" t="s">
        <v>1074</v>
      </c>
      <c r="F401" t="str" cm="1">
        <f t="array" aca="1" ref="F401" ca="1">eConcatenar(A401:D401,"|")</f>
        <v>localidadmigrada400|QWW6FT4GP6XNYS|COCOHITAL|final</v>
      </c>
    </row>
    <row r="402" spans="1:6" x14ac:dyDescent="0.25">
      <c r="A402" t="s">
        <v>3429</v>
      </c>
      <c r="B402" t="s">
        <v>2294</v>
      </c>
      <c r="C402" t="s">
        <v>2293</v>
      </c>
      <c r="D402" t="s">
        <v>1074</v>
      </c>
      <c r="F402" t="str" cm="1">
        <f t="array" aca="1" ref="F402" ca="1">eConcatenar(A402:D402,"|")</f>
        <v>localidadmigrada401|QWW6FT7IP6XNYS|COCOHITAL DOS|final</v>
      </c>
    </row>
    <row r="403" spans="1:6" x14ac:dyDescent="0.25">
      <c r="A403" t="s">
        <v>3430</v>
      </c>
      <c r="B403" t="s">
        <v>2292</v>
      </c>
      <c r="C403" t="s">
        <v>722</v>
      </c>
      <c r="D403" t="s">
        <v>1074</v>
      </c>
      <c r="F403" t="str" cm="1">
        <f t="array" aca="1" ref="F403" ca="1">eConcatenar(A403:D403,"|")</f>
        <v>localidadmigrada402|QWW6FTAKP6XNYS|COMALCALCO|final</v>
      </c>
    </row>
    <row r="404" spans="1:6" x14ac:dyDescent="0.25">
      <c r="A404" t="s">
        <v>3431</v>
      </c>
      <c r="B404" t="s">
        <v>2291</v>
      </c>
      <c r="C404" t="s">
        <v>2290</v>
      </c>
      <c r="D404" t="s">
        <v>1074</v>
      </c>
      <c r="F404" t="str" cm="1">
        <f t="array" aca="1" ref="F404" ca="1">eConcatenar(A404:D404,"|")</f>
        <v>localidadmigrada403|QWW6FTDWP6XNYS|CUPILCO|final</v>
      </c>
    </row>
    <row r="405" spans="1:6" x14ac:dyDescent="0.25">
      <c r="A405" t="s">
        <v>3432</v>
      </c>
      <c r="B405" t="s">
        <v>2289</v>
      </c>
      <c r="C405" t="s">
        <v>2288</v>
      </c>
      <c r="D405" t="s">
        <v>1074</v>
      </c>
      <c r="F405" t="str" cm="1">
        <f t="array" aca="1" ref="F405" ca="1">eConcatenar(A405:D405,"|")</f>
        <v>localidadmigrada404|QWW6FU72P6XNYS|CUXCUXAPA|final</v>
      </c>
    </row>
    <row r="406" spans="1:6" x14ac:dyDescent="0.25">
      <c r="A406" t="s">
        <v>3433</v>
      </c>
      <c r="B406" t="s">
        <v>2287</v>
      </c>
      <c r="C406" t="s">
        <v>2286</v>
      </c>
      <c r="D406" t="s">
        <v>1074</v>
      </c>
      <c r="F406" t="str" cm="1">
        <f t="array" aca="1" ref="F406" ca="1">eConcatenar(A406:D406,"|")</f>
        <v>localidadmigrada405|QWW6FUKOP6XNYS|EL ANGEL|final</v>
      </c>
    </row>
    <row r="407" spans="1:6" x14ac:dyDescent="0.25">
      <c r="A407" t="s">
        <v>3434</v>
      </c>
      <c r="B407" t="s">
        <v>2285</v>
      </c>
      <c r="C407" t="s">
        <v>2284</v>
      </c>
      <c r="D407" t="s">
        <v>1074</v>
      </c>
      <c r="F407" t="str" cm="1">
        <f t="array" aca="1" ref="F407" ca="1">eConcatenar(A407:D407,"|")</f>
        <v>localidadmigrada406|QWW6FUOAP6XNYS|EMILIANO ZAPATA PRIMERA SECCION |final</v>
      </c>
    </row>
    <row r="408" spans="1:6" x14ac:dyDescent="0.25">
      <c r="A408" t="s">
        <v>3435</v>
      </c>
      <c r="B408" t="s">
        <v>2283</v>
      </c>
      <c r="C408" t="s">
        <v>1743</v>
      </c>
      <c r="D408" t="s">
        <v>1074</v>
      </c>
      <c r="F408" t="str" cm="1">
        <f t="array" aca="1" ref="F408" ca="1">eConcatenar(A408:D408,"|")</f>
        <v>localidadmigrada407|QWW6FUVIP6XNYS|EMILIANO ZAPATA SEGUNDA SECCION |final</v>
      </c>
    </row>
    <row r="409" spans="1:6" x14ac:dyDescent="0.25">
      <c r="A409" t="s">
        <v>3436</v>
      </c>
      <c r="B409" t="s">
        <v>2282</v>
      </c>
      <c r="C409" t="s">
        <v>2281</v>
      </c>
      <c r="D409" t="s">
        <v>1074</v>
      </c>
      <c r="F409" t="str" cm="1">
        <f t="array" aca="1" ref="F409" ca="1">eConcatenar(A409:D409,"|")</f>
        <v>localidadmigrada408|QWW6FVD0P6XNYS|FRANCISCO I MADERO PRIMERA SECCION |final</v>
      </c>
    </row>
    <row r="410" spans="1:6" x14ac:dyDescent="0.25">
      <c r="A410" t="s">
        <v>3437</v>
      </c>
      <c r="B410" t="s">
        <v>2280</v>
      </c>
      <c r="C410" t="s">
        <v>2279</v>
      </c>
      <c r="D410" t="s">
        <v>1074</v>
      </c>
      <c r="F410" t="str" cm="1">
        <f t="array" aca="1" ref="F410" ca="1">eConcatenar(A410:D410,"|")</f>
        <v>localidadmigrada409|QWW6FVGMP6XNYS|FRANCISCO I MADERO SEGUNDA SECCION |final</v>
      </c>
    </row>
    <row r="411" spans="1:6" x14ac:dyDescent="0.25">
      <c r="A411" t="s">
        <v>3438</v>
      </c>
      <c r="B411" t="s">
        <v>2278</v>
      </c>
      <c r="C411" t="s">
        <v>2277</v>
      </c>
      <c r="D411" t="s">
        <v>1074</v>
      </c>
      <c r="F411" t="str" cm="1">
        <f t="array" aca="1" ref="F411" ca="1">eConcatenar(A411:D411,"|")</f>
        <v>localidadmigrada410|QWW6FVL2P6XNYS|FRANCISCI TRUJILLO GURRIA |final</v>
      </c>
    </row>
    <row r="412" spans="1:6" x14ac:dyDescent="0.25">
      <c r="A412" t="s">
        <v>3439</v>
      </c>
      <c r="B412" t="s">
        <v>2276</v>
      </c>
      <c r="C412" t="s">
        <v>2275</v>
      </c>
      <c r="D412" t="s">
        <v>1074</v>
      </c>
      <c r="F412" t="str" cm="1">
        <f t="array" aca="1" ref="F412" ca="1">eConcatenar(A412:D412,"|")</f>
        <v>localidadmigrada411|QWW6FVO4P6XNYS|GOBERNADORES |final</v>
      </c>
    </row>
    <row r="413" spans="1:6" x14ac:dyDescent="0.25">
      <c r="A413" t="s">
        <v>3440</v>
      </c>
      <c r="B413" t="s">
        <v>2274</v>
      </c>
      <c r="C413" t="s">
        <v>2273</v>
      </c>
      <c r="D413" t="s">
        <v>1074</v>
      </c>
      <c r="F413" t="str" cm="1">
        <f t="array" aca="1" ref="F413" ca="1">eConcatenar(A413:D413,"|")</f>
        <v>localidadmigrada412|QWW6FW3EP6XNYS|GREGORIO MENDEZ PRIMERA SECCION |final</v>
      </c>
    </row>
    <row r="414" spans="1:6" x14ac:dyDescent="0.25">
      <c r="A414" t="s">
        <v>3441</v>
      </c>
      <c r="B414" t="s">
        <v>2272</v>
      </c>
      <c r="C414" t="s">
        <v>1703</v>
      </c>
      <c r="D414" t="s">
        <v>1074</v>
      </c>
      <c r="F414" t="str" cm="1">
        <f t="array" aca="1" ref="F414" ca="1">eConcatenar(A414:D414,"|")</f>
        <v>localidadmigrada413|QWW6FWA2P6XNYS|GREGORIO MENDEZ SEGUNDA SECCION |final</v>
      </c>
    </row>
    <row r="415" spans="1:6" x14ac:dyDescent="0.25">
      <c r="A415" t="s">
        <v>3442</v>
      </c>
      <c r="B415" t="s">
        <v>2271</v>
      </c>
      <c r="C415" t="s">
        <v>2270</v>
      </c>
      <c r="D415" t="s">
        <v>1074</v>
      </c>
      <c r="F415" t="str" cm="1">
        <f t="array" aca="1" ref="F415" ca="1">eConcatenar(A415:D415,"|")</f>
        <v>localidadmigrada414|QWW6FWH0P6XNYS|GREGORIO MENDEZ TERCERA SECCION |final</v>
      </c>
    </row>
    <row r="416" spans="1:6" x14ac:dyDescent="0.25">
      <c r="A416" t="s">
        <v>3443</v>
      </c>
      <c r="B416" t="s">
        <v>2269</v>
      </c>
      <c r="C416" t="s">
        <v>2268</v>
      </c>
      <c r="D416" t="s">
        <v>1074</v>
      </c>
      <c r="F416" t="str" cm="1">
        <f t="array" aca="1" ref="F416" ca="1">eConcatenar(A416:D416,"|")</f>
        <v>localidadmigrada415|QWW6FX06P6XNYS|GREGORIO MENDEZ CUARTA SECCION EL SANTIAGO|final</v>
      </c>
    </row>
    <row r="417" spans="1:6" x14ac:dyDescent="0.25">
      <c r="A417" t="s">
        <v>3444</v>
      </c>
      <c r="B417" t="s">
        <v>2267</v>
      </c>
      <c r="C417" t="s">
        <v>2266</v>
      </c>
      <c r="D417" t="s">
        <v>1074</v>
      </c>
      <c r="F417" t="str" cm="1">
        <f t="array" aca="1" ref="F417" ca="1">eConcatenar(A417:D417,"|")</f>
        <v>localidadmigrada416|QWW6FXWOP6XNYS|GUATEMALAN |final</v>
      </c>
    </row>
    <row r="418" spans="1:6" x14ac:dyDescent="0.25">
      <c r="A418" t="s">
        <v>3445</v>
      </c>
      <c r="B418" t="s">
        <v>2265</v>
      </c>
      <c r="C418" t="s">
        <v>2264</v>
      </c>
      <c r="D418" t="s">
        <v>1074</v>
      </c>
      <c r="F418" t="str" cm="1">
        <f t="array" aca="1" ref="F418" ca="1">eConcatenar(A418:D418,"|")</f>
        <v>localidadmigrada417|QWW6FY0KP6XNYS|GUAYO PRIMERA SECCION |final</v>
      </c>
    </row>
    <row r="419" spans="1:6" x14ac:dyDescent="0.25">
      <c r="A419" t="s">
        <v>3446</v>
      </c>
      <c r="B419" t="s">
        <v>2263</v>
      </c>
      <c r="C419" t="s">
        <v>2262</v>
      </c>
      <c r="D419" t="s">
        <v>1074</v>
      </c>
      <c r="F419" t="str" cm="1">
        <f t="array" aca="1" ref="F419" ca="1">eConcatenar(A419:D419,"|")</f>
        <v>localidadmigrada418|QWW6FYFUP6XNYS|GUAYO SEGUNDA SECCION |final</v>
      </c>
    </row>
    <row r="420" spans="1:6" x14ac:dyDescent="0.25">
      <c r="A420" t="s">
        <v>3447</v>
      </c>
      <c r="B420" t="s">
        <v>2261</v>
      </c>
      <c r="C420" t="s">
        <v>2260</v>
      </c>
      <c r="D420" t="s">
        <v>1074</v>
      </c>
      <c r="F420" t="str" cm="1">
        <f t="array" aca="1" ref="F420" ca="1">eConcatenar(A420:D420,"|")</f>
        <v>localidadmigrada419|QWW6FYJ6P6XNYS|GUAYO TERCERA SECCION |final</v>
      </c>
    </row>
    <row r="421" spans="1:6" x14ac:dyDescent="0.25">
      <c r="A421" t="s">
        <v>3448</v>
      </c>
      <c r="B421" t="s">
        <v>2259</v>
      </c>
      <c r="C421" t="s">
        <v>2258</v>
      </c>
      <c r="D421" t="s">
        <v>1074</v>
      </c>
      <c r="F421" t="str" cm="1">
        <f t="array" aca="1" ref="F421" ca="1">eConcatenar(A421:D421,"|")</f>
        <v>localidadmigrada420|QWW6FYNCP6XNYS|HEMEREGILDO GALEANA |final</v>
      </c>
    </row>
    <row r="422" spans="1:6" x14ac:dyDescent="0.25">
      <c r="A422" t="s">
        <v>3449</v>
      </c>
      <c r="B422" t="s">
        <v>2257</v>
      </c>
      <c r="C422" t="s">
        <v>2256</v>
      </c>
      <c r="D422" t="s">
        <v>1074</v>
      </c>
      <c r="F422" t="str" cm="1">
        <f t="array" aca="1" ref="F422" ca="1">eConcatenar(A422:D422,"|")</f>
        <v>localidadmigrada421|QWW6FYSCP6XNYS|IGNACIO GUTIERREZ GOMEZ |final</v>
      </c>
    </row>
    <row r="423" spans="1:6" x14ac:dyDescent="0.25">
      <c r="A423" t="s">
        <v>3450</v>
      </c>
      <c r="B423" t="s">
        <v>2255</v>
      </c>
      <c r="C423" t="s">
        <v>2254</v>
      </c>
      <c r="D423" t="s">
        <v>1074</v>
      </c>
      <c r="F423" t="str" cm="1">
        <f t="array" aca="1" ref="F423" ca="1">eConcatenar(A423:D423,"|")</f>
        <v>localidadmigrada422|QWW6FZ9KP6XNYS|IGNACIO ZARAGOZA PRIMERA SECCION |final</v>
      </c>
    </row>
    <row r="424" spans="1:6" x14ac:dyDescent="0.25">
      <c r="A424" t="s">
        <v>3451</v>
      </c>
      <c r="B424" t="s">
        <v>2253</v>
      </c>
      <c r="C424" t="s">
        <v>2252</v>
      </c>
      <c r="D424" t="s">
        <v>1074</v>
      </c>
      <c r="F424" t="str" cm="1">
        <f t="array" aca="1" ref="F424" ca="1">eConcatenar(A424:D424,"|")</f>
        <v>localidadmigrada423|QWW6FZK4P6XNYS|IGNACIO ZARAGOZA TERCERA SECCION |final</v>
      </c>
    </row>
    <row r="425" spans="1:6" x14ac:dyDescent="0.25">
      <c r="A425" t="s">
        <v>3452</v>
      </c>
      <c r="B425" t="s">
        <v>2251</v>
      </c>
      <c r="C425" t="s">
        <v>2250</v>
      </c>
      <c r="D425" t="s">
        <v>1074</v>
      </c>
      <c r="F425" t="str" cm="1">
        <f t="array" aca="1" ref="F425" ca="1">eConcatenar(A425:D425,"|")</f>
        <v>localidadmigrada424|QWW6G05SP6XNYS|IGNACIO ZARAGOZA SEGUNDA SECCION |final</v>
      </c>
    </row>
    <row r="426" spans="1:6" x14ac:dyDescent="0.25">
      <c r="A426" t="s">
        <v>3453</v>
      </c>
      <c r="B426" t="s">
        <v>2249</v>
      </c>
      <c r="C426" t="s">
        <v>2248</v>
      </c>
      <c r="D426" t="s">
        <v>1074</v>
      </c>
      <c r="F426" t="str" cm="1">
        <f t="array" aca="1" ref="F426" ca="1">eConcatenar(A426:D426,"|")</f>
        <v>localidadmigrada425|QWW6G0BWP6XNYS|IGNACIO ZARAGOZA CUARTA SECCION SAN ANDRES|final</v>
      </c>
    </row>
    <row r="427" spans="1:6" x14ac:dyDescent="0.25">
      <c r="A427" t="s">
        <v>3454</v>
      </c>
      <c r="B427" t="s">
        <v>2247</v>
      </c>
      <c r="C427" t="s">
        <v>2246</v>
      </c>
      <c r="D427" t="s">
        <v>1074</v>
      </c>
      <c r="F427" t="str" cm="1">
        <f t="array" aca="1" ref="F427" ca="1">eConcatenar(A427:D427,"|")</f>
        <v>localidadmigrada426|QWW6G0QCP6XNYS|INDEPENDECIA|final</v>
      </c>
    </row>
    <row r="428" spans="1:6" x14ac:dyDescent="0.25">
      <c r="A428" t="s">
        <v>3455</v>
      </c>
      <c r="B428" t="s">
        <v>2245</v>
      </c>
      <c r="C428" t="s">
        <v>2244</v>
      </c>
      <c r="D428" t="s">
        <v>1074</v>
      </c>
      <c r="F428" t="str" cm="1">
        <f t="array" aca="1" ref="F428" ca="1">eConcatenar(A428:D428,"|")</f>
        <v>localidadmigrada427|QWW6G0U8P6XNYS|INDEPENDECIA PRIMERA SECCION |final</v>
      </c>
    </row>
    <row r="429" spans="1:6" x14ac:dyDescent="0.25">
      <c r="A429" t="s">
        <v>3456</v>
      </c>
      <c r="B429" t="s">
        <v>2243</v>
      </c>
      <c r="C429" t="s">
        <v>2242</v>
      </c>
      <c r="D429" t="s">
        <v>1074</v>
      </c>
      <c r="F429" t="str" cm="1">
        <f t="array" aca="1" ref="F429" ca="1">eConcatenar(A429:D429,"|")</f>
        <v>localidadmigrada428|QWW6G0Z8P6XNYS|INDEPENDENCIA SEGUNDA SECCION |final</v>
      </c>
    </row>
    <row r="430" spans="1:6" x14ac:dyDescent="0.25">
      <c r="A430" t="s">
        <v>3457</v>
      </c>
      <c r="B430" t="s">
        <v>2241</v>
      </c>
      <c r="C430" t="s">
        <v>2240</v>
      </c>
      <c r="D430" t="s">
        <v>1074</v>
      </c>
      <c r="F430" t="str" cm="1">
        <f t="array" aca="1" ref="F430" ca="1">eConcatenar(A430:D430,"|")</f>
        <v>localidadmigrada429|QWW6G1K2P6XNYS|INDEPENDENCIA TERCERA SECCION |final</v>
      </c>
    </row>
    <row r="431" spans="1:6" x14ac:dyDescent="0.25">
      <c r="A431" t="s">
        <v>3458</v>
      </c>
      <c r="B431" t="s">
        <v>2239</v>
      </c>
      <c r="C431" t="s">
        <v>2238</v>
      </c>
      <c r="D431" t="s">
        <v>1074</v>
      </c>
      <c r="F431" t="str" cm="1">
        <f t="array" aca="1" ref="F431" ca="1">eConcatenar(A431:D431,"|")</f>
        <v>localidadmigrada430|QWW6G1MKP6XNYS|JESUS CARRANZA|final</v>
      </c>
    </row>
    <row r="432" spans="1:6" x14ac:dyDescent="0.25">
      <c r="A432" t="s">
        <v>3459</v>
      </c>
      <c r="B432" t="s">
        <v>2237</v>
      </c>
      <c r="C432" t="s">
        <v>2236</v>
      </c>
      <c r="D432" t="s">
        <v>1074</v>
      </c>
      <c r="F432" t="str" cm="1">
        <f t="array" aca="1" ref="F432" ca="1">eConcatenar(A432:D432,"|")</f>
        <v>localidadmigrada431|QWW6G1SYP6XNYS|JOSE MARIA PINO SUAREZ PRIMERA SECCION |final</v>
      </c>
    </row>
    <row r="433" spans="1:6" x14ac:dyDescent="0.25">
      <c r="A433" t="s">
        <v>3460</v>
      </c>
      <c r="B433" t="s">
        <v>2235</v>
      </c>
      <c r="C433" t="s">
        <v>1662</v>
      </c>
      <c r="D433" t="s">
        <v>1074</v>
      </c>
      <c r="F433" t="str" cm="1">
        <f t="array" aca="1" ref="F433" ca="1">eConcatenar(A433:D433,"|")</f>
        <v>localidadmigrada432|QWW6G1XEP6XNYS|JOSE MARIA PINO SUAREZ SEGUNDA SECCION |final</v>
      </c>
    </row>
    <row r="434" spans="1:6" x14ac:dyDescent="0.25">
      <c r="A434" t="s">
        <v>3461</v>
      </c>
      <c r="B434" t="s">
        <v>2234</v>
      </c>
      <c r="C434" t="s">
        <v>2233</v>
      </c>
      <c r="D434" t="s">
        <v>1074</v>
      </c>
      <c r="F434" t="str" cm="1">
        <f t="array" aca="1" ref="F434" ca="1">eConcatenar(A434:D434,"|")</f>
        <v>localidadmigrada433|QWW6G2EMP6XNYS|JOSE MARIA PINO SUAREZ TERCERA SECCION CORINTO|final</v>
      </c>
    </row>
    <row r="435" spans="1:6" x14ac:dyDescent="0.25">
      <c r="A435" t="s">
        <v>3462</v>
      </c>
      <c r="B435" t="s">
        <v>2232</v>
      </c>
      <c r="C435" t="s">
        <v>2231</v>
      </c>
      <c r="D435" t="s">
        <v>1074</v>
      </c>
      <c r="F435" t="str" cm="1">
        <f t="array" aca="1" ref="F435" ca="1">eConcatenar(A435:D435,"|")</f>
        <v>localidadmigrada434|QWW6G2ISP6XNYS|LAGARTERA|final</v>
      </c>
    </row>
    <row r="436" spans="1:6" x14ac:dyDescent="0.25">
      <c r="A436" t="s">
        <v>3463</v>
      </c>
      <c r="B436" t="s">
        <v>2230</v>
      </c>
      <c r="C436" t="s">
        <v>2229</v>
      </c>
      <c r="D436" t="s">
        <v>1074</v>
      </c>
      <c r="F436" t="str" cm="1">
        <f t="array" aca="1" ref="F436" ca="1">eConcatenar(A436:D436,"|")</f>
        <v>localidadmigrada435|QWW6G8NWP6XNYS|LAZARO CARDENAS PRIMERA SECCION |final</v>
      </c>
    </row>
    <row r="437" spans="1:6" x14ac:dyDescent="0.25">
      <c r="A437" t="s">
        <v>3464</v>
      </c>
      <c r="B437" t="s">
        <v>2228</v>
      </c>
      <c r="C437" t="s">
        <v>2227</v>
      </c>
      <c r="D437" t="s">
        <v>1074</v>
      </c>
      <c r="F437" t="str" cm="1">
        <f t="array" aca="1" ref="F437" ca="1">eConcatenar(A437:D437,"|")</f>
        <v>localidadmigrada436|QWW6G8SMP6XNYS|LAZARO CARDENAS SEGUNDA SECCION EL RETIRO|final</v>
      </c>
    </row>
    <row r="438" spans="1:6" x14ac:dyDescent="0.25">
      <c r="A438" t="s">
        <v>3465</v>
      </c>
      <c r="B438" t="s">
        <v>2226</v>
      </c>
      <c r="C438" t="s">
        <v>2225</v>
      </c>
      <c r="D438" t="s">
        <v>1074</v>
      </c>
      <c r="F438" t="str" cm="1">
        <f t="array" aca="1" ref="F438" ca="1">eConcatenar(A438:D438,"|")</f>
        <v>localidadmigrada437|QWW6G97WP6XNYS|LAZARO CARDENAS TERCERA SECCION|final</v>
      </c>
    </row>
    <row r="439" spans="1:6" x14ac:dyDescent="0.25">
      <c r="A439" t="s">
        <v>3466</v>
      </c>
      <c r="B439" t="s">
        <v>2224</v>
      </c>
      <c r="C439" t="s">
        <v>2223</v>
      </c>
      <c r="D439" t="s">
        <v>1074</v>
      </c>
      <c r="F439" t="str" cm="1">
        <f t="array" aca="1" ref="F439" ca="1">eConcatenar(A439:D439,"|")</f>
        <v>localidadmigrada438|QWW6G9DQP6XNYS|LEON ZARATE SEGUNDA SECCION |final</v>
      </c>
    </row>
    <row r="440" spans="1:6" x14ac:dyDescent="0.25">
      <c r="A440" t="s">
        <v>3467</v>
      </c>
      <c r="B440" t="s">
        <v>2222</v>
      </c>
      <c r="C440" t="s">
        <v>860</v>
      </c>
      <c r="D440" t="s">
        <v>1074</v>
      </c>
      <c r="F440" t="str" cm="1">
        <f t="array" aca="1" ref="F440" ca="1">eConcatenar(A440:D440,"|")</f>
        <v>localidadmigrada439|QWW6G9HCP6XNYS|MIGUEL HIDALGO|final</v>
      </c>
    </row>
    <row r="441" spans="1:6" x14ac:dyDescent="0.25">
      <c r="A441" t="s">
        <v>3468</v>
      </c>
      <c r="B441" t="s">
        <v>2221</v>
      </c>
      <c r="C441" t="s">
        <v>2220</v>
      </c>
      <c r="D441" t="s">
        <v>1074</v>
      </c>
      <c r="F441" t="str" cm="1">
        <f t="array" aca="1" ref="F441" ca="1">eConcatenar(A441:D441,"|")</f>
        <v>localidadmigrada440|QWW6G9LSP6XNYS|NORTE PRIMERA SECCION BUENA VISTA|final</v>
      </c>
    </row>
    <row r="442" spans="1:6" x14ac:dyDescent="0.25">
      <c r="A442" t="s">
        <v>3469</v>
      </c>
      <c r="B442" t="s">
        <v>2219</v>
      </c>
      <c r="C442" t="s">
        <v>2218</v>
      </c>
      <c r="D442" t="s">
        <v>1074</v>
      </c>
      <c r="F442" t="str" cm="1">
        <f t="array" aca="1" ref="F442" ca="1">eConcatenar(A442:D442,"|")</f>
        <v>localidadmigrada441|QWW6GA1WP6XNYS|NORTE PRIMERA SECCION SAN JULIAN  |final</v>
      </c>
    </row>
    <row r="443" spans="1:6" x14ac:dyDescent="0.25">
      <c r="A443" t="s">
        <v>3470</v>
      </c>
      <c r="B443" t="s">
        <v>2217</v>
      </c>
      <c r="C443" t="s">
        <v>2216</v>
      </c>
      <c r="D443" t="s">
        <v>1074</v>
      </c>
      <c r="F443" t="str" cm="1">
        <f t="array" aca="1" ref="F443" ca="1">eConcatenar(A443:D443,"|")</f>
        <v>localidadmigrada442|QWW6GA6WP6XNYS|NORTE SEGUNDA SECCION |final</v>
      </c>
    </row>
    <row r="444" spans="1:6" x14ac:dyDescent="0.25">
      <c r="A444" t="s">
        <v>3471</v>
      </c>
      <c r="B444" t="s">
        <v>2215</v>
      </c>
      <c r="C444" t="s">
        <v>2214</v>
      </c>
      <c r="D444" t="s">
        <v>1074</v>
      </c>
      <c r="F444" t="str" cm="1">
        <f t="array" aca="1" ref="F444" ca="1">eConcatenar(A444:D444,"|")</f>
        <v>localidadmigrada443|QWW6GAB2P6XNYS|NOVILLERO CUARTA SECCION |final</v>
      </c>
    </row>
    <row r="445" spans="1:6" x14ac:dyDescent="0.25">
      <c r="A445" t="s">
        <v>3472</v>
      </c>
      <c r="B445" t="s">
        <v>2213</v>
      </c>
      <c r="C445" t="s">
        <v>2212</v>
      </c>
      <c r="D445" t="s">
        <v>1074</v>
      </c>
      <c r="F445" t="str" cm="1">
        <f t="array" aca="1" ref="F445" ca="1">eConcatenar(A445:D445,"|")</f>
        <v>localidadmigrada444|QWW6GAEYP6XNYS|OCCIDENTE PRIMERA SECCION |final</v>
      </c>
    </row>
    <row r="446" spans="1:6" x14ac:dyDescent="0.25">
      <c r="A446" t="s">
        <v>3473</v>
      </c>
      <c r="B446" t="s">
        <v>2211</v>
      </c>
      <c r="C446" t="s">
        <v>2210</v>
      </c>
      <c r="D446" t="s">
        <v>1074</v>
      </c>
      <c r="F446" t="str" cm="1">
        <f t="array" aca="1" ref="F446" ca="1">eConcatenar(A446:D446,"|")</f>
        <v>localidadmigrada445|QWW6GAT4P6XNYS|OCCIDENTE SEGUNDA SECCION |final</v>
      </c>
    </row>
    <row r="447" spans="1:6" x14ac:dyDescent="0.25">
      <c r="A447" t="s">
        <v>3474</v>
      </c>
      <c r="B447" t="s">
        <v>2209</v>
      </c>
      <c r="C447" t="s">
        <v>2208</v>
      </c>
      <c r="D447" t="s">
        <v>1074</v>
      </c>
      <c r="F447" t="str" cm="1">
        <f t="array" aca="1" ref="F447" ca="1">eConcatenar(A447:D447,"|")</f>
        <v>localidadmigrada446|QWW6GAX0P6XNYS|OCCIDENTE TERCERA SECCION|final</v>
      </c>
    </row>
    <row r="448" spans="1:6" x14ac:dyDescent="0.25">
      <c r="A448" t="s">
        <v>3475</v>
      </c>
      <c r="B448" t="s">
        <v>2207</v>
      </c>
      <c r="C448" t="s">
        <v>2206</v>
      </c>
      <c r="D448" t="s">
        <v>1074</v>
      </c>
      <c r="F448" t="str" cm="1">
        <f t="array" aca="1" ref="F448" ca="1">eConcatenar(A448:D448,"|")</f>
        <v>localidadmigrada447|QWW6GB02P6XNYS|OCCIDENTE CUARTA SECCION |final</v>
      </c>
    </row>
    <row r="449" spans="1:6" x14ac:dyDescent="0.25">
      <c r="A449" t="s">
        <v>3476</v>
      </c>
      <c r="B449" t="s">
        <v>2205</v>
      </c>
      <c r="C449" t="s">
        <v>2204</v>
      </c>
      <c r="D449" t="s">
        <v>1074</v>
      </c>
      <c r="F449" t="str" cm="1">
        <f t="array" aca="1" ref="F449" ca="1">eConcatenar(A449:D449,"|")</f>
        <v>localidadmigrada448|QWW6GB3EP6XNYS|OCCIDENTE VILLA ALDAMA |final</v>
      </c>
    </row>
    <row r="450" spans="1:6" x14ac:dyDescent="0.25">
      <c r="A450" t="s">
        <v>3477</v>
      </c>
      <c r="B450" t="s">
        <v>2203</v>
      </c>
      <c r="C450" t="s">
        <v>2202</v>
      </c>
      <c r="D450" t="s">
        <v>1074</v>
      </c>
      <c r="F450" t="str" cm="1">
        <f t="array" aca="1" ref="F450" ca="1">eConcatenar(A450:D450,"|")</f>
        <v>localidadmigrada449|QWW6GB5MP6XNYS|ORIENTE|final</v>
      </c>
    </row>
    <row r="451" spans="1:6" x14ac:dyDescent="0.25">
      <c r="A451" t="s">
        <v>3478</v>
      </c>
      <c r="B451" t="s">
        <v>2201</v>
      </c>
      <c r="C451" t="s">
        <v>2200</v>
      </c>
      <c r="D451" t="s">
        <v>1074</v>
      </c>
      <c r="F451" t="str" cm="1">
        <f t="array" aca="1" ref="F451" ca="1">eConcatenar(A451:D451,"|")</f>
        <v>localidadmigrada450|QWW6GBKMP6XNYS|ORIENTE PRIMERA SECCION |final</v>
      </c>
    </row>
    <row r="452" spans="1:6" x14ac:dyDescent="0.25">
      <c r="A452" t="s">
        <v>3479</v>
      </c>
      <c r="B452" t="s">
        <v>2199</v>
      </c>
      <c r="C452" t="s">
        <v>2198</v>
      </c>
      <c r="D452" t="s">
        <v>1074</v>
      </c>
      <c r="F452" t="str" cm="1">
        <f t="array" aca="1" ref="F452" ca="1">eConcatenar(A452:D452,"|")</f>
        <v>localidadmigrada451|QWW6GBRAP6XNYS|ORIENTE PRIMERA SECCION SANTO DOMINGO|final</v>
      </c>
    </row>
    <row r="453" spans="1:6" x14ac:dyDescent="0.25">
      <c r="A453" t="s">
        <v>3480</v>
      </c>
      <c r="B453" t="s">
        <v>2197</v>
      </c>
      <c r="C453" t="s">
        <v>2196</v>
      </c>
      <c r="D453" t="s">
        <v>1074</v>
      </c>
      <c r="F453" t="str" cm="1">
        <f t="array" aca="1" ref="F453" ca="1">eConcatenar(A453:D453,"|")</f>
        <v>localidadmigrada452|QWW6GBWKP6XNYS|ORIENTE SEGUNDA SECCION SAN CAYETANO |final</v>
      </c>
    </row>
    <row r="454" spans="1:6" x14ac:dyDescent="0.25">
      <c r="A454" t="s">
        <v>3481</v>
      </c>
      <c r="B454" t="s">
        <v>2195</v>
      </c>
      <c r="C454" t="s">
        <v>2194</v>
      </c>
      <c r="D454" t="s">
        <v>1074</v>
      </c>
      <c r="F454" t="str" cm="1">
        <f t="array" aca="1" ref="F454" ca="1">eConcatenar(A454:D454,"|")</f>
        <v>localidadmigrada453|QWW6GCB0P6XNYS|ORIENTE TERCERA SECCION |final</v>
      </c>
    </row>
    <row r="455" spans="1:6" x14ac:dyDescent="0.25">
      <c r="A455" t="s">
        <v>3482</v>
      </c>
      <c r="B455" t="s">
        <v>2193</v>
      </c>
      <c r="C455" t="s">
        <v>2192</v>
      </c>
      <c r="D455" t="s">
        <v>1074</v>
      </c>
      <c r="F455" t="str" cm="1">
        <f t="array" aca="1" ref="F455" ca="1">eConcatenar(A455:D455,"|")</f>
        <v>localidadmigrada454|QWW6GCHYP6XNYS|ORIENTE CUARTA SECCION TRIPA CIEGA |final</v>
      </c>
    </row>
    <row r="456" spans="1:6" x14ac:dyDescent="0.25">
      <c r="A456" t="s">
        <v>3483</v>
      </c>
      <c r="B456" t="s">
        <v>2191</v>
      </c>
      <c r="C456" t="s">
        <v>2190</v>
      </c>
      <c r="D456" t="s">
        <v>1074</v>
      </c>
      <c r="F456" t="str" cm="1">
        <f t="array" aca="1" ref="F456" ca="1">eConcatenar(A456:D456,"|")</f>
        <v>localidadmigrada455|QWW6GCNIP6XNYS|ORIENTE QUINTA SECCION LA CANDELARIA |final</v>
      </c>
    </row>
    <row r="457" spans="1:6" x14ac:dyDescent="0.25">
      <c r="A457" t="s">
        <v>3484</v>
      </c>
      <c r="B457" t="s">
        <v>2189</v>
      </c>
      <c r="C457" t="s">
        <v>2188</v>
      </c>
      <c r="D457" t="s">
        <v>1074</v>
      </c>
      <c r="F457" t="str" cm="1">
        <f t="array" aca="1" ref="F457" ca="1">eConcatenar(A457:D457,"|")</f>
        <v>localidadmigrada456|QWW6H7Z0P6XNYS|ORIENTE SEXTA SECCION  LOS MULATOS|final</v>
      </c>
    </row>
    <row r="458" spans="1:6" x14ac:dyDescent="0.25">
      <c r="A458" t="s">
        <v>3485</v>
      </c>
      <c r="B458" t="s">
        <v>2187</v>
      </c>
      <c r="C458" t="s">
        <v>2186</v>
      </c>
      <c r="D458" t="s">
        <v>1074</v>
      </c>
      <c r="F458" t="str" cm="1">
        <f t="array" aca="1" ref="F458" ca="1">eConcatenar(A458:D458,"|")</f>
        <v>localidadmigrada457|QWW6H84UP6XNYS|PASO DE CUPILCO|final</v>
      </c>
    </row>
    <row r="459" spans="1:6" x14ac:dyDescent="0.25">
      <c r="A459" t="s">
        <v>3486</v>
      </c>
      <c r="B459" t="s">
        <v>2185</v>
      </c>
      <c r="C459" t="s">
        <v>2184</v>
      </c>
      <c r="D459" t="s">
        <v>1074</v>
      </c>
      <c r="F459" t="str" cm="1">
        <f t="array" aca="1" ref="F459" ca="1">eConcatenar(A459:D459,"|")</f>
        <v>localidadmigrada458|QWW6H8Q8P6XNYS|PATASTAL PRIMERA SECCION |final</v>
      </c>
    </row>
    <row r="460" spans="1:6" x14ac:dyDescent="0.25">
      <c r="A460" t="s">
        <v>3487</v>
      </c>
      <c r="B460" t="s">
        <v>2183</v>
      </c>
      <c r="C460" t="s">
        <v>2182</v>
      </c>
      <c r="D460" t="s">
        <v>1074</v>
      </c>
      <c r="F460" t="str" cm="1">
        <f t="array" aca="1" ref="F460" ca="1">eConcatenar(A460:D460,"|")</f>
        <v>localidadmigrada459|QWW6H8UEP6XNYS|PATASTAL SEGUNDA SECCION |final</v>
      </c>
    </row>
    <row r="461" spans="1:6" x14ac:dyDescent="0.25">
      <c r="A461" t="s">
        <v>3488</v>
      </c>
      <c r="B461" t="s">
        <v>2181</v>
      </c>
      <c r="C461" t="s">
        <v>2180</v>
      </c>
      <c r="D461" t="s">
        <v>1074</v>
      </c>
      <c r="F461" t="str" cm="1">
        <f t="array" aca="1" ref="F461" ca="1">eConcatenar(A461:D461,"|")</f>
        <v>localidadmigrada460|QWW6H908P6XNYS|PATASTAL TERCERA SECCION |final</v>
      </c>
    </row>
    <row r="462" spans="1:6" x14ac:dyDescent="0.25">
      <c r="A462" t="s">
        <v>3489</v>
      </c>
      <c r="B462" t="s">
        <v>2179</v>
      </c>
      <c r="C462" t="s">
        <v>2178</v>
      </c>
      <c r="D462" t="s">
        <v>1074</v>
      </c>
      <c r="F462" t="str" cm="1">
        <f t="array" aca="1" ref="F462" ca="1">eConcatenar(A462:D462,"|")</f>
        <v>localidadmigrada461|QWW6H93UP6XNYS|POTRERILLO|final</v>
      </c>
    </row>
    <row r="463" spans="1:6" x14ac:dyDescent="0.25">
      <c r="A463" t="s">
        <v>3490</v>
      </c>
      <c r="B463" t="s">
        <v>2177</v>
      </c>
      <c r="C463" t="s">
        <v>2176</v>
      </c>
      <c r="D463" t="s">
        <v>1074</v>
      </c>
      <c r="F463" t="str" cm="1">
        <f t="array" aca="1" ref="F463" ca="1">eConcatenar(A463:D463,"|")</f>
        <v>localidadmigrada462|QWW6H9JEP6XNYS|PROGRESO TULAR PRIMERA SECCION |final</v>
      </c>
    </row>
    <row r="464" spans="1:6" x14ac:dyDescent="0.25">
      <c r="A464" t="s">
        <v>3491</v>
      </c>
      <c r="B464" t="s">
        <v>2175</v>
      </c>
      <c r="C464" t="s">
        <v>2174</v>
      </c>
      <c r="D464" t="s">
        <v>1074</v>
      </c>
      <c r="F464" t="str" cm="1">
        <f t="array" aca="1" ref="F464" ca="1">eConcatenar(A464:D464,"|")</f>
        <v>localidadmigrada463|QWW6H9NUP6XNYS|PROGRESO TULAR SEGUNDA SECCION |final</v>
      </c>
    </row>
    <row r="465" spans="1:6" x14ac:dyDescent="0.25">
      <c r="A465" t="s">
        <v>3492</v>
      </c>
      <c r="B465" t="s">
        <v>2173</v>
      </c>
      <c r="C465" t="s">
        <v>2172</v>
      </c>
      <c r="D465" t="s">
        <v>1074</v>
      </c>
      <c r="F465" t="str" cm="1">
        <f t="array" aca="1" ref="F465" ca="1">eConcatenar(A465:D465,"|")</f>
        <v>localidadmigrada464|QWW6H9TEP6XNYS|RIO PLAYA LOS POCHITOQUES |final</v>
      </c>
    </row>
    <row r="466" spans="1:6" x14ac:dyDescent="0.25">
      <c r="A466" t="s">
        <v>3493</v>
      </c>
      <c r="B466" t="s">
        <v>2171</v>
      </c>
      <c r="C466" t="s">
        <v>2170</v>
      </c>
      <c r="D466" t="s">
        <v>1074</v>
      </c>
      <c r="F466" t="str" cm="1">
        <f t="array" aca="1" ref="F466" ca="1">eConcatenar(A466:D466,"|")</f>
        <v>localidadmigrada465|QWW6HA8OP6XNYS|REYES HERNANDEZ SEGUNDA SECCION |final</v>
      </c>
    </row>
    <row r="467" spans="1:6" x14ac:dyDescent="0.25">
      <c r="A467" t="s">
        <v>3494</v>
      </c>
      <c r="B467" t="s">
        <v>2169</v>
      </c>
      <c r="C467" t="s">
        <v>2168</v>
      </c>
      <c r="D467" t="s">
        <v>1074</v>
      </c>
      <c r="F467" t="str" cm="1">
        <f t="array" aca="1" ref="F467" ca="1">eConcatenar(A467:D467,"|")</f>
        <v>localidadmigrada466|QWW6HAEIP6XNYS|REYES HERNANDES PRIMERA SECCION|final</v>
      </c>
    </row>
    <row r="468" spans="1:6" x14ac:dyDescent="0.25">
      <c r="A468" t="s">
        <v>3495</v>
      </c>
      <c r="B468" t="s">
        <v>2167</v>
      </c>
      <c r="C468" t="s">
        <v>2166</v>
      </c>
      <c r="D468" t="s">
        <v>1074</v>
      </c>
      <c r="F468" t="str" cm="1">
        <f t="array" aca="1" ref="F468" ca="1">eConcatenar(A468:D468,"|")</f>
        <v>localidadmigrada467|QWW6HBTCP6XNYS|SAN FERNANDO PUEBLO NUEVO|final</v>
      </c>
    </row>
    <row r="469" spans="1:6" x14ac:dyDescent="0.25">
      <c r="A469" t="s">
        <v>3496</v>
      </c>
      <c r="B469" t="s">
        <v>2165</v>
      </c>
      <c r="C469" t="s">
        <v>2164</v>
      </c>
      <c r="D469" t="s">
        <v>1074</v>
      </c>
      <c r="F469" t="str" cm="1">
        <f t="array" aca="1" ref="F469" ca="1">eConcatenar(A469:D469,"|")</f>
        <v>localidadmigrada468|QWW6HBYMP6XNYS|SANTA LUCIA CHICHICAPA|final</v>
      </c>
    </row>
    <row r="470" spans="1:6" x14ac:dyDescent="0.25">
      <c r="A470" t="s">
        <v>3497</v>
      </c>
      <c r="B470" t="s">
        <v>2163</v>
      </c>
      <c r="C470" t="s">
        <v>2162</v>
      </c>
      <c r="D470" t="s">
        <v>1074</v>
      </c>
      <c r="F470" t="str" cm="1">
        <f t="array" aca="1" ref="F470" ca="1">eConcatenar(A470:D470,"|")</f>
        <v>localidadmigrada469|QWW6HC3WP6XNYS|SARGENTO LOPEZ PRIMERA SECCION |final</v>
      </c>
    </row>
    <row r="471" spans="1:6" x14ac:dyDescent="0.25">
      <c r="A471" t="s">
        <v>3498</v>
      </c>
      <c r="B471" t="s">
        <v>2161</v>
      </c>
      <c r="C471" t="s">
        <v>2160</v>
      </c>
      <c r="D471" t="s">
        <v>1074</v>
      </c>
      <c r="F471" t="str" cm="1">
        <f t="array" aca="1" ref="F471" ca="1">eConcatenar(A471:D471,"|")</f>
        <v>localidadmigrada470|QWW6HC82P6XNYS|SARGENTO LOPEZ SEGUNDA SECCION EL CHUZO|final</v>
      </c>
    </row>
    <row r="472" spans="1:6" x14ac:dyDescent="0.25">
      <c r="A472" t="s">
        <v>3499</v>
      </c>
      <c r="B472" t="s">
        <v>2159</v>
      </c>
      <c r="C472" t="s">
        <v>2158</v>
      </c>
      <c r="D472" t="s">
        <v>1074</v>
      </c>
      <c r="F472" t="str" cm="1">
        <f t="array" aca="1" ref="F472" ca="1">eConcatenar(A472:D472,"|")</f>
        <v>localidadmigrada471|QWW6HCQ4P6XNYS|SARGENTO LOPEZ TERCERA SECCION SAN JORGE|final</v>
      </c>
    </row>
    <row r="473" spans="1:6" x14ac:dyDescent="0.25">
      <c r="A473" t="s">
        <v>3500</v>
      </c>
      <c r="B473" t="s">
        <v>2157</v>
      </c>
      <c r="C473" t="s">
        <v>2156</v>
      </c>
      <c r="D473" t="s">
        <v>1074</v>
      </c>
      <c r="F473" t="str" cm="1">
        <f t="array" aca="1" ref="F473" ca="1">eConcatenar(A473:D473,"|")</f>
        <v>localidadmigrada472|QWW6HCUKP6XNYS|SARGENTO LOPEZ CUARTA SECCION |final</v>
      </c>
    </row>
    <row r="474" spans="1:6" x14ac:dyDescent="0.25">
      <c r="A474" t="s">
        <v>3501</v>
      </c>
      <c r="B474" t="s">
        <v>2155</v>
      </c>
      <c r="C474" t="s">
        <v>2154</v>
      </c>
      <c r="D474" t="s">
        <v>1074</v>
      </c>
      <c r="F474" t="str" cm="1">
        <f t="array" aca="1" ref="F474" ca="1">eConcatenar(A474:D474,"|")</f>
        <v>localidadmigrada473|QWW6HCY6P6XNYS|SUR PRIMERA SECCION |final</v>
      </c>
    </row>
    <row r="475" spans="1:6" x14ac:dyDescent="0.25">
      <c r="A475" t="s">
        <v>3502</v>
      </c>
      <c r="B475" t="s">
        <v>2153</v>
      </c>
      <c r="C475" t="s">
        <v>2152</v>
      </c>
      <c r="D475" t="s">
        <v>1074</v>
      </c>
      <c r="F475" t="str" cm="1">
        <f t="array" aca="1" ref="F475" ca="1">eConcatenar(A475:D475,"|")</f>
        <v>localidadmigrada474|QWW6HDF4P6XNYS|SUR SEGUNDA SECCION LA TRINIDAD|final</v>
      </c>
    </row>
    <row r="476" spans="1:6" x14ac:dyDescent="0.25">
      <c r="A476" t="s">
        <v>3503</v>
      </c>
      <c r="B476" t="s">
        <v>2151</v>
      </c>
      <c r="C476" t="s">
        <v>2150</v>
      </c>
      <c r="D476" t="s">
        <v>1074</v>
      </c>
      <c r="F476" t="str" cm="1">
        <f t="array" aca="1" ref="F476" ca="1">eConcatenar(A476:D476,"|")</f>
        <v>localidadmigrada475|QWW6HE9EP6XNYS|SUR TERCERA SECCION EL ZAPOTE|final</v>
      </c>
    </row>
    <row r="477" spans="1:6" x14ac:dyDescent="0.25">
      <c r="A477" t="s">
        <v>3504</v>
      </c>
      <c r="B477" t="s">
        <v>2149</v>
      </c>
      <c r="C477" t="s">
        <v>2148</v>
      </c>
      <c r="D477" t="s">
        <v>1074</v>
      </c>
      <c r="F477" t="str" cm="1">
        <f t="array" aca="1" ref="F477" ca="1">eConcatenar(A477:D477,"|")</f>
        <v>localidadmigrada476|QWW6HECQP6XNYS|SUR CUARTA SECCION |final</v>
      </c>
    </row>
    <row r="478" spans="1:6" x14ac:dyDescent="0.25">
      <c r="A478" t="s">
        <v>3505</v>
      </c>
      <c r="B478" t="s">
        <v>2147</v>
      </c>
      <c r="C478" t="s">
        <v>2146</v>
      </c>
      <c r="D478" t="s">
        <v>1074</v>
      </c>
      <c r="F478" t="str" cm="1">
        <f t="array" aca="1" ref="F478" ca="1">eConcatenar(A478:D478,"|")</f>
        <v>localidadmigrada477|QWW6HEFSP6XNYS|SUR QUINTA SECCION |final</v>
      </c>
    </row>
    <row r="479" spans="1:6" x14ac:dyDescent="0.25">
      <c r="A479" t="s">
        <v>3506</v>
      </c>
      <c r="B479" t="s">
        <v>2145</v>
      </c>
      <c r="C479" t="s">
        <v>2144</v>
      </c>
      <c r="D479" t="s">
        <v>1074</v>
      </c>
      <c r="F479" t="str" cm="1">
        <f t="array" aca="1" ref="F479" ca="1">eConcatenar(A479:D479,"|")</f>
        <v>localidadmigrada478|QWW6HEIKP6XNYS|SUR ALDAMA|final</v>
      </c>
    </row>
    <row r="480" spans="1:6" x14ac:dyDescent="0.25">
      <c r="A480" t="s">
        <v>3507</v>
      </c>
      <c r="B480" t="s">
        <v>2143</v>
      </c>
      <c r="C480" t="s">
        <v>2142</v>
      </c>
      <c r="D480" t="s">
        <v>1074</v>
      </c>
      <c r="F480" t="str" cm="1">
        <f t="array" aca="1" ref="F480" ca="1">eConcatenar(A480:D480,"|")</f>
        <v>localidadmigrada479|QWW6HF52P6XNYS|TIO MONCHO |final</v>
      </c>
    </row>
    <row r="481" spans="1:6" x14ac:dyDescent="0.25">
      <c r="A481" t="s">
        <v>3508</v>
      </c>
      <c r="B481" t="s">
        <v>2141</v>
      </c>
      <c r="C481" t="s">
        <v>814</v>
      </c>
      <c r="D481" t="s">
        <v>1074</v>
      </c>
      <c r="F481" t="str" cm="1">
        <f t="array" aca="1" ref="F481" ca="1">eConcatenar(A481:D481,"|")</f>
        <v>localidadmigrada480|QWW6HF84P6XNYS|TECOLUTILLA|final</v>
      </c>
    </row>
    <row r="482" spans="1:6" x14ac:dyDescent="0.25">
      <c r="A482" t="s">
        <v>3509</v>
      </c>
      <c r="B482" t="s">
        <v>2140</v>
      </c>
      <c r="C482" t="s">
        <v>2139</v>
      </c>
      <c r="D482" t="s">
        <v>1074</v>
      </c>
      <c r="F482" t="str" cm="1">
        <f t="array" aca="1" ref="F482" ca="1">eConcatenar(A482:D482,"|")</f>
        <v>localidadmigrada481|QWW6HFNEP6XNYS|TECOLUTILLA RIBERITA|final</v>
      </c>
    </row>
    <row r="483" spans="1:6" x14ac:dyDescent="0.25">
      <c r="A483" t="s">
        <v>3510</v>
      </c>
      <c r="B483" t="s">
        <v>2138</v>
      </c>
      <c r="C483" t="s">
        <v>2137</v>
      </c>
      <c r="D483" t="s">
        <v>1074</v>
      </c>
      <c r="F483" t="str" cm="1">
        <f t="array" aca="1" ref="F483" ca="1">eConcatenar(A483:D483,"|")</f>
        <v>localidadmigrada482|QWW6HFRAP6XNYS|TRANSITO TULAR|final</v>
      </c>
    </row>
    <row r="484" spans="1:6" x14ac:dyDescent="0.25">
      <c r="A484" t="s">
        <v>3511</v>
      </c>
      <c r="B484" t="s">
        <v>2136</v>
      </c>
      <c r="C484" t="s">
        <v>830</v>
      </c>
      <c r="D484" t="s">
        <v>1074</v>
      </c>
      <c r="F484" t="str" cm="1">
        <f t="array" aca="1" ref="F484" ca="1">eConcatenar(A484:D484,"|")</f>
        <v>localidadmigrada483|QWW6HFUMP6XNYS|TUPILQUILLO|final</v>
      </c>
    </row>
    <row r="485" spans="1:6" x14ac:dyDescent="0.25">
      <c r="A485" t="s">
        <v>3512</v>
      </c>
      <c r="B485" t="s">
        <v>2135</v>
      </c>
      <c r="C485" t="s">
        <v>2134</v>
      </c>
      <c r="D485" t="s">
        <v>1074</v>
      </c>
      <c r="F485" t="str" cm="1">
        <f t="array" aca="1" ref="F485" ca="1">eConcatenar(A485:D485,"|")</f>
        <v>localidadmigrada484|QWW6HFXEP6XNYS|USPI|final</v>
      </c>
    </row>
    <row r="486" spans="1:6" x14ac:dyDescent="0.25">
      <c r="A486" t="s">
        <v>3513</v>
      </c>
      <c r="B486" t="s">
        <v>2133</v>
      </c>
      <c r="C486" t="s">
        <v>2132</v>
      </c>
      <c r="D486" t="s">
        <v>1074</v>
      </c>
      <c r="F486" t="str" cm="1">
        <f t="array" aca="1" ref="F486" ca="1">eConcatenar(A486:D486,"|")</f>
        <v>localidadmigrada485|QWW6HG1KP6XNYS|ZAPOTAL PRIMERA SECCION |final</v>
      </c>
    </row>
    <row r="487" spans="1:6" x14ac:dyDescent="0.25">
      <c r="A487" t="s">
        <v>3514</v>
      </c>
      <c r="B487" t="s">
        <v>2131</v>
      </c>
      <c r="C487" t="s">
        <v>2130</v>
      </c>
      <c r="D487" t="s">
        <v>1074</v>
      </c>
      <c r="F487" t="str" cm="1">
        <f t="array" aca="1" ref="F487" ca="1">eConcatenar(A487:D487,"|")</f>
        <v>localidadmigrada486|QWW6HGLAP6XNYS|ZAPOTAL SEGUNDA SECCION |final</v>
      </c>
    </row>
    <row r="488" spans="1:6" x14ac:dyDescent="0.25">
      <c r="A488" t="s">
        <v>3515</v>
      </c>
      <c r="B488" t="s">
        <v>2129</v>
      </c>
      <c r="C488" t="s">
        <v>2128</v>
      </c>
      <c r="D488" t="s">
        <v>1074</v>
      </c>
      <c r="F488" t="str" cm="1">
        <f t="array" aca="1" ref="F488" ca="1">eConcatenar(A488:D488,"|")</f>
        <v>localidadmigrada487|QWW6HGO2P6XNYS|ZAPOTAL TERCERA SECCION |final</v>
      </c>
    </row>
    <row r="489" spans="1:6" x14ac:dyDescent="0.25">
      <c r="A489" t="s">
        <v>3516</v>
      </c>
      <c r="B489" t="s">
        <v>2127</v>
      </c>
      <c r="C489" t="s">
        <v>2126</v>
      </c>
      <c r="D489" t="s">
        <v>1074</v>
      </c>
      <c r="F489" t="str" cm="1">
        <f t="array" aca="1" ref="F489" ca="1">eConcatenar(A489:D489,"|")</f>
        <v>localidadmigrada488|QWW6HGUQP6XNYS|BELEN|final</v>
      </c>
    </row>
    <row r="490" spans="1:6" x14ac:dyDescent="0.25">
      <c r="A490" t="s">
        <v>3517</v>
      </c>
      <c r="B490" t="s">
        <v>2125</v>
      </c>
      <c r="C490" t="s">
        <v>2124</v>
      </c>
      <c r="D490" t="s">
        <v>1074</v>
      </c>
      <c r="F490" t="str" cm="1">
        <f t="array" aca="1" ref="F490" ca="1">eConcatenar(A490:D490,"|")</f>
        <v>localidadmigrada489|QWW6HH82P6XNYS|BUENA VISTA|final</v>
      </c>
    </row>
    <row r="491" spans="1:6" x14ac:dyDescent="0.25">
      <c r="A491" t="s">
        <v>3518</v>
      </c>
      <c r="B491" t="s">
        <v>2123</v>
      </c>
      <c r="C491" t="s">
        <v>2122</v>
      </c>
      <c r="D491" t="s">
        <v>1074</v>
      </c>
      <c r="F491" t="str" cm="1">
        <f t="array" aca="1" ref="F491" ca="1">eConcatenar(A491:D491,"|")</f>
        <v>localidadmigrada490|QWW6HHAUP6XNYS|COMALCALCO CENTRO|final</v>
      </c>
    </row>
    <row r="492" spans="1:6" x14ac:dyDescent="0.25">
      <c r="A492" t="s">
        <v>3519</v>
      </c>
      <c r="B492" t="s">
        <v>2121</v>
      </c>
      <c r="C492" t="s">
        <v>2120</v>
      </c>
      <c r="D492" t="s">
        <v>1074</v>
      </c>
      <c r="F492" t="str" cm="1">
        <f t="array" aca="1" ref="F492" ca="1">eConcatenar(A492:D492,"|")</f>
        <v>localidadmigrada491|QWW6HHE6P6XNYS|EMPLEADO DE CONFIANZA|final</v>
      </c>
    </row>
    <row r="493" spans="1:6" x14ac:dyDescent="0.25">
      <c r="A493" t="s">
        <v>3520</v>
      </c>
      <c r="B493" t="s">
        <v>2119</v>
      </c>
      <c r="C493" t="s">
        <v>20</v>
      </c>
      <c r="D493" t="s">
        <v>1074</v>
      </c>
      <c r="F493" t="str" cm="1">
        <f t="array" aca="1" ref="F493" ca="1">eConcatenar(A493:D493,"|")</f>
        <v>localidadmigrada492|QWW6HHJ6P6XNYS|FOVISSSTE|final</v>
      </c>
    </row>
    <row r="494" spans="1:6" x14ac:dyDescent="0.25">
      <c r="A494" t="s">
        <v>3521</v>
      </c>
      <c r="B494" t="s">
        <v>2118</v>
      </c>
      <c r="C494" t="s">
        <v>2117</v>
      </c>
      <c r="D494" t="s">
        <v>1074</v>
      </c>
      <c r="F494" t="str" cm="1">
        <f t="array" aca="1" ref="F494" ca="1">eConcatenar(A494:D494,"|")</f>
        <v>localidadmigrada493|QWW6HHN2P6XNYS|FRACCIONAMIENTO LAS DELICIAS |final</v>
      </c>
    </row>
    <row r="495" spans="1:6" x14ac:dyDescent="0.25">
      <c r="A495" t="s">
        <v>3522</v>
      </c>
      <c r="B495" t="s">
        <v>2116</v>
      </c>
      <c r="C495" t="s">
        <v>2115</v>
      </c>
      <c r="D495" t="s">
        <v>1074</v>
      </c>
      <c r="F495" t="str" cm="1">
        <f t="array" aca="1" ref="F495" ca="1">eConcatenar(A495:D495,"|")</f>
        <v>localidadmigrada494|QWW6HI1SP6XNYS|FRACCIONAMIENTO LAS ROSAS |final</v>
      </c>
    </row>
    <row r="496" spans="1:6" x14ac:dyDescent="0.25">
      <c r="A496" t="s">
        <v>3523</v>
      </c>
      <c r="B496" t="s">
        <v>2114</v>
      </c>
      <c r="C496" t="s">
        <v>2113</v>
      </c>
      <c r="D496" t="s">
        <v>1074</v>
      </c>
      <c r="F496" t="str" cm="1">
        <f t="array" aca="1" ref="F496" ca="1">eConcatenar(A496:D496,"|")</f>
        <v>localidadmigrada495|QWW6HI90P6XNYS|FRACCIONAMIENTO SAN ISIDRO|final</v>
      </c>
    </row>
    <row r="497" spans="1:6" x14ac:dyDescent="0.25">
      <c r="A497" t="s">
        <v>3524</v>
      </c>
      <c r="B497" t="s">
        <v>2112</v>
      </c>
      <c r="C497" t="s">
        <v>2111</v>
      </c>
      <c r="D497" t="s">
        <v>1074</v>
      </c>
      <c r="F497" t="str" cm="1">
        <f t="array" aca="1" ref="F497" ca="1">eConcatenar(A497:D497,"|")</f>
        <v>localidadmigrada496|QWW6HJ62P6XNYS|FRACCIONAMIENTO SANTO DOMINGO|final</v>
      </c>
    </row>
    <row r="498" spans="1:6" x14ac:dyDescent="0.25">
      <c r="A498" t="s">
        <v>3525</v>
      </c>
      <c r="B498" t="s">
        <v>2110</v>
      </c>
      <c r="C498" t="s">
        <v>2109</v>
      </c>
      <c r="D498" t="s">
        <v>1074</v>
      </c>
      <c r="F498" t="str" cm="1">
        <f t="array" aca="1" ref="F498" ca="1">eConcatenar(A498:D498,"|")</f>
        <v>localidadmigrada497|QWW6HJL2P6XNYS|FRACCIONAMIENTO TOMAS GARRIDO|final</v>
      </c>
    </row>
    <row r="499" spans="1:6" x14ac:dyDescent="0.25">
      <c r="A499" t="s">
        <v>3526</v>
      </c>
      <c r="B499" t="s">
        <v>2108</v>
      </c>
      <c r="C499" t="s">
        <v>2107</v>
      </c>
      <c r="D499" t="s">
        <v>1074</v>
      </c>
      <c r="F499" t="str" cm="1">
        <f t="array" aca="1" ref="F499" ca="1">eConcatenar(A499:D499,"|")</f>
        <v>localidadmigrada498|QWW6HJPIP6XNYS|FRACCIONAMIENTO VILLA MAYA|final</v>
      </c>
    </row>
    <row r="500" spans="1:6" x14ac:dyDescent="0.25">
      <c r="A500" t="s">
        <v>3527</v>
      </c>
      <c r="B500" t="s">
        <v>2106</v>
      </c>
      <c r="C500" t="s">
        <v>2105</v>
      </c>
      <c r="D500" t="s">
        <v>1074</v>
      </c>
      <c r="F500" t="str" cm="1">
        <f t="array" aca="1" ref="F500" ca="1">eConcatenar(A500:D500,"|")</f>
        <v>localidadmigrada499|QWW6HJV2P6XNYS|GUSTAVO DE LA FUENTE DORANTES |final</v>
      </c>
    </row>
    <row r="501" spans="1:6" x14ac:dyDescent="0.25">
      <c r="A501" t="s">
        <v>3528</v>
      </c>
      <c r="B501" t="s">
        <v>2104</v>
      </c>
      <c r="C501" t="s">
        <v>2103</v>
      </c>
      <c r="D501" t="s">
        <v>1074</v>
      </c>
      <c r="F501" t="str" cm="1">
        <f t="array" aca="1" ref="F501" ca="1">eConcatenar(A501:D501,"|")</f>
        <v>localidadmigrada500|QWW6HJYEP6XNYS|INFONAVIT COMALCALCO|final</v>
      </c>
    </row>
    <row r="502" spans="1:6" x14ac:dyDescent="0.25">
      <c r="A502" t="s">
        <v>3529</v>
      </c>
      <c r="B502" t="s">
        <v>2102</v>
      </c>
      <c r="C502" t="s">
        <v>2100</v>
      </c>
      <c r="D502" t="s">
        <v>1074</v>
      </c>
      <c r="F502" t="str" cm="1">
        <f t="array" aca="1" ref="F502" ca="1">eConcatenar(A502:D502,"|")</f>
        <v>localidadmigrada501|QWW6HKC0P6XNYS|LA ESPERANZA|final</v>
      </c>
    </row>
    <row r="503" spans="1:6" x14ac:dyDescent="0.25">
      <c r="A503" t="s">
        <v>3530</v>
      </c>
      <c r="B503" t="s">
        <v>2101</v>
      </c>
      <c r="C503" t="s">
        <v>2100</v>
      </c>
      <c r="D503" t="s">
        <v>1074</v>
      </c>
      <c r="F503" t="str" cm="1">
        <f t="array" aca="1" ref="F503" ca="1">eConcatenar(A503:D503,"|")</f>
        <v>localidadmigrada502|QWW6HKEIP6XNYS|LA ESPERANZA|final</v>
      </c>
    </row>
    <row r="504" spans="1:6" x14ac:dyDescent="0.25">
      <c r="A504" t="s">
        <v>3531</v>
      </c>
      <c r="B504" t="s">
        <v>2099</v>
      </c>
      <c r="C504" t="s">
        <v>2098</v>
      </c>
      <c r="D504" t="s">
        <v>1074</v>
      </c>
      <c r="F504" t="str" cm="1">
        <f t="array" aca="1" ref="F504" ca="1">eConcatenar(A504:D504,"|")</f>
        <v>localidadmigrada503|QWW6HKJ8P6XNYS|LAZARO CARDENAS DEL RIO |final</v>
      </c>
    </row>
    <row r="505" spans="1:6" x14ac:dyDescent="0.25">
      <c r="A505" t="s">
        <v>3532</v>
      </c>
      <c r="B505" t="s">
        <v>2097</v>
      </c>
      <c r="C505" t="s">
        <v>2096</v>
      </c>
      <c r="D505" t="s">
        <v>1074</v>
      </c>
      <c r="F505" t="str" cm="1">
        <f t="array" aca="1" ref="F505" ca="1">eConcatenar(A505:D505,"|")</f>
        <v>localidadmigrada504|QWW6HL1UP6XNYS|MORELOS|final</v>
      </c>
    </row>
    <row r="506" spans="1:6" x14ac:dyDescent="0.25">
      <c r="A506" t="s">
        <v>3533</v>
      </c>
      <c r="B506" t="s">
        <v>2095</v>
      </c>
      <c r="C506" t="s">
        <v>2094</v>
      </c>
      <c r="D506" t="s">
        <v>1074</v>
      </c>
      <c r="F506" t="str" cm="1">
        <f t="array" aca="1" ref="F506" ca="1">eConcatenar(A506:D506,"|")</f>
        <v>localidadmigrada505|QWW6HL92P6XNYS|PRESIDENTES MUNICIPALES|final</v>
      </c>
    </row>
    <row r="507" spans="1:6" x14ac:dyDescent="0.25">
      <c r="A507" t="s">
        <v>3534</v>
      </c>
      <c r="B507" t="s">
        <v>2093</v>
      </c>
      <c r="C507" t="s">
        <v>2092</v>
      </c>
      <c r="D507" t="s">
        <v>1074</v>
      </c>
      <c r="F507" t="str" cm="1">
        <f t="array" aca="1" ref="F507" ca="1">eConcatenar(A507:D507,"|")</f>
        <v>localidadmigrada506|QWW6HLTMP6XNYS|RANCHO CAPITAN REYES HERNANDEZ SEGUNDA SECCION |final</v>
      </c>
    </row>
    <row r="508" spans="1:6" x14ac:dyDescent="0.25">
      <c r="A508" t="s">
        <v>3535</v>
      </c>
      <c r="B508" t="s">
        <v>2091</v>
      </c>
      <c r="C508" t="s">
        <v>2090</v>
      </c>
      <c r="D508" t="s">
        <v>1074</v>
      </c>
      <c r="F508" t="str" cm="1">
        <f t="array" aca="1" ref="F508" ca="1">eConcatenar(A508:D508,"|")</f>
        <v>localidadmigrada507|QWW6HLY2P6XNYS|RANCHO NORTE PRIMERA SECCION |final</v>
      </c>
    </row>
    <row r="509" spans="1:6" x14ac:dyDescent="0.25">
      <c r="A509" t="s">
        <v>3536</v>
      </c>
      <c r="B509" t="s">
        <v>2089</v>
      </c>
      <c r="C509" t="s">
        <v>2088</v>
      </c>
      <c r="D509" t="s">
        <v>1074</v>
      </c>
      <c r="F509" t="str" cm="1">
        <f t="array" aca="1" ref="F509" ca="1">eConcatenar(A509:D509,"|")</f>
        <v>localidadmigrada508|QWW6HM0UP6XNYS|SAN FRANCISCO|final</v>
      </c>
    </row>
    <row r="510" spans="1:6" x14ac:dyDescent="0.25">
      <c r="A510" t="s">
        <v>3537</v>
      </c>
      <c r="B510" t="s">
        <v>2087</v>
      </c>
      <c r="C510" t="s">
        <v>2086</v>
      </c>
      <c r="D510" t="s">
        <v>1074</v>
      </c>
      <c r="F510" t="str" cm="1">
        <f t="array" aca="1" ref="F510" ca="1">eConcatenar(A510:D510,"|")</f>
        <v>localidadmigrada509|QWW6HM3CP6XNYS|SAN MIGUEL|final</v>
      </c>
    </row>
    <row r="511" spans="1:6" x14ac:dyDescent="0.25">
      <c r="A511" t="s">
        <v>3538</v>
      </c>
      <c r="B511" t="s">
        <v>2085</v>
      </c>
      <c r="C511" t="s">
        <v>2084</v>
      </c>
      <c r="D511" t="s">
        <v>1074</v>
      </c>
      <c r="F511" t="str" cm="1">
        <f t="array" aca="1" ref="F511" ca="1">eConcatenar(A511:D511,"|")</f>
        <v>localidadmigrada510|QWW6HM6YP6XNYS|SAN SILVERIO|final</v>
      </c>
    </row>
    <row r="512" spans="1:6" x14ac:dyDescent="0.25">
      <c r="A512" t="s">
        <v>3539</v>
      </c>
      <c r="B512" t="s">
        <v>2083</v>
      </c>
      <c r="C512" t="s">
        <v>2082</v>
      </c>
      <c r="D512" t="s">
        <v>1074</v>
      </c>
      <c r="F512" t="str" cm="1">
        <f t="array" aca="1" ref="F512" ca="1">eConcatenar(A512:D512,"|")</f>
        <v>localidadmigrada511|QWW6HMPKP6XNYS|SANTA AMALIA|final</v>
      </c>
    </row>
    <row r="513" spans="1:6" x14ac:dyDescent="0.25">
      <c r="A513" t="s">
        <v>3540</v>
      </c>
      <c r="B513" t="s">
        <v>2081</v>
      </c>
      <c r="C513" t="s">
        <v>78</v>
      </c>
      <c r="D513" t="s">
        <v>1074</v>
      </c>
      <c r="F513" t="str" cm="1">
        <f t="array" aca="1" ref="F513" ca="1">eConcatenar(A513:D513,"|")</f>
        <v>localidadmigrada512|QWW6HMUUP6XNYS|SANTA CRUZ|final</v>
      </c>
    </row>
    <row r="514" spans="1:6" x14ac:dyDescent="0.25">
      <c r="A514" t="s">
        <v>3541</v>
      </c>
      <c r="B514" t="s">
        <v>2080</v>
      </c>
      <c r="C514" t="s">
        <v>2079</v>
      </c>
      <c r="D514" t="s">
        <v>1074</v>
      </c>
      <c r="F514" t="str" cm="1">
        <f t="array" aca="1" ref="F514" ca="1">eConcatenar(A514:D514,"|")</f>
        <v>localidadmigrada513|QWW6HMXCP6XNYS|SOLIDARIDAD|final</v>
      </c>
    </row>
    <row r="515" spans="1:6" x14ac:dyDescent="0.25">
      <c r="A515" t="s">
        <v>3542</v>
      </c>
      <c r="B515" t="s">
        <v>2078</v>
      </c>
      <c r="C515" t="s">
        <v>2077</v>
      </c>
      <c r="D515" t="s">
        <v>1074</v>
      </c>
      <c r="F515" t="str" cm="1">
        <f t="array" aca="1" ref="F515" ca="1">eConcatenar(A515:D515,"|")</f>
        <v>localidadmigrada514|QWW6HN0EP6XNYS|TOMAS GARRIDO|final</v>
      </c>
    </row>
    <row r="516" spans="1:6" x14ac:dyDescent="0.25">
      <c r="A516" t="s">
        <v>3543</v>
      </c>
      <c r="B516" t="s">
        <v>2076</v>
      </c>
      <c r="C516" t="s">
        <v>276</v>
      </c>
      <c r="D516" t="s">
        <v>1074</v>
      </c>
      <c r="F516" t="str" cm="1">
        <f t="array" aca="1" ref="F516" ca="1">eConcatenar(A516:D516,"|")</f>
        <v>localidadmigrada515|QWW6HNF4P6XNYS|VICENTE GUERRERO|final</v>
      </c>
    </row>
    <row r="517" spans="1:6" x14ac:dyDescent="0.25">
      <c r="A517" t="s">
        <v>3544</v>
      </c>
      <c r="B517" t="s">
        <v>2075</v>
      </c>
      <c r="C517" t="s">
        <v>2074</v>
      </c>
      <c r="D517" t="s">
        <v>1074</v>
      </c>
      <c r="F517" t="str" cm="1">
        <f t="array" aca="1" ref="F517" ca="1">eConcatenar(A517:D517,"|")</f>
        <v>localidadmigrada516|QWW6HNJAP6XNYS|VILLA ALDAMA PRIMERA SECCION |final</v>
      </c>
    </row>
    <row r="518" spans="1:6" x14ac:dyDescent="0.25">
      <c r="A518" t="s">
        <v>3545</v>
      </c>
      <c r="B518" t="s">
        <v>2073</v>
      </c>
      <c r="C518" t="s">
        <v>2072</v>
      </c>
      <c r="D518" t="s">
        <v>1074</v>
      </c>
      <c r="F518" t="str" cm="1">
        <f t="array" aca="1" ref="F518" ca="1">eConcatenar(A518:D518,"|")</f>
        <v>localidadmigrada517|QWW6HNN6P6XNYS|VILLA CHICHICAPA|final</v>
      </c>
    </row>
    <row r="519" spans="1:6" x14ac:dyDescent="0.25">
      <c r="A519" t="s">
        <v>3546</v>
      </c>
      <c r="B519" t="s">
        <v>2071</v>
      </c>
      <c r="C519" t="s">
        <v>2070</v>
      </c>
      <c r="D519" t="s">
        <v>1074</v>
      </c>
      <c r="F519" t="str" cm="1">
        <f t="array" aca="1" ref="F519" ca="1">eConcatenar(A519:D519,"|")</f>
        <v>localidadmigrada518|QWW6HNRWP6XNYS|VILLA TECOLUTILLA|final</v>
      </c>
    </row>
    <row r="520" spans="1:6" x14ac:dyDescent="0.25">
      <c r="A520" t="s">
        <v>3547</v>
      </c>
      <c r="B520" t="s">
        <v>2069</v>
      </c>
      <c r="C520" t="s">
        <v>2068</v>
      </c>
      <c r="D520" t="s">
        <v>1074</v>
      </c>
      <c r="F520" t="str" cm="1">
        <f t="array" aca="1" ref="F520" ca="1">eConcatenar(A520:D520,"|")</f>
        <v>localidadmigrada519|QWW6HO6WP6XNYS|VILLAS DE ORIENTES|final</v>
      </c>
    </row>
    <row r="521" spans="1:6" x14ac:dyDescent="0.25">
      <c r="A521" t="s">
        <v>3548</v>
      </c>
      <c r="B521" t="s">
        <v>2067</v>
      </c>
      <c r="C521" t="s">
        <v>2066</v>
      </c>
      <c r="D521" t="s">
        <v>1074</v>
      </c>
      <c r="F521" t="str" cm="1">
        <f t="array" aca="1" ref="F521" ca="1">eConcatenar(A521:D521,"|")</f>
        <v>localidadmigrada520|QWW6HOEOP6XNYS|XOCHIMILCO|final</v>
      </c>
    </row>
    <row r="522" spans="1:6" x14ac:dyDescent="0.25">
      <c r="A522" t="s">
        <v>3549</v>
      </c>
      <c r="B522" t="s">
        <v>2065</v>
      </c>
      <c r="C522" t="s">
        <v>2064</v>
      </c>
      <c r="D522" t="s">
        <v>1074</v>
      </c>
      <c r="F522" t="str" cm="1">
        <f t="array" aca="1" ref="F522" ca="1">eConcatenar(A522:D522,"|")</f>
        <v>localidadmigrada521|QWW6M476P6XNYS|ANDRES GARCIA LA ISLA |final</v>
      </c>
    </row>
    <row r="523" spans="1:6" x14ac:dyDescent="0.25">
      <c r="A523" t="s">
        <v>3550</v>
      </c>
      <c r="B523" t="s">
        <v>2063</v>
      </c>
      <c r="C523" t="s">
        <v>884</v>
      </c>
      <c r="D523" t="s">
        <v>1074</v>
      </c>
      <c r="F523" t="str" cm="1">
        <f t="array" aca="1" ref="F523" ca="1">eConcatenar(A523:D523,"|")</f>
        <v>localidadmigrada522|QWW6M4NUP6XNYS|AQUILES SERDAN|final</v>
      </c>
    </row>
    <row r="524" spans="1:6" x14ac:dyDescent="0.25">
      <c r="A524" t="s">
        <v>3551</v>
      </c>
      <c r="B524" t="s">
        <v>2062</v>
      </c>
      <c r="C524" t="s">
        <v>2061</v>
      </c>
      <c r="D524" t="s">
        <v>1074</v>
      </c>
      <c r="F524" t="str" cm="1">
        <f t="array" aca="1" ref="F524" ca="1">eConcatenar(A524:D524,"|")</f>
        <v>localidadmigrada523|QWW6M4SAP6XNYS|BARRA DE TUPILCO|final</v>
      </c>
    </row>
    <row r="525" spans="1:6" x14ac:dyDescent="0.25">
      <c r="A525" t="s">
        <v>3552</v>
      </c>
      <c r="B525" t="s">
        <v>2060</v>
      </c>
      <c r="C525" t="s">
        <v>2059</v>
      </c>
      <c r="D525" t="s">
        <v>1074</v>
      </c>
      <c r="F525" t="str" cm="1">
        <f t="array" aca="1" ref="F525" ca="1">eConcatenar(A525:D525,"|")</f>
        <v>localidadmigrada524|QWW6M4ZSP6XNYS|CHILTEPEC PUERTO CHILTEPEC|final</v>
      </c>
    </row>
    <row r="526" spans="1:6" x14ac:dyDescent="0.25">
      <c r="A526" t="s">
        <v>3553</v>
      </c>
      <c r="B526" t="s">
        <v>2058</v>
      </c>
      <c r="C526" t="s">
        <v>783</v>
      </c>
      <c r="D526" t="s">
        <v>1074</v>
      </c>
      <c r="F526" t="str" cm="1">
        <f t="array" aca="1" ref="F526" ca="1">eConcatenar(A526:D526,"|")</f>
        <v>localidadmigrada525|QWW6M5FMP6XNYS|CHILTEPEC SECCION BANCO|final</v>
      </c>
    </row>
    <row r="527" spans="1:6" x14ac:dyDescent="0.25">
      <c r="A527" t="s">
        <v>3554</v>
      </c>
      <c r="B527" t="s">
        <v>2057</v>
      </c>
      <c r="C527" t="s">
        <v>2056</v>
      </c>
      <c r="D527" t="s">
        <v>1074</v>
      </c>
      <c r="F527" t="str" cm="1">
        <f t="array" aca="1" ref="F527" ca="1">eConcatenar(A527:D527,"|")</f>
        <v>localidadmigrada526|QWW6M5L6P6XNYS|EL BELLOTE SECCION TANQUE|final</v>
      </c>
    </row>
    <row r="528" spans="1:6" x14ac:dyDescent="0.25">
      <c r="A528" t="s">
        <v>3555</v>
      </c>
      <c r="B528" t="s">
        <v>2055</v>
      </c>
      <c r="C528" t="s">
        <v>711</v>
      </c>
      <c r="D528" t="s">
        <v>1074</v>
      </c>
      <c r="F528" t="str" cm="1">
        <f t="array" aca="1" ref="F528" ca="1">eConcatenar(A528:D528,"|")</f>
        <v>localidadmigrada527|QWW6M69WP6XNYS|EL BELLOTE|final</v>
      </c>
    </row>
    <row r="529" spans="1:6" x14ac:dyDescent="0.25">
      <c r="A529" t="s">
        <v>3556</v>
      </c>
      <c r="B529" t="s">
        <v>2054</v>
      </c>
      <c r="C529" t="s">
        <v>661</v>
      </c>
      <c r="D529" t="s">
        <v>1074</v>
      </c>
      <c r="F529" t="str" cm="1">
        <f t="array" aca="1" ref="F529" ca="1">eConcatenar(A529:D529,"|")</f>
        <v>localidadmigrada528|QWW6M6E2P6XNYS|EL ESCRIBANO|final</v>
      </c>
    </row>
    <row r="530" spans="1:6" x14ac:dyDescent="0.25">
      <c r="A530" t="s">
        <v>3557</v>
      </c>
      <c r="B530" t="s">
        <v>2053</v>
      </c>
      <c r="C530" t="s">
        <v>2052</v>
      </c>
      <c r="D530" t="s">
        <v>1074</v>
      </c>
      <c r="F530" t="str" cm="1">
        <f t="array" aca="1" ref="F530" ca="1">eConcatenar(A530:D530,"|")</f>
        <v>localidadmigrada529|QWW6M6HEP6XNYS|FRANCISCO I MADERO|final</v>
      </c>
    </row>
    <row r="531" spans="1:6" x14ac:dyDescent="0.25">
      <c r="A531" t="s">
        <v>3558</v>
      </c>
      <c r="B531" t="s">
        <v>2051</v>
      </c>
      <c r="C531" t="s">
        <v>2050</v>
      </c>
      <c r="D531" t="s">
        <v>1074</v>
      </c>
      <c r="F531" t="str" cm="1">
        <f t="array" aca="1" ref="F531" ca="1">eConcatenar(A531:D531,"|")</f>
        <v>localidadmigrada530|QWW6M6ZQP6XNYS|FRANCISCO I MADERO (MADERO)|final</v>
      </c>
    </row>
    <row r="532" spans="1:6" x14ac:dyDescent="0.25">
      <c r="A532" t="s">
        <v>3559</v>
      </c>
      <c r="B532" t="s">
        <v>2049</v>
      </c>
      <c r="C532" t="s">
        <v>2048</v>
      </c>
      <c r="D532" t="s">
        <v>1074</v>
      </c>
      <c r="F532" t="str" cm="1">
        <f t="array" aca="1" ref="F532" ca="1">eConcatenar(A532:D532,"|")</f>
        <v>localidadmigrada531|QWW6M778P6XNYS|GUANO SOLO EL COQUITO|final</v>
      </c>
    </row>
    <row r="533" spans="1:6" x14ac:dyDescent="0.25">
      <c r="A533" t="s">
        <v>3560</v>
      </c>
      <c r="B533" t="s">
        <v>2047</v>
      </c>
      <c r="C533" t="s">
        <v>2046</v>
      </c>
      <c r="D533" t="s">
        <v>1074</v>
      </c>
      <c r="F533" t="str" cm="1">
        <f t="array" aca="1" ref="F533" ca="1">eConcatenar(A533:D533,"|")</f>
        <v>localidadmigrada532|QWW6M7E6P6XNYS|HUESO DE PUERCO (COLONIA QUINTIN ARAUZ)|final</v>
      </c>
    </row>
    <row r="534" spans="1:6" x14ac:dyDescent="0.25">
      <c r="A534" t="s">
        <v>3561</v>
      </c>
      <c r="B534" t="s">
        <v>2045</v>
      </c>
      <c r="C534" t="s">
        <v>2044</v>
      </c>
      <c r="D534" t="s">
        <v>1074</v>
      </c>
      <c r="F534" t="str" cm="1">
        <f t="array" aca="1" ref="F534" ca="1">eConcatenar(A534:D534,"|")</f>
        <v>localidadmigrada533|QWW6M7VEP6XNYS|JOSE MARIA MORELOS Y PAVON (EL BELLOTE)|final</v>
      </c>
    </row>
    <row r="535" spans="1:6" x14ac:dyDescent="0.25">
      <c r="A535" t="s">
        <v>3562</v>
      </c>
      <c r="B535" t="s">
        <v>2043</v>
      </c>
      <c r="C535" t="s">
        <v>2042</v>
      </c>
      <c r="D535" t="s">
        <v>1074</v>
      </c>
      <c r="F535" t="str" cm="1">
        <f t="array" aca="1" ref="F535" ca="1">eConcatenar(A535:D535,"|")</f>
        <v>localidadmigrada534|QWW6M99EP6XNYS|LA SOLUCION SOMOS TODOS (LA ALIANZA)|final</v>
      </c>
    </row>
    <row r="536" spans="1:6" x14ac:dyDescent="0.25">
      <c r="A536" t="s">
        <v>3563</v>
      </c>
      <c r="B536" t="s">
        <v>2041</v>
      </c>
      <c r="C536" t="s">
        <v>2040</v>
      </c>
      <c r="D536" t="s">
        <v>1074</v>
      </c>
      <c r="F536" t="str" cm="1">
        <f t="array" aca="1" ref="F536" ca="1">eConcatenar(A536:D536,"|")</f>
        <v>localidadmigrada535|QWW6M9F8P6XNYS|LA UNIOM PRIMERA SECCION  AMATILLO|final</v>
      </c>
    </row>
    <row r="537" spans="1:6" x14ac:dyDescent="0.25">
      <c r="A537" t="s">
        <v>3564</v>
      </c>
      <c r="B537" t="s">
        <v>2039</v>
      </c>
      <c r="C537" t="s">
        <v>2038</v>
      </c>
      <c r="D537" t="s">
        <v>1074</v>
      </c>
      <c r="F537" t="str" cm="1">
        <f t="array" aca="1" ref="F537" ca="1">eConcatenar(A537:D537,"|")</f>
        <v>localidadmigrada536|QWW6M9IUP6XNYS|LA UNION SEGUNDA SECCION |final</v>
      </c>
    </row>
    <row r="538" spans="1:6" x14ac:dyDescent="0.25">
      <c r="A538" t="s">
        <v>3565</v>
      </c>
      <c r="B538" t="s">
        <v>2037</v>
      </c>
      <c r="C538" t="s">
        <v>2036</v>
      </c>
      <c r="D538" t="s">
        <v>1074</v>
      </c>
      <c r="F538" t="str" cm="1">
        <f t="array" aca="1" ref="F538" ca="1">eConcatenar(A538:D538,"|")</f>
        <v>localidadmigrada537|QWW6M9NUP6XNYS|LA UNION TERCERA SECCION |final</v>
      </c>
    </row>
    <row r="539" spans="1:6" x14ac:dyDescent="0.25">
      <c r="A539" t="s">
        <v>3566</v>
      </c>
      <c r="B539" t="s">
        <v>2035</v>
      </c>
      <c r="C539" t="s">
        <v>699</v>
      </c>
      <c r="D539" t="s">
        <v>1074</v>
      </c>
      <c r="F539" t="str" cm="1">
        <f t="array" aca="1" ref="F539" ca="1">eConcatenar(A539:D539,"|")</f>
        <v>localidadmigrada538|QWW6MA3YP6XNYS|LAS FLORES PRIMERA SECCION |final</v>
      </c>
    </row>
    <row r="540" spans="1:6" x14ac:dyDescent="0.25">
      <c r="A540" t="s">
        <v>3567</v>
      </c>
      <c r="B540" t="s">
        <v>2034</v>
      </c>
      <c r="C540" t="s">
        <v>2033</v>
      </c>
      <c r="D540" t="s">
        <v>1074</v>
      </c>
      <c r="F540" t="str" cm="1">
        <f t="array" aca="1" ref="F540" ca="1">eConcatenar(A540:D540,"|")</f>
        <v>localidadmigrada539|QWW6MA84P6XNYS|LAS FLORES SEGUNDA SECCION |final</v>
      </c>
    </row>
    <row r="541" spans="1:6" x14ac:dyDescent="0.25">
      <c r="A541" t="s">
        <v>3568</v>
      </c>
      <c r="B541" t="s">
        <v>2032</v>
      </c>
      <c r="C541" t="s">
        <v>2031</v>
      </c>
      <c r="D541" t="s">
        <v>1074</v>
      </c>
      <c r="F541" t="str" cm="1">
        <f t="array" aca="1" ref="F541" ca="1">eConcatenar(A541:D541,"|")</f>
        <v>localidadmigrada540|QWW6MADOP6XNYS|LAS FLORES TERCERA SECCION  EL CERRO|final</v>
      </c>
    </row>
    <row r="542" spans="1:6" x14ac:dyDescent="0.25">
      <c r="A542" t="s">
        <v>3569</v>
      </c>
      <c r="B542" t="s">
        <v>2030</v>
      </c>
      <c r="C542" t="s">
        <v>2029</v>
      </c>
      <c r="D542" t="s">
        <v>1074</v>
      </c>
      <c r="F542" t="str" cm="1">
        <f t="array" aca="1" ref="F542" ca="1">eConcatenar(A542:D542,"|")</f>
        <v>localidadmigrada541|QWW6MATIP6XNYS|LA LIBERTAD PRIMERA SECCION |final</v>
      </c>
    </row>
    <row r="543" spans="1:6" x14ac:dyDescent="0.25">
      <c r="A543" t="s">
        <v>3570</v>
      </c>
      <c r="B543" t="s">
        <v>2028</v>
      </c>
      <c r="C543" t="s">
        <v>2027</v>
      </c>
      <c r="D543" t="s">
        <v>1074</v>
      </c>
      <c r="F543" t="str" cm="1">
        <f t="array" aca="1" ref="F543" ca="1">eConcatenar(A543:D543,"|")</f>
        <v>localidadmigrada542|QWW6MB4MP6XNYS|LIBERTAD PRIMERA SECCION EL CHIVERO|final</v>
      </c>
    </row>
    <row r="544" spans="1:6" x14ac:dyDescent="0.25">
      <c r="A544" t="s">
        <v>3571</v>
      </c>
      <c r="B544" t="s">
        <v>2026</v>
      </c>
      <c r="C544" t="s">
        <v>2025</v>
      </c>
      <c r="D544" t="s">
        <v>1074</v>
      </c>
      <c r="F544" t="str" cm="1">
        <f t="array" aca="1" ref="F544" ca="1">eConcatenar(A544:D544,"|")</f>
        <v>localidadmigrada543|QWW6MB88P6XNYS|LIBERTAD SEGUNDA SECCION |final</v>
      </c>
    </row>
    <row r="545" spans="1:6" x14ac:dyDescent="0.25">
      <c r="A545" t="s">
        <v>3572</v>
      </c>
      <c r="B545" t="s">
        <v>2024</v>
      </c>
      <c r="C545" t="s">
        <v>2023</v>
      </c>
      <c r="D545" t="s">
        <v>1074</v>
      </c>
      <c r="F545" t="str" cm="1">
        <f t="array" aca="1" ref="F545" ca="1">eConcatenar(A545:D545,"|")</f>
        <v>localidadmigrada544|QWW6MBQAP6XNYS|MOCTEZUMA FRANCISCO I MADERO TERCERA SECCION |final</v>
      </c>
    </row>
    <row r="546" spans="1:6" x14ac:dyDescent="0.25">
      <c r="A546" t="s">
        <v>3573</v>
      </c>
      <c r="B546" t="s">
        <v>2022</v>
      </c>
      <c r="C546" t="s">
        <v>687</v>
      </c>
      <c r="D546" t="s">
        <v>1074</v>
      </c>
      <c r="F546" t="str" cm="1">
        <f t="array" aca="1" ref="F546" ca="1">eConcatenar(A546:D546,"|")</f>
        <v>localidadmigrada545|QWW6MBUGP6XNYS|MOCTEZUMA PRIMERA SECCION |final</v>
      </c>
    </row>
    <row r="547" spans="1:6" x14ac:dyDescent="0.25">
      <c r="A547" t="s">
        <v>3574</v>
      </c>
      <c r="B547" t="s">
        <v>2021</v>
      </c>
      <c r="C547" t="s">
        <v>2020</v>
      </c>
      <c r="D547" t="s">
        <v>1074</v>
      </c>
      <c r="F547" t="str" cm="1">
        <f t="array" aca="1" ref="F547" ca="1">eConcatenar(A547:D547,"|")</f>
        <v>localidadmigrada546|QWW6MBYMP6XNYS|MOCTEZUMA SEGUNDA SECCION |final</v>
      </c>
    </row>
    <row r="548" spans="1:6" x14ac:dyDescent="0.25">
      <c r="A548" t="s">
        <v>3575</v>
      </c>
      <c r="B548" t="s">
        <v>2019</v>
      </c>
      <c r="C548" t="s">
        <v>2018</v>
      </c>
      <c r="D548" t="s">
        <v>1074</v>
      </c>
      <c r="F548" t="str" cm="1">
        <f t="array" aca="1" ref="F548" ca="1">eConcatenar(A548:D548,"|")</f>
        <v>localidadmigrada547|QWW6MCG4P6XNYS|MOCTEZUMA TERCERA SECCION|final</v>
      </c>
    </row>
    <row r="549" spans="1:6" x14ac:dyDescent="0.25">
      <c r="A549" t="s">
        <v>3576</v>
      </c>
      <c r="B549" t="s">
        <v>2017</v>
      </c>
      <c r="C549" t="s">
        <v>2016</v>
      </c>
      <c r="D549" t="s">
        <v>1074</v>
      </c>
      <c r="F549" t="str" cm="1">
        <f t="array" aca="1" ref="F549" ca="1">eConcatenar(A549:D549,"|")</f>
        <v>localidadmigrada548|QWW6MCM8P6XNYS|MONTE ADENTRO|final</v>
      </c>
    </row>
    <row r="550" spans="1:6" x14ac:dyDescent="0.25">
      <c r="A550" t="s">
        <v>3577</v>
      </c>
      <c r="B550" t="s">
        <v>2015</v>
      </c>
      <c r="C550" t="s">
        <v>827</v>
      </c>
      <c r="D550" t="s">
        <v>1074</v>
      </c>
      <c r="F550" t="str" cm="1">
        <f t="array" aca="1" ref="F550" ca="1">eConcatenar(A550:D550,"|")</f>
        <v>localidadmigrada549|QWW6MCSCP6XNYS|NICOLAS BRAVO|final</v>
      </c>
    </row>
    <row r="551" spans="1:6" x14ac:dyDescent="0.25">
      <c r="A551" t="s">
        <v>3578</v>
      </c>
      <c r="B551" t="s">
        <v>2014</v>
      </c>
      <c r="C551" t="s">
        <v>1145</v>
      </c>
      <c r="D551" t="s">
        <v>1074</v>
      </c>
      <c r="F551" t="str" cm="1">
        <f t="array" aca="1" ref="F551" ca="1">eConcatenar(A551:D551,"|")</f>
        <v>localidadmigrada550|QWW6MF2UP6XNYS|NICOLAS BRAVO SEGUNDA SECCION |final</v>
      </c>
    </row>
    <row r="552" spans="1:6" x14ac:dyDescent="0.25">
      <c r="A552" t="s">
        <v>3579</v>
      </c>
      <c r="B552" t="s">
        <v>2013</v>
      </c>
      <c r="C552" t="s">
        <v>2012</v>
      </c>
      <c r="D552" t="s">
        <v>1074</v>
      </c>
      <c r="F552" t="str" cm="1">
        <f t="array" aca="1" ref="F552" ca="1">eConcatenar(A552:D552,"|")</f>
        <v>localidadmigrada551|QWW6MFLGP6XNYS|NICOLAS BRAVO TERCERA SECCION |final</v>
      </c>
    </row>
    <row r="553" spans="1:6" x14ac:dyDescent="0.25">
      <c r="A553" t="s">
        <v>3580</v>
      </c>
      <c r="B553" t="s">
        <v>2011</v>
      </c>
      <c r="C553" t="s">
        <v>2010</v>
      </c>
      <c r="D553" t="s">
        <v>1074</v>
      </c>
      <c r="F553" t="str" cm="1">
        <f t="array" aca="1" ref="F553" ca="1">eConcatenar(A553:D553,"|")</f>
        <v>localidadmigrada552|QWW6MFRAP6XNYS|NICOLAS BRAVO CUARTA SECCION TILAPA|final</v>
      </c>
    </row>
    <row r="554" spans="1:6" x14ac:dyDescent="0.25">
      <c r="A554" t="s">
        <v>3581</v>
      </c>
      <c r="B554" t="s">
        <v>2009</v>
      </c>
      <c r="C554" t="s">
        <v>2008</v>
      </c>
      <c r="D554" t="s">
        <v>1074</v>
      </c>
      <c r="F554" t="str" cm="1">
        <f t="array" aca="1" ref="F554" ca="1">eConcatenar(A554:D554,"|")</f>
        <v>localidadmigrada553|QWW6MG9MP6XNYS|NICOLAS BRAVO QUINTA SECCION PUNTA BRAVA|final</v>
      </c>
    </row>
    <row r="555" spans="1:6" x14ac:dyDescent="0.25">
      <c r="A555" t="s">
        <v>3582</v>
      </c>
      <c r="B555" t="s">
        <v>2007</v>
      </c>
      <c r="C555" t="s">
        <v>789</v>
      </c>
      <c r="D555" t="s">
        <v>1074</v>
      </c>
      <c r="F555" t="str" cm="1">
        <f t="array" aca="1" ref="F555" ca="1">eConcatenar(A555:D555,"|")</f>
        <v>localidadmigrada554|QWW6MH2SP6XNYS|NUEVO TORNO LARGO|final</v>
      </c>
    </row>
    <row r="556" spans="1:6" x14ac:dyDescent="0.25">
      <c r="A556" t="s">
        <v>3583</v>
      </c>
      <c r="B556" t="s">
        <v>2006</v>
      </c>
      <c r="C556" t="s">
        <v>2005</v>
      </c>
      <c r="D556" t="s">
        <v>1074</v>
      </c>
      <c r="F556" t="str" cm="1">
        <f t="array" aca="1" ref="F556" ca="1">eConcatenar(A556:D556,"|")</f>
        <v>localidadmigrada555|QWW6MH6OP6XNYS|OCCIDENTE SAN FRANCISCO|final</v>
      </c>
    </row>
    <row r="557" spans="1:6" x14ac:dyDescent="0.25">
      <c r="A557" t="s">
        <v>3584</v>
      </c>
      <c r="B557" t="s">
        <v>2004</v>
      </c>
      <c r="C557" t="s">
        <v>2003</v>
      </c>
      <c r="D557" t="s">
        <v>1074</v>
      </c>
      <c r="F557" t="str" cm="1">
        <f t="array" aca="1" ref="F557" ca="1">eConcatenar(A557:D557,"|")</f>
        <v>localidadmigrada556|QWW6MHBEP6XNYS|ORIENTE HORMIGUERO|final</v>
      </c>
    </row>
    <row r="558" spans="1:6" x14ac:dyDescent="0.25">
      <c r="A558" t="s">
        <v>3585</v>
      </c>
      <c r="B558" t="s">
        <v>2002</v>
      </c>
      <c r="C558" t="s">
        <v>2001</v>
      </c>
      <c r="D558" t="s">
        <v>1074</v>
      </c>
      <c r="F558" t="str" cm="1">
        <f t="array" aca="1" ref="F558" ca="1">eConcatenar(A558:D558,"|")</f>
        <v>localidadmigrada557|QWW6MHQOP6XNYS|ORIENTE SAN CAYETANO|final</v>
      </c>
    </row>
    <row r="559" spans="1:6" x14ac:dyDescent="0.25">
      <c r="A559" t="s">
        <v>3586</v>
      </c>
      <c r="B559" t="s">
        <v>2000</v>
      </c>
      <c r="C559" t="s">
        <v>1999</v>
      </c>
      <c r="D559" t="s">
        <v>1074</v>
      </c>
      <c r="F559" t="str" cm="1">
        <f t="array" aca="1" ref="F559" ca="1">eConcatenar(A559:D559,"|")</f>
        <v>localidadmigrada558|QWW6MHUAP6XNYS|ORIENTE PRIMERA SECCION  |final</v>
      </c>
    </row>
    <row r="560" spans="1:6" x14ac:dyDescent="0.25">
      <c r="A560" t="s">
        <v>3587</v>
      </c>
      <c r="B560" t="s">
        <v>1998</v>
      </c>
      <c r="C560" t="s">
        <v>1997</v>
      </c>
      <c r="D560" t="s">
        <v>1074</v>
      </c>
      <c r="F560" t="str" cm="1">
        <f t="array" aca="1" ref="F560" ca="1">eConcatenar(A560:D560,"|")</f>
        <v>localidadmigrada559|QWW6MI18P6XNYS|ORIENTE SEGUNDA SECCION PALMA HUACA|final</v>
      </c>
    </row>
    <row r="561" spans="1:6" x14ac:dyDescent="0.25">
      <c r="A561" t="s">
        <v>3588</v>
      </c>
      <c r="B561" t="s">
        <v>1996</v>
      </c>
      <c r="C561" t="s">
        <v>1995</v>
      </c>
      <c r="D561" t="s">
        <v>1074</v>
      </c>
      <c r="F561" t="str" cm="1">
        <f t="array" aca="1" ref="F561" ca="1">eConcatenar(A561:D561,"|")</f>
        <v>localidadmigrada560|QWW6MI4KP6XNYS|PALESTINA|final</v>
      </c>
    </row>
    <row r="562" spans="1:6" x14ac:dyDescent="0.25">
      <c r="A562" t="s">
        <v>3589</v>
      </c>
      <c r="B562" t="s">
        <v>1994</v>
      </c>
      <c r="C562" t="s">
        <v>654</v>
      </c>
      <c r="D562" t="s">
        <v>1074</v>
      </c>
      <c r="F562" t="str" cm="1">
        <f t="array" aca="1" ref="F562" ca="1">eConcatenar(A562:D562,"|")</f>
        <v>localidadmigrada561|QWW6MIIQP6XNYS|PARAISO|final</v>
      </c>
    </row>
    <row r="563" spans="1:6" x14ac:dyDescent="0.25">
      <c r="A563" t="s">
        <v>3590</v>
      </c>
      <c r="B563" t="s">
        <v>1993</v>
      </c>
      <c r="C563" t="s">
        <v>786</v>
      </c>
      <c r="D563" t="s">
        <v>1074</v>
      </c>
      <c r="F563" t="str" cm="1">
        <f t="array" aca="1" ref="F563" ca="1">eConcatenar(A563:D563,"|")</f>
        <v>localidadmigrada562|QWW6MIMMP6XNYS|PENJAMO|final</v>
      </c>
    </row>
    <row r="564" spans="1:6" x14ac:dyDescent="0.25">
      <c r="A564" t="s">
        <v>3591</v>
      </c>
      <c r="B564" t="s">
        <v>1992</v>
      </c>
      <c r="C564" t="s">
        <v>1991</v>
      </c>
      <c r="D564" t="s">
        <v>1074</v>
      </c>
      <c r="F564" t="str" cm="1">
        <f t="array" aca="1" ref="F564" ca="1">eConcatenar(A564:D564,"|")</f>
        <v>localidadmigrada563|QWW6MIQIP6XNYS|POTRERITOS|final</v>
      </c>
    </row>
    <row r="565" spans="1:6" x14ac:dyDescent="0.25">
      <c r="A565" t="s">
        <v>3592</v>
      </c>
      <c r="B565" t="s">
        <v>1990</v>
      </c>
      <c r="C565" t="s">
        <v>878</v>
      </c>
      <c r="D565" t="s">
        <v>1074</v>
      </c>
      <c r="F565" t="str" cm="1">
        <f t="array" aca="1" ref="F565" ca="1">eConcatenar(A565:D565,"|")</f>
        <v>localidadmigrada564|QWW6MJCGP6XNYS|PUERTO CEIBA|final</v>
      </c>
    </row>
    <row r="566" spans="1:6" x14ac:dyDescent="0.25">
      <c r="A566" t="s">
        <v>3593</v>
      </c>
      <c r="B566" t="s">
        <v>1989</v>
      </c>
      <c r="C566" t="s">
        <v>577</v>
      </c>
      <c r="D566" t="s">
        <v>1074</v>
      </c>
      <c r="F566" t="str" cm="1">
        <f t="array" aca="1" ref="F566" ca="1">eConcatenar(A566:D566,"|")</f>
        <v>localidadmigrada565|QWW6ML1UP6XNYS|QUINTIN ARAUZ|final</v>
      </c>
    </row>
    <row r="567" spans="1:6" x14ac:dyDescent="0.25">
      <c r="A567" t="s">
        <v>3594</v>
      </c>
      <c r="B567" t="s">
        <v>1988</v>
      </c>
      <c r="C567" t="s">
        <v>1987</v>
      </c>
      <c r="D567" t="s">
        <v>1074</v>
      </c>
      <c r="F567" t="str" cm="1">
        <f t="array" aca="1" ref="F567" ca="1">eConcatenar(A567:D567,"|")</f>
        <v>localidadmigrada566|QWW6ML4MP6XNYS|QUINTIN ARAUZ UNO|final</v>
      </c>
    </row>
    <row r="568" spans="1:6" x14ac:dyDescent="0.25">
      <c r="A568" t="s">
        <v>3595</v>
      </c>
      <c r="B568" t="s">
        <v>1986</v>
      </c>
      <c r="C568" t="s">
        <v>1985</v>
      </c>
      <c r="D568" t="s">
        <v>1074</v>
      </c>
      <c r="F568" t="str" cm="1">
        <f t="array" aca="1" ref="F568" ca="1">eConcatenar(A568:D568,"|")</f>
        <v>localidadmigrada567|QWW6ML9CP6XNYS|ADALBERTO SANTOS MAGAÑA|final</v>
      </c>
    </row>
    <row r="569" spans="1:6" x14ac:dyDescent="0.25">
      <c r="A569" t="s">
        <v>3596</v>
      </c>
      <c r="B569" t="s">
        <v>1984</v>
      </c>
      <c r="C569" t="s">
        <v>1983</v>
      </c>
      <c r="D569" t="s">
        <v>1074</v>
      </c>
      <c r="F569" t="str" cm="1">
        <f t="array" aca="1" ref="F569" ca="1">eConcatenar(A569:D569,"|")</f>
        <v>localidadmigrada568|QWW6MLN8P6XNYS|BARRIO DEL CARMEN|final</v>
      </c>
    </row>
    <row r="570" spans="1:6" x14ac:dyDescent="0.25">
      <c r="A570" t="s">
        <v>3597</v>
      </c>
      <c r="B570" t="s">
        <v>1982</v>
      </c>
      <c r="C570" t="s">
        <v>1981</v>
      </c>
      <c r="D570" t="s">
        <v>1074</v>
      </c>
      <c r="F570" t="str" cm="1">
        <f t="array" aca="1" ref="F570" ca="1">eConcatenar(A570:D570,"|")</f>
        <v>localidadmigrada569|QWW6MLRYP6XNYS|BARRIO LA CANDELARIA |final</v>
      </c>
    </row>
    <row r="571" spans="1:6" x14ac:dyDescent="0.25">
      <c r="A571" t="s">
        <v>3598</v>
      </c>
      <c r="B571" t="s">
        <v>1980</v>
      </c>
      <c r="C571" t="s">
        <v>1979</v>
      </c>
      <c r="D571" t="s">
        <v>1074</v>
      </c>
      <c r="F571" t="str" cm="1">
        <f t="array" aca="1" ref="F571" ca="1">eConcatenar(A571:D571,"|")</f>
        <v>localidadmigrada570|QWW6MLV0P6XNYS|COQUITO|final</v>
      </c>
    </row>
    <row r="572" spans="1:6" x14ac:dyDescent="0.25">
      <c r="A572" t="s">
        <v>3599</v>
      </c>
      <c r="B572" t="s">
        <v>1978</v>
      </c>
      <c r="C572" t="s">
        <v>1977</v>
      </c>
      <c r="D572" t="s">
        <v>1074</v>
      </c>
      <c r="F572" t="str" cm="1">
        <f t="array" aca="1" ref="F572" ca="1">eConcatenar(A572:D572,"|")</f>
        <v>localidadmigrada571|QWW6MM14P6XNYS|COSTA REAL|final</v>
      </c>
    </row>
    <row r="573" spans="1:6" x14ac:dyDescent="0.25">
      <c r="A573" t="s">
        <v>3600</v>
      </c>
      <c r="B573" t="s">
        <v>1976</v>
      </c>
      <c r="C573" t="s">
        <v>1975</v>
      </c>
      <c r="D573" t="s">
        <v>1074</v>
      </c>
      <c r="F573" t="str" cm="1">
        <f t="array" aca="1" ref="F573" ca="1">eConcatenar(A573:D573,"|")</f>
        <v>localidadmigrada572|QWW6MMNWP6XNYS|EJIDO ORIENTE|final</v>
      </c>
    </row>
    <row r="574" spans="1:6" x14ac:dyDescent="0.25">
      <c r="A574" t="s">
        <v>3601</v>
      </c>
      <c r="B574" t="s">
        <v>1974</v>
      </c>
      <c r="C574" t="s">
        <v>219</v>
      </c>
      <c r="D574" t="s">
        <v>1074</v>
      </c>
      <c r="F574" t="str" cm="1">
        <f t="array" aca="1" ref="F574" ca="1">eConcatenar(A574:D574,"|")</f>
        <v>localidadmigrada573|QWW6MMQEP6XNYS|EL LIMON|final</v>
      </c>
    </row>
    <row r="575" spans="1:6" x14ac:dyDescent="0.25">
      <c r="A575" t="s">
        <v>3602</v>
      </c>
      <c r="B575" t="s">
        <v>1973</v>
      </c>
      <c r="C575" t="s">
        <v>673</v>
      </c>
      <c r="D575" t="s">
        <v>1074</v>
      </c>
      <c r="F575" t="str" cm="1">
        <f t="array" aca="1" ref="F575" ca="1">eConcatenar(A575:D575,"|")</f>
        <v>localidadmigrada574|QWW6MN86P6XNYS|EL LIMONCITO|final</v>
      </c>
    </row>
    <row r="576" spans="1:6" x14ac:dyDescent="0.25">
      <c r="A576" t="s">
        <v>3603</v>
      </c>
      <c r="B576" t="s">
        <v>1972</v>
      </c>
      <c r="C576" t="s">
        <v>1971</v>
      </c>
      <c r="D576" t="s">
        <v>1074</v>
      </c>
      <c r="F576" t="str" cm="1">
        <f t="array" aca="1" ref="F576" ca="1">eConcatenar(A576:D576,"|")</f>
        <v>localidadmigrada575|QWW6MNE0P6XNYS|EMPLEADOS DE CONFIANZA DE PEMEX|final</v>
      </c>
    </row>
    <row r="577" spans="1:6" x14ac:dyDescent="0.25">
      <c r="A577" t="s">
        <v>3604</v>
      </c>
      <c r="B577" t="s">
        <v>1970</v>
      </c>
      <c r="C577" t="s">
        <v>1969</v>
      </c>
      <c r="D577" t="s">
        <v>1074</v>
      </c>
      <c r="F577" t="str" cm="1">
        <f t="array" aca="1" ref="F577" ca="1">eConcatenar(A577:D577,"|")</f>
        <v>localidadmigrada576|QWW6MO3KP6XNYS|FRACCIONAMIENTO CARLOS A MADRAZO|final</v>
      </c>
    </row>
    <row r="578" spans="1:6" x14ac:dyDescent="0.25">
      <c r="A578" t="s">
        <v>3605</v>
      </c>
      <c r="B578" t="s">
        <v>1968</v>
      </c>
      <c r="C578" t="s">
        <v>1967</v>
      </c>
      <c r="D578" t="s">
        <v>1074</v>
      </c>
      <c r="F578" t="str" cm="1">
        <f t="array" aca="1" ref="F578" ca="1">eConcatenar(A578:D578,"|")</f>
        <v>localidadmigrada577|QWW6MO80P6XNYS|FRACCIONAMIENTO LA CEIBA |final</v>
      </c>
    </row>
    <row r="579" spans="1:6" x14ac:dyDescent="0.25">
      <c r="A579" t="s">
        <v>3606</v>
      </c>
      <c r="B579" t="s">
        <v>1966</v>
      </c>
      <c r="C579" t="s">
        <v>1965</v>
      </c>
      <c r="D579" t="s">
        <v>1074</v>
      </c>
      <c r="F579" t="str" cm="1">
        <f t="array" aca="1" ref="F579" ca="1">eConcatenar(A579:D579,"|")</f>
        <v>localidadmigrada578|QWW6MOXAP6XNYS|FRACCIONAMIENTO PRIMAVERA|final</v>
      </c>
    </row>
    <row r="580" spans="1:6" x14ac:dyDescent="0.25">
      <c r="A580" t="s">
        <v>3607</v>
      </c>
      <c r="B580" t="s">
        <v>1964</v>
      </c>
      <c r="C580" t="s">
        <v>1963</v>
      </c>
      <c r="D580" t="s">
        <v>1074</v>
      </c>
      <c r="F580" t="str" cm="1">
        <f t="array" aca="1" ref="F580" ca="1">eConcatenar(A580:D580,"|")</f>
        <v>localidadmigrada579|QWW6MP16P6XNYS|FRACCIONAMIENTO TULIPANES|final</v>
      </c>
    </row>
    <row r="581" spans="1:6" x14ac:dyDescent="0.25">
      <c r="A581" t="s">
        <v>3608</v>
      </c>
      <c r="B581" t="s">
        <v>1962</v>
      </c>
      <c r="C581" t="s">
        <v>988</v>
      </c>
      <c r="D581" t="s">
        <v>1074</v>
      </c>
      <c r="F581" t="str" cm="1">
        <f t="array" aca="1" ref="F581" ca="1">eConcatenar(A581:D581,"|")</f>
        <v>localidadmigrada580|QWW6MP3YP6XNYS|LAS FLORES|final</v>
      </c>
    </row>
    <row r="582" spans="1:6" x14ac:dyDescent="0.25">
      <c r="A582" t="s">
        <v>3609</v>
      </c>
      <c r="B582" t="s">
        <v>1961</v>
      </c>
      <c r="C582" t="s">
        <v>1960</v>
      </c>
      <c r="D582" t="s">
        <v>1074</v>
      </c>
      <c r="F582" t="str" cm="1">
        <f t="array" aca="1" ref="F582" ca="1">eConcatenar(A582:D582,"|")</f>
        <v>localidadmigrada581|QWW6MPHUP6XNYS|LAS PALMAS|final</v>
      </c>
    </row>
    <row r="583" spans="1:6" x14ac:dyDescent="0.25">
      <c r="A583" t="s">
        <v>3610</v>
      </c>
      <c r="B583" t="s">
        <v>1959</v>
      </c>
      <c r="C583" t="s">
        <v>18</v>
      </c>
      <c r="D583" t="s">
        <v>1074</v>
      </c>
      <c r="F583" t="str" cm="1">
        <f t="array" aca="1" ref="F583" ca="1">eConcatenar(A583:D583,"|")</f>
        <v>localidadmigrada582|QWW6MPKWP6XNYS|LAZARO CARDENAS|final</v>
      </c>
    </row>
    <row r="584" spans="1:6" x14ac:dyDescent="0.25">
      <c r="A584" t="s">
        <v>3611</v>
      </c>
      <c r="B584" t="s">
        <v>1958</v>
      </c>
      <c r="C584" t="s">
        <v>1568</v>
      </c>
      <c r="D584" t="s">
        <v>1074</v>
      </c>
      <c r="F584" t="str" cm="1">
        <f t="array" aca="1" ref="F584" ca="1">eConcatenar(A584:D584,"|")</f>
        <v>localidadmigrada583|QWW6MPPMP6XNYS|LOS COCOS|final</v>
      </c>
    </row>
    <row r="585" spans="1:6" x14ac:dyDescent="0.25">
      <c r="A585" t="s">
        <v>3612</v>
      </c>
      <c r="B585" t="s">
        <v>1957</v>
      </c>
      <c r="C585" t="s">
        <v>1956</v>
      </c>
      <c r="D585" t="s">
        <v>1074</v>
      </c>
      <c r="F585" t="str" cm="1">
        <f t="array" aca="1" ref="F585" ca="1">eConcatenar(A585:D585,"|")</f>
        <v>localidadmigrada584|QWW6MPSYP6XNYS|LOS MANGOS|final</v>
      </c>
    </row>
    <row r="586" spans="1:6" x14ac:dyDescent="0.25">
      <c r="A586" t="s">
        <v>3613</v>
      </c>
      <c r="B586" t="s">
        <v>1955</v>
      </c>
      <c r="C586" t="s">
        <v>1954</v>
      </c>
      <c r="D586" t="s">
        <v>1074</v>
      </c>
      <c r="F586" t="str" cm="1">
        <f t="array" aca="1" ref="F586" ca="1">eConcatenar(A586:D586,"|")</f>
        <v>localidadmigrada585|QWW6MQAGP6XNYS|LOS TINTOS (ANTES LA CANDELARIA)|final</v>
      </c>
    </row>
    <row r="587" spans="1:6" x14ac:dyDescent="0.25">
      <c r="A587" t="s">
        <v>3614</v>
      </c>
      <c r="B587" t="s">
        <v>1953</v>
      </c>
      <c r="C587" t="s">
        <v>1952</v>
      </c>
      <c r="D587" t="s">
        <v>1074</v>
      </c>
      <c r="F587" t="str" cm="1">
        <f t="array" aca="1" ref="F587" ca="1">eConcatenar(A587:D587,"|")</f>
        <v>localidadmigrada586|QWW6MQDIP6XNYS|LOS VEGAS|final</v>
      </c>
    </row>
    <row r="588" spans="1:6" x14ac:dyDescent="0.25">
      <c r="A588" t="s">
        <v>3615</v>
      </c>
      <c r="B588" t="s">
        <v>1951</v>
      </c>
      <c r="C588" t="s">
        <v>1950</v>
      </c>
      <c r="D588" t="s">
        <v>1074</v>
      </c>
      <c r="F588" t="str" cm="1">
        <f t="array" aca="1" ref="F588" ca="1">eConcatenar(A588:D588,"|")</f>
        <v>localidadmigrada587|QWW6MQHYP6XNYS|NUEVA VENECIA|final</v>
      </c>
    </row>
    <row r="589" spans="1:6" x14ac:dyDescent="0.25">
      <c r="A589" t="s">
        <v>3616</v>
      </c>
      <c r="B589" t="s">
        <v>1949</v>
      </c>
      <c r="C589" t="s">
        <v>1948</v>
      </c>
      <c r="D589" t="s">
        <v>1074</v>
      </c>
      <c r="F589" t="str" cm="1">
        <f t="array" aca="1" ref="F589" ca="1">eConcatenar(A589:D589,"|")</f>
        <v>localidadmigrada588|QWW6MQLKP6XNYS|PARAISO CENTRO|final</v>
      </c>
    </row>
    <row r="590" spans="1:6" x14ac:dyDescent="0.25">
      <c r="A590" t="s">
        <v>3617</v>
      </c>
      <c r="B590" t="s">
        <v>1947</v>
      </c>
      <c r="C590" t="s">
        <v>1946</v>
      </c>
      <c r="D590" t="s">
        <v>1074</v>
      </c>
      <c r="F590" t="str" cm="1">
        <f t="array" aca="1" ref="F590" ca="1">eConcatenar(A590:D590,"|")</f>
        <v>localidadmigrada589|QWW6MR28P6XNYS|RANCHO MOCTEZUMA UNO|final</v>
      </c>
    </row>
    <row r="591" spans="1:6" x14ac:dyDescent="0.25">
      <c r="A591" t="s">
        <v>3618</v>
      </c>
      <c r="B591" t="s">
        <v>1945</v>
      </c>
      <c r="C591" t="s">
        <v>1944</v>
      </c>
      <c r="D591" t="s">
        <v>1074</v>
      </c>
      <c r="F591" t="str" cm="1">
        <f t="array" aca="1" ref="F591" ca="1">eConcatenar(A591:D591,"|")</f>
        <v>localidadmigrada590|QWW6MRDMP6XNYS|RANCHO MONTE ADENTRO|final</v>
      </c>
    </row>
    <row r="592" spans="1:6" x14ac:dyDescent="0.25">
      <c r="A592" t="s">
        <v>3619</v>
      </c>
      <c r="B592" t="s">
        <v>1943</v>
      </c>
      <c r="C592" t="s">
        <v>1942</v>
      </c>
      <c r="D592" t="s">
        <v>1074</v>
      </c>
      <c r="F592" t="str" cm="1">
        <f t="array" aca="1" ref="F592" ca="1">eConcatenar(A592:D592,"|")</f>
        <v>localidadmigrada591|QWW6MRTGP6XNYS|RANCHO ORIENTE PRIMERA SECCION |final</v>
      </c>
    </row>
    <row r="593" spans="1:6" x14ac:dyDescent="0.25">
      <c r="A593" t="s">
        <v>3620</v>
      </c>
      <c r="B593" t="s">
        <v>1941</v>
      </c>
      <c r="C593" t="s">
        <v>1940</v>
      </c>
      <c r="D593" t="s">
        <v>1074</v>
      </c>
      <c r="F593" t="str" cm="1">
        <f t="array" aca="1" ref="F593" ca="1">eConcatenar(A593:D593,"|")</f>
        <v>localidadmigrada592|QWW6MRXWP6XNYS|RANCHO QUINTIN ARAUZ|final</v>
      </c>
    </row>
    <row r="594" spans="1:6" x14ac:dyDescent="0.25">
      <c r="A594" t="s">
        <v>3621</v>
      </c>
      <c r="B594" t="s">
        <v>1939</v>
      </c>
      <c r="C594" t="s">
        <v>1938</v>
      </c>
      <c r="D594" t="s">
        <v>1074</v>
      </c>
      <c r="F594" t="str" cm="1">
        <f t="array" aca="1" ref="F594" ca="1">eConcatenar(A594:D594,"|")</f>
        <v>localidadmigrada593|QWW6MS1IP6XNYS|VILLA CEIBA PUERTO|final</v>
      </c>
    </row>
    <row r="595" spans="1:6" x14ac:dyDescent="0.25">
      <c r="A595" t="s">
        <v>3622</v>
      </c>
      <c r="B595" t="s">
        <v>1937</v>
      </c>
      <c r="C595" t="s">
        <v>1936</v>
      </c>
      <c r="D595" t="s">
        <v>1074</v>
      </c>
      <c r="F595" t="str" cm="1">
        <f t="array" aca="1" ref="F595" ca="1">eConcatenar(A595:D595,"|")</f>
        <v>localidadmigrada594|QWWIAQ8SP6XNYS|AGAPITO DOMINGUEZ CANABAL|final</v>
      </c>
    </row>
    <row r="596" spans="1:6" x14ac:dyDescent="0.25">
      <c r="A596" t="s">
        <v>3623</v>
      </c>
      <c r="B596" t="s">
        <v>1935</v>
      </c>
      <c r="C596" t="s">
        <v>1934</v>
      </c>
      <c r="D596" t="s">
        <v>1074</v>
      </c>
      <c r="F596" t="str" cm="1">
        <f t="array" aca="1" ref="F596" ca="1">eConcatenar(A596:D596,"|")</f>
        <v>localidadmigrada595|QWWIAR1OP6XNYS|ALTAMIRA|final</v>
      </c>
    </row>
    <row r="597" spans="1:6" x14ac:dyDescent="0.25">
      <c r="A597" t="s">
        <v>3624</v>
      </c>
      <c r="B597" t="s">
        <v>1933</v>
      </c>
      <c r="C597" t="s">
        <v>1932</v>
      </c>
      <c r="D597" t="s">
        <v>1074</v>
      </c>
      <c r="F597" t="str" cm="1">
        <f t="array" aca="1" ref="F597" ca="1">eConcatenar(A597:D597,"|")</f>
        <v>localidadmigrada596|QWWIARIWP6XNYS|ALTO AMACOHITE TERCERA SECCION  KM 32|final</v>
      </c>
    </row>
    <row r="598" spans="1:6" x14ac:dyDescent="0.25">
      <c r="A598" t="s">
        <v>3625</v>
      </c>
      <c r="B598" t="s">
        <v>1931</v>
      </c>
      <c r="C598" t="s">
        <v>1930</v>
      </c>
      <c r="D598" t="s">
        <v>1074</v>
      </c>
      <c r="F598" t="str" cm="1">
        <f t="array" aca="1" ref="F598" ca="1">eConcatenar(A598:D598,"|")</f>
        <v>localidadmigrada597|QWWIARRIP6XNYS|AMACOHITE PRIMERA SECCION |final</v>
      </c>
    </row>
    <row r="599" spans="1:6" x14ac:dyDescent="0.25">
      <c r="A599" t="s">
        <v>3626</v>
      </c>
      <c r="B599" t="s">
        <v>1929</v>
      </c>
      <c r="C599" t="s">
        <v>1928</v>
      </c>
      <c r="D599" t="s">
        <v>1074</v>
      </c>
      <c r="F599" t="str" cm="1">
        <f t="array" aca="1" ref="F599" ca="1">eConcatenar(A599:D599,"|")</f>
        <v>localidadmigrada598|QWWIASA4P6XNYS|AMACOHITE SEGUNDA SECCION |final</v>
      </c>
    </row>
    <row r="600" spans="1:6" x14ac:dyDescent="0.25">
      <c r="A600" t="s">
        <v>3627</v>
      </c>
      <c r="B600" t="s">
        <v>1927</v>
      </c>
      <c r="C600" t="s">
        <v>1926</v>
      </c>
      <c r="D600" t="s">
        <v>1074</v>
      </c>
      <c r="F600" t="str" cm="1">
        <f t="array" aca="1" ref="F600" ca="1">eConcatenar(A600:D600,"|")</f>
        <v>localidadmigrada599|QWWIASI6P6XNYS|ANTONIO CARDENAS |final</v>
      </c>
    </row>
    <row r="601" spans="1:6" x14ac:dyDescent="0.25">
      <c r="A601" t="s">
        <v>3628</v>
      </c>
      <c r="B601" t="s">
        <v>1925</v>
      </c>
      <c r="C601" t="s">
        <v>1924</v>
      </c>
      <c r="D601" t="s">
        <v>1074</v>
      </c>
      <c r="F601" t="str" cm="1">
        <f t="array" aca="1" ref="F601" ca="1">eConcatenar(A601:D601,"|")</f>
        <v>localidadmigrada600|QWWIASYAP6XNYS|AQUILES SERDAN PRIMERA SECCION |final</v>
      </c>
    </row>
    <row r="602" spans="1:6" x14ac:dyDescent="0.25">
      <c r="A602" t="s">
        <v>3629</v>
      </c>
      <c r="B602" t="s">
        <v>1923</v>
      </c>
      <c r="C602" t="s">
        <v>1922</v>
      </c>
      <c r="D602" t="s">
        <v>1074</v>
      </c>
      <c r="F602" t="str" cm="1">
        <f t="array" aca="1" ref="F602" ca="1">eConcatenar(A602:D602,"|")</f>
        <v>localidadmigrada601|QWWIAT2QP6XNYS|ARMANDO DE LA FUENTE|final</v>
      </c>
    </row>
    <row r="603" spans="1:6" x14ac:dyDescent="0.25">
      <c r="A603" t="s">
        <v>3630</v>
      </c>
      <c r="B603" t="s">
        <v>1921</v>
      </c>
      <c r="C603" t="s">
        <v>1920</v>
      </c>
      <c r="D603" t="s">
        <v>1074</v>
      </c>
      <c r="F603" t="str" cm="1">
        <f t="array" aca="1" ref="F603" ca="1">eConcatenar(A603:D603,"|")</f>
        <v>localidadmigrada602|QWWIAT76P6XNYS|ARRIBA Y ADELANTE|final</v>
      </c>
    </row>
    <row r="604" spans="1:6" x14ac:dyDescent="0.25">
      <c r="A604" t="s">
        <v>3631</v>
      </c>
      <c r="B604" t="s">
        <v>1919</v>
      </c>
      <c r="C604" t="s">
        <v>1918</v>
      </c>
      <c r="D604" t="s">
        <v>1074</v>
      </c>
      <c r="F604" t="str" cm="1">
        <f t="array" aca="1" ref="F604" ca="1">eConcatenar(A604:D604,"|")</f>
        <v>localidadmigrada603|QWWIBXCGP6XNYS|AUDOMARO GURRIA|final</v>
      </c>
    </row>
    <row r="605" spans="1:6" x14ac:dyDescent="0.25">
      <c r="A605" t="s">
        <v>3632</v>
      </c>
      <c r="B605" t="s">
        <v>1917</v>
      </c>
      <c r="C605" t="s">
        <v>1916</v>
      </c>
      <c r="D605" t="s">
        <v>1074</v>
      </c>
      <c r="F605" t="str" cm="1">
        <f t="array" aca="1" ref="F605" ca="1">eConcatenar(A605:D605,"|")</f>
        <v>localidadmigrada604|QWWIBXT4P6XNYS|AUREO CALLES|final</v>
      </c>
    </row>
    <row r="606" spans="1:6" x14ac:dyDescent="0.25">
      <c r="A606" t="s">
        <v>3633</v>
      </c>
      <c r="B606" t="s">
        <v>1915</v>
      </c>
      <c r="C606" t="s">
        <v>1914</v>
      </c>
      <c r="D606" t="s">
        <v>1074</v>
      </c>
      <c r="F606" t="str" cm="1">
        <f t="array" aca="1" ref="F606" ca="1">eConcatenar(A606:D606,"|")</f>
        <v>localidadmigrada605|QWWIBXY4P6XNYS|BELLAS ARTES |final</v>
      </c>
    </row>
    <row r="607" spans="1:6" x14ac:dyDescent="0.25">
      <c r="A607" t="s">
        <v>3634</v>
      </c>
      <c r="B607" t="s">
        <v>1913</v>
      </c>
      <c r="C607" t="s">
        <v>1912</v>
      </c>
      <c r="D607" t="s">
        <v>1074</v>
      </c>
      <c r="F607" t="str" cm="1">
        <f t="array" aca="1" ref="F607" ca="1">eConcatenar(A607:D607,"|")</f>
        <v>localidadmigrada606|QWWIBY1QP6XNYS|BELLOS HORIZONTES|final</v>
      </c>
    </row>
    <row r="608" spans="1:6" x14ac:dyDescent="0.25">
      <c r="A608" t="s">
        <v>3635</v>
      </c>
      <c r="B608" t="s">
        <v>1911</v>
      </c>
      <c r="C608" t="s">
        <v>1910</v>
      </c>
      <c r="D608" t="s">
        <v>1074</v>
      </c>
      <c r="F608" t="str" cm="1">
        <f t="array" aca="1" ref="F608" ca="1">eConcatenar(A608:D608,"|")</f>
        <v>localidadmigrada607|QWWIBY8OP6XNYS|BENITO JUAREZ|final</v>
      </c>
    </row>
    <row r="609" spans="1:6" x14ac:dyDescent="0.25">
      <c r="A609" t="s">
        <v>3636</v>
      </c>
      <c r="B609" t="s">
        <v>1909</v>
      </c>
      <c r="C609" t="s">
        <v>1908</v>
      </c>
      <c r="D609" t="s">
        <v>1074</v>
      </c>
      <c r="F609" t="str" cm="1">
        <f t="array" aca="1" ref="F609" ca="1">eConcatenar(A609:D609,"|")</f>
        <v>localidadmigrada608|QWWIBYNOP6XNYS|BENITO JUAREZ PRIMERA SECCION |final</v>
      </c>
    </row>
    <row r="610" spans="1:6" x14ac:dyDescent="0.25">
      <c r="A610" t="s">
        <v>3637</v>
      </c>
      <c r="B610" t="s">
        <v>1907</v>
      </c>
      <c r="C610" t="s">
        <v>1906</v>
      </c>
      <c r="D610" t="s">
        <v>1074</v>
      </c>
      <c r="F610" t="str" cm="1">
        <f t="array" aca="1" ref="F610" ca="1">eConcatenar(A610:D610,"|")</f>
        <v>localidadmigrada609|QWWIBYUMP6XNYS|BENITO JUAREZ SEGUNDA SECCION MONTE ALEGRE|final</v>
      </c>
    </row>
    <row r="611" spans="1:6" x14ac:dyDescent="0.25">
      <c r="A611" t="s">
        <v>3638</v>
      </c>
      <c r="B611" t="s">
        <v>1905</v>
      </c>
      <c r="C611" t="s">
        <v>1904</v>
      </c>
      <c r="D611" t="s">
        <v>1074</v>
      </c>
      <c r="F611" t="str" cm="1">
        <f t="array" aca="1" ref="F611" ca="1">eConcatenar(A611:D611,"|")</f>
        <v>localidadmigrada610|QWWIC75SP6XNYS|BETO AGUILERA|final</v>
      </c>
    </row>
    <row r="612" spans="1:6" x14ac:dyDescent="0.25">
      <c r="A612" t="s">
        <v>3639</v>
      </c>
      <c r="B612" t="s">
        <v>1903</v>
      </c>
      <c r="C612" t="s">
        <v>1902</v>
      </c>
      <c r="D612" t="s">
        <v>1074</v>
      </c>
      <c r="F612" t="str" cm="1">
        <f t="array" aca="1" ref="F612" ca="1">eConcatenar(A612:D612,"|")</f>
        <v>localidadmigrada611|QWWIC7V2P6XNYS|BLASILLO PRIMERA SECCION NICOLAS BRAVO|final</v>
      </c>
    </row>
    <row r="613" spans="1:6" x14ac:dyDescent="0.25">
      <c r="A613" t="s">
        <v>3640</v>
      </c>
      <c r="B613" t="s">
        <v>1901</v>
      </c>
      <c r="C613" t="s">
        <v>1900</v>
      </c>
      <c r="D613" t="s">
        <v>1074</v>
      </c>
      <c r="F613" t="str" cm="1">
        <f t="array" aca="1" ref="F613" ca="1">eConcatenar(A613:D613,"|")</f>
        <v>localidadmigrada612|QWWIC834P6XNYS|BLASILLO SEGUNDA SECCION OTATES|final</v>
      </c>
    </row>
    <row r="614" spans="1:6" x14ac:dyDescent="0.25">
      <c r="A614" t="s">
        <v>3641</v>
      </c>
      <c r="B614" t="s">
        <v>1899</v>
      </c>
      <c r="C614" t="s">
        <v>1898</v>
      </c>
      <c r="D614" t="s">
        <v>1074</v>
      </c>
      <c r="F614" t="str" cm="1">
        <f t="array" aca="1" ref="F614" ca="1">eConcatenar(A614:D614,"|")</f>
        <v>localidadmigrada613|QWWICAZUP6XNYS|BLASILLO CUARTA SECCION |final</v>
      </c>
    </row>
    <row r="615" spans="1:6" x14ac:dyDescent="0.25">
      <c r="A615" t="s">
        <v>3642</v>
      </c>
      <c r="B615" t="s">
        <v>1897</v>
      </c>
      <c r="C615" t="s">
        <v>1896</v>
      </c>
      <c r="D615" t="s">
        <v>1074</v>
      </c>
      <c r="F615" t="str" cm="1">
        <f t="array" aca="1" ref="F615" ca="1">eConcatenar(A615:D615,"|")</f>
        <v>localidadmigrada614|QWWICB2WP6XNYS|BUENA FE|final</v>
      </c>
    </row>
    <row r="616" spans="1:6" x14ac:dyDescent="0.25">
      <c r="A616" t="s">
        <v>3643</v>
      </c>
      <c r="B616" t="s">
        <v>1895</v>
      </c>
      <c r="C616" t="s">
        <v>1894</v>
      </c>
      <c r="D616" t="s">
        <v>1074</v>
      </c>
      <c r="F616" t="str" cm="1">
        <f t="array" aca="1" ref="F616" ca="1">eConcatenar(A616:D616,"|")</f>
        <v>localidadmigrada615|QWWICBB8P6XNYS|C-25 ISIDRO CORTES RUEDA|final</v>
      </c>
    </row>
    <row r="617" spans="1:6" x14ac:dyDescent="0.25">
      <c r="A617" t="s">
        <v>3644</v>
      </c>
      <c r="B617" t="s">
        <v>1893</v>
      </c>
      <c r="C617" t="s">
        <v>1892</v>
      </c>
      <c r="D617" t="s">
        <v>1074</v>
      </c>
      <c r="F617" t="str" cm="1">
        <f t="array" aca="1" ref="F617" ca="1">eConcatenar(A617:D617,"|")</f>
        <v>localidadmigrada616|QWWICBRWP6XNYS|C-26 GENERAL PEDRO COLORADO|final</v>
      </c>
    </row>
    <row r="618" spans="1:6" x14ac:dyDescent="0.25">
      <c r="A618" t="s">
        <v>3645</v>
      </c>
      <c r="B618" t="s">
        <v>1891</v>
      </c>
      <c r="C618" t="s">
        <v>1890</v>
      </c>
      <c r="D618" t="s">
        <v>1074</v>
      </c>
      <c r="F618" t="str" cm="1">
        <f t="array" aca="1" ref="F618" ca="1">eConcatenar(A618:D618,"|")</f>
        <v>localidadmigrada617|QWWICBWMP6XNYS|C-31 GENERAL FRANCISCO VILLA |final</v>
      </c>
    </row>
    <row r="619" spans="1:6" x14ac:dyDescent="0.25">
      <c r="A619" t="s">
        <v>3646</v>
      </c>
      <c r="B619" t="s">
        <v>1889</v>
      </c>
      <c r="C619" t="s">
        <v>1888</v>
      </c>
      <c r="D619" t="s">
        <v>1074</v>
      </c>
      <c r="F619" t="str" cm="1">
        <f t="array" aca="1" ref="F619" ca="1">eConcatenar(A619:D619,"|")</f>
        <v>localidadmigrada618|QWWICCX0P6XNYS|C-32 LICENCIADO FRANCISCO TRUJILLO GURRIA|final</v>
      </c>
    </row>
    <row r="620" spans="1:6" x14ac:dyDescent="0.25">
      <c r="A620" t="s">
        <v>3647</v>
      </c>
      <c r="B620" t="s">
        <v>1887</v>
      </c>
      <c r="C620" t="s">
        <v>1886</v>
      </c>
      <c r="D620" t="s">
        <v>1074</v>
      </c>
      <c r="F620" t="str" cm="1">
        <f t="array" aca="1" ref="F620" ca="1">eConcatenar(A620:D620,"|")</f>
        <v>localidadmigrada619|QWWICDEIP6XNYS|C-34 LICENCIADO BENITO JUAREZ|final</v>
      </c>
    </row>
    <row r="621" spans="1:6" x14ac:dyDescent="0.25">
      <c r="A621" t="s">
        <v>3648</v>
      </c>
      <c r="B621" t="s">
        <v>1885</v>
      </c>
      <c r="C621" t="s">
        <v>1884</v>
      </c>
      <c r="D621" t="s">
        <v>1074</v>
      </c>
      <c r="F621" t="str" cm="1">
        <f t="array" aca="1" ref="F621" ca="1">eConcatenar(A621:D621,"|")</f>
        <v>localidadmigrada620|QWWICDK2P6XNYS|C-40 ERNESTO AGUIIRRE COLORADO|final</v>
      </c>
    </row>
    <row r="622" spans="1:6" x14ac:dyDescent="0.25">
      <c r="A622" t="s">
        <v>3649</v>
      </c>
      <c r="B622" t="s">
        <v>1883</v>
      </c>
      <c r="C622" t="s">
        <v>1882</v>
      </c>
      <c r="D622" t="s">
        <v>1074</v>
      </c>
      <c r="F622" t="str" cm="1">
        <f t="array" aca="1" ref="F622" ca="1">eConcatenar(A622:D622,"|")</f>
        <v>localidadmigrada621|QWWICE0GP6XNYS|C-41 LICENCIADO CARLOS A MADRAZO|final</v>
      </c>
    </row>
    <row r="623" spans="1:6" x14ac:dyDescent="0.25">
      <c r="A623" t="s">
        <v>3650</v>
      </c>
      <c r="B623" t="s">
        <v>1881</v>
      </c>
      <c r="C623" t="s">
        <v>1880</v>
      </c>
      <c r="D623" t="s">
        <v>1074</v>
      </c>
      <c r="F623" t="str" cm="1">
        <f t="array" aca="1" ref="F623" ca="1">eConcatenar(A623:D623,"|")</f>
        <v>localidadmigrada622|QWWICE88P6XNYS|CAMPAMENTO GALILEA|final</v>
      </c>
    </row>
    <row r="624" spans="1:6" x14ac:dyDescent="0.25">
      <c r="A624" t="s">
        <v>3651</v>
      </c>
      <c r="B624" t="s">
        <v>1879</v>
      </c>
      <c r="C624" t="s">
        <v>1878</v>
      </c>
      <c r="D624" t="s">
        <v>1074</v>
      </c>
      <c r="F624" t="str" cm="1">
        <f t="array" aca="1" ref="F624" ca="1">eConcatenar(A624:D624,"|")</f>
        <v>localidadmigrada623|QWWICET2P6XNYS|CAMPO REAL EL RECUERDO|final</v>
      </c>
    </row>
    <row r="625" spans="1:6" x14ac:dyDescent="0.25">
      <c r="A625" t="s">
        <v>3652</v>
      </c>
      <c r="B625" t="s">
        <v>1877</v>
      </c>
      <c r="C625" t="s">
        <v>1876</v>
      </c>
      <c r="D625" t="s">
        <v>1074</v>
      </c>
      <c r="F625" t="str" cm="1">
        <f t="array" aca="1" ref="F625" ca="1">eConcatenar(A625:D625,"|")</f>
        <v>localidadmigrada624|QWWICF00P6XNYS|CANGREJERA|final</v>
      </c>
    </row>
    <row r="626" spans="1:6" x14ac:dyDescent="0.25">
      <c r="A626" t="s">
        <v>3653</v>
      </c>
      <c r="B626" t="s">
        <v>1875</v>
      </c>
      <c r="C626" t="s">
        <v>1874</v>
      </c>
      <c r="D626" t="s">
        <v>1074</v>
      </c>
      <c r="F626" t="str" cm="1">
        <f t="array" aca="1" ref="F626" ca="1">eConcatenar(A626:D626,"|")</f>
        <v>localidadmigrada625|QWWICLSQP6XNYS|CAOBANAL PRIMERA SECCION LA VICTORIA|final</v>
      </c>
    </row>
    <row r="627" spans="1:6" x14ac:dyDescent="0.25">
      <c r="A627" t="s">
        <v>3654</v>
      </c>
      <c r="B627" t="s">
        <v>1873</v>
      </c>
      <c r="C627" t="s">
        <v>1872</v>
      </c>
      <c r="D627" t="s">
        <v>1074</v>
      </c>
      <c r="F627" t="str" cm="1">
        <f t="array" aca="1" ref="F627" ca="1">eConcatenar(A627:D627,"|")</f>
        <v>localidadmigrada626|QWWICLZEP6XNYS|CAOBANAL PRIMERA SECCION MEZCALAPA|final</v>
      </c>
    </row>
    <row r="628" spans="1:6" x14ac:dyDescent="0.25">
      <c r="A628" t="s">
        <v>3655</v>
      </c>
      <c r="B628" t="s">
        <v>1871</v>
      </c>
      <c r="C628" t="s">
        <v>1870</v>
      </c>
      <c r="D628" t="s">
        <v>1074</v>
      </c>
      <c r="F628" t="str" cm="1">
        <f t="array" aca="1" ref="F628" ca="1">eConcatenar(A628:D628,"|")</f>
        <v>localidadmigrada627|QWWICM3UP6XNYS|CAOBANAL SEGUNDA SECCION |final</v>
      </c>
    </row>
    <row r="629" spans="1:6" x14ac:dyDescent="0.25">
      <c r="A629" t="s">
        <v>3656</v>
      </c>
      <c r="B629" t="s">
        <v>1869</v>
      </c>
      <c r="C629" t="s">
        <v>1868</v>
      </c>
      <c r="D629" t="s">
        <v>1074</v>
      </c>
      <c r="F629" t="str" cm="1">
        <f t="array" aca="1" ref="F629" ca="1">eConcatenar(A629:D629,"|")</f>
        <v>localidadmigrada628|QWWICMIUP6XNYS|CARLOS A MADRAZO|final</v>
      </c>
    </row>
    <row r="630" spans="1:6" x14ac:dyDescent="0.25">
      <c r="A630" t="s">
        <v>3657</v>
      </c>
      <c r="B630" t="s">
        <v>1867</v>
      </c>
      <c r="C630" t="s">
        <v>1866</v>
      </c>
      <c r="D630" t="s">
        <v>1074</v>
      </c>
      <c r="F630" t="str" cm="1">
        <f t="array" aca="1" ref="F630" ca="1">eConcatenar(A630:D630,"|")</f>
        <v>localidadmigrada629|QWWICMNUP6XNYS|CELIA GOMEZ DE ROVIROSA|final</v>
      </c>
    </row>
    <row r="631" spans="1:6" x14ac:dyDescent="0.25">
      <c r="A631" t="s">
        <v>3658</v>
      </c>
      <c r="B631" t="s">
        <v>1865</v>
      </c>
      <c r="C631" t="s">
        <v>1864</v>
      </c>
      <c r="D631" t="s">
        <v>1074</v>
      </c>
      <c r="F631" t="str" cm="1">
        <f t="array" aca="1" ref="F631" ca="1">eConcatenar(A631:D631,"|")</f>
        <v>localidadmigrada630|QWWICMY4P6XNYS|CENTRAL FOURNIER PRIMERA SECCION EL COLETO|final</v>
      </c>
    </row>
    <row r="632" spans="1:6" x14ac:dyDescent="0.25">
      <c r="A632" t="s">
        <v>3659</v>
      </c>
      <c r="B632" t="s">
        <v>1863</v>
      </c>
      <c r="C632" t="s">
        <v>1862</v>
      </c>
      <c r="D632" t="s">
        <v>1074</v>
      </c>
      <c r="F632" t="str" cm="1">
        <f t="array" aca="1" ref="F632" ca="1">eConcatenar(A632:D632,"|")</f>
        <v>localidadmigrada631|QWWICNHAP6XNYS|CENTRAL FOURNIER SEGUNDA SECCION |final</v>
      </c>
    </row>
    <row r="633" spans="1:6" x14ac:dyDescent="0.25">
      <c r="A633" t="s">
        <v>3660</v>
      </c>
      <c r="B633" t="s">
        <v>1861</v>
      </c>
      <c r="C633" t="s">
        <v>1860</v>
      </c>
      <c r="D633" t="s">
        <v>1074</v>
      </c>
      <c r="F633" t="str" cm="1">
        <f t="array" aca="1" ref="F633" ca="1">eConcatenar(A633:D633,"|")</f>
        <v>localidadmigrada632|QWWICNQ6P6XNYS|CHICOACAN |final</v>
      </c>
    </row>
    <row r="634" spans="1:6" x14ac:dyDescent="0.25">
      <c r="A634" t="s">
        <v>3661</v>
      </c>
      <c r="B634" t="s">
        <v>1859</v>
      </c>
      <c r="C634" t="s">
        <v>1858</v>
      </c>
      <c r="D634" t="s">
        <v>1074</v>
      </c>
      <c r="F634" t="str" cm="1">
        <f t="array" aca="1" ref="F634" ca="1">eConcatenar(A634:D634,"|")</f>
        <v>localidadmigrada633|QWWICO5GP6XNYS|CHICOACAN AMPLIACION |final</v>
      </c>
    </row>
    <row r="635" spans="1:6" x14ac:dyDescent="0.25">
      <c r="A635" t="s">
        <v>3662</v>
      </c>
      <c r="B635" t="s">
        <v>1857</v>
      </c>
      <c r="C635" t="s">
        <v>1856</v>
      </c>
      <c r="D635" t="s">
        <v>1074</v>
      </c>
      <c r="F635" t="str" cm="1">
        <f t="array" aca="1" ref="F635" ca="1">eConcatenar(A635:D635,"|")</f>
        <v>localidadmigrada634|QWWICOEWP6XNYS|CHICOACAN PRIMERA SECCION |final</v>
      </c>
    </row>
    <row r="636" spans="1:6" x14ac:dyDescent="0.25">
      <c r="A636" t="s">
        <v>3663</v>
      </c>
      <c r="B636" t="s">
        <v>1855</v>
      </c>
      <c r="C636" t="s">
        <v>1854</v>
      </c>
      <c r="D636" t="s">
        <v>1074</v>
      </c>
      <c r="F636" t="str" cm="1">
        <f t="array" aca="1" ref="F636" ca="1">eConcatenar(A636:D636,"|")</f>
        <v>localidadmigrada635|QWWICOV0P6XNYS|CHILOLOCO|final</v>
      </c>
    </row>
    <row r="637" spans="1:6" x14ac:dyDescent="0.25">
      <c r="A637" t="s">
        <v>3664</v>
      </c>
      <c r="B637" t="s">
        <v>1853</v>
      </c>
      <c r="C637" t="s">
        <v>1852</v>
      </c>
      <c r="D637" t="s">
        <v>1074</v>
      </c>
      <c r="F637" t="str" cm="1">
        <f t="array" aca="1" ref="F637" ca="1">eConcatenar(A637:D637,"|")</f>
        <v>localidadmigrada636|QWWICP0AP6XNYS|CHIMALAPA PRIMERA SECCION |final</v>
      </c>
    </row>
    <row r="638" spans="1:6" x14ac:dyDescent="0.25">
      <c r="A638" t="s">
        <v>3665</v>
      </c>
      <c r="B638" t="s">
        <v>1851</v>
      </c>
      <c r="C638" t="s">
        <v>1850</v>
      </c>
      <c r="D638" t="s">
        <v>1074</v>
      </c>
      <c r="F638" t="str" cm="1">
        <f t="array" aca="1" ref="F638" ca="1">eConcatenar(A638:D638,"|")</f>
        <v>localidadmigrada637|QWWICP4GP6XNYS|CHIMALAPA SEGUNDA SECCION |final</v>
      </c>
    </row>
    <row r="639" spans="1:6" x14ac:dyDescent="0.25">
      <c r="A639" t="s">
        <v>3666</v>
      </c>
      <c r="B639" t="s">
        <v>1849</v>
      </c>
      <c r="C639" t="s">
        <v>1848</v>
      </c>
      <c r="D639" t="s">
        <v>1074</v>
      </c>
      <c r="F639" t="str" cm="1">
        <f t="array" aca="1" ref="F639" ca="1">eConcatenar(A639:D639,"|")</f>
        <v>localidadmigrada638|QWWIE74CP6XNYS|ESTACION CHONTALPA |final</v>
      </c>
    </row>
    <row r="640" spans="1:6" x14ac:dyDescent="0.25">
      <c r="A640" t="s">
        <v>3667</v>
      </c>
      <c r="B640" t="s">
        <v>1847</v>
      </c>
      <c r="C640" t="s">
        <v>1846</v>
      </c>
      <c r="D640" t="s">
        <v>1074</v>
      </c>
      <c r="F640" t="str" cm="1">
        <f t="array" aca="1" ref="F640" ca="1">eConcatenar(A640:D640,"|")</f>
        <v>localidadmigrada639|QWWIE77EP6XNYS|CINCO HERMANOS|final</v>
      </c>
    </row>
    <row r="641" spans="1:6" x14ac:dyDescent="0.25">
      <c r="A641" t="s">
        <v>3668</v>
      </c>
      <c r="B641" t="s">
        <v>1845</v>
      </c>
      <c r="C641" t="s">
        <v>1844</v>
      </c>
      <c r="D641" t="s">
        <v>1074</v>
      </c>
      <c r="F641" t="str" cm="1">
        <f t="array" aca="1" ref="F641" ca="1">eConcatenar(A641:D641,"|")</f>
        <v>localidadmigrada640|QWWIE7MYP6XNYS|CLAGUAMAR|final</v>
      </c>
    </row>
    <row r="642" spans="1:6" x14ac:dyDescent="0.25">
      <c r="A642" t="s">
        <v>3669</v>
      </c>
      <c r="B642" t="s">
        <v>1843</v>
      </c>
      <c r="C642" t="s">
        <v>1842</v>
      </c>
      <c r="D642" t="s">
        <v>1074</v>
      </c>
      <c r="F642" t="str" cm="1">
        <f t="array" aca="1" ref="F642" ca="1">eConcatenar(A642:D642,"|")</f>
        <v>localidadmigrada641|QWWIEEK4P6XNYS|CUAUHTEMOC|final</v>
      </c>
    </row>
    <row r="643" spans="1:6" x14ac:dyDescent="0.25">
      <c r="A643" t="s">
        <v>3670</v>
      </c>
      <c r="B643" t="s">
        <v>1841</v>
      </c>
      <c r="C643" t="s">
        <v>1840</v>
      </c>
      <c r="D643" t="s">
        <v>1074</v>
      </c>
      <c r="F643" t="str" cm="1">
        <f t="array" aca="1" ref="F643" ca="1">eConcatenar(A643:D643,"|")</f>
        <v>localidadmigrada642|QWWIEES6P6XNYS|CUAUHTEMOC Y PALMIRA|final</v>
      </c>
    </row>
    <row r="644" spans="1:6" x14ac:dyDescent="0.25">
      <c r="A644" t="s">
        <v>3671</v>
      </c>
      <c r="B644" t="s">
        <v>1839</v>
      </c>
      <c r="C644" t="s">
        <v>1838</v>
      </c>
      <c r="D644" t="s">
        <v>1074</v>
      </c>
      <c r="F644" t="str" cm="1">
        <f t="array" aca="1" ref="F644" ca="1">eConcatenar(A644:D644,"|")</f>
        <v>localidadmigrada643|QWWIEEXGP6XNYS|DIEZ DE ABRIL|final</v>
      </c>
    </row>
    <row r="645" spans="1:6" x14ac:dyDescent="0.25">
      <c r="A645" t="s">
        <v>3672</v>
      </c>
      <c r="B645" t="s">
        <v>1837</v>
      </c>
      <c r="C645" t="s">
        <v>1836</v>
      </c>
      <c r="D645" t="s">
        <v>1074</v>
      </c>
      <c r="F645" t="str" cm="1">
        <f t="array" aca="1" ref="F645" ca="1">eConcatenar(A645:D645,"|")</f>
        <v>localidadmigrada644|QWWIH280P6XNYS|DON GUSTAVO LOS PINOS|final</v>
      </c>
    </row>
    <row r="646" spans="1:6" x14ac:dyDescent="0.25">
      <c r="A646" t="s">
        <v>3673</v>
      </c>
      <c r="B646" t="s">
        <v>1835</v>
      </c>
      <c r="C646" t="s">
        <v>1834</v>
      </c>
      <c r="D646" t="s">
        <v>1074</v>
      </c>
      <c r="F646" t="str" cm="1">
        <f t="array" aca="1" ref="F646" ca="1">eConcatenar(A646:D646,"|")</f>
        <v>localidadmigrada645|QWWIH2CGP6XNYS|DON OSTADIO |final</v>
      </c>
    </row>
    <row r="647" spans="1:6" x14ac:dyDescent="0.25">
      <c r="A647" t="s">
        <v>3674</v>
      </c>
      <c r="B647" t="s">
        <v>1833</v>
      </c>
      <c r="C647" t="s">
        <v>1832</v>
      </c>
      <c r="D647" t="s">
        <v>1074</v>
      </c>
      <c r="F647" t="str" cm="1">
        <f t="array" aca="1" ref="F647" ca="1">eConcatenar(A647:D647,"|")</f>
        <v>localidadmigrada646|QWWIH2FSP6XNYS|DON TECO|final</v>
      </c>
    </row>
    <row r="648" spans="1:6" x14ac:dyDescent="0.25">
      <c r="A648" t="s">
        <v>3675</v>
      </c>
      <c r="B648" t="s">
        <v>1831</v>
      </c>
      <c r="C648" t="s">
        <v>1830</v>
      </c>
      <c r="D648" t="s">
        <v>1074</v>
      </c>
      <c r="F648" t="str" cm="1">
        <f t="array" aca="1" ref="F648" ca="1">eConcatenar(A648:D648,"|")</f>
        <v>localidadmigrada647|QWWIH2M6P6XNYS|DOCTOR BLADIMIR BUSTAMANTE|final</v>
      </c>
    </row>
    <row r="649" spans="1:6" x14ac:dyDescent="0.25">
      <c r="A649" t="s">
        <v>3676</v>
      </c>
      <c r="B649" t="s">
        <v>1829</v>
      </c>
      <c r="C649" t="s">
        <v>1828</v>
      </c>
      <c r="D649" t="s">
        <v>1074</v>
      </c>
      <c r="F649" t="str" cm="1">
        <f t="array" aca="1" ref="F649" ca="1">eConcatenar(A649:D649,"|")</f>
        <v>localidadmigrada648|QWWIH30CP6XNYS|ECONOMIA|final</v>
      </c>
    </row>
    <row r="650" spans="1:6" x14ac:dyDescent="0.25">
      <c r="A650" t="s">
        <v>3677</v>
      </c>
      <c r="B650" t="s">
        <v>1827</v>
      </c>
      <c r="C650" t="s">
        <v>1826</v>
      </c>
      <c r="D650" t="s">
        <v>1074</v>
      </c>
      <c r="F650" t="str" cm="1">
        <f t="array" aca="1" ref="F650" ca="1">eConcatenar(A650:D650,"|")</f>
        <v>localidadmigrada649|QWWIH370P6XNYS|EDUARDO ALDAY HERNANDEZ |final</v>
      </c>
    </row>
    <row r="651" spans="1:6" x14ac:dyDescent="0.25">
      <c r="A651" t="s">
        <v>3678</v>
      </c>
      <c r="B651" t="s">
        <v>1825</v>
      </c>
      <c r="C651" t="s">
        <v>1824</v>
      </c>
      <c r="D651" t="s">
        <v>1074</v>
      </c>
      <c r="F651" t="str" cm="1">
        <f t="array" aca="1" ref="F651" ca="1">eConcatenar(A651:D651,"|")</f>
        <v>localidadmigrada650|QWWIH39IP6XNYS|EL CABRITO|final</v>
      </c>
    </row>
    <row r="652" spans="1:6" x14ac:dyDescent="0.25">
      <c r="A652" t="s">
        <v>3679</v>
      </c>
      <c r="B652" t="s">
        <v>1823</v>
      </c>
      <c r="C652" t="s">
        <v>1822</v>
      </c>
      <c r="D652" t="s">
        <v>1074</v>
      </c>
      <c r="F652" t="str" cm="1">
        <f t="array" aca="1" ref="F652" ca="1">eConcatenar(A652:D652,"|")</f>
        <v>localidadmigrada651|QWWIH3CAP6XNYS|EL CARMEN |final</v>
      </c>
    </row>
    <row r="653" spans="1:6" x14ac:dyDescent="0.25">
      <c r="A653" t="s">
        <v>3680</v>
      </c>
      <c r="B653" t="s">
        <v>1821</v>
      </c>
      <c r="C653" t="s">
        <v>1820</v>
      </c>
      <c r="D653" t="s">
        <v>1074</v>
      </c>
      <c r="F653" t="str" cm="1">
        <f t="array" aca="1" ref="F653" ca="1">eConcatenar(A653:D653,"|")</f>
        <v>localidadmigrada652|QWWIH3S4P6XNYS|EL CHAPINGO|final</v>
      </c>
    </row>
    <row r="654" spans="1:6" x14ac:dyDescent="0.25">
      <c r="A654" t="s">
        <v>3681</v>
      </c>
      <c r="B654" t="s">
        <v>1819</v>
      </c>
      <c r="C654" t="s">
        <v>1818</v>
      </c>
      <c r="D654" t="s">
        <v>1074</v>
      </c>
      <c r="F654" t="str" cm="1">
        <f t="array" aca="1" ref="F654" ca="1">eConcatenar(A654:D654,"|")</f>
        <v>localidadmigrada653|QWWIH410P6XNYS|EL CHAPO PRIMERA SECCION |final</v>
      </c>
    </row>
    <row r="655" spans="1:6" x14ac:dyDescent="0.25">
      <c r="A655" t="s">
        <v>3682</v>
      </c>
      <c r="B655" t="s">
        <v>1817</v>
      </c>
      <c r="C655" t="s">
        <v>1816</v>
      </c>
      <c r="D655" t="s">
        <v>1074</v>
      </c>
      <c r="F655" t="str" cm="1">
        <f t="array" aca="1" ref="F655" ca="1">eConcatenar(A655:D655,"|")</f>
        <v>localidadmigrada654|QWWIH44MP6XNYS|EL CHAPO SEGUNDA SECCION |final</v>
      </c>
    </row>
    <row r="656" spans="1:6" x14ac:dyDescent="0.25">
      <c r="A656" t="s">
        <v>3683</v>
      </c>
      <c r="B656" t="s">
        <v>1815</v>
      </c>
      <c r="C656" t="s">
        <v>1814</v>
      </c>
      <c r="D656" t="s">
        <v>1074</v>
      </c>
      <c r="F656" t="str" cm="1">
        <f t="array" aca="1" ref="F656" ca="1">eConcatenar(A656:D656,"|")</f>
        <v>localidadmigrada655|QWWIH4JWP6XNYS|EL CHARCO|final</v>
      </c>
    </row>
    <row r="657" spans="1:6" x14ac:dyDescent="0.25">
      <c r="A657" t="s">
        <v>3684</v>
      </c>
      <c r="B657" t="s">
        <v>1813</v>
      </c>
      <c r="C657" t="s">
        <v>1812</v>
      </c>
      <c r="D657" t="s">
        <v>1074</v>
      </c>
      <c r="F657" t="str" cm="1">
        <f t="array" aca="1" ref="F657" ca="1">eConcatenar(A657:D657,"|")</f>
        <v>localidadmigrada656|QWWIH4NIP6XNYS|EL COMPLEJO|final</v>
      </c>
    </row>
    <row r="658" spans="1:6" x14ac:dyDescent="0.25">
      <c r="A658" t="s">
        <v>3685</v>
      </c>
      <c r="B658" t="s">
        <v>1811</v>
      </c>
      <c r="C658" t="s">
        <v>1810</v>
      </c>
      <c r="D658" t="s">
        <v>1074</v>
      </c>
      <c r="F658" t="str" cm="1">
        <f t="array" aca="1" ref="F658" ca="1">eConcatenar(A658:D658,"|")</f>
        <v>localidadmigrada657|QWWIH4QUP6XNYS|EL CONDOR|final</v>
      </c>
    </row>
    <row r="659" spans="1:6" x14ac:dyDescent="0.25">
      <c r="A659" t="s">
        <v>3686</v>
      </c>
      <c r="B659" t="s">
        <v>1809</v>
      </c>
      <c r="C659" t="s">
        <v>1808</v>
      </c>
      <c r="D659" t="s">
        <v>1074</v>
      </c>
      <c r="F659" t="str" cm="1">
        <f t="array" aca="1" ref="F659" ca="1">eConcatenar(A659:D659,"|")</f>
        <v>localidadmigrada658|QWWIH4U6P6XNYS|EL CRUCEÑO|final</v>
      </c>
    </row>
    <row r="660" spans="1:6" x14ac:dyDescent="0.25">
      <c r="A660" t="s">
        <v>3687</v>
      </c>
      <c r="B660" t="s">
        <v>1807</v>
      </c>
      <c r="C660" t="s">
        <v>1806</v>
      </c>
      <c r="D660" t="s">
        <v>1074</v>
      </c>
      <c r="F660" t="str" cm="1">
        <f t="array" aca="1" ref="F660" ca="1">eConcatenar(A660:D660,"|")</f>
        <v>localidadmigrada659|QWWIH4YCP6XNYS|EL DESECHO PRIMERA SECCION |final</v>
      </c>
    </row>
    <row r="661" spans="1:6" x14ac:dyDescent="0.25">
      <c r="A661" t="s">
        <v>3688</v>
      </c>
      <c r="B661" t="s">
        <v>1805</v>
      </c>
      <c r="C661" t="s">
        <v>1804</v>
      </c>
      <c r="D661" t="s">
        <v>1074</v>
      </c>
      <c r="F661" t="str" cm="1">
        <f t="array" aca="1" ref="F661" ca="1">eConcatenar(A661:D661,"|")</f>
        <v>localidadmigrada660|QWWIH5FAP6XNYS|EL DESECHO PRIMERA SECCION PLAYA UNO|final</v>
      </c>
    </row>
    <row r="662" spans="1:6" x14ac:dyDescent="0.25">
      <c r="A662" t="s">
        <v>3689</v>
      </c>
      <c r="B662" t="s">
        <v>1803</v>
      </c>
      <c r="C662" t="s">
        <v>1802</v>
      </c>
      <c r="D662" t="s">
        <v>1074</v>
      </c>
      <c r="F662" t="str" cm="1">
        <f t="array" aca="1" ref="F662" ca="1">eConcatenar(A662:D662,"|")</f>
        <v>localidadmigrada661|QWWIH5JGP6XNYS|EL DESECHO SEGUNDA SECCION |final</v>
      </c>
    </row>
    <row r="663" spans="1:6" x14ac:dyDescent="0.25">
      <c r="A663" t="s">
        <v>3690</v>
      </c>
      <c r="B663" t="s">
        <v>1801</v>
      </c>
      <c r="C663" t="s">
        <v>1800</v>
      </c>
      <c r="D663" t="s">
        <v>1074</v>
      </c>
      <c r="F663" t="str" cm="1">
        <f t="array" aca="1" ref="F663" ca="1">eConcatenar(A663:D663,"|")</f>
        <v>localidadmigrada662|QWWIH636P6XNYS|EL DORADO|final</v>
      </c>
    </row>
    <row r="664" spans="1:6" x14ac:dyDescent="0.25">
      <c r="A664" t="s">
        <v>3691</v>
      </c>
      <c r="B664" t="s">
        <v>1799</v>
      </c>
      <c r="C664" t="s">
        <v>1798</v>
      </c>
      <c r="D664" t="s">
        <v>1074</v>
      </c>
      <c r="F664" t="str" cm="1">
        <f t="array" aca="1" ref="F664" ca="1">eConcatenar(A664:D664,"|")</f>
        <v>localidadmigrada663|QWWIH686P6XNYS|EL ENCOMENDERO |final</v>
      </c>
    </row>
    <row r="665" spans="1:6" x14ac:dyDescent="0.25">
      <c r="A665" t="s">
        <v>3692</v>
      </c>
      <c r="B665" t="s">
        <v>1797</v>
      </c>
      <c r="C665" t="s">
        <v>1796</v>
      </c>
      <c r="D665" t="s">
        <v>1074</v>
      </c>
      <c r="F665" t="str" cm="1">
        <f t="array" aca="1" ref="F665" ca="1">eConcatenar(A665:D665,"|")</f>
        <v>localidadmigrada664|QWWIH6B8P6XNYS|EL GUANAL|final</v>
      </c>
    </row>
    <row r="666" spans="1:6" x14ac:dyDescent="0.25">
      <c r="A666" t="s">
        <v>3693</v>
      </c>
      <c r="B666" t="s">
        <v>1795</v>
      </c>
      <c r="C666" t="s">
        <v>1794</v>
      </c>
      <c r="D666" t="s">
        <v>1074</v>
      </c>
      <c r="F666" t="str" cm="1">
        <f t="array" aca="1" ref="F666" ca="1">eConcatenar(A666:D666,"|")</f>
        <v>localidadmigrada665|QWWIH6EAP6XNYS|EL GUARUMO|final</v>
      </c>
    </row>
    <row r="667" spans="1:6" x14ac:dyDescent="0.25">
      <c r="A667" t="s">
        <v>3694</v>
      </c>
      <c r="B667" t="s">
        <v>1793</v>
      </c>
      <c r="C667" t="s">
        <v>1792</v>
      </c>
      <c r="D667" t="s">
        <v>1074</v>
      </c>
      <c r="F667" t="str" cm="1">
        <f t="array" aca="1" ref="F667" ca="1">eConcatenar(A667:D667,"|")</f>
        <v>localidadmigrada666|QWWIH70SP6XNYS|EL HORMIGUERO|final</v>
      </c>
    </row>
    <row r="668" spans="1:6" x14ac:dyDescent="0.25">
      <c r="A668" t="s">
        <v>3695</v>
      </c>
      <c r="B668" t="s">
        <v>1791</v>
      </c>
      <c r="C668" t="s">
        <v>1790</v>
      </c>
      <c r="D668" t="s">
        <v>1074</v>
      </c>
      <c r="F668" t="str" cm="1">
        <f t="array" aca="1" ref="F668" ca="1">eConcatenar(A668:D668,"|")</f>
        <v>localidadmigrada667|QWWIH73UP6XNYS|EL JOBO|final</v>
      </c>
    </row>
    <row r="669" spans="1:6" x14ac:dyDescent="0.25">
      <c r="A669" t="s">
        <v>3696</v>
      </c>
      <c r="B669" t="s">
        <v>1789</v>
      </c>
      <c r="C669" t="s">
        <v>1788</v>
      </c>
      <c r="D669" t="s">
        <v>1074</v>
      </c>
      <c r="F669" t="str" cm="1">
        <f t="array" aca="1" ref="F669" ca="1">eConcatenar(A669:D669,"|")</f>
        <v>localidadmigrada668|QWWIH79EP6XNYS|EL OTATE|final</v>
      </c>
    </row>
    <row r="670" spans="1:6" x14ac:dyDescent="0.25">
      <c r="A670" t="s">
        <v>3697</v>
      </c>
      <c r="B670" t="s">
        <v>1787</v>
      </c>
      <c r="C670" t="s">
        <v>31</v>
      </c>
      <c r="D670" t="s">
        <v>1074</v>
      </c>
      <c r="F670" t="str" cm="1">
        <f t="array" aca="1" ref="F670" ca="1">eConcatenar(A670:D670,"|")</f>
        <v>localidadmigrada669|QWWIH7NAP6XNYS|EL PALMAR|final</v>
      </c>
    </row>
    <row r="671" spans="1:6" x14ac:dyDescent="0.25">
      <c r="A671" t="s">
        <v>3698</v>
      </c>
      <c r="B671" t="s">
        <v>1786</v>
      </c>
      <c r="C671" t="s">
        <v>1785</v>
      </c>
      <c r="D671" t="s">
        <v>1074</v>
      </c>
      <c r="F671" t="str" cm="1">
        <f t="array" aca="1" ref="F671" ca="1">eConcatenar(A671:D671,"|")</f>
        <v>localidadmigrada670|QWWIH7PIP6XNYS|EL PARAISO|final</v>
      </c>
    </row>
    <row r="672" spans="1:6" x14ac:dyDescent="0.25">
      <c r="A672" t="s">
        <v>3699</v>
      </c>
      <c r="B672" t="s">
        <v>1784</v>
      </c>
      <c r="C672" t="s">
        <v>1783</v>
      </c>
      <c r="D672" t="s">
        <v>1074</v>
      </c>
      <c r="F672" t="str" cm="1">
        <f t="array" aca="1" ref="F672" ca="1">eConcatenar(A672:D672,"|")</f>
        <v>localidadmigrada671|QWWIH7SUP6XNYS|EL PUENTE PRIMERA SECCION |final</v>
      </c>
    </row>
    <row r="673" spans="1:6" x14ac:dyDescent="0.25">
      <c r="A673" t="s">
        <v>3700</v>
      </c>
      <c r="B673" t="s">
        <v>1782</v>
      </c>
      <c r="C673" t="s">
        <v>1781</v>
      </c>
      <c r="D673" t="s">
        <v>1074</v>
      </c>
      <c r="F673" t="str" cm="1">
        <f t="array" aca="1" ref="F673" ca="1">eConcatenar(A673:D673,"|")</f>
        <v>localidadmigrada672|QWWIH7W6P6XNYS|EL PUENTE SEGUNDA SECCION |final</v>
      </c>
    </row>
    <row r="674" spans="1:6" x14ac:dyDescent="0.25">
      <c r="A674" t="s">
        <v>3701</v>
      </c>
      <c r="B674" t="s">
        <v>1780</v>
      </c>
      <c r="C674" t="s">
        <v>1779</v>
      </c>
      <c r="D674" t="s">
        <v>1074</v>
      </c>
      <c r="F674" t="str" cm="1">
        <f t="array" aca="1" ref="F674" ca="1">eConcatenar(A674:D674,"|")</f>
        <v>localidadmigrada673|QWWIH7YOP6XNYS|EL RECREO|final</v>
      </c>
    </row>
    <row r="675" spans="1:6" x14ac:dyDescent="0.25">
      <c r="A675" t="s">
        <v>3702</v>
      </c>
      <c r="B675" t="s">
        <v>1778</v>
      </c>
      <c r="C675" t="s">
        <v>1777</v>
      </c>
      <c r="D675" t="s">
        <v>1074</v>
      </c>
      <c r="F675" t="str" cm="1">
        <f t="array" aca="1" ref="F675" ca="1">eConcatenar(A675:D675,"|")</f>
        <v>localidadmigrada674|QWWIH9COP6XNYS|EL MANGAL|final</v>
      </c>
    </row>
    <row r="676" spans="1:6" x14ac:dyDescent="0.25">
      <c r="A676" t="s">
        <v>3703</v>
      </c>
      <c r="B676" t="s">
        <v>1776</v>
      </c>
      <c r="C676" t="s">
        <v>1775</v>
      </c>
      <c r="D676" t="s">
        <v>1074</v>
      </c>
      <c r="F676" t="str" cm="1">
        <f t="array" aca="1" ref="F676" ca="1">eConcatenar(A676:D676,"|")</f>
        <v>localidadmigrada675|QWWIH9GKP6XNYS|FRANCISCO SARABIA|final</v>
      </c>
    </row>
    <row r="677" spans="1:6" x14ac:dyDescent="0.25">
      <c r="A677" t="s">
        <v>3704</v>
      </c>
      <c r="B677" t="s">
        <v>1774</v>
      </c>
      <c r="C677" t="s">
        <v>1773</v>
      </c>
      <c r="D677" t="s">
        <v>1074</v>
      </c>
      <c r="F677" t="str" cm="1">
        <f t="array" aca="1" ref="F677" ca="1">eConcatenar(A677:D677,"|")</f>
        <v>localidadmigrada676|QWWIH9K6P6XNYS|FRANCISCO RUEDA |final</v>
      </c>
    </row>
    <row r="678" spans="1:6" x14ac:dyDescent="0.25">
      <c r="A678" t="s">
        <v>3705</v>
      </c>
      <c r="B678" t="s">
        <v>1772</v>
      </c>
      <c r="C678" t="s">
        <v>1771</v>
      </c>
      <c r="D678" t="s">
        <v>1074</v>
      </c>
      <c r="F678" t="str" cm="1">
        <f t="array" aca="1" ref="F678" ca="1">eConcatenar(A678:D678,"|")</f>
        <v>localidadmigrada677|QWWII8B0P6XNYS|FRANCISCO MARTINEZ GAYTAN SEGUNDA SECCION |final</v>
      </c>
    </row>
    <row r="679" spans="1:6" x14ac:dyDescent="0.25">
      <c r="A679" t="s">
        <v>3706</v>
      </c>
      <c r="B679" t="s">
        <v>1770</v>
      </c>
      <c r="C679" t="s">
        <v>1769</v>
      </c>
      <c r="D679" t="s">
        <v>1074</v>
      </c>
      <c r="F679" t="str" cm="1">
        <f t="array" aca="1" ref="F679" ca="1">eConcatenar(A679:D679,"|")</f>
        <v>localidadmigrada678|QWWII8QAP6XNYS|FRANCISCO MARTINEZ GAYTAN |final</v>
      </c>
    </row>
    <row r="680" spans="1:6" x14ac:dyDescent="0.25">
      <c r="A680" t="s">
        <v>3707</v>
      </c>
      <c r="B680" t="s">
        <v>1768</v>
      </c>
      <c r="C680" t="s">
        <v>1767</v>
      </c>
      <c r="D680" t="s">
        <v>1074</v>
      </c>
      <c r="F680" t="str" cm="1">
        <f t="array" aca="1" ref="F680" ca="1">eConcatenar(A680:D680,"|")</f>
        <v>localidadmigrada679|QWWII8WYP6XNYS|FRANCISCO SANTA MARINA PRIMERA SECCION|final</v>
      </c>
    </row>
    <row r="681" spans="1:6" x14ac:dyDescent="0.25">
      <c r="A681" t="s">
        <v>3708</v>
      </c>
      <c r="B681" t="s">
        <v>1766</v>
      </c>
      <c r="C681" t="s">
        <v>1765</v>
      </c>
      <c r="D681" t="s">
        <v>1074</v>
      </c>
      <c r="F681" t="str" cm="1">
        <f t="array" aca="1" ref="F681" ca="1">eConcatenar(A681:D681,"|")</f>
        <v>localidadmigrada680|QWWII8Z6P6XNYS|FRANCISCO MUJICA|final</v>
      </c>
    </row>
    <row r="682" spans="1:6" x14ac:dyDescent="0.25">
      <c r="A682" t="s">
        <v>3709</v>
      </c>
      <c r="B682" t="s">
        <v>1764</v>
      </c>
      <c r="C682" t="s">
        <v>1763</v>
      </c>
      <c r="D682" t="s">
        <v>1074</v>
      </c>
      <c r="F682" t="str" cm="1">
        <f t="array" aca="1" ref="F682" ca="1">eConcatenar(A682:D682,"|")</f>
        <v>localidadmigrada681|QWWII932P6XNYS|FRANCISCO I MADERO LOS NARANJOS |final</v>
      </c>
    </row>
    <row r="683" spans="1:6" x14ac:dyDescent="0.25">
      <c r="A683" t="s">
        <v>3710</v>
      </c>
      <c r="B683" t="s">
        <v>1762</v>
      </c>
      <c r="C683" t="s">
        <v>1761</v>
      </c>
      <c r="D683" t="s">
        <v>1074</v>
      </c>
      <c r="F683" t="str" cm="1">
        <f t="array" aca="1" ref="F683" ca="1">eConcatenar(A683:D683,"|")</f>
        <v>localidadmigrada682|QWWIICIYP6XNYS|FRANCISCO I MADERO |final</v>
      </c>
    </row>
    <row r="684" spans="1:6" x14ac:dyDescent="0.25">
      <c r="A684" t="s">
        <v>3711</v>
      </c>
      <c r="B684" t="s">
        <v>1760</v>
      </c>
      <c r="C684" t="s">
        <v>1759</v>
      </c>
      <c r="D684" t="s">
        <v>1074</v>
      </c>
      <c r="F684" t="str" cm="1">
        <f t="array" aca="1" ref="F684" ca="1">eConcatenar(A684:D684,"|")</f>
        <v>localidadmigrada683|QWWIICL6P6XNYS|FRAMBOYAN |final</v>
      </c>
    </row>
    <row r="685" spans="1:6" x14ac:dyDescent="0.25">
      <c r="A685" t="s">
        <v>3712</v>
      </c>
      <c r="B685" t="s">
        <v>1758</v>
      </c>
      <c r="C685" t="s">
        <v>1757</v>
      </c>
      <c r="D685" t="s">
        <v>1074</v>
      </c>
      <c r="F685" t="str" cm="1">
        <f t="array" aca="1" ref="F685" ca="1">eConcatenar(A685:D685,"|")</f>
        <v>localidadmigrada684|QWWIICNOP6XNYS|ESTACION ZANAPA|final</v>
      </c>
    </row>
    <row r="686" spans="1:6" x14ac:dyDescent="0.25">
      <c r="A686" t="s">
        <v>3713</v>
      </c>
      <c r="B686" t="s">
        <v>1756</v>
      </c>
      <c r="C686" t="s">
        <v>1755</v>
      </c>
      <c r="D686" t="s">
        <v>1074</v>
      </c>
      <c r="F686" t="str" cm="1">
        <f t="array" aca="1" ref="F686" ca="1">eConcatenar(A686:D686,"|")</f>
        <v>localidadmigrada685|QWWIICRKP6XNYS|ESTACION MARTINEZ GAYTAN |final</v>
      </c>
    </row>
    <row r="687" spans="1:6" x14ac:dyDescent="0.25">
      <c r="A687" t="s">
        <v>3714</v>
      </c>
      <c r="B687" t="s">
        <v>1754</v>
      </c>
      <c r="C687" t="s">
        <v>1753</v>
      </c>
      <c r="D687" t="s">
        <v>1074</v>
      </c>
      <c r="F687" t="str" cm="1">
        <f t="array" aca="1" ref="F687" ca="1">eConcatenar(A687:D687,"|")</f>
        <v>localidadmigrada686|QWWIICUCP6XNYS|ESPERANZA DEL BAJIO|final</v>
      </c>
    </row>
    <row r="688" spans="1:6" x14ac:dyDescent="0.25">
      <c r="A688" t="s">
        <v>3715</v>
      </c>
      <c r="B688" t="s">
        <v>1752</v>
      </c>
      <c r="C688" t="s">
        <v>1751</v>
      </c>
      <c r="D688" t="s">
        <v>1074</v>
      </c>
      <c r="F688" t="str" cm="1">
        <f t="array" aca="1" ref="F688" ca="1">eConcatenar(A688:D688,"|")</f>
        <v>localidadmigrada687|QWWIICWUP6XNYS|ESPIRITU SANTO|final</v>
      </c>
    </row>
    <row r="689" spans="1:6" x14ac:dyDescent="0.25">
      <c r="A689" t="s">
        <v>3716</v>
      </c>
      <c r="B689" t="s">
        <v>1750</v>
      </c>
      <c r="C689" t="s">
        <v>1749</v>
      </c>
      <c r="D689" t="s">
        <v>1074</v>
      </c>
      <c r="F689" t="str" cm="1">
        <f t="array" aca="1" ref="F689" ca="1">eConcatenar(A689:D689,"|")</f>
        <v>localidadmigrada688|QWWIIDBKP6XNYS|ERNESTO AGUIRRE COLORADO|final</v>
      </c>
    </row>
    <row r="690" spans="1:6" x14ac:dyDescent="0.25">
      <c r="A690" t="s">
        <v>3717</v>
      </c>
      <c r="B690" t="s">
        <v>1748</v>
      </c>
      <c r="C690" t="s">
        <v>1747</v>
      </c>
      <c r="D690" t="s">
        <v>1074</v>
      </c>
      <c r="F690" t="str" cm="1">
        <f t="array" aca="1" ref="F690" ca="1">eConcatenar(A690:D690,"|")</f>
        <v>localidadmigrada689|QWWIIDFQP6XNYS|ENRIQUE RODRIGUEZ CANO|final</v>
      </c>
    </row>
    <row r="691" spans="1:6" x14ac:dyDescent="0.25">
      <c r="A691" t="s">
        <v>3718</v>
      </c>
      <c r="B691" t="s">
        <v>1746</v>
      </c>
      <c r="C691" t="s">
        <v>1745</v>
      </c>
      <c r="D691" t="s">
        <v>1074</v>
      </c>
      <c r="F691" t="str" cm="1">
        <f t="array" aca="1" ref="F691" ca="1">eConcatenar(A691:D691,"|")</f>
        <v>localidadmigrada690|QWWIIDIIP6XNYS|EMPORIO|final</v>
      </c>
    </row>
    <row r="692" spans="1:6" x14ac:dyDescent="0.25">
      <c r="A692" t="s">
        <v>3719</v>
      </c>
      <c r="B692" t="s">
        <v>1744</v>
      </c>
      <c r="C692" t="s">
        <v>1743</v>
      </c>
      <c r="D692" t="s">
        <v>1074</v>
      </c>
      <c r="F692" t="str" cm="1">
        <f t="array" aca="1" ref="F692" ca="1">eConcatenar(A692:D692,"|")</f>
        <v>localidadmigrada691|QWWIIDLKP6XNYS|EMILIANO ZAPATA SEGUNDA SECCION |final</v>
      </c>
    </row>
    <row r="693" spans="1:6" x14ac:dyDescent="0.25">
      <c r="A693" t="s">
        <v>3720</v>
      </c>
      <c r="B693" t="s">
        <v>1742</v>
      </c>
      <c r="C693" t="s">
        <v>1741</v>
      </c>
      <c r="D693" t="s">
        <v>1074</v>
      </c>
      <c r="F693" t="str" cm="1">
        <f t="array" aca="1" ref="F693" ca="1">eConcatenar(A693:D693,"|")</f>
        <v>localidadmigrada692|QWWIIE3WP6XNYS|EMILIANO ZAPATA KILOMETRO 4 |final</v>
      </c>
    </row>
    <row r="694" spans="1:6" x14ac:dyDescent="0.25">
      <c r="A694" t="s">
        <v>3721</v>
      </c>
      <c r="B694" t="s">
        <v>1740</v>
      </c>
      <c r="C694" t="s">
        <v>1739</v>
      </c>
      <c r="D694" t="s">
        <v>1074</v>
      </c>
      <c r="F694" t="str" cm="1">
        <f t="array" aca="1" ref="F694" ca="1">eConcatenar(A694:D694,"|")</f>
        <v>localidadmigrada693|QWWIIHFCP6XNYS|EMILIANO ZAPATA CHICHONAL D ELA BOYERIA|final</v>
      </c>
    </row>
    <row r="695" spans="1:6" x14ac:dyDescent="0.25">
      <c r="A695" t="s">
        <v>3722</v>
      </c>
      <c r="B695" t="s">
        <v>1738</v>
      </c>
      <c r="C695" t="s">
        <v>1737</v>
      </c>
      <c r="D695" t="s">
        <v>1074</v>
      </c>
      <c r="F695" t="str" cm="1">
        <f t="array" aca="1" ref="F695" ca="1">eConcatenar(A695:D695,"|")</f>
        <v>localidadmigrada694|QWWIIHHKP6XNYS|EL VERGEL|final</v>
      </c>
    </row>
    <row r="696" spans="1:6" x14ac:dyDescent="0.25">
      <c r="A696" t="s">
        <v>3723</v>
      </c>
      <c r="B696" t="s">
        <v>1736</v>
      </c>
      <c r="C696" t="s">
        <v>1735</v>
      </c>
      <c r="D696" t="s">
        <v>1074</v>
      </c>
      <c r="F696" t="str" cm="1">
        <f t="array" aca="1" ref="F696" ca="1">eConcatenar(A696:D696,"|")</f>
        <v>localidadmigrada695|QWWIIHKMP6XNYS|EL TREBOL LA ESTRELLA|final</v>
      </c>
    </row>
    <row r="697" spans="1:6" x14ac:dyDescent="0.25">
      <c r="A697" t="s">
        <v>3724</v>
      </c>
      <c r="B697" t="s">
        <v>1734</v>
      </c>
      <c r="C697" t="s">
        <v>1733</v>
      </c>
      <c r="D697" t="s">
        <v>1074</v>
      </c>
      <c r="F697" t="str" cm="1">
        <f t="array" aca="1" ref="F697" ca="1">eConcatenar(A697:D697,"|")</f>
        <v>localidadmigrada696|QWWIIHXOP6XNYS|EL TREBOL|final</v>
      </c>
    </row>
    <row r="698" spans="1:6" x14ac:dyDescent="0.25">
      <c r="A698" t="s">
        <v>3725</v>
      </c>
      <c r="B698" t="s">
        <v>1732</v>
      </c>
      <c r="C698" t="s">
        <v>1731</v>
      </c>
      <c r="D698" t="s">
        <v>1074</v>
      </c>
      <c r="F698" t="str" cm="1">
        <f t="array" aca="1" ref="F698" ca="1">eConcatenar(A698:D698,"|")</f>
        <v>localidadmigrada697|QWWIII24P6XNYS|EL SUSPIRO|final</v>
      </c>
    </row>
    <row r="699" spans="1:6" x14ac:dyDescent="0.25">
      <c r="A699" t="s">
        <v>3726</v>
      </c>
      <c r="B699" t="s">
        <v>1730</v>
      </c>
      <c r="C699" t="s">
        <v>1729</v>
      </c>
      <c r="D699" t="s">
        <v>1074</v>
      </c>
      <c r="F699" t="str" cm="1">
        <f t="array" aca="1" ref="F699" ca="1">eConcatenar(A699:D699,"|")</f>
        <v>localidadmigrada698|QWWIII4CP6XNYS|EL SAUCE|final</v>
      </c>
    </row>
    <row r="700" spans="1:6" x14ac:dyDescent="0.25">
      <c r="A700" t="s">
        <v>3727</v>
      </c>
      <c r="B700" t="s">
        <v>1728</v>
      </c>
      <c r="C700" t="s">
        <v>1727</v>
      </c>
      <c r="D700" t="s">
        <v>1074</v>
      </c>
      <c r="F700" t="str" cm="1">
        <f t="array" aca="1" ref="F700" ca="1">eConcatenar(A700:D700,"|")</f>
        <v>localidadmigrada699|QWWIII7YP6XNYS|EL SACRIFICIO|final</v>
      </c>
    </row>
    <row r="701" spans="1:6" x14ac:dyDescent="0.25">
      <c r="A701" t="s">
        <v>3728</v>
      </c>
      <c r="B701" t="s">
        <v>1726</v>
      </c>
      <c r="C701" t="s">
        <v>1725</v>
      </c>
      <c r="D701" t="s">
        <v>1074</v>
      </c>
      <c r="F701" t="str" cm="1">
        <f t="array" aca="1" ref="F701" ca="1">eConcatenar(A701:D701,"|")</f>
        <v>localidadmigrada700|QWWIIIAQP6XNYS|EL RETOÑO|final</v>
      </c>
    </row>
    <row r="702" spans="1:6" x14ac:dyDescent="0.25">
      <c r="A702" t="s">
        <v>3729</v>
      </c>
      <c r="B702" t="s">
        <v>1724</v>
      </c>
      <c r="C702" t="s">
        <v>1723</v>
      </c>
      <c r="D702" t="s">
        <v>1074</v>
      </c>
      <c r="F702" t="str" cm="1">
        <f t="array" aca="1" ref="F702" ca="1">eConcatenar(A702:D702,"|")</f>
        <v>localidadmigrada701|QWWIIIC4P6XNYS|EL REFUGIO|final</v>
      </c>
    </row>
    <row r="703" spans="1:6" x14ac:dyDescent="0.25">
      <c r="A703" t="s">
        <v>3730</v>
      </c>
      <c r="B703" t="s">
        <v>1722</v>
      </c>
      <c r="C703" t="s">
        <v>1721</v>
      </c>
      <c r="D703" t="s">
        <v>1074</v>
      </c>
      <c r="F703" t="str" cm="1">
        <f t="array" aca="1" ref="F703" ca="1">eConcatenar(A703:D703,"|")</f>
        <v>localidadmigrada702|QWWIIIRYP6XNYS|FRANCISCO TRUJILLO GURRIA |final</v>
      </c>
    </row>
    <row r="704" spans="1:6" x14ac:dyDescent="0.25">
      <c r="A704" t="s">
        <v>3731</v>
      </c>
      <c r="B704" t="s">
        <v>1720</v>
      </c>
      <c r="C704" t="s">
        <v>1719</v>
      </c>
      <c r="D704" t="s">
        <v>1074</v>
      </c>
      <c r="F704" t="str" cm="1">
        <f t="array" aca="1" ref="F704" ca="1">eConcatenar(A704:D704,"|")</f>
        <v>localidadmigrada703|QWWIIIU6P6XNYS|FRANCISCO VILLA |final</v>
      </c>
    </row>
    <row r="705" spans="1:6" x14ac:dyDescent="0.25">
      <c r="A705" t="s">
        <v>3732</v>
      </c>
      <c r="B705" t="s">
        <v>1718</v>
      </c>
      <c r="C705" t="s">
        <v>1717</v>
      </c>
      <c r="D705" t="s">
        <v>1074</v>
      </c>
      <c r="F705" t="str" cm="1">
        <f t="array" aca="1" ref="F705" ca="1">eConcatenar(A705:D705,"|")</f>
        <v>localidadmigrada704|QWWIIJ0AP6XNYS|GUIRAL Y GONZALEZ PRIMERA SECCION |final</v>
      </c>
    </row>
    <row r="706" spans="1:6" x14ac:dyDescent="0.25">
      <c r="A706" t="s">
        <v>3733</v>
      </c>
      <c r="B706" t="s">
        <v>1716</v>
      </c>
      <c r="C706" t="s">
        <v>1715</v>
      </c>
      <c r="D706" t="s">
        <v>1074</v>
      </c>
      <c r="F706" t="str" cm="1">
        <f t="array" aca="1" ref="F706" ca="1">eConcatenar(A706:D706,"|")</f>
        <v>localidadmigrada705|QWWIIJ3WP6XNYS|GUIRAL Y GONZALEZ SEGUNDA SECCION |final</v>
      </c>
    </row>
    <row r="707" spans="1:6" x14ac:dyDescent="0.25">
      <c r="A707" t="s">
        <v>3734</v>
      </c>
      <c r="B707" t="s">
        <v>1714</v>
      </c>
      <c r="C707" t="s">
        <v>1713</v>
      </c>
      <c r="D707" t="s">
        <v>1074</v>
      </c>
      <c r="F707" t="str" cm="1">
        <f t="array" aca="1" ref="F707" ca="1">eConcatenar(A707:D707,"|")</f>
        <v>localidadmigrada706|QWWIIJIWP6XNYS|GENERAL MIGUEL ORRICO DE LOS LLANOS |final</v>
      </c>
    </row>
    <row r="708" spans="1:6" x14ac:dyDescent="0.25">
      <c r="A708" t="s">
        <v>3735</v>
      </c>
      <c r="B708" t="s">
        <v>1712</v>
      </c>
      <c r="C708" t="s">
        <v>1711</v>
      </c>
      <c r="D708" t="s">
        <v>1074</v>
      </c>
      <c r="F708" t="str" cm="1">
        <f t="array" aca="1" ref="F708" ca="1">eConcatenar(A708:D708,"|")</f>
        <v>localidadmigrada707|QWWIIJM8P6XNYS|GILBERTO FLORES MUÑOZ |final</v>
      </c>
    </row>
    <row r="709" spans="1:6" x14ac:dyDescent="0.25">
      <c r="A709" t="s">
        <v>3736</v>
      </c>
      <c r="B709" t="s">
        <v>1710</v>
      </c>
      <c r="C709" t="s">
        <v>1709</v>
      </c>
      <c r="D709" t="s">
        <v>1074</v>
      </c>
      <c r="F709" t="str" cm="1">
        <f t="array" aca="1" ref="F709" ca="1">eConcatenar(A709:D709,"|")</f>
        <v>localidadmigrada708|QWWIIJSCP6XNYS|GILBERTO FLORES MUÑOZ SEGUNDA SECCION |final</v>
      </c>
    </row>
    <row r="710" spans="1:6" x14ac:dyDescent="0.25">
      <c r="A710" t="s">
        <v>3737</v>
      </c>
      <c r="B710" t="s">
        <v>1708</v>
      </c>
      <c r="C710" t="s">
        <v>1707</v>
      </c>
      <c r="D710" t="s">
        <v>1074</v>
      </c>
      <c r="F710" t="str" cm="1">
        <f t="array" aca="1" ref="F710" ca="1">eConcatenar(A710:D710,"|")</f>
        <v>localidadmigrada709|QWWIIJV4P6XNYS|GRANO DE ORO|final</v>
      </c>
    </row>
    <row r="711" spans="1:6" x14ac:dyDescent="0.25">
      <c r="A711" t="s">
        <v>3738</v>
      </c>
      <c r="B711" t="s">
        <v>1706</v>
      </c>
      <c r="C711" t="s">
        <v>1705</v>
      </c>
      <c r="D711" t="s">
        <v>1074</v>
      </c>
      <c r="F711" t="str" cm="1">
        <f t="array" aca="1" ref="F711" ca="1">eConcatenar(A711:D711,"|")</f>
        <v>localidadmigrada710|QWWIIKG8P6XNYS|GREGORIO MENDEZ |final</v>
      </c>
    </row>
    <row r="712" spans="1:6" x14ac:dyDescent="0.25">
      <c r="A712" t="s">
        <v>3739</v>
      </c>
      <c r="B712" t="s">
        <v>1704</v>
      </c>
      <c r="C712" t="s">
        <v>1703</v>
      </c>
      <c r="D712" t="s">
        <v>1074</v>
      </c>
      <c r="F712" t="str" cm="1">
        <f t="array" aca="1" ref="F712" ca="1">eConcatenar(A712:D712,"|")</f>
        <v>localidadmigrada711|QWWIIKJKP6XNYS|GREGORIO MENDEZ SEGUNDA SECCION |final</v>
      </c>
    </row>
    <row r="713" spans="1:6" x14ac:dyDescent="0.25">
      <c r="A713" t="s">
        <v>3740</v>
      </c>
      <c r="B713" t="s">
        <v>1702</v>
      </c>
      <c r="C713" t="s">
        <v>1701</v>
      </c>
      <c r="D713" t="s">
        <v>1074</v>
      </c>
      <c r="F713" t="str" cm="1">
        <f t="array" aca="1" ref="F713" ca="1">eConcatenar(A713:D713,"|")</f>
        <v>localidadmigrada712|QWWIIKO0P6XNYS|GREGORIO MENDEZ MAGAÑA |final</v>
      </c>
    </row>
    <row r="714" spans="1:6" x14ac:dyDescent="0.25">
      <c r="A714" t="s">
        <v>3741</v>
      </c>
      <c r="B714" t="s">
        <v>1700</v>
      </c>
      <c r="C714" t="s">
        <v>1699</v>
      </c>
      <c r="D714" t="s">
        <v>1074</v>
      </c>
      <c r="F714" t="str" cm="1">
        <f t="array" aca="1" ref="F714" ca="1">eConcatenar(A714:D714,"|")</f>
        <v>localidadmigrada713|QWWIIL2GP6XNYS|GUADALUPE VICTORIA |final</v>
      </c>
    </row>
    <row r="715" spans="1:6" x14ac:dyDescent="0.25">
      <c r="A715" t="s">
        <v>3742</v>
      </c>
      <c r="B715" t="s">
        <v>1698</v>
      </c>
      <c r="C715" t="s">
        <v>1697</v>
      </c>
      <c r="D715" t="s">
        <v>1074</v>
      </c>
      <c r="F715" t="str" cm="1">
        <f t="array" aca="1" ref="F715" ca="1">eConcatenar(A715:D715,"|")</f>
        <v>localidadmigrada714|QWWIIL4OP6XNYS|GUERRERO|final</v>
      </c>
    </row>
    <row r="716" spans="1:6" x14ac:dyDescent="0.25">
      <c r="A716" t="s">
        <v>3743</v>
      </c>
      <c r="B716" t="s">
        <v>1696</v>
      </c>
      <c r="C716" t="s">
        <v>1695</v>
      </c>
      <c r="D716" t="s">
        <v>1074</v>
      </c>
      <c r="F716" t="str" cm="1">
        <f t="array" aca="1" ref="F716" ca="1">eConcatenar(A716:D716,"|")</f>
        <v>localidadmigrada715|QWWIIL9OP6XNYS|GUSTAVO DIAZ ORDAZ PRIMERA SECCION |final</v>
      </c>
    </row>
    <row r="717" spans="1:6" x14ac:dyDescent="0.25">
      <c r="A717" t="s">
        <v>3744</v>
      </c>
      <c r="B717" t="s">
        <v>1694</v>
      </c>
      <c r="C717" t="s">
        <v>1693</v>
      </c>
      <c r="D717" t="s">
        <v>1074</v>
      </c>
      <c r="F717" t="str" cm="1">
        <f t="array" aca="1" ref="F717" ca="1">eConcatenar(A717:D717,"|")</f>
        <v>localidadmigrada716|QWWIILEOP6XNYS|GUSTAVO DIAZ ORDAZ SEGUNDA SECCION |final</v>
      </c>
    </row>
    <row r="718" spans="1:6" x14ac:dyDescent="0.25">
      <c r="A718" t="s">
        <v>3745</v>
      </c>
      <c r="B718" t="s">
        <v>1692</v>
      </c>
      <c r="C718" t="s">
        <v>1691</v>
      </c>
      <c r="D718" t="s">
        <v>1074</v>
      </c>
      <c r="F718" t="str" cm="1">
        <f t="array" aca="1" ref="F718" ca="1">eConcatenar(A718:D718,"|")</f>
        <v>localidadmigrada717|QWWIILTYP6XNYS|GUSTAVO DIAZ ORDAS TERCERA SECCION |final</v>
      </c>
    </row>
    <row r="719" spans="1:6" x14ac:dyDescent="0.25">
      <c r="A719" t="s">
        <v>3746</v>
      </c>
      <c r="B719" t="s">
        <v>1690</v>
      </c>
      <c r="C719" t="s">
        <v>1689</v>
      </c>
      <c r="D719" t="s">
        <v>1074</v>
      </c>
      <c r="F719" t="str" cm="1">
        <f t="array" aca="1" ref="F719" ca="1">eConcatenar(A719:D719,"|")</f>
        <v>localidadmigrada718|QWWIILZ8P6XNYS|HUAPACAL PRIMERA SECCION |final</v>
      </c>
    </row>
    <row r="720" spans="1:6" x14ac:dyDescent="0.25">
      <c r="A720" t="s">
        <v>3747</v>
      </c>
      <c r="B720" t="s">
        <v>1688</v>
      </c>
      <c r="C720" t="s">
        <v>1687</v>
      </c>
      <c r="D720" t="s">
        <v>1074</v>
      </c>
      <c r="F720" t="str" cm="1">
        <f t="array" aca="1" ref="F720" ca="1">eConcatenar(A720:D720,"|")</f>
        <v>localidadmigrada719|QWWIIM1QP6XNYS|HUAPACAL SEGUNDA SECCION |final</v>
      </c>
    </row>
    <row r="721" spans="1:6" x14ac:dyDescent="0.25">
      <c r="A721" t="s">
        <v>3748</v>
      </c>
      <c r="B721" t="s">
        <v>1686</v>
      </c>
      <c r="C721" t="s">
        <v>1685</v>
      </c>
      <c r="D721" t="s">
        <v>1074</v>
      </c>
      <c r="F721" t="str" cm="1">
        <f t="array" aca="1" ref="F721" ca="1">eConcatenar(A721:D721,"|")</f>
        <v>localidadmigrada720|QWWIIM3YP6XNYS|HUAPACAL TERCERA SECCION |final</v>
      </c>
    </row>
    <row r="722" spans="1:6" x14ac:dyDescent="0.25">
      <c r="A722" t="s">
        <v>3749</v>
      </c>
      <c r="B722" t="s">
        <v>1684</v>
      </c>
      <c r="C722" t="s">
        <v>1683</v>
      </c>
      <c r="D722" t="s">
        <v>1074</v>
      </c>
      <c r="F722" t="str" cm="1">
        <f t="array" aca="1" ref="F722" ca="1">eConcatenar(A722:D722,"|")</f>
        <v>localidadmigrada721|QWWIIM6QP6XNYS|HUAPACAL CUARTA SECCION |final</v>
      </c>
    </row>
    <row r="723" spans="1:6" x14ac:dyDescent="0.25">
      <c r="A723" t="s">
        <v>3750</v>
      </c>
      <c r="B723" t="s">
        <v>1682</v>
      </c>
      <c r="C723" t="s">
        <v>133</v>
      </c>
      <c r="D723" t="s">
        <v>1074</v>
      </c>
      <c r="F723" t="str" cm="1">
        <f t="array" aca="1" ref="F723" ca="1">eConcatenar(A723:D723,"|")</f>
        <v>localidadmigrada722|QWWIIMLGP6XNYS|HUIMANGUILLO|final</v>
      </c>
    </row>
    <row r="724" spans="1:6" x14ac:dyDescent="0.25">
      <c r="A724" t="s">
        <v>3751</v>
      </c>
      <c r="B724" t="s">
        <v>1681</v>
      </c>
      <c r="C724" t="s">
        <v>1205</v>
      </c>
      <c r="D724" t="s">
        <v>1074</v>
      </c>
      <c r="F724" t="str" cm="1">
        <f t="array" aca="1" ref="F724" ca="1">eConcatenar(A724:D724,"|")</f>
        <v>localidadmigrada723|QWWIIMPWP6XNYS|IGNACIO ALLENDE |final</v>
      </c>
    </row>
    <row r="725" spans="1:6" x14ac:dyDescent="0.25">
      <c r="A725" t="s">
        <v>3752</v>
      </c>
      <c r="B725" t="s">
        <v>1680</v>
      </c>
      <c r="C725" t="s">
        <v>1679</v>
      </c>
      <c r="D725" t="s">
        <v>1074</v>
      </c>
      <c r="F725" t="str" cm="1">
        <f t="array" aca="1" ref="F725" ca="1">eConcatenar(A725:D725,"|")</f>
        <v>localidadmigrada724|QWWIIMZWP6XNYS|IGNACIO GUTIERREZ PRIMERA SECCION |final</v>
      </c>
    </row>
    <row r="726" spans="1:6" x14ac:dyDescent="0.25">
      <c r="A726" t="s">
        <v>3753</v>
      </c>
      <c r="B726" t="s">
        <v>1678</v>
      </c>
      <c r="C726" t="s">
        <v>1677</v>
      </c>
      <c r="D726" t="s">
        <v>1074</v>
      </c>
      <c r="F726" t="str" cm="1">
        <f t="array" aca="1" ref="F726" ca="1">eConcatenar(A726:D726,"|")</f>
        <v>localidadmigrada725|QWWIIND8P6XNYS|IGNACIO GUTIERREZ SEGUNDA SECCION |final</v>
      </c>
    </row>
    <row r="727" spans="1:6" x14ac:dyDescent="0.25">
      <c r="A727" t="s">
        <v>3754</v>
      </c>
      <c r="B727" t="s">
        <v>1676</v>
      </c>
      <c r="C727" t="s">
        <v>1675</v>
      </c>
      <c r="D727" t="s">
        <v>1074</v>
      </c>
      <c r="F727" t="str" cm="1">
        <f t="array" aca="1" ref="F727" ca="1">eConcatenar(A727:D727,"|")</f>
        <v>localidadmigrada726|QWWIINGUP6XNYS|IGNACIO GUTIERREZ TERCERA SECCION |final</v>
      </c>
    </row>
    <row r="728" spans="1:6" x14ac:dyDescent="0.25">
      <c r="A728" t="s">
        <v>3755</v>
      </c>
      <c r="B728" t="s">
        <v>1674</v>
      </c>
      <c r="C728" t="s">
        <v>1673</v>
      </c>
      <c r="D728" t="s">
        <v>1074</v>
      </c>
      <c r="F728" t="str" cm="1">
        <f t="array" aca="1" ref="F728" ca="1">eConcatenar(A728:D728,"|")</f>
        <v>localidadmigrada727|QWWIINJCP6XNYS|IGNACIO GUTIERREZ CUARTA SECCION |final</v>
      </c>
    </row>
    <row r="729" spans="1:6" x14ac:dyDescent="0.25">
      <c r="A729" t="s">
        <v>3756</v>
      </c>
      <c r="B729" t="s">
        <v>1672</v>
      </c>
      <c r="C729" t="s">
        <v>1671</v>
      </c>
      <c r="D729" t="s">
        <v>1074</v>
      </c>
      <c r="F729" t="str" cm="1">
        <f t="array" aca="1" ref="F729" ca="1">eConcatenar(A729:D729,"|")</f>
        <v>localidadmigrada728|QWWIINM4P6XNYS|IGNACIO GUTIERREZ QUINTA SECCION |final</v>
      </c>
    </row>
    <row r="730" spans="1:6" x14ac:dyDescent="0.25">
      <c r="A730" t="s">
        <v>3757</v>
      </c>
      <c r="B730" t="s">
        <v>1670</v>
      </c>
      <c r="C730" t="s">
        <v>1669</v>
      </c>
      <c r="D730" t="s">
        <v>1074</v>
      </c>
      <c r="F730" t="str" cm="1">
        <f t="array" aca="1" ref="F730" ca="1">eConcatenar(A730:D730,"|")</f>
        <v>localidadmigrada729|QWWIINPQP6XNYS|ISIDRO BROCA|final</v>
      </c>
    </row>
    <row r="731" spans="1:6" x14ac:dyDescent="0.25">
      <c r="A731" t="s">
        <v>3758</v>
      </c>
      <c r="B731" t="s">
        <v>1668</v>
      </c>
      <c r="C731" t="s">
        <v>1193</v>
      </c>
      <c r="D731" t="s">
        <v>1074</v>
      </c>
      <c r="F731" t="str" cm="1">
        <f t="array" aca="1" ref="F731" ca="1">eConcatenar(A731:D731,"|")</f>
        <v>localidadmigrada730|QWWIIP5EP6XNYS|JOSE MARIA MORELOS Y PAVON |final</v>
      </c>
    </row>
    <row r="732" spans="1:6" x14ac:dyDescent="0.25">
      <c r="A732" t="s">
        <v>3759</v>
      </c>
      <c r="B732" t="s">
        <v>1667</v>
      </c>
      <c r="C732" t="s">
        <v>1666</v>
      </c>
      <c r="D732" t="s">
        <v>1074</v>
      </c>
      <c r="F732" t="str" cm="1">
        <f t="array" aca="1" ref="F732" ca="1">eConcatenar(A732:D732,"|")</f>
        <v>localidadmigrada731|QWWIIP9AP6XNYS|JOSE MARIA PINO SUAREZ |final</v>
      </c>
    </row>
    <row r="733" spans="1:6" x14ac:dyDescent="0.25">
      <c r="A733" t="s">
        <v>3760</v>
      </c>
      <c r="B733" t="s">
        <v>1665</v>
      </c>
      <c r="C733" t="s">
        <v>1664</v>
      </c>
      <c r="D733" t="s">
        <v>1074</v>
      </c>
      <c r="F733" t="str" cm="1">
        <f t="array" aca="1" ref="F733" ca="1">eConcatenar(A733:D733,"|")</f>
        <v>localidadmigrada732|QWWIIPRMP6XNYS|JOSE MARIA PINO SUEREZ PRIMERA SECCION |final</v>
      </c>
    </row>
    <row r="734" spans="1:6" x14ac:dyDescent="0.25">
      <c r="A734" t="s">
        <v>3761</v>
      </c>
      <c r="B734" t="s">
        <v>1663</v>
      </c>
      <c r="C734" t="s">
        <v>1662</v>
      </c>
      <c r="D734" t="s">
        <v>1074</v>
      </c>
      <c r="F734" t="str" cm="1">
        <f t="array" aca="1" ref="F734" ca="1">eConcatenar(A734:D734,"|")</f>
        <v>localidadmigrada733|QWWIIPWMP6XNYS|JOSE MARIA PINO SUAREZ SEGUNDA SECCION |final</v>
      </c>
    </row>
    <row r="735" spans="1:6" x14ac:dyDescent="0.25">
      <c r="A735" t="s">
        <v>3762</v>
      </c>
      <c r="B735" t="s">
        <v>1661</v>
      </c>
      <c r="C735" t="s">
        <v>1660</v>
      </c>
      <c r="D735" t="s">
        <v>1074</v>
      </c>
      <c r="F735" t="str" cm="1">
        <f t="array" aca="1" ref="F735" ca="1">eConcatenar(A735:D735,"|")</f>
        <v>localidadmigrada734|QWWIIQF8P6XNYS|JOSE MERCEDES GAMAS PRIMERA SECCION |final</v>
      </c>
    </row>
    <row r="736" spans="1:6" x14ac:dyDescent="0.25">
      <c r="A736" t="s">
        <v>3763</v>
      </c>
      <c r="B736" t="s">
        <v>1659</v>
      </c>
      <c r="C736" t="s">
        <v>1658</v>
      </c>
      <c r="D736" t="s">
        <v>1074</v>
      </c>
      <c r="F736" t="str" cm="1">
        <f t="array" aca="1" ref="F736" ca="1">eConcatenar(A736:D736,"|")</f>
        <v>localidadmigrada735|QWWIIQIUP6XNYS|JOSE MERCEDES GAMAS SEGUNDA SECCION |final</v>
      </c>
    </row>
    <row r="737" spans="1:6" x14ac:dyDescent="0.25">
      <c r="A737" t="s">
        <v>3764</v>
      </c>
      <c r="B737" t="s">
        <v>1657</v>
      </c>
      <c r="C737" t="s">
        <v>1656</v>
      </c>
      <c r="D737" t="s">
        <v>1074</v>
      </c>
      <c r="F737" t="str" cm="1">
        <f t="array" aca="1" ref="F737" ca="1">eConcatenar(A737:D737,"|")</f>
        <v>localidadmigrada736|QWWIIQNKP6XNYS|JOSE NARCISO ROVIROSA |final</v>
      </c>
    </row>
    <row r="738" spans="1:6" x14ac:dyDescent="0.25">
      <c r="A738" t="s">
        <v>3765</v>
      </c>
      <c r="B738" t="s">
        <v>1655</v>
      </c>
      <c r="C738" t="s">
        <v>1654</v>
      </c>
      <c r="D738" t="s">
        <v>1074</v>
      </c>
      <c r="F738" t="str" cm="1">
        <f t="array" aca="1" ref="F738" ca="1">eConcatenar(A738:D738,"|")</f>
        <v>localidadmigrada737|QWWIIQQCP6XNYS|LA ADUANA |final</v>
      </c>
    </row>
    <row r="739" spans="1:6" x14ac:dyDescent="0.25">
      <c r="A739" t="s">
        <v>3766</v>
      </c>
      <c r="B739" t="s">
        <v>1653</v>
      </c>
      <c r="C739" t="s">
        <v>1652</v>
      </c>
      <c r="D739" t="s">
        <v>1074</v>
      </c>
      <c r="F739" t="str" cm="1">
        <f t="array" aca="1" ref="F739" ca="1">eConcatenar(A739:D739,"|")</f>
        <v>localidadmigrada738|QWWIIQTOP6XNYS|LA ARENA PRIMERA SECCION |final</v>
      </c>
    </row>
    <row r="740" spans="1:6" x14ac:dyDescent="0.25">
      <c r="A740" t="s">
        <v>3767</v>
      </c>
      <c r="B740" t="s">
        <v>1651</v>
      </c>
      <c r="C740" t="s">
        <v>1650</v>
      </c>
      <c r="D740" t="s">
        <v>1074</v>
      </c>
      <c r="F740" t="str" cm="1">
        <f t="array" aca="1" ref="F740" ca="1">eConcatenar(A740:D740,"|")</f>
        <v>localidadmigrada739|QWWIIR70P6XNYS|LA ARENA SEGUNDA SECCION |final</v>
      </c>
    </row>
    <row r="741" spans="1:6" x14ac:dyDescent="0.25">
      <c r="A741" t="s">
        <v>3768</v>
      </c>
      <c r="B741" t="s">
        <v>1649</v>
      </c>
      <c r="C741" t="s">
        <v>1648</v>
      </c>
      <c r="D741" t="s">
        <v>1074</v>
      </c>
      <c r="F741" t="str" cm="1">
        <f t="array" aca="1" ref="F741" ca="1">eConcatenar(A741:D741,"|")</f>
        <v>localidadmigrada740|QWWIIR9IP6XNYS|LA CANDELARIA |final</v>
      </c>
    </row>
    <row r="742" spans="1:6" x14ac:dyDescent="0.25">
      <c r="A742" t="s">
        <v>3769</v>
      </c>
      <c r="B742" t="s">
        <v>1647</v>
      </c>
      <c r="C742" t="s">
        <v>281</v>
      </c>
      <c r="D742" t="s">
        <v>1074</v>
      </c>
      <c r="F742" t="str" cm="1">
        <f t="array" aca="1" ref="F742" ca="1">eConcatenar(A742:D742,"|")</f>
        <v>localidadmigrada741|QWWIIRBGP6XNYS|LA CEIBA|final</v>
      </c>
    </row>
    <row r="743" spans="1:6" x14ac:dyDescent="0.25">
      <c r="A743" t="s">
        <v>3770</v>
      </c>
      <c r="B743" t="s">
        <v>1646</v>
      </c>
      <c r="C743" t="s">
        <v>1645</v>
      </c>
      <c r="D743" t="s">
        <v>1074</v>
      </c>
      <c r="F743" t="str" cm="1">
        <f t="array" aca="1" ref="F743" ca="1">eConcatenar(A743:D743,"|")</f>
        <v>localidadmigrada742|QWWIIRF2P6XNYS|LA CEIBA PRIMERA SECCION |final</v>
      </c>
    </row>
    <row r="744" spans="1:6" x14ac:dyDescent="0.25">
      <c r="A744" t="s">
        <v>3771</v>
      </c>
      <c r="B744" t="s">
        <v>1644</v>
      </c>
      <c r="C744" t="s">
        <v>1643</v>
      </c>
      <c r="D744" t="s">
        <v>1074</v>
      </c>
      <c r="F744" t="str" cm="1">
        <f t="array" aca="1" ref="F744" ca="1">eConcatenar(A744:D744,"|")</f>
        <v>localidadmigrada743|QWWIIRK2P6XNYS|LA CEIBA PRIMERA SECCION RUIZ CORTINEZ |final</v>
      </c>
    </row>
    <row r="745" spans="1:6" x14ac:dyDescent="0.25">
      <c r="A745" t="s">
        <v>3772</v>
      </c>
      <c r="B745" t="s">
        <v>1642</v>
      </c>
      <c r="C745" t="s">
        <v>1641</v>
      </c>
      <c r="D745" t="s">
        <v>1074</v>
      </c>
      <c r="F745" t="str" cm="1">
        <f t="array" aca="1" ref="F745" ca="1">eConcatenar(A745:D745,"|")</f>
        <v>localidadmigrada744|QWWIIRYIP6XNYS|LA CEIBA SEGUNDA SECCION |final</v>
      </c>
    </row>
    <row r="746" spans="1:6" x14ac:dyDescent="0.25">
      <c r="A746" t="s">
        <v>3773</v>
      </c>
      <c r="B746" t="s">
        <v>1640</v>
      </c>
      <c r="C746" t="s">
        <v>1639</v>
      </c>
      <c r="D746" t="s">
        <v>1074</v>
      </c>
      <c r="F746" t="str" cm="1">
        <f t="array" aca="1" ref="F746" ca="1">eConcatenar(A746:D746,"|")</f>
        <v>localidadmigrada745|QWWIIS10P6XNYS|LA CHICHARRA|final</v>
      </c>
    </row>
    <row r="747" spans="1:6" x14ac:dyDescent="0.25">
      <c r="A747" t="s">
        <v>3774</v>
      </c>
      <c r="B747" t="s">
        <v>1638</v>
      </c>
      <c r="C747" t="s">
        <v>1637</v>
      </c>
      <c r="D747" t="s">
        <v>1074</v>
      </c>
      <c r="F747" t="str" cm="1">
        <f t="array" aca="1" ref="F747" ca="1">eConcatenar(A747:D747,"|")</f>
        <v>localidadmigrada746|QWWIIS2OP6XNYS|LA CONCEPCION |final</v>
      </c>
    </row>
    <row r="748" spans="1:6" x14ac:dyDescent="0.25">
      <c r="A748" t="s">
        <v>3775</v>
      </c>
      <c r="B748" t="s">
        <v>1636</v>
      </c>
      <c r="C748" t="s">
        <v>1635</v>
      </c>
      <c r="D748" t="s">
        <v>1074</v>
      </c>
      <c r="F748" t="str" cm="1">
        <f t="array" aca="1" ref="F748" ca="1">eConcatenar(A748:D748,"|")</f>
        <v>localidadmigrada747|QWWIIS4WP6XNYS|LA DELICIOSA|final</v>
      </c>
    </row>
    <row r="749" spans="1:6" x14ac:dyDescent="0.25">
      <c r="A749" t="s">
        <v>3776</v>
      </c>
      <c r="B749" t="s">
        <v>1634</v>
      </c>
      <c r="C749" t="s">
        <v>1633</v>
      </c>
      <c r="D749" t="s">
        <v>1074</v>
      </c>
      <c r="F749" t="str" cm="1">
        <f t="array" aca="1" ref="F749" ca="1">eConcatenar(A749:D749,"|")</f>
        <v>localidadmigrada748|QWWIIS7EP6XNYS|LA ESPERANZA |final</v>
      </c>
    </row>
    <row r="750" spans="1:6" x14ac:dyDescent="0.25">
      <c r="A750" t="s">
        <v>3777</v>
      </c>
      <c r="B750" t="s">
        <v>1632</v>
      </c>
      <c r="C750" t="s">
        <v>1631</v>
      </c>
      <c r="D750" t="s">
        <v>1074</v>
      </c>
      <c r="F750" t="str" cm="1">
        <f t="array" aca="1" ref="F750" ca="1">eConcatenar(A750:D750,"|")</f>
        <v>localidadmigrada749|QWWIIS9MP6XNYS|LA FLORIDA|final</v>
      </c>
    </row>
    <row r="751" spans="1:6" x14ac:dyDescent="0.25">
      <c r="A751" t="s">
        <v>3778</v>
      </c>
      <c r="B751" t="s">
        <v>1630</v>
      </c>
      <c r="C751" t="s">
        <v>1629</v>
      </c>
      <c r="D751" t="s">
        <v>1074</v>
      </c>
      <c r="F751" t="str" cm="1">
        <f t="array" aca="1" ref="F751" ca="1">eConcatenar(A751:D751,"|")</f>
        <v>localidadmigrada750|QWWIISC4P6XNYS|LA GAVIA |final</v>
      </c>
    </row>
    <row r="752" spans="1:6" x14ac:dyDescent="0.25">
      <c r="A752" t="s">
        <v>3779</v>
      </c>
      <c r="B752" t="s">
        <v>1628</v>
      </c>
      <c r="C752" t="s">
        <v>1627</v>
      </c>
      <c r="D752" t="s">
        <v>1074</v>
      </c>
      <c r="F752" t="str" cm="1">
        <f t="array" aca="1" ref="F752" ca="1">eConcatenar(A752:D752,"|")</f>
        <v>localidadmigrada751|QWWIISDIP6XNYS|LA GLORIA|final</v>
      </c>
    </row>
    <row r="753" spans="1:6" x14ac:dyDescent="0.25">
      <c r="A753" t="s">
        <v>3780</v>
      </c>
      <c r="B753" t="s">
        <v>1626</v>
      </c>
      <c r="C753" t="s">
        <v>1625</v>
      </c>
      <c r="D753" t="s">
        <v>1074</v>
      </c>
      <c r="F753" t="str" cm="1">
        <f t="array" aca="1" ref="F753" ca="1">eConcatenar(A753:D753,"|")</f>
        <v>localidadmigrada752|QWWIISROP6XNYS|LA IMAGINACION |final</v>
      </c>
    </row>
    <row r="754" spans="1:6" x14ac:dyDescent="0.25">
      <c r="A754" t="s">
        <v>3781</v>
      </c>
      <c r="B754" t="s">
        <v>1624</v>
      </c>
      <c r="C754" t="s">
        <v>1623</v>
      </c>
      <c r="D754" t="s">
        <v>1074</v>
      </c>
      <c r="F754" t="str" cm="1">
        <f t="array" aca="1" ref="F754" ca="1">eConcatenar(A754:D754,"|")</f>
        <v>localidadmigrada753|QWWIISTMP6XNYS|LA LAGUNA|final</v>
      </c>
    </row>
    <row r="755" spans="1:6" x14ac:dyDescent="0.25">
      <c r="A755" t="s">
        <v>3782</v>
      </c>
      <c r="B755" t="s">
        <v>1622</v>
      </c>
      <c r="C755" t="s">
        <v>1621</v>
      </c>
      <c r="D755" t="s">
        <v>1074</v>
      </c>
      <c r="F755" t="str" cm="1">
        <f t="array" aca="1" ref="F755" ca="1">eConcatenar(A755:D755,"|")</f>
        <v>localidadmigrada754|QWWIISVUP6XNYS|LA LIBERTAD|final</v>
      </c>
    </row>
    <row r="756" spans="1:6" x14ac:dyDescent="0.25">
      <c r="A756" t="s">
        <v>3783</v>
      </c>
      <c r="B756" t="s">
        <v>1620</v>
      </c>
      <c r="C756" t="s">
        <v>1619</v>
      </c>
      <c r="D756" t="s">
        <v>1074</v>
      </c>
      <c r="F756" t="str" cm="1">
        <f t="array" aca="1" ref="F756" ca="1">eConcatenar(A756:D756,"|")</f>
        <v>localidadmigrada755|QWWIISXSP6XNYS|LA LIMA|final</v>
      </c>
    </row>
    <row r="757" spans="1:6" x14ac:dyDescent="0.25">
      <c r="A757" t="s">
        <v>3784</v>
      </c>
      <c r="B757" t="s">
        <v>1618</v>
      </c>
      <c r="C757" t="s">
        <v>1617</v>
      </c>
      <c r="D757" t="s">
        <v>1074</v>
      </c>
      <c r="F757" t="str" cm="1">
        <f t="array" aca="1" ref="F757" ca="1">eConcatenar(A757:D757,"|")</f>
        <v>localidadmigrada756|QWWIIT28P6XNYS|LA LUCHA|final</v>
      </c>
    </row>
    <row r="758" spans="1:6" x14ac:dyDescent="0.25">
      <c r="A758" t="s">
        <v>3785</v>
      </c>
      <c r="B758" t="s">
        <v>1616</v>
      </c>
      <c r="C758" t="s">
        <v>1615</v>
      </c>
      <c r="D758" t="s">
        <v>1074</v>
      </c>
      <c r="F758" t="str" cm="1">
        <f t="array" aca="1" ref="F758" ca="1">eConcatenar(A758:D758,"|")</f>
        <v>localidadmigrada757|QWWIIT3WP6XNYS|LA LUZ|final</v>
      </c>
    </row>
    <row r="759" spans="1:6" x14ac:dyDescent="0.25">
      <c r="A759" t="s">
        <v>3786</v>
      </c>
      <c r="B759" t="s">
        <v>1614</v>
      </c>
      <c r="C759" t="s">
        <v>1613</v>
      </c>
      <c r="D759" t="s">
        <v>1074</v>
      </c>
      <c r="F759" t="str" cm="1">
        <f t="array" aca="1" ref="F759" ca="1">eConcatenar(A759:D759,"|")</f>
        <v>localidadmigrada758|QWWIIT5UP6XNYS|LA MINA|final</v>
      </c>
    </row>
    <row r="760" spans="1:6" x14ac:dyDescent="0.25">
      <c r="A760" t="s">
        <v>3787</v>
      </c>
      <c r="B760" t="s">
        <v>1612</v>
      </c>
      <c r="C760" t="s">
        <v>1611</v>
      </c>
      <c r="D760" t="s">
        <v>1074</v>
      </c>
      <c r="F760" t="str" cm="1">
        <f t="array" aca="1" ref="F760" ca="1">eConcatenar(A760:D760,"|")</f>
        <v>localidadmigrada759|QWWIITIWP6XNYS|LA NUEVA ESPERANZA |final</v>
      </c>
    </row>
    <row r="761" spans="1:6" x14ac:dyDescent="0.25">
      <c r="A761" t="s">
        <v>3788</v>
      </c>
      <c r="B761" t="s">
        <v>1610</v>
      </c>
      <c r="C761" t="s">
        <v>1609</v>
      </c>
      <c r="D761" t="s">
        <v>1074</v>
      </c>
      <c r="F761" t="str" cm="1">
        <f t="array" aca="1" ref="F761" ca="1">eConcatenar(A761:D761,"|")</f>
        <v>localidadmigrada760|QWWIITKUP6XNYS|LA PALMA|final</v>
      </c>
    </row>
    <row r="762" spans="1:6" x14ac:dyDescent="0.25">
      <c r="A762" t="s">
        <v>3789</v>
      </c>
      <c r="B762" t="s">
        <v>1608</v>
      </c>
      <c r="C762" t="s">
        <v>1607</v>
      </c>
      <c r="D762" t="s">
        <v>1074</v>
      </c>
      <c r="F762" t="str" cm="1">
        <f t="array" aca="1" ref="F762" ca="1">eConcatenar(A762:D762,"|")</f>
        <v>localidadmigrada761|QWWIITMSP6XNYS|LA QUEBRADA|final</v>
      </c>
    </row>
    <row r="763" spans="1:6" x14ac:dyDescent="0.25">
      <c r="A763" t="s">
        <v>3790</v>
      </c>
      <c r="B763" t="s">
        <v>1606</v>
      </c>
      <c r="C763" t="s">
        <v>1605</v>
      </c>
      <c r="D763" t="s">
        <v>1074</v>
      </c>
      <c r="F763" t="str" cm="1">
        <f t="array" aca="1" ref="F763" ca="1">eConcatenar(A763:D763,"|")</f>
        <v>localidadmigrada762|QWWIITPAP6XNYS|LA SOLEDAD PRIMERA SECCION |final</v>
      </c>
    </row>
    <row r="764" spans="1:6" x14ac:dyDescent="0.25">
      <c r="A764" t="s">
        <v>3791</v>
      </c>
      <c r="B764" t="s">
        <v>1604</v>
      </c>
      <c r="C764" t="s">
        <v>1603</v>
      </c>
      <c r="D764" t="s">
        <v>1074</v>
      </c>
      <c r="F764" t="str" cm="1">
        <f t="array" aca="1" ref="F764" ca="1">eConcatenar(A764:D764,"|")</f>
        <v>localidadmigrada763|QWWIITTGP6XNYS|LA SOLEDAD SEGUNDA SECCION |final</v>
      </c>
    </row>
    <row r="765" spans="1:6" x14ac:dyDescent="0.25">
      <c r="A765" t="s">
        <v>3792</v>
      </c>
      <c r="B765" t="s">
        <v>1602</v>
      </c>
      <c r="C765" t="s">
        <v>1601</v>
      </c>
      <c r="D765" t="s">
        <v>1074</v>
      </c>
      <c r="F765" t="str" cm="1">
        <f t="array" aca="1" ref="F765" ca="1">eConcatenar(A765:D765,"|")</f>
        <v>localidadmigrada764|QWWIITVYP6XNYS|LA TRINIDAD |final</v>
      </c>
    </row>
    <row r="766" spans="1:6" x14ac:dyDescent="0.25">
      <c r="A766" t="s">
        <v>3793</v>
      </c>
      <c r="B766" t="s">
        <v>1600</v>
      </c>
      <c r="C766" t="s">
        <v>1599</v>
      </c>
      <c r="D766" t="s">
        <v>1074</v>
      </c>
      <c r="F766" t="str" cm="1">
        <f t="array" aca="1" ref="F766" ca="1">eConcatenar(A766:D766,"|")</f>
        <v>localidadmigrada765|QWWIITXMP6XNYS|LA VENCEDORA|final</v>
      </c>
    </row>
    <row r="767" spans="1:6" x14ac:dyDescent="0.25">
      <c r="A767" t="s">
        <v>3794</v>
      </c>
      <c r="B767" t="s">
        <v>1598</v>
      </c>
      <c r="C767" t="s">
        <v>1597</v>
      </c>
      <c r="D767" t="s">
        <v>1074</v>
      </c>
      <c r="F767" t="str" cm="1">
        <f t="array" aca="1" ref="F767" ca="1">eConcatenar(A767:D767,"|")</f>
        <v>localidadmigrada766|QWWIIUAYP6XNYS|LA VENTA|final</v>
      </c>
    </row>
    <row r="768" spans="1:6" x14ac:dyDescent="0.25">
      <c r="A768" t="s">
        <v>3795</v>
      </c>
      <c r="B768" t="s">
        <v>1596</v>
      </c>
      <c r="C768" t="s">
        <v>1595</v>
      </c>
      <c r="D768" t="s">
        <v>1074</v>
      </c>
      <c r="F768" t="str" cm="1">
        <f t="array" aca="1" ref="F768" ca="1">eConcatenar(A768:D768,"|")</f>
        <v>localidadmigrada767|QWWIIUCWP6XNYS|LA VENTA EL CUATRO|final</v>
      </c>
    </row>
    <row r="769" spans="1:6" x14ac:dyDescent="0.25">
      <c r="A769" t="s">
        <v>3796</v>
      </c>
      <c r="B769" t="s">
        <v>1594</v>
      </c>
      <c r="C769" t="s">
        <v>1593</v>
      </c>
      <c r="D769" t="s">
        <v>1074</v>
      </c>
      <c r="F769" t="str" cm="1">
        <f t="array" aca="1" ref="F769" ca="1">eConcatenar(A769:D769,"|")</f>
        <v>localidadmigrada768|QWWIIUFOP6XNYS|LAGUNA DE LOS LIMONES |final</v>
      </c>
    </row>
    <row r="770" spans="1:6" x14ac:dyDescent="0.25">
      <c r="A770" t="s">
        <v>3797</v>
      </c>
      <c r="B770" t="s">
        <v>1592</v>
      </c>
      <c r="C770" t="s">
        <v>1591</v>
      </c>
      <c r="D770" t="s">
        <v>1074</v>
      </c>
      <c r="F770" t="str" cm="1">
        <f t="array" aca="1" ref="F770" ca="1">eConcatenar(A770:D770,"|")</f>
        <v>localidadmigrada769|QWWIIUIQP6XNYS|LAGUNA DEL ROSARIO|final</v>
      </c>
    </row>
    <row r="771" spans="1:6" x14ac:dyDescent="0.25">
      <c r="A771" t="s">
        <v>3798</v>
      </c>
      <c r="B771" t="s">
        <v>1590</v>
      </c>
      <c r="C771" t="s">
        <v>1589</v>
      </c>
      <c r="D771" t="s">
        <v>1074</v>
      </c>
      <c r="F771" t="str" cm="1">
        <f t="array" aca="1" ref="F771" ca="1">eConcatenar(A771:D771,"|")</f>
        <v>localidadmigrada770|QWWIIUKYP6XNYS|LAS ELENAS|final</v>
      </c>
    </row>
    <row r="772" spans="1:6" x14ac:dyDescent="0.25">
      <c r="A772" t="s">
        <v>3799</v>
      </c>
      <c r="B772" t="s">
        <v>1588</v>
      </c>
      <c r="C772" t="s">
        <v>1587</v>
      </c>
      <c r="D772" t="s">
        <v>1074</v>
      </c>
      <c r="F772" t="str" cm="1">
        <f t="array" aca="1" ref="F772" ca="1">eConcatenar(A772:D772,"|")</f>
        <v>localidadmigrada771|QWWIIUMWP6XNYS|LAS FLORES |final</v>
      </c>
    </row>
    <row r="773" spans="1:6" x14ac:dyDescent="0.25">
      <c r="A773" t="s">
        <v>3800</v>
      </c>
      <c r="B773" t="s">
        <v>1586</v>
      </c>
      <c r="C773" t="s">
        <v>309</v>
      </c>
      <c r="D773" t="s">
        <v>1074</v>
      </c>
      <c r="F773" t="str" cm="1">
        <f t="array" aca="1" ref="F773" ca="1">eConcatenar(A773:D773,"|")</f>
        <v>localidadmigrada772|QWWIIUP4P6XNYS|LAS GALAXIAS|final</v>
      </c>
    </row>
    <row r="774" spans="1:6" x14ac:dyDescent="0.25">
      <c r="A774" t="s">
        <v>3801</v>
      </c>
      <c r="B774" t="s">
        <v>1585</v>
      </c>
      <c r="C774" t="s">
        <v>1584</v>
      </c>
      <c r="D774" t="s">
        <v>1074</v>
      </c>
      <c r="F774" t="str" cm="1">
        <f t="array" aca="1" ref="F774" ca="1">eConcatenar(A774:D774,"|")</f>
        <v>localidadmigrada773|QWWIIV30P6XNYS|LAS GIRALDAS |final</v>
      </c>
    </row>
    <row r="775" spans="1:6" x14ac:dyDescent="0.25">
      <c r="A775" t="s">
        <v>3802</v>
      </c>
      <c r="B775" t="s">
        <v>1583</v>
      </c>
      <c r="C775" t="s">
        <v>1582</v>
      </c>
      <c r="D775" t="s">
        <v>1074</v>
      </c>
      <c r="F775" t="str" cm="1">
        <f t="array" aca="1" ref="F775" ca="1">eConcatenar(A775:D775,"|")</f>
        <v>localidadmigrada774|QWWIIV62P6XNYS|LAS GRANJAS|final</v>
      </c>
    </row>
    <row r="776" spans="1:6" x14ac:dyDescent="0.25">
      <c r="A776" t="s">
        <v>3803</v>
      </c>
      <c r="B776" t="s">
        <v>1581</v>
      </c>
      <c r="C776" t="s">
        <v>1580</v>
      </c>
      <c r="D776" t="s">
        <v>1074</v>
      </c>
      <c r="F776" t="str" cm="1">
        <f t="array" aca="1" ref="F776" ca="1">eConcatenar(A776:D776,"|")</f>
        <v>localidadmigrada775|QWWIIV7GP6XNYS|LAS LOMAS|final</v>
      </c>
    </row>
    <row r="777" spans="1:6" x14ac:dyDescent="0.25">
      <c r="A777" t="s">
        <v>3804</v>
      </c>
      <c r="B777" t="s">
        <v>1579</v>
      </c>
      <c r="C777" t="s">
        <v>1578</v>
      </c>
      <c r="D777" t="s">
        <v>1074</v>
      </c>
      <c r="F777" t="str" cm="1">
        <f t="array" aca="1" ref="F777" ca="1">eConcatenar(A777:D777,"|")</f>
        <v>localidadmigrada776|QWWIIV9OP6XNYS|LAS PAMPAS|final</v>
      </c>
    </row>
    <row r="778" spans="1:6" x14ac:dyDescent="0.25">
      <c r="A778" t="s">
        <v>3805</v>
      </c>
      <c r="B778" t="s">
        <v>1577</v>
      </c>
      <c r="C778" t="s">
        <v>1576</v>
      </c>
      <c r="D778" t="s">
        <v>1074</v>
      </c>
      <c r="F778" t="str" cm="1">
        <f t="array" aca="1" ref="F778" ca="1">eConcatenar(A778:D778,"|")</f>
        <v>localidadmigrada777|QWWIIVBWP6XNYS|LAS PIEDRAS|final</v>
      </c>
    </row>
    <row r="779" spans="1:6" x14ac:dyDescent="0.25">
      <c r="A779" t="s">
        <v>3806</v>
      </c>
      <c r="B779" t="s">
        <v>1575</v>
      </c>
      <c r="C779" t="s">
        <v>1574</v>
      </c>
      <c r="D779" t="s">
        <v>1074</v>
      </c>
      <c r="F779" t="str" cm="1">
        <f t="array" aca="1" ref="F779" ca="1">eConcatenar(A779:D779,"|")</f>
        <v>localidadmigrada778|QWWIIVDAP6XNYS|LIBERTAD|final</v>
      </c>
    </row>
    <row r="780" spans="1:6" x14ac:dyDescent="0.25">
      <c r="A780" t="s">
        <v>3807</v>
      </c>
      <c r="B780" t="s">
        <v>1573</v>
      </c>
      <c r="C780" t="s">
        <v>1572</v>
      </c>
      <c r="D780" t="s">
        <v>1074</v>
      </c>
      <c r="F780" t="str" cm="1">
        <f t="array" aca="1" ref="F780" ca="1">eConcatenar(A780:D780,"|")</f>
        <v>localidadmigrada779|QWWIIVW6P6XNYS|LICENCIADO ANTONIO ZAMORA ARRIOJA|final</v>
      </c>
    </row>
    <row r="781" spans="1:6" x14ac:dyDescent="0.25">
      <c r="A781" t="s">
        <v>3808</v>
      </c>
      <c r="B781" t="s">
        <v>1571</v>
      </c>
      <c r="C781" t="s">
        <v>1570</v>
      </c>
      <c r="D781" t="s">
        <v>1074</v>
      </c>
      <c r="F781" t="str" cm="1">
        <f t="array" aca="1" ref="F781" ca="1">eConcatenar(A781:D781,"|")</f>
        <v>localidadmigrada780|QWWIIW02P6XNYS|LINDA VISTA|final</v>
      </c>
    </row>
    <row r="782" spans="1:6" x14ac:dyDescent="0.25">
      <c r="A782" t="s">
        <v>3809</v>
      </c>
      <c r="B782" t="s">
        <v>1569</v>
      </c>
      <c r="C782" t="s">
        <v>1568</v>
      </c>
      <c r="D782" t="s">
        <v>1074</v>
      </c>
      <c r="F782" t="str" cm="1">
        <f t="array" aca="1" ref="F782" ca="1">eConcatenar(A782:D782,"|")</f>
        <v>localidadmigrada781|QWWIIW2UP6XNYS|LOS COCOS|final</v>
      </c>
    </row>
    <row r="783" spans="1:6" x14ac:dyDescent="0.25">
      <c r="A783" t="s">
        <v>3810</v>
      </c>
      <c r="B783" t="s">
        <v>1567</v>
      </c>
      <c r="C783" t="s">
        <v>1566</v>
      </c>
      <c r="D783" t="s">
        <v>1074</v>
      </c>
      <c r="F783" t="str" cm="1">
        <f t="array" aca="1" ref="F783" ca="1">eConcatenar(A783:D783,"|")</f>
        <v>localidadmigrada782|QWWIJ0U8P6XNYS|LOS LAURELES|final</v>
      </c>
    </row>
    <row r="784" spans="1:6" x14ac:dyDescent="0.25">
      <c r="A784" t="s">
        <v>3811</v>
      </c>
      <c r="B784" t="s">
        <v>1565</v>
      </c>
      <c r="C784" t="s">
        <v>1564</v>
      </c>
      <c r="D784" t="s">
        <v>1074</v>
      </c>
      <c r="F784" t="str" cm="1">
        <f t="array" aca="1" ref="F784" ca="1">eConcatenar(A784:D784,"|")</f>
        <v>localidadmigrada783|QWWIJ1IEP6XNYS|LOS MORALES |final</v>
      </c>
    </row>
    <row r="785" spans="1:6" x14ac:dyDescent="0.25">
      <c r="A785" t="s">
        <v>3812</v>
      </c>
      <c r="B785" t="s">
        <v>1563</v>
      </c>
      <c r="C785" t="s">
        <v>1562</v>
      </c>
      <c r="D785" t="s">
        <v>1074</v>
      </c>
      <c r="F785" t="str" cm="1">
        <f t="array" aca="1" ref="F785" ca="1">eConcatenar(A785:D785,"|")</f>
        <v>localidadmigrada784|QWWIJ1LQP6XNYS|LOS NARANJOS|final</v>
      </c>
    </row>
    <row r="786" spans="1:6" x14ac:dyDescent="0.25">
      <c r="A786" t="s">
        <v>3813</v>
      </c>
      <c r="B786" t="s">
        <v>1561</v>
      </c>
      <c r="C786" t="s">
        <v>1560</v>
      </c>
      <c r="D786" t="s">
        <v>1074</v>
      </c>
      <c r="F786" t="str" cm="1">
        <f t="array" aca="1" ref="F786" ca="1">eConcatenar(A786:D786,"|")</f>
        <v>localidadmigrada785|QWWIJ21KP6XNYS|LOS NARANJOS PRIMERA SECCION CAMPECHITO |final</v>
      </c>
    </row>
    <row r="787" spans="1:6" x14ac:dyDescent="0.25">
      <c r="A787" t="s">
        <v>3814</v>
      </c>
      <c r="B787" t="s">
        <v>1559</v>
      </c>
      <c r="C787" t="s">
        <v>1558</v>
      </c>
      <c r="D787" t="s">
        <v>1074</v>
      </c>
      <c r="F787" t="str" cm="1">
        <f t="array" aca="1" ref="F787" ca="1">eConcatenar(A787:D787,"|")</f>
        <v>localidadmigrada786|QWWIJ24CP6XNYS|LOS NARANJOS SEGUNDA SECCION |final</v>
      </c>
    </row>
    <row r="788" spans="1:6" x14ac:dyDescent="0.25">
      <c r="A788" t="s">
        <v>3815</v>
      </c>
      <c r="B788" t="s">
        <v>1557</v>
      </c>
      <c r="C788" t="s">
        <v>1556</v>
      </c>
      <c r="D788" t="s">
        <v>1074</v>
      </c>
      <c r="F788" t="str" cm="1">
        <f t="array" aca="1" ref="F788" ca="1">eConcatenar(A788:D788,"|")</f>
        <v>localidadmigrada787|QWWIJ28IP6XNYS|LOS NARANJOS TERCERA SECCION |final</v>
      </c>
    </row>
    <row r="789" spans="1:6" x14ac:dyDescent="0.25">
      <c r="A789" t="s">
        <v>3816</v>
      </c>
      <c r="B789" t="s">
        <v>1555</v>
      </c>
      <c r="C789" t="s">
        <v>1554</v>
      </c>
      <c r="D789" t="s">
        <v>1074</v>
      </c>
      <c r="F789" t="str" cm="1">
        <f t="array" aca="1" ref="F789" ca="1">eConcatenar(A789:D789,"|")</f>
        <v>localidadmigrada788|QWWIJ2DIP6XNYS|LOS NARANJOS CUARTA SECCION |final</v>
      </c>
    </row>
    <row r="790" spans="1:6" x14ac:dyDescent="0.25">
      <c r="A790" t="s">
        <v>3817</v>
      </c>
      <c r="B790" t="s">
        <v>1553</v>
      </c>
      <c r="C790" t="s">
        <v>1552</v>
      </c>
      <c r="D790" t="s">
        <v>1074</v>
      </c>
      <c r="F790" t="str" cm="1">
        <f t="array" aca="1" ref="F790" ca="1">eConcatenar(A790:D790,"|")</f>
        <v>localidadmigrada789|QWWIJ3IWP6XNYS|LOS NARANJOS CUARTA SECCION|final</v>
      </c>
    </row>
    <row r="791" spans="1:6" x14ac:dyDescent="0.25">
      <c r="A791" t="s">
        <v>3818</v>
      </c>
      <c r="B791" t="s">
        <v>1551</v>
      </c>
      <c r="C791" t="s">
        <v>1550</v>
      </c>
      <c r="D791" t="s">
        <v>1074</v>
      </c>
      <c r="F791" t="str" cm="1">
        <f t="array" aca="1" ref="F791" ca="1">eConcatenar(A791:D791,"|")</f>
        <v>localidadmigrada790|QWWIJ3PKP6XNYS|LOS TECOS |final</v>
      </c>
    </row>
    <row r="792" spans="1:6" x14ac:dyDescent="0.25">
      <c r="A792" t="s">
        <v>3819</v>
      </c>
      <c r="B792" t="s">
        <v>1549</v>
      </c>
      <c r="C792" t="s">
        <v>1548</v>
      </c>
      <c r="D792" t="s">
        <v>1074</v>
      </c>
      <c r="F792" t="str" cm="1">
        <f t="array" aca="1" ref="F792" ca="1">eConcatenar(A792:D792,"|")</f>
        <v>localidadmigrada791|QWWIJ3R8P6XNYS|LOS VIVEROS|final</v>
      </c>
    </row>
    <row r="793" spans="1:6" x14ac:dyDescent="0.25">
      <c r="A793" t="s">
        <v>3820</v>
      </c>
      <c r="B793" t="s">
        <v>1547</v>
      </c>
      <c r="C793" t="s">
        <v>1546</v>
      </c>
      <c r="D793" t="s">
        <v>1074</v>
      </c>
      <c r="F793" t="str" cm="1">
        <f t="array" aca="1" ref="F793" ca="1">eConcatenar(A793:D793,"|")</f>
        <v>localidadmigrada792|QWWIJ3T6P6XNYS|LUIS CABRERA|final</v>
      </c>
    </row>
    <row r="794" spans="1:6" x14ac:dyDescent="0.25">
      <c r="A794" t="s">
        <v>3821</v>
      </c>
      <c r="B794" t="s">
        <v>1545</v>
      </c>
      <c r="C794" t="s">
        <v>1544</v>
      </c>
      <c r="D794" t="s">
        <v>1074</v>
      </c>
      <c r="F794" t="str" cm="1">
        <f t="array" aca="1" ref="F794" ca="1">eConcatenar(A794:D794,"|")</f>
        <v>localidadmigrada793|QWWIJ3W8P6XNYS|LUIS FELIPE ORDOÑEZ|final</v>
      </c>
    </row>
    <row r="795" spans="1:6" x14ac:dyDescent="0.25">
      <c r="A795" t="s">
        <v>3822</v>
      </c>
      <c r="B795" t="s">
        <v>1543</v>
      </c>
      <c r="C795" t="s">
        <v>1542</v>
      </c>
      <c r="D795" t="s">
        <v>1074</v>
      </c>
      <c r="F795" t="str" cm="1">
        <f t="array" aca="1" ref="F795" ca="1">eConcatenar(A795:D795,"|")</f>
        <v>localidadmigrada794|QWWIJ4BIP6XNYS|MACABIL|final</v>
      </c>
    </row>
    <row r="796" spans="1:6" x14ac:dyDescent="0.25">
      <c r="A796" t="s">
        <v>3823</v>
      </c>
      <c r="B796" t="s">
        <v>1541</v>
      </c>
      <c r="C796" t="s">
        <v>1540</v>
      </c>
      <c r="D796" t="s">
        <v>1074</v>
      </c>
      <c r="F796" t="str" cm="1">
        <f t="array" aca="1" ref="F796" ca="1">eConcatenar(A796:D796,"|")</f>
        <v>localidadmigrada795|QWWIJ4EAP6XNYS|MACABILITO|final</v>
      </c>
    </row>
    <row r="797" spans="1:6" x14ac:dyDescent="0.25">
      <c r="A797" t="s">
        <v>3824</v>
      </c>
      <c r="B797" t="s">
        <v>1539</v>
      </c>
      <c r="C797" t="s">
        <v>1538</v>
      </c>
      <c r="D797" t="s">
        <v>1074</v>
      </c>
      <c r="F797" t="str" cm="1">
        <f t="array" aca="1" ref="F797" ca="1">eConcatenar(A797:D797,"|")</f>
        <v>localidadmigrada796|QWWIJ4IGP6XNYS|MACAYO Y NARANJO PRIMERA SECCION |final</v>
      </c>
    </row>
    <row r="798" spans="1:6" x14ac:dyDescent="0.25">
      <c r="A798" t="s">
        <v>3825</v>
      </c>
      <c r="B798" t="s">
        <v>1537</v>
      </c>
      <c r="C798" t="s">
        <v>1536</v>
      </c>
      <c r="D798" t="s">
        <v>1074</v>
      </c>
      <c r="F798" t="str" cm="1">
        <f t="array" aca="1" ref="F798" ca="1">eConcatenar(A798:D798,"|")</f>
        <v>localidadmigrada797|QWWIJ4MWP6XNYS|MACAYO Y NARANJO SEGUNDA SECCION |final</v>
      </c>
    </row>
    <row r="799" spans="1:6" x14ac:dyDescent="0.25">
      <c r="A799" t="s">
        <v>3826</v>
      </c>
      <c r="B799" t="s">
        <v>1535</v>
      </c>
      <c r="C799" t="s">
        <v>1534</v>
      </c>
      <c r="D799" t="s">
        <v>1074</v>
      </c>
      <c r="F799" t="str" cm="1">
        <f t="array" aca="1" ref="F799" ca="1">eConcatenar(A799:D799,"|")</f>
        <v>localidadmigrada798|QWWIJ56MP6XNYS|MACAYO Y NARANJO TERCERA SECCION SAN AGUSTIN|final</v>
      </c>
    </row>
    <row r="800" spans="1:6" x14ac:dyDescent="0.25">
      <c r="A800" t="s">
        <v>3827</v>
      </c>
      <c r="B800" t="s">
        <v>1533</v>
      </c>
      <c r="C800" t="s">
        <v>1532</v>
      </c>
      <c r="D800" t="s">
        <v>1074</v>
      </c>
      <c r="F800" t="str" cm="1">
        <f t="array" aca="1" ref="F800" ca="1">eConcatenar(A800:D800,"|")</f>
        <v>localidadmigrada799|QWWIJ5WGP6XNYS|MALPASITO|final</v>
      </c>
    </row>
    <row r="801" spans="1:6" x14ac:dyDescent="0.25">
      <c r="A801" t="s">
        <v>3828</v>
      </c>
      <c r="B801" t="s">
        <v>1531</v>
      </c>
      <c r="C801" t="s">
        <v>1530</v>
      </c>
      <c r="D801" t="s">
        <v>1074</v>
      </c>
      <c r="F801" t="str" cm="1">
        <f t="array" aca="1" ref="F801" ca="1">eConcatenar(A801:D801,"|")</f>
        <v>localidadmigrada800|QWWIJ5YOP6XNYS|MANUEL ANDRADE DIAZ|final</v>
      </c>
    </row>
    <row r="802" spans="1:6" x14ac:dyDescent="0.25">
      <c r="A802" t="s">
        <v>3829</v>
      </c>
      <c r="B802" t="s">
        <v>1529</v>
      </c>
      <c r="C802" t="s">
        <v>1528</v>
      </c>
      <c r="D802" t="s">
        <v>1074</v>
      </c>
      <c r="F802" t="str" cm="1">
        <f t="array" aca="1" ref="F802" ca="1">eConcatenar(A802:D802,"|")</f>
        <v>localidadmigrada801|QWWIJ67KP6XNYS|MANUEL SANCHEZ MARMOL|final</v>
      </c>
    </row>
    <row r="803" spans="1:6" x14ac:dyDescent="0.25">
      <c r="A803" t="s">
        <v>3830</v>
      </c>
      <c r="B803" t="s">
        <v>1527</v>
      </c>
      <c r="C803" t="s">
        <v>1526</v>
      </c>
      <c r="D803" t="s">
        <v>1074</v>
      </c>
      <c r="F803" t="str" cm="1">
        <f t="array" aca="1" ref="F803" ca="1">eConcatenar(A803:D803,"|")</f>
        <v>localidadmigrada802|QWWIJ6AMP6XNYS|MANUEL TREVIÑO|final</v>
      </c>
    </row>
    <row r="804" spans="1:6" x14ac:dyDescent="0.25">
      <c r="A804" t="s">
        <v>3831</v>
      </c>
      <c r="B804" t="s">
        <v>1525</v>
      </c>
      <c r="C804" t="s">
        <v>1524</v>
      </c>
      <c r="D804" t="s">
        <v>1074</v>
      </c>
      <c r="F804" t="str" cm="1">
        <f t="array" aca="1" ref="F804" ca="1">eConcatenar(A804:D804,"|")</f>
        <v>localidadmigrada803|QWWIJ6SOP6XNYS|MARCELINO INORRUETA DE LA FUENTE|final</v>
      </c>
    </row>
    <row r="805" spans="1:6" x14ac:dyDescent="0.25">
      <c r="A805" t="s">
        <v>3832</v>
      </c>
      <c r="B805" t="s">
        <v>1523</v>
      </c>
      <c r="C805" t="s">
        <v>1522</v>
      </c>
      <c r="D805" t="s">
        <v>1074</v>
      </c>
      <c r="F805" t="str" cm="1">
        <f t="array" aca="1" ref="F805" ca="1">eConcatenar(A805:D805,"|")</f>
        <v>localidadmigrada804|QWWIJ6V6P6XNYS|MARGARITO ZAPATA|final</v>
      </c>
    </row>
    <row r="806" spans="1:6" x14ac:dyDescent="0.25">
      <c r="A806" t="s">
        <v>3833</v>
      </c>
      <c r="B806" t="s">
        <v>1521</v>
      </c>
      <c r="C806" t="s">
        <v>1520</v>
      </c>
      <c r="D806" t="s">
        <v>1074</v>
      </c>
      <c r="F806" t="str" cm="1">
        <f t="array" aca="1" ref="F806" ca="1">eConcatenar(A806:D806,"|")</f>
        <v>localidadmigrada805|QWWIJ6XOP6XNYS|MASTELERO|final</v>
      </c>
    </row>
    <row r="807" spans="1:6" x14ac:dyDescent="0.25">
      <c r="A807" t="s">
        <v>3834</v>
      </c>
      <c r="B807" t="s">
        <v>1519</v>
      </c>
      <c r="C807" t="s">
        <v>1518</v>
      </c>
      <c r="D807" t="s">
        <v>1074</v>
      </c>
      <c r="F807" t="str" cm="1">
        <f t="array" aca="1" ref="F807" ca="1">eConcatenar(A807:D807,"|")</f>
        <v>localidadmigrada806|QWWIJ706P6XNYS|MECATEPEC|final</v>
      </c>
    </row>
    <row r="808" spans="1:6" x14ac:dyDescent="0.25">
      <c r="A808" t="s">
        <v>3835</v>
      </c>
      <c r="B808" t="s">
        <v>1517</v>
      </c>
      <c r="C808" t="s">
        <v>1516</v>
      </c>
      <c r="D808" t="s">
        <v>1074</v>
      </c>
      <c r="F808" t="str" cm="1">
        <f t="array" aca="1" ref="F808" ca="1">eConcatenar(A808:D808,"|")</f>
        <v>localidadmigrada807|QWWIJ7E2P6XNYS|MIGUEL ALEMAN|final</v>
      </c>
    </row>
    <row r="809" spans="1:6" x14ac:dyDescent="0.25">
      <c r="A809" t="s">
        <v>3836</v>
      </c>
      <c r="B809" t="s">
        <v>1515</v>
      </c>
      <c r="C809" t="s">
        <v>1514</v>
      </c>
      <c r="D809" t="s">
        <v>1074</v>
      </c>
      <c r="F809" t="str" cm="1">
        <f t="array" aca="1" ref="F809" ca="1">eConcatenar(A809:D809,"|")</f>
        <v>localidadmigrada808|QWWIJ7H4P6XNYS|MIGUEL ALEMAN VALDEZ|final</v>
      </c>
    </row>
    <row r="810" spans="1:6" x14ac:dyDescent="0.25">
      <c r="A810" t="s">
        <v>3837</v>
      </c>
      <c r="B810" t="s">
        <v>1513</v>
      </c>
      <c r="C810" t="s">
        <v>1512</v>
      </c>
      <c r="D810" t="s">
        <v>1074</v>
      </c>
      <c r="F810" t="str" cm="1">
        <f t="array" aca="1" ref="F810" ca="1">eConcatenar(A810:D810,"|")</f>
        <v>localidadmigrada809|QWWIJ7KQP6XNYS|MIGUEL HIDALGO Y COSTILLA|final</v>
      </c>
    </row>
    <row r="811" spans="1:6" x14ac:dyDescent="0.25">
      <c r="A811" t="s">
        <v>3838</v>
      </c>
      <c r="B811" t="s">
        <v>1511</v>
      </c>
      <c r="C811" t="s">
        <v>1510</v>
      </c>
      <c r="D811" t="s">
        <v>1074</v>
      </c>
      <c r="F811" t="str" cm="1">
        <f t="array" aca="1" ref="F811" ca="1">eConcatenar(A811:D811,"|")</f>
        <v>localidadmigrada810|QWWIJ7OMP6XNYS|MONTE DE ORO PRIMERA SECCION |final</v>
      </c>
    </row>
    <row r="812" spans="1:6" x14ac:dyDescent="0.25">
      <c r="A812" t="s">
        <v>3839</v>
      </c>
      <c r="B812" t="s">
        <v>1509</v>
      </c>
      <c r="C812" t="s">
        <v>1508</v>
      </c>
      <c r="D812" t="s">
        <v>1074</v>
      </c>
      <c r="F812" t="str" cm="1">
        <f t="array" aca="1" ref="F812" ca="1">eConcatenar(A812:D812,"|")</f>
        <v>localidadmigrada811|QWWIJ7ROP6XNYS|MONTE DE ORO SEGUNDA SECCION |final</v>
      </c>
    </row>
    <row r="813" spans="1:6" x14ac:dyDescent="0.25">
      <c r="A813" t="s">
        <v>3840</v>
      </c>
      <c r="B813" t="s">
        <v>1507</v>
      </c>
      <c r="C813" t="s">
        <v>1506</v>
      </c>
      <c r="D813" t="s">
        <v>1074</v>
      </c>
      <c r="F813" t="str" cm="1">
        <f t="array" aca="1" ref="F813" ca="1">eConcatenar(A813:D813,"|")</f>
        <v>localidadmigrada812|QWWIJ89QP6XNYS|MONTE DE ORO TERCERA SECCION|final</v>
      </c>
    </row>
    <row r="814" spans="1:6" x14ac:dyDescent="0.25">
      <c r="A814" t="s">
        <v>3841</v>
      </c>
      <c r="B814" t="s">
        <v>1505</v>
      </c>
      <c r="C814" t="s">
        <v>1504</v>
      </c>
      <c r="D814" t="s">
        <v>1074</v>
      </c>
      <c r="F814" t="str" cm="1">
        <f t="array" aca="1" ref="F814" ca="1">eConcatenar(A814:D814,"|")</f>
        <v>localidadmigrada813|QWWIJ8DMP6XNYS|NUEVA ESPERANZA |final</v>
      </c>
    </row>
    <row r="815" spans="1:6" x14ac:dyDescent="0.25">
      <c r="A815" t="s">
        <v>3842</v>
      </c>
      <c r="B815" t="s">
        <v>1503</v>
      </c>
      <c r="C815" t="s">
        <v>158</v>
      </c>
      <c r="D815" t="s">
        <v>1074</v>
      </c>
      <c r="F815" t="str" cm="1">
        <f t="array" aca="1" ref="F815" ca="1">eConcatenar(A815:D815,"|")</f>
        <v>localidadmigrada814|QWWIJ8G4P6XNYS|NUEVO PROGRESO|final</v>
      </c>
    </row>
    <row r="816" spans="1:6" x14ac:dyDescent="0.25">
      <c r="A816" t="s">
        <v>3843</v>
      </c>
      <c r="B816" t="s">
        <v>1502</v>
      </c>
      <c r="C816" t="s">
        <v>1501</v>
      </c>
      <c r="D816" t="s">
        <v>1074</v>
      </c>
      <c r="F816" t="str" cm="1">
        <f t="array" aca="1" ref="F816" ca="1">eConcatenar(A816:D816,"|")</f>
        <v>localidadmigrada815|QWWIJ8K0P6XNYS|OAXACA|final</v>
      </c>
    </row>
    <row r="817" spans="1:6" x14ac:dyDescent="0.25">
      <c r="A817" t="s">
        <v>3844</v>
      </c>
      <c r="B817" t="s">
        <v>1500</v>
      </c>
      <c r="C817" t="s">
        <v>1499</v>
      </c>
      <c r="D817" t="s">
        <v>1074</v>
      </c>
      <c r="F817" t="str" cm="1">
        <f t="array" aca="1" ref="F817" ca="1">eConcatenar(A817:D817,"|")</f>
        <v>localidadmigrada816|QWWIJ8XCP6XNYS|OCUAPAN |final</v>
      </c>
    </row>
    <row r="818" spans="1:6" x14ac:dyDescent="0.25">
      <c r="A818" t="s">
        <v>3845</v>
      </c>
      <c r="B818" t="s">
        <v>1498</v>
      </c>
      <c r="C818" t="s">
        <v>1497</v>
      </c>
      <c r="D818" t="s">
        <v>1074</v>
      </c>
      <c r="F818" t="str" cm="1">
        <f t="array" aca="1" ref="F818" ca="1">eConcatenar(A818:D818,"|")</f>
        <v>localidadmigrada817|QWWIJ99KP6XNYS|OGARRIO RANCHO DE LOS MANZANILLA|final</v>
      </c>
    </row>
    <row r="819" spans="1:6" x14ac:dyDescent="0.25">
      <c r="A819" t="s">
        <v>3846</v>
      </c>
      <c r="B819" t="s">
        <v>1496</v>
      </c>
      <c r="C819" t="s">
        <v>1495</v>
      </c>
      <c r="D819" t="s">
        <v>1074</v>
      </c>
      <c r="F819" t="str" cm="1">
        <f t="array" aca="1" ref="F819" ca="1">eConcatenar(A819:D819,"|")</f>
        <v>localidadmigrada818|QWWIJ9CCP6XNYS|OJO DE AGUA|final</v>
      </c>
    </row>
    <row r="820" spans="1:6" x14ac:dyDescent="0.25">
      <c r="A820" t="s">
        <v>3847</v>
      </c>
      <c r="B820" t="s">
        <v>1494</v>
      </c>
      <c r="C820" t="s">
        <v>1493</v>
      </c>
      <c r="D820" t="s">
        <v>1074</v>
      </c>
      <c r="F820" t="str" cm="1">
        <f t="array" aca="1" ref="F820" ca="1">eConcatenar(A820:D820,"|")</f>
        <v>localidadmigrada819|QWWIJ9TKP6XNYS|ORGANIZACION CAMPESINA |final</v>
      </c>
    </row>
    <row r="821" spans="1:6" x14ac:dyDescent="0.25">
      <c r="A821" t="s">
        <v>3848</v>
      </c>
      <c r="B821" t="s">
        <v>1492</v>
      </c>
      <c r="C821" t="s">
        <v>1491</v>
      </c>
      <c r="D821" t="s">
        <v>1074</v>
      </c>
      <c r="F821" t="str" cm="1">
        <f t="array" aca="1" ref="F821" ca="1">eConcatenar(A821:D821,"|")</f>
        <v>localidadmigrada820|QWWIJ9WWP6XNYS|OSTITAN PRIMERA SECCION |final</v>
      </c>
    </row>
    <row r="822" spans="1:6" x14ac:dyDescent="0.25">
      <c r="A822" t="s">
        <v>3849</v>
      </c>
      <c r="B822" t="s">
        <v>1490</v>
      </c>
      <c r="C822" t="s">
        <v>1489</v>
      </c>
      <c r="D822" t="s">
        <v>1074</v>
      </c>
      <c r="F822" t="str" cm="1">
        <f t="array" aca="1" ref="F822" ca="1">eConcatenar(A822:D822,"|")</f>
        <v>localidadmigrada821|QWWIJA26P6XNYS|OSTITAN SEGUNDA SECCION |final</v>
      </c>
    </row>
    <row r="823" spans="1:6" x14ac:dyDescent="0.25">
      <c r="A823" t="s">
        <v>3850</v>
      </c>
      <c r="B823" t="s">
        <v>1488</v>
      </c>
      <c r="C823" t="s">
        <v>1487</v>
      </c>
      <c r="D823" t="s">
        <v>1074</v>
      </c>
      <c r="F823" t="str" cm="1">
        <f t="array" aca="1" ref="F823" ca="1">eConcatenar(A823:D823,"|")</f>
        <v>localidadmigrada822|QWWIJAGWP6XNYS|OTRA BANDA PRIMERA SECCION |final</v>
      </c>
    </row>
    <row r="824" spans="1:6" x14ac:dyDescent="0.25">
      <c r="A824" t="s">
        <v>3851</v>
      </c>
      <c r="B824" t="s">
        <v>1486</v>
      </c>
      <c r="C824" t="s">
        <v>1485</v>
      </c>
      <c r="D824" t="s">
        <v>1074</v>
      </c>
      <c r="F824" t="str" cm="1">
        <f t="array" aca="1" ref="F824" ca="1">eConcatenar(A824:D824,"|")</f>
        <v>localidadmigrada823|QWWIJAJYP6XNYS|OTRA BANDA SEGUNDA SECCION |final</v>
      </c>
    </row>
    <row r="825" spans="1:6" x14ac:dyDescent="0.25">
      <c r="A825" t="s">
        <v>3852</v>
      </c>
      <c r="B825" t="s">
        <v>1484</v>
      </c>
      <c r="C825" t="s">
        <v>1483</v>
      </c>
      <c r="D825" t="s">
        <v>1074</v>
      </c>
      <c r="F825" t="str" cm="1">
        <f t="array" aca="1" ref="F825" ca="1">eConcatenar(A825:D825,"|")</f>
        <v>localidadmigrada824|QWWIJANKP6XNYS|OTRA BANDA TERCERA SECCION |final</v>
      </c>
    </row>
    <row r="826" spans="1:6" x14ac:dyDescent="0.25">
      <c r="A826" t="s">
        <v>3853</v>
      </c>
      <c r="B826" t="s">
        <v>1482</v>
      </c>
      <c r="C826" t="s">
        <v>1481</v>
      </c>
      <c r="D826" t="s">
        <v>1074</v>
      </c>
      <c r="F826" t="str" cm="1">
        <f t="array" aca="1" ref="F826" ca="1">eConcatenar(A826:D826,"|")</f>
        <v>localidadmigrada825|QWWIJAPSP6XNYS|PALO BLANCO|final</v>
      </c>
    </row>
    <row r="827" spans="1:6" x14ac:dyDescent="0.25">
      <c r="A827" t="s">
        <v>3854</v>
      </c>
      <c r="B827" t="s">
        <v>1480</v>
      </c>
      <c r="C827" t="s">
        <v>1479</v>
      </c>
      <c r="D827" t="s">
        <v>1074</v>
      </c>
      <c r="F827" t="str" cm="1">
        <f t="array" aca="1" ref="F827" ca="1">eConcatenar(A827:D827,"|")</f>
        <v>localidadmigrada826|QWWIJASKP6XNYS|PALO MULATO ZAPOTAL |final</v>
      </c>
    </row>
    <row r="828" spans="1:6" x14ac:dyDescent="0.25">
      <c r="A828" t="s">
        <v>3855</v>
      </c>
      <c r="B828" t="s">
        <v>1478</v>
      </c>
      <c r="C828" t="s">
        <v>1477</v>
      </c>
      <c r="D828" t="s">
        <v>1074</v>
      </c>
      <c r="F828" t="str" cm="1">
        <f t="array" aca="1" ref="F828" ca="1">eConcatenar(A828:D828,"|")</f>
        <v>localidadmigrada827|QWWIJAVMP6XNYS|PALO MULATO VIEJO|final</v>
      </c>
    </row>
    <row r="829" spans="1:6" x14ac:dyDescent="0.25">
      <c r="A829" t="s">
        <v>3856</v>
      </c>
      <c r="B829" t="s">
        <v>1476</v>
      </c>
      <c r="C829" t="s">
        <v>1475</v>
      </c>
      <c r="D829" t="s">
        <v>1074</v>
      </c>
      <c r="F829" t="str" cm="1">
        <f t="array" aca="1" ref="F829" ca="1">eConcatenar(A829:D829,"|")</f>
        <v>localidadmigrada828|QWWIJBACP6XNYS|PANGA NUEVA LA CENTRAL|final</v>
      </c>
    </row>
    <row r="830" spans="1:6" x14ac:dyDescent="0.25">
      <c r="A830" t="s">
        <v>3857</v>
      </c>
      <c r="B830" t="s">
        <v>1474</v>
      </c>
      <c r="C830" t="s">
        <v>1473</v>
      </c>
      <c r="D830" t="s">
        <v>1074</v>
      </c>
      <c r="F830" t="str" cm="1">
        <f t="array" aca="1" ref="F830" ca="1">eConcatenar(A830:D830,"|")</f>
        <v>localidadmigrada829|QWWIJBG6P6XNYS|PAREDON PRIMERA SECCION |final</v>
      </c>
    </row>
    <row r="831" spans="1:6" x14ac:dyDescent="0.25">
      <c r="A831" t="s">
        <v>3858</v>
      </c>
      <c r="B831" t="s">
        <v>1472</v>
      </c>
      <c r="C831" t="s">
        <v>1471</v>
      </c>
      <c r="D831" t="s">
        <v>1074</v>
      </c>
      <c r="F831" t="str" cm="1">
        <f t="array" aca="1" ref="F831" ca="1">eConcatenar(A831:D831,"|")</f>
        <v>localidadmigrada830|QWWIJBKWP6XNYS|PAREDON PRIMERA SECCION EL PORVENIR |final</v>
      </c>
    </row>
    <row r="832" spans="1:6" x14ac:dyDescent="0.25">
      <c r="A832" t="s">
        <v>3859</v>
      </c>
      <c r="B832" t="s">
        <v>1470</v>
      </c>
      <c r="C832" t="s">
        <v>1469</v>
      </c>
      <c r="D832" t="s">
        <v>1074</v>
      </c>
      <c r="F832" t="str" cm="1">
        <f t="array" aca="1" ref="F832" ca="1">eConcatenar(A832:D832,"|")</f>
        <v>localidadmigrada831|QWWIJBP2P6XNYS|PAREDON PRIMERA SECCION LA ISLA |final</v>
      </c>
    </row>
    <row r="833" spans="1:6" x14ac:dyDescent="0.25">
      <c r="A833" t="s">
        <v>3860</v>
      </c>
      <c r="B833" t="s">
        <v>1468</v>
      </c>
      <c r="C833" t="s">
        <v>1467</v>
      </c>
      <c r="D833" t="s">
        <v>1074</v>
      </c>
      <c r="F833" t="str" cm="1">
        <f t="array" aca="1" ref="F833" ca="1">eConcatenar(A833:D833,"|")</f>
        <v>localidadmigrada832|QWWIJC38P6XNYS|PAREDON SEGUNDA SECCION |final</v>
      </c>
    </row>
    <row r="834" spans="1:6" x14ac:dyDescent="0.25">
      <c r="A834" t="s">
        <v>3861</v>
      </c>
      <c r="B834" t="s">
        <v>1466</v>
      </c>
      <c r="C834" t="s">
        <v>1465</v>
      </c>
      <c r="D834" t="s">
        <v>1074</v>
      </c>
      <c r="F834" t="str" cm="1">
        <f t="array" aca="1" ref="F834" ca="1">eConcatenar(A834:D834,"|")</f>
        <v>localidadmigrada833|QWWIJC7OP6XNYS|PAREDON SEGUNDA SECCION ALVARO OBREGON |final</v>
      </c>
    </row>
    <row r="835" spans="1:6" x14ac:dyDescent="0.25">
      <c r="A835" t="s">
        <v>3862</v>
      </c>
      <c r="B835" t="s">
        <v>1464</v>
      </c>
      <c r="C835" t="s">
        <v>1463</v>
      </c>
      <c r="D835" t="s">
        <v>1074</v>
      </c>
      <c r="F835" t="str" cm="1">
        <f t="array" aca="1" ref="F835" ca="1">eConcatenar(A835:D835,"|")</f>
        <v>localidadmigrada834|QWWIJCTMP6XNYS|PAREDON TERCERA SECCION |final</v>
      </c>
    </row>
    <row r="836" spans="1:6" x14ac:dyDescent="0.25">
      <c r="A836" t="s">
        <v>3863</v>
      </c>
      <c r="B836" t="s">
        <v>1462</v>
      </c>
      <c r="C836" t="s">
        <v>1461</v>
      </c>
      <c r="D836" t="s">
        <v>1074</v>
      </c>
      <c r="F836" t="str" cm="1">
        <f t="array" aca="1" ref="F836" ca="1">eConcatenar(A836:D836,"|")</f>
        <v>localidadmigrada835|QWWIJCWYP6XNYS|PASO DE LA MINA PRIMERA SECCION |final</v>
      </c>
    </row>
    <row r="837" spans="1:6" x14ac:dyDescent="0.25">
      <c r="A837" t="s">
        <v>3864</v>
      </c>
      <c r="B837" t="s">
        <v>1460</v>
      </c>
      <c r="C837" t="s">
        <v>1459</v>
      </c>
      <c r="D837" t="s">
        <v>1074</v>
      </c>
      <c r="F837" t="str" cm="1">
        <f t="array" aca="1" ref="F837" ca="1">eConcatenar(A837:D837,"|")</f>
        <v>localidadmigrada836|QWWIJCZGP6XNYS|PASO DE LA MINA SEGUNDA SECCION |final</v>
      </c>
    </row>
    <row r="838" spans="1:6" x14ac:dyDescent="0.25">
      <c r="A838" t="s">
        <v>3865</v>
      </c>
      <c r="B838" t="s">
        <v>1458</v>
      </c>
      <c r="C838" t="s">
        <v>1457</v>
      </c>
      <c r="D838" t="s">
        <v>1074</v>
      </c>
      <c r="F838" t="str" cm="1">
        <f t="array" aca="1" ref="F838" ca="1">eConcatenar(A838:D838,"|")</f>
        <v>localidadmigrada837|QWWIJD32P6XNYS|PASO DE LA MINA TERCERA SECCION BARRIAL|final</v>
      </c>
    </row>
    <row r="839" spans="1:6" x14ac:dyDescent="0.25">
      <c r="A839" t="s">
        <v>3866</v>
      </c>
      <c r="B839" t="s">
        <v>1456</v>
      </c>
      <c r="C839" t="s">
        <v>1455</v>
      </c>
      <c r="D839" t="s">
        <v>1074</v>
      </c>
      <c r="F839" t="str" cm="1">
        <f t="array" aca="1" ref="F839" ca="1">eConcatenar(A839:D839,"|")</f>
        <v>localidadmigrada838|QWWIJDKUP6XNYS|PASO DEL ROSARIO|final</v>
      </c>
    </row>
    <row r="840" spans="1:6" x14ac:dyDescent="0.25">
      <c r="A840" t="s">
        <v>3867</v>
      </c>
      <c r="B840" t="s">
        <v>1454</v>
      </c>
      <c r="C840" t="s">
        <v>1453</v>
      </c>
      <c r="D840" t="s">
        <v>1074</v>
      </c>
      <c r="F840" t="str" cm="1">
        <f t="array" aca="1" ref="F840" ca="1">eConcatenar(A840:D840,"|")</f>
        <v>localidadmigrada839|QWWIJDTGP6XNYS|PEDREGAL MOCTEZUMA PRIMERA SECCION |final</v>
      </c>
    </row>
    <row r="841" spans="1:6" x14ac:dyDescent="0.25">
      <c r="A841" t="s">
        <v>3868</v>
      </c>
      <c r="B841" t="s">
        <v>1452</v>
      </c>
      <c r="C841" t="s">
        <v>1451</v>
      </c>
      <c r="D841" t="s">
        <v>1074</v>
      </c>
      <c r="F841" t="str" cm="1">
        <f t="array" aca="1" ref="F841" ca="1">eConcatenar(A841:D841,"|")</f>
        <v>localidadmigrada840|QWWIJE04P6XNYS|PEDREGAL MOCTEZUMA SEGUNDA SECCION |final</v>
      </c>
    </row>
    <row r="842" spans="1:6" x14ac:dyDescent="0.25">
      <c r="A842" t="s">
        <v>3869</v>
      </c>
      <c r="B842" t="s">
        <v>1450</v>
      </c>
      <c r="C842" t="s">
        <v>1449</v>
      </c>
      <c r="D842" t="s">
        <v>1074</v>
      </c>
      <c r="F842" t="str" cm="1">
        <f t="array" aca="1" ref="F842" ca="1">eConcatenar(A842:D842,"|")</f>
        <v>localidadmigrada841|QWWIJEJUP6XNYS|PEDREGAL MOCTEZUMA SEGUNDA SECCION LEYVA|final</v>
      </c>
    </row>
    <row r="843" spans="1:6" x14ac:dyDescent="0.25">
      <c r="A843" t="s">
        <v>3870</v>
      </c>
      <c r="B843" t="s">
        <v>1448</v>
      </c>
      <c r="C843" t="s">
        <v>1447</v>
      </c>
      <c r="D843" t="s">
        <v>1074</v>
      </c>
      <c r="F843" t="str" cm="1">
        <f t="array" aca="1" ref="F843" ca="1">eConcatenar(A843:D843,"|")</f>
        <v>localidadmigrada842|QWWIJEO0P6XNYS|PEDREGALITO PRIMERA SECCION |final</v>
      </c>
    </row>
    <row r="844" spans="1:6" x14ac:dyDescent="0.25">
      <c r="A844" t="s">
        <v>3871</v>
      </c>
      <c r="B844" t="s">
        <v>1446</v>
      </c>
      <c r="C844" t="s">
        <v>1445</v>
      </c>
      <c r="D844" t="s">
        <v>1074</v>
      </c>
      <c r="F844" t="str" cm="1">
        <f t="array" aca="1" ref="F844" ca="1">eConcatenar(A844:D844,"|")</f>
        <v>localidadmigrada843|QWWIJFA8P6XNYS|PEDREGALITO PRIMERA SECCION VICENTE GUERRERO|final</v>
      </c>
    </row>
    <row r="845" spans="1:6" x14ac:dyDescent="0.25">
      <c r="A845" t="s">
        <v>3872</v>
      </c>
      <c r="B845" t="s">
        <v>1444</v>
      </c>
      <c r="C845" t="s">
        <v>1443</v>
      </c>
      <c r="D845" t="s">
        <v>1074</v>
      </c>
      <c r="F845" t="str" cm="1">
        <f t="array" aca="1" ref="F845" ca="1">eConcatenar(A845:D845,"|")</f>
        <v>localidadmigrada844|QWWIJFCGP6XNYS|PEDRO COLORADO|final</v>
      </c>
    </row>
    <row r="846" spans="1:6" x14ac:dyDescent="0.25">
      <c r="A846" t="s">
        <v>3873</v>
      </c>
      <c r="B846" t="s">
        <v>1442</v>
      </c>
      <c r="C846" t="s">
        <v>1441</v>
      </c>
      <c r="D846" t="s">
        <v>1074</v>
      </c>
      <c r="F846" t="str" cm="1">
        <f t="array" aca="1" ref="F846" ca="1">eConcatenar(A846:D846,"|")</f>
        <v>localidadmigrada845|QWWIJFG2P6XNYS|PEDRO COLORADO PRIMERA SECCION |final</v>
      </c>
    </row>
    <row r="847" spans="1:6" x14ac:dyDescent="0.25">
      <c r="A847" t="s">
        <v>3874</v>
      </c>
      <c r="B847" t="s">
        <v>1440</v>
      </c>
      <c r="C847" t="s">
        <v>1439</v>
      </c>
      <c r="D847" t="s">
        <v>1074</v>
      </c>
      <c r="F847" t="str" cm="1">
        <f t="array" aca="1" ref="F847" ca="1">eConcatenar(A847:D847,"|")</f>
        <v>localidadmigrada846|QWWIJFVCP6XNYS|PEDRO COLORADO TERCERA SECCION |final</v>
      </c>
    </row>
    <row r="848" spans="1:6" x14ac:dyDescent="0.25">
      <c r="A848" t="s">
        <v>3875</v>
      </c>
      <c r="B848" t="s">
        <v>1438</v>
      </c>
      <c r="C848" t="s">
        <v>1437</v>
      </c>
      <c r="D848" t="s">
        <v>1074</v>
      </c>
      <c r="F848" t="str" cm="1">
        <f t="array" aca="1" ref="F848" ca="1">eConcatenar(A848:D848,"|")</f>
        <v>localidadmigrada847|QWWIJFZIP6XNYS|PEDRO SANCHEZ MAGALLANEZ |final</v>
      </c>
    </row>
    <row r="849" spans="1:6" x14ac:dyDescent="0.25">
      <c r="A849" t="s">
        <v>3876</v>
      </c>
      <c r="B849" t="s">
        <v>1436</v>
      </c>
      <c r="C849" t="s">
        <v>1435</v>
      </c>
      <c r="D849" t="s">
        <v>1074</v>
      </c>
      <c r="F849" t="str" cm="1">
        <f t="array" aca="1" ref="F849" ca="1">eConcatenar(A849:D849,"|")</f>
        <v>localidadmigrada848|QWWIJG5WP6XNYS|PEJELAGARTERO PRIMERA SECCION CHICHONAL |final</v>
      </c>
    </row>
    <row r="850" spans="1:6" x14ac:dyDescent="0.25">
      <c r="A850" t="s">
        <v>3877</v>
      </c>
      <c r="B850" t="s">
        <v>1434</v>
      </c>
      <c r="C850" t="s">
        <v>1433</v>
      </c>
      <c r="D850" t="s">
        <v>1074</v>
      </c>
      <c r="F850" t="str" cm="1">
        <f t="array" aca="1" ref="F850" ca="1">eConcatenar(A850:D850,"|")</f>
        <v>localidadmigrada849|QWWIKBLKP6XNYS|PEJELAGARTERO PRIMERA SECCION EL ARROYITO|final</v>
      </c>
    </row>
    <row r="851" spans="1:6" x14ac:dyDescent="0.25">
      <c r="A851" t="s">
        <v>3878</v>
      </c>
      <c r="B851" t="s">
        <v>1432</v>
      </c>
      <c r="C851" t="s">
        <v>1431</v>
      </c>
      <c r="D851" t="s">
        <v>1074</v>
      </c>
      <c r="F851" t="str" cm="1">
        <f t="array" aca="1" ref="F851" ca="1">eConcatenar(A851:D851,"|")</f>
        <v>localidadmigrada850|QWWIKBPQP6XNYS|PEJELAGARTERO PRIMERA SECCION EL FILERO|final</v>
      </c>
    </row>
    <row r="852" spans="1:6" x14ac:dyDescent="0.25">
      <c r="A852" t="s">
        <v>3879</v>
      </c>
      <c r="B852" t="s">
        <v>1430</v>
      </c>
      <c r="C852" t="s">
        <v>1429</v>
      </c>
      <c r="D852" t="s">
        <v>1074</v>
      </c>
      <c r="F852" t="str" cm="1">
        <f t="array" aca="1" ref="F852" ca="1">eConcatenar(A852:D852,"|")</f>
        <v>localidadmigrada851|QWWIKBTMP6XNYS|PEJELAGARTERO PRIMERA SECCION GUADALUPE VICTORIA|final</v>
      </c>
    </row>
    <row r="853" spans="1:6" x14ac:dyDescent="0.25">
      <c r="A853" t="s">
        <v>3880</v>
      </c>
      <c r="B853" t="s">
        <v>1428</v>
      </c>
      <c r="C853" t="s">
        <v>1427</v>
      </c>
      <c r="D853" t="s">
        <v>1074</v>
      </c>
      <c r="F853" t="str" cm="1">
        <f t="array" aca="1" ref="F853" ca="1">eConcatenar(A853:D853,"|")</f>
        <v>localidadmigrada852|QWWIKBWYP6XNYS|PEJELAGARTERO PRIMERA SECCION  LOS PINOS|final</v>
      </c>
    </row>
    <row r="854" spans="1:6" x14ac:dyDescent="0.25">
      <c r="A854" t="s">
        <v>3881</v>
      </c>
      <c r="B854" t="s">
        <v>1426</v>
      </c>
      <c r="C854" t="s">
        <v>1425</v>
      </c>
      <c r="D854" t="s">
        <v>1074</v>
      </c>
      <c r="F854" t="str" cm="1">
        <f t="array" aca="1" ref="F854" ca="1">eConcatenar(A854:D854,"|")</f>
        <v>localidadmigrada853|QWWIKCBYP6XNYS|PEJELAGARTERO PRIMERA SECCION NUEVO PROGRESO|final</v>
      </c>
    </row>
    <row r="855" spans="1:6" x14ac:dyDescent="0.25">
      <c r="A855" t="s">
        <v>3882</v>
      </c>
      <c r="B855" t="s">
        <v>1424</v>
      </c>
      <c r="C855" t="s">
        <v>1423</v>
      </c>
      <c r="D855" t="s">
        <v>1074</v>
      </c>
      <c r="F855" t="str" cm="1">
        <f t="array" aca="1" ref="F855" ca="1">eConcatenar(A855:D855,"|")</f>
        <v>localidadmigrada854|QWWIKCGOP6XNYS|PEJELAGARTERO PRIMERA SECCION PLATAFORMA|final</v>
      </c>
    </row>
    <row r="856" spans="1:6" x14ac:dyDescent="0.25">
      <c r="A856" t="s">
        <v>3883</v>
      </c>
      <c r="B856" t="s">
        <v>1422</v>
      </c>
      <c r="C856" t="s">
        <v>1421</v>
      </c>
      <c r="D856" t="s">
        <v>1074</v>
      </c>
      <c r="F856" t="str" cm="1">
        <f t="array" aca="1" ref="F856" ca="1">eConcatenar(A856:D856,"|")</f>
        <v>localidadmigrada855|QWWIKCN2P6XNYS|PEJELAGARTERO SEGUNDA SECCION|final</v>
      </c>
    </row>
    <row r="857" spans="1:6" x14ac:dyDescent="0.25">
      <c r="A857" t="s">
        <v>3884</v>
      </c>
      <c r="B857" t="s">
        <v>1420</v>
      </c>
      <c r="C857" t="s">
        <v>1419</v>
      </c>
      <c r="D857" t="s">
        <v>1074</v>
      </c>
      <c r="F857" t="str" cm="1">
        <f t="array" aca="1" ref="F857" ca="1">eConcatenar(A857:D857,"|")</f>
        <v>localidadmigrada856|QWWIKD2CP6XNYS|PEJELAGARTERO SEGUNDA SECCION JAHUACTE|final</v>
      </c>
    </row>
    <row r="858" spans="1:6" x14ac:dyDescent="0.25">
      <c r="A858" t="s">
        <v>3885</v>
      </c>
      <c r="B858" t="s">
        <v>1418</v>
      </c>
      <c r="C858" t="s">
        <v>1417</v>
      </c>
      <c r="D858" t="s">
        <v>1074</v>
      </c>
      <c r="F858" t="str" cm="1">
        <f t="array" aca="1" ref="F858" ca="1">eConcatenar(A858:D858,"|")</f>
        <v>localidadmigrada857|QWWIKD5YP6XNYS|PEJELAGARTERO SEGUNDA SECCION NUEVA REFORMA|final</v>
      </c>
    </row>
    <row r="859" spans="1:6" x14ac:dyDescent="0.25">
      <c r="A859" t="s">
        <v>3886</v>
      </c>
      <c r="B859" t="s">
        <v>1416</v>
      </c>
      <c r="C859" t="s">
        <v>1415</v>
      </c>
      <c r="D859" t="s">
        <v>1074</v>
      </c>
      <c r="F859" t="str" cm="1">
        <f t="array" aca="1" ref="F859" ca="1">eConcatenar(A859:D859,"|")</f>
        <v>localidadmigrada858|QWWIKDAEP6XNYS|PICO DE ORO PRIMERA SECCION |final</v>
      </c>
    </row>
    <row r="860" spans="1:6" x14ac:dyDescent="0.25">
      <c r="A860" t="s">
        <v>3887</v>
      </c>
      <c r="B860" t="s">
        <v>1414</v>
      </c>
      <c r="C860" t="s">
        <v>1413</v>
      </c>
      <c r="D860" t="s">
        <v>1074</v>
      </c>
      <c r="F860" t="str" cm="1">
        <f t="array" aca="1" ref="F860" ca="1">eConcatenar(A860:D860,"|")</f>
        <v>localidadmigrada859|QWWIKDCWP6XNYS|PICO DE ORO TERCERA SECCION |final</v>
      </c>
    </row>
    <row r="861" spans="1:6" x14ac:dyDescent="0.25">
      <c r="A861" t="s">
        <v>3888</v>
      </c>
      <c r="B861" t="s">
        <v>1412</v>
      </c>
      <c r="C861" t="s">
        <v>1411</v>
      </c>
      <c r="D861" t="s">
        <v>1074</v>
      </c>
      <c r="F861" t="str" cm="1">
        <f t="array" aca="1" ref="F861" ca="1">eConcatenar(A861:D861,"|")</f>
        <v>localidadmigrada860|QWWIKDVIP6XNYS|PICO DE ORO CUARTA SECCION PEJELAGARTERITO|final</v>
      </c>
    </row>
    <row r="862" spans="1:6" x14ac:dyDescent="0.25">
      <c r="A862" t="s">
        <v>3889</v>
      </c>
      <c r="B862" t="s">
        <v>1410</v>
      </c>
      <c r="C862" t="s">
        <v>1409</v>
      </c>
      <c r="D862" t="s">
        <v>1074</v>
      </c>
      <c r="F862" t="str" cm="1">
        <f t="array" aca="1" ref="F862" ca="1">eConcatenar(A862:D862,"|")</f>
        <v>localidadmigrada861|QWWIKEZSP6XNYS|POBLADO C-31|final</v>
      </c>
    </row>
    <row r="863" spans="1:6" x14ac:dyDescent="0.25">
      <c r="A863" t="s">
        <v>3890</v>
      </c>
      <c r="B863" t="s">
        <v>1408</v>
      </c>
      <c r="C863" t="s">
        <v>1407</v>
      </c>
      <c r="D863" t="s">
        <v>1074</v>
      </c>
      <c r="F863" t="str" cm="1">
        <f t="array" aca="1" ref="F863" ca="1">eConcatenar(A863:D863,"|")</f>
        <v>localidadmigrada862|QWWIKFE8P6XNYS|POBLADO C-34|final</v>
      </c>
    </row>
    <row r="864" spans="1:6" x14ac:dyDescent="0.25">
      <c r="A864" t="s">
        <v>3891</v>
      </c>
      <c r="B864" t="s">
        <v>1406</v>
      </c>
      <c r="C864" t="s">
        <v>1405</v>
      </c>
      <c r="D864" t="s">
        <v>1074</v>
      </c>
      <c r="F864" t="str" cm="1">
        <f t="array" aca="1" ref="F864" ca="1">eConcatenar(A864:D864,"|")</f>
        <v>localidadmigrada863|QWWIKFH0P6XNYS|POBLADO C-41|final</v>
      </c>
    </row>
    <row r="865" spans="1:6" x14ac:dyDescent="0.25">
      <c r="A865" t="s">
        <v>3892</v>
      </c>
      <c r="B865" t="s">
        <v>1404</v>
      </c>
      <c r="C865" t="s">
        <v>1403</v>
      </c>
      <c r="D865" t="s">
        <v>1074</v>
      </c>
      <c r="F865" t="str" cm="1">
        <f t="array" aca="1" ref="F865" ca="1">eConcatenar(A865:D865,"|")</f>
        <v>localidadmigrada864|QWWIKFQ6P6XNYS|POR LA MORAL DE UN PRECIDENTE|final</v>
      </c>
    </row>
    <row r="866" spans="1:6" x14ac:dyDescent="0.25">
      <c r="A866" t="s">
        <v>3893</v>
      </c>
      <c r="B866" t="s">
        <v>1402</v>
      </c>
      <c r="C866" t="s">
        <v>1401</v>
      </c>
      <c r="D866" t="s">
        <v>1074</v>
      </c>
      <c r="F866" t="str" cm="1">
        <f t="array" aca="1" ref="F866" ca="1">eConcatenar(A866:D866,"|")</f>
        <v>localidadmigrada865|QWWIKG9CP6XNYS|RAFAEL MARTINEZ DE ESCOBAR|final</v>
      </c>
    </row>
    <row r="867" spans="1:6" x14ac:dyDescent="0.25">
      <c r="A867" t="s">
        <v>3894</v>
      </c>
      <c r="B867" t="s">
        <v>1400</v>
      </c>
      <c r="C867" t="s">
        <v>141</v>
      </c>
      <c r="D867" t="s">
        <v>1074</v>
      </c>
      <c r="F867" t="str" cm="1">
        <f t="array" aca="1" ref="F867" ca="1">eConcatenar(A867:D867,"|")</f>
        <v>localidadmigrada866|QWWIKGB0P6XNYS|RAMIREZ|final</v>
      </c>
    </row>
    <row r="868" spans="1:6" x14ac:dyDescent="0.25">
      <c r="A868" t="s">
        <v>3895</v>
      </c>
      <c r="B868" t="s">
        <v>1399</v>
      </c>
      <c r="C868" t="s">
        <v>1398</v>
      </c>
      <c r="D868" t="s">
        <v>1074</v>
      </c>
      <c r="F868" t="str" cm="1">
        <f t="array" aca="1" ref="F868" ca="1">eConcatenar(A868:D868,"|")</f>
        <v>localidadmigrada867|QWWIKGDIP6XNYS|RANCHO ALEGRE |final</v>
      </c>
    </row>
    <row r="869" spans="1:6" x14ac:dyDescent="0.25">
      <c r="A869" t="s">
        <v>3896</v>
      </c>
      <c r="B869" t="s">
        <v>1397</v>
      </c>
      <c r="C869" t="s">
        <v>1396</v>
      </c>
      <c r="D869" t="s">
        <v>1074</v>
      </c>
      <c r="F869" t="str" cm="1">
        <f t="array" aca="1" ref="F869" ca="1">eConcatenar(A869:D869,"|")</f>
        <v>localidadmigrada868|QWWIKGFQP6XNYS|RANCHO NUEVO|final</v>
      </c>
    </row>
    <row r="870" spans="1:6" x14ac:dyDescent="0.25">
      <c r="A870" t="s">
        <v>3897</v>
      </c>
      <c r="B870" t="s">
        <v>1395</v>
      </c>
      <c r="C870" t="s">
        <v>1394</v>
      </c>
      <c r="D870" t="s">
        <v>1074</v>
      </c>
      <c r="F870" t="str" cm="1">
        <f t="array" aca="1" ref="F870" ca="1">eConcatenar(A870:D870,"|")</f>
        <v>localidadmigrada869|QWWIKGI8P6XNYS|RIO PEDREGAL|final</v>
      </c>
    </row>
    <row r="871" spans="1:6" x14ac:dyDescent="0.25">
      <c r="A871" t="s">
        <v>3898</v>
      </c>
      <c r="B871" t="s">
        <v>1393</v>
      </c>
      <c r="C871" t="s">
        <v>1392</v>
      </c>
      <c r="D871" t="s">
        <v>1074</v>
      </c>
      <c r="F871" t="str" cm="1">
        <f t="array" aca="1" ref="F871" ca="1">eConcatenar(A871:D871,"|")</f>
        <v>localidadmigrada870|QWWIKH0AP6XNYS|RIO PEDREGAL SEGUNDA SECCION GUADALUPE VICTORIA |final</v>
      </c>
    </row>
    <row r="872" spans="1:6" x14ac:dyDescent="0.25">
      <c r="A872" t="s">
        <v>3899</v>
      </c>
      <c r="B872" t="s">
        <v>1391</v>
      </c>
      <c r="C872" t="s">
        <v>1390</v>
      </c>
      <c r="D872" t="s">
        <v>1074</v>
      </c>
      <c r="F872" t="str" cm="1">
        <f t="array" aca="1" ref="F872" ca="1">eConcatenar(A872:D872,"|")</f>
        <v>localidadmigrada871|QWWIKH6OP6XNYS|RIO SECO Y MONTAÑA PRIMERA SECCION |final</v>
      </c>
    </row>
    <row r="873" spans="1:6" x14ac:dyDescent="0.25">
      <c r="A873" t="s">
        <v>3900</v>
      </c>
      <c r="B873" t="s">
        <v>1389</v>
      </c>
      <c r="C873" t="s">
        <v>1388</v>
      </c>
      <c r="D873" t="s">
        <v>1074</v>
      </c>
      <c r="F873" t="str" cm="1">
        <f t="array" aca="1" ref="F873" ca="1">eConcatenar(A873:D873,"|")</f>
        <v>localidadmigrada872|QWWIKHB4P6XNYS|RIO SECO Y MONTAÑA SEGUNDA SECCION |final</v>
      </c>
    </row>
    <row r="874" spans="1:6" x14ac:dyDescent="0.25">
      <c r="A874" t="s">
        <v>3901</v>
      </c>
      <c r="B874" t="s">
        <v>1387</v>
      </c>
      <c r="C874" t="s">
        <v>1386</v>
      </c>
      <c r="D874" t="s">
        <v>1074</v>
      </c>
      <c r="F874" t="str" cm="1">
        <f t="array" aca="1" ref="F874" ca="1">eConcatenar(A874:D874,"|")</f>
        <v>localidadmigrada873|QWWIKHV4P6XNYS|RIO SECO Y MONTAÑA TERCERA SECCION AMPLIACION |final</v>
      </c>
    </row>
    <row r="875" spans="1:6" x14ac:dyDescent="0.25">
      <c r="A875" t="s">
        <v>3902</v>
      </c>
      <c r="B875" t="s">
        <v>1385</v>
      </c>
      <c r="C875" t="s">
        <v>1384</v>
      </c>
      <c r="D875" t="s">
        <v>1074</v>
      </c>
      <c r="F875" t="str" cm="1">
        <f t="array" aca="1" ref="F875" ca="1">eConcatenar(A875:D875,"|")</f>
        <v>localidadmigrada874|QWWIKHY6P6XNYS|RIO SECO Y MONTAÑA TERCERA SECCION CHINAL|final</v>
      </c>
    </row>
    <row r="876" spans="1:6" x14ac:dyDescent="0.25">
      <c r="A876" t="s">
        <v>3903</v>
      </c>
      <c r="B876" t="s">
        <v>1383</v>
      </c>
      <c r="C876" t="s">
        <v>1382</v>
      </c>
      <c r="D876" t="s">
        <v>1074</v>
      </c>
      <c r="F876" t="str" cm="1">
        <f t="array" aca="1" ref="F876" ca="1">eConcatenar(A876:D876,"|")</f>
        <v>localidadmigrada875|QWWIKI1SP6XNYS|ROBERTO MADRAZO PINTADO|final</v>
      </c>
    </row>
    <row r="877" spans="1:6" x14ac:dyDescent="0.25">
      <c r="A877" t="s">
        <v>3904</v>
      </c>
      <c r="B877" t="s">
        <v>1381</v>
      </c>
      <c r="C877" t="s">
        <v>1380</v>
      </c>
      <c r="D877" t="s">
        <v>1074</v>
      </c>
      <c r="F877" t="str" cm="1">
        <f t="array" aca="1" ref="F877" ca="1">eConcatenar(A877:D877,"|")</f>
        <v>localidadmigrada876|QWWIKIHCP6XNYS|SALVADOR NEME CASTILLO|final</v>
      </c>
    </row>
    <row r="878" spans="1:6" x14ac:dyDescent="0.25">
      <c r="A878" t="s">
        <v>3905</v>
      </c>
      <c r="B878" t="s">
        <v>1379</v>
      </c>
      <c r="C878" t="s">
        <v>1378</v>
      </c>
      <c r="D878" t="s">
        <v>1074</v>
      </c>
      <c r="F878" t="str" cm="1">
        <f t="array" aca="1" ref="F878" ca="1">eConcatenar(A878:D878,"|")</f>
        <v>localidadmigrada877|QWWIKIIGP6XNYS|SAMARIA|final</v>
      </c>
    </row>
    <row r="879" spans="1:6" x14ac:dyDescent="0.25">
      <c r="A879" t="s">
        <v>3906</v>
      </c>
      <c r="B879" t="s">
        <v>1377</v>
      </c>
      <c r="C879" t="s">
        <v>1376</v>
      </c>
      <c r="D879" t="s">
        <v>1074</v>
      </c>
      <c r="F879" t="str" cm="1">
        <f t="array" aca="1" ref="F879" ca="1">eConcatenar(A879:D879,"|")</f>
        <v>localidadmigrada878|QWWIKIL8P6XNYS|SAN ALFREDO|final</v>
      </c>
    </row>
    <row r="880" spans="1:6" x14ac:dyDescent="0.25">
      <c r="A880" t="s">
        <v>3907</v>
      </c>
      <c r="B880" t="s">
        <v>1375</v>
      </c>
      <c r="C880" t="s">
        <v>1141</v>
      </c>
      <c r="D880" t="s">
        <v>1074</v>
      </c>
      <c r="F880" t="str" cm="1">
        <f t="array" aca="1" ref="F880" ca="1">eConcatenar(A880:D880,"|")</f>
        <v>localidadmigrada879|QWWIKIN6P6XNYS|SAN ANTONIO|final</v>
      </c>
    </row>
    <row r="881" spans="1:6" x14ac:dyDescent="0.25">
      <c r="A881" t="s">
        <v>3908</v>
      </c>
      <c r="B881" t="s">
        <v>1374</v>
      </c>
      <c r="C881" t="s">
        <v>1373</v>
      </c>
      <c r="D881" t="s">
        <v>1074</v>
      </c>
      <c r="F881" t="str" cm="1">
        <f t="array" aca="1" ref="F881" ca="1">eConcatenar(A881:D881,"|")</f>
        <v>localidadmigrada880|QWWIKIPYP6XNYS|SAN CARLOS LA MOSCA |final</v>
      </c>
    </row>
    <row r="882" spans="1:6" x14ac:dyDescent="0.25">
      <c r="A882" t="s">
        <v>3909</v>
      </c>
      <c r="B882" t="s">
        <v>1372</v>
      </c>
      <c r="C882" t="s">
        <v>1371</v>
      </c>
      <c r="D882" t="s">
        <v>1074</v>
      </c>
      <c r="F882" t="str" cm="1">
        <f t="array" aca="1" ref="F882" ca="1">eConcatenar(A882:D882,"|")</f>
        <v>localidadmigrada881|QWWIKITUP6XNYS|SAN FERNANDO|final</v>
      </c>
    </row>
    <row r="883" spans="1:6" x14ac:dyDescent="0.25">
      <c r="A883" t="s">
        <v>3910</v>
      </c>
      <c r="B883" t="s">
        <v>1370</v>
      </c>
      <c r="C883" t="s">
        <v>887</v>
      </c>
      <c r="D883" t="s">
        <v>1074</v>
      </c>
      <c r="F883" t="str" cm="1">
        <f t="array" aca="1" ref="F883" ca="1">eConcatenar(A883:D883,"|")</f>
        <v>localidadmigrada882|QWWIKIVSP6XNYS|SAN JUAN|final</v>
      </c>
    </row>
    <row r="884" spans="1:6" x14ac:dyDescent="0.25">
      <c r="A884" t="s">
        <v>3911</v>
      </c>
      <c r="B884" t="s">
        <v>1369</v>
      </c>
      <c r="C884" t="s">
        <v>1368</v>
      </c>
      <c r="D884" t="s">
        <v>1074</v>
      </c>
      <c r="F884" t="str" cm="1">
        <f t="array" aca="1" ref="F884" ca="1">eConcatenar(A884:D884,"|")</f>
        <v>localidadmigrada883|QWWIKJ8UP6XNYS|SAN MANUEL|final</v>
      </c>
    </row>
    <row r="885" spans="1:6" x14ac:dyDescent="0.25">
      <c r="A885" t="s">
        <v>3912</v>
      </c>
      <c r="B885" t="s">
        <v>1367</v>
      </c>
      <c r="C885" t="s">
        <v>1366</v>
      </c>
      <c r="D885" t="s">
        <v>1074</v>
      </c>
      <c r="F885" t="str" cm="1">
        <f t="array" aca="1" ref="F885" ca="1">eConcatenar(A885:D885,"|")</f>
        <v>localidadmigrada884|QWWIKJEOP6XNYS|SAN MANUEL TENERIFE|final</v>
      </c>
    </row>
    <row r="886" spans="1:6" x14ac:dyDescent="0.25">
      <c r="A886" t="s">
        <v>3913</v>
      </c>
      <c r="B886" t="s">
        <v>1365</v>
      </c>
      <c r="C886" t="s">
        <v>1364</v>
      </c>
      <c r="D886" t="s">
        <v>1074</v>
      </c>
      <c r="F886" t="str" cm="1">
        <f t="array" aca="1" ref="F886" ca="1">eConcatenar(A886:D886,"|")</f>
        <v>localidadmigrada885|QWWIKJGMP6XNYS|SAN PEDRITO|final</v>
      </c>
    </row>
    <row r="887" spans="1:6" x14ac:dyDescent="0.25">
      <c r="A887" t="s">
        <v>3914</v>
      </c>
      <c r="B887" t="s">
        <v>1363</v>
      </c>
      <c r="C887" t="s">
        <v>1362</v>
      </c>
      <c r="D887" t="s">
        <v>1074</v>
      </c>
      <c r="F887" t="str" cm="1">
        <f t="array" aca="1" ref="F887" ca="1">eConcatenar(A887:D887,"|")</f>
        <v>localidadmigrada886|QWWIKJIKP6XNYS|SAN RAFAEL|final</v>
      </c>
    </row>
    <row r="888" spans="1:6" x14ac:dyDescent="0.25">
      <c r="A888" t="s">
        <v>3915</v>
      </c>
      <c r="B888" t="s">
        <v>1361</v>
      </c>
      <c r="C888" t="s">
        <v>1360</v>
      </c>
      <c r="D888" t="s">
        <v>1074</v>
      </c>
      <c r="F888" t="str" cm="1">
        <f t="array" aca="1" ref="F888" ca="1">eConcatenar(A888:D888,"|")</f>
        <v>localidadmigrada887|QWWIKJKSP6XNYS|SAN ROGELIO|final</v>
      </c>
    </row>
    <row r="889" spans="1:6" x14ac:dyDescent="0.25">
      <c r="A889" t="s">
        <v>3916</v>
      </c>
      <c r="B889" t="s">
        <v>1359</v>
      </c>
      <c r="C889" t="s">
        <v>1358</v>
      </c>
      <c r="D889" t="s">
        <v>1074</v>
      </c>
      <c r="F889" t="str" cm="1">
        <f t="array" aca="1" ref="F889" ca="1">eConcatenar(A889:D889,"|")</f>
        <v>localidadmigrada888|QWWIKJN0P6XNYS|SANTA CECILIA|final</v>
      </c>
    </row>
    <row r="890" spans="1:6" x14ac:dyDescent="0.25">
      <c r="A890" t="s">
        <v>3917</v>
      </c>
      <c r="B890" t="s">
        <v>1357</v>
      </c>
      <c r="C890" t="s">
        <v>78</v>
      </c>
      <c r="D890" t="s">
        <v>1074</v>
      </c>
      <c r="F890" t="str" cm="1">
        <f t="array" aca="1" ref="F890" ca="1">eConcatenar(A890:D890,"|")</f>
        <v>localidadmigrada889|QWWIKK0CP6XNYS|SANTA CRUZ|final</v>
      </c>
    </row>
    <row r="891" spans="1:6" x14ac:dyDescent="0.25">
      <c r="A891" t="s">
        <v>3918</v>
      </c>
      <c r="B891" t="s">
        <v>1356</v>
      </c>
      <c r="C891" t="s">
        <v>554</v>
      </c>
      <c r="D891" t="s">
        <v>1074</v>
      </c>
      <c r="F891" t="str" cm="1">
        <f t="array" aca="1" ref="F891" ca="1">eConcatenar(A891:D891,"|")</f>
        <v>localidadmigrada890|QWWIKK48P6XNYS|SANTA LUCIA|final</v>
      </c>
    </row>
    <row r="892" spans="1:6" x14ac:dyDescent="0.25">
      <c r="A892" t="s">
        <v>3919</v>
      </c>
      <c r="B892" t="s">
        <v>1355</v>
      </c>
      <c r="C892" t="s">
        <v>1354</v>
      </c>
      <c r="D892" t="s">
        <v>1074</v>
      </c>
      <c r="F892" t="str" cm="1">
        <f t="array" aca="1" ref="F892" ca="1">eConcatenar(A892:D892,"|")</f>
        <v>localidadmigrada891|QWWIKK8EP6XNYS|SANTA PETRONA |final</v>
      </c>
    </row>
    <row r="893" spans="1:6" x14ac:dyDescent="0.25">
      <c r="A893" t="s">
        <v>3920</v>
      </c>
      <c r="B893" t="s">
        <v>1353</v>
      </c>
      <c r="C893" t="s">
        <v>1352</v>
      </c>
      <c r="D893" t="s">
        <v>1074</v>
      </c>
      <c r="F893" t="str" cm="1">
        <f t="array" aca="1" ref="F893" ca="1">eConcatenar(A893:D893,"|")</f>
        <v>localidadmigrada892|QWWIKKUCP6XNYS|TIO MONCHO CAOBANAL PRIMERA SECCION |final</v>
      </c>
    </row>
    <row r="894" spans="1:6" x14ac:dyDescent="0.25">
      <c r="A894" t="s">
        <v>3921</v>
      </c>
      <c r="B894" t="s">
        <v>1351</v>
      </c>
      <c r="C894" t="s">
        <v>1350</v>
      </c>
      <c r="D894" t="s">
        <v>1074</v>
      </c>
      <c r="F894" t="str" cm="1">
        <f t="array" aca="1" ref="F894" ca="1">eConcatenar(A894:D894,"|")</f>
        <v>localidadmigrada893|QWWIKKXOP6XNYS|TECOMINOACAN|final</v>
      </c>
    </row>
    <row r="895" spans="1:6" x14ac:dyDescent="0.25">
      <c r="A895" t="s">
        <v>3922</v>
      </c>
      <c r="B895" t="s">
        <v>1349</v>
      </c>
      <c r="C895" t="s">
        <v>1348</v>
      </c>
      <c r="D895" t="s">
        <v>1074</v>
      </c>
      <c r="F895" t="str" cm="1">
        <f t="array" aca="1" ref="F895" ca="1">eConcatenar(A895:D895,"|")</f>
        <v>localidadmigrada894|QWWIKL1UP6XNYS|TEMBLADERA PASO VIEJO|final</v>
      </c>
    </row>
    <row r="896" spans="1:6" x14ac:dyDescent="0.25">
      <c r="A896" t="s">
        <v>3923</v>
      </c>
      <c r="B896" t="s">
        <v>1347</v>
      </c>
      <c r="C896" t="s">
        <v>1346</v>
      </c>
      <c r="D896" t="s">
        <v>1074</v>
      </c>
      <c r="F896" t="str" cm="1">
        <f t="array" aca="1" ref="F896" ca="1">eConcatenar(A896:D896,"|")</f>
        <v>localidadmigrada895|QWWIKL5GP6XNYS|TEMBLADERA PRIMERA SECCION |final</v>
      </c>
    </row>
    <row r="897" spans="1:6" x14ac:dyDescent="0.25">
      <c r="A897" t="s">
        <v>3924</v>
      </c>
      <c r="B897" t="s">
        <v>1345</v>
      </c>
      <c r="C897" t="s">
        <v>1344</v>
      </c>
      <c r="D897" t="s">
        <v>1074</v>
      </c>
      <c r="F897" t="str" cm="1">
        <f t="array" aca="1" ref="F897" ca="1">eConcatenar(A897:D897,"|")</f>
        <v>localidadmigrada896|QWWIKLQKP6XNYS|TEMBLADERA SEGUNDA SECCION CONCEPCION ALVAREZ|final</v>
      </c>
    </row>
    <row r="898" spans="1:6" x14ac:dyDescent="0.25">
      <c r="A898" t="s">
        <v>3925</v>
      </c>
      <c r="B898" t="s">
        <v>1343</v>
      </c>
      <c r="C898" t="s">
        <v>1342</v>
      </c>
      <c r="D898" t="s">
        <v>1074</v>
      </c>
      <c r="F898" t="str" cm="1">
        <f t="array" aca="1" ref="F898" ca="1">eConcatenar(A898:D898,"|")</f>
        <v>localidadmigrada897|QWWIKLWEP6XNYS|TIERRA COLORADA PRIMERA SECCION |final</v>
      </c>
    </row>
    <row r="899" spans="1:6" x14ac:dyDescent="0.25">
      <c r="A899" t="s">
        <v>3926</v>
      </c>
      <c r="B899" t="s">
        <v>1341</v>
      </c>
      <c r="C899" t="s">
        <v>1340</v>
      </c>
      <c r="D899" t="s">
        <v>1074</v>
      </c>
      <c r="F899" t="str" cm="1">
        <f t="array" aca="1" ref="F899" ca="1">eConcatenar(A899:D899,"|")</f>
        <v>localidadmigrada898|QWWIKMDWP6XNYS|TIERRA COLORADA SEGUNDA SECCION CONCEPCION ALVAREZ |final</v>
      </c>
    </row>
    <row r="900" spans="1:6" x14ac:dyDescent="0.25">
      <c r="A900" t="s">
        <v>3927</v>
      </c>
      <c r="B900" t="s">
        <v>1339</v>
      </c>
      <c r="C900" t="s">
        <v>1338</v>
      </c>
      <c r="D900" t="s">
        <v>1074</v>
      </c>
      <c r="F900" t="str" cm="1">
        <f t="array" aca="1" ref="F900" ca="1">eConcatenar(A900:D900,"|")</f>
        <v>localidadmigrada899|QWWIKR78P6XNYS|TIERRA COLORADA TERCERA SECCION |final</v>
      </c>
    </row>
    <row r="901" spans="1:6" x14ac:dyDescent="0.25">
      <c r="A901" t="s">
        <v>3928</v>
      </c>
      <c r="B901" t="s">
        <v>1337</v>
      </c>
      <c r="C901" t="s">
        <v>1336</v>
      </c>
      <c r="D901" t="s">
        <v>1074</v>
      </c>
      <c r="F901" t="str" cm="1">
        <f t="array" aca="1" ref="F901" ca="1">eConcatenar(A901:D901,"|")</f>
        <v>localidadmigrada900|QWWIKRAAP6XNYS|TIERRA COLORADA CUARTA SECCION |final</v>
      </c>
    </row>
    <row r="902" spans="1:6" x14ac:dyDescent="0.25">
      <c r="A902" t="s">
        <v>3929</v>
      </c>
      <c r="B902" t="s">
        <v>1335</v>
      </c>
      <c r="C902" t="s">
        <v>1334</v>
      </c>
      <c r="D902" t="s">
        <v>1074</v>
      </c>
      <c r="F902" t="str" cm="1">
        <f t="array" aca="1" ref="F902" ca="1">eConcatenar(A902:D902,"|")</f>
        <v>localidadmigrada901|QWWIKRDMP6XNYS|TIERRA NUEVA PRIMERA SECCION |final</v>
      </c>
    </row>
    <row r="903" spans="1:6" x14ac:dyDescent="0.25">
      <c r="A903" t="s">
        <v>3930</v>
      </c>
      <c r="B903" t="s">
        <v>1333</v>
      </c>
      <c r="C903" t="s">
        <v>1332</v>
      </c>
      <c r="D903" t="s">
        <v>1074</v>
      </c>
      <c r="F903" t="str" cm="1">
        <f t="array" aca="1" ref="F903" ca="1">eConcatenar(A903:D903,"|")</f>
        <v>localidadmigrada902|QWWIKRUAP6XNYS|TIERRA NUEVA PRIMERA SECCION LAS PALMAS|final</v>
      </c>
    </row>
    <row r="904" spans="1:6" x14ac:dyDescent="0.25">
      <c r="A904" t="s">
        <v>3931</v>
      </c>
      <c r="B904" t="s">
        <v>1331</v>
      </c>
      <c r="C904" t="s">
        <v>1330</v>
      </c>
      <c r="D904" t="s">
        <v>1074</v>
      </c>
      <c r="F904" t="str" cm="1">
        <f t="array" aca="1" ref="F904" ca="1">eConcatenar(A904:D904,"|")</f>
        <v>localidadmigrada903|QWWIKRXWP6XNYS|TIERRA NUEVA SEGUNDA SECCION |final</v>
      </c>
    </row>
    <row r="905" spans="1:6" x14ac:dyDescent="0.25">
      <c r="A905" t="s">
        <v>3932</v>
      </c>
      <c r="B905" t="s">
        <v>1329</v>
      </c>
      <c r="C905" t="s">
        <v>1328</v>
      </c>
      <c r="D905" t="s">
        <v>1074</v>
      </c>
      <c r="F905" t="str" cm="1">
        <f t="array" aca="1" ref="F905" ca="1">eConcatenar(A905:D905,"|")</f>
        <v>localidadmigrada904|QWWIKS2MP6XNYS|TIERRA NUEVA TERCERA SECCION |final</v>
      </c>
    </row>
    <row r="906" spans="1:6" x14ac:dyDescent="0.25">
      <c r="A906" t="s">
        <v>3933</v>
      </c>
      <c r="B906" t="s">
        <v>1327</v>
      </c>
      <c r="C906" t="s">
        <v>1326</v>
      </c>
      <c r="D906" t="s">
        <v>1074</v>
      </c>
      <c r="F906" t="str" cm="1">
        <f t="array" aca="1" ref="F906" ca="1">eConcatenar(A906:D906,"|")</f>
        <v>localidadmigrada905|QWWIKS5OP6XNYS|TIERRA NUEVA CUARTA SECCION |final</v>
      </c>
    </row>
    <row r="907" spans="1:6" x14ac:dyDescent="0.25">
      <c r="A907" t="s">
        <v>3934</v>
      </c>
      <c r="B907" t="s">
        <v>1325</v>
      </c>
      <c r="C907" t="s">
        <v>1324</v>
      </c>
      <c r="D907" t="s">
        <v>1074</v>
      </c>
      <c r="F907" t="str" cm="1">
        <f t="array" aca="1" ref="F907" ca="1">eConcatenar(A907:D907,"|")</f>
        <v>localidadmigrada906|QWWIKSL8P6XNYS|TOMAS GARRIDO CANABAL|final</v>
      </c>
    </row>
    <row r="908" spans="1:6" x14ac:dyDescent="0.25">
      <c r="A908" t="s">
        <v>3935</v>
      </c>
      <c r="B908" t="s">
        <v>1323</v>
      </c>
      <c r="C908" t="s">
        <v>1322</v>
      </c>
      <c r="D908" t="s">
        <v>1074</v>
      </c>
      <c r="F908" t="str" cm="1">
        <f t="array" aca="1" ref="F908" ca="1">eConcatenar(A908:D908,"|")</f>
        <v>localidadmigrada907|QWWIKSNQP6XNYS|TRES BOCAS|final</v>
      </c>
    </row>
    <row r="909" spans="1:6" x14ac:dyDescent="0.25">
      <c r="A909" t="s">
        <v>3936</v>
      </c>
      <c r="B909" t="s">
        <v>1321</v>
      </c>
      <c r="C909" t="s">
        <v>1320</v>
      </c>
      <c r="D909" t="s">
        <v>1074</v>
      </c>
      <c r="F909" t="str" cm="1">
        <f t="array" aca="1" ref="F909" ca="1">eConcatenar(A909:D909,"|")</f>
        <v>localidadmigrada908|QWWIKSQIP6XNYS|TRES BOCAS PRIMERA SECCION |final</v>
      </c>
    </row>
    <row r="910" spans="1:6" x14ac:dyDescent="0.25">
      <c r="A910" t="s">
        <v>3937</v>
      </c>
      <c r="B910" t="s">
        <v>1319</v>
      </c>
      <c r="C910" t="s">
        <v>1317</v>
      </c>
      <c r="D910" t="s">
        <v>1074</v>
      </c>
      <c r="F910" t="str" cm="1">
        <f t="array" aca="1" ref="F910" ca="1">eConcatenar(A910:D910,"|")</f>
        <v>localidadmigrada909|QWWIKSTKP6XNYS|TRES BOCAS SEGUNDA SECCION |final</v>
      </c>
    </row>
    <row r="911" spans="1:6" x14ac:dyDescent="0.25">
      <c r="A911" t="s">
        <v>3938</v>
      </c>
      <c r="B911" t="s">
        <v>1318</v>
      </c>
      <c r="C911" t="s">
        <v>1317</v>
      </c>
      <c r="D911" t="s">
        <v>1074</v>
      </c>
      <c r="F911" t="str" cm="1">
        <f t="array" aca="1" ref="F911" ca="1">eConcatenar(A911:D911,"|")</f>
        <v>localidadmigrada910|QWWIKTBMP6XNYS|TRES BOCAS SEGUNDA SECCION |final</v>
      </c>
    </row>
    <row r="912" spans="1:6" x14ac:dyDescent="0.25">
      <c r="A912" t="s">
        <v>3939</v>
      </c>
      <c r="B912" t="s">
        <v>1316</v>
      </c>
      <c r="C912" t="s">
        <v>1315</v>
      </c>
      <c r="D912" t="s">
        <v>1074</v>
      </c>
      <c r="F912" t="str" cm="1">
        <f t="array" aca="1" ref="F912" ca="1">eConcatenar(A912:D912,"|")</f>
        <v>localidadmigrada911|QWWIKTEEP6XNYS|TRES BOCAS TERCERA SECCION |final</v>
      </c>
    </row>
    <row r="913" spans="1:6" x14ac:dyDescent="0.25">
      <c r="A913" t="s">
        <v>3940</v>
      </c>
      <c r="B913" t="s">
        <v>1314</v>
      </c>
      <c r="C913" t="s">
        <v>1313</v>
      </c>
      <c r="D913" t="s">
        <v>1074</v>
      </c>
      <c r="F913" t="str" cm="1">
        <f t="array" aca="1" ref="F913" ca="1">eConcatenar(A913:D913,"|")</f>
        <v>localidadmigrada912|QWWIKTIUP6XNYS|UNIDAD MODELOS SABANA LARGA|final</v>
      </c>
    </row>
    <row r="914" spans="1:6" x14ac:dyDescent="0.25">
      <c r="A914" t="s">
        <v>3941</v>
      </c>
      <c r="B914" t="s">
        <v>1312</v>
      </c>
      <c r="C914" t="s">
        <v>1311</v>
      </c>
      <c r="D914" t="s">
        <v>1074</v>
      </c>
      <c r="F914" t="str" cm="1">
        <f t="array" aca="1" ref="F914" ca="1">eConcatenar(A914:D914,"|")</f>
        <v>localidadmigrada913|QWWIKTKIP6XNYS|VALENCIA|final</v>
      </c>
    </row>
    <row r="915" spans="1:6" x14ac:dyDescent="0.25">
      <c r="A915" t="s">
        <v>3942</v>
      </c>
      <c r="B915" t="s">
        <v>1310</v>
      </c>
      <c r="C915" t="s">
        <v>1309</v>
      </c>
      <c r="D915" t="s">
        <v>1074</v>
      </c>
      <c r="F915" t="str" cm="1">
        <f t="array" aca="1" ref="F915" ca="1">eConcatenar(A915:D915,"|")</f>
        <v>localidadmigrada914|QWWIKTNUP6XNYS|VENUSTIANO CARRANZA|final</v>
      </c>
    </row>
    <row r="916" spans="1:6" x14ac:dyDescent="0.25">
      <c r="A916" t="s">
        <v>3943</v>
      </c>
      <c r="B916" t="s">
        <v>1308</v>
      </c>
      <c r="C916" t="s">
        <v>1307</v>
      </c>
      <c r="D916" t="s">
        <v>1074</v>
      </c>
      <c r="F916" t="str" cm="1">
        <f t="array" aca="1" ref="F916" ca="1">eConcatenar(A916:D916,"|")</f>
        <v>localidadmigrada915|QWWIKU4IP6XNYS|VIEJA GUARDIA AGRARISTA|final</v>
      </c>
    </row>
    <row r="917" spans="1:6" x14ac:dyDescent="0.25">
      <c r="A917" t="s">
        <v>3944</v>
      </c>
      <c r="B917" t="s">
        <v>1306</v>
      </c>
      <c r="C917" t="s">
        <v>1305</v>
      </c>
      <c r="D917" t="s">
        <v>1074</v>
      </c>
      <c r="F917" t="str" cm="1">
        <f t="array" aca="1" ref="F917" ca="1">eConcatenar(A917:D917,"|")</f>
        <v>localidadmigrada916|QWWIKU6QP6XNYS|VILLA DE GUADALUPE|final</v>
      </c>
    </row>
    <row r="918" spans="1:6" x14ac:dyDescent="0.25">
      <c r="A918" t="s">
        <v>3945</v>
      </c>
      <c r="B918" t="s">
        <v>1304</v>
      </c>
      <c r="C918" t="s">
        <v>1303</v>
      </c>
      <c r="D918" t="s">
        <v>1074</v>
      </c>
      <c r="F918" t="str" cm="1">
        <f t="array" aca="1" ref="F918" ca="1">eConcatenar(A918:D918,"|")</f>
        <v>localidadmigrada917|QWWIKUBQP6XNYS|VILLA FLORES PRIMERA SECCION |final</v>
      </c>
    </row>
    <row r="919" spans="1:6" x14ac:dyDescent="0.25">
      <c r="A919" t="s">
        <v>3946</v>
      </c>
      <c r="B919" t="s">
        <v>1302</v>
      </c>
      <c r="C919" t="s">
        <v>1301</v>
      </c>
      <c r="D919" t="s">
        <v>1074</v>
      </c>
      <c r="F919" t="str" cm="1">
        <f t="array" aca="1" ref="F919" ca="1">eConcatenar(A919:D919,"|")</f>
        <v>localidadmigrada918|QWWIKUFWP6XNYS|VILLA FLORES SEGUNDA SECCION |final</v>
      </c>
    </row>
    <row r="920" spans="1:6" x14ac:dyDescent="0.25">
      <c r="A920" t="s">
        <v>3947</v>
      </c>
      <c r="B920" t="s">
        <v>1300</v>
      </c>
      <c r="C920" t="s">
        <v>1299</v>
      </c>
      <c r="D920" t="s">
        <v>1074</v>
      </c>
      <c r="F920" t="str" cm="1">
        <f t="array" aca="1" ref="F920" ca="1">eConcatenar(A920:D920,"|")</f>
        <v>localidadmigrada919|QWWIKUTSP6XNYS|ZANAPA PRIMERA SECCION |final</v>
      </c>
    </row>
    <row r="921" spans="1:6" x14ac:dyDescent="0.25">
      <c r="A921" t="s">
        <v>3948</v>
      </c>
      <c r="B921" t="s">
        <v>1298</v>
      </c>
      <c r="C921" t="s">
        <v>1297</v>
      </c>
      <c r="D921" t="s">
        <v>1074</v>
      </c>
      <c r="F921" t="str" cm="1">
        <f t="array" aca="1" ref="F921" ca="1">eConcatenar(A921:D921,"|")</f>
        <v>localidadmigrada920|QWWIKUXEP6XNYS|ZANAPA SEGUNDA SECCION |final</v>
      </c>
    </row>
    <row r="922" spans="1:6" x14ac:dyDescent="0.25">
      <c r="A922" t="s">
        <v>3949</v>
      </c>
      <c r="B922" t="s">
        <v>1296</v>
      </c>
      <c r="C922" t="s">
        <v>1295</v>
      </c>
      <c r="D922" t="s">
        <v>1074</v>
      </c>
      <c r="F922" t="str" cm="1">
        <f t="array" aca="1" ref="F922" ca="1">eConcatenar(A922:D922,"|")</f>
        <v>localidadmigrada921|QWWIKV06P6XNYS|ZAPOPAN |final</v>
      </c>
    </row>
    <row r="923" spans="1:6" x14ac:dyDescent="0.25">
      <c r="A923" t="s">
        <v>3950</v>
      </c>
      <c r="B923" t="s">
        <v>1294</v>
      </c>
      <c r="C923" t="s">
        <v>1293</v>
      </c>
      <c r="D923" t="s">
        <v>1074</v>
      </c>
      <c r="F923" t="str" cm="1">
        <f t="array" aca="1" ref="F923" ca="1">eConcatenar(A923:D923,"|")</f>
        <v>localidadmigrada922|QWWIKVKGP6XNYS|ZAPOTAL PRIMERA SECCION SAN MIGUEL|final</v>
      </c>
    </row>
    <row r="924" spans="1:6" x14ac:dyDescent="0.25">
      <c r="A924" t="s">
        <v>3951</v>
      </c>
      <c r="B924" t="s">
        <v>1292</v>
      </c>
      <c r="C924" t="s">
        <v>1290</v>
      </c>
      <c r="D924" t="s">
        <v>1074</v>
      </c>
      <c r="F924" t="str" cm="1">
        <f t="array" aca="1" ref="F924" ca="1">eConcatenar(A924:D924,"|")</f>
        <v>localidadmigrada923|QWWIKVTMP6XNYS|ZAPOTAL TERCERA SECCION EL CORCHAL|final</v>
      </c>
    </row>
    <row r="925" spans="1:6" x14ac:dyDescent="0.25">
      <c r="A925" t="s">
        <v>3952</v>
      </c>
      <c r="B925" t="s">
        <v>1291</v>
      </c>
      <c r="C925" t="s">
        <v>1290</v>
      </c>
      <c r="D925" t="s">
        <v>1074</v>
      </c>
      <c r="F925" t="str" cm="1">
        <f t="array" aca="1" ref="F925" ca="1">eConcatenar(A925:D925,"|")</f>
        <v>localidadmigrada924|QWWIL1UAP6XNYS|ZAPOTAL TERCERA SECCION EL CORCHAL|final</v>
      </c>
    </row>
    <row r="926" spans="1:6" x14ac:dyDescent="0.25">
      <c r="A926" t="s">
        <v>3953</v>
      </c>
      <c r="B926" t="s">
        <v>1289</v>
      </c>
      <c r="C926" t="s">
        <v>1288</v>
      </c>
      <c r="D926" t="s">
        <v>1074</v>
      </c>
      <c r="F926" t="str" cm="1">
        <f t="array" aca="1" ref="F926" ca="1">eConcatenar(A926:D926,"|")</f>
        <v>localidadmigrada925|QWWIL1Y6P6XNYS|ZAPOTAL CUARTA SECCION ZAPOTALILLO|final</v>
      </c>
    </row>
    <row r="927" spans="1:6" x14ac:dyDescent="0.25">
      <c r="A927" t="s">
        <v>3954</v>
      </c>
      <c r="B927" t="s">
        <v>1287</v>
      </c>
      <c r="C927" t="s">
        <v>1286</v>
      </c>
      <c r="D927" t="s">
        <v>1074</v>
      </c>
      <c r="F927" t="str" cm="1">
        <f t="array" aca="1" ref="F927" ca="1">eConcatenar(A927:D927,"|")</f>
        <v>localidadmigrada926|QWWIL21IP6XNYS|ZAPOTAL QUINTA SECCION |final</v>
      </c>
    </row>
    <row r="928" spans="1:6" x14ac:dyDescent="0.25">
      <c r="A928" t="s">
        <v>3955</v>
      </c>
      <c r="B928" t="s">
        <v>1285</v>
      </c>
      <c r="C928" t="s">
        <v>1284</v>
      </c>
      <c r="D928" t="s">
        <v>1074</v>
      </c>
      <c r="F928" t="str" cm="1">
        <f t="array" aca="1" ref="F928" ca="1">eConcatenar(A928:D928,"|")</f>
        <v>localidadmigrada927|QWWIL2J0P6XNYS|ZAPOTAL SAN MIGUEL PRIMERA SECCION RAMAL UNO|final</v>
      </c>
    </row>
    <row r="929" spans="1:6" x14ac:dyDescent="0.25">
      <c r="A929" t="s">
        <v>3956</v>
      </c>
      <c r="B929" t="s">
        <v>1283</v>
      </c>
      <c r="C929" t="s">
        <v>1282</v>
      </c>
      <c r="D929" t="s">
        <v>1074</v>
      </c>
      <c r="F929" t="str" cm="1">
        <f t="array" aca="1" ref="F929" ca="1">eConcatenar(A929:D929,"|")</f>
        <v>localidadmigrada928|QWWIL2LIP6XNYS|5 DE MAYO|final</v>
      </c>
    </row>
    <row r="930" spans="1:6" x14ac:dyDescent="0.25">
      <c r="A930" t="s">
        <v>3957</v>
      </c>
      <c r="B930" t="s">
        <v>1281</v>
      </c>
      <c r="C930" t="s">
        <v>1280</v>
      </c>
      <c r="D930" t="s">
        <v>1074</v>
      </c>
      <c r="F930" t="str" cm="1">
        <f t="array" aca="1" ref="F930" ca="1">eConcatenar(A930:D930,"|")</f>
        <v>localidadmigrada929|QWWIL2SQP6XNYS|POBLADO C-41 CARLOS A MADRAZO|final</v>
      </c>
    </row>
    <row r="931" spans="1:6" x14ac:dyDescent="0.25">
      <c r="A931" t="s">
        <v>3958</v>
      </c>
      <c r="B931" t="s">
        <v>1279</v>
      </c>
      <c r="C931" t="s">
        <v>1278</v>
      </c>
      <c r="D931" t="s">
        <v>1074</v>
      </c>
      <c r="F931" t="str" cm="1">
        <f t="array" aca="1" ref="F931" ca="1">eConcatenar(A931:D931,"|")</f>
        <v>localidadmigrada930|QWWIL2VIP6XNYS|CLUB LIBERAL|final</v>
      </c>
    </row>
    <row r="932" spans="1:6" x14ac:dyDescent="0.25">
      <c r="A932" t="s">
        <v>3959</v>
      </c>
      <c r="B932" t="s">
        <v>1277</v>
      </c>
      <c r="C932" t="s">
        <v>1276</v>
      </c>
      <c r="D932" t="s">
        <v>1074</v>
      </c>
      <c r="F932" t="str" cm="1">
        <f t="array" aca="1" ref="F932" ca="1">eConcatenar(A932:D932,"|")</f>
        <v>localidadmigrada931|QWWIL2YKP6XNYS|CONVIVENCIA|final</v>
      </c>
    </row>
    <row r="933" spans="1:6" x14ac:dyDescent="0.25">
      <c r="A933" t="s">
        <v>3960</v>
      </c>
      <c r="B933" t="s">
        <v>1275</v>
      </c>
      <c r="C933" t="s">
        <v>1274</v>
      </c>
      <c r="D933" t="s">
        <v>1074</v>
      </c>
      <c r="F933" t="str" cm="1">
        <f t="array" aca="1" ref="F933" ca="1">eConcatenar(A933:D933,"|")</f>
        <v>localidadmigrada932|QWWIL3K8P6XNYS|EL COCAL|final</v>
      </c>
    </row>
    <row r="934" spans="1:6" x14ac:dyDescent="0.25">
      <c r="A934" t="s">
        <v>3961</v>
      </c>
      <c r="B934" t="s">
        <v>1273</v>
      </c>
      <c r="C934" t="s">
        <v>1272</v>
      </c>
      <c r="D934" t="s">
        <v>1074</v>
      </c>
      <c r="F934" t="str" cm="1">
        <f t="array" aca="1" ref="F934" ca="1">eConcatenar(A934:D934,"|")</f>
        <v>localidadmigrada933|QWWIL3MGP6XNYS|EL FRUTAL|final</v>
      </c>
    </row>
    <row r="935" spans="1:6" x14ac:dyDescent="0.25">
      <c r="A935" t="s">
        <v>3962</v>
      </c>
      <c r="B935" t="s">
        <v>1271</v>
      </c>
      <c r="C935" t="s">
        <v>1270</v>
      </c>
      <c r="D935" t="s">
        <v>1074</v>
      </c>
      <c r="F935" t="str" cm="1">
        <f t="array" aca="1" ref="F935" ca="1">eConcatenar(A935:D935,"|")</f>
        <v>localidadmigrada934|QWWIL3OOP6XNYS|EL PIOJO|final</v>
      </c>
    </row>
    <row r="936" spans="1:6" x14ac:dyDescent="0.25">
      <c r="A936" t="s">
        <v>3963</v>
      </c>
      <c r="B936" t="s">
        <v>1269</v>
      </c>
      <c r="C936" t="s">
        <v>1268</v>
      </c>
      <c r="D936" t="s">
        <v>1074</v>
      </c>
      <c r="F936" t="str" cm="1">
        <f t="array" aca="1" ref="F936" ca="1">eConcatenar(A936:D936,"|")</f>
        <v>localidadmigrada935|QWWIL42AP6XNYS|EL RASTRO|final</v>
      </c>
    </row>
    <row r="937" spans="1:6" x14ac:dyDescent="0.25">
      <c r="A937" t="s">
        <v>3964</v>
      </c>
      <c r="B937" t="s">
        <v>1267</v>
      </c>
      <c r="C937" t="s">
        <v>1266</v>
      </c>
      <c r="D937" t="s">
        <v>1074</v>
      </c>
      <c r="F937" t="str" cm="1">
        <f t="array" aca="1" ref="F937" ca="1">eConcatenar(A937:D937,"|")</f>
        <v>localidadmigrada936|QWWIL45CP6XNYS|EL SALVAMENTO|final</v>
      </c>
    </row>
    <row r="938" spans="1:6" x14ac:dyDescent="0.25">
      <c r="A938" t="s">
        <v>3965</v>
      </c>
      <c r="B938" t="s">
        <v>1265</v>
      </c>
      <c r="C938" t="s">
        <v>1264</v>
      </c>
      <c r="D938" t="s">
        <v>1074</v>
      </c>
      <c r="F938" t="str" cm="1">
        <f t="array" aca="1" ref="F938" ca="1">eConcatenar(A938:D938,"|")</f>
        <v>localidadmigrada937|QWWIL48YP6XNYS|EL TORITO|final</v>
      </c>
    </row>
    <row r="939" spans="1:6" x14ac:dyDescent="0.25">
      <c r="A939" t="s">
        <v>3966</v>
      </c>
      <c r="B939" t="s">
        <v>1263</v>
      </c>
      <c r="C939" t="s">
        <v>1262</v>
      </c>
      <c r="D939" t="s">
        <v>1074</v>
      </c>
      <c r="F939" t="str" cm="1">
        <f t="array" aca="1" ref="F939" ca="1">eConcatenar(A939:D939,"|")</f>
        <v>localidadmigrada938|QWWIL4BQP6XNYS|ELECTRICISTAS|final</v>
      </c>
    </row>
    <row r="940" spans="1:6" x14ac:dyDescent="0.25">
      <c r="A940" t="s">
        <v>3967</v>
      </c>
      <c r="B940" t="s">
        <v>1261</v>
      </c>
      <c r="C940" t="s">
        <v>1260</v>
      </c>
      <c r="D940" t="s">
        <v>1074</v>
      </c>
      <c r="F940" t="str" cm="1">
        <f t="array" aca="1" ref="F940" ca="1">eConcatenar(A940:D940,"|")</f>
        <v>localidadmigrada939|QWWIL4F2P6XNYS|FRACCIONAMIENTO VILLA LA CEIBA|final</v>
      </c>
    </row>
    <row r="941" spans="1:6" x14ac:dyDescent="0.25">
      <c r="A941" t="s">
        <v>3968</v>
      </c>
      <c r="B941" t="s">
        <v>1259</v>
      </c>
      <c r="C941" t="s">
        <v>1258</v>
      </c>
      <c r="D941" t="s">
        <v>1074</v>
      </c>
      <c r="F941" t="str" cm="1">
        <f t="array" aca="1" ref="F941" ca="1">eConcatenar(A941:D941,"|")</f>
        <v>localidadmigrada940|QWWIL4WAP6XNYS|POBLADO C-31 GENERAL FRANCISCO VILLA |final</v>
      </c>
    </row>
    <row r="942" spans="1:6" x14ac:dyDescent="0.25">
      <c r="A942" t="s">
        <v>3969</v>
      </c>
      <c r="B942" t="s">
        <v>1257</v>
      </c>
      <c r="C942" t="s">
        <v>81</v>
      </c>
      <c r="D942" t="s">
        <v>1074</v>
      </c>
      <c r="F942" t="str" cm="1">
        <f t="array" aca="1" ref="F942" ca="1">eConcatenar(A942:D942,"|")</f>
        <v>localidadmigrada941|QWWIL4YSP6XNYS|GUADALUPE|final</v>
      </c>
    </row>
    <row r="943" spans="1:6" x14ac:dyDescent="0.25">
      <c r="A943" t="s">
        <v>3970</v>
      </c>
      <c r="B943" t="s">
        <v>1256</v>
      </c>
      <c r="C943" t="s">
        <v>431</v>
      </c>
      <c r="D943" t="s">
        <v>1074</v>
      </c>
      <c r="F943" t="str" cm="1">
        <f t="array" aca="1" ref="F943" ca="1">eConcatenar(A943:D943,"|")</f>
        <v>localidadmigrada942|QWWIL524P6XNYS|GUADALUPE |final</v>
      </c>
    </row>
    <row r="944" spans="1:6" x14ac:dyDescent="0.25">
      <c r="A944" t="s">
        <v>3971</v>
      </c>
      <c r="B944" t="s">
        <v>1255</v>
      </c>
      <c r="C944" t="s">
        <v>1254</v>
      </c>
      <c r="D944" t="s">
        <v>1074</v>
      </c>
      <c r="F944" t="str" cm="1">
        <f t="array" aca="1" ref="F944" ca="1">eConcatenar(A944:D944,"|")</f>
        <v>localidadmigrada943|QWWIL54WP6XNYS|HUIMANGUILLO CENTRO|final</v>
      </c>
    </row>
    <row r="945" spans="1:6" x14ac:dyDescent="0.25">
      <c r="A945" t="s">
        <v>3972</v>
      </c>
      <c r="B945" t="s">
        <v>1253</v>
      </c>
      <c r="C945" t="s">
        <v>1252</v>
      </c>
      <c r="D945" t="s">
        <v>1074</v>
      </c>
      <c r="F945" t="str" cm="1">
        <f t="array" aca="1" ref="F945" ca="1">eConcatenar(A945:D945,"|")</f>
        <v>localidadmigrada944|QWWIL56UP6XNYS|LA JUVENTUD|final</v>
      </c>
    </row>
    <row r="946" spans="1:6" x14ac:dyDescent="0.25">
      <c r="A946" t="s">
        <v>3973</v>
      </c>
      <c r="B946" t="s">
        <v>1251</v>
      </c>
      <c r="C946" t="s">
        <v>1250</v>
      </c>
      <c r="D946" t="s">
        <v>1074</v>
      </c>
      <c r="F946" t="str" cm="1">
        <f t="array" aca="1" ref="F946" ca="1">eConcatenar(A946:D946,"|")</f>
        <v>localidadmigrada945|QWWIL592P6XNYS|LA PERA|final</v>
      </c>
    </row>
    <row r="947" spans="1:6" x14ac:dyDescent="0.25">
      <c r="A947" t="s">
        <v>3974</v>
      </c>
      <c r="B947" t="s">
        <v>1249</v>
      </c>
      <c r="C947" t="s">
        <v>1248</v>
      </c>
      <c r="D947" t="s">
        <v>1074</v>
      </c>
      <c r="F947" t="str" cm="1">
        <f t="array" aca="1" ref="F947" ca="1">eConcatenar(A947:D947,"|")</f>
        <v>localidadmigrada946|QWWIL5LUP6XNYS|LA VENTA CENTRO|final</v>
      </c>
    </row>
    <row r="948" spans="1:6" x14ac:dyDescent="0.25">
      <c r="A948" t="s">
        <v>3975</v>
      </c>
      <c r="B948" t="s">
        <v>1247</v>
      </c>
      <c r="C948" t="s">
        <v>1246</v>
      </c>
      <c r="D948" t="s">
        <v>1074</v>
      </c>
      <c r="F948" t="str" cm="1">
        <f t="array" aca="1" ref="F948" ca="1">eConcatenar(A948:D948,"|")</f>
        <v>localidadmigrada947|QWWIL5QUP6XNYS|POBLADO C-34 LICENCIADO BENITO JUAREZ|final</v>
      </c>
    </row>
    <row r="949" spans="1:6" x14ac:dyDescent="0.25">
      <c r="A949" t="s">
        <v>3976</v>
      </c>
      <c r="B949" t="s">
        <v>1245</v>
      </c>
      <c r="C949" t="s">
        <v>1244</v>
      </c>
      <c r="D949" t="s">
        <v>1074</v>
      </c>
      <c r="F949" t="str" cm="1">
        <f t="array" aca="1" ref="F949" ca="1">eConcatenar(A949:D949,"|")</f>
        <v>localidadmigrada948|QWWIL5T2P6XNYS|LOS ANGELES|final</v>
      </c>
    </row>
    <row r="950" spans="1:6" x14ac:dyDescent="0.25">
      <c r="A950" t="s">
        <v>3977</v>
      </c>
      <c r="B950" t="s">
        <v>1243</v>
      </c>
      <c r="C950" t="s">
        <v>1242</v>
      </c>
      <c r="D950" t="s">
        <v>1074</v>
      </c>
      <c r="F950" t="str" cm="1">
        <f t="array" aca="1" ref="F950" ca="1">eConcatenar(A950:D950,"|")</f>
        <v>localidadmigrada949|QWWIL5ZQP6XNYS|5 DE MAYO NUEVA ESPERANZA |final</v>
      </c>
    </row>
    <row r="951" spans="1:6" x14ac:dyDescent="0.25">
      <c r="A951" t="s">
        <v>3978</v>
      </c>
      <c r="B951" t="s">
        <v>1241</v>
      </c>
      <c r="C951" t="s">
        <v>1240</v>
      </c>
      <c r="D951" t="s">
        <v>1074</v>
      </c>
      <c r="F951" t="str" cm="1">
        <f t="array" aca="1" ref="F951" ca="1">eConcatenar(A951:D951,"|")</f>
        <v>localidadmigrada950|QWWIL61EP6XNYS|OLMECA|final</v>
      </c>
    </row>
    <row r="952" spans="1:6" x14ac:dyDescent="0.25">
      <c r="A952" t="s">
        <v>3979</v>
      </c>
      <c r="B952" t="s">
        <v>1239</v>
      </c>
      <c r="C952" t="s">
        <v>57</v>
      </c>
      <c r="D952" t="s">
        <v>1074</v>
      </c>
      <c r="F952" t="str" cm="1">
        <f t="array" aca="1" ref="F952" ca="1">eConcatenar(A952:D952,"|")</f>
        <v>localidadmigrada951|QWWIL6EGP6XNYS|PUEBLO NUEVO|final</v>
      </c>
    </row>
    <row r="953" spans="1:6" x14ac:dyDescent="0.25">
      <c r="A953" t="s">
        <v>3980</v>
      </c>
      <c r="B953" t="s">
        <v>1238</v>
      </c>
      <c r="C953" t="s">
        <v>1237</v>
      </c>
      <c r="D953" t="s">
        <v>1074</v>
      </c>
      <c r="F953" t="str" cm="1">
        <f t="array" aca="1" ref="F953" ca="1">eConcatenar(A953:D953,"|")</f>
        <v>localidadmigrada952|QWWIL6I2P6XNYS|ROVIROSA|final</v>
      </c>
    </row>
    <row r="954" spans="1:6" x14ac:dyDescent="0.25">
      <c r="A954" t="s">
        <v>3981</v>
      </c>
      <c r="B954" t="s">
        <v>1236</v>
      </c>
      <c r="C954" t="s">
        <v>1235</v>
      </c>
      <c r="D954" t="s">
        <v>1074</v>
      </c>
      <c r="F954" t="str" cm="1">
        <f t="array" aca="1" ref="F954" ca="1">eConcatenar(A954:D954,"|")</f>
        <v>localidadmigrada953|QWWIL6LYP6XNYS|VILLA ESTACION CHONTALPA|final</v>
      </c>
    </row>
    <row r="955" spans="1:6" x14ac:dyDescent="0.25">
      <c r="A955" t="s">
        <v>3982</v>
      </c>
      <c r="B955" t="s">
        <v>1234</v>
      </c>
      <c r="C955" t="s">
        <v>1233</v>
      </c>
      <c r="D955" t="s">
        <v>1074</v>
      </c>
      <c r="F955" t="str" cm="1">
        <f t="array" aca="1" ref="F955" ca="1">eConcatenar(A955:D955,"|")</f>
        <v>localidadmigrada954|QWWIMINYP6XNYS|ANDRES QUINTANA RO|final</v>
      </c>
    </row>
    <row r="956" spans="1:6" x14ac:dyDescent="0.25">
      <c r="A956" t="s">
        <v>3983</v>
      </c>
      <c r="B956" t="s">
        <v>1232</v>
      </c>
      <c r="C956" t="s">
        <v>1231</v>
      </c>
      <c r="D956" t="s">
        <v>1074</v>
      </c>
      <c r="F956" t="str" cm="1">
        <f t="array" aca="1" ref="F956" ca="1">eConcatenar(A956:D956,"|")</f>
        <v>localidadmigrada955|QWWIMJ7YP6XNYS|ANDRES QUINTANA RO PRIMERA SECCION |final</v>
      </c>
    </row>
    <row r="957" spans="1:6" x14ac:dyDescent="0.25">
      <c r="A957" t="s">
        <v>3984</v>
      </c>
      <c r="B957" t="s">
        <v>1230</v>
      </c>
      <c r="C957" t="s">
        <v>1229</v>
      </c>
      <c r="D957" t="s">
        <v>1074</v>
      </c>
      <c r="F957" t="str" cm="1">
        <f t="array" aca="1" ref="F957" ca="1">eConcatenar(A957:D957,"|")</f>
        <v>localidadmigrada956|QWWIMJCYP6XNYS|ANDRES QUINTANA RO SEGUNDA SECCION |final</v>
      </c>
    </row>
    <row r="958" spans="1:6" x14ac:dyDescent="0.25">
      <c r="A958" t="s">
        <v>3985</v>
      </c>
      <c r="B958" t="s">
        <v>1228</v>
      </c>
      <c r="C958" t="s">
        <v>1227</v>
      </c>
      <c r="D958" t="s">
        <v>1074</v>
      </c>
      <c r="F958" t="str" cm="1">
        <f t="array" aca="1" ref="F958" ca="1">eConcatenar(A958:D958,"|")</f>
        <v>localidadmigrada957|QWWIMJRYP6XNYS|ARCADIO ZENTELLA |final</v>
      </c>
    </row>
    <row r="959" spans="1:6" x14ac:dyDescent="0.25">
      <c r="A959" t="s">
        <v>3986</v>
      </c>
      <c r="B959" t="s">
        <v>1226</v>
      </c>
      <c r="C959" t="s">
        <v>1225</v>
      </c>
      <c r="D959" t="s">
        <v>1074</v>
      </c>
      <c r="F959" t="str" cm="1">
        <f t="array" aca="1" ref="F959" ca="1">eConcatenar(A959:D959,"|")</f>
        <v>localidadmigrada958|QWWIMJUQP6XNYS|CALCINADO|final</v>
      </c>
    </row>
    <row r="960" spans="1:6" x14ac:dyDescent="0.25">
      <c r="A960" t="s">
        <v>3987</v>
      </c>
      <c r="B960" t="s">
        <v>1224</v>
      </c>
      <c r="C960" t="s">
        <v>1223</v>
      </c>
      <c r="D960" t="s">
        <v>1074</v>
      </c>
      <c r="F960" t="str" cm="1">
        <f t="array" aca="1" ref="F960" ca="1">eConcatenar(A960:D960,"|")</f>
        <v>localidadmigrada959|QWWIMJWOP6XNYS|CHALPUTEPEC|final</v>
      </c>
    </row>
    <row r="961" spans="1:6" x14ac:dyDescent="0.25">
      <c r="A961" t="s">
        <v>3988</v>
      </c>
      <c r="B961" t="s">
        <v>1222</v>
      </c>
      <c r="C961" t="s">
        <v>1221</v>
      </c>
      <c r="D961" t="s">
        <v>1074</v>
      </c>
      <c r="F961" t="str" cm="1">
        <f t="array" aca="1" ref="F961" ca="1">eConcatenar(A961:D961,"|")</f>
        <v>localidadmigrada960|QWWIMJYWP6XNYS|COCONA|final</v>
      </c>
    </row>
    <row r="962" spans="1:6" x14ac:dyDescent="0.25">
      <c r="A962" t="s">
        <v>3989</v>
      </c>
      <c r="B962" t="s">
        <v>1220</v>
      </c>
      <c r="C962" t="s">
        <v>1219</v>
      </c>
      <c r="D962" t="s">
        <v>1074</v>
      </c>
      <c r="F962" t="str" cm="1">
        <f t="array" aca="1" ref="F962" ca="1">eConcatenar(A962:D962,"|")</f>
        <v>localidadmigrada961|QWWIMK1YP6XNYS|COLONIA MUNICIPAL|final</v>
      </c>
    </row>
    <row r="963" spans="1:6" x14ac:dyDescent="0.25">
      <c r="A963" t="s">
        <v>3990</v>
      </c>
      <c r="B963" t="s">
        <v>1218</v>
      </c>
      <c r="C963" t="s">
        <v>1217</v>
      </c>
      <c r="D963" t="s">
        <v>1074</v>
      </c>
      <c r="F963" t="str" cm="1">
        <f t="array" aca="1" ref="F963" ca="1">eConcatenar(A963:D963,"|")</f>
        <v>localidadmigrada962|QWWIMK4QP6XNYS|COLORADO BENITO JUAREZ|final</v>
      </c>
    </row>
    <row r="964" spans="1:6" x14ac:dyDescent="0.25">
      <c r="A964" t="s">
        <v>3991</v>
      </c>
      <c r="B964" t="s">
        <v>1216</v>
      </c>
      <c r="C964" t="s">
        <v>1215</v>
      </c>
      <c r="D964" t="s">
        <v>1074</v>
      </c>
      <c r="F964" t="str" cm="1">
        <f t="array" aca="1" ref="F964" ca="1">eConcatenar(A964:D964,"|")</f>
        <v>localidadmigrada963|QWWIMK7IP6XNYS|EUREKA BELEN |final</v>
      </c>
    </row>
    <row r="965" spans="1:6" x14ac:dyDescent="0.25">
      <c r="A965" t="s">
        <v>3992</v>
      </c>
      <c r="B965" t="s">
        <v>1214</v>
      </c>
      <c r="C965" t="s">
        <v>1213</v>
      </c>
      <c r="D965" t="s">
        <v>1074</v>
      </c>
      <c r="F965" t="str" cm="1">
        <f t="array" aca="1" ref="F965" ca="1">eConcatenar(A965:D965,"|")</f>
        <v>localidadmigrada964|QWWIMKN2P6XNYS|FRANCISCO JAVIER MINA ARGENTINA|final</v>
      </c>
    </row>
    <row r="966" spans="1:6" x14ac:dyDescent="0.25">
      <c r="A966" t="s">
        <v>3993</v>
      </c>
      <c r="B966" t="s">
        <v>1212</v>
      </c>
      <c r="C966" t="s">
        <v>1211</v>
      </c>
      <c r="D966" t="s">
        <v>1074</v>
      </c>
      <c r="F966" t="str" cm="1">
        <f t="array" aca="1" ref="F966" ca="1">eConcatenar(A966:D966,"|")</f>
        <v>localidadmigrada965|QWWIMKQOP6XNYS|HEMEREGILDO GALEANA|final</v>
      </c>
    </row>
    <row r="967" spans="1:6" x14ac:dyDescent="0.25">
      <c r="A967" t="s">
        <v>3994</v>
      </c>
      <c r="B967" t="s">
        <v>1210</v>
      </c>
      <c r="C967" t="s">
        <v>1209</v>
      </c>
      <c r="D967" t="s">
        <v>1074</v>
      </c>
      <c r="F967" t="str" cm="1">
        <f t="array" aca="1" ref="F967" ca="1">eConcatenar(A967:D967,"|")</f>
        <v>localidadmigrada966|QWWIMKXCP6XNYS|HEMEREGILDO GALEANA PRIMERA SECCION MEXIQUITO|final</v>
      </c>
    </row>
    <row r="968" spans="1:6" x14ac:dyDescent="0.25">
      <c r="A968" t="s">
        <v>3995</v>
      </c>
      <c r="B968" t="s">
        <v>1208</v>
      </c>
      <c r="C968" t="s">
        <v>1207</v>
      </c>
      <c r="D968" t="s">
        <v>1074</v>
      </c>
      <c r="F968" t="str" cm="1">
        <f t="array" aca="1" ref="F968" ca="1">eConcatenar(A968:D968,"|")</f>
        <v>localidadmigrada967|QWWIMLD6P6XNYS|HEMEREGILDO GALEANA SEGUNDA SECCION |final</v>
      </c>
    </row>
    <row r="969" spans="1:6" x14ac:dyDescent="0.25">
      <c r="A969" t="s">
        <v>3996</v>
      </c>
      <c r="B969" t="s">
        <v>1206</v>
      </c>
      <c r="C969" t="s">
        <v>1205</v>
      </c>
      <c r="D969" t="s">
        <v>1074</v>
      </c>
      <c r="F969" t="str" cm="1">
        <f t="array" aca="1" ref="F969" ca="1">eConcatenar(A969:D969,"|")</f>
        <v>localidadmigrada968|QWWIMLFOP6XNYS|IGNACIO ALLENDE |final</v>
      </c>
    </row>
    <row r="970" spans="1:6" x14ac:dyDescent="0.25">
      <c r="A970" t="s">
        <v>3997</v>
      </c>
      <c r="B970" t="s">
        <v>1204</v>
      </c>
      <c r="C970" t="s">
        <v>1203</v>
      </c>
      <c r="D970" t="s">
        <v>1074</v>
      </c>
      <c r="F970" t="str" cm="1">
        <f t="array" aca="1" ref="F970" ca="1">eConcatenar(A970:D970,"|")</f>
        <v>localidadmigrada969|QWWIMLIGP6XNYS|IGNACIO ALLENDE SANTA CRUZ |final</v>
      </c>
    </row>
    <row r="971" spans="1:6" x14ac:dyDescent="0.25">
      <c r="A971" t="s">
        <v>3998</v>
      </c>
      <c r="B971" t="s">
        <v>1202</v>
      </c>
      <c r="C971" t="s">
        <v>1201</v>
      </c>
      <c r="D971" t="s">
        <v>1074</v>
      </c>
      <c r="F971" t="str" cm="1">
        <f t="array" aca="1" ref="F971" ca="1">eConcatenar(A971:D971,"|")</f>
        <v>localidadmigrada970|QWWIMLMWP6XNYS|IGNACIO ALLENDE PRIMERA SECCION |final</v>
      </c>
    </row>
    <row r="972" spans="1:6" x14ac:dyDescent="0.25">
      <c r="A972" t="s">
        <v>3999</v>
      </c>
      <c r="B972" t="s">
        <v>1200</v>
      </c>
      <c r="C972" t="s">
        <v>1199</v>
      </c>
      <c r="D972" t="s">
        <v>1074</v>
      </c>
      <c r="F972" t="str" cm="1">
        <f t="array" aca="1" ref="F972" ca="1">eConcatenar(A972:D972,"|")</f>
        <v>localidadmigrada971|QWWIMM2GP6XNYS|IGNACIO ALLENDE TERCERA SECCION |final</v>
      </c>
    </row>
    <row r="973" spans="1:6" x14ac:dyDescent="0.25">
      <c r="A973" t="s">
        <v>4000</v>
      </c>
      <c r="B973" t="s">
        <v>1198</v>
      </c>
      <c r="C973" t="s">
        <v>1197</v>
      </c>
      <c r="D973" t="s">
        <v>1074</v>
      </c>
      <c r="F973" t="str" cm="1">
        <f t="array" aca="1" ref="F973" ca="1">eConcatenar(A973:D973,"|")</f>
        <v>localidadmigrada972|QWWIMM8AP6XNYS|IGNACIO LOPEZ RAYON PRIMERA SECCION |final</v>
      </c>
    </row>
    <row r="974" spans="1:6" x14ac:dyDescent="0.25">
      <c r="A974" t="s">
        <v>4001</v>
      </c>
      <c r="B974" t="s">
        <v>1196</v>
      </c>
      <c r="C974" t="s">
        <v>1195</v>
      </c>
      <c r="D974" t="s">
        <v>1074</v>
      </c>
      <c r="F974" t="str" cm="1">
        <f t="array" aca="1" ref="F974" ca="1">eConcatenar(A974:D974,"|")</f>
        <v>localidadmigrada973|QWWIMMC6P6XNYS|IGNACIO LOPEZ RAYON SEGUNDA SECCION |final</v>
      </c>
    </row>
    <row r="975" spans="1:6" x14ac:dyDescent="0.25">
      <c r="A975" t="s">
        <v>4002</v>
      </c>
      <c r="B975" t="s">
        <v>1194</v>
      </c>
      <c r="C975" t="s">
        <v>1193</v>
      </c>
      <c r="D975" t="s">
        <v>1074</v>
      </c>
      <c r="F975" t="str" cm="1">
        <f t="array" aca="1" ref="F975" ca="1">eConcatenar(A975:D975,"|")</f>
        <v>localidadmigrada974|QWWIMMFSP6XNYS|JOSE MARIA MORELOS Y PAVON |final</v>
      </c>
    </row>
    <row r="976" spans="1:6" x14ac:dyDescent="0.25">
      <c r="A976" t="s">
        <v>4003</v>
      </c>
      <c r="B976" t="s">
        <v>1192</v>
      </c>
      <c r="C976" t="s">
        <v>1191</v>
      </c>
      <c r="D976" t="s">
        <v>1074</v>
      </c>
      <c r="F976" t="str" cm="1">
        <f t="array" aca="1" ref="F976" ca="1">eConcatenar(A976:D976,"|")</f>
        <v>localidadmigrada975|QWWIMN5WP6XNYS|JOSE MARIA MORELOS Y PAVON JUAN GOMEZ |final</v>
      </c>
    </row>
    <row r="977" spans="1:6" x14ac:dyDescent="0.25">
      <c r="A977" t="s">
        <v>4004</v>
      </c>
      <c r="B977" t="s">
        <v>1190</v>
      </c>
      <c r="C977" t="s">
        <v>1189</v>
      </c>
      <c r="D977" t="s">
        <v>1074</v>
      </c>
      <c r="F977" t="str" cm="1">
        <f t="array" aca="1" ref="F977" ca="1">eConcatenar(A977:D977,"|")</f>
        <v>localidadmigrada976|QWWIMN8OP6XNYS|JOSE MARIA MORELOS Y PAVON LAS DELICIAS|final</v>
      </c>
    </row>
    <row r="978" spans="1:6" x14ac:dyDescent="0.25">
      <c r="A978" t="s">
        <v>4005</v>
      </c>
      <c r="B978" t="s">
        <v>1188</v>
      </c>
      <c r="C978" t="s">
        <v>1187</v>
      </c>
      <c r="D978" t="s">
        <v>1074</v>
      </c>
      <c r="F978" t="str" cm="1">
        <f t="array" aca="1" ref="F978" ca="1">eConcatenar(A978:D978,"|")</f>
        <v>localidadmigrada977|QWWIMNMUP6XNYS|JOSE MARIA MORELOS Y PAVON SANTA RITA|final</v>
      </c>
    </row>
    <row r="979" spans="1:6" x14ac:dyDescent="0.25">
      <c r="A979" t="s">
        <v>4006</v>
      </c>
      <c r="B979" t="s">
        <v>1186</v>
      </c>
      <c r="C979" t="s">
        <v>1185</v>
      </c>
      <c r="D979" t="s">
        <v>1074</v>
      </c>
      <c r="F979" t="str" cm="1">
        <f t="array" aca="1" ref="F979" ca="1">eConcatenar(A979:D979,"|")</f>
        <v>localidadmigrada978|QWWIMNPMP6XNYS|JOSE MARIA MORELOS Y PAVON PRIMERA SECCION |final</v>
      </c>
    </row>
    <row r="980" spans="1:6" x14ac:dyDescent="0.25">
      <c r="A980" t="s">
        <v>4007</v>
      </c>
      <c r="B980" t="s">
        <v>1184</v>
      </c>
      <c r="C980" t="s">
        <v>1183</v>
      </c>
      <c r="D980" t="s">
        <v>1074</v>
      </c>
      <c r="F980" t="str" cm="1">
        <f t="array" aca="1" ref="F980" ca="1">eConcatenar(A980:D980,"|")</f>
        <v>localidadmigrada979|QWWIMNRUP6XNYS|JOSE MARIA MORELOS Y PAVON SEGUNDA SECCION |final</v>
      </c>
    </row>
    <row r="981" spans="1:6" x14ac:dyDescent="0.25">
      <c r="A981" t="s">
        <v>4008</v>
      </c>
      <c r="B981" t="s">
        <v>1182</v>
      </c>
      <c r="C981" t="s">
        <v>1181</v>
      </c>
      <c r="D981" t="s">
        <v>1074</v>
      </c>
      <c r="F981" t="str" cm="1">
        <f t="array" aca="1" ref="F981" ca="1">eConcatenar(A981:D981,"|")</f>
        <v>localidadmigrada980|QWWIMNUCP6XNYS|JUAN ALDAMA|final</v>
      </c>
    </row>
    <row r="982" spans="1:6" x14ac:dyDescent="0.25">
      <c r="A982" t="s">
        <v>4009</v>
      </c>
      <c r="B982" t="s">
        <v>1180</v>
      </c>
      <c r="C982" t="s">
        <v>1179</v>
      </c>
      <c r="D982" t="s">
        <v>1074</v>
      </c>
      <c r="F982" t="str" cm="1">
        <f t="array" aca="1" ref="F982" ca="1">eConcatenar(A982:D982,"|")</f>
        <v>localidadmigrada981|QWWIMNXEP6XNYS|JUAN ALDAMA SEGUNDA SECCION |final</v>
      </c>
    </row>
    <row r="983" spans="1:6" x14ac:dyDescent="0.25">
      <c r="A983" t="s">
        <v>4010</v>
      </c>
      <c r="B983" t="s">
        <v>1178</v>
      </c>
      <c r="C983" t="s">
        <v>1177</v>
      </c>
      <c r="D983" t="s">
        <v>1074</v>
      </c>
      <c r="F983" t="str" cm="1">
        <f t="array" aca="1" ref="F983" ca="1">eConcatenar(A983:D983,"|")</f>
        <v>localidadmigrada982|QWWIMO1UP6XNYS|LA TEJERIA|final</v>
      </c>
    </row>
    <row r="984" spans="1:6" x14ac:dyDescent="0.25">
      <c r="A984" t="s">
        <v>4011</v>
      </c>
      <c r="B984" t="s">
        <v>1176</v>
      </c>
      <c r="C984" t="s">
        <v>1175</v>
      </c>
      <c r="D984" t="s">
        <v>1074</v>
      </c>
      <c r="F984" t="str" cm="1">
        <f t="array" aca="1" ref="F984" ca="1">eConcatenar(A984:D984,"|")</f>
        <v>localidadmigrada983|QWWIMOEMP6XNYS|LAS LILIAS|final</v>
      </c>
    </row>
    <row r="985" spans="1:6" x14ac:dyDescent="0.25">
      <c r="A985" t="s">
        <v>4012</v>
      </c>
      <c r="B985" t="s">
        <v>1174</v>
      </c>
      <c r="C985" t="s">
        <v>1173</v>
      </c>
      <c r="D985" t="s">
        <v>1074</v>
      </c>
      <c r="F985" t="str" cm="1">
        <f t="array" aca="1" ref="F985" ca="1">eConcatenar(A985:D985,"|")</f>
        <v>localidadmigrada984|QWWIMOJ2P6XNYS|MANUEL BUELTA SEGUNDA SECCION |final</v>
      </c>
    </row>
    <row r="986" spans="1:6" x14ac:dyDescent="0.25">
      <c r="A986" t="s">
        <v>4013</v>
      </c>
      <c r="B986" t="s">
        <v>1172</v>
      </c>
      <c r="C986" t="s">
        <v>1171</v>
      </c>
      <c r="D986" t="s">
        <v>1074</v>
      </c>
      <c r="F986" t="str" cm="1">
        <f t="array" aca="1" ref="F986" ca="1">eConcatenar(A986:D986,"|")</f>
        <v>localidadmigrada985|QWWIMOLKP6XNYS|MANUEL BUELTA Y RAYON |final</v>
      </c>
    </row>
    <row r="987" spans="1:6" x14ac:dyDescent="0.25">
      <c r="A987" t="s">
        <v>4014</v>
      </c>
      <c r="B987" t="s">
        <v>1170</v>
      </c>
      <c r="C987" t="s">
        <v>1169</v>
      </c>
      <c r="D987" t="s">
        <v>1074</v>
      </c>
      <c r="F987" t="str" cm="1">
        <f t="array" aca="1" ref="F987" ca="1">eConcatenar(A987:D987,"|")</f>
        <v>localidadmigrada986|QWWIMOOMP6XNYS|MARIANO ABASOLO|final</v>
      </c>
    </row>
    <row r="988" spans="1:6" x14ac:dyDescent="0.25">
      <c r="A988" t="s">
        <v>4015</v>
      </c>
      <c r="B988" t="s">
        <v>1168</v>
      </c>
      <c r="C988" t="s">
        <v>1167</v>
      </c>
      <c r="D988" t="s">
        <v>1074</v>
      </c>
      <c r="F988" t="str" cm="1">
        <f t="array" aca="1" ref="F988" ca="1">eConcatenar(A988:D988,"|")</f>
        <v>localidadmigrada987|QWWIMOSSP6XNYS|MARIANO ABASOLO ABASOLITO|final</v>
      </c>
    </row>
    <row r="989" spans="1:6" x14ac:dyDescent="0.25">
      <c r="A989" t="s">
        <v>4016</v>
      </c>
      <c r="B989" t="s">
        <v>1166</v>
      </c>
      <c r="C989" t="s">
        <v>1165</v>
      </c>
      <c r="D989" t="s">
        <v>1074</v>
      </c>
      <c r="F989" t="str" cm="1">
        <f t="array" aca="1" ref="F989" ca="1">eConcatenar(A989:D989,"|")</f>
        <v>localidadmigrada988|QWWIMP6YP6XNYS|MARIANO ABASOLO SANTO TOMAS|final</v>
      </c>
    </row>
    <row r="990" spans="1:6" x14ac:dyDescent="0.25">
      <c r="A990" t="s">
        <v>4017</v>
      </c>
      <c r="B990" t="s">
        <v>1164</v>
      </c>
      <c r="C990" t="s">
        <v>1163</v>
      </c>
      <c r="D990" t="s">
        <v>1074</v>
      </c>
      <c r="F990" t="str" cm="1">
        <f t="array" aca="1" ref="F990" ca="1">eConcatenar(A990:D990,"|")</f>
        <v>localidadmigrada989|QWWIMPDMP6XNYS|MARIANO PEDERO PRIMERA SECCION LA PROVIDENCIA |final</v>
      </c>
    </row>
    <row r="991" spans="1:6" x14ac:dyDescent="0.25">
      <c r="A991" t="s">
        <v>4018</v>
      </c>
      <c r="B991" t="s">
        <v>1162</v>
      </c>
      <c r="C991" t="s">
        <v>1161</v>
      </c>
      <c r="D991" t="s">
        <v>1074</v>
      </c>
      <c r="F991" t="str" cm="1">
        <f t="array" aca="1" ref="F991" ca="1">eConcatenar(A991:D991,"|")</f>
        <v>localidadmigrada990|QWWIMPHSP6XNYS|MARIANO PEDRERO SEGUNDA SECCION |final</v>
      </c>
    </row>
    <row r="992" spans="1:6" x14ac:dyDescent="0.25">
      <c r="A992" t="s">
        <v>4019</v>
      </c>
      <c r="B992" t="s">
        <v>1160</v>
      </c>
      <c r="C992" t="s">
        <v>1159</v>
      </c>
      <c r="D992" t="s">
        <v>1074</v>
      </c>
      <c r="F992" t="str" cm="1">
        <f t="array" aca="1" ref="F992" ca="1">eConcatenar(A992:D992,"|")</f>
        <v>localidadmigrada991|QWWIMPLEP6XNYS|MARIANO PEDRERO TERCERA SECCION |final</v>
      </c>
    </row>
    <row r="993" spans="1:6" x14ac:dyDescent="0.25">
      <c r="A993" t="s">
        <v>4020</v>
      </c>
      <c r="B993" t="s">
        <v>1158</v>
      </c>
      <c r="C993" t="s">
        <v>1157</v>
      </c>
      <c r="D993" t="s">
        <v>1074</v>
      </c>
      <c r="F993" t="str" cm="1">
        <f t="array" aca="1" ref="F993" ca="1">eConcatenar(A993:D993,"|")</f>
        <v>localidadmigrada992|QWWIMQ22P6XNYS|MIGUEL HIDALGO PRIMERA SECCION LAS GARDENIAS |final</v>
      </c>
    </row>
    <row r="994" spans="1:6" x14ac:dyDescent="0.25">
      <c r="A994" t="s">
        <v>4021</v>
      </c>
      <c r="B994" t="s">
        <v>1156</v>
      </c>
      <c r="C994" t="s">
        <v>1155</v>
      </c>
      <c r="D994" t="s">
        <v>1074</v>
      </c>
      <c r="F994" t="str" cm="1">
        <f t="array" aca="1" ref="F994" ca="1">eConcatenar(A994:D994,"|")</f>
        <v>localidadmigrada993|QWWIMQA4P6XNYS|MIGUEL HIDALGO SEGUNDA SECCION FRANCISCO SARABIA|final</v>
      </c>
    </row>
    <row r="995" spans="1:6" x14ac:dyDescent="0.25">
      <c r="A995" t="s">
        <v>4022</v>
      </c>
      <c r="B995" t="s">
        <v>1154</v>
      </c>
      <c r="C995" t="s">
        <v>1153</v>
      </c>
      <c r="D995" t="s">
        <v>1074</v>
      </c>
      <c r="F995" t="str" cm="1">
        <f t="array" aca="1" ref="F995" ca="1">eConcatenar(A995:D995,"|")</f>
        <v>localidadmigrada994|QWWIMQCWP6XNYS|MIGUEL HIDALGO SEGUNDA SECCION LOS ALAMOS|final</v>
      </c>
    </row>
    <row r="996" spans="1:6" x14ac:dyDescent="0.25">
      <c r="A996" t="s">
        <v>4023</v>
      </c>
      <c r="B996" t="s">
        <v>1152</v>
      </c>
      <c r="C996" t="s">
        <v>1151</v>
      </c>
      <c r="D996" t="s">
        <v>1074</v>
      </c>
      <c r="F996" t="str" cm="1">
        <f t="array" aca="1" ref="F996" ca="1">eConcatenar(A996:D996,"|")</f>
        <v>localidadmigrada995|QWWIMQR2P6XNYS|MIGUEL HIDALGO SEGUNDA SECCION SAN JOAQUIN |final</v>
      </c>
    </row>
    <row r="997" spans="1:6" x14ac:dyDescent="0.25">
      <c r="A997" t="s">
        <v>4024</v>
      </c>
      <c r="B997" t="s">
        <v>1150</v>
      </c>
      <c r="C997" t="s">
        <v>1149</v>
      </c>
      <c r="D997" t="s">
        <v>1074</v>
      </c>
      <c r="F997" t="str" cm="1">
        <f t="array" aca="1" ref="F997" ca="1">eConcatenar(A997:D997,"|")</f>
        <v>localidadmigrada996|QWWIMQVSP6XNYS|MINA Y MATAMOROS LA TRINIDAD|final</v>
      </c>
    </row>
    <row r="998" spans="1:6" x14ac:dyDescent="0.25">
      <c r="A998" t="s">
        <v>4025</v>
      </c>
      <c r="B998" t="s">
        <v>1148</v>
      </c>
      <c r="C998" t="s">
        <v>1147</v>
      </c>
      <c r="D998" t="s">
        <v>1074</v>
      </c>
      <c r="F998" t="str" cm="1">
        <f t="array" aca="1" ref="F998" ca="1">eConcatenar(A998:D998,"|")</f>
        <v>localidadmigrada997|QWWIMQZOP6XNYS|NICOLAS BRAVO PRIMERA SECCION |final</v>
      </c>
    </row>
    <row r="999" spans="1:6" x14ac:dyDescent="0.25">
      <c r="A999" t="s">
        <v>4026</v>
      </c>
      <c r="B999" t="s">
        <v>1146</v>
      </c>
      <c r="C999" t="s">
        <v>1145</v>
      </c>
      <c r="D999" t="s">
        <v>1074</v>
      </c>
      <c r="F999" t="str" cm="1">
        <f t="array" aca="1" ref="F999" ca="1">eConcatenar(A999:D999,"|")</f>
        <v>localidadmigrada998|QWWIMR4OP6XNYS|NICOLAS BRAVO SEGUNDA SECCION |final</v>
      </c>
    </row>
    <row r="1000" spans="1:6" x14ac:dyDescent="0.25">
      <c r="A1000" t="s">
        <v>4027</v>
      </c>
      <c r="B1000" t="s">
        <v>1144</v>
      </c>
      <c r="C1000" t="s">
        <v>1143</v>
      </c>
      <c r="D1000" t="s">
        <v>1074</v>
      </c>
      <c r="F1000" t="str" cm="1">
        <f t="array" aca="1" ref="F1000" ca="1">eConcatenar(A1000:D1000,"|")</f>
        <v>localidadmigrada999|QWWIMROEP6XNYS|PISCIFACTORIA JOSE NARCISO ROVIROSA |final</v>
      </c>
    </row>
    <row r="1001" spans="1:6" x14ac:dyDescent="0.25">
      <c r="A1001" t="s">
        <v>4028</v>
      </c>
      <c r="B1001" t="s">
        <v>1142</v>
      </c>
      <c r="C1001" t="s">
        <v>1141</v>
      </c>
      <c r="D1001" t="s">
        <v>1074</v>
      </c>
      <c r="F1001" t="str" cm="1">
        <f t="array" aca="1" ref="F1001" ca="1">eConcatenar(A1001:D1001,"|")</f>
        <v>localidadmigrada1000|QWWIMRUIP6XNYS|SAN ANTONIO|final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6925-BD81-4655-AE6F-9E752333B8B0}">
  <dimension ref="A1:G344"/>
  <sheetViews>
    <sheetView topLeftCell="A316" workbookViewId="0">
      <selection activeCell="G2" sqref="G2:G344"/>
    </sheetView>
  </sheetViews>
  <sheetFormatPr baseColWidth="10" defaultRowHeight="15" x14ac:dyDescent="0.25"/>
  <cols>
    <col min="2" max="2" width="53.140625" bestFit="1" customWidth="1"/>
    <col min="3" max="3" width="47" bestFit="1" customWidth="1"/>
  </cols>
  <sheetData>
    <row r="1" spans="1:7" x14ac:dyDescent="0.25">
      <c r="B1" t="s">
        <v>4029</v>
      </c>
      <c r="C1" t="s">
        <v>4030</v>
      </c>
      <c r="D1" t="s">
        <v>4031</v>
      </c>
      <c r="E1" t="s">
        <v>4032</v>
      </c>
    </row>
    <row r="2" spans="1:7" x14ac:dyDescent="0.25">
      <c r="A2" s="6" t="s">
        <v>0</v>
      </c>
      <c r="B2" s="4" t="s">
        <v>9</v>
      </c>
      <c r="C2" s="4" t="s">
        <v>9</v>
      </c>
      <c r="D2" s="4" t="s">
        <v>3</v>
      </c>
      <c r="E2" s="4" t="s">
        <v>3</v>
      </c>
      <c r="G2" t="str">
        <f t="shared" ref="G2:G65" si="0">CONCATENATE(A2,"|","SELECT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'",C2,"' AND fl.Localidad = '",C2,"' AND fm.Municipio = '",E2,"';")</f>
        <v>MIG1|SELECT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EMBUDO' AND fl.Localidad = 'FOVISSSTE EMBUDO' AND fm.Municipio = 'CARDENAS';</v>
      </c>
    </row>
    <row r="3" spans="1:7" x14ac:dyDescent="0.25">
      <c r="A3" s="6" t="s">
        <v>13</v>
      </c>
      <c r="B3" s="4" t="s">
        <v>19</v>
      </c>
      <c r="C3" s="4" t="s">
        <v>20</v>
      </c>
      <c r="D3" s="4" t="s">
        <v>3</v>
      </c>
      <c r="E3" s="4" t="s">
        <v>3</v>
      </c>
      <c r="G3" t="str">
        <f t="shared" si="0"/>
        <v>MIG2|SELECT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4" spans="1:7" x14ac:dyDescent="0.25">
      <c r="A4" s="6" t="s">
        <v>21</v>
      </c>
      <c r="B4" s="4" t="s">
        <v>26</v>
      </c>
      <c r="C4" s="4" t="s">
        <v>26</v>
      </c>
      <c r="D4" s="4" t="s">
        <v>3</v>
      </c>
      <c r="E4" s="4" t="s">
        <v>3</v>
      </c>
      <c r="G4" t="str">
        <f t="shared" si="0"/>
        <v>MIG3|SELECT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5" spans="1:7" x14ac:dyDescent="0.25">
      <c r="A5" s="6" t="s">
        <v>27</v>
      </c>
      <c r="B5" s="4" t="s">
        <v>31</v>
      </c>
      <c r="C5" s="4" t="s">
        <v>31</v>
      </c>
      <c r="D5" s="4" t="s">
        <v>3</v>
      </c>
      <c r="E5" s="4" t="s">
        <v>3</v>
      </c>
      <c r="G5" t="str">
        <f t="shared" si="0"/>
        <v>MIG4|SELECT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6" spans="1:7" x14ac:dyDescent="0.25">
      <c r="A6" s="6" t="s">
        <v>32</v>
      </c>
      <c r="B6" s="4" t="s">
        <v>34</v>
      </c>
      <c r="C6" s="4" t="s">
        <v>34</v>
      </c>
      <c r="D6" s="4" t="s">
        <v>3</v>
      </c>
      <c r="E6" s="4" t="s">
        <v>3</v>
      </c>
      <c r="G6" t="str">
        <f t="shared" si="0"/>
        <v>MIG5|SELECT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" spans="1:7" x14ac:dyDescent="0.25">
      <c r="A7" s="6" t="s">
        <v>35</v>
      </c>
      <c r="B7" s="4" t="s">
        <v>38</v>
      </c>
      <c r="C7" s="4" t="s">
        <v>40</v>
      </c>
      <c r="D7" s="4" t="s">
        <v>3</v>
      </c>
      <c r="E7" s="4" t="s">
        <v>3</v>
      </c>
      <c r="G7" t="str">
        <f t="shared" si="0"/>
        <v>MIG6|SELECT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" spans="1:7" x14ac:dyDescent="0.25">
      <c r="A8" s="6" t="s">
        <v>41</v>
      </c>
      <c r="B8" s="4" t="s">
        <v>43</v>
      </c>
      <c r="C8" s="4" t="s">
        <v>45</v>
      </c>
      <c r="D8" s="4" t="s">
        <v>3</v>
      </c>
      <c r="E8" s="4" t="s">
        <v>3</v>
      </c>
      <c r="G8" t="str">
        <f t="shared" si="0"/>
        <v>MIG7|SELECT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 ROJAS' AND fl.Localidad = 'ROGELIO RUIZ  ROJAS' AND fm.Municipio = 'CARDENAS';</v>
      </c>
    </row>
    <row r="9" spans="1:7" x14ac:dyDescent="0.25">
      <c r="A9" s="6" t="s">
        <v>46</v>
      </c>
      <c r="B9" s="4" t="s">
        <v>26</v>
      </c>
      <c r="C9" s="4" t="s">
        <v>26</v>
      </c>
      <c r="D9" s="4" t="s">
        <v>3</v>
      </c>
      <c r="E9" s="4" t="s">
        <v>3</v>
      </c>
      <c r="G9" t="str">
        <f t="shared" si="0"/>
        <v>MIG8|SELECT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" spans="1:7" x14ac:dyDescent="0.25">
      <c r="A10" s="6" t="s">
        <v>50</v>
      </c>
      <c r="B10" s="4" t="s">
        <v>53</v>
      </c>
      <c r="C10" s="4" t="s">
        <v>53</v>
      </c>
      <c r="D10" s="4" t="s">
        <v>3</v>
      </c>
      <c r="E10" s="4" t="s">
        <v>3</v>
      </c>
      <c r="G10" t="str">
        <f t="shared" si="0"/>
        <v>MIG9|SELECT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11" spans="1:7" x14ac:dyDescent="0.25">
      <c r="A11" s="6" t="s">
        <v>54</v>
      </c>
      <c r="B11" s="4" t="s">
        <v>57</v>
      </c>
      <c r="C11" s="4" t="s">
        <v>57</v>
      </c>
      <c r="D11" s="4" t="s">
        <v>3</v>
      </c>
      <c r="E11" s="4" t="s">
        <v>3</v>
      </c>
      <c r="G11" t="str">
        <f t="shared" si="0"/>
        <v>MIG10|SELECT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" spans="1:7" x14ac:dyDescent="0.25">
      <c r="A12" s="6" t="s">
        <v>58</v>
      </c>
      <c r="B12" s="4" t="s">
        <v>57</v>
      </c>
      <c r="C12" s="4" t="s">
        <v>57</v>
      </c>
      <c r="D12" s="4" t="s">
        <v>3</v>
      </c>
      <c r="E12" s="4" t="s">
        <v>3</v>
      </c>
      <c r="G12" t="str">
        <f t="shared" si="0"/>
        <v>MIG11|SELECT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" spans="1:7" x14ac:dyDescent="0.25">
      <c r="A13" s="6" t="s">
        <v>61</v>
      </c>
      <c r="B13" s="4" t="s">
        <v>63</v>
      </c>
      <c r="C13" s="4" t="s">
        <v>63</v>
      </c>
      <c r="D13" s="4" t="s">
        <v>3</v>
      </c>
      <c r="E13" s="4" t="s">
        <v>3</v>
      </c>
      <c r="G13" t="str">
        <f t="shared" si="0"/>
        <v>MIG12|SELECT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' AND fl.Localidad = 'EL BAJIO ' AND fm.Municipio = 'CARDENAS';</v>
      </c>
    </row>
    <row r="14" spans="1:7" x14ac:dyDescent="0.25">
      <c r="A14" s="6" t="s">
        <v>64</v>
      </c>
      <c r="B14" s="4" t="s">
        <v>67</v>
      </c>
      <c r="C14" s="4" t="s">
        <v>68</v>
      </c>
      <c r="D14" s="4" t="s">
        <v>3</v>
      </c>
      <c r="E14" s="4" t="s">
        <v>3</v>
      </c>
      <c r="G14" t="str">
        <f t="shared" si="0"/>
        <v>MIG13|SELECT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2' AND fl.Localidad = 'FRACCIONAMIENTO CAÑALES 2' AND fm.Municipio = 'CARDENAS';</v>
      </c>
    </row>
    <row r="15" spans="1:7" x14ac:dyDescent="0.25">
      <c r="A15" s="6" t="s">
        <v>69</v>
      </c>
      <c r="B15" s="4" t="s">
        <v>72</v>
      </c>
      <c r="C15" s="4" t="s">
        <v>72</v>
      </c>
      <c r="D15" s="4" t="s">
        <v>3</v>
      </c>
      <c r="E15" s="4" t="s">
        <v>3</v>
      </c>
      <c r="G15" t="str">
        <f t="shared" si="0"/>
        <v>MIG14|SELECT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6" spans="1:7" x14ac:dyDescent="0.25">
      <c r="A16" s="6" t="s">
        <v>73</v>
      </c>
      <c r="B16" s="4" t="s">
        <v>40</v>
      </c>
      <c r="C16" s="4" t="s">
        <v>40</v>
      </c>
      <c r="D16" s="4" t="s">
        <v>3</v>
      </c>
      <c r="E16" s="4" t="s">
        <v>3</v>
      </c>
      <c r="G16" t="str">
        <f t="shared" si="0"/>
        <v>MIG15|SELECT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" spans="1:7" x14ac:dyDescent="0.25">
      <c r="A17" s="6" t="s">
        <v>76</v>
      </c>
      <c r="B17" s="4" t="s">
        <v>78</v>
      </c>
      <c r="C17" s="4" t="s">
        <v>78</v>
      </c>
      <c r="D17" s="4" t="s">
        <v>3</v>
      </c>
      <c r="E17" s="4" t="s">
        <v>3</v>
      </c>
      <c r="G17" t="str">
        <f t="shared" si="0"/>
        <v>MIG16|SELECT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18" spans="1:7" x14ac:dyDescent="0.25">
      <c r="A18" s="6" t="s">
        <v>79</v>
      </c>
      <c r="B18" s="4" t="s">
        <v>83</v>
      </c>
      <c r="C18" s="4" t="s">
        <v>83</v>
      </c>
      <c r="D18" s="4" t="s">
        <v>3</v>
      </c>
      <c r="E18" s="4" t="s">
        <v>3</v>
      </c>
      <c r="G18" t="str">
        <f t="shared" si="0"/>
        <v>MIG17|SELECT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19" spans="1:7" x14ac:dyDescent="0.25">
      <c r="A19" s="6" t="s">
        <v>84</v>
      </c>
      <c r="B19" s="4" t="s">
        <v>86</v>
      </c>
      <c r="C19" s="4" t="s">
        <v>86</v>
      </c>
      <c r="D19" s="4" t="s">
        <v>3</v>
      </c>
      <c r="E19" s="4" t="s">
        <v>3</v>
      </c>
      <c r="G19" t="str">
        <f t="shared" si="0"/>
        <v>MIG18|SELECT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20" spans="1:7" x14ac:dyDescent="0.25">
      <c r="A20" s="6" t="s">
        <v>87</v>
      </c>
      <c r="B20" s="4" t="s">
        <v>91</v>
      </c>
      <c r="C20" s="4" t="s">
        <v>91</v>
      </c>
      <c r="D20" s="4" t="s">
        <v>3</v>
      </c>
      <c r="E20" s="4" t="s">
        <v>3</v>
      </c>
      <c r="G20" t="str">
        <f t="shared" si="0"/>
        <v>MIG19|SELECT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21" spans="1:7" x14ac:dyDescent="0.25">
      <c r="A21" s="6" t="s">
        <v>93</v>
      </c>
      <c r="B21" s="4" t="s">
        <v>96</v>
      </c>
      <c r="C21" s="4" t="s">
        <v>97</v>
      </c>
      <c r="D21" s="4" t="s">
        <v>3</v>
      </c>
      <c r="E21" s="4" t="s">
        <v>3</v>
      </c>
      <c r="G21" t="str">
        <f t="shared" si="0"/>
        <v>MIG20|SELECT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'CARDENAS';</v>
      </c>
    </row>
    <row r="22" spans="1:7" x14ac:dyDescent="0.25">
      <c r="A22" s="6" t="s">
        <v>98</v>
      </c>
      <c r="B22" s="4" t="s">
        <v>102</v>
      </c>
      <c r="C22" s="4" t="s">
        <v>102</v>
      </c>
      <c r="D22" s="4" t="s">
        <v>3</v>
      </c>
      <c r="E22" s="4" t="s">
        <v>3</v>
      </c>
      <c r="G22" t="str">
        <f t="shared" si="0"/>
        <v>MIG21|SELECT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23" spans="1:7" x14ac:dyDescent="0.25">
      <c r="A23" s="6" t="s">
        <v>103</v>
      </c>
      <c r="B23" s="4" t="s">
        <v>105</v>
      </c>
      <c r="C23" s="4" t="s">
        <v>105</v>
      </c>
      <c r="D23" s="4" t="s">
        <v>3</v>
      </c>
      <c r="E23" s="4" t="s">
        <v>3</v>
      </c>
      <c r="G23" t="str">
        <f t="shared" si="0"/>
        <v>MIG22|SELECT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4" spans="1:7" x14ac:dyDescent="0.25">
      <c r="A24" s="6" t="s">
        <v>107</v>
      </c>
      <c r="B24" s="4" t="s">
        <v>105</v>
      </c>
      <c r="C24" s="4" t="s">
        <v>105</v>
      </c>
      <c r="D24" s="4" t="s">
        <v>3</v>
      </c>
      <c r="E24" s="4" t="s">
        <v>3</v>
      </c>
      <c r="G24" t="str">
        <f t="shared" si="0"/>
        <v>MIG23|SELECT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5" spans="1:7" x14ac:dyDescent="0.25">
      <c r="A25" s="6" t="s">
        <v>112</v>
      </c>
      <c r="B25" s="4" t="s">
        <v>72</v>
      </c>
      <c r="C25" s="4" t="s">
        <v>72</v>
      </c>
      <c r="D25" s="4" t="s">
        <v>3</v>
      </c>
      <c r="E25" s="4" t="s">
        <v>3</v>
      </c>
      <c r="G25" t="str">
        <f t="shared" si="0"/>
        <v>MIG24|SELECT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6" spans="1:7" x14ac:dyDescent="0.25">
      <c r="A26" s="6" t="s">
        <v>115</v>
      </c>
      <c r="B26" s="4" t="s">
        <v>119</v>
      </c>
      <c r="C26" s="4" t="s">
        <v>119</v>
      </c>
      <c r="D26" s="4" t="s">
        <v>3</v>
      </c>
      <c r="E26" s="4" t="s">
        <v>3</v>
      </c>
      <c r="G26" t="str">
        <f t="shared" si="0"/>
        <v>MIG25|SELECT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27" spans="1:7" x14ac:dyDescent="0.25">
      <c r="A27" s="6" t="s">
        <v>120</v>
      </c>
      <c r="B27" s="4" t="s">
        <v>105</v>
      </c>
      <c r="C27" s="4" t="s">
        <v>105</v>
      </c>
      <c r="D27" s="4" t="s">
        <v>3</v>
      </c>
      <c r="E27" s="4" t="s">
        <v>3</v>
      </c>
      <c r="G27" t="str">
        <f t="shared" si="0"/>
        <v>MIG26|SELECT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8" spans="1:7" x14ac:dyDescent="0.25">
      <c r="A28" s="6" t="s">
        <v>122</v>
      </c>
      <c r="B28" s="4" t="s">
        <v>125</v>
      </c>
      <c r="C28" s="4" t="s">
        <v>125</v>
      </c>
      <c r="D28" s="4" t="s">
        <v>3</v>
      </c>
      <c r="E28" s="4" t="s">
        <v>3</v>
      </c>
      <c r="G28" t="str">
        <f t="shared" si="0"/>
        <v>MIG27|SELECT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TORRUCO VERA' AND fl.Localidad = 'JOSE TORRUCO VERA' AND fm.Municipio = 'CARDENAS';</v>
      </c>
    </row>
    <row r="29" spans="1:7" x14ac:dyDescent="0.25">
      <c r="A29" s="6" t="s">
        <v>126</v>
      </c>
      <c r="B29" s="4" t="s">
        <v>57</v>
      </c>
      <c r="C29" s="4" t="s">
        <v>57</v>
      </c>
      <c r="D29" s="4" t="s">
        <v>3</v>
      </c>
      <c r="E29" s="4" t="s">
        <v>3</v>
      </c>
      <c r="G29" t="str">
        <f t="shared" si="0"/>
        <v>MIG28|SELECT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30" spans="1:7" x14ac:dyDescent="0.25">
      <c r="A30" s="6" t="s">
        <v>128</v>
      </c>
      <c r="B30" s="4" t="s">
        <v>130</v>
      </c>
      <c r="C30" s="4" t="s">
        <v>131</v>
      </c>
      <c r="D30" s="4" t="s">
        <v>3</v>
      </c>
      <c r="E30" s="4" t="s">
        <v>3</v>
      </c>
      <c r="G30" t="str">
        <f t="shared" si="0"/>
        <v>MIG29|SELECT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SECCIOMN' AND fl.Localidad = 'EL BAJIO SEGUNDA SECCIOMN' AND fm.Municipio = 'CARDENAS';</v>
      </c>
    </row>
    <row r="31" spans="1:7" x14ac:dyDescent="0.25">
      <c r="A31" s="6" t="s">
        <v>132</v>
      </c>
      <c r="B31" s="4" t="s">
        <v>136</v>
      </c>
      <c r="C31" s="4" t="s">
        <v>136</v>
      </c>
      <c r="D31" s="4" t="s">
        <v>133</v>
      </c>
      <c r="E31" s="4" t="s">
        <v>133</v>
      </c>
      <c r="G31" t="str">
        <f t="shared" si="0"/>
        <v>MIG30|SELECT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PINOS' AND fl.Localidad = 'LOS PINOS' AND fm.Municipio = 'HUIMANGUILLO';</v>
      </c>
    </row>
    <row r="32" spans="1:7" x14ac:dyDescent="0.25">
      <c r="A32" s="6" t="s">
        <v>137</v>
      </c>
      <c r="B32" s="4" t="s">
        <v>26</v>
      </c>
      <c r="C32" s="4" t="s">
        <v>26</v>
      </c>
      <c r="D32" s="4" t="s">
        <v>3</v>
      </c>
      <c r="E32" s="4" t="s">
        <v>3</v>
      </c>
      <c r="G32" t="str">
        <f t="shared" si="0"/>
        <v>MIG31|SELECT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33" spans="1:7" x14ac:dyDescent="0.25">
      <c r="A33" s="6" t="s">
        <v>140</v>
      </c>
      <c r="B33" s="4" t="s">
        <v>143</v>
      </c>
      <c r="C33" s="4" t="s">
        <v>144</v>
      </c>
      <c r="D33" s="4" t="s">
        <v>3</v>
      </c>
      <c r="E33" s="4" t="s">
        <v>3</v>
      </c>
      <c r="G33" t="str">
        <f t="shared" si="0"/>
        <v>MIG32|SELECT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'CARDENAS';</v>
      </c>
    </row>
    <row r="34" spans="1:7" x14ac:dyDescent="0.25">
      <c r="A34" s="6" t="s">
        <v>145</v>
      </c>
      <c r="B34" s="4" t="s">
        <v>147</v>
      </c>
      <c r="C34" s="4" t="s">
        <v>148</v>
      </c>
      <c r="D34" s="4" t="s">
        <v>3</v>
      </c>
      <c r="E34" s="4" t="s">
        <v>3</v>
      </c>
      <c r="G34" t="str">
        <f t="shared" si="0"/>
        <v>MIG33|SELECT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5" spans="1:7" x14ac:dyDescent="0.25">
      <c r="A35" s="6" t="s">
        <v>149</v>
      </c>
      <c r="B35" s="4" t="s">
        <v>151</v>
      </c>
      <c r="C35" s="4" t="s">
        <v>151</v>
      </c>
      <c r="D35" s="4" t="s">
        <v>3</v>
      </c>
      <c r="E35" s="4" t="s">
        <v>3</v>
      </c>
      <c r="G35" t="str">
        <f t="shared" si="0"/>
        <v>MIG34|SELECT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SEGUNDA ETAPA SUR' AND fl.Localidad = 'FRACCIONAMIENTO CAÑALES SEGUNDA ETAPA SUR' AND fm.Municipio = 'CARDENAS';</v>
      </c>
    </row>
    <row r="36" spans="1:7" x14ac:dyDescent="0.25">
      <c r="A36" s="6" t="s">
        <v>152</v>
      </c>
      <c r="B36" s="4" t="s">
        <v>147</v>
      </c>
      <c r="C36" s="4" t="s">
        <v>148</v>
      </c>
      <c r="D36" s="4" t="s">
        <v>3</v>
      </c>
      <c r="E36" s="4" t="s">
        <v>3</v>
      </c>
      <c r="G36" t="str">
        <f t="shared" si="0"/>
        <v>MIG35|SELECT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7" spans="1:7" x14ac:dyDescent="0.25">
      <c r="A37" s="6" t="s">
        <v>156</v>
      </c>
      <c r="B37" s="4" t="s">
        <v>158</v>
      </c>
      <c r="C37" s="4" t="s">
        <v>158</v>
      </c>
      <c r="D37" s="4" t="s">
        <v>3</v>
      </c>
      <c r="E37" s="4" t="s">
        <v>3</v>
      </c>
      <c r="G37" t="str">
        <f t="shared" si="0"/>
        <v>MIG36|SELECT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38" spans="1:7" x14ac:dyDescent="0.25">
      <c r="A38" s="6" t="s">
        <v>159</v>
      </c>
      <c r="B38" s="4" t="s">
        <v>53</v>
      </c>
      <c r="C38" s="4" t="s">
        <v>53</v>
      </c>
      <c r="D38" s="4" t="s">
        <v>3</v>
      </c>
      <c r="E38" s="4" t="s">
        <v>3</v>
      </c>
      <c r="G38" t="str">
        <f t="shared" si="0"/>
        <v>MIG37|SELECT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39" spans="1:7" x14ac:dyDescent="0.25">
      <c r="A39" s="6" t="s">
        <v>162</v>
      </c>
      <c r="B39" s="4" t="s">
        <v>57</v>
      </c>
      <c r="C39" s="4" t="s">
        <v>57</v>
      </c>
      <c r="D39" s="4" t="s">
        <v>3</v>
      </c>
      <c r="E39" s="4" t="s">
        <v>3</v>
      </c>
      <c r="G39" t="str">
        <f t="shared" si="0"/>
        <v>MIG38|SELECT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0" spans="1:7" x14ac:dyDescent="0.25">
      <c r="A40" s="6" t="s">
        <v>165</v>
      </c>
      <c r="B40" s="4" t="s">
        <v>78</v>
      </c>
      <c r="C40" s="4" t="s">
        <v>78</v>
      </c>
      <c r="D40" s="4" t="s">
        <v>3</v>
      </c>
      <c r="E40" s="4" t="s">
        <v>3</v>
      </c>
      <c r="G40" t="str">
        <f t="shared" si="0"/>
        <v>MIG39|SELECT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41" spans="1:7" x14ac:dyDescent="0.25">
      <c r="A41" s="6" t="s">
        <v>167</v>
      </c>
      <c r="B41" s="4" t="s">
        <v>31</v>
      </c>
      <c r="C41" s="4" t="s">
        <v>31</v>
      </c>
      <c r="D41" s="4" t="s">
        <v>3</v>
      </c>
      <c r="E41" s="4" t="s">
        <v>3</v>
      </c>
      <c r="G41" t="str">
        <f t="shared" si="0"/>
        <v>MIG40|SELECT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42" spans="1:7" x14ac:dyDescent="0.25">
      <c r="A42" s="6" t="s">
        <v>169</v>
      </c>
      <c r="B42" s="4" t="s">
        <v>57</v>
      </c>
      <c r="C42" s="4" t="s">
        <v>57</v>
      </c>
      <c r="D42" s="4" t="s">
        <v>3</v>
      </c>
      <c r="E42" s="4" t="s">
        <v>3</v>
      </c>
      <c r="G42" t="str">
        <f t="shared" si="0"/>
        <v>MIG41|SELECT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3" spans="1:7" x14ac:dyDescent="0.25">
      <c r="A43" s="6" t="s">
        <v>171</v>
      </c>
      <c r="B43" s="4" t="s">
        <v>174</v>
      </c>
      <c r="C43" s="4" t="s">
        <v>174</v>
      </c>
      <c r="D43" s="4" t="s">
        <v>3</v>
      </c>
      <c r="E43" s="4" t="s">
        <v>3</v>
      </c>
      <c r="G43" t="str">
        <f t="shared" si="0"/>
        <v>MIG42|SELECT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ESMERALDA' AND fl.Localidad = 'VILLA ESMERALDA' AND fm.Municipio = 'CARDENAS';</v>
      </c>
    </row>
    <row r="44" spans="1:7" x14ac:dyDescent="0.25">
      <c r="A44" s="6" t="s">
        <v>175</v>
      </c>
      <c r="B44" s="4" t="s">
        <v>177</v>
      </c>
      <c r="C44" s="4" t="s">
        <v>177</v>
      </c>
      <c r="D44" s="4" t="s">
        <v>3</v>
      </c>
      <c r="E44" s="4" t="s">
        <v>3</v>
      </c>
      <c r="G44" t="str">
        <f t="shared" si="0"/>
        <v>MIG43|SELECT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45" spans="1:7" x14ac:dyDescent="0.25">
      <c r="A45" s="6" t="s">
        <v>178</v>
      </c>
      <c r="B45" s="4" t="s">
        <v>180</v>
      </c>
      <c r="C45" s="4" t="s">
        <v>180</v>
      </c>
      <c r="D45" s="4" t="s">
        <v>3</v>
      </c>
      <c r="E45" s="4" t="s">
        <v>3</v>
      </c>
      <c r="G45" t="str">
        <f t="shared" si="0"/>
        <v>MIG44|SELECT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JARDINES DE TABASCO' AND fl.Localidad = 'FRACCIONAMIENTO JARDINES DE TABASCO' AND fm.Municipio = 'CARDENAS';</v>
      </c>
    </row>
    <row r="46" spans="1:7" x14ac:dyDescent="0.25">
      <c r="A46" s="6" t="s">
        <v>181</v>
      </c>
      <c r="B46" s="4" t="s">
        <v>72</v>
      </c>
      <c r="C46" s="4" t="s">
        <v>72</v>
      </c>
      <c r="D46" s="4" t="s">
        <v>3</v>
      </c>
      <c r="E46" s="4" t="s">
        <v>3</v>
      </c>
      <c r="G46" t="str">
        <f t="shared" si="0"/>
        <v>MIG45|SELECT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47" spans="1:7" x14ac:dyDescent="0.25">
      <c r="A47" s="6" t="s">
        <v>183</v>
      </c>
      <c r="B47" s="4" t="s">
        <v>185</v>
      </c>
      <c r="C47" s="4" t="s">
        <v>185</v>
      </c>
      <c r="D47" s="4" t="s">
        <v>3</v>
      </c>
      <c r="E47" s="4" t="s">
        <v>3</v>
      </c>
      <c r="G47" t="str">
        <f t="shared" si="0"/>
        <v>MIG46|SELECT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48" spans="1:7" x14ac:dyDescent="0.25">
      <c r="A48" s="6" t="s">
        <v>186</v>
      </c>
      <c r="B48" s="4" t="s">
        <v>40</v>
      </c>
      <c r="C48" s="4" t="s">
        <v>40</v>
      </c>
      <c r="D48" s="4" t="s">
        <v>3</v>
      </c>
      <c r="E48" s="4" t="s">
        <v>3</v>
      </c>
      <c r="G48" t="str">
        <f t="shared" si="0"/>
        <v>MIG47|SELECT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49" spans="1:7" x14ac:dyDescent="0.25">
      <c r="A49" s="6" t="s">
        <v>188</v>
      </c>
      <c r="B49" s="4" t="s">
        <v>91</v>
      </c>
      <c r="C49" s="4" t="s">
        <v>91</v>
      </c>
      <c r="D49" s="4" t="s">
        <v>3</v>
      </c>
      <c r="E49" s="4" t="s">
        <v>3</v>
      </c>
      <c r="G49" t="str">
        <f t="shared" si="0"/>
        <v>MIG48|SELECT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50" spans="1:7" x14ac:dyDescent="0.25">
      <c r="A50" s="6" t="s">
        <v>190</v>
      </c>
      <c r="B50" s="4" t="s">
        <v>192</v>
      </c>
      <c r="C50" s="4" t="s">
        <v>192</v>
      </c>
      <c r="D50" s="4" t="s">
        <v>3</v>
      </c>
      <c r="E50" s="4" t="s">
        <v>3</v>
      </c>
      <c r="G50" t="str">
        <f t="shared" si="0"/>
        <v>MIG49|SELECT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51" spans="1:7" x14ac:dyDescent="0.25">
      <c r="A51" s="10" t="s">
        <v>193</v>
      </c>
      <c r="B51" s="11" t="s">
        <v>196</v>
      </c>
      <c r="C51" s="11" t="s">
        <v>72</v>
      </c>
      <c r="D51" s="11" t="s">
        <v>3</v>
      </c>
      <c r="E51" s="11" t="s">
        <v>3</v>
      </c>
      <c r="G51" t="str">
        <f t="shared" si="0"/>
        <v>MIG50|SELECT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52" spans="1:7" x14ac:dyDescent="0.25">
      <c r="A52" s="10" t="s">
        <v>197</v>
      </c>
      <c r="B52" s="11" t="s">
        <v>106</v>
      </c>
      <c r="C52" s="11" t="s">
        <v>199</v>
      </c>
      <c r="D52" s="11" t="s">
        <v>133</v>
      </c>
      <c r="E52" s="11" t="s">
        <v>133</v>
      </c>
      <c r="G52" t="str">
        <f t="shared" si="0"/>
        <v>MIG51|SELECT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53" spans="1:7" x14ac:dyDescent="0.25">
      <c r="A53" s="10" t="s">
        <v>200</v>
      </c>
      <c r="B53" s="11" t="s">
        <v>203</v>
      </c>
      <c r="C53" s="11" t="s">
        <v>204</v>
      </c>
      <c r="D53" s="11" t="s">
        <v>3</v>
      </c>
      <c r="E53" s="11" t="s">
        <v>3</v>
      </c>
      <c r="G53" t="str">
        <f t="shared" si="0"/>
        <v>MIG52|SELECT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TOMA BONITA' AND fl.Localidad = 'INFONAVIT TOMA BONITA' AND fm.Municipio = 'CARDENAS';</v>
      </c>
    </row>
    <row r="54" spans="1:7" x14ac:dyDescent="0.25">
      <c r="A54" s="10" t="s">
        <v>205</v>
      </c>
      <c r="B54" s="11" t="s">
        <v>209</v>
      </c>
      <c r="C54" s="11" t="s">
        <v>210</v>
      </c>
      <c r="D54" s="11" t="s">
        <v>3</v>
      </c>
      <c r="E54" s="11" t="s">
        <v>3</v>
      </c>
      <c r="G54" t="str">
        <f t="shared" si="0"/>
        <v>MIG53|SELECT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TENOSIQUE NUMERO 256' AND fl.Localidad = 'SECCION 40 TENOSIQUE NUMERO 256' AND fm.Municipio = 'CARDENAS';</v>
      </c>
    </row>
    <row r="55" spans="1:7" x14ac:dyDescent="0.25">
      <c r="A55" s="10" t="s">
        <v>211</v>
      </c>
      <c r="B55" s="11" t="s">
        <v>213</v>
      </c>
      <c r="C55" s="11" t="s">
        <v>212</v>
      </c>
      <c r="D55" s="11" t="s">
        <v>3</v>
      </c>
      <c r="E55" s="11" t="s">
        <v>3</v>
      </c>
      <c r="G55" t="str">
        <f t="shared" si="0"/>
        <v>MIG54|SELECT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56" spans="1:7" x14ac:dyDescent="0.25">
      <c r="A56" s="10" t="s">
        <v>214</v>
      </c>
      <c r="B56" s="11" t="s">
        <v>216</v>
      </c>
      <c r="C56" s="11" t="s">
        <v>215</v>
      </c>
      <c r="D56" s="11" t="s">
        <v>3</v>
      </c>
      <c r="E56" s="11" t="s">
        <v>3</v>
      </c>
      <c r="G56" t="str">
        <f t="shared" si="0"/>
        <v>MIG55|SELECT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57" spans="1:7" x14ac:dyDescent="0.25">
      <c r="A57" s="10" t="s">
        <v>217</v>
      </c>
      <c r="B57" s="11" t="s">
        <v>219</v>
      </c>
      <c r="C57" s="11" t="s">
        <v>34</v>
      </c>
      <c r="D57" s="11" t="s">
        <v>3</v>
      </c>
      <c r="E57" s="11" t="s">
        <v>3</v>
      </c>
      <c r="G57" t="str">
        <f t="shared" si="0"/>
        <v>MIG56|SELECT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58" spans="1:7" x14ac:dyDescent="0.25">
      <c r="A58" s="10" t="s">
        <v>220</v>
      </c>
      <c r="B58" s="11" t="s">
        <v>221</v>
      </c>
      <c r="C58" s="11" t="s">
        <v>57</v>
      </c>
      <c r="D58" s="11" t="s">
        <v>3</v>
      </c>
      <c r="E58" s="11" t="s">
        <v>3</v>
      </c>
      <c r="G58" t="str">
        <f t="shared" si="0"/>
        <v>MIG57|SELECT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59" spans="1:7" x14ac:dyDescent="0.25">
      <c r="A59" s="10" t="s">
        <v>222</v>
      </c>
      <c r="B59" s="11" t="s">
        <v>224</v>
      </c>
      <c r="C59" s="11" t="s">
        <v>225</v>
      </c>
      <c r="D59" s="11" t="s">
        <v>3</v>
      </c>
      <c r="E59" s="11" t="s">
        <v>3</v>
      </c>
      <c r="G59" t="str">
        <f t="shared" si="0"/>
        <v>MIG58|SELECT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 II SIN NUMERO' AND fl.Localidad = 'JACINTO LOPEZ ARABIA II SIN NUMERO' AND fm.Municipio = 'CARDENAS';</v>
      </c>
    </row>
    <row r="60" spans="1:7" x14ac:dyDescent="0.25">
      <c r="A60" s="10" t="s">
        <v>226</v>
      </c>
      <c r="B60" s="11" t="s">
        <v>228</v>
      </c>
      <c r="C60" s="11" t="s">
        <v>72</v>
      </c>
      <c r="D60" s="11" t="s">
        <v>3</v>
      </c>
      <c r="E60" s="11" t="s">
        <v>3</v>
      </c>
      <c r="G60" t="str">
        <f t="shared" si="0"/>
        <v>MIG59|SELECT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1" spans="1:7" x14ac:dyDescent="0.25">
      <c r="A61" s="10" t="s">
        <v>229</v>
      </c>
      <c r="B61" s="11" t="s">
        <v>231</v>
      </c>
      <c r="C61" s="11" t="s">
        <v>232</v>
      </c>
      <c r="D61" s="11" t="s">
        <v>3</v>
      </c>
      <c r="E61" s="11" t="s">
        <v>3</v>
      </c>
      <c r="G61" t="str">
        <f t="shared" si="0"/>
        <v>MIG60|SELECT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FRONTERA NUMERO 31 B' AND fl.Localidad = 'SECCION 40 FRONTERA NUMERO 31 B' AND fm.Municipio = 'CARDENAS';</v>
      </c>
    </row>
    <row r="62" spans="1:7" x14ac:dyDescent="0.25">
      <c r="A62" s="10" t="s">
        <v>233</v>
      </c>
      <c r="B62" s="11" t="s">
        <v>236</v>
      </c>
      <c r="C62" s="11" t="s">
        <v>235</v>
      </c>
      <c r="D62" s="11" t="s">
        <v>3</v>
      </c>
      <c r="E62" s="11" t="s">
        <v>3</v>
      </c>
      <c r="G62" t="str">
        <f t="shared" si="0"/>
        <v>MIG61|SELECT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'CHACHALACA NUMERO 124' AND fl.Localidad = 'CHACHALACA NUMERO 124' AND fm.Municipio = 'CARDENAS';</v>
      </c>
    </row>
    <row r="63" spans="1:7" x14ac:dyDescent="0.25">
      <c r="A63" s="10" t="s">
        <v>237</v>
      </c>
      <c r="B63" s="11" t="s">
        <v>239</v>
      </c>
      <c r="C63" s="11" t="s">
        <v>241</v>
      </c>
      <c r="D63" s="11" t="s">
        <v>3</v>
      </c>
      <c r="E63" s="11" t="s">
        <v>3</v>
      </c>
      <c r="G63" t="str">
        <f t="shared" si="0"/>
        <v>MIG62|SELECT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'MANUEL LEYVA' AND fl.Localidad = 'MANUEL LEYVA' AND fm.Municipio = 'CARDENAS';</v>
      </c>
    </row>
    <row r="64" spans="1:7" x14ac:dyDescent="0.25">
      <c r="A64" s="10" t="s">
        <v>242</v>
      </c>
      <c r="B64" s="11" t="s">
        <v>244</v>
      </c>
      <c r="C64" s="11" t="s">
        <v>244</v>
      </c>
      <c r="D64" s="11" t="s">
        <v>3</v>
      </c>
      <c r="E64" s="11" t="s">
        <v>3</v>
      </c>
      <c r="G64" t="str">
        <f t="shared" si="0"/>
        <v>MIG63|SELECT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'XICOTENCATL ' AND fl.Localidad = 'XICOTENCATL ' AND fm.Municipio = 'CARDENAS';</v>
      </c>
    </row>
    <row r="65" spans="1:7" x14ac:dyDescent="0.25">
      <c r="A65" s="10" t="s">
        <v>245</v>
      </c>
      <c r="B65" s="11" t="s">
        <v>247</v>
      </c>
      <c r="C65" s="11" t="s">
        <v>246</v>
      </c>
      <c r="D65" s="11" t="s">
        <v>3</v>
      </c>
      <c r="E65" s="11" t="s">
        <v>3</v>
      </c>
      <c r="G65" t="str">
        <f t="shared" si="0"/>
        <v>MIG64|SELECT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III LADO NORTE' AND fl.Localidad = 'CAÑALES III LADO NORTE' AND fm.Municipio = 'CARDENAS';</v>
      </c>
    </row>
    <row r="66" spans="1:7" x14ac:dyDescent="0.25">
      <c r="A66" s="10" t="s">
        <v>248</v>
      </c>
      <c r="B66" s="11" t="s">
        <v>250</v>
      </c>
      <c r="C66" s="11" t="s">
        <v>72</v>
      </c>
      <c r="D66" s="11" t="s">
        <v>3</v>
      </c>
      <c r="E66" s="11" t="s">
        <v>3</v>
      </c>
      <c r="G66" t="str">
        <f t="shared" ref="G66:G129" si="1">CONCATENATE(A66,"|","SELECT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'",C66,"' AND fl.Localidad = '",C66,"' AND fm.Municipio = '",E66,"';")</f>
        <v>MIG65|SELECT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7" spans="1:7" x14ac:dyDescent="0.25">
      <c r="A67" s="10" t="s">
        <v>252</v>
      </c>
      <c r="B67" s="11" t="s">
        <v>254</v>
      </c>
      <c r="C67" s="11" t="s">
        <v>255</v>
      </c>
      <c r="D67" s="11" t="s">
        <v>3</v>
      </c>
      <c r="E67" s="11" t="s">
        <v>3</v>
      </c>
      <c r="G67" t="str">
        <f t="shared" si="1"/>
        <v>MIG66|SELECT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68" spans="1:7" x14ac:dyDescent="0.25">
      <c r="A68" s="10" t="s">
        <v>256</v>
      </c>
      <c r="B68" s="11" t="s">
        <v>257</v>
      </c>
      <c r="C68" s="11" t="s">
        <v>212</v>
      </c>
      <c r="D68" s="11" t="s">
        <v>3</v>
      </c>
      <c r="E68" s="11" t="s">
        <v>3</v>
      </c>
      <c r="G68" t="str">
        <f t="shared" si="1"/>
        <v>MIG67|SELECT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9" spans="1:7" x14ac:dyDescent="0.25">
      <c r="A69" s="10" t="s">
        <v>258</v>
      </c>
      <c r="B69" s="11" t="s">
        <v>260</v>
      </c>
      <c r="C69" s="11" t="s">
        <v>259</v>
      </c>
      <c r="D69" s="11" t="s">
        <v>3</v>
      </c>
      <c r="E69" s="11" t="s">
        <v>3</v>
      </c>
      <c r="G69" t="str">
        <f t="shared" si="1"/>
        <v>MIG68|SELECT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70" spans="1:7" x14ac:dyDescent="0.25">
      <c r="A70" s="10" t="s">
        <v>261</v>
      </c>
      <c r="B70" s="11" t="s">
        <v>262</v>
      </c>
      <c r="C70" s="11" t="s">
        <v>263</v>
      </c>
      <c r="D70" s="11" t="s">
        <v>3</v>
      </c>
      <c r="E70" s="11" t="s">
        <v>3</v>
      </c>
      <c r="G70" t="str">
        <f t="shared" si="1"/>
        <v>MIG69|SELECT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 ADA ISABEL FRANCISCO I MADERO' AND fl.Localidad = ' ADA ISABEL FRANCISCO I MADERO' AND fm.Municipio = 'CARDENAS';</v>
      </c>
    </row>
    <row r="71" spans="1:7" x14ac:dyDescent="0.25">
      <c r="A71" s="10" t="s">
        <v>264</v>
      </c>
      <c r="B71" s="11" t="s">
        <v>267</v>
      </c>
      <c r="C71" s="11" t="s">
        <v>212</v>
      </c>
      <c r="D71" s="11" t="s">
        <v>3</v>
      </c>
      <c r="E71" s="11" t="s">
        <v>3</v>
      </c>
      <c r="G71" t="str">
        <f t="shared" si="1"/>
        <v>MIG70|SELECT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2" spans="1:7" x14ac:dyDescent="0.25">
      <c r="A72" s="10" t="s">
        <v>268</v>
      </c>
      <c r="B72" s="11" t="s">
        <v>269</v>
      </c>
      <c r="C72" s="11" t="s">
        <v>208</v>
      </c>
      <c r="D72" s="11" t="s">
        <v>3</v>
      </c>
      <c r="E72" s="11" t="s">
        <v>3</v>
      </c>
      <c r="G72" t="str">
        <f t="shared" si="1"/>
        <v>MIG71|SELECT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73" spans="1:7" x14ac:dyDescent="0.25">
      <c r="A73" s="10" t="s">
        <v>270</v>
      </c>
      <c r="B73" s="11" t="s">
        <v>272</v>
      </c>
      <c r="C73" s="11" t="s">
        <v>259</v>
      </c>
      <c r="D73" s="11" t="s">
        <v>271</v>
      </c>
      <c r="E73" s="11" t="s">
        <v>271</v>
      </c>
      <c r="G73" t="str">
        <f t="shared" si="1"/>
        <v>MIG72|SELECT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'HUINMANGUILLO';</v>
      </c>
    </row>
    <row r="74" spans="1:7" x14ac:dyDescent="0.25">
      <c r="A74" s="10" t="s">
        <v>273</v>
      </c>
      <c r="B74" s="11" t="s">
        <v>276</v>
      </c>
      <c r="C74" s="11" t="s">
        <v>34</v>
      </c>
      <c r="D74" s="11" t="s">
        <v>3</v>
      </c>
      <c r="E74" s="11" t="s">
        <v>3</v>
      </c>
      <c r="G74" t="str">
        <f t="shared" si="1"/>
        <v>MIG73|SELECT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5" spans="1:7" x14ac:dyDescent="0.25">
      <c r="A75" s="10" t="s">
        <v>277</v>
      </c>
      <c r="B75" s="11" t="s">
        <v>278</v>
      </c>
      <c r="C75" s="11" t="s">
        <v>91</v>
      </c>
      <c r="D75" s="11" t="s">
        <v>3</v>
      </c>
      <c r="E75" s="11" t="s">
        <v>3</v>
      </c>
      <c r="G75" t="str">
        <f t="shared" si="1"/>
        <v>MIG74|SELECT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6" spans="1:7" x14ac:dyDescent="0.25">
      <c r="A76" s="10" t="s">
        <v>279</v>
      </c>
      <c r="B76" s="11" t="s">
        <v>282</v>
      </c>
      <c r="C76" s="11" t="s">
        <v>281</v>
      </c>
      <c r="D76" s="11" t="s">
        <v>3</v>
      </c>
      <c r="E76" s="11" t="s">
        <v>3</v>
      </c>
      <c r="G76" t="str">
        <f t="shared" si="1"/>
        <v>MIG75|SELECT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CEIBA' AND fl.Localidad = 'LA CEIBA' AND fm.Municipio = 'CARDENAS';</v>
      </c>
    </row>
    <row r="77" spans="1:7" x14ac:dyDescent="0.25">
      <c r="A77" s="10" t="s">
        <v>283</v>
      </c>
      <c r="B77" s="11" t="s">
        <v>286</v>
      </c>
      <c r="C77" s="11" t="s">
        <v>44</v>
      </c>
      <c r="D77" s="11" t="s">
        <v>3</v>
      </c>
      <c r="E77" s="11" t="s">
        <v>3</v>
      </c>
      <c r="G77" t="str">
        <f t="shared" si="1"/>
        <v>MIG76|SELECT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ROJAS' AND fl.Localidad = 'ROGELIO RUIZ ROJAS' AND fm.Municipio = 'CARDENAS';</v>
      </c>
    </row>
    <row r="78" spans="1:7" x14ac:dyDescent="0.25">
      <c r="A78" s="10" t="s">
        <v>287</v>
      </c>
      <c r="B78" s="11" t="s">
        <v>288</v>
      </c>
      <c r="C78" s="11" t="s">
        <v>212</v>
      </c>
      <c r="D78" s="11" t="s">
        <v>3</v>
      </c>
      <c r="E78" s="11" t="s">
        <v>3</v>
      </c>
      <c r="G78" t="str">
        <f t="shared" si="1"/>
        <v>MIG77|SELECT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9" spans="1:7" x14ac:dyDescent="0.25">
      <c r="A79" s="10" t="s">
        <v>289</v>
      </c>
      <c r="B79" s="11" t="s">
        <v>291</v>
      </c>
      <c r="C79" s="11" t="s">
        <v>290</v>
      </c>
      <c r="D79" s="11" t="s">
        <v>3</v>
      </c>
      <c r="E79" s="11" t="s">
        <v>3</v>
      </c>
      <c r="G79" t="str">
        <f t="shared" si="1"/>
        <v>MIG78|SELECT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" spans="1:7" x14ac:dyDescent="0.25">
      <c r="A80" s="10" t="s">
        <v>292</v>
      </c>
      <c r="B80" s="11" t="s">
        <v>297</v>
      </c>
      <c r="C80" s="11" t="s">
        <v>298</v>
      </c>
      <c r="D80" s="11" t="s">
        <v>3</v>
      </c>
      <c r="E80" s="11" t="s">
        <v>3</v>
      </c>
      <c r="G80" t="str">
        <f t="shared" si="1"/>
        <v>MIG79|SELECT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CALDERON MARCHENA' AND fl.Localidad = 'AQUILES CALDERON MARCHENA' AND fm.Municipio = 'CARDENAS';</v>
      </c>
    </row>
    <row r="81" spans="1:7" x14ac:dyDescent="0.25">
      <c r="A81" s="10" t="s">
        <v>299</v>
      </c>
      <c r="B81" s="11" t="s">
        <v>251</v>
      </c>
      <c r="C81" s="11" t="s">
        <v>255</v>
      </c>
      <c r="D81" s="11" t="s">
        <v>3</v>
      </c>
      <c r="E81" s="11" t="s">
        <v>3</v>
      </c>
      <c r="G81" t="str">
        <f t="shared" si="1"/>
        <v>MIG80|SELECT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82" spans="1:7" x14ac:dyDescent="0.25">
      <c r="A82" s="6" t="s">
        <v>302</v>
      </c>
      <c r="B82" s="4" t="s">
        <v>40</v>
      </c>
      <c r="C82" s="4" t="s">
        <v>40</v>
      </c>
      <c r="D82" s="4" t="s">
        <v>303</v>
      </c>
      <c r="E82" s="4" t="s">
        <v>3</v>
      </c>
      <c r="G82" t="str">
        <f t="shared" si="1"/>
        <v>MIG81|SELECT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3" spans="1:7" x14ac:dyDescent="0.25">
      <c r="A83" s="6" t="s">
        <v>306</v>
      </c>
      <c r="B83" s="4" t="s">
        <v>309</v>
      </c>
      <c r="C83" s="4" t="s">
        <v>309</v>
      </c>
      <c r="D83" s="4" t="s">
        <v>303</v>
      </c>
      <c r="E83" s="4" t="s">
        <v>3</v>
      </c>
      <c r="G83" t="str">
        <f t="shared" si="1"/>
        <v>MIG82|SELECT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'CARDENAS';</v>
      </c>
    </row>
    <row r="84" spans="1:7" x14ac:dyDescent="0.25">
      <c r="A84" s="6" t="s">
        <v>310</v>
      </c>
      <c r="B84" s="4" t="s">
        <v>105</v>
      </c>
      <c r="C84" s="4" t="s">
        <v>105</v>
      </c>
      <c r="D84" s="4" t="s">
        <v>303</v>
      </c>
      <c r="E84" s="4" t="s">
        <v>3</v>
      </c>
      <c r="G84" t="str">
        <f t="shared" si="1"/>
        <v>MIG83|SELECT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85" spans="1:7" x14ac:dyDescent="0.25">
      <c r="A85" s="6" t="s">
        <v>312</v>
      </c>
      <c r="B85" s="4" t="s">
        <v>314</v>
      </c>
      <c r="C85" s="4" t="s">
        <v>314</v>
      </c>
      <c r="D85" s="4" t="s">
        <v>303</v>
      </c>
      <c r="E85" s="4" t="s">
        <v>3</v>
      </c>
      <c r="G85" t="str">
        <f t="shared" si="1"/>
        <v>MIG84|SELECT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86" spans="1:7" x14ac:dyDescent="0.25">
      <c r="A86" s="6" t="s">
        <v>315</v>
      </c>
      <c r="B86" s="4" t="s">
        <v>317</v>
      </c>
      <c r="C86" s="4" t="s">
        <v>318</v>
      </c>
      <c r="D86" s="4" t="s">
        <v>303</v>
      </c>
      <c r="E86" s="4" t="s">
        <v>3</v>
      </c>
      <c r="G86" t="str">
        <f t="shared" si="1"/>
        <v>MIG85|SELECT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3' AND fl.Localidad = 'CAÑALES 3' AND fm.Municipio = 'CARDENAS';</v>
      </c>
    </row>
    <row r="87" spans="1:7" x14ac:dyDescent="0.25">
      <c r="A87" s="6" t="s">
        <v>319</v>
      </c>
      <c r="B87" s="4" t="s">
        <v>321</v>
      </c>
      <c r="C87" s="4" t="s">
        <v>321</v>
      </c>
      <c r="D87" s="4" t="s">
        <v>303</v>
      </c>
      <c r="E87" s="4" t="s">
        <v>3</v>
      </c>
      <c r="G87" t="str">
        <f t="shared" si="1"/>
        <v>MIG86|SELECT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'C-11' AND fl.Localidad = 'C-11' AND fm.Municipio = 'CARDENAS';</v>
      </c>
    </row>
    <row r="88" spans="1:7" x14ac:dyDescent="0.25">
      <c r="A88" s="6" t="s">
        <v>322</v>
      </c>
      <c r="B88" s="4" t="s">
        <v>40</v>
      </c>
      <c r="C88" s="4" t="s">
        <v>40</v>
      </c>
      <c r="D88" s="4" t="s">
        <v>303</v>
      </c>
      <c r="E88" s="4" t="s">
        <v>3</v>
      </c>
      <c r="G88" t="str">
        <f t="shared" si="1"/>
        <v>MIG87|SELECT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9" spans="1:7" x14ac:dyDescent="0.25">
      <c r="A89" s="6" t="s">
        <v>324</v>
      </c>
      <c r="B89" s="4" t="s">
        <v>208</v>
      </c>
      <c r="C89" s="4" t="s">
        <v>208</v>
      </c>
      <c r="D89" s="4" t="s">
        <v>303</v>
      </c>
      <c r="E89" s="4" t="s">
        <v>3</v>
      </c>
      <c r="G89" t="str">
        <f t="shared" si="1"/>
        <v>MIG88|SELECT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90" spans="1:7" x14ac:dyDescent="0.25">
      <c r="A90" s="6" t="s">
        <v>326</v>
      </c>
      <c r="B90" s="4" t="s">
        <v>26</v>
      </c>
      <c r="C90" s="4" t="s">
        <v>26</v>
      </c>
      <c r="D90" s="4" t="s">
        <v>303</v>
      </c>
      <c r="E90" s="4" t="s">
        <v>3</v>
      </c>
      <c r="G90" t="str">
        <f t="shared" si="1"/>
        <v>MIG89|SELECT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91" spans="1:7" x14ac:dyDescent="0.25">
      <c r="A91" s="6" t="s">
        <v>329</v>
      </c>
      <c r="B91" s="4" t="s">
        <v>332</v>
      </c>
      <c r="C91" s="4" t="s">
        <v>333</v>
      </c>
      <c r="D91" s="4" t="s">
        <v>303</v>
      </c>
      <c r="E91" s="4" t="s">
        <v>3</v>
      </c>
      <c r="G91" t="str">
        <f t="shared" si="1"/>
        <v>MIG90|SELECT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ENRIQUE TORRUCO VERA' AND fl.Localidad = 'JOSE ENRIQUE TORRUCO VERA' AND fm.Municipio = 'CARDENAS';</v>
      </c>
    </row>
    <row r="92" spans="1:7" x14ac:dyDescent="0.25">
      <c r="A92" s="6" t="s">
        <v>334</v>
      </c>
      <c r="B92" s="4" t="s">
        <v>185</v>
      </c>
      <c r="C92" s="4" t="s">
        <v>336</v>
      </c>
      <c r="D92" s="4" t="s">
        <v>303</v>
      </c>
      <c r="E92" s="4" t="s">
        <v>3</v>
      </c>
      <c r="G92" t="str">
        <f t="shared" si="1"/>
        <v>MIG91|SELECT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GARCIA GRACIA ' AND fl.Localidad = 'MIGUEL GARCIA GRACIA ' AND fm.Municipio = 'CARDENAS';</v>
      </c>
    </row>
    <row r="93" spans="1:7" x14ac:dyDescent="0.25">
      <c r="A93" s="6" t="s">
        <v>337</v>
      </c>
      <c r="B93" s="4" t="s">
        <v>40</v>
      </c>
      <c r="C93" s="4" t="s">
        <v>40</v>
      </c>
      <c r="D93" s="4" t="s">
        <v>303</v>
      </c>
      <c r="E93" s="4" t="s">
        <v>3</v>
      </c>
      <c r="G93" t="str">
        <f t="shared" si="1"/>
        <v>MIG92|SELECT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4" spans="1:7" x14ac:dyDescent="0.25">
      <c r="A94" s="6" t="s">
        <v>339</v>
      </c>
      <c r="B94" s="4" t="s">
        <v>40</v>
      </c>
      <c r="C94" s="4" t="s">
        <v>40</v>
      </c>
      <c r="D94" s="4" t="s">
        <v>303</v>
      </c>
      <c r="E94" s="4" t="s">
        <v>3</v>
      </c>
      <c r="G94" t="str">
        <f t="shared" si="1"/>
        <v>MIG93|SELECT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5" spans="1:7" x14ac:dyDescent="0.25">
      <c r="A95" s="6" t="s">
        <v>341</v>
      </c>
      <c r="B95" s="4" t="s">
        <v>344</v>
      </c>
      <c r="C95" s="4" t="s">
        <v>199</v>
      </c>
      <c r="D95" s="4" t="s">
        <v>133</v>
      </c>
      <c r="E95" s="4" t="s">
        <v>133</v>
      </c>
      <c r="G95" t="str">
        <f t="shared" si="1"/>
        <v>MIG94|SELECT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96" spans="1:7" x14ac:dyDescent="0.25">
      <c r="A96" s="6" t="s">
        <v>345</v>
      </c>
      <c r="B96" s="4" t="s">
        <v>105</v>
      </c>
      <c r="C96" s="4" t="s">
        <v>105</v>
      </c>
      <c r="D96" s="4" t="s">
        <v>303</v>
      </c>
      <c r="E96" s="4" t="s">
        <v>3</v>
      </c>
      <c r="G96" t="str">
        <f t="shared" si="1"/>
        <v>MIG95|SELECT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97" spans="1:7" x14ac:dyDescent="0.25">
      <c r="A97" s="6" t="s">
        <v>347</v>
      </c>
      <c r="B97" s="4" t="s">
        <v>72</v>
      </c>
      <c r="C97" s="4" t="s">
        <v>72</v>
      </c>
      <c r="D97" s="4" t="s">
        <v>303</v>
      </c>
      <c r="E97" s="4" t="s">
        <v>3</v>
      </c>
      <c r="G97" t="str">
        <f t="shared" si="1"/>
        <v>MIG96|SELECT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98" spans="1:7" x14ac:dyDescent="0.25">
      <c r="A98" s="6" t="s">
        <v>349</v>
      </c>
      <c r="B98" s="4" t="s">
        <v>40</v>
      </c>
      <c r="C98" s="4" t="s">
        <v>40</v>
      </c>
      <c r="D98" s="4" t="s">
        <v>303</v>
      </c>
      <c r="E98" s="4" t="s">
        <v>3</v>
      </c>
      <c r="G98" t="str">
        <f t="shared" si="1"/>
        <v>MIG97|SELECT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9" spans="1:7" x14ac:dyDescent="0.25">
      <c r="A99" s="6" t="s">
        <v>352</v>
      </c>
      <c r="B99" s="4" t="s">
        <v>212</v>
      </c>
      <c r="C99" s="4" t="s">
        <v>212</v>
      </c>
      <c r="D99" s="4" t="s">
        <v>303</v>
      </c>
      <c r="E99" s="4" t="s">
        <v>3</v>
      </c>
      <c r="G99" t="str">
        <f t="shared" si="1"/>
        <v>MIG98|SELECT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0" spans="1:7" x14ac:dyDescent="0.25">
      <c r="A100" s="6" t="s">
        <v>354</v>
      </c>
      <c r="B100" s="4" t="s">
        <v>208</v>
      </c>
      <c r="C100" s="4" t="s">
        <v>208</v>
      </c>
      <c r="D100" s="4" t="s">
        <v>303</v>
      </c>
      <c r="E100" s="4" t="s">
        <v>3</v>
      </c>
      <c r="G100" t="str">
        <f t="shared" si="1"/>
        <v>MIG99|SELECT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1" spans="1:7" x14ac:dyDescent="0.25">
      <c r="A101" s="6" t="s">
        <v>357</v>
      </c>
      <c r="B101" s="4" t="s">
        <v>359</v>
      </c>
      <c r="C101" s="4" t="s">
        <v>359</v>
      </c>
      <c r="D101" s="4" t="s">
        <v>303</v>
      </c>
      <c r="E101" s="4" t="s">
        <v>3</v>
      </c>
      <c r="G101" t="str">
        <f t="shared" si="1"/>
        <v>MIG100|SELECT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2" spans="1:7" x14ac:dyDescent="0.25">
      <c r="A102" s="6" t="s">
        <v>360</v>
      </c>
      <c r="B102" s="4" t="s">
        <v>57</v>
      </c>
      <c r="C102" s="4" t="s">
        <v>57</v>
      </c>
      <c r="D102" s="4" t="s">
        <v>303</v>
      </c>
      <c r="E102" s="4" t="s">
        <v>3</v>
      </c>
      <c r="G102" t="str">
        <f t="shared" si="1"/>
        <v>MIG101|SELECT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" spans="1:7" x14ac:dyDescent="0.25">
      <c r="A103" s="6" t="s">
        <v>363</v>
      </c>
      <c r="B103" s="4" t="s">
        <v>39</v>
      </c>
      <c r="C103" s="4" t="s">
        <v>40</v>
      </c>
      <c r="D103" s="4" t="s">
        <v>303</v>
      </c>
      <c r="E103" s="4" t="s">
        <v>3</v>
      </c>
      <c r="G103" t="str">
        <f t="shared" si="1"/>
        <v>MIG102|SELECT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4" spans="1:7" x14ac:dyDescent="0.25">
      <c r="A104" s="6" t="s">
        <v>365</v>
      </c>
      <c r="B104" s="4" t="s">
        <v>290</v>
      </c>
      <c r="C104" s="4" t="s">
        <v>290</v>
      </c>
      <c r="D104" s="4" t="s">
        <v>303</v>
      </c>
      <c r="E104" s="4" t="s">
        <v>3</v>
      </c>
      <c r="G104" t="str">
        <f t="shared" si="1"/>
        <v>MIG103|SELECT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5" spans="1:7" x14ac:dyDescent="0.25">
      <c r="A105" s="6" t="s">
        <v>367</v>
      </c>
      <c r="B105" s="4" t="s">
        <v>290</v>
      </c>
      <c r="C105" s="4" t="s">
        <v>290</v>
      </c>
      <c r="D105" s="4" t="s">
        <v>303</v>
      </c>
      <c r="E105" s="4" t="s">
        <v>3</v>
      </c>
      <c r="G105" t="str">
        <f t="shared" si="1"/>
        <v>MIG104|SELECT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6" spans="1:7" x14ac:dyDescent="0.25">
      <c r="A106" s="6" t="s">
        <v>369</v>
      </c>
      <c r="B106" s="4" t="s">
        <v>57</v>
      </c>
      <c r="C106" s="4" t="s">
        <v>362</v>
      </c>
      <c r="D106" s="4" t="s">
        <v>303</v>
      </c>
      <c r="E106" s="4" t="s">
        <v>3</v>
      </c>
      <c r="G106" t="str">
        <f t="shared" si="1"/>
        <v>MIG105|SELECT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AURELIO SOSA TORRES 314' AND fl.Localidad = 'CALLE AURELIO SOSA TORRES 314' AND fm.Municipio = 'CARDENAS';</v>
      </c>
    </row>
    <row r="107" spans="1:7" x14ac:dyDescent="0.25">
      <c r="A107" s="6" t="s">
        <v>370</v>
      </c>
      <c r="B107" s="4" t="s">
        <v>158</v>
      </c>
      <c r="C107" s="4" t="s">
        <v>158</v>
      </c>
      <c r="D107" s="4" t="s">
        <v>303</v>
      </c>
      <c r="E107" s="4" t="s">
        <v>3</v>
      </c>
      <c r="G107" t="str">
        <f t="shared" si="1"/>
        <v>MIG106|SELECT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08" spans="1:7" x14ac:dyDescent="0.25">
      <c r="A108" s="6" t="s">
        <v>372</v>
      </c>
      <c r="B108" s="4" t="s">
        <v>374</v>
      </c>
      <c r="C108" s="4" t="s">
        <v>374</v>
      </c>
      <c r="D108" s="4" t="s">
        <v>303</v>
      </c>
      <c r="E108" s="4" t="s">
        <v>3</v>
      </c>
      <c r="G108" t="str">
        <f t="shared" si="1"/>
        <v>MIG107|SELECT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CAÑALES' AND fl.Localidad = 'FRACCIONAMIENTO CAÑALES' AND fm.Municipio = 'CARDENAS';</v>
      </c>
    </row>
    <row r="109" spans="1:7" x14ac:dyDescent="0.25">
      <c r="A109" s="6" t="s">
        <v>375</v>
      </c>
      <c r="B109" s="4" t="s">
        <v>378</v>
      </c>
      <c r="C109" s="4" t="s">
        <v>379</v>
      </c>
      <c r="D109" s="4" t="s">
        <v>303</v>
      </c>
      <c r="E109" s="4" t="s">
        <v>3</v>
      </c>
      <c r="G109" t="str">
        <f t="shared" si="1"/>
        <v>MIG108|SELECT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 ' AND fl.Localidad = 'BAJIO SEGUNDA SECCION ' AND fm.Municipio = 'CARDENAS';</v>
      </c>
    </row>
    <row r="110" spans="1:7" x14ac:dyDescent="0.25">
      <c r="A110" s="6" t="s">
        <v>380</v>
      </c>
      <c r="B110" s="4" t="s">
        <v>383</v>
      </c>
      <c r="C110" s="4" t="s">
        <v>384</v>
      </c>
      <c r="D110" s="4" t="s">
        <v>303</v>
      </c>
      <c r="E110" s="4" t="s">
        <v>3</v>
      </c>
      <c r="G110" t="str">
        <f t="shared" si="1"/>
        <v>MIG109|SELECT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'AMPIACION CAÑALES TERCERA ETAPA' AND fl.Localidad = 'AMPIACION CAÑALES TERCERA ETAPA' AND fm.Municipio = 'CARDENAS';</v>
      </c>
    </row>
    <row r="111" spans="1:7" x14ac:dyDescent="0.25">
      <c r="A111" s="6" t="s">
        <v>385</v>
      </c>
      <c r="B111" s="4" t="s">
        <v>388</v>
      </c>
      <c r="C111" s="4" t="s">
        <v>388</v>
      </c>
      <c r="D111" s="4" t="s">
        <v>133</v>
      </c>
      <c r="E111" s="4" t="s">
        <v>133</v>
      </c>
      <c r="G111" t="str">
        <f t="shared" si="1"/>
        <v>MIG110|SELECT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'HUIMANGUILLO';</v>
      </c>
    </row>
    <row r="112" spans="1:7" x14ac:dyDescent="0.25">
      <c r="A112" s="6" t="s">
        <v>389</v>
      </c>
      <c r="B112" s="4" t="s">
        <v>208</v>
      </c>
      <c r="C112" s="4" t="s">
        <v>208</v>
      </c>
      <c r="D112" s="4" t="s">
        <v>303</v>
      </c>
      <c r="E112" s="4" t="s">
        <v>3</v>
      </c>
      <c r="G112" t="str">
        <f t="shared" si="1"/>
        <v>MIG111|SELECT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13" spans="1:7" x14ac:dyDescent="0.25">
      <c r="A113" s="6" t="s">
        <v>392</v>
      </c>
      <c r="B113" s="4" t="s">
        <v>147</v>
      </c>
      <c r="C113" s="4" t="s">
        <v>147</v>
      </c>
      <c r="D113" s="4" t="s">
        <v>303</v>
      </c>
      <c r="E113" s="4" t="s">
        <v>3</v>
      </c>
      <c r="G113" t="str">
        <f t="shared" si="1"/>
        <v>MIG112|SELECT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114" spans="1:7" x14ac:dyDescent="0.25">
      <c r="A114" s="6" t="s">
        <v>394</v>
      </c>
      <c r="B114" s="4" t="s">
        <v>72</v>
      </c>
      <c r="C114" s="4" t="s">
        <v>72</v>
      </c>
      <c r="D114" s="4" t="s">
        <v>303</v>
      </c>
      <c r="E114" s="4" t="s">
        <v>3</v>
      </c>
      <c r="G114" t="str">
        <f t="shared" si="1"/>
        <v>MIG113|SELECT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5" spans="1:7" x14ac:dyDescent="0.25">
      <c r="A115" s="6" t="s">
        <v>397</v>
      </c>
      <c r="B115" s="4" t="s">
        <v>31</v>
      </c>
      <c r="C115" s="4" t="s">
        <v>31</v>
      </c>
      <c r="D115" s="4" t="s">
        <v>303</v>
      </c>
      <c r="E115" s="4" t="s">
        <v>3</v>
      </c>
      <c r="G115" t="str">
        <f t="shared" si="1"/>
        <v>MIG114|SELECT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116" spans="1:7" x14ac:dyDescent="0.25">
      <c r="A116" s="6" t="s">
        <v>399</v>
      </c>
      <c r="B116" s="4" t="s">
        <v>359</v>
      </c>
      <c r="C116" s="4" t="s">
        <v>359</v>
      </c>
      <c r="D116" s="4" t="s">
        <v>303</v>
      </c>
      <c r="E116" s="4" t="s">
        <v>3</v>
      </c>
      <c r="G116" t="str">
        <f t="shared" si="1"/>
        <v>MIG115|SELECT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17" spans="1:7" x14ac:dyDescent="0.25">
      <c r="A117" s="6" t="s">
        <v>403</v>
      </c>
      <c r="B117" s="4" t="s">
        <v>185</v>
      </c>
      <c r="C117" s="4" t="s">
        <v>405</v>
      </c>
      <c r="D117" s="4" t="s">
        <v>303</v>
      </c>
      <c r="E117" s="4" t="s">
        <v>3</v>
      </c>
      <c r="G117" t="str">
        <f t="shared" si="1"/>
        <v>MIG116|SELECT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'CARDENAS';</v>
      </c>
    </row>
    <row r="118" spans="1:7" x14ac:dyDescent="0.25">
      <c r="A118" s="6" t="s">
        <v>406</v>
      </c>
      <c r="B118" s="4" t="s">
        <v>72</v>
      </c>
      <c r="C118" s="4" t="s">
        <v>72</v>
      </c>
      <c r="D118" s="4" t="s">
        <v>303</v>
      </c>
      <c r="E118" s="4" t="s">
        <v>3</v>
      </c>
      <c r="G118" t="str">
        <f t="shared" si="1"/>
        <v>MIG117|SELECT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9" spans="1:7" x14ac:dyDescent="0.25">
      <c r="A119" s="6" t="s">
        <v>407</v>
      </c>
      <c r="B119" s="4" t="s">
        <v>57</v>
      </c>
      <c r="C119" s="4" t="s">
        <v>57</v>
      </c>
      <c r="D119" s="4" t="s">
        <v>303</v>
      </c>
      <c r="E119" s="4" t="s">
        <v>3</v>
      </c>
      <c r="G119" t="str">
        <f t="shared" si="1"/>
        <v>MIG118|SELECT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0" spans="1:7" x14ac:dyDescent="0.25">
      <c r="A120" s="6" t="s">
        <v>409</v>
      </c>
      <c r="B120" s="4" t="s">
        <v>102</v>
      </c>
      <c r="C120" s="4" t="s">
        <v>102</v>
      </c>
      <c r="D120" s="4" t="s">
        <v>303</v>
      </c>
      <c r="E120" s="4" t="s">
        <v>3</v>
      </c>
      <c r="G120" t="str">
        <f t="shared" si="1"/>
        <v>MIG119|SELECT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1" spans="1:7" x14ac:dyDescent="0.25">
      <c r="A121" s="6" t="s">
        <v>411</v>
      </c>
      <c r="B121" s="4" t="s">
        <v>102</v>
      </c>
      <c r="C121" s="4" t="s">
        <v>102</v>
      </c>
      <c r="D121" s="4" t="s">
        <v>303</v>
      </c>
      <c r="E121" s="4" t="s">
        <v>3</v>
      </c>
      <c r="G121" t="str">
        <f t="shared" si="1"/>
        <v>MIG120|SELECT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2" spans="1:7" x14ac:dyDescent="0.25">
      <c r="A122" s="6" t="s">
        <v>413</v>
      </c>
      <c r="B122" s="4" t="s">
        <v>26</v>
      </c>
      <c r="C122" s="4" t="s">
        <v>26</v>
      </c>
      <c r="D122" s="4" t="s">
        <v>303</v>
      </c>
      <c r="E122" s="4" t="s">
        <v>3</v>
      </c>
      <c r="G122" t="str">
        <f t="shared" si="1"/>
        <v>MIG121|SELECT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23" spans="1:7" x14ac:dyDescent="0.25">
      <c r="A123" s="6" t="s">
        <v>415</v>
      </c>
      <c r="B123" s="4" t="s">
        <v>158</v>
      </c>
      <c r="C123" s="4" t="s">
        <v>158</v>
      </c>
      <c r="D123" s="4" t="s">
        <v>303</v>
      </c>
      <c r="E123" s="4" t="s">
        <v>3</v>
      </c>
      <c r="G123" t="str">
        <f t="shared" si="1"/>
        <v>MIG122|SELECT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24" spans="1:7" x14ac:dyDescent="0.25">
      <c r="A124" s="6" t="s">
        <v>417</v>
      </c>
      <c r="B124" s="4" t="s">
        <v>388</v>
      </c>
      <c r="C124" s="4" t="s">
        <v>388</v>
      </c>
      <c r="D124" s="4" t="s">
        <v>303</v>
      </c>
      <c r="E124" s="4" t="s">
        <v>3</v>
      </c>
      <c r="G124" t="str">
        <f t="shared" si="1"/>
        <v>MIG123|SELECT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25" spans="1:7" x14ac:dyDescent="0.25">
      <c r="A125" s="6" t="s">
        <v>419</v>
      </c>
      <c r="B125" s="4" t="s">
        <v>57</v>
      </c>
      <c r="C125" s="4" t="s">
        <v>57</v>
      </c>
      <c r="D125" s="4" t="s">
        <v>303</v>
      </c>
      <c r="E125" s="4" t="s">
        <v>3</v>
      </c>
      <c r="G125" t="str">
        <f t="shared" si="1"/>
        <v>MIG124|SELECT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6" spans="1:7" x14ac:dyDescent="0.25">
      <c r="A126" s="6" t="s">
        <v>420</v>
      </c>
      <c r="B126" s="4" t="s">
        <v>422</v>
      </c>
      <c r="C126" s="4" t="s">
        <v>423</v>
      </c>
      <c r="D126" s="4" t="s">
        <v>303</v>
      </c>
      <c r="E126" s="4" t="s">
        <v>3</v>
      </c>
      <c r="G126" t="str">
        <f t="shared" si="1"/>
        <v>MIG125|SELECT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 ' AND fl.Localidad = 'EL BAJIO PRIMERA SECCION ' AND fm.Municipio = 'CARDENAS';</v>
      </c>
    </row>
    <row r="127" spans="1:7" x14ac:dyDescent="0.25">
      <c r="A127" s="6" t="s">
        <v>424</v>
      </c>
      <c r="B127" s="4" t="s">
        <v>428</v>
      </c>
      <c r="C127" s="4" t="s">
        <v>428</v>
      </c>
      <c r="D127" s="4" t="s">
        <v>303</v>
      </c>
      <c r="E127" s="4" t="s">
        <v>303</v>
      </c>
      <c r="G127" t="str">
        <f t="shared" si="1"/>
        <v>MIG126|SELECT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128" spans="1:7" x14ac:dyDescent="0.25">
      <c r="A128" s="6" t="s">
        <v>429</v>
      </c>
      <c r="B128" s="4" t="s">
        <v>431</v>
      </c>
      <c r="C128" s="4" t="s">
        <v>431</v>
      </c>
      <c r="D128" s="4" t="s">
        <v>303</v>
      </c>
      <c r="E128" s="4" t="s">
        <v>303</v>
      </c>
      <c r="G128" t="str">
        <f t="shared" si="1"/>
        <v>MIG127|SELECT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' AND fl.Localidad = 'GUADALUPE ' AND fm.Municipio = 'CARDENAS ';</v>
      </c>
    </row>
    <row r="129" spans="1:7" x14ac:dyDescent="0.25">
      <c r="A129" s="6" t="s">
        <v>432</v>
      </c>
      <c r="B129" s="4" t="s">
        <v>435</v>
      </c>
      <c r="C129" s="4" t="s">
        <v>436</v>
      </c>
      <c r="D129" s="4" t="s">
        <v>303</v>
      </c>
      <c r="E129" s="4" t="s">
        <v>303</v>
      </c>
      <c r="G129" t="str">
        <f t="shared" si="1"/>
        <v>MIG128|SELECT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130" spans="1:7" x14ac:dyDescent="0.25">
      <c r="A130" s="6" t="s">
        <v>437</v>
      </c>
      <c r="B130" s="4" t="s">
        <v>439</v>
      </c>
      <c r="C130" s="4" t="s">
        <v>440</v>
      </c>
      <c r="D130" s="4" t="s">
        <v>303</v>
      </c>
      <c r="E130" s="4" t="s">
        <v>303</v>
      </c>
      <c r="G130" t="str">
        <f t="shared" ref="G130:G193" si="2">CONCATENATE(A130,"|","SELECT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'",C130,"' AND fl.Localidad = '",C130,"' AND fm.Municipio = '",E130,"';")</f>
        <v>MIG129|SELECT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PRIMAVERA ' AND fl.Localidad = 'FRACCIONAMIENTO PRIMAVERA ' AND fm.Municipio = 'CARDENAS ';</v>
      </c>
    </row>
    <row r="131" spans="1:7" x14ac:dyDescent="0.25">
      <c r="A131" s="6" t="s">
        <v>441</v>
      </c>
      <c r="B131" s="4" t="s">
        <v>443</v>
      </c>
      <c r="C131" s="4" t="s">
        <v>443</v>
      </c>
      <c r="D131" s="4" t="s">
        <v>303</v>
      </c>
      <c r="E131" s="4" t="s">
        <v>303</v>
      </c>
      <c r="G131" t="str">
        <f t="shared" si="2"/>
        <v>MIG130|SELECT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 ' AND fl.Localidad = 'INFONAVIT DEPORTIVA ' AND fm.Municipio = 'CARDENAS ';</v>
      </c>
    </row>
    <row r="132" spans="1:7" x14ac:dyDescent="0.25">
      <c r="A132" s="6" t="s">
        <v>444</v>
      </c>
      <c r="B132" s="4" t="s">
        <v>446</v>
      </c>
      <c r="C132" s="4" t="s">
        <v>446</v>
      </c>
      <c r="D132" s="4" t="s">
        <v>303</v>
      </c>
      <c r="E132" s="4" t="s">
        <v>303</v>
      </c>
      <c r="G132" t="str">
        <f t="shared" si="2"/>
        <v>MIG131|SELECT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VECINAL ' AND fl.Localidad = 'SECCION 40 VECINAL ' AND fm.Municipio = 'CARDENAS ';</v>
      </c>
    </row>
    <row r="133" spans="1:7" x14ac:dyDescent="0.25">
      <c r="A133" s="6" t="s">
        <v>447</v>
      </c>
      <c r="B133" s="4" t="s">
        <v>57</v>
      </c>
      <c r="C133" s="4" t="s">
        <v>57</v>
      </c>
      <c r="D133" s="4" t="s">
        <v>303</v>
      </c>
      <c r="E133" s="4" t="s">
        <v>303</v>
      </c>
      <c r="G133" t="str">
        <f t="shared" si="2"/>
        <v>MIG132|SELECT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4" spans="1:7" x14ac:dyDescent="0.25">
      <c r="A134" s="6" t="s">
        <v>449</v>
      </c>
      <c r="B134" s="4" t="s">
        <v>26</v>
      </c>
      <c r="C134" s="4" t="s">
        <v>26</v>
      </c>
      <c r="D134" s="4" t="s">
        <v>303</v>
      </c>
      <c r="E134" s="4" t="s">
        <v>303</v>
      </c>
      <c r="G134" t="str">
        <f t="shared" si="2"/>
        <v>MIG133|SELECT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35" spans="1:7" x14ac:dyDescent="0.25">
      <c r="A135" s="6" t="s">
        <v>452</v>
      </c>
      <c r="B135" s="4" t="s">
        <v>454</v>
      </c>
      <c r="C135" s="4" t="s">
        <v>454</v>
      </c>
      <c r="D135" s="4" t="s">
        <v>303</v>
      </c>
      <c r="E135" s="4" t="s">
        <v>303</v>
      </c>
      <c r="G135" t="str">
        <f t="shared" si="2"/>
        <v>MIG134|SELECT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 ';</v>
      </c>
    </row>
    <row r="136" spans="1:7" x14ac:dyDescent="0.25">
      <c r="A136" s="6" t="s">
        <v>455</v>
      </c>
      <c r="B136" s="4" t="s">
        <v>57</v>
      </c>
      <c r="C136" s="4" t="s">
        <v>57</v>
      </c>
      <c r="D136" s="4" t="s">
        <v>303</v>
      </c>
      <c r="E136" s="4" t="s">
        <v>303</v>
      </c>
      <c r="G136" t="str">
        <f t="shared" si="2"/>
        <v>MIG135|SELECT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7" spans="1:7" x14ac:dyDescent="0.25">
      <c r="A137" s="6" t="s">
        <v>457</v>
      </c>
      <c r="B137" s="4" t="s">
        <v>40</v>
      </c>
      <c r="C137" s="4" t="s">
        <v>40</v>
      </c>
      <c r="D137" s="4" t="s">
        <v>303</v>
      </c>
      <c r="E137" s="4" t="s">
        <v>303</v>
      </c>
      <c r="G137" t="str">
        <f t="shared" si="2"/>
        <v>MIG136|SELECT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38" spans="1:7" x14ac:dyDescent="0.25">
      <c r="A138" s="6" t="s">
        <v>460</v>
      </c>
      <c r="B138" s="4" t="s">
        <v>462</v>
      </c>
      <c r="C138" s="4" t="s">
        <v>462</v>
      </c>
      <c r="D138" s="4" t="s">
        <v>303</v>
      </c>
      <c r="E138" s="4" t="s">
        <v>303</v>
      </c>
      <c r="G138" t="str">
        <f t="shared" si="2"/>
        <v>MIG137|SELECT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 ';</v>
      </c>
    </row>
    <row r="139" spans="1:7" x14ac:dyDescent="0.25">
      <c r="A139" s="6" t="s">
        <v>463</v>
      </c>
      <c r="B139" s="4" t="s">
        <v>466</v>
      </c>
      <c r="C139" s="4" t="s">
        <v>467</v>
      </c>
      <c r="D139" s="4" t="s">
        <v>303</v>
      </c>
      <c r="E139" s="4" t="s">
        <v>303</v>
      </c>
      <c r="G139" t="str">
        <f t="shared" si="2"/>
        <v>MIG138|SELECT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CERRADA LAS GARDENIAS' AND fl.Localidad = 'EL BAJIO CERRADA LAS GARDENIAS' AND fm.Municipio = 'CARDENAS ';</v>
      </c>
    </row>
    <row r="140" spans="1:7" x14ac:dyDescent="0.25">
      <c r="A140" s="6" t="s">
        <v>468</v>
      </c>
      <c r="B140" s="4" t="s">
        <v>78</v>
      </c>
      <c r="C140" s="4" t="s">
        <v>78</v>
      </c>
      <c r="D140" s="4" t="s">
        <v>303</v>
      </c>
      <c r="E140" s="4" t="s">
        <v>303</v>
      </c>
      <c r="G140" t="str">
        <f t="shared" si="2"/>
        <v>MIG139|SELECT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 ';</v>
      </c>
    </row>
    <row r="141" spans="1:7" x14ac:dyDescent="0.25">
      <c r="A141" s="6" t="s">
        <v>471</v>
      </c>
      <c r="B141" s="4" t="s">
        <v>40</v>
      </c>
      <c r="C141" s="4" t="s">
        <v>40</v>
      </c>
      <c r="D141" s="4" t="s">
        <v>303</v>
      </c>
      <c r="E141" s="4" t="s">
        <v>303</v>
      </c>
      <c r="G141" t="str">
        <f t="shared" si="2"/>
        <v>MIG140|SELECT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2" spans="1:7" x14ac:dyDescent="0.25">
      <c r="A142" s="6" t="s">
        <v>473</v>
      </c>
      <c r="B142" s="4" t="s">
        <v>475</v>
      </c>
      <c r="C142" s="4" t="s">
        <v>475</v>
      </c>
      <c r="D142" s="4" t="s">
        <v>303</v>
      </c>
      <c r="E142" s="4" t="s">
        <v>303</v>
      </c>
      <c r="G142" t="str">
        <f t="shared" si="2"/>
        <v>MIG141|SELECT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43" spans="1:7" x14ac:dyDescent="0.25">
      <c r="A143" s="6" t="s">
        <v>476</v>
      </c>
      <c r="B143" s="4" t="s">
        <v>40</v>
      </c>
      <c r="C143" s="4" t="s">
        <v>40</v>
      </c>
      <c r="D143" s="4" t="s">
        <v>303</v>
      </c>
      <c r="E143" s="4" t="s">
        <v>303</v>
      </c>
      <c r="G143" t="str">
        <f t="shared" si="2"/>
        <v>MIG142|SELECT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4" spans="1:7" x14ac:dyDescent="0.25">
      <c r="A144" s="6" t="s">
        <v>478</v>
      </c>
      <c r="B144" s="4" t="s">
        <v>57</v>
      </c>
      <c r="C144" s="4" t="s">
        <v>57</v>
      </c>
      <c r="D144" s="4" t="s">
        <v>303</v>
      </c>
      <c r="E144" s="4" t="s">
        <v>303</v>
      </c>
      <c r="G144" t="str">
        <f t="shared" si="2"/>
        <v>MIG143|SELECT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5" spans="1:7" x14ac:dyDescent="0.25">
      <c r="A145" s="6" t="s">
        <v>481</v>
      </c>
      <c r="B145" s="4" t="s">
        <v>483</v>
      </c>
      <c r="C145" s="4" t="s">
        <v>483</v>
      </c>
      <c r="D145" s="4" t="s">
        <v>303</v>
      </c>
      <c r="E145" s="4" t="s">
        <v>303</v>
      </c>
      <c r="G145" t="str">
        <f t="shared" si="2"/>
        <v>MIG144|SELECT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 ';</v>
      </c>
    </row>
    <row r="146" spans="1:7" x14ac:dyDescent="0.25">
      <c r="A146" s="6" t="s">
        <v>484</v>
      </c>
      <c r="B146" s="4" t="s">
        <v>57</v>
      </c>
      <c r="C146" s="4" t="s">
        <v>57</v>
      </c>
      <c r="D146" s="4" t="s">
        <v>303</v>
      </c>
      <c r="E146" s="4" t="s">
        <v>303</v>
      </c>
      <c r="G146" t="str">
        <f t="shared" si="2"/>
        <v>MIG145|SELECT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7" spans="1:7" x14ac:dyDescent="0.25">
      <c r="A147" s="6" t="s">
        <v>486</v>
      </c>
      <c r="B147" s="4" t="s">
        <v>488</v>
      </c>
      <c r="C147" s="4" t="s">
        <v>489</v>
      </c>
      <c r="D147" s="4" t="s">
        <v>303</v>
      </c>
      <c r="E147" s="4" t="s">
        <v>303</v>
      </c>
      <c r="G147" t="str">
        <f t="shared" si="2"/>
        <v>MIG146|SELECT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 ';</v>
      </c>
    </row>
    <row r="148" spans="1:7" x14ac:dyDescent="0.25">
      <c r="A148" s="6" t="s">
        <v>490</v>
      </c>
      <c r="B148" s="4" t="s">
        <v>40</v>
      </c>
      <c r="C148" s="4" t="s">
        <v>40</v>
      </c>
      <c r="D148" s="4" t="s">
        <v>303</v>
      </c>
      <c r="E148" s="4" t="s">
        <v>303</v>
      </c>
      <c r="G148" t="str">
        <f t="shared" si="2"/>
        <v>MIG147|SELECT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9" spans="1:7" x14ac:dyDescent="0.25">
      <c r="A149" s="6" t="s">
        <v>492</v>
      </c>
      <c r="B149" s="4" t="s">
        <v>494</v>
      </c>
      <c r="C149" s="4" t="s">
        <v>494</v>
      </c>
      <c r="D149" s="4" t="s">
        <v>303</v>
      </c>
      <c r="E149" s="4" t="s">
        <v>303</v>
      </c>
      <c r="G149" t="str">
        <f t="shared" si="2"/>
        <v>MIG148|SELECT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 ';</v>
      </c>
    </row>
    <row r="150" spans="1:7" x14ac:dyDescent="0.25">
      <c r="A150" s="6" t="s">
        <v>495</v>
      </c>
      <c r="B150" s="4" t="s">
        <v>208</v>
      </c>
      <c r="C150" s="4" t="s">
        <v>208</v>
      </c>
      <c r="D150" s="4" t="s">
        <v>303</v>
      </c>
      <c r="E150" s="4" t="s">
        <v>303</v>
      </c>
      <c r="G150" t="str">
        <f t="shared" si="2"/>
        <v>MIG149|SELECT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1" spans="1:7" x14ac:dyDescent="0.25">
      <c r="A151" s="6" t="s">
        <v>496</v>
      </c>
      <c r="B151" s="4" t="s">
        <v>208</v>
      </c>
      <c r="C151" s="4" t="s">
        <v>208</v>
      </c>
      <c r="D151" s="4" t="s">
        <v>303</v>
      </c>
      <c r="E151" s="4" t="s">
        <v>303</v>
      </c>
      <c r="G151" t="str">
        <f t="shared" si="2"/>
        <v>MIG150|SELECT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2" spans="1:7" x14ac:dyDescent="0.25">
      <c r="A152" s="6" t="s">
        <v>497</v>
      </c>
      <c r="B152" s="4" t="s">
        <v>26</v>
      </c>
      <c r="C152" s="4" t="s">
        <v>26</v>
      </c>
      <c r="D152" s="4" t="s">
        <v>303</v>
      </c>
      <c r="E152" s="4" t="s">
        <v>303</v>
      </c>
      <c r="G152" t="str">
        <f t="shared" si="2"/>
        <v>MIG151|SELECT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53" spans="1:7" x14ac:dyDescent="0.25">
      <c r="A153" s="6" t="s">
        <v>499</v>
      </c>
      <c r="B153" s="4" t="s">
        <v>57</v>
      </c>
      <c r="C153" s="4" t="s">
        <v>57</v>
      </c>
      <c r="D153" s="4" t="s">
        <v>303</v>
      </c>
      <c r="E153" s="4" t="s">
        <v>303</v>
      </c>
      <c r="G153" t="str">
        <f t="shared" si="2"/>
        <v>MIG152|SELECT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4" spans="1:7" x14ac:dyDescent="0.25">
      <c r="A154" s="6" t="s">
        <v>501</v>
      </c>
      <c r="B154" s="4" t="s">
        <v>503</v>
      </c>
      <c r="C154" s="4" t="s">
        <v>503</v>
      </c>
      <c r="D154" s="4" t="s">
        <v>303</v>
      </c>
      <c r="E154" s="4" t="s">
        <v>303</v>
      </c>
      <c r="G154" t="str">
        <f t="shared" si="2"/>
        <v>MIG153|SELECT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 ';</v>
      </c>
    </row>
    <row r="155" spans="1:7" x14ac:dyDescent="0.25">
      <c r="A155" s="6" t="s">
        <v>504</v>
      </c>
      <c r="B155" s="4" t="s">
        <v>57</v>
      </c>
      <c r="C155" s="4" t="s">
        <v>57</v>
      </c>
      <c r="D155" s="4" t="s">
        <v>303</v>
      </c>
      <c r="E155" s="4" t="s">
        <v>303</v>
      </c>
      <c r="G155" t="str">
        <f t="shared" si="2"/>
        <v>MIG154|SELECT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6" spans="1:7" x14ac:dyDescent="0.25">
      <c r="A156" s="6" t="s">
        <v>507</v>
      </c>
      <c r="B156" s="4" t="s">
        <v>57</v>
      </c>
      <c r="C156" s="4" t="s">
        <v>57</v>
      </c>
      <c r="D156" s="4" t="s">
        <v>303</v>
      </c>
      <c r="E156" s="4" t="s">
        <v>303</v>
      </c>
      <c r="G156" t="str">
        <f t="shared" si="2"/>
        <v>MIG155|SELECT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7" spans="1:7" x14ac:dyDescent="0.25">
      <c r="A157" s="6" t="s">
        <v>509</v>
      </c>
      <c r="B157" s="4" t="s">
        <v>40</v>
      </c>
      <c r="C157" s="4" t="s">
        <v>40</v>
      </c>
      <c r="D157" s="4" t="s">
        <v>303</v>
      </c>
      <c r="E157" s="4" t="s">
        <v>303</v>
      </c>
      <c r="G157" t="str">
        <f t="shared" si="2"/>
        <v>MIG156|SELECT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58" spans="1:7" x14ac:dyDescent="0.25">
      <c r="A158" s="6" t="s">
        <v>511</v>
      </c>
      <c r="B158" s="4" t="s">
        <v>514</v>
      </c>
      <c r="C158" s="4" t="s">
        <v>514</v>
      </c>
      <c r="D158" s="4" t="s">
        <v>303</v>
      </c>
      <c r="E158" s="4" t="s">
        <v>303</v>
      </c>
      <c r="G158" t="str">
        <f t="shared" si="2"/>
        <v>MIG157|SELECT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 ';</v>
      </c>
    </row>
    <row r="159" spans="1:7" x14ac:dyDescent="0.25">
      <c r="A159" s="6" t="s">
        <v>515</v>
      </c>
      <c r="B159" s="4" t="s">
        <v>31</v>
      </c>
      <c r="C159" s="4" t="s">
        <v>517</v>
      </c>
      <c r="D159" s="4" t="s">
        <v>303</v>
      </c>
      <c r="E159" s="4" t="s">
        <v>303</v>
      </c>
      <c r="G159" t="str">
        <f t="shared" si="2"/>
        <v>MIG158|SELECT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'ELPALMAR' AND fl.Localidad = 'ELPALMAR' AND fm.Municipio = 'CARDENAS ';</v>
      </c>
    </row>
    <row r="160" spans="1:7" x14ac:dyDescent="0.25">
      <c r="A160" s="6" t="s">
        <v>518</v>
      </c>
      <c r="B160" s="4" t="s">
        <v>105</v>
      </c>
      <c r="C160" s="4" t="s">
        <v>105</v>
      </c>
      <c r="D160" s="4" t="s">
        <v>303</v>
      </c>
      <c r="E160" s="4" t="s">
        <v>303</v>
      </c>
      <c r="G160" t="str">
        <f t="shared" si="2"/>
        <v>MIG159|SELECT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 ';</v>
      </c>
    </row>
    <row r="161" spans="1:7" x14ac:dyDescent="0.25">
      <c r="A161" s="6" t="s">
        <v>520</v>
      </c>
      <c r="B161" s="4" t="s">
        <v>475</v>
      </c>
      <c r="C161" s="4" t="s">
        <v>475</v>
      </c>
      <c r="D161" s="4" t="s">
        <v>303</v>
      </c>
      <c r="E161" s="4" t="s">
        <v>303</v>
      </c>
      <c r="G161" t="str">
        <f t="shared" si="2"/>
        <v>MIG160|SELECT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62" spans="1:7" x14ac:dyDescent="0.25">
      <c r="A162" s="6" t="s">
        <v>522</v>
      </c>
      <c r="B162" s="4" t="s">
        <v>18</v>
      </c>
      <c r="C162" s="4" t="s">
        <v>18</v>
      </c>
      <c r="D162" s="4" t="s">
        <v>303</v>
      </c>
      <c r="E162" s="4" t="s">
        <v>303</v>
      </c>
      <c r="G162" t="str">
        <f t="shared" si="2"/>
        <v>MIG161|SELECT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 ';</v>
      </c>
    </row>
    <row r="163" spans="1:7" x14ac:dyDescent="0.25">
      <c r="A163" s="6" t="s">
        <v>524</v>
      </c>
      <c r="B163" s="4" t="s">
        <v>57</v>
      </c>
      <c r="C163" s="4" t="s">
        <v>57</v>
      </c>
      <c r="D163" s="4" t="s">
        <v>303</v>
      </c>
      <c r="E163" s="4" t="s">
        <v>303</v>
      </c>
      <c r="G163" t="str">
        <f t="shared" si="2"/>
        <v>MIG162|SELECT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64" spans="1:7" x14ac:dyDescent="0.25">
      <c r="A164" s="6" t="s">
        <v>527</v>
      </c>
      <c r="B164" s="4" t="s">
        <v>529</v>
      </c>
      <c r="C164" s="4" t="s">
        <v>529</v>
      </c>
      <c r="D164" s="4" t="s">
        <v>303</v>
      </c>
      <c r="E164" s="4" t="s">
        <v>303</v>
      </c>
      <c r="G164" t="str">
        <f t="shared" si="2"/>
        <v>MIG163|SELECT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 ';</v>
      </c>
    </row>
    <row r="165" spans="1:7" x14ac:dyDescent="0.25">
      <c r="A165" s="6" t="s">
        <v>530</v>
      </c>
      <c r="B165" s="4" t="s">
        <v>91</v>
      </c>
      <c r="C165" s="4" t="s">
        <v>91</v>
      </c>
      <c r="D165" s="4" t="s">
        <v>303</v>
      </c>
      <c r="E165" s="4" t="s">
        <v>303</v>
      </c>
      <c r="G165" t="str">
        <f t="shared" si="2"/>
        <v>MIG164|SELECT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66" spans="1:7" x14ac:dyDescent="0.25">
      <c r="A166" s="6" t="s">
        <v>532</v>
      </c>
      <c r="B166" s="4" t="s">
        <v>534</v>
      </c>
      <c r="C166" s="4" t="s">
        <v>534</v>
      </c>
      <c r="D166" s="4" t="s">
        <v>303</v>
      </c>
      <c r="E166" s="4" t="s">
        <v>303</v>
      </c>
      <c r="G166" t="str">
        <f t="shared" si="2"/>
        <v>MIG165|SELECT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 ';</v>
      </c>
    </row>
    <row r="167" spans="1:7" x14ac:dyDescent="0.25">
      <c r="A167" s="6" t="s">
        <v>535</v>
      </c>
      <c r="B167" s="4" t="s">
        <v>537</v>
      </c>
      <c r="C167" s="4" t="s">
        <v>538</v>
      </c>
      <c r="D167" s="4" t="s">
        <v>303</v>
      </c>
      <c r="E167" s="4" t="s">
        <v>303</v>
      </c>
      <c r="G167" t="str">
        <f t="shared" si="2"/>
        <v>MIG166|SELECT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 ';</v>
      </c>
    </row>
    <row r="168" spans="1:7" x14ac:dyDescent="0.25">
      <c r="A168" s="6" t="s">
        <v>539</v>
      </c>
      <c r="B168" s="4" t="s">
        <v>72</v>
      </c>
      <c r="C168" s="4" t="s">
        <v>72</v>
      </c>
      <c r="D168" s="4" t="s">
        <v>303</v>
      </c>
      <c r="E168" s="4" t="s">
        <v>303</v>
      </c>
      <c r="G168" t="str">
        <f t="shared" si="2"/>
        <v>MIG167|SELECT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69" spans="1:7" x14ac:dyDescent="0.25">
      <c r="A169" s="6" t="s">
        <v>542</v>
      </c>
      <c r="B169" s="4" t="s">
        <v>544</v>
      </c>
      <c r="C169" s="4" t="s">
        <v>544</v>
      </c>
      <c r="D169" s="4" t="s">
        <v>303</v>
      </c>
      <c r="E169" s="4" t="s">
        <v>303</v>
      </c>
      <c r="G169" t="str">
        <f t="shared" si="2"/>
        <v>MIG168|SELECT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'PALMAR' AND fl.Localidad = 'PALMAR' AND fm.Municipio = 'CARDENAS ';</v>
      </c>
    </row>
    <row r="170" spans="1:7" x14ac:dyDescent="0.25">
      <c r="A170" s="6" t="s">
        <v>545</v>
      </c>
      <c r="B170" s="4" t="s">
        <v>547</v>
      </c>
      <c r="C170" s="4" t="s">
        <v>158</v>
      </c>
      <c r="D170" s="4" t="s">
        <v>303</v>
      </c>
      <c r="E170" s="4" t="s">
        <v>303</v>
      </c>
      <c r="G170" t="str">
        <f t="shared" si="2"/>
        <v>MIG169|SELECT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1" spans="1:7" x14ac:dyDescent="0.25">
      <c r="A171" s="6" t="s">
        <v>548</v>
      </c>
      <c r="B171" s="4" t="s">
        <v>26</v>
      </c>
      <c r="C171" s="4" t="s">
        <v>26</v>
      </c>
      <c r="D171" s="4" t="s">
        <v>303</v>
      </c>
      <c r="E171" s="4" t="s">
        <v>303</v>
      </c>
      <c r="G171" t="str">
        <f t="shared" si="2"/>
        <v>MIG170|SELECT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2" spans="1:7" x14ac:dyDescent="0.25">
      <c r="A172" s="6" t="s">
        <v>550</v>
      </c>
      <c r="B172" s="4" t="s">
        <v>554</v>
      </c>
      <c r="C172" s="4" t="s">
        <v>554</v>
      </c>
      <c r="D172" s="4" t="s">
        <v>303</v>
      </c>
      <c r="E172" s="4" t="s">
        <v>303</v>
      </c>
      <c r="G172" t="str">
        <f t="shared" si="2"/>
        <v>MIG171|SELECT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'CARDENAS ';</v>
      </c>
    </row>
    <row r="173" spans="1:7" x14ac:dyDescent="0.25">
      <c r="A173" s="6" t="s">
        <v>555</v>
      </c>
      <c r="B173" s="4" t="s">
        <v>557</v>
      </c>
      <c r="C173" s="4" t="s">
        <v>557</v>
      </c>
      <c r="D173" s="4" t="s">
        <v>303</v>
      </c>
      <c r="E173" s="4" t="s">
        <v>303</v>
      </c>
      <c r="G173" t="str">
        <f t="shared" si="2"/>
        <v>MIG172|SELECT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 ';</v>
      </c>
    </row>
    <row r="174" spans="1:7" x14ac:dyDescent="0.25">
      <c r="A174" s="6" t="s">
        <v>558</v>
      </c>
      <c r="B174" s="4" t="s">
        <v>144</v>
      </c>
      <c r="C174" s="4" t="s">
        <v>144</v>
      </c>
      <c r="D174" s="4" t="s">
        <v>303</v>
      </c>
      <c r="E174" s="4" t="s">
        <v>303</v>
      </c>
      <c r="G174" t="str">
        <f t="shared" si="2"/>
        <v>MIG173|SELECT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175" spans="1:7" x14ac:dyDescent="0.25">
      <c r="A175" s="6" t="s">
        <v>561</v>
      </c>
      <c r="B175" s="4" t="s">
        <v>215</v>
      </c>
      <c r="C175" s="4" t="s">
        <v>215</v>
      </c>
      <c r="D175" s="4" t="s">
        <v>303</v>
      </c>
      <c r="E175" s="4" t="s">
        <v>303</v>
      </c>
      <c r="G175" t="str">
        <f t="shared" si="2"/>
        <v>MIG174|SELECT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176" spans="1:7" x14ac:dyDescent="0.25">
      <c r="A176" s="6" t="s">
        <v>563</v>
      </c>
      <c r="B176" s="4" t="s">
        <v>566</v>
      </c>
      <c r="C176" s="4" t="s">
        <v>566</v>
      </c>
      <c r="D176" s="4" t="s">
        <v>303</v>
      </c>
      <c r="E176" s="4" t="s">
        <v>303</v>
      </c>
      <c r="G176" t="str">
        <f t="shared" si="2"/>
        <v>MIG175|SELECT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 ';</v>
      </c>
    </row>
    <row r="177" spans="1:7" x14ac:dyDescent="0.25">
      <c r="A177" s="6" t="s">
        <v>567</v>
      </c>
      <c r="B177" s="4" t="s">
        <v>26</v>
      </c>
      <c r="C177" s="4" t="s">
        <v>26</v>
      </c>
      <c r="D177" s="4" t="s">
        <v>303</v>
      </c>
      <c r="E177" s="4" t="s">
        <v>303</v>
      </c>
      <c r="G177" t="str">
        <f t="shared" si="2"/>
        <v>MIG176|SELECT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8" spans="1:7" x14ac:dyDescent="0.25">
      <c r="A178" s="6" t="s">
        <v>569</v>
      </c>
      <c r="B178" s="4" t="s">
        <v>547</v>
      </c>
      <c r="C178" s="4" t="s">
        <v>158</v>
      </c>
      <c r="D178" s="4" t="s">
        <v>303</v>
      </c>
      <c r="E178" s="4" t="s">
        <v>303</v>
      </c>
      <c r="G178" t="str">
        <f t="shared" si="2"/>
        <v>MIG177|SELECT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9" spans="1:7" x14ac:dyDescent="0.25">
      <c r="A179" s="6" t="s">
        <v>571</v>
      </c>
      <c r="B179" s="4" t="s">
        <v>57</v>
      </c>
      <c r="C179" s="4" t="s">
        <v>57</v>
      </c>
      <c r="D179" s="4" t="s">
        <v>303</v>
      </c>
      <c r="E179" s="4" t="s">
        <v>303</v>
      </c>
      <c r="G179" t="str">
        <f t="shared" si="2"/>
        <v>MIG178|SELECT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80" spans="1:7" x14ac:dyDescent="0.25">
      <c r="A180" s="6" t="s">
        <v>573</v>
      </c>
      <c r="B180" s="4" t="s">
        <v>72</v>
      </c>
      <c r="C180" s="4" t="s">
        <v>72</v>
      </c>
      <c r="D180" s="4" t="s">
        <v>303</v>
      </c>
      <c r="E180" s="4" t="s">
        <v>303</v>
      </c>
      <c r="G180" t="str">
        <f t="shared" si="2"/>
        <v>MIG179|SELECT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81" spans="1:7" x14ac:dyDescent="0.25">
      <c r="A181" s="6" t="s">
        <v>575</v>
      </c>
      <c r="B181" s="4" t="s">
        <v>577</v>
      </c>
      <c r="C181" s="4" t="s">
        <v>577</v>
      </c>
      <c r="D181" s="4" t="s">
        <v>303</v>
      </c>
      <c r="E181" s="4" t="s">
        <v>303</v>
      </c>
      <c r="G181" t="str">
        <f t="shared" si="2"/>
        <v>MIG180|SELECT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'CARDENAS ';</v>
      </c>
    </row>
    <row r="182" spans="1:7" x14ac:dyDescent="0.25">
      <c r="A182" s="6" t="s">
        <v>578</v>
      </c>
      <c r="B182" s="4" t="s">
        <v>185</v>
      </c>
      <c r="C182" s="4" t="s">
        <v>405</v>
      </c>
      <c r="D182" s="4" t="s">
        <v>303</v>
      </c>
      <c r="E182" s="4" t="s">
        <v>303</v>
      </c>
      <c r="G182" t="str">
        <f t="shared" si="2"/>
        <v>MIG181|SELECT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 ';</v>
      </c>
    </row>
    <row r="183" spans="1:7" x14ac:dyDescent="0.25">
      <c r="A183" s="6" t="s">
        <v>580</v>
      </c>
      <c r="B183" s="4" t="s">
        <v>582</v>
      </c>
      <c r="C183" s="4" t="s">
        <v>583</v>
      </c>
      <c r="D183" s="4" t="s">
        <v>303</v>
      </c>
      <c r="E183" s="4" t="s">
        <v>303</v>
      </c>
      <c r="G183" t="str">
        <f t="shared" si="2"/>
        <v>MIG182|SELECT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 ';</v>
      </c>
    </row>
    <row r="184" spans="1:7" x14ac:dyDescent="0.25">
      <c r="A184" s="6" t="s">
        <v>584</v>
      </c>
      <c r="B184" s="4" t="s">
        <v>309</v>
      </c>
      <c r="C184" s="4" t="s">
        <v>309</v>
      </c>
      <c r="D184" s="4" t="s">
        <v>303</v>
      </c>
      <c r="E184" s="4" t="s">
        <v>303</v>
      </c>
      <c r="G184" t="str">
        <f t="shared" si="2"/>
        <v>MIG183|SELECT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 ';</v>
      </c>
    </row>
    <row r="185" spans="1:7" x14ac:dyDescent="0.25">
      <c r="A185" s="6" t="s">
        <v>586</v>
      </c>
      <c r="B185" s="4" t="s">
        <v>40</v>
      </c>
      <c r="C185" s="4" t="s">
        <v>40</v>
      </c>
      <c r="D185" s="4" t="s">
        <v>303</v>
      </c>
      <c r="E185" s="4" t="s">
        <v>303</v>
      </c>
      <c r="G185" t="str">
        <f t="shared" si="2"/>
        <v>MIG184|SELECT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86" spans="1:7" x14ac:dyDescent="0.25">
      <c r="A186" s="6" t="s">
        <v>588</v>
      </c>
      <c r="B186" s="4" t="s">
        <v>547</v>
      </c>
      <c r="C186" s="4" t="s">
        <v>158</v>
      </c>
      <c r="D186" s="4" t="s">
        <v>303</v>
      </c>
      <c r="E186" s="4" t="s">
        <v>303</v>
      </c>
      <c r="G186" t="str">
        <f t="shared" si="2"/>
        <v>MIG185|SELECT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87" spans="1:7" x14ac:dyDescent="0.25">
      <c r="A187" s="6" t="s">
        <v>590</v>
      </c>
      <c r="B187" s="4" t="s">
        <v>475</v>
      </c>
      <c r="C187" s="4" t="s">
        <v>475</v>
      </c>
      <c r="D187" s="4" t="s">
        <v>303</v>
      </c>
      <c r="E187" s="4" t="s">
        <v>303</v>
      </c>
      <c r="G187" t="str">
        <f t="shared" si="2"/>
        <v>MIG186|SELECT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88" spans="1:7" x14ac:dyDescent="0.25">
      <c r="A188" s="6" t="s">
        <v>592</v>
      </c>
      <c r="B188" s="4" t="s">
        <v>594</v>
      </c>
      <c r="C188" s="4" t="s">
        <v>595</v>
      </c>
      <c r="D188" s="4" t="s">
        <v>303</v>
      </c>
      <c r="E188" s="4" t="s">
        <v>303</v>
      </c>
      <c r="G188" t="str">
        <f t="shared" si="2"/>
        <v>MIG187|SELECT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 ';</v>
      </c>
    </row>
    <row r="189" spans="1:7" x14ac:dyDescent="0.25">
      <c r="A189" s="6" t="s">
        <v>596</v>
      </c>
      <c r="B189" s="4" t="s">
        <v>599</v>
      </c>
      <c r="C189" s="4" t="s">
        <v>599</v>
      </c>
      <c r="D189" s="4" t="s">
        <v>303</v>
      </c>
      <c r="E189" s="4" t="s">
        <v>303</v>
      </c>
      <c r="G189" t="str">
        <f t="shared" si="2"/>
        <v>MIG188|SELECT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SECCION' AND fl.Localidad = 'EL BAJIO SEGUNDA SECCION' AND fm.Municipio = 'CARDENAS ';</v>
      </c>
    </row>
    <row r="190" spans="1:7" x14ac:dyDescent="0.25">
      <c r="A190" s="6" t="s">
        <v>600</v>
      </c>
      <c r="B190" s="4" t="s">
        <v>423</v>
      </c>
      <c r="C190" s="4" t="s">
        <v>602</v>
      </c>
      <c r="D190" s="4" t="s">
        <v>303</v>
      </c>
      <c r="E190" s="4" t="s">
        <v>303</v>
      </c>
      <c r="G190" t="str">
        <f t="shared" si="2"/>
        <v>MIG189|SELECT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 ';</v>
      </c>
    </row>
    <row r="191" spans="1:7" x14ac:dyDescent="0.25">
      <c r="A191" s="6" t="s">
        <v>603</v>
      </c>
      <c r="B191" s="4" t="s">
        <v>72</v>
      </c>
      <c r="C191" s="4" t="s">
        <v>72</v>
      </c>
      <c r="D191" s="4" t="s">
        <v>303</v>
      </c>
      <c r="E191" s="4" t="s">
        <v>303</v>
      </c>
      <c r="G191" t="str">
        <f t="shared" si="2"/>
        <v>MIG190|SELECT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92" spans="1:7" x14ac:dyDescent="0.25">
      <c r="A192" s="6" t="s">
        <v>607</v>
      </c>
      <c r="B192" s="4" t="s">
        <v>40</v>
      </c>
      <c r="C192" s="4" t="s">
        <v>40</v>
      </c>
      <c r="D192" s="4" t="s">
        <v>303</v>
      </c>
      <c r="E192" s="4" t="s">
        <v>303</v>
      </c>
      <c r="G192" t="str">
        <f t="shared" si="2"/>
        <v>MIG191|SELECT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93" spans="1:7" x14ac:dyDescent="0.25">
      <c r="A193" s="6" t="s">
        <v>609</v>
      </c>
      <c r="B193" s="4" t="s">
        <v>26</v>
      </c>
      <c r="C193" s="4" t="s">
        <v>26</v>
      </c>
      <c r="D193" s="4" t="s">
        <v>303</v>
      </c>
      <c r="E193" s="4" t="s">
        <v>303</v>
      </c>
      <c r="G193" t="str">
        <f t="shared" si="2"/>
        <v>MIG192|SELECT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94" spans="1:7" x14ac:dyDescent="0.25">
      <c r="A194" s="6" t="s">
        <v>611</v>
      </c>
      <c r="B194" s="4" t="s">
        <v>57</v>
      </c>
      <c r="C194" s="4" t="s">
        <v>57</v>
      </c>
      <c r="D194" s="4" t="s">
        <v>303</v>
      </c>
      <c r="E194" s="4" t="s">
        <v>303</v>
      </c>
      <c r="G194" t="str">
        <f t="shared" ref="G194:G257" si="3">CONCATENATE(A194,"|","SELECT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'",C194,"' AND fl.Localidad = '",C194,"' AND fm.Municipio = '",E194,"';")</f>
        <v>MIG193|SELECT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5" spans="1:7" x14ac:dyDescent="0.25">
      <c r="A195" s="6" t="s">
        <v>614</v>
      </c>
      <c r="B195" s="4" t="s">
        <v>57</v>
      </c>
      <c r="C195" s="4" t="s">
        <v>57</v>
      </c>
      <c r="D195" s="4" t="s">
        <v>303</v>
      </c>
      <c r="E195" s="4" t="s">
        <v>303</v>
      </c>
      <c r="G195" t="str">
        <f t="shared" si="3"/>
        <v>MIG194|SELECT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6" spans="1:7" x14ac:dyDescent="0.25">
      <c r="A196" s="6" t="s">
        <v>616</v>
      </c>
      <c r="B196" s="4" t="s">
        <v>547</v>
      </c>
      <c r="C196" s="4" t="s">
        <v>158</v>
      </c>
      <c r="D196" s="4" t="s">
        <v>303</v>
      </c>
      <c r="E196" s="4" t="s">
        <v>303</v>
      </c>
      <c r="G196" t="str">
        <f t="shared" si="3"/>
        <v>MIG195|SELECT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97" spans="1:7" x14ac:dyDescent="0.25">
      <c r="A197" s="6" t="s">
        <v>618</v>
      </c>
      <c r="B197" s="4" t="s">
        <v>57</v>
      </c>
      <c r="C197" s="4" t="s">
        <v>57</v>
      </c>
      <c r="D197" s="4" t="s">
        <v>303</v>
      </c>
      <c r="E197" s="4" t="s">
        <v>303</v>
      </c>
      <c r="G197" t="str">
        <f t="shared" si="3"/>
        <v>MIG196|SELECT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8" spans="1:7" x14ac:dyDescent="0.25">
      <c r="A198" s="6" t="s">
        <v>620</v>
      </c>
      <c r="B198" s="4" t="s">
        <v>622</v>
      </c>
      <c r="C198" s="4" t="s">
        <v>622</v>
      </c>
      <c r="D198" s="4" t="s">
        <v>303</v>
      </c>
      <c r="E198" s="4" t="s">
        <v>303</v>
      </c>
      <c r="G198" t="str">
        <f t="shared" si="3"/>
        <v>MIG197|SELECT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VEREDA' AND fl.Localidad = 'LA VEREDA' AND fm.Municipio = 'CARDENAS ';</v>
      </c>
    </row>
    <row r="199" spans="1:7" x14ac:dyDescent="0.25">
      <c r="A199" s="6" t="s">
        <v>623</v>
      </c>
      <c r="B199" s="4" t="s">
        <v>91</v>
      </c>
      <c r="C199" s="4" t="s">
        <v>91</v>
      </c>
      <c r="D199" s="4" t="s">
        <v>303</v>
      </c>
      <c r="E199" s="4" t="s">
        <v>303</v>
      </c>
      <c r="G199" t="str">
        <f t="shared" si="3"/>
        <v>MIG198|SELECT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200" spans="1:7" x14ac:dyDescent="0.25">
      <c r="A200" s="6" t="s">
        <v>626</v>
      </c>
      <c r="B200" s="4" t="s">
        <v>34</v>
      </c>
      <c r="C200" s="4" t="s">
        <v>34</v>
      </c>
      <c r="D200" s="4" t="s">
        <v>303</v>
      </c>
      <c r="E200" s="4" t="s">
        <v>303</v>
      </c>
      <c r="G200" t="str">
        <f t="shared" si="3"/>
        <v>MIG199|SELECT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201" spans="1:7" x14ac:dyDescent="0.25">
      <c r="A201" s="6" t="s">
        <v>628</v>
      </c>
      <c r="B201" s="4" t="s">
        <v>630</v>
      </c>
      <c r="C201" s="4" t="s">
        <v>630</v>
      </c>
      <c r="D201" s="4" t="s">
        <v>303</v>
      </c>
      <c r="E201" s="4" t="s">
        <v>303</v>
      </c>
      <c r="G201" t="str">
        <f t="shared" si="3"/>
        <v>MIG200|SELECT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'JARDINES DE TABASCO' AND fl.Localidad = 'JARDINES DE TABASCO' AND fm.Municipio = 'CARDENAS ';</v>
      </c>
    </row>
    <row r="202" spans="1:7" x14ac:dyDescent="0.25">
      <c r="A202" s="6" t="s">
        <v>631</v>
      </c>
      <c r="B202" s="4" t="s">
        <v>215</v>
      </c>
      <c r="C202" s="4" t="s">
        <v>215</v>
      </c>
      <c r="D202" s="4" t="s">
        <v>303</v>
      </c>
      <c r="E202" s="4" t="s">
        <v>303</v>
      </c>
      <c r="G202" t="str">
        <f t="shared" si="3"/>
        <v>MIG201|SELECT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203" spans="1:7" x14ac:dyDescent="0.25">
      <c r="A203" s="6" t="s">
        <v>633</v>
      </c>
      <c r="B203" s="4" t="s">
        <v>253</v>
      </c>
      <c r="C203" s="4" t="s">
        <v>436</v>
      </c>
      <c r="D203" s="4" t="s">
        <v>303</v>
      </c>
      <c r="E203" s="4" t="s">
        <v>303</v>
      </c>
      <c r="G203" t="str">
        <f t="shared" si="3"/>
        <v>MIG202|SELECT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204" spans="1:7" x14ac:dyDescent="0.25">
      <c r="A204" s="6" t="s">
        <v>635</v>
      </c>
      <c r="B204" s="4" t="s">
        <v>383</v>
      </c>
      <c r="C204" s="4" t="s">
        <v>637</v>
      </c>
      <c r="D204" s="4" t="s">
        <v>303</v>
      </c>
      <c r="E204" s="4" t="s">
        <v>303</v>
      </c>
      <c r="G204" t="str">
        <f t="shared" si="3"/>
        <v>MIG203|SELECT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' AND fl.Localidad = 'AMPLIACION CAÑALES TERCERA ETAPA ' AND fm.Municipio = 'CARDENAS ';</v>
      </c>
    </row>
    <row r="205" spans="1:7" x14ac:dyDescent="0.25">
      <c r="A205" s="6" t="s">
        <v>638</v>
      </c>
      <c r="B205" s="4" t="s">
        <v>57</v>
      </c>
      <c r="C205" s="4" t="s">
        <v>57</v>
      </c>
      <c r="D205" s="4" t="s">
        <v>303</v>
      </c>
      <c r="E205" s="4" t="s">
        <v>303</v>
      </c>
      <c r="G205" t="str">
        <f t="shared" si="3"/>
        <v>MIG204|SELECT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6" spans="1:7" x14ac:dyDescent="0.25">
      <c r="A206" s="6" t="s">
        <v>640</v>
      </c>
      <c r="B206" s="4" t="s">
        <v>57</v>
      </c>
      <c r="C206" s="4" t="s">
        <v>57</v>
      </c>
      <c r="D206" s="4" t="s">
        <v>303</v>
      </c>
      <c r="E206" s="4" t="s">
        <v>303</v>
      </c>
      <c r="G206" t="str">
        <f t="shared" si="3"/>
        <v>MIG205|SELECT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7" spans="1:7" x14ac:dyDescent="0.25">
      <c r="A207" s="6" t="s">
        <v>642</v>
      </c>
      <c r="B207" s="4" t="s">
        <v>645</v>
      </c>
      <c r="C207" s="4" t="s">
        <v>645</v>
      </c>
      <c r="D207" s="4" t="s">
        <v>303</v>
      </c>
      <c r="E207" s="4" t="s">
        <v>303</v>
      </c>
      <c r="G207" t="str">
        <f t="shared" si="3"/>
        <v>MIG206|SELECT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SUR' AND fl.Localidad = 'CALZADA PRIMERA SECCION SUR' AND fm.Municipio = 'CARDENAS ';</v>
      </c>
    </row>
    <row r="208" spans="1:7" x14ac:dyDescent="0.25">
      <c r="A208" s="6" t="s">
        <v>646</v>
      </c>
      <c r="B208" s="4" t="s">
        <v>648</v>
      </c>
      <c r="C208" s="4" t="s">
        <v>648</v>
      </c>
      <c r="D208" s="4" t="s">
        <v>303</v>
      </c>
      <c r="E208" s="4" t="s">
        <v>303</v>
      </c>
      <c r="G208" t="str">
        <f t="shared" si="3"/>
        <v>MIG207|SELECT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NUMERO 203' AND fl.Localidad = 'BENITO JUAREZ NUMERO 203' AND fm.Municipio = 'CARDENAS ';</v>
      </c>
    </row>
    <row r="209" spans="1:7" x14ac:dyDescent="0.25">
      <c r="A209" s="6" t="s">
        <v>649</v>
      </c>
      <c r="B209" s="4" t="s">
        <v>259</v>
      </c>
      <c r="C209" s="4" t="s">
        <v>652</v>
      </c>
      <c r="D209" s="4" t="s">
        <v>303</v>
      </c>
      <c r="E209" s="4" t="s">
        <v>303</v>
      </c>
      <c r="G209" t="str">
        <f t="shared" si="3"/>
        <v>MIG208|SELECT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 ' AND fl.Localidad = 'ADA ISABEL ' AND fm.Municipio = 'CARDENAS ';</v>
      </c>
    </row>
    <row r="210" spans="1:7" x14ac:dyDescent="0.25">
      <c r="A210" s="6" t="s">
        <v>653</v>
      </c>
      <c r="B210" s="4" t="s">
        <v>657</v>
      </c>
      <c r="C210" s="4" t="s">
        <v>656</v>
      </c>
      <c r="D210" s="4" t="s">
        <v>654</v>
      </c>
      <c r="E210" s="4" t="s">
        <v>654</v>
      </c>
      <c r="G210" t="str">
        <f t="shared" si="3"/>
        <v>MIG209|SELECT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SEGUNDA SECCION' AND fl.Localidad = 'FRANCISCO I MADERO SEGUNDA SECCION' AND fm.Municipio = 'PARAISO';</v>
      </c>
    </row>
    <row r="211" spans="1:7" x14ac:dyDescent="0.25">
      <c r="A211" s="6" t="s">
        <v>659</v>
      </c>
      <c r="B211" s="4" t="s">
        <v>661</v>
      </c>
      <c r="C211" s="4" t="s">
        <v>662</v>
      </c>
      <c r="D211" s="4" t="s">
        <v>654</v>
      </c>
      <c r="E211" s="4" t="s">
        <v>654</v>
      </c>
      <c r="G211" t="str">
        <f t="shared" si="3"/>
        <v>MIG210|SELECT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2" spans="1:7" x14ac:dyDescent="0.25">
      <c r="A212" s="6" t="s">
        <v>663</v>
      </c>
      <c r="B212" s="4" t="s">
        <v>661</v>
      </c>
      <c r="C212" s="4" t="s">
        <v>662</v>
      </c>
      <c r="D212" s="4" t="s">
        <v>654</v>
      </c>
      <c r="E212" s="4" t="s">
        <v>654</v>
      </c>
      <c r="G212" t="str">
        <f t="shared" si="3"/>
        <v>MIG211|SELECT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3" spans="1:7" x14ac:dyDescent="0.25">
      <c r="A213" s="6" t="s">
        <v>665</v>
      </c>
      <c r="B213" s="4" t="s">
        <v>667</v>
      </c>
      <c r="C213" s="4" t="s">
        <v>667</v>
      </c>
      <c r="D213" s="4" t="s">
        <v>3</v>
      </c>
      <c r="E213" s="4" t="s">
        <v>3</v>
      </c>
      <c r="G213" t="str">
        <f t="shared" si="3"/>
        <v>MIG212|SELECT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'AGUASOL' AND fl.Localidad = 'AGUASOL' AND fm.Municipio = 'CARDENAS';</v>
      </c>
    </row>
    <row r="214" spans="1:7" x14ac:dyDescent="0.25">
      <c r="A214" s="6" t="s">
        <v>668</v>
      </c>
      <c r="B214" s="4" t="s">
        <v>40</v>
      </c>
      <c r="C214" s="4" t="s">
        <v>40</v>
      </c>
      <c r="D214" s="4" t="s">
        <v>654</v>
      </c>
      <c r="E214" s="4" t="s">
        <v>654</v>
      </c>
      <c r="G214" t="str">
        <f t="shared" si="3"/>
        <v>MIG213|SELECT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5" spans="1:7" x14ac:dyDescent="0.25">
      <c r="A215" s="6" t="s">
        <v>671</v>
      </c>
      <c r="B215" s="4" t="s">
        <v>673</v>
      </c>
      <c r="C215" s="4" t="s">
        <v>673</v>
      </c>
      <c r="D215" s="4" t="s">
        <v>654</v>
      </c>
      <c r="E215" s="4" t="s">
        <v>654</v>
      </c>
      <c r="G215" t="str">
        <f t="shared" si="3"/>
        <v>MIG214|SELECT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16" spans="1:7" x14ac:dyDescent="0.25">
      <c r="A216" s="6" t="s">
        <v>674</v>
      </c>
      <c r="B216" s="4" t="s">
        <v>676</v>
      </c>
      <c r="C216" s="4" t="s">
        <v>676</v>
      </c>
      <c r="D216" s="4" t="s">
        <v>654</v>
      </c>
      <c r="E216" s="4" t="s">
        <v>654</v>
      </c>
      <c r="G216" t="str">
        <f t="shared" si="3"/>
        <v>MIG215|SELECT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PENJAMO' AND fl.Localidad = 'EL PENJAMO' AND fm.Municipio = 'PARAISO';</v>
      </c>
    </row>
    <row r="217" spans="1:7" x14ac:dyDescent="0.25">
      <c r="A217" s="6" t="s">
        <v>677</v>
      </c>
      <c r="B217" s="4" t="s">
        <v>40</v>
      </c>
      <c r="C217" s="4" t="s">
        <v>40</v>
      </c>
      <c r="D217" s="4" t="s">
        <v>654</v>
      </c>
      <c r="E217" s="4" t="s">
        <v>654</v>
      </c>
      <c r="G217" t="str">
        <f t="shared" si="3"/>
        <v>MIG216|SELECT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8" spans="1:7" x14ac:dyDescent="0.25">
      <c r="A218" s="6" t="s">
        <v>681</v>
      </c>
      <c r="B218" s="4" t="s">
        <v>683</v>
      </c>
      <c r="C218" s="4" t="s">
        <v>683</v>
      </c>
      <c r="D218" s="4" t="s">
        <v>654</v>
      </c>
      <c r="E218" s="4" t="s">
        <v>654</v>
      </c>
      <c r="G218" t="str">
        <f t="shared" si="3"/>
        <v>MIG217|SELECT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CONTINUIDAD' AND fl.Localidad = 'LA CONTINUIDAD' AND fm.Municipio = 'PARAISO';</v>
      </c>
    </row>
    <row r="219" spans="1:7" x14ac:dyDescent="0.25">
      <c r="A219" s="6" t="s">
        <v>684</v>
      </c>
      <c r="B219" s="4" t="s">
        <v>40</v>
      </c>
      <c r="C219" s="4" t="s">
        <v>40</v>
      </c>
      <c r="D219" s="4" t="s">
        <v>654</v>
      </c>
      <c r="E219" s="4" t="s">
        <v>654</v>
      </c>
      <c r="G219" t="str">
        <f t="shared" si="3"/>
        <v>MIG218|SELECT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0" spans="1:7" x14ac:dyDescent="0.25">
      <c r="A220" s="6" t="s">
        <v>686</v>
      </c>
      <c r="B220" s="4" t="s">
        <v>687</v>
      </c>
      <c r="C220" s="4" t="s">
        <v>688</v>
      </c>
      <c r="D220" s="4" t="s">
        <v>654</v>
      </c>
      <c r="E220" s="4" t="s">
        <v>654</v>
      </c>
      <c r="G220" t="str">
        <f t="shared" si="3"/>
        <v>MIG219|SELECT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1" spans="1:7" x14ac:dyDescent="0.25">
      <c r="A221" s="6" t="s">
        <v>689</v>
      </c>
      <c r="B221" s="4" t="s">
        <v>687</v>
      </c>
      <c r="C221" s="4" t="s">
        <v>688</v>
      </c>
      <c r="D221" s="4" t="s">
        <v>654</v>
      </c>
      <c r="E221" s="4" t="s">
        <v>654</v>
      </c>
      <c r="G221" t="str">
        <f t="shared" si="3"/>
        <v>MIG220|SELECT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2" spans="1:7" x14ac:dyDescent="0.25">
      <c r="A222" s="6" t="s">
        <v>690</v>
      </c>
      <c r="B222" s="4" t="s">
        <v>40</v>
      </c>
      <c r="C222" s="4" t="s">
        <v>40</v>
      </c>
      <c r="D222" s="4" t="s">
        <v>654</v>
      </c>
      <c r="E222" s="4" t="s">
        <v>654</v>
      </c>
      <c r="G222" t="str">
        <f t="shared" si="3"/>
        <v>MIG221|SELECT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3" spans="1:7" x14ac:dyDescent="0.25">
      <c r="A223" s="6" t="s">
        <v>692</v>
      </c>
      <c r="B223" s="4" t="s">
        <v>40</v>
      </c>
      <c r="C223" s="4" t="s">
        <v>40</v>
      </c>
      <c r="D223" s="4" t="s">
        <v>654</v>
      </c>
      <c r="E223" s="4" t="s">
        <v>654</v>
      </c>
      <c r="G223" t="str">
        <f t="shared" si="3"/>
        <v>MIG222|SELECT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4" spans="1:7" x14ac:dyDescent="0.25">
      <c r="A224" s="6" t="s">
        <v>696</v>
      </c>
      <c r="B224" s="4" t="s">
        <v>698</v>
      </c>
      <c r="C224" s="4" t="s">
        <v>699</v>
      </c>
      <c r="D224" s="4" t="s">
        <v>654</v>
      </c>
      <c r="E224" s="4" t="s">
        <v>654</v>
      </c>
      <c r="G224" t="str">
        <f t="shared" si="3"/>
        <v>MIG223|SELECT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5" spans="1:7" x14ac:dyDescent="0.25">
      <c r="A225" s="6" t="s">
        <v>700</v>
      </c>
      <c r="B225" s="4" t="s">
        <v>40</v>
      </c>
      <c r="C225" s="4" t="s">
        <v>40</v>
      </c>
      <c r="D225" s="4" t="s">
        <v>654</v>
      </c>
      <c r="E225" s="4" t="s">
        <v>654</v>
      </c>
      <c r="G225" t="str">
        <f t="shared" si="3"/>
        <v>MIG224|SELECT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6" spans="1:7" x14ac:dyDescent="0.25">
      <c r="A226" s="6" t="s">
        <v>702</v>
      </c>
      <c r="B226" s="4" t="s">
        <v>698</v>
      </c>
      <c r="C226" s="4" t="s">
        <v>699</v>
      </c>
      <c r="D226" s="4" t="s">
        <v>654</v>
      </c>
      <c r="E226" s="4" t="s">
        <v>654</v>
      </c>
      <c r="G226" t="str">
        <f t="shared" si="3"/>
        <v>MIG225|SELECT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7" spans="1:7" x14ac:dyDescent="0.25">
      <c r="A227" s="6" t="s">
        <v>703</v>
      </c>
      <c r="B227" s="4" t="s">
        <v>673</v>
      </c>
      <c r="C227" s="4" t="s">
        <v>673</v>
      </c>
      <c r="D227" s="4" t="s">
        <v>654</v>
      </c>
      <c r="E227" s="4" t="s">
        <v>654</v>
      </c>
      <c r="G227" t="str">
        <f t="shared" si="3"/>
        <v>MIG226|SELECT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28" spans="1:7" x14ac:dyDescent="0.25">
      <c r="A228" s="6" t="s">
        <v>706</v>
      </c>
      <c r="B228" s="4" t="s">
        <v>708</v>
      </c>
      <c r="C228" s="4" t="s">
        <v>708</v>
      </c>
      <c r="D228" s="4" t="s">
        <v>654</v>
      </c>
      <c r="E228" s="4" t="s">
        <v>654</v>
      </c>
      <c r="G228" t="str">
        <f t="shared" si="3"/>
        <v>MIG227|SELECT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COQUITOS' AND fl.Localidad = 'LOS COQUITOS' AND fm.Municipio = 'PARAISO';</v>
      </c>
    </row>
    <row r="229" spans="1:7" x14ac:dyDescent="0.25">
      <c r="A229" s="6" t="s">
        <v>709</v>
      </c>
      <c r="B229" s="4" t="s">
        <v>711</v>
      </c>
      <c r="C229" s="4" t="s">
        <v>711</v>
      </c>
      <c r="D229" s="4" t="s">
        <v>654</v>
      </c>
      <c r="E229" s="4" t="s">
        <v>654</v>
      </c>
      <c r="G229" t="str">
        <f t="shared" si="3"/>
        <v>MIG228|SELECT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0" spans="1:7" x14ac:dyDescent="0.25">
      <c r="A230" s="6" t="s">
        <v>712</v>
      </c>
      <c r="B230" s="4" t="s">
        <v>577</v>
      </c>
      <c r="C230" s="4" t="s">
        <v>577</v>
      </c>
      <c r="D230" s="4" t="s">
        <v>654</v>
      </c>
      <c r="E230" s="4" t="s">
        <v>654</v>
      </c>
      <c r="G230" t="str">
        <f t="shared" si="3"/>
        <v>MIG229|SELECT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1" spans="1:7" x14ac:dyDescent="0.25">
      <c r="A231" s="6" t="s">
        <v>714</v>
      </c>
      <c r="B231" s="4" t="s">
        <v>577</v>
      </c>
      <c r="C231" s="4" t="s">
        <v>577</v>
      </c>
      <c r="D231" s="4" t="s">
        <v>654</v>
      </c>
      <c r="E231" s="4" t="s">
        <v>654</v>
      </c>
      <c r="G231" t="str">
        <f t="shared" si="3"/>
        <v>MIG230|SELECT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2" spans="1:7" x14ac:dyDescent="0.25">
      <c r="A232" s="6" t="s">
        <v>716</v>
      </c>
      <c r="B232" s="4" t="s">
        <v>577</v>
      </c>
      <c r="C232" s="4" t="s">
        <v>577</v>
      </c>
      <c r="D232" s="4" t="s">
        <v>654</v>
      </c>
      <c r="E232" s="4" t="s">
        <v>654</v>
      </c>
      <c r="G232" t="str">
        <f t="shared" si="3"/>
        <v>MIG231|SELECT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3" spans="1:7" x14ac:dyDescent="0.25">
      <c r="A233" s="6" t="s">
        <v>718</v>
      </c>
      <c r="B233" s="4" t="s">
        <v>720</v>
      </c>
      <c r="C233" s="4" t="s">
        <v>673</v>
      </c>
      <c r="D233" s="4" t="s">
        <v>654</v>
      </c>
      <c r="E233" s="4" t="s">
        <v>654</v>
      </c>
      <c r="G233" t="str">
        <f t="shared" si="3"/>
        <v>MIG232|SELECT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34" spans="1:7" x14ac:dyDescent="0.25">
      <c r="A234" s="6" t="s">
        <v>721</v>
      </c>
      <c r="B234" s="4" t="s">
        <v>725</v>
      </c>
      <c r="C234" s="4" t="s">
        <v>726</v>
      </c>
      <c r="D234" s="4" t="s">
        <v>722</v>
      </c>
      <c r="E234" s="4" t="s">
        <v>722</v>
      </c>
      <c r="G234" t="str">
        <f t="shared" si="3"/>
        <v>MIG233|SELECT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235" spans="1:7" x14ac:dyDescent="0.25">
      <c r="A235" s="6" t="s">
        <v>727</v>
      </c>
      <c r="B235" s="4" t="s">
        <v>725</v>
      </c>
      <c r="C235" s="4" t="s">
        <v>725</v>
      </c>
      <c r="D235" s="4" t="s">
        <v>722</v>
      </c>
      <c r="E235" s="4" t="s">
        <v>722</v>
      </c>
      <c r="G235" t="str">
        <f t="shared" si="3"/>
        <v>MIG234|SELECT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'COMALCALCO';</v>
      </c>
    </row>
    <row r="236" spans="1:7" x14ac:dyDescent="0.25">
      <c r="A236" s="6" t="s">
        <v>730</v>
      </c>
      <c r="B236" s="4" t="s">
        <v>711</v>
      </c>
      <c r="C236" s="4" t="s">
        <v>711</v>
      </c>
      <c r="D236" s="4" t="s">
        <v>654</v>
      </c>
      <c r="E236" s="4" t="s">
        <v>654</v>
      </c>
      <c r="G236" t="str">
        <f t="shared" si="3"/>
        <v>MIG235|SELECT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7" spans="1:7" x14ac:dyDescent="0.25">
      <c r="A237" s="6" t="s">
        <v>733</v>
      </c>
      <c r="B237" s="4" t="s">
        <v>735</v>
      </c>
      <c r="C237" s="4" t="s">
        <v>711</v>
      </c>
      <c r="D237" s="4" t="s">
        <v>654</v>
      </c>
      <c r="E237" s="4" t="s">
        <v>654</v>
      </c>
      <c r="G237" t="str">
        <f t="shared" si="3"/>
        <v>MIG236|SELECT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8" spans="1:7" x14ac:dyDescent="0.25">
      <c r="A238" s="6" t="s">
        <v>736</v>
      </c>
      <c r="B238" s="4" t="s">
        <v>711</v>
      </c>
      <c r="C238" s="4" t="s">
        <v>711</v>
      </c>
      <c r="D238" s="4" t="s">
        <v>654</v>
      </c>
      <c r="E238" s="4" t="s">
        <v>654</v>
      </c>
      <c r="G238" t="str">
        <f t="shared" si="3"/>
        <v>MIG237|SELECT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9" spans="1:7" x14ac:dyDescent="0.25">
      <c r="A239" s="6" t="s">
        <v>738</v>
      </c>
      <c r="B239" s="4" t="s">
        <v>741</v>
      </c>
      <c r="C239" s="4" t="s">
        <v>741</v>
      </c>
      <c r="D239" s="4" t="s">
        <v>739</v>
      </c>
      <c r="E239" s="4" t="s">
        <v>739</v>
      </c>
      <c r="G239" t="str">
        <f t="shared" si="3"/>
        <v>MIG238|SELECT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 SIN NUMERO' AND fl.Localidad = 'JALAPITA SIN NUMERO' AND fm.Municipio = 'CENTLA';</v>
      </c>
    </row>
    <row r="240" spans="1:7" x14ac:dyDescent="0.25">
      <c r="A240" s="6" t="s">
        <v>742</v>
      </c>
      <c r="B240" s="4" t="s">
        <v>40</v>
      </c>
      <c r="C240" s="4" t="s">
        <v>40</v>
      </c>
      <c r="D240" s="4" t="s">
        <v>654</v>
      </c>
      <c r="E240" s="4" t="s">
        <v>654</v>
      </c>
      <c r="G240" t="str">
        <f t="shared" si="3"/>
        <v>MIG239|SELECT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1" spans="1:7" x14ac:dyDescent="0.25">
      <c r="A241" s="6" t="s">
        <v>745</v>
      </c>
      <c r="B241" s="4" t="s">
        <v>698</v>
      </c>
      <c r="C241" s="4" t="s">
        <v>699</v>
      </c>
      <c r="D241" s="4" t="s">
        <v>722</v>
      </c>
      <c r="E241" s="4" t="s">
        <v>722</v>
      </c>
      <c r="G241" t="str">
        <f t="shared" si="3"/>
        <v>MIG240|SELECT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'COMALCALCO';</v>
      </c>
    </row>
    <row r="242" spans="1:7" x14ac:dyDescent="0.25">
      <c r="A242" s="6" t="s">
        <v>747</v>
      </c>
      <c r="B242" s="4" t="s">
        <v>40</v>
      </c>
      <c r="C242" s="4" t="s">
        <v>40</v>
      </c>
      <c r="D242" s="4" t="s">
        <v>654</v>
      </c>
      <c r="E242" s="4" t="s">
        <v>654</v>
      </c>
      <c r="G242" t="str">
        <f t="shared" si="3"/>
        <v>MIG241|SELECT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3" spans="1:7" x14ac:dyDescent="0.25">
      <c r="A243" s="6" t="s">
        <v>749</v>
      </c>
      <c r="B243" s="4" t="s">
        <v>698</v>
      </c>
      <c r="C243" s="4" t="s">
        <v>699</v>
      </c>
      <c r="D243" s="4" t="s">
        <v>654</v>
      </c>
      <c r="E243" s="4" t="s">
        <v>654</v>
      </c>
      <c r="G243" t="str">
        <f t="shared" si="3"/>
        <v>MIG242|SELECT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4" spans="1:7" x14ac:dyDescent="0.25">
      <c r="A244" s="6" t="s">
        <v>751</v>
      </c>
      <c r="B244" s="4" t="s">
        <v>753</v>
      </c>
      <c r="C244" s="4" t="s">
        <v>753</v>
      </c>
      <c r="D244" s="4" t="s">
        <v>654</v>
      </c>
      <c r="E244" s="4" t="s">
        <v>654</v>
      </c>
      <c r="G244" t="str">
        <f t="shared" si="3"/>
        <v>MIG243|SELECT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45" spans="1:7" x14ac:dyDescent="0.25">
      <c r="A245" s="6" t="s">
        <v>754</v>
      </c>
      <c r="B245" s="4" t="s">
        <v>577</v>
      </c>
      <c r="C245" s="4" t="s">
        <v>577</v>
      </c>
      <c r="D245" s="4" t="s">
        <v>654</v>
      </c>
      <c r="E245" s="4" t="s">
        <v>654</v>
      </c>
      <c r="G245" t="str">
        <f t="shared" si="3"/>
        <v>MIG244|SELECT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46" spans="1:7" x14ac:dyDescent="0.25">
      <c r="A246" s="6" t="s">
        <v>756</v>
      </c>
      <c r="B246" s="4" t="s">
        <v>698</v>
      </c>
      <c r="C246" s="4" t="s">
        <v>699</v>
      </c>
      <c r="D246" s="4" t="s">
        <v>654</v>
      </c>
      <c r="E246" s="4" t="s">
        <v>654</v>
      </c>
      <c r="G246" t="str">
        <f t="shared" si="3"/>
        <v>MIG245|SELECT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7" spans="1:7" x14ac:dyDescent="0.25">
      <c r="A247" s="6" t="s">
        <v>758</v>
      </c>
      <c r="B247" s="4" t="s">
        <v>661</v>
      </c>
      <c r="C247" s="4" t="s">
        <v>661</v>
      </c>
      <c r="D247" s="4" t="s">
        <v>654</v>
      </c>
      <c r="E247" s="4" t="s">
        <v>654</v>
      </c>
      <c r="G247" t="str">
        <f t="shared" si="3"/>
        <v>MIG246|SELECT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248" spans="1:7" x14ac:dyDescent="0.25">
      <c r="A248" s="6" t="s">
        <v>760</v>
      </c>
      <c r="B248" s="4" t="s">
        <v>219</v>
      </c>
      <c r="C248" s="4" t="s">
        <v>673</v>
      </c>
      <c r="D248" s="4" t="s">
        <v>654</v>
      </c>
      <c r="E248" s="4" t="s">
        <v>654</v>
      </c>
      <c r="G248" t="str">
        <f t="shared" si="3"/>
        <v>MIG247|SELECT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49" spans="1:7" x14ac:dyDescent="0.25">
      <c r="A249" s="6" t="s">
        <v>763</v>
      </c>
      <c r="B249" s="4" t="s">
        <v>699</v>
      </c>
      <c r="C249" s="4" t="s">
        <v>698</v>
      </c>
      <c r="D249" s="4" t="s">
        <v>654</v>
      </c>
      <c r="E249" s="4" t="s">
        <v>654</v>
      </c>
      <c r="G249" t="str">
        <f t="shared" si="3"/>
        <v>MIG248|SELECT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0" spans="1:7" x14ac:dyDescent="0.25">
      <c r="A250" s="6" t="s">
        <v>765</v>
      </c>
      <c r="B250" s="4" t="s">
        <v>40</v>
      </c>
      <c r="C250" s="4" t="s">
        <v>40</v>
      </c>
      <c r="D250" s="4" t="s">
        <v>654</v>
      </c>
      <c r="E250" s="4" t="s">
        <v>654</v>
      </c>
      <c r="G250" t="str">
        <f t="shared" si="3"/>
        <v>MIG249|SELECT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1" spans="1:7" x14ac:dyDescent="0.25">
      <c r="A251" s="6" t="s">
        <v>767</v>
      </c>
      <c r="B251" s="4" t="s">
        <v>40</v>
      </c>
      <c r="C251" s="4" t="s">
        <v>40</v>
      </c>
      <c r="D251" s="4" t="s">
        <v>654</v>
      </c>
      <c r="E251" s="4" t="s">
        <v>654</v>
      </c>
      <c r="G251" t="str">
        <f t="shared" si="3"/>
        <v>MIG250|SELECT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2" spans="1:7" x14ac:dyDescent="0.25">
      <c r="A252" s="6" t="s">
        <v>768</v>
      </c>
      <c r="B252" s="4" t="s">
        <v>699</v>
      </c>
      <c r="C252" s="4" t="s">
        <v>698</v>
      </c>
      <c r="D252" s="4" t="s">
        <v>654</v>
      </c>
      <c r="E252" s="4" t="s">
        <v>654</v>
      </c>
      <c r="G252" t="str">
        <f t="shared" si="3"/>
        <v>MIG251|SELECT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3" spans="1:7" x14ac:dyDescent="0.25">
      <c r="A253" s="6" t="s">
        <v>770</v>
      </c>
      <c r="B253" s="4" t="s">
        <v>772</v>
      </c>
      <c r="C253" s="4" t="s">
        <v>772</v>
      </c>
      <c r="D253" s="4" t="s">
        <v>739</v>
      </c>
      <c r="E253" s="4" t="s">
        <v>739</v>
      </c>
      <c r="G253" t="str">
        <f t="shared" si="3"/>
        <v>MIG252|SELECT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54" spans="1:7" x14ac:dyDescent="0.25">
      <c r="A254" s="6" t="s">
        <v>774</v>
      </c>
      <c r="B254" s="4" t="s">
        <v>219</v>
      </c>
      <c r="C254" s="4" t="s">
        <v>219</v>
      </c>
      <c r="D254" s="4" t="s">
        <v>654</v>
      </c>
      <c r="E254" s="4" t="s">
        <v>654</v>
      </c>
      <c r="G254" t="str">
        <f t="shared" si="3"/>
        <v>MIG253|SELECT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55" spans="1:7" x14ac:dyDescent="0.25">
      <c r="A255" s="6" t="s">
        <v>775</v>
      </c>
      <c r="B255" s="4" t="s">
        <v>40</v>
      </c>
      <c r="C255" s="4" t="s">
        <v>40</v>
      </c>
      <c r="D255" s="4" t="s">
        <v>654</v>
      </c>
      <c r="E255" s="4" t="s">
        <v>654</v>
      </c>
      <c r="G255" t="str">
        <f t="shared" si="3"/>
        <v>MIG254|SELECT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6" spans="1:7" x14ac:dyDescent="0.25">
      <c r="A256" s="6" t="s">
        <v>777</v>
      </c>
      <c r="B256" s="4" t="s">
        <v>40</v>
      </c>
      <c r="C256" s="4" t="s">
        <v>40</v>
      </c>
      <c r="D256" s="4" t="s">
        <v>654</v>
      </c>
      <c r="E256" s="4" t="s">
        <v>654</v>
      </c>
      <c r="G256" t="str">
        <f t="shared" si="3"/>
        <v>MIG255|SELECT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7" spans="1:7" x14ac:dyDescent="0.25">
      <c r="A257" s="6" t="s">
        <v>779</v>
      </c>
      <c r="B257" s="4" t="s">
        <v>782</v>
      </c>
      <c r="C257" s="4" t="s">
        <v>783</v>
      </c>
      <c r="D257" s="4" t="s">
        <v>654</v>
      </c>
      <c r="E257" s="4" t="s">
        <v>654</v>
      </c>
      <c r="G257" t="str">
        <f t="shared" si="3"/>
        <v>MIG256|SELECT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258" spans="1:7" x14ac:dyDescent="0.25">
      <c r="A258" s="6" t="s">
        <v>784</v>
      </c>
      <c r="B258" s="4" t="s">
        <v>786</v>
      </c>
      <c r="C258" s="4" t="s">
        <v>786</v>
      </c>
      <c r="D258" s="4" t="s">
        <v>654</v>
      </c>
      <c r="E258" s="4" t="s">
        <v>654</v>
      </c>
      <c r="G258" t="str">
        <f t="shared" ref="G258:G321" si="4">CONCATENATE(A258,"|","SELECT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'",C258,"' AND fl.Localidad = '",C258,"' AND fm.Municipio = '",E258,"';")</f>
        <v>MIG257|SELECT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59" spans="1:7" x14ac:dyDescent="0.25">
      <c r="A259" s="6" t="s">
        <v>787</v>
      </c>
      <c r="B259" s="4" t="s">
        <v>789</v>
      </c>
      <c r="C259" s="4" t="s">
        <v>789</v>
      </c>
      <c r="D259" s="4" t="s">
        <v>654</v>
      </c>
      <c r="E259" s="4" t="s">
        <v>654</v>
      </c>
      <c r="G259" t="str">
        <f t="shared" si="4"/>
        <v>MIG258|SELECT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0" spans="1:7" x14ac:dyDescent="0.25">
      <c r="A260" s="6" t="s">
        <v>790</v>
      </c>
      <c r="B260" s="4" t="s">
        <v>789</v>
      </c>
      <c r="C260" s="4" t="s">
        <v>789</v>
      </c>
      <c r="D260" s="4" t="s">
        <v>654</v>
      </c>
      <c r="E260" s="4" t="s">
        <v>654</v>
      </c>
      <c r="G260" t="str">
        <f t="shared" si="4"/>
        <v>MIG259|SELECT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1" spans="1:7" x14ac:dyDescent="0.25">
      <c r="A261" s="6" t="s">
        <v>792</v>
      </c>
      <c r="B261" s="4" t="s">
        <v>794</v>
      </c>
      <c r="C261" s="4" t="s">
        <v>793</v>
      </c>
      <c r="D261" s="4" t="s">
        <v>654</v>
      </c>
      <c r="E261" s="4" t="s">
        <v>654</v>
      </c>
      <c r="G261" t="str">
        <f t="shared" si="4"/>
        <v>MIG260|SELECT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CHILTEPEC' AND fl.Localidad = 'PUERTO CEIBA CHILTEPEC' AND fm.Municipio = 'PARAISO';</v>
      </c>
    </row>
    <row r="262" spans="1:7" x14ac:dyDescent="0.25">
      <c r="A262" s="6" t="s">
        <v>795</v>
      </c>
      <c r="B262" s="4" t="s">
        <v>786</v>
      </c>
      <c r="C262" s="4" t="s">
        <v>786</v>
      </c>
      <c r="D262" s="4" t="s">
        <v>654</v>
      </c>
      <c r="E262" s="4" t="s">
        <v>654</v>
      </c>
      <c r="G262" t="str">
        <f t="shared" si="4"/>
        <v>MIG261|SELECT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63" spans="1:7" x14ac:dyDescent="0.25">
      <c r="A263" s="6" t="s">
        <v>796</v>
      </c>
      <c r="B263" s="4" t="s">
        <v>673</v>
      </c>
      <c r="C263" s="4" t="s">
        <v>673</v>
      </c>
      <c r="D263" s="4" t="s">
        <v>654</v>
      </c>
      <c r="E263" s="4" t="s">
        <v>654</v>
      </c>
      <c r="G263" t="str">
        <f t="shared" si="4"/>
        <v>MIG262|SELECT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64" spans="1:7" x14ac:dyDescent="0.25">
      <c r="A264" s="6" t="s">
        <v>798</v>
      </c>
      <c r="B264" s="4" t="s">
        <v>753</v>
      </c>
      <c r="C264" s="4" t="s">
        <v>753</v>
      </c>
      <c r="D264" s="4" t="s">
        <v>654</v>
      </c>
      <c r="E264" s="4" t="s">
        <v>654</v>
      </c>
      <c r="G264" t="str">
        <f t="shared" si="4"/>
        <v>MIG263|SELECT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65" spans="1:7" x14ac:dyDescent="0.25">
      <c r="A265" s="6" t="s">
        <v>800</v>
      </c>
      <c r="B265" s="4" t="s">
        <v>802</v>
      </c>
      <c r="C265" s="4" t="s">
        <v>802</v>
      </c>
      <c r="D265" s="4" t="s">
        <v>654</v>
      </c>
      <c r="E265" s="4" t="s">
        <v>654</v>
      </c>
      <c r="G265" t="str">
        <f t="shared" si="4"/>
        <v>MIG264|SELECT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266" spans="1:7" x14ac:dyDescent="0.25">
      <c r="A266" s="6" t="s">
        <v>803</v>
      </c>
      <c r="B266" s="4" t="s">
        <v>577</v>
      </c>
      <c r="C266" s="4" t="s">
        <v>577</v>
      </c>
      <c r="D266" s="4" t="s">
        <v>654</v>
      </c>
      <c r="E266" s="4" t="s">
        <v>654</v>
      </c>
      <c r="G266" t="str">
        <f t="shared" si="4"/>
        <v>MIG265|SELECT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67" spans="1:7" x14ac:dyDescent="0.25">
      <c r="A267" s="6" t="s">
        <v>805</v>
      </c>
      <c r="B267" s="4" t="s">
        <v>807</v>
      </c>
      <c r="C267" s="4" t="s">
        <v>808</v>
      </c>
      <c r="D267" s="4" t="s">
        <v>654</v>
      </c>
      <c r="E267" s="4" t="s">
        <v>654</v>
      </c>
      <c r="G267" t="str">
        <f t="shared" si="4"/>
        <v>MIG266|SELECT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CARLOS A MADRAZO BECERRA' AND fl.Localidad = 'FRACCIONAMIENTO CARLOS A MADRAZO BECERRA' AND fm.Municipio = 'PARAISO';</v>
      </c>
    </row>
    <row r="268" spans="1:7" x14ac:dyDescent="0.25">
      <c r="A268" s="10" t="s">
        <v>809</v>
      </c>
      <c r="B268" s="11" t="s">
        <v>18</v>
      </c>
      <c r="C268" s="11" t="s">
        <v>12</v>
      </c>
      <c r="D268" s="11" t="s">
        <v>722</v>
      </c>
      <c r="E268" s="11" t="s">
        <v>722</v>
      </c>
      <c r="G268" t="str">
        <f t="shared" si="4"/>
        <v>MIG267|SELECT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69" spans="1:7" x14ac:dyDescent="0.25">
      <c r="A269" s="10" t="s">
        <v>811</v>
      </c>
      <c r="B269" s="11" t="s">
        <v>814</v>
      </c>
      <c r="C269" s="11" t="s">
        <v>12</v>
      </c>
      <c r="D269" s="11" t="s">
        <v>722</v>
      </c>
      <c r="E269" s="11" t="s">
        <v>722</v>
      </c>
      <c r="G269" t="str">
        <f t="shared" si="4"/>
        <v>MIG268|SELECT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0" spans="1:7" x14ac:dyDescent="0.25">
      <c r="A270" s="10" t="s">
        <v>816</v>
      </c>
      <c r="B270" s="11" t="s">
        <v>819</v>
      </c>
      <c r="C270" s="11" t="s">
        <v>12</v>
      </c>
      <c r="D270" s="11" t="s">
        <v>722</v>
      </c>
      <c r="E270" s="11" t="s">
        <v>722</v>
      </c>
      <c r="G270" t="str">
        <f t="shared" si="4"/>
        <v>MIG269|SELECT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1" spans="1:7" x14ac:dyDescent="0.25">
      <c r="A271" s="10" t="s">
        <v>820</v>
      </c>
      <c r="B271" s="11" t="s">
        <v>822</v>
      </c>
      <c r="C271" s="11" t="s">
        <v>12</v>
      </c>
      <c r="D271" s="11" t="s">
        <v>722</v>
      </c>
      <c r="E271" s="11" t="s">
        <v>722</v>
      </c>
      <c r="G271" t="str">
        <f t="shared" si="4"/>
        <v>MIG270|SELECT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2" spans="1:7" x14ac:dyDescent="0.25">
      <c r="A272" s="10" t="s">
        <v>823</v>
      </c>
      <c r="B272" s="11" t="s">
        <v>18</v>
      </c>
      <c r="C272" s="11" t="s">
        <v>12</v>
      </c>
      <c r="D272" s="11" t="s">
        <v>722</v>
      </c>
      <c r="E272" s="11" t="s">
        <v>722</v>
      </c>
      <c r="G272" t="str">
        <f t="shared" si="4"/>
        <v>MIG271|SELECT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3" spans="1:7" x14ac:dyDescent="0.25">
      <c r="A273" s="10" t="s">
        <v>825</v>
      </c>
      <c r="B273" s="11" t="s">
        <v>827</v>
      </c>
      <c r="C273" s="11" t="s">
        <v>12</v>
      </c>
      <c r="D273" s="11" t="s">
        <v>722</v>
      </c>
      <c r="E273" s="11" t="s">
        <v>722</v>
      </c>
      <c r="G273" t="str">
        <f t="shared" si="4"/>
        <v>MIG272|SELECT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4" spans="1:7" x14ac:dyDescent="0.25">
      <c r="A274" s="10" t="s">
        <v>829</v>
      </c>
      <c r="B274" s="11" t="s">
        <v>831</v>
      </c>
      <c r="C274" s="11" t="s">
        <v>12</v>
      </c>
      <c r="D274" s="11" t="s">
        <v>722</v>
      </c>
      <c r="E274" s="11" t="s">
        <v>722</v>
      </c>
      <c r="G274" t="str">
        <f t="shared" si="4"/>
        <v>MIG273|SELECT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5" spans="1:7" x14ac:dyDescent="0.25">
      <c r="A275" s="10" t="s">
        <v>832</v>
      </c>
      <c r="B275" s="11" t="s">
        <v>834</v>
      </c>
      <c r="C275" s="11" t="s">
        <v>12</v>
      </c>
      <c r="D275" s="11" t="s">
        <v>722</v>
      </c>
      <c r="E275" s="11" t="s">
        <v>722</v>
      </c>
      <c r="G275" t="str">
        <f t="shared" si="4"/>
        <v>MIG274|SELECT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6" spans="1:7" x14ac:dyDescent="0.25">
      <c r="A276" s="10" t="s">
        <v>835</v>
      </c>
      <c r="B276" s="11" t="s">
        <v>837</v>
      </c>
      <c r="C276" s="11" t="s">
        <v>12</v>
      </c>
      <c r="D276" s="11" t="s">
        <v>722</v>
      </c>
      <c r="E276" s="11" t="s">
        <v>836</v>
      </c>
      <c r="G276" t="str">
        <f t="shared" si="4"/>
        <v>MIG275|SELECT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'CUNDUACAN';</v>
      </c>
    </row>
    <row r="277" spans="1:7" x14ac:dyDescent="0.25">
      <c r="A277" s="10" t="s">
        <v>838</v>
      </c>
      <c r="B277" s="11" t="s">
        <v>842</v>
      </c>
      <c r="C277" s="11" t="s">
        <v>12</v>
      </c>
      <c r="D277" s="11" t="s">
        <v>722</v>
      </c>
      <c r="E277" s="11" t="s">
        <v>722</v>
      </c>
      <c r="G277" t="str">
        <f t="shared" si="4"/>
        <v>MIG276|SELECT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8" spans="1:7" x14ac:dyDescent="0.25">
      <c r="A278" s="10" t="s">
        <v>843</v>
      </c>
      <c r="B278" s="11" t="s">
        <v>844</v>
      </c>
      <c r="C278" s="11" t="s">
        <v>12</v>
      </c>
      <c r="D278" s="11" t="s">
        <v>722</v>
      </c>
      <c r="E278" s="11" t="s">
        <v>722</v>
      </c>
      <c r="G278" t="str">
        <f t="shared" si="4"/>
        <v>MIG277|SELECT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9" spans="1:7" x14ac:dyDescent="0.25">
      <c r="A279" s="10" t="s">
        <v>845</v>
      </c>
      <c r="B279" s="11" t="s">
        <v>847</v>
      </c>
      <c r="C279" s="11" t="s">
        <v>12</v>
      </c>
      <c r="D279" s="11" t="s">
        <v>722</v>
      </c>
      <c r="E279" s="11" t="s">
        <v>722</v>
      </c>
      <c r="G279" t="str">
        <f t="shared" si="4"/>
        <v>MIG278|SELECT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0" spans="1:7" x14ac:dyDescent="0.25">
      <c r="A280" s="10" t="s">
        <v>848</v>
      </c>
      <c r="B280" s="11" t="s">
        <v>850</v>
      </c>
      <c r="C280" s="11" t="s">
        <v>12</v>
      </c>
      <c r="D280" s="11" t="s">
        <v>722</v>
      </c>
      <c r="E280" s="11" t="s">
        <v>722</v>
      </c>
      <c r="G280" t="str">
        <f t="shared" si="4"/>
        <v>MIG279|SELECT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1" spans="1:7" x14ac:dyDescent="0.25">
      <c r="A281" s="10" t="s">
        <v>851</v>
      </c>
      <c r="B281" s="11" t="s">
        <v>850</v>
      </c>
      <c r="C281" s="11" t="s">
        <v>12</v>
      </c>
      <c r="D281" s="11" t="s">
        <v>722</v>
      </c>
      <c r="E281" s="11" t="s">
        <v>722</v>
      </c>
      <c r="G281" t="str">
        <f t="shared" si="4"/>
        <v>MIG280|SELECT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2" spans="1:7" x14ac:dyDescent="0.25">
      <c r="A282" s="10" t="s">
        <v>852</v>
      </c>
      <c r="B282" s="11" t="s">
        <v>834</v>
      </c>
      <c r="C282" s="11" t="s">
        <v>12</v>
      </c>
      <c r="D282" s="11" t="s">
        <v>722</v>
      </c>
      <c r="E282" s="11" t="s">
        <v>722</v>
      </c>
      <c r="G282" t="str">
        <f t="shared" si="4"/>
        <v>MIG281|SELECT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3" spans="1:7" x14ac:dyDescent="0.25">
      <c r="A283" s="10" t="s">
        <v>854</v>
      </c>
      <c r="B283" s="11" t="s">
        <v>857</v>
      </c>
      <c r="C283" s="11" t="s">
        <v>12</v>
      </c>
      <c r="D283" s="11" t="s">
        <v>722</v>
      </c>
      <c r="E283" s="11" t="s">
        <v>722</v>
      </c>
      <c r="G283" t="str">
        <f t="shared" si="4"/>
        <v>MIG282|SELECT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4" spans="1:7" x14ac:dyDescent="0.25">
      <c r="A284" s="10" t="s">
        <v>858</v>
      </c>
      <c r="B284" s="11" t="s">
        <v>847</v>
      </c>
      <c r="C284" s="11" t="s">
        <v>12</v>
      </c>
      <c r="D284" s="11" t="s">
        <v>722</v>
      </c>
      <c r="E284" s="11" t="s">
        <v>722</v>
      </c>
      <c r="G284" t="str">
        <f t="shared" si="4"/>
        <v>MIG283|SELECT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5" spans="1:7" x14ac:dyDescent="0.25">
      <c r="A285" s="10" t="s">
        <v>859</v>
      </c>
      <c r="B285" s="11" t="s">
        <v>861</v>
      </c>
      <c r="C285" s="11" t="s">
        <v>12</v>
      </c>
      <c r="D285" s="11" t="s">
        <v>722</v>
      </c>
      <c r="E285" s="11" t="s">
        <v>722</v>
      </c>
      <c r="G285" t="str">
        <f t="shared" si="4"/>
        <v>MIG284|SELECT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6" spans="1:7" x14ac:dyDescent="0.25">
      <c r="A286" s="10" t="s">
        <v>862</v>
      </c>
      <c r="B286" s="11" t="s">
        <v>864</v>
      </c>
      <c r="C286" s="11" t="s">
        <v>863</v>
      </c>
      <c r="D286" s="11" t="s">
        <v>654</v>
      </c>
      <c r="E286" s="11" t="s">
        <v>654</v>
      </c>
      <c r="G286" t="str">
        <f t="shared" si="4"/>
        <v>MIG285|SELECT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RINCONADA' AND fl.Localidad = 'LA RINCONADA' AND fm.Municipio = 'PARAISO';</v>
      </c>
    </row>
    <row r="287" spans="1:7" x14ac:dyDescent="0.25">
      <c r="A287" s="10" t="s">
        <v>865</v>
      </c>
      <c r="B287" s="11" t="s">
        <v>866</v>
      </c>
      <c r="C287" s="11" t="s">
        <v>866</v>
      </c>
      <c r="D287" s="11" t="s">
        <v>654</v>
      </c>
      <c r="E287" s="11" t="s">
        <v>654</v>
      </c>
      <c r="G287" t="str">
        <f t="shared" si="4"/>
        <v>MIG286|SELECT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'PARAISO';</v>
      </c>
    </row>
    <row r="288" spans="1:7" x14ac:dyDescent="0.25">
      <c r="A288" s="10" t="s">
        <v>867</v>
      </c>
      <c r="B288" s="11" t="s">
        <v>4</v>
      </c>
      <c r="C288" s="11" t="s">
        <v>869</v>
      </c>
      <c r="D288" s="11" t="s">
        <v>654</v>
      </c>
      <c r="E288" s="11" t="s">
        <v>654</v>
      </c>
      <c r="G288" t="str">
        <f t="shared" si="4"/>
        <v>MIG287|SELECT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289" spans="1:7" x14ac:dyDescent="0.25">
      <c r="A289" s="10" t="s">
        <v>870</v>
      </c>
      <c r="B289" s="11" t="s">
        <v>871</v>
      </c>
      <c r="C289" s="11" t="s">
        <v>219</v>
      </c>
      <c r="D289" s="11" t="s">
        <v>654</v>
      </c>
      <c r="E289" s="11" t="s">
        <v>654</v>
      </c>
      <c r="G289" t="str">
        <f t="shared" si="4"/>
        <v>MIG288|SELECT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90" spans="1:7" x14ac:dyDescent="0.25">
      <c r="A290" s="10" t="s">
        <v>872</v>
      </c>
      <c r="B290" s="11" t="s">
        <v>873</v>
      </c>
      <c r="C290" s="11" t="s">
        <v>753</v>
      </c>
      <c r="D290" s="11" t="s">
        <v>654</v>
      </c>
      <c r="E290" s="11" t="s">
        <v>654</v>
      </c>
      <c r="G290" t="str">
        <f t="shared" si="4"/>
        <v>MIG289|SELECT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91" spans="1:7" x14ac:dyDescent="0.25">
      <c r="A291" s="10" t="s">
        <v>874</v>
      </c>
      <c r="B291" s="11" t="s">
        <v>876</v>
      </c>
      <c r="C291" s="11" t="s">
        <v>577</v>
      </c>
      <c r="D291" s="11" t="s">
        <v>654</v>
      </c>
      <c r="E291" s="11" t="s">
        <v>654</v>
      </c>
      <c r="G291" t="str">
        <f t="shared" si="4"/>
        <v>MIG290|SELECT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92" spans="1:7" x14ac:dyDescent="0.25">
      <c r="A292" s="10" t="s">
        <v>877</v>
      </c>
      <c r="B292" s="11" t="s">
        <v>240</v>
      </c>
      <c r="C292" s="11" t="s">
        <v>879</v>
      </c>
      <c r="D292" s="11" t="s">
        <v>654</v>
      </c>
      <c r="E292" s="11" t="s">
        <v>654</v>
      </c>
      <c r="G292" t="str">
        <f t="shared" si="4"/>
        <v>MIG291|SELECT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PUERTA CEIBA' AND fl.Localidad = 'VILLA PUERTA CEIBA' AND fm.Municipio = 'PARAISO';</v>
      </c>
    </row>
    <row r="293" spans="1:7" x14ac:dyDescent="0.25">
      <c r="A293" s="10" t="s">
        <v>880</v>
      </c>
      <c r="B293" s="11" t="s">
        <v>881</v>
      </c>
      <c r="C293" s="11" t="s">
        <v>772</v>
      </c>
      <c r="D293" s="11" t="s">
        <v>654</v>
      </c>
      <c r="E293" s="11" t="s">
        <v>654</v>
      </c>
      <c r="G293" t="str">
        <f t="shared" si="4"/>
        <v>MIG292|SELECT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'PARAISO';</v>
      </c>
    </row>
    <row r="294" spans="1:7" x14ac:dyDescent="0.25">
      <c r="A294" s="10" t="s">
        <v>882</v>
      </c>
      <c r="B294" s="11" t="s">
        <v>772</v>
      </c>
      <c r="C294" s="11" t="s">
        <v>885</v>
      </c>
      <c r="D294" s="11" t="s">
        <v>654</v>
      </c>
      <c r="E294" s="11" t="s">
        <v>654</v>
      </c>
      <c r="G294" t="str">
        <f t="shared" si="4"/>
        <v>MIG293|SELECT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'ALQUILES SERDAN' AND fl.Localidad = 'ALQUILES SERDAN' AND fm.Municipio = 'PARAISO';</v>
      </c>
    </row>
    <row r="295" spans="1:7" x14ac:dyDescent="0.25">
      <c r="A295" s="10" t="s">
        <v>886</v>
      </c>
      <c r="B295" s="11" t="s">
        <v>772</v>
      </c>
      <c r="C295" s="11" t="s">
        <v>887</v>
      </c>
      <c r="D295" s="11" t="s">
        <v>739</v>
      </c>
      <c r="E295" s="11" t="s">
        <v>739</v>
      </c>
      <c r="G295" t="str">
        <f t="shared" si="4"/>
        <v>MIG294|SELECT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JUAN' AND fl.Localidad = 'SAN JUAN' AND fm.Municipio = 'CENTLA';</v>
      </c>
    </row>
    <row r="296" spans="1:7" x14ac:dyDescent="0.25">
      <c r="A296" s="10" t="s">
        <v>888</v>
      </c>
      <c r="B296" s="11" t="s">
        <v>889</v>
      </c>
      <c r="C296" s="11" t="s">
        <v>772</v>
      </c>
      <c r="D296" s="11" t="s">
        <v>739</v>
      </c>
      <c r="E296" s="11" t="s">
        <v>739</v>
      </c>
      <c r="G296" t="str">
        <f t="shared" si="4"/>
        <v>MIG295|SELECT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7" spans="1:7" x14ac:dyDescent="0.25">
      <c r="A297" s="10" t="s">
        <v>890</v>
      </c>
      <c r="B297" s="11" t="s">
        <v>891</v>
      </c>
      <c r="C297" s="11" t="s">
        <v>772</v>
      </c>
      <c r="D297" s="11" t="s">
        <v>739</v>
      </c>
      <c r="E297" s="11" t="s">
        <v>739</v>
      </c>
      <c r="G297" t="str">
        <f t="shared" si="4"/>
        <v>MIG296|SELECT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8" spans="1:7" x14ac:dyDescent="0.25">
      <c r="A298" s="10" t="s">
        <v>892</v>
      </c>
      <c r="B298" s="11" t="s">
        <v>893</v>
      </c>
      <c r="C298" s="11" t="s">
        <v>789</v>
      </c>
      <c r="D298" s="11" t="s">
        <v>654</v>
      </c>
      <c r="E298" s="11" t="s">
        <v>654</v>
      </c>
      <c r="G298" t="str">
        <f t="shared" si="4"/>
        <v>MIG297|SELECT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99" spans="1:7" x14ac:dyDescent="0.25">
      <c r="A299" s="10" t="s">
        <v>894</v>
      </c>
      <c r="B299" s="11" t="s">
        <v>895</v>
      </c>
      <c r="C299" s="11" t="s">
        <v>895</v>
      </c>
      <c r="D299" s="11" t="s">
        <v>654</v>
      </c>
      <c r="E299" s="11" t="s">
        <v>654</v>
      </c>
      <c r="G299" t="str">
        <f t="shared" si="4"/>
        <v>MIG298|SELECT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PESCADORES SIN NUMERO' AND fl.Localidad = 'LOS PESCADORES SIN NUMERO' AND fm.Municipio = 'PARAISO';</v>
      </c>
    </row>
    <row r="300" spans="1:7" x14ac:dyDescent="0.25">
      <c r="A300" s="6" t="s">
        <v>896</v>
      </c>
      <c r="B300" s="4" t="s">
        <v>40</v>
      </c>
      <c r="C300" s="4" t="s">
        <v>40</v>
      </c>
      <c r="D300" s="4" t="s">
        <v>654</v>
      </c>
      <c r="E300" s="4" t="s">
        <v>654</v>
      </c>
      <c r="G300" t="str">
        <f t="shared" si="4"/>
        <v>MIG299|SELECT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01" spans="1:7" x14ac:dyDescent="0.25">
      <c r="A301" s="6" t="s">
        <v>898</v>
      </c>
      <c r="B301" s="4" t="s">
        <v>900</v>
      </c>
      <c r="C301" s="4" t="s">
        <v>900</v>
      </c>
      <c r="D301" s="4" t="s">
        <v>654</v>
      </c>
      <c r="E301" s="4" t="s">
        <v>654</v>
      </c>
      <c r="G301" t="str">
        <f t="shared" si="4"/>
        <v>MIG300|SELECT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SIN NUMERO' AND fl.Localidad = 'QUINTIN ARAUZ SIN NUMERO' AND fm.Municipio = 'PARAISO';</v>
      </c>
    </row>
    <row r="302" spans="1:7" x14ac:dyDescent="0.25">
      <c r="A302" s="6" t="s">
        <v>901</v>
      </c>
      <c r="B302" s="4" t="s">
        <v>878</v>
      </c>
      <c r="C302" s="4" t="s">
        <v>878</v>
      </c>
      <c r="D302" s="4" t="s">
        <v>654</v>
      </c>
      <c r="E302" s="4" t="s">
        <v>654</v>
      </c>
      <c r="G302" t="str">
        <f t="shared" si="4"/>
        <v>MIG301|SELECT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CEIBA' AND fl.Localidad = 'PUERTO CEIBA' AND fm.Municipio = 'PARAISO';</v>
      </c>
    </row>
    <row r="303" spans="1:7" x14ac:dyDescent="0.25">
      <c r="A303" s="6" t="s">
        <v>903</v>
      </c>
      <c r="B303" s="4" t="s">
        <v>905</v>
      </c>
      <c r="C303" s="4" t="s">
        <v>906</v>
      </c>
      <c r="D303" s="4" t="s">
        <v>654</v>
      </c>
      <c r="E303" s="4" t="s">
        <v>654</v>
      </c>
      <c r="G303" t="str">
        <f t="shared" si="4"/>
        <v>MIG302|SELECT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4" spans="1:7" x14ac:dyDescent="0.25">
      <c r="A304" s="6" t="s">
        <v>907</v>
      </c>
      <c r="B304" s="4" t="s">
        <v>909</v>
      </c>
      <c r="C304" s="4" t="s">
        <v>910</v>
      </c>
      <c r="D304" s="4" t="s">
        <v>654</v>
      </c>
      <c r="E304" s="4" t="s">
        <v>654</v>
      </c>
      <c r="G304" t="str">
        <f t="shared" si="4"/>
        <v>MIG303|SELECT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'DIANA LAURA ' AND fl.Localidad = 'DIANA LAURA ' AND fm.Municipio = 'PARAISO';</v>
      </c>
    </row>
    <row r="305" spans="1:7" x14ac:dyDescent="0.25">
      <c r="A305" s="6" t="s">
        <v>911</v>
      </c>
      <c r="B305" s="4" t="s">
        <v>905</v>
      </c>
      <c r="C305" s="4" t="s">
        <v>906</v>
      </c>
      <c r="D305" s="4" t="s">
        <v>654</v>
      </c>
      <c r="E305" s="4" t="s">
        <v>654</v>
      </c>
      <c r="G305" t="str">
        <f t="shared" si="4"/>
        <v>MIG304|SELECT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6" spans="1:7" x14ac:dyDescent="0.25">
      <c r="A306" s="6" t="s">
        <v>912</v>
      </c>
      <c r="B306" s="4" t="s">
        <v>914</v>
      </c>
      <c r="C306" s="4" t="s">
        <v>914</v>
      </c>
      <c r="D306" s="4" t="s">
        <v>654</v>
      </c>
      <c r="E306" s="4" t="s">
        <v>654</v>
      </c>
      <c r="G306" t="str">
        <f t="shared" si="4"/>
        <v>MIG305|SELECT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 PUERTO CEIBA' AND fl.Localidad = 'CARRIZAL PUERTO CEIBA' AND fm.Municipio = 'PARAISO';</v>
      </c>
    </row>
    <row r="307" spans="1:7" x14ac:dyDescent="0.25">
      <c r="A307" s="6" t="s">
        <v>915</v>
      </c>
      <c r="B307" s="4" t="s">
        <v>918</v>
      </c>
      <c r="C307" s="4" t="s">
        <v>906</v>
      </c>
      <c r="D307" s="4" t="s">
        <v>654</v>
      </c>
      <c r="E307" s="4" t="s">
        <v>654</v>
      </c>
      <c r="G307" t="str">
        <f t="shared" si="4"/>
        <v>MIG306|SELECT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8" spans="1:7" x14ac:dyDescent="0.25">
      <c r="A308" s="6" t="s">
        <v>919</v>
      </c>
      <c r="B308" s="4" t="s">
        <v>918</v>
      </c>
      <c r="C308" s="4" t="s">
        <v>906</v>
      </c>
      <c r="D308" s="4" t="s">
        <v>654</v>
      </c>
      <c r="E308" s="4" t="s">
        <v>654</v>
      </c>
      <c r="G308" t="str">
        <f t="shared" si="4"/>
        <v>MIG307|SELECT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9" spans="1:7" x14ac:dyDescent="0.25">
      <c r="A309" s="6" t="s">
        <v>920</v>
      </c>
      <c r="B309" s="4" t="s">
        <v>753</v>
      </c>
      <c r="C309" s="4" t="s">
        <v>922</v>
      </c>
      <c r="D309" s="4" t="s">
        <v>654</v>
      </c>
      <c r="E309" s="4" t="s">
        <v>654</v>
      </c>
      <c r="G309" t="str">
        <f t="shared" si="4"/>
        <v>MIG308|SELECT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0" spans="1:7" x14ac:dyDescent="0.25">
      <c r="A310" s="6" t="s">
        <v>923</v>
      </c>
      <c r="B310" s="4" t="s">
        <v>753</v>
      </c>
      <c r="C310" s="4" t="s">
        <v>922</v>
      </c>
      <c r="D310" s="4" t="s">
        <v>654</v>
      </c>
      <c r="E310" s="4" t="s">
        <v>654</v>
      </c>
      <c r="G310" t="str">
        <f t="shared" si="4"/>
        <v>MIG309|SELECT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1" spans="1:7" x14ac:dyDescent="0.25">
      <c r="A311" s="6" t="s">
        <v>925</v>
      </c>
      <c r="B311" s="4" t="s">
        <v>927</v>
      </c>
      <c r="C311" s="4" t="s">
        <v>927</v>
      </c>
      <c r="D311" s="4" t="s">
        <v>654</v>
      </c>
      <c r="E311" s="4" t="s">
        <v>654</v>
      </c>
      <c r="G311" t="str">
        <f t="shared" si="4"/>
        <v>MIG310|SELECT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2" spans="1:7" x14ac:dyDescent="0.25">
      <c r="A312" s="6" t="s">
        <v>928</v>
      </c>
      <c r="B312" s="4" t="s">
        <v>930</v>
      </c>
      <c r="C312" s="4" t="s">
        <v>930</v>
      </c>
      <c r="D312" s="4" t="s">
        <v>654</v>
      </c>
      <c r="E312" s="4" t="s">
        <v>654</v>
      </c>
      <c r="G312" t="str">
        <f t="shared" si="4"/>
        <v>MIG311|SELECT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3" spans="1:7" x14ac:dyDescent="0.25">
      <c r="A313" s="6" t="s">
        <v>931</v>
      </c>
      <c r="B313" s="4" t="s">
        <v>933</v>
      </c>
      <c r="C313" s="4" t="s">
        <v>933</v>
      </c>
      <c r="D313" s="4" t="s">
        <v>654</v>
      </c>
      <c r="E313" s="4" t="s">
        <v>654</v>
      </c>
      <c r="G313" t="str">
        <f t="shared" si="4"/>
        <v>MIG312|SELECT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4" spans="1:7" x14ac:dyDescent="0.25">
      <c r="A314" s="6" t="s">
        <v>934</v>
      </c>
      <c r="B314" s="4" t="s">
        <v>927</v>
      </c>
      <c r="C314" s="4" t="s">
        <v>927</v>
      </c>
      <c r="D314" s="4" t="s">
        <v>654</v>
      </c>
      <c r="E314" s="4" t="s">
        <v>654</v>
      </c>
      <c r="G314" t="str">
        <f t="shared" si="4"/>
        <v>MIG313|SELECT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5" spans="1:7" x14ac:dyDescent="0.25">
      <c r="A315" s="6" t="s">
        <v>936</v>
      </c>
      <c r="B315" s="4" t="s">
        <v>927</v>
      </c>
      <c r="C315" s="4" t="s">
        <v>927</v>
      </c>
      <c r="D315" s="4" t="s">
        <v>654</v>
      </c>
      <c r="E315" s="4" t="s">
        <v>654</v>
      </c>
      <c r="G315" t="str">
        <f t="shared" si="4"/>
        <v>MIG314|SELECT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6" spans="1:7" x14ac:dyDescent="0.25">
      <c r="A316" s="6" t="s">
        <v>938</v>
      </c>
      <c r="B316" s="4" t="s">
        <v>930</v>
      </c>
      <c r="C316" s="4" t="s">
        <v>930</v>
      </c>
      <c r="D316" s="4" t="s">
        <v>654</v>
      </c>
      <c r="E316" s="4" t="s">
        <v>654</v>
      </c>
      <c r="G316" t="str">
        <f t="shared" si="4"/>
        <v>MIG315|SELECT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7" spans="1:7" x14ac:dyDescent="0.25">
      <c r="A317" s="6" t="s">
        <v>939</v>
      </c>
      <c r="B317" s="4" t="s">
        <v>933</v>
      </c>
      <c r="C317" s="4" t="s">
        <v>933</v>
      </c>
      <c r="D317" s="4" t="s">
        <v>654</v>
      </c>
      <c r="E317" s="4" t="s">
        <v>654</v>
      </c>
      <c r="G317" t="str">
        <f t="shared" si="4"/>
        <v>MIG316|SELECT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8" spans="1:7" x14ac:dyDescent="0.25">
      <c r="A318" s="6" t="s">
        <v>940</v>
      </c>
      <c r="B318" s="4" t="s">
        <v>783</v>
      </c>
      <c r="C318" s="4" t="s">
        <v>783</v>
      </c>
      <c r="D318" s="4" t="s">
        <v>654</v>
      </c>
      <c r="E318" s="4" t="s">
        <v>654</v>
      </c>
      <c r="G318" t="str">
        <f t="shared" si="4"/>
        <v>MIG317|SELECT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19" spans="1:7" x14ac:dyDescent="0.25">
      <c r="A319" s="6" t="s">
        <v>942</v>
      </c>
      <c r="B319" s="4" t="s">
        <v>783</v>
      </c>
      <c r="C319" s="4" t="s">
        <v>783</v>
      </c>
      <c r="D319" s="4" t="s">
        <v>654</v>
      </c>
      <c r="E319" s="4" t="s">
        <v>654</v>
      </c>
      <c r="G319" t="str">
        <f t="shared" si="4"/>
        <v>MIG318|SELECT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0" spans="1:7" x14ac:dyDescent="0.25">
      <c r="A320" s="6" t="s">
        <v>944</v>
      </c>
      <c r="B320" s="4" t="s">
        <v>783</v>
      </c>
      <c r="C320" s="4" t="s">
        <v>783</v>
      </c>
      <c r="D320" s="4" t="s">
        <v>654</v>
      </c>
      <c r="E320" s="4" t="s">
        <v>654</v>
      </c>
      <c r="G320" t="str">
        <f t="shared" si="4"/>
        <v>MIG319|SELECT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1" spans="1:7" x14ac:dyDescent="0.25">
      <c r="A321" s="6" t="s">
        <v>946</v>
      </c>
      <c r="B321" s="4" t="s">
        <v>802</v>
      </c>
      <c r="C321" s="4" t="s">
        <v>802</v>
      </c>
      <c r="D321" s="4" t="s">
        <v>654</v>
      </c>
      <c r="E321" s="4" t="s">
        <v>654</v>
      </c>
      <c r="G321" t="str">
        <f t="shared" si="4"/>
        <v>MIG320|SELECT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2" spans="1:7" x14ac:dyDescent="0.25">
      <c r="A322" s="6" t="s">
        <v>947</v>
      </c>
      <c r="B322" s="4" t="s">
        <v>949</v>
      </c>
      <c r="C322" s="4" t="s">
        <v>802</v>
      </c>
      <c r="D322" s="4" t="s">
        <v>654</v>
      </c>
      <c r="E322" s="4" t="s">
        <v>654</v>
      </c>
      <c r="G322" t="str">
        <f t="shared" ref="G322:G344" si="5">CONCATENATE(A322,"|","SELECT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'",C322,"' AND fl.Localidad = '",C322,"' AND fm.Municipio = '",E322,"';")</f>
        <v>MIG321|SELECT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3" spans="1:7" x14ac:dyDescent="0.25">
      <c r="A323" s="6" t="s">
        <v>950</v>
      </c>
      <c r="B323" s="4" t="s">
        <v>884</v>
      </c>
      <c r="C323" s="4" t="s">
        <v>884</v>
      </c>
      <c r="D323" s="4" t="s">
        <v>654</v>
      </c>
      <c r="E323" s="4" t="s">
        <v>654</v>
      </c>
      <c r="G323" t="str">
        <f t="shared" si="5"/>
        <v>MIG322|SELECT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4" spans="1:7" x14ac:dyDescent="0.25">
      <c r="A324" s="6" t="s">
        <v>951</v>
      </c>
      <c r="B324" s="4" t="s">
        <v>884</v>
      </c>
      <c r="C324" s="4" t="s">
        <v>884</v>
      </c>
      <c r="D324" s="4" t="s">
        <v>654</v>
      </c>
      <c r="E324" s="4" t="s">
        <v>654</v>
      </c>
      <c r="G324" t="str">
        <f t="shared" si="5"/>
        <v>MIG323|SELECT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5" spans="1:7" x14ac:dyDescent="0.25">
      <c r="A325" s="6" t="s">
        <v>952</v>
      </c>
      <c r="B325" s="4" t="s">
        <v>786</v>
      </c>
      <c r="C325" s="4" t="s">
        <v>786</v>
      </c>
      <c r="D325" s="4" t="s">
        <v>654</v>
      </c>
      <c r="E325" s="4" t="s">
        <v>654</v>
      </c>
      <c r="G325" t="str">
        <f t="shared" si="5"/>
        <v>MIG324|SELECT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6" spans="1:7" x14ac:dyDescent="0.25">
      <c r="A326" s="6" t="s">
        <v>954</v>
      </c>
      <c r="B326" s="4" t="s">
        <v>869</v>
      </c>
      <c r="C326" s="4" t="s">
        <v>869</v>
      </c>
      <c r="D326" s="4" t="s">
        <v>654</v>
      </c>
      <c r="E326" s="4" t="s">
        <v>654</v>
      </c>
      <c r="G326" t="str">
        <f t="shared" si="5"/>
        <v>MIG325|SELECT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327" spans="1:7" x14ac:dyDescent="0.25">
      <c r="A327" s="6" t="s">
        <v>955</v>
      </c>
      <c r="B327" s="4" t="s">
        <v>786</v>
      </c>
      <c r="C327" s="4" t="s">
        <v>786</v>
      </c>
      <c r="D327" s="4" t="s">
        <v>654</v>
      </c>
      <c r="E327" s="4" t="s">
        <v>654</v>
      </c>
      <c r="G327" t="str">
        <f t="shared" si="5"/>
        <v>MIG326|SELECT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8" spans="1:7" x14ac:dyDescent="0.25">
      <c r="A328" s="6" t="s">
        <v>957</v>
      </c>
      <c r="B328" s="4" t="s">
        <v>958</v>
      </c>
      <c r="C328" s="4" t="s">
        <v>958</v>
      </c>
      <c r="D328" s="4" t="s">
        <v>654</v>
      </c>
      <c r="E328" s="4" t="s">
        <v>654</v>
      </c>
      <c r="G328" t="str">
        <f t="shared" si="5"/>
        <v>MIG327|SELECT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'MARIA MORELOS BELLOTE' AND fl.Localidad = 'MARIA MORELOS BELLOTE' AND fm.Municipio = 'PARAISO';</v>
      </c>
    </row>
    <row r="329" spans="1:7" x14ac:dyDescent="0.25">
      <c r="A329" s="6" t="s">
        <v>959</v>
      </c>
      <c r="B329" s="4" t="s">
        <v>789</v>
      </c>
      <c r="C329" s="4" t="s">
        <v>789</v>
      </c>
      <c r="D329" s="4" t="s">
        <v>654</v>
      </c>
      <c r="E329" s="4" t="s">
        <v>654</v>
      </c>
      <c r="G329" t="str">
        <f t="shared" si="5"/>
        <v>MIG328|SELECT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0" spans="1:7" x14ac:dyDescent="0.25">
      <c r="A330" s="6" t="s">
        <v>962</v>
      </c>
      <c r="B330" s="4" t="s">
        <v>789</v>
      </c>
      <c r="C330" s="4" t="s">
        <v>789</v>
      </c>
      <c r="D330" s="4" t="s">
        <v>654</v>
      </c>
      <c r="E330" s="4" t="s">
        <v>654</v>
      </c>
      <c r="G330" t="str">
        <f t="shared" si="5"/>
        <v>MIG329|SELECT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1" spans="1:7" x14ac:dyDescent="0.25">
      <c r="A331" s="6" t="s">
        <v>964</v>
      </c>
      <c r="B331" s="4" t="s">
        <v>905</v>
      </c>
      <c r="C331" s="4" t="s">
        <v>906</v>
      </c>
      <c r="D331" s="4" t="s">
        <v>654</v>
      </c>
      <c r="E331" s="4" t="s">
        <v>654</v>
      </c>
      <c r="G331" t="str">
        <f t="shared" si="5"/>
        <v>MIG330|SELECT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2" spans="1:7" x14ac:dyDescent="0.25">
      <c r="A332" s="6" t="s">
        <v>966</v>
      </c>
      <c r="B332" s="4" t="s">
        <v>905</v>
      </c>
      <c r="C332" s="4" t="s">
        <v>906</v>
      </c>
      <c r="D332" s="4" t="s">
        <v>654</v>
      </c>
      <c r="E332" s="4" t="s">
        <v>654</v>
      </c>
      <c r="G332" t="str">
        <f t="shared" si="5"/>
        <v>MIG331|SELECT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3" spans="1:7" x14ac:dyDescent="0.25">
      <c r="A333" s="6" t="s">
        <v>968</v>
      </c>
      <c r="B333" s="4" t="s">
        <v>40</v>
      </c>
      <c r="C333" s="4" t="s">
        <v>40</v>
      </c>
      <c r="D333" s="4" t="s">
        <v>654</v>
      </c>
      <c r="E333" s="4" t="s">
        <v>654</v>
      </c>
      <c r="G333" t="str">
        <f t="shared" si="5"/>
        <v>MIG332|SELECT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4" spans="1:7" x14ac:dyDescent="0.25">
      <c r="A334" s="6" t="s">
        <v>970</v>
      </c>
      <c r="B334" s="4" t="s">
        <v>40</v>
      </c>
      <c r="C334" s="4" t="s">
        <v>40</v>
      </c>
      <c r="D334" s="4" t="s">
        <v>654</v>
      </c>
      <c r="E334" s="4" t="s">
        <v>654</v>
      </c>
      <c r="G334" t="str">
        <f t="shared" si="5"/>
        <v>MIG333|SELECT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5" spans="1:7" x14ac:dyDescent="0.25">
      <c r="A335" s="6" t="s">
        <v>973</v>
      </c>
      <c r="B335" s="4" t="s">
        <v>40</v>
      </c>
      <c r="C335" s="4" t="s">
        <v>40</v>
      </c>
      <c r="D335" s="4" t="s">
        <v>654</v>
      </c>
      <c r="E335" s="4" t="s">
        <v>654</v>
      </c>
      <c r="G335" t="str">
        <f t="shared" si="5"/>
        <v>MIG334|SELECT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6" spans="1:7" x14ac:dyDescent="0.25">
      <c r="A336" s="6" t="s">
        <v>975</v>
      </c>
      <c r="B336" s="4" t="s">
        <v>40</v>
      </c>
      <c r="C336" s="4" t="s">
        <v>40</v>
      </c>
      <c r="D336" s="4" t="s">
        <v>654</v>
      </c>
      <c r="E336" s="4" t="s">
        <v>654</v>
      </c>
      <c r="G336" t="str">
        <f t="shared" si="5"/>
        <v>MIG335|SELECT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7" spans="1:7" x14ac:dyDescent="0.25">
      <c r="A337" s="6" t="s">
        <v>977</v>
      </c>
      <c r="B337" s="4" t="s">
        <v>40</v>
      </c>
      <c r="C337" s="4" t="s">
        <v>40</v>
      </c>
      <c r="D337" s="4" t="s">
        <v>654</v>
      </c>
      <c r="E337" s="4" t="s">
        <v>654</v>
      </c>
      <c r="G337" t="str">
        <f t="shared" si="5"/>
        <v>MIG336|SELECT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8" spans="1:7" x14ac:dyDescent="0.25">
      <c r="A338" s="6" t="s">
        <v>979</v>
      </c>
      <c r="B338" s="4" t="s">
        <v>40</v>
      </c>
      <c r="C338" s="4" t="s">
        <v>40</v>
      </c>
      <c r="D338" s="4" t="s">
        <v>654</v>
      </c>
      <c r="E338" s="4" t="s">
        <v>654</v>
      </c>
      <c r="G338" t="str">
        <f t="shared" si="5"/>
        <v>MIG337|SELECT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9" spans="1:7" x14ac:dyDescent="0.25">
      <c r="A339" s="6" t="s">
        <v>981</v>
      </c>
      <c r="B339" s="4" t="s">
        <v>983</v>
      </c>
      <c r="C339" s="4" t="s">
        <v>40</v>
      </c>
      <c r="D339" s="4" t="s">
        <v>654</v>
      </c>
      <c r="E339" s="4" t="s">
        <v>654</v>
      </c>
      <c r="G339" t="str">
        <f t="shared" si="5"/>
        <v>MIG338|SELECT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40" spans="1:7" x14ac:dyDescent="0.25">
      <c r="A340" s="6" t="s">
        <v>984</v>
      </c>
      <c r="B340" s="4" t="s">
        <v>698</v>
      </c>
      <c r="C340" s="4" t="s">
        <v>698</v>
      </c>
      <c r="D340" s="4" t="s">
        <v>654</v>
      </c>
      <c r="E340" s="4" t="s">
        <v>654</v>
      </c>
      <c r="G340" t="str">
        <f t="shared" si="5"/>
        <v>MIG339|SELECT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1" spans="1:7" x14ac:dyDescent="0.25">
      <c r="A341" s="6" t="s">
        <v>986</v>
      </c>
      <c r="B341" s="4" t="s">
        <v>698</v>
      </c>
      <c r="C341" s="4" t="s">
        <v>988</v>
      </c>
      <c r="D341" s="4" t="s">
        <v>654</v>
      </c>
      <c r="E341" s="4" t="s">
        <v>654</v>
      </c>
      <c r="G341" t="str">
        <f t="shared" si="5"/>
        <v>MIG340|SELECT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FLORES' AND fl.Localidad = 'LAS FLORES' AND fm.Municipio = 'PARAISO';</v>
      </c>
    </row>
    <row r="342" spans="1:7" x14ac:dyDescent="0.25">
      <c r="A342" s="6" t="s">
        <v>989</v>
      </c>
      <c r="B342" s="4" t="s">
        <v>698</v>
      </c>
      <c r="C342" s="4" t="s">
        <v>698</v>
      </c>
      <c r="D342" s="4" t="s">
        <v>654</v>
      </c>
      <c r="E342" s="4" t="s">
        <v>654</v>
      </c>
      <c r="G342" t="str">
        <f t="shared" si="5"/>
        <v>MIG341|SELECT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3" spans="1:7" x14ac:dyDescent="0.25">
      <c r="A343" s="6" t="s">
        <v>991</v>
      </c>
      <c r="B343" s="4" t="s">
        <v>698</v>
      </c>
      <c r="C343" s="4" t="s">
        <v>698</v>
      </c>
      <c r="D343" s="4" t="s">
        <v>654</v>
      </c>
      <c r="E343" s="4" t="s">
        <v>654</v>
      </c>
      <c r="G343" t="str">
        <f t="shared" si="5"/>
        <v>MIG342|SELECT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4" spans="1:7" x14ac:dyDescent="0.25">
      <c r="A344" s="7" t="s">
        <v>992</v>
      </c>
      <c r="B344" s="5" t="s">
        <v>656</v>
      </c>
      <c r="C344" s="5" t="s">
        <v>994</v>
      </c>
      <c r="D344" s="5" t="s">
        <v>654</v>
      </c>
      <c r="E344" s="5" t="s">
        <v>654</v>
      </c>
      <c r="G344" t="str">
        <f t="shared" si="5"/>
        <v>MIG343|SELECT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'FRANCIACO I MADERO SEGUNDA SECCION' AND fl.Localidad = 'FRANCIACO I MADERO SEGUNDA SECCION' AND fm.Municipio = 'PARAISO';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A751-546F-4D49-B0A9-5030EEED074F}">
  <dimension ref="A1:H355"/>
  <sheetViews>
    <sheetView workbookViewId="0">
      <selection activeCell="D33" sqref="D33"/>
    </sheetView>
  </sheetViews>
  <sheetFormatPr baseColWidth="10" defaultRowHeight="15" x14ac:dyDescent="0.25"/>
  <cols>
    <col min="1" max="1" width="8.42578125" customWidth="1"/>
    <col min="2" max="2" width="11.7109375" customWidth="1"/>
    <col min="3" max="3" width="23.140625" bestFit="1" customWidth="1"/>
    <col min="4" max="4" width="12.5703125" bestFit="1" customWidth="1"/>
    <col min="5" max="5" width="19.28515625" bestFit="1" customWidth="1"/>
  </cols>
  <sheetData>
    <row r="1" spans="1:8" x14ac:dyDescent="0.25">
      <c r="A1" t="s">
        <v>4033</v>
      </c>
      <c r="B1" t="s">
        <v>4034</v>
      </c>
      <c r="C1" t="s">
        <v>4220</v>
      </c>
      <c r="D1" t="s">
        <v>4221</v>
      </c>
      <c r="E1" t="s">
        <v>4222</v>
      </c>
    </row>
    <row r="2" spans="1:8" hidden="1" x14ac:dyDescent="0.25">
      <c r="A2">
        <v>0</v>
      </c>
      <c r="B2" t="s">
        <v>4035</v>
      </c>
      <c r="C2" t="s">
        <v>4036</v>
      </c>
    </row>
    <row r="3" spans="1:8" x14ac:dyDescent="0.25">
      <c r="A3">
        <v>1</v>
      </c>
      <c r="B3" t="s">
        <v>4037</v>
      </c>
      <c r="C3" t="s">
        <v>13</v>
      </c>
      <c r="D3" t="s">
        <v>4038</v>
      </c>
      <c r="E3" t="s">
        <v>3225</v>
      </c>
      <c r="H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`idcolonia`='localidadmigrada197' WHERE  `idcontrato_individual`='MIG2';</v>
      </c>
    </row>
    <row r="4" spans="1:8" x14ac:dyDescent="0.25">
      <c r="A4">
        <v>1</v>
      </c>
      <c r="B4" t="s">
        <v>4037</v>
      </c>
      <c r="C4" t="s">
        <v>21</v>
      </c>
      <c r="D4" t="s">
        <v>4038</v>
      </c>
      <c r="E4" t="s">
        <v>3256</v>
      </c>
      <c r="H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`idcontrato_individual`='MIG3';</v>
      </c>
    </row>
    <row r="5" spans="1:8" x14ac:dyDescent="0.25">
      <c r="A5">
        <v>1</v>
      </c>
      <c r="B5" t="s">
        <v>4037</v>
      </c>
      <c r="C5" t="s">
        <v>27</v>
      </c>
      <c r="D5" t="s">
        <v>4038</v>
      </c>
      <c r="E5" t="s">
        <v>3220</v>
      </c>
      <c r="H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`idcontrato_individual`='MIG4';</v>
      </c>
    </row>
    <row r="6" spans="1:8" x14ac:dyDescent="0.25">
      <c r="A6">
        <v>1</v>
      </c>
      <c r="B6" t="s">
        <v>4037</v>
      </c>
      <c r="C6" t="s">
        <v>32</v>
      </c>
      <c r="D6" t="s">
        <v>4038</v>
      </c>
      <c r="E6" t="s">
        <v>3221</v>
      </c>
      <c r="H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`idcontrato_individual`='MIG5';</v>
      </c>
    </row>
    <row r="7" spans="1:8" hidden="1" x14ac:dyDescent="0.25">
      <c r="A7">
        <v>0</v>
      </c>
      <c r="B7" t="s">
        <v>4039</v>
      </c>
      <c r="C7" t="s">
        <v>4036</v>
      </c>
      <c r="H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" spans="1:8" hidden="1" x14ac:dyDescent="0.25">
      <c r="A8">
        <v>0</v>
      </c>
      <c r="B8" t="s">
        <v>4040</v>
      </c>
      <c r="C8" t="s">
        <v>4036</v>
      </c>
      <c r="H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" spans="1:8" x14ac:dyDescent="0.25">
      <c r="A9">
        <v>1</v>
      </c>
      <c r="B9" t="s">
        <v>4037</v>
      </c>
      <c r="C9" t="s">
        <v>46</v>
      </c>
      <c r="D9" t="s">
        <v>4038</v>
      </c>
      <c r="E9" t="s">
        <v>3256</v>
      </c>
      <c r="H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`idcontrato_individual`='MIG8';</v>
      </c>
    </row>
    <row r="10" spans="1:8" x14ac:dyDescent="0.25">
      <c r="A10">
        <v>1</v>
      </c>
      <c r="B10" t="s">
        <v>4037</v>
      </c>
      <c r="C10" t="s">
        <v>50</v>
      </c>
      <c r="D10" t="s">
        <v>4038</v>
      </c>
      <c r="E10" t="s">
        <v>3237</v>
      </c>
      <c r="H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`idcontrato_individual`='MIG9';</v>
      </c>
    </row>
    <row r="11" spans="1:8" x14ac:dyDescent="0.25">
      <c r="A11">
        <v>1</v>
      </c>
      <c r="B11" t="s">
        <v>4037</v>
      </c>
      <c r="C11" t="s">
        <v>54</v>
      </c>
      <c r="D11" t="s">
        <v>4038</v>
      </c>
      <c r="E11" t="s">
        <v>3251</v>
      </c>
      <c r="H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`idcontrato_individual`='MIG10';</v>
      </c>
    </row>
    <row r="12" spans="1:8" x14ac:dyDescent="0.25">
      <c r="A12">
        <v>1</v>
      </c>
      <c r="B12" t="s">
        <v>4037</v>
      </c>
      <c r="C12" t="s">
        <v>58</v>
      </c>
      <c r="D12" t="s">
        <v>4038</v>
      </c>
      <c r="E12" t="s">
        <v>3251</v>
      </c>
      <c r="H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`idcontrato_individual`='MIG11';</v>
      </c>
    </row>
    <row r="13" spans="1:8" hidden="1" x14ac:dyDescent="0.25">
      <c r="A13">
        <v>0</v>
      </c>
      <c r="B13" t="s">
        <v>4041</v>
      </c>
      <c r="C13" t="s">
        <v>4036</v>
      </c>
      <c r="H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" spans="1:8" hidden="1" x14ac:dyDescent="0.25">
      <c r="A14">
        <v>0</v>
      </c>
      <c r="B14" t="s">
        <v>4042</v>
      </c>
      <c r="C14" t="s">
        <v>4036</v>
      </c>
      <c r="H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" spans="1:8" x14ac:dyDescent="0.25">
      <c r="A15">
        <v>1</v>
      </c>
      <c r="B15" t="s">
        <v>4037</v>
      </c>
      <c r="C15" t="s">
        <v>69</v>
      </c>
      <c r="D15" t="s">
        <v>4038</v>
      </c>
      <c r="E15" t="s">
        <v>3240</v>
      </c>
      <c r="H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`idcontrato_individual`='MIG14';</v>
      </c>
    </row>
    <row r="16" spans="1:8" hidden="1" x14ac:dyDescent="0.25">
      <c r="A16">
        <v>0</v>
      </c>
      <c r="B16" t="s">
        <v>4043</v>
      </c>
      <c r="C16" t="s">
        <v>4036</v>
      </c>
      <c r="H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" spans="1:8" x14ac:dyDescent="0.25">
      <c r="A17">
        <v>1</v>
      </c>
      <c r="B17" t="s">
        <v>4037</v>
      </c>
      <c r="C17" t="s">
        <v>76</v>
      </c>
      <c r="D17" t="s">
        <v>4038</v>
      </c>
      <c r="E17" t="s">
        <v>3255</v>
      </c>
      <c r="H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`idcontrato_individual`='MIG16';</v>
      </c>
    </row>
    <row r="18" spans="1:8" hidden="1" x14ac:dyDescent="0.25">
      <c r="A18">
        <v>0</v>
      </c>
      <c r="B18" t="s">
        <v>4044</v>
      </c>
      <c r="C18" t="s">
        <v>4036</v>
      </c>
      <c r="H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" spans="1:8" x14ac:dyDescent="0.25">
      <c r="A19">
        <v>1</v>
      </c>
      <c r="B19" t="s">
        <v>4037</v>
      </c>
      <c r="C19" t="s">
        <v>84</v>
      </c>
      <c r="D19" t="s">
        <v>4038</v>
      </c>
      <c r="E19" t="s">
        <v>3211</v>
      </c>
      <c r="H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`idcolonia`='localidadmigrada183' WHERE  `idcontrato_individual`='MIG18';</v>
      </c>
    </row>
    <row r="20" spans="1:8" x14ac:dyDescent="0.25">
      <c r="A20">
        <v>1</v>
      </c>
      <c r="B20" t="s">
        <v>4037</v>
      </c>
      <c r="C20" t="s">
        <v>87</v>
      </c>
      <c r="D20" t="s">
        <v>4038</v>
      </c>
      <c r="E20" t="s">
        <v>3124</v>
      </c>
      <c r="H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`idcontrato_individual`='MIG19';</v>
      </c>
    </row>
    <row r="21" spans="1:8" x14ac:dyDescent="0.25">
      <c r="A21">
        <v>1</v>
      </c>
      <c r="B21" t="s">
        <v>4037</v>
      </c>
      <c r="C21" t="s">
        <v>87</v>
      </c>
      <c r="D21" t="s">
        <v>4038</v>
      </c>
      <c r="E21" t="s">
        <v>3253</v>
      </c>
      <c r="H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`idcontrato_individual`='MIG19';</v>
      </c>
    </row>
    <row r="22" spans="1:8" hidden="1" x14ac:dyDescent="0.25">
      <c r="A22">
        <v>0</v>
      </c>
      <c r="B22" t="s">
        <v>4045</v>
      </c>
      <c r="C22" t="s">
        <v>4036</v>
      </c>
      <c r="H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" spans="1:8" x14ac:dyDescent="0.25">
      <c r="A23">
        <v>1</v>
      </c>
      <c r="B23" t="s">
        <v>4037</v>
      </c>
      <c r="C23" t="s">
        <v>98</v>
      </c>
      <c r="D23" t="s">
        <v>4038</v>
      </c>
      <c r="E23" t="s">
        <v>3248</v>
      </c>
      <c r="H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`idcontrato_individual`='MIG21';</v>
      </c>
    </row>
    <row r="24" spans="1:8" hidden="1" x14ac:dyDescent="0.25">
      <c r="A24">
        <v>0</v>
      </c>
      <c r="B24" t="s">
        <v>4046</v>
      </c>
      <c r="C24" t="s">
        <v>4036</v>
      </c>
      <c r="H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" spans="1:8" hidden="1" x14ac:dyDescent="0.25">
      <c r="A25">
        <v>0</v>
      </c>
      <c r="B25" t="s">
        <v>4047</v>
      </c>
      <c r="C25" t="s">
        <v>4036</v>
      </c>
      <c r="H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" spans="1:8" x14ac:dyDescent="0.25">
      <c r="A26">
        <v>1</v>
      </c>
      <c r="B26" t="s">
        <v>4037</v>
      </c>
      <c r="C26" t="s">
        <v>112</v>
      </c>
      <c r="D26" t="s">
        <v>4038</v>
      </c>
      <c r="E26" t="s">
        <v>3240</v>
      </c>
      <c r="H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`idcontrato_individual`='MIG24';</v>
      </c>
    </row>
    <row r="27" spans="1:8" hidden="1" x14ac:dyDescent="0.25">
      <c r="A27">
        <v>0</v>
      </c>
      <c r="B27" t="s">
        <v>4048</v>
      </c>
      <c r="C27" t="s">
        <v>4036</v>
      </c>
      <c r="H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" spans="1:8" hidden="1" x14ac:dyDescent="0.25">
      <c r="A28">
        <v>0</v>
      </c>
      <c r="B28" t="s">
        <v>4049</v>
      </c>
      <c r="C28" t="s">
        <v>4036</v>
      </c>
      <c r="H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" spans="1:8" hidden="1" x14ac:dyDescent="0.25">
      <c r="A29">
        <v>0</v>
      </c>
      <c r="B29" t="s">
        <v>4050</v>
      </c>
      <c r="C29" t="s">
        <v>4036</v>
      </c>
      <c r="H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" spans="1:8" x14ac:dyDescent="0.25">
      <c r="A30">
        <v>1</v>
      </c>
      <c r="B30" t="s">
        <v>4037</v>
      </c>
      <c r="C30" t="s">
        <v>126</v>
      </c>
      <c r="D30" t="s">
        <v>4038</v>
      </c>
      <c r="E30" t="s">
        <v>3251</v>
      </c>
      <c r="H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`idcontrato_individual`='MIG28';</v>
      </c>
    </row>
    <row r="31" spans="1:8" hidden="1" x14ac:dyDescent="0.25">
      <c r="A31">
        <v>0</v>
      </c>
      <c r="B31" t="s">
        <v>4051</v>
      </c>
      <c r="C31" t="s">
        <v>4036</v>
      </c>
      <c r="H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" spans="1:8" hidden="1" x14ac:dyDescent="0.25">
      <c r="A32">
        <v>0</v>
      </c>
      <c r="B32" t="s">
        <v>4052</v>
      </c>
      <c r="C32" t="s">
        <v>4036</v>
      </c>
      <c r="H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" spans="1:8" x14ac:dyDescent="0.25">
      <c r="A33">
        <v>1</v>
      </c>
      <c r="B33" t="s">
        <v>4037</v>
      </c>
      <c r="C33" t="s">
        <v>137</v>
      </c>
      <c r="D33" t="s">
        <v>4038</v>
      </c>
      <c r="E33" t="s">
        <v>3256</v>
      </c>
      <c r="H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`idcontrato_individual`='MIG31';</v>
      </c>
    </row>
    <row r="34" spans="1:8" hidden="1" x14ac:dyDescent="0.25">
      <c r="A34">
        <v>0</v>
      </c>
      <c r="B34" t="s">
        <v>4053</v>
      </c>
      <c r="C34" t="s">
        <v>4036</v>
      </c>
      <c r="H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" spans="1:8" x14ac:dyDescent="0.25">
      <c r="A35">
        <v>1</v>
      </c>
      <c r="B35" t="s">
        <v>4037</v>
      </c>
      <c r="C35" t="s">
        <v>145</v>
      </c>
      <c r="D35" t="s">
        <v>4038</v>
      </c>
      <c r="E35" t="s">
        <v>3209</v>
      </c>
      <c r="H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`idcontrato_individual`='MIG33';</v>
      </c>
    </row>
    <row r="36" spans="1:8" hidden="1" x14ac:dyDescent="0.25">
      <c r="A36">
        <v>0</v>
      </c>
      <c r="B36" t="s">
        <v>4054</v>
      </c>
      <c r="C36" t="s">
        <v>4036</v>
      </c>
      <c r="H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" spans="1:8" x14ac:dyDescent="0.25">
      <c r="A37">
        <v>1</v>
      </c>
      <c r="B37" t="s">
        <v>4037</v>
      </c>
      <c r="C37" t="s">
        <v>152</v>
      </c>
      <c r="D37" t="s">
        <v>4038</v>
      </c>
      <c r="E37" t="s">
        <v>3209</v>
      </c>
      <c r="H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`idcontrato_individual`='MIG35';</v>
      </c>
    </row>
    <row r="38" spans="1:8" x14ac:dyDescent="0.25">
      <c r="A38">
        <v>1</v>
      </c>
      <c r="B38" t="s">
        <v>4037</v>
      </c>
      <c r="C38" t="s">
        <v>156</v>
      </c>
      <c r="D38" t="s">
        <v>4038</v>
      </c>
      <c r="E38" t="s">
        <v>3247</v>
      </c>
      <c r="H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`idcontrato_individual`='MIG36';</v>
      </c>
    </row>
    <row r="39" spans="1:8" x14ac:dyDescent="0.25">
      <c r="A39">
        <v>1</v>
      </c>
      <c r="B39" t="s">
        <v>4037</v>
      </c>
      <c r="C39" t="s">
        <v>159</v>
      </c>
      <c r="D39" t="s">
        <v>4038</v>
      </c>
      <c r="E39" t="s">
        <v>3237</v>
      </c>
      <c r="H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`idcontrato_individual`='MIG37';</v>
      </c>
    </row>
    <row r="40" spans="1:8" x14ac:dyDescent="0.25">
      <c r="A40">
        <v>1</v>
      </c>
      <c r="B40" t="s">
        <v>4037</v>
      </c>
      <c r="C40" t="s">
        <v>162</v>
      </c>
      <c r="D40" t="s">
        <v>4038</v>
      </c>
      <c r="E40" t="s">
        <v>3251</v>
      </c>
      <c r="H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`idcontrato_individual`='MIG38';</v>
      </c>
    </row>
    <row r="41" spans="1:8" x14ac:dyDescent="0.25">
      <c r="A41">
        <v>1</v>
      </c>
      <c r="B41" t="s">
        <v>4037</v>
      </c>
      <c r="C41" t="s">
        <v>165</v>
      </c>
      <c r="D41" t="s">
        <v>4038</v>
      </c>
      <c r="E41" t="s">
        <v>3255</v>
      </c>
      <c r="H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`idcontrato_individual`='MIG39';</v>
      </c>
    </row>
    <row r="42" spans="1:8" x14ac:dyDescent="0.25">
      <c r="A42">
        <v>1</v>
      </c>
      <c r="B42" t="s">
        <v>4037</v>
      </c>
      <c r="C42" t="s">
        <v>167</v>
      </c>
      <c r="D42" t="s">
        <v>4038</v>
      </c>
      <c r="E42" t="s">
        <v>3220</v>
      </c>
      <c r="H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`idcontrato_individual`='MIG40';</v>
      </c>
    </row>
    <row r="43" spans="1:8" x14ac:dyDescent="0.25">
      <c r="A43">
        <v>1</v>
      </c>
      <c r="B43" t="s">
        <v>4037</v>
      </c>
      <c r="C43" t="s">
        <v>169</v>
      </c>
      <c r="D43" t="s">
        <v>4038</v>
      </c>
      <c r="E43" t="s">
        <v>3251</v>
      </c>
      <c r="H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`idcontrato_individual`='MIG41';</v>
      </c>
    </row>
    <row r="44" spans="1:8" hidden="1" x14ac:dyDescent="0.25">
      <c r="A44">
        <v>0</v>
      </c>
      <c r="B44" t="s">
        <v>4055</v>
      </c>
      <c r="C44" t="s">
        <v>4036</v>
      </c>
      <c r="H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" spans="1:8" x14ac:dyDescent="0.25">
      <c r="A45">
        <v>1</v>
      </c>
      <c r="B45" t="s">
        <v>4037</v>
      </c>
      <c r="C45" t="s">
        <v>175</v>
      </c>
      <c r="D45" t="s">
        <v>4038</v>
      </c>
      <c r="E45" t="s">
        <v>3208</v>
      </c>
      <c r="H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`idcolonia`='localidadmigrada180' WHERE  `idcontrato_individual`='MIG43';</v>
      </c>
    </row>
    <row r="46" spans="1:8" hidden="1" x14ac:dyDescent="0.25">
      <c r="A46">
        <v>0</v>
      </c>
      <c r="B46" t="s">
        <v>4056</v>
      </c>
      <c r="C46" t="s">
        <v>4036</v>
      </c>
      <c r="H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" spans="1:8" x14ac:dyDescent="0.25">
      <c r="A47">
        <v>1</v>
      </c>
      <c r="B47" t="s">
        <v>4037</v>
      </c>
      <c r="C47" t="s">
        <v>181</v>
      </c>
      <c r="D47" t="s">
        <v>4038</v>
      </c>
      <c r="E47" t="s">
        <v>3240</v>
      </c>
      <c r="H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`idcontrato_individual`='MIG45';</v>
      </c>
    </row>
    <row r="48" spans="1:8" x14ac:dyDescent="0.25">
      <c r="A48">
        <v>1</v>
      </c>
      <c r="B48" t="s">
        <v>4037</v>
      </c>
      <c r="C48" t="s">
        <v>183</v>
      </c>
      <c r="D48" t="s">
        <v>4038</v>
      </c>
      <c r="E48" t="s">
        <v>3252</v>
      </c>
      <c r="H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`idcontrato_individual`='MIG46';</v>
      </c>
    </row>
    <row r="49" spans="1:8" hidden="1" x14ac:dyDescent="0.25">
      <c r="A49">
        <v>0</v>
      </c>
      <c r="B49" t="s">
        <v>4057</v>
      </c>
      <c r="C49" t="s">
        <v>4036</v>
      </c>
      <c r="H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" spans="1:8" x14ac:dyDescent="0.25">
      <c r="A50">
        <v>1</v>
      </c>
      <c r="B50" t="s">
        <v>4037</v>
      </c>
      <c r="C50" t="s">
        <v>188</v>
      </c>
      <c r="D50" t="s">
        <v>4038</v>
      </c>
      <c r="E50" t="s">
        <v>3124</v>
      </c>
      <c r="H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`idcontrato_individual`='MIG48';</v>
      </c>
    </row>
    <row r="51" spans="1:8" x14ac:dyDescent="0.25">
      <c r="A51">
        <v>1</v>
      </c>
      <c r="B51" t="s">
        <v>4037</v>
      </c>
      <c r="C51" t="s">
        <v>188</v>
      </c>
      <c r="D51" t="s">
        <v>4038</v>
      </c>
      <c r="E51" t="s">
        <v>3253</v>
      </c>
      <c r="H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`idcontrato_individual`='MIG48';</v>
      </c>
    </row>
    <row r="52" spans="1:8" x14ac:dyDescent="0.25">
      <c r="A52">
        <v>1</v>
      </c>
      <c r="B52" t="s">
        <v>4037</v>
      </c>
      <c r="C52" t="s">
        <v>190</v>
      </c>
      <c r="D52" t="s">
        <v>4038</v>
      </c>
      <c r="E52" t="s">
        <v>3214</v>
      </c>
      <c r="H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`idcolonia`='localidadmigrada186' WHERE  `idcontrato_individual`='MIG49';</v>
      </c>
    </row>
    <row r="53" spans="1:8" x14ac:dyDescent="0.25">
      <c r="A53">
        <v>1</v>
      </c>
      <c r="B53" t="s">
        <v>4037</v>
      </c>
      <c r="C53" t="s">
        <v>193</v>
      </c>
      <c r="D53" t="s">
        <v>4038</v>
      </c>
      <c r="E53" t="s">
        <v>3240</v>
      </c>
      <c r="H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`idcontrato_individual`='MIG50';</v>
      </c>
    </row>
    <row r="54" spans="1:8" hidden="1" x14ac:dyDescent="0.25">
      <c r="A54">
        <v>0</v>
      </c>
      <c r="B54" t="s">
        <v>4058</v>
      </c>
      <c r="C54" t="s">
        <v>4036</v>
      </c>
      <c r="H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" spans="1:8" hidden="1" x14ac:dyDescent="0.25">
      <c r="A55">
        <v>0</v>
      </c>
      <c r="B55" t="s">
        <v>4059</v>
      </c>
      <c r="C55" t="s">
        <v>4036</v>
      </c>
      <c r="H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" spans="1:8" hidden="1" x14ac:dyDescent="0.25">
      <c r="A56">
        <v>0</v>
      </c>
      <c r="B56" t="s">
        <v>4060</v>
      </c>
      <c r="C56" t="s">
        <v>4036</v>
      </c>
      <c r="H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" spans="1:8" x14ac:dyDescent="0.25">
      <c r="A57">
        <v>1</v>
      </c>
      <c r="B57" t="s">
        <v>4037</v>
      </c>
      <c r="C57" t="s">
        <v>211</v>
      </c>
      <c r="D57" t="s">
        <v>4038</v>
      </c>
      <c r="E57" t="s">
        <v>3217</v>
      </c>
      <c r="H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`idcontrato_individual`='MIG54';</v>
      </c>
    </row>
    <row r="58" spans="1:8" hidden="1" x14ac:dyDescent="0.25">
      <c r="A58">
        <v>0</v>
      </c>
      <c r="B58" t="s">
        <v>4061</v>
      </c>
      <c r="C58" t="s">
        <v>4036</v>
      </c>
      <c r="H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" spans="1:8" x14ac:dyDescent="0.25">
      <c r="A59">
        <v>1</v>
      </c>
      <c r="B59" t="s">
        <v>4037</v>
      </c>
      <c r="C59" t="s">
        <v>217</v>
      </c>
      <c r="D59" t="s">
        <v>4038</v>
      </c>
      <c r="E59" t="s">
        <v>3221</v>
      </c>
      <c r="H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`idcontrato_individual`='MIG56';</v>
      </c>
    </row>
    <row r="60" spans="1:8" x14ac:dyDescent="0.25">
      <c r="A60">
        <v>1</v>
      </c>
      <c r="B60" t="s">
        <v>4037</v>
      </c>
      <c r="C60" t="s">
        <v>220</v>
      </c>
      <c r="D60" t="s">
        <v>4038</v>
      </c>
      <c r="E60" t="s">
        <v>3251</v>
      </c>
      <c r="H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`idcontrato_individual`='MIG57';</v>
      </c>
    </row>
    <row r="61" spans="1:8" hidden="1" x14ac:dyDescent="0.25">
      <c r="A61">
        <v>0</v>
      </c>
      <c r="B61" t="s">
        <v>4062</v>
      </c>
      <c r="C61" t="s">
        <v>4036</v>
      </c>
      <c r="H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" spans="1:8" x14ac:dyDescent="0.25">
      <c r="A62">
        <v>1</v>
      </c>
      <c r="B62" t="s">
        <v>4037</v>
      </c>
      <c r="C62" t="s">
        <v>226</v>
      </c>
      <c r="D62" t="s">
        <v>4038</v>
      </c>
      <c r="E62" t="s">
        <v>3240</v>
      </c>
      <c r="H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`idcontrato_individual`='MIG59';</v>
      </c>
    </row>
    <row r="63" spans="1:8" hidden="1" x14ac:dyDescent="0.25">
      <c r="A63">
        <v>0</v>
      </c>
      <c r="B63" t="s">
        <v>4063</v>
      </c>
      <c r="C63" t="s">
        <v>4036</v>
      </c>
      <c r="H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" spans="1:8" hidden="1" x14ac:dyDescent="0.25">
      <c r="A64">
        <v>0</v>
      </c>
      <c r="B64" t="s">
        <v>4064</v>
      </c>
      <c r="C64" t="s">
        <v>4036</v>
      </c>
      <c r="H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" spans="1:8" hidden="1" x14ac:dyDescent="0.25">
      <c r="A65">
        <v>0</v>
      </c>
      <c r="B65" t="s">
        <v>4065</v>
      </c>
      <c r="C65" t="s">
        <v>4036</v>
      </c>
      <c r="H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" spans="1:8" hidden="1" x14ac:dyDescent="0.25">
      <c r="A66">
        <v>0</v>
      </c>
      <c r="B66" t="s">
        <v>4066</v>
      </c>
      <c r="C66" t="s">
        <v>4036</v>
      </c>
      <c r="H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" spans="1:8" hidden="1" x14ac:dyDescent="0.25">
      <c r="A67">
        <v>0</v>
      </c>
      <c r="B67" t="s">
        <v>4067</v>
      </c>
      <c r="C67" t="s">
        <v>4036</v>
      </c>
      <c r="H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" spans="1:8" x14ac:dyDescent="0.25">
      <c r="A68">
        <v>1</v>
      </c>
      <c r="B68" t="s">
        <v>4037</v>
      </c>
      <c r="C68" t="s">
        <v>248</v>
      </c>
      <c r="D68" t="s">
        <v>4038</v>
      </c>
      <c r="E68" t="s">
        <v>3240</v>
      </c>
      <c r="H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`idcontrato_individual`='MIG65';</v>
      </c>
    </row>
    <row r="69" spans="1:8" hidden="1" x14ac:dyDescent="0.25">
      <c r="A69">
        <v>0</v>
      </c>
      <c r="B69" t="s">
        <v>4068</v>
      </c>
      <c r="C69" t="s">
        <v>4036</v>
      </c>
      <c r="H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" spans="1:8" x14ac:dyDescent="0.25">
      <c r="A70">
        <v>1</v>
      </c>
      <c r="B70" t="s">
        <v>4037</v>
      </c>
      <c r="C70" t="s">
        <v>256</v>
      </c>
      <c r="D70" t="s">
        <v>4038</v>
      </c>
      <c r="E70" t="s">
        <v>3217</v>
      </c>
      <c r="H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`idcontrato_individual`='MIG67';</v>
      </c>
    </row>
    <row r="71" spans="1:8" hidden="1" x14ac:dyDescent="0.25">
      <c r="A71">
        <v>0</v>
      </c>
      <c r="B71" t="s">
        <v>4069</v>
      </c>
      <c r="C71" t="s">
        <v>4036</v>
      </c>
      <c r="H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" spans="1:8" hidden="1" x14ac:dyDescent="0.25">
      <c r="A72">
        <v>0</v>
      </c>
      <c r="B72" t="s">
        <v>4070</v>
      </c>
      <c r="C72" t="s">
        <v>4036</v>
      </c>
      <c r="H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" spans="1:8" x14ac:dyDescent="0.25">
      <c r="A73">
        <v>1</v>
      </c>
      <c r="B73" t="s">
        <v>4037</v>
      </c>
      <c r="C73" t="s">
        <v>264</v>
      </c>
      <c r="D73" t="s">
        <v>4038</v>
      </c>
      <c r="E73" t="s">
        <v>3217</v>
      </c>
      <c r="H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`idcontrato_individual`='MIG70';</v>
      </c>
    </row>
    <row r="74" spans="1:8" x14ac:dyDescent="0.25">
      <c r="A74">
        <v>1</v>
      </c>
      <c r="B74" t="s">
        <v>4037</v>
      </c>
      <c r="C74" t="s">
        <v>268</v>
      </c>
      <c r="D74" t="s">
        <v>4038</v>
      </c>
      <c r="E74" t="s">
        <v>3260</v>
      </c>
      <c r="H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`idcontrato_individual`='MIG71';</v>
      </c>
    </row>
    <row r="75" spans="1:8" x14ac:dyDescent="0.25">
      <c r="A75">
        <v>1</v>
      </c>
      <c r="B75" t="s">
        <v>4037</v>
      </c>
      <c r="C75" t="s">
        <v>268</v>
      </c>
      <c r="D75" t="s">
        <v>4038</v>
      </c>
      <c r="E75" t="s">
        <v>3029</v>
      </c>
      <c r="H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`idcontrato_individual`='MIG71';</v>
      </c>
    </row>
    <row r="76" spans="1:8" hidden="1" x14ac:dyDescent="0.25">
      <c r="A76">
        <v>0</v>
      </c>
      <c r="B76" t="s">
        <v>4071</v>
      </c>
      <c r="C76" t="s">
        <v>4036</v>
      </c>
      <c r="H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" spans="1:8" x14ac:dyDescent="0.25">
      <c r="A77">
        <v>1</v>
      </c>
      <c r="B77" t="s">
        <v>4037</v>
      </c>
      <c r="C77" t="s">
        <v>273</v>
      </c>
      <c r="D77" t="s">
        <v>4038</v>
      </c>
      <c r="E77" t="s">
        <v>3221</v>
      </c>
      <c r="H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`idcontrato_individual`='MIG73';</v>
      </c>
    </row>
    <row r="78" spans="1:8" x14ac:dyDescent="0.25">
      <c r="A78">
        <v>1</v>
      </c>
      <c r="B78" t="s">
        <v>4037</v>
      </c>
      <c r="C78" t="s">
        <v>277</v>
      </c>
      <c r="D78" t="s">
        <v>4038</v>
      </c>
      <c r="E78" t="s">
        <v>3124</v>
      </c>
      <c r="H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`idcontrato_individual`='MIG74';</v>
      </c>
    </row>
    <row r="79" spans="1:8" x14ac:dyDescent="0.25">
      <c r="A79">
        <v>1</v>
      </c>
      <c r="B79" t="s">
        <v>4037</v>
      </c>
      <c r="C79" t="s">
        <v>277</v>
      </c>
      <c r="D79" t="s">
        <v>4038</v>
      </c>
      <c r="E79" t="s">
        <v>3253</v>
      </c>
      <c r="H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`idcontrato_individual`='MIG74';</v>
      </c>
    </row>
    <row r="80" spans="1:8" x14ac:dyDescent="0.25">
      <c r="A80">
        <v>1</v>
      </c>
      <c r="B80" t="s">
        <v>4037</v>
      </c>
      <c r="C80" t="s">
        <v>279</v>
      </c>
      <c r="D80" t="s">
        <v>4038</v>
      </c>
      <c r="E80" t="s">
        <v>3242</v>
      </c>
      <c r="H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`idcolonia`='localidadmigrada214' WHERE  `idcontrato_individual`='MIG75';</v>
      </c>
    </row>
    <row r="81" spans="1:8" hidden="1" x14ac:dyDescent="0.25">
      <c r="A81">
        <v>0</v>
      </c>
      <c r="B81" t="s">
        <v>4072</v>
      </c>
      <c r="C81" t="s">
        <v>4036</v>
      </c>
      <c r="H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" spans="1:8" x14ac:dyDescent="0.25">
      <c r="A82">
        <v>1</v>
      </c>
      <c r="B82" t="s">
        <v>4037</v>
      </c>
      <c r="C82" t="s">
        <v>287</v>
      </c>
      <c r="D82" t="s">
        <v>4038</v>
      </c>
      <c r="E82" t="s">
        <v>3217</v>
      </c>
      <c r="H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`idcontrato_individual`='MIG77';</v>
      </c>
    </row>
    <row r="83" spans="1:8" x14ac:dyDescent="0.25">
      <c r="A83">
        <v>1</v>
      </c>
      <c r="B83" t="s">
        <v>4037</v>
      </c>
      <c r="C83" t="s">
        <v>289</v>
      </c>
      <c r="D83" t="s">
        <v>4038</v>
      </c>
      <c r="E83" t="s">
        <v>3051</v>
      </c>
      <c r="H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`idcontrato_individual`='MIG78';</v>
      </c>
    </row>
    <row r="84" spans="1:8" hidden="1" x14ac:dyDescent="0.25">
      <c r="A84">
        <v>0</v>
      </c>
      <c r="B84" t="s">
        <v>4073</v>
      </c>
      <c r="C84" t="s">
        <v>4036</v>
      </c>
      <c r="H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" spans="1:8" hidden="1" x14ac:dyDescent="0.25">
      <c r="A85">
        <v>0</v>
      </c>
      <c r="B85" t="s">
        <v>4074</v>
      </c>
      <c r="C85" t="s">
        <v>4036</v>
      </c>
      <c r="H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" spans="1:8" hidden="1" x14ac:dyDescent="0.25">
      <c r="A86">
        <v>0</v>
      </c>
      <c r="B86" t="s">
        <v>4075</v>
      </c>
      <c r="C86" t="s">
        <v>4036</v>
      </c>
      <c r="H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" spans="1:8" hidden="1" x14ac:dyDescent="0.25">
      <c r="A87">
        <v>0</v>
      </c>
      <c r="B87" t="s">
        <v>4076</v>
      </c>
      <c r="C87" t="s">
        <v>4036</v>
      </c>
      <c r="H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" spans="1:8" hidden="1" x14ac:dyDescent="0.25">
      <c r="A88">
        <v>0</v>
      </c>
      <c r="B88" t="s">
        <v>4077</v>
      </c>
      <c r="C88" t="s">
        <v>4036</v>
      </c>
      <c r="H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" spans="1:8" hidden="1" x14ac:dyDescent="0.25">
      <c r="A89">
        <v>0</v>
      </c>
      <c r="B89" t="s">
        <v>4078</v>
      </c>
      <c r="C89" t="s">
        <v>4036</v>
      </c>
      <c r="H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" spans="1:8" hidden="1" x14ac:dyDescent="0.25">
      <c r="A90">
        <v>0</v>
      </c>
      <c r="B90" t="s">
        <v>4079</v>
      </c>
      <c r="C90" t="s">
        <v>4036</v>
      </c>
      <c r="H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" spans="1:8" hidden="1" x14ac:dyDescent="0.25">
      <c r="A91">
        <v>0</v>
      </c>
      <c r="B91" t="s">
        <v>4080</v>
      </c>
      <c r="C91" t="s">
        <v>4036</v>
      </c>
      <c r="H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" spans="1:8" hidden="1" x14ac:dyDescent="0.25">
      <c r="A92">
        <v>0</v>
      </c>
      <c r="B92" t="s">
        <v>4081</v>
      </c>
      <c r="C92" t="s">
        <v>4036</v>
      </c>
      <c r="H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" spans="1:8" x14ac:dyDescent="0.25">
      <c r="A93">
        <v>1</v>
      </c>
      <c r="B93" t="s">
        <v>4037</v>
      </c>
      <c r="C93" t="s">
        <v>324</v>
      </c>
      <c r="D93" t="s">
        <v>4038</v>
      </c>
      <c r="E93" t="s">
        <v>3260</v>
      </c>
      <c r="H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`idcontrato_individual`='MIG88';</v>
      </c>
    </row>
    <row r="94" spans="1:8" x14ac:dyDescent="0.25">
      <c r="A94">
        <v>1</v>
      </c>
      <c r="B94" t="s">
        <v>4037</v>
      </c>
      <c r="C94" t="s">
        <v>324</v>
      </c>
      <c r="D94" t="s">
        <v>4038</v>
      </c>
      <c r="E94" t="s">
        <v>3029</v>
      </c>
      <c r="H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`idcontrato_individual`='MIG88';</v>
      </c>
    </row>
    <row r="95" spans="1:8" x14ac:dyDescent="0.25">
      <c r="A95">
        <v>1</v>
      </c>
      <c r="B95" t="s">
        <v>4037</v>
      </c>
      <c r="C95" t="s">
        <v>326</v>
      </c>
      <c r="D95" t="s">
        <v>4038</v>
      </c>
      <c r="E95" t="s">
        <v>3256</v>
      </c>
      <c r="H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`idcontrato_individual`='MIG89';</v>
      </c>
    </row>
    <row r="96" spans="1:8" hidden="1" x14ac:dyDescent="0.25">
      <c r="A96">
        <v>0</v>
      </c>
      <c r="B96" t="s">
        <v>4082</v>
      </c>
      <c r="C96" t="s">
        <v>4036</v>
      </c>
      <c r="H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" spans="1:8" hidden="1" x14ac:dyDescent="0.25">
      <c r="A97">
        <v>0</v>
      </c>
      <c r="B97" t="s">
        <v>4083</v>
      </c>
      <c r="C97" t="s">
        <v>4036</v>
      </c>
      <c r="H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" spans="1:8" hidden="1" x14ac:dyDescent="0.25">
      <c r="A98">
        <v>0</v>
      </c>
      <c r="B98" t="s">
        <v>4084</v>
      </c>
      <c r="C98" t="s">
        <v>4036</v>
      </c>
      <c r="H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" spans="1:8" hidden="1" x14ac:dyDescent="0.25">
      <c r="A99">
        <v>0</v>
      </c>
      <c r="B99" t="s">
        <v>4085</v>
      </c>
      <c r="C99" t="s">
        <v>4036</v>
      </c>
      <c r="H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" spans="1:8" hidden="1" x14ac:dyDescent="0.25">
      <c r="A100">
        <v>0</v>
      </c>
      <c r="B100" t="s">
        <v>4086</v>
      </c>
      <c r="C100" t="s">
        <v>4036</v>
      </c>
      <c r="H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" spans="1:8" hidden="1" x14ac:dyDescent="0.25">
      <c r="A101">
        <v>0</v>
      </c>
      <c r="B101" t="s">
        <v>4087</v>
      </c>
      <c r="C101" t="s">
        <v>4036</v>
      </c>
      <c r="H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" spans="1:8" x14ac:dyDescent="0.25">
      <c r="A102">
        <v>1</v>
      </c>
      <c r="B102" t="s">
        <v>4037</v>
      </c>
      <c r="C102" t="s">
        <v>347</v>
      </c>
      <c r="D102" t="s">
        <v>4038</v>
      </c>
      <c r="E102" t="s">
        <v>3240</v>
      </c>
      <c r="H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`idcontrato_individual`='MIG96';</v>
      </c>
    </row>
    <row r="103" spans="1:8" hidden="1" x14ac:dyDescent="0.25">
      <c r="A103">
        <v>0</v>
      </c>
      <c r="B103" t="s">
        <v>4088</v>
      </c>
      <c r="C103" t="s">
        <v>4036</v>
      </c>
      <c r="H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" spans="1:8" x14ac:dyDescent="0.25">
      <c r="A104">
        <v>1</v>
      </c>
      <c r="B104" t="s">
        <v>4037</v>
      </c>
      <c r="C104" t="s">
        <v>352</v>
      </c>
      <c r="D104" t="s">
        <v>4038</v>
      </c>
      <c r="E104" t="s">
        <v>3217</v>
      </c>
      <c r="H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`idcontrato_individual`='MIG98';</v>
      </c>
    </row>
    <row r="105" spans="1:8" x14ac:dyDescent="0.25">
      <c r="A105">
        <v>1</v>
      </c>
      <c r="B105" t="s">
        <v>4037</v>
      </c>
      <c r="C105" t="s">
        <v>354</v>
      </c>
      <c r="D105" t="s">
        <v>4038</v>
      </c>
      <c r="E105" t="s">
        <v>3260</v>
      </c>
      <c r="H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`idcontrato_individual`='MIG99';</v>
      </c>
    </row>
    <row r="106" spans="1:8" x14ac:dyDescent="0.25">
      <c r="A106">
        <v>1</v>
      </c>
      <c r="B106" t="s">
        <v>4037</v>
      </c>
      <c r="C106" t="s">
        <v>354</v>
      </c>
      <c r="D106" t="s">
        <v>4038</v>
      </c>
      <c r="E106" t="s">
        <v>3029</v>
      </c>
      <c r="H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`idcontrato_individual`='MIG99';</v>
      </c>
    </row>
    <row r="107" spans="1:8" x14ac:dyDescent="0.25">
      <c r="A107">
        <v>1</v>
      </c>
      <c r="B107" t="s">
        <v>4037</v>
      </c>
      <c r="C107" t="s">
        <v>357</v>
      </c>
      <c r="D107" t="s">
        <v>4038</v>
      </c>
      <c r="E107" t="s">
        <v>3219</v>
      </c>
      <c r="H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`idcontrato_individual`='MIG100';</v>
      </c>
    </row>
    <row r="108" spans="1:8" x14ac:dyDescent="0.25">
      <c r="A108">
        <v>1</v>
      </c>
      <c r="B108" t="s">
        <v>4037</v>
      </c>
      <c r="C108" t="s">
        <v>360</v>
      </c>
      <c r="D108" t="s">
        <v>4038</v>
      </c>
      <c r="E108" t="s">
        <v>3251</v>
      </c>
      <c r="H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`idcontrato_individual`='MIG101';</v>
      </c>
    </row>
    <row r="109" spans="1:8" hidden="1" x14ac:dyDescent="0.25">
      <c r="A109">
        <v>0</v>
      </c>
      <c r="B109" t="s">
        <v>4089</v>
      </c>
      <c r="C109" t="s">
        <v>4036</v>
      </c>
      <c r="H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" spans="1:8" x14ac:dyDescent="0.25">
      <c r="A110">
        <v>1</v>
      </c>
      <c r="B110" t="s">
        <v>4037</v>
      </c>
      <c r="C110" t="s">
        <v>365</v>
      </c>
      <c r="D110" t="s">
        <v>4038</v>
      </c>
      <c r="E110" t="s">
        <v>3051</v>
      </c>
      <c r="H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`idcontrato_individual`='MIG103';</v>
      </c>
    </row>
    <row r="111" spans="1:8" x14ac:dyDescent="0.25">
      <c r="A111">
        <v>1</v>
      </c>
      <c r="B111" t="s">
        <v>4037</v>
      </c>
      <c r="C111" t="s">
        <v>367</v>
      </c>
      <c r="D111" t="s">
        <v>4038</v>
      </c>
      <c r="E111" t="s">
        <v>3051</v>
      </c>
      <c r="H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`idcontrato_individual`='MIG104';</v>
      </c>
    </row>
    <row r="112" spans="1:8" hidden="1" x14ac:dyDescent="0.25">
      <c r="A112">
        <v>0</v>
      </c>
      <c r="B112" t="s">
        <v>4090</v>
      </c>
      <c r="C112" t="s">
        <v>4036</v>
      </c>
      <c r="H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" spans="1:8" x14ac:dyDescent="0.25">
      <c r="A113">
        <v>1</v>
      </c>
      <c r="B113" t="s">
        <v>4037</v>
      </c>
      <c r="C113" t="s">
        <v>370</v>
      </c>
      <c r="D113" t="s">
        <v>4038</v>
      </c>
      <c r="E113" t="s">
        <v>3247</v>
      </c>
      <c r="H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`idcontrato_individual`='MIG106';</v>
      </c>
    </row>
    <row r="114" spans="1:8" hidden="1" x14ac:dyDescent="0.25">
      <c r="A114">
        <v>0</v>
      </c>
      <c r="B114" t="s">
        <v>4091</v>
      </c>
      <c r="C114" t="s">
        <v>4036</v>
      </c>
      <c r="H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" spans="1:8" hidden="1" x14ac:dyDescent="0.25">
      <c r="A115">
        <v>0</v>
      </c>
      <c r="B115" t="s">
        <v>4092</v>
      </c>
      <c r="C115" t="s">
        <v>4036</v>
      </c>
      <c r="H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" spans="1:8" hidden="1" x14ac:dyDescent="0.25">
      <c r="A116">
        <v>0</v>
      </c>
      <c r="B116" t="s">
        <v>4093</v>
      </c>
      <c r="C116" t="s">
        <v>4036</v>
      </c>
      <c r="H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" spans="1:8" hidden="1" x14ac:dyDescent="0.25">
      <c r="A117">
        <v>0</v>
      </c>
      <c r="B117" t="s">
        <v>4094</v>
      </c>
      <c r="C117" t="s">
        <v>4036</v>
      </c>
      <c r="H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" spans="1:8" x14ac:dyDescent="0.25">
      <c r="A118">
        <v>1</v>
      </c>
      <c r="B118" t="s">
        <v>4037</v>
      </c>
      <c r="C118" t="s">
        <v>389</v>
      </c>
      <c r="D118" t="s">
        <v>4038</v>
      </c>
      <c r="E118" t="s">
        <v>3260</v>
      </c>
      <c r="H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`idcontrato_individual`='MIG111';</v>
      </c>
    </row>
    <row r="119" spans="1:8" x14ac:dyDescent="0.25">
      <c r="A119">
        <v>1</v>
      </c>
      <c r="B119" t="s">
        <v>4037</v>
      </c>
      <c r="C119" t="s">
        <v>389</v>
      </c>
      <c r="D119" t="s">
        <v>4038</v>
      </c>
      <c r="E119" t="s">
        <v>3029</v>
      </c>
      <c r="H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`idcontrato_individual`='MIG111';</v>
      </c>
    </row>
    <row r="120" spans="1:8" x14ac:dyDescent="0.25">
      <c r="A120">
        <v>1</v>
      </c>
      <c r="B120" t="s">
        <v>4037</v>
      </c>
      <c r="C120" t="s">
        <v>392</v>
      </c>
      <c r="D120" t="s">
        <v>4038</v>
      </c>
      <c r="E120" t="s">
        <v>3209</v>
      </c>
      <c r="H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`idcontrato_individual`='MIG112';</v>
      </c>
    </row>
    <row r="121" spans="1:8" x14ac:dyDescent="0.25">
      <c r="A121">
        <v>1</v>
      </c>
      <c r="B121" t="s">
        <v>4037</v>
      </c>
      <c r="C121" t="s">
        <v>394</v>
      </c>
      <c r="D121" t="s">
        <v>4038</v>
      </c>
      <c r="E121" t="s">
        <v>3240</v>
      </c>
      <c r="H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`idcontrato_individual`='MIG113';</v>
      </c>
    </row>
    <row r="122" spans="1:8" x14ac:dyDescent="0.25">
      <c r="A122">
        <v>1</v>
      </c>
      <c r="B122" t="s">
        <v>4037</v>
      </c>
      <c r="C122" t="s">
        <v>397</v>
      </c>
      <c r="D122" t="s">
        <v>4038</v>
      </c>
      <c r="E122" t="s">
        <v>3220</v>
      </c>
      <c r="H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`idcontrato_individual`='MIG114';</v>
      </c>
    </row>
    <row r="123" spans="1:8" x14ac:dyDescent="0.25">
      <c r="A123">
        <v>1</v>
      </c>
      <c r="B123" t="s">
        <v>4037</v>
      </c>
      <c r="C123" t="s">
        <v>399</v>
      </c>
      <c r="D123" t="s">
        <v>4038</v>
      </c>
      <c r="E123" t="s">
        <v>3219</v>
      </c>
      <c r="H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`idcontrato_individual`='MIG115';</v>
      </c>
    </row>
    <row r="124" spans="1:8" x14ac:dyDescent="0.25">
      <c r="A124">
        <v>1</v>
      </c>
      <c r="B124" t="s">
        <v>4037</v>
      </c>
      <c r="C124" t="s">
        <v>403</v>
      </c>
      <c r="D124" t="s">
        <v>4038</v>
      </c>
      <c r="E124" t="s">
        <v>3252</v>
      </c>
      <c r="H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`idcontrato_individual`='MIG116';</v>
      </c>
    </row>
    <row r="125" spans="1:8" x14ac:dyDescent="0.25">
      <c r="A125">
        <v>1</v>
      </c>
      <c r="B125" t="s">
        <v>4037</v>
      </c>
      <c r="C125" t="s">
        <v>406</v>
      </c>
      <c r="D125" t="s">
        <v>4038</v>
      </c>
      <c r="E125" t="s">
        <v>3240</v>
      </c>
      <c r="H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`idcontrato_individual`='MIG117';</v>
      </c>
    </row>
    <row r="126" spans="1:8" x14ac:dyDescent="0.25">
      <c r="A126">
        <v>1</v>
      </c>
      <c r="B126" t="s">
        <v>4037</v>
      </c>
      <c r="C126" t="s">
        <v>407</v>
      </c>
      <c r="D126" t="s">
        <v>4038</v>
      </c>
      <c r="E126" t="s">
        <v>3251</v>
      </c>
      <c r="H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`idcontrato_individual`='MIG118';</v>
      </c>
    </row>
    <row r="127" spans="1:8" x14ac:dyDescent="0.25">
      <c r="A127">
        <v>1</v>
      </c>
      <c r="B127" t="s">
        <v>4037</v>
      </c>
      <c r="C127" t="s">
        <v>409</v>
      </c>
      <c r="D127" t="s">
        <v>4038</v>
      </c>
      <c r="E127" t="s">
        <v>3248</v>
      </c>
      <c r="H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`idcontrato_individual`='MIG119';</v>
      </c>
    </row>
    <row r="128" spans="1:8" x14ac:dyDescent="0.25">
      <c r="A128">
        <v>1</v>
      </c>
      <c r="B128" t="s">
        <v>4037</v>
      </c>
      <c r="C128" t="s">
        <v>411</v>
      </c>
      <c r="D128" t="s">
        <v>4038</v>
      </c>
      <c r="E128" t="s">
        <v>3248</v>
      </c>
      <c r="H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`idcontrato_individual`='MIG120';</v>
      </c>
    </row>
    <row r="129" spans="1:8" x14ac:dyDescent="0.25">
      <c r="A129">
        <v>1</v>
      </c>
      <c r="B129" t="s">
        <v>4037</v>
      </c>
      <c r="C129" t="s">
        <v>413</v>
      </c>
      <c r="D129" t="s">
        <v>4038</v>
      </c>
      <c r="E129" t="s">
        <v>3256</v>
      </c>
      <c r="H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`idcontrato_individual`='MIG121';</v>
      </c>
    </row>
    <row r="130" spans="1:8" x14ac:dyDescent="0.25">
      <c r="A130">
        <v>1</v>
      </c>
      <c r="B130" t="s">
        <v>4037</v>
      </c>
      <c r="C130" t="s">
        <v>415</v>
      </c>
      <c r="D130" t="s">
        <v>4038</v>
      </c>
      <c r="E130" t="s">
        <v>3247</v>
      </c>
      <c r="H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`idcontrato_individual`='MIG122';</v>
      </c>
    </row>
    <row r="131" spans="1:8" hidden="1" x14ac:dyDescent="0.25">
      <c r="A131">
        <v>0</v>
      </c>
      <c r="B131" t="s">
        <v>4095</v>
      </c>
      <c r="C131" t="s">
        <v>4036</v>
      </c>
      <c r="H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" spans="1:8" x14ac:dyDescent="0.25">
      <c r="A132">
        <v>1</v>
      </c>
      <c r="B132" t="s">
        <v>4037</v>
      </c>
      <c r="C132" t="s">
        <v>419</v>
      </c>
      <c r="D132" t="s">
        <v>4038</v>
      </c>
      <c r="E132" t="s">
        <v>3251</v>
      </c>
      <c r="H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`idcontrato_individual`='MIG124';</v>
      </c>
    </row>
    <row r="133" spans="1:8" x14ac:dyDescent="0.25">
      <c r="A133">
        <v>1</v>
      </c>
      <c r="B133" t="s">
        <v>4037</v>
      </c>
      <c r="C133" t="s">
        <v>420</v>
      </c>
      <c r="D133" t="s">
        <v>4038</v>
      </c>
      <c r="E133" t="s">
        <v>3070</v>
      </c>
      <c r="H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`idcontrato_individual`='MIG125';</v>
      </c>
    </row>
    <row r="134" spans="1:8" x14ac:dyDescent="0.25">
      <c r="A134">
        <v>1</v>
      </c>
      <c r="B134" t="s">
        <v>4037</v>
      </c>
      <c r="C134" t="s">
        <v>424</v>
      </c>
      <c r="D134" t="s">
        <v>4038</v>
      </c>
      <c r="E134" t="s">
        <v>3051</v>
      </c>
      <c r="H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`idcontrato_individual`='MIG126';</v>
      </c>
    </row>
    <row r="135" spans="1:8" hidden="1" x14ac:dyDescent="0.25">
      <c r="A135">
        <v>0</v>
      </c>
      <c r="B135" t="s">
        <v>4096</v>
      </c>
      <c r="C135" t="s">
        <v>4036</v>
      </c>
      <c r="H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" spans="1:8" x14ac:dyDescent="0.25">
      <c r="A136">
        <v>1</v>
      </c>
      <c r="B136" t="s">
        <v>4037</v>
      </c>
      <c r="C136" t="s">
        <v>432</v>
      </c>
      <c r="D136" t="s">
        <v>4038</v>
      </c>
      <c r="E136" t="s">
        <v>3257</v>
      </c>
      <c r="H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`idcontrato_individual`='MIG128';</v>
      </c>
    </row>
    <row r="137" spans="1:8" hidden="1" x14ac:dyDescent="0.25">
      <c r="A137">
        <v>0</v>
      </c>
      <c r="B137" t="s">
        <v>4097</v>
      </c>
      <c r="C137" t="s">
        <v>4036</v>
      </c>
      <c r="H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" spans="1:8" x14ac:dyDescent="0.25">
      <c r="A138">
        <v>1</v>
      </c>
      <c r="B138" t="s">
        <v>4037</v>
      </c>
      <c r="C138" t="s">
        <v>441</v>
      </c>
      <c r="D138" t="s">
        <v>4038</v>
      </c>
      <c r="E138" t="s">
        <v>3217</v>
      </c>
      <c r="H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`idcontrato_individual`='MIG130';</v>
      </c>
    </row>
    <row r="139" spans="1:8" hidden="1" x14ac:dyDescent="0.25">
      <c r="A139">
        <v>0</v>
      </c>
      <c r="B139" t="s">
        <v>4098</v>
      </c>
      <c r="C139" t="s">
        <v>4036</v>
      </c>
      <c r="H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" spans="1:8" x14ac:dyDescent="0.25">
      <c r="A140">
        <v>1</v>
      </c>
      <c r="B140" t="s">
        <v>4037</v>
      </c>
      <c r="C140" t="s">
        <v>447</v>
      </c>
      <c r="D140" t="s">
        <v>4038</v>
      </c>
      <c r="E140" t="s">
        <v>3251</v>
      </c>
      <c r="H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`idcontrato_individual`='MIG132';</v>
      </c>
    </row>
    <row r="141" spans="1:8" x14ac:dyDescent="0.25">
      <c r="A141">
        <v>1</v>
      </c>
      <c r="B141" t="s">
        <v>4037</v>
      </c>
      <c r="C141" t="s">
        <v>449</v>
      </c>
      <c r="D141" t="s">
        <v>4038</v>
      </c>
      <c r="E141" t="s">
        <v>3256</v>
      </c>
      <c r="H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`idcontrato_individual`='MIG133';</v>
      </c>
    </row>
    <row r="142" spans="1:8" hidden="1" x14ac:dyDescent="0.25">
      <c r="A142">
        <v>0</v>
      </c>
      <c r="B142" t="s">
        <v>4099</v>
      </c>
      <c r="C142" t="s">
        <v>4036</v>
      </c>
      <c r="H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" spans="1:8" x14ac:dyDescent="0.25">
      <c r="A143">
        <v>1</v>
      </c>
      <c r="B143" t="s">
        <v>4037</v>
      </c>
      <c r="C143" t="s">
        <v>455</v>
      </c>
      <c r="D143" t="s">
        <v>4038</v>
      </c>
      <c r="E143" t="s">
        <v>3251</v>
      </c>
      <c r="H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`idcontrato_individual`='MIG135';</v>
      </c>
    </row>
    <row r="144" spans="1:8" hidden="1" x14ac:dyDescent="0.25">
      <c r="A144">
        <v>0</v>
      </c>
      <c r="B144" t="s">
        <v>4100</v>
      </c>
      <c r="C144" t="s">
        <v>4036</v>
      </c>
      <c r="H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" spans="1:8" x14ac:dyDescent="0.25">
      <c r="A145">
        <v>1</v>
      </c>
      <c r="B145" t="s">
        <v>4037</v>
      </c>
      <c r="C145" t="s">
        <v>460</v>
      </c>
      <c r="D145" t="s">
        <v>4038</v>
      </c>
      <c r="E145" t="s">
        <v>3222</v>
      </c>
      <c r="H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`idcolonia`='localidadmigrada194' WHERE  `idcontrato_individual`='MIG137';</v>
      </c>
    </row>
    <row r="146" spans="1:8" hidden="1" x14ac:dyDescent="0.25">
      <c r="A146">
        <v>0</v>
      </c>
      <c r="B146" t="s">
        <v>4101</v>
      </c>
      <c r="C146" t="s">
        <v>4036</v>
      </c>
      <c r="H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" spans="1:8" x14ac:dyDescent="0.25">
      <c r="A147">
        <v>1</v>
      </c>
      <c r="B147" t="s">
        <v>4037</v>
      </c>
      <c r="C147" t="s">
        <v>468</v>
      </c>
      <c r="D147" t="s">
        <v>4038</v>
      </c>
      <c r="E147" t="s">
        <v>3255</v>
      </c>
      <c r="H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`idcontrato_individual`='MIG139';</v>
      </c>
    </row>
    <row r="148" spans="1:8" hidden="1" x14ac:dyDescent="0.25">
      <c r="A148">
        <v>0</v>
      </c>
      <c r="B148" t="s">
        <v>4102</v>
      </c>
      <c r="C148" t="s">
        <v>4036</v>
      </c>
      <c r="H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" spans="1:8" hidden="1" x14ac:dyDescent="0.25">
      <c r="A149">
        <v>0</v>
      </c>
      <c r="B149" t="s">
        <v>4103</v>
      </c>
      <c r="C149" t="s">
        <v>4036</v>
      </c>
      <c r="H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" spans="1:8" hidden="1" x14ac:dyDescent="0.25">
      <c r="A150">
        <v>0</v>
      </c>
      <c r="B150" t="s">
        <v>4104</v>
      </c>
      <c r="C150" t="s">
        <v>4036</v>
      </c>
      <c r="H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" spans="1:8" x14ac:dyDescent="0.25">
      <c r="A151">
        <v>1</v>
      </c>
      <c r="B151" t="s">
        <v>4037</v>
      </c>
      <c r="C151" t="s">
        <v>478</v>
      </c>
      <c r="D151" t="s">
        <v>4038</v>
      </c>
      <c r="E151" t="s">
        <v>3251</v>
      </c>
      <c r="H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`idcontrato_individual`='MIG143';</v>
      </c>
    </row>
    <row r="152" spans="1:8" x14ac:dyDescent="0.25">
      <c r="A152">
        <v>1</v>
      </c>
      <c r="B152" t="s">
        <v>4037</v>
      </c>
      <c r="C152" t="s">
        <v>481</v>
      </c>
      <c r="D152" t="s">
        <v>4038</v>
      </c>
      <c r="E152" t="s">
        <v>3213</v>
      </c>
      <c r="H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`idcolonia`='localidadmigrada185' WHERE  `idcontrato_individual`='MIG144';</v>
      </c>
    </row>
    <row r="153" spans="1:8" x14ac:dyDescent="0.25">
      <c r="A153">
        <v>1</v>
      </c>
      <c r="B153" t="s">
        <v>4037</v>
      </c>
      <c r="C153" t="s">
        <v>484</v>
      </c>
      <c r="D153" t="s">
        <v>4038</v>
      </c>
      <c r="E153" t="s">
        <v>3251</v>
      </c>
      <c r="H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`idcontrato_individual`='MIG145';</v>
      </c>
    </row>
    <row r="154" spans="1:8" hidden="1" x14ac:dyDescent="0.25">
      <c r="A154">
        <v>0</v>
      </c>
      <c r="B154" t="s">
        <v>4105</v>
      </c>
      <c r="C154" t="s">
        <v>4036</v>
      </c>
      <c r="H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" spans="1:8" hidden="1" x14ac:dyDescent="0.25">
      <c r="A155">
        <v>0</v>
      </c>
      <c r="B155" t="s">
        <v>4106</v>
      </c>
      <c r="C155" t="s">
        <v>4036</v>
      </c>
      <c r="H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" spans="1:8" hidden="1" x14ac:dyDescent="0.25">
      <c r="A156">
        <v>0</v>
      </c>
      <c r="B156" t="s">
        <v>4107</v>
      </c>
      <c r="C156" t="s">
        <v>4036</v>
      </c>
      <c r="H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" spans="1:8" x14ac:dyDescent="0.25">
      <c r="A157">
        <v>1</v>
      </c>
      <c r="B157" t="s">
        <v>4037</v>
      </c>
      <c r="C157" t="s">
        <v>495</v>
      </c>
      <c r="D157" t="s">
        <v>4038</v>
      </c>
      <c r="E157" t="s">
        <v>3260</v>
      </c>
      <c r="H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`idcontrato_individual`='MIG149';</v>
      </c>
    </row>
    <row r="158" spans="1:8" x14ac:dyDescent="0.25">
      <c r="A158">
        <v>1</v>
      </c>
      <c r="B158" t="s">
        <v>4037</v>
      </c>
      <c r="C158" t="s">
        <v>495</v>
      </c>
      <c r="D158" t="s">
        <v>4038</v>
      </c>
      <c r="E158" t="s">
        <v>3029</v>
      </c>
      <c r="H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`idcontrato_individual`='MIG149';</v>
      </c>
    </row>
    <row r="159" spans="1:8" x14ac:dyDescent="0.25">
      <c r="A159">
        <v>1</v>
      </c>
      <c r="B159" t="s">
        <v>4037</v>
      </c>
      <c r="C159" t="s">
        <v>496</v>
      </c>
      <c r="D159" t="s">
        <v>4038</v>
      </c>
      <c r="E159" t="s">
        <v>3260</v>
      </c>
      <c r="H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`idcontrato_individual`='MIG150';</v>
      </c>
    </row>
    <row r="160" spans="1:8" x14ac:dyDescent="0.25">
      <c r="A160">
        <v>1</v>
      </c>
      <c r="B160" t="s">
        <v>4037</v>
      </c>
      <c r="C160" t="s">
        <v>496</v>
      </c>
      <c r="D160" t="s">
        <v>4038</v>
      </c>
      <c r="E160" t="s">
        <v>3029</v>
      </c>
      <c r="H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`idcontrato_individual`='MIG150';</v>
      </c>
    </row>
    <row r="161" spans="1:8" x14ac:dyDescent="0.25">
      <c r="A161">
        <v>1</v>
      </c>
      <c r="B161" t="s">
        <v>4037</v>
      </c>
      <c r="C161" t="s">
        <v>497</v>
      </c>
      <c r="D161" t="s">
        <v>4038</v>
      </c>
      <c r="E161" t="s">
        <v>3256</v>
      </c>
      <c r="H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`idcontrato_individual`='MIG151';</v>
      </c>
    </row>
    <row r="162" spans="1:8" x14ac:dyDescent="0.25">
      <c r="A162">
        <v>1</v>
      </c>
      <c r="B162" t="s">
        <v>4037</v>
      </c>
      <c r="C162" t="s">
        <v>499</v>
      </c>
      <c r="D162" t="s">
        <v>4038</v>
      </c>
      <c r="E162" t="s">
        <v>3251</v>
      </c>
      <c r="H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`idcontrato_individual`='MIG152';</v>
      </c>
    </row>
    <row r="163" spans="1:8" x14ac:dyDescent="0.25">
      <c r="A163">
        <v>1</v>
      </c>
      <c r="B163" t="s">
        <v>4037</v>
      </c>
      <c r="C163" t="s">
        <v>501</v>
      </c>
      <c r="D163" t="s">
        <v>4038</v>
      </c>
      <c r="E163" t="s">
        <v>3184</v>
      </c>
      <c r="H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`idcolonia`='localidadmigrada156' WHERE  `idcontrato_individual`='MIG153';</v>
      </c>
    </row>
    <row r="164" spans="1:8" x14ac:dyDescent="0.25">
      <c r="A164">
        <v>1</v>
      </c>
      <c r="B164" t="s">
        <v>4037</v>
      </c>
      <c r="C164" t="s">
        <v>504</v>
      </c>
      <c r="D164" t="s">
        <v>4038</v>
      </c>
      <c r="E164" t="s">
        <v>3251</v>
      </c>
      <c r="H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`idcontrato_individual`='MIG154';</v>
      </c>
    </row>
    <row r="165" spans="1:8" x14ac:dyDescent="0.25">
      <c r="A165">
        <v>1</v>
      </c>
      <c r="B165" t="s">
        <v>4037</v>
      </c>
      <c r="C165" t="s">
        <v>507</v>
      </c>
      <c r="D165" t="s">
        <v>4038</v>
      </c>
      <c r="E165" t="s">
        <v>3251</v>
      </c>
      <c r="H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`idcontrato_individual`='MIG155';</v>
      </c>
    </row>
    <row r="166" spans="1:8" hidden="1" x14ac:dyDescent="0.25">
      <c r="A166">
        <v>0</v>
      </c>
      <c r="B166" t="s">
        <v>4108</v>
      </c>
      <c r="C166" t="s">
        <v>4036</v>
      </c>
      <c r="H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" spans="1:8" hidden="1" x14ac:dyDescent="0.25">
      <c r="A167">
        <v>0</v>
      </c>
      <c r="B167" t="s">
        <v>4109</v>
      </c>
      <c r="C167" t="s">
        <v>4036</v>
      </c>
      <c r="H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" spans="1:8" hidden="1" x14ac:dyDescent="0.25">
      <c r="A168">
        <v>0</v>
      </c>
      <c r="B168" t="s">
        <v>4110</v>
      </c>
      <c r="C168" t="s">
        <v>4036</v>
      </c>
      <c r="H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" spans="1:8" hidden="1" x14ac:dyDescent="0.25">
      <c r="A169">
        <v>0</v>
      </c>
      <c r="B169" t="s">
        <v>4111</v>
      </c>
      <c r="C169" t="s">
        <v>4036</v>
      </c>
      <c r="H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" spans="1:8" hidden="1" x14ac:dyDescent="0.25">
      <c r="A170">
        <v>0</v>
      </c>
      <c r="B170" t="s">
        <v>4112</v>
      </c>
      <c r="C170" t="s">
        <v>4036</v>
      </c>
      <c r="H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" spans="1:8" x14ac:dyDescent="0.25">
      <c r="A171">
        <v>1</v>
      </c>
      <c r="B171" t="s">
        <v>4037</v>
      </c>
      <c r="C171" t="s">
        <v>522</v>
      </c>
      <c r="D171" t="s">
        <v>4038</v>
      </c>
      <c r="E171" t="s">
        <v>3056</v>
      </c>
      <c r="H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`idcolonia`='localidadmigrada28' WHERE  `idcontrato_individual`='MIG161';</v>
      </c>
    </row>
    <row r="172" spans="1:8" x14ac:dyDescent="0.25">
      <c r="A172">
        <v>1</v>
      </c>
      <c r="B172" t="s">
        <v>4037</v>
      </c>
      <c r="C172" t="s">
        <v>524</v>
      </c>
      <c r="D172" t="s">
        <v>4038</v>
      </c>
      <c r="E172" t="s">
        <v>3251</v>
      </c>
      <c r="H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`idcontrato_individual`='MIG162';</v>
      </c>
    </row>
    <row r="173" spans="1:8" x14ac:dyDescent="0.25">
      <c r="A173">
        <v>1</v>
      </c>
      <c r="B173" t="s">
        <v>4037</v>
      </c>
      <c r="C173" t="s">
        <v>527</v>
      </c>
      <c r="D173" t="s">
        <v>4038</v>
      </c>
      <c r="E173" t="s">
        <v>3207</v>
      </c>
      <c r="H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`idcolonia`='localidadmigrada179' WHERE  `idcontrato_individual`='MIG163';</v>
      </c>
    </row>
    <row r="174" spans="1:8" x14ac:dyDescent="0.25">
      <c r="A174">
        <v>1</v>
      </c>
      <c r="B174" t="s">
        <v>4037</v>
      </c>
      <c r="C174" t="s">
        <v>530</v>
      </c>
      <c r="D174" t="s">
        <v>4038</v>
      </c>
      <c r="E174" t="s">
        <v>3124</v>
      </c>
      <c r="H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`idcontrato_individual`='MIG164';</v>
      </c>
    </row>
    <row r="175" spans="1:8" x14ac:dyDescent="0.25">
      <c r="A175">
        <v>1</v>
      </c>
      <c r="B175" t="s">
        <v>4037</v>
      </c>
      <c r="C175" t="s">
        <v>530</v>
      </c>
      <c r="D175" t="s">
        <v>4038</v>
      </c>
      <c r="E175" t="s">
        <v>3253</v>
      </c>
      <c r="H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`idcontrato_individual`='MIG164';</v>
      </c>
    </row>
    <row r="176" spans="1:8" hidden="1" x14ac:dyDescent="0.25">
      <c r="A176">
        <v>0</v>
      </c>
      <c r="B176" t="s">
        <v>4113</v>
      </c>
      <c r="C176" t="s">
        <v>4036</v>
      </c>
      <c r="H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" spans="1:8" hidden="1" x14ac:dyDescent="0.25">
      <c r="A177">
        <v>0</v>
      </c>
      <c r="B177" t="s">
        <v>4114</v>
      </c>
      <c r="C177" t="s">
        <v>4036</v>
      </c>
      <c r="H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" spans="1:8" x14ac:dyDescent="0.25">
      <c r="A178">
        <v>1</v>
      </c>
      <c r="B178" t="s">
        <v>4037</v>
      </c>
      <c r="C178" t="s">
        <v>539</v>
      </c>
      <c r="D178" t="s">
        <v>4038</v>
      </c>
      <c r="E178" t="s">
        <v>3240</v>
      </c>
      <c r="H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`idcontrato_individual`='MIG167';</v>
      </c>
    </row>
    <row r="179" spans="1:8" hidden="1" x14ac:dyDescent="0.25">
      <c r="A179">
        <v>0</v>
      </c>
      <c r="B179" t="s">
        <v>4115</v>
      </c>
      <c r="C179" t="s">
        <v>4036</v>
      </c>
      <c r="H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" spans="1:8" x14ac:dyDescent="0.25">
      <c r="A180">
        <v>1</v>
      </c>
      <c r="B180" t="s">
        <v>4037</v>
      </c>
      <c r="C180" t="s">
        <v>545</v>
      </c>
      <c r="D180" t="s">
        <v>4038</v>
      </c>
      <c r="E180" t="s">
        <v>3247</v>
      </c>
      <c r="H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`idcontrato_individual`='MIG169';</v>
      </c>
    </row>
    <row r="181" spans="1:8" x14ac:dyDescent="0.25">
      <c r="A181">
        <v>1</v>
      </c>
      <c r="B181" t="s">
        <v>4037</v>
      </c>
      <c r="C181" t="s">
        <v>548</v>
      </c>
      <c r="D181" t="s">
        <v>4038</v>
      </c>
      <c r="E181" t="s">
        <v>3256</v>
      </c>
      <c r="H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`idcontrato_individual`='MIG170';</v>
      </c>
    </row>
    <row r="182" spans="1:8" hidden="1" x14ac:dyDescent="0.25">
      <c r="A182">
        <v>0</v>
      </c>
      <c r="B182" t="s">
        <v>4116</v>
      </c>
      <c r="C182" t="s">
        <v>4036</v>
      </c>
      <c r="H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" spans="1:8" x14ac:dyDescent="0.25">
      <c r="A183">
        <v>1</v>
      </c>
      <c r="B183" t="s">
        <v>4037</v>
      </c>
      <c r="C183" t="s">
        <v>555</v>
      </c>
      <c r="D183" t="s">
        <v>4038</v>
      </c>
      <c r="E183" t="s">
        <v>3250</v>
      </c>
      <c r="H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`idcolonia`='localidadmigrada222' WHERE  `idcontrato_individual`='MIG172';</v>
      </c>
    </row>
    <row r="184" spans="1:8" hidden="1" x14ac:dyDescent="0.25">
      <c r="A184">
        <v>0</v>
      </c>
      <c r="B184" t="s">
        <v>4117</v>
      </c>
      <c r="C184" t="s">
        <v>4036</v>
      </c>
      <c r="H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" spans="1:8" hidden="1" x14ac:dyDescent="0.25">
      <c r="A185">
        <v>0</v>
      </c>
      <c r="B185" t="s">
        <v>4118</v>
      </c>
      <c r="C185" t="s">
        <v>4036</v>
      </c>
      <c r="H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" spans="1:8" hidden="1" x14ac:dyDescent="0.25">
      <c r="A186">
        <v>0</v>
      </c>
      <c r="B186" t="s">
        <v>4119</v>
      </c>
      <c r="C186" t="s">
        <v>4036</v>
      </c>
      <c r="H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" spans="1:8" x14ac:dyDescent="0.25">
      <c r="A187">
        <v>1</v>
      </c>
      <c r="B187" t="s">
        <v>4037</v>
      </c>
      <c r="C187" t="s">
        <v>567</v>
      </c>
      <c r="D187" t="s">
        <v>4038</v>
      </c>
      <c r="E187" t="s">
        <v>3256</v>
      </c>
      <c r="H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`idcontrato_individual`='MIG176';</v>
      </c>
    </row>
    <row r="188" spans="1:8" x14ac:dyDescent="0.25">
      <c r="A188">
        <v>1</v>
      </c>
      <c r="B188" t="s">
        <v>4037</v>
      </c>
      <c r="C188" t="s">
        <v>569</v>
      </c>
      <c r="D188" t="s">
        <v>4038</v>
      </c>
      <c r="E188" t="s">
        <v>3247</v>
      </c>
      <c r="H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`idcontrato_individual`='MIG177';</v>
      </c>
    </row>
    <row r="189" spans="1:8" x14ac:dyDescent="0.25">
      <c r="A189">
        <v>1</v>
      </c>
      <c r="B189" t="s">
        <v>4037</v>
      </c>
      <c r="C189" t="s">
        <v>571</v>
      </c>
      <c r="D189" t="s">
        <v>4038</v>
      </c>
      <c r="E189" t="s">
        <v>3251</v>
      </c>
      <c r="H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`idcontrato_individual`='MIG178';</v>
      </c>
    </row>
    <row r="190" spans="1:8" x14ac:dyDescent="0.25">
      <c r="A190">
        <v>1</v>
      </c>
      <c r="B190" t="s">
        <v>4037</v>
      </c>
      <c r="C190" t="s">
        <v>573</v>
      </c>
      <c r="D190" t="s">
        <v>4038</v>
      </c>
      <c r="E190" t="s">
        <v>3240</v>
      </c>
      <c r="H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`idcontrato_individual`='MIG179';</v>
      </c>
    </row>
    <row r="191" spans="1:8" hidden="1" x14ac:dyDescent="0.25">
      <c r="A191">
        <v>0</v>
      </c>
      <c r="B191" t="s">
        <v>4120</v>
      </c>
      <c r="C191" t="s">
        <v>4036</v>
      </c>
      <c r="H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" spans="1:8" x14ac:dyDescent="0.25">
      <c r="A192">
        <v>1</v>
      </c>
      <c r="B192" t="s">
        <v>4037</v>
      </c>
      <c r="C192" t="s">
        <v>578</v>
      </c>
      <c r="D192" t="s">
        <v>4038</v>
      </c>
      <c r="E192" t="s">
        <v>3252</v>
      </c>
      <c r="H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`idcontrato_individual`='MIG181';</v>
      </c>
    </row>
    <row r="193" spans="1:8" x14ac:dyDescent="0.25">
      <c r="A193">
        <v>1</v>
      </c>
      <c r="B193" t="s">
        <v>4037</v>
      </c>
      <c r="C193" t="s">
        <v>580</v>
      </c>
      <c r="D193" t="s">
        <v>4038</v>
      </c>
      <c r="E193" t="s">
        <v>3216</v>
      </c>
      <c r="H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`idcolonia`='localidadmigrada188' WHERE  `idcontrato_individual`='MIG182';</v>
      </c>
    </row>
    <row r="194" spans="1:8" hidden="1" x14ac:dyDescent="0.25">
      <c r="A194">
        <v>0</v>
      </c>
      <c r="B194" t="s">
        <v>4121</v>
      </c>
      <c r="C194" t="s">
        <v>4036</v>
      </c>
      <c r="H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" spans="1:8" hidden="1" x14ac:dyDescent="0.25">
      <c r="A195">
        <v>0</v>
      </c>
      <c r="B195" t="s">
        <v>4122</v>
      </c>
      <c r="C195" t="s">
        <v>4036</v>
      </c>
      <c r="H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" spans="1:8" x14ac:dyDescent="0.25">
      <c r="A196">
        <v>1</v>
      </c>
      <c r="B196" t="s">
        <v>4037</v>
      </c>
      <c r="C196" t="s">
        <v>588</v>
      </c>
      <c r="D196" t="s">
        <v>4038</v>
      </c>
      <c r="E196" t="s">
        <v>3247</v>
      </c>
      <c r="H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`idcontrato_individual`='MIG185';</v>
      </c>
    </row>
    <row r="197" spans="1:8" hidden="1" x14ac:dyDescent="0.25">
      <c r="A197">
        <v>0</v>
      </c>
      <c r="B197" t="s">
        <v>4123</v>
      </c>
      <c r="C197" t="s">
        <v>4036</v>
      </c>
      <c r="H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" spans="1:8" x14ac:dyDescent="0.25">
      <c r="A198">
        <v>1</v>
      </c>
      <c r="B198" t="s">
        <v>4037</v>
      </c>
      <c r="C198" t="s">
        <v>592</v>
      </c>
      <c r="D198" t="s">
        <v>4038</v>
      </c>
      <c r="E198" t="s">
        <v>3227</v>
      </c>
      <c r="H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`idcontrato_individual`='MIG187';</v>
      </c>
    </row>
    <row r="199" spans="1:8" x14ac:dyDescent="0.25">
      <c r="A199">
        <v>1</v>
      </c>
      <c r="B199" t="s">
        <v>4037</v>
      </c>
      <c r="C199" t="s">
        <v>596</v>
      </c>
      <c r="D199" t="s">
        <v>4038</v>
      </c>
      <c r="E199" t="s">
        <v>3071</v>
      </c>
      <c r="H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`idcolonia`='localidadmigrada43' WHERE  `idcontrato_individual`='MIG188';</v>
      </c>
    </row>
    <row r="200" spans="1:8" x14ac:dyDescent="0.25">
      <c r="A200">
        <v>1</v>
      </c>
      <c r="B200" t="s">
        <v>4037</v>
      </c>
      <c r="C200" t="s">
        <v>600</v>
      </c>
      <c r="D200" t="s">
        <v>4038</v>
      </c>
      <c r="E200" t="s">
        <v>3070</v>
      </c>
      <c r="H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`idcontrato_individual`='MIG189';</v>
      </c>
    </row>
    <row r="201" spans="1:8" x14ac:dyDescent="0.25">
      <c r="A201">
        <v>1</v>
      </c>
      <c r="B201" t="s">
        <v>4037</v>
      </c>
      <c r="C201" t="s">
        <v>603</v>
      </c>
      <c r="D201" t="s">
        <v>4038</v>
      </c>
      <c r="E201" t="s">
        <v>3240</v>
      </c>
      <c r="H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`idcontrato_individual`='MIG190';</v>
      </c>
    </row>
    <row r="202" spans="1:8" hidden="1" x14ac:dyDescent="0.25">
      <c r="A202">
        <v>0</v>
      </c>
      <c r="B202" t="s">
        <v>4124</v>
      </c>
      <c r="C202" t="s">
        <v>4036</v>
      </c>
      <c r="H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" spans="1:8" x14ac:dyDescent="0.25">
      <c r="A203">
        <v>1</v>
      </c>
      <c r="B203" t="s">
        <v>4037</v>
      </c>
      <c r="C203" t="s">
        <v>609</v>
      </c>
      <c r="D203" t="s">
        <v>4038</v>
      </c>
      <c r="E203" t="s">
        <v>3256</v>
      </c>
      <c r="H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`idcontrato_individual`='MIG192';</v>
      </c>
    </row>
    <row r="204" spans="1:8" x14ac:dyDescent="0.25">
      <c r="A204">
        <v>1</v>
      </c>
      <c r="B204" t="s">
        <v>4037</v>
      </c>
      <c r="C204" t="s">
        <v>611</v>
      </c>
      <c r="D204" t="s">
        <v>4038</v>
      </c>
      <c r="E204" t="s">
        <v>3251</v>
      </c>
      <c r="H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`idcontrato_individual`='MIG193';</v>
      </c>
    </row>
    <row r="205" spans="1:8" x14ac:dyDescent="0.25">
      <c r="A205">
        <v>1</v>
      </c>
      <c r="B205" t="s">
        <v>4037</v>
      </c>
      <c r="C205" t="s">
        <v>614</v>
      </c>
      <c r="D205" t="s">
        <v>4038</v>
      </c>
      <c r="E205" t="s">
        <v>3251</v>
      </c>
      <c r="H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`idcontrato_individual`='MIG194';</v>
      </c>
    </row>
    <row r="206" spans="1:8" x14ac:dyDescent="0.25">
      <c r="A206">
        <v>1</v>
      </c>
      <c r="B206" t="s">
        <v>4037</v>
      </c>
      <c r="C206" t="s">
        <v>616</v>
      </c>
      <c r="D206" t="s">
        <v>4038</v>
      </c>
      <c r="E206" t="s">
        <v>3247</v>
      </c>
      <c r="H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`idcontrato_individual`='MIG195';</v>
      </c>
    </row>
    <row r="207" spans="1:8" x14ac:dyDescent="0.25">
      <c r="A207">
        <v>1</v>
      </c>
      <c r="B207" t="s">
        <v>4037</v>
      </c>
      <c r="C207" t="s">
        <v>618</v>
      </c>
      <c r="D207" t="s">
        <v>4038</v>
      </c>
      <c r="E207" t="s">
        <v>3251</v>
      </c>
      <c r="H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`idcontrato_individual`='MIG196';</v>
      </c>
    </row>
    <row r="208" spans="1:8" hidden="1" x14ac:dyDescent="0.25">
      <c r="A208">
        <v>0</v>
      </c>
      <c r="B208" t="s">
        <v>4125</v>
      </c>
      <c r="C208" t="s">
        <v>4036</v>
      </c>
      <c r="H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" spans="1:8" x14ac:dyDescent="0.25">
      <c r="A209">
        <v>1</v>
      </c>
      <c r="B209" t="s">
        <v>4037</v>
      </c>
      <c r="C209" t="s">
        <v>623</v>
      </c>
      <c r="D209" t="s">
        <v>4038</v>
      </c>
      <c r="E209" t="s">
        <v>3124</v>
      </c>
      <c r="H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`idcontrato_individual`='MIG198';</v>
      </c>
    </row>
    <row r="210" spans="1:8" x14ac:dyDescent="0.25">
      <c r="A210">
        <v>1</v>
      </c>
      <c r="B210" t="s">
        <v>4037</v>
      </c>
      <c r="C210" t="s">
        <v>623</v>
      </c>
      <c r="D210" t="s">
        <v>4038</v>
      </c>
      <c r="E210" t="s">
        <v>3253</v>
      </c>
      <c r="H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`idcontrato_individual`='MIG198';</v>
      </c>
    </row>
    <row r="211" spans="1:8" x14ac:dyDescent="0.25">
      <c r="A211">
        <v>1</v>
      </c>
      <c r="B211" t="s">
        <v>4037</v>
      </c>
      <c r="C211" t="s">
        <v>626</v>
      </c>
      <c r="D211" t="s">
        <v>4038</v>
      </c>
      <c r="E211" t="s">
        <v>3221</v>
      </c>
      <c r="H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`idcontrato_individual`='MIG199';</v>
      </c>
    </row>
    <row r="212" spans="1:8" x14ac:dyDescent="0.25">
      <c r="A212">
        <v>1</v>
      </c>
      <c r="B212" t="s">
        <v>4037</v>
      </c>
      <c r="C212" t="s">
        <v>628</v>
      </c>
      <c r="D212" t="s">
        <v>4038</v>
      </c>
      <c r="E212" t="s">
        <v>3241</v>
      </c>
      <c r="H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`idcolonia`='localidadmigrada213' WHERE  `idcontrato_individual`='MIG200';</v>
      </c>
    </row>
    <row r="213" spans="1:8" hidden="1" x14ac:dyDescent="0.25">
      <c r="A213">
        <v>0</v>
      </c>
      <c r="B213" t="s">
        <v>4126</v>
      </c>
      <c r="C213" t="s">
        <v>4036</v>
      </c>
      <c r="H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" spans="1:8" x14ac:dyDescent="0.25">
      <c r="A214">
        <v>1</v>
      </c>
      <c r="B214" t="s">
        <v>4037</v>
      </c>
      <c r="C214" t="s">
        <v>633</v>
      </c>
      <c r="D214" t="s">
        <v>4038</v>
      </c>
      <c r="E214" t="s">
        <v>3257</v>
      </c>
      <c r="H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`idcontrato_individual`='MIG202';</v>
      </c>
    </row>
    <row r="215" spans="1:8" hidden="1" x14ac:dyDescent="0.25">
      <c r="A215">
        <v>0</v>
      </c>
      <c r="B215" t="s">
        <v>4127</v>
      </c>
      <c r="C215" t="s">
        <v>4036</v>
      </c>
      <c r="H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" spans="1:8" x14ac:dyDescent="0.25">
      <c r="A216">
        <v>1</v>
      </c>
      <c r="B216" t="s">
        <v>4037</v>
      </c>
      <c r="C216" t="s">
        <v>638</v>
      </c>
      <c r="D216" t="s">
        <v>4038</v>
      </c>
      <c r="E216" t="s">
        <v>3251</v>
      </c>
      <c r="H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`idcontrato_individual`='MIG204';</v>
      </c>
    </row>
    <row r="217" spans="1:8" x14ac:dyDescent="0.25">
      <c r="A217">
        <v>1</v>
      </c>
      <c r="B217" t="s">
        <v>4037</v>
      </c>
      <c r="C217" t="s">
        <v>640</v>
      </c>
      <c r="D217" t="s">
        <v>4038</v>
      </c>
      <c r="E217" t="s">
        <v>3251</v>
      </c>
      <c r="H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`idcontrato_individual`='MIG205';</v>
      </c>
    </row>
    <row r="218" spans="1:8" hidden="1" x14ac:dyDescent="0.25">
      <c r="A218">
        <v>0</v>
      </c>
      <c r="B218" t="s">
        <v>4128</v>
      </c>
      <c r="C218" t="s">
        <v>4036</v>
      </c>
      <c r="H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" spans="1:8" hidden="1" x14ac:dyDescent="0.25">
      <c r="A219">
        <v>0</v>
      </c>
      <c r="B219" t="s">
        <v>4129</v>
      </c>
      <c r="C219" t="s">
        <v>4036</v>
      </c>
      <c r="H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" spans="1:8" hidden="1" x14ac:dyDescent="0.25">
      <c r="A220">
        <v>0</v>
      </c>
      <c r="B220" t="s">
        <v>4130</v>
      </c>
      <c r="C220" t="s">
        <v>4036</v>
      </c>
      <c r="H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" spans="1:8" hidden="1" x14ac:dyDescent="0.25">
      <c r="A221">
        <v>0</v>
      </c>
      <c r="B221" t="s">
        <v>4131</v>
      </c>
      <c r="C221" t="s">
        <v>4036</v>
      </c>
      <c r="H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" spans="1:8" hidden="1" x14ac:dyDescent="0.25">
      <c r="A222">
        <v>0</v>
      </c>
      <c r="B222" t="s">
        <v>4132</v>
      </c>
      <c r="C222" t="s">
        <v>4036</v>
      </c>
      <c r="H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" spans="1:8" hidden="1" x14ac:dyDescent="0.25">
      <c r="A223">
        <v>0</v>
      </c>
      <c r="B223" t="s">
        <v>4133</v>
      </c>
      <c r="C223" t="s">
        <v>4036</v>
      </c>
      <c r="H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" spans="1:8" hidden="1" x14ac:dyDescent="0.25">
      <c r="A224">
        <v>0</v>
      </c>
      <c r="B224" t="s">
        <v>4134</v>
      </c>
      <c r="C224" t="s">
        <v>4036</v>
      </c>
      <c r="H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" spans="1:8" hidden="1" x14ac:dyDescent="0.25">
      <c r="A225">
        <v>0</v>
      </c>
      <c r="B225" t="s">
        <v>4135</v>
      </c>
      <c r="C225" t="s">
        <v>4036</v>
      </c>
      <c r="H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" spans="1:8" x14ac:dyDescent="0.25">
      <c r="A226">
        <v>1</v>
      </c>
      <c r="B226" t="s">
        <v>4037</v>
      </c>
      <c r="C226" t="s">
        <v>671</v>
      </c>
      <c r="D226" t="s">
        <v>4038</v>
      </c>
      <c r="E226" t="s">
        <v>3602</v>
      </c>
      <c r="H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`idcontrato_individual`='MIG214';</v>
      </c>
    </row>
    <row r="227" spans="1:8" hidden="1" x14ac:dyDescent="0.25">
      <c r="A227">
        <v>0</v>
      </c>
      <c r="B227" t="s">
        <v>4136</v>
      </c>
      <c r="C227" t="s">
        <v>4036</v>
      </c>
      <c r="H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" spans="1:8" hidden="1" x14ac:dyDescent="0.25">
      <c r="A228">
        <v>0</v>
      </c>
      <c r="B228" t="s">
        <v>4137</v>
      </c>
      <c r="C228" t="s">
        <v>4036</v>
      </c>
      <c r="H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" spans="1:8" hidden="1" x14ac:dyDescent="0.25">
      <c r="A229">
        <v>0</v>
      </c>
      <c r="B229" t="s">
        <v>4138</v>
      </c>
      <c r="C229" t="s">
        <v>4036</v>
      </c>
      <c r="H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" spans="1:8" hidden="1" x14ac:dyDescent="0.25">
      <c r="A230">
        <v>0</v>
      </c>
      <c r="B230" t="s">
        <v>4139</v>
      </c>
      <c r="C230" t="s">
        <v>4036</v>
      </c>
      <c r="H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" spans="1:8" x14ac:dyDescent="0.25">
      <c r="A231">
        <v>1</v>
      </c>
      <c r="B231" t="s">
        <v>4037</v>
      </c>
      <c r="C231" t="s">
        <v>686</v>
      </c>
      <c r="D231" t="s">
        <v>4038</v>
      </c>
      <c r="E231" t="s">
        <v>3573</v>
      </c>
      <c r="H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`idcontrato_individual`='MIG219';</v>
      </c>
    </row>
    <row r="232" spans="1:8" x14ac:dyDescent="0.25">
      <c r="A232">
        <v>1</v>
      </c>
      <c r="B232" t="s">
        <v>4037</v>
      </c>
      <c r="C232" t="s">
        <v>689</v>
      </c>
      <c r="D232" t="s">
        <v>4038</v>
      </c>
      <c r="E232" t="s">
        <v>3573</v>
      </c>
      <c r="H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`idcontrato_individual`='MIG220';</v>
      </c>
    </row>
    <row r="233" spans="1:8" hidden="1" x14ac:dyDescent="0.25">
      <c r="A233">
        <v>0</v>
      </c>
      <c r="B233" t="s">
        <v>4140</v>
      </c>
      <c r="C233" t="s">
        <v>4036</v>
      </c>
      <c r="H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" spans="1:8" hidden="1" x14ac:dyDescent="0.25">
      <c r="A234">
        <v>0</v>
      </c>
      <c r="B234" t="s">
        <v>4141</v>
      </c>
      <c r="C234" t="s">
        <v>4036</v>
      </c>
      <c r="H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" spans="1:8" x14ac:dyDescent="0.25">
      <c r="A235">
        <v>1</v>
      </c>
      <c r="B235" t="s">
        <v>4037</v>
      </c>
      <c r="C235" t="s">
        <v>696</v>
      </c>
      <c r="D235" t="s">
        <v>4038</v>
      </c>
      <c r="E235" t="s">
        <v>3566</v>
      </c>
      <c r="H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`idcontrato_individual`='MIG223';</v>
      </c>
    </row>
    <row r="236" spans="1:8" hidden="1" x14ac:dyDescent="0.25">
      <c r="A236">
        <v>0</v>
      </c>
      <c r="B236" t="s">
        <v>4142</v>
      </c>
      <c r="C236" t="s">
        <v>4036</v>
      </c>
      <c r="H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" spans="1:8" x14ac:dyDescent="0.25">
      <c r="A237">
        <v>1</v>
      </c>
      <c r="B237" t="s">
        <v>4037</v>
      </c>
      <c r="C237" t="s">
        <v>702</v>
      </c>
      <c r="D237" t="s">
        <v>4038</v>
      </c>
      <c r="E237" t="s">
        <v>3566</v>
      </c>
      <c r="H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`idcontrato_individual`='MIG225';</v>
      </c>
    </row>
    <row r="238" spans="1:8" x14ac:dyDescent="0.25">
      <c r="A238">
        <v>1</v>
      </c>
      <c r="B238" t="s">
        <v>4037</v>
      </c>
      <c r="C238" t="s">
        <v>703</v>
      </c>
      <c r="D238" t="s">
        <v>4038</v>
      </c>
      <c r="E238" t="s">
        <v>3602</v>
      </c>
      <c r="H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`idcontrato_individual`='MIG226';</v>
      </c>
    </row>
    <row r="239" spans="1:8" hidden="1" x14ac:dyDescent="0.25">
      <c r="A239">
        <v>0</v>
      </c>
      <c r="B239" t="s">
        <v>4143</v>
      </c>
      <c r="C239" t="s">
        <v>4036</v>
      </c>
      <c r="H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" spans="1:8" x14ac:dyDescent="0.25">
      <c r="A240">
        <v>1</v>
      </c>
      <c r="B240" t="s">
        <v>4037</v>
      </c>
      <c r="C240" t="s">
        <v>709</v>
      </c>
      <c r="D240" t="s">
        <v>4038</v>
      </c>
      <c r="E240" t="s">
        <v>3555</v>
      </c>
      <c r="H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`idcontrato_individual`='MIG228';</v>
      </c>
    </row>
    <row r="241" spans="1:8" x14ac:dyDescent="0.25">
      <c r="A241">
        <v>1</v>
      </c>
      <c r="B241" t="s">
        <v>4037</v>
      </c>
      <c r="C241" t="s">
        <v>712</v>
      </c>
      <c r="D241" t="s">
        <v>4038</v>
      </c>
      <c r="E241" t="s">
        <v>3593</v>
      </c>
      <c r="H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`idcontrato_individual`='MIG229';</v>
      </c>
    </row>
    <row r="242" spans="1:8" x14ac:dyDescent="0.25">
      <c r="A242">
        <v>1</v>
      </c>
      <c r="B242" t="s">
        <v>4037</v>
      </c>
      <c r="C242" t="s">
        <v>714</v>
      </c>
      <c r="D242" t="s">
        <v>4038</v>
      </c>
      <c r="E242" t="s">
        <v>3593</v>
      </c>
      <c r="H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`idcontrato_individual`='MIG230';</v>
      </c>
    </row>
    <row r="243" spans="1:8" x14ac:dyDescent="0.25">
      <c r="A243">
        <v>1</v>
      </c>
      <c r="B243" t="s">
        <v>4037</v>
      </c>
      <c r="C243" t="s">
        <v>716</v>
      </c>
      <c r="D243" t="s">
        <v>4038</v>
      </c>
      <c r="E243" t="s">
        <v>3593</v>
      </c>
      <c r="H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`idcontrato_individual`='MIG231';</v>
      </c>
    </row>
    <row r="244" spans="1:8" x14ac:dyDescent="0.25">
      <c r="A244">
        <v>1</v>
      </c>
      <c r="B244" t="s">
        <v>4037</v>
      </c>
      <c r="C244" t="s">
        <v>718</v>
      </c>
      <c r="D244" t="s">
        <v>4038</v>
      </c>
      <c r="E244" t="s">
        <v>3602</v>
      </c>
      <c r="H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`idcontrato_individual`='MIG232';</v>
      </c>
    </row>
    <row r="245" spans="1:8" hidden="1" x14ac:dyDescent="0.25">
      <c r="A245">
        <v>0</v>
      </c>
      <c r="B245" t="s">
        <v>4144</v>
      </c>
      <c r="C245" t="s">
        <v>4036</v>
      </c>
      <c r="H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" spans="1:8" hidden="1" x14ac:dyDescent="0.25">
      <c r="A246">
        <v>0</v>
      </c>
      <c r="B246" t="s">
        <v>4145</v>
      </c>
      <c r="C246" t="s">
        <v>4036</v>
      </c>
      <c r="H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" spans="1:8" x14ac:dyDescent="0.25">
      <c r="A247">
        <v>1</v>
      </c>
      <c r="B247" t="s">
        <v>4037</v>
      </c>
      <c r="C247" t="s">
        <v>730</v>
      </c>
      <c r="D247" t="s">
        <v>4038</v>
      </c>
      <c r="E247" t="s">
        <v>3555</v>
      </c>
      <c r="H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`idcontrato_individual`='MIG235';</v>
      </c>
    </row>
    <row r="248" spans="1:8" x14ac:dyDescent="0.25">
      <c r="A248">
        <v>1</v>
      </c>
      <c r="B248" t="s">
        <v>4037</v>
      </c>
      <c r="C248" t="s">
        <v>733</v>
      </c>
      <c r="D248" t="s">
        <v>4038</v>
      </c>
      <c r="E248" t="s">
        <v>3555</v>
      </c>
      <c r="H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`idcontrato_individual`='MIG236';</v>
      </c>
    </row>
    <row r="249" spans="1:8" x14ac:dyDescent="0.25">
      <c r="A249">
        <v>1</v>
      </c>
      <c r="B249" t="s">
        <v>4037</v>
      </c>
      <c r="C249" t="s">
        <v>736</v>
      </c>
      <c r="D249" t="s">
        <v>4038</v>
      </c>
      <c r="E249" t="s">
        <v>3555</v>
      </c>
      <c r="H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`idcontrato_individual`='MIG237';</v>
      </c>
    </row>
    <row r="250" spans="1:8" hidden="1" x14ac:dyDescent="0.25">
      <c r="A250">
        <v>0</v>
      </c>
      <c r="B250" t="s">
        <v>4146</v>
      </c>
      <c r="C250" t="s">
        <v>4036</v>
      </c>
      <c r="H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1" spans="1:8" hidden="1" x14ac:dyDescent="0.25">
      <c r="A251">
        <v>0</v>
      </c>
      <c r="B251" t="s">
        <v>4147</v>
      </c>
      <c r="C251" t="s">
        <v>4036</v>
      </c>
      <c r="H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2" spans="1:8" hidden="1" x14ac:dyDescent="0.25">
      <c r="A252">
        <v>0</v>
      </c>
      <c r="B252" t="s">
        <v>4148</v>
      </c>
      <c r="C252" t="s">
        <v>4036</v>
      </c>
      <c r="H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3" spans="1:8" hidden="1" x14ac:dyDescent="0.25">
      <c r="A253">
        <v>0</v>
      </c>
      <c r="B253" t="s">
        <v>4149</v>
      </c>
      <c r="C253" t="s">
        <v>4036</v>
      </c>
      <c r="H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4" spans="1:8" x14ac:dyDescent="0.25">
      <c r="A254">
        <v>1</v>
      </c>
      <c r="B254" t="s">
        <v>4037</v>
      </c>
      <c r="C254" t="s">
        <v>749</v>
      </c>
      <c r="D254" t="s">
        <v>4038</v>
      </c>
      <c r="E254" t="s">
        <v>3566</v>
      </c>
      <c r="H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`idcontrato_individual`='MIG242';</v>
      </c>
    </row>
    <row r="255" spans="1:8" hidden="1" x14ac:dyDescent="0.25">
      <c r="A255">
        <v>0</v>
      </c>
      <c r="B255" t="s">
        <v>4150</v>
      </c>
      <c r="C255" t="s">
        <v>4036</v>
      </c>
      <c r="H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6" spans="1:8" x14ac:dyDescent="0.25">
      <c r="A256">
        <v>1</v>
      </c>
      <c r="B256" t="s">
        <v>4037</v>
      </c>
      <c r="C256" t="s">
        <v>754</v>
      </c>
      <c r="D256" t="s">
        <v>4038</v>
      </c>
      <c r="E256" t="s">
        <v>3593</v>
      </c>
      <c r="H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`idcontrato_individual`='MIG244';</v>
      </c>
    </row>
    <row r="257" spans="1:8" x14ac:dyDescent="0.25">
      <c r="A257">
        <v>1</v>
      </c>
      <c r="B257" t="s">
        <v>4037</v>
      </c>
      <c r="C257" t="s">
        <v>756</v>
      </c>
      <c r="D257" t="s">
        <v>4038</v>
      </c>
      <c r="E257" t="s">
        <v>3566</v>
      </c>
      <c r="H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`idcontrato_individual`='MIG245';</v>
      </c>
    </row>
    <row r="258" spans="1:8" x14ac:dyDescent="0.25">
      <c r="A258">
        <v>1</v>
      </c>
      <c r="B258" t="s">
        <v>4037</v>
      </c>
      <c r="C258" t="s">
        <v>758</v>
      </c>
      <c r="D258" t="s">
        <v>4038</v>
      </c>
      <c r="E258" t="s">
        <v>3556</v>
      </c>
      <c r="H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`idcolonia`='localidadmigrada528' WHERE  `idcontrato_individual`='MIG246';</v>
      </c>
    </row>
    <row r="259" spans="1:8" x14ac:dyDescent="0.25">
      <c r="A259">
        <v>1</v>
      </c>
      <c r="B259" t="s">
        <v>4037</v>
      </c>
      <c r="C259" t="s">
        <v>760</v>
      </c>
      <c r="D259" t="s">
        <v>4038</v>
      </c>
      <c r="E259" t="s">
        <v>3602</v>
      </c>
      <c r="H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`idcontrato_individual`='MIG247';</v>
      </c>
    </row>
    <row r="260" spans="1:8" x14ac:dyDescent="0.25">
      <c r="A260">
        <v>1</v>
      </c>
      <c r="B260" t="s">
        <v>4037</v>
      </c>
      <c r="C260" t="s">
        <v>763</v>
      </c>
      <c r="D260" t="s">
        <v>4038</v>
      </c>
      <c r="E260" t="s">
        <v>3566</v>
      </c>
      <c r="H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`idcontrato_individual`='MIG248';</v>
      </c>
    </row>
    <row r="261" spans="1:8" hidden="1" x14ac:dyDescent="0.25">
      <c r="A261">
        <v>0</v>
      </c>
      <c r="B261" t="s">
        <v>4151</v>
      </c>
      <c r="C261" t="s">
        <v>4036</v>
      </c>
      <c r="H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2" spans="1:8" hidden="1" x14ac:dyDescent="0.25">
      <c r="A262">
        <v>0</v>
      </c>
      <c r="B262" t="s">
        <v>4152</v>
      </c>
      <c r="C262" t="s">
        <v>4036</v>
      </c>
      <c r="H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3" spans="1:8" x14ac:dyDescent="0.25">
      <c r="A263">
        <v>1</v>
      </c>
      <c r="B263" t="s">
        <v>4037</v>
      </c>
      <c r="C263" t="s">
        <v>768</v>
      </c>
      <c r="D263" t="s">
        <v>4038</v>
      </c>
      <c r="E263" t="s">
        <v>3566</v>
      </c>
      <c r="H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`idcontrato_individual`='MIG251';</v>
      </c>
    </row>
    <row r="264" spans="1:8" hidden="1" x14ac:dyDescent="0.25">
      <c r="A264">
        <v>0</v>
      </c>
      <c r="B264" t="s">
        <v>4153</v>
      </c>
      <c r="C264" t="s">
        <v>4036</v>
      </c>
      <c r="H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5" spans="1:8" x14ac:dyDescent="0.25">
      <c r="A265">
        <v>1</v>
      </c>
      <c r="B265" t="s">
        <v>4037</v>
      </c>
      <c r="C265" t="s">
        <v>774</v>
      </c>
      <c r="D265" t="s">
        <v>4038</v>
      </c>
      <c r="E265" t="s">
        <v>3601</v>
      </c>
      <c r="H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`idcontrato_individual`='MIG253';</v>
      </c>
    </row>
    <row r="266" spans="1:8" hidden="1" x14ac:dyDescent="0.25">
      <c r="A266">
        <v>0</v>
      </c>
      <c r="B266" t="s">
        <v>4154</v>
      </c>
      <c r="C266" t="s">
        <v>4036</v>
      </c>
      <c r="H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7" spans="1:8" hidden="1" x14ac:dyDescent="0.25">
      <c r="A267">
        <v>0</v>
      </c>
      <c r="B267" t="s">
        <v>4155</v>
      </c>
      <c r="C267" t="s">
        <v>4036</v>
      </c>
      <c r="H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8" spans="1:8" x14ac:dyDescent="0.25">
      <c r="A268">
        <v>1</v>
      </c>
      <c r="B268" t="s">
        <v>4037</v>
      </c>
      <c r="C268" t="s">
        <v>779</v>
      </c>
      <c r="D268" t="s">
        <v>4038</v>
      </c>
      <c r="E268" t="s">
        <v>3553</v>
      </c>
      <c r="H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`idcontrato_individual`='MIG256';</v>
      </c>
    </row>
    <row r="269" spans="1:8" x14ac:dyDescent="0.25">
      <c r="A269">
        <v>1</v>
      </c>
      <c r="B269" t="s">
        <v>4037</v>
      </c>
      <c r="C269" t="s">
        <v>784</v>
      </c>
      <c r="D269" t="s">
        <v>4038</v>
      </c>
      <c r="E269" t="s">
        <v>3590</v>
      </c>
      <c r="H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`idcontrato_individual`='MIG257';</v>
      </c>
    </row>
    <row r="270" spans="1:8" x14ac:dyDescent="0.25">
      <c r="A270">
        <v>1</v>
      </c>
      <c r="B270" t="s">
        <v>4037</v>
      </c>
      <c r="C270" t="s">
        <v>787</v>
      </c>
      <c r="D270" t="s">
        <v>4038</v>
      </c>
      <c r="E270" t="s">
        <v>3582</v>
      </c>
      <c r="H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`idcontrato_individual`='MIG258';</v>
      </c>
    </row>
    <row r="271" spans="1:8" x14ac:dyDescent="0.25">
      <c r="A271">
        <v>1</v>
      </c>
      <c r="B271" t="s">
        <v>4037</v>
      </c>
      <c r="C271" t="s">
        <v>790</v>
      </c>
      <c r="D271" t="s">
        <v>4038</v>
      </c>
      <c r="E271" t="s">
        <v>3582</v>
      </c>
      <c r="H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`idcontrato_individual`='MIG259';</v>
      </c>
    </row>
    <row r="272" spans="1:8" hidden="1" x14ac:dyDescent="0.25">
      <c r="A272">
        <v>0</v>
      </c>
      <c r="B272" t="s">
        <v>4156</v>
      </c>
      <c r="C272" t="s">
        <v>4036</v>
      </c>
      <c r="H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3" spans="1:8" x14ac:dyDescent="0.25">
      <c r="A273">
        <v>1</v>
      </c>
      <c r="B273" t="s">
        <v>4037</v>
      </c>
      <c r="C273" t="s">
        <v>795</v>
      </c>
      <c r="D273" t="s">
        <v>4038</v>
      </c>
      <c r="E273" t="s">
        <v>3590</v>
      </c>
      <c r="H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`idcontrato_individual`='MIG261';</v>
      </c>
    </row>
    <row r="274" spans="1:8" x14ac:dyDescent="0.25">
      <c r="A274">
        <v>1</v>
      </c>
      <c r="B274" t="s">
        <v>4037</v>
      </c>
      <c r="C274" t="s">
        <v>796</v>
      </c>
      <c r="D274" t="s">
        <v>4038</v>
      </c>
      <c r="E274" t="s">
        <v>3602</v>
      </c>
      <c r="H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`idcontrato_individual`='MIG262';</v>
      </c>
    </row>
    <row r="275" spans="1:8" hidden="1" x14ac:dyDescent="0.25">
      <c r="A275">
        <v>0</v>
      </c>
      <c r="B275" t="s">
        <v>4157</v>
      </c>
      <c r="C275" t="s">
        <v>4036</v>
      </c>
      <c r="H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6" spans="1:8" hidden="1" x14ac:dyDescent="0.25">
      <c r="A276">
        <v>0</v>
      </c>
      <c r="B276" t="s">
        <v>4158</v>
      </c>
      <c r="C276" t="s">
        <v>4036</v>
      </c>
      <c r="H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7" spans="1:8" x14ac:dyDescent="0.25">
      <c r="A277">
        <v>1</v>
      </c>
      <c r="B277" t="s">
        <v>4037</v>
      </c>
      <c r="C277" t="s">
        <v>803</v>
      </c>
      <c r="D277" t="s">
        <v>4038</v>
      </c>
      <c r="E277" t="s">
        <v>3593</v>
      </c>
      <c r="H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`idcontrato_individual`='MIG265';</v>
      </c>
    </row>
    <row r="278" spans="1:8" hidden="1" x14ac:dyDescent="0.25">
      <c r="A278">
        <v>0</v>
      </c>
      <c r="B278" t="s">
        <v>4159</v>
      </c>
      <c r="C278" t="s">
        <v>4036</v>
      </c>
      <c r="H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9" spans="1:8" hidden="1" x14ac:dyDescent="0.25">
      <c r="A279">
        <v>0</v>
      </c>
      <c r="B279" t="s">
        <v>4160</v>
      </c>
      <c r="C279" t="s">
        <v>4036</v>
      </c>
      <c r="H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0" spans="1:8" hidden="1" x14ac:dyDescent="0.25">
      <c r="A280">
        <v>0</v>
      </c>
      <c r="B280" t="s">
        <v>4161</v>
      </c>
      <c r="C280" t="s">
        <v>4036</v>
      </c>
      <c r="H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1" spans="1:8" hidden="1" x14ac:dyDescent="0.25">
      <c r="A281">
        <v>0</v>
      </c>
      <c r="B281" t="s">
        <v>4162</v>
      </c>
      <c r="C281" t="s">
        <v>4036</v>
      </c>
      <c r="H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2" spans="1:8" hidden="1" x14ac:dyDescent="0.25">
      <c r="A282">
        <v>0</v>
      </c>
      <c r="B282" t="s">
        <v>4163</v>
      </c>
      <c r="C282" t="s">
        <v>4036</v>
      </c>
      <c r="H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3" spans="1:8" hidden="1" x14ac:dyDescent="0.25">
      <c r="A283">
        <v>0</v>
      </c>
      <c r="B283" t="s">
        <v>4164</v>
      </c>
      <c r="C283" t="s">
        <v>4036</v>
      </c>
      <c r="H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4" spans="1:8" hidden="1" x14ac:dyDescent="0.25">
      <c r="A284">
        <v>0</v>
      </c>
      <c r="B284" t="s">
        <v>4165</v>
      </c>
      <c r="C284" t="s">
        <v>4036</v>
      </c>
      <c r="H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5" spans="1:8" hidden="1" x14ac:dyDescent="0.25">
      <c r="A285">
        <v>0</v>
      </c>
      <c r="B285" t="s">
        <v>4166</v>
      </c>
      <c r="C285" t="s">
        <v>4036</v>
      </c>
      <c r="H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6" spans="1:8" hidden="1" x14ac:dyDescent="0.25">
      <c r="A286">
        <v>0</v>
      </c>
      <c r="B286" t="s">
        <v>4167</v>
      </c>
      <c r="C286" t="s">
        <v>4036</v>
      </c>
      <c r="H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7" spans="1:8" hidden="1" x14ac:dyDescent="0.25">
      <c r="A287">
        <v>0</v>
      </c>
      <c r="B287" t="s">
        <v>4168</v>
      </c>
      <c r="C287" t="s">
        <v>4036</v>
      </c>
      <c r="H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8" spans="1:8" hidden="1" x14ac:dyDescent="0.25">
      <c r="A288">
        <v>0</v>
      </c>
      <c r="B288" t="s">
        <v>4169</v>
      </c>
      <c r="C288" t="s">
        <v>4036</v>
      </c>
      <c r="H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9" spans="1:8" hidden="1" x14ac:dyDescent="0.25">
      <c r="A289">
        <v>0</v>
      </c>
      <c r="B289" t="s">
        <v>4170</v>
      </c>
      <c r="C289" t="s">
        <v>4036</v>
      </c>
      <c r="H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0" spans="1:8" hidden="1" x14ac:dyDescent="0.25">
      <c r="A290">
        <v>0</v>
      </c>
      <c r="B290" t="s">
        <v>4171</v>
      </c>
      <c r="C290" t="s">
        <v>4036</v>
      </c>
      <c r="H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1" spans="1:8" hidden="1" x14ac:dyDescent="0.25">
      <c r="A291">
        <v>0</v>
      </c>
      <c r="B291" t="s">
        <v>4172</v>
      </c>
      <c r="C291" t="s">
        <v>4036</v>
      </c>
      <c r="H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2" spans="1:8" hidden="1" x14ac:dyDescent="0.25">
      <c r="A292">
        <v>0</v>
      </c>
      <c r="B292" t="s">
        <v>4173</v>
      </c>
      <c r="C292" t="s">
        <v>4036</v>
      </c>
      <c r="H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3" spans="1:8" hidden="1" x14ac:dyDescent="0.25">
      <c r="A293">
        <v>0</v>
      </c>
      <c r="B293" t="s">
        <v>4174</v>
      </c>
      <c r="C293" t="s">
        <v>4036</v>
      </c>
      <c r="H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4" spans="1:8" hidden="1" x14ac:dyDescent="0.25">
      <c r="A294">
        <v>0</v>
      </c>
      <c r="B294" t="s">
        <v>4175</v>
      </c>
      <c r="C294" t="s">
        <v>4036</v>
      </c>
      <c r="H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5" spans="1:8" hidden="1" x14ac:dyDescent="0.25">
      <c r="A295">
        <v>0</v>
      </c>
      <c r="B295" t="s">
        <v>4176</v>
      </c>
      <c r="C295" t="s">
        <v>4036</v>
      </c>
      <c r="H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6" spans="1:8" hidden="1" x14ac:dyDescent="0.25">
      <c r="A296">
        <v>0</v>
      </c>
      <c r="B296" t="s">
        <v>4177</v>
      </c>
      <c r="C296" t="s">
        <v>4036</v>
      </c>
      <c r="H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7" spans="1:8" hidden="1" x14ac:dyDescent="0.25">
      <c r="A297">
        <v>0</v>
      </c>
      <c r="B297" t="s">
        <v>4178</v>
      </c>
      <c r="C297" t="s">
        <v>4036</v>
      </c>
      <c r="H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8" spans="1:8" hidden="1" x14ac:dyDescent="0.25">
      <c r="A298">
        <v>0</v>
      </c>
      <c r="B298" t="s">
        <v>4179</v>
      </c>
      <c r="C298" t="s">
        <v>4036</v>
      </c>
      <c r="H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9" spans="1:8" hidden="1" x14ac:dyDescent="0.25">
      <c r="A299">
        <v>0</v>
      </c>
      <c r="B299" t="s">
        <v>4180</v>
      </c>
      <c r="C299" t="s">
        <v>4036</v>
      </c>
      <c r="H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0" spans="1:8" x14ac:dyDescent="0.25">
      <c r="A300">
        <v>1</v>
      </c>
      <c r="B300" t="s">
        <v>4037</v>
      </c>
      <c r="C300" t="s">
        <v>870</v>
      </c>
      <c r="D300" t="s">
        <v>4038</v>
      </c>
      <c r="E300" t="s">
        <v>3601</v>
      </c>
      <c r="H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`idcontrato_individual`='MIG288';</v>
      </c>
    </row>
    <row r="301" spans="1:8" hidden="1" x14ac:dyDescent="0.25">
      <c r="A301">
        <v>0</v>
      </c>
      <c r="B301" t="s">
        <v>4181</v>
      </c>
      <c r="C301" t="s">
        <v>4036</v>
      </c>
      <c r="H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2" spans="1:8" x14ac:dyDescent="0.25">
      <c r="A302">
        <v>1</v>
      </c>
      <c r="B302" t="s">
        <v>4037</v>
      </c>
      <c r="C302" t="s">
        <v>874</v>
      </c>
      <c r="D302" t="s">
        <v>4038</v>
      </c>
      <c r="E302" t="s">
        <v>3593</v>
      </c>
      <c r="H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`idcontrato_individual`='MIG290';</v>
      </c>
    </row>
    <row r="303" spans="1:8" hidden="1" x14ac:dyDescent="0.25">
      <c r="A303">
        <v>0</v>
      </c>
      <c r="B303" t="s">
        <v>4182</v>
      </c>
      <c r="C303" t="s">
        <v>4036</v>
      </c>
      <c r="H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4" spans="1:8" hidden="1" x14ac:dyDescent="0.25">
      <c r="A304">
        <v>0</v>
      </c>
      <c r="B304" t="s">
        <v>4183</v>
      </c>
      <c r="C304" t="s">
        <v>4036</v>
      </c>
      <c r="H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5" spans="1:8" hidden="1" x14ac:dyDescent="0.25">
      <c r="A305">
        <v>0</v>
      </c>
      <c r="B305" t="s">
        <v>4184</v>
      </c>
      <c r="C305" t="s">
        <v>4036</v>
      </c>
      <c r="H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6" spans="1:8" hidden="1" x14ac:dyDescent="0.25">
      <c r="A306">
        <v>0</v>
      </c>
      <c r="B306" t="s">
        <v>4185</v>
      </c>
      <c r="C306" t="s">
        <v>4036</v>
      </c>
      <c r="H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7" spans="1:8" hidden="1" x14ac:dyDescent="0.25">
      <c r="A307">
        <v>0</v>
      </c>
      <c r="B307" t="s">
        <v>4186</v>
      </c>
      <c r="C307" t="s">
        <v>4036</v>
      </c>
      <c r="H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8" spans="1:8" hidden="1" x14ac:dyDescent="0.25">
      <c r="A308">
        <v>0</v>
      </c>
      <c r="B308" t="s">
        <v>4187</v>
      </c>
      <c r="C308" t="s">
        <v>4036</v>
      </c>
      <c r="H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9" spans="1:8" x14ac:dyDescent="0.25">
      <c r="A309">
        <v>1</v>
      </c>
      <c r="B309" t="s">
        <v>4037</v>
      </c>
      <c r="C309" t="s">
        <v>892</v>
      </c>
      <c r="D309" t="s">
        <v>4038</v>
      </c>
      <c r="E309" t="s">
        <v>3582</v>
      </c>
      <c r="H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`idcontrato_individual`='MIG297';</v>
      </c>
    </row>
    <row r="310" spans="1:8" hidden="1" x14ac:dyDescent="0.25">
      <c r="A310">
        <v>0</v>
      </c>
      <c r="B310" t="s">
        <v>4188</v>
      </c>
      <c r="C310" t="s">
        <v>4036</v>
      </c>
      <c r="H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1" spans="1:8" hidden="1" x14ac:dyDescent="0.25">
      <c r="A311">
        <v>0</v>
      </c>
      <c r="B311" t="s">
        <v>4189</v>
      </c>
      <c r="C311" t="s">
        <v>4036</v>
      </c>
      <c r="H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2" spans="1:8" hidden="1" x14ac:dyDescent="0.25">
      <c r="A312">
        <v>0</v>
      </c>
      <c r="B312" t="s">
        <v>4190</v>
      </c>
      <c r="C312" t="s">
        <v>4036</v>
      </c>
      <c r="H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3" spans="1:8" x14ac:dyDescent="0.25">
      <c r="A313">
        <v>1</v>
      </c>
      <c r="B313" t="s">
        <v>4037</v>
      </c>
      <c r="C313" t="s">
        <v>901</v>
      </c>
      <c r="D313" t="s">
        <v>4038</v>
      </c>
      <c r="E313" t="s">
        <v>3592</v>
      </c>
      <c r="H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`idcolonia`='localidadmigrada564' WHERE  `idcontrato_individual`='MIG301';</v>
      </c>
    </row>
    <row r="314" spans="1:8" hidden="1" x14ac:dyDescent="0.25">
      <c r="A314">
        <v>0</v>
      </c>
      <c r="B314" t="s">
        <v>4191</v>
      </c>
      <c r="C314" t="s">
        <v>4036</v>
      </c>
      <c r="H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5" spans="1:8" hidden="1" x14ac:dyDescent="0.25">
      <c r="A315">
        <v>0</v>
      </c>
      <c r="B315" t="s">
        <v>4192</v>
      </c>
      <c r="C315" t="s">
        <v>4036</v>
      </c>
      <c r="H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6" spans="1:8" hidden="1" x14ac:dyDescent="0.25">
      <c r="A316">
        <v>0</v>
      </c>
      <c r="B316" t="s">
        <v>4193</v>
      </c>
      <c r="C316" t="s">
        <v>4036</v>
      </c>
      <c r="H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7" spans="1:8" hidden="1" x14ac:dyDescent="0.25">
      <c r="A317">
        <v>0</v>
      </c>
      <c r="B317" t="s">
        <v>4194</v>
      </c>
      <c r="C317" t="s">
        <v>4036</v>
      </c>
      <c r="H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8" spans="1:8" hidden="1" x14ac:dyDescent="0.25">
      <c r="A318">
        <v>0</v>
      </c>
      <c r="B318" t="s">
        <v>4195</v>
      </c>
      <c r="C318" t="s">
        <v>4036</v>
      </c>
      <c r="H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9" spans="1:8" hidden="1" x14ac:dyDescent="0.25">
      <c r="A319">
        <v>0</v>
      </c>
      <c r="B319" t="s">
        <v>4196</v>
      </c>
      <c r="C319" t="s">
        <v>4036</v>
      </c>
      <c r="H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0" spans="1:8" hidden="1" x14ac:dyDescent="0.25">
      <c r="A320">
        <v>0</v>
      </c>
      <c r="B320" t="s">
        <v>4197</v>
      </c>
      <c r="C320" t="s">
        <v>4036</v>
      </c>
      <c r="H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1" spans="1:8" hidden="1" x14ac:dyDescent="0.25">
      <c r="A321">
        <v>0</v>
      </c>
      <c r="B321" t="s">
        <v>4198</v>
      </c>
      <c r="C321" t="s">
        <v>4036</v>
      </c>
      <c r="H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2" spans="1:8" hidden="1" x14ac:dyDescent="0.25">
      <c r="A322">
        <v>0</v>
      </c>
      <c r="B322" t="s">
        <v>4199</v>
      </c>
      <c r="C322" t="s">
        <v>4036</v>
      </c>
      <c r="H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3" spans="1:8" hidden="1" x14ac:dyDescent="0.25">
      <c r="A323">
        <v>0</v>
      </c>
      <c r="B323" t="s">
        <v>4200</v>
      </c>
      <c r="C323" t="s">
        <v>4036</v>
      </c>
      <c r="H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4" spans="1:8" hidden="1" x14ac:dyDescent="0.25">
      <c r="A324">
        <v>0</v>
      </c>
      <c r="B324" t="s">
        <v>4201</v>
      </c>
      <c r="C324" t="s">
        <v>4036</v>
      </c>
      <c r="H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5" spans="1:8" hidden="1" x14ac:dyDescent="0.25">
      <c r="A325">
        <v>0</v>
      </c>
      <c r="B325" t="s">
        <v>4202</v>
      </c>
      <c r="C325" t="s">
        <v>4036</v>
      </c>
      <c r="H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6" spans="1:8" hidden="1" x14ac:dyDescent="0.25">
      <c r="A326">
        <v>0</v>
      </c>
      <c r="B326" t="s">
        <v>4203</v>
      </c>
      <c r="C326" t="s">
        <v>4036</v>
      </c>
      <c r="H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7" spans="1:8" hidden="1" x14ac:dyDescent="0.25">
      <c r="A327">
        <v>0</v>
      </c>
      <c r="B327" t="s">
        <v>4204</v>
      </c>
      <c r="C327" t="s">
        <v>4036</v>
      </c>
      <c r="H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8" spans="1:8" hidden="1" x14ac:dyDescent="0.25">
      <c r="A328">
        <v>0</v>
      </c>
      <c r="B328" t="s">
        <v>4205</v>
      </c>
      <c r="C328" t="s">
        <v>4036</v>
      </c>
      <c r="H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9" spans="1:8" x14ac:dyDescent="0.25">
      <c r="A329">
        <v>1</v>
      </c>
      <c r="B329" t="s">
        <v>4037</v>
      </c>
      <c r="C329" t="s">
        <v>940</v>
      </c>
      <c r="D329" t="s">
        <v>4038</v>
      </c>
      <c r="E329" t="s">
        <v>3553</v>
      </c>
      <c r="H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`idcontrato_individual`='MIG317';</v>
      </c>
    </row>
    <row r="330" spans="1:8" x14ac:dyDescent="0.25">
      <c r="A330">
        <v>1</v>
      </c>
      <c r="B330" t="s">
        <v>4037</v>
      </c>
      <c r="C330" t="s">
        <v>942</v>
      </c>
      <c r="D330" t="s">
        <v>4038</v>
      </c>
      <c r="E330" t="s">
        <v>3553</v>
      </c>
      <c r="H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`idcontrato_individual`='MIG318';</v>
      </c>
    </row>
    <row r="331" spans="1:8" x14ac:dyDescent="0.25">
      <c r="A331">
        <v>1</v>
      </c>
      <c r="B331" t="s">
        <v>4037</v>
      </c>
      <c r="C331" t="s">
        <v>944</v>
      </c>
      <c r="D331" t="s">
        <v>4038</v>
      </c>
      <c r="E331" t="s">
        <v>3553</v>
      </c>
      <c r="H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`idcontrato_individual`='MIG319';</v>
      </c>
    </row>
    <row r="332" spans="1:8" hidden="1" x14ac:dyDescent="0.25">
      <c r="A332">
        <v>0</v>
      </c>
      <c r="B332" t="s">
        <v>4206</v>
      </c>
      <c r="C332" t="s">
        <v>4036</v>
      </c>
      <c r="H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3" spans="1:8" hidden="1" x14ac:dyDescent="0.25">
      <c r="A333">
        <v>0</v>
      </c>
      <c r="B333" t="s">
        <v>4207</v>
      </c>
      <c r="C333" t="s">
        <v>4036</v>
      </c>
      <c r="H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4" spans="1:8" x14ac:dyDescent="0.25">
      <c r="A334">
        <v>1</v>
      </c>
      <c r="B334" t="s">
        <v>4037</v>
      </c>
      <c r="C334" t="s">
        <v>950</v>
      </c>
      <c r="D334" t="s">
        <v>4038</v>
      </c>
      <c r="E334" t="s">
        <v>3550</v>
      </c>
      <c r="H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`idcontrato_individual`='MIG322';</v>
      </c>
    </row>
    <row r="335" spans="1:8" x14ac:dyDescent="0.25">
      <c r="A335">
        <v>1</v>
      </c>
      <c r="B335" t="s">
        <v>4037</v>
      </c>
      <c r="C335" t="s">
        <v>951</v>
      </c>
      <c r="D335" t="s">
        <v>4038</v>
      </c>
      <c r="E335" t="s">
        <v>3550</v>
      </c>
      <c r="H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`idcontrato_individual`='MIG323';</v>
      </c>
    </row>
    <row r="336" spans="1:8" x14ac:dyDescent="0.25">
      <c r="A336">
        <v>1</v>
      </c>
      <c r="B336" t="s">
        <v>4037</v>
      </c>
      <c r="C336" t="s">
        <v>952</v>
      </c>
      <c r="D336" t="s">
        <v>4038</v>
      </c>
      <c r="E336" t="s">
        <v>3590</v>
      </c>
      <c r="H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`idcontrato_individual`='MIG324';</v>
      </c>
    </row>
    <row r="337" spans="1:8" hidden="1" x14ac:dyDescent="0.25">
      <c r="A337">
        <v>0</v>
      </c>
      <c r="B337" t="s">
        <v>4208</v>
      </c>
      <c r="C337" t="s">
        <v>4036</v>
      </c>
      <c r="H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8" spans="1:8" x14ac:dyDescent="0.25">
      <c r="A338">
        <v>1</v>
      </c>
      <c r="B338" t="s">
        <v>4037</v>
      </c>
      <c r="C338" t="s">
        <v>955</v>
      </c>
      <c r="D338" t="s">
        <v>4038</v>
      </c>
      <c r="E338" t="s">
        <v>3590</v>
      </c>
      <c r="H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`idcontrato_individual`='MIG326';</v>
      </c>
    </row>
    <row r="339" spans="1:8" hidden="1" x14ac:dyDescent="0.25">
      <c r="A339">
        <v>0</v>
      </c>
      <c r="B339" t="s">
        <v>4209</v>
      </c>
      <c r="C339" t="s">
        <v>4036</v>
      </c>
      <c r="H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0" spans="1:8" x14ac:dyDescent="0.25">
      <c r="A340">
        <v>1</v>
      </c>
      <c r="B340" t="s">
        <v>4037</v>
      </c>
      <c r="C340" t="s">
        <v>959</v>
      </c>
      <c r="D340" t="s">
        <v>4038</v>
      </c>
      <c r="E340" t="s">
        <v>3582</v>
      </c>
      <c r="H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`idcontrato_individual`='MIG328';</v>
      </c>
    </row>
    <row r="341" spans="1:8" x14ac:dyDescent="0.25">
      <c r="A341">
        <v>1</v>
      </c>
      <c r="B341" t="s">
        <v>4037</v>
      </c>
      <c r="C341" t="s">
        <v>962</v>
      </c>
      <c r="D341" t="s">
        <v>4038</v>
      </c>
      <c r="E341" t="s">
        <v>3582</v>
      </c>
      <c r="H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`idcontrato_individual`='MIG329';</v>
      </c>
    </row>
    <row r="342" spans="1:8" hidden="1" x14ac:dyDescent="0.25">
      <c r="A342">
        <v>0</v>
      </c>
      <c r="B342" t="s">
        <v>4210</v>
      </c>
      <c r="C342" t="s">
        <v>4036</v>
      </c>
      <c r="H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3" spans="1:8" hidden="1" x14ac:dyDescent="0.25">
      <c r="A343">
        <v>0</v>
      </c>
      <c r="B343" t="s">
        <v>4211</v>
      </c>
      <c r="C343" t="s">
        <v>4036</v>
      </c>
      <c r="H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4" spans="1:8" hidden="1" x14ac:dyDescent="0.25">
      <c r="A344">
        <v>0</v>
      </c>
      <c r="B344" t="s">
        <v>4212</v>
      </c>
      <c r="C344" t="s">
        <v>4036</v>
      </c>
      <c r="H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5" spans="1:8" hidden="1" x14ac:dyDescent="0.25">
      <c r="A345">
        <v>0</v>
      </c>
      <c r="B345" t="s">
        <v>4213</v>
      </c>
      <c r="C345" t="s">
        <v>4036</v>
      </c>
      <c r="H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6" spans="1:8" hidden="1" x14ac:dyDescent="0.25">
      <c r="A346">
        <v>0</v>
      </c>
      <c r="B346" t="s">
        <v>4214</v>
      </c>
      <c r="C346" t="s">
        <v>4036</v>
      </c>
      <c r="H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7" spans="1:8" hidden="1" x14ac:dyDescent="0.25">
      <c r="A347">
        <v>0</v>
      </c>
      <c r="B347" t="s">
        <v>4215</v>
      </c>
      <c r="C347" t="s">
        <v>4036</v>
      </c>
      <c r="H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8" spans="1:8" hidden="1" x14ac:dyDescent="0.25">
      <c r="A348">
        <v>0</v>
      </c>
      <c r="B348" t="s">
        <v>4216</v>
      </c>
      <c r="C348" t="s">
        <v>4036</v>
      </c>
      <c r="H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9" spans="1:8" hidden="1" x14ac:dyDescent="0.25">
      <c r="A349">
        <v>0</v>
      </c>
      <c r="B349" t="s">
        <v>4217</v>
      </c>
      <c r="C349" t="s">
        <v>4036</v>
      </c>
      <c r="H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0" spans="1:8" hidden="1" x14ac:dyDescent="0.25">
      <c r="A350">
        <v>0</v>
      </c>
      <c r="B350" t="s">
        <v>4218</v>
      </c>
      <c r="C350" t="s">
        <v>4036</v>
      </c>
      <c r="H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1" spans="1:8" x14ac:dyDescent="0.25">
      <c r="A351">
        <v>1</v>
      </c>
      <c r="B351" t="s">
        <v>4037</v>
      </c>
      <c r="C351" t="s">
        <v>984</v>
      </c>
      <c r="D351" t="s">
        <v>4038</v>
      </c>
      <c r="E351" t="s">
        <v>3566</v>
      </c>
      <c r="H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`idcontrato_individual`='MIG339';</v>
      </c>
    </row>
    <row r="352" spans="1:8" x14ac:dyDescent="0.25">
      <c r="A352">
        <v>1</v>
      </c>
      <c r="B352" t="s">
        <v>4037</v>
      </c>
      <c r="C352" t="s">
        <v>986</v>
      </c>
      <c r="D352" t="s">
        <v>4038</v>
      </c>
      <c r="E352" t="s">
        <v>3608</v>
      </c>
      <c r="H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`idcolonia`='localidadmigrada580' WHERE  `idcontrato_individual`='MIG340';</v>
      </c>
    </row>
    <row r="353" spans="1:8" x14ac:dyDescent="0.25">
      <c r="A353">
        <v>1</v>
      </c>
      <c r="B353" t="s">
        <v>4037</v>
      </c>
      <c r="C353" t="s">
        <v>989</v>
      </c>
      <c r="D353" t="s">
        <v>4038</v>
      </c>
      <c r="E353" t="s">
        <v>3566</v>
      </c>
      <c r="H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`idcontrato_individual`='MIG341';</v>
      </c>
    </row>
    <row r="354" spans="1:8" x14ac:dyDescent="0.25">
      <c r="A354">
        <v>1</v>
      </c>
      <c r="B354" t="s">
        <v>4037</v>
      </c>
      <c r="C354" t="s">
        <v>991</v>
      </c>
      <c r="D354" t="s">
        <v>4038</v>
      </c>
      <c r="E354" t="s">
        <v>3566</v>
      </c>
      <c r="H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`idcontrato_individual`='MIG342';</v>
      </c>
    </row>
    <row r="355" spans="1:8" hidden="1" x14ac:dyDescent="0.25">
      <c r="A355">
        <v>0</v>
      </c>
      <c r="B355" t="s">
        <v>4219</v>
      </c>
      <c r="C355" t="s">
        <v>4036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D9F9-1420-42A1-BB36-DB475EE9FFB6}">
  <dimension ref="A1:T344"/>
  <sheetViews>
    <sheetView topLeftCell="A2" workbookViewId="0">
      <selection activeCell="I2" sqref="I2:I344"/>
    </sheetView>
  </sheetViews>
  <sheetFormatPr baseColWidth="10" defaultRowHeight="15" x14ac:dyDescent="0.25"/>
  <cols>
    <col min="2" max="2" width="58.7109375" bestFit="1" customWidth="1"/>
    <col min="3" max="3" width="53.140625" bestFit="1" customWidth="1"/>
    <col min="7" max="7" width="20.5703125" bestFit="1" customWidth="1"/>
  </cols>
  <sheetData>
    <row r="1" spans="1:20" ht="15.75" thickBot="1" x14ac:dyDescent="0.3">
      <c r="F1" t="s">
        <v>4709</v>
      </c>
      <c r="G1" t="s">
        <v>1042</v>
      </c>
    </row>
    <row r="2" spans="1:20" ht="15.75" thickBot="1" x14ac:dyDescent="0.3">
      <c r="A2" s="6" t="s">
        <v>0</v>
      </c>
      <c r="B2" s="4" t="s">
        <v>8</v>
      </c>
      <c r="C2" s="4" t="s">
        <v>9</v>
      </c>
      <c r="D2" s="4" t="s">
        <v>3</v>
      </c>
      <c r="E2" s="4" t="s">
        <v>2</v>
      </c>
      <c r="F2" s="14" t="s">
        <v>4223</v>
      </c>
      <c r="G2" s="14" t="s">
        <v>4224</v>
      </c>
      <c r="I2" t="s">
        <v>4710</v>
      </c>
      <c r="T2" t="str" cm="1">
        <f t="array" aca="1" ref="T2" ca="1">eConcatenar(B2:E2," , ")</f>
        <v>CIRCUITO TAURO MANZANA 16 LOTE 116 , FOVISSSTE EMBUDO , CARDENAS , TABASCO ,</v>
      </c>
    </row>
    <row r="3" spans="1:20" ht="15.75" thickBot="1" x14ac:dyDescent="0.3">
      <c r="A3" s="6" t="s">
        <v>13</v>
      </c>
      <c r="B3" s="4" t="s">
        <v>18</v>
      </c>
      <c r="C3" s="4" t="s">
        <v>19</v>
      </c>
      <c r="D3" s="4" t="s">
        <v>3</v>
      </c>
      <c r="E3" s="4" t="s">
        <v>2</v>
      </c>
      <c r="F3" s="14" t="s">
        <v>4225</v>
      </c>
      <c r="G3" s="14" t="s">
        <v>4226</v>
      </c>
      <c r="I3" t="str">
        <f t="shared" ref="I3:I65" si="0">CONCATENATE("UPDATE `katana`.`funeraria_contrato_individual` SET `latitud`='",F3,"', `longitud`='",G3,"' WHERE  `idcontrato_individual`='",A3,"';")</f>
        <v>UPDATE `katana`.`funeraria_contrato_individual` SET `latitud`='208.874.594', `longitud`='-1.038.376.641' WHERE  `idcontrato_individual`='MIG2';</v>
      </c>
      <c r="T3" t="str" cm="1">
        <f t="array" aca="1" ref="T3" ca="1">eConcatenar(B3:E3," , ")</f>
        <v>LAZARO CARDENAS , CARLOS GREENE , CARDENAS , TABASCO ,</v>
      </c>
    </row>
    <row r="4" spans="1:20" ht="15.75" thickBot="1" x14ac:dyDescent="0.3">
      <c r="A4" s="6" t="s">
        <v>21</v>
      </c>
      <c r="B4" s="4" t="s">
        <v>25</v>
      </c>
      <c r="C4" s="4" t="s">
        <v>26</v>
      </c>
      <c r="D4" s="4" t="s">
        <v>3</v>
      </c>
      <c r="E4" s="4" t="s">
        <v>2</v>
      </c>
      <c r="F4" s="14" t="s">
        <v>4227</v>
      </c>
      <c r="G4" s="14" t="s">
        <v>4228</v>
      </c>
      <c r="I4" t="str">
        <f t="shared" si="0"/>
        <v>UPDATE `katana`.`funeraria_contrato_individual` SET `latitud`='208.754.653', `longitud`='-1.038.329.377' WHERE  `idcontrato_individual`='MIG3';</v>
      </c>
      <c r="T4" t="str" cm="1">
        <f t="array" aca="1" ref="T4" ca="1">eConcatenar(B4:E4," , ")</f>
        <v>PROLONGACION NICOLASA CANO DE DOMINGUEZ , SANTA MARIA DE GUADALUPE , CARDENAS , TABASCO ,</v>
      </c>
    </row>
    <row r="5" spans="1:20" ht="15.75" thickBot="1" x14ac:dyDescent="0.3">
      <c r="A5" s="6" t="s">
        <v>27</v>
      </c>
      <c r="B5" s="4" t="s">
        <v>30</v>
      </c>
      <c r="C5" s="4" t="s">
        <v>31</v>
      </c>
      <c r="D5" s="4" t="s">
        <v>3</v>
      </c>
      <c r="E5" s="4" t="s">
        <v>2</v>
      </c>
      <c r="F5" s="14" t="s">
        <v>4229</v>
      </c>
      <c r="G5" s="14" t="s">
        <v>4230</v>
      </c>
      <c r="I5" t="str">
        <f t="shared" si="0"/>
        <v>UPDATE `katana`.`funeraria_contrato_individual` SET `latitud`='208.861.514', `longitud`='-1.038.440.964' WHERE  `idcontrato_individual`='MIG4';</v>
      </c>
      <c r="T5" t="str" cm="1">
        <f t="array" aca="1" ref="T5" ca="1">eConcatenar(B5:E5," , ")</f>
        <v>CALLE LANZAGORTA CASA NUMERO 14 , EL PALMAR , CARDENAS , TABASCO ,</v>
      </c>
    </row>
    <row r="6" spans="1:20" ht="15.75" thickBot="1" x14ac:dyDescent="0.3">
      <c r="A6" s="6" t="s">
        <v>32</v>
      </c>
      <c r="B6" s="4" t="s">
        <v>33</v>
      </c>
      <c r="C6" s="4" t="s">
        <v>34</v>
      </c>
      <c r="D6" s="4" t="s">
        <v>3</v>
      </c>
      <c r="E6" s="4" t="s">
        <v>2</v>
      </c>
      <c r="F6" s="14" t="s">
        <v>4231</v>
      </c>
      <c r="G6" s="14" t="s">
        <v>4232</v>
      </c>
      <c r="I6" t="str">
        <f t="shared" si="0"/>
        <v>UPDATE `katana`.`funeraria_contrato_individual` SET `latitud`='208.803.403', `longitud`='-1.038.367.023' WHERE  `idcontrato_individual`='MIG5';</v>
      </c>
      <c r="T6" t="str" cm="1">
        <f t="array" aca="1" ref="T6" ca="1">eConcatenar(B6:E6," , ")</f>
        <v>CALLE JULIAN MONTEJO CASA NUMERO 506 , EL TOLOQUE , CARDENAS , TABASCO ,</v>
      </c>
    </row>
    <row r="7" spans="1:20" ht="15.75" thickBot="1" x14ac:dyDescent="0.3">
      <c r="A7" s="6" t="s">
        <v>35</v>
      </c>
      <c r="B7" s="4" t="s">
        <v>37</v>
      </c>
      <c r="C7" s="4" t="s">
        <v>38</v>
      </c>
      <c r="D7" s="4" t="s">
        <v>3</v>
      </c>
      <c r="E7" s="4" t="s">
        <v>2</v>
      </c>
      <c r="F7" s="14" t="s">
        <v>4233</v>
      </c>
      <c r="G7" s="14" t="s">
        <v>4234</v>
      </c>
      <c r="I7" t="str">
        <f t="shared" si="0"/>
        <v>UPDATE `katana`.`funeraria_contrato_individual` SET `latitud`='208.944.645', `longitud`='-1.038.414.325' WHERE  `idcontrato_individual`='MIG6';</v>
      </c>
      <c r="T7" t="str" cm="1">
        <f t="array" aca="1" ref="T7" ca="1">eConcatenar(B7:E7," , ")</f>
        <v>ENTRADA A LA PERA S/N , PLATANO Y CACAO , CARDENAS , TABASCO ,</v>
      </c>
    </row>
    <row r="8" spans="1:20" ht="15.75" thickBot="1" x14ac:dyDescent="0.3">
      <c r="A8" s="6" t="s">
        <v>41</v>
      </c>
      <c r="B8" s="4" t="s">
        <v>42</v>
      </c>
      <c r="C8" s="4" t="s">
        <v>43</v>
      </c>
      <c r="D8" s="4" t="s">
        <v>3</v>
      </c>
      <c r="E8" s="4" t="s">
        <v>2</v>
      </c>
      <c r="F8" s="14" t="s">
        <v>4235</v>
      </c>
      <c r="G8" s="14" t="s">
        <v>4236</v>
      </c>
      <c r="I8" t="str">
        <f t="shared" si="0"/>
        <v>UPDATE `katana`.`funeraria_contrato_individual` SET `latitud`='208.564.565', `longitud`='-1.040.318.436' WHERE  `idcontrato_individual`='MIG7';</v>
      </c>
      <c r="T8" t="str" cm="1">
        <f t="array" aca="1" ref="T8" ca="1">eConcatenar(B8:E8," , ")</f>
        <v>CALLE DEPORTISTA CASA NUMERO 25 , SANTA RITA , CARDENAS , TABASCO ,</v>
      </c>
    </row>
    <row r="9" spans="1:20" ht="15.75" thickBot="1" x14ac:dyDescent="0.3">
      <c r="A9" s="6" t="s">
        <v>46</v>
      </c>
      <c r="B9" s="4" t="s">
        <v>49</v>
      </c>
      <c r="C9" s="4" t="s">
        <v>26</v>
      </c>
      <c r="D9" s="4" t="s">
        <v>3</v>
      </c>
      <c r="E9" s="4" t="s">
        <v>2</v>
      </c>
      <c r="F9" s="14" t="s">
        <v>4237</v>
      </c>
      <c r="G9" s="14" t="s">
        <v>4238</v>
      </c>
      <c r="I9" t="str">
        <f t="shared" si="0"/>
        <v>UPDATE `katana`.`funeraria_contrato_individual` SET `latitud`='2.088.046', `longitud`='-1.038.371.625' WHERE  `idcontrato_individual`='MIG8';</v>
      </c>
      <c r="T9" t="str" cm="1">
        <f t="array" aca="1" ref="T9" ca="1">eConcatenar(B9:E9," , ")</f>
        <v>CERRADA NARCISO MENDOZA , SANTA MARIA DE GUADALUPE , CARDENAS , TABASCO ,</v>
      </c>
    </row>
    <row r="10" spans="1:20" ht="15.75" thickBot="1" x14ac:dyDescent="0.3">
      <c r="A10" s="6" t="s">
        <v>50</v>
      </c>
      <c r="B10" s="4" t="s">
        <v>52</v>
      </c>
      <c r="C10" s="4" t="s">
        <v>53</v>
      </c>
      <c r="D10" s="4" t="s">
        <v>3</v>
      </c>
      <c r="E10" s="4" t="s">
        <v>2</v>
      </c>
      <c r="F10" s="14" t="s">
        <v>4239</v>
      </c>
      <c r="G10" s="14" t="s">
        <v>4240</v>
      </c>
      <c r="I10" t="str">
        <f t="shared" si="0"/>
        <v>UPDATE `katana`.`funeraria_contrato_individual` SET `latitud`='20.887.974', `longitud`='-1.038.422.998' WHERE  `idcontrato_individual`='MIG9';</v>
      </c>
      <c r="T10" t="str" cm="1">
        <f t="array" aca="1" ref="T10" ca="1">eConcatenar(B10:E10," , ")</f>
        <v>CALLE MIGUEL NOVEROLA CASA NUMERO 163 , INFONAVIT LOMA BONITA , CARDENAS , TABASCO ,</v>
      </c>
    </row>
    <row r="11" spans="1:20" ht="15.75" thickBot="1" x14ac:dyDescent="0.3">
      <c r="A11" s="6" t="s">
        <v>54</v>
      </c>
      <c r="B11" s="4" t="s">
        <v>56</v>
      </c>
      <c r="C11" s="4" t="s">
        <v>57</v>
      </c>
      <c r="D11" s="4" t="s">
        <v>3</v>
      </c>
      <c r="E11" s="4" t="s">
        <v>2</v>
      </c>
      <c r="F11" s="14" t="s">
        <v>4237</v>
      </c>
      <c r="G11" s="14" t="s">
        <v>4238</v>
      </c>
      <c r="I11" t="str">
        <f t="shared" si="0"/>
        <v>UPDATE `katana`.`funeraria_contrato_individual` SET `latitud`='2.088.046', `longitud`='-1.038.371.625' WHERE  `idcontrato_individual`='MIG10';</v>
      </c>
      <c r="T11" t="str" cm="1">
        <f t="array" aca="1" ref="T11" ca="1">eConcatenar(B11:E11," , ")</f>
        <v>CERRADA DE CARLOS MOLINA CASA NUMERO 18 , PUEBLO NUEVO , CARDENAS , TABASCO ,</v>
      </c>
    </row>
    <row r="12" spans="1:20" ht="15.75" thickBot="1" x14ac:dyDescent="0.3">
      <c r="A12" s="6" t="s">
        <v>58</v>
      </c>
      <c r="B12" s="4" t="s">
        <v>60</v>
      </c>
      <c r="C12" s="4" t="s">
        <v>57</v>
      </c>
      <c r="D12" s="4" t="s">
        <v>3</v>
      </c>
      <c r="E12" s="4" t="s">
        <v>2</v>
      </c>
      <c r="F12" s="14" t="s">
        <v>4241</v>
      </c>
      <c r="G12" s="14" t="s">
        <v>4242</v>
      </c>
      <c r="I12" t="str">
        <f t="shared" si="0"/>
        <v>UPDATE `katana`.`funeraria_contrato_individual` SET `latitud`='208.819.452', `longitud`='-1.038.325.001' WHERE  `idcontrato_individual`='MIG11';</v>
      </c>
      <c r="T12" t="str" cm="1">
        <f t="array" aca="1" ref="T12" ca="1">eConcatenar(B12:E12," , ")</f>
        <v>CALLE FRANCISCO GURRIA CASA NUMERO 507 , PUEBLO NUEVO , CARDENAS , TABASCO ,</v>
      </c>
    </row>
    <row r="13" spans="1:20" ht="15.75" thickBot="1" x14ac:dyDescent="0.3">
      <c r="A13" s="6" t="s">
        <v>61</v>
      </c>
      <c r="B13" s="4" t="s">
        <v>62</v>
      </c>
      <c r="C13" s="4" t="s">
        <v>63</v>
      </c>
      <c r="D13" s="4" t="s">
        <v>3</v>
      </c>
      <c r="E13" s="4" t="s">
        <v>2</v>
      </c>
      <c r="F13" s="14" t="s">
        <v>4241</v>
      </c>
      <c r="G13" s="14" t="s">
        <v>4242</v>
      </c>
      <c r="I13" t="str">
        <f t="shared" si="0"/>
        <v>UPDATE `katana`.`funeraria_contrato_individual` SET `latitud`='208.819.452', `longitud`='-1.038.325.001' WHERE  `idcontrato_individual`='MIG12';</v>
      </c>
      <c r="T13" t="str" cm="1">
        <f t="array" aca="1" ref="T13" ca="1">eConcatenar(B13:E13," , ")</f>
        <v>CALLEJON MARGARITA , EL BAJIO  , CARDENAS , TABASCO ,</v>
      </c>
    </row>
    <row r="14" spans="1:20" ht="15.75" thickBot="1" x14ac:dyDescent="0.3">
      <c r="A14" s="6" t="s">
        <v>64</v>
      </c>
      <c r="B14" s="4" t="s">
        <v>66</v>
      </c>
      <c r="C14" s="4" t="s">
        <v>67</v>
      </c>
      <c r="D14" s="4" t="s">
        <v>3</v>
      </c>
      <c r="E14" s="4" t="s">
        <v>2</v>
      </c>
      <c r="F14" s="14" t="s">
        <v>4243</v>
      </c>
      <c r="G14" s="14" t="s">
        <v>4244</v>
      </c>
      <c r="I14" t="str">
        <f t="shared" si="0"/>
        <v>UPDATE `katana`.`funeraria_contrato_individual` SET `latitud`='208.852.673', `longitud`='-1.038.397.748' WHERE  `idcontrato_individual`='MIG13';</v>
      </c>
      <c r="T14" t="str" cm="1">
        <f t="array" aca="1" ref="T14" ca="1">eConcatenar(B14:E14," , ")</f>
        <v>CAÑA AMARGA MANZANA 28 LOTE 8 , FRACCIONAMIENTO LOS CAÑALES 2 , CARDENAS , TABASCO ,</v>
      </c>
    </row>
    <row r="15" spans="1:20" ht="15.75" thickBot="1" x14ac:dyDescent="0.3">
      <c r="A15" s="6" t="s">
        <v>69</v>
      </c>
      <c r="B15" s="4" t="s">
        <v>71</v>
      </c>
      <c r="C15" s="4" t="s">
        <v>72</v>
      </c>
      <c r="D15" s="4" t="s">
        <v>3</v>
      </c>
      <c r="E15" s="4" t="s">
        <v>2</v>
      </c>
      <c r="F15" s="14" t="s">
        <v>4245</v>
      </c>
      <c r="G15" s="14" t="s">
        <v>4246</v>
      </c>
      <c r="I15" t="str">
        <f t="shared" si="0"/>
        <v>UPDATE `katana`.`funeraria_contrato_individual` SET `latitud`='208.849.396', `longitud`='-1.038.390.397' WHERE  `idcontrato_individual`='MIG14';</v>
      </c>
      <c r="T15" t="str" cm="1">
        <f t="array" aca="1" ref="T15" ca="1">eConcatenar(B15:E15," , ")</f>
        <v>CALLE ARABIA 1 MANZANA 22 LOTE 7 , JACINTO LOPEZ , CARDENAS , TABASCO ,</v>
      </c>
    </row>
    <row r="16" spans="1:20" ht="15.75" thickBot="1" x14ac:dyDescent="0.3">
      <c r="A16" s="6" t="s">
        <v>73</v>
      </c>
      <c r="B16" s="4" t="s">
        <v>75</v>
      </c>
      <c r="C16" s="4" t="s">
        <v>40</v>
      </c>
      <c r="D16" s="4" t="s">
        <v>3</v>
      </c>
      <c r="E16" s="4" t="s">
        <v>2</v>
      </c>
      <c r="F16" s="14" t="s">
        <v>4247</v>
      </c>
      <c r="G16" s="14" t="s">
        <v>4248</v>
      </c>
      <c r="I16" t="str">
        <f t="shared" si="0"/>
        <v>UPDATE `katana`.`funeraria_contrato_individual` SET `latitud`='208.796.621', `longitud`='-1.038.368.423' WHERE  `idcontrato_individual`='MIG15';</v>
      </c>
      <c r="T16" t="str" cm="1">
        <f t="array" aca="1" ref="T16" ca="1">eConcatenar(B16:E16," , ")</f>
        <v>CALLE IGNACIO COMONFORT CASA NUMERO 109 , CENTRO , CARDENAS , TABASCO ,</v>
      </c>
    </row>
    <row r="17" spans="1:20" ht="15.75" thickBot="1" x14ac:dyDescent="0.3">
      <c r="A17" s="6" t="s">
        <v>76</v>
      </c>
      <c r="B17" s="4" t="s">
        <v>77</v>
      </c>
      <c r="C17" s="4" t="s">
        <v>78</v>
      </c>
      <c r="D17" s="4" t="s">
        <v>3</v>
      </c>
      <c r="E17" s="4" t="s">
        <v>2</v>
      </c>
      <c r="F17" s="15" t="s">
        <v>4249</v>
      </c>
      <c r="G17" s="15" t="s">
        <v>4250</v>
      </c>
      <c r="I17" t="str">
        <f t="shared" si="0"/>
        <v>UPDATE `katana`.`funeraria_contrato_individual` SET `latitud`='179.871.775', `longitud`='-933.770.996' WHERE  `idcontrato_individual`='MIG16';</v>
      </c>
      <c r="T17" t="str" cm="1">
        <f t="array" aca="1" ref="T17" ca="1">eConcatenar(B17:E17," , ")</f>
        <v>CALLE ABASOLO SIN NUMERO , SANTA CRUZ , CARDENAS , TABASCO ,</v>
      </c>
    </row>
    <row r="18" spans="1:20" ht="15.75" thickBot="1" x14ac:dyDescent="0.3">
      <c r="A18" s="6" t="s">
        <v>79</v>
      </c>
      <c r="B18" s="4" t="s">
        <v>82</v>
      </c>
      <c r="C18" s="4" t="s">
        <v>83</v>
      </c>
      <c r="D18" s="4" t="s">
        <v>3</v>
      </c>
      <c r="E18" s="4" t="s">
        <v>2</v>
      </c>
      <c r="F18" s="15" t="s">
        <v>4251</v>
      </c>
      <c r="G18" s="15" t="s">
        <v>4252</v>
      </c>
      <c r="I18" t="str">
        <f t="shared" si="0"/>
        <v>UPDATE `katana`.`funeraria_contrato_individual` SET `latitud`='180.217.055', `longitud`='-93.384.945' WHERE  `idcontrato_individual`='MIG17';</v>
      </c>
      <c r="T18" t="str" cm="1">
        <f t="array" aca="1" ref="T18" ca="1">eConcatenar(B18:E18," , ")</f>
        <v>CALLE MELAZA MANZANA 8 LOTE 10 , FRACCIONAMIENTO CAÑALES 1 , CARDENAS , TABASCO ,</v>
      </c>
    </row>
    <row r="19" spans="1:20" ht="15.75" thickBot="1" x14ac:dyDescent="0.3">
      <c r="A19" s="6" t="s">
        <v>84</v>
      </c>
      <c r="B19" s="4" t="s">
        <v>85</v>
      </c>
      <c r="C19" s="4" t="s">
        <v>86</v>
      </c>
      <c r="D19" s="4" t="s">
        <v>3</v>
      </c>
      <c r="E19" s="4" t="s">
        <v>2</v>
      </c>
      <c r="F19" s="15" t="s">
        <v>4253</v>
      </c>
      <c r="G19" s="15" t="s">
        <v>4254</v>
      </c>
      <c r="I19" t="str">
        <f t="shared" si="0"/>
        <v>UPDATE `katana`.`funeraria_contrato_individual` SET `latitud`='180.208.414', `longitud`='-933.894.754' WHERE  `idcontrato_individual`='MIG18';</v>
      </c>
      <c r="T19" t="str" cm="1">
        <f t="array" aca="1" ref="T19" ca="1">eConcatenar(B19:E19," , ")</f>
        <v>CALLE  5 CASA NUMERO 84 , AMPLIACION CAÑALES TERCERA ETAPA SUR , CARDENAS , TABASCO ,</v>
      </c>
    </row>
    <row r="20" spans="1:20" ht="15.75" thickBot="1" x14ac:dyDescent="0.3">
      <c r="A20" s="6" t="s">
        <v>87</v>
      </c>
      <c r="B20" s="4" t="s">
        <v>90</v>
      </c>
      <c r="C20" s="4" t="s">
        <v>91</v>
      </c>
      <c r="D20" s="4" t="s">
        <v>3</v>
      </c>
      <c r="E20" s="4" t="s">
        <v>2</v>
      </c>
      <c r="F20" s="15" t="s">
        <v>4255</v>
      </c>
      <c r="G20" s="15" t="s">
        <v>4256</v>
      </c>
      <c r="I20" t="str">
        <f t="shared" si="0"/>
        <v>UPDATE `katana`.`funeraria_contrato_individual` SET `latitud`='180.137.194', `longitud`='-933.704.375' WHERE  `idcontrato_individual`='MIG19';</v>
      </c>
      <c r="T20" t="str" cm="1">
        <f t="array" aca="1" ref="T20" ca="1">eConcatenar(B20:E20," , ")</f>
        <v>AVENIDA LUIS DONALDO COLOSIO , MELCHOR OCAMPO , CARDENAS , TABASCO ,</v>
      </c>
    </row>
    <row r="21" spans="1:20" ht="15.75" thickBot="1" x14ac:dyDescent="0.3">
      <c r="A21" s="6" t="s">
        <v>93</v>
      </c>
      <c r="B21" s="4" t="s">
        <v>95</v>
      </c>
      <c r="C21" s="4" t="s">
        <v>96</v>
      </c>
      <c r="D21" s="4" t="s">
        <v>3</v>
      </c>
      <c r="E21" s="4" t="s">
        <v>2</v>
      </c>
      <c r="F21" s="15" t="s">
        <v>4257</v>
      </c>
      <c r="G21" s="15" t="s">
        <v>4258</v>
      </c>
      <c r="I21" t="str">
        <f t="shared" si="0"/>
        <v>UPDATE `katana`.`funeraria_contrato_individual` SET `latitud`='180.012.067', `longitud`='-9.337.323.390.000.000' WHERE  `idcontrato_individual`='MIG20';</v>
      </c>
      <c r="T21" t="str" cm="1">
        <f t="array" aca="1" ref="T21" ca="1">eConcatenar(B21:E21," , ")</f>
        <v>CALLEJON DE LOS JIMENEZ , RIO SECO Y MONTAÑA SEGUNDA SECCIOM , CARDENAS , TABASCO ,</v>
      </c>
    </row>
    <row r="22" spans="1:20" ht="15.75" thickBot="1" x14ac:dyDescent="0.3">
      <c r="A22" s="6" t="s">
        <v>98</v>
      </c>
      <c r="B22" s="4" t="s">
        <v>101</v>
      </c>
      <c r="C22" s="4" t="s">
        <v>102</v>
      </c>
      <c r="D22" s="4" t="s">
        <v>3</v>
      </c>
      <c r="E22" s="4" t="s">
        <v>2</v>
      </c>
      <c r="F22" s="15" t="s">
        <v>4259</v>
      </c>
      <c r="G22" s="15" t="s">
        <v>4260</v>
      </c>
      <c r="I22" t="str">
        <f t="shared" si="0"/>
        <v>UPDATE `katana`.`funeraria_contrato_individual` SET `latitud`='179.685.625', `longitud`='-933.677.209' WHERE  `idcontrato_individual`='MIG21';</v>
      </c>
      <c r="T22" t="str" cm="1">
        <f t="array" aca="1" ref="T22" ca="1">eConcatenar(B22:E22," , ")</f>
        <v>CALLE JOSE MARIA PINO SUAREZ NUMERO 1 , OBRERA , CARDENAS , TABASCO ,</v>
      </c>
    </row>
    <row r="23" spans="1:20" ht="15.75" thickBot="1" x14ac:dyDescent="0.3">
      <c r="A23" s="6" t="s">
        <v>103</v>
      </c>
      <c r="B23" s="4" t="s">
        <v>104</v>
      </c>
      <c r="C23" s="4" t="s">
        <v>105</v>
      </c>
      <c r="D23" s="4" t="s">
        <v>3</v>
      </c>
      <c r="E23" s="4" t="s">
        <v>2</v>
      </c>
      <c r="F23" s="15" t="s">
        <v>4261</v>
      </c>
      <c r="G23" s="15" t="s">
        <v>4262</v>
      </c>
      <c r="I23" t="str">
        <f t="shared" si="0"/>
        <v>UPDATE `katana`.`funeraria_contrato_individual` SET `latitud`='179.804.246', `longitud`='-933.846.179' WHERE  `idcontrato_individual`='MIG22';</v>
      </c>
      <c r="T23" t="str" cm="1">
        <f t="array" aca="1" ref="T23" ca="1">eConcatenar(B23:E23," , ")</f>
        <v>CALLE CHACHALACA LOTE 115 , CSAT , CARDENAS , TABASCO ,</v>
      </c>
    </row>
    <row r="24" spans="1:20" ht="15.75" thickBot="1" x14ac:dyDescent="0.3">
      <c r="A24" s="6" t="s">
        <v>107</v>
      </c>
      <c r="B24" s="4" t="s">
        <v>111</v>
      </c>
      <c r="C24" s="4" t="s">
        <v>105</v>
      </c>
      <c r="D24" s="4" t="s">
        <v>3</v>
      </c>
      <c r="E24" s="4" t="s">
        <v>2</v>
      </c>
      <c r="F24" s="15" t="s">
        <v>4263</v>
      </c>
      <c r="G24" s="15" t="s">
        <v>4264</v>
      </c>
      <c r="I24" t="str">
        <f t="shared" si="0"/>
        <v>UPDATE `katana`.`funeraria_contrato_individual` SET `latitud`='17.981.394', `longitud`='-933.816.917' WHERE  `idcontrato_individual`='MIG23';</v>
      </c>
      <c r="T24" t="str" cm="1">
        <f t="array" aca="1" ref="T24" ca="1">eConcatenar(B24:E24," , ")</f>
        <v>CALLE HICOTEA NUMERO 296 , CSAT , CARDENAS , TABASCO ,</v>
      </c>
    </row>
    <row r="25" spans="1:20" ht="15.75" thickBot="1" x14ac:dyDescent="0.3">
      <c r="A25" s="6" t="s">
        <v>112</v>
      </c>
      <c r="B25" s="4" t="s">
        <v>114</v>
      </c>
      <c r="C25" s="4" t="s">
        <v>72</v>
      </c>
      <c r="D25" s="4" t="s">
        <v>3</v>
      </c>
      <c r="E25" s="4" t="s">
        <v>2</v>
      </c>
      <c r="F25" s="15" t="s">
        <v>4265</v>
      </c>
      <c r="G25" s="15" t="s">
        <v>4266</v>
      </c>
      <c r="I25" t="str">
        <f t="shared" si="0"/>
        <v>UPDATE `katana`.`funeraria_contrato_individual` SET `latitud`='17.964.994', `longitud`='-9.337.476.769.999.990' WHERE  `idcontrato_individual`='MIG24';</v>
      </c>
      <c r="T25" t="str" cm="1">
        <f t="array" aca="1" ref="T25" ca="1">eConcatenar(B25:E25," , ")</f>
        <v>CALLE RUMANIA 3 , JACINTO LOPEZ , CARDENAS , TABASCO ,</v>
      </c>
    </row>
    <row r="26" spans="1:20" ht="15.75" thickBot="1" x14ac:dyDescent="0.3">
      <c r="A26" s="6" t="s">
        <v>115</v>
      </c>
      <c r="B26" s="4" t="s">
        <v>118</v>
      </c>
      <c r="C26" s="4" t="s">
        <v>119</v>
      </c>
      <c r="D26" s="4" t="s">
        <v>3</v>
      </c>
      <c r="E26" s="4" t="s">
        <v>2</v>
      </c>
      <c r="F26" s="15" t="s">
        <v>4267</v>
      </c>
      <c r="G26" s="15" t="s">
        <v>4268</v>
      </c>
      <c r="I26" t="str">
        <f t="shared" si="0"/>
        <v>UPDATE `katana`.`funeraria_contrato_individual` SET `latitud`='180.052.327', `longitud`='-933.855.078' WHERE  `idcontrato_individual`='MIG25';</v>
      </c>
      <c r="T26" t="str" cm="1">
        <f t="array" aca="1" ref="T26" ca="1">eConcatenar(B26:E26," , ")</f>
        <v>CALLE TULIPANES CASA NUMERO 12 , INFONAVIT SANTA RITA , CARDENAS , TABASCO ,</v>
      </c>
    </row>
    <row r="27" spans="1:20" ht="15.75" thickBot="1" x14ac:dyDescent="0.3">
      <c r="A27" s="6" t="s">
        <v>120</v>
      </c>
      <c r="B27" s="4" t="s">
        <v>121</v>
      </c>
      <c r="C27" s="4" t="s">
        <v>105</v>
      </c>
      <c r="D27" s="4" t="s">
        <v>3</v>
      </c>
      <c r="E27" s="4" t="s">
        <v>2</v>
      </c>
      <c r="F27" s="15" t="s">
        <v>4269</v>
      </c>
      <c r="G27" s="15" t="s">
        <v>4270</v>
      </c>
      <c r="I27" t="str">
        <f t="shared" si="0"/>
        <v>UPDATE `katana`.`funeraria_contrato_individual` SET `latitud`='179.812.589', `longitud`='-933.814.113' WHERE  `idcontrato_individual`='MIG26';</v>
      </c>
      <c r="T27" t="str" cm="1">
        <f t="array" aca="1" ref="T27" ca="1">eConcatenar(B27:E27," , ")</f>
        <v>CALLE GUA MANZANA NUMERO 13 LOTE 8 , CSAT , CARDENAS , TABASCO ,</v>
      </c>
    </row>
    <row r="28" spans="1:20" ht="15.75" thickBot="1" x14ac:dyDescent="0.3">
      <c r="A28" s="6" t="s">
        <v>122</v>
      </c>
      <c r="B28" s="4" t="s">
        <v>124</v>
      </c>
      <c r="C28" s="4" t="s">
        <v>125</v>
      </c>
      <c r="D28" s="4" t="s">
        <v>3</v>
      </c>
      <c r="E28" s="4" t="s">
        <v>2</v>
      </c>
      <c r="F28" s="15" t="s">
        <v>4271</v>
      </c>
      <c r="G28" s="15" t="s">
        <v>4272</v>
      </c>
      <c r="I28" t="str">
        <f t="shared" si="0"/>
        <v>UPDATE `katana`.`funeraria_contrato_individual` SET `latitud`='179.789.691', `longitud`='-933.629.188' WHERE  `idcontrato_individual`='MIG27';</v>
      </c>
      <c r="T28" t="str" cm="1">
        <f t="array" aca="1" ref="T28" ca="1">eConcatenar(B28:E28," , ")</f>
        <v>CALLE JOSE TORRUCO VERA CASA NUMERO 4  , JOSE TORRUCO VERA , CARDENAS , TABASCO ,</v>
      </c>
    </row>
    <row r="29" spans="1:20" ht="15.75" thickBot="1" x14ac:dyDescent="0.3">
      <c r="A29" s="6" t="s">
        <v>126</v>
      </c>
      <c r="B29" s="4" t="s">
        <v>127</v>
      </c>
      <c r="C29" s="4" t="s">
        <v>57</v>
      </c>
      <c r="D29" s="4" t="s">
        <v>3</v>
      </c>
      <c r="E29" s="4" t="s">
        <v>2</v>
      </c>
      <c r="F29" s="15" t="s">
        <v>4273</v>
      </c>
      <c r="G29" s="15" t="s">
        <v>4274</v>
      </c>
      <c r="I29" t="str">
        <f t="shared" si="0"/>
        <v>UPDATE `katana`.`funeraria_contrato_individual` SET `latitud`='179.925.142', `longitud`='-933.839.094' WHERE  `idcontrato_individual`='MIG28';</v>
      </c>
      <c r="T29" t="str" cm="1">
        <f t="array" aca="1" ref="T29" ca="1">eConcatenar(B29:E29," , ")</f>
        <v>CALLE EL CEDRO CASA NUMERO 10   , PUEBLO NUEVO , CARDENAS , TABASCO ,</v>
      </c>
    </row>
    <row r="30" spans="1:20" ht="15.75" thickBot="1" x14ac:dyDescent="0.3">
      <c r="A30" s="6" t="s">
        <v>128</v>
      </c>
      <c r="B30" s="4" t="s">
        <v>129</v>
      </c>
      <c r="C30" s="4" t="s">
        <v>130</v>
      </c>
      <c r="D30" s="4" t="s">
        <v>3</v>
      </c>
      <c r="E30" s="4" t="s">
        <v>2</v>
      </c>
      <c r="F30" s="15" t="s">
        <v>4275</v>
      </c>
      <c r="G30" s="15" t="s">
        <v>4276</v>
      </c>
      <c r="I30" t="str">
        <f t="shared" si="0"/>
        <v>UPDATE `katana`.`funeraria_contrato_individual` SET `latitud`='179.702.002', `longitud`='-9.335.778.479.999.990' WHERE  `idcontrato_individual`='MIG29';</v>
      </c>
      <c r="T30" t="str" cm="1">
        <f t="array" aca="1" ref="T30" ca="1">eConcatenar(B30:E30," , ")</f>
        <v>CALLE PRINCIPAL SIN NOMBRE , EL BAJIO SEGUNDA SECCION  , CARDENAS , TABASCO ,</v>
      </c>
    </row>
    <row r="31" spans="1:20" ht="15.75" thickBot="1" x14ac:dyDescent="0.3">
      <c r="A31" s="6" t="s">
        <v>132</v>
      </c>
      <c r="B31" s="4" t="s">
        <v>135</v>
      </c>
      <c r="C31" s="4" t="s">
        <v>136</v>
      </c>
      <c r="D31" s="4" t="s">
        <v>133</v>
      </c>
      <c r="E31" s="4" t="s">
        <v>2</v>
      </c>
      <c r="F31" s="15" t="s">
        <v>4277</v>
      </c>
      <c r="G31" s="15" t="s">
        <v>4278</v>
      </c>
      <c r="I31" t="str">
        <f t="shared" si="0"/>
        <v>UPDATE `katana`.`funeraria_contrato_individual` SET `latitud`='180.513.888', `longitud`='-937.927.777' WHERE  `idcontrato_individual`='MIG30';</v>
      </c>
      <c r="T31" t="str" cm="1">
        <f t="array" aca="1" ref="T31" ca="1">eConcatenar(B31:E31," , ")</f>
        <v>CALLE BENITO JUAREZ MANZANA 1 LOTE 4 , LOS PINOS , HUIMANGUILLO , TABASCO ,</v>
      </c>
    </row>
    <row r="32" spans="1:20" ht="15.75" thickBot="1" x14ac:dyDescent="0.3">
      <c r="A32" s="6" t="s">
        <v>137</v>
      </c>
      <c r="B32" s="4" t="s">
        <v>139</v>
      </c>
      <c r="C32" s="4" t="s">
        <v>26</v>
      </c>
      <c r="D32" s="4" t="s">
        <v>3</v>
      </c>
      <c r="E32" s="4" t="s">
        <v>2</v>
      </c>
      <c r="F32" s="15" t="s">
        <v>4279</v>
      </c>
      <c r="G32" s="15" t="s">
        <v>4280</v>
      </c>
      <c r="I32" t="str">
        <f t="shared" si="0"/>
        <v>UPDATE `katana`.`funeraria_contrato_individual` SET `latitud`='179.919.936', `longitud`='-933.654.384' WHERE  `idcontrato_individual`='MIG31';</v>
      </c>
      <c r="T32" t="str" cm="1">
        <f t="array" aca="1" ref="T32" ca="1">eConcatenar(B32:E32," , ")</f>
        <v>PROLONGACION SANTOS DEGOLLADO , SANTA MARIA DE GUADALUPE , CARDENAS , TABASCO ,</v>
      </c>
    </row>
    <row r="33" spans="1:20" ht="15.75" thickBot="1" x14ac:dyDescent="0.3">
      <c r="A33" s="6" t="s">
        <v>140</v>
      </c>
      <c r="B33" s="4" t="s">
        <v>142</v>
      </c>
      <c r="C33" s="4" t="s">
        <v>143</v>
      </c>
      <c r="D33" s="4" t="s">
        <v>3</v>
      </c>
      <c r="E33" s="4" t="s">
        <v>2</v>
      </c>
      <c r="F33" s="15" t="s">
        <v>4281</v>
      </c>
      <c r="G33" s="15" t="s">
        <v>4282</v>
      </c>
      <c r="I33" t="str">
        <f t="shared" si="0"/>
        <v>UPDATE `katana`.`funeraria_contrato_individual` SET `latitud`='179.821.614', `longitud`='-933.673.288' WHERE  `idcontrato_individual`='MIG32';</v>
      </c>
      <c r="T33" t="str" cm="1">
        <f t="array" aca="1" ref="T33" ca="1">eConcatenar(B33:E33," , ")</f>
        <v>CALLE FRESNO OTE NUMERO 233 MANZANA 4 LOTE 1 , FOVISSSTE  , CARDENAS , TABASCO ,</v>
      </c>
    </row>
    <row r="34" spans="1:20" ht="15.75" thickBot="1" x14ac:dyDescent="0.3">
      <c r="A34" s="6" t="s">
        <v>145</v>
      </c>
      <c r="B34" s="4" t="s">
        <v>146</v>
      </c>
      <c r="C34" s="4" t="s">
        <v>147</v>
      </c>
      <c r="D34" s="4" t="s">
        <v>3</v>
      </c>
      <c r="E34" s="4" t="s">
        <v>2</v>
      </c>
      <c r="F34" s="15" t="s">
        <v>4253</v>
      </c>
      <c r="G34" s="15" t="s">
        <v>4254</v>
      </c>
      <c r="I34" t="str">
        <f t="shared" si="0"/>
        <v>UPDATE `katana`.`funeraria_contrato_individual` SET `latitud`='180.208.414', `longitud`='-933.894.754' WHERE  `idcontrato_individual`='MIG33';</v>
      </c>
      <c r="T34" t="str" cm="1">
        <f t="array" aca="1" ref="T34" ca="1">eConcatenar(B34:E34," , ")</f>
        <v>CALLE 5 MANZANA 4 LOTE 76 , AMPLIACION CAÑALES SEGUNDA ETAPA , CARDENAS , TABASCO ,</v>
      </c>
    </row>
    <row r="35" spans="1:20" ht="15.75" thickBot="1" x14ac:dyDescent="0.3">
      <c r="A35" s="6" t="s">
        <v>149</v>
      </c>
      <c r="B35" s="4" t="s">
        <v>150</v>
      </c>
      <c r="C35" s="4" t="s">
        <v>151</v>
      </c>
      <c r="D35" s="4" t="s">
        <v>3</v>
      </c>
      <c r="E35" s="4" t="s">
        <v>2</v>
      </c>
      <c r="F35" s="15" t="s">
        <v>4283</v>
      </c>
      <c r="G35" s="15" t="s">
        <v>4284</v>
      </c>
      <c r="I35" t="str">
        <f t="shared" si="0"/>
        <v>UPDATE `katana`.`funeraria_contrato_individual` SET `latitud`='180.203.072', `longitud`='-933.908.651' WHERE  `idcontrato_individual`='MIG34';</v>
      </c>
      <c r="T35" t="str" cm="1">
        <f t="array" aca="1" ref="T35" ca="1">eConcatenar(B35:E35," , ")</f>
        <v>CALLE 9 CASA NUMERO 273 , FRACCIONAMIENTO CAÑALES SEGUNDA ETAPA SUR , CARDENAS , TABASCO ,</v>
      </c>
    </row>
    <row r="36" spans="1:20" ht="15.75" thickBot="1" x14ac:dyDescent="0.3">
      <c r="A36" s="6" t="s">
        <v>152</v>
      </c>
      <c r="B36" s="4" t="s">
        <v>155</v>
      </c>
      <c r="C36" s="4" t="s">
        <v>147</v>
      </c>
      <c r="D36" s="4" t="s">
        <v>3</v>
      </c>
      <c r="E36" s="4" t="s">
        <v>2</v>
      </c>
      <c r="F36" s="15" t="s">
        <v>4285</v>
      </c>
      <c r="G36" s="15" t="s">
        <v>4286</v>
      </c>
      <c r="I36" t="str">
        <f t="shared" si="0"/>
        <v>UPDATE `katana`.`funeraria_contrato_individual` SET `latitud`='180.164.515', `longitud`='-9.337.857.559.999.990' WHERE  `idcontrato_individual`='MIG35';</v>
      </c>
      <c r="T36" t="str" cm="1">
        <f t="array" aca="1" ref="T36" ca="1">eConcatenar(B36:E36," , ")</f>
        <v>CALLE 6 MANZANA 6 LOTE 129 , AMPLIACION CAÑALES SEGUNDA ETAPA , CARDENAS , TABASCO ,</v>
      </c>
    </row>
    <row r="37" spans="1:20" ht="15.75" thickBot="1" x14ac:dyDescent="0.3">
      <c r="A37" s="6" t="s">
        <v>156</v>
      </c>
      <c r="B37" s="4" t="s">
        <v>157</v>
      </c>
      <c r="C37" s="4" t="s">
        <v>158</v>
      </c>
      <c r="D37" s="4" t="s">
        <v>3</v>
      </c>
      <c r="E37" s="4" t="s">
        <v>2</v>
      </c>
      <c r="F37" s="15" t="s">
        <v>4287</v>
      </c>
      <c r="G37" s="15" t="s">
        <v>4288</v>
      </c>
      <c r="I37" t="str">
        <f t="shared" si="0"/>
        <v>UPDATE `katana`.`funeraria_contrato_individual` SET `latitud`='180.024.045', `longitud`='-933.779.454' WHERE  `idcontrato_individual`='MIG36';</v>
      </c>
      <c r="T37" t="str" cm="1">
        <f t="array" aca="1" ref="T37" ca="1">eConcatenar(B37:E37," , ")</f>
        <v>CERRADA DE VENUSTIANO CARRANZA SIN NUMERO , NUEVO PROGRESO , CARDENAS , TABASCO ,</v>
      </c>
    </row>
    <row r="38" spans="1:20" ht="15.75" thickBot="1" x14ac:dyDescent="0.3">
      <c r="A38" s="6" t="s">
        <v>159</v>
      </c>
      <c r="B38" s="4" t="s">
        <v>161</v>
      </c>
      <c r="C38" s="4" t="s">
        <v>53</v>
      </c>
      <c r="D38" s="4" t="s">
        <v>3</v>
      </c>
      <c r="E38" s="4" t="s">
        <v>2</v>
      </c>
      <c r="F38" s="15" t="s">
        <v>4289</v>
      </c>
      <c r="G38" s="15" t="s">
        <v>4290</v>
      </c>
      <c r="I38" t="str">
        <f t="shared" si="0"/>
        <v>UPDATE `katana`.`funeraria_contrato_individual` SET `latitud`='179.851.654', `longitud`='-933.694.391' WHERE  `idcontrato_individual`='MIG37';</v>
      </c>
      <c r="T38" t="str" cm="1">
        <f t="array" aca="1" ref="T38" ca="1">eConcatenar(B38:E38," , ")</f>
        <v>CALLE TRINIDAD FUENTES CASTELLANOS NUMERO 29 , INFONAVIT LOMA BONITA , CARDENAS , TABASCO ,</v>
      </c>
    </row>
    <row r="39" spans="1:20" ht="15.75" thickBot="1" x14ac:dyDescent="0.3">
      <c r="A39" s="6" t="s">
        <v>162</v>
      </c>
      <c r="B39" s="4" t="s">
        <v>164</v>
      </c>
      <c r="C39" s="4" t="s">
        <v>57</v>
      </c>
      <c r="D39" s="4" t="s">
        <v>3</v>
      </c>
      <c r="E39" s="4" t="s">
        <v>2</v>
      </c>
      <c r="F39" s="15" t="s">
        <v>4291</v>
      </c>
      <c r="G39" s="15" t="s">
        <v>4292</v>
      </c>
      <c r="I39" t="str">
        <f t="shared" si="0"/>
        <v>UPDATE `katana`.`funeraria_contrato_individual` SET `latitud`='179.904.794', `longitud`='-933.829.869' WHERE  `idcontrato_individual`='MIG38';</v>
      </c>
      <c r="T39" t="str" cm="1">
        <f t="array" aca="1" ref="T39" ca="1">eConcatenar(B39:E39," , ")</f>
        <v>CALLE CARLOS A MOLINA NUMERO 19 , PUEBLO NUEVO , CARDENAS , TABASCO ,</v>
      </c>
    </row>
    <row r="40" spans="1:20" ht="15.75" thickBot="1" x14ac:dyDescent="0.3">
      <c r="A40" s="6" t="s">
        <v>165</v>
      </c>
      <c r="B40" s="4" t="s">
        <v>166</v>
      </c>
      <c r="C40" s="4" t="s">
        <v>78</v>
      </c>
      <c r="D40" s="4" t="s">
        <v>3</v>
      </c>
      <c r="E40" s="4" t="s">
        <v>2</v>
      </c>
      <c r="F40" s="15" t="s">
        <v>4293</v>
      </c>
      <c r="G40" s="15" t="s">
        <v>4294</v>
      </c>
      <c r="I40" t="str">
        <f t="shared" si="0"/>
        <v>UPDATE `katana`.`funeraria_contrato_individual` SET `latitud`='179.877.724', `longitud`='-933.771.012' WHERE  `idcontrato_individual`='MIG39';</v>
      </c>
      <c r="T40" t="str" cm="1">
        <f t="array" aca="1" ref="T40" ca="1">eConcatenar(B40:E40," , ")</f>
        <v>CALLE ABASOLO NUMERO 101 , SANTA CRUZ , CARDENAS , TABASCO ,</v>
      </c>
    </row>
    <row r="41" spans="1:20" ht="15.75" thickBot="1" x14ac:dyDescent="0.3">
      <c r="A41" s="6" t="s">
        <v>167</v>
      </c>
      <c r="B41" s="4" t="s">
        <v>168</v>
      </c>
      <c r="C41" s="4" t="s">
        <v>31</v>
      </c>
      <c r="D41" s="4" t="s">
        <v>3</v>
      </c>
      <c r="E41" s="4" t="s">
        <v>2</v>
      </c>
      <c r="F41" s="15" t="s">
        <v>4295</v>
      </c>
      <c r="G41" s="15" t="s">
        <v>4296</v>
      </c>
      <c r="I41" t="str">
        <f t="shared" si="0"/>
        <v>UPDATE `katana`.`funeraria_contrato_individual` SET `latitud`='17.995.559', `longitud`='-933.861.831' WHERE  `idcontrato_individual`='MIG40';</v>
      </c>
      <c r="T41" t="str" cm="1">
        <f t="array" aca="1" ref="T41" ca="1">eConcatenar(B41:E41," , ")</f>
        <v>CALLE CARLOS A MOLINA  , EL PALMAR , CARDENAS , TABASCO ,</v>
      </c>
    </row>
    <row r="42" spans="1:20" ht="15.75" thickBot="1" x14ac:dyDescent="0.3">
      <c r="A42" s="6" t="s">
        <v>169</v>
      </c>
      <c r="B42" s="4" t="s">
        <v>170</v>
      </c>
      <c r="C42" s="4" t="s">
        <v>57</v>
      </c>
      <c r="D42" s="4" t="s">
        <v>3</v>
      </c>
      <c r="E42" s="4" t="s">
        <v>2</v>
      </c>
      <c r="F42" s="15" t="s">
        <v>4297</v>
      </c>
      <c r="G42" s="15" t="s">
        <v>4298</v>
      </c>
      <c r="I42" t="str">
        <f t="shared" si="0"/>
        <v>UPDATE `katana`.`funeraria_contrato_individual` SET `latitud`='179.945.163', `longitud`='-9.338.417.840.000.000' WHERE  `idcontrato_individual`='MIG41';</v>
      </c>
      <c r="T42" t="str" cm="1">
        <f t="array" aca="1" ref="T42" ca="1">eConcatenar(B42:E42," , ")</f>
        <v>CALLE JOAQUIN CUEVAS 620 INTERIOR 1 , PUEBLO NUEVO , CARDENAS , TABASCO ,</v>
      </c>
    </row>
    <row r="43" spans="1:20" ht="15.75" thickBot="1" x14ac:dyDescent="0.3">
      <c r="A43" s="6" t="s">
        <v>171</v>
      </c>
      <c r="B43" s="4" t="s">
        <v>173</v>
      </c>
      <c r="C43" s="4" t="s">
        <v>174</v>
      </c>
      <c r="D43" s="4" t="s">
        <v>3</v>
      </c>
      <c r="E43" s="4" t="s">
        <v>2</v>
      </c>
      <c r="F43" s="15" t="s">
        <v>4299</v>
      </c>
      <c r="G43" s="15" t="s">
        <v>4300</v>
      </c>
      <c r="I43" t="str">
        <f t="shared" si="0"/>
        <v>UPDATE `katana`.`funeraria_contrato_individual` SET `latitud`='17.997.349', `longitud`='-933.921.258' WHERE  `idcontrato_individual`='MIG42';</v>
      </c>
      <c r="T43" t="str" cm="1">
        <f t="array" aca="1" ref="T43" ca="1">eConcatenar(B43:E43," , ")</f>
        <v>CALLE TURQUEZA NUMERO 17 CASA Q5 , VILLA ESMERALDA , CARDENAS , TABASCO ,</v>
      </c>
    </row>
    <row r="44" spans="1:20" ht="15.75" thickBot="1" x14ac:dyDescent="0.3">
      <c r="A44" s="6" t="s">
        <v>175</v>
      </c>
      <c r="B44" s="4" t="s">
        <v>176</v>
      </c>
      <c r="C44" s="4" t="s">
        <v>177</v>
      </c>
      <c r="D44" s="4" t="s">
        <v>3</v>
      </c>
      <c r="E44" s="4" t="s">
        <v>2</v>
      </c>
      <c r="F44" s="15" t="s">
        <v>4301</v>
      </c>
      <c r="G44" s="15" t="s">
        <v>4302</v>
      </c>
      <c r="I44" t="str">
        <f t="shared" si="0"/>
        <v>UPDATE `katana`.`funeraria_contrato_individual` SET `latitud`='18.008.411', `longitud`='-9.337.290.449.999.990' WHERE  `idcontrato_individual`='MIG43';</v>
      </c>
      <c r="T44" t="str" cm="1">
        <f t="array" aca="1" ref="T44" ca="1">eConcatenar(B44:E44," , ")</f>
        <v>CALLE 4 CASA NUMERO 171 , ALAMEDA , CARDENAS , TABASCO ,</v>
      </c>
    </row>
    <row r="45" spans="1:20" ht="15.75" thickBot="1" x14ac:dyDescent="0.3">
      <c r="A45" s="6" t="s">
        <v>178</v>
      </c>
      <c r="B45" s="4" t="s">
        <v>179</v>
      </c>
      <c r="C45" s="4" t="s">
        <v>180</v>
      </c>
      <c r="D45" s="4" t="s">
        <v>3</v>
      </c>
      <c r="E45" s="4" t="s">
        <v>2</v>
      </c>
      <c r="F45" s="15" t="s">
        <v>4303</v>
      </c>
      <c r="G45" s="15" t="s">
        <v>4304</v>
      </c>
      <c r="I45" t="str">
        <f t="shared" si="0"/>
        <v>UPDATE `katana`.`funeraria_contrato_individual` SET `latitud`='179.733.521', `longitud`='-933.776.974' WHERE  `idcontrato_individual`='MIG44';</v>
      </c>
      <c r="T45" t="str" cm="1">
        <f t="array" aca="1" ref="T45" ca="1">eConcatenar(B45:E45," , ")</f>
        <v>CALLE FRAMBOYAN SIN NUMERO , FRACCIONAMIENTO JARDINES DE TABASCO , CARDENAS , TABASCO ,</v>
      </c>
    </row>
    <row r="46" spans="1:20" ht="15.75" thickBot="1" x14ac:dyDescent="0.3">
      <c r="A46" s="6" t="s">
        <v>181</v>
      </c>
      <c r="B46" s="4" t="s">
        <v>182</v>
      </c>
      <c r="C46" s="4" t="s">
        <v>72</v>
      </c>
      <c r="D46" s="4" t="s">
        <v>3</v>
      </c>
      <c r="E46" s="4" t="s">
        <v>2</v>
      </c>
      <c r="F46" s="15" t="s">
        <v>4305</v>
      </c>
      <c r="G46" s="15" t="s">
        <v>4306</v>
      </c>
      <c r="I46" t="str">
        <f t="shared" si="0"/>
        <v>UPDATE `katana`.`funeraria_contrato_individual` SET `latitud`='179.667.316', `longitud`='-9.337.628.169.999.990' WHERE  `idcontrato_individual`='MIG45';</v>
      </c>
      <c r="T46" t="str" cm="1">
        <f t="array" aca="1" ref="T46" ca="1">eConcatenar(B46:E46," , ")</f>
        <v>CALLE ARABIA 5 MANZANA 5 LOTE 31 , JACINTO LOPEZ , CARDENAS , TABASCO ,</v>
      </c>
    </row>
    <row r="47" spans="1:20" ht="15.75" thickBot="1" x14ac:dyDescent="0.3">
      <c r="A47" s="6" t="s">
        <v>183</v>
      </c>
      <c r="B47" s="4" t="s">
        <v>184</v>
      </c>
      <c r="C47" s="4" t="s">
        <v>185</v>
      </c>
      <c r="D47" s="4" t="s">
        <v>3</v>
      </c>
      <c r="E47" s="4" t="s">
        <v>2</v>
      </c>
      <c r="F47" s="15" t="s">
        <v>4307</v>
      </c>
      <c r="G47" s="15" t="s">
        <v>4308</v>
      </c>
      <c r="I47" t="str">
        <f t="shared" si="0"/>
        <v>UPDATE `katana`.`funeraria_contrato_individual` SET `latitud`='179.718.531', `longitud`='-933.629.881' WHERE  `idcontrato_individual`='MIG46';</v>
      </c>
      <c r="T47" t="str" cm="1">
        <f t="array" aca="1" ref="T47" ca="1">eConcatenar(B47:E47," , ")</f>
        <v>CALLE TULIPAN   , BAJIO PRIMERA SECCION , CARDENAS , TABASCO ,</v>
      </c>
    </row>
    <row r="48" spans="1:20" ht="15.75" thickBot="1" x14ac:dyDescent="0.3">
      <c r="A48" s="6" t="s">
        <v>186</v>
      </c>
      <c r="B48" s="4" t="s">
        <v>187</v>
      </c>
      <c r="C48" s="4" t="s">
        <v>40</v>
      </c>
      <c r="D48" s="4" t="s">
        <v>3</v>
      </c>
      <c r="E48" s="4" t="s">
        <v>2</v>
      </c>
      <c r="F48" s="15" t="s">
        <v>4309</v>
      </c>
      <c r="G48" s="15" t="s">
        <v>4310</v>
      </c>
      <c r="I48" t="str">
        <f t="shared" si="0"/>
        <v>UPDATE `katana`.`funeraria_contrato_individual` SET `latitud`='179.866.615', `longitud`='-933.732.747' WHERE  `idcontrato_individual`='MIG47';</v>
      </c>
      <c r="T48" t="str" cm="1">
        <f t="array" aca="1" ref="T48" ca="1">eConcatenar(B48:E48," , ")</f>
        <v>CALLE REFORMA NUMERO 635 , CENTRO , CARDENAS , TABASCO ,</v>
      </c>
    </row>
    <row r="49" spans="1:20" ht="15.75" thickBot="1" x14ac:dyDescent="0.3">
      <c r="A49" s="6" t="s">
        <v>188</v>
      </c>
      <c r="B49" s="4" t="s">
        <v>189</v>
      </c>
      <c r="C49" s="4" t="s">
        <v>91</v>
      </c>
      <c r="D49" s="4" t="s">
        <v>3</v>
      </c>
      <c r="E49" s="4" t="s">
        <v>2</v>
      </c>
      <c r="F49" s="15" t="s">
        <v>4311</v>
      </c>
      <c r="G49" s="15" t="s">
        <v>4312</v>
      </c>
      <c r="I49" t="str">
        <f t="shared" si="0"/>
        <v>UPDATE `katana`.`funeraria_contrato_individual` SET `latitud`='180.183.137', `longitud`='-933.680.316' WHERE  `idcontrato_individual`='MIG48';</v>
      </c>
      <c r="T49" t="str" cm="1">
        <f t="array" aca="1" ref="T49" ca="1">eConcatenar(B49:E49," , ")</f>
        <v>CERRADA SAN PEDRO CASA NUMERO 898 , MELCHOR OCAMPO , CARDENAS , TABASCO ,</v>
      </c>
    </row>
    <row r="50" spans="1:20" ht="15.75" thickBot="1" x14ac:dyDescent="0.3">
      <c r="A50" s="6" t="s">
        <v>190</v>
      </c>
      <c r="B50" s="4" t="s">
        <v>191</v>
      </c>
      <c r="C50" s="4" t="s">
        <v>192</v>
      </c>
      <c r="D50" s="4" t="s">
        <v>3</v>
      </c>
      <c r="E50" s="4" t="s">
        <v>2</v>
      </c>
      <c r="F50" s="15" t="s">
        <v>4313</v>
      </c>
      <c r="G50" s="15" t="s">
        <v>4314</v>
      </c>
      <c r="I50" t="str">
        <f t="shared" si="0"/>
        <v>UPDATE `katana`.`funeraria_contrato_individual` SET `latitud`='179.823.084', `longitud`='-933.848.775' WHERE  `idcontrato_individual`='MIG49';</v>
      </c>
      <c r="T50" t="str" cm="1">
        <f t="array" aca="1" ref="T50" ca="1">eConcatenar(B50:E50," , ")</f>
        <v>CALLE PRESA HUITLES CASA NUMERO 31 , CAMPAMENTO SARH , CARDENAS , TABASCO ,</v>
      </c>
    </row>
    <row r="51" spans="1:20" ht="15.75" thickBot="1" x14ac:dyDescent="0.3">
      <c r="A51" s="10" t="s">
        <v>193</v>
      </c>
      <c r="B51" s="11" t="s">
        <v>72</v>
      </c>
      <c r="C51" s="11" t="s">
        <v>196</v>
      </c>
      <c r="D51" s="11" t="s">
        <v>3</v>
      </c>
      <c r="E51" s="11" t="s">
        <v>2</v>
      </c>
      <c r="F51" s="15" t="s">
        <v>4315</v>
      </c>
      <c r="G51" s="15" t="s">
        <v>4316</v>
      </c>
      <c r="I51" t="str">
        <f t="shared" si="0"/>
        <v>UPDATE `katana`.`funeraria_contrato_individual` SET `latitud`='179.660.715', `longitud`='-933.789.517' WHERE  `idcontrato_individual`='MIG50';</v>
      </c>
      <c r="T51" t="str" cm="1">
        <f t="array" aca="1" ref="T51" ca="1">eConcatenar(B51:E51," , ")</f>
        <v>JACINTO LOPEZ , RIO SECO Y MONTAÑA NUMERO 22 , CARDENAS , TABASCO ,</v>
      </c>
    </row>
    <row r="52" spans="1:20" ht="15.75" thickBot="1" x14ac:dyDescent="0.3">
      <c r="A52" s="10" t="s">
        <v>197</v>
      </c>
      <c r="B52" s="11" t="s">
        <v>199</v>
      </c>
      <c r="C52" s="11" t="s">
        <v>106</v>
      </c>
      <c r="D52" s="11" t="s">
        <v>133</v>
      </c>
      <c r="E52" s="11" t="s">
        <v>2</v>
      </c>
      <c r="F52" s="15" t="s">
        <v>4317</v>
      </c>
      <c r="G52" s="15" t="s">
        <v>4318</v>
      </c>
      <c r="I52" t="str">
        <f t="shared" si="0"/>
        <v>UPDATE `katana`.`funeraria_contrato_individual` SET `latitud`='179.449.238', `longitud`='-933.845.283' WHERE  `idcontrato_individual`='MIG51';</v>
      </c>
      <c r="T52" t="str" cm="1">
        <f t="array" aca="1" ref="T52" ca="1">eConcatenar(B52:E52," , ")</f>
        <v>RIO SECO Y MONTAÑA , PRINCIPAL , HUIMANGUILLO , TABASCO ,</v>
      </c>
    </row>
    <row r="53" spans="1:20" ht="15.75" thickBot="1" x14ac:dyDescent="0.3">
      <c r="A53" s="10" t="s">
        <v>200</v>
      </c>
      <c r="B53" s="11" t="s">
        <v>202</v>
      </c>
      <c r="C53" s="11" t="s">
        <v>203</v>
      </c>
      <c r="D53" s="11" t="s">
        <v>3</v>
      </c>
      <c r="E53" s="11" t="s">
        <v>2</v>
      </c>
      <c r="F53" s="15" t="s">
        <v>4257</v>
      </c>
      <c r="G53" s="15" t="s">
        <v>4258</v>
      </c>
      <c r="I53" t="str">
        <f t="shared" si="0"/>
        <v>UPDATE `katana`.`funeraria_contrato_individual` SET `latitud`='180.012.067', `longitud`='-9.337.323.390.000.000' WHERE  `idcontrato_individual`='MIG52';</v>
      </c>
      <c r="T53" t="str" cm="1">
        <f t="array" aca="1" ref="T53" ca="1">eConcatenar(B53:E53," , ")</f>
        <v>INFONAVIT LOMA , TAMARINDO CASA NUMERO 24 LOTE 2 , CARDENAS , TABASCO ,</v>
      </c>
    </row>
    <row r="54" spans="1:20" ht="15.75" thickBot="1" x14ac:dyDescent="0.3">
      <c r="A54" s="10" t="s">
        <v>205</v>
      </c>
      <c r="B54" s="11" t="s">
        <v>208</v>
      </c>
      <c r="C54" s="11" t="s">
        <v>209</v>
      </c>
      <c r="D54" s="11" t="s">
        <v>3</v>
      </c>
      <c r="E54" s="11" t="s">
        <v>2</v>
      </c>
      <c r="F54" s="15" t="s">
        <v>4319</v>
      </c>
      <c r="G54" s="15" t="s">
        <v>4320</v>
      </c>
      <c r="I54" t="str">
        <f t="shared" si="0"/>
        <v>UPDATE `katana`.`funeraria_contrato_individual` SET `latitud`='179.849.532', `longitud`='-9.336.030.439.999.990' WHERE  `idcontrato_individual`='MIG53';</v>
      </c>
      <c r="T54" t="str" cm="1">
        <f t="array" aca="1" ref="T54" ca="1">eConcatenar(B54:E54," , ")</f>
        <v>SECCION 40 , TENOSIQUE NUMERO 256 INTERIOR CASA NUMERO 4 , CARDENAS , TABASCO ,</v>
      </c>
    </row>
    <row r="55" spans="1:20" ht="15.75" thickBot="1" x14ac:dyDescent="0.3">
      <c r="A55" s="10" t="s">
        <v>211</v>
      </c>
      <c r="B55" s="11" t="s">
        <v>212</v>
      </c>
      <c r="C55" s="11" t="s">
        <v>213</v>
      </c>
      <c r="D55" s="11" t="s">
        <v>3</v>
      </c>
      <c r="E55" s="11" t="s">
        <v>2</v>
      </c>
      <c r="F55" s="15" t="s">
        <v>4321</v>
      </c>
      <c r="G55" s="15" t="s">
        <v>4322</v>
      </c>
      <c r="I55" t="str">
        <f t="shared" si="0"/>
        <v>UPDATE `katana`.`funeraria_contrato_individual` SET `latitud`='179.783.253', `longitud`='-933.793.932' WHERE  `idcontrato_individual`='MIG54';</v>
      </c>
      <c r="T55" t="str" cm="1">
        <f t="array" aca="1" ref="T55" ca="1">eConcatenar(B55:E55," , ")</f>
        <v>INFONAVIT DEPORTIVA , GUARAGUAO MANZANA 1 LOTE 10 , CARDENAS , TABASCO ,</v>
      </c>
    </row>
    <row r="56" spans="1:20" ht="15.75" thickBot="1" x14ac:dyDescent="0.3">
      <c r="A56" s="10" t="s">
        <v>214</v>
      </c>
      <c r="B56" s="11" t="s">
        <v>215</v>
      </c>
      <c r="C56" s="11" t="s">
        <v>216</v>
      </c>
      <c r="D56" s="11" t="s">
        <v>3</v>
      </c>
      <c r="E56" s="11" t="s">
        <v>2</v>
      </c>
      <c r="F56" s="15" t="s">
        <v>4275</v>
      </c>
      <c r="G56" s="15" t="s">
        <v>4276</v>
      </c>
      <c r="I56" t="str">
        <f t="shared" si="0"/>
        <v>UPDATE `katana`.`funeraria_contrato_individual` SET `latitud`='179.702.002', `longitud`='-9.335.778.479.999.990' WHERE  `idcontrato_individual`='MIG55';</v>
      </c>
      <c r="T56" t="str" cm="1">
        <f t="array" aca="1" ref="T56" ca="1">eConcatenar(B56:E56," , ")</f>
        <v>BAJIO SEGUNDA SECCION , HOMBRES DEL SURESTE MANZANA 10 LOTE 9 , CARDENAS , TABASCO ,</v>
      </c>
    </row>
    <row r="57" spans="1:20" ht="15.75" thickBot="1" x14ac:dyDescent="0.3">
      <c r="A57" s="10" t="s">
        <v>217</v>
      </c>
      <c r="B57" s="11" t="s">
        <v>34</v>
      </c>
      <c r="C57" s="11" t="s">
        <v>219</v>
      </c>
      <c r="D57" s="11" t="s">
        <v>3</v>
      </c>
      <c r="E57" s="11" t="s">
        <v>2</v>
      </c>
      <c r="F57" s="15" t="s">
        <v>4323</v>
      </c>
      <c r="G57" s="15" t="s">
        <v>4324</v>
      </c>
      <c r="I57" t="str">
        <f t="shared" si="0"/>
        <v>UPDATE `katana`.`funeraria_contrato_individual` SET `latitud`='179.907.031', `longitud`='-933.671.004' WHERE  `idcontrato_individual`='MIG56';</v>
      </c>
      <c r="T57" t="str" cm="1">
        <f t="array" aca="1" ref="T57" ca="1">eConcatenar(B57:E57," , ")</f>
        <v>EL TOLOQUE , EL LIMON , CARDENAS , TABASCO ,</v>
      </c>
    </row>
    <row r="58" spans="1:20" ht="15.75" thickBot="1" x14ac:dyDescent="0.3">
      <c r="A58" s="10" t="s">
        <v>220</v>
      </c>
      <c r="B58" s="11" t="s">
        <v>57</v>
      </c>
      <c r="C58" s="11" t="s">
        <v>221</v>
      </c>
      <c r="D58" s="11" t="s">
        <v>3</v>
      </c>
      <c r="E58" s="11" t="s">
        <v>2</v>
      </c>
      <c r="F58" s="15" t="s">
        <v>4325</v>
      </c>
      <c r="G58" s="15" t="s">
        <v>4326</v>
      </c>
      <c r="I58" t="str">
        <f t="shared" si="0"/>
        <v>UPDATE `katana`.`funeraria_contrato_individual` SET `latitud`='17.991.161', `longitud`='-933.816.772' WHERE  `idcontrato_individual`='MIG57';</v>
      </c>
      <c r="T58" t="str" cm="1">
        <f t="array" aca="1" ref="T58" ca="1">eConcatenar(B58:E58," , ")</f>
        <v>PUEBLO NUEVO , ERNESTO AGUIRRE COLORADI NUMERO 418-5 , CARDENAS , TABASCO ,</v>
      </c>
    </row>
    <row r="59" spans="1:20" ht="15.75" thickBot="1" x14ac:dyDescent="0.3">
      <c r="A59" s="10" t="s">
        <v>222</v>
      </c>
      <c r="B59" s="11" t="s">
        <v>72</v>
      </c>
      <c r="C59" s="11" t="s">
        <v>224</v>
      </c>
      <c r="D59" s="11" t="s">
        <v>3</v>
      </c>
      <c r="E59" s="11" t="s">
        <v>2</v>
      </c>
      <c r="F59" s="15" t="s">
        <v>4327</v>
      </c>
      <c r="G59" s="15" t="s">
        <v>4328</v>
      </c>
      <c r="I59" t="str">
        <f t="shared" si="0"/>
        <v>UPDATE `katana`.`funeraria_contrato_individual` SET `latitud`='179.675.103', `longitud`='-933.736.237' WHERE  `idcontrato_individual`='MIG58';</v>
      </c>
      <c r="T59" t="str" cm="1">
        <f t="array" aca="1" ref="T59" ca="1">eConcatenar(B59:E59," , ")</f>
        <v>JACINTO LOPEZ , ARABIA II SIN NUMERO , CARDENAS , TABASCO ,</v>
      </c>
    </row>
    <row r="60" spans="1:20" ht="15.75" thickBot="1" x14ac:dyDescent="0.3">
      <c r="A60" s="10" t="s">
        <v>226</v>
      </c>
      <c r="B60" s="11" t="s">
        <v>72</v>
      </c>
      <c r="C60" s="11" t="s">
        <v>228</v>
      </c>
      <c r="D60" s="11" t="s">
        <v>3</v>
      </c>
      <c r="E60" s="11" t="s">
        <v>2</v>
      </c>
      <c r="F60" s="15" t="s">
        <v>4329</v>
      </c>
      <c r="G60" s="15" t="s">
        <v>4330</v>
      </c>
      <c r="I60" t="str">
        <f t="shared" si="0"/>
        <v>UPDATE `katana`.`funeraria_contrato_individual` SET `latitud`='179.694.889', `longitud`='-933.732.716' WHERE  `idcontrato_individual`='MIG59';</v>
      </c>
      <c r="T60" t="str" cm="1">
        <f t="array" aca="1" ref="T60" ca="1">eConcatenar(B60:E60," , ")</f>
        <v>JACINTO LOPEZ , RUMANIA VII , CARDENAS , TABASCO ,</v>
      </c>
    </row>
    <row r="61" spans="1:20" ht="15.75" thickBot="1" x14ac:dyDescent="0.3">
      <c r="A61" s="10" t="s">
        <v>229</v>
      </c>
      <c r="B61" s="11" t="s">
        <v>208</v>
      </c>
      <c r="C61" s="11" t="s">
        <v>231</v>
      </c>
      <c r="D61" s="11" t="s">
        <v>3</v>
      </c>
      <c r="E61" s="11" t="s">
        <v>2</v>
      </c>
      <c r="F61" s="15" t="s">
        <v>4331</v>
      </c>
      <c r="G61" s="15" t="s">
        <v>4332</v>
      </c>
      <c r="I61" t="str">
        <f t="shared" si="0"/>
        <v>UPDATE `katana`.`funeraria_contrato_individual` SET `latitud`='179.839.528', `longitud`='-933.700.728' WHERE  `idcontrato_individual`='MIG60';</v>
      </c>
      <c r="T61" t="str" cm="1">
        <f t="array" aca="1" ref="T61" ca="1">eConcatenar(B61:E61," , ")</f>
        <v>SECCION 40 , FRONTERA NUMERO 31 , CARDENAS , TABASCO ,</v>
      </c>
    </row>
    <row r="62" spans="1:20" ht="15.75" thickBot="1" x14ac:dyDescent="0.3">
      <c r="A62" s="10" t="s">
        <v>233</v>
      </c>
      <c r="B62" s="11" t="s">
        <v>235</v>
      </c>
      <c r="C62" s="11" t="s">
        <v>236</v>
      </c>
      <c r="D62" s="11" t="s">
        <v>3</v>
      </c>
      <c r="E62" s="11" t="s">
        <v>2</v>
      </c>
      <c r="F62" s="15" t="s">
        <v>4333</v>
      </c>
      <c r="G62" s="15" t="s">
        <v>4334</v>
      </c>
      <c r="I62" t="str">
        <f t="shared" si="0"/>
        <v>UPDATE `katana`.`funeraria_contrato_individual` SET `latitud`='178.320.441', `longitud`='-933.918.106' WHERE  `idcontrato_individual`='MIG61';</v>
      </c>
      <c r="T62" t="str" cm="1">
        <f t="array" aca="1" ref="T62" ca="1">eConcatenar(B62:E62," , ")</f>
        <v>CHACHALACA NUMERO 124 , HUIMANGUILLO CARDENAS , CARDENAS , TABASCO ,</v>
      </c>
    </row>
    <row r="63" spans="1:20" ht="15.75" thickBot="1" x14ac:dyDescent="0.3">
      <c r="A63" s="10" t="s">
        <v>237</v>
      </c>
      <c r="B63" s="11" t="s">
        <v>40</v>
      </c>
      <c r="C63" s="11" t="s">
        <v>239</v>
      </c>
      <c r="D63" s="11" t="s">
        <v>3</v>
      </c>
      <c r="E63" s="11" t="s">
        <v>2</v>
      </c>
      <c r="F63" s="15" t="s">
        <v>4335</v>
      </c>
      <c r="G63" s="15" t="s">
        <v>4336</v>
      </c>
      <c r="I63" t="str">
        <f t="shared" si="0"/>
        <v>UPDATE `katana`.`funeraria_contrato_individual` SET `latitud`='179.924.145', `longitud`='-933.795.002' WHERE  `idcontrato_individual`='MIG62';</v>
      </c>
      <c r="T63" t="str" cm="1">
        <f t="array" aca="1" ref="T63" ca="1">eConcatenar(B63:E63," , ")</f>
        <v>CENTRO , MANUEL LEYVA  , CARDENAS , TABASCO ,</v>
      </c>
    </row>
    <row r="64" spans="1:20" ht="15.75" thickBot="1" x14ac:dyDescent="0.3">
      <c r="A64" s="10" t="s">
        <v>242</v>
      </c>
      <c r="B64" s="11" t="s">
        <v>40</v>
      </c>
      <c r="C64" s="11" t="s">
        <v>244</v>
      </c>
      <c r="D64" s="11" t="s">
        <v>3</v>
      </c>
      <c r="E64" s="11" t="s">
        <v>2</v>
      </c>
      <c r="F64" s="15" t="s">
        <v>4337</v>
      </c>
      <c r="G64" s="15" t="s">
        <v>4338</v>
      </c>
      <c r="I64" t="str">
        <f t="shared" si="0"/>
        <v>UPDATE `katana`.`funeraria_contrato_individual` SET `latitud`='179.866.239', `longitud`='-933.720.544' WHERE  `idcontrato_individual`='MIG63';</v>
      </c>
      <c r="T64" t="str" cm="1">
        <f t="array" aca="1" ref="T64" ca="1">eConcatenar(B64:E64," , ")</f>
        <v>CENTRO , XICOTENCATL  , CARDENAS , TABASCO ,</v>
      </c>
    </row>
    <row r="65" spans="1:20" ht="15.75" thickBot="1" x14ac:dyDescent="0.3">
      <c r="A65" s="10" t="s">
        <v>245</v>
      </c>
      <c r="B65" s="11" t="s">
        <v>246</v>
      </c>
      <c r="C65" s="11" t="s">
        <v>247</v>
      </c>
      <c r="D65" s="11" t="s">
        <v>3</v>
      </c>
      <c r="E65" s="11" t="s">
        <v>2</v>
      </c>
      <c r="F65" s="15" t="s">
        <v>4339</v>
      </c>
      <c r="G65" s="15" t="s">
        <v>4340</v>
      </c>
      <c r="I65" t="str">
        <f t="shared" si="0"/>
        <v>UPDATE `katana`.`funeraria_contrato_individual` SET `latitud`='180.208.471', `longitud`='-933.810.963' WHERE  `idcontrato_individual`='MIG64';</v>
      </c>
      <c r="T65" t="str" cm="1">
        <f t="array" aca="1" ref="T65" ca="1">eConcatenar(B65:E65," , ")</f>
        <v>CAÑALES III LADO NORTE , 14 MANZANA 28 LOTE 3 , CARDENAS , TABASCO ,</v>
      </c>
    </row>
    <row r="66" spans="1:20" ht="15.75" thickBot="1" x14ac:dyDescent="0.3">
      <c r="A66" s="10" t="s">
        <v>248</v>
      </c>
      <c r="B66" s="11" t="s">
        <v>72</v>
      </c>
      <c r="C66" s="11" t="s">
        <v>250</v>
      </c>
      <c r="D66" s="11" t="s">
        <v>3</v>
      </c>
      <c r="E66" s="11" t="s">
        <v>2</v>
      </c>
      <c r="F66" s="15" t="s">
        <v>4341</v>
      </c>
      <c r="G66" s="15" t="s">
        <v>4342</v>
      </c>
      <c r="I66" t="str">
        <f t="shared" ref="I66:I129" si="1">CONCATENATE("UPDATE `katana`.`funeraria_contrato_individual` SET `latitud`='",F66,"', `longitud`='",G66,"' WHERE  `idcontrato_individual`='",A66,"';")</f>
        <v>UPDATE `katana`.`funeraria_contrato_individual` SET `latitud`='17.987.426', `longitud`='-93.378.473' WHERE  `idcontrato_individual`='MIG65';</v>
      </c>
      <c r="T66" t="str" cm="1">
        <f t="array" aca="1" ref="T66" ca="1">eConcatenar(B66:E66," , ")</f>
        <v>JACINTO LOPEZ , AREA VERDE , CARDENAS , TABASCO ,</v>
      </c>
    </row>
    <row r="67" spans="1:20" ht="15.75" thickBot="1" x14ac:dyDescent="0.3">
      <c r="A67" s="10" t="s">
        <v>252</v>
      </c>
      <c r="B67" s="11" t="s">
        <v>253</v>
      </c>
      <c r="C67" s="11" t="s">
        <v>254</v>
      </c>
      <c r="D67" s="11" t="s">
        <v>3</v>
      </c>
      <c r="E67" s="11" t="s">
        <v>2</v>
      </c>
      <c r="F67" s="15" t="s">
        <v>4343</v>
      </c>
      <c r="G67" s="15" t="s">
        <v>4344</v>
      </c>
      <c r="I67" t="str">
        <f t="shared" si="1"/>
        <v>UPDATE `katana`.`funeraria_contrato_individual` SET `latitud`='179.757.575', `longitud`='-9.338.115.839.999.990' WHERE  `idcontrato_individual`='MIG66';</v>
      </c>
      <c r="T67" t="str" cm="1">
        <f t="array" aca="1" ref="T67" ca="1">eConcatenar(B67:E67," , ")</f>
        <v>SANTA MARIA PERIFERICO , POCHOTE , CARDENAS , TABASCO ,</v>
      </c>
    </row>
    <row r="68" spans="1:20" ht="15.75" thickBot="1" x14ac:dyDescent="0.3">
      <c r="A68" s="10" t="s">
        <v>256</v>
      </c>
      <c r="B68" s="11" t="s">
        <v>212</v>
      </c>
      <c r="C68" s="11" t="s">
        <v>257</v>
      </c>
      <c r="D68" s="11" t="s">
        <v>3</v>
      </c>
      <c r="E68" s="11" t="s">
        <v>2</v>
      </c>
      <c r="F68" s="15" t="s">
        <v>4345</v>
      </c>
      <c r="G68" s="15" t="s">
        <v>4346</v>
      </c>
      <c r="I68" t="str">
        <f t="shared" si="1"/>
        <v>UPDATE `katana`.`funeraria_contrato_individual` SET `latitud`='179.762.941', `longitud`='-933.785.577' WHERE  `idcontrato_individual`='MIG67';</v>
      </c>
      <c r="T68" t="str" cm="1">
        <f t="array" aca="1" ref="T68" ca="1">eConcatenar(B68:E68," , ")</f>
        <v>INFONAVIT DEPORTIVA , HALCON MANZANA 14 LT 239 , CARDENAS , TABASCO ,</v>
      </c>
    </row>
    <row r="69" spans="1:20" ht="15.75" thickBot="1" x14ac:dyDescent="0.3">
      <c r="A69" s="10" t="s">
        <v>258</v>
      </c>
      <c r="B69" s="11" t="s">
        <v>259</v>
      </c>
      <c r="C69" s="11" t="s">
        <v>260</v>
      </c>
      <c r="D69" s="11" t="s">
        <v>3</v>
      </c>
      <c r="E69" s="11" t="s">
        <v>2</v>
      </c>
      <c r="F69" s="15" t="s">
        <v>4347</v>
      </c>
      <c r="G69" s="15" t="s">
        <v>4348</v>
      </c>
      <c r="I69" t="str">
        <f t="shared" si="1"/>
        <v>UPDATE `katana`.`funeraria_contrato_individual` SET `latitud`='179.893.367', `longitud`='-933.919.801' WHERE  `idcontrato_individual`='MIG68';</v>
      </c>
      <c r="T69" t="str" cm="1">
        <f t="array" aca="1" ref="T69" ca="1">eConcatenar(B69:E69," , ")</f>
        <v>ADA ISABEL , CEDROS MANZANA LOTE 13 , CARDENAS , TABASCO ,</v>
      </c>
    </row>
    <row r="70" spans="1:20" ht="15.75" thickBot="1" x14ac:dyDescent="0.3">
      <c r="A70" s="10" t="s">
        <v>261</v>
      </c>
      <c r="B70" s="11" t="s">
        <v>259</v>
      </c>
      <c r="C70" s="11" t="s">
        <v>262</v>
      </c>
      <c r="D70" s="11" t="s">
        <v>3</v>
      </c>
      <c r="E70" s="11" t="s">
        <v>2</v>
      </c>
      <c r="F70" s="15" t="s">
        <v>4349</v>
      </c>
      <c r="G70" s="15" t="s">
        <v>4350</v>
      </c>
      <c r="I70" t="str">
        <f t="shared" si="1"/>
        <v>UPDATE `katana`.`funeraria_contrato_individual` SET `latitud`='257.894.036', `longitud`='-1.003.011.458' WHERE  `idcontrato_individual`='MIG69';</v>
      </c>
      <c r="T70" t="str" cm="1">
        <f t="array" aca="1" ref="T70" ca="1">eConcatenar(B70:E70," , ")</f>
        <v>ADA ISABEL , FRANISCO I MADERO , CARDENAS , TABASCO ,</v>
      </c>
    </row>
    <row r="71" spans="1:20" ht="15.75" thickBot="1" x14ac:dyDescent="0.3">
      <c r="A71" s="10" t="s">
        <v>264</v>
      </c>
      <c r="B71" s="11" t="s">
        <v>212</v>
      </c>
      <c r="C71" s="11" t="s">
        <v>267</v>
      </c>
      <c r="D71" s="11" t="s">
        <v>3</v>
      </c>
      <c r="E71" s="11" t="s">
        <v>2</v>
      </c>
      <c r="F71" s="15" t="s">
        <v>4351</v>
      </c>
      <c r="G71" s="15" t="s">
        <v>4352</v>
      </c>
      <c r="I71" t="str">
        <f t="shared" si="1"/>
        <v>UPDATE `katana`.`funeraria_contrato_individual` SET `latitud`='179.759.008', `longitud`='-9.337.981.669.999.990' WHERE  `idcontrato_individual`='MIG70';</v>
      </c>
      <c r="T71" t="str" cm="1">
        <f t="array" aca="1" ref="T71" ca="1">eConcatenar(B71:E71," , ")</f>
        <v>INFONAVIT DEPORTIVA , PERIFERICO MANZA 17 LOTE 9 , CARDENAS , TABASCO ,</v>
      </c>
    </row>
    <row r="72" spans="1:20" ht="15.75" thickBot="1" x14ac:dyDescent="0.3">
      <c r="A72" s="10" t="s">
        <v>268</v>
      </c>
      <c r="B72" s="11" t="s">
        <v>208</v>
      </c>
      <c r="C72" s="11" t="s">
        <v>269</v>
      </c>
      <c r="D72" s="11" t="s">
        <v>3</v>
      </c>
      <c r="E72" s="11" t="s">
        <v>2</v>
      </c>
      <c r="F72" s="15" t="s">
        <v>4353</v>
      </c>
      <c r="G72" s="15" t="s">
        <v>4354</v>
      </c>
      <c r="I72" t="str">
        <f t="shared" si="1"/>
        <v>UPDATE `katana`.`funeraria_contrato_individual` SET `latitud`='179.841.654', `longitud`='-933.708.721' WHERE  `idcontrato_individual`='MIG71';</v>
      </c>
      <c r="T72" t="str" cm="1">
        <f t="array" aca="1" ref="T72" ca="1">eConcatenar(B72:E72," , ")</f>
        <v>SECCION 40 , FRONTERA NUMERO 18 , CARDENAS , TABASCO ,</v>
      </c>
    </row>
    <row r="73" spans="1:20" ht="15.75" thickBot="1" x14ac:dyDescent="0.3">
      <c r="A73" s="10" t="s">
        <v>270</v>
      </c>
      <c r="B73" s="11" t="s">
        <v>259</v>
      </c>
      <c r="C73" s="11" t="s">
        <v>272</v>
      </c>
      <c r="D73" s="11" t="s">
        <v>271</v>
      </c>
      <c r="E73" s="11" t="s">
        <v>2</v>
      </c>
      <c r="F73" s="15" t="s">
        <v>4355</v>
      </c>
      <c r="G73" s="15" t="s">
        <v>4356</v>
      </c>
      <c r="I73" t="str">
        <f t="shared" si="1"/>
        <v>UPDATE `katana`.`funeraria_contrato_individual` SET `latitud`='180.301.145', `longitud`='-929.449.381' WHERE  `idcontrato_individual`='MIG72';</v>
      </c>
      <c r="T73" t="str" cm="1">
        <f t="array" aca="1" ref="T73" ca="1">eConcatenar(B73:E73," , ")</f>
        <v>ADA ISABEL , CEDRO SIN NUMERO , HUINMANGUILLO , TABASCO ,</v>
      </c>
    </row>
    <row r="74" spans="1:20" ht="15.75" thickBot="1" x14ac:dyDescent="0.3">
      <c r="A74" s="10" t="s">
        <v>273</v>
      </c>
      <c r="B74" s="11" t="s">
        <v>275</v>
      </c>
      <c r="C74" s="11" t="s">
        <v>276</v>
      </c>
      <c r="D74" s="11" t="s">
        <v>3</v>
      </c>
      <c r="E74" s="11" t="s">
        <v>2</v>
      </c>
      <c r="F74" s="15" t="s">
        <v>4357</v>
      </c>
      <c r="G74" s="15" t="s">
        <v>4358</v>
      </c>
      <c r="I74" t="str">
        <f t="shared" si="1"/>
        <v>UPDATE `katana`.`funeraria_contrato_individual` SET `latitud`='179.899.225', `longitud`='-933.684.281' WHERE  `idcontrato_individual`='MIG73';</v>
      </c>
      <c r="T74" t="str" cm="1">
        <f t="array" aca="1" ref="T74" ca="1">eConcatenar(B74:E74," , ")</f>
        <v>TOLOQUE , VICENTE GUERRERO , CARDENAS , TABASCO ,</v>
      </c>
    </row>
    <row r="75" spans="1:20" ht="15.75" thickBot="1" x14ac:dyDescent="0.3">
      <c r="A75" s="10" t="s">
        <v>277</v>
      </c>
      <c r="B75" s="11" t="s">
        <v>91</v>
      </c>
      <c r="C75" s="11" t="s">
        <v>278</v>
      </c>
      <c r="D75" s="11" t="s">
        <v>3</v>
      </c>
      <c r="E75" s="11" t="s">
        <v>2</v>
      </c>
      <c r="F75" s="15" t="s">
        <v>4255</v>
      </c>
      <c r="G75" s="15" t="s">
        <v>4256</v>
      </c>
      <c r="I75" t="str">
        <f t="shared" si="1"/>
        <v>UPDATE `katana`.`funeraria_contrato_individual` SET `latitud`='180.137.194', `longitud`='-933.704.375' WHERE  `idcontrato_individual`='MIG74';</v>
      </c>
      <c r="T75" t="str" cm="1">
        <f t="array" aca="1" ref="T75" ca="1">eConcatenar(B75:E75," , ")</f>
        <v>MELCHOR OCAMPO , LUIS DONALDO COLOSIO , CARDENAS , TABASCO ,</v>
      </c>
    </row>
    <row r="76" spans="1:20" ht="15.75" thickBot="1" x14ac:dyDescent="0.3">
      <c r="A76" s="10" t="s">
        <v>279</v>
      </c>
      <c r="B76" s="11" t="s">
        <v>281</v>
      </c>
      <c r="C76" s="11" t="s">
        <v>282</v>
      </c>
      <c r="D76" s="11" t="s">
        <v>3</v>
      </c>
      <c r="E76" s="11" t="s">
        <v>2</v>
      </c>
      <c r="F76" s="15" t="s">
        <v>4359</v>
      </c>
      <c r="G76" s="15" t="s">
        <v>4360</v>
      </c>
      <c r="I76" t="str">
        <f t="shared" si="1"/>
        <v>UPDATE `katana`.`funeraria_contrato_individual` SET `latitud`='179.796.464', `longitud`='-933.821.207' WHERE  `idcontrato_individual`='MIG75';</v>
      </c>
      <c r="T76" t="str" cm="1">
        <f t="array" aca="1" ref="T76" ca="1">eConcatenar(B76:E76," , ")</f>
        <v>LA CEIBA , ANDADOR 10 , CARDENAS , TABASCO ,</v>
      </c>
    </row>
    <row r="77" spans="1:20" ht="15.75" thickBot="1" x14ac:dyDescent="0.3">
      <c r="A77" s="10" t="s">
        <v>283</v>
      </c>
      <c r="B77" s="11" t="s">
        <v>40</v>
      </c>
      <c r="C77" s="11" t="s">
        <v>286</v>
      </c>
      <c r="D77" s="11" t="s">
        <v>3</v>
      </c>
      <c r="E77" s="11" t="s">
        <v>2</v>
      </c>
      <c r="F77" s="15" t="s">
        <v>4361</v>
      </c>
      <c r="G77" s="15" t="s">
        <v>4362</v>
      </c>
      <c r="I77" t="str">
        <f t="shared" si="1"/>
        <v>UPDATE `katana`.`funeraria_contrato_individual` SET `latitud`='179.933.572', `longitud`='-9.337.690.169.999.990' WHERE  `idcontrato_individual`='MIG76';</v>
      </c>
      <c r="T77" t="str" cm="1">
        <f t="array" aca="1" ref="T77" ca="1">eConcatenar(B77:E77," , ")</f>
        <v>CENTRO , ROGELIO RUIZ ROJAS NUMERO 20 , CARDENAS , TABASCO ,</v>
      </c>
    </row>
    <row r="78" spans="1:20" ht="15.75" thickBot="1" x14ac:dyDescent="0.3">
      <c r="A78" s="10" t="s">
        <v>287</v>
      </c>
      <c r="B78" s="11" t="s">
        <v>212</v>
      </c>
      <c r="C78" s="11" t="s">
        <v>288</v>
      </c>
      <c r="D78" s="11" t="s">
        <v>3</v>
      </c>
      <c r="E78" s="11" t="s">
        <v>2</v>
      </c>
      <c r="F78" s="15" t="s">
        <v>4363</v>
      </c>
      <c r="G78" s="15" t="s">
        <v>4364</v>
      </c>
      <c r="I78" t="str">
        <f t="shared" si="1"/>
        <v>UPDATE `katana`.`funeraria_contrato_individual` SET `latitud`='17.977.957', `longitud`='-9.337.983.589.999.990' WHERE  `idcontrato_individual`='MIG77';</v>
      </c>
      <c r="T78" t="str" cm="1">
        <f t="array" aca="1" ref="T78" ca="1">eConcatenar(B78:E78," , ")</f>
        <v>INFONAVIT DEPORTIVA , CONDORES , CARDENAS , TABASCO ,</v>
      </c>
    </row>
    <row r="79" spans="1:20" ht="15.75" thickBot="1" x14ac:dyDescent="0.3">
      <c r="A79" s="10" t="s">
        <v>289</v>
      </c>
      <c r="B79" s="11" t="s">
        <v>290</v>
      </c>
      <c r="C79" s="11" t="s">
        <v>291</v>
      </c>
      <c r="D79" s="11" t="s">
        <v>3</v>
      </c>
      <c r="E79" s="11" t="s">
        <v>2</v>
      </c>
      <c r="F79" s="16"/>
      <c r="G79" s="16"/>
      <c r="I79" t="str">
        <f t="shared" si="1"/>
        <v>UPDATE `katana`.`funeraria_contrato_individual` SET `latitud`='', `longitud`='' WHERE  `idcontrato_individual`='MIG78';</v>
      </c>
      <c r="T79" t="str" cm="1">
        <f t="array" aca="1" ref="T79" ca="1">eConcatenar(B79:E79," , ")</f>
        <v>CALZADA PRIMERA SECCION , CALLEJON AL FONDO , CARDENAS , TABASCO ,</v>
      </c>
    </row>
    <row r="80" spans="1:20" ht="15.75" thickBot="1" x14ac:dyDescent="0.3">
      <c r="A80" s="10" t="s">
        <v>292</v>
      </c>
      <c r="B80" s="11" t="s">
        <v>296</v>
      </c>
      <c r="C80" s="11" t="s">
        <v>297</v>
      </c>
      <c r="D80" s="11" t="s">
        <v>3</v>
      </c>
      <c r="E80" s="11" t="s">
        <v>2</v>
      </c>
      <c r="F80" s="15" t="s">
        <v>4365</v>
      </c>
      <c r="G80" s="15" t="s">
        <v>4366</v>
      </c>
      <c r="I80" t="str">
        <f t="shared" si="1"/>
        <v>UPDATE `katana`.`funeraria_contrato_individual` SET `latitud`='179.722.202', `longitud`='-9.290.894.019.999.990' WHERE  `idcontrato_individual`='MIG79';</v>
      </c>
      <c r="T80" t="str" cm="1">
        <f t="array" aca="1" ref="T80" ca="1">eConcatenar(B80:E80," , ")</f>
        <v>CENTRO CALDERON MARCHENA , JONOUTA , CARDENAS , TABASCO ,</v>
      </c>
    </row>
    <row r="81" spans="1:20" ht="15.75" thickBot="1" x14ac:dyDescent="0.3">
      <c r="A81" s="10" t="s">
        <v>299</v>
      </c>
      <c r="B81" s="11" t="s">
        <v>301</v>
      </c>
      <c r="C81" s="11" t="s">
        <v>251</v>
      </c>
      <c r="D81" s="11" t="s">
        <v>3</v>
      </c>
      <c r="E81" s="11" t="s">
        <v>2</v>
      </c>
      <c r="F81" s="15" t="s">
        <v>4367</v>
      </c>
      <c r="G81" s="15" t="s">
        <v>4368</v>
      </c>
      <c r="I81" t="str">
        <f t="shared" si="1"/>
        <v>UPDATE `katana`.`funeraria_contrato_individual` SET `latitud`='179.736.796', `longitud`='-933.822.134' WHERE  `idcontrato_individual`='MIG80';</v>
      </c>
      <c r="T81" t="str" cm="1">
        <f t="array" aca="1" ref="T81" ca="1">eConcatenar(B81:E81," , ")</f>
        <v>SANTANA MARIA PERIFERICO , EL MANGO , CARDENAS , TABASCO ,</v>
      </c>
    </row>
    <row r="82" spans="1:20" ht="15.75" thickBot="1" x14ac:dyDescent="0.3">
      <c r="A82" s="6" t="s">
        <v>302</v>
      </c>
      <c r="B82" s="4" t="s">
        <v>304</v>
      </c>
      <c r="C82" s="4" t="s">
        <v>40</v>
      </c>
      <c r="D82" s="4" t="s">
        <v>3</v>
      </c>
      <c r="E82" s="4" t="s">
        <v>2</v>
      </c>
      <c r="F82" s="15" t="s">
        <v>4369</v>
      </c>
      <c r="G82" s="15" t="s">
        <v>4370</v>
      </c>
      <c r="I82" t="str">
        <f t="shared" si="1"/>
        <v>UPDATE `katana`.`funeraria_contrato_individual` SET `latitud`='179.886.367', `longitud`='-933.721.118' WHERE  `idcontrato_individual`='MIG81';</v>
      </c>
      <c r="T82" t="str" cm="1">
        <f t="array" aca="1" ref="T82" ca="1">eConcatenar(B82:E82," , ")</f>
        <v>CALLE NOE DE LA FLOR  , CENTRO , CARDENAS , TABASCO ,</v>
      </c>
    </row>
    <row r="83" spans="1:20" ht="15.75" thickBot="1" x14ac:dyDescent="0.3">
      <c r="A83" s="6" t="s">
        <v>306</v>
      </c>
      <c r="B83" s="4" t="s">
        <v>308</v>
      </c>
      <c r="C83" s="4" t="s">
        <v>309</v>
      </c>
      <c r="D83" s="4" t="s">
        <v>3</v>
      </c>
      <c r="E83" s="4" t="s">
        <v>2</v>
      </c>
      <c r="F83" s="15" t="s">
        <v>4257</v>
      </c>
      <c r="G83" s="15" t="s">
        <v>4258</v>
      </c>
      <c r="I83" t="str">
        <f t="shared" si="1"/>
        <v>UPDATE `katana`.`funeraria_contrato_individual` SET `latitud`='180.012.067', `longitud`='-9.337.323.390.000.000' WHERE  `idcontrato_individual`='MIG82';</v>
      </c>
      <c r="T83" t="str" cm="1">
        <f t="array" aca="1" ref="T83" ca="1">eConcatenar(B83:E83," , ")</f>
        <v>CALLE ANDROMEDA SIN NUMERO , LAS GALAXIAS , CARDENAS , TABASCO ,</v>
      </c>
    </row>
    <row r="84" spans="1:20" ht="15.75" thickBot="1" x14ac:dyDescent="0.3">
      <c r="A84" s="6" t="s">
        <v>310</v>
      </c>
      <c r="B84" s="4" t="s">
        <v>311</v>
      </c>
      <c r="C84" s="4" t="s">
        <v>105</v>
      </c>
      <c r="D84" s="4" t="s">
        <v>3</v>
      </c>
      <c r="E84" s="4" t="s">
        <v>2</v>
      </c>
      <c r="F84" s="15" t="s">
        <v>4371</v>
      </c>
      <c r="G84" s="15" t="s">
        <v>4372</v>
      </c>
      <c r="I84" t="str">
        <f t="shared" si="1"/>
        <v>UPDATE `katana`.`funeraria_contrato_individual` SET `latitud`='179.801.688', `longitud`='-933.819.269' WHERE  `idcontrato_individual`='MIG83';</v>
      </c>
      <c r="T84" t="str" cm="1">
        <f t="array" aca="1" ref="T84" ca="1">eConcatenar(B84:E84," , ")</f>
        <v>CALLE ICOTE NUMERO , CSAT , CARDENAS , TABASCO ,</v>
      </c>
    </row>
    <row r="85" spans="1:20" ht="15.75" thickBot="1" x14ac:dyDescent="0.3">
      <c r="A85" s="6" t="s">
        <v>312</v>
      </c>
      <c r="B85" s="4" t="s">
        <v>313</v>
      </c>
      <c r="C85" s="4" t="s">
        <v>314</v>
      </c>
      <c r="D85" s="4" t="s">
        <v>3</v>
      </c>
      <c r="E85" s="4" t="s">
        <v>2</v>
      </c>
      <c r="F85" s="15" t="s">
        <v>4373</v>
      </c>
      <c r="G85" s="15" t="s">
        <v>4374</v>
      </c>
      <c r="I85" t="str">
        <f t="shared" si="1"/>
        <v>UPDATE `katana`.`funeraria_contrato_individual` SET `latitud`='179.889.065', `longitud`='-933.739.949' WHERE  `idcontrato_individual`='MIG84';</v>
      </c>
      <c r="T85" t="str" cm="1">
        <f t="array" aca="1" ref="T85" ca="1">eConcatenar(B85:E85," , ")</f>
        <v>CALLE FRANCISCO I MADERO  , GENARO VAZQUEZ , CARDENAS , TABASCO ,</v>
      </c>
    </row>
    <row r="86" spans="1:20" ht="15.75" thickBot="1" x14ac:dyDescent="0.3">
      <c r="A86" s="6" t="s">
        <v>315</v>
      </c>
      <c r="B86" s="4" t="s">
        <v>316</v>
      </c>
      <c r="C86" s="4" t="s">
        <v>317</v>
      </c>
      <c r="D86" s="4" t="s">
        <v>3</v>
      </c>
      <c r="E86" s="4" t="s">
        <v>2</v>
      </c>
      <c r="F86" s="15" t="s">
        <v>4375</v>
      </c>
      <c r="G86" s="15" t="s">
        <v>4376</v>
      </c>
      <c r="I86" t="str">
        <f t="shared" si="1"/>
        <v>UPDATE `katana`.`funeraria_contrato_individual` SET `latitud`='180.221.734', `longitud`='-9.338.991.970.000.000' WHERE  `idcontrato_individual`='MIG85';</v>
      </c>
      <c r="T86" t="str" cm="1">
        <f t="array" aca="1" ref="T86" ca="1">eConcatenar(B86:E86," , ")</f>
        <v>CALLE 2 MANZANA 40 LADO NORTE , CAÑALES  3 , CARDENAS , TABASCO ,</v>
      </c>
    </row>
    <row r="87" spans="1:20" ht="15.75" thickBot="1" x14ac:dyDescent="0.3">
      <c r="A87" s="6" t="s">
        <v>319</v>
      </c>
      <c r="B87" s="4" t="s">
        <v>320</v>
      </c>
      <c r="C87" s="4" t="s">
        <v>321</v>
      </c>
      <c r="D87" s="4" t="s">
        <v>3</v>
      </c>
      <c r="E87" s="4" t="s">
        <v>2</v>
      </c>
      <c r="F87" s="15" t="s">
        <v>4257</v>
      </c>
      <c r="G87" s="15" t="s">
        <v>4258</v>
      </c>
      <c r="I87" t="str">
        <f t="shared" si="1"/>
        <v>UPDATE `katana`.`funeraria_contrato_individual` SET `latitud`='180.012.067', `longitud`='-9.337.323.390.000.000' WHERE  `idcontrato_individual`='MIG86';</v>
      </c>
      <c r="T87" t="str" cm="1">
        <f t="array" aca="1" ref="T87" ca="1">eConcatenar(B87:E87," , ")</f>
        <v>CALLE 2 NUMERO 79 , C-11 , CARDENAS , TABASCO ,</v>
      </c>
    </row>
    <row r="88" spans="1:20" ht="15.75" thickBot="1" x14ac:dyDescent="0.3">
      <c r="A88" s="6" t="s">
        <v>322</v>
      </c>
      <c r="B88" s="4" t="s">
        <v>323</v>
      </c>
      <c r="C88" s="4" t="s">
        <v>40</v>
      </c>
      <c r="D88" s="4" t="s">
        <v>3</v>
      </c>
      <c r="E88" s="4" t="s">
        <v>2</v>
      </c>
      <c r="F88" s="15" t="s">
        <v>4377</v>
      </c>
      <c r="G88" s="15" t="s">
        <v>4378</v>
      </c>
      <c r="I88" t="str">
        <f t="shared" si="1"/>
        <v>UPDATE `katana`.`funeraria_contrato_individual` SET `latitud`='17.982.943', `longitud`='-93.372.093' WHERE  `idcontrato_individual`='MIG87';</v>
      </c>
      <c r="T88" t="str" cm="1">
        <f t="array" aca="1" ref="T88" ca="1">eConcatenar(B88:E88," , ")</f>
        <v>CALLE AQUILES CALDERON MARCHENA , CENTRO , CARDENAS , TABASCO ,</v>
      </c>
    </row>
    <row r="89" spans="1:20" ht="15.75" thickBot="1" x14ac:dyDescent="0.3">
      <c r="A89" s="6" t="s">
        <v>324</v>
      </c>
      <c r="B89" s="4" t="s">
        <v>325</v>
      </c>
      <c r="C89" s="4" t="s">
        <v>208</v>
      </c>
      <c r="D89" s="4" t="s">
        <v>3</v>
      </c>
      <c r="E89" s="4" t="s">
        <v>2</v>
      </c>
      <c r="F89" s="15" t="s">
        <v>4379</v>
      </c>
      <c r="G89" s="15" t="s">
        <v>4380</v>
      </c>
      <c r="I89" t="str">
        <f t="shared" si="1"/>
        <v>UPDATE `katana`.`funeraria_contrato_individual` SET `latitud`='179.823.283', `longitud`='-9.337.109.339.999.990' WHERE  `idcontrato_individual`='MIG88';</v>
      </c>
      <c r="T89" t="str" cm="1">
        <f t="array" aca="1" ref="T89" ca="1">eConcatenar(B89:E89," , ")</f>
        <v>CALLE TENOSIQUE 203 , SECCION 40 , CARDENAS , TABASCO ,</v>
      </c>
    </row>
    <row r="90" spans="1:20" ht="15.75" thickBot="1" x14ac:dyDescent="0.3">
      <c r="A90" s="6" t="s">
        <v>326</v>
      </c>
      <c r="B90" s="4" t="s">
        <v>328</v>
      </c>
      <c r="C90" s="4" t="s">
        <v>26</v>
      </c>
      <c r="D90" s="4" t="s">
        <v>3</v>
      </c>
      <c r="E90" s="4" t="s">
        <v>2</v>
      </c>
      <c r="F90" s="15" t="s">
        <v>4381</v>
      </c>
      <c r="G90" s="15" t="s">
        <v>4382</v>
      </c>
      <c r="I90" t="str">
        <f t="shared" si="1"/>
        <v>UPDATE `katana`.`funeraria_contrato_individual` SET `latitud`='179.967.473', `longitud`='-9.336.282.419.999.990' WHERE  `idcontrato_individual`='MIG89';</v>
      </c>
      <c r="T90" t="str" cm="1">
        <f t="array" aca="1" ref="T90" ca="1">eConcatenar(B90:E90," , ")</f>
        <v>CERRADA EL BOSQUE 4 , SANTA MARIA DE GUADALUPE , CARDENAS , TABASCO ,</v>
      </c>
    </row>
    <row r="91" spans="1:20" ht="15.75" thickBot="1" x14ac:dyDescent="0.3">
      <c r="A91" s="6" t="s">
        <v>329</v>
      </c>
      <c r="B91" s="4" t="s">
        <v>331</v>
      </c>
      <c r="C91" s="4" t="s">
        <v>332</v>
      </c>
      <c r="D91" s="4" t="s">
        <v>3</v>
      </c>
      <c r="E91" s="4" t="s">
        <v>2</v>
      </c>
      <c r="F91" s="15" t="s">
        <v>4383</v>
      </c>
      <c r="G91" s="15" t="s">
        <v>4384</v>
      </c>
      <c r="I91" t="str">
        <f t="shared" si="1"/>
        <v>UPDATE `katana`.`funeraria_contrato_individual` SET `latitud`='180.133.906', `longitud`='-93.366.968' WHERE  `idcontrato_individual`='MIG90';</v>
      </c>
      <c r="T91" t="str" cm="1">
        <f t="array" aca="1" ref="T91" ca="1">eConcatenar(B91:E91," , ")</f>
        <v>AVENIDA ROSA CASTILLA MANZANA 7 LOTE 11 Y 12  , JOSE ENRRIQUE TORRUCO VERA , CARDENAS , TABASCO ,</v>
      </c>
    </row>
    <row r="92" spans="1:20" ht="15.75" thickBot="1" x14ac:dyDescent="0.3">
      <c r="A92" s="6" t="s">
        <v>334</v>
      </c>
      <c r="B92" s="4" t="s">
        <v>335</v>
      </c>
      <c r="C92" s="4" t="s">
        <v>185</v>
      </c>
      <c r="D92" s="4" t="s">
        <v>3</v>
      </c>
      <c r="E92" s="4" t="s">
        <v>2</v>
      </c>
      <c r="F92" s="15" t="s">
        <v>4385</v>
      </c>
      <c r="G92" s="15" t="s">
        <v>4386</v>
      </c>
      <c r="I92" t="str">
        <f t="shared" si="1"/>
        <v>UPDATE `katana`.`funeraria_contrato_individual` SET `latitud`='179.720.355', `longitud`='-933.602.145' WHERE  `idcontrato_individual`='MIG91';</v>
      </c>
      <c r="T92" t="str" cm="1">
        <f t="array" aca="1" ref="T92" ca="1">eConcatenar(B92:E92," , ")</f>
        <v>PRIVADA ORQUIDIAS 28 , BAJIO PRIMERA SECCION , CARDENAS , TABASCO ,</v>
      </c>
    </row>
    <row r="93" spans="1:20" ht="15.75" thickBot="1" x14ac:dyDescent="0.3">
      <c r="A93" s="6" t="s">
        <v>337</v>
      </c>
      <c r="B93" s="4" t="s">
        <v>338</v>
      </c>
      <c r="C93" s="4" t="s">
        <v>40</v>
      </c>
      <c r="D93" s="4" t="s">
        <v>3</v>
      </c>
      <c r="E93" s="4" t="s">
        <v>2</v>
      </c>
      <c r="F93" s="15" t="s">
        <v>4387</v>
      </c>
      <c r="G93" s="15" t="s">
        <v>4388</v>
      </c>
      <c r="I93" t="str">
        <f t="shared" si="1"/>
        <v>UPDATE `katana`.`funeraria_contrato_individual` SET `latitud`='179.978.613', `longitud`='-933.707.474' WHERE  `idcontrato_individual`='MIG92';</v>
      </c>
      <c r="T93" t="str" cm="1">
        <f t="array" aca="1" ref="T93" ca="1">eConcatenar(B93:E93," , ")</f>
        <v>CALLE MOCTEZUMA 24 , CENTRO , CARDENAS , TABASCO ,</v>
      </c>
    </row>
    <row r="94" spans="1:20" ht="15.75" thickBot="1" x14ac:dyDescent="0.3">
      <c r="A94" s="6" t="s">
        <v>339</v>
      </c>
      <c r="B94" s="4" t="s">
        <v>340</v>
      </c>
      <c r="C94" s="4" t="s">
        <v>40</v>
      </c>
      <c r="D94" s="4" t="s">
        <v>3</v>
      </c>
      <c r="E94" s="4" t="s">
        <v>2</v>
      </c>
      <c r="F94" s="15" t="s">
        <v>4389</v>
      </c>
      <c r="G94" s="15" t="s">
        <v>4390</v>
      </c>
      <c r="I94" t="str">
        <f t="shared" si="1"/>
        <v>UPDATE `katana`.`funeraria_contrato_individual` SET `latitud`='179.983.153', `longitud`='-933.704.909' WHERE  `idcontrato_individual`='MIG93';</v>
      </c>
      <c r="T94" t="str" cm="1">
        <f t="array" aca="1" ref="T94" ca="1">eConcatenar(B94:E94," , ")</f>
        <v>CALLE MOCTEZUMA 31 , CENTRO , CARDENAS , TABASCO ,</v>
      </c>
    </row>
    <row r="95" spans="1:20" ht="15.75" thickBot="1" x14ac:dyDescent="0.3">
      <c r="A95" s="6" t="s">
        <v>341</v>
      </c>
      <c r="B95" s="4" t="s">
        <v>343</v>
      </c>
      <c r="C95" s="4" t="s">
        <v>344</v>
      </c>
      <c r="D95" s="4" t="s">
        <v>133</v>
      </c>
      <c r="E95" s="4" t="s">
        <v>2</v>
      </c>
      <c r="F95" s="15" t="s">
        <v>4391</v>
      </c>
      <c r="G95" s="15" t="s">
        <v>4392</v>
      </c>
      <c r="I95" t="str">
        <f t="shared" si="1"/>
        <v>UPDATE `katana`.`funeraria_contrato_individual` SET `latitud`='17.976.444', `longitud`='-933.890.905' WHERE  `idcontrato_individual`='MIG94';</v>
      </c>
      <c r="T95" t="str" cm="1">
        <f t="array" aca="1" ref="T95" ca="1">eConcatenar(B95:E95," , ")</f>
        <v>CALLE PRINCIPAL DE RIO SECO Y MONTAÑA , RIO SECO Y MONTAÑA  , HUIMANGUILLO , TABASCO ,</v>
      </c>
    </row>
    <row r="96" spans="1:20" ht="15.75" thickBot="1" x14ac:dyDescent="0.3">
      <c r="A96" s="6" t="s">
        <v>345</v>
      </c>
      <c r="B96" s="4" t="s">
        <v>346</v>
      </c>
      <c r="C96" s="4" t="s">
        <v>105</v>
      </c>
      <c r="D96" s="4" t="s">
        <v>3</v>
      </c>
      <c r="E96" s="4" t="s">
        <v>2</v>
      </c>
      <c r="F96" s="15" t="s">
        <v>4393</v>
      </c>
      <c r="G96" s="15" t="s">
        <v>4394</v>
      </c>
      <c r="I96" t="str">
        <f t="shared" si="1"/>
        <v>UPDATE `katana`.`funeraria_contrato_individual` SET `latitud`='179.832.452', `longitud`='-9.338.363.609.999.990' WHERE  `idcontrato_individual`='MIG95';</v>
      </c>
      <c r="T96" t="str" cm="1">
        <f t="array" aca="1" ref="T96" ca="1">eConcatenar(B96:E96," , ")</f>
        <v>PROLONGACION 27 DE FEBRERO , CSAT , CARDENAS , TABASCO ,</v>
      </c>
    </row>
    <row r="97" spans="1:20" ht="15.75" thickBot="1" x14ac:dyDescent="0.3">
      <c r="A97" s="6" t="s">
        <v>347</v>
      </c>
      <c r="B97" s="4" t="s">
        <v>348</v>
      </c>
      <c r="C97" s="4" t="s">
        <v>72</v>
      </c>
      <c r="D97" s="4" t="s">
        <v>3</v>
      </c>
      <c r="E97" s="4" t="s">
        <v>2</v>
      </c>
      <c r="F97" s="15" t="s">
        <v>4395</v>
      </c>
      <c r="G97" s="15" t="s">
        <v>4396</v>
      </c>
      <c r="I97" t="str">
        <f t="shared" si="1"/>
        <v>UPDATE `katana`.`funeraria_contrato_individual` SET `latitud`='17.986.986', `longitud`='-9.338.458.179.999.990' WHERE  `idcontrato_individual`='MIG96';</v>
      </c>
      <c r="T97" t="str" cm="1">
        <f t="array" aca="1" ref="T97" ca="1">eConcatenar(B97:E97," , ")</f>
        <v>CALLE ARAVIA 1 MANZANA 22 LOTE 9 , JACINTO LOPEZ , CARDENAS , TABASCO ,</v>
      </c>
    </row>
    <row r="98" spans="1:20" ht="15.75" thickBot="1" x14ac:dyDescent="0.3">
      <c r="A98" s="6" t="s">
        <v>349</v>
      </c>
      <c r="B98" s="4" t="s">
        <v>351</v>
      </c>
      <c r="C98" s="4" t="s">
        <v>40</v>
      </c>
      <c r="D98" s="4" t="s">
        <v>3</v>
      </c>
      <c r="E98" s="4" t="s">
        <v>2</v>
      </c>
      <c r="F98" s="15" t="s">
        <v>4397</v>
      </c>
      <c r="G98" s="15" t="s">
        <v>4398</v>
      </c>
      <c r="I98" t="str">
        <f t="shared" si="1"/>
        <v>UPDATE `katana`.`funeraria_contrato_individual` SET `latitud`='179.861.086', `longitud`='-933.750.508' WHERE  `idcontrato_individual`='MIG97';</v>
      </c>
      <c r="T98" t="str" cm="1">
        <f t="array" aca="1" ref="T98" ca="1">eConcatenar(B98:E98," , ")</f>
        <v>CALLE IGNACIO COMONFORT 202 , CENTRO , CARDENAS , TABASCO ,</v>
      </c>
    </row>
    <row r="99" spans="1:20" ht="15.75" thickBot="1" x14ac:dyDescent="0.3">
      <c r="A99" s="6" t="s">
        <v>352</v>
      </c>
      <c r="B99" s="4" t="s">
        <v>353</v>
      </c>
      <c r="C99" s="4" t="s">
        <v>212</v>
      </c>
      <c r="D99" s="4" t="s">
        <v>3</v>
      </c>
      <c r="E99" s="4" t="s">
        <v>2</v>
      </c>
      <c r="F99" s="15" t="s">
        <v>4363</v>
      </c>
      <c r="G99" s="15" t="s">
        <v>4364</v>
      </c>
      <c r="I99" t="str">
        <f t="shared" si="1"/>
        <v>UPDATE `katana`.`funeraria_contrato_individual` SET `latitud`='17.977.957', `longitud`='-9.337.983.589.999.990' WHERE  `idcontrato_individual`='MIG98';</v>
      </c>
      <c r="T99" t="str" cm="1">
        <f t="array" aca="1" ref="T99" ca="1">eConcatenar(B99:E99," , ")</f>
        <v>CALLE ANDADOR CALANDRIAS MANZANA 11 LOTE 6  , INFONAVIT DEPORTIVA , CARDENAS , TABASCO ,</v>
      </c>
    </row>
    <row r="100" spans="1:20" ht="15.75" thickBot="1" x14ac:dyDescent="0.3">
      <c r="A100" s="6" t="s">
        <v>354</v>
      </c>
      <c r="B100" s="4" t="s">
        <v>356</v>
      </c>
      <c r="C100" s="4" t="s">
        <v>208</v>
      </c>
      <c r="D100" s="4" t="s">
        <v>3</v>
      </c>
      <c r="E100" s="4" t="s">
        <v>2</v>
      </c>
      <c r="F100" s="15" t="s">
        <v>4399</v>
      </c>
      <c r="G100" s="15" t="s">
        <v>4400</v>
      </c>
      <c r="I100" t="str">
        <f t="shared" si="1"/>
        <v>UPDATE `katana`.`funeraria_contrato_individual` SET `latitud`='17.980.399', `longitud`='-9.336.563.939.999.990' WHERE  `idcontrato_individual`='MIG99';</v>
      </c>
      <c r="T100" t="str" cm="1">
        <f t="array" aca="1" ref="T100" ca="1">eConcatenar(B100:E100," , ")</f>
        <v>CALLE CERRADA SAN JOSE NUMERO18 , SECCION 40 , CARDENAS , TABASCO ,</v>
      </c>
    </row>
    <row r="101" spans="1:20" ht="15.75" thickBot="1" x14ac:dyDescent="0.3">
      <c r="A101" s="6" t="s">
        <v>357</v>
      </c>
      <c r="B101" s="4" t="s">
        <v>358</v>
      </c>
      <c r="C101" s="4" t="s">
        <v>359</v>
      </c>
      <c r="D101" s="4" t="s">
        <v>3</v>
      </c>
      <c r="E101" s="4" t="s">
        <v>2</v>
      </c>
      <c r="F101" s="15" t="s">
        <v>4401</v>
      </c>
      <c r="G101" s="15" t="s">
        <v>4402</v>
      </c>
      <c r="I101" t="str">
        <f t="shared" si="1"/>
        <v>UPDATE `katana`.`funeraria_contrato_individual` SET `latitud`='179.841.623', `longitud`='-933.757.995' WHERE  `idcontrato_individual`='MIG100';</v>
      </c>
      <c r="T101" t="str" cm="1">
        <f t="array" aca="1" ref="T101" ca="1">eConcatenar(B101:E101," , ")</f>
        <v>CALLE CANDELARIO PRIEGO 01 , EL GRINGO , CARDENAS , TABASCO ,</v>
      </c>
    </row>
    <row r="102" spans="1:20" ht="15.75" thickBot="1" x14ac:dyDescent="0.3">
      <c r="A102" s="6" t="s">
        <v>360</v>
      </c>
      <c r="B102" s="4" t="s">
        <v>362</v>
      </c>
      <c r="C102" s="4" t="s">
        <v>57</v>
      </c>
      <c r="D102" s="4" t="s">
        <v>3</v>
      </c>
      <c r="E102" s="4" t="s">
        <v>361</v>
      </c>
      <c r="F102" s="15" t="s">
        <v>4403</v>
      </c>
      <c r="G102" s="15" t="s">
        <v>4404</v>
      </c>
      <c r="I102" t="str">
        <f t="shared" si="1"/>
        <v>UPDATE `katana`.`funeraria_contrato_individual` SET `latitud`='179.950.247', `longitud`='-933.807.741' WHERE  `idcontrato_individual`='MIG101';</v>
      </c>
      <c r="T102" t="str" cm="1">
        <f t="array" aca="1" ref="T102" ca="1">eConcatenar(B102:E102," , ")</f>
        <v>CALLE AURELIO SOSA TORRES 314 , PUEBLO NUEVO , CARDENAS , TABASCO  ,</v>
      </c>
    </row>
    <row r="103" spans="1:20" ht="15.75" thickBot="1" x14ac:dyDescent="0.3">
      <c r="A103" s="6" t="s">
        <v>363</v>
      </c>
      <c r="B103" s="4" t="s">
        <v>364</v>
      </c>
      <c r="C103" s="4" t="s">
        <v>39</v>
      </c>
      <c r="D103" s="4" t="s">
        <v>3</v>
      </c>
      <c r="E103" s="4" t="s">
        <v>2</v>
      </c>
      <c r="F103" s="15" t="s">
        <v>4405</v>
      </c>
      <c r="G103" s="15" t="s">
        <v>4406</v>
      </c>
      <c r="I103" t="str">
        <f t="shared" si="1"/>
        <v>UPDATE `katana`.`funeraria_contrato_individual` SET `latitud`='179.864.772', `longitud`='-933.751.295' WHERE  `idcontrato_individual`='MIG102';</v>
      </c>
      <c r="T103" t="str" cm="1">
        <f t="array" aca="1" ref="T103" ca="1">eConcatenar(B103:E103," , ")</f>
        <v>CALLE VICENTE GOMEZ FARIAS NUMERO 110 , CENTRO  , CARDENAS , TABASCO ,</v>
      </c>
    </row>
    <row r="104" spans="1:20" ht="15.75" thickBot="1" x14ac:dyDescent="0.3">
      <c r="A104" s="6" t="s">
        <v>365</v>
      </c>
      <c r="B104" s="4" t="s">
        <v>366</v>
      </c>
      <c r="C104" s="4" t="s">
        <v>290</v>
      </c>
      <c r="D104" s="4" t="s">
        <v>3</v>
      </c>
      <c r="E104" s="4" t="s">
        <v>2</v>
      </c>
      <c r="F104" s="15" t="s">
        <v>4407</v>
      </c>
      <c r="G104" s="15" t="s">
        <v>4408</v>
      </c>
      <c r="I104" t="str">
        <f t="shared" si="1"/>
        <v>UPDATE `katana`.`funeraria_contrato_individual` SET `latitud`='180.188.188', `longitud`='-933.512.808' WHERE  `idcontrato_individual`='MIG103';</v>
      </c>
      <c r="T104" t="str" cm="1">
        <f t="array" aca="1" ref="T104" ca="1">eConcatenar(B104:E104," , ")</f>
        <v>CALLE CARRETERA CIRCUITO DEL GOLFO  , CALZADA PRIMERA SECCION , CARDENAS , TABASCO ,</v>
      </c>
    </row>
    <row r="105" spans="1:20" ht="15.75" thickBot="1" x14ac:dyDescent="0.3">
      <c r="A105" s="6" t="s">
        <v>367</v>
      </c>
      <c r="B105" s="4" t="s">
        <v>368</v>
      </c>
      <c r="C105" s="4" t="s">
        <v>290</v>
      </c>
      <c r="D105" s="4" t="s">
        <v>3</v>
      </c>
      <c r="E105" s="4" t="s">
        <v>361</v>
      </c>
      <c r="F105" s="15" t="s">
        <v>4409</v>
      </c>
      <c r="G105" s="15" t="s">
        <v>4410</v>
      </c>
      <c r="I105" t="str">
        <f t="shared" si="1"/>
        <v>UPDATE `katana`.`funeraria_contrato_individual` SET `latitud`='180.048.533', `longitud`='-933.647.141' WHERE  `idcontrato_individual`='MIG104';</v>
      </c>
      <c r="T105" t="str" cm="1">
        <f t="array" aca="1" ref="T105" ca="1">eConcatenar(B105:E105," , ")</f>
        <v>CALLE AVENIDA RETEN CASI FRENTE A LA PRIVADA  , CALZADA PRIMERA SECCION , CARDENAS , TABASCO  ,</v>
      </c>
    </row>
    <row r="106" spans="1:20" ht="15.75" thickBot="1" x14ac:dyDescent="0.3">
      <c r="A106" s="6" t="s">
        <v>369</v>
      </c>
      <c r="B106" s="4" t="s">
        <v>362</v>
      </c>
      <c r="C106" s="4" t="s">
        <v>57</v>
      </c>
      <c r="D106" s="4" t="s">
        <v>3</v>
      </c>
      <c r="E106" s="4" t="s">
        <v>2</v>
      </c>
      <c r="F106" s="15" t="s">
        <v>4403</v>
      </c>
      <c r="G106" s="15" t="s">
        <v>4404</v>
      </c>
      <c r="I106" t="str">
        <f t="shared" si="1"/>
        <v>UPDATE `katana`.`funeraria_contrato_individual` SET `latitud`='179.950.247', `longitud`='-933.807.741' WHERE  `idcontrato_individual`='MIG105';</v>
      </c>
      <c r="T106" t="str" cm="1">
        <f t="array" aca="1" ref="T106" ca="1">eConcatenar(B106:E106," , ")</f>
        <v>CALLE AURELIO SOSA TORRES 314 , PUEBLO NUEVO , CARDENAS , TABASCO ,</v>
      </c>
    </row>
    <row r="107" spans="1:20" ht="15.75" thickBot="1" x14ac:dyDescent="0.3">
      <c r="A107" s="6" t="s">
        <v>370</v>
      </c>
      <c r="B107" s="4" t="s">
        <v>371</v>
      </c>
      <c r="C107" s="4" t="s">
        <v>158</v>
      </c>
      <c r="D107" s="4" t="s">
        <v>3</v>
      </c>
      <c r="E107" s="4" t="s">
        <v>2</v>
      </c>
      <c r="F107" s="15" t="s">
        <v>4411</v>
      </c>
      <c r="G107" s="15" t="s">
        <v>4412</v>
      </c>
      <c r="I107" t="str">
        <f t="shared" si="1"/>
        <v>UPDATE `katana`.`funeraria_contrato_individual` SET `latitud`='180.023.424', `longitud`='-933.748.186' WHERE  `idcontrato_individual`='MIG106';</v>
      </c>
      <c r="T107" t="str" cm="1">
        <f t="array" aca="1" ref="T107" ca="1">eConcatenar(B107:E107," , ")</f>
        <v>CALLE GREGORIO MENDEZ 160 , NUEVO PROGRESO , CARDENAS , TABASCO ,</v>
      </c>
    </row>
    <row r="108" spans="1:20" ht="15.75" thickBot="1" x14ac:dyDescent="0.3">
      <c r="A108" s="6" t="s">
        <v>372</v>
      </c>
      <c r="B108" s="4" t="s">
        <v>373</v>
      </c>
      <c r="C108" s="4" t="s">
        <v>374</v>
      </c>
      <c r="D108" s="4" t="s">
        <v>3</v>
      </c>
      <c r="E108" s="4" t="s">
        <v>2</v>
      </c>
      <c r="F108" s="15" t="s">
        <v>4339</v>
      </c>
      <c r="G108" s="15" t="s">
        <v>4340</v>
      </c>
      <c r="I108" t="str">
        <f t="shared" si="1"/>
        <v>UPDATE `katana`.`funeraria_contrato_individual` SET `latitud`='180.208.471', `longitud`='-933.810.963' WHERE  `idcontrato_individual`='MIG107';</v>
      </c>
      <c r="T108" t="str" cm="1">
        <f t="array" aca="1" ref="T108" ca="1">eConcatenar(B108:E108," , ")</f>
        <v>CALLE MIEL MANZANA NUMERO 7 LOTE 12 , FRACCIONAMIENTO CAÑALES , CARDENAS , TABASCO ,</v>
      </c>
    </row>
    <row r="109" spans="1:20" ht="15.75" thickBot="1" x14ac:dyDescent="0.3">
      <c r="A109" s="6" t="s">
        <v>375</v>
      </c>
      <c r="B109" s="4" t="s">
        <v>377</v>
      </c>
      <c r="C109" s="4" t="s">
        <v>378</v>
      </c>
      <c r="D109" s="4" t="s">
        <v>3</v>
      </c>
      <c r="E109" s="4" t="s">
        <v>2</v>
      </c>
      <c r="F109" s="15" t="s">
        <v>4275</v>
      </c>
      <c r="G109" s="15" t="s">
        <v>4276</v>
      </c>
      <c r="I109" t="str">
        <f t="shared" si="1"/>
        <v>UPDATE `katana`.`funeraria_contrato_individual` SET `latitud`='179.702.002', `longitud`='-9.335.778.479.999.990' WHERE  `idcontrato_individual`='MIG108';</v>
      </c>
      <c r="T109" t="str" cm="1">
        <f t="array" aca="1" ref="T109" ca="1">eConcatenar(B109:E109," , ")</f>
        <v>CALLE DESPUES DEL TALLER  , EL BAJIO 2DA SECCION , CARDENAS , TABASCO ,</v>
      </c>
    </row>
    <row r="110" spans="1:20" ht="15.75" thickBot="1" x14ac:dyDescent="0.3">
      <c r="A110" s="6" t="s">
        <v>380</v>
      </c>
      <c r="B110" s="4" t="s">
        <v>382</v>
      </c>
      <c r="C110" s="4" t="s">
        <v>383</v>
      </c>
      <c r="D110" s="4" t="s">
        <v>3</v>
      </c>
      <c r="E110" s="4" t="s">
        <v>2</v>
      </c>
      <c r="F110" s="15" t="s">
        <v>4375</v>
      </c>
      <c r="G110" s="15" t="s">
        <v>4376</v>
      </c>
      <c r="I110" t="str">
        <f t="shared" si="1"/>
        <v>UPDATE `katana`.`funeraria_contrato_individual` SET `latitud`='180.221.734', `longitud`='-9.338.991.970.000.000' WHERE  `idcontrato_individual`='MIG109';</v>
      </c>
      <c r="T110" t="str" cm="1">
        <f t="array" aca="1" ref="T110" ca="1">eConcatenar(B110:E110," , ")</f>
        <v>CALLE 2 MANZANA 12 CASA NUMERO897 , AMPLIACION CAÑALES TERCERA ETAPA , CARDENAS , TABASCO ,</v>
      </c>
    </row>
    <row r="111" spans="1:20" ht="15.75" thickBot="1" x14ac:dyDescent="0.3">
      <c r="A111" s="6" t="s">
        <v>385</v>
      </c>
      <c r="B111" s="4" t="s">
        <v>387</v>
      </c>
      <c r="C111" s="4" t="s">
        <v>388</v>
      </c>
      <c r="D111" s="4" t="s">
        <v>133</v>
      </c>
      <c r="E111" s="4" t="s">
        <v>2</v>
      </c>
      <c r="F111" s="15" t="s">
        <v>4413</v>
      </c>
      <c r="G111" s="15" t="s">
        <v>4414</v>
      </c>
      <c r="I111" t="str">
        <f t="shared" si="1"/>
        <v>UPDATE `katana`.`funeraria_contrato_individual` SET `latitud`='179.740.062', `longitud`='-933.832.673' WHERE  `idcontrato_individual`='MIG110';</v>
      </c>
      <c r="T111" t="str" cm="1">
        <f t="array" aca="1" ref="T111" ca="1">eConcatenar(B111:E111," , ")</f>
        <v>CERRADA 2 MANZANA 2 LOTE 8 CASA 1-1 , FRACCIONAMIENTO POMOCA , HUIMANGUILLO , TABASCO ,</v>
      </c>
    </row>
    <row r="112" spans="1:20" ht="15.75" thickBot="1" x14ac:dyDescent="0.3">
      <c r="A112" s="6" t="s">
        <v>389</v>
      </c>
      <c r="B112" s="4" t="s">
        <v>391</v>
      </c>
      <c r="C112" s="4" t="s">
        <v>208</v>
      </c>
      <c r="D112" s="4" t="s">
        <v>3</v>
      </c>
      <c r="E112" s="4" t="s">
        <v>2</v>
      </c>
      <c r="F112" s="15" t="s">
        <v>4415</v>
      </c>
      <c r="G112" s="15" t="s">
        <v>4416</v>
      </c>
      <c r="I112" t="str">
        <f t="shared" si="1"/>
        <v>UPDATE `katana`.`funeraria_contrato_individual` SET `latitud`='179.801.846', `longitud`='-933.672.514' WHERE  `idcontrato_individual`='MIG111';</v>
      </c>
      <c r="T112" t="str" cm="1">
        <f t="array" aca="1" ref="T112" ca="1">eConcatenar(B112:E112," , ")</f>
        <v>CALLE SAN JOSE NUMERO72 , SECCION 40 , CARDENAS , TABASCO ,</v>
      </c>
    </row>
    <row r="113" spans="1:20" ht="15.75" thickBot="1" x14ac:dyDescent="0.3">
      <c r="A113" s="6" t="s">
        <v>392</v>
      </c>
      <c r="B113" s="4" t="s">
        <v>393</v>
      </c>
      <c r="C113" s="4" t="s">
        <v>147</v>
      </c>
      <c r="D113" s="4" t="s">
        <v>3</v>
      </c>
      <c r="E113" s="4" t="s">
        <v>2</v>
      </c>
      <c r="F113" s="15" t="s">
        <v>4253</v>
      </c>
      <c r="G113" s="15" t="s">
        <v>4254</v>
      </c>
      <c r="I113" t="str">
        <f t="shared" si="1"/>
        <v>UPDATE `katana`.`funeraria_contrato_individual` SET `latitud`='180.208.414', `longitud`='-933.894.754' WHERE  `idcontrato_individual`='MIG112';</v>
      </c>
      <c r="T113" t="str" cm="1">
        <f t="array" aca="1" ref="T113" ca="1">eConcatenar(B113:E113," , ")</f>
        <v>CALLE 5 MANZANA 4 LOTE 75 , AMPLIACION CAÑALES SEGUNDA ETAPA , CARDENAS , TABASCO ,</v>
      </c>
    </row>
    <row r="114" spans="1:20" ht="15.75" thickBot="1" x14ac:dyDescent="0.3">
      <c r="A114" s="6" t="s">
        <v>394</v>
      </c>
      <c r="B114" s="4" t="s">
        <v>396</v>
      </c>
      <c r="C114" s="4" t="s">
        <v>72</v>
      </c>
      <c r="D114" s="4" t="s">
        <v>3</v>
      </c>
      <c r="E114" s="4" t="s">
        <v>2</v>
      </c>
      <c r="F114" s="15" t="s">
        <v>4417</v>
      </c>
      <c r="G114" s="15" t="s">
        <v>4418</v>
      </c>
      <c r="I114" t="str">
        <f t="shared" si="1"/>
        <v>UPDATE `katana`.`funeraria_contrato_individual` SET `latitud`='179.670.817', `longitud`='-933.753.005' WHERE  `idcontrato_individual`='MIG113';</v>
      </c>
      <c r="T114" t="str" cm="1">
        <f t="array" aca="1" ref="T114" ca="1">eConcatenar(B114:E114," , ")</f>
        <v>CALLE RUMANIA V LOTE 13 MANZANA 23 , JACINTO LOPEZ , CARDENAS , TABASCO ,</v>
      </c>
    </row>
    <row r="115" spans="1:20" ht="15.75" thickBot="1" x14ac:dyDescent="0.3">
      <c r="A115" s="6" t="s">
        <v>397</v>
      </c>
      <c r="B115" s="4" t="s">
        <v>398</v>
      </c>
      <c r="C115" s="4" t="s">
        <v>31</v>
      </c>
      <c r="D115" s="4" t="s">
        <v>3</v>
      </c>
      <c r="E115" s="4" t="s">
        <v>2</v>
      </c>
      <c r="F115" s="15" t="s">
        <v>4295</v>
      </c>
      <c r="G115" s="15" t="s">
        <v>4296</v>
      </c>
      <c r="I115" t="str">
        <f t="shared" si="1"/>
        <v>UPDATE `katana`.`funeraria_contrato_individual` SET `latitud`='17.995.559', `longitud`='-933.861.831' WHERE  `idcontrato_individual`='MIG114';</v>
      </c>
      <c r="T115" t="str" cm="1">
        <f t="array" aca="1" ref="T115" ca="1">eConcatenar(B115:E115," , ")</f>
        <v>CALLE CARLOS A MOLINA SIN NUMERO , EL PALMAR , CARDENAS , TABASCO ,</v>
      </c>
    </row>
    <row r="116" spans="1:20" ht="15.75" thickBot="1" x14ac:dyDescent="0.3">
      <c r="A116" s="6" t="s">
        <v>399</v>
      </c>
      <c r="B116" s="4" t="s">
        <v>402</v>
      </c>
      <c r="C116" s="4" t="s">
        <v>359</v>
      </c>
      <c r="D116" s="4" t="s">
        <v>3</v>
      </c>
      <c r="E116" s="4" t="s">
        <v>2</v>
      </c>
      <c r="F116" s="15" t="s">
        <v>4419</v>
      </c>
      <c r="G116" s="15" t="s">
        <v>4420</v>
      </c>
      <c r="I116" t="str">
        <f t="shared" si="1"/>
        <v>UPDATE `katana`.`funeraria_contrato_individual` SET `latitud`='179.822.181', `longitud`='-9.337.389.759.999.990' WHERE  `idcontrato_individual`='MIG115';</v>
      </c>
      <c r="T116" t="str" cm="1">
        <f t="array" aca="1" ref="T116" ca="1">eConcatenar(B116:E116," , ")</f>
        <v>CALLE LEONA VICARIO NUMERO 34 , EL GRINGO , CARDENAS , TABASCO ,</v>
      </c>
    </row>
    <row r="117" spans="1:20" ht="15.75" thickBot="1" x14ac:dyDescent="0.3">
      <c r="A117" s="6" t="s">
        <v>403</v>
      </c>
      <c r="B117" s="4" t="s">
        <v>404</v>
      </c>
      <c r="C117" s="4" t="s">
        <v>185</v>
      </c>
      <c r="D117" s="4" t="s">
        <v>3</v>
      </c>
      <c r="E117" s="4" t="s">
        <v>2</v>
      </c>
      <c r="F117" s="15" t="s">
        <v>4421</v>
      </c>
      <c r="G117" s="15" t="s">
        <v>4422</v>
      </c>
      <c r="I117" t="str">
        <f t="shared" si="1"/>
        <v>UPDATE `katana`.`funeraria_contrato_individual` SET `latitud`='179.730.555', `longitud`='-933.591.666' WHERE  `idcontrato_individual`='MIG116';</v>
      </c>
      <c r="T117" t="str" cm="1">
        <f t="array" aca="1" ref="T117" ca="1">eConcatenar(B117:E117," , ")</f>
        <v>CERRADA SIN NOMBRE SIN NUMERO , BAJIO PRIMERA SECCION , CARDENAS , TABASCO ,</v>
      </c>
    </row>
    <row r="118" spans="1:20" ht="15.75" thickBot="1" x14ac:dyDescent="0.3">
      <c r="A118" s="6" t="s">
        <v>406</v>
      </c>
      <c r="B118" s="4" t="s">
        <v>72</v>
      </c>
      <c r="C118" s="4" t="s">
        <v>72</v>
      </c>
      <c r="D118" s="4" t="s">
        <v>3</v>
      </c>
      <c r="E118" s="4" t="s">
        <v>2</v>
      </c>
      <c r="F118" s="15" t="s">
        <v>4423</v>
      </c>
      <c r="G118" s="15" t="s">
        <v>4424</v>
      </c>
      <c r="I118" t="str">
        <f t="shared" si="1"/>
        <v>UPDATE `katana`.`funeraria_contrato_individual` SET `latitud`='179.669.365', `longitud`='-933.754.249' WHERE  `idcontrato_individual`='MIG117';</v>
      </c>
      <c r="T118" t="str" cm="1">
        <f t="array" aca="1" ref="T118" ca="1">eConcatenar(B118:E118," , ")</f>
        <v>JACINTO LOPEZ , JACINTO LOPEZ , CARDENAS , TABASCO ,</v>
      </c>
    </row>
    <row r="119" spans="1:20" ht="15.75" thickBot="1" x14ac:dyDescent="0.3">
      <c r="A119" s="6" t="s">
        <v>407</v>
      </c>
      <c r="B119" s="4" t="s">
        <v>408</v>
      </c>
      <c r="C119" s="4" t="s">
        <v>57</v>
      </c>
      <c r="D119" s="4" t="s">
        <v>3</v>
      </c>
      <c r="E119" s="4" t="s">
        <v>2</v>
      </c>
      <c r="F119" s="15" t="s">
        <v>4425</v>
      </c>
      <c r="G119" s="15" t="s">
        <v>4426</v>
      </c>
      <c r="I119" t="str">
        <f t="shared" si="1"/>
        <v>UPDATE `katana`.`funeraria_contrato_individual` SET `latitud`='17.993.341', `longitud`='-933.858.042' WHERE  `idcontrato_individual`='MIG118';</v>
      </c>
      <c r="T119" t="str" cm="1">
        <f t="array" aca="1" ref="T119" ca="1">eConcatenar(B119:E119," , ")</f>
        <v>CALLE CARLOS A MADRAZO , PUEBLO NUEVO , CARDENAS , TABASCO ,</v>
      </c>
    </row>
    <row r="120" spans="1:20" ht="15.75" thickBot="1" x14ac:dyDescent="0.3">
      <c r="A120" s="6" t="s">
        <v>409</v>
      </c>
      <c r="B120" s="4" t="s">
        <v>410</v>
      </c>
      <c r="C120" s="4" t="s">
        <v>102</v>
      </c>
      <c r="D120" s="4" t="s">
        <v>3</v>
      </c>
      <c r="E120" s="4" t="s">
        <v>2</v>
      </c>
      <c r="F120" s="15" t="s">
        <v>4427</v>
      </c>
      <c r="G120" s="15" t="s">
        <v>4428</v>
      </c>
      <c r="I120" t="str">
        <f t="shared" si="1"/>
        <v>UPDATE `katana`.`funeraria_contrato_individual` SET `latitud`='179.703.711', `longitud`='-9.337.012.059.999.990' WHERE  `idcontrato_individual`='MIG119';</v>
      </c>
      <c r="T120" t="str" cm="1">
        <f t="array" aca="1" ref="T120" ca="1">eConcatenar(B120:E120," , ")</f>
        <v>CALLE RICARDO FLORES MAGON NUMERO 28 , OBRERA , CARDENAS , TABASCO ,</v>
      </c>
    </row>
    <row r="121" spans="1:20" ht="15.75" thickBot="1" x14ac:dyDescent="0.3">
      <c r="A121" s="6" t="s">
        <v>411</v>
      </c>
      <c r="B121" s="4" t="s">
        <v>412</v>
      </c>
      <c r="C121" s="4" t="s">
        <v>102</v>
      </c>
      <c r="D121" s="4" t="s">
        <v>3</v>
      </c>
      <c r="E121" s="4" t="s">
        <v>2</v>
      </c>
      <c r="F121" s="15" t="s">
        <v>4429</v>
      </c>
      <c r="G121" s="15" t="s">
        <v>4430</v>
      </c>
      <c r="I121" t="str">
        <f t="shared" si="1"/>
        <v>UPDATE `katana`.`funeraria_contrato_individual` SET `latitud`='17.969.617', `longitud`='-93.371.669' WHERE  `idcontrato_individual`='MIG120';</v>
      </c>
      <c r="T121" t="str" cm="1">
        <f t="array" aca="1" ref="T121" ca="1">eConcatenar(B121:E121," , ")</f>
        <v>CALLE RICARDO FLORES MAGON  , OBRERA , CARDENAS , TABASCO ,</v>
      </c>
    </row>
    <row r="122" spans="1:20" ht="15.75" thickBot="1" x14ac:dyDescent="0.3">
      <c r="A122" s="6" t="s">
        <v>413</v>
      </c>
      <c r="B122" s="4" t="s">
        <v>414</v>
      </c>
      <c r="C122" s="4" t="s">
        <v>26</v>
      </c>
      <c r="D122" s="4" t="s">
        <v>3</v>
      </c>
      <c r="E122" s="4" t="s">
        <v>2</v>
      </c>
      <c r="F122" s="15" t="s">
        <v>4431</v>
      </c>
      <c r="G122" s="15" t="s">
        <v>4432</v>
      </c>
      <c r="I122" t="str">
        <f t="shared" si="1"/>
        <v>UPDATE `katana`.`funeraria_contrato_individual` SET `latitud`='179.915.571', `longitud`='-933.625.507' WHERE  `idcontrato_individual`='MIG121';</v>
      </c>
      <c r="T122" t="str" cm="1">
        <f t="array" aca="1" ref="T122" ca="1">eConcatenar(B122:E122," , ")</f>
        <v>CALLE SANTOS DEGOLLADO SIN NUMERO , SANTA MARIA DE GUADALUPE , CARDENAS , TABASCO ,</v>
      </c>
    </row>
    <row r="123" spans="1:20" ht="15.75" thickBot="1" x14ac:dyDescent="0.3">
      <c r="A123" s="6" t="s">
        <v>415</v>
      </c>
      <c r="B123" s="4" t="s">
        <v>416</v>
      </c>
      <c r="C123" s="4" t="s">
        <v>158</v>
      </c>
      <c r="D123" s="4" t="s">
        <v>3</v>
      </c>
      <c r="E123" s="4" t="s">
        <v>2</v>
      </c>
      <c r="F123" s="15" t="s">
        <v>4433</v>
      </c>
      <c r="G123" s="15" t="s">
        <v>4434</v>
      </c>
      <c r="I123" t="str">
        <f t="shared" si="1"/>
        <v>UPDATE `katana`.`funeraria_contrato_individual` SET `latitud`='180.014.175', `longitud`='-933.766.004' WHERE  `idcontrato_individual`='MIG122';</v>
      </c>
      <c r="T123" t="str" cm="1">
        <f t="array" aca="1" ref="T123" ca="1">eConcatenar(B123:E123," , ")</f>
        <v>CALLE NARCISO MENDOZA , NUEVO PROGRESO , CARDENAS , TABASCO ,</v>
      </c>
    </row>
    <row r="124" spans="1:20" ht="15.75" thickBot="1" x14ac:dyDescent="0.3">
      <c r="A124" s="6" t="s">
        <v>417</v>
      </c>
      <c r="B124" s="4" t="s">
        <v>418</v>
      </c>
      <c r="C124" s="4" t="s">
        <v>388</v>
      </c>
      <c r="D124" s="4" t="s">
        <v>3</v>
      </c>
      <c r="E124" s="4" t="s">
        <v>2</v>
      </c>
      <c r="F124" s="15" t="s">
        <v>4435</v>
      </c>
      <c r="G124" s="15" t="s">
        <v>4436</v>
      </c>
      <c r="I124" t="str">
        <f t="shared" si="1"/>
        <v>UPDATE `katana`.`funeraria_contrato_individual` SET `latitud`='180.511.285', `longitud`='-929.288.323' WHERE  `idcontrato_individual`='MIG123';</v>
      </c>
      <c r="T124" t="str" cm="1">
        <f t="array" aca="1" ref="T124" ca="1">eConcatenar(B124:E124," , ")</f>
        <v>CALLE NUMERO24 MANZANA 37 , FRACCIONAMIENTO POMOCA , CARDENAS , TABASCO ,</v>
      </c>
    </row>
    <row r="125" spans="1:20" ht="15.75" thickBot="1" x14ac:dyDescent="0.3">
      <c r="A125" s="6" t="s">
        <v>419</v>
      </c>
      <c r="B125" s="4" t="s">
        <v>346</v>
      </c>
      <c r="C125" s="4" t="s">
        <v>57</v>
      </c>
      <c r="D125" s="4" t="s">
        <v>3</v>
      </c>
      <c r="E125" s="4" t="s">
        <v>2</v>
      </c>
      <c r="F125" s="15" t="s">
        <v>4393</v>
      </c>
      <c r="G125" s="15" t="s">
        <v>4394</v>
      </c>
      <c r="I125" t="str">
        <f t="shared" si="1"/>
        <v>UPDATE `katana`.`funeraria_contrato_individual` SET `latitud`='179.832.452', `longitud`='-9.338.363.609.999.990' WHERE  `idcontrato_individual`='MIG124';</v>
      </c>
      <c r="T125" t="str" cm="1">
        <f t="array" aca="1" ref="T125" ca="1">eConcatenar(B125:E125," , ")</f>
        <v>PROLONGACION 27 DE FEBRERO , PUEBLO NUEVO , CARDENAS , TABASCO ,</v>
      </c>
    </row>
    <row r="126" spans="1:20" ht="15.75" thickBot="1" x14ac:dyDescent="0.3">
      <c r="A126" s="6" t="s">
        <v>420</v>
      </c>
      <c r="B126" s="4" t="s">
        <v>421</v>
      </c>
      <c r="C126" s="4" t="s">
        <v>422</v>
      </c>
      <c r="D126" s="4" t="s">
        <v>3</v>
      </c>
      <c r="E126" s="4" t="s">
        <v>2</v>
      </c>
      <c r="F126" s="15" t="s">
        <v>4437</v>
      </c>
      <c r="G126" s="15" t="s">
        <v>4438</v>
      </c>
      <c r="I126" t="str">
        <f t="shared" si="1"/>
        <v>UPDATE `katana`.`funeraria_contrato_individual` SET `latitud`='179.728.621', `longitud`='-933.635.225' WHERE  `idcontrato_individual`='MIG125';</v>
      </c>
      <c r="T126" t="str" cm="1">
        <f t="array" aca="1" ref="T126" ca="1">eConcatenar(B126:E126," , ")</f>
        <v>AVENIDA LAS FLORES SIN NUMERO , EL BAJIIO PRIMERA SECCION , CARDENAS , TABASCO ,</v>
      </c>
    </row>
    <row r="127" spans="1:20" ht="15.75" thickBot="1" x14ac:dyDescent="0.3">
      <c r="A127" s="6" t="s">
        <v>424</v>
      </c>
      <c r="B127" s="4" t="s">
        <v>427</v>
      </c>
      <c r="C127" s="4" t="s">
        <v>428</v>
      </c>
      <c r="D127" s="4" t="s">
        <v>303</v>
      </c>
      <c r="E127" s="4" t="s">
        <v>361</v>
      </c>
      <c r="F127" s="15" t="s">
        <v>4407</v>
      </c>
      <c r="G127" s="15" t="s">
        <v>4408</v>
      </c>
      <c r="I127" t="str">
        <f t="shared" si="1"/>
        <v>UPDATE `katana`.`funeraria_contrato_individual` SET `latitud`='180.188.188', `longitud`='-933.512.808' WHERE  `idcontrato_individual`='MIG126';</v>
      </c>
      <c r="T127" t="str" cm="1">
        <f t="array" aca="1" ref="T127" ca="1">eConcatenar(B127:E127," , ")</f>
        <v>CALLE ALVARO OBREGON  , CALZADA PRIMERA SECCION  , CARDENAS  , TABASCO  ,</v>
      </c>
    </row>
    <row r="128" spans="1:20" ht="15.75" thickBot="1" x14ac:dyDescent="0.3">
      <c r="A128" s="6" t="s">
        <v>429</v>
      </c>
      <c r="B128" s="4" t="s">
        <v>430</v>
      </c>
      <c r="C128" s="4" t="s">
        <v>431</v>
      </c>
      <c r="D128" s="4" t="s">
        <v>303</v>
      </c>
      <c r="E128" s="4" t="s">
        <v>361</v>
      </c>
      <c r="F128" s="15" t="s">
        <v>4279</v>
      </c>
      <c r="G128" s="15" t="s">
        <v>4280</v>
      </c>
      <c r="I128" t="str">
        <f t="shared" si="1"/>
        <v>UPDATE `katana`.`funeraria_contrato_individual` SET `latitud`='179.919.936', `longitud`='-933.654.384' WHERE  `idcontrato_individual`='MIG127';</v>
      </c>
      <c r="T128" t="str" cm="1">
        <f t="array" aca="1" ref="T128" ca="1">eConcatenar(B128:E128," , ")</f>
        <v>CALLE SANTO DEGOLLADO SIN NUMERO  , GUADALUPE  , CARDENAS  , TABASCO  ,</v>
      </c>
    </row>
    <row r="129" spans="1:20" ht="15.75" thickBot="1" x14ac:dyDescent="0.3">
      <c r="A129" s="6" t="s">
        <v>432</v>
      </c>
      <c r="B129" s="4" t="s">
        <v>434</v>
      </c>
      <c r="C129" s="4" t="s">
        <v>435</v>
      </c>
      <c r="D129" s="4" t="s">
        <v>303</v>
      </c>
      <c r="E129" s="4" t="s">
        <v>361</v>
      </c>
      <c r="F129" s="15" t="s">
        <v>4439</v>
      </c>
      <c r="G129" s="15" t="s">
        <v>4440</v>
      </c>
      <c r="I129" t="str">
        <f t="shared" si="1"/>
        <v>UPDATE `katana`.`funeraria_contrato_individual` SET `latitud`='179.739.577', `longitud`='-933.785.401' WHERE  `idcontrato_individual`='MIG128';</v>
      </c>
      <c r="T129" t="str" cm="1">
        <f t="array" aca="1" ref="T129" ca="1">eConcatenar(B129:E129," , ")</f>
        <v>CERRADA GUATACAN CON CERRADA DE LOS COCOS  , SANTANA  MARIA PERIFERICO  , CARDENAS  , TABASCO  ,</v>
      </c>
    </row>
    <row r="130" spans="1:20" ht="15.75" thickBot="1" x14ac:dyDescent="0.3">
      <c r="A130" s="6" t="s">
        <v>437</v>
      </c>
      <c r="B130" s="4" t="s">
        <v>438</v>
      </c>
      <c r="C130" s="4" t="s">
        <v>439</v>
      </c>
      <c r="D130" s="4" t="s">
        <v>303</v>
      </c>
      <c r="E130" s="4" t="s">
        <v>361</v>
      </c>
      <c r="F130" s="15" t="s">
        <v>4271</v>
      </c>
      <c r="G130" s="15" t="s">
        <v>4272</v>
      </c>
      <c r="I130" t="str">
        <f t="shared" ref="I130:I193" si="2">CONCATENATE("UPDATE `katana`.`funeraria_contrato_individual` SET `latitud`='",F130,"', `longitud`='",G130,"' WHERE  `idcontrato_individual`='",A130,"';")</f>
        <v>UPDATE `katana`.`funeraria_contrato_individual` SET `latitud`='179.789.691', `longitud`='-933.629.188' WHERE  `idcontrato_individual`='MIG129';</v>
      </c>
      <c r="T130" t="str" cm="1">
        <f t="array" aca="1" ref="T130" ca="1">eConcatenar(B130:E130," , ")</f>
        <v>CALLE JOSE TORRUCO VERA NUMERO 4 , FRACCIONAMIENRO PRIMAVERA  , CARDENAS  , TABASCO  ,</v>
      </c>
    </row>
    <row r="131" spans="1:20" ht="15.75" thickBot="1" x14ac:dyDescent="0.3">
      <c r="A131" s="6" t="s">
        <v>441</v>
      </c>
      <c r="B131" s="4" t="s">
        <v>442</v>
      </c>
      <c r="C131" s="4" t="s">
        <v>443</v>
      </c>
      <c r="D131" s="4" t="s">
        <v>303</v>
      </c>
      <c r="E131" s="4" t="s">
        <v>361</v>
      </c>
      <c r="F131" s="15" t="s">
        <v>4441</v>
      </c>
      <c r="G131" s="15" t="s">
        <v>4442</v>
      </c>
      <c r="I131" t="str">
        <f t="shared" si="2"/>
        <v>UPDATE `katana`.`funeraria_contrato_individual` SET `latitud`='179.781.397', `longitud`='-933.784.041' WHERE  `idcontrato_individual`='MIG130';</v>
      </c>
      <c r="T131" t="str" cm="1">
        <f t="array" aca="1" ref="T131" ca="1">eConcatenar(B131:E131," , ")</f>
        <v>CIRCUITO CONDORES MANZANA 8 EDIFICO 6-B , INFONAVIT DEPORTIVA  , CARDENAS  , TABASCO  ,</v>
      </c>
    </row>
    <row r="132" spans="1:20" ht="15.75" thickBot="1" x14ac:dyDescent="0.3">
      <c r="A132" s="6" t="s">
        <v>444</v>
      </c>
      <c r="B132" s="4" t="s">
        <v>445</v>
      </c>
      <c r="C132" s="4" t="s">
        <v>446</v>
      </c>
      <c r="D132" s="4" t="s">
        <v>303</v>
      </c>
      <c r="E132" s="4" t="s">
        <v>361</v>
      </c>
      <c r="F132" s="15" t="s">
        <v>4319</v>
      </c>
      <c r="G132" s="15" t="s">
        <v>4320</v>
      </c>
      <c r="I132" t="str">
        <f t="shared" si="2"/>
        <v>UPDATE `katana`.`funeraria_contrato_individual` SET `latitud`='179.849.532', `longitud`='-9.336.030.439.999.990' WHERE  `idcontrato_individual`='MIG131';</v>
      </c>
      <c r="T132" t="str" cm="1">
        <f t="array" aca="1" ref="T132" ca="1">eConcatenar(B132:E132," , ")</f>
        <v>CALLE 1 CERRADA SIN NUMERO  , SECCION 40 VECINAL  , CARDENAS  , TABASCO  ,</v>
      </c>
    </row>
    <row r="133" spans="1:20" ht="15.75" thickBot="1" x14ac:dyDescent="0.3">
      <c r="A133" s="6" t="s">
        <v>447</v>
      </c>
      <c r="B133" s="4" t="s">
        <v>448</v>
      </c>
      <c r="C133" s="4" t="s">
        <v>57</v>
      </c>
      <c r="D133" s="4" t="s">
        <v>303</v>
      </c>
      <c r="E133" s="4" t="s">
        <v>361</v>
      </c>
      <c r="F133" s="15" t="s">
        <v>4443</v>
      </c>
      <c r="G133" s="15" t="s">
        <v>4444</v>
      </c>
      <c r="I133" t="str">
        <f t="shared" si="2"/>
        <v>UPDATE `katana`.`funeraria_contrato_individual` SET `latitud`='179.944.015', `longitud`='-933.852.453' WHERE  `idcontrato_individual`='MIG132';</v>
      </c>
      <c r="T133" t="str" cm="1">
        <f t="array" aca="1" ref="T133" ca="1">eConcatenar(B133:E133," , ")</f>
        <v>CALLE JOAQUIN CUEVAS NUMERO 635 , PUEBLO NUEVO , CARDENAS  , TABASCO  ,</v>
      </c>
    </row>
    <row r="134" spans="1:20" ht="15.75" thickBot="1" x14ac:dyDescent="0.3">
      <c r="A134" s="6" t="s">
        <v>449</v>
      </c>
      <c r="B134" s="4" t="s">
        <v>451</v>
      </c>
      <c r="C134" s="4" t="s">
        <v>26</v>
      </c>
      <c r="D134" s="4" t="s">
        <v>303</v>
      </c>
      <c r="E134" s="4" t="s">
        <v>361</v>
      </c>
      <c r="F134" s="15" t="s">
        <v>4445</v>
      </c>
      <c r="G134" s="15" t="s">
        <v>4446</v>
      </c>
      <c r="I134" t="str">
        <f t="shared" si="2"/>
        <v>UPDATE `katana`.`funeraria_contrato_individual` SET `latitud`='179.926.139', `longitud`='-933.659.675' WHERE  `idcontrato_individual`='MIG133';</v>
      </c>
      <c r="T134" t="str" cm="1">
        <f t="array" aca="1" ref="T134" ca="1">eConcatenar(B134:E134," , ")</f>
        <v>CARLOS COLORADO VERA NUMERO 18 , SANTA MARIA DE GUADALUPE , CARDENAS  , TABASCO  ,</v>
      </c>
    </row>
    <row r="135" spans="1:20" ht="15.75" thickBot="1" x14ac:dyDescent="0.3">
      <c r="A135" s="6" t="s">
        <v>452</v>
      </c>
      <c r="B135" s="4" t="s">
        <v>453</v>
      </c>
      <c r="C135" s="4" t="s">
        <v>454</v>
      </c>
      <c r="D135" s="4" t="s">
        <v>303</v>
      </c>
      <c r="E135" s="4" t="s">
        <v>361</v>
      </c>
      <c r="F135" s="15" t="s">
        <v>4447</v>
      </c>
      <c r="G135" s="15" t="s">
        <v>4448</v>
      </c>
      <c r="I135" t="str">
        <f t="shared" si="2"/>
        <v>UPDATE `katana`.`funeraria_contrato_individual` SET `latitud`='179.726.866', `longitud`='-9.336.982.909.999.990' WHERE  `idcontrato_individual`='MIG134';</v>
      </c>
      <c r="T135" t="str" cm="1">
        <f t="array" aca="1" ref="T135" ca="1">eConcatenar(B135:E135," , ")</f>
        <v>CALLE ANDADOR DURAZNO MANZANA 12 LOTE 5 , JOSE EDUARDO , CARDENAS  , TABASCO  ,</v>
      </c>
    </row>
    <row r="136" spans="1:20" ht="15.75" thickBot="1" x14ac:dyDescent="0.3">
      <c r="A136" s="6" t="s">
        <v>455</v>
      </c>
      <c r="B136" s="4" t="s">
        <v>456</v>
      </c>
      <c r="C136" s="4" t="s">
        <v>57</v>
      </c>
      <c r="D136" s="4" t="s">
        <v>303</v>
      </c>
      <c r="E136" s="4" t="s">
        <v>361</v>
      </c>
      <c r="F136" s="15" t="s">
        <v>4449</v>
      </c>
      <c r="G136" s="15" t="s">
        <v>4450</v>
      </c>
      <c r="I136" t="str">
        <f t="shared" si="2"/>
        <v>UPDATE `katana`.`funeraria_contrato_individual` SET `latitud`='179.942.421', `longitud`='-9.338.241.479.999.990' WHERE  `idcontrato_individual`='MIG135';</v>
      </c>
      <c r="T136" t="str" cm="1">
        <f t="array" aca="1" ref="T136" ca="1">eConcatenar(B136:E136," , ")</f>
        <v>CALLE FRANCISCO TRUJILLO GURRIA , PUEBLO NUEVO , CARDENAS  , TABASCO  ,</v>
      </c>
    </row>
    <row r="137" spans="1:20" ht="15.75" thickBot="1" x14ac:dyDescent="0.3">
      <c r="A137" s="6" t="s">
        <v>457</v>
      </c>
      <c r="B137" s="4" t="s">
        <v>459</v>
      </c>
      <c r="C137" s="4" t="s">
        <v>40</v>
      </c>
      <c r="D137" s="4" t="s">
        <v>303</v>
      </c>
      <c r="E137" s="4" t="s">
        <v>361</v>
      </c>
      <c r="F137" s="15" t="s">
        <v>4451</v>
      </c>
      <c r="G137" s="15" t="s">
        <v>4452</v>
      </c>
      <c r="I137" t="str">
        <f t="shared" si="2"/>
        <v>UPDATE `katana`.`funeraria_contrato_individual` SET `latitud`='180.008.494', `longitud`='-933.775.361' WHERE  `idcontrato_individual`='MIG136';</v>
      </c>
      <c r="T137" t="str" cm="1">
        <f t="array" aca="1" ref="T137" ca="1">eConcatenar(B137:E137," , ")</f>
        <v>CALLE CERRADA DE REFORMA NUMERO 661 , CENTRO , CARDENAS  , TABASCO  ,</v>
      </c>
    </row>
    <row r="138" spans="1:20" ht="15.75" thickBot="1" x14ac:dyDescent="0.3">
      <c r="A138" s="6" t="s">
        <v>460</v>
      </c>
      <c r="B138" s="4" t="s">
        <v>461</v>
      </c>
      <c r="C138" s="4" t="s">
        <v>462</v>
      </c>
      <c r="D138" s="4" t="s">
        <v>303</v>
      </c>
      <c r="E138" s="4" t="s">
        <v>361</v>
      </c>
      <c r="F138" s="15" t="s">
        <v>4453</v>
      </c>
      <c r="G138" s="15" t="s">
        <v>4454</v>
      </c>
      <c r="I138" t="str">
        <f t="shared" si="2"/>
        <v>UPDATE `katana`.`funeraria_contrato_individual` SET `latitud`='17.990.514', `longitud`='-9.339.940.390.000.000' WHERE  `idcontrato_individual`='MIG137';</v>
      </c>
      <c r="T138" t="str" cm="1">
        <f t="array" aca="1" ref="T138" ca="1">eConcatenar(B138:E138," , ")</f>
        <v>CALLE FRANCISCO GONZALEZ BOCANEGRA , EMILIANO ZAPATA , CARDENAS  , TABASCO  ,</v>
      </c>
    </row>
    <row r="139" spans="1:20" ht="15.75" thickBot="1" x14ac:dyDescent="0.3">
      <c r="A139" s="6" t="s">
        <v>463</v>
      </c>
      <c r="B139" s="4" t="s">
        <v>465</v>
      </c>
      <c r="C139" s="4" t="s">
        <v>466</v>
      </c>
      <c r="D139" s="4" t="s">
        <v>303</v>
      </c>
      <c r="E139" s="4" t="s">
        <v>361</v>
      </c>
      <c r="F139" s="15" t="s">
        <v>4455</v>
      </c>
      <c r="G139" s="15" t="s">
        <v>4456</v>
      </c>
      <c r="I139" t="str">
        <f t="shared" si="2"/>
        <v>UPDATE `katana`.`funeraria_contrato_individual` SET `latitud`='175.919.887', `longitud`='-9.282.642.009.999.990' WHERE  `idcontrato_individual`='MIG138';</v>
      </c>
      <c r="T139" t="str" cm="1">
        <f t="array" aca="1" ref="T139" ca="1">eConcatenar(B139:E139," , ")</f>
        <v>GRACIELA PINTADO DE MADRAZO , FRACCIONAMIENTO ORO VERDE , CARDENAS  , TABASCO  ,</v>
      </c>
    </row>
    <row r="140" spans="1:20" ht="15.75" thickBot="1" x14ac:dyDescent="0.3">
      <c r="A140" s="6" t="s">
        <v>468</v>
      </c>
      <c r="B140" s="4" t="s">
        <v>470</v>
      </c>
      <c r="C140" s="4" t="s">
        <v>78</v>
      </c>
      <c r="D140" s="4" t="s">
        <v>303</v>
      </c>
      <c r="E140" s="4" t="s">
        <v>361</v>
      </c>
      <c r="F140" s="15" t="s">
        <v>4457</v>
      </c>
      <c r="G140" s="15" t="s">
        <v>4458</v>
      </c>
      <c r="I140" t="str">
        <f t="shared" si="2"/>
        <v>UPDATE `katana`.`funeraria_contrato_individual` SET `latitud`='179.868.157', `longitud`='-933.771.247' WHERE  `idcontrato_individual`='MIG139';</v>
      </c>
      <c r="T140" t="str" cm="1">
        <f t="array" aca="1" ref="T140" ca="1">eConcatenar(B140:E140," , ")</f>
        <v>CALLE ABOSOLO NUMERO 122 , SANTA CRUZ , CARDENAS  , TABASCO  ,</v>
      </c>
    </row>
    <row r="141" spans="1:20" ht="15.75" thickBot="1" x14ac:dyDescent="0.3">
      <c r="A141" s="6" t="s">
        <v>471</v>
      </c>
      <c r="B141" s="4" t="s">
        <v>472</v>
      </c>
      <c r="C141" s="4" t="s">
        <v>40</v>
      </c>
      <c r="D141" s="4" t="s">
        <v>303</v>
      </c>
      <c r="E141" s="4" t="s">
        <v>361</v>
      </c>
      <c r="F141" s="15" t="s">
        <v>4337</v>
      </c>
      <c r="G141" s="15" t="s">
        <v>4338</v>
      </c>
      <c r="I141" t="str">
        <f t="shared" si="2"/>
        <v>UPDATE `katana`.`funeraria_contrato_individual` SET `latitud`='179.866.239', `longitud`='-933.720.544' WHERE  `idcontrato_individual`='MIG140';</v>
      </c>
      <c r="T141" t="str" cm="1">
        <f t="array" aca="1" ref="T141" ca="1">eConcatenar(B141:E141," , ")</f>
        <v>CALLE XICOTENCATL , CENTRO , CARDENAS  , TABASCO  ,</v>
      </c>
    </row>
    <row r="142" spans="1:20" ht="15.75" thickBot="1" x14ac:dyDescent="0.3">
      <c r="A142" s="6" t="s">
        <v>473</v>
      </c>
      <c r="B142" s="4" t="s">
        <v>474</v>
      </c>
      <c r="C142" s="4" t="s">
        <v>475</v>
      </c>
      <c r="D142" s="4" t="s">
        <v>303</v>
      </c>
      <c r="E142" s="4" t="s">
        <v>361</v>
      </c>
      <c r="F142" s="15" t="s">
        <v>4251</v>
      </c>
      <c r="G142" s="15" t="s">
        <v>4252</v>
      </c>
      <c r="I142" t="str">
        <f t="shared" si="2"/>
        <v>UPDATE `katana`.`funeraria_contrato_individual` SET `latitud`='180.217.055', `longitud`='-93.384.945' WHERE  `idcontrato_individual`='MIG141';</v>
      </c>
      <c r="T142" t="str" cm="1">
        <f t="array" aca="1" ref="T142" ca="1">eConcatenar(B142:E142," , ")</f>
        <v>AMPLIACION CALLE MELAZA MANZANA 6 LOTE NUMERO 7 , FRACCIONAMIENTO CAÑALES PRIMERA , CARDENAS  , TABASCO  ,</v>
      </c>
    </row>
    <row r="143" spans="1:20" ht="15.75" thickBot="1" x14ac:dyDescent="0.3">
      <c r="A143" s="6" t="s">
        <v>476</v>
      </c>
      <c r="B143" s="4" t="s">
        <v>477</v>
      </c>
      <c r="C143" s="4" t="s">
        <v>40</v>
      </c>
      <c r="D143" s="4" t="s">
        <v>303</v>
      </c>
      <c r="E143" s="4" t="s">
        <v>361</v>
      </c>
      <c r="F143" s="15" t="s">
        <v>4257</v>
      </c>
      <c r="G143" s="15" t="s">
        <v>4258</v>
      </c>
      <c r="I143" t="str">
        <f t="shared" si="2"/>
        <v>UPDATE `katana`.`funeraria_contrato_individual` SET `latitud`='180.012.067', `longitud`='-9.337.323.390.000.000' WHERE  `idcontrato_individual`='MIG142';</v>
      </c>
      <c r="T143" t="str" cm="1">
        <f t="array" aca="1" ref="T143" ca="1">eConcatenar(B143:E143," , ")</f>
        <v>CALLE CUAUHTEMOC NUMERO 1002 , CENTRO , CARDENAS  , TABASCO  ,</v>
      </c>
    </row>
    <row r="144" spans="1:20" ht="15.75" thickBot="1" x14ac:dyDescent="0.3">
      <c r="A144" s="6" t="s">
        <v>478</v>
      </c>
      <c r="B144" s="4" t="s">
        <v>480</v>
      </c>
      <c r="C144" s="4" t="s">
        <v>57</v>
      </c>
      <c r="D144" s="4" t="s">
        <v>303</v>
      </c>
      <c r="E144" s="4" t="s">
        <v>361</v>
      </c>
      <c r="F144" s="15" t="s">
        <v>4459</v>
      </c>
      <c r="G144" s="15" t="s">
        <v>4460</v>
      </c>
      <c r="I144" t="str">
        <f t="shared" si="2"/>
        <v>UPDATE `katana`.`funeraria_contrato_individual` SET `latitud`='3.618.472', `longitud`='-10.944.222' WHERE  `idcontrato_individual`='MIG143';</v>
      </c>
      <c r="T144" t="str" cm="1">
        <f t="array" aca="1" ref="T144" ca="1">eConcatenar(B144:E144," , ")</f>
        <v>CALLE CALLEJON DEL MUERTO NUMERO 9  , PUEBLO NUEVO , CARDENAS  , TABASCO  ,</v>
      </c>
    </row>
    <row r="145" spans="1:20" ht="15.75" thickBot="1" x14ac:dyDescent="0.3">
      <c r="A145" s="6" t="s">
        <v>481</v>
      </c>
      <c r="B145" s="4" t="s">
        <v>482</v>
      </c>
      <c r="C145" s="4" t="s">
        <v>483</v>
      </c>
      <c r="D145" s="4" t="s">
        <v>303</v>
      </c>
      <c r="E145" s="4" t="s">
        <v>361</v>
      </c>
      <c r="F145" s="15" t="s">
        <v>4461</v>
      </c>
      <c r="G145" s="15" t="s">
        <v>4462</v>
      </c>
      <c r="I145" t="str">
        <f t="shared" si="2"/>
        <v>UPDATE `katana`.`funeraria_contrato_individual` SET `latitud`='179.971.011', `longitud`='-933.725.023' WHERE  `idcontrato_individual`='MIG144';</v>
      </c>
      <c r="T145" t="str" cm="1">
        <f t="array" aca="1" ref="T145" ca="1">eConcatenar(B145:E145," , ")</f>
        <v>CALLE CONSTANCIO CASAO  , CALZADA , CARDENAS  , TABASCO  ,</v>
      </c>
    </row>
    <row r="146" spans="1:20" ht="15.75" thickBot="1" x14ac:dyDescent="0.3">
      <c r="A146" s="6" t="s">
        <v>484</v>
      </c>
      <c r="B146" s="4" t="s">
        <v>485</v>
      </c>
      <c r="C146" s="4" t="s">
        <v>57</v>
      </c>
      <c r="D146" s="4" t="s">
        <v>303</v>
      </c>
      <c r="E146" s="4" t="s">
        <v>361</v>
      </c>
      <c r="F146" s="15" t="s">
        <v>4463</v>
      </c>
      <c r="G146" s="15" t="s">
        <v>4464</v>
      </c>
      <c r="I146" t="str">
        <f t="shared" si="2"/>
        <v>UPDATE `katana`.`funeraria_contrato_individual` SET `latitud`='179.884.909', `longitud`='-933.797.162' WHERE  `idcontrato_individual`='MIG145';</v>
      </c>
      <c r="T146" t="str" cm="1">
        <f t="array" aca="1" ref="T146" ca="1">eConcatenar(B146:E146," , ")</f>
        <v>CALLE SANCHEZ MAGALLANES NUMERO 634 , PUEBLO NUEVO , CARDENAS  , TABASCO  ,</v>
      </c>
    </row>
    <row r="147" spans="1:20" ht="15.75" thickBot="1" x14ac:dyDescent="0.3">
      <c r="A147" s="6" t="s">
        <v>486</v>
      </c>
      <c r="B147" s="4" t="s">
        <v>487</v>
      </c>
      <c r="C147" s="4" t="s">
        <v>488</v>
      </c>
      <c r="D147" s="4" t="s">
        <v>303</v>
      </c>
      <c r="E147" s="4" t="s">
        <v>361</v>
      </c>
      <c r="F147" s="15" t="s">
        <v>4465</v>
      </c>
      <c r="G147" s="15" t="s">
        <v>4466</v>
      </c>
      <c r="I147" t="str">
        <f t="shared" si="2"/>
        <v>UPDATE `katana`.`funeraria_contrato_individual` SET `latitud`='179.764.003', `longitud`='-933.683.648' WHERE  `idcontrato_individual`='MIG146';</v>
      </c>
      <c r="T147" t="str" cm="1">
        <f t="array" aca="1" ref="T147" ca="1">eConcatenar(B147:E147," , ")</f>
        <v>CALLE ANDADOR MAGUEY MANZANA 20 LOTE NUMERO 13 , INVITAB PASO Y PLAYA  , CARDENAS  , TABASCO  ,</v>
      </c>
    </row>
    <row r="148" spans="1:20" ht="15.75" thickBot="1" x14ac:dyDescent="0.3">
      <c r="A148" s="6" t="s">
        <v>490</v>
      </c>
      <c r="B148" s="4" t="s">
        <v>491</v>
      </c>
      <c r="C148" s="4" t="s">
        <v>40</v>
      </c>
      <c r="D148" s="4" t="s">
        <v>303</v>
      </c>
      <c r="E148" s="4" t="s">
        <v>361</v>
      </c>
      <c r="F148" s="15" t="s">
        <v>4467</v>
      </c>
      <c r="G148" s="15" t="s">
        <v>4468</v>
      </c>
      <c r="I148" t="str">
        <f t="shared" si="2"/>
        <v>UPDATE `katana`.`funeraria_contrato_individual` SET `latitud`='179.858.776', `longitud`='-933.749.399' WHERE  `idcontrato_individual`='MIG147';</v>
      </c>
      <c r="T148" t="str" cm="1">
        <f t="array" aca="1" ref="T148" ca="1">eConcatenar(B148:E148," , ")</f>
        <v>CALLE FRANCISCO I MADERO NUMERO 704 A , CENTRO , CARDENAS  , TABASCO  ,</v>
      </c>
    </row>
    <row r="149" spans="1:20" ht="15.75" thickBot="1" x14ac:dyDescent="0.3">
      <c r="A149" s="6" t="s">
        <v>492</v>
      </c>
      <c r="B149" s="4" t="s">
        <v>493</v>
      </c>
      <c r="C149" s="4" t="s">
        <v>494</v>
      </c>
      <c r="D149" s="4" t="s">
        <v>303</v>
      </c>
      <c r="E149" s="4" t="s">
        <v>361</v>
      </c>
      <c r="F149" s="15" t="s">
        <v>4469</v>
      </c>
      <c r="G149" s="15" t="s">
        <v>4470</v>
      </c>
      <c r="I149" t="str">
        <f t="shared" si="2"/>
        <v>UPDATE `katana`.`funeraria_contrato_individual` SET `latitud`='180.062.011', `longitud`='-929.470.011' WHERE  `idcontrato_individual`='MIG148';</v>
      </c>
      <c r="T149" t="str" cm="1">
        <f t="array" aca="1" ref="T149" ca="1">eConcatenar(B149:E149," , ")</f>
        <v>CALLE ANDADOR EL FRIJOL MANZANA 7 LOTE NUMERO 30 , INVITAB , CARDENAS  , TABASCO  ,</v>
      </c>
    </row>
    <row r="150" spans="1:20" ht="15.75" thickBot="1" x14ac:dyDescent="0.3">
      <c r="A150" s="6" t="s">
        <v>495</v>
      </c>
      <c r="B150" s="4" t="s">
        <v>323</v>
      </c>
      <c r="C150" s="4" t="s">
        <v>208</v>
      </c>
      <c r="D150" s="4" t="s">
        <v>303</v>
      </c>
      <c r="E150" s="4" t="s">
        <v>361</v>
      </c>
      <c r="F150" s="15" t="s">
        <v>4471</v>
      </c>
      <c r="G150" s="15" t="s">
        <v>4472</v>
      </c>
      <c r="I150" t="str">
        <f t="shared" si="2"/>
        <v>UPDATE `katana`.`funeraria_contrato_individual` SET `latitud`='17.981.917', `longitud`='-9.337.093.159.999.990' WHERE  `idcontrato_individual`='MIG149';</v>
      </c>
      <c r="T150" t="str" cm="1">
        <f t="array" aca="1" ref="T150" ca="1">eConcatenar(B150:E150," , ")</f>
        <v>CALLE AQUILES CALDERON MARCHENA , SECCION 40 , CARDENAS  , TABASCO  ,</v>
      </c>
    </row>
    <row r="151" spans="1:20" ht="15.75" thickBot="1" x14ac:dyDescent="0.3">
      <c r="A151" s="6" t="s">
        <v>496</v>
      </c>
      <c r="B151" s="4" t="s">
        <v>323</v>
      </c>
      <c r="C151" s="4" t="s">
        <v>208</v>
      </c>
      <c r="D151" s="4" t="s">
        <v>303</v>
      </c>
      <c r="E151" s="4" t="s">
        <v>361</v>
      </c>
      <c r="F151" s="15" t="s">
        <v>4471</v>
      </c>
      <c r="G151" s="15" t="s">
        <v>4472</v>
      </c>
      <c r="I151" t="str">
        <f t="shared" si="2"/>
        <v>UPDATE `katana`.`funeraria_contrato_individual` SET `latitud`='17.981.917', `longitud`='-9.337.093.159.999.990' WHERE  `idcontrato_individual`='MIG150';</v>
      </c>
      <c r="T151" t="str" cm="1">
        <f t="array" aca="1" ref="T151" ca="1">eConcatenar(B151:E151," , ")</f>
        <v>CALLE AQUILES CALDERON MARCHENA , SECCION 40 , CARDENAS  , TABASCO  ,</v>
      </c>
    </row>
    <row r="152" spans="1:20" ht="15.75" thickBot="1" x14ac:dyDescent="0.3">
      <c r="A152" s="6" t="s">
        <v>497</v>
      </c>
      <c r="B152" s="4" t="s">
        <v>498</v>
      </c>
      <c r="C152" s="4" t="s">
        <v>26</v>
      </c>
      <c r="D152" s="4" t="s">
        <v>303</v>
      </c>
      <c r="E152" s="4" t="s">
        <v>361</v>
      </c>
      <c r="F152" s="15" t="s">
        <v>4473</v>
      </c>
      <c r="G152" s="15" t="s">
        <v>4474</v>
      </c>
      <c r="I152" t="str">
        <f t="shared" si="2"/>
        <v>UPDATE `katana`.`funeraria_contrato_individual` SET `latitud`='179.936.787', `longitud`='-933.713.423' WHERE  `idcontrato_individual`='MIG151';</v>
      </c>
      <c r="T152" t="str" cm="1">
        <f t="array" aca="1" ref="T152" ca="1">eConcatenar(B152:E152," , ")</f>
        <v>CALLE CERRADA DE AURELIO SOSA TORRES 20 , SANTA MARIA DE GUADALUPE , CARDENAS  , TABASCO  ,</v>
      </c>
    </row>
    <row r="153" spans="1:20" ht="15.75" thickBot="1" x14ac:dyDescent="0.3">
      <c r="A153" s="6" t="s">
        <v>499</v>
      </c>
      <c r="B153" s="4" t="s">
        <v>500</v>
      </c>
      <c r="C153" s="4" t="s">
        <v>57</v>
      </c>
      <c r="D153" s="4" t="s">
        <v>303</v>
      </c>
      <c r="E153" s="4" t="s">
        <v>361</v>
      </c>
      <c r="F153" s="15" t="s">
        <v>4475</v>
      </c>
      <c r="G153" s="15" t="s">
        <v>4476</v>
      </c>
      <c r="I153" t="str">
        <f t="shared" si="2"/>
        <v>UPDATE `katana`.`funeraria_contrato_individual` SET `latitud`='179.922.496', `longitud`='-93.378.906' WHERE  `idcontrato_individual`='MIG152';</v>
      </c>
      <c r="T153" t="str" cm="1">
        <f t="array" aca="1" ref="T153" ca="1">eConcatenar(B153:E153," , ")</f>
        <v>CALLE ANDRES SANCHEZ MAGALLANES  , PUEBLO NUEVO , CARDENAS  , TABASCO  ,</v>
      </c>
    </row>
    <row r="154" spans="1:20" ht="15.75" thickBot="1" x14ac:dyDescent="0.3">
      <c r="A154" s="6" t="s">
        <v>501</v>
      </c>
      <c r="B154" s="4" t="s">
        <v>502</v>
      </c>
      <c r="C154" s="4" t="s">
        <v>503</v>
      </c>
      <c r="D154" s="4" t="s">
        <v>303</v>
      </c>
      <c r="E154" s="4" t="s">
        <v>361</v>
      </c>
      <c r="F154" s="16"/>
      <c r="G154" s="16"/>
      <c r="I154" t="str">
        <f t="shared" si="2"/>
        <v>UPDATE `katana`.`funeraria_contrato_individual` SET `latitud`='', `longitud`='' WHERE  `idcontrato_individual`='MIG153';</v>
      </c>
      <c r="T154" t="str" cm="1">
        <f t="array" aca="1" ref="T154" ca="1">eConcatenar(B154:E154," , ")</f>
        <v>CALLE PRINCIPAL  , SANTANA PRIMERA SECCION A , CARDENAS  , TABASCO  ,</v>
      </c>
    </row>
    <row r="155" spans="1:20" ht="15.75" thickBot="1" x14ac:dyDescent="0.3">
      <c r="A155" s="6" t="s">
        <v>504</v>
      </c>
      <c r="B155" s="4" t="s">
        <v>506</v>
      </c>
      <c r="C155" s="4" t="s">
        <v>57</v>
      </c>
      <c r="D155" s="4" t="s">
        <v>303</v>
      </c>
      <c r="E155" s="4" t="s">
        <v>361</v>
      </c>
      <c r="F155" s="15" t="s">
        <v>4477</v>
      </c>
      <c r="G155" s="15" t="s">
        <v>4478</v>
      </c>
      <c r="I155" t="str">
        <f t="shared" si="2"/>
        <v>UPDATE `katana`.`funeraria_contrato_individual` SET `latitud`='179.887.657', `longitud`='-9.336.997.889.999.990' WHERE  `idcontrato_individual`='MIG154';</v>
      </c>
      <c r="T155" t="str" cm="1">
        <f t="array" aca="1" ref="T155" ca="1">eConcatenar(B155:E155," , ")</f>
        <v>CALLE 2 DE ABRIL CASA NUMERO 2 , PUEBLO NUEVO , CARDENAS  , TABASCO  ,</v>
      </c>
    </row>
    <row r="156" spans="1:20" ht="15.75" thickBot="1" x14ac:dyDescent="0.3">
      <c r="A156" s="6" t="s">
        <v>507</v>
      </c>
      <c r="B156" s="4" t="s">
        <v>508</v>
      </c>
      <c r="C156" s="4" t="s">
        <v>57</v>
      </c>
      <c r="D156" s="4" t="s">
        <v>303</v>
      </c>
      <c r="E156" s="4" t="s">
        <v>361</v>
      </c>
      <c r="F156" s="15" t="s">
        <v>4449</v>
      </c>
      <c r="G156" s="15" t="s">
        <v>4450</v>
      </c>
      <c r="I156" t="str">
        <f t="shared" si="2"/>
        <v>UPDATE `katana`.`funeraria_contrato_individual` SET `latitud`='179.942.421', `longitud`='-9.338.241.479.999.990' WHERE  `idcontrato_individual`='MIG155';</v>
      </c>
      <c r="T156" t="str" cm="1">
        <f t="array" aca="1" ref="T156" ca="1">eConcatenar(B156:E156," , ")</f>
        <v>CALLE FRACCIONAMIENTO TRUJILLO GURRIA  , PUEBLO NUEVO , CARDENAS  , TABASCO  ,</v>
      </c>
    </row>
    <row r="157" spans="1:20" ht="15.75" thickBot="1" x14ac:dyDescent="0.3">
      <c r="A157" s="6" t="s">
        <v>509</v>
      </c>
      <c r="B157" s="4" t="s">
        <v>510</v>
      </c>
      <c r="C157" s="4" t="s">
        <v>40</v>
      </c>
      <c r="D157" s="4" t="s">
        <v>303</v>
      </c>
      <c r="E157" s="4" t="s">
        <v>361</v>
      </c>
      <c r="F157" s="15" t="s">
        <v>4479</v>
      </c>
      <c r="G157" s="15" t="s">
        <v>4480</v>
      </c>
      <c r="I157" t="str">
        <f t="shared" si="2"/>
        <v>UPDATE `katana`.`funeraria_contrato_individual` SET `latitud`='179.945.835', `longitud`='-933.743.025' WHERE  `idcontrato_individual`='MIG156';</v>
      </c>
      <c r="T157" t="str" cm="1">
        <f t="array" aca="1" ref="T157" ca="1">eConcatenar(B157:E157," , ")</f>
        <v>CALLE RAMON SOSA TORRES NUMERO 309 , CENTRO , CARDENAS  , TABASCO  ,</v>
      </c>
    </row>
    <row r="158" spans="1:20" ht="15.75" thickBot="1" x14ac:dyDescent="0.3">
      <c r="A158" s="6" t="s">
        <v>511</v>
      </c>
      <c r="B158" s="4" t="s">
        <v>513</v>
      </c>
      <c r="C158" s="4" t="s">
        <v>514</v>
      </c>
      <c r="D158" s="4" t="s">
        <v>303</v>
      </c>
      <c r="E158" s="4" t="s">
        <v>361</v>
      </c>
      <c r="F158" s="15" t="s">
        <v>4481</v>
      </c>
      <c r="G158" s="15" t="s">
        <v>4482</v>
      </c>
      <c r="I158" t="str">
        <f t="shared" si="2"/>
        <v>UPDATE `katana`.`funeraria_contrato_individual` SET `latitud`='180.070.095', `longitud`='-933.667.929' WHERE  `idcontrato_individual`='MIG157';</v>
      </c>
      <c r="T158" t="str" cm="1">
        <f t="array" aca="1" ref="T158" ca="1">eConcatenar(B158:E158," , ")</f>
        <v>CALLE SEGUNDA CERRADA DEL RETEN SIN NUMERO , OCAMPO , CARDENAS  , TABASCO  ,</v>
      </c>
    </row>
    <row r="159" spans="1:20" ht="15.75" thickBot="1" x14ac:dyDescent="0.3">
      <c r="A159" s="6" t="s">
        <v>515</v>
      </c>
      <c r="B159" s="4" t="s">
        <v>516</v>
      </c>
      <c r="C159" s="4" t="s">
        <v>31</v>
      </c>
      <c r="D159" s="4" t="s">
        <v>303</v>
      </c>
      <c r="E159" s="4" t="s">
        <v>361</v>
      </c>
      <c r="F159" s="15" t="s">
        <v>4483</v>
      </c>
      <c r="G159" s="15" t="s">
        <v>4484</v>
      </c>
      <c r="I159" t="str">
        <f t="shared" si="2"/>
        <v>UPDATE `katana`.`funeraria_contrato_individual` SET `latitud`='179.950.115', `longitud`='-933.861.809' WHERE  `idcontrato_individual`='MIG158';</v>
      </c>
      <c r="T159" t="str" cm="1">
        <f t="array" aca="1" ref="T159" ca="1">eConcatenar(B159:E159," , ")</f>
        <v>CALLE CARLOS A MOLINA NUMERO 12  , EL PALMAR , CARDENAS  , TABASCO  ,</v>
      </c>
    </row>
    <row r="160" spans="1:20" ht="15.75" thickBot="1" x14ac:dyDescent="0.3">
      <c r="A160" s="6" t="s">
        <v>518</v>
      </c>
      <c r="B160" s="4" t="s">
        <v>519</v>
      </c>
      <c r="C160" s="4" t="s">
        <v>105</v>
      </c>
      <c r="D160" s="4" t="s">
        <v>303</v>
      </c>
      <c r="E160" s="4" t="s">
        <v>361</v>
      </c>
      <c r="F160" s="15" t="s">
        <v>4485</v>
      </c>
      <c r="G160" s="15" t="s">
        <v>4486</v>
      </c>
      <c r="I160" t="str">
        <f t="shared" si="2"/>
        <v>UPDATE `katana`.`funeraria_contrato_individual` SET `latitud`='179.804.818', `longitud`='-9.338.369.229.999.990' WHERE  `idcontrato_individual`='MIG159';</v>
      </c>
      <c r="T160" t="str" cm="1">
        <f t="array" aca="1" ref="T160" ca="1">eConcatenar(B160:E160," , ")</f>
        <v>CALLE CHACHALACA NUMERO 129 , CSAT , CARDENAS  , TABASCO  ,</v>
      </c>
    </row>
    <row r="161" spans="1:20" ht="15.75" thickBot="1" x14ac:dyDescent="0.3">
      <c r="A161" s="6" t="s">
        <v>520</v>
      </c>
      <c r="B161" s="4" t="s">
        <v>521</v>
      </c>
      <c r="C161" s="4" t="s">
        <v>475</v>
      </c>
      <c r="D161" s="4" t="s">
        <v>303</v>
      </c>
      <c r="E161" s="4" t="s">
        <v>361</v>
      </c>
      <c r="F161" s="15" t="s">
        <v>4339</v>
      </c>
      <c r="G161" s="15" t="s">
        <v>4340</v>
      </c>
      <c r="I161" t="str">
        <f t="shared" si="2"/>
        <v>UPDATE `katana`.`funeraria_contrato_individual` SET `latitud`='180.208.471', `longitud`='-933.810.963' WHERE  `idcontrato_individual`='MIG160';</v>
      </c>
      <c r="T161" t="str" cm="1">
        <f t="array" aca="1" ref="T161" ca="1">eConcatenar(B161:E161," , ")</f>
        <v>CALLE AVENIDA CAÑAVERAL NUMERO 5 LOTE NUMERO 50 , FRACCIONAMIENTO CAÑALES PRIMERA , CARDENAS  , TABASCO  ,</v>
      </c>
    </row>
    <row r="162" spans="1:20" ht="15.75" thickBot="1" x14ac:dyDescent="0.3">
      <c r="A162" s="6" t="s">
        <v>522</v>
      </c>
      <c r="B162" s="4" t="s">
        <v>523</v>
      </c>
      <c r="C162" s="4" t="s">
        <v>18</v>
      </c>
      <c r="D162" s="4" t="s">
        <v>303</v>
      </c>
      <c r="E162" s="4" t="s">
        <v>361</v>
      </c>
      <c r="F162" s="15" t="s">
        <v>4487</v>
      </c>
      <c r="G162" s="15" t="s">
        <v>4488</v>
      </c>
      <c r="I162" t="str">
        <f t="shared" si="2"/>
        <v>UPDATE `katana`.`funeraria_contrato_individual` SET `latitud`='180.054.268', `longitud`='-93.364.654' WHERE  `idcontrato_individual`='MIG161';</v>
      </c>
      <c r="T162" t="str" cm="1">
        <f t="array" aca="1" ref="T162" ca="1">eConcatenar(B162:E162," , ")</f>
        <v>CALLE AGUASOL , LAZARO CARDENAS , CARDENAS  , TABASCO  ,</v>
      </c>
    </row>
    <row r="163" spans="1:20" ht="15.75" thickBot="1" x14ac:dyDescent="0.3">
      <c r="A163" s="6" t="s">
        <v>524</v>
      </c>
      <c r="B163" s="4" t="s">
        <v>526</v>
      </c>
      <c r="C163" s="4" t="s">
        <v>57</v>
      </c>
      <c r="D163" s="4" t="s">
        <v>303</v>
      </c>
      <c r="E163" s="4" t="s">
        <v>361</v>
      </c>
      <c r="F163" s="15" t="s">
        <v>4489</v>
      </c>
      <c r="G163" s="15" t="s">
        <v>4490</v>
      </c>
      <c r="I163" t="str">
        <f t="shared" si="2"/>
        <v>UPDATE `katana`.`funeraria_contrato_individual` SET `latitud`='179.918.336', `longitud`='-933.814.769' WHERE  `idcontrato_individual`='MIG162';</v>
      </c>
      <c r="T163" t="str" cm="1">
        <f t="array" aca="1" ref="T163" ca="1">eConcatenar(B163:E163," , ")</f>
        <v>CALLE ERNESTO AGUIRRE COLORADO , PUEBLO NUEVO , CARDENAS  , TABASCO  ,</v>
      </c>
    </row>
    <row r="164" spans="1:20" ht="15.75" thickBot="1" x14ac:dyDescent="0.3">
      <c r="A164" s="6" t="s">
        <v>527</v>
      </c>
      <c r="B164" s="4" t="s">
        <v>528</v>
      </c>
      <c r="C164" s="4" t="s">
        <v>529</v>
      </c>
      <c r="D164" s="4" t="s">
        <v>303</v>
      </c>
      <c r="E164" s="4" t="s">
        <v>361</v>
      </c>
      <c r="F164" s="15" t="s">
        <v>4307</v>
      </c>
      <c r="G164" s="15" t="s">
        <v>4308</v>
      </c>
      <c r="I164" t="str">
        <f t="shared" si="2"/>
        <v>UPDATE `katana`.`funeraria_contrato_individual` SET `latitud`='179.718.531', `longitud`='-933.629.881' WHERE  `idcontrato_individual`='MIG163';</v>
      </c>
      <c r="T164" t="str" cm="1">
        <f t="array" aca="1" ref="T164" ca="1">eConcatenar(B164:E164," , ")</f>
        <v>ANDADOR TULIPANES LOTE NUMERO 7 , 7 DE OCTUBRE , CARDENAS  , TABASCO  ,</v>
      </c>
    </row>
    <row r="165" spans="1:20" ht="15.75" thickBot="1" x14ac:dyDescent="0.3">
      <c r="A165" s="6" t="s">
        <v>530</v>
      </c>
      <c r="B165" s="4" t="s">
        <v>531</v>
      </c>
      <c r="C165" s="4" t="s">
        <v>91</v>
      </c>
      <c r="D165" s="4" t="s">
        <v>303</v>
      </c>
      <c r="E165" s="4" t="s">
        <v>361</v>
      </c>
      <c r="F165" s="15" t="s">
        <v>4491</v>
      </c>
      <c r="G165" s="15" t="s">
        <v>4492</v>
      </c>
      <c r="I165" t="str">
        <f t="shared" si="2"/>
        <v>UPDATE `katana`.`funeraria_contrato_individual` SET `latitud`='180.087.604', `longitud`='-93.369.466' WHERE  `idcontrato_individual`='MIG164';</v>
      </c>
      <c r="T165" t="str" cm="1">
        <f t="array" aca="1" ref="T165" ca="1">eConcatenar(B165:E165," , ")</f>
        <v>CALLE CERRADA SAN PEDRO NUMERO 598 , MELCHOR OCAMPO , CARDENAS  , TABASCO  ,</v>
      </c>
    </row>
    <row r="166" spans="1:20" ht="15.75" thickBot="1" x14ac:dyDescent="0.3">
      <c r="A166" s="6" t="s">
        <v>532</v>
      </c>
      <c r="B166" s="4" t="s">
        <v>533</v>
      </c>
      <c r="C166" s="4" t="s">
        <v>534</v>
      </c>
      <c r="D166" s="4" t="s">
        <v>303</v>
      </c>
      <c r="E166" s="4" t="s">
        <v>361</v>
      </c>
      <c r="F166" s="15" t="s">
        <v>4493</v>
      </c>
      <c r="G166" s="15" t="s">
        <v>4494</v>
      </c>
      <c r="I166" t="str">
        <f t="shared" si="2"/>
        <v>UPDATE `katana`.`funeraria_contrato_individual` SET `latitud`='180.219.044', `longitud`='-933.860.919' WHERE  `idcontrato_individual`='MIG165';</v>
      </c>
      <c r="T166" t="str" cm="1">
        <f t="array" aca="1" ref="T166" ca="1">eConcatenar(B166:E166," , ")</f>
        <v>CALLE PILONCILLO MANZANA 3 LOTE 4  , CAÑALES PRIMERA , CARDENAS  , TABASCO  ,</v>
      </c>
    </row>
    <row r="167" spans="1:20" ht="15.75" thickBot="1" x14ac:dyDescent="0.3">
      <c r="A167" s="6" t="s">
        <v>535</v>
      </c>
      <c r="B167" s="4" t="s">
        <v>536</v>
      </c>
      <c r="C167" s="4" t="s">
        <v>537</v>
      </c>
      <c r="D167" s="4" t="s">
        <v>303</v>
      </c>
      <c r="E167" s="4" t="s">
        <v>361</v>
      </c>
      <c r="F167" s="15" t="s">
        <v>4495</v>
      </c>
      <c r="G167" s="15" t="s">
        <v>4496</v>
      </c>
      <c r="I167" t="str">
        <f t="shared" si="2"/>
        <v>UPDATE `katana`.`funeraria_contrato_individual` SET `latitud`='17.987.944', `longitud`='-933.686.915' WHERE  `idcontrato_individual`='MIG166';</v>
      </c>
      <c r="T167" t="str" cm="1">
        <f t="array" aca="1" ref="T167" ca="1">eConcatenar(B167:E167," , ")</f>
        <v>CALLE EL CAMINERO SIN NUMERO  , CARLOS PECILLER CAMARA SAHOP , CARDENAS  , TABASCO  ,</v>
      </c>
    </row>
    <row r="168" spans="1:20" ht="15.75" thickBot="1" x14ac:dyDescent="0.3">
      <c r="A168" s="6" t="s">
        <v>539</v>
      </c>
      <c r="B168" s="4" t="s">
        <v>541</v>
      </c>
      <c r="C168" s="4" t="s">
        <v>72</v>
      </c>
      <c r="D168" s="4" t="s">
        <v>303</v>
      </c>
      <c r="E168" s="4" t="s">
        <v>361</v>
      </c>
      <c r="F168" s="15" t="s">
        <v>4423</v>
      </c>
      <c r="G168" s="15" t="s">
        <v>4424</v>
      </c>
      <c r="I168" t="str">
        <f t="shared" si="2"/>
        <v>UPDATE `katana`.`funeraria_contrato_individual` SET `latitud`='179.669.365', `longitud`='-933.754.249' WHERE  `idcontrato_individual`='MIG167';</v>
      </c>
      <c r="T168" t="str" cm="1">
        <f t="array" aca="1" ref="T168" ca="1">eConcatenar(B168:E168," , ")</f>
        <v>CALLE ARABIA , JACINTO LOPEZ , CARDENAS  , TABASCO  ,</v>
      </c>
    </row>
    <row r="169" spans="1:20" ht="15.75" thickBot="1" x14ac:dyDescent="0.3">
      <c r="A169" s="6" t="s">
        <v>542</v>
      </c>
      <c r="B169" s="4" t="s">
        <v>543</v>
      </c>
      <c r="C169" s="4" t="s">
        <v>544</v>
      </c>
      <c r="D169" s="4" t="s">
        <v>303</v>
      </c>
      <c r="E169" s="4" t="s">
        <v>361</v>
      </c>
      <c r="F169" s="15" t="s">
        <v>4295</v>
      </c>
      <c r="G169" s="15" t="s">
        <v>4296</v>
      </c>
      <c r="I169" t="str">
        <f t="shared" si="2"/>
        <v>UPDATE `katana`.`funeraria_contrato_individual` SET `latitud`='17.995.559', `longitud`='-933.861.831' WHERE  `idcontrato_individual`='MIG168';</v>
      </c>
      <c r="T169" t="str" cm="1">
        <f t="array" aca="1" ref="T169" ca="1">eConcatenar(B169:E169," , ")</f>
        <v>CALLE 5 DE MAYO ESQUINA CARLOS MOLINA , PALMAR , CARDENAS  , TABASCO  ,</v>
      </c>
    </row>
    <row r="170" spans="1:20" ht="15.75" thickBot="1" x14ac:dyDescent="0.3">
      <c r="A170" s="6" t="s">
        <v>545</v>
      </c>
      <c r="B170" s="4" t="s">
        <v>546</v>
      </c>
      <c r="C170" s="4" t="s">
        <v>547</v>
      </c>
      <c r="D170" s="4" t="s">
        <v>303</v>
      </c>
      <c r="E170" s="4" t="s">
        <v>361</v>
      </c>
      <c r="F170" s="15" t="s">
        <v>4497</v>
      </c>
      <c r="G170" s="15" t="s">
        <v>4498</v>
      </c>
      <c r="I170" t="str">
        <f t="shared" si="2"/>
        <v>UPDATE `katana`.`funeraria_contrato_individual` SET `latitud`='180.040.631', `longitud`='-933.802.987' WHERE  `idcontrato_individual`='MIG169';</v>
      </c>
      <c r="T170" t="str" cm="1">
        <f t="array" aca="1" ref="T170" ca="1">eConcatenar(B170:E170," , ")</f>
        <v>CALLE VICENTE SUAREZ NUMERO 414 , NUEVO PROGRESO  , CARDENAS  , TABASCO  ,</v>
      </c>
    </row>
    <row r="171" spans="1:20" ht="15.75" thickBot="1" x14ac:dyDescent="0.3">
      <c r="A171" s="6" t="s">
        <v>548</v>
      </c>
      <c r="B171" s="4" t="s">
        <v>549</v>
      </c>
      <c r="C171" s="4" t="s">
        <v>26</v>
      </c>
      <c r="D171" s="4" t="s">
        <v>303</v>
      </c>
      <c r="E171" s="4" t="s">
        <v>361</v>
      </c>
      <c r="F171" s="15" t="s">
        <v>4431</v>
      </c>
      <c r="G171" s="15" t="s">
        <v>4432</v>
      </c>
      <c r="I171" t="str">
        <f t="shared" si="2"/>
        <v>UPDATE `katana`.`funeraria_contrato_individual` SET `latitud`='179.915.571', `longitud`='-933.625.507' WHERE  `idcontrato_individual`='MIG170';</v>
      </c>
      <c r="T171" t="str" cm="1">
        <f t="array" aca="1" ref="T171" ca="1">eConcatenar(B171:E171," , ")</f>
        <v>CALLE SANTOS DEGOLLADO SIN NUMERO  , SANTA MARIA DE GUADALUPE , CARDENAS  , TABASCO  ,</v>
      </c>
    </row>
    <row r="172" spans="1:20" ht="15.75" thickBot="1" x14ac:dyDescent="0.3">
      <c r="A172" s="6" t="s">
        <v>550</v>
      </c>
      <c r="B172" s="4" t="s">
        <v>553</v>
      </c>
      <c r="C172" s="4" t="s">
        <v>554</v>
      </c>
      <c r="D172" s="4" t="s">
        <v>303</v>
      </c>
      <c r="E172" s="4" t="s">
        <v>361</v>
      </c>
      <c r="F172" s="15" t="s">
        <v>4257</v>
      </c>
      <c r="G172" s="15" t="s">
        <v>4258</v>
      </c>
      <c r="I172" t="str">
        <f t="shared" si="2"/>
        <v>UPDATE `katana`.`funeraria_contrato_individual` SET `latitud`='180.012.067', `longitud`='-9.337.323.390.000.000' WHERE  `idcontrato_individual`='MIG171';</v>
      </c>
      <c r="T172" t="str" cm="1">
        <f t="array" aca="1" ref="T172" ca="1">eConcatenar(B172:E172," , ")</f>
        <v>CALLE PRINCIPAL SIN NUMERO  , SANTA LUCIA , CARDENAS  , TABASCO  ,</v>
      </c>
    </row>
    <row r="173" spans="1:20" ht="15.75" thickBot="1" x14ac:dyDescent="0.3">
      <c r="A173" s="6" t="s">
        <v>555</v>
      </c>
      <c r="B173" s="4" t="s">
        <v>556</v>
      </c>
      <c r="C173" s="4" t="s">
        <v>557</v>
      </c>
      <c r="D173" s="4" t="s">
        <v>303</v>
      </c>
      <c r="E173" s="4" t="s">
        <v>361</v>
      </c>
      <c r="F173" s="15" t="s">
        <v>4499</v>
      </c>
      <c r="G173" s="15" t="s">
        <v>4500</v>
      </c>
      <c r="I173" t="str">
        <f t="shared" si="2"/>
        <v>UPDATE `katana`.`funeraria_contrato_individual` SET `latitud`='179.795.894', `longitud`='-933.710.143' WHERE  `idcontrato_individual`='MIG172';</v>
      </c>
      <c r="T173" t="str" cm="1">
        <f t="array" aca="1" ref="T173" ca="1">eConcatenar(B173:E173," , ")</f>
        <v>CALLE SECCION 31 CASA NUMERO 2  , PETROLERA , CARDENAS  , TABASCO  ,</v>
      </c>
    </row>
    <row r="174" spans="1:20" ht="15.75" thickBot="1" x14ac:dyDescent="0.3">
      <c r="A174" s="6" t="s">
        <v>558</v>
      </c>
      <c r="B174" s="4" t="s">
        <v>560</v>
      </c>
      <c r="C174" s="4" t="s">
        <v>144</v>
      </c>
      <c r="D174" s="4" t="s">
        <v>303</v>
      </c>
      <c r="E174" s="4" t="s">
        <v>361</v>
      </c>
      <c r="F174" s="15" t="s">
        <v>4501</v>
      </c>
      <c r="G174" s="15" t="s">
        <v>4502</v>
      </c>
      <c r="I174" t="str">
        <f t="shared" si="2"/>
        <v>UPDATE `katana`.`funeraria_contrato_individual` SET `latitud`='179.822.387', `longitud`='-9.336.754.909.999.990' WHERE  `idcontrato_individual`='MIG173';</v>
      </c>
      <c r="T174" t="str" cm="1">
        <f t="array" aca="1" ref="T174" ca="1">eConcatenar(B174:E174," , ")</f>
        <v>ANDADOR SAUCE ORIENTE MANZANA 15 LOTE NUMERO 15 , FOVISSTE , CARDENAS  , TABASCO  ,</v>
      </c>
    </row>
    <row r="175" spans="1:20" ht="15.75" thickBot="1" x14ac:dyDescent="0.3">
      <c r="A175" s="6" t="s">
        <v>561</v>
      </c>
      <c r="B175" s="4" t="s">
        <v>562</v>
      </c>
      <c r="C175" s="4" t="s">
        <v>215</v>
      </c>
      <c r="D175" s="4" t="s">
        <v>303</v>
      </c>
      <c r="E175" s="4" t="s">
        <v>361</v>
      </c>
      <c r="F175" s="15" t="s">
        <v>4503</v>
      </c>
      <c r="G175" s="15" t="s">
        <v>4504</v>
      </c>
      <c r="I175" t="str">
        <f t="shared" si="2"/>
        <v>UPDATE `katana`.`funeraria_contrato_individual` SET `latitud`='179.729.809', `longitud`='-93.359.495' WHERE  `idcontrato_individual`='MIG174';</v>
      </c>
      <c r="T175" t="str" cm="1">
        <f t="array" aca="1" ref="T175" ca="1">eConcatenar(B175:E175," , ")</f>
        <v>CALLE SIN NUMERO PRINCIPAL  , BAJIO SEGUNDA SECCION , CARDENAS  , TABASCO  ,</v>
      </c>
    </row>
    <row r="176" spans="1:20" ht="15.75" thickBot="1" x14ac:dyDescent="0.3">
      <c r="A176" s="6" t="s">
        <v>563</v>
      </c>
      <c r="B176" s="4" t="s">
        <v>565</v>
      </c>
      <c r="C176" s="4" t="s">
        <v>566</v>
      </c>
      <c r="D176" s="4" t="s">
        <v>303</v>
      </c>
      <c r="E176" s="4" t="s">
        <v>361</v>
      </c>
      <c r="F176" s="15" t="s">
        <v>4285</v>
      </c>
      <c r="G176" s="15" t="s">
        <v>4286</v>
      </c>
      <c r="I176" t="str">
        <f t="shared" si="2"/>
        <v>UPDATE `katana`.`funeraria_contrato_individual` SET `latitud`='180.164.515', `longitud`='-9.337.857.559.999.990' WHERE  `idcontrato_individual`='MIG175';</v>
      </c>
      <c r="T176" t="str" cm="1">
        <f t="array" aca="1" ref="T176" ca="1">eConcatenar(B176:E176," , ")</f>
        <v>CALLE BENGALA MANZANA 36 LOTE 23 , CAÑALES SEGUNDA , CARDENAS  , TABASCO  ,</v>
      </c>
    </row>
    <row r="177" spans="1:20" ht="15.75" thickBot="1" x14ac:dyDescent="0.3">
      <c r="A177" s="6" t="s">
        <v>567</v>
      </c>
      <c r="B177" s="4" t="s">
        <v>568</v>
      </c>
      <c r="C177" s="4" t="s">
        <v>26</v>
      </c>
      <c r="D177" s="4" t="s">
        <v>303</v>
      </c>
      <c r="E177" s="4" t="s">
        <v>361</v>
      </c>
      <c r="F177" s="15" t="s">
        <v>4505</v>
      </c>
      <c r="G177" s="15" t="s">
        <v>4506</v>
      </c>
      <c r="I177" t="str">
        <f t="shared" si="2"/>
        <v>UPDATE `katana`.`funeraria_contrato_individual` SET `latitud`='179.975.016', `longitud`='-9.337.130.340.000.000' WHERE  `idcontrato_individual`='MIG176';</v>
      </c>
      <c r="T177" t="str" cm="1">
        <f t="array" aca="1" ref="T177" ca="1">eConcatenar(B177:E177," , ")</f>
        <v>CALLE CERRADA DE IGNACIO GUTIERREZ CUARTA , SANTA MARIA DE GUADALUPE , CARDENAS  , TABASCO  ,</v>
      </c>
    </row>
    <row r="178" spans="1:20" ht="15.75" thickBot="1" x14ac:dyDescent="0.3">
      <c r="A178" s="6" t="s">
        <v>569</v>
      </c>
      <c r="B178" s="4" t="s">
        <v>570</v>
      </c>
      <c r="C178" s="4" t="s">
        <v>547</v>
      </c>
      <c r="D178" s="4" t="s">
        <v>303</v>
      </c>
      <c r="E178" s="4" t="s">
        <v>361</v>
      </c>
      <c r="F178" s="15" t="s">
        <v>4507</v>
      </c>
      <c r="G178" s="15" t="s">
        <v>4508</v>
      </c>
      <c r="I178" t="str">
        <f t="shared" si="2"/>
        <v>UPDATE `katana`.`funeraria_contrato_individual` SET `latitud`='180.036.427', `longitud`='-9.337.320.629.999.990' WHERE  `idcontrato_individual`='MIG177';</v>
      </c>
      <c r="T178" t="str" cm="1">
        <f t="array" aca="1" ref="T178" ca="1">eConcatenar(B178:E178," , ")</f>
        <v>CALLE PORFIRIO DIAZ 623 , NUEVO PROGRESO  , CARDENAS  , TABASCO  ,</v>
      </c>
    </row>
    <row r="179" spans="1:20" ht="15.75" thickBot="1" x14ac:dyDescent="0.3">
      <c r="A179" s="6" t="s">
        <v>571</v>
      </c>
      <c r="B179" s="4" t="s">
        <v>572</v>
      </c>
      <c r="C179" s="4" t="s">
        <v>57</v>
      </c>
      <c r="D179" s="4" t="s">
        <v>303</v>
      </c>
      <c r="E179" s="4" t="s">
        <v>361</v>
      </c>
      <c r="F179" s="15" t="s">
        <v>4509</v>
      </c>
      <c r="G179" s="15" t="s">
        <v>4510</v>
      </c>
      <c r="I179" t="str">
        <f t="shared" si="2"/>
        <v>UPDATE `katana`.`funeraria_contrato_individual` SET `latitud`='179.915.333', `longitud`='-933.804.479' WHERE  `idcontrato_individual`='MIG178';</v>
      </c>
      <c r="T179" t="str" cm="1">
        <f t="array" aca="1" ref="T179" ca="1">eConcatenar(B179:E179," , ")</f>
        <v>CERRADA DE LA CALLE 27 DE FEBRERO  , PUEBLO NUEVO , CARDENAS  , TABASCO  ,</v>
      </c>
    </row>
    <row r="180" spans="1:20" ht="15.75" thickBot="1" x14ac:dyDescent="0.3">
      <c r="A180" s="6" t="s">
        <v>573</v>
      </c>
      <c r="B180" s="4" t="s">
        <v>574</v>
      </c>
      <c r="C180" s="4" t="s">
        <v>72</v>
      </c>
      <c r="D180" s="4" t="s">
        <v>303</v>
      </c>
      <c r="E180" s="4" t="s">
        <v>361</v>
      </c>
      <c r="F180" s="15" t="s">
        <v>4423</v>
      </c>
      <c r="G180" s="15" t="s">
        <v>4424</v>
      </c>
      <c r="I180" t="str">
        <f t="shared" si="2"/>
        <v>UPDATE `katana`.`funeraria_contrato_individual` SET `latitud`='179.669.365', `longitud`='-933.754.249' WHERE  `idcontrato_individual`='MIG179';</v>
      </c>
      <c r="T180" t="str" cm="1">
        <f t="array" aca="1" ref="T180" ca="1">eConcatenar(B180:E180," , ")</f>
        <v>CALLE ARABIA QUINTA MANZANA 32 SIN NUMERO  , JACINTO LOPEZ , CARDENAS  , TABASCO  ,</v>
      </c>
    </row>
    <row r="181" spans="1:20" ht="15.75" thickBot="1" x14ac:dyDescent="0.3">
      <c r="A181" s="6" t="s">
        <v>575</v>
      </c>
      <c r="B181" s="4" t="s">
        <v>576</v>
      </c>
      <c r="C181" s="4" t="s">
        <v>577</v>
      </c>
      <c r="D181" s="4" t="s">
        <v>303</v>
      </c>
      <c r="E181" s="4" t="s">
        <v>361</v>
      </c>
      <c r="F181" s="15" t="s">
        <v>4511</v>
      </c>
      <c r="G181" s="15" t="s">
        <v>4512</v>
      </c>
      <c r="I181" t="str">
        <f t="shared" si="2"/>
        <v>UPDATE `katana`.`funeraria_contrato_individual` SET `latitud`='183.878.055', `longitud`='-932.184.631' WHERE  `idcontrato_individual`='MIG180';</v>
      </c>
      <c r="T181" t="str" cm="1">
        <f t="array" aca="1" ref="T181" ca="1">eConcatenar(B181:E181," , ")</f>
        <v>CALLE FRANCISCO VILLA , QUINTIN ARAUZ , CARDENAS  , TABASCO  ,</v>
      </c>
    </row>
    <row r="182" spans="1:20" ht="15.75" thickBot="1" x14ac:dyDescent="0.3">
      <c r="A182" s="6" t="s">
        <v>578</v>
      </c>
      <c r="B182" s="4" t="s">
        <v>579</v>
      </c>
      <c r="C182" s="4" t="s">
        <v>185</v>
      </c>
      <c r="D182" s="4" t="s">
        <v>303</v>
      </c>
      <c r="E182" s="4" t="s">
        <v>361</v>
      </c>
      <c r="F182" s="15" t="s">
        <v>4307</v>
      </c>
      <c r="G182" s="15" t="s">
        <v>4308</v>
      </c>
      <c r="I182" t="str">
        <f t="shared" si="2"/>
        <v>UPDATE `katana`.`funeraria_contrato_individual` SET `latitud`='179.718.531', `longitud`='-933.629.881' WHERE  `idcontrato_individual`='MIG181';</v>
      </c>
      <c r="T182" t="str" cm="1">
        <f t="array" aca="1" ref="T182" ca="1">eConcatenar(B182:E182," , ")</f>
        <v>CERRADA LAS CAROLINAS SIN NUMERO  , BAJIO PRIMERA SECCION , CARDENAS  , TABASCO  ,</v>
      </c>
    </row>
    <row r="183" spans="1:20" ht="15.75" thickBot="1" x14ac:dyDescent="0.3">
      <c r="A183" s="6" t="s">
        <v>580</v>
      </c>
      <c r="B183" s="4" t="s">
        <v>581</v>
      </c>
      <c r="C183" s="4" t="s">
        <v>582</v>
      </c>
      <c r="D183" s="4" t="s">
        <v>303</v>
      </c>
      <c r="E183" s="4" t="s">
        <v>361</v>
      </c>
      <c r="F183" s="15" t="s">
        <v>4513</v>
      </c>
      <c r="G183" s="15" t="s">
        <v>4514</v>
      </c>
      <c r="I183" t="str">
        <f t="shared" si="2"/>
        <v>UPDATE `katana`.`funeraria_contrato_individual` SET `latitud`='179.873.559', `longitud`='-9.336.957.380.000.000' WHERE  `idcontrato_individual`='MIG182';</v>
      </c>
      <c r="T183" t="str" cm="1">
        <f t="array" aca="1" ref="T183" ca="1">eConcatenar(B183:E183," , ")</f>
        <v>CALLE MIGUEL ORRICO DE LOS LLANOS NUMERO 7 , CARLOS PECILLER CAMARA , CARDENAS  , TABASCO  ,</v>
      </c>
    </row>
    <row r="184" spans="1:20" ht="15.75" thickBot="1" x14ac:dyDescent="0.3">
      <c r="A184" s="6" t="s">
        <v>584</v>
      </c>
      <c r="B184" s="4" t="s">
        <v>585</v>
      </c>
      <c r="C184" s="4" t="s">
        <v>309</v>
      </c>
      <c r="D184" s="4" t="s">
        <v>303</v>
      </c>
      <c r="E184" s="4" t="s">
        <v>361</v>
      </c>
      <c r="F184" s="15" t="s">
        <v>4257</v>
      </c>
      <c r="G184" s="15" t="s">
        <v>4258</v>
      </c>
      <c r="I184" t="str">
        <f t="shared" si="2"/>
        <v>UPDATE `katana`.`funeraria_contrato_individual` SET `latitud`='180.012.067', `longitud`='-9.337.323.390.000.000' WHERE  `idcontrato_individual`='MIG183';</v>
      </c>
      <c r="T184" t="str" cm="1">
        <f t="array" aca="1" ref="T184" ca="1">eConcatenar(B184:E184," , ")</f>
        <v>CALLE VIA LACTEA SIN NUMERO  , LAS GALAXIAS , CARDENAS  , TABASCO  ,</v>
      </c>
    </row>
    <row r="185" spans="1:20" ht="15.75" thickBot="1" x14ac:dyDescent="0.3">
      <c r="A185" s="6" t="s">
        <v>586</v>
      </c>
      <c r="B185" s="4" t="s">
        <v>587</v>
      </c>
      <c r="C185" s="4" t="s">
        <v>40</v>
      </c>
      <c r="D185" s="4" t="s">
        <v>303</v>
      </c>
      <c r="E185" s="4" t="s">
        <v>361</v>
      </c>
      <c r="F185" s="15" t="s">
        <v>4515</v>
      </c>
      <c r="G185" s="15" t="s">
        <v>4516</v>
      </c>
      <c r="I185" t="str">
        <f t="shared" si="2"/>
        <v>UPDATE `katana`.`funeraria_contrato_individual` SET `latitud`='179.913.073', `longitud`='-933.752.919' WHERE  `idcontrato_individual`='MIG184';</v>
      </c>
      <c r="T185" t="str" cm="1">
        <f t="array" aca="1" ref="T185" ca="1">eConcatenar(B185:E185," , ")</f>
        <v>CALLE RAMON LOPEZ VELARDE NUMERO 409 , CENTRO , CARDENAS  , TABASCO  ,</v>
      </c>
    </row>
    <row r="186" spans="1:20" ht="15.75" thickBot="1" x14ac:dyDescent="0.3">
      <c r="A186" s="6" t="s">
        <v>588</v>
      </c>
      <c r="B186" s="4" t="s">
        <v>589</v>
      </c>
      <c r="C186" s="4" t="s">
        <v>547</v>
      </c>
      <c r="D186" s="4" t="s">
        <v>303</v>
      </c>
      <c r="E186" s="4" t="s">
        <v>361</v>
      </c>
      <c r="F186" s="15" t="s">
        <v>4287</v>
      </c>
      <c r="G186" s="15" t="s">
        <v>4288</v>
      </c>
      <c r="I186" t="str">
        <f t="shared" si="2"/>
        <v>UPDATE `katana`.`funeraria_contrato_individual` SET `latitud`='180.024.045', `longitud`='-933.779.454' WHERE  `idcontrato_individual`='MIG185';</v>
      </c>
      <c r="T186" t="str" cm="1">
        <f t="array" aca="1" ref="T186" ca="1">eConcatenar(B186:E186," , ")</f>
        <v>CALLE JUAN ESCUTIA NUMERO 15 , NUEVO PROGRESO  , CARDENAS  , TABASCO  ,</v>
      </c>
    </row>
    <row r="187" spans="1:20" ht="15.75" thickBot="1" x14ac:dyDescent="0.3">
      <c r="A187" s="6" t="s">
        <v>590</v>
      </c>
      <c r="B187" s="4" t="s">
        <v>591</v>
      </c>
      <c r="C187" s="4" t="s">
        <v>475</v>
      </c>
      <c r="D187" s="4" t="s">
        <v>303</v>
      </c>
      <c r="E187" s="4" t="s">
        <v>361</v>
      </c>
      <c r="F187" s="15" t="s">
        <v>4339</v>
      </c>
      <c r="G187" s="15" t="s">
        <v>4340</v>
      </c>
      <c r="I187" t="str">
        <f t="shared" si="2"/>
        <v>UPDATE `katana`.`funeraria_contrato_individual` SET `latitud`='180.208.471', `longitud`='-933.810.963' WHERE  `idcontrato_individual`='MIG186';</v>
      </c>
      <c r="T187" t="str" cm="1">
        <f t="array" aca="1" ref="T187" ca="1">eConcatenar(B187:E187," , ")</f>
        <v>AVENIDA CAÑAVERAL MANZANA 6 LOTE 73 , FRACCIONAMIENTO CAÑALES PRIMERA , CARDENAS  , TABASCO  ,</v>
      </c>
    </row>
    <row r="188" spans="1:20" ht="15.75" thickBot="1" x14ac:dyDescent="0.3">
      <c r="A188" s="6" t="s">
        <v>592</v>
      </c>
      <c r="B188" s="4" t="s">
        <v>593</v>
      </c>
      <c r="C188" s="4" t="s">
        <v>594</v>
      </c>
      <c r="D188" s="4" t="s">
        <v>303</v>
      </c>
      <c r="E188" s="4" t="s">
        <v>361</v>
      </c>
      <c r="F188" s="15" t="s">
        <v>4517</v>
      </c>
      <c r="G188" s="15" t="s">
        <v>4518</v>
      </c>
      <c r="I188" t="str">
        <f t="shared" si="2"/>
        <v>UPDATE `katana`.`funeraria_contrato_individual` SET `latitud`='180.725.309', `longitud`='-928.761.555' WHERE  `idcontrato_individual`='MIG187';</v>
      </c>
      <c r="T188" t="str" cm="1">
        <f t="array" aca="1" ref="T188" ca="1">eConcatenar(B188:E188," , ")</f>
        <v>CALLE PRIVADA PALMA REAL MANZANA 201 LOTE 114  , FRACCIONAMIENTO EL ENCANTO  , CARDENAS  , TABASCO  ,</v>
      </c>
    </row>
    <row r="189" spans="1:20" ht="15.75" thickBot="1" x14ac:dyDescent="0.3">
      <c r="A189" s="6" t="s">
        <v>596</v>
      </c>
      <c r="B189" s="4" t="s">
        <v>553</v>
      </c>
      <c r="C189" s="4" t="s">
        <v>599</v>
      </c>
      <c r="D189" s="4" t="s">
        <v>303</v>
      </c>
      <c r="E189" s="4" t="s">
        <v>361</v>
      </c>
      <c r="F189" s="15" t="s">
        <v>4503</v>
      </c>
      <c r="G189" s="15" t="s">
        <v>4504</v>
      </c>
      <c r="I189" t="str">
        <f t="shared" si="2"/>
        <v>UPDATE `katana`.`funeraria_contrato_individual` SET `latitud`='179.729.809', `longitud`='-93.359.495' WHERE  `idcontrato_individual`='MIG188';</v>
      </c>
      <c r="T189" t="str" cm="1">
        <f t="array" aca="1" ref="T189" ca="1">eConcatenar(B189:E189," , ")</f>
        <v>CALLE PRINCIPAL SIN NUMERO  , EL BAJIO SEGUNDA SECCION , CARDENAS  , TABASCO  ,</v>
      </c>
    </row>
    <row r="190" spans="1:20" ht="15.75" thickBot="1" x14ac:dyDescent="0.3">
      <c r="A190" s="6" t="s">
        <v>600</v>
      </c>
      <c r="B190" s="4" t="s">
        <v>601</v>
      </c>
      <c r="C190" s="4" t="s">
        <v>423</v>
      </c>
      <c r="D190" s="4" t="s">
        <v>303</v>
      </c>
      <c r="E190" s="4" t="s">
        <v>361</v>
      </c>
      <c r="F190" s="15" t="s">
        <v>4519</v>
      </c>
      <c r="G190" s="15" t="s">
        <v>4520</v>
      </c>
      <c r="I190" t="str">
        <f t="shared" si="2"/>
        <v>UPDATE `katana`.`funeraria_contrato_individual` SET `latitud`='179.817.275', `longitud`='-9.278.228.879.999.990' WHERE  `idcontrato_individual`='MIG189';</v>
      </c>
      <c r="T190" t="str" cm="1">
        <f t="array" aca="1" ref="T190" ca="1">eConcatenar(B190:E190," , ")</f>
        <v>CALLE BUGAMBILIA CASA NUMERO 10  , EL BAJIO PRIMERA SECCION  , CARDENAS  , TABASCO  ,</v>
      </c>
    </row>
    <row r="191" spans="1:20" ht="15.75" thickBot="1" x14ac:dyDescent="0.3">
      <c r="A191" s="6" t="s">
        <v>603</v>
      </c>
      <c r="B191" s="4" t="s">
        <v>606</v>
      </c>
      <c r="C191" s="4" t="s">
        <v>72</v>
      </c>
      <c r="D191" s="4" t="s">
        <v>303</v>
      </c>
      <c r="E191" s="4" t="s">
        <v>361</v>
      </c>
      <c r="F191" s="15" t="s">
        <v>4423</v>
      </c>
      <c r="G191" s="15" t="s">
        <v>4424</v>
      </c>
      <c r="I191" t="str">
        <f t="shared" si="2"/>
        <v>UPDATE `katana`.`funeraria_contrato_individual` SET `latitud`='179.669.365', `longitud`='-933.754.249' WHERE  `idcontrato_individual`='MIG190';</v>
      </c>
      <c r="T191" t="str" cm="1">
        <f t="array" aca="1" ref="T191" ca="1">eConcatenar(B191:E191," , ")</f>
        <v>CALLE ARAVIA NUMERO 1  , JACINTO LOPEZ , CARDENAS  , TABASCO  ,</v>
      </c>
    </row>
    <row r="192" spans="1:20" ht="15.75" thickBot="1" x14ac:dyDescent="0.3">
      <c r="A192" s="6" t="s">
        <v>607</v>
      </c>
      <c r="B192" s="4" t="s">
        <v>608</v>
      </c>
      <c r="C192" s="4" t="s">
        <v>40</v>
      </c>
      <c r="D192" s="4" t="s">
        <v>303</v>
      </c>
      <c r="E192" s="4" t="s">
        <v>361</v>
      </c>
      <c r="F192" s="15" t="s">
        <v>4521</v>
      </c>
      <c r="G192" s="15" t="s">
        <v>4522</v>
      </c>
      <c r="I192" t="str">
        <f t="shared" si="2"/>
        <v>UPDATE `katana`.`funeraria_contrato_individual` SET `latitud`='179.842.368', `longitud`='-933.768.068' WHERE  `idcontrato_individual`='MIG191';</v>
      </c>
      <c r="T192" t="str" cm="1">
        <f t="array" aca="1" ref="T192" ca="1">eConcatenar(B192:E192," , ")</f>
        <v>CALLE JOSEFA ORTIZ DE DOMINGUEZ , CENTRO , CARDENAS  , TABASCO  ,</v>
      </c>
    </row>
    <row r="193" spans="1:20" ht="15.75" thickBot="1" x14ac:dyDescent="0.3">
      <c r="A193" s="6" t="s">
        <v>609</v>
      </c>
      <c r="B193" s="4" t="s">
        <v>610</v>
      </c>
      <c r="C193" s="4" t="s">
        <v>26</v>
      </c>
      <c r="D193" s="4" t="s">
        <v>303</v>
      </c>
      <c r="E193" s="4" t="s">
        <v>361</v>
      </c>
      <c r="F193" s="15" t="s">
        <v>4451</v>
      </c>
      <c r="G193" s="15" t="s">
        <v>4452</v>
      </c>
      <c r="I193" t="str">
        <f t="shared" si="2"/>
        <v>UPDATE `katana`.`funeraria_contrato_individual` SET `latitud`='180.008.494', `longitud`='-933.775.361' WHERE  `idcontrato_individual`='MIG192';</v>
      </c>
      <c r="T193" t="str" cm="1">
        <f t="array" aca="1" ref="T193" ca="1">eConcatenar(B193:E193," , ")</f>
        <v>CALLE CERRADA DEL BOSQUE NUMERO 4 , SANTA MARIA DE GUADALUPE , CARDENAS  , TABASCO  ,</v>
      </c>
    </row>
    <row r="194" spans="1:20" ht="15.75" thickBot="1" x14ac:dyDescent="0.3">
      <c r="A194" s="6" t="s">
        <v>611</v>
      </c>
      <c r="B194" s="4" t="s">
        <v>613</v>
      </c>
      <c r="C194" s="4" t="s">
        <v>57</v>
      </c>
      <c r="D194" s="4" t="s">
        <v>303</v>
      </c>
      <c r="E194" s="4" t="s">
        <v>361</v>
      </c>
      <c r="F194" s="15" t="s">
        <v>4523</v>
      </c>
      <c r="G194" s="15" t="s">
        <v>4524</v>
      </c>
      <c r="I194" t="str">
        <f t="shared" ref="I194:I257" si="3">CONCATENATE("UPDATE `katana`.`funeraria_contrato_individual` SET `latitud`='",F194,"', `longitud`='",G194,"' WHERE  `idcontrato_individual`='",A194,"';")</f>
        <v>UPDATE `katana`.`funeraria_contrato_individual` SET `latitud`='179.955.339', `longitud`='-9.337.816.199.999.990' WHERE  `idcontrato_individual`='MIG193';</v>
      </c>
      <c r="T194" t="str" cm="1">
        <f t="array" aca="1" ref="T194" ca="1">eConcatenar(B194:E194," , ")</f>
        <v>CALLE SANCHEZ MAGALLES NUMERO 145 , PUEBLO NUEVO , CARDENAS  , TABASCO  ,</v>
      </c>
    </row>
    <row r="195" spans="1:20" ht="15.75" thickBot="1" x14ac:dyDescent="0.3">
      <c r="A195" s="6" t="s">
        <v>614</v>
      </c>
      <c r="B195" s="4" t="s">
        <v>615</v>
      </c>
      <c r="C195" s="4" t="s">
        <v>57</v>
      </c>
      <c r="D195" s="4" t="s">
        <v>303</v>
      </c>
      <c r="E195" s="4" t="s">
        <v>361</v>
      </c>
      <c r="F195" s="15" t="s">
        <v>4525</v>
      </c>
      <c r="G195" s="15" t="s">
        <v>4526</v>
      </c>
      <c r="I195" t="str">
        <f t="shared" si="3"/>
        <v>UPDATE `katana`.`funeraria_contrato_individual` SET `latitud`='17.992.265', `longitud`='-9.338.667.819.999.990' WHERE  `idcontrato_individual`='MIG194';</v>
      </c>
      <c r="T195" t="str" cm="1">
        <f t="array" aca="1" ref="T195" ca="1">eConcatenar(B195:E195," , ")</f>
        <v>CALLE CERRADA CARLOS MOLINA NUMERO 18 , PUEBLO NUEVO , CARDENAS  , TABASCO  ,</v>
      </c>
    </row>
    <row r="196" spans="1:20" ht="15.75" thickBot="1" x14ac:dyDescent="0.3">
      <c r="A196" s="6" t="s">
        <v>616</v>
      </c>
      <c r="B196" s="4" t="s">
        <v>617</v>
      </c>
      <c r="C196" s="4" t="s">
        <v>547</v>
      </c>
      <c r="D196" s="4" t="s">
        <v>303</v>
      </c>
      <c r="E196" s="4" t="s">
        <v>361</v>
      </c>
      <c r="F196" s="15" t="s">
        <v>4527</v>
      </c>
      <c r="G196" s="15" t="s">
        <v>4528</v>
      </c>
      <c r="I196" t="str">
        <f t="shared" si="3"/>
        <v>UPDATE `katana`.`funeraria_contrato_individual` SET `latitud`='179.909.365', `longitud`='-93.399.425' WHERE  `idcontrato_individual`='MIG195';</v>
      </c>
      <c r="T196" t="str" cm="1">
        <f t="array" aca="1" ref="T196" ca="1">eConcatenar(B196:E196," , ")</f>
        <v>CALLE EMILIANO ZAPATA CERRADA NUMERO 542 , NUEVO PROGRESO  , CARDENAS  , TABASCO  ,</v>
      </c>
    </row>
    <row r="197" spans="1:20" ht="15.75" thickBot="1" x14ac:dyDescent="0.3">
      <c r="A197" s="6" t="s">
        <v>618</v>
      </c>
      <c r="B197" s="4" t="s">
        <v>619</v>
      </c>
      <c r="C197" s="4" t="s">
        <v>57</v>
      </c>
      <c r="D197" s="4" t="s">
        <v>303</v>
      </c>
      <c r="E197" s="4" t="s">
        <v>361</v>
      </c>
      <c r="F197" s="15" t="s">
        <v>4529</v>
      </c>
      <c r="G197" s="15" t="s">
        <v>4530</v>
      </c>
      <c r="I197" t="str">
        <f t="shared" si="3"/>
        <v>UPDATE `katana`.`funeraria_contrato_individual` SET `latitud`='179.912.984', `longitud`='-933.860.811' WHERE  `idcontrato_individual`='MIG196';</v>
      </c>
      <c r="T197" t="str" cm="1">
        <f t="array" aca="1" ref="T197" ca="1">eConcatenar(B197:E197," , ")</f>
        <v>CALLE ABRAHAM BANDALA NUMERO 729  , PUEBLO NUEVO , CARDENAS  , TABASCO  ,</v>
      </c>
    </row>
    <row r="198" spans="1:20" ht="15.75" thickBot="1" x14ac:dyDescent="0.3">
      <c r="A198" s="6" t="s">
        <v>620</v>
      </c>
      <c r="B198" s="4" t="s">
        <v>621</v>
      </c>
      <c r="C198" s="4" t="s">
        <v>622</v>
      </c>
      <c r="D198" s="4" t="s">
        <v>303</v>
      </c>
      <c r="E198" s="4" t="s">
        <v>361</v>
      </c>
      <c r="F198" s="15" t="s">
        <v>4531</v>
      </c>
      <c r="G198" s="15" t="s">
        <v>4532</v>
      </c>
      <c r="I198" t="str">
        <f t="shared" si="3"/>
        <v>UPDATE `katana`.`funeraria_contrato_individual` SET `latitud`='179.953.504', `longitud`='-933.861.156' WHERE  `idcontrato_individual`='MIG197';</v>
      </c>
      <c r="T198" t="str" cm="1">
        <f t="array" aca="1" ref="T198" ca="1">eConcatenar(B198:E198," , ")</f>
        <v>CALLE PERIFERICO CARLOS A MOLINA NUMERO 40 , LA VEREDA , CARDENAS  , TABASCO  ,</v>
      </c>
    </row>
    <row r="199" spans="1:20" ht="15.75" thickBot="1" x14ac:dyDescent="0.3">
      <c r="A199" s="6" t="s">
        <v>623</v>
      </c>
      <c r="B199" s="4" t="s">
        <v>625</v>
      </c>
      <c r="C199" s="4" t="s">
        <v>91</v>
      </c>
      <c r="D199" s="4" t="s">
        <v>303</v>
      </c>
      <c r="E199" s="4" t="s">
        <v>361</v>
      </c>
      <c r="F199" s="15" t="s">
        <v>4533</v>
      </c>
      <c r="G199" s="15" t="s">
        <v>4534</v>
      </c>
      <c r="I199" t="str">
        <f t="shared" si="3"/>
        <v>UPDATE `katana`.`funeraria_contrato_individual` SET `latitud`='180.046.566', `longitud`='-9.337.066.809.999.990' WHERE  `idcontrato_individual`='MIG198';</v>
      </c>
      <c r="T199" t="str" cm="1">
        <f t="array" aca="1" ref="T199" ca="1">eConcatenar(B199:E199," , ")</f>
        <v>CARRETERA CARDENAS - COMALCALCO KILOMETRO 3 , MELCHOR OCAMPO , CARDENAS  , TABASCO  ,</v>
      </c>
    </row>
    <row r="200" spans="1:20" ht="15.75" thickBot="1" x14ac:dyDescent="0.3">
      <c r="A200" s="6" t="s">
        <v>626</v>
      </c>
      <c r="B200" s="4" t="s">
        <v>627</v>
      </c>
      <c r="C200" s="4" t="s">
        <v>34</v>
      </c>
      <c r="D200" s="4" t="s">
        <v>303</v>
      </c>
      <c r="E200" s="4" t="s">
        <v>361</v>
      </c>
      <c r="F200" s="15" t="s">
        <v>4535</v>
      </c>
      <c r="G200" s="15" t="s">
        <v>4536</v>
      </c>
      <c r="I200" t="str">
        <f t="shared" si="3"/>
        <v>UPDATE `katana`.`funeraria_contrato_individual` SET `latitud`='179.893.443', `longitud`='-93.367.041' WHERE  `idcontrato_individual`='MIG199';</v>
      </c>
      <c r="T200" t="str" cm="1">
        <f t="array" aca="1" ref="T200" ca="1">eConcatenar(B200:E200," , ")</f>
        <v>CALLE EL LIMON NUMERO 22 , EL TOLOQUE , CARDENAS  , TABASCO  ,</v>
      </c>
    </row>
    <row r="201" spans="1:20" ht="15.75" thickBot="1" x14ac:dyDescent="0.3">
      <c r="A201" s="6" t="s">
        <v>628</v>
      </c>
      <c r="B201" s="4" t="s">
        <v>629</v>
      </c>
      <c r="C201" s="4" t="s">
        <v>630</v>
      </c>
      <c r="D201" s="4" t="s">
        <v>303</v>
      </c>
      <c r="E201" s="4" t="s">
        <v>361</v>
      </c>
      <c r="F201" s="15" t="s">
        <v>4537</v>
      </c>
      <c r="G201" s="15" t="s">
        <v>4538</v>
      </c>
      <c r="I201" t="str">
        <f t="shared" si="3"/>
        <v>UPDATE `katana`.`funeraria_contrato_individual` SET `latitud`='179.786.238', `longitud`='-9.336.535.339.999.990' WHERE  `idcontrato_individual`='MIG200';</v>
      </c>
      <c r="T201" t="str" cm="1">
        <f t="array" aca="1" ref="T201" ca="1">eConcatenar(B201:E201," , ")</f>
        <v>CALLE GUAYACAN NUMERO 77 , JARDINES DE TABASCO , CARDENAS  , TABASCO  ,</v>
      </c>
    </row>
    <row r="202" spans="1:20" ht="15.75" thickBot="1" x14ac:dyDescent="0.3">
      <c r="A202" s="6" t="s">
        <v>631</v>
      </c>
      <c r="B202" s="4" t="s">
        <v>632</v>
      </c>
      <c r="C202" s="4" t="s">
        <v>215</v>
      </c>
      <c r="D202" s="4" t="s">
        <v>303</v>
      </c>
      <c r="E202" s="4" t="s">
        <v>361</v>
      </c>
      <c r="F202" s="15" t="s">
        <v>4257</v>
      </c>
      <c r="G202" s="15" t="s">
        <v>4258</v>
      </c>
      <c r="I202" t="str">
        <f t="shared" si="3"/>
        <v>UPDATE `katana`.`funeraria_contrato_individual` SET `latitud`='180.012.067', `longitud`='-9.337.323.390.000.000' WHERE  `idcontrato_individual`='MIG201';</v>
      </c>
      <c r="T202" t="str" cm="1">
        <f t="array" aca="1" ref="T202" ca="1">eConcatenar(B202:E202," , ")</f>
        <v>CALLE JUSTO MARCHENA SIN NUMERO  , BAJIO SEGUNDA SECCION , CARDENAS  , TABASCO  ,</v>
      </c>
    </row>
    <row r="203" spans="1:20" ht="15.75" thickBot="1" x14ac:dyDescent="0.3">
      <c r="A203" s="6" t="s">
        <v>633</v>
      </c>
      <c r="B203" s="4" t="s">
        <v>634</v>
      </c>
      <c r="C203" s="4" t="s">
        <v>253</v>
      </c>
      <c r="D203" s="4" t="s">
        <v>303</v>
      </c>
      <c r="E203" s="4" t="s">
        <v>361</v>
      </c>
      <c r="F203" s="15" t="s">
        <v>4539</v>
      </c>
      <c r="G203" s="15" t="s">
        <v>4540</v>
      </c>
      <c r="I203" t="str">
        <f t="shared" si="3"/>
        <v>UPDATE `katana`.`funeraria_contrato_individual` SET `latitud`='179.719.126', `longitud`='-9.338.127.089.999.990' WHERE  `idcontrato_individual`='MIG202';</v>
      </c>
      <c r="T203" t="str" cm="1">
        <f t="array" aca="1" ref="T203" ca="1">eConcatenar(B203:E203," , ")</f>
        <v>CALLE RIO SECO Y MONTAÑA , SANTA MARIA PERIFERICO , CARDENAS  , TABASCO  ,</v>
      </c>
    </row>
    <row r="204" spans="1:20" ht="15.75" thickBot="1" x14ac:dyDescent="0.3">
      <c r="A204" s="6" t="s">
        <v>635</v>
      </c>
      <c r="B204" s="4" t="s">
        <v>636</v>
      </c>
      <c r="C204" s="4" t="s">
        <v>383</v>
      </c>
      <c r="D204" s="4" t="s">
        <v>303</v>
      </c>
      <c r="E204" s="4" t="s">
        <v>361</v>
      </c>
      <c r="F204" s="15" t="s">
        <v>4375</v>
      </c>
      <c r="G204" s="15" t="s">
        <v>4376</v>
      </c>
      <c r="I204" t="str">
        <f t="shared" si="3"/>
        <v>UPDATE `katana`.`funeraria_contrato_individual` SET `latitud`='180.221.734', `longitud`='-9.338.991.970.000.000' WHERE  `idcontrato_individual`='MIG203';</v>
      </c>
      <c r="T204" t="str" cm="1">
        <f t="array" aca="1" ref="T204" ca="1">eConcatenar(B204:E204," , ")</f>
        <v>CALLE NUMERO 13 TECNOCHTITAL MANZANA 12 LOTE NUMERO 9 , AMPLIACION CAÑALES TERCERA ETAPA , CARDENAS  , TABASCO  ,</v>
      </c>
    </row>
    <row r="205" spans="1:20" ht="15.75" thickBot="1" x14ac:dyDescent="0.3">
      <c r="A205" s="6" t="s">
        <v>638</v>
      </c>
      <c r="B205" s="4" t="s">
        <v>639</v>
      </c>
      <c r="C205" s="4" t="s">
        <v>57</v>
      </c>
      <c r="D205" s="4" t="s">
        <v>303</v>
      </c>
      <c r="E205" s="4" t="s">
        <v>361</v>
      </c>
      <c r="F205" s="15" t="s">
        <v>4541</v>
      </c>
      <c r="G205" s="15" t="s">
        <v>4542</v>
      </c>
      <c r="I205" t="str">
        <f t="shared" si="3"/>
        <v>UPDATE `katana`.`funeraria_contrato_individual` SET `latitud`='1.799.035', `longitud`='-9.338.190.999.999.990' WHERE  `idcontrato_individual`='MIG204';</v>
      </c>
      <c r="T205" t="str" cm="1">
        <f t="array" aca="1" ref="T205" ca="1">eConcatenar(B205:E205," , ")</f>
        <v>CALLE ABRAHAM BANDALA NUMERO 520 LOCAL C , PUEBLO NUEVO , CARDENAS  , TABASCO  ,</v>
      </c>
    </row>
    <row r="206" spans="1:20" ht="15.75" thickBot="1" x14ac:dyDescent="0.3">
      <c r="A206" s="6" t="s">
        <v>640</v>
      </c>
      <c r="B206" s="4" t="s">
        <v>641</v>
      </c>
      <c r="C206" s="4" t="s">
        <v>57</v>
      </c>
      <c r="D206" s="4" t="s">
        <v>303</v>
      </c>
      <c r="E206" s="4" t="s">
        <v>361</v>
      </c>
      <c r="F206" s="15" t="s">
        <v>4543</v>
      </c>
      <c r="G206" s="15" t="s">
        <v>4544</v>
      </c>
      <c r="I206" t="str">
        <f t="shared" si="3"/>
        <v>UPDATE `katana`.`funeraria_contrato_individual` SET `latitud`='179.923.473', `longitud`='-933.788.221' WHERE  `idcontrato_individual`='MIG205';</v>
      </c>
      <c r="T206" t="str" cm="1">
        <f t="array" aca="1" ref="T206" ca="1">eConcatenar(B206:E206," , ")</f>
        <v>CALLE SANCHEZ MAGAÑANES NUMERO 327 , PUEBLO NUEVO , CARDENAS  , TABASCO  ,</v>
      </c>
    </row>
    <row r="207" spans="1:20" ht="15.75" thickBot="1" x14ac:dyDescent="0.3">
      <c r="A207" s="6" t="s">
        <v>642</v>
      </c>
      <c r="B207" s="4" t="s">
        <v>644</v>
      </c>
      <c r="C207" s="4" t="s">
        <v>645</v>
      </c>
      <c r="D207" s="4" t="s">
        <v>303</v>
      </c>
      <c r="E207" s="4" t="s">
        <v>361</v>
      </c>
      <c r="F207" s="15" t="s">
        <v>4545</v>
      </c>
      <c r="G207" s="15" t="s">
        <v>4546</v>
      </c>
      <c r="I207" t="str">
        <f t="shared" si="3"/>
        <v>UPDATE `katana`.`funeraria_contrato_individual` SET `latitud`='179.980.344', `longitud`='-933.522.806' WHERE  `idcontrato_individual`='MIG206';</v>
      </c>
      <c r="T207" t="str" cm="1">
        <f t="array" aca="1" ref="T207" ca="1">eConcatenar(B207:E207," , ")</f>
        <v>CALLE CERRADA DE QUERUBIN FERNANDEZ , CALZADA PRIMERA SECCION SUR , CARDENAS  , TABASCO  ,</v>
      </c>
    </row>
    <row r="208" spans="1:20" ht="15.75" thickBot="1" x14ac:dyDescent="0.3">
      <c r="A208" s="6" t="s">
        <v>646</v>
      </c>
      <c r="B208" s="4" t="s">
        <v>648</v>
      </c>
      <c r="C208" s="4" t="s">
        <v>648</v>
      </c>
      <c r="D208" s="4" t="s">
        <v>303</v>
      </c>
      <c r="E208" s="4" t="s">
        <v>361</v>
      </c>
      <c r="F208" s="15" t="s">
        <v>4257</v>
      </c>
      <c r="G208" s="15" t="s">
        <v>4258</v>
      </c>
      <c r="I208" t="str">
        <f t="shared" si="3"/>
        <v>UPDATE `katana`.`funeraria_contrato_individual` SET `latitud`='180.012.067', `longitud`='-9.337.323.390.000.000' WHERE  `idcontrato_individual`='MIG207';</v>
      </c>
      <c r="T208" t="str" cm="1">
        <f t="array" aca="1" ref="T208" ca="1">eConcatenar(B208:E208," , ")</f>
        <v>BENITO JUAREZ NUMERO 203 , BENITO JUAREZ NUMERO 203 , CARDENAS  , TABASCO  ,</v>
      </c>
    </row>
    <row r="209" spans="1:20" ht="15.75" thickBot="1" x14ac:dyDescent="0.3">
      <c r="A209" s="6" t="s">
        <v>649</v>
      </c>
      <c r="B209" s="4" t="s">
        <v>651</v>
      </c>
      <c r="C209" s="4" t="s">
        <v>259</v>
      </c>
      <c r="D209" s="4" t="s">
        <v>303</v>
      </c>
      <c r="E209" s="4" t="s">
        <v>361</v>
      </c>
      <c r="F209" s="15" t="s">
        <v>4257</v>
      </c>
      <c r="G209" s="15" t="s">
        <v>4258</v>
      </c>
      <c r="I209" t="str">
        <f t="shared" si="3"/>
        <v>UPDATE `katana`.`funeraria_contrato_individual` SET `latitud`='180.012.067', `longitud`='-9.337.323.390.000.000' WHERE  `idcontrato_individual`='MIG208';</v>
      </c>
      <c r="T209" t="str" cm="1">
        <f t="array" aca="1" ref="T209" ca="1">eConcatenar(B209:E209," , ")</f>
        <v>CALLE GUAYACAN SIN NUMERO  , ADA ISABEL , CARDENAS  , TABASCO  ,</v>
      </c>
    </row>
    <row r="210" spans="1:20" ht="15.75" thickBot="1" x14ac:dyDescent="0.3">
      <c r="A210" s="6" t="s">
        <v>653</v>
      </c>
      <c r="B210" s="4" t="s">
        <v>656</v>
      </c>
      <c r="C210" s="4" t="s">
        <v>657</v>
      </c>
      <c r="D210" s="4" t="s">
        <v>654</v>
      </c>
      <c r="E210" s="4" t="s">
        <v>2</v>
      </c>
      <c r="F210" s="15" t="s">
        <v>4547</v>
      </c>
      <c r="G210" s="15" t="s">
        <v>4548</v>
      </c>
      <c r="I210" t="str">
        <f t="shared" si="3"/>
        <v>UPDATE `katana`.`funeraria_contrato_individual` SET `latitud`='183.324.248', `longitud`='-932.040.012' WHERE  `idcontrato_individual`='MIG209';</v>
      </c>
      <c r="T210" t="str" cm="1">
        <f t="array" aca="1" ref="T210" ca="1">eConcatenar(B210:E210," , ")</f>
        <v>FRANCISCO I MADERO SEGUNDA SECCION , CARRETERA VECINAL PARAISO COMALCALCO SIN NUMERO , PARAISO , TABASCO ,</v>
      </c>
    </row>
    <row r="211" spans="1:20" ht="15.75" thickBot="1" x14ac:dyDescent="0.3">
      <c r="A211" s="6" t="s">
        <v>659</v>
      </c>
      <c r="B211" s="4" t="s">
        <v>660</v>
      </c>
      <c r="C211" s="4" t="s">
        <v>661</v>
      </c>
      <c r="D211" s="4" t="s">
        <v>654</v>
      </c>
      <c r="E211" s="4" t="s">
        <v>2</v>
      </c>
      <c r="F211" s="15" t="s">
        <v>4549</v>
      </c>
      <c r="G211" s="15" t="s">
        <v>4550</v>
      </c>
      <c r="I211" t="str">
        <f t="shared" si="3"/>
        <v>UPDATE `katana`.`funeraria_contrato_individual` SET `latitud`='184.094.574', `longitud`='-932.207.189' WHERE  `idcontrato_individual`='MIG210';</v>
      </c>
      <c r="T211" t="str" cm="1">
        <f t="array" aca="1" ref="T211" ca="1">eConcatenar(B211:E211," , ")</f>
        <v>CARRETERA A LAS FLORES , EL ESCRIBANO , PARAISO , TABASCO ,</v>
      </c>
    </row>
    <row r="212" spans="1:20" ht="15.75" thickBot="1" x14ac:dyDescent="0.3">
      <c r="A212" s="6" t="s">
        <v>663</v>
      </c>
      <c r="B212" s="4" t="s">
        <v>664</v>
      </c>
      <c r="C212" s="4" t="s">
        <v>661</v>
      </c>
      <c r="D212" s="4" t="s">
        <v>654</v>
      </c>
      <c r="E212" s="4" t="s">
        <v>2</v>
      </c>
      <c r="F212" s="15" t="s">
        <v>4551</v>
      </c>
      <c r="G212" s="15" t="s">
        <v>4552</v>
      </c>
      <c r="I212" t="str">
        <f t="shared" si="3"/>
        <v>UPDATE `katana`.`funeraria_contrato_individual` SET `latitud`='18.410.086', `longitud`='-932.240.645' WHERE  `idcontrato_individual`='MIG211';</v>
      </c>
      <c r="T212" t="str" cm="1">
        <f t="array" aca="1" ref="T212" ca="1">eConcatenar(B212:E212," , ")</f>
        <v>CALLEJON MEXICANO S/N  , EL ESCRIBANO , PARAISO , TABASCO ,</v>
      </c>
    </row>
    <row r="213" spans="1:20" ht="15.75" thickBot="1" x14ac:dyDescent="0.3">
      <c r="A213" s="6" t="s">
        <v>665</v>
      </c>
      <c r="B213" s="4" t="s">
        <v>666</v>
      </c>
      <c r="C213" s="4" t="s">
        <v>667</v>
      </c>
      <c r="D213" s="4" t="s">
        <v>3</v>
      </c>
      <c r="E213" s="4" t="s">
        <v>2</v>
      </c>
      <c r="F213" s="15" t="s">
        <v>4553</v>
      </c>
      <c r="G213" s="15" t="s">
        <v>4554</v>
      </c>
      <c r="I213" t="str">
        <f t="shared" si="3"/>
        <v>UPDATE `katana`.`funeraria_contrato_individual` SET `latitud`='180.066.675', `longitud`='-93.374.399' WHERE  `idcontrato_individual`='MIG212';</v>
      </c>
      <c r="T213" t="str" cm="1">
        <f t="array" aca="1" ref="T213" ca="1">eConcatenar(B213:E213," , ")</f>
        <v>CALLE MIGUEL HIDALGO , AGUASOL , CARDENAS , TABASCO ,</v>
      </c>
    </row>
    <row r="214" spans="1:20" ht="15.75" thickBot="1" x14ac:dyDescent="0.3">
      <c r="A214" s="6" t="s">
        <v>668</v>
      </c>
      <c r="B214" s="4" t="s">
        <v>669</v>
      </c>
      <c r="C214" s="4" t="s">
        <v>40</v>
      </c>
      <c r="D214" s="4" t="s">
        <v>654</v>
      </c>
      <c r="E214" s="4" t="s">
        <v>2</v>
      </c>
      <c r="F214" s="15" t="s">
        <v>4555</v>
      </c>
      <c r="G214" s="15" t="s">
        <v>4556</v>
      </c>
      <c r="I214" t="str">
        <f t="shared" si="3"/>
        <v>UPDATE `katana`.`funeraria_contrato_individual` SET `latitud`='184.043.374', `longitud`='-932.157.053' WHERE  `idcontrato_individual`='MIG213';</v>
      </c>
      <c r="T214" t="str" cm="1">
        <f t="array" aca="1" ref="T214" ca="1">eConcatenar(B214:E214," , ")</f>
        <v>CALLE 8 DE OCTUBRE NUMERO 338 , CENTRO , PARAISO , TABASCO ,</v>
      </c>
    </row>
    <row r="215" spans="1:20" ht="15.75" thickBot="1" x14ac:dyDescent="0.3">
      <c r="A215" s="6" t="s">
        <v>671</v>
      </c>
      <c r="B215" s="4" t="s">
        <v>672</v>
      </c>
      <c r="C215" s="4" t="s">
        <v>673</v>
      </c>
      <c r="D215" s="4" t="s">
        <v>654</v>
      </c>
      <c r="E215" s="4" t="s">
        <v>2</v>
      </c>
      <c r="F215" s="15" t="s">
        <v>4557</v>
      </c>
      <c r="G215" s="15" t="s">
        <v>4558</v>
      </c>
      <c r="I215" t="str">
        <f t="shared" si="3"/>
        <v>UPDATE `katana`.`funeraria_contrato_individual` SET `latitud`='184.073.512', `longitud`='-932.074.712' WHERE  `idcontrato_individual`='MIG214';</v>
      </c>
      <c r="T215" t="str" cm="1">
        <f t="array" aca="1" ref="T215" ca="1">eConcatenar(B215:E215," , ")</f>
        <v>PROLONGACION MELCHOR OCAMPO 1459 A , EL LIMONCITO , PARAISO , TABASCO ,</v>
      </c>
    </row>
    <row r="216" spans="1:20" ht="15.75" thickBot="1" x14ac:dyDescent="0.3">
      <c r="A216" s="6" t="s">
        <v>674</v>
      </c>
      <c r="B216" s="4" t="s">
        <v>675</v>
      </c>
      <c r="C216" s="4" t="s">
        <v>676</v>
      </c>
      <c r="D216" s="4" t="s">
        <v>654</v>
      </c>
      <c r="E216" s="4" t="s">
        <v>2</v>
      </c>
      <c r="F216" s="15" t="s">
        <v>4559</v>
      </c>
      <c r="G216" s="15" t="s">
        <v>4560</v>
      </c>
      <c r="I216" t="str">
        <f t="shared" si="3"/>
        <v>UPDATE `katana`.`funeraria_contrato_individual` SET `latitud`='184.404.294', `longitud`='-9.309.565.339.999.990' WHERE  `idcontrato_individual`='MIG215';</v>
      </c>
      <c r="T216" t="str" cm="1">
        <f t="array" aca="1" ref="T216" ca="1">eConcatenar(B216:E216," , ")</f>
        <v>CARRETERA A LA DEPORTIVA , EL PENJAMO , PARAISO , TABASCO ,</v>
      </c>
    </row>
    <row r="217" spans="1:20" ht="15.75" thickBot="1" x14ac:dyDescent="0.3">
      <c r="A217" s="6" t="s">
        <v>677</v>
      </c>
      <c r="B217" s="4" t="s">
        <v>680</v>
      </c>
      <c r="C217" s="4" t="s">
        <v>40</v>
      </c>
      <c r="D217" s="4" t="s">
        <v>654</v>
      </c>
      <c r="E217" s="4" t="s">
        <v>2</v>
      </c>
      <c r="F217" s="15" t="s">
        <v>4561</v>
      </c>
      <c r="G217" s="15" t="s">
        <v>4562</v>
      </c>
      <c r="I217" t="str">
        <f t="shared" si="3"/>
        <v>UPDATE `katana`.`funeraria_contrato_individual` SET `latitud`='183.988.178', `longitud`='-932.166.709' WHERE  `idcontrato_individual`='MIG216';</v>
      </c>
      <c r="T217" t="str" cm="1">
        <f t="array" aca="1" ref="T217" ca="1">eConcatenar(B217:E217," , ")</f>
        <v>CALLE ZARAGOZA NUMERO 614 , CENTRO , PARAISO , TABASCO ,</v>
      </c>
    </row>
    <row r="218" spans="1:20" ht="15.75" thickBot="1" x14ac:dyDescent="0.3">
      <c r="A218" s="6" t="s">
        <v>681</v>
      </c>
      <c r="B218" s="4" t="s">
        <v>682</v>
      </c>
      <c r="C218" s="4" t="s">
        <v>683</v>
      </c>
      <c r="D218" s="4" t="s">
        <v>654</v>
      </c>
      <c r="E218" s="4" t="s">
        <v>2</v>
      </c>
      <c r="F218" s="15" t="s">
        <v>4563</v>
      </c>
      <c r="G218" s="15" t="s">
        <v>4564</v>
      </c>
      <c r="I218" t="str">
        <f t="shared" si="3"/>
        <v>UPDATE `katana`.`funeraria_contrato_individual` SET `latitud`='25.592.172', `longitud`='-9.999.619.469.999.990' WHERE  `idcontrato_individual`='MIG217';</v>
      </c>
      <c r="T218" t="str" cm="1">
        <f t="array" aca="1" ref="T218" ca="1">eConcatenar(B218:E218," , ")</f>
        <v>CALLE NUEVO LEON MANZANA 4 LOTE 77 , LA CONTINUIDAD , PARAISO , TABASCO ,</v>
      </c>
    </row>
    <row r="219" spans="1:20" ht="15.75" thickBot="1" x14ac:dyDescent="0.3">
      <c r="A219" s="6" t="s">
        <v>684</v>
      </c>
      <c r="B219" s="4" t="s">
        <v>685</v>
      </c>
      <c r="C219" s="4" t="s">
        <v>40</v>
      </c>
      <c r="D219" s="4" t="s">
        <v>654</v>
      </c>
      <c r="E219" s="4" t="s">
        <v>2</v>
      </c>
      <c r="F219" s="15" t="s">
        <v>4565</v>
      </c>
      <c r="G219" s="15" t="s">
        <v>4566</v>
      </c>
      <c r="I219" t="str">
        <f t="shared" si="3"/>
        <v>UPDATE `katana`.`funeraria_contrato_individual` SET `latitud`='183.961.688', `longitud`='-932.188.104' WHERE  `idcontrato_individual`='MIG218';</v>
      </c>
      <c r="T219" t="str" cm="1">
        <f t="array" aca="1" ref="T219" ca="1">eConcatenar(B219:E219," , ")</f>
        <v>CALLE LOS TINTOS NUMERO 124 , CENTRO , PARAISO , TABASCO ,</v>
      </c>
    </row>
    <row r="220" spans="1:20" ht="15.75" thickBot="1" x14ac:dyDescent="0.3">
      <c r="A220" s="6" t="s">
        <v>686</v>
      </c>
      <c r="B220" s="4" t="s">
        <v>670</v>
      </c>
      <c r="C220" s="4" t="s">
        <v>687</v>
      </c>
      <c r="D220" s="4" t="s">
        <v>654</v>
      </c>
      <c r="E220" s="4" t="s">
        <v>2</v>
      </c>
      <c r="F220" s="15" t="s">
        <v>4547</v>
      </c>
      <c r="G220" s="15" t="s">
        <v>4548</v>
      </c>
      <c r="I220" t="str">
        <f t="shared" si="3"/>
        <v>UPDATE `katana`.`funeraria_contrato_individual` SET `latitud`='183.324.248', `longitud`='-932.040.012' WHERE  `idcontrato_individual`='MIG219';</v>
      </c>
      <c r="T220" t="str" cm="1">
        <f t="array" aca="1" ref="T220" ca="1">eConcatenar(B220:E220," , ")</f>
        <v>CARRETERA VECINAL PARAISO COMALCALCO , MOCTEZUMA PRIMERA SECCION  , PARAISO , TABASCO ,</v>
      </c>
    </row>
    <row r="221" spans="1:20" ht="15.75" thickBot="1" x14ac:dyDescent="0.3">
      <c r="A221" s="6" t="s">
        <v>689</v>
      </c>
      <c r="B221" s="4" t="s">
        <v>670</v>
      </c>
      <c r="C221" s="4" t="s">
        <v>687</v>
      </c>
      <c r="D221" s="4" t="s">
        <v>654</v>
      </c>
      <c r="E221" s="4" t="s">
        <v>2</v>
      </c>
      <c r="F221" s="15" t="s">
        <v>4547</v>
      </c>
      <c r="G221" s="15" t="s">
        <v>4548</v>
      </c>
      <c r="I221" t="str">
        <f t="shared" si="3"/>
        <v>UPDATE `katana`.`funeraria_contrato_individual` SET `latitud`='183.324.248', `longitud`='-932.040.012' WHERE  `idcontrato_individual`='MIG220';</v>
      </c>
      <c r="T221" t="str" cm="1">
        <f t="array" aca="1" ref="T221" ca="1">eConcatenar(B221:E221," , ")</f>
        <v>CARRETERA VECINAL PARAISO COMALCALCO , MOCTEZUMA PRIMERA SECCION  , PARAISO , TABASCO ,</v>
      </c>
    </row>
    <row r="222" spans="1:20" ht="15.75" thickBot="1" x14ac:dyDescent="0.3">
      <c r="A222" s="6" t="s">
        <v>690</v>
      </c>
      <c r="B222" s="4" t="s">
        <v>691</v>
      </c>
      <c r="C222" s="4" t="s">
        <v>40</v>
      </c>
      <c r="D222" s="4" t="s">
        <v>654</v>
      </c>
      <c r="E222" s="4" t="s">
        <v>2</v>
      </c>
      <c r="F222" s="15" t="s">
        <v>4567</v>
      </c>
      <c r="G222" s="15" t="s">
        <v>4568</v>
      </c>
      <c r="I222" t="str">
        <f t="shared" si="3"/>
        <v>UPDATE `katana`.`funeraria_contrato_individual` SET `latitud`='183.967.241', `longitud`='-9.321.673.249.999.990' WHERE  `idcontrato_individual`='MIG221';</v>
      </c>
      <c r="T222" t="str" cm="1">
        <f t="array" aca="1" ref="T222" ca="1">eConcatenar(B222:E222," , ")</f>
        <v>CALLE IGNACIO COMONFORT NUMERO 513 , CENTRO , PARAISO , TABASCO ,</v>
      </c>
    </row>
    <row r="223" spans="1:20" ht="15.75" thickBot="1" x14ac:dyDescent="0.3">
      <c r="A223" s="6" t="s">
        <v>692</v>
      </c>
      <c r="B223" s="4" t="s">
        <v>695</v>
      </c>
      <c r="C223" s="4" t="s">
        <v>40</v>
      </c>
      <c r="D223" s="4" t="s">
        <v>654</v>
      </c>
      <c r="E223" s="4" t="s">
        <v>2</v>
      </c>
      <c r="F223" s="15" t="s">
        <v>4567</v>
      </c>
      <c r="G223" s="15" t="s">
        <v>4568</v>
      </c>
      <c r="I223" t="str">
        <f t="shared" si="3"/>
        <v>UPDATE `katana`.`funeraria_contrato_individual` SET `latitud`='183.967.241', `longitud`='-9.321.673.249.999.990' WHERE  `idcontrato_individual`='MIG222';</v>
      </c>
      <c r="T223" t="str" cm="1">
        <f t="array" aca="1" ref="T223" ca="1">eConcatenar(B223:E223," , ")</f>
        <v>CALLE COMONFORT NUMERO 513 A , CENTRO , PARAISO , TABASCO ,</v>
      </c>
    </row>
    <row r="224" spans="1:20" ht="15.75" thickBot="1" x14ac:dyDescent="0.3">
      <c r="A224" s="6" t="s">
        <v>696</v>
      </c>
      <c r="B224" s="4" t="s">
        <v>697</v>
      </c>
      <c r="C224" s="4" t="s">
        <v>698</v>
      </c>
      <c r="D224" s="4" t="s">
        <v>654</v>
      </c>
      <c r="E224" s="4" t="s">
        <v>2</v>
      </c>
      <c r="F224" s="15" t="s">
        <v>4569</v>
      </c>
      <c r="G224" s="15" t="s">
        <v>4570</v>
      </c>
      <c r="I224" t="str">
        <f t="shared" si="3"/>
        <v>UPDATE `katana`.`funeraria_contrato_individual` SET `latitud`='18.399.731', `longitud`='-9.322.003.199.999.990' WHERE  `idcontrato_individual`='MIG223';</v>
      </c>
      <c r="T224" t="str" cm="1">
        <f t="array" aca="1" ref="T224" ca="1">eConcatenar(B224:E224," , ")</f>
        <v>ENTRADA A LA RINCONADA , LAS FLORES PRIMERA SECCION , PARAISO , TABASCO ,</v>
      </c>
    </row>
    <row r="225" spans="1:20" ht="15.75" thickBot="1" x14ac:dyDescent="0.3">
      <c r="A225" s="6" t="s">
        <v>700</v>
      </c>
      <c r="B225" s="4" t="s">
        <v>701</v>
      </c>
      <c r="C225" s="4" t="s">
        <v>40</v>
      </c>
      <c r="D225" s="4" t="s">
        <v>654</v>
      </c>
      <c r="E225" s="4" t="s">
        <v>2</v>
      </c>
      <c r="F225" s="15" t="s">
        <v>4571</v>
      </c>
      <c r="G225" s="15" t="s">
        <v>4572</v>
      </c>
      <c r="I225" t="str">
        <f t="shared" si="3"/>
        <v>UPDATE `katana`.`funeraria_contrato_individual` SET `latitud`='184.013.131', `longitud`='-932.134.311' WHERE  `idcontrato_individual`='MIG224';</v>
      </c>
      <c r="T225" t="str" cm="1">
        <f t="array" aca="1" ref="T225" ca="1">eConcatenar(B225:E225," , ")</f>
        <v>CALLE 5 DE MAYO , CENTRO , PARAISO , TABASCO ,</v>
      </c>
    </row>
    <row r="226" spans="1:20" ht="15.75" thickBot="1" x14ac:dyDescent="0.3">
      <c r="A226" s="6" t="s">
        <v>702</v>
      </c>
      <c r="B226" s="4" t="s">
        <v>697</v>
      </c>
      <c r="C226" s="4" t="s">
        <v>698</v>
      </c>
      <c r="D226" s="4" t="s">
        <v>654</v>
      </c>
      <c r="E226" s="4" t="s">
        <v>2</v>
      </c>
      <c r="F226" s="15" t="s">
        <v>4569</v>
      </c>
      <c r="G226" s="15" t="s">
        <v>4570</v>
      </c>
      <c r="I226" t="str">
        <f t="shared" si="3"/>
        <v>UPDATE `katana`.`funeraria_contrato_individual` SET `latitud`='18.399.731', `longitud`='-9.322.003.199.999.990' WHERE  `idcontrato_individual`='MIG225';</v>
      </c>
      <c r="T226" t="str" cm="1">
        <f t="array" aca="1" ref="T226" ca="1">eConcatenar(B226:E226," , ")</f>
        <v>ENTRADA A LA RINCONADA , LAS FLORES PRIMERA SECCION , PARAISO , TABASCO ,</v>
      </c>
    </row>
    <row r="227" spans="1:20" ht="15.75" thickBot="1" x14ac:dyDescent="0.3">
      <c r="A227" s="6" t="s">
        <v>703</v>
      </c>
      <c r="B227" s="4" t="s">
        <v>705</v>
      </c>
      <c r="C227" s="4" t="s">
        <v>673</v>
      </c>
      <c r="D227" s="4" t="s">
        <v>654</v>
      </c>
      <c r="E227" s="4" t="s">
        <v>2</v>
      </c>
      <c r="F227" s="15" t="s">
        <v>4573</v>
      </c>
      <c r="G227" s="15" t="s">
        <v>4574</v>
      </c>
      <c r="I227" t="str">
        <f t="shared" si="3"/>
        <v>UPDATE `katana`.`funeraria_contrato_individual` SET `latitud`='184.307.322', `longitud`='-931.905.874' WHERE  `idcontrato_individual`='MIG226';</v>
      </c>
      <c r="T227" t="str" cm="1">
        <f t="array" aca="1" ref="T227" ca="1">eConcatenar(B227:E227," , ")</f>
        <v>ENTRADA LOS NARANJOS , EL LIMONCITO , PARAISO , TABASCO ,</v>
      </c>
    </row>
    <row r="228" spans="1:20" ht="15.75" thickBot="1" x14ac:dyDescent="0.3">
      <c r="A228" s="6" t="s">
        <v>706</v>
      </c>
      <c r="B228" s="4" t="s">
        <v>707</v>
      </c>
      <c r="C228" s="4" t="s">
        <v>708</v>
      </c>
      <c r="D228" s="4" t="s">
        <v>654</v>
      </c>
      <c r="E228" s="4" t="s">
        <v>2</v>
      </c>
      <c r="F228" s="15" t="s">
        <v>4575</v>
      </c>
      <c r="G228" s="15" t="s">
        <v>4576</v>
      </c>
      <c r="I228" t="str">
        <f t="shared" si="3"/>
        <v>UPDATE `katana`.`funeraria_contrato_individual` SET `latitud`='184.060.631', `longitud`='-932.192.454' WHERE  `idcontrato_individual`='MIG227';</v>
      </c>
      <c r="T228" t="str" cm="1">
        <f t="array" aca="1" ref="T228" ca="1">eConcatenar(B228:E228," , ")</f>
        <v>SEGUNDA ENTRADA 18 DE MARZO , LOS COQUITOS , PARAISO , TABASCO ,</v>
      </c>
    </row>
    <row r="229" spans="1:20" ht="15.75" thickBot="1" x14ac:dyDescent="0.3">
      <c r="A229" s="6" t="s">
        <v>709</v>
      </c>
      <c r="B229" s="4" t="s">
        <v>710</v>
      </c>
      <c r="C229" s="4" t="s">
        <v>711</v>
      </c>
      <c r="D229" s="4" t="s">
        <v>654</v>
      </c>
      <c r="E229" s="4" t="s">
        <v>2</v>
      </c>
      <c r="F229" s="15" t="s">
        <v>4577</v>
      </c>
      <c r="G229" s="15" t="s">
        <v>4578</v>
      </c>
      <c r="I229" t="str">
        <f t="shared" si="3"/>
        <v>UPDATE `katana`.`funeraria_contrato_individual` SET `latitud`='184.252.777', `longitud`='-931.508.333' WHERE  `idcontrato_individual`='MIG228';</v>
      </c>
      <c r="T229" t="str" cm="1">
        <f t="array" aca="1" ref="T229" ca="1">eConcatenar(B229:E229," , ")</f>
        <v>CALLE LA MADRID SIN NUMERO , EL BELLOTE , PARAISO , TABASCO ,</v>
      </c>
    </row>
    <row r="230" spans="1:20" ht="15.75" thickBot="1" x14ac:dyDescent="0.3">
      <c r="A230" s="6" t="s">
        <v>712</v>
      </c>
      <c r="B230" s="4" t="s">
        <v>713</v>
      </c>
      <c r="C230" s="4" t="s">
        <v>577</v>
      </c>
      <c r="D230" s="4" t="s">
        <v>654</v>
      </c>
      <c r="E230" s="4" t="s">
        <v>2</v>
      </c>
      <c r="F230" s="15" t="s">
        <v>4579</v>
      </c>
      <c r="G230" s="15" t="s">
        <v>4580</v>
      </c>
      <c r="I230" t="str">
        <f t="shared" si="3"/>
        <v>UPDATE `katana`.`funeraria_contrato_individual` SET `latitud`='183.889.073', `longitud`='-9.321.848.349.999.990' WHERE  `idcontrato_individual`='MIG229';</v>
      </c>
      <c r="T230" t="str" cm="1">
        <f t="array" aca="1" ref="T230" ca="1">eConcatenar(B230:E230," , ")</f>
        <v>BULEVARD ANTONIO ROMERO ZURITA , QUINTIN ARAUZ , PARAISO , TABASCO ,</v>
      </c>
    </row>
    <row r="231" spans="1:20" ht="15.75" thickBot="1" x14ac:dyDescent="0.3">
      <c r="A231" s="6" t="s">
        <v>714</v>
      </c>
      <c r="B231" s="4" t="s">
        <v>713</v>
      </c>
      <c r="C231" s="4" t="s">
        <v>577</v>
      </c>
      <c r="D231" s="4" t="s">
        <v>654</v>
      </c>
      <c r="E231" s="4" t="s">
        <v>2</v>
      </c>
      <c r="F231" s="15" t="s">
        <v>4579</v>
      </c>
      <c r="G231" s="15" t="s">
        <v>4580</v>
      </c>
      <c r="I231" t="str">
        <f t="shared" si="3"/>
        <v>UPDATE `katana`.`funeraria_contrato_individual` SET `latitud`='183.889.073', `longitud`='-9.321.848.349.999.990' WHERE  `idcontrato_individual`='MIG230';</v>
      </c>
      <c r="T231" t="str" cm="1">
        <f t="array" aca="1" ref="T231" ca="1">eConcatenar(B231:E231," , ")</f>
        <v>BULEVARD ANTONIO ROMERO ZURITA , QUINTIN ARAUZ , PARAISO , TABASCO ,</v>
      </c>
    </row>
    <row r="232" spans="1:20" ht="15.75" thickBot="1" x14ac:dyDescent="0.3">
      <c r="A232" s="6" t="s">
        <v>716</v>
      </c>
      <c r="B232" s="4" t="s">
        <v>717</v>
      </c>
      <c r="C232" s="4" t="s">
        <v>577</v>
      </c>
      <c r="D232" s="4" t="s">
        <v>654</v>
      </c>
      <c r="E232" s="4" t="s">
        <v>2</v>
      </c>
      <c r="F232" s="15" t="s">
        <v>4581</v>
      </c>
      <c r="G232" s="15" t="s">
        <v>4582</v>
      </c>
      <c r="I232" t="str">
        <f t="shared" si="3"/>
        <v>UPDATE `katana`.`funeraria_contrato_individual` SET `latitud`='183.730.989', `longitud`='-9.320.717.189.999.990' WHERE  `idcontrato_individual`='MIG231';</v>
      </c>
      <c r="T232" t="str" cm="1">
        <f t="array" aca="1" ref="T232" ca="1">eConcatenar(B232:E232," , ")</f>
        <v>LA MERCED REAL SIN NUMERO , QUINTIN ARAUZ , PARAISO , TABASCO ,</v>
      </c>
    </row>
    <row r="233" spans="1:20" ht="15.75" thickBot="1" x14ac:dyDescent="0.3">
      <c r="A233" s="6" t="s">
        <v>718</v>
      </c>
      <c r="B233" s="4" t="s">
        <v>719</v>
      </c>
      <c r="C233" s="4" t="s">
        <v>720</v>
      </c>
      <c r="D233" s="4" t="s">
        <v>654</v>
      </c>
      <c r="E233" s="4" t="s">
        <v>2</v>
      </c>
      <c r="F233" s="15" t="s">
        <v>4583</v>
      </c>
      <c r="G233" s="15" t="s">
        <v>4584</v>
      </c>
      <c r="I233" t="str">
        <f t="shared" si="3"/>
        <v>UPDATE `katana`.`funeraria_contrato_individual` SET `latitud`='184.080.183', `longitud`='-9.321.186.709.999.990' WHERE  `idcontrato_individual`='MIG232';</v>
      </c>
      <c r="T233" t="str" cm="1">
        <f t="array" aca="1" ref="T233" ca="1">eConcatenar(B233:E233," , ")</f>
        <v>PROLONGACION 5 DE MAYO INTERIOR SIN NUMERO , EL LIMON  , PARAISO , TABASCO ,</v>
      </c>
    </row>
    <row r="234" spans="1:20" ht="15.75" thickBot="1" x14ac:dyDescent="0.3">
      <c r="A234" s="6" t="s">
        <v>721</v>
      </c>
      <c r="B234" s="4" t="s">
        <v>724</v>
      </c>
      <c r="C234" s="4" t="s">
        <v>725</v>
      </c>
      <c r="D234" s="4" t="s">
        <v>722</v>
      </c>
      <c r="E234" s="4" t="s">
        <v>2</v>
      </c>
      <c r="F234" s="15" t="s">
        <v>4585</v>
      </c>
      <c r="G234" s="15" t="s">
        <v>4586</v>
      </c>
      <c r="I234" t="str">
        <f t="shared" si="3"/>
        <v>UPDATE `katana`.`funeraria_contrato_individual` SET `latitud`='182.147.308', `longitud`='-932.425.341' WHERE  `idcontrato_individual`='MIG233';</v>
      </c>
      <c r="T234" t="str" cm="1">
        <f t="array" aca="1" ref="T234" ca="1">eConcatenar(B234:E234," , ")</f>
        <v>CALLE LAZARO CARDENAS DEL RIO SIN NUMERO , NORTE PRIMERA SECCION  , COMALCALCO , TABASCO ,</v>
      </c>
    </row>
    <row r="235" spans="1:20" ht="15.75" thickBot="1" x14ac:dyDescent="0.3">
      <c r="A235" s="6" t="s">
        <v>727</v>
      </c>
      <c r="B235" s="4" t="s">
        <v>729</v>
      </c>
      <c r="C235" s="4" t="s">
        <v>725</v>
      </c>
      <c r="D235" s="4" t="s">
        <v>722</v>
      </c>
      <c r="E235" s="4" t="s">
        <v>2</v>
      </c>
      <c r="F235" s="15" t="s">
        <v>4587</v>
      </c>
      <c r="G235" s="15" t="s">
        <v>4588</v>
      </c>
      <c r="I235" t="str">
        <f t="shared" si="3"/>
        <v>UPDATE `katana`.`funeraria_contrato_individual` SET `latitud`='182.423.721', `longitud`='-932.098.269' WHERE  `idcontrato_individual`='MIG234';</v>
      </c>
      <c r="T235" t="str" cm="1">
        <f t="array" aca="1" ref="T235" ca="1">eConcatenar(B235:E235," , ")</f>
        <v>CARRETERA FEDERAL COMALCALCO PARAISO SIN NUMERO , NORTE PRIMERA SECCION  , COMALCALCO , TABASCO ,</v>
      </c>
    </row>
    <row r="236" spans="1:20" ht="15.75" thickBot="1" x14ac:dyDescent="0.3">
      <c r="A236" s="6" t="s">
        <v>730</v>
      </c>
      <c r="B236" s="4" t="s">
        <v>732</v>
      </c>
      <c r="C236" s="4" t="s">
        <v>711</v>
      </c>
      <c r="D236" s="4" t="s">
        <v>654</v>
      </c>
      <c r="E236" s="4" t="s">
        <v>2</v>
      </c>
      <c r="F236" s="15" t="s">
        <v>4577</v>
      </c>
      <c r="G236" s="15" t="s">
        <v>4578</v>
      </c>
      <c r="I236" t="str">
        <f t="shared" si="3"/>
        <v>UPDATE `katana`.`funeraria_contrato_individual` SET `latitud`='184.252.777', `longitud`='-931.508.333' WHERE  `idcontrato_individual`='MIG235';</v>
      </c>
      <c r="T236" t="str" cm="1">
        <f t="array" aca="1" ref="T236" ca="1">eConcatenar(B236:E236," , ")</f>
        <v>JOSE MARIA MORELOS  , EL BELLOTE , PARAISO , TABASCO ,</v>
      </c>
    </row>
    <row r="237" spans="1:20" ht="15.75" thickBot="1" x14ac:dyDescent="0.3">
      <c r="A237" s="6" t="s">
        <v>733</v>
      </c>
      <c r="B237" s="4" t="s">
        <v>734</v>
      </c>
      <c r="C237" s="4" t="s">
        <v>735</v>
      </c>
      <c r="D237" s="4" t="s">
        <v>654</v>
      </c>
      <c r="E237" s="4" t="s">
        <v>2</v>
      </c>
      <c r="F237" s="15" t="s">
        <v>4589</v>
      </c>
      <c r="G237" s="15" t="s">
        <v>4590</v>
      </c>
      <c r="I237" t="str">
        <f t="shared" si="3"/>
        <v>UPDATE `katana`.`funeraria_contrato_individual` SET `latitud`='184.237.158', `longitud`='-9.315.950.169.999.990' WHERE  `idcontrato_individual`='MIG236';</v>
      </c>
      <c r="T237" t="str" cm="1">
        <f t="array" aca="1" ref="T237" ca="1">eConcatenar(B237:E237," , ")</f>
        <v>ENTRADA LA PASADITA  , LA MADRID EL BELLOTE , PARAISO , TABASCO ,</v>
      </c>
    </row>
    <row r="238" spans="1:20" ht="15.75" thickBot="1" x14ac:dyDescent="0.3">
      <c r="A238" s="6" t="s">
        <v>736</v>
      </c>
      <c r="B238" s="4" t="s">
        <v>732</v>
      </c>
      <c r="C238" s="4" t="s">
        <v>711</v>
      </c>
      <c r="D238" s="4" t="s">
        <v>654</v>
      </c>
      <c r="E238" s="4" t="s">
        <v>2</v>
      </c>
      <c r="F238" s="15" t="s">
        <v>4577</v>
      </c>
      <c r="G238" s="15" t="s">
        <v>4578</v>
      </c>
      <c r="I238" t="str">
        <f t="shared" si="3"/>
        <v>UPDATE `katana`.`funeraria_contrato_individual` SET `latitud`='184.252.777', `longitud`='-931.508.333' WHERE  `idcontrato_individual`='MIG237';</v>
      </c>
      <c r="T238" t="str" cm="1">
        <f t="array" aca="1" ref="T238" ca="1">eConcatenar(B238:E238," , ")</f>
        <v>JOSE MARIA MORELOS  , EL BELLOTE , PARAISO , TABASCO ,</v>
      </c>
    </row>
    <row r="239" spans="1:20" ht="15.75" thickBot="1" x14ac:dyDescent="0.3">
      <c r="A239" s="6" t="s">
        <v>738</v>
      </c>
      <c r="B239" s="4" t="s">
        <v>740</v>
      </c>
      <c r="C239" s="4" t="s">
        <v>741</v>
      </c>
      <c r="D239" s="4" t="s">
        <v>739</v>
      </c>
      <c r="E239" s="4" t="s">
        <v>2</v>
      </c>
      <c r="F239" s="15" t="s">
        <v>4591</v>
      </c>
      <c r="G239" s="15" t="s">
        <v>4592</v>
      </c>
      <c r="I239" t="str">
        <f t="shared" si="3"/>
        <v>UPDATE `katana`.`funeraria_contrato_individual` SET `latitud`='184.150.734', `longitud`='-929.948.065' WHERE  `idcontrato_individual`='MIG238';</v>
      </c>
      <c r="T239" t="str" cm="1">
        <f t="array" aca="1" ref="T239" ca="1">eConcatenar(B239:E239," , ")</f>
        <v>ENTRADA EL MORRAL SIN NUMERO , JALAPITA SIN NUMERO , CENTLA , TABASCO ,</v>
      </c>
    </row>
    <row r="240" spans="1:20" ht="15.75" thickBot="1" x14ac:dyDescent="0.3">
      <c r="A240" s="6" t="s">
        <v>742</v>
      </c>
      <c r="B240" s="4" t="s">
        <v>744</v>
      </c>
      <c r="C240" s="4" t="s">
        <v>40</v>
      </c>
      <c r="D240" s="4" t="s">
        <v>654</v>
      </c>
      <c r="E240" s="4" t="s">
        <v>2</v>
      </c>
      <c r="F240" s="15" t="s">
        <v>4593</v>
      </c>
      <c r="G240" s="15" t="s">
        <v>4594</v>
      </c>
      <c r="I240" t="str">
        <f t="shared" si="3"/>
        <v>UPDATE `katana`.`funeraria_contrato_individual` SET `latitud`='184.042.491', `longitud`='-932.099.303' WHERE  `idcontrato_individual`='MIG239';</v>
      </c>
      <c r="T240" t="str" cm="1">
        <f t="array" aca="1" ref="T240" ca="1">eConcatenar(B240:E240," , ")</f>
        <v>CALLE MELCHOR OCAMPONUMERO 1206 , CENTRO , PARAISO , TABASCO ,</v>
      </c>
    </row>
    <row r="241" spans="1:20" ht="15.75" thickBot="1" x14ac:dyDescent="0.3">
      <c r="A241" s="6" t="s">
        <v>745</v>
      </c>
      <c r="B241" s="4" t="s">
        <v>746</v>
      </c>
      <c r="C241" s="4" t="s">
        <v>698</v>
      </c>
      <c r="D241" s="4" t="s">
        <v>722</v>
      </c>
      <c r="E241" s="4" t="s">
        <v>2</v>
      </c>
      <c r="F241" s="15" t="s">
        <v>4569</v>
      </c>
      <c r="G241" s="15" t="s">
        <v>4570</v>
      </c>
      <c r="I241" t="str">
        <f t="shared" si="3"/>
        <v>UPDATE `katana`.`funeraria_contrato_individual` SET `latitud`='18.399.731', `longitud`='-9.322.003.199.999.990' WHERE  `idcontrato_individual`='MIG240';</v>
      </c>
      <c r="T241" t="str" cm="1">
        <f t="array" aca="1" ref="T241" ca="1">eConcatenar(B241:E241," , ")</f>
        <v>ENTRADA LA RINCONADA , LAS FLORES PRIMERA SECCION , COMALCALCO , TABASCO ,</v>
      </c>
    </row>
    <row r="242" spans="1:20" ht="15.75" thickBot="1" x14ac:dyDescent="0.3">
      <c r="A242" s="6" t="s">
        <v>747</v>
      </c>
      <c r="B242" s="4" t="s">
        <v>748</v>
      </c>
      <c r="C242" s="4" t="s">
        <v>40</v>
      </c>
      <c r="D242" s="4" t="s">
        <v>654</v>
      </c>
      <c r="E242" s="4" t="s">
        <v>2</v>
      </c>
      <c r="F242" s="15" t="s">
        <v>4595</v>
      </c>
      <c r="G242" s="15" t="s">
        <v>4596</v>
      </c>
      <c r="I242" t="str">
        <f t="shared" si="3"/>
        <v>UPDATE `katana`.`funeraria_contrato_individual` SET `latitud`='184.003.208', `longitud`='-9.320.979.059.999.990' WHERE  `idcontrato_individual`='MIG241';</v>
      </c>
      <c r="T242" t="str" cm="1">
        <f t="array" aca="1" ref="T242" ca="1">eConcatenar(B242:E242," , ")</f>
        <v>CARRETERA HERNANDEZ CARRILLO 310 , CENTRO , PARAISO , TABASCO ,</v>
      </c>
    </row>
    <row r="243" spans="1:20" ht="15.75" thickBot="1" x14ac:dyDescent="0.3">
      <c r="A243" s="6" t="s">
        <v>749</v>
      </c>
      <c r="B243" s="4" t="s">
        <v>750</v>
      </c>
      <c r="C243" s="4" t="s">
        <v>698</v>
      </c>
      <c r="D243" s="4" t="s">
        <v>654</v>
      </c>
      <c r="E243" s="4" t="s">
        <v>2</v>
      </c>
      <c r="F243" s="15" t="s">
        <v>4569</v>
      </c>
      <c r="G243" s="15" t="s">
        <v>4570</v>
      </c>
      <c r="I243" t="str">
        <f t="shared" si="3"/>
        <v>UPDATE `katana`.`funeraria_contrato_individual` SET `latitud`='18.399.731', `longitud`='-9.322.003.199.999.990' WHERE  `idcontrato_individual`='MIG242';</v>
      </c>
      <c r="T243" t="str" cm="1">
        <f t="array" aca="1" ref="T243" ca="1">eConcatenar(B243:E243," , ")</f>
        <v>ENTRADA SAN SEBASTIAN , LAS FLORES PRIMERA SECCION , PARAISO , TABASCO ,</v>
      </c>
    </row>
    <row r="244" spans="1:20" ht="15.75" thickBot="1" x14ac:dyDescent="0.3">
      <c r="A244" s="6" t="s">
        <v>751</v>
      </c>
      <c r="B244" s="4" t="s">
        <v>752</v>
      </c>
      <c r="C244" s="4" t="s">
        <v>753</v>
      </c>
      <c r="D244" s="4" t="s">
        <v>654</v>
      </c>
      <c r="E244" s="4" t="s">
        <v>2</v>
      </c>
      <c r="F244" s="15" t="s">
        <v>4597</v>
      </c>
      <c r="G244" s="15" t="s">
        <v>4598</v>
      </c>
      <c r="I244" t="str">
        <f t="shared" si="3"/>
        <v>UPDATE `katana`.`funeraria_contrato_individual` SET `latitud`='18.410.918', `longitud`='-93.178.399' WHERE  `idcontrato_individual`='MIG243';</v>
      </c>
      <c r="T244" t="str" cm="1">
        <f t="array" aca="1" ref="T244" ca="1">eConcatenar(B244:E244," , ")</f>
        <v>CALLE AUGUSTO HERNANDEZ OLIVE , VILLA PUERTO CEIBA , PARAISO , TABASCO ,</v>
      </c>
    </row>
    <row r="245" spans="1:20" ht="15.75" thickBot="1" x14ac:dyDescent="0.3">
      <c r="A245" s="6" t="s">
        <v>754</v>
      </c>
      <c r="B245" s="4" t="s">
        <v>755</v>
      </c>
      <c r="C245" s="4" t="s">
        <v>577</v>
      </c>
      <c r="D245" s="4" t="s">
        <v>654</v>
      </c>
      <c r="E245" s="4" t="s">
        <v>2</v>
      </c>
      <c r="F245" s="15" t="s">
        <v>4599</v>
      </c>
      <c r="G245" s="15" t="s">
        <v>4600</v>
      </c>
      <c r="I245" t="str">
        <f t="shared" si="3"/>
        <v>UPDATE `katana`.`funeraria_contrato_individual` SET `latitud`='183.865.856', `longitud`='-932.147.439' WHERE  `idcontrato_individual`='MIG244';</v>
      </c>
      <c r="T245" t="str" cm="1">
        <f t="array" aca="1" ref="T245" ca="1">eConcatenar(B245:E245," , ")</f>
        <v>CALLE JORGE ANDRES GARCIA FERNANDEZ , QUINTIN ARAUZ , PARAISO , TABASCO ,</v>
      </c>
    </row>
    <row r="246" spans="1:20" ht="15.75" thickBot="1" x14ac:dyDescent="0.3">
      <c r="A246" s="6" t="s">
        <v>756</v>
      </c>
      <c r="B246" s="4" t="s">
        <v>757</v>
      </c>
      <c r="C246" s="4" t="s">
        <v>698</v>
      </c>
      <c r="D246" s="4" t="s">
        <v>654</v>
      </c>
      <c r="E246" s="4" t="s">
        <v>2</v>
      </c>
      <c r="F246" s="15" t="s">
        <v>4569</v>
      </c>
      <c r="G246" s="15" t="s">
        <v>4570</v>
      </c>
      <c r="I246" t="str">
        <f t="shared" si="3"/>
        <v>UPDATE `katana`.`funeraria_contrato_individual` SET `latitud`='18.399.731', `longitud`='-9.322.003.199.999.990' WHERE  `idcontrato_individual`='MIG245';</v>
      </c>
      <c r="T246" t="str" cm="1">
        <f t="array" aca="1" ref="T246" ca="1">eConcatenar(B246:E246," , ")</f>
        <v>ENTRADA LA RINCORADA , LAS FLORES PRIMERA SECCION , PARAISO , TABASCO ,</v>
      </c>
    </row>
    <row r="247" spans="1:20" ht="15.75" thickBot="1" x14ac:dyDescent="0.3">
      <c r="A247" s="6" t="s">
        <v>758</v>
      </c>
      <c r="B247" s="4" t="s">
        <v>759</v>
      </c>
      <c r="C247" s="4" t="s">
        <v>661</v>
      </c>
      <c r="D247" s="4" t="s">
        <v>654</v>
      </c>
      <c r="E247" s="4" t="s">
        <v>2</v>
      </c>
      <c r="F247" s="15" t="s">
        <v>4551</v>
      </c>
      <c r="G247" s="15" t="s">
        <v>4552</v>
      </c>
      <c r="I247" t="str">
        <f t="shared" si="3"/>
        <v>UPDATE `katana`.`funeraria_contrato_individual` SET `latitud`='18.410.086', `longitud`='-932.240.645' WHERE  `idcontrato_individual`='MIG246';</v>
      </c>
      <c r="T247" t="str" cm="1">
        <f t="array" aca="1" ref="T247" ca="1">eConcatenar(B247:E247," , ")</f>
        <v>ENTRADA AL TEMPLO , EL ESCRIBANO , PARAISO , TABASCO ,</v>
      </c>
    </row>
    <row r="248" spans="1:20" ht="15.75" thickBot="1" x14ac:dyDescent="0.3">
      <c r="A248" s="6" t="s">
        <v>760</v>
      </c>
      <c r="B248" s="4" t="s">
        <v>762</v>
      </c>
      <c r="C248" s="4" t="s">
        <v>219</v>
      </c>
      <c r="D248" s="4" t="s">
        <v>654</v>
      </c>
      <c r="E248" s="4" t="s">
        <v>2</v>
      </c>
      <c r="F248" s="15" t="s">
        <v>4601</v>
      </c>
      <c r="G248" s="15" t="s">
        <v>4602</v>
      </c>
      <c r="I248" t="str">
        <f t="shared" si="3"/>
        <v>UPDATE `katana`.`funeraria_contrato_individual` SET `latitud`='184.090.616', `longitud`='-932.144.696' WHERE  `idcontrato_individual`='MIG247';</v>
      </c>
      <c r="T248" t="str" cm="1">
        <f t="array" aca="1" ref="T248" ca="1">eConcatenar(B248:E248," , ")</f>
        <v>CARRETERA A DOS BOCAS , EL LIMON , PARAISO , TABASCO ,</v>
      </c>
    </row>
    <row r="249" spans="1:20" ht="15.75" thickBot="1" x14ac:dyDescent="0.3">
      <c r="A249" s="6" t="s">
        <v>763</v>
      </c>
      <c r="B249" s="4" t="s">
        <v>746</v>
      </c>
      <c r="C249" s="4" t="s">
        <v>699</v>
      </c>
      <c r="D249" s="4" t="s">
        <v>654</v>
      </c>
      <c r="E249" s="4" t="s">
        <v>2</v>
      </c>
      <c r="F249" s="15" t="s">
        <v>4569</v>
      </c>
      <c r="G249" s="15" t="s">
        <v>4570</v>
      </c>
      <c r="I249" t="str">
        <f t="shared" si="3"/>
        <v>UPDATE `katana`.`funeraria_contrato_individual` SET `latitud`='18.399.731', `longitud`='-9.322.003.199.999.990' WHERE  `idcontrato_individual`='MIG248';</v>
      </c>
      <c r="T249" t="str" cm="1">
        <f t="array" aca="1" ref="T249" ca="1">eConcatenar(B249:E249," , ")</f>
        <v>ENTRADA LA RINCONADA , LAS FLORES PRIMERA SECCION  , PARAISO , TABASCO ,</v>
      </c>
    </row>
    <row r="250" spans="1:20" ht="15.75" thickBot="1" x14ac:dyDescent="0.3">
      <c r="A250" s="6" t="s">
        <v>765</v>
      </c>
      <c r="B250" s="4" t="s">
        <v>766</v>
      </c>
      <c r="C250" s="4" t="s">
        <v>40</v>
      </c>
      <c r="D250" s="4" t="s">
        <v>654</v>
      </c>
      <c r="E250" s="4" t="s">
        <v>2</v>
      </c>
      <c r="F250" s="15" t="s">
        <v>4603</v>
      </c>
      <c r="G250" s="15" t="s">
        <v>4604</v>
      </c>
      <c r="I250" t="str">
        <f t="shared" si="3"/>
        <v>UPDATE `katana`.`funeraria_contrato_individual` SET `latitud`='179.899.925', `longitud`='-9.337.519.069.999.990' WHERE  `idcontrato_individual`='MIG249';</v>
      </c>
      <c r="T250" t="str" cm="1">
        <f t="array" aca="1" ref="T250" ca="1">eConcatenar(B250:E250," , ")</f>
        <v>CALLE GALEANA NUMERO 306 , CENTRO , PARAISO , TABASCO ,</v>
      </c>
    </row>
    <row r="251" spans="1:20" ht="15.75" thickBot="1" x14ac:dyDescent="0.3">
      <c r="A251" s="6" t="s">
        <v>767</v>
      </c>
      <c r="B251" s="4" t="s">
        <v>766</v>
      </c>
      <c r="C251" s="4" t="s">
        <v>40</v>
      </c>
      <c r="D251" s="4" t="s">
        <v>654</v>
      </c>
      <c r="E251" s="4" t="s">
        <v>2</v>
      </c>
      <c r="F251" s="15" t="s">
        <v>4603</v>
      </c>
      <c r="G251" s="15" t="s">
        <v>4604</v>
      </c>
      <c r="I251" t="str">
        <f t="shared" si="3"/>
        <v>UPDATE `katana`.`funeraria_contrato_individual` SET `latitud`='179.899.925', `longitud`='-9.337.519.069.999.990' WHERE  `idcontrato_individual`='MIG250';</v>
      </c>
      <c r="T251" t="str" cm="1">
        <f t="array" aca="1" ref="T251" ca="1">eConcatenar(B251:E251," , ")</f>
        <v>CALLE GALEANA NUMERO 306 , CENTRO , PARAISO , TABASCO ,</v>
      </c>
    </row>
    <row r="252" spans="1:20" ht="15.75" thickBot="1" x14ac:dyDescent="0.3">
      <c r="A252" s="6" t="s">
        <v>768</v>
      </c>
      <c r="B252" s="4" t="s">
        <v>769</v>
      </c>
      <c r="C252" s="4" t="s">
        <v>699</v>
      </c>
      <c r="D252" s="4" t="s">
        <v>654</v>
      </c>
      <c r="E252" s="4" t="s">
        <v>2</v>
      </c>
      <c r="F252" s="15" t="s">
        <v>4569</v>
      </c>
      <c r="G252" s="15" t="s">
        <v>4570</v>
      </c>
      <c r="I252" t="str">
        <f t="shared" si="3"/>
        <v>UPDATE `katana`.`funeraria_contrato_individual` SET `latitud`='18.399.731', `longitud`='-9.322.003.199.999.990' WHERE  `idcontrato_individual`='MIG251';</v>
      </c>
      <c r="T252" t="str" cm="1">
        <f t="array" aca="1" ref="T252" ca="1">eConcatenar(B252:E252," , ")</f>
        <v>CARRETERA A LA BARRA SIN NUMERO , LAS FLORES PRIMERA SECCION  , PARAISO , TABASCO ,</v>
      </c>
    </row>
    <row r="253" spans="1:20" ht="15.75" thickBot="1" x14ac:dyDescent="0.3">
      <c r="A253" s="6" t="s">
        <v>770</v>
      </c>
      <c r="B253" s="4" t="s">
        <v>771</v>
      </c>
      <c r="C253" s="4" t="s">
        <v>772</v>
      </c>
      <c r="D253" s="4" t="s">
        <v>739</v>
      </c>
      <c r="E253" s="4" t="s">
        <v>2</v>
      </c>
      <c r="F253" s="15" t="s">
        <v>4591</v>
      </c>
      <c r="G253" s="15" t="s">
        <v>4592</v>
      </c>
      <c r="I253" t="str">
        <f t="shared" si="3"/>
        <v>UPDATE `katana`.`funeraria_contrato_individual` SET `latitud`='184.150.734', `longitud`='-929.948.065' WHERE  `idcontrato_individual`='MIG252';</v>
      </c>
      <c r="T253" t="str" cm="1">
        <f t="array" aca="1" ref="T253" ca="1">eConcatenar(B253:E253," , ")</f>
        <v>ENTRADA EL MORAL SIN NUMERO  , JALAPITA , CENTLA , TABASCO ,</v>
      </c>
    </row>
    <row r="254" spans="1:20" ht="15.75" thickBot="1" x14ac:dyDescent="0.3">
      <c r="A254" s="6" t="s">
        <v>774</v>
      </c>
      <c r="B254" s="4" t="s">
        <v>762</v>
      </c>
      <c r="C254" s="4" t="s">
        <v>219</v>
      </c>
      <c r="D254" s="4" t="s">
        <v>654</v>
      </c>
      <c r="E254" s="4" t="s">
        <v>2</v>
      </c>
      <c r="F254" s="15" t="s">
        <v>4601</v>
      </c>
      <c r="G254" s="15" t="s">
        <v>4602</v>
      </c>
      <c r="I254" t="str">
        <f t="shared" si="3"/>
        <v>UPDATE `katana`.`funeraria_contrato_individual` SET `latitud`='184.090.616', `longitud`='-932.144.696' WHERE  `idcontrato_individual`='MIG253';</v>
      </c>
      <c r="T254" t="str" cm="1">
        <f t="array" aca="1" ref="T254" ca="1">eConcatenar(B254:E254," , ")</f>
        <v>CARRETERA A DOS BOCAS , EL LIMON , PARAISO , TABASCO ,</v>
      </c>
    </row>
    <row r="255" spans="1:20" ht="15.75" thickBot="1" x14ac:dyDescent="0.3">
      <c r="A255" s="6" t="s">
        <v>775</v>
      </c>
      <c r="B255" s="4" t="s">
        <v>776</v>
      </c>
      <c r="C255" s="4" t="s">
        <v>40</v>
      </c>
      <c r="D255" s="4" t="s">
        <v>654</v>
      </c>
      <c r="E255" s="4" t="s">
        <v>2</v>
      </c>
      <c r="F255" s="15" t="s">
        <v>4605</v>
      </c>
      <c r="G255" s="15" t="s">
        <v>4606</v>
      </c>
      <c r="I255" t="str">
        <f t="shared" si="3"/>
        <v>UPDATE `katana`.`funeraria_contrato_individual` SET `latitud`='183.950.382', `longitud`='-932.188.601' WHERE  `idcontrato_individual`='MIG254';</v>
      </c>
      <c r="T255" t="str" cm="1">
        <f t="array" aca="1" ref="T255" ca="1">eConcatenar(B255:E255," , ")</f>
        <v>CALLE 2 DE ABRIL NUMERO 716 , CENTRO , PARAISO , TABASCO ,</v>
      </c>
    </row>
    <row r="256" spans="1:20" ht="15.75" thickBot="1" x14ac:dyDescent="0.3">
      <c r="A256" s="6" t="s">
        <v>777</v>
      </c>
      <c r="B256" s="4" t="s">
        <v>778</v>
      </c>
      <c r="C256" s="4" t="s">
        <v>40</v>
      </c>
      <c r="D256" s="4" t="s">
        <v>654</v>
      </c>
      <c r="E256" s="4" t="s">
        <v>2</v>
      </c>
      <c r="F256" s="15" t="s">
        <v>4607</v>
      </c>
      <c r="G256" s="15" t="s">
        <v>4608</v>
      </c>
      <c r="I256" t="str">
        <f t="shared" si="3"/>
        <v>UPDATE `katana`.`funeraria_contrato_individual` SET `latitud`='183.945.391', `longitud`='-932.167.626' WHERE  `idcontrato_individual`='MIG255';</v>
      </c>
      <c r="T256" t="str" cm="1">
        <f t="array" aca="1" ref="T256" ca="1">eConcatenar(B256:E256," , ")</f>
        <v>CALLE 2 DE ABRIL NUMERO 510 , CENTRO , PARAISO , TABASCO ,</v>
      </c>
    </row>
    <row r="257" spans="1:20" ht="15.75" thickBot="1" x14ac:dyDescent="0.3">
      <c r="A257" s="6" t="s">
        <v>779</v>
      </c>
      <c r="B257" s="4" t="s">
        <v>781</v>
      </c>
      <c r="C257" s="4" t="s">
        <v>782</v>
      </c>
      <c r="D257" s="4" t="s">
        <v>654</v>
      </c>
      <c r="E257" s="4" t="s">
        <v>2</v>
      </c>
      <c r="F257" s="15" t="s">
        <v>4609</v>
      </c>
      <c r="G257" s="15" t="s">
        <v>4610</v>
      </c>
      <c r="I257" t="str">
        <f t="shared" si="3"/>
        <v>UPDATE `katana`.`funeraria_contrato_individual` SET `latitud`='18.423.844', `longitud`='-9.310.800.669.999.990' WHERE  `idcontrato_individual`='MIG256';</v>
      </c>
      <c r="T257" t="str" cm="1">
        <f t="array" aca="1" ref="T257" ca="1">eConcatenar(B257:E257," , ")</f>
        <v>CALLE DEL PANTEON SIN NUMERO , CHILTEPEC SECCION BANCO  , PARAISO , TABASCO ,</v>
      </c>
    </row>
    <row r="258" spans="1:20" ht="15.75" thickBot="1" x14ac:dyDescent="0.3">
      <c r="A258" s="6" t="s">
        <v>784</v>
      </c>
      <c r="B258" s="4" t="s">
        <v>785</v>
      </c>
      <c r="C258" s="4" t="s">
        <v>786</v>
      </c>
      <c r="D258" s="4" t="s">
        <v>654</v>
      </c>
      <c r="E258" s="4" t="s">
        <v>2</v>
      </c>
      <c r="F258" s="15" t="s">
        <v>4611</v>
      </c>
      <c r="G258" s="15" t="s">
        <v>4612</v>
      </c>
      <c r="I258" t="str">
        <f t="shared" ref="I258:I321" si="4">CONCATENATE("UPDATE `katana`.`funeraria_contrato_individual` SET `latitud`='",F258,"', `longitud`='",G258,"' WHERE  `idcontrato_individual`='",A258,"';")</f>
        <v>UPDATE `katana`.`funeraria_contrato_individual` SET `latitud`='174.616.666', `longitud`='-916.016.666' WHERE  `idcontrato_individual`='MIG257';</v>
      </c>
      <c r="T258" t="str" cm="1">
        <f t="array" aca="1" ref="T258" ca="1">eConcatenar(B258:E258," , ")</f>
        <v>ENTRADA DE LA PISTA SIN NUMERO , PENJAMO , PARAISO , TABASCO ,</v>
      </c>
    </row>
    <row r="259" spans="1:20" ht="15.75" thickBot="1" x14ac:dyDescent="0.3">
      <c r="A259" s="6" t="s">
        <v>787</v>
      </c>
      <c r="B259" s="4" t="s">
        <v>788</v>
      </c>
      <c r="C259" s="4" t="s">
        <v>789</v>
      </c>
      <c r="D259" s="4" t="s">
        <v>654</v>
      </c>
      <c r="E259" s="4" t="s">
        <v>2</v>
      </c>
      <c r="F259" s="15" t="s">
        <v>4613</v>
      </c>
      <c r="G259" s="15" t="s">
        <v>4614</v>
      </c>
      <c r="I259" t="str">
        <f t="shared" si="4"/>
        <v>UPDATE `katana`.`funeraria_contrato_individual` SET `latitud`='184.327.435', `longitud`='-931.636.381' WHERE  `idcontrato_individual`='MIG258';</v>
      </c>
      <c r="T259" t="str" cm="1">
        <f t="array" aca="1" ref="T259" ca="1">eConcatenar(B259:E259," , ")</f>
        <v>AVENIDA DOS BOCAS MANZANA 8 LOTE 12 , NUEVO TORNO LARGO , PARAISO , TABASCO ,</v>
      </c>
    </row>
    <row r="260" spans="1:20" ht="15.75" thickBot="1" x14ac:dyDescent="0.3">
      <c r="A260" s="6" t="s">
        <v>790</v>
      </c>
      <c r="B260" s="4" t="s">
        <v>791</v>
      </c>
      <c r="C260" s="4" t="s">
        <v>789</v>
      </c>
      <c r="D260" s="4" t="s">
        <v>654</v>
      </c>
      <c r="E260" s="4" t="s">
        <v>2</v>
      </c>
      <c r="F260" s="15" t="s">
        <v>4615</v>
      </c>
      <c r="G260" s="15" t="s">
        <v>4616</v>
      </c>
      <c r="I260" t="str">
        <f t="shared" si="4"/>
        <v>UPDATE `katana`.`funeraria_contrato_individual` SET `latitud`='184.324.999', `longitud`='-931.633.333' WHERE  `idcontrato_individual`='MIG259';</v>
      </c>
      <c r="T260" t="str" cm="1">
        <f t="array" aca="1" ref="T260" ca="1">eConcatenar(B260:E260," , ")</f>
        <v>CALLE LA ALMEJA 3 , NUEVO TORNO LARGO , PARAISO , TABASCO ,</v>
      </c>
    </row>
    <row r="261" spans="1:20" ht="15.75" thickBot="1" x14ac:dyDescent="0.3">
      <c r="A261" s="6" t="s">
        <v>792</v>
      </c>
      <c r="B261" s="4" t="s">
        <v>793</v>
      </c>
      <c r="C261" s="4" t="s">
        <v>794</v>
      </c>
      <c r="D261" s="4" t="s">
        <v>654</v>
      </c>
      <c r="E261" s="4" t="s">
        <v>2</v>
      </c>
      <c r="F261" s="15" t="s">
        <v>4617</v>
      </c>
      <c r="G261" s="15" t="s">
        <v>4618</v>
      </c>
      <c r="I261" t="str">
        <f t="shared" si="4"/>
        <v>UPDATE `katana`.`funeraria_contrato_individual` SET `latitud`='18.405.578', `longitud`='-932.027.617' WHERE  `idcontrato_individual`='MIG260';</v>
      </c>
      <c r="T261" t="str" cm="1">
        <f t="array" aca="1" ref="T261" ca="1">eConcatenar(B261:E261," , ")</f>
        <v>PUERTO CEIBA CHILTEPEC , CARRETERA VENUSTIANO CARRANZA , PARAISO , TABASCO ,</v>
      </c>
    </row>
    <row r="262" spans="1:20" ht="15.75" thickBot="1" x14ac:dyDescent="0.3">
      <c r="A262" s="6" t="s">
        <v>795</v>
      </c>
      <c r="B262" s="4" t="s">
        <v>675</v>
      </c>
      <c r="C262" s="4" t="s">
        <v>786</v>
      </c>
      <c r="D262" s="4" t="s">
        <v>654</v>
      </c>
      <c r="E262" s="4" t="s">
        <v>2</v>
      </c>
      <c r="F262" s="15" t="s">
        <v>4559</v>
      </c>
      <c r="G262" s="15" t="s">
        <v>4560</v>
      </c>
      <c r="I262" t="str">
        <f t="shared" si="4"/>
        <v>UPDATE `katana`.`funeraria_contrato_individual` SET `latitud`='184.404.294', `longitud`='-9.309.565.339.999.990' WHERE  `idcontrato_individual`='MIG261';</v>
      </c>
      <c r="T262" t="str" cm="1">
        <f t="array" aca="1" ref="T262" ca="1">eConcatenar(B262:E262," , ")</f>
        <v>CARRETERA A LA DEPORTIVA , PENJAMO , PARAISO , TABASCO ,</v>
      </c>
    </row>
    <row r="263" spans="1:20" ht="15.75" thickBot="1" x14ac:dyDescent="0.3">
      <c r="A263" s="6" t="s">
        <v>796</v>
      </c>
      <c r="B263" s="4" t="s">
        <v>797</v>
      </c>
      <c r="C263" s="4" t="s">
        <v>673</v>
      </c>
      <c r="D263" s="4" t="s">
        <v>654</v>
      </c>
      <c r="E263" s="4" t="s">
        <v>2</v>
      </c>
      <c r="F263" s="15" t="s">
        <v>4619</v>
      </c>
      <c r="G263" s="15" t="s">
        <v>4620</v>
      </c>
      <c r="I263" t="str">
        <f t="shared" si="4"/>
        <v>UPDATE `katana`.`funeraria_contrato_individual` SET `latitud`='184.096.955', `longitud`='-932.075.723' WHERE  `idcontrato_individual`='MIG262';</v>
      </c>
      <c r="T263" t="str" cm="1">
        <f t="array" aca="1" ref="T263" ca="1">eConcatenar(B263:E263," , ")</f>
        <v>PRIMERA CERRADA DE MELCHOR OCAMPO SIN NUMERO , EL LIMONCITO , PARAISO , TABASCO ,</v>
      </c>
    </row>
    <row r="264" spans="1:20" ht="15.75" thickBot="1" x14ac:dyDescent="0.3">
      <c r="A264" s="6" t="s">
        <v>798</v>
      </c>
      <c r="B264" s="4" t="s">
        <v>799</v>
      </c>
      <c r="C264" s="4" t="s">
        <v>753</v>
      </c>
      <c r="D264" s="4" t="s">
        <v>654</v>
      </c>
      <c r="E264" s="4" t="s">
        <v>2</v>
      </c>
      <c r="F264" s="15" t="s">
        <v>4621</v>
      </c>
      <c r="G264" s="15" t="s">
        <v>4622</v>
      </c>
      <c r="I264" t="str">
        <f t="shared" si="4"/>
        <v>UPDATE `katana`.`funeraria_contrato_individual` SET `latitud`='184.086.547', `longitud`='-931.799.362' WHERE  `idcontrato_individual`='MIG263';</v>
      </c>
      <c r="T264" t="str" cm="1">
        <f t="array" aca="1" ref="T264" ca="1">eConcatenar(B264:E264," , ")</f>
        <v>CALLE LOS PESCADORES , VILLA PUERTO CEIBA , PARAISO , TABASCO ,</v>
      </c>
    </row>
    <row r="265" spans="1:20" ht="15.75" thickBot="1" x14ac:dyDescent="0.3">
      <c r="A265" s="6" t="s">
        <v>800</v>
      </c>
      <c r="B265" s="4" t="s">
        <v>801</v>
      </c>
      <c r="C265" s="4" t="s">
        <v>802</v>
      </c>
      <c r="D265" s="4" t="s">
        <v>654</v>
      </c>
      <c r="E265" s="4" t="s">
        <v>2</v>
      </c>
      <c r="F265" s="15" t="s">
        <v>4623</v>
      </c>
      <c r="G265" s="15" t="s">
        <v>4624</v>
      </c>
      <c r="I265" t="str">
        <f t="shared" si="4"/>
        <v>UPDATE `katana`.`funeraria_contrato_individual` SET `latitud`='184.271.918', `longitud`='-93.096.031' WHERE  `idcontrato_individual`='MIG264';</v>
      </c>
      <c r="T265" t="str" cm="1">
        <f t="array" aca="1" ref="T265" ca="1">eConcatenar(B265:E265," , ")</f>
        <v>CARRETERA A JALAPITA SIN NUMERO , CHILTEPEC SECCION TANQUE , PARAISO , TABASCO ,</v>
      </c>
    </row>
    <row r="266" spans="1:20" ht="15.75" thickBot="1" x14ac:dyDescent="0.3">
      <c r="A266" s="6" t="s">
        <v>803</v>
      </c>
      <c r="B266" s="4" t="s">
        <v>804</v>
      </c>
      <c r="C266" s="4" t="s">
        <v>577</v>
      </c>
      <c r="D266" s="4" t="s">
        <v>654</v>
      </c>
      <c r="E266" s="4" t="s">
        <v>2</v>
      </c>
      <c r="F266" s="15" t="s">
        <v>4625</v>
      </c>
      <c r="G266" s="15" t="s">
        <v>4626</v>
      </c>
      <c r="I266" t="str">
        <f t="shared" si="4"/>
        <v>UPDATE `katana`.`funeraria_contrato_individual` SET `latitud`='183.824.308', `longitud`='-9.321.963.240.000.000' WHERE  `idcontrato_individual`='MIG265';</v>
      </c>
      <c r="T266" t="str" cm="1">
        <f t="array" aca="1" ref="T266" ca="1">eConcatenar(B266:E266," , ")</f>
        <v>CALLE LOS SAMANES , QUINTIN ARAUZ , PARAISO , TABASCO ,</v>
      </c>
    </row>
    <row r="267" spans="1:20" ht="15.75" thickBot="1" x14ac:dyDescent="0.3">
      <c r="A267" s="6" t="s">
        <v>805</v>
      </c>
      <c r="B267" s="4" t="s">
        <v>806</v>
      </c>
      <c r="C267" s="4" t="s">
        <v>807</v>
      </c>
      <c r="D267" s="4" t="s">
        <v>654</v>
      </c>
      <c r="E267" s="4" t="s">
        <v>2</v>
      </c>
      <c r="F267" s="15" t="s">
        <v>4627</v>
      </c>
      <c r="G267" s="15" t="s">
        <v>4628</v>
      </c>
      <c r="I267" t="str">
        <f t="shared" si="4"/>
        <v>UPDATE `katana`.`funeraria_contrato_individual` SET `latitud`='183.887.883', `longitud`='-932.109.935' WHERE  `idcontrato_individual`='MIG266';</v>
      </c>
      <c r="T267" t="str" cm="1">
        <f t="array" aca="1" ref="T267" ca="1">eConcatenar(B267:E267," , ")</f>
        <v>CALLE HERNANDEZ MAGAÑA NUMERO 83 , FRACCIONAMIENTO CARLOS A MADRAZO BECERRA  , PARAISO , TABASCO ,</v>
      </c>
    </row>
    <row r="268" spans="1:20" ht="15.75" thickBot="1" x14ac:dyDescent="0.3">
      <c r="A268" s="10" t="s">
        <v>809</v>
      </c>
      <c r="B268" s="11" t="s">
        <v>810</v>
      </c>
      <c r="C268" s="11" t="s">
        <v>18</v>
      </c>
      <c r="D268" s="11" t="s">
        <v>722</v>
      </c>
      <c r="E268" s="11" t="s">
        <v>2</v>
      </c>
      <c r="F268" s="15" t="s">
        <v>4629</v>
      </c>
      <c r="G268" s="15" t="s">
        <v>4630</v>
      </c>
      <c r="I268" t="str">
        <f t="shared" si="4"/>
        <v>UPDATE `katana`.`funeraria_contrato_individual` SET `latitud`='182.481.971', `longitud`='-9.322.348.679.999.990' WHERE  `idcontrato_individual`='MIG267';</v>
      </c>
      <c r="T268" t="str" cm="1">
        <f t="array" aca="1" ref="T268" ca="1">eConcatenar(B268:E268," , ")</f>
        <v>GUAYO 3RA SECCION , LAZARO CARDENAS , COMALCALCO , TABASCO ,</v>
      </c>
    </row>
    <row r="269" spans="1:20" ht="15.75" thickBot="1" x14ac:dyDescent="0.3">
      <c r="A269" s="10" t="s">
        <v>811</v>
      </c>
      <c r="B269" s="11" t="s">
        <v>813</v>
      </c>
      <c r="C269" s="11" t="s">
        <v>814</v>
      </c>
      <c r="D269" s="11" t="s">
        <v>722</v>
      </c>
      <c r="E269" s="11" t="s">
        <v>2</v>
      </c>
      <c r="F269" s="15" t="s">
        <v>4631</v>
      </c>
      <c r="G269" s="15" t="s">
        <v>4632</v>
      </c>
      <c r="I269" t="str">
        <f t="shared" si="4"/>
        <v>UPDATE `katana`.`funeraria_contrato_individual` SET `latitud`='182.568.587', `longitud`='-932.704.814' WHERE  `idcontrato_individual`='MIG268';</v>
      </c>
      <c r="T269" t="str" cm="1">
        <f t="array" aca="1" ref="T269" ca="1">eConcatenar(B269:E269," , ")</f>
        <v>REYES HERNANDEZ SEGUNDA SECCION , TECOLUTILLA , COMALCALCO , TABASCO ,</v>
      </c>
    </row>
    <row r="270" spans="1:20" ht="15.75" thickBot="1" x14ac:dyDescent="0.3">
      <c r="A270" s="10" t="s">
        <v>816</v>
      </c>
      <c r="B270" s="11" t="s">
        <v>818</v>
      </c>
      <c r="C270" s="11" t="s">
        <v>819</v>
      </c>
      <c r="D270" s="11" t="s">
        <v>722</v>
      </c>
      <c r="E270" s="11" t="s">
        <v>2</v>
      </c>
      <c r="F270" s="15" t="s">
        <v>4633</v>
      </c>
      <c r="G270" s="15" t="s">
        <v>4634</v>
      </c>
      <c r="I270" t="str">
        <f t="shared" si="4"/>
        <v>UPDATE `katana`.`funeraria_contrato_individual` SET `latitud`='182.781.516', `longitud`='-932.185.449' WHERE  `idcontrato_individual`='MIG269';</v>
      </c>
      <c r="T270" t="str" cm="1">
        <f t="array" aca="1" ref="T270" ca="1">eConcatenar(B270:E270," , ")</f>
        <v>VILLA ALDAMA , MOLEROS SIN NUMERO , COMALCALCO , TABASCO ,</v>
      </c>
    </row>
    <row r="271" spans="1:20" ht="15.75" thickBot="1" x14ac:dyDescent="0.3">
      <c r="A271" s="10" t="s">
        <v>820</v>
      </c>
      <c r="B271" s="11" t="s">
        <v>821</v>
      </c>
      <c r="C271" s="11" t="s">
        <v>822</v>
      </c>
      <c r="D271" s="11" t="s">
        <v>722</v>
      </c>
      <c r="E271" s="11" t="s">
        <v>2</v>
      </c>
      <c r="F271" s="15" t="s">
        <v>4635</v>
      </c>
      <c r="G271" s="15" t="s">
        <v>4636</v>
      </c>
      <c r="I271" t="str">
        <f t="shared" si="4"/>
        <v>UPDATE `katana`.`funeraria_contrato_individual` SET `latitud`='182.557.383', `longitud`='-932.282.937' WHERE  `idcontrato_individual`='MIG270';</v>
      </c>
      <c r="T271" t="str" cm="1">
        <f t="array" aca="1" ref="T271" ca="1">eConcatenar(B271:E271," , ")</f>
        <v>GUAYO PRIMERA SECCION , SAN JOSE COLONIAL , COMALCALCO , TABASCO ,</v>
      </c>
    </row>
    <row r="272" spans="1:20" ht="15.75" thickBot="1" x14ac:dyDescent="0.3">
      <c r="A272" s="10" t="s">
        <v>823</v>
      </c>
      <c r="B272" s="11" t="s">
        <v>824</v>
      </c>
      <c r="C272" s="11" t="s">
        <v>18</v>
      </c>
      <c r="D272" s="11" t="s">
        <v>722</v>
      </c>
      <c r="E272" s="11" t="s">
        <v>2</v>
      </c>
      <c r="F272" s="15" t="s">
        <v>4629</v>
      </c>
      <c r="G272" s="15" t="s">
        <v>4630</v>
      </c>
      <c r="I272" t="str">
        <f t="shared" si="4"/>
        <v>UPDATE `katana`.`funeraria_contrato_individual` SET `latitud`='182.481.971', `longitud`='-9.322.348.679.999.990' WHERE  `idcontrato_individual`='MIG271';</v>
      </c>
      <c r="T272" t="str" cm="1">
        <f t="array" aca="1" ref="T272" ca="1">eConcatenar(B272:E272," , ")</f>
        <v>LAZARO CARDENAS TERCERA  , LAZARO CARDENAS , COMALCALCO , TABASCO ,</v>
      </c>
    </row>
    <row r="273" spans="1:20" ht="15.75" thickBot="1" x14ac:dyDescent="0.3">
      <c r="A273" s="10" t="s">
        <v>825</v>
      </c>
      <c r="B273" s="11" t="s">
        <v>818</v>
      </c>
      <c r="C273" s="11" t="s">
        <v>827</v>
      </c>
      <c r="D273" s="11" t="s">
        <v>722</v>
      </c>
      <c r="E273" s="11" t="s">
        <v>2</v>
      </c>
      <c r="F273" s="15" t="s">
        <v>4637</v>
      </c>
      <c r="G273" s="15" t="s">
        <v>4638</v>
      </c>
      <c r="I273" t="str">
        <f t="shared" si="4"/>
        <v>UPDATE `katana`.`funeraria_contrato_individual` SET `latitud`='182.655.423', `longitud`='-932.269.419' WHERE  `idcontrato_individual`='MIG272';</v>
      </c>
      <c r="T273" t="str" cm="1">
        <f t="array" aca="1" ref="T273" ca="1">eConcatenar(B273:E273," , ")</f>
        <v>VILLA ALDAMA , NICOLAS BRAVO , COMALCALCO , TABASCO ,</v>
      </c>
    </row>
    <row r="274" spans="1:20" ht="15.75" thickBot="1" x14ac:dyDescent="0.3">
      <c r="A274" s="10" t="s">
        <v>829</v>
      </c>
      <c r="B274" s="11" t="s">
        <v>830</v>
      </c>
      <c r="C274" s="11" t="s">
        <v>831</v>
      </c>
      <c r="D274" s="11" t="s">
        <v>722</v>
      </c>
      <c r="E274" s="11" t="s">
        <v>2</v>
      </c>
      <c r="F274" s="15" t="s">
        <v>4639</v>
      </c>
      <c r="G274" s="15" t="s">
        <v>4640</v>
      </c>
      <c r="I274" t="str">
        <f t="shared" si="4"/>
        <v>UPDATE `katana`.`funeraria_contrato_individual` SET `latitud`='182.863.866', `longitud`='-9.335.257.290.000.000' WHERE  `idcontrato_individual`='MIG273';</v>
      </c>
      <c r="T274" t="str" cm="1">
        <f t="array" aca="1" ref="T274" ca="1">eConcatenar(B274:E274," , ")</f>
        <v>TUPILQUILLO , A MADERO SIN NUMERO , COMALCALCO , TABASCO ,</v>
      </c>
    </row>
    <row r="275" spans="1:20" ht="15.75" thickBot="1" x14ac:dyDescent="0.3">
      <c r="A275" s="10" t="s">
        <v>832</v>
      </c>
      <c r="B275" s="11" t="s">
        <v>833</v>
      </c>
      <c r="C275" s="11" t="s">
        <v>834</v>
      </c>
      <c r="D275" s="11" t="s">
        <v>722</v>
      </c>
      <c r="E275" s="11" t="s">
        <v>2</v>
      </c>
      <c r="F275" s="15" t="s">
        <v>4641</v>
      </c>
      <c r="G275" s="15" t="s">
        <v>4642</v>
      </c>
      <c r="I275" t="str">
        <f t="shared" si="4"/>
        <v>UPDATE `katana`.`funeraria_contrato_individual` SET `latitud`='173.866.672', `longitud`='-926.994.094' WHERE  `idcontrato_individual`='MIG274';</v>
      </c>
      <c r="T275" t="str" cm="1">
        <f t="array" aca="1" ref="T275" ca="1">eConcatenar(B275:E275," , ")</f>
        <v>PRINCIPAL SIN NUMERO , FRANCISCO Y MADERO SEGUNDA SECC , COMALCALCO , TABASCO ,</v>
      </c>
    </row>
    <row r="276" spans="1:20" ht="15.75" thickBot="1" x14ac:dyDescent="0.3">
      <c r="A276" s="10" t="s">
        <v>835</v>
      </c>
      <c r="B276" s="11" t="s">
        <v>818</v>
      </c>
      <c r="C276" s="11" t="s">
        <v>837</v>
      </c>
      <c r="D276" s="11" t="s">
        <v>836</v>
      </c>
      <c r="E276" s="11" t="s">
        <v>2</v>
      </c>
      <c r="F276" s="15" t="s">
        <v>4643</v>
      </c>
      <c r="G276" s="15" t="s">
        <v>4644</v>
      </c>
      <c r="I276" t="str">
        <f t="shared" si="4"/>
        <v>UPDATE `katana`.`funeraria_contrato_individual` SET `latitud`='180.721.174', `longitud`='-931.712.534' WHERE  `idcontrato_individual`='MIG275';</v>
      </c>
      <c r="T276" t="str" cm="1">
        <f t="array" aca="1" ref="T276" ca="1">eConcatenar(B276:E276," , ")</f>
        <v>VILLA ALDAMA , REFORMA , CUNDUACAN , TABASCO ,</v>
      </c>
    </row>
    <row r="277" spans="1:20" ht="15.75" thickBot="1" x14ac:dyDescent="0.3">
      <c r="A277" s="10" t="s">
        <v>838</v>
      </c>
      <c r="B277" s="11" t="s">
        <v>841</v>
      </c>
      <c r="C277" s="11" t="s">
        <v>842</v>
      </c>
      <c r="D277" s="11" t="s">
        <v>722</v>
      </c>
      <c r="E277" s="11" t="s">
        <v>2</v>
      </c>
      <c r="F277" s="15" t="s">
        <v>4645</v>
      </c>
      <c r="G277" s="15" t="s">
        <v>4646</v>
      </c>
      <c r="I277" t="str">
        <f t="shared" si="4"/>
        <v>UPDATE `katana`.`funeraria_contrato_individual` SET `latitud`='182.296.934', `longitud`='-9.345.255.890.000.000' WHERE  `idcontrato_individual`='MIG276';</v>
      </c>
      <c r="T277" t="str" cm="1">
        <f t="array" aca="1" ref="T277" ca="1">eConcatenar(B277:E277," , ")</f>
        <v>CARLOS GREENE CUARTA SECCION , ARENA TERCERA SECCION , COMALCALCO , TABASCO ,</v>
      </c>
    </row>
    <row r="278" spans="1:20" ht="15.75" thickBot="1" x14ac:dyDescent="0.3">
      <c r="A278" s="10" t="s">
        <v>843</v>
      </c>
      <c r="B278" s="11" t="s">
        <v>841</v>
      </c>
      <c r="C278" s="11" t="s">
        <v>844</v>
      </c>
      <c r="D278" s="11" t="s">
        <v>722</v>
      </c>
      <c r="E278" s="11" t="s">
        <v>2</v>
      </c>
      <c r="F278" s="15" t="s">
        <v>4647</v>
      </c>
      <c r="G278" s="15" t="s">
        <v>4648</v>
      </c>
      <c r="I278" t="str">
        <f t="shared" si="4"/>
        <v>UPDATE `katana`.`funeraria_contrato_individual` SET `latitud`='182.452.732', `longitud`='-934.125.164' WHERE  `idcontrato_individual`='MIG277';</v>
      </c>
      <c r="T278" t="str" cm="1">
        <f t="array" aca="1" ref="T278" ca="1">eConcatenar(B278:E278," , ")</f>
        <v>CARLOS GREENE CUARTA SECCION , ARROYO HONDO CUARTA SIN NUMERO , COMALCALCO , TABASCO ,</v>
      </c>
    </row>
    <row r="279" spans="1:20" ht="15.75" thickBot="1" x14ac:dyDescent="0.3">
      <c r="A279" s="10" t="s">
        <v>845</v>
      </c>
      <c r="B279" s="11" t="s">
        <v>846</v>
      </c>
      <c r="C279" s="11" t="s">
        <v>847</v>
      </c>
      <c r="D279" s="11" t="s">
        <v>722</v>
      </c>
      <c r="E279" s="11" t="s">
        <v>2</v>
      </c>
      <c r="F279" s="15" t="s">
        <v>4649</v>
      </c>
      <c r="G279" s="15" t="s">
        <v>4650</v>
      </c>
      <c r="I279" t="str">
        <f t="shared" si="4"/>
        <v>UPDATE `katana`.`funeraria_contrato_individual` SET `latitud`='182.779.555', `longitud`='-932.182.122' WHERE  `idcontrato_individual`='MIG278';</v>
      </c>
      <c r="T279" t="str" cm="1">
        <f t="array" aca="1" ref="T279" ca="1">eConcatenar(B279:E279," , ")</f>
        <v>LEON ZARATE PRIMERA , VILLA ALDEMA , COMALCALCO , TABASCO ,</v>
      </c>
    </row>
    <row r="280" spans="1:20" ht="15.75" thickBot="1" x14ac:dyDescent="0.3">
      <c r="A280" s="10" t="s">
        <v>848</v>
      </c>
      <c r="B280" s="11" t="s">
        <v>849</v>
      </c>
      <c r="C280" s="11" t="s">
        <v>850</v>
      </c>
      <c r="D280" s="11" t="s">
        <v>722</v>
      </c>
      <c r="E280" s="11" t="s">
        <v>2</v>
      </c>
      <c r="F280" s="15" t="s">
        <v>4651</v>
      </c>
      <c r="G280" s="15" t="s">
        <v>4652</v>
      </c>
      <c r="I280" t="str">
        <f t="shared" si="4"/>
        <v>UPDATE `katana`.`funeraria_contrato_individual` SET `latitud`='181.995.311', `longitud`='-932.923.544' WHERE  `idcontrato_individual`='MIG279';</v>
      </c>
      <c r="T280" t="str" cm="1">
        <f t="array" aca="1" ref="T280" ca="1">eConcatenar(B280:E280," , ")</f>
        <v>SARGENTO LOPEZ PRIMERA SECCION , A LA LUCHA , COMALCALCO , TABASCO ,</v>
      </c>
    </row>
    <row r="281" spans="1:20" ht="15.75" thickBot="1" x14ac:dyDescent="0.3">
      <c r="A281" s="10" t="s">
        <v>851</v>
      </c>
      <c r="B281" s="11" t="s">
        <v>849</v>
      </c>
      <c r="C281" s="11" t="s">
        <v>850</v>
      </c>
      <c r="D281" s="11" t="s">
        <v>722</v>
      </c>
      <c r="E281" s="11" t="s">
        <v>2</v>
      </c>
      <c r="F281" s="15" t="s">
        <v>4651</v>
      </c>
      <c r="G281" s="15" t="s">
        <v>4652</v>
      </c>
      <c r="I281" t="str">
        <f t="shared" si="4"/>
        <v>UPDATE `katana`.`funeraria_contrato_individual` SET `latitud`='181.995.311', `longitud`='-932.923.544' WHERE  `idcontrato_individual`='MIG280';</v>
      </c>
      <c r="T281" t="str" cm="1">
        <f t="array" aca="1" ref="T281" ca="1">eConcatenar(B281:E281," , ")</f>
        <v>SARGENTO LOPEZ PRIMERA SECCION , A LA LUCHA , COMALCALCO , TABASCO ,</v>
      </c>
    </row>
    <row r="282" spans="1:20" ht="15.75" thickBot="1" x14ac:dyDescent="0.3">
      <c r="A282" s="10" t="s">
        <v>852</v>
      </c>
      <c r="B282" s="11" t="s">
        <v>830</v>
      </c>
      <c r="C282" s="11" t="s">
        <v>834</v>
      </c>
      <c r="D282" s="11" t="s">
        <v>722</v>
      </c>
      <c r="E282" s="11" t="s">
        <v>2</v>
      </c>
      <c r="F282" s="15" t="s">
        <v>4653</v>
      </c>
      <c r="G282" s="15" t="s">
        <v>4654</v>
      </c>
      <c r="I282" t="str">
        <f t="shared" si="4"/>
        <v>UPDATE `katana`.`funeraria_contrato_individual` SET `latitud`='182.611.461', `longitud`='-932.217.242' WHERE  `idcontrato_individual`='MIG281';</v>
      </c>
      <c r="T282" t="str" cm="1">
        <f t="array" aca="1" ref="T282" ca="1">eConcatenar(B282:E282," , ")</f>
        <v>TUPILQUILLO , FRANCISCO Y MADERO SEGUNDA SECC , COMALCALCO , TABASCO ,</v>
      </c>
    </row>
    <row r="283" spans="1:20" ht="15.75" thickBot="1" x14ac:dyDescent="0.3">
      <c r="A283" s="10" t="s">
        <v>854</v>
      </c>
      <c r="B283" s="11" t="s">
        <v>856</v>
      </c>
      <c r="C283" s="11" t="s">
        <v>857</v>
      </c>
      <c r="D283" s="11" t="s">
        <v>722</v>
      </c>
      <c r="E283" s="11" t="s">
        <v>2</v>
      </c>
      <c r="F283" s="15" t="s">
        <v>4655</v>
      </c>
      <c r="G283" s="15" t="s">
        <v>4656</v>
      </c>
      <c r="I283" t="str">
        <f t="shared" si="4"/>
        <v>UPDATE `katana`.`funeraria_contrato_individual` SET `latitud`='182.119.042', `longitud`='-932.590.214' WHERE  `idcontrato_individual`='MIG282';</v>
      </c>
      <c r="T283" t="str" cm="1">
        <f t="array" aca="1" ref="T283" ca="1">eConcatenar(B283:E283," , ")</f>
        <v>SARGENTO LOPEZ TERCERA , SAN JORGE , COMALCALCO , TABASCO ,</v>
      </c>
    </row>
    <row r="284" spans="1:20" ht="15.75" thickBot="1" x14ac:dyDescent="0.3">
      <c r="A284" s="10" t="s">
        <v>858</v>
      </c>
      <c r="B284" s="11" t="s">
        <v>846</v>
      </c>
      <c r="C284" s="11" t="s">
        <v>847</v>
      </c>
      <c r="D284" s="11" t="s">
        <v>722</v>
      </c>
      <c r="E284" s="11" t="s">
        <v>2</v>
      </c>
      <c r="F284" s="15" t="s">
        <v>4649</v>
      </c>
      <c r="G284" s="15" t="s">
        <v>4650</v>
      </c>
      <c r="I284" t="str">
        <f t="shared" si="4"/>
        <v>UPDATE `katana`.`funeraria_contrato_individual` SET `latitud`='182.779.555', `longitud`='-932.182.122' WHERE  `idcontrato_individual`='MIG283';</v>
      </c>
      <c r="T284" t="str" cm="1">
        <f t="array" aca="1" ref="T284" ca="1">eConcatenar(B284:E284," , ")</f>
        <v>LEON ZARATE PRIMERA , VILLA ALDEMA , COMALCALCO , TABASCO ,</v>
      </c>
    </row>
    <row r="285" spans="1:20" ht="15.75" thickBot="1" x14ac:dyDescent="0.3">
      <c r="A285" s="10" t="s">
        <v>859</v>
      </c>
      <c r="B285" s="11" t="s">
        <v>860</v>
      </c>
      <c r="C285" s="11" t="s">
        <v>861</v>
      </c>
      <c r="D285" s="11" t="s">
        <v>722</v>
      </c>
      <c r="E285" s="11" t="s">
        <v>2</v>
      </c>
      <c r="F285" s="15" t="s">
        <v>4657</v>
      </c>
      <c r="G285" s="15" t="s">
        <v>4658</v>
      </c>
      <c r="I285" t="str">
        <f t="shared" si="4"/>
        <v>UPDATE `katana`.`funeraria_contrato_individual` SET `latitud`='180.401.123', `longitud`='-933.674.695' WHERE  `idcontrato_individual`='MIG284';</v>
      </c>
      <c r="T285" t="str" cm="1">
        <f t="array" aca="1" ref="T285" ca="1">eConcatenar(B285:E285," , ")</f>
        <v>MIGUEL HIDALGO , EL CARMEN , COMALCALCO , TABASCO ,</v>
      </c>
    </row>
    <row r="286" spans="1:20" ht="15.75" thickBot="1" x14ac:dyDescent="0.3">
      <c r="A286" s="10" t="s">
        <v>862</v>
      </c>
      <c r="B286" s="11" t="s">
        <v>863</v>
      </c>
      <c r="C286" s="11" t="s">
        <v>864</v>
      </c>
      <c r="D286" s="11" t="s">
        <v>654</v>
      </c>
      <c r="E286" s="11" t="s">
        <v>2</v>
      </c>
      <c r="F286" s="15" t="s">
        <v>4659</v>
      </c>
      <c r="G286" s="15" t="s">
        <v>4660</v>
      </c>
      <c r="I286" t="str">
        <f t="shared" si="4"/>
        <v>UPDATE `katana`.`funeraria_contrato_individual` SET `latitud`='184.013.148', `longitud`='-932.097.872' WHERE  `idcontrato_individual`='MIG285';</v>
      </c>
      <c r="T286" t="str" cm="1">
        <f t="array" aca="1" ref="T286" ca="1">eConcatenar(B286:E286," , ")</f>
        <v>LA RINCONADA , ALA UNION , PARAISO , TABASCO ,</v>
      </c>
    </row>
    <row r="287" spans="1:20" ht="15.75" thickBot="1" x14ac:dyDescent="0.3">
      <c r="A287" s="10" t="s">
        <v>865</v>
      </c>
      <c r="B287" s="11" t="s">
        <v>40</v>
      </c>
      <c r="C287" s="11" t="s">
        <v>866</v>
      </c>
      <c r="D287" s="11" t="s">
        <v>654</v>
      </c>
      <c r="E287" s="11" t="s">
        <v>2</v>
      </c>
      <c r="F287" s="15" t="s">
        <v>4661</v>
      </c>
      <c r="G287" s="15" t="s">
        <v>4662</v>
      </c>
      <c r="I287" t="str">
        <f t="shared" si="4"/>
        <v>UPDATE `katana`.`funeraria_contrato_individual` SET `latitud`='184.001.187', `longitud`='-932.130.033' WHERE  `idcontrato_individual`='MIG286';</v>
      </c>
      <c r="T287" t="str" cm="1">
        <f t="array" aca="1" ref="T287" ca="1">eConcatenar(B287:E287," , ")</f>
        <v>CENTRO , GREGORIO MENDEZ , PARAISO , TABASCO ,</v>
      </c>
    </row>
    <row r="288" spans="1:20" ht="15.75" thickBot="1" x14ac:dyDescent="0.3">
      <c r="A288" s="10" t="s">
        <v>867</v>
      </c>
      <c r="B288" s="11" t="s">
        <v>868</v>
      </c>
      <c r="C288" s="11" t="s">
        <v>4</v>
      </c>
      <c r="D288" s="11" t="s">
        <v>654</v>
      </c>
      <c r="E288" s="11" t="s">
        <v>2</v>
      </c>
      <c r="F288" s="15" t="s">
        <v>4663</v>
      </c>
      <c r="G288" s="15" t="s">
        <v>4664</v>
      </c>
      <c r="I288" t="str">
        <f t="shared" si="4"/>
        <v>UPDATE `katana`.`funeraria_contrato_individual` SET `latitud`='184.272.222', `longitud`='-931.130.555' WHERE  `idcontrato_individual`='MIG287';</v>
      </c>
      <c r="T288" t="str" cm="1">
        <f t="array" aca="1" ref="T288" ca="1">eConcatenar(B288:E288," , ")</f>
        <v>CHILTEPEC SIN NUMERO , X , PARAISO , TABASCO ,</v>
      </c>
    </row>
    <row r="289" spans="1:20" ht="15.75" thickBot="1" x14ac:dyDescent="0.3">
      <c r="A289" s="10" t="s">
        <v>870</v>
      </c>
      <c r="B289" s="11" t="s">
        <v>219</v>
      </c>
      <c r="C289" s="11" t="s">
        <v>871</v>
      </c>
      <c r="D289" s="11" t="s">
        <v>654</v>
      </c>
      <c r="E289" s="11" t="s">
        <v>2</v>
      </c>
      <c r="F289" s="15" t="s">
        <v>4601</v>
      </c>
      <c r="G289" s="15" t="s">
        <v>4602</v>
      </c>
      <c r="I289" t="str">
        <f t="shared" si="4"/>
        <v>UPDATE `katana`.`funeraria_contrato_individual` SET `latitud`='184.090.616', `longitud`='-932.144.696' WHERE  `idcontrato_individual`='MIG288';</v>
      </c>
      <c r="T289" t="str" cm="1">
        <f t="array" aca="1" ref="T289" ca="1">eConcatenar(B289:E289," , ")</f>
        <v>EL LIMON , DOS BOCAS , PARAISO , TABASCO ,</v>
      </c>
    </row>
    <row r="290" spans="1:20" ht="15.75" thickBot="1" x14ac:dyDescent="0.3">
      <c r="A290" s="10" t="s">
        <v>872</v>
      </c>
      <c r="B290" s="11" t="s">
        <v>753</v>
      </c>
      <c r="C290" s="11" t="s">
        <v>873</v>
      </c>
      <c r="D290" s="11" t="s">
        <v>654</v>
      </c>
      <c r="E290" s="11" t="s">
        <v>2</v>
      </c>
      <c r="F290" s="15" t="s">
        <v>4665</v>
      </c>
      <c r="G290" s="15" t="s">
        <v>4666</v>
      </c>
      <c r="I290" t="str">
        <f t="shared" si="4"/>
        <v>UPDATE `katana`.`funeraria_contrato_individual` SET `latitud`='179.973.759', `longitud`='-9.293.886.119.999.990' WHERE  `idcontrato_individual`='MIG289';</v>
      </c>
      <c r="T290" t="str" cm="1">
        <f t="array" aca="1" ref="T290" ca="1">eConcatenar(B290:E290," , ")</f>
        <v>VILLA PUERTO CEIBA , TOMAS GARRIDO CANABAL SIN NUMERO , PARAISO , TABASCO ,</v>
      </c>
    </row>
    <row r="291" spans="1:20" ht="15.75" thickBot="1" x14ac:dyDescent="0.3">
      <c r="A291" s="10" t="s">
        <v>874</v>
      </c>
      <c r="B291" s="11" t="s">
        <v>577</v>
      </c>
      <c r="C291" s="11" t="s">
        <v>876</v>
      </c>
      <c r="D291" s="11" t="s">
        <v>654</v>
      </c>
      <c r="E291" s="11" t="s">
        <v>2</v>
      </c>
      <c r="F291" s="15" t="s">
        <v>4667</v>
      </c>
      <c r="G291" s="15" t="s">
        <v>4668</v>
      </c>
      <c r="I291" t="str">
        <f t="shared" si="4"/>
        <v>UPDATE `katana`.`funeraria_contrato_individual` SET `latitud`='183.879.739', `longitud`='-932.127.026' WHERE  `idcontrato_individual`='MIG290';</v>
      </c>
      <c r="T291" t="str" cm="1">
        <f t="array" aca="1" ref="T291" ca="1">eConcatenar(B291:E291," , ")</f>
        <v>QUINTIN ARAUZ , CONASUPO SIN NUMERO , PARAISO , TABASCO ,</v>
      </c>
    </row>
    <row r="292" spans="1:20" ht="15.75" thickBot="1" x14ac:dyDescent="0.3">
      <c r="A292" s="10" t="s">
        <v>877</v>
      </c>
      <c r="B292" s="11" t="s">
        <v>878</v>
      </c>
      <c r="C292" s="11" t="s">
        <v>240</v>
      </c>
      <c r="D292" s="11" t="s">
        <v>654</v>
      </c>
      <c r="E292" s="11" t="s">
        <v>2</v>
      </c>
      <c r="F292" s="15" t="s">
        <v>4669</v>
      </c>
      <c r="G292" s="15" t="s">
        <v>4670</v>
      </c>
      <c r="I292" t="str">
        <f t="shared" si="4"/>
        <v>UPDATE `katana`.`funeraria_contrato_individual` SET `latitud`='18.410.789', `longitud`='-931.777.414' WHERE  `idcontrato_individual`='MIG291';</v>
      </c>
      <c r="T292" t="str" cm="1">
        <f t="array" aca="1" ref="T292" ca="1">eConcatenar(B292:E292," , ")</f>
        <v>PUERTO CEIBA , 27 DE FEBRERO , PARAISO , TABASCO ,</v>
      </c>
    </row>
    <row r="293" spans="1:20" ht="15.75" thickBot="1" x14ac:dyDescent="0.3">
      <c r="A293" s="10" t="s">
        <v>880</v>
      </c>
      <c r="B293" s="11" t="s">
        <v>772</v>
      </c>
      <c r="C293" s="11" t="s">
        <v>881</v>
      </c>
      <c r="D293" s="11" t="s">
        <v>654</v>
      </c>
      <c r="E293" s="11" t="s">
        <v>2</v>
      </c>
      <c r="F293" s="15" t="s">
        <v>4671</v>
      </c>
      <c r="G293" s="15" t="s">
        <v>4672</v>
      </c>
      <c r="I293" t="str">
        <f t="shared" si="4"/>
        <v>UPDATE `katana`.`funeraria_contrato_individual` SET `latitud`='184.136.111', `longitud`='-929.677.777' WHERE  `idcontrato_individual`='MIG292';</v>
      </c>
      <c r="T293" t="str" cm="1">
        <f t="array" aca="1" ref="T293" ca="1">eConcatenar(B293:E293," , ")</f>
        <v>JALAPITA , MORRAL , PARAISO , TABASCO ,</v>
      </c>
    </row>
    <row r="294" spans="1:20" ht="15.75" thickBot="1" x14ac:dyDescent="0.3">
      <c r="A294" s="10" t="s">
        <v>882</v>
      </c>
      <c r="B294" s="11" t="s">
        <v>884</v>
      </c>
      <c r="C294" s="11" t="s">
        <v>772</v>
      </c>
      <c r="D294" s="11" t="s">
        <v>654</v>
      </c>
      <c r="E294" s="11" t="s">
        <v>2</v>
      </c>
      <c r="F294" s="15" t="s">
        <v>4673</v>
      </c>
      <c r="G294" s="15" t="s">
        <v>4674</v>
      </c>
      <c r="I294" t="str">
        <f t="shared" si="4"/>
        <v>UPDATE `katana`.`funeraria_contrato_individual` SET `latitud`='184.017.813', `longitud`='-9.321.119.949.999.990' WHERE  `idcontrato_individual`='MIG293';</v>
      </c>
      <c r="T294" t="str" cm="1">
        <f t="array" aca="1" ref="T294" ca="1">eConcatenar(B294:E294," , ")</f>
        <v>AQUILES SERDAN , JALAPITA , PARAISO , TABASCO ,</v>
      </c>
    </row>
    <row r="295" spans="1:20" ht="15.75" thickBot="1" x14ac:dyDescent="0.3">
      <c r="A295" s="10" t="s">
        <v>886</v>
      </c>
      <c r="B295" s="11" t="s">
        <v>887</v>
      </c>
      <c r="C295" s="11" t="s">
        <v>772</v>
      </c>
      <c r="D295" s="11" t="s">
        <v>739</v>
      </c>
      <c r="E295" s="11" t="s">
        <v>2</v>
      </c>
      <c r="F295" s="15" t="s">
        <v>4675</v>
      </c>
      <c r="G295" s="15" t="s">
        <v>4676</v>
      </c>
      <c r="I295" t="str">
        <f t="shared" si="4"/>
        <v>UPDATE `katana`.`funeraria_contrato_individual` SET `latitud`='184.063.888', `longitud`='-929.730.555' WHERE  `idcontrato_individual`='MIG294';</v>
      </c>
      <c r="T295" t="str" cm="1">
        <f t="array" aca="1" ref="T295" ca="1">eConcatenar(B295:E295," , ")</f>
        <v>SAN JUAN , JALAPITA , CENTLA , TABASCO ,</v>
      </c>
    </row>
    <row r="296" spans="1:20" ht="15.75" thickBot="1" x14ac:dyDescent="0.3">
      <c r="A296" s="10" t="s">
        <v>888</v>
      </c>
      <c r="B296" s="11" t="s">
        <v>772</v>
      </c>
      <c r="C296" s="11" t="s">
        <v>889</v>
      </c>
      <c r="D296" s="11" t="s">
        <v>739</v>
      </c>
      <c r="E296" s="11" t="s">
        <v>2</v>
      </c>
      <c r="F296" s="15" t="s">
        <v>4591</v>
      </c>
      <c r="G296" s="15" t="s">
        <v>4592</v>
      </c>
      <c r="I296" t="str">
        <f t="shared" si="4"/>
        <v>UPDATE `katana`.`funeraria_contrato_individual` SET `latitud`='184.150.734', `longitud`='-929.948.065' WHERE  `idcontrato_individual`='MIG295';</v>
      </c>
      <c r="T296" t="str" cm="1">
        <f t="array" aca="1" ref="T296" ca="1">eConcatenar(B296:E296," , ")</f>
        <v>JALAPITA , FRONTERA , CENTLA , TABASCO ,</v>
      </c>
    </row>
    <row r="297" spans="1:20" ht="15.75" thickBot="1" x14ac:dyDescent="0.3">
      <c r="A297" s="10" t="s">
        <v>890</v>
      </c>
      <c r="B297" s="11" t="s">
        <v>772</v>
      </c>
      <c r="C297" s="11" t="s">
        <v>891</v>
      </c>
      <c r="D297" s="11" t="s">
        <v>739</v>
      </c>
      <c r="E297" s="11" t="s">
        <v>2</v>
      </c>
      <c r="F297" s="15" t="s">
        <v>4591</v>
      </c>
      <c r="G297" s="15" t="s">
        <v>4592</v>
      </c>
      <c r="I297" t="str">
        <f t="shared" si="4"/>
        <v>UPDATE `katana`.`funeraria_contrato_individual` SET `latitud`='184.150.734', `longitud`='-929.948.065' WHERE  `idcontrato_individual`='MIG296';</v>
      </c>
      <c r="T297" t="str" cm="1">
        <f t="array" aca="1" ref="T297" ca="1">eConcatenar(B297:E297," , ")</f>
        <v>JALAPITA , LANBANO CORREA , CENTLA , TABASCO ,</v>
      </c>
    </row>
    <row r="298" spans="1:20" ht="15.75" thickBot="1" x14ac:dyDescent="0.3">
      <c r="A298" s="10" t="s">
        <v>892</v>
      </c>
      <c r="B298" s="11" t="s">
        <v>789</v>
      </c>
      <c r="C298" s="11" t="s">
        <v>893</v>
      </c>
      <c r="D298" s="11" t="s">
        <v>654</v>
      </c>
      <c r="E298" s="11" t="s">
        <v>2</v>
      </c>
      <c r="F298" s="15" t="s">
        <v>4677</v>
      </c>
      <c r="G298" s="15" t="s">
        <v>4678</v>
      </c>
      <c r="I298" t="str">
        <f t="shared" si="4"/>
        <v>UPDATE `katana`.`funeraria_contrato_individual` SET `latitud`='184.006.144', `longitud`='-932.127.162' WHERE  `idcontrato_individual`='MIG297';</v>
      </c>
      <c r="T298" t="str" cm="1">
        <f t="array" aca="1" ref="T298" ca="1">eConcatenar(B298:E298," , ")</f>
        <v>NUEVO TORNO LARGO , EL ABULON LOTE 15 MZA 8 , PARAISO , TABASCO ,</v>
      </c>
    </row>
    <row r="299" spans="1:20" ht="15.75" thickBot="1" x14ac:dyDescent="0.3">
      <c r="A299" s="10" t="s">
        <v>894</v>
      </c>
      <c r="B299" s="11" t="s">
        <v>878</v>
      </c>
      <c r="C299" s="11" t="s">
        <v>895</v>
      </c>
      <c r="D299" s="11" t="s">
        <v>654</v>
      </c>
      <c r="E299" s="11" t="s">
        <v>2</v>
      </c>
      <c r="F299" s="15" t="s">
        <v>4679</v>
      </c>
      <c r="G299" s="15" t="s">
        <v>4680</v>
      </c>
      <c r="I299" t="str">
        <f t="shared" si="4"/>
        <v>UPDATE `katana`.`funeraria_contrato_individual` SET `latitud`='184.072.002', `longitud`='-932.040.028' WHERE  `idcontrato_individual`='MIG298';</v>
      </c>
      <c r="T299" t="str" cm="1">
        <f t="array" aca="1" ref="T299" ca="1">eConcatenar(B299:E299," , ")</f>
        <v>PUERTO CEIBA , LOS PESCADORES SIN NUMERO , PARAISO , TABASCO ,</v>
      </c>
    </row>
    <row r="300" spans="1:20" ht="15.75" thickBot="1" x14ac:dyDescent="0.3">
      <c r="A300" s="6" t="s">
        <v>896</v>
      </c>
      <c r="B300" s="4" t="s">
        <v>897</v>
      </c>
      <c r="C300" s="4" t="s">
        <v>40</v>
      </c>
      <c r="D300" s="4" t="s">
        <v>654</v>
      </c>
      <c r="E300" s="4" t="s">
        <v>2</v>
      </c>
      <c r="F300" s="15" t="s">
        <v>4681</v>
      </c>
      <c r="G300" s="15" t="s">
        <v>4682</v>
      </c>
      <c r="I300" t="str">
        <f t="shared" si="4"/>
        <v>UPDATE `katana`.`funeraria_contrato_individual` SET `latitud`='183.966.208', `longitud`='-93.217.719' WHERE  `idcontrato_individual`='MIG299';</v>
      </c>
      <c r="T300" t="str" cm="1">
        <f t="array" aca="1" ref="T300" ca="1">eConcatenar(B300:E300," , ")</f>
        <v>CALLE IGNACIO RAMIREZ 109 , CENTRO , PARAISO , TABASCO ,</v>
      </c>
    </row>
    <row r="301" spans="1:20" ht="15.75" thickBot="1" x14ac:dyDescent="0.3">
      <c r="A301" s="6" t="s">
        <v>898</v>
      </c>
      <c r="B301" s="4" t="s">
        <v>899</v>
      </c>
      <c r="C301" s="4" t="s">
        <v>900</v>
      </c>
      <c r="D301" s="4" t="s">
        <v>654</v>
      </c>
      <c r="E301" s="4" t="s">
        <v>2</v>
      </c>
      <c r="F301" s="15" t="s">
        <v>4683</v>
      </c>
      <c r="G301" s="15" t="s">
        <v>4684</v>
      </c>
      <c r="I301" t="str">
        <f t="shared" si="4"/>
        <v>UPDATE `katana`.`funeraria_contrato_individual` SET `latitud`='183.888.522', `longitud`='-932.131.813' WHERE  `idcontrato_individual`='MIG300';</v>
      </c>
      <c r="T301" t="str" cm="1">
        <f t="array" aca="1" ref="T301" ca="1">eConcatenar(B301:E301," , ")</f>
        <v>CALLE FRANCISCO TRIJILLO GARCIA , QUINTIN ARAUZ SIN NUMERO , PARAISO , TABASCO ,</v>
      </c>
    </row>
    <row r="302" spans="1:20" ht="15.75" thickBot="1" x14ac:dyDescent="0.3">
      <c r="A302" s="6" t="s">
        <v>901</v>
      </c>
      <c r="B302" s="4" t="s">
        <v>902</v>
      </c>
      <c r="C302" s="4" t="s">
        <v>878</v>
      </c>
      <c r="D302" s="4" t="s">
        <v>654</v>
      </c>
      <c r="E302" s="4" t="s">
        <v>2</v>
      </c>
      <c r="F302" s="15" t="s">
        <v>4617</v>
      </c>
      <c r="G302" s="15" t="s">
        <v>4618</v>
      </c>
      <c r="I302" t="str">
        <f t="shared" si="4"/>
        <v>UPDATE `katana`.`funeraria_contrato_individual` SET `latitud`='18.405.578', `longitud`='-932.027.617' WHERE  `idcontrato_individual`='MIG301';</v>
      </c>
      <c r="T302" t="str" cm="1">
        <f t="array" aca="1" ref="T302" ca="1">eConcatenar(B302:E302," , ")</f>
        <v>CARRIZAL SECCION MONTAÑA , PUERTO CEIBA , PARAISO , TABASCO ,</v>
      </c>
    </row>
    <row r="303" spans="1:20" ht="15.75" thickBot="1" x14ac:dyDescent="0.3">
      <c r="A303" s="6" t="s">
        <v>903</v>
      </c>
      <c r="B303" s="4" t="s">
        <v>904</v>
      </c>
      <c r="C303" s="4" t="s">
        <v>905</v>
      </c>
      <c r="D303" s="4" t="s">
        <v>654</v>
      </c>
      <c r="E303" s="4" t="s">
        <v>2</v>
      </c>
      <c r="F303" s="15" t="s">
        <v>4617</v>
      </c>
      <c r="G303" s="15" t="s">
        <v>4618</v>
      </c>
      <c r="I303" t="str">
        <f t="shared" si="4"/>
        <v>UPDATE `katana`.`funeraria_contrato_individual` SET `latitud`='18.405.578', `longitud`='-932.027.617' WHERE  `idcontrato_individual`='MIG302';</v>
      </c>
      <c r="T303" t="str" cm="1">
        <f t="array" aca="1" ref="T303" ca="1">eConcatenar(B303:E303," , ")</f>
        <v>SECCION MONTAÑITA , PUERTO CEIBA CARRIZAL , PARAISO , TABASCO ,</v>
      </c>
    </row>
    <row r="304" spans="1:20" ht="15.75" thickBot="1" x14ac:dyDescent="0.3">
      <c r="A304" s="6" t="s">
        <v>907</v>
      </c>
      <c r="B304" s="4" t="s">
        <v>908</v>
      </c>
      <c r="C304" s="4" t="s">
        <v>909</v>
      </c>
      <c r="D304" s="4" t="s">
        <v>654</v>
      </c>
      <c r="E304" s="4" t="s">
        <v>2</v>
      </c>
      <c r="F304" s="15" t="s">
        <v>4677</v>
      </c>
      <c r="G304" s="15" t="s">
        <v>4678</v>
      </c>
      <c r="I304" t="str">
        <f t="shared" si="4"/>
        <v>UPDATE `katana`.`funeraria_contrato_individual` SET `latitud`='184.006.144', `longitud`='-932.127.162' WHERE  `idcontrato_individual`='MIG303';</v>
      </c>
      <c r="T304" t="str" cm="1">
        <f t="array" aca="1" ref="T304" ca="1">eConcatenar(B304:E304," , ")</f>
        <v>CALLE IGNACIO ALLENDE , DIANA LAURA , PARAISO , TABASCO ,</v>
      </c>
    </row>
    <row r="305" spans="1:20" ht="15.75" thickBot="1" x14ac:dyDescent="0.3">
      <c r="A305" s="6" t="s">
        <v>911</v>
      </c>
      <c r="B305" s="4" t="s">
        <v>878</v>
      </c>
      <c r="C305" s="4" t="s">
        <v>905</v>
      </c>
      <c r="D305" s="4" t="s">
        <v>654</v>
      </c>
      <c r="E305" s="4" t="s">
        <v>2</v>
      </c>
      <c r="F305" s="15" t="s">
        <v>4617</v>
      </c>
      <c r="G305" s="15" t="s">
        <v>4618</v>
      </c>
      <c r="I305" t="str">
        <f t="shared" si="4"/>
        <v>UPDATE `katana`.`funeraria_contrato_individual` SET `latitud`='18.405.578', `longitud`='-932.027.617' WHERE  `idcontrato_individual`='MIG304';</v>
      </c>
      <c r="T305" t="str" cm="1">
        <f t="array" aca="1" ref="T305" ca="1">eConcatenar(B305:E305," , ")</f>
        <v>PUERTO CEIBA , PUERTO CEIBA CARRIZAL , PARAISO , TABASCO ,</v>
      </c>
    </row>
    <row r="306" spans="1:20" ht="15.75" thickBot="1" x14ac:dyDescent="0.3">
      <c r="A306" s="6" t="s">
        <v>912</v>
      </c>
      <c r="B306" s="4" t="s">
        <v>913</v>
      </c>
      <c r="C306" s="4" t="s">
        <v>914</v>
      </c>
      <c r="D306" s="4" t="s">
        <v>654</v>
      </c>
      <c r="E306" s="4" t="s">
        <v>2</v>
      </c>
      <c r="F306" s="15" t="s">
        <v>4617</v>
      </c>
      <c r="G306" s="15" t="s">
        <v>4618</v>
      </c>
      <c r="I306" t="str">
        <f t="shared" si="4"/>
        <v>UPDATE `katana`.`funeraria_contrato_individual` SET `latitud`='18.405.578', `longitud`='-932.027.617' WHERE  `idcontrato_individual`='MIG305';</v>
      </c>
      <c r="T306" t="str" cm="1">
        <f t="array" aca="1" ref="T306" ca="1">eConcatenar(B306:E306," , ")</f>
        <v>CALLE LAS FLORES , CARRIZAL PUERTO CEIBA , PARAISO , TABASCO ,</v>
      </c>
    </row>
    <row r="307" spans="1:20" ht="15.75" thickBot="1" x14ac:dyDescent="0.3">
      <c r="A307" s="6" t="s">
        <v>915</v>
      </c>
      <c r="B307" s="4" t="s">
        <v>917</v>
      </c>
      <c r="C307" s="4" t="s">
        <v>918</v>
      </c>
      <c r="D307" s="4" t="s">
        <v>654</v>
      </c>
      <c r="E307" s="4" t="s">
        <v>2</v>
      </c>
      <c r="F307" s="15" t="s">
        <v>4679</v>
      </c>
      <c r="G307" s="15" t="s">
        <v>4680</v>
      </c>
      <c r="I307" t="str">
        <f t="shared" si="4"/>
        <v>UPDATE `katana`.`funeraria_contrato_individual` SET `latitud`='184.072.002', `longitud`='-932.040.028' WHERE  `idcontrato_individual`='MIG306';</v>
      </c>
      <c r="T307" t="str" cm="1">
        <f t="array" aca="1" ref="T307" ca="1">eConcatenar(B307:E307," , ")</f>
        <v>CALLE LOS PESCADORES SIN NUMERO , PERTO CEIBA CARIZAL , PARAISO , TABASCO ,</v>
      </c>
    </row>
    <row r="308" spans="1:20" ht="15.75" thickBot="1" x14ac:dyDescent="0.3">
      <c r="A308" s="6" t="s">
        <v>919</v>
      </c>
      <c r="B308" s="4" t="s">
        <v>917</v>
      </c>
      <c r="C308" s="4" t="s">
        <v>918</v>
      </c>
      <c r="D308" s="4" t="s">
        <v>654</v>
      </c>
      <c r="E308" s="4" t="s">
        <v>2</v>
      </c>
      <c r="F308" s="15" t="s">
        <v>4679</v>
      </c>
      <c r="G308" s="15" t="s">
        <v>4680</v>
      </c>
      <c r="I308" t="str">
        <f t="shared" si="4"/>
        <v>UPDATE `katana`.`funeraria_contrato_individual` SET `latitud`='184.072.002', `longitud`='-932.040.028' WHERE  `idcontrato_individual`='MIG307';</v>
      </c>
      <c r="T308" t="str" cm="1">
        <f t="array" aca="1" ref="T308" ca="1">eConcatenar(B308:E308," , ")</f>
        <v>CALLE LOS PESCADORES SIN NUMERO , PERTO CEIBA CARIZAL , PARAISO , TABASCO ,</v>
      </c>
    </row>
    <row r="309" spans="1:20" ht="15.75" thickBot="1" x14ac:dyDescent="0.3">
      <c r="A309" s="6" t="s">
        <v>920</v>
      </c>
      <c r="B309" s="4" t="s">
        <v>921</v>
      </c>
      <c r="C309" s="4" t="s">
        <v>753</v>
      </c>
      <c r="D309" s="4" t="s">
        <v>654</v>
      </c>
      <c r="E309" s="4" t="s">
        <v>2</v>
      </c>
      <c r="F309" s="15" t="s">
        <v>4617</v>
      </c>
      <c r="G309" s="15" t="s">
        <v>4618</v>
      </c>
      <c r="I309" t="str">
        <f t="shared" si="4"/>
        <v>UPDATE `katana`.`funeraria_contrato_individual` SET `latitud`='18.405.578', `longitud`='-932.027.617' WHERE  `idcontrato_individual`='MIG308';</v>
      </c>
      <c r="T309" t="str" cm="1">
        <f t="array" aca="1" ref="T309" ca="1">eConcatenar(B309:E309," , ")</f>
        <v>CALLE CARRIZAL SIN NUMERO , VILLA PUERTO CEIBA , PARAISO , TABASCO ,</v>
      </c>
    </row>
    <row r="310" spans="1:20" ht="15.75" thickBot="1" x14ac:dyDescent="0.3">
      <c r="A310" s="6" t="s">
        <v>923</v>
      </c>
      <c r="B310" s="4" t="s">
        <v>924</v>
      </c>
      <c r="C310" s="4" t="s">
        <v>753</v>
      </c>
      <c r="D310" s="4" t="s">
        <v>654</v>
      </c>
      <c r="E310" s="4" t="s">
        <v>2</v>
      </c>
      <c r="F310" s="15" t="s">
        <v>4597</v>
      </c>
      <c r="G310" s="15" t="s">
        <v>4598</v>
      </c>
      <c r="I310" t="str">
        <f t="shared" si="4"/>
        <v>UPDATE `katana`.`funeraria_contrato_individual` SET `latitud`='18.410.918', `longitud`='-93.178.399' WHERE  `idcontrato_individual`='MIG309';</v>
      </c>
      <c r="T310" t="str" cm="1">
        <f t="array" aca="1" ref="T310" ca="1">eConcatenar(B310:E310," , ")</f>
        <v>CALLE MECOACAN SIN NUMERO , VILLA PUERTO CEIBA , PARAISO , TABASCO ,</v>
      </c>
    </row>
    <row r="311" spans="1:20" ht="15.75" thickBot="1" x14ac:dyDescent="0.3">
      <c r="A311" s="6" t="s">
        <v>925</v>
      </c>
      <c r="B311" s="4" t="s">
        <v>926</v>
      </c>
      <c r="C311" s="4" t="s">
        <v>927</v>
      </c>
      <c r="D311" s="4" t="s">
        <v>654</v>
      </c>
      <c r="E311" s="4" t="s">
        <v>2</v>
      </c>
      <c r="F311" s="15" t="s">
        <v>4577</v>
      </c>
      <c r="G311" s="15" t="s">
        <v>4578</v>
      </c>
      <c r="I311" t="str">
        <f t="shared" si="4"/>
        <v>UPDATE `katana`.`funeraria_contrato_individual` SET `latitud`='184.252.777', `longitud`='-931.508.333' WHERE  `idcontrato_individual`='MIG310';</v>
      </c>
      <c r="T311" t="str" cm="1">
        <f t="array" aca="1" ref="T311" ca="1">eConcatenar(B311:E311," , ")</f>
        <v>CARRETERA CHILTEPEC , JOSE MARIA MORELOS BELLOTE , PARAISO , TABASCO ,</v>
      </c>
    </row>
    <row r="312" spans="1:20" ht="15.75" thickBot="1" x14ac:dyDescent="0.3">
      <c r="A312" s="6" t="s">
        <v>928</v>
      </c>
      <c r="B312" s="4" t="s">
        <v>929</v>
      </c>
      <c r="C312" s="4" t="s">
        <v>930</v>
      </c>
      <c r="D312" s="4" t="s">
        <v>654</v>
      </c>
      <c r="E312" s="4" t="s">
        <v>2</v>
      </c>
      <c r="F312" s="15" t="s">
        <v>4569</v>
      </c>
      <c r="G312" s="15" t="s">
        <v>4570</v>
      </c>
      <c r="I312" t="str">
        <f t="shared" si="4"/>
        <v>UPDATE `katana`.`funeraria_contrato_individual` SET `latitud`='18.399.731', `longitud`='-9.322.003.199.999.990' WHERE  `idcontrato_individual`='MIG311';</v>
      </c>
      <c r="T312" t="str" cm="1">
        <f t="array" aca="1" ref="T312" ca="1">eConcatenar(B312:E312," , ")</f>
        <v>CARRETERA CHILTEPEC SIN NUMERO , JOSE MARIA MORELOS , PARAISO , TABASCO ,</v>
      </c>
    </row>
    <row r="313" spans="1:20" ht="15.75" thickBot="1" x14ac:dyDescent="0.3">
      <c r="A313" s="6" t="s">
        <v>931</v>
      </c>
      <c r="B313" s="4" t="s">
        <v>932</v>
      </c>
      <c r="C313" s="4" t="s">
        <v>933</v>
      </c>
      <c r="D313" s="4" t="s">
        <v>654</v>
      </c>
      <c r="E313" s="4" t="s">
        <v>2</v>
      </c>
      <c r="F313" s="15" t="s">
        <v>4577</v>
      </c>
      <c r="G313" s="15" t="s">
        <v>4578</v>
      </c>
      <c r="I313" t="str">
        <f t="shared" si="4"/>
        <v>UPDATE `katana`.`funeraria_contrato_individual` SET `latitud`='184.252.777', `longitud`='-931.508.333' WHERE  `idcontrato_individual`='MIG312';</v>
      </c>
      <c r="T313" t="str" cm="1">
        <f t="array" aca="1" ref="T313" ca="1">eConcatenar(B313:E313," , ")</f>
        <v>CARRETERA A CHILTEPEC , JOSE MARIA MORELOS EL BELLOTE , PARAISO , TABASCO ,</v>
      </c>
    </row>
    <row r="314" spans="1:20" ht="15.75" thickBot="1" x14ac:dyDescent="0.3">
      <c r="A314" s="6" t="s">
        <v>934</v>
      </c>
      <c r="B314" s="4" t="s">
        <v>935</v>
      </c>
      <c r="C314" s="4" t="s">
        <v>927</v>
      </c>
      <c r="D314" s="4" t="s">
        <v>654</v>
      </c>
      <c r="E314" s="4" t="s">
        <v>2</v>
      </c>
      <c r="F314" s="15" t="s">
        <v>4685</v>
      </c>
      <c r="G314" s="15" t="s">
        <v>4686</v>
      </c>
      <c r="I314" t="str">
        <f t="shared" si="4"/>
        <v>UPDATE `katana`.`funeraria_contrato_individual` SET `latitud`='184.252.515', `longitud`='-931.364.036' WHERE  `idcontrato_individual`='MIG313';</v>
      </c>
      <c r="T314" t="str" cm="1">
        <f t="array" aca="1" ref="T314" ca="1">eConcatenar(B314:E314," , ")</f>
        <v>CARRETERA A CHILTEPEC SIN NUMERO , JOSE MARIA MORELOS BELLOTE , PARAISO , TABASCO ,</v>
      </c>
    </row>
    <row r="315" spans="1:20" ht="15.75" thickBot="1" x14ac:dyDescent="0.3">
      <c r="A315" s="6" t="s">
        <v>936</v>
      </c>
      <c r="B315" s="4" t="s">
        <v>937</v>
      </c>
      <c r="C315" s="4" t="s">
        <v>927</v>
      </c>
      <c r="D315" s="4" t="s">
        <v>654</v>
      </c>
      <c r="E315" s="4" t="s">
        <v>2</v>
      </c>
      <c r="F315" s="15" t="s">
        <v>4677</v>
      </c>
      <c r="G315" s="15" t="s">
        <v>4678</v>
      </c>
      <c r="I315" t="str">
        <f t="shared" si="4"/>
        <v>UPDATE `katana`.`funeraria_contrato_individual` SET `latitud`='184.006.144', `longitud`='-932.127.162' WHERE  `idcontrato_individual`='MIG314';</v>
      </c>
      <c r="T315" t="str" cm="1">
        <f t="array" aca="1" ref="T315" ca="1">eConcatenar(B315:E315," , ")</f>
        <v>ACCESO A PARCELA SIN NUMERO , JOSE MARIA MORELOS BELLOTE , PARAISO , TABASCO ,</v>
      </c>
    </row>
    <row r="316" spans="1:20" ht="15.75" thickBot="1" x14ac:dyDescent="0.3">
      <c r="A316" s="6" t="s">
        <v>938</v>
      </c>
      <c r="B316" s="4" t="s">
        <v>932</v>
      </c>
      <c r="C316" s="4" t="s">
        <v>930</v>
      </c>
      <c r="D316" s="4" t="s">
        <v>654</v>
      </c>
      <c r="E316" s="4" t="s">
        <v>2</v>
      </c>
      <c r="F316" s="16"/>
      <c r="G316" s="16"/>
      <c r="I316" t="str">
        <f t="shared" si="4"/>
        <v>UPDATE `katana`.`funeraria_contrato_individual` SET `latitud`='', `longitud`='' WHERE  `idcontrato_individual`='MIG315';</v>
      </c>
      <c r="T316" t="str" cm="1">
        <f t="array" aca="1" ref="T316" ca="1">eConcatenar(B316:E316," , ")</f>
        <v>CARRETERA A CHILTEPEC , JOSE MARIA MORELOS , PARAISO , TABASCO ,</v>
      </c>
    </row>
    <row r="317" spans="1:20" ht="15.75" thickBot="1" x14ac:dyDescent="0.3">
      <c r="A317" s="6" t="s">
        <v>939</v>
      </c>
      <c r="B317" s="4" t="s">
        <v>935</v>
      </c>
      <c r="C317" s="4" t="s">
        <v>933</v>
      </c>
      <c r="D317" s="4" t="s">
        <v>654</v>
      </c>
      <c r="E317" s="4" t="s">
        <v>2</v>
      </c>
      <c r="F317" s="15" t="s">
        <v>4685</v>
      </c>
      <c r="G317" s="15" t="s">
        <v>4686</v>
      </c>
      <c r="I317" t="str">
        <f t="shared" si="4"/>
        <v>UPDATE `katana`.`funeraria_contrato_individual` SET `latitud`='184.252.515', `longitud`='-931.364.036' WHERE  `idcontrato_individual`='MIG316';</v>
      </c>
      <c r="T317" t="str" cm="1">
        <f t="array" aca="1" ref="T317" ca="1">eConcatenar(B317:E317," , ")</f>
        <v>CARRETERA A CHILTEPEC SIN NUMERO , JOSE MARIA MORELOS EL BELLOTE , PARAISO , TABASCO ,</v>
      </c>
    </row>
    <row r="318" spans="1:20" ht="15.75" thickBot="1" x14ac:dyDescent="0.3">
      <c r="A318" s="6" t="s">
        <v>940</v>
      </c>
      <c r="B318" s="4" t="s">
        <v>941</v>
      </c>
      <c r="C318" s="4" t="s">
        <v>783</v>
      </c>
      <c r="D318" s="4" t="s">
        <v>654</v>
      </c>
      <c r="E318" s="4" t="s">
        <v>2</v>
      </c>
      <c r="F318" s="15" t="s">
        <v>4623</v>
      </c>
      <c r="G318" s="15" t="s">
        <v>4624</v>
      </c>
      <c r="I318" t="str">
        <f t="shared" si="4"/>
        <v>UPDATE `katana`.`funeraria_contrato_individual` SET `latitud`='184.271.918', `longitud`='-93.096.031' WHERE  `idcontrato_individual`='MIG317';</v>
      </c>
      <c r="T318" t="str" cm="1">
        <f t="array" aca="1" ref="T318" ca="1">eConcatenar(B318:E318," , ")</f>
        <v>ENTRADA SOC COORPORATIVA , CHILTEPEC SECCION BANCO , PARAISO , TABASCO ,</v>
      </c>
    </row>
    <row r="319" spans="1:20" ht="15.75" thickBot="1" x14ac:dyDescent="0.3">
      <c r="A319" s="6" t="s">
        <v>942</v>
      </c>
      <c r="B319" s="4" t="s">
        <v>943</v>
      </c>
      <c r="C319" s="4" t="s">
        <v>783</v>
      </c>
      <c r="D319" s="4" t="s">
        <v>654</v>
      </c>
      <c r="E319" s="4" t="s">
        <v>2</v>
      </c>
      <c r="F319" s="15" t="s">
        <v>4609</v>
      </c>
      <c r="G319" s="15" t="s">
        <v>4610</v>
      </c>
      <c r="I319" t="str">
        <f t="shared" si="4"/>
        <v>UPDATE `katana`.`funeraria_contrato_individual` SET `latitud`='18.423.844', `longitud`='-9.310.800.669.999.990' WHERE  `idcontrato_individual`='MIG318';</v>
      </c>
      <c r="T319" t="str" cm="1">
        <f t="array" aca="1" ref="T319" ca="1">eConcatenar(B319:E319," , ")</f>
        <v>CALLE DEL PANTEON , CHILTEPEC SECCION BANCO , PARAISO , TABASCO ,</v>
      </c>
    </row>
    <row r="320" spans="1:20" ht="15.75" thickBot="1" x14ac:dyDescent="0.3">
      <c r="A320" s="6" t="s">
        <v>944</v>
      </c>
      <c r="B320" s="4" t="s">
        <v>945</v>
      </c>
      <c r="C320" s="4" t="s">
        <v>783</v>
      </c>
      <c r="D320" s="4" t="s">
        <v>654</v>
      </c>
      <c r="E320" s="4" t="s">
        <v>2</v>
      </c>
      <c r="F320" s="15" t="s">
        <v>4623</v>
      </c>
      <c r="G320" s="15" t="s">
        <v>4624</v>
      </c>
      <c r="I320" t="str">
        <f t="shared" si="4"/>
        <v>UPDATE `katana`.`funeraria_contrato_individual` SET `latitud`='184.271.918', `longitud`='-93.096.031' WHERE  `idcontrato_individual`='MIG319';</v>
      </c>
      <c r="T320" t="str" cm="1">
        <f t="array" aca="1" ref="T320" ca="1">eConcatenar(B320:E320," , ")</f>
        <v>CARRETERA PRINCIPAL SIN NUMERO , CHILTEPEC SECCION BANCO , PARAISO , TABASCO ,</v>
      </c>
    </row>
    <row r="321" spans="1:20" ht="15.75" thickBot="1" x14ac:dyDescent="0.3">
      <c r="A321" s="6" t="s">
        <v>946</v>
      </c>
      <c r="B321" s="4" t="s">
        <v>926</v>
      </c>
      <c r="C321" s="4" t="s">
        <v>802</v>
      </c>
      <c r="D321" s="4" t="s">
        <v>654</v>
      </c>
      <c r="E321" s="4" t="s">
        <v>2</v>
      </c>
      <c r="F321" s="15" t="s">
        <v>4623</v>
      </c>
      <c r="G321" s="15" t="s">
        <v>4624</v>
      </c>
      <c r="I321" t="str">
        <f t="shared" si="4"/>
        <v>UPDATE `katana`.`funeraria_contrato_individual` SET `latitud`='184.271.918', `longitud`='-93.096.031' WHERE  `idcontrato_individual`='MIG320';</v>
      </c>
      <c r="T321" t="str" cm="1">
        <f t="array" aca="1" ref="T321" ca="1">eConcatenar(B321:E321," , ")</f>
        <v>CARRETERA CHILTEPEC , CHILTEPEC SECCION TANQUE , PARAISO , TABASCO ,</v>
      </c>
    </row>
    <row r="322" spans="1:20" ht="15.75" thickBot="1" x14ac:dyDescent="0.3">
      <c r="A322" s="6" t="s">
        <v>947</v>
      </c>
      <c r="B322" s="4" t="s">
        <v>4</v>
      </c>
      <c r="C322" s="4" t="s">
        <v>949</v>
      </c>
      <c r="D322" s="4" t="s">
        <v>654</v>
      </c>
      <c r="E322" s="4" t="s">
        <v>2</v>
      </c>
      <c r="F322" s="15" t="s">
        <v>4623</v>
      </c>
      <c r="G322" s="15" t="s">
        <v>4624</v>
      </c>
      <c r="I322" t="str">
        <f t="shared" ref="I322:I344" si="5">CONCATENATE("UPDATE `katana`.`funeraria_contrato_individual` SET `latitud`='",F322,"', `longitud`='",G322,"' WHERE  `idcontrato_individual`='",A322,"';")</f>
        <v>UPDATE `katana`.`funeraria_contrato_individual` SET `latitud`='184.271.918', `longitud`='-93.096.031' WHERE  `idcontrato_individual`='MIG321';</v>
      </c>
      <c r="T322" t="str" cm="1">
        <f t="array" aca="1" ref="T322" ca="1">eConcatenar(B322:E322," , ")</f>
        <v>X , CHULTEPEC SECCION TANQUE , PARAISO , TABASCO ,</v>
      </c>
    </row>
    <row r="323" spans="1:20" ht="15.75" thickBot="1" x14ac:dyDescent="0.3">
      <c r="A323" s="6" t="s">
        <v>950</v>
      </c>
      <c r="B323" s="4" t="s">
        <v>801</v>
      </c>
      <c r="C323" s="4" t="s">
        <v>884</v>
      </c>
      <c r="D323" s="4" t="s">
        <v>654</v>
      </c>
      <c r="E323" s="4" t="s">
        <v>2</v>
      </c>
      <c r="F323" s="15" t="s">
        <v>4673</v>
      </c>
      <c r="G323" s="15" t="s">
        <v>4674</v>
      </c>
      <c r="I323" t="str">
        <f t="shared" si="5"/>
        <v>UPDATE `katana`.`funeraria_contrato_individual` SET `latitud`='184.017.813', `longitud`='-9.321.119.949.999.990' WHERE  `idcontrato_individual`='MIG322';</v>
      </c>
      <c r="T323" t="str" cm="1">
        <f t="array" aca="1" ref="T323" ca="1">eConcatenar(B323:E323," , ")</f>
        <v>CARRETERA A JALAPITA SIN NUMERO , AQUILES SERDAN , PARAISO , TABASCO ,</v>
      </c>
    </row>
    <row r="324" spans="1:20" ht="15.75" thickBot="1" x14ac:dyDescent="0.3">
      <c r="A324" s="6" t="s">
        <v>951</v>
      </c>
      <c r="B324" s="4" t="s">
        <v>801</v>
      </c>
      <c r="C324" s="4" t="s">
        <v>884</v>
      </c>
      <c r="D324" s="4" t="s">
        <v>654</v>
      </c>
      <c r="E324" s="4" t="s">
        <v>2</v>
      </c>
      <c r="F324" s="15" t="s">
        <v>4673</v>
      </c>
      <c r="G324" s="15" t="s">
        <v>4674</v>
      </c>
      <c r="I324" t="str">
        <f t="shared" si="5"/>
        <v>UPDATE `katana`.`funeraria_contrato_individual` SET `latitud`='184.017.813', `longitud`='-9.321.119.949.999.990' WHERE  `idcontrato_individual`='MIG323';</v>
      </c>
      <c r="T324" t="str" cm="1">
        <f t="array" aca="1" ref="T324" ca="1">eConcatenar(B324:E324," , ")</f>
        <v>CARRETERA A JALAPITA SIN NUMERO , AQUILES SERDAN , PARAISO , TABASCO ,</v>
      </c>
    </row>
    <row r="325" spans="1:20" ht="15.75" thickBot="1" x14ac:dyDescent="0.3">
      <c r="A325" s="6" t="s">
        <v>952</v>
      </c>
      <c r="B325" s="4" t="s">
        <v>953</v>
      </c>
      <c r="C325" s="4" t="s">
        <v>786</v>
      </c>
      <c r="D325" s="4" t="s">
        <v>654</v>
      </c>
      <c r="E325" s="4" t="s">
        <v>2</v>
      </c>
      <c r="F325" s="15" t="s">
        <v>4663</v>
      </c>
      <c r="G325" s="15" t="s">
        <v>4664</v>
      </c>
      <c r="I325" t="str">
        <f t="shared" si="5"/>
        <v>UPDATE `katana`.`funeraria_contrato_individual` SET `latitud`='184.272.222', `longitud`='-931.130.555' WHERE  `idcontrato_individual`='MIG324';</v>
      </c>
      <c r="T325" t="str" cm="1">
        <f t="array" aca="1" ref="T325" ca="1">eConcatenar(B325:E325," , ")</f>
        <v>CARRTERA CHILTEPEC , PENJAMO , PARAISO , TABASCO ,</v>
      </c>
    </row>
    <row r="326" spans="1:20" ht="15.75" thickBot="1" x14ac:dyDescent="0.3">
      <c r="A326" s="6" t="s">
        <v>954</v>
      </c>
      <c r="B326" s="4" t="s">
        <v>92</v>
      </c>
      <c r="C326" s="4" t="s">
        <v>869</v>
      </c>
      <c r="D326" s="4" t="s">
        <v>654</v>
      </c>
      <c r="E326" s="4" t="s">
        <v>2</v>
      </c>
      <c r="F326" s="15" t="s">
        <v>4663</v>
      </c>
      <c r="G326" s="15" t="s">
        <v>4664</v>
      </c>
      <c r="I326" t="str">
        <f t="shared" si="5"/>
        <v>UPDATE `katana`.`funeraria_contrato_individual` SET `latitud`='184.272.222', `longitud`='-931.130.555' WHERE  `idcontrato_individual`='MIG325';</v>
      </c>
      <c r="T326" t="str" cm="1">
        <f t="array" aca="1" ref="T326" ca="1">eConcatenar(B326:E326," , ")</f>
        <v>CARRETERA PRINCIPAL , CHILTEPEC , PARAISO , TABASCO ,</v>
      </c>
    </row>
    <row r="327" spans="1:20" ht="15.75" thickBot="1" x14ac:dyDescent="0.3">
      <c r="A327" s="6" t="s">
        <v>955</v>
      </c>
      <c r="B327" s="4" t="s">
        <v>956</v>
      </c>
      <c r="C327" s="4" t="s">
        <v>786</v>
      </c>
      <c r="D327" s="4" t="s">
        <v>654</v>
      </c>
      <c r="E327" s="4" t="s">
        <v>2</v>
      </c>
      <c r="F327" s="15" t="s">
        <v>4687</v>
      </c>
      <c r="G327" s="15" t="s">
        <v>4688</v>
      </c>
      <c r="I327" t="str">
        <f t="shared" si="5"/>
        <v>UPDATE `katana`.`funeraria_contrato_individual` SET `latitud`='184.380.493', `longitud`='-9.323.329.919.999.990' WHERE  `idcontrato_individual`='MIG326';</v>
      </c>
      <c r="T327" t="str" cm="1">
        <f t="array" aca="1" ref="T327" ca="1">eConcatenar(B327:E327," , ")</f>
        <v>ENTRADA EL FAFO , PENJAMO , PARAISO , TABASCO ,</v>
      </c>
    </row>
    <row r="328" spans="1:20" ht="15.75" thickBot="1" x14ac:dyDescent="0.3">
      <c r="A328" s="6" t="s">
        <v>957</v>
      </c>
      <c r="B328" s="4" t="s">
        <v>932</v>
      </c>
      <c r="C328" s="4" t="s">
        <v>958</v>
      </c>
      <c r="D328" s="4" t="s">
        <v>654</v>
      </c>
      <c r="E328" s="4" t="s">
        <v>2</v>
      </c>
      <c r="F328" s="15" t="s">
        <v>4577</v>
      </c>
      <c r="G328" s="15" t="s">
        <v>4578</v>
      </c>
      <c r="I328" t="str">
        <f t="shared" si="5"/>
        <v>UPDATE `katana`.`funeraria_contrato_individual` SET `latitud`='184.252.777', `longitud`='-931.508.333' WHERE  `idcontrato_individual`='MIG327';</v>
      </c>
      <c r="T328" t="str" cm="1">
        <f t="array" aca="1" ref="T328" ca="1">eConcatenar(B328:E328," , ")</f>
        <v>CARRETERA A CHILTEPEC , MARIA MORELOS BELLOTE , PARAISO , TABASCO ,</v>
      </c>
    </row>
    <row r="329" spans="1:20" ht="15.75" thickBot="1" x14ac:dyDescent="0.3">
      <c r="A329" s="6" t="s">
        <v>959</v>
      </c>
      <c r="B329" s="4" t="s">
        <v>961</v>
      </c>
      <c r="C329" s="4" t="s">
        <v>789</v>
      </c>
      <c r="D329" s="4" t="s">
        <v>654</v>
      </c>
      <c r="E329" s="4" t="s">
        <v>2</v>
      </c>
      <c r="F329" s="15" t="s">
        <v>4689</v>
      </c>
      <c r="G329" s="15" t="s">
        <v>4690</v>
      </c>
      <c r="I329" t="str">
        <f t="shared" si="5"/>
        <v>UPDATE `katana`.`funeraria_contrato_individual` SET `latitud`='184.325.928', `longitud`='-931.619.051' WHERE  `idcontrato_individual`='MIG328';</v>
      </c>
      <c r="T329" t="str" cm="1">
        <f t="array" aca="1" ref="T329" ca="1">eConcatenar(B329:E329," , ")</f>
        <v>CALLE ANDADOR EL CAMARON  , NUEVO TORNO LARGO , PARAISO , TABASCO ,</v>
      </c>
    </row>
    <row r="330" spans="1:20" ht="15.75" thickBot="1" x14ac:dyDescent="0.3">
      <c r="A330" s="6" t="s">
        <v>962</v>
      </c>
      <c r="B330" s="4" t="s">
        <v>963</v>
      </c>
      <c r="C330" s="4" t="s">
        <v>789</v>
      </c>
      <c r="D330" s="4" t="s">
        <v>654</v>
      </c>
      <c r="E330" s="4" t="s">
        <v>2</v>
      </c>
      <c r="F330" s="15" t="s">
        <v>4691</v>
      </c>
      <c r="G330" s="15" t="s">
        <v>4692</v>
      </c>
      <c r="I330" t="str">
        <f t="shared" si="5"/>
        <v>UPDATE `katana`.`funeraria_contrato_individual` SET `latitud`='184.025.183', `longitud`='-932.165.979' WHERE  `idcontrato_individual`='MIG329';</v>
      </c>
      <c r="T330" t="str" cm="1">
        <f t="array" aca="1" ref="T330" ca="1">eConcatenar(B330:E330," , ")</f>
        <v>AVENIDA DOS VOCAS MANZANA 4 LOTE 15 , NUEVO TORNO LARGO , PARAISO , TABASCO ,</v>
      </c>
    </row>
    <row r="331" spans="1:20" ht="15.75" thickBot="1" x14ac:dyDescent="0.3">
      <c r="A331" s="6" t="s">
        <v>964</v>
      </c>
      <c r="B331" s="4" t="s">
        <v>965</v>
      </c>
      <c r="C331" s="4" t="s">
        <v>905</v>
      </c>
      <c r="D331" s="4" t="s">
        <v>654</v>
      </c>
      <c r="E331" s="4" t="s">
        <v>2</v>
      </c>
      <c r="F331" s="15" t="s">
        <v>4617</v>
      </c>
      <c r="G331" s="15" t="s">
        <v>4618</v>
      </c>
      <c r="I331" t="str">
        <f t="shared" si="5"/>
        <v>UPDATE `katana`.`funeraria_contrato_individual` SET `latitud`='18.405.578', `longitud`='-932.027.617' WHERE  `idcontrato_individual`='MIG330';</v>
      </c>
      <c r="T331" t="str" cm="1">
        <f t="array" aca="1" ref="T331" ca="1">eConcatenar(B331:E331," , ")</f>
        <v>CARRETERA A PUERTO CEIBA , PUERTO CEIBA CARRIZAL , PARAISO , TABASCO ,</v>
      </c>
    </row>
    <row r="332" spans="1:20" ht="15.75" thickBot="1" x14ac:dyDescent="0.3">
      <c r="A332" s="6" t="s">
        <v>966</v>
      </c>
      <c r="B332" s="4" t="s">
        <v>967</v>
      </c>
      <c r="C332" s="4" t="s">
        <v>905</v>
      </c>
      <c r="D332" s="4" t="s">
        <v>654</v>
      </c>
      <c r="E332" s="4" t="s">
        <v>2</v>
      </c>
      <c r="F332" s="15" t="s">
        <v>4617</v>
      </c>
      <c r="G332" s="15" t="s">
        <v>4618</v>
      </c>
      <c r="I332" t="str">
        <f t="shared" si="5"/>
        <v>UPDATE `katana`.`funeraria_contrato_individual` SET `latitud`='18.405.578', `longitud`='-932.027.617' WHERE  `idcontrato_individual`='MIG331';</v>
      </c>
      <c r="T332" t="str" cm="1">
        <f t="array" aca="1" ref="T332" ca="1">eConcatenar(B332:E332," , ")</f>
        <v>CARRETERA PUERTO CEIBA , PUERTO CEIBA CARRIZAL , PARAISO , TABASCO ,</v>
      </c>
    </row>
    <row r="333" spans="1:20" ht="15.75" thickBot="1" x14ac:dyDescent="0.3">
      <c r="A333" s="6" t="s">
        <v>968</v>
      </c>
      <c r="B333" s="4" t="s">
        <v>969</v>
      </c>
      <c r="C333" s="4" t="s">
        <v>40</v>
      </c>
      <c r="D333" s="4" t="s">
        <v>654</v>
      </c>
      <c r="E333" s="4" t="s">
        <v>2</v>
      </c>
      <c r="F333" s="15" t="s">
        <v>4693</v>
      </c>
      <c r="G333" s="15" t="s">
        <v>4694</v>
      </c>
      <c r="I333" t="str">
        <f t="shared" si="5"/>
        <v>UPDATE `katana`.`funeraria_contrato_individual` SET `latitud`='183.998.175', `longitud`='-932.150.379' WHERE  `idcontrato_individual`='MIG332';</v>
      </c>
      <c r="T333" t="str" cm="1">
        <f t="array" aca="1" ref="T333" ca="1">eConcatenar(B333:E333," , ")</f>
        <v>CALLE GUTIERRES ZAMORA 501 INTERIOR ORIENTE , CENTRO , PARAISO , TABASCO ,</v>
      </c>
    </row>
    <row r="334" spans="1:20" ht="15.75" thickBot="1" x14ac:dyDescent="0.3">
      <c r="A334" s="6" t="s">
        <v>970</v>
      </c>
      <c r="B334" s="4" t="s">
        <v>972</v>
      </c>
      <c r="C334" s="4" t="s">
        <v>40</v>
      </c>
      <c r="D334" s="4" t="s">
        <v>654</v>
      </c>
      <c r="E334" s="4" t="s">
        <v>2</v>
      </c>
      <c r="F334" s="15" t="s">
        <v>4695</v>
      </c>
      <c r="G334" s="15" t="s">
        <v>4696</v>
      </c>
      <c r="I334" t="str">
        <f t="shared" si="5"/>
        <v>UPDATE `katana`.`funeraria_contrato_individual` SET `latitud`='183.989.408', `longitud`='-9.321.005.869.999.990' WHERE  `idcontrato_individual`='MIG333';</v>
      </c>
      <c r="T334" t="str" cm="1">
        <f t="array" aca="1" ref="T334" ca="1">eConcatenar(B334:E334," , ")</f>
        <v>CALLE MORELOS  610 , CENTRO , PARAISO , TABASCO ,</v>
      </c>
    </row>
    <row r="335" spans="1:20" ht="15.75" thickBot="1" x14ac:dyDescent="0.3">
      <c r="A335" s="6" t="s">
        <v>973</v>
      </c>
      <c r="B335" s="4" t="s">
        <v>974</v>
      </c>
      <c r="C335" s="4" t="s">
        <v>40</v>
      </c>
      <c r="D335" s="4" t="s">
        <v>654</v>
      </c>
      <c r="E335" s="4" t="s">
        <v>2</v>
      </c>
      <c r="F335" s="15" t="s">
        <v>4697</v>
      </c>
      <c r="G335" s="15" t="s">
        <v>4698</v>
      </c>
      <c r="I335" t="str">
        <f t="shared" si="5"/>
        <v>UPDATE `katana`.`funeraria_contrato_individual` SET `latitud`='183.976.438', `longitud`='-932.135.533' WHERE  `idcontrato_individual`='MIG334';</v>
      </c>
      <c r="T335" t="str" cm="1">
        <f t="array" aca="1" ref="T335" ca="1">eConcatenar(B335:E335," , ")</f>
        <v>CALLE BENITO JUAREZ 302 , CENTRO , PARAISO , TABASCO ,</v>
      </c>
    </row>
    <row r="336" spans="1:20" ht="15.75" thickBot="1" x14ac:dyDescent="0.3">
      <c r="A336" s="6" t="s">
        <v>975</v>
      </c>
      <c r="B336" s="4" t="s">
        <v>976</v>
      </c>
      <c r="C336" s="4" t="s">
        <v>40</v>
      </c>
      <c r="D336" s="4" t="s">
        <v>654</v>
      </c>
      <c r="E336" s="4" t="s">
        <v>2</v>
      </c>
      <c r="F336" s="15" t="s">
        <v>4699</v>
      </c>
      <c r="G336" s="15" t="s">
        <v>4700</v>
      </c>
      <c r="I336" t="str">
        <f t="shared" si="5"/>
        <v>UPDATE `katana`.`funeraria_contrato_individual` SET `latitud`='184.054.619', `longitud`='-93.210.646' WHERE  `idcontrato_individual`='MIG335';</v>
      </c>
      <c r="T336" t="str" cm="1">
        <f t="array" aca="1" ref="T336" ca="1">eConcatenar(B336:E336," , ")</f>
        <v>CALLE GREGORIO MENDEZ 1237 , CENTRO , PARAISO , TABASCO ,</v>
      </c>
    </row>
    <row r="337" spans="1:20" ht="15.75" thickBot="1" x14ac:dyDescent="0.3">
      <c r="A337" s="6" t="s">
        <v>977</v>
      </c>
      <c r="B337" s="4" t="s">
        <v>978</v>
      </c>
      <c r="C337" s="4" t="s">
        <v>40</v>
      </c>
      <c r="D337" s="4" t="s">
        <v>654</v>
      </c>
      <c r="E337" s="4" t="s">
        <v>2</v>
      </c>
      <c r="F337" s="15" t="s">
        <v>4701</v>
      </c>
      <c r="G337" s="15" t="s">
        <v>4702</v>
      </c>
      <c r="I337" t="str">
        <f t="shared" si="5"/>
        <v>UPDATE `katana`.`funeraria_contrato_individual` SET `latitud`='184.054.567', `longitud`='-932.105.792' WHERE  `idcontrato_individual`='MIG336';</v>
      </c>
      <c r="T337" t="str" cm="1">
        <f t="array" aca="1" ref="T337" ca="1">eConcatenar(B337:E337," , ")</f>
        <v>CALLE GREGORIO MENDEZ 1238 , CENTRO , PARAISO , TABASCO ,</v>
      </c>
    </row>
    <row r="338" spans="1:20" ht="15.75" thickBot="1" x14ac:dyDescent="0.3">
      <c r="A338" s="6" t="s">
        <v>979</v>
      </c>
      <c r="B338" s="4" t="s">
        <v>980</v>
      </c>
      <c r="C338" s="4" t="s">
        <v>40</v>
      </c>
      <c r="D338" s="4" t="s">
        <v>654</v>
      </c>
      <c r="E338" s="4" t="s">
        <v>2</v>
      </c>
      <c r="F338" s="15" t="s">
        <v>4703</v>
      </c>
      <c r="G338" s="15" t="s">
        <v>4704</v>
      </c>
      <c r="I338" t="str">
        <f t="shared" si="5"/>
        <v>UPDATE `katana`.`funeraria_contrato_individual` SET `latitud`='184.056.634', `longitud`='-932.100.802' WHERE  `idcontrato_individual`='MIG337';</v>
      </c>
      <c r="T338" t="str" cm="1">
        <f t="array" aca="1" ref="T338" ca="1">eConcatenar(B338:E338," , ")</f>
        <v>CALLE SAMUEL MAGAÑA PONIENTE 228 , CENTRO , PARAISO , TABASCO ,</v>
      </c>
    </row>
    <row r="339" spans="1:20" ht="15.75" thickBot="1" x14ac:dyDescent="0.3">
      <c r="A339" s="6" t="s">
        <v>981</v>
      </c>
      <c r="B339" s="4" t="s">
        <v>982</v>
      </c>
      <c r="C339" s="4" t="s">
        <v>983</v>
      </c>
      <c r="D339" s="4" t="s">
        <v>654</v>
      </c>
      <c r="E339" s="4" t="s">
        <v>2</v>
      </c>
      <c r="F339" s="15" t="s">
        <v>4705</v>
      </c>
      <c r="G339" s="15" t="s">
        <v>4706</v>
      </c>
      <c r="I339" t="str">
        <f t="shared" si="5"/>
        <v>UPDATE `katana`.`funeraria_contrato_individual` SET `latitud`='184.071.822', `longitud`='-932.175.196' WHERE  `idcontrato_individual`='MIG338';</v>
      </c>
      <c r="T339" t="str" cm="1">
        <f t="array" aca="1" ref="T339" ca="1">eConcatenar(B339:E339," , ")</f>
        <v>CALLE 18 DE MARZO ENTRADA EL COQUITO , EL COQUITO , PARAISO , TABASCO ,</v>
      </c>
    </row>
    <row r="340" spans="1:20" ht="15.75" thickBot="1" x14ac:dyDescent="0.3">
      <c r="A340" s="6" t="s">
        <v>984</v>
      </c>
      <c r="B340" s="4" t="s">
        <v>985</v>
      </c>
      <c r="C340" s="4" t="s">
        <v>698</v>
      </c>
      <c r="D340" s="4" t="s">
        <v>654</v>
      </c>
      <c r="E340" s="4" t="s">
        <v>2</v>
      </c>
      <c r="F340" s="15" t="s">
        <v>4569</v>
      </c>
      <c r="G340" s="15" t="s">
        <v>4570</v>
      </c>
      <c r="I340" t="str">
        <f t="shared" si="5"/>
        <v>UPDATE `katana`.`funeraria_contrato_individual` SET `latitud`='18.399.731', `longitud`='-9.322.003.199.999.990' WHERE  `idcontrato_individual`='MIG339';</v>
      </c>
      <c r="T340" t="str" cm="1">
        <f t="array" aca="1" ref="T340" ca="1">eConcatenar(B340:E340," , ")</f>
        <v>ENTRADA  LA RINCONADA  , LAS FLORES PRIMERA SECCION , PARAISO , TABASCO ,</v>
      </c>
    </row>
    <row r="341" spans="1:20" ht="15.75" thickBot="1" x14ac:dyDescent="0.3">
      <c r="A341" s="6" t="s">
        <v>986</v>
      </c>
      <c r="B341" s="4" t="s">
        <v>987</v>
      </c>
      <c r="C341" s="4" t="s">
        <v>698</v>
      </c>
      <c r="D341" s="4" t="s">
        <v>654</v>
      </c>
      <c r="E341" s="4" t="s">
        <v>2</v>
      </c>
      <c r="F341" s="15" t="s">
        <v>4569</v>
      </c>
      <c r="G341" s="15" t="s">
        <v>4570</v>
      </c>
      <c r="I341" t="str">
        <f t="shared" si="5"/>
        <v>UPDATE `katana`.`funeraria_contrato_individual` SET `latitud`='18.399.731', `longitud`='-9.322.003.199.999.990' WHERE  `idcontrato_individual`='MIG340';</v>
      </c>
      <c r="T341" t="str" cm="1">
        <f t="array" aca="1" ref="T341" ca="1">eConcatenar(B341:E341," , ")</f>
        <v>ENTRADA A LOS GOMEZ , LAS FLORES PRIMERA SECCION , PARAISO , TABASCO ,</v>
      </c>
    </row>
    <row r="342" spans="1:20" ht="15.75" thickBot="1" x14ac:dyDescent="0.3">
      <c r="A342" s="6" t="s">
        <v>989</v>
      </c>
      <c r="B342" s="4" t="s">
        <v>990</v>
      </c>
      <c r="C342" s="4" t="s">
        <v>698</v>
      </c>
      <c r="D342" s="4" t="s">
        <v>654</v>
      </c>
      <c r="E342" s="4" t="s">
        <v>2</v>
      </c>
      <c r="F342" s="15" t="s">
        <v>4569</v>
      </c>
      <c r="G342" s="15" t="s">
        <v>4570</v>
      </c>
      <c r="I342" t="str">
        <f t="shared" si="5"/>
        <v>UPDATE `katana`.`funeraria_contrato_individual` SET `latitud`='18.399.731', `longitud`='-9.322.003.199.999.990' WHERE  `idcontrato_individual`='MIG341';</v>
      </c>
      <c r="T342" t="str" cm="1">
        <f t="array" aca="1" ref="T342" ca="1">eConcatenar(B342:E342," , ")</f>
        <v>ENTRADA LOS GOMEZ , LAS FLORES PRIMERA SECCION , PARAISO , TABASCO ,</v>
      </c>
    </row>
    <row r="343" spans="1:20" ht="15.75" thickBot="1" x14ac:dyDescent="0.3">
      <c r="A343" s="6" t="s">
        <v>991</v>
      </c>
      <c r="B343" s="4" t="s">
        <v>746</v>
      </c>
      <c r="C343" s="4" t="s">
        <v>698</v>
      </c>
      <c r="D343" s="4" t="s">
        <v>654</v>
      </c>
      <c r="E343" s="4" t="s">
        <v>2</v>
      </c>
      <c r="F343" s="15" t="s">
        <v>4569</v>
      </c>
      <c r="G343" s="15" t="s">
        <v>4570</v>
      </c>
      <c r="I343" t="str">
        <f t="shared" si="5"/>
        <v>UPDATE `katana`.`funeraria_contrato_individual` SET `latitud`='18.399.731', `longitud`='-9.322.003.199.999.990' WHERE  `idcontrato_individual`='MIG342';</v>
      </c>
      <c r="T343" t="str" cm="1">
        <f t="array" aca="1" ref="T343" ca="1">eConcatenar(B343:E343," , ")</f>
        <v>ENTRADA LA RINCONADA , LAS FLORES PRIMERA SECCION , PARAISO , TABASCO ,</v>
      </c>
    </row>
    <row r="344" spans="1:20" ht="15.75" thickBot="1" x14ac:dyDescent="0.3">
      <c r="A344" s="7" t="s">
        <v>992</v>
      </c>
      <c r="B344" s="5" t="s">
        <v>993</v>
      </c>
      <c r="C344" s="5" t="s">
        <v>656</v>
      </c>
      <c r="D344" s="5" t="s">
        <v>654</v>
      </c>
      <c r="E344" s="5" t="s">
        <v>2</v>
      </c>
      <c r="F344" s="15" t="s">
        <v>4707</v>
      </c>
      <c r="G344" s="15" t="s">
        <v>4708</v>
      </c>
      <c r="I344" t="str">
        <f t="shared" si="5"/>
        <v>UPDATE `katana`.`funeraria_contrato_individual` SET `latitud`='18.331.253', `longitud`='-9.319.459.529.999.990' WHERE  `idcontrato_individual`='MIG343';</v>
      </c>
      <c r="T344" t="str" cm="1">
        <f t="array" aca="1" ref="T344" ca="1">eConcatenar(B344:E344," , ")</f>
        <v>LOCALODAD FRANCISCO I MADERO SIN NUMERO , FRANCISCO I MADERO SEGUNDA SECCION , PARAISO , TABASCO ,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Hoja2</vt:lpstr>
      <vt:lpstr>Hoja7</vt:lpstr>
      <vt:lpstr>Hoja3</vt:lpstr>
      <vt:lpstr>Hoja4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2021-09-27T15:02:37Z</dcterms:modified>
</cp:coreProperties>
</file>
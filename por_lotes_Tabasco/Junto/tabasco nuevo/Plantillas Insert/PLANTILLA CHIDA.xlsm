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Plantillas Insert\"/>
    </mc:Choice>
  </mc:AlternateContent>
  <xr:revisionPtr revIDLastSave="0" documentId="13_ncr:1_{A167500A-747A-4B62-97EF-60207698C097}" xr6:coauthVersionLast="47" xr6:coauthVersionMax="47" xr10:uidLastSave="{00000000-0000-0000-0000-000000000000}"/>
  <bookViews>
    <workbookView xWindow="-120" yWindow="-120" windowWidth="24240" windowHeight="13290" xr2:uid="{C4629C50-221B-412B-BAA9-4276A71C39D7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D211" i="1" l="1" a="1"/>
  <c r="CD215" i="1" a="1"/>
  <c r="CD219" i="1" a="1"/>
  <c r="CD223" i="1" a="1"/>
  <c r="CD227" i="1" a="1"/>
  <c r="CD231" i="1" a="1"/>
  <c r="CD235" i="1" a="1"/>
  <c r="CD239" i="1" a="1"/>
  <c r="CD243" i="1" a="1"/>
  <c r="CD247" i="1" a="1"/>
  <c r="CD251" i="1" a="1"/>
  <c r="CD255" i="1" a="1"/>
  <c r="CD259" i="1" a="1"/>
  <c r="CD263" i="1" a="1"/>
  <c r="CD267" i="1" a="1"/>
  <c r="CD271" i="1" a="1"/>
  <c r="CD275" i="1" a="1"/>
  <c r="CD279" i="1" a="1"/>
  <c r="CD283" i="1" a="1"/>
  <c r="CD287" i="1" a="1"/>
  <c r="CD291" i="1" a="1"/>
  <c r="CD295" i="1" a="1"/>
  <c r="CD299" i="1" a="1"/>
  <c r="CD303" i="1" a="1"/>
  <c r="CD307" i="1" a="1"/>
  <c r="CD311" i="1" a="1"/>
  <c r="CD315" i="1" a="1"/>
  <c r="CD319" i="1" a="1"/>
  <c r="CD323" i="1" a="1"/>
  <c r="CD327" i="1" a="1"/>
  <c r="CD331" i="1" a="1"/>
  <c r="CD335" i="1" a="1"/>
  <c r="CD339" i="1" a="1"/>
  <c r="CD343" i="1" a="1"/>
  <c r="CD347" i="1" a="1"/>
  <c r="CD351" i="1" a="1"/>
  <c r="CD355" i="1" a="1"/>
  <c r="CD359" i="1" a="1"/>
  <c r="CD363" i="1" a="1"/>
  <c r="CD367" i="1" a="1"/>
  <c r="CD375" i="1" a="1"/>
  <c r="CD379" i="1" a="1"/>
  <c r="CD387" i="1" a="1"/>
  <c r="CD236" i="1" a="1"/>
  <c r="CD272" i="1" a="1"/>
  <c r="CD288" i="1" a="1"/>
  <c r="CD300" i="1" a="1"/>
  <c r="CD308" i="1" a="1"/>
  <c r="CD316" i="1" a="1"/>
  <c r="CD332" i="1" a="1"/>
  <c r="CD344" i="1" a="1"/>
  <c r="CD352" i="1" a="1"/>
  <c r="CD364" i="1" a="1"/>
  <c r="CD372" i="1" a="1"/>
  <c r="CD380" i="1" a="1"/>
  <c r="CD388" i="1" a="1"/>
  <c r="CD396" i="1" a="1"/>
  <c r="CD408" i="1" a="1"/>
  <c r="CD226" i="1" a="1"/>
  <c r="CD238" i="1" a="1"/>
  <c r="CD258" i="1" a="1"/>
  <c r="CD278" i="1" a="1"/>
  <c r="CD302" i="1" a="1"/>
  <c r="CD322" i="1" a="1"/>
  <c r="CD342" i="1" a="1"/>
  <c r="CD362" i="1" a="1"/>
  <c r="CD382" i="1" a="1"/>
  <c r="CD410" i="1" a="1"/>
  <c r="CD403" i="1" a="1"/>
  <c r="CD212" i="1" a="1"/>
  <c r="CD216" i="1" a="1"/>
  <c r="CD220" i="1" a="1"/>
  <c r="CD224" i="1" a="1"/>
  <c r="CD228" i="1" a="1"/>
  <c r="CD232" i="1" a="1"/>
  <c r="CD240" i="1" a="1"/>
  <c r="CD244" i="1" a="1"/>
  <c r="CD248" i="1" a="1"/>
  <c r="CD252" i="1" a="1"/>
  <c r="CD256" i="1" a="1"/>
  <c r="CD260" i="1" a="1"/>
  <c r="CD264" i="1" a="1"/>
  <c r="CD268" i="1" a="1"/>
  <c r="CD276" i="1" a="1"/>
  <c r="CD280" i="1" a="1"/>
  <c r="CD284" i="1" a="1"/>
  <c r="CD292" i="1" a="1"/>
  <c r="CD296" i="1" a="1"/>
  <c r="CD304" i="1" a="1"/>
  <c r="CD312" i="1" a="1"/>
  <c r="CD320" i="1" a="1"/>
  <c r="CD324" i="1" a="1"/>
  <c r="CD328" i="1" a="1"/>
  <c r="CD336" i="1" a="1"/>
  <c r="CD340" i="1" a="1"/>
  <c r="CD348" i="1" a="1"/>
  <c r="CD356" i="1" a="1"/>
  <c r="CD360" i="1" a="1"/>
  <c r="CD368" i="1" a="1"/>
  <c r="CD376" i="1" a="1"/>
  <c r="CD384" i="1" a="1"/>
  <c r="CD392" i="1" a="1"/>
  <c r="CD400" i="1" a="1"/>
  <c r="CD404" i="1" a="1"/>
  <c r="CD409" i="1" a="1"/>
  <c r="CD230" i="1" a="1"/>
  <c r="CD254" i="1" a="1"/>
  <c r="CD274" i="1" a="1"/>
  <c r="CD294" i="1" a="1"/>
  <c r="CD310" i="1" a="1"/>
  <c r="CD326" i="1" a="1"/>
  <c r="CD346" i="1" a="1"/>
  <c r="CD366" i="1" a="1"/>
  <c r="CD390" i="1" a="1"/>
  <c r="CD406" i="1" a="1"/>
  <c r="CD395" i="1" a="1"/>
  <c r="CD225" i="1" a="1"/>
  <c r="CD257" i="1" a="1"/>
  <c r="CD269" i="1" a="1"/>
  <c r="CD273" i="1" a="1"/>
  <c r="CD281" i="1" a="1"/>
  <c r="CD289" i="1" a="1"/>
  <c r="CD297" i="1" a="1"/>
  <c r="CD305" i="1" a="1"/>
  <c r="CD309" i="1" a="1"/>
  <c r="CD317" i="1" a="1"/>
  <c r="CD325" i="1" a="1"/>
  <c r="CD333" i="1" a="1"/>
  <c r="CD337" i="1" a="1"/>
  <c r="CD345" i="1" a="1"/>
  <c r="CD353" i="1" a="1"/>
  <c r="CD361" i="1" a="1"/>
  <c r="CD369" i="1" a="1"/>
  <c r="CD373" i="1" a="1"/>
  <c r="CD381" i="1" a="1"/>
  <c r="CD389" i="1" a="1"/>
  <c r="CD397" i="1" a="1"/>
  <c r="CD405" i="1" a="1"/>
  <c r="CD218" i="1" a="1"/>
  <c r="CD246" i="1" a="1"/>
  <c r="CD262" i="1" a="1"/>
  <c r="CD282" i="1" a="1"/>
  <c r="CD298" i="1" a="1"/>
  <c r="CD318" i="1" a="1"/>
  <c r="CD338" i="1" a="1"/>
  <c r="CD354" i="1" a="1"/>
  <c r="CD370" i="1" a="1"/>
  <c r="CD386" i="1" a="1"/>
  <c r="CD402" i="1" a="1"/>
  <c r="CD391" i="1" a="1"/>
  <c r="CD213" i="1" a="1"/>
  <c r="CD217" i="1" a="1"/>
  <c r="CD221" i="1" a="1"/>
  <c r="CD229" i="1" a="1"/>
  <c r="CD233" i="1" a="1"/>
  <c r="CD237" i="1" a="1"/>
  <c r="CD241" i="1" a="1"/>
  <c r="CD245" i="1" a="1"/>
  <c r="CD249" i="1" a="1"/>
  <c r="CD253" i="1" a="1"/>
  <c r="CD261" i="1" a="1"/>
  <c r="CD265" i="1" a="1"/>
  <c r="CD277" i="1" a="1"/>
  <c r="CD285" i="1" a="1"/>
  <c r="CD293" i="1" a="1"/>
  <c r="CD301" i="1" a="1"/>
  <c r="CD313" i="1" a="1"/>
  <c r="CD321" i="1" a="1"/>
  <c r="CD329" i="1" a="1"/>
  <c r="CD341" i="1" a="1"/>
  <c r="CD349" i="1" a="1"/>
  <c r="CD357" i="1" a="1"/>
  <c r="CD365" i="1" a="1"/>
  <c r="CD377" i="1" a="1"/>
  <c r="CD385" i="1" a="1"/>
  <c r="CD393" i="1" a="1"/>
  <c r="CD401" i="1" a="1"/>
  <c r="CD222" i="1" a="1"/>
  <c r="CD250" i="1" a="1"/>
  <c r="CD270" i="1" a="1"/>
  <c r="CD290" i="1" a="1"/>
  <c r="CD314" i="1" a="1"/>
  <c r="CD334" i="1" a="1"/>
  <c r="CD358" i="1" a="1"/>
  <c r="CD378" i="1" a="1"/>
  <c r="CD398" i="1" a="1"/>
  <c r="CD399" i="1" a="1"/>
  <c r="CD214" i="1" a="1"/>
  <c r="CD234" i="1" a="1"/>
  <c r="CD242" i="1" a="1"/>
  <c r="CD266" i="1" a="1"/>
  <c r="CD286" i="1" a="1"/>
  <c r="CD306" i="1" a="1"/>
  <c r="CD330" i="1" a="1"/>
  <c r="CD350" i="1" a="1"/>
  <c r="CD374" i="1" a="1"/>
  <c r="CD394" i="1" a="1"/>
  <c r="CD383" i="1" a="1"/>
  <c r="CD407" i="1" a="1"/>
  <c r="CD371" i="1" a="1"/>
  <c r="CD98" i="1" a="1"/>
  <c r="CD99" i="1" a="1"/>
  <c r="CD92" i="1" a="1"/>
  <c r="CD81" i="1" a="1"/>
  <c r="CD85" i="1" a="1"/>
  <c r="CD89" i="1" a="1"/>
  <c r="CD93" i="1" a="1"/>
  <c r="CD97" i="1" a="1"/>
  <c r="CD101" i="1" a="1"/>
  <c r="CD105" i="1" a="1"/>
  <c r="CD109" i="1" a="1"/>
  <c r="CD113" i="1" a="1"/>
  <c r="CD117" i="1" a="1"/>
  <c r="CD121" i="1" a="1"/>
  <c r="CD125" i="1" a="1"/>
  <c r="CD129" i="1" a="1"/>
  <c r="CD133" i="1" a="1"/>
  <c r="CD137" i="1" a="1"/>
  <c r="CD141" i="1" a="1"/>
  <c r="CD145" i="1" a="1"/>
  <c r="CD149" i="1" a="1"/>
  <c r="CD153" i="1" a="1"/>
  <c r="CD157" i="1" a="1"/>
  <c r="CD161" i="1" a="1"/>
  <c r="CD165" i="1" a="1"/>
  <c r="CD169" i="1" a="1"/>
  <c r="CD173" i="1" a="1"/>
  <c r="CD177" i="1" a="1"/>
  <c r="CD181" i="1" a="1"/>
  <c r="CD185" i="1" a="1"/>
  <c r="CD189" i="1" a="1"/>
  <c r="CD193" i="1" a="1"/>
  <c r="CD197" i="1" a="1"/>
  <c r="CD82" i="1" a="1"/>
  <c r="CD87" i="1" a="1"/>
  <c r="CD91" i="1" a="1"/>
  <c r="CD95" i="1" a="1"/>
  <c r="CD83" i="1" a="1"/>
  <c r="CD84" i="1" a="1"/>
  <c r="CD88" i="1" a="1"/>
  <c r="CD86" i="1" a="1"/>
  <c r="CD110" i="1" a="1"/>
  <c r="CD126" i="1" a="1"/>
  <c r="CD142" i="1" a="1"/>
  <c r="CD158" i="1" a="1"/>
  <c r="CD174" i="1" a="1"/>
  <c r="CD190" i="1" a="1"/>
  <c r="CD205" i="1" a="1"/>
  <c r="CD104" i="1" a="1"/>
  <c r="CD94" i="1" a="1"/>
  <c r="CD100" i="1" a="1"/>
  <c r="CD111" i="1" a="1"/>
  <c r="CD116" i="1" a="1"/>
  <c r="CD127" i="1" a="1"/>
  <c r="CD132" i="1" a="1"/>
  <c r="CD143" i="1" a="1"/>
  <c r="CD148" i="1" a="1"/>
  <c r="CD159" i="1" a="1"/>
  <c r="CD164" i="1" a="1"/>
  <c r="CD175" i="1" a="1"/>
  <c r="CD180" i="1" a="1"/>
  <c r="CD191" i="1" a="1"/>
  <c r="CD196" i="1" a="1"/>
  <c r="CD201" i="1" a="1"/>
  <c r="CD163" i="1" a="1"/>
  <c r="CD200" i="1" a="1"/>
  <c r="CD106" i="1" a="1"/>
  <c r="CD122" i="1" a="1"/>
  <c r="CD138" i="1" a="1"/>
  <c r="CD154" i="1" a="1"/>
  <c r="CD170" i="1" a="1"/>
  <c r="CD186" i="1" a="1"/>
  <c r="CD206" i="1" a="1"/>
  <c r="CD152" i="1" a="1"/>
  <c r="CD179" i="1" a="1"/>
  <c r="CD96" i="1" a="1"/>
  <c r="CD107" i="1" a="1"/>
  <c r="CD112" i="1" a="1"/>
  <c r="CD123" i="1" a="1"/>
  <c r="CD128" i="1" a="1"/>
  <c r="CD139" i="1" a="1"/>
  <c r="CD144" i="1" a="1"/>
  <c r="CD155" i="1" a="1"/>
  <c r="CD160" i="1" a="1"/>
  <c r="CD171" i="1" a="1"/>
  <c r="CD176" i="1" a="1"/>
  <c r="CD187" i="1" a="1"/>
  <c r="CD192" i="1" a="1"/>
  <c r="CD202" i="1" a="1"/>
  <c r="CD207" i="1" a="1"/>
  <c r="CD131" i="1" a="1"/>
  <c r="CD90" i="1" a="1"/>
  <c r="CD102" i="1" a="1"/>
  <c r="CD118" i="1" a="1"/>
  <c r="CD134" i="1" a="1"/>
  <c r="CD150" i="1" a="1"/>
  <c r="CD166" i="1" a="1"/>
  <c r="CD182" i="1" a="1"/>
  <c r="CD198" i="1" a="1"/>
  <c r="CD203" i="1" a="1"/>
  <c r="CD136" i="1" a="1"/>
  <c r="CD184" i="1" a="1"/>
  <c r="CD103" i="1" a="1"/>
  <c r="CD108" i="1" a="1"/>
  <c r="CD119" i="1" a="1"/>
  <c r="CD124" i="1" a="1"/>
  <c r="CD135" i="1" a="1"/>
  <c r="CD140" i="1" a="1"/>
  <c r="CD151" i="1" a="1"/>
  <c r="CD156" i="1" a="1"/>
  <c r="CD167" i="1" a="1"/>
  <c r="CD172" i="1" a="1"/>
  <c r="CD183" i="1" a="1"/>
  <c r="CD188" i="1" a="1"/>
  <c r="CD199" i="1" a="1"/>
  <c r="CD208" i="1" a="1"/>
  <c r="CD120" i="1" a="1"/>
  <c r="CD209" i="1" a="1"/>
  <c r="CD114" i="1" a="1"/>
  <c r="CD130" i="1" a="1"/>
  <c r="CD146" i="1" a="1"/>
  <c r="CD162" i="1" a="1"/>
  <c r="CD178" i="1" a="1"/>
  <c r="CD194" i="1" a="1"/>
  <c r="CD204" i="1" a="1"/>
  <c r="CD115" i="1" a="1"/>
  <c r="CD147" i="1" a="1"/>
  <c r="CD168" i="1" a="1"/>
  <c r="CD195" i="1" a="1"/>
  <c r="CD21" i="1" a="1"/>
  <c r="CD55" i="1" a="1"/>
  <c r="CD25" i="1" a="1"/>
  <c r="CD22" i="1" a="1"/>
  <c r="CD24" i="1" a="1"/>
  <c r="CD60" i="1" a="1"/>
  <c r="CD76" i="1" a="1"/>
  <c r="CD54" i="1" a="1"/>
  <c r="CD50" i="1" a="1"/>
  <c r="CD77" i="1" a="1"/>
  <c r="CD14" i="1" a="1"/>
  <c r="CD49" i="1" a="1"/>
  <c r="CD16" i="1" a="1"/>
  <c r="CD78" i="1" a="1"/>
  <c r="CD64" i="1" a="1"/>
  <c r="CD56" i="1" a="1"/>
  <c r="CD18" i="1" a="1"/>
  <c r="CD71" i="1" a="1"/>
  <c r="CD38" i="1" a="1"/>
  <c r="CD62" i="1" a="1"/>
  <c r="CD12" i="1" a="1"/>
  <c r="CD35" i="1" a="1"/>
  <c r="CD20" i="1" a="1"/>
  <c r="CD41" i="1" a="1"/>
  <c r="CD9" i="1" a="1"/>
  <c r="CD58" i="1" a="1"/>
  <c r="CD33" i="1" a="1"/>
  <c r="CD36" i="1" a="1"/>
  <c r="CD11" i="1" a="1"/>
  <c r="CD67" i="1" a="1"/>
  <c r="CD26" i="1" a="1"/>
  <c r="CD40" i="1" a="1"/>
  <c r="CD72" i="1" a="1"/>
  <c r="CD15" i="1" a="1"/>
  <c r="CD43" i="1" a="1"/>
  <c r="CD37" i="1" a="1"/>
  <c r="CD79" i="1" a="1"/>
  <c r="CD47" i="1" a="1"/>
  <c r="CD13" i="1" a="1"/>
  <c r="CD29" i="1" a="1"/>
  <c r="CD63" i="1" a="1"/>
  <c r="CD68" i="1" a="1"/>
  <c r="CD23" i="1" a="1"/>
  <c r="CD57" i="1" a="1"/>
  <c r="CD53" i="1" a="1"/>
  <c r="CD32" i="1" a="1"/>
  <c r="CD46" i="1" a="1"/>
  <c r="CD44" i="1" a="1"/>
  <c r="CD34" i="1" a="1"/>
  <c r="CD31" i="1" a="1"/>
  <c r="CD39" i="1" a="1"/>
  <c r="CD74" i="1" a="1"/>
  <c r="CD66" i="1" a="1"/>
  <c r="CD59" i="1" a="1"/>
  <c r="CD52" i="1" a="1"/>
  <c r="CD75" i="1" a="1"/>
  <c r="CD10" i="1" a="1"/>
  <c r="CD17" i="1" a="1"/>
  <c r="CD48" i="1" a="1"/>
  <c r="CD28" i="1" a="1"/>
  <c r="CD70" i="1" a="1"/>
  <c r="CD69" i="1" a="1"/>
  <c r="CD30" i="1" a="1"/>
  <c r="CD73" i="1" a="1"/>
  <c r="CD80" i="1" a="1"/>
  <c r="CD27" i="1" a="1"/>
  <c r="CD65" i="1" a="1"/>
  <c r="CD61" i="1" a="1"/>
  <c r="CD51" i="1" a="1"/>
  <c r="CD19" i="1" a="1"/>
  <c r="CD45" i="1" a="1"/>
  <c r="CD42" i="1" a="1"/>
  <c r="CD371" i="1" l="1"/>
  <c r="CD407" i="1"/>
  <c r="CD383" i="1"/>
  <c r="CD394" i="1"/>
  <c r="CD374" i="1"/>
  <c r="CD350" i="1"/>
  <c r="CD330" i="1"/>
  <c r="CD306" i="1"/>
  <c r="CD286" i="1"/>
  <c r="CD266" i="1"/>
  <c r="CD242" i="1"/>
  <c r="CD234" i="1"/>
  <c r="CD214" i="1"/>
  <c r="CD399" i="1"/>
  <c r="CD398" i="1"/>
  <c r="CD378" i="1"/>
  <c r="CD358" i="1"/>
  <c r="CD334" i="1"/>
  <c r="CD314" i="1"/>
  <c r="CD290" i="1"/>
  <c r="CD270" i="1"/>
  <c r="CD250" i="1"/>
  <c r="CD222" i="1"/>
  <c r="CD401" i="1"/>
  <c r="CD393" i="1"/>
  <c r="CD385" i="1"/>
  <c r="CD377" i="1"/>
  <c r="CD365" i="1"/>
  <c r="CD357" i="1"/>
  <c r="CD349" i="1"/>
  <c r="CD341" i="1"/>
  <c r="CD329" i="1"/>
  <c r="CD321" i="1"/>
  <c r="CD313" i="1"/>
  <c r="CD301" i="1"/>
  <c r="CD293" i="1"/>
  <c r="CD285" i="1"/>
  <c r="CD277" i="1"/>
  <c r="CD265" i="1"/>
  <c r="CD261" i="1"/>
  <c r="CD253" i="1"/>
  <c r="CD249" i="1"/>
  <c r="CD245" i="1"/>
  <c r="CD241" i="1"/>
  <c r="CD237" i="1"/>
  <c r="CD233" i="1"/>
  <c r="CD229" i="1"/>
  <c r="CD221" i="1"/>
  <c r="CD217" i="1"/>
  <c r="CD213" i="1"/>
  <c r="CD391" i="1"/>
  <c r="CD402" i="1"/>
  <c r="CD386" i="1"/>
  <c r="CD370" i="1"/>
  <c r="CD354" i="1"/>
  <c r="CD338" i="1"/>
  <c r="CD318" i="1"/>
  <c r="CD298" i="1"/>
  <c r="CD282" i="1"/>
  <c r="CD262" i="1"/>
  <c r="CD246" i="1"/>
  <c r="CD218" i="1"/>
  <c r="CD405" i="1"/>
  <c r="CD397" i="1"/>
  <c r="CD389" i="1"/>
  <c r="CD381" i="1"/>
  <c r="CD373" i="1"/>
  <c r="CD369" i="1"/>
  <c r="CD361" i="1"/>
  <c r="CD353" i="1"/>
  <c r="CD345" i="1"/>
  <c r="CD337" i="1"/>
  <c r="CD333" i="1"/>
  <c r="CD325" i="1"/>
  <c r="CD317" i="1"/>
  <c r="CD309" i="1"/>
  <c r="CD305" i="1"/>
  <c r="CD297" i="1"/>
  <c r="CD289" i="1"/>
  <c r="CD281" i="1"/>
  <c r="CD273" i="1"/>
  <c r="CD269" i="1"/>
  <c r="CD257" i="1"/>
  <c r="CD225" i="1"/>
  <c r="CD395" i="1"/>
  <c r="CD406" i="1"/>
  <c r="CD390" i="1"/>
  <c r="CD366" i="1"/>
  <c r="CD346" i="1"/>
  <c r="CD326" i="1"/>
  <c r="CD310" i="1"/>
  <c r="CD294" i="1"/>
  <c r="CD274" i="1"/>
  <c r="CD254" i="1"/>
  <c r="CD230" i="1"/>
  <c r="CD409" i="1"/>
  <c r="CD404" i="1"/>
  <c r="CD400" i="1"/>
  <c r="CD392" i="1"/>
  <c r="CD384" i="1"/>
  <c r="CD376" i="1"/>
  <c r="CD368" i="1"/>
  <c r="CD360" i="1"/>
  <c r="CD356" i="1"/>
  <c r="CD348" i="1"/>
  <c r="CD340" i="1"/>
  <c r="CD336" i="1"/>
  <c r="CD328" i="1"/>
  <c r="CD324" i="1"/>
  <c r="CD320" i="1"/>
  <c r="CD312" i="1"/>
  <c r="CD304" i="1"/>
  <c r="CD296" i="1"/>
  <c r="CD292" i="1"/>
  <c r="CD284" i="1"/>
  <c r="CD280" i="1"/>
  <c r="CD276" i="1"/>
  <c r="CD268" i="1"/>
  <c r="CD264" i="1"/>
  <c r="CD260" i="1"/>
  <c r="CD256" i="1"/>
  <c r="CD252" i="1"/>
  <c r="CD248" i="1"/>
  <c r="CD244" i="1"/>
  <c r="CD240" i="1"/>
  <c r="CD232" i="1"/>
  <c r="CD228" i="1"/>
  <c r="CD224" i="1"/>
  <c r="CD220" i="1"/>
  <c r="CD216" i="1"/>
  <c r="CD212" i="1"/>
  <c r="CD403" i="1"/>
  <c r="CD410" i="1"/>
  <c r="CD382" i="1"/>
  <c r="CD362" i="1"/>
  <c r="CD342" i="1"/>
  <c r="CD322" i="1"/>
  <c r="CD302" i="1"/>
  <c r="CD278" i="1"/>
  <c r="CD258" i="1"/>
  <c r="CD238" i="1"/>
  <c r="CD226" i="1"/>
  <c r="CD408" i="1"/>
  <c r="CD396" i="1"/>
  <c r="CD388" i="1"/>
  <c r="CD380" i="1"/>
  <c r="CD372" i="1"/>
  <c r="CD364" i="1"/>
  <c r="CD352" i="1"/>
  <c r="CD344" i="1"/>
  <c r="CD332" i="1"/>
  <c r="CD316" i="1"/>
  <c r="CD308" i="1"/>
  <c r="CD300" i="1"/>
  <c r="CD288" i="1"/>
  <c r="CD272" i="1"/>
  <c r="CD236" i="1"/>
  <c r="CD387" i="1"/>
  <c r="CD379" i="1"/>
  <c r="CD375" i="1"/>
  <c r="CD367" i="1"/>
  <c r="CD363" i="1"/>
  <c r="CD359" i="1"/>
  <c r="CD355" i="1"/>
  <c r="CD351" i="1"/>
  <c r="CD347" i="1"/>
  <c r="CD343" i="1"/>
  <c r="CD339" i="1"/>
  <c r="CD335" i="1"/>
  <c r="CD331" i="1"/>
  <c r="CD327" i="1"/>
  <c r="CD323" i="1"/>
  <c r="CD319" i="1"/>
  <c r="CD315" i="1"/>
  <c r="CD311" i="1"/>
  <c r="CD307" i="1"/>
  <c r="CD303" i="1"/>
  <c r="CD299" i="1"/>
  <c r="CD295" i="1"/>
  <c r="CD291" i="1"/>
  <c r="CD287" i="1"/>
  <c r="CD283" i="1"/>
  <c r="CD279" i="1"/>
  <c r="CD275" i="1"/>
  <c r="CD271" i="1"/>
  <c r="CD267" i="1"/>
  <c r="CD263" i="1"/>
  <c r="CD259" i="1"/>
  <c r="CD255" i="1"/>
  <c r="CD251" i="1"/>
  <c r="CD247" i="1"/>
  <c r="CD243" i="1"/>
  <c r="CD239" i="1"/>
  <c r="CD235" i="1"/>
  <c r="CD231" i="1"/>
  <c r="CD227" i="1"/>
  <c r="CD223" i="1"/>
  <c r="CD219" i="1"/>
  <c r="CD215" i="1"/>
  <c r="CD211" i="1"/>
  <c r="CD195" i="1"/>
  <c r="CD168" i="1"/>
  <c r="CD147" i="1"/>
  <c r="CD115" i="1"/>
  <c r="CD204" i="1"/>
  <c r="CD194" i="1"/>
  <c r="CD178" i="1"/>
  <c r="CD162" i="1"/>
  <c r="CD146" i="1"/>
  <c r="CD130" i="1"/>
  <c r="CD114" i="1"/>
  <c r="CD99" i="1"/>
  <c r="CD98" i="1"/>
  <c r="CD92" i="1"/>
  <c r="CD209" i="1"/>
  <c r="CD120" i="1"/>
  <c r="CD208" i="1"/>
  <c r="CD199" i="1"/>
  <c r="CD188" i="1"/>
  <c r="CD183" i="1"/>
  <c r="CD172" i="1"/>
  <c r="CD167" i="1"/>
  <c r="CD156" i="1"/>
  <c r="CD151" i="1"/>
  <c r="CD140" i="1"/>
  <c r="CD135" i="1"/>
  <c r="CD124" i="1"/>
  <c r="CD119" i="1"/>
  <c r="CD108" i="1"/>
  <c r="CD103" i="1"/>
  <c r="CD184" i="1"/>
  <c r="CD136" i="1"/>
  <c r="CD203" i="1"/>
  <c r="CD198" i="1"/>
  <c r="CD182" i="1"/>
  <c r="CD166" i="1"/>
  <c r="CD150" i="1"/>
  <c r="CD134" i="1"/>
  <c r="CD118" i="1"/>
  <c r="CD102" i="1"/>
  <c r="CD90" i="1"/>
  <c r="CD131" i="1"/>
  <c r="CD207" i="1"/>
  <c r="CD202" i="1"/>
  <c r="CD192" i="1"/>
  <c r="CD187" i="1"/>
  <c r="CD176" i="1"/>
  <c r="CD171" i="1"/>
  <c r="CD160" i="1"/>
  <c r="CD155" i="1"/>
  <c r="CD144" i="1"/>
  <c r="CD139" i="1"/>
  <c r="CD128" i="1"/>
  <c r="CD123" i="1"/>
  <c r="CD112" i="1"/>
  <c r="CD107" i="1"/>
  <c r="CD96" i="1"/>
  <c r="CD179" i="1"/>
  <c r="CD152" i="1"/>
  <c r="CD206" i="1"/>
  <c r="CD186" i="1"/>
  <c r="CD170" i="1"/>
  <c r="CD154" i="1"/>
  <c r="CD138" i="1"/>
  <c r="CD122" i="1"/>
  <c r="CD106" i="1"/>
  <c r="CD200" i="1"/>
  <c r="CD163" i="1"/>
  <c r="CD201" i="1"/>
  <c r="CD196" i="1"/>
  <c r="CD191" i="1"/>
  <c r="CD180" i="1"/>
  <c r="CD175" i="1"/>
  <c r="CD164" i="1"/>
  <c r="CD159" i="1"/>
  <c r="CD148" i="1"/>
  <c r="CD143" i="1"/>
  <c r="CD132" i="1"/>
  <c r="CD127" i="1"/>
  <c r="CD116" i="1"/>
  <c r="CD111" i="1"/>
  <c r="CD100" i="1"/>
  <c r="CD94" i="1"/>
  <c r="CD104" i="1"/>
  <c r="CD205" i="1"/>
  <c r="CD190" i="1"/>
  <c r="CD174" i="1"/>
  <c r="CD158" i="1"/>
  <c r="CD142" i="1"/>
  <c r="CD126" i="1"/>
  <c r="CD110" i="1"/>
  <c r="CD86" i="1"/>
  <c r="CD88" i="1"/>
  <c r="CD84" i="1"/>
  <c r="CD83" i="1"/>
  <c r="CD95" i="1"/>
  <c r="CD91" i="1"/>
  <c r="CD87" i="1"/>
  <c r="CD82" i="1"/>
  <c r="CD197" i="1"/>
  <c r="CD193" i="1"/>
  <c r="CD189" i="1"/>
  <c r="CD185" i="1"/>
  <c r="CD181" i="1"/>
  <c r="CD177" i="1"/>
  <c r="CD173" i="1"/>
  <c r="CD169" i="1"/>
  <c r="CD165" i="1"/>
  <c r="CD161" i="1"/>
  <c r="CD157" i="1"/>
  <c r="CD153" i="1"/>
  <c r="CD149" i="1"/>
  <c r="CD145" i="1"/>
  <c r="CD141" i="1"/>
  <c r="CD137" i="1"/>
  <c r="CD133" i="1"/>
  <c r="CD129" i="1"/>
  <c r="CD125" i="1"/>
  <c r="CD121" i="1"/>
  <c r="CD117" i="1"/>
  <c r="CD113" i="1"/>
  <c r="CD109" i="1"/>
  <c r="CD105" i="1"/>
  <c r="CD101" i="1"/>
  <c r="CD97" i="1"/>
  <c r="CD93" i="1"/>
  <c r="CD89" i="1"/>
  <c r="CD85" i="1"/>
  <c r="CD81" i="1"/>
  <c r="CD66" i="1"/>
  <c r="CD77" i="1"/>
  <c r="CD69" i="1"/>
  <c r="CD61" i="1"/>
  <c r="CD53" i="1"/>
  <c r="CD49" i="1"/>
  <c r="CD41" i="1"/>
  <c r="CD33" i="1"/>
  <c r="CD29" i="1"/>
  <c r="CD21" i="1"/>
  <c r="CD17" i="1"/>
  <c r="CD9" i="1"/>
  <c r="CD72" i="1"/>
  <c r="CD60" i="1"/>
  <c r="CD52" i="1"/>
  <c r="CD44" i="1"/>
  <c r="CD36" i="1"/>
  <c r="CD28" i="1"/>
  <c r="CD24" i="1"/>
  <c r="CD20" i="1"/>
  <c r="CD12" i="1"/>
  <c r="CD80" i="1"/>
  <c r="CD68" i="1"/>
  <c r="CD64" i="1"/>
  <c r="CD56" i="1"/>
  <c r="CD48" i="1"/>
  <c r="CD40" i="1"/>
  <c r="CD32" i="1"/>
  <c r="CD16" i="1"/>
  <c r="CD79" i="1"/>
  <c r="CD67" i="1"/>
  <c r="CD59" i="1"/>
  <c r="CD51" i="1"/>
  <c r="CD39" i="1"/>
  <c r="CD31" i="1"/>
  <c r="CD15" i="1"/>
  <c r="CD76" i="1"/>
  <c r="CD75" i="1"/>
  <c r="CD71" i="1"/>
  <c r="CD63" i="1"/>
  <c r="CD55" i="1"/>
  <c r="CD47" i="1"/>
  <c r="CD43" i="1"/>
  <c r="CD35" i="1"/>
  <c r="CD27" i="1"/>
  <c r="CD23" i="1"/>
  <c r="CD19" i="1"/>
  <c r="CD11" i="1"/>
  <c r="CD70" i="1"/>
  <c r="CD58" i="1"/>
  <c r="CD50" i="1"/>
  <c r="CD42" i="1"/>
  <c r="CD34" i="1"/>
  <c r="CD26" i="1"/>
  <c r="CD22" i="1"/>
  <c r="CD18" i="1"/>
  <c r="CD10" i="1"/>
  <c r="CD78" i="1"/>
  <c r="CD62" i="1"/>
  <c r="CD54" i="1"/>
  <c r="CD46" i="1"/>
  <c r="CD38" i="1"/>
  <c r="CD30" i="1"/>
  <c r="CD14" i="1"/>
  <c r="CD74" i="1"/>
  <c r="CD73" i="1"/>
  <c r="CD65" i="1"/>
  <c r="CD57" i="1"/>
  <c r="CD45" i="1"/>
  <c r="CD37" i="1"/>
  <c r="CD25" i="1"/>
  <c r="CD13" i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C2" i="1"/>
  <c r="CD6" i="1" a="1"/>
  <c r="CD8" i="1" a="1"/>
  <c r="CD7" i="1" a="1"/>
  <c r="CD7" i="1" l="1"/>
  <c r="CD8" i="1"/>
  <c r="CD6" i="1"/>
  <c r="D2" i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AN5" i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D1" i="1" a="1"/>
  <c r="CD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<sst xmlns="http://schemas.openxmlformats.org/spreadsheetml/2006/main" count="21621" uniqueCount="951">
  <si>
    <t>CARDENAS</t>
  </si>
  <si>
    <t>X</t>
  </si>
  <si>
    <t>LUNES</t>
  </si>
  <si>
    <t>x</t>
  </si>
  <si>
    <t>SOLTERO</t>
  </si>
  <si>
    <t>CENTRO</t>
  </si>
  <si>
    <t>CASADO</t>
  </si>
  <si>
    <t>LOPEZ</t>
  </si>
  <si>
    <t>GOMEZ</t>
  </si>
  <si>
    <t>ROBERTO</t>
  </si>
  <si>
    <t xml:space="preserve">CARDENAS </t>
  </si>
  <si>
    <t xml:space="preserve">DOMICILIO </t>
  </si>
  <si>
    <t xml:space="preserve">TABASCO </t>
  </si>
  <si>
    <t>GUTIERREZ</t>
  </si>
  <si>
    <t xml:space="preserve">ECONOLINE </t>
  </si>
  <si>
    <t xml:space="preserve">PEREZ </t>
  </si>
  <si>
    <t>cadenaEs[ecial</t>
  </si>
  <si>
    <t>Folio del contrato</t>
  </si>
  <si>
    <t>Estatus</t>
  </si>
  <si>
    <t>Paquete</t>
  </si>
  <si>
    <t>Estado</t>
  </si>
  <si>
    <t>Municipio</t>
  </si>
  <si>
    <t>Localidad</t>
  </si>
  <si>
    <t>Fecha de inscripcion</t>
  </si>
  <si>
    <t>precio del paquete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</si>
  <si>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</si>
  <si>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</si>
  <si>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</si>
  <si>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</si>
  <si>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</si>
  <si>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</si>
  <si>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</si>
  <si>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Nombre del Vendedor</t>
  </si>
  <si>
    <t>Comision_Vendedor</t>
  </si>
  <si>
    <t>comision de vendedor pagada</t>
  </si>
  <si>
    <t>Comision_Lider</t>
  </si>
  <si>
    <t>comision de lider  pagada</t>
  </si>
  <si>
    <t>Comision_Gerente</t>
  </si>
  <si>
    <t>comision de gerente pagada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</si>
  <si>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</si>
  <si>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</si>
  <si>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</si>
  <si>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</si>
  <si>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</si>
  <si>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</si>
  <si>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</si>
  <si>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</si>
  <si>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 del cliente</t>
  </si>
  <si>
    <t>IFE</t>
  </si>
  <si>
    <t>Domicilio</t>
  </si>
  <si>
    <t>Colonia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</si>
  <si>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</si>
  <si>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</si>
  <si>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</si>
  <si>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</si>
  <si>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</si>
  <si>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</si>
  <si>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</si>
  <si>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</si>
  <si>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</si>
  <si>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</si>
  <si>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</si>
  <si>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</si>
  <si>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</si>
  <si>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</si>
  <si>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 a la fecha</t>
  </si>
  <si>
    <t>Saldo_Deudor</t>
  </si>
  <si>
    <t>horario_cobro</t>
  </si>
  <si>
    <t>Estado_Cobro</t>
  </si>
  <si>
    <t>Retrasos dias retrasados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</si>
  <si>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</si>
  <si>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</si>
  <si>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</si>
  <si>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</si>
  <si>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</si>
  <si>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</si>
  <si>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</si>
  <si>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Colonia de cobranza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</si>
  <si>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</si>
  <si>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</si>
  <si>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</si>
  <si>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</si>
  <si>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</si>
  <si>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</si>
  <si>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</si>
  <si>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</si>
  <si>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</si>
  <si>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</si>
  <si>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</si>
  <si>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</si>
  <si>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</si>
  <si>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</si>
  <si>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</si>
  <si>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</si>
  <si>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</si>
  <si>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final</t>
  </si>
  <si>
    <t>idcontrato_individual</t>
  </si>
  <si>
    <t>Folio</t>
  </si>
  <si>
    <t>Fecha</t>
  </si>
  <si>
    <t>precio</t>
  </si>
  <si>
    <t>idusuario</t>
  </si>
  <si>
    <t>Nacimiento</t>
  </si>
  <si>
    <t>Monto_Liquidado</t>
  </si>
  <si>
    <t>Retrasos</t>
  </si>
  <si>
    <t>idcolonia</t>
  </si>
  <si>
    <t>A2002</t>
  </si>
  <si>
    <t>BELGICA</t>
  </si>
  <si>
    <t>JALISCO</t>
  </si>
  <si>
    <t>AMATITAN</t>
  </si>
  <si>
    <t>MARIA ELISA</t>
  </si>
  <si>
    <t>0000-00-00</t>
  </si>
  <si>
    <t>XX</t>
  </si>
  <si>
    <t>HIDALGO # 189</t>
  </si>
  <si>
    <t>LOPEZ MATEOS Y JUAN JOSE FLORES</t>
  </si>
  <si>
    <t xml:space="preserve">MARIA ELISA GOMEZ GUTIERREZ
</t>
  </si>
  <si>
    <t>contratos_registrados/Individual_A2002.docx</t>
  </si>
  <si>
    <t>sin archivo</t>
  </si>
  <si>
    <t>2021-9-7</t>
  </si>
  <si>
    <t>2021-9-27</t>
  </si>
  <si>
    <t xml:space="preserve">ORIENTE PRIMERA SECCION </t>
  </si>
  <si>
    <t xml:space="preserve">COMALCALCO </t>
  </si>
  <si>
    <t xml:space="preserve">IMPERIAL DE LUJO </t>
  </si>
  <si>
    <t xml:space="preserve">LUNES </t>
  </si>
  <si>
    <t xml:space="preserve">LUIS ROBERTO </t>
  </si>
  <si>
    <t xml:space="preserve">CUNDUACAN </t>
  </si>
  <si>
    <t xml:space="preserve">ROMERO </t>
  </si>
  <si>
    <t>sXd3zoQceyNtFnn2</t>
  </si>
  <si>
    <t>COM2019-2501</t>
  </si>
  <si>
    <t>2019-9-3</t>
  </si>
  <si>
    <t xml:space="preserve">CALLEJON DOÑA BENITA SIN NUMERO </t>
  </si>
  <si>
    <t xml:space="preserve">RUTA 4 L </t>
  </si>
  <si>
    <t xml:space="preserve">HOMBRE </t>
  </si>
  <si>
    <t>HOMBRE</t>
  </si>
  <si>
    <t>2021-10-4</t>
  </si>
  <si>
    <t>2020-12-5</t>
  </si>
  <si>
    <t xml:space="preserve">HUIMANGO SEGUNDA SECCION LA MONA </t>
  </si>
  <si>
    <t>094HQJPFKmzvG5Yx</t>
  </si>
  <si>
    <t>CAR 2020-5204</t>
  </si>
  <si>
    <t xml:space="preserve">CUANDUACAN </t>
  </si>
  <si>
    <t>CORTOZA</t>
  </si>
  <si>
    <t>CARRETERA A BENITO JUAREZ</t>
  </si>
  <si>
    <t xml:space="preserve">MARIA DEL ROSARIO CORTAZA GARCIA </t>
  </si>
  <si>
    <t xml:space="preserve">BENEFICIARIO 2: MARISOL CORTAZA GARCIA </t>
  </si>
  <si>
    <t>NL2E7OEHPWYUH7Y</t>
  </si>
  <si>
    <t>2022-02-23</t>
  </si>
  <si>
    <t>FINAL</t>
  </si>
  <si>
    <t>67fh4sY8zWgnKaOG</t>
  </si>
  <si>
    <t>YJYlogxdIxfPp7rr</t>
  </si>
  <si>
    <t>kUcsCTLiV5JcQrze</t>
  </si>
  <si>
    <t>RdU4mEyuFJc76AxX</t>
  </si>
  <si>
    <t>T56w2LP6oHj61BN3</t>
  </si>
  <si>
    <t>HdEPsTpvxOzc05c0</t>
  </si>
  <si>
    <t>KG1tCDT0zrRgXUBH</t>
  </si>
  <si>
    <t>Qmssvns44XTh0WIF</t>
  </si>
  <si>
    <t>GmsDC64rUeOks4KZ</t>
  </si>
  <si>
    <t>uUApEfv8rFytDJZ8</t>
  </si>
  <si>
    <t>5Zn600MclsZdKIov</t>
  </si>
  <si>
    <t>OvpAii2iLPMfGi1A</t>
  </si>
  <si>
    <t>C4mN20GGBNcrL3Mp</t>
  </si>
  <si>
    <t>yskVyIjTTgBWqIPd</t>
  </si>
  <si>
    <t>AUHg3IJMcHDiJWvu</t>
  </si>
  <si>
    <t>033U9wbiquQEZfrk</t>
  </si>
  <si>
    <t>XGUBP5KsUFqNhmkn</t>
  </si>
  <si>
    <t>xHRjOsj510CQzEWh</t>
  </si>
  <si>
    <t>YOQ14IXty0UJ6QZK</t>
  </si>
  <si>
    <t>W7HVJHqhtQVkzEl6</t>
  </si>
  <si>
    <t>GkJvasNTZkSmeLg3</t>
  </si>
  <si>
    <t>roz8rnn44oS5YODv</t>
  </si>
  <si>
    <t>WBaT1JnQ8mvXOUIt</t>
  </si>
  <si>
    <t>in8wJog7jK6EeBCO</t>
  </si>
  <si>
    <t>M9DTbjtpEN1UymIv</t>
  </si>
  <si>
    <t>40a2d8ULjXODjsZQ</t>
  </si>
  <si>
    <t>1B240eZpmZLaOeIc</t>
  </si>
  <si>
    <t>tB2ySleegzLuLfRK</t>
  </si>
  <si>
    <t>inPr7ef2T6SvRyWy</t>
  </si>
  <si>
    <t>tir9kv3Y2lkzXbmx</t>
  </si>
  <si>
    <t>4oFGkft5jJ9nvOXg</t>
  </si>
  <si>
    <t>qWsCBnIxRBtgrlKE</t>
  </si>
  <si>
    <t>tjNNcCp8ZZh1ZF8O</t>
  </si>
  <si>
    <t>k5FLIL1xlB8Noxop</t>
  </si>
  <si>
    <t>gCAKLtPylrpZhCOx</t>
  </si>
  <si>
    <t>soFMFR2CkoU9xKw9</t>
  </si>
  <si>
    <t>7FGKuMEc2p7ZU9hZ</t>
  </si>
  <si>
    <t>x328c0V5czEyUAzX</t>
  </si>
  <si>
    <t>46wCiVVVvOA2nrax</t>
  </si>
  <si>
    <t>jh33hQRau3dMPKVD</t>
  </si>
  <si>
    <t>G88RoiLR2iTsT70y</t>
  </si>
  <si>
    <t>7F2j9Y8MKJ1mOByz</t>
  </si>
  <si>
    <t>l0hKfW5GwIN71EbY</t>
  </si>
  <si>
    <t>bS9TOIsk3t2xOVdt</t>
  </si>
  <si>
    <t>elS0KxAly1lgV6r0</t>
  </si>
  <si>
    <t>r1fEEVITnv66ZrHf</t>
  </si>
  <si>
    <t>ROOTClByUcExxXwF</t>
  </si>
  <si>
    <t>qK4m0fmtFk1LHxW9</t>
  </si>
  <si>
    <t>V7IwnlnU9iqjNSG8</t>
  </si>
  <si>
    <t>XeL3UdtHf7Hm2s3O</t>
  </si>
  <si>
    <t>xRZcEIBNeEMFsPto</t>
  </si>
  <si>
    <t>W7qvEdguS8yLAZzg</t>
  </si>
  <si>
    <t>CGbkt2OWXoT3vxuK</t>
  </si>
  <si>
    <t>X1FrkqzOIBWF0IRi</t>
  </si>
  <si>
    <t>sty9b0qCiH61mkzz</t>
  </si>
  <si>
    <t>GPrVSj9n8BqOyg1u</t>
  </si>
  <si>
    <t>j4XczVJSp4p8OOB1</t>
  </si>
  <si>
    <t>ArzWdCAVRAYnuXXT</t>
  </si>
  <si>
    <t>OdrPl0QF6iHJua9P</t>
  </si>
  <si>
    <t>PYRyK5L9DEpWoe32</t>
  </si>
  <si>
    <t>NzFXSOmxKUfGI6kZ</t>
  </si>
  <si>
    <t>oZeTJgSeIhqJq62N</t>
  </si>
  <si>
    <t>6kf7o6HXpeNDeiZb</t>
  </si>
  <si>
    <t>HSZSD4hUyEnqVfmj</t>
  </si>
  <si>
    <t>oeSsUuHY27F11Gtg</t>
  </si>
  <si>
    <t>jx8RofdVFK7WjImx</t>
  </si>
  <si>
    <t>LnKtvOamX7IGXFgN</t>
  </si>
  <si>
    <t>rATxQ2eDfNu20BZ2</t>
  </si>
  <si>
    <t>UlCmdfUjCX6u34ku</t>
  </si>
  <si>
    <t>0u6vwiAlXpYN0Lun</t>
  </si>
  <si>
    <t>Wi9fnsvKKjuCbsbT</t>
  </si>
  <si>
    <t>egykreW6C030X7XR</t>
  </si>
  <si>
    <t>4qbD8CHDe8HXL081</t>
  </si>
  <si>
    <t>TuMuq3AN7j03a2Wn</t>
  </si>
  <si>
    <t>eYLp2YPFRi17lhAg</t>
  </si>
  <si>
    <t>kDQm3IyjAfjKFSx2</t>
  </si>
  <si>
    <t>HOqaI56jAhMOLW0R</t>
  </si>
  <si>
    <t>BsNc1DyPeqvsZert</t>
  </si>
  <si>
    <t>ztxh5ioO36iacnQE</t>
  </si>
  <si>
    <t>isPKm67sdPj3T1Zf</t>
  </si>
  <si>
    <t>H8W1V4s38FCObdrE</t>
  </si>
  <si>
    <t>IoyUKEIHIzCLRN2a</t>
  </si>
  <si>
    <t>IjitA4MBGOWqkqA2</t>
  </si>
  <si>
    <t>LJ9QEEd35psrYbeb</t>
  </si>
  <si>
    <t>YZWvg0FmrGCLXyZv</t>
  </si>
  <si>
    <t>rwKVXhsyyawwhe6A</t>
  </si>
  <si>
    <t>M9k4ilvD6PbtsJqr</t>
  </si>
  <si>
    <t>R4AIchIzBOwqORNA</t>
  </si>
  <si>
    <t>2uD1JwcWeZRcRe0H</t>
  </si>
  <si>
    <t>god531Na4HqG4NQY</t>
  </si>
  <si>
    <t>LG9eARjGy5nxUy9S</t>
  </si>
  <si>
    <t>9ZOVwxDvlG7HHrUe</t>
  </si>
  <si>
    <t>Z0TR6GHHaz3kJRe6</t>
  </si>
  <si>
    <t>Gsu1cn7TsfuWWbDw</t>
  </si>
  <si>
    <t>on8sDaMgRS8K33EE</t>
  </si>
  <si>
    <t>wVGNF4pCxXKnfscf</t>
  </si>
  <si>
    <t>w06xSCCy3Uo5DBku</t>
  </si>
  <si>
    <t>B5hPsVQblxMHndiz</t>
  </si>
  <si>
    <t>mYGAUWLW8BltZbTI</t>
  </si>
  <si>
    <t>eV51mHrRZ7B9mwVf</t>
  </si>
  <si>
    <t>DhE6mmi5J72v5rbg</t>
  </si>
  <si>
    <t>Z0IwzDKydmTOKLNW</t>
  </si>
  <si>
    <t>KnUV10VDQF0yRmU3</t>
  </si>
  <si>
    <t>2W7KB8iO6OLEZdXM</t>
  </si>
  <si>
    <t>JU3uaYID2p1n54mS</t>
  </si>
  <si>
    <t>d2SeSG8YjeGAu4b7</t>
  </si>
  <si>
    <t>ngWtnw19V44sBWrV</t>
  </si>
  <si>
    <t>zPp6o5eMsesZTCHO</t>
  </si>
  <si>
    <t>5bQKJctIpUK0EllY</t>
  </si>
  <si>
    <t>UHszRoGz6GZOBiTC</t>
  </si>
  <si>
    <t>vyFcptP4Fdhg8z7T</t>
  </si>
  <si>
    <t>mQ3KXgFfan2eVlrK</t>
  </si>
  <si>
    <t>ddexccL1kGrrBs4t</t>
  </si>
  <si>
    <t>BDikDVtEACLiWdYZ</t>
  </si>
  <si>
    <t>CQbQiKAscoBj4qIW</t>
  </si>
  <si>
    <t>0cTu6lPs08QDS3q8</t>
  </si>
  <si>
    <t>xQp0WbbTdBCZf9nN</t>
  </si>
  <si>
    <t>TKtyLHiAFTUFuMjn</t>
  </si>
  <si>
    <t>SZOUSEF42jka4zZ8</t>
  </si>
  <si>
    <t>6ctHHLDL7AlZhfMx</t>
  </si>
  <si>
    <t>SpHDWMtEcvGjCqpu</t>
  </si>
  <si>
    <t>APLyDYTLs9Pldgiq</t>
  </si>
  <si>
    <t>6xgjIrr5oT4NPFCQ</t>
  </si>
  <si>
    <t>higl9a5juSrhp7hV</t>
  </si>
  <si>
    <t>DK1XVtkQQbJ1G2Hm</t>
  </si>
  <si>
    <t>d3NHChgqhWkIc1EZ</t>
  </si>
  <si>
    <t>GoksdDuUbeOCppSu</t>
  </si>
  <si>
    <t>dEVZYVqdqxwrPha4</t>
  </si>
  <si>
    <t>ZC9FmWLr2J8SSzVB</t>
  </si>
  <si>
    <t>P6YFU78VNOEWQlcf</t>
  </si>
  <si>
    <t>K5tb2Pv9ihAScVtm</t>
  </si>
  <si>
    <t>8zM791EP11Vny8I1</t>
  </si>
  <si>
    <t>bUiuTdiBRc7uw2ZA</t>
  </si>
  <si>
    <t>gyqOpCkf4ZQQdLZg</t>
  </si>
  <si>
    <t>WIvMnVPFynIYTge5</t>
  </si>
  <si>
    <t>9h98slwV0XcN6knK</t>
  </si>
  <si>
    <t>LRAW2vhVy6xllg4D</t>
  </si>
  <si>
    <t>kyLXKJZEEdC37Us8</t>
  </si>
  <si>
    <t>KUAmcwUKxYhDsY1s</t>
  </si>
  <si>
    <t>9ML8kdI5RocSnWdb</t>
  </si>
  <si>
    <t>w2MDXiyrLNfLeBdE</t>
  </si>
  <si>
    <t>v5NlyRD2RXAKTrt7</t>
  </si>
  <si>
    <t>Ka7JIFDgDGbC7rQC</t>
  </si>
  <si>
    <t>GyqEu05HyxIixrDZ</t>
  </si>
  <si>
    <t>QEcEHh4tCGrnw1pL</t>
  </si>
  <si>
    <t>Z6SNusHRn1gkparM</t>
  </si>
  <si>
    <t>u99qVLki2WcASrZP</t>
  </si>
  <si>
    <t>gjhqDp1qQqbqNUQ4</t>
  </si>
  <si>
    <t>CyPcHTXf5iG7dX3M</t>
  </si>
  <si>
    <t>xqivDcKyLJCNt3GK</t>
  </si>
  <si>
    <t>uuE94weHfg9ODn1p</t>
  </si>
  <si>
    <t>9R4nHZ15cIoAE4kz</t>
  </si>
  <si>
    <t>SAJ7dg1Ykjs2w25g</t>
  </si>
  <si>
    <t>9ljBLPDNkLYrTcDG</t>
  </si>
  <si>
    <t>56cto9o0GW1pbDXg</t>
  </si>
  <si>
    <t>5ZVLoi1MbA4aF4aD</t>
  </si>
  <si>
    <t>0PiFBQRndLk9jn2Y</t>
  </si>
  <si>
    <t>7DPVJGRc2JY8ApLI</t>
  </si>
  <si>
    <t>vFYnYtXHb0FfGob8</t>
  </si>
  <si>
    <t>uQU7N1WhslEJzk7k</t>
  </si>
  <si>
    <t>JJbQeP3cHg0cmiYX</t>
  </si>
  <si>
    <t>RAWIU3tLLRqso8PV</t>
  </si>
  <si>
    <t>7sN0xJQkxJIhIduK</t>
  </si>
  <si>
    <t>zEh5hTh06lDpwuDJ</t>
  </si>
  <si>
    <t>6EnF3nyMRUVGDU4l</t>
  </si>
  <si>
    <t>sOu1h0f3hg31XRnE</t>
  </si>
  <si>
    <t>9RmXzHBXN6BtaAWg</t>
  </si>
  <si>
    <t>xMXmoEiyvqCtbSjp</t>
  </si>
  <si>
    <t>7zLAeaqr5P8YtZXt</t>
  </si>
  <si>
    <t>aVRqKJdFprFc7KMg</t>
  </si>
  <si>
    <t>mDK8V0HyHHtUTJx1</t>
  </si>
  <si>
    <t>8Xp19Z5SM8TfMEh9</t>
  </si>
  <si>
    <t>pR0lqLZG0Sc5Z0gr</t>
  </si>
  <si>
    <t>HfgMszJhhpuAYtZX</t>
  </si>
  <si>
    <t>W2TPboi9fZNkSyBj</t>
  </si>
  <si>
    <t>CC3VvCaZEqAEc3JT</t>
  </si>
  <si>
    <t>nlAP4XilAiwfNrqR</t>
  </si>
  <si>
    <t>0eD3x5LJtEA7wkEL</t>
  </si>
  <si>
    <t>fSIWVWNhuyzKZVSe</t>
  </si>
  <si>
    <t>oxHF5t9QJLFnSZk6</t>
  </si>
  <si>
    <t>jNvlFHipzaQFAD1J</t>
  </si>
  <si>
    <t>vpneMU514KtTC64Y</t>
  </si>
  <si>
    <t>YKH3mHG7KFNDBuip</t>
  </si>
  <si>
    <t>J2JU8JIJoTK0dK6u</t>
  </si>
  <si>
    <t>YicOPsGFeKfny9OI</t>
  </si>
  <si>
    <t>SmtNw1ieFSFDUuJC</t>
  </si>
  <si>
    <t>9Zy3YIMgFHcQund9</t>
  </si>
  <si>
    <t>X66Fy1XIjuvFFRT8</t>
  </si>
  <si>
    <t>V8Jx1dlP1bfyqanT</t>
  </si>
  <si>
    <t>HpYPcARPIsSHIa4C</t>
  </si>
  <si>
    <t>Ee5zgpcUaNf4dFRn</t>
  </si>
  <si>
    <t>ACBfk5KZD5XveQOO</t>
  </si>
  <si>
    <t>a25I6zhY8G1H4MnH</t>
  </si>
  <si>
    <t>gmheuxgRejUDqBPo</t>
  </si>
  <si>
    <t>wJU6iP6fktURAmD1</t>
  </si>
  <si>
    <t>9o7X8Sm6DlTpf2A7</t>
  </si>
  <si>
    <t>KYZRFd3TcMl3XrVs</t>
  </si>
  <si>
    <t>uqOSKXKfDnZ6hpjp</t>
  </si>
  <si>
    <t>47CAFJWyFnnkvZAu</t>
  </si>
  <si>
    <t>9vts7zLc3jXVRbok</t>
  </si>
  <si>
    <t>MODIF</t>
  </si>
  <si>
    <t>MODIFCARD1</t>
  </si>
  <si>
    <t>MODIFCARD2</t>
  </si>
  <si>
    <t>MODIFCARD3</t>
  </si>
  <si>
    <t>MODIFCARD4</t>
  </si>
  <si>
    <t>MODIFCARD5</t>
  </si>
  <si>
    <t>MODIFCARD6</t>
  </si>
  <si>
    <t>MODIFCARD7</t>
  </si>
  <si>
    <t>MODIFCARD8</t>
  </si>
  <si>
    <t>MODIFCARD9</t>
  </si>
  <si>
    <t>MODIFCARD10</t>
  </si>
  <si>
    <t>MODIFCARD11</t>
  </si>
  <si>
    <t>MODIFCARD12</t>
  </si>
  <si>
    <t>MODIFCARD13</t>
  </si>
  <si>
    <t>MODIFCARD14</t>
  </si>
  <si>
    <t>MODIFCARD15</t>
  </si>
  <si>
    <t>MODIFCARD16</t>
  </si>
  <si>
    <t>MODIFCARD17</t>
  </si>
  <si>
    <t>MODIFCARD18</t>
  </si>
  <si>
    <t>MODIFCARD19</t>
  </si>
  <si>
    <t>MODIFCARD20</t>
  </si>
  <si>
    <t>MODIFCARD21</t>
  </si>
  <si>
    <t>MODIFCARD22</t>
  </si>
  <si>
    <t>MODIFCARD23</t>
  </si>
  <si>
    <t>MODIFCARD24</t>
  </si>
  <si>
    <t>MODIFCARD25</t>
  </si>
  <si>
    <t>MODIFCARD26</t>
  </si>
  <si>
    <t>MODIFCARD27</t>
  </si>
  <si>
    <t>MODIFCARD28</t>
  </si>
  <si>
    <t>MODIFCARD29</t>
  </si>
  <si>
    <t>MODIFCARD30</t>
  </si>
  <si>
    <t>MODIFCARD31</t>
  </si>
  <si>
    <t>MODIFCARD32</t>
  </si>
  <si>
    <t>MODIFCARD33</t>
  </si>
  <si>
    <t>MODIFCARD34</t>
  </si>
  <si>
    <t>MODIFCARD35</t>
  </si>
  <si>
    <t>MODIFCARD36</t>
  </si>
  <si>
    <t>MODIFCARD37</t>
  </si>
  <si>
    <t>MODIFCARD38</t>
  </si>
  <si>
    <t>MODIFCARD39</t>
  </si>
  <si>
    <t>MODIFCARD40</t>
  </si>
  <si>
    <t>MODIFCARD41</t>
  </si>
  <si>
    <t>MODIFCARD42</t>
  </si>
  <si>
    <t>MODIFCARD43</t>
  </si>
  <si>
    <t>MODIFCARD44</t>
  </si>
  <si>
    <t>MODIFCARD45</t>
  </si>
  <si>
    <t>MODIFCARD46</t>
  </si>
  <si>
    <t>MODIFCARD47</t>
  </si>
  <si>
    <t>MODIFCARD48</t>
  </si>
  <si>
    <t>MODIFCARD49</t>
  </si>
  <si>
    <t>MODIFCARD50</t>
  </si>
  <si>
    <t>MODIFCARD51</t>
  </si>
  <si>
    <t>MODIFCARD52</t>
  </si>
  <si>
    <t>MODIFCARD53</t>
  </si>
  <si>
    <t>MODIFCARD54</t>
  </si>
  <si>
    <t>MODIFCARD55</t>
  </si>
  <si>
    <t>MODIFCARD56</t>
  </si>
  <si>
    <t>MODIFCARD57</t>
  </si>
  <si>
    <t>MODIFCARD58</t>
  </si>
  <si>
    <t>MODIFCARD59</t>
  </si>
  <si>
    <t>MODIFCARD60</t>
  </si>
  <si>
    <t>MODIFCARD61</t>
  </si>
  <si>
    <t>MODIFCARD62</t>
  </si>
  <si>
    <t>MODIFCARD63</t>
  </si>
  <si>
    <t>MODIFCARD64</t>
  </si>
  <si>
    <t>MODIFCARD65</t>
  </si>
  <si>
    <t>MODIFCARD66</t>
  </si>
  <si>
    <t>MODIFCARD67</t>
  </si>
  <si>
    <t>MODIFCARD68</t>
  </si>
  <si>
    <t>MODIFCARD69</t>
  </si>
  <si>
    <t>MODIFCARD70</t>
  </si>
  <si>
    <t>MODIFCARD71</t>
  </si>
  <si>
    <t>MODIFCARD72</t>
  </si>
  <si>
    <t>MODIFCARD73</t>
  </si>
  <si>
    <t>MODIFCARD74</t>
  </si>
  <si>
    <t>MODIFCARD75</t>
  </si>
  <si>
    <t>MODIFCARD76</t>
  </si>
  <si>
    <t>MODIFCARD77</t>
  </si>
  <si>
    <t>MODIFCARD78</t>
  </si>
  <si>
    <t>MODIFCARD79</t>
  </si>
  <si>
    <t>MODIFCARD80</t>
  </si>
  <si>
    <t>MODIFCARD81</t>
  </si>
  <si>
    <t>MODIFCARD82</t>
  </si>
  <si>
    <t>MODIFCARD83</t>
  </si>
  <si>
    <t>MODIFCARD84</t>
  </si>
  <si>
    <t>MODIFCARD85</t>
  </si>
  <si>
    <t>MODIFCARD86</t>
  </si>
  <si>
    <t>MODIFCARD87</t>
  </si>
  <si>
    <t>MODIFCARD88</t>
  </si>
  <si>
    <t>MODIFCARD89</t>
  </si>
  <si>
    <t>MODIFCARD90</t>
  </si>
  <si>
    <t>MODIFCARD91</t>
  </si>
  <si>
    <t>MODIFCARD92</t>
  </si>
  <si>
    <t>MODIFCARD93</t>
  </si>
  <si>
    <t>MODIFCARD94</t>
  </si>
  <si>
    <t>MODIFCARD95</t>
  </si>
  <si>
    <t>MODIFCARD96</t>
  </si>
  <si>
    <t>MODIFCARD97</t>
  </si>
  <si>
    <t>MODIFCARD98</t>
  </si>
  <si>
    <t>MODIFCARD99</t>
  </si>
  <si>
    <t>MODIFCARD100</t>
  </si>
  <si>
    <t>MODIFCARD101</t>
  </si>
  <si>
    <t>MODIFCARD102</t>
  </si>
  <si>
    <t>MODIFCARD103</t>
  </si>
  <si>
    <t>MODIFCARD104</t>
  </si>
  <si>
    <t>MODIFCARD105</t>
  </si>
  <si>
    <t>MODIFCARD106</t>
  </si>
  <si>
    <t>MODIFCARD107</t>
  </si>
  <si>
    <t>MODIFCARD108</t>
  </si>
  <si>
    <t>MODIFCARD109</t>
  </si>
  <si>
    <t>MODIFCARD110</t>
  </si>
  <si>
    <t>MODIFCARD111</t>
  </si>
  <si>
    <t>MODIFCARD112</t>
  </si>
  <si>
    <t>MODIFCARD113</t>
  </si>
  <si>
    <t>MODIFCARD114</t>
  </si>
  <si>
    <t>MODIFCARD115</t>
  </si>
  <si>
    <t>MODIFCARD116</t>
  </si>
  <si>
    <t>MODIFCARD117</t>
  </si>
  <si>
    <t>MODIFCARD118</t>
  </si>
  <si>
    <t>MODIFCARD119</t>
  </si>
  <si>
    <t>MODIFCARD120</t>
  </si>
  <si>
    <t>MODIFCARD121</t>
  </si>
  <si>
    <t>MODIFCARD122</t>
  </si>
  <si>
    <t>MODIFCARD123</t>
  </si>
  <si>
    <t>MODIFCARD124</t>
  </si>
  <si>
    <t>MODIFCARD125</t>
  </si>
  <si>
    <t>MODIFCARD126</t>
  </si>
  <si>
    <t>MODIFCARD127</t>
  </si>
  <si>
    <t>MODIFCARD128</t>
  </si>
  <si>
    <t>MODIFCARD129</t>
  </si>
  <si>
    <t>MODIFCARD130</t>
  </si>
  <si>
    <t>MODIFCARD131</t>
  </si>
  <si>
    <t>MODIFCARD132</t>
  </si>
  <si>
    <t>MODIFCARD133</t>
  </si>
  <si>
    <t>MODIFCARD134</t>
  </si>
  <si>
    <t>MODIFCARD135</t>
  </si>
  <si>
    <t>MODIFCARD136</t>
  </si>
  <si>
    <t>MODIFCARD137</t>
  </si>
  <si>
    <t>MODIFCARD138</t>
  </si>
  <si>
    <t>MODIFCARD139</t>
  </si>
  <si>
    <t>MODIFCARD140</t>
  </si>
  <si>
    <t>MODIFCARD141</t>
  </si>
  <si>
    <t>MODIFCARD142</t>
  </si>
  <si>
    <t>MODIFCARD143</t>
  </si>
  <si>
    <t>MODIFCARD144</t>
  </si>
  <si>
    <t>MODIFCARD145</t>
  </si>
  <si>
    <t>MODIFCARD146</t>
  </si>
  <si>
    <t>MODIFCARD147</t>
  </si>
  <si>
    <t>MODIFCARD148</t>
  </si>
  <si>
    <t>MODIFCARD149</t>
  </si>
  <si>
    <t>MODIFCARD150</t>
  </si>
  <si>
    <t>MODIFCARD151</t>
  </si>
  <si>
    <t>MODIFCARD152</t>
  </si>
  <si>
    <t>MODIFCARD153</t>
  </si>
  <si>
    <t>MODIFCARD154</t>
  </si>
  <si>
    <t>MODIFCARD155</t>
  </si>
  <si>
    <t>MODIFCARD156</t>
  </si>
  <si>
    <t>MODIFCARD157</t>
  </si>
  <si>
    <t>MODIFCARD158</t>
  </si>
  <si>
    <t>MODIFCARD159</t>
  </si>
  <si>
    <t>MODIFCARD160</t>
  </si>
  <si>
    <t>MODIFCARD161</t>
  </si>
  <si>
    <t>MODIFCARD162</t>
  </si>
  <si>
    <t>MODIFCARD163</t>
  </si>
  <si>
    <t>MODIFCARD164</t>
  </si>
  <si>
    <t>MODIFCARD165</t>
  </si>
  <si>
    <t>MODIFCARD166</t>
  </si>
  <si>
    <t>MODIFCARD167</t>
  </si>
  <si>
    <t>MODIFCARD168</t>
  </si>
  <si>
    <t>MODIFCARD169</t>
  </si>
  <si>
    <t>MODIFCARD170</t>
  </si>
  <si>
    <t>MODIFCARD171</t>
  </si>
  <si>
    <t>MODIFCARD172</t>
  </si>
  <si>
    <t>MODIFCARD173</t>
  </si>
  <si>
    <t>MODIFCARD174</t>
  </si>
  <si>
    <t>MODIFCARD175</t>
  </si>
  <si>
    <t>MODIFCARD176</t>
  </si>
  <si>
    <t>MODIFCARD177</t>
  </si>
  <si>
    <t>MODIFCARD178</t>
  </si>
  <si>
    <t>MODIFCARD179</t>
  </si>
  <si>
    <t>MODIFCARD180</t>
  </si>
  <si>
    <t>MODIFCARD181</t>
  </si>
  <si>
    <t>MODIFCARD182</t>
  </si>
  <si>
    <t>MODIFCARD183</t>
  </si>
  <si>
    <t>MODIFCARD184</t>
  </si>
  <si>
    <t>MODIFCARD185</t>
  </si>
  <si>
    <t>MODIFCARD186</t>
  </si>
  <si>
    <t>MODIFCARD187</t>
  </si>
  <si>
    <t>MODIFCARD188</t>
  </si>
  <si>
    <t>MODIFCARD189</t>
  </si>
  <si>
    <t>MODIFCARD190</t>
  </si>
  <si>
    <t>MODIFCARD191</t>
  </si>
  <si>
    <t>MODIFCARD192</t>
  </si>
  <si>
    <t>MODIFCARD193</t>
  </si>
  <si>
    <t>MODIFCARD194</t>
  </si>
  <si>
    <t>MODIFCARD195</t>
  </si>
  <si>
    <t>MODIFCARD196</t>
  </si>
  <si>
    <t>MODIFCARD197</t>
  </si>
  <si>
    <t>MODIFCARD198</t>
  </si>
  <si>
    <t>MODIFCARD199</t>
  </si>
  <si>
    <t>MODIFCARD200</t>
  </si>
  <si>
    <t>MODIFVHS1</t>
  </si>
  <si>
    <t>MODIFVHS2</t>
  </si>
  <si>
    <t>MODIFVHS3</t>
  </si>
  <si>
    <t>MODIFVHS4</t>
  </si>
  <si>
    <t>MODIFVHS5</t>
  </si>
  <si>
    <t>MODIFVHS6</t>
  </si>
  <si>
    <t>MODIFVHS7</t>
  </si>
  <si>
    <t>MODIFVHS8</t>
  </si>
  <si>
    <t>MODIFVHS9</t>
  </si>
  <si>
    <t>MODIFVHS10</t>
  </si>
  <si>
    <t>MODIFVHS11</t>
  </si>
  <si>
    <t>MODIFVHS12</t>
  </si>
  <si>
    <t>MODIFVHS13</t>
  </si>
  <si>
    <t>MODIFVHS14</t>
  </si>
  <si>
    <t>MODIFVHS15</t>
  </si>
  <si>
    <t>MODIFVHS16</t>
  </si>
  <si>
    <t>MODIFVHS17</t>
  </si>
  <si>
    <t>MODIFVHS18</t>
  </si>
  <si>
    <t>MODIFVHS19</t>
  </si>
  <si>
    <t>MODIFVHS20</t>
  </si>
  <si>
    <t>MODIFVHS21</t>
  </si>
  <si>
    <t>MODIFVHS22</t>
  </si>
  <si>
    <t>MODIFVHS23</t>
  </si>
  <si>
    <t>MODIFVHS24</t>
  </si>
  <si>
    <t>MODIFVHS25</t>
  </si>
  <si>
    <t>MODIFVHS26</t>
  </si>
  <si>
    <t>MODIFVHS27</t>
  </si>
  <si>
    <t>MODIFVHS28</t>
  </si>
  <si>
    <t>MODIFVHS29</t>
  </si>
  <si>
    <t>MODIFVHS30</t>
  </si>
  <si>
    <t>MODIFVHS31</t>
  </si>
  <si>
    <t>MODIFVHS32</t>
  </si>
  <si>
    <t>MODIFVHS33</t>
  </si>
  <si>
    <t>MODIFVHS34</t>
  </si>
  <si>
    <t>MODIFVHS35</t>
  </si>
  <si>
    <t>MODIFVHS36</t>
  </si>
  <si>
    <t>MODIFVHS37</t>
  </si>
  <si>
    <t>MODIFVHS38</t>
  </si>
  <si>
    <t>MODIFVHS39</t>
  </si>
  <si>
    <t>MODIFVHS40</t>
  </si>
  <si>
    <t>MODIFVHS41</t>
  </si>
  <si>
    <t>MODIFVHS42</t>
  </si>
  <si>
    <t>MODIFVHS43</t>
  </si>
  <si>
    <t>MODIFVHS44</t>
  </si>
  <si>
    <t>MODIFVHS45</t>
  </si>
  <si>
    <t>MODIFVHS46</t>
  </si>
  <si>
    <t>MODIFVHS47</t>
  </si>
  <si>
    <t>MODIFVHS48</t>
  </si>
  <si>
    <t>MODIFVHS49</t>
  </si>
  <si>
    <t>MODIFVHS50</t>
  </si>
  <si>
    <t>MODIFVHS51</t>
  </si>
  <si>
    <t>MODIFVHS52</t>
  </si>
  <si>
    <t>MODIFVHS53</t>
  </si>
  <si>
    <t>MODIFVHS54</t>
  </si>
  <si>
    <t>MODIFVHS55</t>
  </si>
  <si>
    <t>MODIFVHS56</t>
  </si>
  <si>
    <t>MODIFVHS57</t>
  </si>
  <si>
    <t>MODIFVHS58</t>
  </si>
  <si>
    <t>MODIFVHS59</t>
  </si>
  <si>
    <t>MODIFVHS60</t>
  </si>
  <si>
    <t>MODIFVHS61</t>
  </si>
  <si>
    <t>MODIFVHS62</t>
  </si>
  <si>
    <t>MODIFVHS63</t>
  </si>
  <si>
    <t>MODIFVHS64</t>
  </si>
  <si>
    <t>MODIFVHS65</t>
  </si>
  <si>
    <t>MODIFVHS66</t>
  </si>
  <si>
    <t>MODIFVHS67</t>
  </si>
  <si>
    <t>MODIFVHS68</t>
  </si>
  <si>
    <t>MODIFVHS69</t>
  </si>
  <si>
    <t>MODIFVHS70</t>
  </si>
  <si>
    <t>MODIFVHS71</t>
  </si>
  <si>
    <t>MODIFVHS72</t>
  </si>
  <si>
    <t>MODIFVHS73</t>
  </si>
  <si>
    <t>MODIFVHS74</t>
  </si>
  <si>
    <t>MODIFVHS75</t>
  </si>
  <si>
    <t>MODIFVHS76</t>
  </si>
  <si>
    <t>MODIFVHS77</t>
  </si>
  <si>
    <t>MODIFVHS78</t>
  </si>
  <si>
    <t>MODIFVHS79</t>
  </si>
  <si>
    <t>MODIFVHS80</t>
  </si>
  <si>
    <t>MODIFVHS81</t>
  </si>
  <si>
    <t>MODIFVHS82</t>
  </si>
  <si>
    <t>MODIFVHS83</t>
  </si>
  <si>
    <t>MODIFVHS84</t>
  </si>
  <si>
    <t>MODIFVHS85</t>
  </si>
  <si>
    <t>MODIFVHS86</t>
  </si>
  <si>
    <t>MODIFVHS87</t>
  </si>
  <si>
    <t>MODIFVHS88</t>
  </si>
  <si>
    <t>MODIFVHS89</t>
  </si>
  <si>
    <t>MODIFVHS90</t>
  </si>
  <si>
    <t>MODIFVHS91</t>
  </si>
  <si>
    <t>MODIFVHS92</t>
  </si>
  <si>
    <t>MODIFVHS93</t>
  </si>
  <si>
    <t>MODIFVHS94</t>
  </si>
  <si>
    <t>MODIFVHS95</t>
  </si>
  <si>
    <t>MODIFVHS96</t>
  </si>
  <si>
    <t>MODIFVHS97</t>
  </si>
  <si>
    <t>MODIFVHS98</t>
  </si>
  <si>
    <t>MODIFVHS99</t>
  </si>
  <si>
    <t>MODIFVHS100</t>
  </si>
  <si>
    <t>MODIFVHS101</t>
  </si>
  <si>
    <t>MODIFVHS102</t>
  </si>
  <si>
    <t>MODIFVHS103</t>
  </si>
  <si>
    <t>MODIFVHS104</t>
  </si>
  <si>
    <t>MODIFVHS105</t>
  </si>
  <si>
    <t>MODIFVHS106</t>
  </si>
  <si>
    <t>MODIFVHS107</t>
  </si>
  <si>
    <t>MODIFVHS108</t>
  </si>
  <si>
    <t>MODIFVHS109</t>
  </si>
  <si>
    <t>MODIFVHS110</t>
  </si>
  <si>
    <t>MODIFVHS111</t>
  </si>
  <si>
    <t>MODIFVHS112</t>
  </si>
  <si>
    <t>MODIFVHS113</t>
  </si>
  <si>
    <t>MODIFVHS114</t>
  </si>
  <si>
    <t>MODIFVHS115</t>
  </si>
  <si>
    <t>MODIFVHS116</t>
  </si>
  <si>
    <t>MODIFVHS117</t>
  </si>
  <si>
    <t>MODIFVHS118</t>
  </si>
  <si>
    <t>MODIFVHS119</t>
  </si>
  <si>
    <t>MODIFVHS120</t>
  </si>
  <si>
    <t>MODIFVHS121</t>
  </si>
  <si>
    <t>MODIFVHS122</t>
  </si>
  <si>
    <t>MODIFVHS123</t>
  </si>
  <si>
    <t>MODIFVHS124</t>
  </si>
  <si>
    <t>MODIFVHS125</t>
  </si>
  <si>
    <t>MODIFVHS126</t>
  </si>
  <si>
    <t>MODIFVHS127</t>
  </si>
  <si>
    <t>MODIFVHS128</t>
  </si>
  <si>
    <t>MODIFVHS129</t>
  </si>
  <si>
    <t>MODIFVHS130</t>
  </si>
  <si>
    <t>MODIFVHS131</t>
  </si>
  <si>
    <t>MODIFVHS132</t>
  </si>
  <si>
    <t>MODIFVHS133</t>
  </si>
  <si>
    <t>MODIFVHS134</t>
  </si>
  <si>
    <t>MODIFVHS135</t>
  </si>
  <si>
    <t>MODIFVHS136</t>
  </si>
  <si>
    <t>MODIFVHS137</t>
  </si>
  <si>
    <t>MODIFVHS138</t>
  </si>
  <si>
    <t>MODIFVHS139</t>
  </si>
  <si>
    <t>MODIFVHS140</t>
  </si>
  <si>
    <t>MODIFVHS141</t>
  </si>
  <si>
    <t>MODIFVHS142</t>
  </si>
  <si>
    <t>MODIFVHS143</t>
  </si>
  <si>
    <t>MODIFVHS144</t>
  </si>
  <si>
    <t>MODIFVHS145</t>
  </si>
  <si>
    <t>MODIFVHS146</t>
  </si>
  <si>
    <t>MODIFVHS147</t>
  </si>
  <si>
    <t>MODIFVHS148</t>
  </si>
  <si>
    <t>MODIFVHS149</t>
  </si>
  <si>
    <t>MODIFVHS150</t>
  </si>
  <si>
    <t>MODIFVHS151</t>
  </si>
  <si>
    <t>MODIFVHS152</t>
  </si>
  <si>
    <t>MODIFVHS153</t>
  </si>
  <si>
    <t>MODIFVHS154</t>
  </si>
  <si>
    <t>MODIFVHS155</t>
  </si>
  <si>
    <t>MODIFVHS156</t>
  </si>
  <si>
    <t>MODIFVHS157</t>
  </si>
  <si>
    <t>MODIFVHS158</t>
  </si>
  <si>
    <t>MODIFVHS159</t>
  </si>
  <si>
    <t>MODIFVHS160</t>
  </si>
  <si>
    <t>MODIFVHS161</t>
  </si>
  <si>
    <t>MODIFVHS162</t>
  </si>
  <si>
    <t>MODIFVHS163</t>
  </si>
  <si>
    <t>MODIFVHS164</t>
  </si>
  <si>
    <t>MODIFVHS165</t>
  </si>
  <si>
    <t>MODIFVHS166</t>
  </si>
  <si>
    <t>MODIFVHS167</t>
  </si>
  <si>
    <t>MODIFVHS168</t>
  </si>
  <si>
    <t>MODIFVHS169</t>
  </si>
  <si>
    <t>MODIFVHS170</t>
  </si>
  <si>
    <t>MODIFVHS171</t>
  </si>
  <si>
    <t>MODIFVHS172</t>
  </si>
  <si>
    <t>MODIFVHS173</t>
  </si>
  <si>
    <t>MODIFVHS174</t>
  </si>
  <si>
    <t>MODIFVHS175</t>
  </si>
  <si>
    <t>MODIFVHS176</t>
  </si>
  <si>
    <t>MODIFVHS177</t>
  </si>
  <si>
    <t>MODIFVHS178</t>
  </si>
  <si>
    <t>MODIFVHS179</t>
  </si>
  <si>
    <t>MODIFVHS180</t>
  </si>
  <si>
    <t>MODIFVHS181</t>
  </si>
  <si>
    <t>MODIFVHS182</t>
  </si>
  <si>
    <t>MODIFVHS183</t>
  </si>
  <si>
    <t>MODIFVHS184</t>
  </si>
  <si>
    <t>MODIFVHS185</t>
  </si>
  <si>
    <t>MODIFVHS186</t>
  </si>
  <si>
    <t>MODIFVHS187</t>
  </si>
  <si>
    <t>MODIFVHS188</t>
  </si>
  <si>
    <t>MODIFVHS189</t>
  </si>
  <si>
    <t>MODIFVHS190</t>
  </si>
  <si>
    <t>MODIFVHS191</t>
  </si>
  <si>
    <t>MODIFVHS192</t>
  </si>
  <si>
    <t>MODIFVHS193</t>
  </si>
  <si>
    <t>MODIFVHS194</t>
  </si>
  <si>
    <t>MODIFVHS195</t>
  </si>
  <si>
    <t>MODIFVHS196</t>
  </si>
  <si>
    <t>MODIFVHS197</t>
  </si>
  <si>
    <t>MODIFVHS198</t>
  </si>
  <si>
    <t>MODIFVHS199</t>
  </si>
  <si>
    <t>MODIFVHS200</t>
  </si>
  <si>
    <t>2022-01-01</t>
  </si>
  <si>
    <t>2022-2-10</t>
  </si>
  <si>
    <t>QWYNRBIY9KVTQO</t>
  </si>
  <si>
    <t>a</t>
  </si>
  <si>
    <t>sQq5xwNaHiHMmUM2</t>
  </si>
  <si>
    <t>f71Srzt5lEwIEmqm</t>
  </si>
  <si>
    <t>X58JxDMmzaEsiohr</t>
  </si>
  <si>
    <t>ePRABy7WmvFv03XF</t>
  </si>
  <si>
    <t>v4cR0wvG0bg162gt</t>
  </si>
  <si>
    <t>9lG35coWV17spzb3</t>
  </si>
  <si>
    <t>VOhrmMvL8hmlyhPR</t>
  </si>
  <si>
    <t>4EuRrWDSAtZJx0ED</t>
  </si>
  <si>
    <t>pWBI6x1c8E31QBQa</t>
  </si>
  <si>
    <t>KhsxRwDjVOhVIB3L</t>
  </si>
  <si>
    <t>uUhjf4vw7DA99iW1</t>
  </si>
  <si>
    <t>P3gWx7QmOSW4Io1B</t>
  </si>
  <si>
    <t>ququLQEKWaYnwOz4</t>
  </si>
  <si>
    <t>xURG4xfadrfETrUv</t>
  </si>
  <si>
    <t>CN4d5AeLpxW55rkC</t>
  </si>
  <si>
    <t>VZ8u87gc9XPU5wxE</t>
  </si>
  <si>
    <t>jTDte5jgYA1pjtJ9</t>
  </si>
  <si>
    <t>QAkvLs6BIpctbuYY</t>
  </si>
  <si>
    <t>hr1kievrOtMAYtDI</t>
  </si>
  <si>
    <t>vOJDjGejZerBing9</t>
  </si>
  <si>
    <t>pgmKYSO1d5pJcYWs</t>
  </si>
  <si>
    <t>wQOc5i01I93Bqx3V</t>
  </si>
  <si>
    <t>MT6JAwYBaNOV9J0C</t>
  </si>
  <si>
    <t>efjU9o2midVFTRTw</t>
  </si>
  <si>
    <t>ElXVrsGkPW5HjLtW</t>
  </si>
  <si>
    <t>CQIe9HOhSmFZtRtk</t>
  </si>
  <si>
    <t>uiy8TmKHXDRALnJf</t>
  </si>
  <si>
    <t>4vTiD0cSR5KtbatV</t>
  </si>
  <si>
    <t>CLPH618PxNfogt42</t>
  </si>
  <si>
    <t>mq9QLA4dikM1gldT</t>
  </si>
  <si>
    <t>ZRIVEfDlv9303zbG</t>
  </si>
  <si>
    <t>fI3drBNpb44IQvzp</t>
  </si>
  <si>
    <t>J5eoiL8c195j9vQZ</t>
  </si>
  <si>
    <t>jqfNSnVpf6xsNjpi</t>
  </si>
  <si>
    <t>doMtwyfqMSsEPbhO</t>
  </si>
  <si>
    <t>07zAI8bc7oEwkzg5</t>
  </si>
  <si>
    <t>8KHx77Q91fHWdUe1</t>
  </si>
  <si>
    <t>2oE4Bg4FPHFXWr0O</t>
  </si>
  <si>
    <t>Upyae04FGGU8cshQ</t>
  </si>
  <si>
    <t>ZBmF8FZoHilZ5q6w</t>
  </si>
  <si>
    <t>0ZZC8qu1lnP8BRWd</t>
  </si>
  <si>
    <t>YCVp8OuGIkJzHy5X</t>
  </si>
  <si>
    <t>G3zT4R7PxyBSjOId</t>
  </si>
  <si>
    <t>C4paNIAdZrXO2qa2</t>
  </si>
  <si>
    <t>atHaqbHfkn6epusY</t>
  </si>
  <si>
    <t>FSsLk7YNrnfC8iUh</t>
  </si>
  <si>
    <t>Wia6JZmuRnvSwQOn</t>
  </si>
  <si>
    <t>kgavsuZ3KKRbJfNj</t>
  </si>
  <si>
    <t>puSHdFuUwtHrS569</t>
  </si>
  <si>
    <t>ge2zHrdXugLBhYL2</t>
  </si>
  <si>
    <t>rhZ81ppNz0Qc7Ffj</t>
  </si>
  <si>
    <t>pKsF4i5MLv5lkWVG</t>
  </si>
  <si>
    <t>MKfWcJB17V5FafAD</t>
  </si>
  <si>
    <t>p5HUpVTYQEzVBaCb</t>
  </si>
  <si>
    <t>UD4vGpQuUiqcfUiu</t>
  </si>
  <si>
    <t>dWEJrkH56Y15swx0</t>
  </si>
  <si>
    <t>XQbkNFNXfiDqhomG</t>
  </si>
  <si>
    <t>64gg8Yb9ZFczji4a</t>
  </si>
  <si>
    <t>OcjDaPU7jdPCySxz</t>
  </si>
  <si>
    <t>FXdSMhtMFBTRavAv</t>
  </si>
  <si>
    <t>MhurWBVZALjvXPAQ</t>
  </si>
  <si>
    <t>pggaITYHUwvJSSnC</t>
  </si>
  <si>
    <t>v1hSX4JXTPlxhXai</t>
  </si>
  <si>
    <t>seqtgnf4YsHDzJWy</t>
  </si>
  <si>
    <t>xczgsbQ1e2aueWTO</t>
  </si>
  <si>
    <t>N5cXy7ea5V4SDLVS</t>
  </si>
  <si>
    <t>wO4tUxtnHv7IWtfX</t>
  </si>
  <si>
    <t>tj8eVBSGGdZMP2qO</t>
  </si>
  <si>
    <t>WZ0nXWq2QxO3x5pd</t>
  </si>
  <si>
    <t>ZFzLvdYsQiQN2cs7</t>
  </si>
  <si>
    <t>ODMMgXoOjPmgfk50</t>
  </si>
  <si>
    <t>IisN9bYHik9OxTig</t>
  </si>
  <si>
    <t>wT11jmMZUfTiaL0k</t>
  </si>
  <si>
    <t>O91O3KgwjrKmT8eV</t>
  </si>
  <si>
    <t>lxsWH3LTHhqhmDaW</t>
  </si>
  <si>
    <t>HVU32xtDBu8zO1p7</t>
  </si>
  <si>
    <t>c5SBts9bLtOjXLPp</t>
  </si>
  <si>
    <t>1DpzB0E0XrNyNs0i</t>
  </si>
  <si>
    <t>iIIPmCd6eaBfjpFZ</t>
  </si>
  <si>
    <t>YiaKwtCCPoH2YFBF</t>
  </si>
  <si>
    <t>D6gybmyWA16XEgr3</t>
  </si>
  <si>
    <t>kr8BfnbDO4dEq14J</t>
  </si>
  <si>
    <t>5V5meGr2LKXDl8cL</t>
  </si>
  <si>
    <t>4vTav7s99vy8IXHe</t>
  </si>
  <si>
    <t>ETUBuaVIyxtoDqvv</t>
  </si>
  <si>
    <t>Y1DwIs3zG75vDLI3</t>
  </si>
  <si>
    <t>dKFAWix7IutwYtCj</t>
  </si>
  <si>
    <t>dVfRclWiRD6lV3Fm</t>
  </si>
  <si>
    <t>0XKA9k5ygjMWWupB</t>
  </si>
  <si>
    <t>eONoSsfeZ3j4jq1F</t>
  </si>
  <si>
    <t>QePRp0zSRXueCTL9</t>
  </si>
  <si>
    <t>fad6vro5rhQIVxHk</t>
  </si>
  <si>
    <t>aaDFhZEBW7UuaRY1</t>
  </si>
  <si>
    <t>wZYHfvzeb6yguxJc</t>
  </si>
  <si>
    <t>qTM7sMUi0xqmgGkP</t>
  </si>
  <si>
    <t>w0oKXkyxOdy5Fldw</t>
  </si>
  <si>
    <t>afn5bLJTBuXC8RHG</t>
  </si>
  <si>
    <t>JNcJpwACNvvzTmq4</t>
  </si>
  <si>
    <t>R5Q8v7YfHuYAZRW7</t>
  </si>
  <si>
    <t>rVTtgzof3sChSDFQ</t>
  </si>
  <si>
    <t>wHf64IeqX9Qe7gnU</t>
  </si>
  <si>
    <t>v6XpXFMDELg4Z95T</t>
  </si>
  <si>
    <t>DEZbCTpWpJ94nFnY</t>
  </si>
  <si>
    <t>0tesaqV80F1OKPkU</t>
  </si>
  <si>
    <t>kPEMKgcbQ0TlcHis</t>
  </si>
  <si>
    <t>Pv8NwpMI59xbhF0X</t>
  </si>
  <si>
    <t>3wTClqWD9FItxERd</t>
  </si>
  <si>
    <t>YDP9Nh2k3eNVKdzg</t>
  </si>
  <si>
    <t>Y6ujujrfKt9nHaaR</t>
  </si>
  <si>
    <t>L9xYAPZf2kBpgjpH</t>
  </si>
  <si>
    <t>dbN09qLpGooNc87J</t>
  </si>
  <si>
    <t>ssOZDP1AfkHoQgXz</t>
  </si>
  <si>
    <t>tIkQRJKlT2JT5XKj</t>
  </si>
  <si>
    <t>xQk5N4w0ly5Dzxmg</t>
  </si>
  <si>
    <t>p0dmAJaeQKbkX189</t>
  </si>
  <si>
    <t>iPCPTr4IK4TorI91</t>
  </si>
  <si>
    <t>fSQuwcY2oEfF9mMt</t>
  </si>
  <si>
    <t>thUJ6S614ynREZu4</t>
  </si>
  <si>
    <t>gHYVCyu251vGh0VM</t>
  </si>
  <si>
    <t>kBFBUFYE3qUmFv7p</t>
  </si>
  <si>
    <t>BuaB3OeNjgOehcnr</t>
  </si>
  <si>
    <t>hHenTMB7EPiERNjI</t>
  </si>
  <si>
    <t>Ulxson38UNukWlbA</t>
  </si>
  <si>
    <t>YFvBN0YrmlOxMQfM</t>
  </si>
  <si>
    <t>jl6gapwuSMRMExYJ</t>
  </si>
  <si>
    <t>481tOhcliYbiVSAq</t>
  </si>
  <si>
    <t>CTj2YrgTCakI3yC5</t>
  </si>
  <si>
    <t>U3ylAfWGzB4Zl1xx</t>
  </si>
  <si>
    <t>VICwEkCZ51kwOjNZ</t>
  </si>
  <si>
    <t>bEOnCztC8Bpqe5Bd</t>
  </si>
  <si>
    <t>0Ab6jxQ4G6vcdFcD</t>
  </si>
  <si>
    <t>fdfaYWY27lulbPDI</t>
  </si>
  <si>
    <t>RAEuW9ABwmVFgXCy</t>
  </si>
  <si>
    <t>7w28J72rn5SyBXxr</t>
  </si>
  <si>
    <t>k7zQb2gPOi3caqV9</t>
  </si>
  <si>
    <t>WLbjVgNqgo3uaY05</t>
  </si>
  <si>
    <t>rJFO96fHnP8itE1I</t>
  </si>
  <si>
    <t>1hFLWOuPuYzzeswy</t>
  </si>
  <si>
    <t>TJjJ3RJHIQeK8GYL</t>
  </si>
  <si>
    <t>NlySTPzLT0oSAUUx</t>
  </si>
  <si>
    <t>diiNpgDFuIdHh0jD</t>
  </si>
  <si>
    <t>0l1FMt3oq5ZTNMhv</t>
  </si>
  <si>
    <t>mWINSTtma0Tk5VKi</t>
  </si>
  <si>
    <t>lyed9ZgDr5JURDA2</t>
  </si>
  <si>
    <t>w2zK0Mt8oLPlCFrM</t>
  </si>
  <si>
    <t>IupWCLHECj1wDHwt</t>
  </si>
  <si>
    <t>sY2u4nYLuGqMybgr</t>
  </si>
  <si>
    <t>febPye58RYBtdwxo</t>
  </si>
  <si>
    <t>6R8k4stkuBmb2QbR</t>
  </si>
  <si>
    <t>xmxfU3SUuk4dG7IG</t>
  </si>
  <si>
    <t>G2tr6aFQ28Z0VeBm</t>
  </si>
  <si>
    <t>M322eT2hVMuYQR3K</t>
  </si>
  <si>
    <t>RAmbBICoABnQOtBo</t>
  </si>
  <si>
    <t>KQbLWND9JffHhIzB</t>
  </si>
  <si>
    <t>DM3SVKZXuAhmT9cF</t>
  </si>
  <si>
    <t>GazB8ngmmh4Ruskv</t>
  </si>
  <si>
    <t>UabxToHFgVzoW8vP</t>
  </si>
  <si>
    <t>6ZNoi3F91L4mUA2w</t>
  </si>
  <si>
    <t>hv8D6X0vDP6Kk0ln</t>
  </si>
  <si>
    <t>ox86iqgaJY0xDIg4</t>
  </si>
  <si>
    <t>74DNud6tOutqz5DC</t>
  </si>
  <si>
    <t>Ujx5glFV2LAaZhE2</t>
  </si>
  <si>
    <t>pyY8UE9DxLiLDP8B</t>
  </si>
  <si>
    <t>SulNfr3w3t1Ctrpe</t>
  </si>
  <si>
    <t>uBSvMXpqHkn5ZB08</t>
  </si>
  <si>
    <t>sa54WGpjNFNB1HMV</t>
  </si>
  <si>
    <t>9qIMzV9IIKj1uyF5</t>
  </si>
  <si>
    <t>aTcwg8YQZ70CGGV1</t>
  </si>
  <si>
    <t>4SvNYD7RnxLkc53V</t>
  </si>
  <si>
    <t>lBEbgJLcARWIWGmo</t>
  </si>
  <si>
    <t>8X7FvmIVtART5CJO</t>
  </si>
  <si>
    <t>FuajsrzKzsdJYVpx</t>
  </si>
  <si>
    <t>8HQwv81acsZoZBXQ</t>
  </si>
  <si>
    <t>9UqehGWRD6B4BP60</t>
  </si>
  <si>
    <t>bcU2eNhjhd4dVBJT</t>
  </si>
  <si>
    <t>N2oF6IMCIJS58fwb</t>
  </si>
  <si>
    <t>E1imoQeBICBiik0P</t>
  </si>
  <si>
    <t>re3p22J8FmEHoapm</t>
  </si>
  <si>
    <t>qEzlb9cXynJHTG6T</t>
  </si>
  <si>
    <t>sVTVzyuy2ioAmdZa</t>
  </si>
  <si>
    <t>Xnhg4S55feHiykWf</t>
  </si>
  <si>
    <t>PgUdsltGEyLPslXq</t>
  </si>
  <si>
    <t>MEEKV0FO2rV3cfW0</t>
  </si>
  <si>
    <t>u57ZhvqWc8fpf9Ff</t>
  </si>
  <si>
    <t>6QkvI7emiSZ4Xvv6</t>
  </si>
  <si>
    <t>0nDjEO5YuGIEpNIr</t>
  </si>
  <si>
    <t>36cW19k5m2Uvmuya</t>
  </si>
  <si>
    <t>wizpq3P2NYLdIgaj</t>
  </si>
  <si>
    <t>9p1TUOvQbnYqtM03</t>
  </si>
  <si>
    <t>wKl7lhcDxKxlI1oT</t>
  </si>
  <si>
    <t>GHKQel8ENRQnTQ7s</t>
  </si>
  <si>
    <t>AkvarNhB68cRsV3e</t>
  </si>
  <si>
    <t>9RLacwJvGli0OXX3</t>
  </si>
  <si>
    <t>UJiH3Pz2uyygnGMb</t>
  </si>
  <si>
    <t>s25A9W0i5nMnGIuC</t>
  </si>
  <si>
    <t>pHi4c9Eav8fdqAn1</t>
  </si>
  <si>
    <t>0FMnyQBAYh3N4gOS</t>
  </si>
  <si>
    <t>YwVvPrBtDMYH8OCo</t>
  </si>
  <si>
    <t>vMjP0Ol4QXX3tpIs</t>
  </si>
  <si>
    <t>9M3kfOjGXuT9VpTA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</si>
</sst>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2">
    <xf numFmtId="0" fontId="0" fillId="0" borderId="0" xfId="0"/>
    <xf numFmtId="14" fontId="0" fillId="0" borderId="0" xfId="0" applyNumberFormat="1"/>
    <xf numFmtId="21" fontId="0" fillId="0" borderId="0" xfId="0" applyNumberFormat="1"/>
    <xf numFmtId="6" fontId="0" fillId="0" borderId="0" xfId="0" applyNumberFormat="1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0" fillId="0" borderId="0" xfId="0" applyAlignment="1">
      <alignment horizontal="right"/>
    </xf>
    <xf numFmtId="2" fontId="0" fillId="0" borderId="0" xfId="0" applyNumberFormat="1"/>
    <xf numFmtId="17" fontId="0" fillId="0" borderId="0" xfId="0" applyNumberFormat="1"/>
    <xf numFmtId="0" fontId="0" fillId="4" borderId="0" xfId="0" applyFill="1"/>
    <xf numFmtId="12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5" borderId="0" xfId="0" applyFill="1"/>
    <xf numFmtId="14" fontId="0" fillId="5" borderId="0" xfId="0" applyNumberFormat="1" applyFill="1"/>
    <xf numFmtId="21" fontId="0" fillId="5" borderId="0" xfId="0" applyNumberFormat="1" applyFill="1"/>
    <xf numFmtId="0" fontId="0" fillId="0" borderId="1" xfId="0" applyBorder="1"/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6" borderId="0" xfId="0" applyFill="1"/>
    <xf numFmtId="0" fontId="0" fillId="6" borderId="0" xfId="0" quotePrefix="1" applyFill="1"/>
    <xf numFmtId="0" fontId="0" fillId="0" borderId="0" xfId="0" quotePrefix="1"/>
  </cellXfs>
  <cellStyles count="2">
    <cellStyle name="Moneda 2" xfId="1" xr:uid="{65286637-67D4-41F9-854F-EBC87CB06439}"/>
    <cellStyle name="Normal" xfId="0" builtinId="0"/>
  </cellStyles>
  <dxfs count="3"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A7A67-4D60-4300-AE16-AF4C5E2D204F}" name="Tabla1" displayName="Tabla1" ref="A1:CB3427" totalsRowShown="0">
  <autoFilter ref="A1:CB3427" xr:uid="{EB8A7A67-4D60-4300-AE16-AF4C5E2D204F}"/>
  <tableColumns count="80">
    <tableColumn id="1" xr3:uid="{6EE81817-A61A-403F-AAE3-A487DFCCEC28}" name="cadenaEs[ecial"/>
    <tableColumn id="2" xr3:uid="{42C2E691-B014-4583-8795-1A33EA59A4C7}" name="Folio del contrato"/>
    <tableColumn id="3" xr3:uid="{71575AC9-404E-4FE5-9655-6E205B699685}" name="Estatus"/>
    <tableColumn id="4" xr3:uid="{092EB295-61F0-4C61-BC9A-4956887BF0D4}" name="Paquete"/>
    <tableColumn id="5" xr3:uid="{73C601FB-9837-41A2-8E44-45956C457C7C}" name="Estado"/>
    <tableColumn id="6" xr3:uid="{30EF9166-54D9-4401-BF9E-F445FACDBC3F}" name="Municipio"/>
    <tableColumn id="7" xr3:uid="{E93B23F5-4B32-42F6-B548-533E3D561776}" name="Localidad"/>
    <tableColumn id="8" xr3:uid="{916F836D-694A-44ED-90F5-2D4C1DD9CE4F}" name="Fecha de inscripcion" dataDxfId="2"/>
    <tableColumn id="9" xr3:uid="{81C5E4DE-57F1-4BD3-A991-9999A97BEFC8}" name="precio del paquete"/>
    <tableColumn id="10" xr3:uid="{6575B13A-F5A9-4741-83D0-F6F8F417BA29}" name="promocion"/>
    <tableColumn id="11" xr3:uid="{80E65003-D644-47BA-97C6-D0A8B2470176}" name="pago_inicial"/>
    <tableColumn id="12" xr3:uid="{E4D8B8D0-E52A-46F9-A3F7-F9AFF26AC815}" name="Abonos_de"/>
    <tableColumn id="13" xr3:uid="{706EECC0-BD0E-47BC-BFD2-2999BD1BB823}" name="Plan_de_Pago"/>
    <tableColumn id="14" xr3:uid="{D4A50245-FA7A-46A7-90FF-729C877644CB}" name="limite_asignado"/>
    <tableColumn id="15" xr3:uid="{6225B735-3D04-449A-BABF-A5BB13DC9E22}" name="Funeraria_Procedencia"/>
    <tableColumn id="16" xr3:uid="{E25C1ED6-0BCE-46C1-88E4-1C2989F0C7C4}" name="archivo_adjunto"/>
    <tableColumn id="17" xr3:uid="{E513EFE9-426A-450E-975E-5FB5C29257B8}" name="Nombre del Vendedor"/>
    <tableColumn id="18" xr3:uid="{245236BA-25F6-42DF-B763-9F4AB93F4F63}" name="Comision_Vendedor"/>
    <tableColumn id="19" xr3:uid="{4693254F-FC9C-4B2B-818D-82235FCDACF2}" name="comision de vendedor pagada"/>
    <tableColumn id="20" xr3:uid="{AF9FA43A-F4D8-4E74-AE4B-E046EFBE21AC}" name="Comision_Lider"/>
    <tableColumn id="21" xr3:uid="{3D21CCEB-C1A4-4F38-8D2D-1987F081D5DA}" name="comision de lider  pagada"/>
    <tableColumn id="22" xr3:uid="{964F0C02-184A-4B24-96AB-83665349A0D3}" name="Comision_Gerente"/>
    <tableColumn id="23" xr3:uid="{48BBDC26-2F37-46E1-9976-63F1D98844C6}" name="comision de gerente pagada"/>
    <tableColumn id="24" xr3:uid="{6165E166-D577-47B2-86C2-381BED6E7837}" name="Bono"/>
    <tableColumn id="25" xr3:uid="{BE85C255-6D33-455A-90FE-97F0C9FC8EBF}" name="Bono_Asignado"/>
    <tableColumn id="26" xr3:uid="{20EBA629-4AE1-45AE-90B7-A9F0077E4C95}" name="Inscripcion"/>
    <tableColumn id="27" xr3:uid="{6F1EA1DD-843E-47E2-A0B3-C3D0CF98E235}" name="Inscripcion_Asignado"/>
    <tableColumn id="28" xr3:uid="{0B837D0E-7859-470A-99A3-2F4E11E2CD8F}" name="Apellido_Paterno"/>
    <tableColumn id="29" xr3:uid="{DB7335C3-0B2B-4561-8ABC-A7F39C974C09}" name="Apellido_Materno"/>
    <tableColumn id="30" xr3:uid="{B45A1019-564D-4495-A048-80C5F7BE85E5}" name="Nombre"/>
    <tableColumn id="31" xr3:uid="{4B038F1B-1E9E-4653-88DE-79887CE2F9F3}" name="Estado_Civil"/>
    <tableColumn id="32" xr3:uid="{D47D5AB7-05AF-4E41-A063-EA309D5FF18E}" name="Nacimiento del cliente"/>
    <tableColumn id="33" xr3:uid="{2295DEDA-ADCF-420B-924C-E00D36191D76}" name="IFE"/>
    <tableColumn id="34" xr3:uid="{CA5356FA-2864-4EB7-9E79-4E57F54F9F38}" name="Domicilio"/>
    <tableColumn id="35" xr3:uid="{9785B3DB-5F4D-4337-AFD8-67942F24C9DB}" name="Colonia"/>
    <tableColumn id="36" xr3:uid="{E8651F6D-2BF0-417D-A091-0A9E0226926F}" name="Entre_Calles"/>
    <tableColumn id="37" xr3:uid="{D88E29A1-901C-4457-B3CB-CB3A21ECCE95}" name="Telefono"/>
    <tableColumn id="38" xr3:uid="{081E94E4-A487-439D-9924-C2FF97F8A240}" name="Beneficiario"/>
    <tableColumn id="39" xr3:uid="{D2F0460C-CC41-4E57-813C-D2DCC934CB2E}" name="Observaciones"/>
    <tableColumn id="40" xr3:uid="{F6AA92C0-9338-491B-9236-56DD54E3D660}" name="archivo_contrato"/>
    <tableColumn id="41" xr3:uid="{2F815C2C-3B6E-4802-9CE6-26C9BDA2CF0E}" name="Domicilio2"/>
    <tableColumn id="42" xr3:uid="{C6997930-4E69-462B-A41D-8378D88EBDAC}" name="Correo"/>
    <tableColumn id="43" xr3:uid="{A1B3E9DD-AA9F-41CD-BB5C-DBCC23475F29}" name="dia_cobro"/>
    <tableColumn id="44" xr3:uid="{4B89E7AB-36AE-4352-B9EF-3BB4E0194786}" name="firma1"/>
    <tableColumn id="45" xr3:uid="{DE8BD210-3ACA-4506-BE9E-1522246490EF}" name="firma2"/>
    <tableColumn id="46" xr3:uid="{51FD87F5-E9DD-4487-B4A8-DA4FA12EA401}" name="plazo_entrega"/>
    <tableColumn id="47" xr3:uid="{9268935F-B07B-46C3-8E45-DE58C527E713}" name="latitud"/>
    <tableColumn id="48" xr3:uid="{CD0A5782-7449-4248-AF59-0C9E617617C0}" name="longitud"/>
    <tableColumn id="49" xr3:uid="{93178ECF-BACF-41AA-A62B-FFEC34B400A1}" name="Tipo_Cobranza"/>
    <tableColumn id="50" xr3:uid="{B52D0D53-0D87-4320-9E10-45CA1F720C08}" name="Monto_Liquidado a la fecha"/>
    <tableColumn id="51" xr3:uid="{9CA59E71-EF13-49E4-99BF-19D7DCD7C7D1}" name="Saldo_Deudor"/>
    <tableColumn id="52" xr3:uid="{A3DD1391-949C-4A51-AA9D-2B1989EBAA9E}" name="horario_cobro"/>
    <tableColumn id="53" xr3:uid="{CFACBDD6-A01C-49D3-8001-F806DB68553A}" name="Estado_Cobro"/>
    <tableColumn id="54" xr3:uid="{7ED8E854-5A18-48C0-912A-0082B578060A}" name="Retrasos dias retrasados"/>
    <tableColumn id="55" xr3:uid="{61A3AEC9-0FAC-4AC3-B5E1-27B9F8ADC8A6}" name="ultimo_pago" dataDxfId="1"/>
    <tableColumn id="56" xr3:uid="{7D644F3F-0303-4573-97DD-1DA9F4FDD082}" name="pago_programado" dataDxfId="0"/>
    <tableColumn id="57" xr3:uid="{C51F63DB-CFF7-47FF-A919-67C30A7F68F1}" name="fecha_entrega"/>
    <tableColumn id="58" xr3:uid="{8B7D5031-E59B-4832-8D7B-F454F3A2E872}" name="idgrupo"/>
    <tableColumn id="59" xr3:uid="{EA86780A-F672-4942-9206-D39242EF37DA}" name="idvendedor"/>
    <tableColumn id="60" xr3:uid="{C1008E4E-8F1A-4FE9-AE20-E0E8D9118727}" name="idlider"/>
    <tableColumn id="61" xr3:uid="{4EC4357A-2615-481B-A8E8-20317BD5A8EC}" name="idgerente"/>
    <tableColumn id="62" xr3:uid="{C4B90D6F-CFCC-44F7-8D1A-95A49041AE48}" name="Colonia de cobranza"/>
    <tableColumn id="63" xr3:uid="{743AFF1A-9278-4C53-93D7-2F33EFD4FA4A}" name="edad"/>
    <tableColumn id="64" xr3:uid="{8BB2C0A1-4DE7-4ADB-A3FD-1EC4C6D6B107}" name="genero"/>
    <tableColumn id="65" xr3:uid="{73E34992-FDC6-4371-9D6F-BDC83CB2A34E}" name="hora_calle"/>
    <tableColumn id="66" xr3:uid="{1CDF2A3B-7B10-4AF4-9CE8-C92F6D623A79}" name="precio_paquete"/>
    <tableColumn id="67" xr3:uid="{D3FDDDB2-CA57-4BB2-9829-0A9D2D02F040}" name="NumeroServicio"/>
    <tableColumn id="68" xr3:uid="{FBEE1470-37E9-41CC-8737-247C25992B6C}" name="NumeroFactura"/>
    <tableColumn id="69" xr3:uid="{ABDD0D10-5120-4A77-BF0E-84551667F62F}" name="NumeroTitulo"/>
    <tableColumn id="70" xr3:uid="{DB13B7C9-74DA-4565-BE48-DA926F5B619E}" name="Fecha_Cancelacion"/>
    <tableColumn id="71" xr3:uid="{8259198A-E33C-409A-A46E-F3B29CC22E29}" name="Fecha_Pagado"/>
    <tableColumn id="72" xr3:uid="{D0600241-E1D4-4878-B350-50C0496815AE}" name="Fecha_Utilizado"/>
    <tableColumn id="73" xr3:uid="{66C41323-8C88-41B8-9F0F-4CAFACCB3FFE}" name="idpaquete_kit"/>
    <tableColumn id="74" xr3:uid="{EC535FC8-9DB1-41B9-A6C7-B2E7C5309B31}" name="deleted"/>
    <tableColumn id="75" xr3:uid="{AF182406-D79D-4725-ADCD-9B3174A04D31}" name="idsucursal"/>
    <tableColumn id="76" xr3:uid="{C956D5D4-4B9C-4F19-AFBA-CE85A49E51AC}" name="pagos"/>
    <tableColumn id="77" xr3:uid="{DFA2064B-1CAC-4906-8A06-66466ADA4F25}" name="tipo_comision_vendedor"/>
    <tableColumn id="78" xr3:uid="{320F5F5D-4CBF-412F-A9B4-B380CF4FE8FE}" name="tipo_comision_lider"/>
    <tableColumn id="79" xr3:uid="{412A5A90-71D8-4663-847C-15E8B4854718}" name="tipo_comision_gerente"/>
    <tableColumn id="80" xr3:uid="{75ECC750-BAD5-4E3C-B506-1BD3DEA412C7}" name="final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96FF-F4EE-488F-8C8A-E9E0B0499D75}">
  <sheetPr codeName="Hoja1"/>
  <dimension ref="A1:CD3427"/>
  <sheetViews>
    <sheetView tabSelected="1" topLeftCell="CD1" zoomScaleNormal="100" workbookViewId="0">
      <pane ySplit="1" topLeftCell="A182" activePane="bottomLeft" state="frozen"/>
      <selection activeCell="BP1" sqref="BP1"/>
      <selection pane="bottomLeft" activeCell="CD10" sqref="CD10:CD209"/>
    </sheetView>
  </sheetViews>
  <sheetFormatPr baseColWidth="10" defaultRowHeight="15" x14ac:dyDescent="0.25"/>
  <cols>
    <col min="1" max="1" width="22.140625" bestFit="1" customWidth="1"/>
    <col min="2" max="2" width="19" bestFit="1" customWidth="1"/>
    <col min="6" max="6" width="12" customWidth="1"/>
    <col min="8" max="8" width="21" customWidth="1"/>
    <col min="9" max="9" width="19.85546875" customWidth="1"/>
    <col min="10" max="10" width="12.7109375" customWidth="1"/>
    <col min="11" max="11" width="13.7109375" customWidth="1"/>
    <col min="12" max="12" width="13.140625" customWidth="1"/>
    <col min="13" max="13" width="15.5703125" customWidth="1"/>
    <col min="14" max="14" width="17.28515625" customWidth="1"/>
    <col min="15" max="15" width="23.42578125" customWidth="1"/>
    <col min="16" max="16" width="17.42578125" customWidth="1"/>
    <col min="17" max="17" width="23" customWidth="1"/>
    <col min="18" max="18" width="21.28515625" customWidth="1"/>
    <col min="19" max="19" width="29.5703125" customWidth="1"/>
    <col min="20" max="20" width="16.85546875" customWidth="1"/>
    <col min="21" max="21" width="25.5703125" customWidth="1"/>
    <col min="22" max="22" width="19.7109375" customWidth="1"/>
    <col min="23" max="23" width="28" customWidth="1"/>
    <col min="25" max="25" width="16.85546875" customWidth="1"/>
    <col min="26" max="26" width="12.7109375" customWidth="1"/>
    <col min="27" max="27" width="21.85546875" customWidth="1"/>
    <col min="28" max="28" width="18.7109375" customWidth="1"/>
    <col min="29" max="29" width="19.28515625" customWidth="1"/>
    <col min="31" max="31" width="13.85546875" customWidth="1"/>
    <col min="32" max="32" width="23.28515625" customWidth="1"/>
    <col min="34" max="34" width="78.7109375" bestFit="1" customWidth="1"/>
    <col min="35" max="35" width="53.140625" bestFit="1" customWidth="1"/>
    <col min="36" max="36" width="14.140625" customWidth="1"/>
    <col min="38" max="38" width="13.85546875" customWidth="1"/>
    <col min="39" max="39" width="56.28515625" bestFit="1" customWidth="1"/>
    <col min="40" max="40" width="43.140625" bestFit="1" customWidth="1"/>
    <col min="41" max="41" width="74.7109375" bestFit="1" customWidth="1"/>
    <col min="43" max="43" width="11.85546875" customWidth="1"/>
    <col min="46" max="46" width="15.7109375" customWidth="1"/>
    <col min="49" max="49" width="16.140625" customWidth="1"/>
    <col min="50" max="50" width="27.42578125" customWidth="1"/>
    <col min="51" max="52" width="15.5703125" customWidth="1"/>
    <col min="53" max="53" width="15.28515625" customWidth="1"/>
    <col min="54" max="54" width="24.42578125" customWidth="1"/>
    <col min="55" max="55" width="14.28515625" customWidth="1"/>
    <col min="56" max="56" width="19.140625" customWidth="1"/>
    <col min="57" max="57" width="15.85546875" customWidth="1"/>
    <col min="59" max="59" width="13.42578125" customWidth="1"/>
    <col min="61" max="61" width="11.85546875" customWidth="1"/>
    <col min="62" max="62" width="20.85546875" customWidth="1"/>
    <col min="65" max="65" width="12.28515625" customWidth="1"/>
    <col min="66" max="66" width="17.140625" customWidth="1"/>
    <col min="67" max="67" width="17.42578125" customWidth="1"/>
    <col min="68" max="68" width="16.85546875" customWidth="1"/>
    <col min="69" max="69" width="15.5703125" customWidth="1"/>
    <col min="70" max="70" width="19.85546875" customWidth="1"/>
    <col min="71" max="71" width="15.7109375" customWidth="1"/>
    <col min="72" max="72" width="17.140625" customWidth="1"/>
    <col min="73" max="73" width="15.5703125" customWidth="1"/>
    <col min="75" max="75" width="12" customWidth="1"/>
    <col min="77" max="77" width="25.28515625" customWidth="1"/>
    <col min="78" max="78" width="20.85546875" customWidth="1"/>
    <col min="79" max="79" width="23.7109375" customWidth="1"/>
    <col min="82" max="82" width="255.7109375" bestFit="1" customWidth="1"/>
  </cols>
  <sheetData>
    <row r="1" spans="1:82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40</v>
      </c>
      <c r="Z1" t="s">
        <v>41</v>
      </c>
      <c r="AA1" t="s">
        <v>42</v>
      </c>
      <c r="AB1" t="s">
        <v>43</v>
      </c>
      <c r="AC1" t="s">
        <v>44</v>
      </c>
      <c r="AD1" t="s">
        <v>45</v>
      </c>
      <c r="AE1" t="s">
        <v>46</v>
      </c>
      <c r="AF1" t="s">
        <v>47</v>
      </c>
      <c r="AG1" t="s">
        <v>48</v>
      </c>
      <c r="AH1" t="s">
        <v>49</v>
      </c>
      <c r="AI1" t="s">
        <v>50</v>
      </c>
      <c r="AJ1" t="s">
        <v>51</v>
      </c>
      <c r="AK1" t="s">
        <v>52</v>
      </c>
      <c r="AL1" t="s">
        <v>53</v>
      </c>
      <c r="AM1" t="s">
        <v>54</v>
      </c>
      <c r="AN1" t="s">
        <v>55</v>
      </c>
      <c r="AO1" t="s">
        <v>56</v>
      </c>
      <c r="AP1" t="s">
        <v>57</v>
      </c>
      <c r="AQ1" t="s">
        <v>58</v>
      </c>
      <c r="AR1" t="s">
        <v>59</v>
      </c>
      <c r="AS1" t="s">
        <v>60</v>
      </c>
      <c r="AT1" t="s">
        <v>61</v>
      </c>
      <c r="AU1" t="s">
        <v>62</v>
      </c>
      <c r="AV1" t="s">
        <v>63</v>
      </c>
      <c r="AW1" t="s">
        <v>64</v>
      </c>
      <c r="AX1" t="s">
        <v>65</v>
      </c>
      <c r="AY1" t="s">
        <v>66</v>
      </c>
      <c r="AZ1" t="s">
        <v>67</v>
      </c>
      <c r="BA1" t="s">
        <v>68</v>
      </c>
      <c r="BB1" t="s">
        <v>69</v>
      </c>
      <c r="BC1" t="s">
        <v>70</v>
      </c>
      <c r="BD1" t="s">
        <v>71</v>
      </c>
      <c r="BE1" t="s">
        <v>72</v>
      </c>
      <c r="BF1" t="s">
        <v>73</v>
      </c>
      <c r="BG1" t="s">
        <v>74</v>
      </c>
      <c r="BH1" t="s">
        <v>75</v>
      </c>
      <c r="BI1" t="s">
        <v>76</v>
      </c>
      <c r="BJ1" t="s">
        <v>77</v>
      </c>
      <c r="BK1" t="s">
        <v>78</v>
      </c>
      <c r="BL1" t="s">
        <v>79</v>
      </c>
      <c r="BM1" t="s">
        <v>80</v>
      </c>
      <c r="BN1" t="s">
        <v>81</v>
      </c>
      <c r="BO1" t="s">
        <v>82</v>
      </c>
      <c r="BP1" t="s">
        <v>83</v>
      </c>
      <c r="BQ1" t="s">
        <v>84</v>
      </c>
      <c r="BR1" t="s">
        <v>85</v>
      </c>
      <c r="BS1" t="s">
        <v>86</v>
      </c>
      <c r="BT1" t="s">
        <v>87</v>
      </c>
      <c r="BU1" t="s">
        <v>88</v>
      </c>
      <c r="BV1" t="s">
        <v>89</v>
      </c>
      <c r="BW1" t="s">
        <v>90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1</v>
      </c>
      <c r="CD1" t="str" cm="1">
        <f t="array" aca="1" ref="CD1" ca="1">eConcatenar(A1:CB1,"|")</f>
        <v>cadenaEs[ecial|Folio del contrato|Estatus|Paquete|Estado|Municipio|Localidad|Fecha de inscripcion|precio del paquete|promocion|pago_inicial|Abonos_de|Plan_de_Pago|limite_asignado|Funeraria_Procedencia|archivo_adjunto|Nombre del Vendedor|Comision_Vendedor|comision de vendedor pagada|Comision_Lider|comision de lider  pagada|Comision_Gerente|comision de gerente pagada|Bono|Bono_Asignado|Inscripcion|Inscripcion_Asignado|Apellido_Paterno|Apellido_Materno|Nombre|Estado_Civil|Nacimiento del cliente|IFE|Domicilio|Colonia|Entre_Calles|Telefono|Beneficiario|Observaciones|archivo_contrato|Domicilio2|Correo|dia_cobro|firma1|firma2|plazo_entrega|latitud|longitud|Tipo_Cobranza|Monto_Liquidado a la fecha|Saldo_Deudor|horario_cobro|Estado_Cobro|Retrasos dias retrasados|ultimo_pago|pago_programado|fecha_entrega|idgrupo|idvendedor|idlider|idgerente|Colonia de cobranza|edad|genero|hora_calle|precio_paquete|NumeroServicio|NumeroFactura|NumeroTitulo|Fecha_Cancelacion|Fecha_Pagado|Fecha_Utilizado|idpaquete_kit|deleted|idsucursal|pagos|tipo_comision_vendedor|tipo_comision_lider|tipo_comision_gerente|final</v>
      </c>
    </row>
    <row r="2" spans="1:82" x14ac:dyDescent="0.25">
      <c r="A2">
        <v>0</v>
      </c>
      <c r="B2">
        <v>1</v>
      </c>
      <c r="C2">
        <f>Tabla1[[#This Row],[Folio del contrato]]+1</f>
        <v>2</v>
      </c>
      <c r="D2">
        <f>Tabla1[[#This Row],[Estatus]]+1</f>
        <v>3</v>
      </c>
      <c r="E2">
        <f>Tabla1[[#This Row],[Paquete]]+1</f>
        <v>4</v>
      </c>
      <c r="F2">
        <f>Tabla1[[#This Row],[Estado]]+1</f>
        <v>5</v>
      </c>
      <c r="G2">
        <f>Tabla1[[#This Row],[Municipio]]+1</f>
        <v>6</v>
      </c>
      <c r="H2">
        <f>Tabla1[[#This Row],[Localidad]]+1</f>
        <v>7</v>
      </c>
      <c r="I2">
        <f>Tabla1[[#This Row],[Fecha de inscripcion]]+1</f>
        <v>8</v>
      </c>
      <c r="J2">
        <f>Tabla1[[#This Row],[precio del paquete]]+1</f>
        <v>9</v>
      </c>
      <c r="K2">
        <f>Tabla1[[#This Row],[promocion]]+1</f>
        <v>10</v>
      </c>
      <c r="L2">
        <f>Tabla1[[#This Row],[pago_inicial]]+1</f>
        <v>11</v>
      </c>
      <c r="M2">
        <f>Tabla1[[#This Row],[Abonos_de]]+1</f>
        <v>12</v>
      </c>
      <c r="N2">
        <f>Tabla1[[#This Row],[Plan_de_Pago]]+1</f>
        <v>13</v>
      </c>
      <c r="O2">
        <f>Tabla1[[#This Row],[limite_asignado]]+1</f>
        <v>14</v>
      </c>
      <c r="P2">
        <f>Tabla1[[#This Row],[Funeraria_Procedencia]]+1</f>
        <v>15</v>
      </c>
      <c r="Q2">
        <f>Tabla1[[#This Row],[archivo_adjunto]]+1</f>
        <v>16</v>
      </c>
      <c r="R2">
        <f>Tabla1[[#This Row],[Nombre del Vendedor]]+1</f>
        <v>17</v>
      </c>
      <c r="S2">
        <f>Tabla1[[#This Row],[Comision_Vendedor]]+1</f>
        <v>18</v>
      </c>
      <c r="T2">
        <f>Tabla1[[#This Row],[comision de vendedor pagada]]+1</f>
        <v>19</v>
      </c>
      <c r="U2">
        <f>Tabla1[[#This Row],[Comision_Lider]]+1</f>
        <v>20</v>
      </c>
      <c r="V2">
        <f>Tabla1[[#This Row],[comision de lider  pagada]]+1</f>
        <v>21</v>
      </c>
      <c r="W2">
        <f>Tabla1[[#This Row],[Comision_Gerente]]+1</f>
        <v>22</v>
      </c>
      <c r="X2">
        <f>Tabla1[[#This Row],[comision de gerente pagada]]+1</f>
        <v>23</v>
      </c>
      <c r="Y2">
        <f>Tabla1[[#This Row],[Bono]]+1</f>
        <v>24</v>
      </c>
      <c r="Z2">
        <f>Tabla1[[#This Row],[Bono_Asignado]]+1</f>
        <v>25</v>
      </c>
      <c r="AA2">
        <f>Tabla1[[#This Row],[Inscripcion]]+1</f>
        <v>26</v>
      </c>
      <c r="AB2">
        <f>Tabla1[[#This Row],[Inscripcion_Asignado]]+1</f>
        <v>27</v>
      </c>
      <c r="AC2">
        <f>Tabla1[[#This Row],[Apellido_Paterno]]+1</f>
        <v>28</v>
      </c>
      <c r="AD2">
        <f>Tabla1[[#This Row],[Apellido_Materno]]+1</f>
        <v>29</v>
      </c>
      <c r="AE2">
        <f>Tabla1[[#This Row],[Nombre]]+1</f>
        <v>30</v>
      </c>
      <c r="AF2">
        <f>Tabla1[[#This Row],[Estado_Civil]]+1</f>
        <v>31</v>
      </c>
      <c r="AG2">
        <f>Tabla1[[#This Row],[Nacimiento del cliente]]+1</f>
        <v>32</v>
      </c>
      <c r="AH2">
        <f>Tabla1[[#This Row],[IFE]]+1</f>
        <v>33</v>
      </c>
      <c r="AI2">
        <f>Tabla1[[#This Row],[Domicilio]]+1</f>
        <v>34</v>
      </c>
      <c r="AJ2">
        <f>Tabla1[[#This Row],[Colonia]]+1</f>
        <v>35</v>
      </c>
      <c r="AK2">
        <f>Tabla1[[#This Row],[Entre_Calles]]+1</f>
        <v>36</v>
      </c>
      <c r="AL2">
        <f>Tabla1[[#This Row],[Telefono]]+1</f>
        <v>37</v>
      </c>
      <c r="AM2">
        <f>Tabla1[[#This Row],[Beneficiario]]+1</f>
        <v>38</v>
      </c>
      <c r="AN2">
        <f>Tabla1[[#This Row],[Observaciones]]+1</f>
        <v>39</v>
      </c>
      <c r="AO2">
        <f>Tabla1[[#This Row],[archivo_contrato]]+1</f>
        <v>40</v>
      </c>
      <c r="AP2">
        <f>Tabla1[[#This Row],[Domicilio2]]+1</f>
        <v>41</v>
      </c>
      <c r="AQ2">
        <f>Tabla1[[#This Row],[Correo]]+1</f>
        <v>42</v>
      </c>
      <c r="AR2">
        <f>Tabla1[[#This Row],[dia_cobro]]+1</f>
        <v>43</v>
      </c>
      <c r="AS2">
        <f>Tabla1[[#This Row],[firma1]]+1</f>
        <v>44</v>
      </c>
      <c r="AT2">
        <f>Tabla1[[#This Row],[firma2]]+1</f>
        <v>45</v>
      </c>
      <c r="AU2">
        <f>Tabla1[[#This Row],[plazo_entrega]]+1</f>
        <v>46</v>
      </c>
      <c r="AV2">
        <f>Tabla1[[#This Row],[latitud]]+1</f>
        <v>47</v>
      </c>
      <c r="AW2">
        <f>Tabla1[[#This Row],[longitud]]+1</f>
        <v>48</v>
      </c>
      <c r="AX2">
        <f>Tabla1[[#This Row],[Tipo_Cobranza]]+1</f>
        <v>49</v>
      </c>
      <c r="AY2">
        <f>Tabla1[[#This Row],[Monto_Liquidado a la fecha]]+1</f>
        <v>50</v>
      </c>
      <c r="AZ2">
        <f>Tabla1[[#This Row],[Saldo_Deudor]]+1</f>
        <v>51</v>
      </c>
      <c r="BA2">
        <f>Tabla1[[#This Row],[horario_cobro]]+1</f>
        <v>52</v>
      </c>
      <c r="BB2">
        <f>Tabla1[[#This Row],[Estado_Cobro]]+1</f>
        <v>53</v>
      </c>
      <c r="BC2">
        <f>Tabla1[[#This Row],[Retrasos dias retrasados]]+1</f>
        <v>54</v>
      </c>
      <c r="BD2">
        <f>Tabla1[[#This Row],[ultimo_pago]]+1</f>
        <v>55</v>
      </c>
      <c r="BE2">
        <f>Tabla1[[#This Row],[pago_programado]]+1</f>
        <v>56</v>
      </c>
      <c r="BF2">
        <f>Tabla1[[#This Row],[fecha_entrega]]+1</f>
        <v>57</v>
      </c>
      <c r="BG2">
        <f>Tabla1[[#This Row],[idgrupo]]+1</f>
        <v>58</v>
      </c>
      <c r="BH2">
        <f>Tabla1[[#This Row],[idvendedor]]+1</f>
        <v>59</v>
      </c>
      <c r="BI2">
        <f>Tabla1[[#This Row],[idlider]]+1</f>
        <v>60</v>
      </c>
      <c r="BJ2">
        <f>Tabla1[[#This Row],[idgerente]]+1</f>
        <v>61</v>
      </c>
      <c r="BK2">
        <f>Tabla1[[#This Row],[Colonia de cobranza]]+1</f>
        <v>62</v>
      </c>
      <c r="BL2">
        <f>Tabla1[[#This Row],[edad]]+1</f>
        <v>63</v>
      </c>
      <c r="BM2">
        <f>Tabla1[[#This Row],[genero]]+1</f>
        <v>64</v>
      </c>
      <c r="BN2">
        <f>Tabla1[[#This Row],[hora_calle]]+1</f>
        <v>65</v>
      </c>
      <c r="BO2">
        <f>Tabla1[[#This Row],[precio_paquete]]+1</f>
        <v>66</v>
      </c>
      <c r="BP2">
        <f>Tabla1[[#This Row],[NumeroServicio]]+1</f>
        <v>67</v>
      </c>
      <c r="BQ2">
        <f>Tabla1[[#This Row],[NumeroFactura]]+1</f>
        <v>68</v>
      </c>
      <c r="BR2">
        <f>Tabla1[[#This Row],[NumeroTitulo]]+1</f>
        <v>69</v>
      </c>
      <c r="BS2">
        <f>Tabla1[[#This Row],[Fecha_Cancelacion]]+1</f>
        <v>70</v>
      </c>
      <c r="BT2">
        <f>Tabla1[[#This Row],[Fecha_Pagado]]+1</f>
        <v>71</v>
      </c>
      <c r="BU2">
        <f>Tabla1[[#This Row],[Fecha_Utilizado]]+1</f>
        <v>72</v>
      </c>
      <c r="BV2">
        <f>Tabla1[[#This Row],[idpaquete_kit]]+1</f>
        <v>73</v>
      </c>
      <c r="BW2">
        <f>Tabla1[[#This Row],[deleted]]+1</f>
        <v>74</v>
      </c>
      <c r="BX2">
        <f>Tabla1[[#This Row],[idsucursal]]+1</f>
        <v>75</v>
      </c>
      <c r="BY2">
        <f>Tabla1[[#This Row],[pagos]]+1</f>
        <v>76</v>
      </c>
      <c r="BZ2">
        <f>Tabla1[[#This Row],[tipo_comision_vendedor]]+1</f>
        <v>77</v>
      </c>
      <c r="CA2">
        <f>Tabla1[[#This Row],[tipo_comision_lider]]+1</f>
        <v>78</v>
      </c>
      <c r="CB2" t="s">
        <v>95</v>
      </c>
      <c r="CC2" t="s">
        <v>1</v>
      </c>
      <c r="CD2" t="s">
        <v>3</v>
      </c>
    </row>
    <row r="3" spans="1:82" x14ac:dyDescent="0.25">
      <c r="A3" t="s">
        <v>96</v>
      </c>
      <c r="B3" t="s">
        <v>97</v>
      </c>
      <c r="C3" t="s">
        <v>18</v>
      </c>
      <c r="D3" t="s">
        <v>19</v>
      </c>
      <c r="E3" t="s">
        <v>20</v>
      </c>
      <c r="F3" t="s">
        <v>21</v>
      </c>
      <c r="G3" t="s">
        <v>22</v>
      </c>
      <c r="H3" s="1" t="s">
        <v>98</v>
      </c>
      <c r="I3" t="s">
        <v>99</v>
      </c>
      <c r="J3" t="s">
        <v>25</v>
      </c>
      <c r="K3" t="s">
        <v>26</v>
      </c>
      <c r="L3" t="s">
        <v>27</v>
      </c>
      <c r="M3" t="s">
        <v>28</v>
      </c>
      <c r="N3" t="s">
        <v>29</v>
      </c>
      <c r="O3" t="s">
        <v>30</v>
      </c>
      <c r="P3" t="s">
        <v>31</v>
      </c>
      <c r="Q3" t="s">
        <v>100</v>
      </c>
      <c r="R3" t="s">
        <v>33</v>
      </c>
      <c r="S3" t="s">
        <v>3</v>
      </c>
      <c r="T3" t="s">
        <v>35</v>
      </c>
      <c r="U3" t="s">
        <v>3</v>
      </c>
      <c r="V3" t="s">
        <v>37</v>
      </c>
      <c r="W3" t="s">
        <v>3</v>
      </c>
      <c r="X3" t="s">
        <v>39</v>
      </c>
      <c r="Y3" t="s">
        <v>40</v>
      </c>
      <c r="Z3" t="s">
        <v>41</v>
      </c>
      <c r="AA3" t="s">
        <v>42</v>
      </c>
      <c r="AB3" t="s">
        <v>43</v>
      </c>
      <c r="AC3" t="s">
        <v>44</v>
      </c>
      <c r="AD3" t="s">
        <v>45</v>
      </c>
      <c r="AE3" t="s">
        <v>46</v>
      </c>
      <c r="AF3" t="s">
        <v>101</v>
      </c>
      <c r="AG3" t="s">
        <v>48</v>
      </c>
      <c r="AH3" t="s">
        <v>49</v>
      </c>
      <c r="AI3" t="s">
        <v>50</v>
      </c>
      <c r="AJ3" t="s">
        <v>51</v>
      </c>
      <c r="AK3" t="s">
        <v>52</v>
      </c>
      <c r="AL3" t="s">
        <v>53</v>
      </c>
      <c r="AM3" t="s">
        <v>54</v>
      </c>
      <c r="AN3" t="s">
        <v>55</v>
      </c>
      <c r="AO3" t="s">
        <v>56</v>
      </c>
      <c r="AP3" t="s">
        <v>57</v>
      </c>
      <c r="AQ3" t="s">
        <v>58</v>
      </c>
      <c r="AR3" t="s">
        <v>59</v>
      </c>
      <c r="AS3" t="s">
        <v>60</v>
      </c>
      <c r="AT3" t="s">
        <v>61</v>
      </c>
      <c r="AU3" t="s">
        <v>62</v>
      </c>
      <c r="AV3" t="s">
        <v>63</v>
      </c>
      <c r="AW3" t="s">
        <v>64</v>
      </c>
      <c r="AX3" t="s">
        <v>102</v>
      </c>
      <c r="AY3" t="s">
        <v>66</v>
      </c>
      <c r="AZ3" t="s">
        <v>67</v>
      </c>
      <c r="BA3" t="s">
        <v>68</v>
      </c>
      <c r="BB3" t="s">
        <v>103</v>
      </c>
      <c r="BC3" s="1" t="s">
        <v>70</v>
      </c>
      <c r="BD3" s="1" t="s">
        <v>71</v>
      </c>
      <c r="BE3" s="1" t="s">
        <v>72</v>
      </c>
      <c r="BF3" s="1" t="s">
        <v>73</v>
      </c>
      <c r="BG3" s="1" t="s">
        <v>74</v>
      </c>
      <c r="BH3" t="s">
        <v>75</v>
      </c>
      <c r="BI3" t="s">
        <v>76</v>
      </c>
      <c r="BJ3" t="s">
        <v>104</v>
      </c>
      <c r="BK3" t="s">
        <v>78</v>
      </c>
      <c r="BL3" t="s">
        <v>79</v>
      </c>
      <c r="BM3" t="s">
        <v>80</v>
      </c>
      <c r="BN3" t="s">
        <v>81</v>
      </c>
      <c r="BO3" t="s">
        <v>82</v>
      </c>
      <c r="BP3" t="s">
        <v>83</v>
      </c>
      <c r="BQ3" t="s">
        <v>84</v>
      </c>
      <c r="BR3" t="s">
        <v>85</v>
      </c>
      <c r="BS3" t="s">
        <v>86</v>
      </c>
      <c r="BT3" t="s">
        <v>87</v>
      </c>
      <c r="BU3" t="s">
        <v>88</v>
      </c>
      <c r="BV3" t="s">
        <v>89</v>
      </c>
      <c r="BW3" t="s">
        <v>90</v>
      </c>
      <c r="BX3" t="s">
        <v>91</v>
      </c>
      <c r="BY3" t="s">
        <v>92</v>
      </c>
      <c r="BZ3" t="s">
        <v>93</v>
      </c>
      <c r="CA3" t="s">
        <v>94</v>
      </c>
      <c r="CB3" t="s">
        <v>95</v>
      </c>
      <c r="CC3" t="s">
        <v>1</v>
      </c>
      <c r="CD3" t="s">
        <v>3</v>
      </c>
    </row>
    <row r="4" spans="1:82" ht="75" x14ac:dyDescent="0.25">
      <c r="A4">
        <v>1</v>
      </c>
      <c r="B4" t="s">
        <v>105</v>
      </c>
      <c r="C4">
        <v>7</v>
      </c>
      <c r="D4" t="s">
        <v>106</v>
      </c>
      <c r="E4" t="s">
        <v>107</v>
      </c>
      <c r="F4" t="s">
        <v>108</v>
      </c>
      <c r="G4" t="s">
        <v>108</v>
      </c>
      <c r="H4" s="1">
        <v>40745</v>
      </c>
      <c r="I4">
        <v>15600</v>
      </c>
      <c r="J4">
        <v>0</v>
      </c>
      <c r="K4">
        <v>0</v>
      </c>
      <c r="L4">
        <v>50</v>
      </c>
      <c r="M4">
        <v>0</v>
      </c>
      <c r="N4">
        <v>0</v>
      </c>
      <c r="O4" t="s">
        <v>3</v>
      </c>
      <c r="P4" t="s">
        <v>116</v>
      </c>
      <c r="Q4">
        <v>33</v>
      </c>
      <c r="R4">
        <v>0</v>
      </c>
      <c r="S4" t="s">
        <v>3</v>
      </c>
      <c r="T4">
        <v>0</v>
      </c>
      <c r="U4" t="s">
        <v>3</v>
      </c>
      <c r="V4">
        <v>0</v>
      </c>
      <c r="W4" t="s">
        <v>3</v>
      </c>
      <c r="X4">
        <v>0</v>
      </c>
      <c r="Y4">
        <v>0</v>
      </c>
      <c r="Z4">
        <v>0</v>
      </c>
      <c r="AA4">
        <v>0</v>
      </c>
      <c r="AB4" t="s">
        <v>8</v>
      </c>
      <c r="AC4" t="s">
        <v>13</v>
      </c>
      <c r="AD4" t="s">
        <v>109</v>
      </c>
      <c r="AE4">
        <v>0</v>
      </c>
      <c r="AF4" t="s">
        <v>110</v>
      </c>
      <c r="AG4" t="s">
        <v>111</v>
      </c>
      <c r="AH4" t="s">
        <v>112</v>
      </c>
      <c r="AI4" t="s">
        <v>5</v>
      </c>
      <c r="AJ4" t="s">
        <v>113</v>
      </c>
      <c r="AK4">
        <v>3311599272</v>
      </c>
      <c r="AL4" s="4" t="s">
        <v>114</v>
      </c>
      <c r="AM4" t="s">
        <v>3</v>
      </c>
      <c r="AN4" t="s">
        <v>115</v>
      </c>
      <c r="AO4" t="s">
        <v>112</v>
      </c>
      <c r="AP4" t="s">
        <v>3</v>
      </c>
      <c r="AQ4">
        <v>2</v>
      </c>
      <c r="AR4" t="s">
        <v>3</v>
      </c>
      <c r="AS4" t="s">
        <v>3</v>
      </c>
      <c r="AT4">
        <v>15</v>
      </c>
      <c r="AU4">
        <v>20.835594799999999</v>
      </c>
      <c r="AV4">
        <v>-103.73285370000001</v>
      </c>
      <c r="AW4">
        <v>0</v>
      </c>
      <c r="AX4">
        <v>15550</v>
      </c>
      <c r="AY4">
        <v>50</v>
      </c>
      <c r="AZ4">
        <v>4</v>
      </c>
      <c r="BA4">
        <v>0</v>
      </c>
      <c r="BB4">
        <v>74</v>
      </c>
      <c r="BC4" s="1">
        <v>43920</v>
      </c>
      <c r="BD4" s="1">
        <v>43928</v>
      </c>
      <c r="BE4" s="1" t="s">
        <v>110</v>
      </c>
      <c r="BF4" s="1">
        <v>1</v>
      </c>
      <c r="BG4" s="1">
        <v>33</v>
      </c>
      <c r="BH4">
        <v>0</v>
      </c>
      <c r="BI4">
        <v>0</v>
      </c>
      <c r="BJ4">
        <v>65</v>
      </c>
      <c r="BK4">
        <v>0</v>
      </c>
      <c r="BL4">
        <v>0</v>
      </c>
      <c r="BM4" s="2">
        <v>0</v>
      </c>
      <c r="BN4">
        <v>15600</v>
      </c>
      <c r="BO4">
        <v>0</v>
      </c>
      <c r="BP4">
        <v>0</v>
      </c>
      <c r="BQ4">
        <v>0</v>
      </c>
      <c r="BR4" t="s">
        <v>110</v>
      </c>
      <c r="BS4" s="1">
        <v>43920</v>
      </c>
      <c r="BT4" t="s">
        <v>110</v>
      </c>
      <c r="BU4">
        <v>0</v>
      </c>
      <c r="BV4">
        <v>0</v>
      </c>
      <c r="BW4">
        <v>1</v>
      </c>
      <c r="BX4">
        <v>0</v>
      </c>
      <c r="BY4">
        <v>0</v>
      </c>
      <c r="BZ4">
        <v>0</v>
      </c>
      <c r="CA4">
        <v>0</v>
      </c>
      <c r="CB4" t="s">
        <v>95</v>
      </c>
      <c r="CC4" t="s">
        <v>1</v>
      </c>
      <c r="CD4" t="s">
        <v>3</v>
      </c>
    </row>
    <row r="5" spans="1:82" x14ac:dyDescent="0.25">
      <c r="A5">
        <v>0</v>
      </c>
      <c r="B5">
        <f>Tabla1[[#This Row],[cadenaEs'[ecial]]+1</f>
        <v>1</v>
      </c>
      <c r="C5">
        <f>Tabla1[[#This Row],[Folio del contrato]]+1</f>
        <v>2</v>
      </c>
      <c r="D5">
        <f>Tabla1[[#This Row],[Estatus]]+1</f>
        <v>3</v>
      </c>
      <c r="E5">
        <f>Tabla1[[#This Row],[Paquete]]+1</f>
        <v>4</v>
      </c>
      <c r="F5">
        <f>Tabla1[[#This Row],[Estado]]+1</f>
        <v>5</v>
      </c>
      <c r="G5">
        <f>Tabla1[[#This Row],[Municipio]]+1</f>
        <v>6</v>
      </c>
      <c r="H5">
        <f>Tabla1[[#This Row],[Localidad]]+1</f>
        <v>7</v>
      </c>
      <c r="I5">
        <f>Tabla1[[#This Row],[Fecha de inscripcion]]+1</f>
        <v>8</v>
      </c>
      <c r="J5">
        <f>Tabla1[[#This Row],[precio del paquete]]+1</f>
        <v>9</v>
      </c>
      <c r="K5">
        <f>Tabla1[[#This Row],[promocion]]+1</f>
        <v>10</v>
      </c>
      <c r="L5">
        <f>Tabla1[[#This Row],[pago_inicial]]+1</f>
        <v>11</v>
      </c>
      <c r="M5">
        <f>Tabla1[[#This Row],[Abonos_de]]+1</f>
        <v>12</v>
      </c>
      <c r="N5">
        <f>Tabla1[[#This Row],[Plan_de_Pago]]+1</f>
        <v>13</v>
      </c>
      <c r="O5">
        <f>Tabla1[[#This Row],[limite_asignado]]+1</f>
        <v>14</v>
      </c>
      <c r="P5">
        <f>Tabla1[[#This Row],[Funeraria_Procedencia]]+1</f>
        <v>15</v>
      </c>
      <c r="Q5">
        <f>Tabla1[[#This Row],[archivo_adjunto]]+1</f>
        <v>16</v>
      </c>
      <c r="R5">
        <f>Tabla1[[#This Row],[Nombre del Vendedor]]+1</f>
        <v>17</v>
      </c>
      <c r="S5" t="s">
        <v>3</v>
      </c>
      <c r="T5">
        <v>18</v>
      </c>
      <c r="U5" t="s">
        <v>3</v>
      </c>
      <c r="V5">
        <v>19</v>
      </c>
      <c r="W5" t="s">
        <v>3</v>
      </c>
      <c r="X5">
        <v>20</v>
      </c>
      <c r="Y5">
        <f>Tabla1[[#This Row],[Bono]]+1</f>
        <v>21</v>
      </c>
      <c r="Z5">
        <f>Tabla1[[#This Row],[Bono_Asignado]]+1</f>
        <v>22</v>
      </c>
      <c r="AA5">
        <f>Tabla1[[#This Row],[Inscripcion]]+1</f>
        <v>23</v>
      </c>
      <c r="AB5">
        <f>Tabla1[[#This Row],[Inscripcion_Asignado]]+1</f>
        <v>24</v>
      </c>
      <c r="AC5">
        <f>Tabla1[[#This Row],[Apellido_Paterno]]+1</f>
        <v>25</v>
      </c>
      <c r="AD5">
        <f>Tabla1[[#This Row],[Apellido_Materno]]+1</f>
        <v>26</v>
      </c>
      <c r="AE5">
        <f>Tabla1[[#This Row],[Nombre]]+1</f>
        <v>27</v>
      </c>
      <c r="AF5">
        <f>Tabla1[[#This Row],[Estado_Civil]]+1</f>
        <v>28</v>
      </c>
      <c r="AG5">
        <f>Tabla1[[#This Row],[Nacimiento del cliente]]+1</f>
        <v>29</v>
      </c>
      <c r="AH5">
        <f>Tabla1[[#This Row],[IFE]]+1</f>
        <v>30</v>
      </c>
      <c r="AI5">
        <f>Tabla1[[#This Row],[Domicilio]]+1</f>
        <v>31</v>
      </c>
      <c r="AJ5">
        <f>Tabla1[[#This Row],[Colonia]]+1</f>
        <v>32</v>
      </c>
      <c r="AK5">
        <f>Tabla1[[#This Row],[Entre_Calles]]+1</f>
        <v>33</v>
      </c>
      <c r="AL5">
        <f>Tabla1[[#This Row],[Telefono]]+1</f>
        <v>34</v>
      </c>
      <c r="AM5">
        <f>Tabla1[[#This Row],[Beneficiario]]+1</f>
        <v>35</v>
      </c>
      <c r="AN5">
        <f>Tabla1[[#This Row],[Observaciones]]+1</f>
        <v>36</v>
      </c>
      <c r="AO5">
        <f>Tabla1[[#This Row],[archivo_contrato]]+1</f>
        <v>37</v>
      </c>
      <c r="AP5">
        <f>Tabla1[[#This Row],[Domicilio2]]+1</f>
        <v>38</v>
      </c>
      <c r="AQ5">
        <f>Tabla1[[#This Row],[Correo]]+1</f>
        <v>39</v>
      </c>
      <c r="AR5">
        <f>Tabla1[[#This Row],[dia_cobro]]+1</f>
        <v>40</v>
      </c>
      <c r="AS5">
        <f>Tabla1[[#This Row],[firma1]]+1</f>
        <v>41</v>
      </c>
      <c r="AT5">
        <f>Tabla1[[#This Row],[firma2]]+1</f>
        <v>42</v>
      </c>
      <c r="AU5">
        <f>Tabla1[[#This Row],[plazo_entrega]]+1</f>
        <v>43</v>
      </c>
      <c r="AV5">
        <f>Tabla1[[#This Row],[latitud]]+1</f>
        <v>44</v>
      </c>
      <c r="AW5">
        <f>Tabla1[[#This Row],[longitud]]+1</f>
        <v>45</v>
      </c>
      <c r="AX5">
        <f>Tabla1[[#This Row],[Tipo_Cobranza]]+1</f>
        <v>46</v>
      </c>
      <c r="AY5">
        <f>Tabla1[[#This Row],[Monto_Liquidado a la fecha]]+1</f>
        <v>47</v>
      </c>
      <c r="AZ5">
        <f>Tabla1[[#This Row],[Saldo_Deudor]]+1</f>
        <v>48</v>
      </c>
      <c r="BA5">
        <f>Tabla1[[#This Row],[horario_cobro]]+1</f>
        <v>49</v>
      </c>
      <c r="BB5">
        <f>Tabla1[[#This Row],[Estado_Cobro]]+1</f>
        <v>50</v>
      </c>
      <c r="BC5">
        <f>Tabla1[[#This Row],[Retrasos dias retrasados]]+1</f>
        <v>51</v>
      </c>
      <c r="BD5">
        <f>Tabla1[[#This Row],[ultimo_pago]]+1</f>
        <v>52</v>
      </c>
      <c r="BE5">
        <f>Tabla1[[#This Row],[pago_programado]]+1</f>
        <v>53</v>
      </c>
      <c r="BF5">
        <f>Tabla1[[#This Row],[fecha_entrega]]+1</f>
        <v>54</v>
      </c>
      <c r="BG5">
        <f>Tabla1[[#This Row],[idgrupo]]+1</f>
        <v>55</v>
      </c>
      <c r="BH5">
        <f>Tabla1[[#This Row],[idvendedor]]+1</f>
        <v>56</v>
      </c>
      <c r="BI5">
        <f>Tabla1[[#This Row],[idlider]]+1</f>
        <v>57</v>
      </c>
      <c r="BJ5">
        <f>Tabla1[[#This Row],[idgerente]]+1</f>
        <v>58</v>
      </c>
      <c r="BK5">
        <f>Tabla1[[#This Row],[Colonia de cobranza]]+1</f>
        <v>59</v>
      </c>
      <c r="BL5">
        <f>Tabla1[[#This Row],[edad]]+1</f>
        <v>60</v>
      </c>
      <c r="BM5">
        <f>Tabla1[[#This Row],[genero]]+1</f>
        <v>61</v>
      </c>
      <c r="BN5">
        <f>Tabla1[[#This Row],[hora_calle]]+1</f>
        <v>62</v>
      </c>
      <c r="BO5">
        <f>Tabla1[[#This Row],[precio_paquete]]+1</f>
        <v>63</v>
      </c>
      <c r="BP5">
        <f>Tabla1[[#This Row],[NumeroServicio]]+1</f>
        <v>64</v>
      </c>
      <c r="BQ5">
        <f>Tabla1[[#This Row],[NumeroFactura]]+1</f>
        <v>65</v>
      </c>
      <c r="BR5">
        <f>Tabla1[[#This Row],[NumeroTitulo]]+1</f>
        <v>66</v>
      </c>
      <c r="BS5">
        <f>Tabla1[[#This Row],[Fecha_Cancelacion]]+1</f>
        <v>67</v>
      </c>
      <c r="BT5">
        <f>Tabla1[[#This Row],[Fecha_Pagado]]+1</f>
        <v>68</v>
      </c>
      <c r="BU5">
        <f>Tabla1[[#This Row],[Fecha_Utilizado]]+1</f>
        <v>69</v>
      </c>
      <c r="BV5">
        <f>Tabla1[[#This Row],[idpaquete_kit]]+1</f>
        <v>70</v>
      </c>
      <c r="BW5">
        <f>Tabla1[[#This Row],[deleted]]+1</f>
        <v>71</v>
      </c>
      <c r="BX5">
        <f>Tabla1[[#This Row],[idsucursal]]+1</f>
        <v>72</v>
      </c>
      <c r="BY5">
        <f>Tabla1[[#This Row],[pagos]]+1</f>
        <v>73</v>
      </c>
      <c r="BZ5">
        <f>Tabla1[[#This Row],[tipo_comision_vendedor]]+1</f>
        <v>74</v>
      </c>
      <c r="CA5">
        <f>Tabla1[[#This Row],[tipo_comision_lider]]+1</f>
        <v>75</v>
      </c>
      <c r="CB5" t="s">
        <v>95</v>
      </c>
      <c r="CC5" t="s">
        <v>1</v>
      </c>
      <c r="CD5" t="s">
        <v>3</v>
      </c>
    </row>
    <row r="6" spans="1:82" x14ac:dyDescent="0.25">
      <c r="A6" t="s">
        <v>126</v>
      </c>
      <c r="B6" t="s">
        <v>127</v>
      </c>
      <c r="C6">
        <v>3</v>
      </c>
      <c r="D6" t="s">
        <v>14</v>
      </c>
      <c r="E6" t="s">
        <v>12</v>
      </c>
      <c r="F6" t="s">
        <v>120</v>
      </c>
      <c r="G6" t="s">
        <v>120</v>
      </c>
      <c r="H6" t="s">
        <v>128</v>
      </c>
      <c r="I6">
        <v>12900</v>
      </c>
      <c r="J6" t="s">
        <v>1</v>
      </c>
      <c r="K6" t="s">
        <v>1</v>
      </c>
      <c r="L6">
        <v>400</v>
      </c>
      <c r="M6">
        <v>2</v>
      </c>
      <c r="N6" t="s">
        <v>1</v>
      </c>
      <c r="O6" t="s">
        <v>1</v>
      </c>
      <c r="P6" t="s">
        <v>1</v>
      </c>
      <c r="Q6" t="s">
        <v>1</v>
      </c>
      <c r="R6" t="s">
        <v>1</v>
      </c>
      <c r="S6" t="s">
        <v>1</v>
      </c>
      <c r="T6" t="s">
        <v>1</v>
      </c>
      <c r="U6" t="s">
        <v>1</v>
      </c>
      <c r="V6" t="s">
        <v>1</v>
      </c>
      <c r="W6" t="s">
        <v>1</v>
      </c>
      <c r="X6" t="s">
        <v>1</v>
      </c>
      <c r="Y6" t="s">
        <v>1</v>
      </c>
      <c r="Z6" t="s">
        <v>1</v>
      </c>
      <c r="AA6" t="s">
        <v>1</v>
      </c>
      <c r="AB6" t="s">
        <v>15</v>
      </c>
      <c r="AC6" t="s">
        <v>125</v>
      </c>
      <c r="AD6" t="s">
        <v>123</v>
      </c>
      <c r="AE6" t="s">
        <v>4</v>
      </c>
      <c r="AF6" s="1" t="s">
        <v>1</v>
      </c>
      <c r="AG6" t="s">
        <v>1</v>
      </c>
      <c r="AH6" t="s">
        <v>129</v>
      </c>
      <c r="AI6" t="s">
        <v>119</v>
      </c>
      <c r="AJ6" t="s">
        <v>1</v>
      </c>
      <c r="AK6">
        <v>9331169247</v>
      </c>
      <c r="AL6" t="s">
        <v>1</v>
      </c>
      <c r="AM6" t="s">
        <v>1</v>
      </c>
      <c r="AN6" t="s">
        <v>1</v>
      </c>
      <c r="AO6" s="5" t="s">
        <v>130</v>
      </c>
      <c r="AP6" t="s">
        <v>1</v>
      </c>
      <c r="AQ6" t="s">
        <v>122</v>
      </c>
      <c r="AR6" t="s">
        <v>1</v>
      </c>
      <c r="AS6" t="s">
        <v>1</v>
      </c>
      <c r="AT6" t="s">
        <v>1</v>
      </c>
      <c r="AU6" t="s">
        <v>1</v>
      </c>
      <c r="AV6" t="s">
        <v>1</v>
      </c>
      <c r="AW6" t="s">
        <v>11</v>
      </c>
      <c r="AX6">
        <v>9000</v>
      </c>
      <c r="AY6">
        <v>3900</v>
      </c>
      <c r="AZ6" t="s">
        <v>1</v>
      </c>
      <c r="BA6" t="s">
        <v>1</v>
      </c>
      <c r="BB6" t="s">
        <v>1</v>
      </c>
      <c r="BC6" t="s">
        <v>117</v>
      </c>
      <c r="BD6" t="s">
        <v>133</v>
      </c>
      <c r="BE6" s="1" t="s">
        <v>1</v>
      </c>
      <c r="BF6" t="s">
        <v>1</v>
      </c>
      <c r="BG6" s="1" t="s">
        <v>1</v>
      </c>
      <c r="BH6" t="s">
        <v>1</v>
      </c>
      <c r="BI6" t="s">
        <v>1</v>
      </c>
      <c r="BJ6" t="s">
        <v>119</v>
      </c>
      <c r="BK6" t="s">
        <v>1</v>
      </c>
      <c r="BL6" t="s">
        <v>131</v>
      </c>
      <c r="BM6" s="2" t="s">
        <v>1</v>
      </c>
      <c r="BN6">
        <v>12900</v>
      </c>
      <c r="BO6" t="s">
        <v>1</v>
      </c>
      <c r="BP6" t="s">
        <v>1</v>
      </c>
      <c r="BQ6" t="s">
        <v>1</v>
      </c>
      <c r="BR6" t="s">
        <v>1</v>
      </c>
      <c r="BS6" t="s">
        <v>1</v>
      </c>
      <c r="BT6" t="s">
        <v>1</v>
      </c>
      <c r="BU6" t="s">
        <v>1</v>
      </c>
      <c r="BV6" t="s">
        <v>1</v>
      </c>
      <c r="BW6" t="s">
        <v>10</v>
      </c>
      <c r="BX6" t="s">
        <v>1</v>
      </c>
      <c r="BY6" t="s">
        <v>3</v>
      </c>
      <c r="BZ6" t="s">
        <v>3</v>
      </c>
      <c r="CA6" t="s">
        <v>3</v>
      </c>
      <c r="CB6" t="s">
        <v>95</v>
      </c>
      <c r="CC6" t="s">
        <v>1</v>
      </c>
      <c r="CD6" t="str" cm="1">
        <f t="array" aca="1" ref="CD6" ca="1">eConcatenar(A6:CB6,"|")</f>
        <v>sXd3zoQceyNtFnn2|COM2019-2501|3|ECONOLINE |TABASCO |COMALCALCO |COMALCALCO |2019-9-3|12900|X|X|400|2|X|X|X|X|X|X|X|X|X|X|X|X|X|X|PEREZ |ROMERO |LUIS ROBERTO |SOLTERO|X|X|CALLEJON DOÑA BENITA SIN NUMERO |ORIENTE PRIMERA SECCION |X|9331169247|X|X|X|RUTA 4 L |X|LUNES |X|X|X|X|X|DOMICILIO |9000|3900|X|X|X|2021-9-7|2021-10-4|X|X|X|X|X|ORIENTE PRIMERA SECCION |X|HOMBRE |X|12900|X|X|X|X|X|X|X|X|CARDENAS |X|x|x|x|final</v>
      </c>
    </row>
    <row r="7" spans="1:82" x14ac:dyDescent="0.25">
      <c r="AO7" s="5"/>
      <c r="BE7" s="1"/>
      <c r="CC7" t="s">
        <v>1</v>
      </c>
      <c r="CD7" t="str" cm="1">
        <f t="array" aca="1" ref="CD7" ca="1">eConcatenar(A7:CB7,"|")</f>
        <v>|||||||||||||||||||||||||||||||||||||||||||||||||||||||||||||||||||||||||||||||</v>
      </c>
    </row>
    <row r="8" spans="1:82" x14ac:dyDescent="0.25">
      <c r="A8" t="s">
        <v>136</v>
      </c>
      <c r="B8" t="s">
        <v>137</v>
      </c>
      <c r="C8">
        <v>3</v>
      </c>
      <c r="D8" t="s">
        <v>121</v>
      </c>
      <c r="E8" t="s">
        <v>12</v>
      </c>
      <c r="F8" t="s">
        <v>124</v>
      </c>
      <c r="G8" t="s">
        <v>138</v>
      </c>
      <c r="H8" t="s">
        <v>134</v>
      </c>
      <c r="I8">
        <v>12900</v>
      </c>
      <c r="J8" t="s">
        <v>1</v>
      </c>
      <c r="K8" t="s">
        <v>1</v>
      </c>
      <c r="L8">
        <v>100</v>
      </c>
      <c r="M8">
        <v>0</v>
      </c>
      <c r="N8" t="s">
        <v>3</v>
      </c>
      <c r="O8" t="s">
        <v>1</v>
      </c>
      <c r="P8" t="s">
        <v>1</v>
      </c>
      <c r="Q8" t="s">
        <v>1</v>
      </c>
      <c r="R8" t="s">
        <v>1</v>
      </c>
      <c r="S8" t="s">
        <v>1</v>
      </c>
      <c r="T8" t="s">
        <v>1</v>
      </c>
      <c r="U8" t="s">
        <v>1</v>
      </c>
      <c r="V8" t="s">
        <v>1</v>
      </c>
      <c r="W8" t="s">
        <v>1</v>
      </c>
      <c r="X8" t="s">
        <v>1</v>
      </c>
      <c r="Y8" t="s">
        <v>1</v>
      </c>
      <c r="Z8" t="s">
        <v>1</v>
      </c>
      <c r="AA8" t="s">
        <v>3</v>
      </c>
      <c r="AB8" t="s">
        <v>139</v>
      </c>
      <c r="AC8" t="s">
        <v>7</v>
      </c>
      <c r="AD8" t="s">
        <v>9</v>
      </c>
      <c r="AE8" t="s">
        <v>6</v>
      </c>
      <c r="AF8" t="s">
        <v>1</v>
      </c>
      <c r="AG8" t="s">
        <v>1</v>
      </c>
      <c r="AH8" t="s">
        <v>140</v>
      </c>
      <c r="AI8" t="s">
        <v>135</v>
      </c>
      <c r="AJ8" t="s">
        <v>1</v>
      </c>
      <c r="AK8">
        <v>9141372179</v>
      </c>
      <c r="AL8" t="s">
        <v>141</v>
      </c>
      <c r="AM8" t="s">
        <v>142</v>
      </c>
      <c r="AN8" t="s">
        <v>1</v>
      </c>
      <c r="AO8" t="s">
        <v>135</v>
      </c>
      <c r="AP8" t="s">
        <v>1</v>
      </c>
      <c r="AQ8" t="s">
        <v>2</v>
      </c>
      <c r="AR8" t="s">
        <v>3</v>
      </c>
      <c r="AS8" t="s">
        <v>3</v>
      </c>
      <c r="AT8" t="s">
        <v>1</v>
      </c>
      <c r="AU8" t="s">
        <v>1</v>
      </c>
      <c r="AV8" t="s">
        <v>1</v>
      </c>
      <c r="AW8" t="s">
        <v>11</v>
      </c>
      <c r="AX8">
        <v>4450</v>
      </c>
      <c r="AY8">
        <v>8450</v>
      </c>
      <c r="AZ8" t="s">
        <v>3</v>
      </c>
      <c r="BA8" t="s">
        <v>3</v>
      </c>
      <c r="BB8" t="s">
        <v>1</v>
      </c>
      <c r="BC8" t="s">
        <v>118</v>
      </c>
      <c r="BD8" t="s">
        <v>133</v>
      </c>
      <c r="BE8" t="s">
        <v>1</v>
      </c>
      <c r="BF8" t="s">
        <v>3</v>
      </c>
      <c r="BG8" t="s">
        <v>1</v>
      </c>
      <c r="BH8" t="s">
        <v>3</v>
      </c>
      <c r="BI8" t="s">
        <v>3</v>
      </c>
      <c r="BJ8" t="s">
        <v>143</v>
      </c>
      <c r="BK8" t="s">
        <v>1</v>
      </c>
      <c r="BL8" t="s">
        <v>132</v>
      </c>
      <c r="BM8" t="s">
        <v>3</v>
      </c>
      <c r="BN8">
        <v>12900</v>
      </c>
      <c r="BO8" t="s">
        <v>3</v>
      </c>
      <c r="BP8" t="s">
        <v>3</v>
      </c>
      <c r="BQ8" t="s">
        <v>3</v>
      </c>
      <c r="BR8" t="s">
        <v>1</v>
      </c>
      <c r="BS8" t="s">
        <v>1</v>
      </c>
      <c r="BT8" t="s">
        <v>1</v>
      </c>
      <c r="BU8" t="s">
        <v>1</v>
      </c>
      <c r="BV8" t="s">
        <v>1</v>
      </c>
      <c r="BW8" t="s">
        <v>0</v>
      </c>
      <c r="BX8" t="s">
        <v>3</v>
      </c>
      <c r="BY8" t="s">
        <v>3</v>
      </c>
      <c r="BZ8" t="s">
        <v>3</v>
      </c>
      <c r="CA8" t="s">
        <v>3</v>
      </c>
      <c r="CB8" t="s">
        <v>3</v>
      </c>
      <c r="CD8" t="str" cm="1">
        <f t="array" aca="1" ref="CD8" ca="1">eConcatenar(A8:CB8,"|")</f>
        <v>094HQJPFKmzvG5Yx|CAR 2020-5204|3|IMPERIAL DE LUJO |TABASCO |CUNDUACAN |CUANDUACAN |2020-12-5|12900|X|X|100|0|x|X|X|X|X|X|X|X|X|X|X|X|X|x|CORTOZA|LOPEZ|ROBERTO|CASADO|X|X|CARRETERA A BENITO JUAREZ|HUIMANGO SEGUNDA SECCION LA MONA |X|9141372179|MARIA DEL ROSARIO CORTAZA GARCIA |BENEFICIARIO 2: MARISOL CORTAZA GARCIA |X|HUIMANGO SEGUNDA SECCION LA MONA |X|LUNES|x|x|X|X|X|DOMICILIO |4450|8450|x|x|X|2021-9-27|2021-10-4|X|x|X|x|x|NL2E7OEHPWYUH7Y|X|HOMBRE|x|12900|x|x|x|X|X|X|X|X|CARDENAS|x|x|x|x|x</v>
      </c>
    </row>
    <row r="9" spans="1:82" s="5" customFormat="1" x14ac:dyDescent="0.25">
      <c r="CD9" s="5" t="str" cm="1">
        <f t="array" aca="1" ref="CD9" ca="1">eConcatenar(A9:CB9,"|")</f>
        <v>|||||||||||||||||||||||||||||||||||||||||||||||||||||||||||||||||||||||||||||||</v>
      </c>
    </row>
    <row r="10" spans="1:82" x14ac:dyDescent="0.25">
      <c r="A10" t="s">
        <v>146</v>
      </c>
      <c r="B10" s="19" t="s">
        <v>347</v>
      </c>
      <c r="C10" s="19">
        <v>3</v>
      </c>
      <c r="D10" s="19" t="s">
        <v>346</v>
      </c>
      <c r="E10" s="19" t="s">
        <v>346</v>
      </c>
      <c r="F10" s="19" t="s">
        <v>346</v>
      </c>
      <c r="G10" s="19" t="s">
        <v>346</v>
      </c>
      <c r="H10" s="20" t="s">
        <v>747</v>
      </c>
      <c r="I10" s="19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 s="5" t="s">
        <v>3</v>
      </c>
      <c r="AC10" s="5" t="s">
        <v>3</v>
      </c>
      <c r="AD10" s="17" t="s">
        <v>3</v>
      </c>
      <c r="AE10" t="s">
        <v>3</v>
      </c>
      <c r="AF10" t="s">
        <v>3</v>
      </c>
      <c r="AG10" t="s">
        <v>3</v>
      </c>
      <c r="AH10" t="s">
        <v>3</v>
      </c>
      <c r="AI10" t="s">
        <v>3</v>
      </c>
      <c r="AJ10" t="s">
        <v>3</v>
      </c>
      <c r="AK10" t="s">
        <v>3</v>
      </c>
      <c r="AL10" t="s">
        <v>3</v>
      </c>
      <c r="AM10" t="s">
        <v>3</v>
      </c>
      <c r="AN10" t="s">
        <v>3</v>
      </c>
      <c r="AO10" t="s">
        <v>3</v>
      </c>
      <c r="AP10" t="s">
        <v>3</v>
      </c>
      <c r="AQ10" t="s">
        <v>3</v>
      </c>
      <c r="AR10" t="s">
        <v>3</v>
      </c>
      <c r="AS10" t="s">
        <v>3</v>
      </c>
      <c r="AT10" t="s">
        <v>3</v>
      </c>
      <c r="AU10" t="s">
        <v>3</v>
      </c>
      <c r="AV10" t="s">
        <v>3</v>
      </c>
      <c r="AW10" t="s">
        <v>3</v>
      </c>
      <c r="AX10" s="19">
        <v>0</v>
      </c>
      <c r="AY10" s="19">
        <v>1</v>
      </c>
      <c r="AZ10" t="s">
        <v>1</v>
      </c>
      <c r="BA10" t="s">
        <v>1</v>
      </c>
      <c r="BB10" t="s">
        <v>1</v>
      </c>
      <c r="BC10" s="20" t="s">
        <v>748</v>
      </c>
      <c r="BD10" s="20" t="s">
        <v>144</v>
      </c>
      <c r="BE10">
        <v>0</v>
      </c>
      <c r="BF10">
        <v>0</v>
      </c>
      <c r="BG10">
        <v>0</v>
      </c>
      <c r="BH10">
        <v>0</v>
      </c>
      <c r="BI10">
        <v>0</v>
      </c>
      <c r="BJ10" s="19" t="s">
        <v>749</v>
      </c>
      <c r="BK10">
        <v>0</v>
      </c>
      <c r="BL10" t="s">
        <v>132</v>
      </c>
      <c r="BM10">
        <v>0</v>
      </c>
      <c r="BN10" s="19">
        <v>1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">
        <v>0</v>
      </c>
      <c r="BX10">
        <v>0</v>
      </c>
      <c r="BY10">
        <v>0</v>
      </c>
      <c r="BZ10">
        <v>0</v>
      </c>
      <c r="CA10">
        <v>0</v>
      </c>
      <c r="CB10" t="s">
        <v>145</v>
      </c>
      <c r="CD10" t="str" cm="1">
        <f t="array" aca="1" ref="CD10" ca="1">eConcatenar(A10:CB10,"|")</f>
        <v>67fh4sY8zWgnKaOG|MODIFCARD1|3|MODIF|MODIF|MODIF|MODIF|2022-01-01|1|0|0|0|0|0|0|0|0|0|0|0|0|0|0|0|0|0|0|x|x|x|x|x|x|x|x|x|x|x|x|x|x|x|x|x|x|x|x|x|x|0|1|X|X|X|2022-2-10|2022-02-23|0|0|0|0|0|QWYNRBIY9KVTQO|0|HOMBRE|0|1|0|0|0|0|0|0|0|0|CARDENAS|0|0|0|0|FINAL</v>
      </c>
    </row>
    <row r="11" spans="1:82" x14ac:dyDescent="0.25">
      <c r="A11" t="s">
        <v>147</v>
      </c>
      <c r="B11" s="19" t="s">
        <v>348</v>
      </c>
      <c r="C11">
        <v>3</v>
      </c>
      <c r="D11" t="s">
        <v>346</v>
      </c>
      <c r="E11" t="s">
        <v>346</v>
      </c>
      <c r="F11" t="s">
        <v>346</v>
      </c>
      <c r="G11" t="s">
        <v>346</v>
      </c>
      <c r="H11" s="21" t="s">
        <v>747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 t="s">
        <v>3</v>
      </c>
      <c r="AC11" t="s">
        <v>3</v>
      </c>
      <c r="AD11" s="18" t="s">
        <v>3</v>
      </c>
      <c r="AE11" t="s">
        <v>3</v>
      </c>
      <c r="AF11" t="s">
        <v>3</v>
      </c>
      <c r="AG11" t="s">
        <v>3</v>
      </c>
      <c r="AH11" t="s">
        <v>3</v>
      </c>
      <c r="AI11" t="s">
        <v>3</v>
      </c>
      <c r="AJ11" t="s">
        <v>3</v>
      </c>
      <c r="AK11" t="s">
        <v>3</v>
      </c>
      <c r="AL11" t="s">
        <v>3</v>
      </c>
      <c r="AM11" t="s">
        <v>3</v>
      </c>
      <c r="AN11" t="s">
        <v>3</v>
      </c>
      <c r="AO11" t="s">
        <v>3</v>
      </c>
      <c r="AP11" t="s">
        <v>3</v>
      </c>
      <c r="AQ11" t="s">
        <v>3</v>
      </c>
      <c r="AR11" t="s">
        <v>3</v>
      </c>
      <c r="AS11" t="s">
        <v>3</v>
      </c>
      <c r="AT11" t="s">
        <v>3</v>
      </c>
      <c r="AU11" t="s">
        <v>3</v>
      </c>
      <c r="AV11" t="s">
        <v>3</v>
      </c>
      <c r="AW11" t="s">
        <v>3</v>
      </c>
      <c r="AX11">
        <v>0</v>
      </c>
      <c r="AY11">
        <v>1</v>
      </c>
      <c r="AZ11" t="s">
        <v>1</v>
      </c>
      <c r="BA11" t="s">
        <v>1</v>
      </c>
      <c r="BB11" t="s">
        <v>1</v>
      </c>
      <c r="BC11" s="21" t="s">
        <v>748</v>
      </c>
      <c r="BD11" s="21" t="s">
        <v>144</v>
      </c>
      <c r="BE11">
        <v>0</v>
      </c>
      <c r="BF11">
        <v>0</v>
      </c>
      <c r="BG11">
        <v>0</v>
      </c>
      <c r="BH11">
        <v>0</v>
      </c>
      <c r="BI11">
        <v>0</v>
      </c>
      <c r="BJ11" t="s">
        <v>749</v>
      </c>
      <c r="BK11">
        <v>0</v>
      </c>
      <c r="BL11" t="s">
        <v>132</v>
      </c>
      <c r="BM11">
        <v>0</v>
      </c>
      <c r="BN11">
        <v>1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">
        <v>0</v>
      </c>
      <c r="BX11">
        <v>0</v>
      </c>
      <c r="BY11">
        <v>0</v>
      </c>
      <c r="BZ11">
        <v>0</v>
      </c>
      <c r="CA11">
        <v>0</v>
      </c>
      <c r="CB11" t="s">
        <v>145</v>
      </c>
      <c r="CD11" t="str" cm="1">
        <f t="array" aca="1" ref="CD11" ca="1">eConcatenar(A11:CB11,"|")</f>
        <v>YJYlogxdIxfPp7rr|MODIFCARD2|3|MODIF|MODIF|MODIF|MODIF|2022-01-01|1|0|0|0|0|0|0|0|0|0|0|0|0|0|0|0|0|0|0|x|x|x|x|x|x|x|x|x|x|x|x|x|x|x|x|x|x|x|x|x|x|0|1|X|X|X|2022-2-10|2022-02-23|0|0|0|0|0|QWYNRBIY9KVTQO|0|HOMBRE|0|1|0|0|0|0|0|0|0|0|CARDENAS|0|0|0|0|FINAL</v>
      </c>
    </row>
    <row r="12" spans="1:82" x14ac:dyDescent="0.25">
      <c r="A12" t="s">
        <v>148</v>
      </c>
      <c r="B12" s="19" t="s">
        <v>349</v>
      </c>
      <c r="C12">
        <v>3</v>
      </c>
      <c r="D12" t="s">
        <v>346</v>
      </c>
      <c r="E12" t="s">
        <v>346</v>
      </c>
      <c r="F12" t="s">
        <v>346</v>
      </c>
      <c r="G12" t="s">
        <v>346</v>
      </c>
      <c r="H12" s="21" t="s">
        <v>747</v>
      </c>
      <c r="I12">
        <v>1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 t="s">
        <v>3</v>
      </c>
      <c r="AC12" t="s">
        <v>3</v>
      </c>
      <c r="AD12" s="18" t="s">
        <v>3</v>
      </c>
      <c r="AE12" t="s">
        <v>3</v>
      </c>
      <c r="AF12" t="s">
        <v>3</v>
      </c>
      <c r="AG12" t="s">
        <v>3</v>
      </c>
      <c r="AH12" t="s">
        <v>3</v>
      </c>
      <c r="AI12" t="s">
        <v>3</v>
      </c>
      <c r="AJ12" t="s">
        <v>3</v>
      </c>
      <c r="AK12" t="s">
        <v>3</v>
      </c>
      <c r="AL12" t="s">
        <v>3</v>
      </c>
      <c r="AM12" t="s">
        <v>3</v>
      </c>
      <c r="AN12" t="s">
        <v>3</v>
      </c>
      <c r="AO12" t="s">
        <v>3</v>
      </c>
      <c r="AP12" t="s">
        <v>3</v>
      </c>
      <c r="AQ12" t="s">
        <v>3</v>
      </c>
      <c r="AR12" t="s">
        <v>3</v>
      </c>
      <c r="AS12" t="s">
        <v>3</v>
      </c>
      <c r="AT12" t="s">
        <v>3</v>
      </c>
      <c r="AU12" t="s">
        <v>3</v>
      </c>
      <c r="AV12" t="s">
        <v>3</v>
      </c>
      <c r="AW12" t="s">
        <v>3</v>
      </c>
      <c r="AX12">
        <v>0</v>
      </c>
      <c r="AY12">
        <v>1</v>
      </c>
      <c r="AZ12" t="s">
        <v>1</v>
      </c>
      <c r="BA12" t="s">
        <v>1</v>
      </c>
      <c r="BB12" t="s">
        <v>1</v>
      </c>
      <c r="BC12" s="21" t="s">
        <v>748</v>
      </c>
      <c r="BD12" s="21" t="s">
        <v>144</v>
      </c>
      <c r="BE12">
        <v>0</v>
      </c>
      <c r="BF12">
        <v>0</v>
      </c>
      <c r="BG12">
        <v>0</v>
      </c>
      <c r="BH12">
        <v>0</v>
      </c>
      <c r="BI12">
        <v>0</v>
      </c>
      <c r="BJ12" t="s">
        <v>749</v>
      </c>
      <c r="BK12">
        <v>0</v>
      </c>
      <c r="BL12" t="s">
        <v>132</v>
      </c>
      <c r="BM12">
        <v>0</v>
      </c>
      <c r="BN12">
        <v>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">
        <v>0</v>
      </c>
      <c r="BX12">
        <v>0</v>
      </c>
      <c r="BY12">
        <v>0</v>
      </c>
      <c r="BZ12">
        <v>0</v>
      </c>
      <c r="CA12">
        <v>0</v>
      </c>
      <c r="CB12" t="s">
        <v>145</v>
      </c>
      <c r="CD12" t="str" cm="1">
        <f t="array" aca="1" ref="CD12" ca="1">eConcatenar(A12:CB12,"|")</f>
        <v>kUcsCTLiV5JcQrze|MODIFCARD3|3|MODIF|MODIF|MODIF|MODIF|2022-01-01|1|0|0|0|0|0|0|0|0|0|0|0|0|0|0|0|0|0|0|x|x|x|x|x|x|x|x|x|x|x|x|x|x|x|x|x|x|x|x|x|x|0|1|X|X|X|2022-2-10|2022-02-23|0|0|0|0|0|QWYNRBIY9KVTQO|0|HOMBRE|0|1|0|0|0|0|0|0|0|0|CARDENAS|0|0|0|0|FINAL</v>
      </c>
    </row>
    <row r="13" spans="1:82" x14ac:dyDescent="0.25">
      <c r="A13" t="s">
        <v>149</v>
      </c>
      <c r="B13" s="19" t="s">
        <v>350</v>
      </c>
      <c r="C13">
        <v>3</v>
      </c>
      <c r="D13" t="s">
        <v>346</v>
      </c>
      <c r="E13" t="s">
        <v>346</v>
      </c>
      <c r="F13" t="s">
        <v>346</v>
      </c>
      <c r="G13" t="s">
        <v>346</v>
      </c>
      <c r="H13" s="21" t="s">
        <v>747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 t="s">
        <v>3</v>
      </c>
      <c r="AC13" t="s">
        <v>3</v>
      </c>
      <c r="AD13" s="18" t="s">
        <v>3</v>
      </c>
      <c r="AE13" t="s">
        <v>3</v>
      </c>
      <c r="AF13" t="s">
        <v>3</v>
      </c>
      <c r="AG13" t="s">
        <v>3</v>
      </c>
      <c r="AH13" t="s">
        <v>3</v>
      </c>
      <c r="AI13" t="s">
        <v>3</v>
      </c>
      <c r="AJ13" t="s">
        <v>3</v>
      </c>
      <c r="AK13" t="s">
        <v>3</v>
      </c>
      <c r="AL13" t="s">
        <v>3</v>
      </c>
      <c r="AM13" t="s">
        <v>3</v>
      </c>
      <c r="AN13" t="s">
        <v>3</v>
      </c>
      <c r="AO13" t="s">
        <v>3</v>
      </c>
      <c r="AP13" t="s">
        <v>3</v>
      </c>
      <c r="AQ13" t="s">
        <v>3</v>
      </c>
      <c r="AR13" t="s">
        <v>3</v>
      </c>
      <c r="AS13" t="s">
        <v>3</v>
      </c>
      <c r="AT13" t="s">
        <v>3</v>
      </c>
      <c r="AU13" t="s">
        <v>3</v>
      </c>
      <c r="AV13" t="s">
        <v>3</v>
      </c>
      <c r="AW13" t="s">
        <v>3</v>
      </c>
      <c r="AX13">
        <v>0</v>
      </c>
      <c r="AY13">
        <v>1</v>
      </c>
      <c r="AZ13" t="s">
        <v>1</v>
      </c>
      <c r="BA13" t="s">
        <v>1</v>
      </c>
      <c r="BB13" t="s">
        <v>1</v>
      </c>
      <c r="BC13" s="21" t="s">
        <v>748</v>
      </c>
      <c r="BD13" s="21" t="s">
        <v>144</v>
      </c>
      <c r="BE13">
        <v>0</v>
      </c>
      <c r="BF13">
        <v>0</v>
      </c>
      <c r="BG13">
        <v>0</v>
      </c>
      <c r="BH13">
        <v>0</v>
      </c>
      <c r="BI13">
        <v>0</v>
      </c>
      <c r="BJ13" t="s">
        <v>749</v>
      </c>
      <c r="BK13">
        <v>0</v>
      </c>
      <c r="BL13" t="s">
        <v>132</v>
      </c>
      <c r="BM13">
        <v>0</v>
      </c>
      <c r="BN13">
        <v>1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">
        <v>0</v>
      </c>
      <c r="BX13">
        <v>0</v>
      </c>
      <c r="BY13">
        <v>0</v>
      </c>
      <c r="BZ13">
        <v>0</v>
      </c>
      <c r="CA13">
        <v>0</v>
      </c>
      <c r="CB13" t="s">
        <v>145</v>
      </c>
      <c r="CD13" t="str" cm="1">
        <f t="array" aca="1" ref="CD13" ca="1">eConcatenar(A13:CB13,"|")</f>
        <v>RdU4mEyuFJc76AxX|MODIFCARD4|3|MODIF|MODIF|MODIF|MODIF|2022-01-01|1|0|0|0|0|0|0|0|0|0|0|0|0|0|0|0|0|0|0|x|x|x|x|x|x|x|x|x|x|x|x|x|x|x|x|x|x|x|x|x|x|0|1|X|X|X|2022-2-10|2022-02-23|0|0|0|0|0|QWYNRBIY9KVTQO|0|HOMBRE|0|1|0|0|0|0|0|0|0|0|CARDENAS|0|0|0|0|FINAL</v>
      </c>
    </row>
    <row r="14" spans="1:82" x14ac:dyDescent="0.25">
      <c r="A14" t="s">
        <v>150</v>
      </c>
      <c r="B14" s="19" t="s">
        <v>351</v>
      </c>
      <c r="C14">
        <v>3</v>
      </c>
      <c r="D14" t="s">
        <v>346</v>
      </c>
      <c r="E14" t="s">
        <v>346</v>
      </c>
      <c r="F14" t="s">
        <v>346</v>
      </c>
      <c r="G14" t="s">
        <v>346</v>
      </c>
      <c r="H14" s="21" t="s">
        <v>747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 t="s">
        <v>3</v>
      </c>
      <c r="AC14" t="s">
        <v>3</v>
      </c>
      <c r="AD14" s="18" t="s">
        <v>3</v>
      </c>
      <c r="AE14" t="s">
        <v>3</v>
      </c>
      <c r="AF14" t="s">
        <v>3</v>
      </c>
      <c r="AG14" t="s">
        <v>3</v>
      </c>
      <c r="AH14" t="s">
        <v>3</v>
      </c>
      <c r="AI14" t="s">
        <v>3</v>
      </c>
      <c r="AJ14" t="s">
        <v>3</v>
      </c>
      <c r="AK14" t="s">
        <v>3</v>
      </c>
      <c r="AL14" t="s">
        <v>3</v>
      </c>
      <c r="AM14" t="s">
        <v>3</v>
      </c>
      <c r="AN14" t="s">
        <v>3</v>
      </c>
      <c r="AO14" t="s">
        <v>3</v>
      </c>
      <c r="AP14" t="s">
        <v>3</v>
      </c>
      <c r="AQ14" t="s">
        <v>3</v>
      </c>
      <c r="AR14" t="s">
        <v>3</v>
      </c>
      <c r="AS14" t="s">
        <v>3</v>
      </c>
      <c r="AT14" t="s">
        <v>3</v>
      </c>
      <c r="AU14" t="s">
        <v>3</v>
      </c>
      <c r="AV14" t="s">
        <v>3</v>
      </c>
      <c r="AW14" t="s">
        <v>3</v>
      </c>
      <c r="AX14">
        <v>0</v>
      </c>
      <c r="AY14">
        <v>1</v>
      </c>
      <c r="AZ14" t="s">
        <v>1</v>
      </c>
      <c r="BA14" t="s">
        <v>1</v>
      </c>
      <c r="BB14" t="s">
        <v>1</v>
      </c>
      <c r="BC14" s="21" t="s">
        <v>748</v>
      </c>
      <c r="BD14" s="21" t="s">
        <v>144</v>
      </c>
      <c r="BE14">
        <v>0</v>
      </c>
      <c r="BF14">
        <v>0</v>
      </c>
      <c r="BG14">
        <v>0</v>
      </c>
      <c r="BH14">
        <v>0</v>
      </c>
      <c r="BI14">
        <v>0</v>
      </c>
      <c r="BJ14" t="s">
        <v>749</v>
      </c>
      <c r="BK14">
        <v>0</v>
      </c>
      <c r="BL14" t="s">
        <v>132</v>
      </c>
      <c r="BM14">
        <v>0</v>
      </c>
      <c r="BN14">
        <v>1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">
        <v>0</v>
      </c>
      <c r="BX14">
        <v>0</v>
      </c>
      <c r="BY14">
        <v>0</v>
      </c>
      <c r="BZ14">
        <v>0</v>
      </c>
      <c r="CA14">
        <v>0</v>
      </c>
      <c r="CB14" t="s">
        <v>145</v>
      </c>
      <c r="CD14" t="str" cm="1">
        <f t="array" aca="1" ref="CD14" ca="1">eConcatenar(A14:CB14,"|")</f>
        <v>T56w2LP6oHj61BN3|MODIFCARD5|3|MODIF|MODIF|MODIF|MODIF|2022-01-01|1|0|0|0|0|0|0|0|0|0|0|0|0|0|0|0|0|0|0|x|x|x|x|x|x|x|x|x|x|x|x|x|x|x|x|x|x|x|x|x|x|0|1|X|X|X|2022-2-10|2022-02-23|0|0|0|0|0|QWYNRBIY9KVTQO|0|HOMBRE|0|1|0|0|0|0|0|0|0|0|CARDENAS|0|0|0|0|FINAL</v>
      </c>
    </row>
    <row r="15" spans="1:82" x14ac:dyDescent="0.25">
      <c r="A15" t="s">
        <v>151</v>
      </c>
      <c r="B15" s="19" t="s">
        <v>352</v>
      </c>
      <c r="C15">
        <v>3</v>
      </c>
      <c r="D15" t="s">
        <v>346</v>
      </c>
      <c r="E15" t="s">
        <v>346</v>
      </c>
      <c r="F15" t="s">
        <v>346</v>
      </c>
      <c r="G15" t="s">
        <v>346</v>
      </c>
      <c r="H15" s="21" t="s">
        <v>747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 t="s">
        <v>3</v>
      </c>
      <c r="AC15" t="s">
        <v>3</v>
      </c>
      <c r="AD15" s="18" t="s">
        <v>3</v>
      </c>
      <c r="AE15" t="s">
        <v>3</v>
      </c>
      <c r="AF15" t="s">
        <v>3</v>
      </c>
      <c r="AG15" t="s">
        <v>3</v>
      </c>
      <c r="AH15" t="s">
        <v>3</v>
      </c>
      <c r="AI15" t="s">
        <v>3</v>
      </c>
      <c r="AJ15" t="s">
        <v>3</v>
      </c>
      <c r="AK15" t="s">
        <v>3</v>
      </c>
      <c r="AL15" t="s">
        <v>3</v>
      </c>
      <c r="AM15" t="s">
        <v>3</v>
      </c>
      <c r="AN15" t="s">
        <v>3</v>
      </c>
      <c r="AO15" t="s">
        <v>3</v>
      </c>
      <c r="AP15" t="s">
        <v>3</v>
      </c>
      <c r="AQ15" t="s">
        <v>3</v>
      </c>
      <c r="AR15" t="s">
        <v>3</v>
      </c>
      <c r="AS15" t="s">
        <v>3</v>
      </c>
      <c r="AT15" t="s">
        <v>3</v>
      </c>
      <c r="AU15" t="s">
        <v>3</v>
      </c>
      <c r="AV15" t="s">
        <v>3</v>
      </c>
      <c r="AW15" t="s">
        <v>3</v>
      </c>
      <c r="AX15">
        <v>0</v>
      </c>
      <c r="AY15">
        <v>1</v>
      </c>
      <c r="AZ15" t="s">
        <v>1</v>
      </c>
      <c r="BA15" t="s">
        <v>1</v>
      </c>
      <c r="BB15" t="s">
        <v>1</v>
      </c>
      <c r="BC15" s="21" t="s">
        <v>748</v>
      </c>
      <c r="BD15" s="21" t="s">
        <v>144</v>
      </c>
      <c r="BE15">
        <v>0</v>
      </c>
      <c r="BF15">
        <v>0</v>
      </c>
      <c r="BG15">
        <v>0</v>
      </c>
      <c r="BH15">
        <v>0</v>
      </c>
      <c r="BI15">
        <v>0</v>
      </c>
      <c r="BJ15" t="s">
        <v>749</v>
      </c>
      <c r="BK15">
        <v>0</v>
      </c>
      <c r="BL15" t="s">
        <v>132</v>
      </c>
      <c r="BM15">
        <v>0</v>
      </c>
      <c r="BN15">
        <v>1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">
        <v>0</v>
      </c>
      <c r="BX15">
        <v>0</v>
      </c>
      <c r="BY15">
        <v>0</v>
      </c>
      <c r="BZ15">
        <v>0</v>
      </c>
      <c r="CA15">
        <v>0</v>
      </c>
      <c r="CB15" t="s">
        <v>145</v>
      </c>
      <c r="CD15" t="str" cm="1">
        <f t="array" aca="1" ref="CD15" ca="1">eConcatenar(A15:CB15,"|")</f>
        <v>HdEPsTpvxOzc05c0|MODIFCARD6|3|MODIF|MODIF|MODIF|MODIF|2022-01-01|1|0|0|0|0|0|0|0|0|0|0|0|0|0|0|0|0|0|0|x|x|x|x|x|x|x|x|x|x|x|x|x|x|x|x|x|x|x|x|x|x|0|1|X|X|X|2022-2-10|2022-02-23|0|0|0|0|0|QWYNRBIY9KVTQO|0|HOMBRE|0|1|0|0|0|0|0|0|0|0|CARDENAS|0|0|0|0|FINAL</v>
      </c>
    </row>
    <row r="16" spans="1:82" x14ac:dyDescent="0.25">
      <c r="A16" t="s">
        <v>152</v>
      </c>
      <c r="B16" s="19" t="s">
        <v>353</v>
      </c>
      <c r="C16">
        <v>3</v>
      </c>
      <c r="D16" t="s">
        <v>346</v>
      </c>
      <c r="E16" t="s">
        <v>346</v>
      </c>
      <c r="F16" t="s">
        <v>346</v>
      </c>
      <c r="G16" t="s">
        <v>346</v>
      </c>
      <c r="H16" s="21" t="s">
        <v>747</v>
      </c>
      <c r="I16">
        <v>1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 t="s">
        <v>3</v>
      </c>
      <c r="AC16" t="s">
        <v>3</v>
      </c>
      <c r="AD16" s="18" t="s">
        <v>3</v>
      </c>
      <c r="AE16" t="s">
        <v>3</v>
      </c>
      <c r="AF16" t="s">
        <v>3</v>
      </c>
      <c r="AG16" t="s">
        <v>3</v>
      </c>
      <c r="AH16" t="s">
        <v>3</v>
      </c>
      <c r="AI16" t="s">
        <v>3</v>
      </c>
      <c r="AJ16" t="s">
        <v>3</v>
      </c>
      <c r="AK16" t="s">
        <v>3</v>
      </c>
      <c r="AL16" t="s">
        <v>3</v>
      </c>
      <c r="AM16" t="s">
        <v>3</v>
      </c>
      <c r="AN16" t="s">
        <v>3</v>
      </c>
      <c r="AO16" t="s">
        <v>3</v>
      </c>
      <c r="AP16" t="s">
        <v>3</v>
      </c>
      <c r="AQ16" t="s">
        <v>3</v>
      </c>
      <c r="AR16" t="s">
        <v>3</v>
      </c>
      <c r="AS16" t="s">
        <v>3</v>
      </c>
      <c r="AT16" t="s">
        <v>3</v>
      </c>
      <c r="AU16" t="s">
        <v>3</v>
      </c>
      <c r="AV16" t="s">
        <v>3</v>
      </c>
      <c r="AW16" t="s">
        <v>3</v>
      </c>
      <c r="AX16">
        <v>0</v>
      </c>
      <c r="AY16">
        <v>1</v>
      </c>
      <c r="AZ16" t="s">
        <v>1</v>
      </c>
      <c r="BA16" t="s">
        <v>1</v>
      </c>
      <c r="BB16" t="s">
        <v>1</v>
      </c>
      <c r="BC16" s="21" t="s">
        <v>748</v>
      </c>
      <c r="BD16" s="21" t="s">
        <v>144</v>
      </c>
      <c r="BE16">
        <v>0</v>
      </c>
      <c r="BF16">
        <v>0</v>
      </c>
      <c r="BG16">
        <v>0</v>
      </c>
      <c r="BH16">
        <v>0</v>
      </c>
      <c r="BI16">
        <v>0</v>
      </c>
      <c r="BJ16" t="s">
        <v>749</v>
      </c>
      <c r="BK16">
        <v>0</v>
      </c>
      <c r="BL16" t="s">
        <v>132</v>
      </c>
      <c r="BM16">
        <v>0</v>
      </c>
      <c r="BN16">
        <v>1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">
        <v>0</v>
      </c>
      <c r="BX16">
        <v>0</v>
      </c>
      <c r="BY16">
        <v>0</v>
      </c>
      <c r="BZ16">
        <v>0</v>
      </c>
      <c r="CA16">
        <v>0</v>
      </c>
      <c r="CB16" t="s">
        <v>145</v>
      </c>
      <c r="CD16" t="str" cm="1">
        <f t="array" aca="1" ref="CD16" ca="1">eConcatenar(A16:CB16,"|")</f>
        <v>KG1tCDT0zrRgXUBH|MODIFCARD7|3|MODIF|MODIF|MODIF|MODIF|2022-01-01|1|0|0|0|0|0|0|0|0|0|0|0|0|0|0|0|0|0|0|x|x|x|x|x|x|x|x|x|x|x|x|x|x|x|x|x|x|x|x|x|x|0|1|X|X|X|2022-2-10|2022-02-23|0|0|0|0|0|QWYNRBIY9KVTQO|0|HOMBRE|0|1|0|0|0|0|0|0|0|0|CARDENAS|0|0|0|0|FINAL</v>
      </c>
    </row>
    <row r="17" spans="1:82" x14ac:dyDescent="0.25">
      <c r="A17" t="s">
        <v>153</v>
      </c>
      <c r="B17" s="19" t="s">
        <v>354</v>
      </c>
      <c r="C17">
        <v>3</v>
      </c>
      <c r="D17" t="s">
        <v>346</v>
      </c>
      <c r="E17" t="s">
        <v>346</v>
      </c>
      <c r="F17" t="s">
        <v>346</v>
      </c>
      <c r="G17" t="s">
        <v>346</v>
      </c>
      <c r="H17" s="21" t="s">
        <v>747</v>
      </c>
      <c r="I17">
        <v>1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 t="s">
        <v>3</v>
      </c>
      <c r="AC17" t="s">
        <v>3</v>
      </c>
      <c r="AD17" s="18" t="s">
        <v>3</v>
      </c>
      <c r="AE17" t="s">
        <v>3</v>
      </c>
      <c r="AF17" t="s">
        <v>3</v>
      </c>
      <c r="AG17" t="s">
        <v>3</v>
      </c>
      <c r="AH17" t="s">
        <v>3</v>
      </c>
      <c r="AI17" t="s">
        <v>3</v>
      </c>
      <c r="AJ17" t="s">
        <v>3</v>
      </c>
      <c r="AK17" t="s">
        <v>3</v>
      </c>
      <c r="AL17" t="s">
        <v>3</v>
      </c>
      <c r="AM17" t="s">
        <v>3</v>
      </c>
      <c r="AN17" t="s">
        <v>3</v>
      </c>
      <c r="AO17" t="s">
        <v>3</v>
      </c>
      <c r="AP17" t="s">
        <v>3</v>
      </c>
      <c r="AQ17" t="s">
        <v>3</v>
      </c>
      <c r="AR17" t="s">
        <v>3</v>
      </c>
      <c r="AS17" t="s">
        <v>3</v>
      </c>
      <c r="AT17" t="s">
        <v>3</v>
      </c>
      <c r="AU17" t="s">
        <v>3</v>
      </c>
      <c r="AV17" t="s">
        <v>3</v>
      </c>
      <c r="AW17" t="s">
        <v>3</v>
      </c>
      <c r="AX17">
        <v>0</v>
      </c>
      <c r="AY17">
        <v>1</v>
      </c>
      <c r="AZ17" t="s">
        <v>1</v>
      </c>
      <c r="BA17" t="s">
        <v>1</v>
      </c>
      <c r="BB17" t="s">
        <v>1</v>
      </c>
      <c r="BC17" s="21" t="s">
        <v>748</v>
      </c>
      <c r="BD17" s="21" t="s">
        <v>144</v>
      </c>
      <c r="BE17">
        <v>0</v>
      </c>
      <c r="BF17">
        <v>0</v>
      </c>
      <c r="BG17">
        <v>0</v>
      </c>
      <c r="BH17">
        <v>0</v>
      </c>
      <c r="BI17">
        <v>0</v>
      </c>
      <c r="BJ17" t="s">
        <v>749</v>
      </c>
      <c r="BK17">
        <v>0</v>
      </c>
      <c r="BL17" t="s">
        <v>132</v>
      </c>
      <c r="BM17">
        <v>0</v>
      </c>
      <c r="BN17">
        <v>1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">
        <v>0</v>
      </c>
      <c r="BX17">
        <v>0</v>
      </c>
      <c r="BY17">
        <v>0</v>
      </c>
      <c r="BZ17">
        <v>0</v>
      </c>
      <c r="CA17">
        <v>0</v>
      </c>
      <c r="CB17" t="s">
        <v>145</v>
      </c>
      <c r="CD17" t="str" cm="1">
        <f t="array" aca="1" ref="CD17" ca="1">eConcatenar(A17:CB17,"|")</f>
        <v>Qmssvns44XTh0WIF|MODIFCARD8|3|MODIF|MODIF|MODIF|MODIF|2022-01-01|1|0|0|0|0|0|0|0|0|0|0|0|0|0|0|0|0|0|0|x|x|x|x|x|x|x|x|x|x|x|x|x|x|x|x|x|x|x|x|x|x|0|1|X|X|X|2022-2-10|2022-02-23|0|0|0|0|0|QWYNRBIY9KVTQO|0|HOMBRE|0|1|0|0|0|0|0|0|0|0|CARDENAS|0|0|0|0|FINAL</v>
      </c>
    </row>
    <row r="18" spans="1:82" x14ac:dyDescent="0.25">
      <c r="A18" t="s">
        <v>154</v>
      </c>
      <c r="B18" s="19" t="s">
        <v>355</v>
      </c>
      <c r="C18">
        <v>3</v>
      </c>
      <c r="D18" t="s">
        <v>346</v>
      </c>
      <c r="E18" t="s">
        <v>346</v>
      </c>
      <c r="F18" t="s">
        <v>346</v>
      </c>
      <c r="G18" t="s">
        <v>346</v>
      </c>
      <c r="H18" s="21" t="s">
        <v>747</v>
      </c>
      <c r="I18">
        <v>1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 t="s">
        <v>3</v>
      </c>
      <c r="AC18" t="s">
        <v>3</v>
      </c>
      <c r="AD18" s="18" t="s">
        <v>3</v>
      </c>
      <c r="AE18" t="s">
        <v>3</v>
      </c>
      <c r="AF18" t="s">
        <v>3</v>
      </c>
      <c r="AG18" t="s">
        <v>3</v>
      </c>
      <c r="AH18" t="s">
        <v>3</v>
      </c>
      <c r="AI18" t="s">
        <v>3</v>
      </c>
      <c r="AJ18" t="s">
        <v>3</v>
      </c>
      <c r="AK18" t="s">
        <v>3</v>
      </c>
      <c r="AL18" t="s">
        <v>3</v>
      </c>
      <c r="AM18" t="s">
        <v>3</v>
      </c>
      <c r="AN18" t="s">
        <v>3</v>
      </c>
      <c r="AO18" t="s">
        <v>3</v>
      </c>
      <c r="AP18" t="s">
        <v>3</v>
      </c>
      <c r="AQ18" t="s">
        <v>3</v>
      </c>
      <c r="AR18" t="s">
        <v>3</v>
      </c>
      <c r="AS18" t="s">
        <v>3</v>
      </c>
      <c r="AT18" t="s">
        <v>3</v>
      </c>
      <c r="AU18" t="s">
        <v>3</v>
      </c>
      <c r="AV18" t="s">
        <v>3</v>
      </c>
      <c r="AW18" t="s">
        <v>3</v>
      </c>
      <c r="AX18">
        <v>0</v>
      </c>
      <c r="AY18">
        <v>1</v>
      </c>
      <c r="AZ18" t="s">
        <v>1</v>
      </c>
      <c r="BA18" t="s">
        <v>1</v>
      </c>
      <c r="BB18" t="s">
        <v>1</v>
      </c>
      <c r="BC18" s="21" t="s">
        <v>748</v>
      </c>
      <c r="BD18" s="21" t="s">
        <v>144</v>
      </c>
      <c r="BE18">
        <v>0</v>
      </c>
      <c r="BF18">
        <v>0</v>
      </c>
      <c r="BG18">
        <v>0</v>
      </c>
      <c r="BH18">
        <v>0</v>
      </c>
      <c r="BI18">
        <v>0</v>
      </c>
      <c r="BJ18" t="s">
        <v>749</v>
      </c>
      <c r="BK18">
        <v>0</v>
      </c>
      <c r="BL18" t="s">
        <v>132</v>
      </c>
      <c r="BM18">
        <v>0</v>
      </c>
      <c r="BN18">
        <v>1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">
        <v>0</v>
      </c>
      <c r="BX18">
        <v>0</v>
      </c>
      <c r="BY18">
        <v>0</v>
      </c>
      <c r="BZ18">
        <v>0</v>
      </c>
      <c r="CA18">
        <v>0</v>
      </c>
      <c r="CB18" t="s">
        <v>145</v>
      </c>
      <c r="CD18" t="str" cm="1">
        <f t="array" aca="1" ref="CD18" ca="1">eConcatenar(A18:CB18,"|")</f>
        <v>GmsDC64rUeOks4KZ|MODIFCARD9|3|MODIF|MODIF|MODIF|MODIF|2022-01-01|1|0|0|0|0|0|0|0|0|0|0|0|0|0|0|0|0|0|0|x|x|x|x|x|x|x|x|x|x|x|x|x|x|x|x|x|x|x|x|x|x|0|1|X|X|X|2022-2-10|2022-02-23|0|0|0|0|0|QWYNRBIY9KVTQO|0|HOMBRE|0|1|0|0|0|0|0|0|0|0|CARDENAS|0|0|0|0|FINAL</v>
      </c>
    </row>
    <row r="19" spans="1:82" x14ac:dyDescent="0.25">
      <c r="A19" t="s">
        <v>155</v>
      </c>
      <c r="B19" s="19" t="s">
        <v>356</v>
      </c>
      <c r="C19">
        <v>3</v>
      </c>
      <c r="D19" t="s">
        <v>346</v>
      </c>
      <c r="E19" t="s">
        <v>346</v>
      </c>
      <c r="F19" t="s">
        <v>346</v>
      </c>
      <c r="G19" t="s">
        <v>346</v>
      </c>
      <c r="H19" s="21" t="s">
        <v>747</v>
      </c>
      <c r="I19">
        <v>1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 t="s">
        <v>3</v>
      </c>
      <c r="AC19" t="s">
        <v>3</v>
      </c>
      <c r="AD19" s="18" t="s">
        <v>3</v>
      </c>
      <c r="AE19" t="s">
        <v>3</v>
      </c>
      <c r="AF19" t="s">
        <v>3</v>
      </c>
      <c r="AG19" t="s">
        <v>3</v>
      </c>
      <c r="AH19" t="s">
        <v>3</v>
      </c>
      <c r="AI19" t="s">
        <v>3</v>
      </c>
      <c r="AJ19" t="s">
        <v>3</v>
      </c>
      <c r="AK19" t="s">
        <v>3</v>
      </c>
      <c r="AL19" t="s">
        <v>3</v>
      </c>
      <c r="AM19" t="s">
        <v>3</v>
      </c>
      <c r="AN19" t="s">
        <v>3</v>
      </c>
      <c r="AO19" t="s">
        <v>3</v>
      </c>
      <c r="AP19" t="s">
        <v>3</v>
      </c>
      <c r="AQ19" t="s">
        <v>3</v>
      </c>
      <c r="AR19" t="s">
        <v>3</v>
      </c>
      <c r="AS19" t="s">
        <v>3</v>
      </c>
      <c r="AT19" t="s">
        <v>3</v>
      </c>
      <c r="AU19" t="s">
        <v>3</v>
      </c>
      <c r="AV19" t="s">
        <v>3</v>
      </c>
      <c r="AW19" t="s">
        <v>3</v>
      </c>
      <c r="AX19">
        <v>0</v>
      </c>
      <c r="AY19">
        <v>1</v>
      </c>
      <c r="AZ19" t="s">
        <v>1</v>
      </c>
      <c r="BA19" t="s">
        <v>1</v>
      </c>
      <c r="BB19" t="s">
        <v>1</v>
      </c>
      <c r="BC19" s="21" t="s">
        <v>748</v>
      </c>
      <c r="BD19" s="21" t="s">
        <v>144</v>
      </c>
      <c r="BE19">
        <v>0</v>
      </c>
      <c r="BF19">
        <v>0</v>
      </c>
      <c r="BG19">
        <v>0</v>
      </c>
      <c r="BH19">
        <v>0</v>
      </c>
      <c r="BI19">
        <v>0</v>
      </c>
      <c r="BJ19" t="s">
        <v>749</v>
      </c>
      <c r="BK19">
        <v>0</v>
      </c>
      <c r="BL19" t="s">
        <v>132</v>
      </c>
      <c r="BM19">
        <v>0</v>
      </c>
      <c r="BN19">
        <v>1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">
        <v>0</v>
      </c>
      <c r="BX19">
        <v>0</v>
      </c>
      <c r="BY19">
        <v>0</v>
      </c>
      <c r="BZ19">
        <v>0</v>
      </c>
      <c r="CA19">
        <v>0</v>
      </c>
      <c r="CB19" t="s">
        <v>145</v>
      </c>
      <c r="CD19" t="str" cm="1">
        <f t="array" aca="1" ref="CD19" ca="1">eConcatenar(A19:CB19,"|")</f>
        <v>uUApEfv8rFytDJZ8|MODIFCARD10|3|MODIF|MODIF|MODIF|MODIF|2022-01-01|1|0|0|0|0|0|0|0|0|0|0|0|0|0|0|0|0|0|0|x|x|x|x|x|x|x|x|x|x|x|x|x|x|x|x|x|x|x|x|x|x|0|1|X|X|X|2022-2-10|2022-02-23|0|0|0|0|0|QWYNRBIY9KVTQO|0|HOMBRE|0|1|0|0|0|0|0|0|0|0|CARDENAS|0|0|0|0|FINAL</v>
      </c>
    </row>
    <row r="20" spans="1:82" x14ac:dyDescent="0.25">
      <c r="A20" t="s">
        <v>156</v>
      </c>
      <c r="B20" s="19" t="s">
        <v>357</v>
      </c>
      <c r="C20">
        <v>3</v>
      </c>
      <c r="D20" t="s">
        <v>346</v>
      </c>
      <c r="E20" t="s">
        <v>346</v>
      </c>
      <c r="F20" t="s">
        <v>346</v>
      </c>
      <c r="G20" t="s">
        <v>346</v>
      </c>
      <c r="H20" s="21" t="s">
        <v>747</v>
      </c>
      <c r="I20">
        <v>1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 t="s">
        <v>3</v>
      </c>
      <c r="AC20" t="s">
        <v>3</v>
      </c>
      <c r="AD20" s="18" t="s">
        <v>3</v>
      </c>
      <c r="AE20" t="s">
        <v>3</v>
      </c>
      <c r="AF20" t="s">
        <v>3</v>
      </c>
      <c r="AG20" t="s">
        <v>3</v>
      </c>
      <c r="AH20" t="s">
        <v>3</v>
      </c>
      <c r="AI20" t="s">
        <v>3</v>
      </c>
      <c r="AJ20" t="s">
        <v>3</v>
      </c>
      <c r="AK20" t="s">
        <v>3</v>
      </c>
      <c r="AL20" t="s">
        <v>3</v>
      </c>
      <c r="AM20" t="s">
        <v>3</v>
      </c>
      <c r="AN20" t="s">
        <v>3</v>
      </c>
      <c r="AO20" t="s">
        <v>3</v>
      </c>
      <c r="AP20" t="s">
        <v>3</v>
      </c>
      <c r="AQ20" t="s">
        <v>3</v>
      </c>
      <c r="AR20" t="s">
        <v>3</v>
      </c>
      <c r="AS20" t="s">
        <v>3</v>
      </c>
      <c r="AT20" t="s">
        <v>3</v>
      </c>
      <c r="AU20" t="s">
        <v>3</v>
      </c>
      <c r="AV20" t="s">
        <v>3</v>
      </c>
      <c r="AW20" t="s">
        <v>3</v>
      </c>
      <c r="AX20">
        <v>0</v>
      </c>
      <c r="AY20">
        <v>1</v>
      </c>
      <c r="AZ20" t="s">
        <v>1</v>
      </c>
      <c r="BA20" t="s">
        <v>1</v>
      </c>
      <c r="BB20" t="s">
        <v>1</v>
      </c>
      <c r="BC20" s="21" t="s">
        <v>748</v>
      </c>
      <c r="BD20" s="21" t="s">
        <v>144</v>
      </c>
      <c r="BE20">
        <v>0</v>
      </c>
      <c r="BF20">
        <v>0</v>
      </c>
      <c r="BG20">
        <v>0</v>
      </c>
      <c r="BH20">
        <v>0</v>
      </c>
      <c r="BI20">
        <v>0</v>
      </c>
      <c r="BJ20" t="s">
        <v>749</v>
      </c>
      <c r="BK20">
        <v>0</v>
      </c>
      <c r="BL20" t="s">
        <v>132</v>
      </c>
      <c r="BM20">
        <v>0</v>
      </c>
      <c r="BN20">
        <v>1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">
        <v>0</v>
      </c>
      <c r="BX20">
        <v>0</v>
      </c>
      <c r="BY20">
        <v>0</v>
      </c>
      <c r="BZ20">
        <v>0</v>
      </c>
      <c r="CA20">
        <v>0</v>
      </c>
      <c r="CB20" t="s">
        <v>145</v>
      </c>
      <c r="CD20" t="str" cm="1">
        <f t="array" aca="1" ref="CD20" ca="1">eConcatenar(A20:CB20,"|")</f>
        <v>5Zn600MclsZdKIov|MODIFCARD11|3|MODIF|MODIF|MODIF|MODIF|2022-01-01|1|0|0|0|0|0|0|0|0|0|0|0|0|0|0|0|0|0|0|x|x|x|x|x|x|x|x|x|x|x|x|x|x|x|x|x|x|x|x|x|x|0|1|X|X|X|2022-2-10|2022-02-23|0|0|0|0|0|QWYNRBIY9KVTQO|0|HOMBRE|0|1|0|0|0|0|0|0|0|0|CARDENAS|0|0|0|0|FINAL</v>
      </c>
    </row>
    <row r="21" spans="1:82" x14ac:dyDescent="0.25">
      <c r="A21" t="s">
        <v>157</v>
      </c>
      <c r="B21" s="19" t="s">
        <v>358</v>
      </c>
      <c r="C21">
        <v>3</v>
      </c>
      <c r="D21" t="s">
        <v>346</v>
      </c>
      <c r="E21" t="s">
        <v>346</v>
      </c>
      <c r="F21" t="s">
        <v>346</v>
      </c>
      <c r="G21" t="s">
        <v>346</v>
      </c>
      <c r="H21" s="21" t="s">
        <v>747</v>
      </c>
      <c r="I21">
        <v>1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 t="s">
        <v>3</v>
      </c>
      <c r="AC21" t="s">
        <v>3</v>
      </c>
      <c r="AD21" s="18" t="s">
        <v>3</v>
      </c>
      <c r="AE21" t="s">
        <v>3</v>
      </c>
      <c r="AF21" t="s">
        <v>3</v>
      </c>
      <c r="AG21" t="s">
        <v>3</v>
      </c>
      <c r="AH21" t="s">
        <v>3</v>
      </c>
      <c r="AI21" t="s">
        <v>3</v>
      </c>
      <c r="AJ21" t="s">
        <v>3</v>
      </c>
      <c r="AK21" t="s">
        <v>3</v>
      </c>
      <c r="AL21" t="s">
        <v>3</v>
      </c>
      <c r="AM21" t="s">
        <v>3</v>
      </c>
      <c r="AN21" t="s">
        <v>3</v>
      </c>
      <c r="AO21" t="s">
        <v>3</v>
      </c>
      <c r="AP21" t="s">
        <v>3</v>
      </c>
      <c r="AQ21" t="s">
        <v>3</v>
      </c>
      <c r="AR21" t="s">
        <v>3</v>
      </c>
      <c r="AS21" t="s">
        <v>3</v>
      </c>
      <c r="AT21" t="s">
        <v>3</v>
      </c>
      <c r="AU21" t="s">
        <v>3</v>
      </c>
      <c r="AV21" t="s">
        <v>3</v>
      </c>
      <c r="AW21" t="s">
        <v>3</v>
      </c>
      <c r="AX21">
        <v>0</v>
      </c>
      <c r="AY21">
        <v>1</v>
      </c>
      <c r="AZ21" t="s">
        <v>1</v>
      </c>
      <c r="BA21" t="s">
        <v>1</v>
      </c>
      <c r="BB21" t="s">
        <v>1</v>
      </c>
      <c r="BC21" s="21" t="s">
        <v>748</v>
      </c>
      <c r="BD21" s="21" t="s">
        <v>144</v>
      </c>
      <c r="BE21">
        <v>0</v>
      </c>
      <c r="BF21">
        <v>0</v>
      </c>
      <c r="BG21">
        <v>0</v>
      </c>
      <c r="BH21">
        <v>0</v>
      </c>
      <c r="BI21">
        <v>0</v>
      </c>
      <c r="BJ21" t="s">
        <v>749</v>
      </c>
      <c r="BK21">
        <v>0</v>
      </c>
      <c r="BL21" t="s">
        <v>132</v>
      </c>
      <c r="BM21">
        <v>0</v>
      </c>
      <c r="BN21">
        <v>1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 t="s">
        <v>0</v>
      </c>
      <c r="BX21">
        <v>0</v>
      </c>
      <c r="BY21">
        <v>0</v>
      </c>
      <c r="BZ21">
        <v>0</v>
      </c>
      <c r="CA21">
        <v>0</v>
      </c>
      <c r="CB21" t="s">
        <v>145</v>
      </c>
      <c r="CD21" t="str" cm="1">
        <f t="array" aca="1" ref="CD21" ca="1">eConcatenar(A21:CB21,"|")</f>
        <v>OvpAii2iLPMfGi1A|MODIFCARD12|3|MODIF|MODIF|MODIF|MODIF|2022-01-01|1|0|0|0|0|0|0|0|0|0|0|0|0|0|0|0|0|0|0|x|x|x|x|x|x|x|x|x|x|x|x|x|x|x|x|x|x|x|x|x|x|0|1|X|X|X|2022-2-10|2022-02-23|0|0|0|0|0|QWYNRBIY9KVTQO|0|HOMBRE|0|1|0|0|0|0|0|0|0|0|CARDENAS|0|0|0|0|FINAL</v>
      </c>
    </row>
    <row r="22" spans="1:82" x14ac:dyDescent="0.25">
      <c r="A22" t="s">
        <v>158</v>
      </c>
      <c r="B22" s="19" t="s">
        <v>359</v>
      </c>
      <c r="C22">
        <v>3</v>
      </c>
      <c r="D22" t="s">
        <v>346</v>
      </c>
      <c r="E22" t="s">
        <v>346</v>
      </c>
      <c r="F22" t="s">
        <v>346</v>
      </c>
      <c r="G22" t="s">
        <v>346</v>
      </c>
      <c r="H22" s="21" t="s">
        <v>747</v>
      </c>
      <c r="I22">
        <v>1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 t="s">
        <v>3</v>
      </c>
      <c r="AC22" t="s">
        <v>3</v>
      </c>
      <c r="AD22" s="18" t="s">
        <v>3</v>
      </c>
      <c r="AE22" t="s">
        <v>3</v>
      </c>
      <c r="AF22" t="s">
        <v>3</v>
      </c>
      <c r="AG22" t="s">
        <v>3</v>
      </c>
      <c r="AH22" t="s">
        <v>3</v>
      </c>
      <c r="AI22" t="s">
        <v>3</v>
      </c>
      <c r="AJ22" t="s">
        <v>3</v>
      </c>
      <c r="AK22" t="s">
        <v>3</v>
      </c>
      <c r="AL22" t="s">
        <v>3</v>
      </c>
      <c r="AM22" t="s">
        <v>3</v>
      </c>
      <c r="AN22" t="s">
        <v>3</v>
      </c>
      <c r="AO22" t="s">
        <v>3</v>
      </c>
      <c r="AP22" t="s">
        <v>3</v>
      </c>
      <c r="AQ22" t="s">
        <v>3</v>
      </c>
      <c r="AR22" t="s">
        <v>3</v>
      </c>
      <c r="AS22" t="s">
        <v>3</v>
      </c>
      <c r="AT22" t="s">
        <v>3</v>
      </c>
      <c r="AU22" t="s">
        <v>3</v>
      </c>
      <c r="AV22" t="s">
        <v>3</v>
      </c>
      <c r="AW22" t="s">
        <v>3</v>
      </c>
      <c r="AX22">
        <v>0</v>
      </c>
      <c r="AY22">
        <v>1</v>
      </c>
      <c r="AZ22" t="s">
        <v>1</v>
      </c>
      <c r="BA22" t="s">
        <v>1</v>
      </c>
      <c r="BB22" t="s">
        <v>1</v>
      </c>
      <c r="BC22" s="21" t="s">
        <v>748</v>
      </c>
      <c r="BD22" s="21" t="s">
        <v>144</v>
      </c>
      <c r="BE22">
        <v>0</v>
      </c>
      <c r="BF22">
        <v>0</v>
      </c>
      <c r="BG22">
        <v>0</v>
      </c>
      <c r="BH22">
        <v>0</v>
      </c>
      <c r="BI22">
        <v>0</v>
      </c>
      <c r="BJ22" t="s">
        <v>749</v>
      </c>
      <c r="BK22">
        <v>0</v>
      </c>
      <c r="BL22" t="s">
        <v>132</v>
      </c>
      <c r="BM22">
        <v>0</v>
      </c>
      <c r="BN22">
        <v>1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 t="s">
        <v>0</v>
      </c>
      <c r="BX22">
        <v>0</v>
      </c>
      <c r="BY22">
        <v>0</v>
      </c>
      <c r="BZ22">
        <v>0</v>
      </c>
      <c r="CA22">
        <v>0</v>
      </c>
      <c r="CB22" t="s">
        <v>145</v>
      </c>
      <c r="CD22" t="str" cm="1">
        <f t="array" aca="1" ref="CD22" ca="1">eConcatenar(A22:CB22,"|")</f>
        <v>C4mN20GGBNcrL3Mp|MODIFCARD13|3|MODIF|MODIF|MODIF|MODIF|2022-01-01|1|0|0|0|0|0|0|0|0|0|0|0|0|0|0|0|0|0|0|x|x|x|x|x|x|x|x|x|x|x|x|x|x|x|x|x|x|x|x|x|x|0|1|X|X|X|2022-2-10|2022-02-23|0|0|0|0|0|QWYNRBIY9KVTQO|0|HOMBRE|0|1|0|0|0|0|0|0|0|0|CARDENAS|0|0|0|0|FINAL</v>
      </c>
    </row>
    <row r="23" spans="1:82" x14ac:dyDescent="0.25">
      <c r="A23" t="s">
        <v>159</v>
      </c>
      <c r="B23" s="19" t="s">
        <v>360</v>
      </c>
      <c r="C23">
        <v>3</v>
      </c>
      <c r="D23" t="s">
        <v>346</v>
      </c>
      <c r="E23" t="s">
        <v>346</v>
      </c>
      <c r="F23" t="s">
        <v>346</v>
      </c>
      <c r="G23" t="s">
        <v>346</v>
      </c>
      <c r="H23" s="21" t="s">
        <v>747</v>
      </c>
      <c r="I23">
        <v>1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 t="s">
        <v>3</v>
      </c>
      <c r="AC23" t="s">
        <v>3</v>
      </c>
      <c r="AD23" s="18" t="s">
        <v>3</v>
      </c>
      <c r="AE23" t="s">
        <v>3</v>
      </c>
      <c r="AF23" t="s">
        <v>3</v>
      </c>
      <c r="AG23" t="s">
        <v>3</v>
      </c>
      <c r="AH23" t="s">
        <v>3</v>
      </c>
      <c r="AI23" t="s">
        <v>3</v>
      </c>
      <c r="AJ23" t="s">
        <v>3</v>
      </c>
      <c r="AK23" t="s">
        <v>3</v>
      </c>
      <c r="AL23" t="s">
        <v>3</v>
      </c>
      <c r="AM23" t="s">
        <v>3</v>
      </c>
      <c r="AN23" t="s">
        <v>3</v>
      </c>
      <c r="AO23" t="s">
        <v>3</v>
      </c>
      <c r="AP23" t="s">
        <v>3</v>
      </c>
      <c r="AQ23" t="s">
        <v>3</v>
      </c>
      <c r="AR23" t="s">
        <v>3</v>
      </c>
      <c r="AS23" t="s">
        <v>3</v>
      </c>
      <c r="AT23" t="s">
        <v>3</v>
      </c>
      <c r="AU23" t="s">
        <v>3</v>
      </c>
      <c r="AV23" t="s">
        <v>3</v>
      </c>
      <c r="AW23" t="s">
        <v>3</v>
      </c>
      <c r="AX23">
        <v>0</v>
      </c>
      <c r="AY23">
        <v>1</v>
      </c>
      <c r="AZ23" t="s">
        <v>1</v>
      </c>
      <c r="BA23" t="s">
        <v>1</v>
      </c>
      <c r="BB23" t="s">
        <v>1</v>
      </c>
      <c r="BC23" s="21" t="s">
        <v>748</v>
      </c>
      <c r="BD23" s="21" t="s">
        <v>144</v>
      </c>
      <c r="BE23">
        <v>0</v>
      </c>
      <c r="BF23">
        <v>0</v>
      </c>
      <c r="BG23">
        <v>0</v>
      </c>
      <c r="BH23">
        <v>0</v>
      </c>
      <c r="BI23">
        <v>0</v>
      </c>
      <c r="BJ23" t="s">
        <v>749</v>
      </c>
      <c r="BK23">
        <v>0</v>
      </c>
      <c r="BL23" t="s">
        <v>132</v>
      </c>
      <c r="BM23">
        <v>0</v>
      </c>
      <c r="BN23">
        <v>1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 t="s">
        <v>0</v>
      </c>
      <c r="BX23">
        <v>0</v>
      </c>
      <c r="BY23">
        <v>0</v>
      </c>
      <c r="BZ23">
        <v>0</v>
      </c>
      <c r="CA23">
        <v>0</v>
      </c>
      <c r="CB23" t="s">
        <v>145</v>
      </c>
      <c r="CD23" t="str" cm="1">
        <f t="array" aca="1" ref="CD23" ca="1">eConcatenar(A23:CB23,"|")</f>
        <v>yskVyIjTTgBWqIPd|MODIFCARD14|3|MODIF|MODIF|MODIF|MODIF|2022-01-01|1|0|0|0|0|0|0|0|0|0|0|0|0|0|0|0|0|0|0|x|x|x|x|x|x|x|x|x|x|x|x|x|x|x|x|x|x|x|x|x|x|0|1|X|X|X|2022-2-10|2022-02-23|0|0|0|0|0|QWYNRBIY9KVTQO|0|HOMBRE|0|1|0|0|0|0|0|0|0|0|CARDENAS|0|0|0|0|FINAL</v>
      </c>
    </row>
    <row r="24" spans="1:82" x14ac:dyDescent="0.25">
      <c r="A24" t="s">
        <v>160</v>
      </c>
      <c r="B24" s="19" t="s">
        <v>361</v>
      </c>
      <c r="C24">
        <v>3</v>
      </c>
      <c r="D24" t="s">
        <v>346</v>
      </c>
      <c r="E24" t="s">
        <v>346</v>
      </c>
      <c r="F24" t="s">
        <v>346</v>
      </c>
      <c r="G24" t="s">
        <v>346</v>
      </c>
      <c r="H24" s="21" t="s">
        <v>747</v>
      </c>
      <c r="I24">
        <v>1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 t="s">
        <v>3</v>
      </c>
      <c r="AC24" t="s">
        <v>3</v>
      </c>
      <c r="AD24" s="18" t="s">
        <v>3</v>
      </c>
      <c r="AE24" t="s">
        <v>3</v>
      </c>
      <c r="AF24" t="s">
        <v>3</v>
      </c>
      <c r="AG24" t="s">
        <v>3</v>
      </c>
      <c r="AH24" t="s">
        <v>3</v>
      </c>
      <c r="AI24" t="s">
        <v>3</v>
      </c>
      <c r="AJ24" t="s">
        <v>3</v>
      </c>
      <c r="AK24" t="s">
        <v>3</v>
      </c>
      <c r="AL24" t="s">
        <v>3</v>
      </c>
      <c r="AM24" t="s">
        <v>3</v>
      </c>
      <c r="AN24" t="s">
        <v>3</v>
      </c>
      <c r="AO24" t="s">
        <v>3</v>
      </c>
      <c r="AP24" t="s">
        <v>3</v>
      </c>
      <c r="AQ24" t="s">
        <v>3</v>
      </c>
      <c r="AR24" t="s">
        <v>3</v>
      </c>
      <c r="AS24" t="s">
        <v>3</v>
      </c>
      <c r="AT24" t="s">
        <v>3</v>
      </c>
      <c r="AU24" t="s">
        <v>3</v>
      </c>
      <c r="AV24" t="s">
        <v>3</v>
      </c>
      <c r="AW24" t="s">
        <v>3</v>
      </c>
      <c r="AX24">
        <v>0</v>
      </c>
      <c r="AY24">
        <v>1</v>
      </c>
      <c r="AZ24" t="s">
        <v>1</v>
      </c>
      <c r="BA24" t="s">
        <v>1</v>
      </c>
      <c r="BB24" t="s">
        <v>1</v>
      </c>
      <c r="BC24" s="21" t="s">
        <v>748</v>
      </c>
      <c r="BD24" s="21" t="s">
        <v>144</v>
      </c>
      <c r="BE24">
        <v>0</v>
      </c>
      <c r="BF24">
        <v>0</v>
      </c>
      <c r="BG24">
        <v>0</v>
      </c>
      <c r="BH24">
        <v>0</v>
      </c>
      <c r="BI24">
        <v>0</v>
      </c>
      <c r="BJ24" t="s">
        <v>749</v>
      </c>
      <c r="BK24">
        <v>0</v>
      </c>
      <c r="BL24" t="s">
        <v>132</v>
      </c>
      <c r="BM24">
        <v>0</v>
      </c>
      <c r="BN24">
        <v>1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 t="s">
        <v>0</v>
      </c>
      <c r="BX24">
        <v>0</v>
      </c>
      <c r="BY24">
        <v>0</v>
      </c>
      <c r="BZ24">
        <v>0</v>
      </c>
      <c r="CA24">
        <v>0</v>
      </c>
      <c r="CB24" t="s">
        <v>145</v>
      </c>
      <c r="CD24" t="str" cm="1">
        <f t="array" aca="1" ref="CD24" ca="1">eConcatenar(A24:CB24,"|")</f>
        <v>AUHg3IJMcHDiJWvu|MODIFCARD15|3|MODIF|MODIF|MODIF|MODIF|2022-01-01|1|0|0|0|0|0|0|0|0|0|0|0|0|0|0|0|0|0|0|x|x|x|x|x|x|x|x|x|x|x|x|x|x|x|x|x|x|x|x|x|x|0|1|X|X|X|2022-2-10|2022-02-23|0|0|0|0|0|QWYNRBIY9KVTQO|0|HOMBRE|0|1|0|0|0|0|0|0|0|0|CARDENAS|0|0|0|0|FINAL</v>
      </c>
    </row>
    <row r="25" spans="1:82" x14ac:dyDescent="0.25">
      <c r="A25" t="s">
        <v>161</v>
      </c>
      <c r="B25" s="19" t="s">
        <v>362</v>
      </c>
      <c r="C25">
        <v>3</v>
      </c>
      <c r="D25" t="s">
        <v>346</v>
      </c>
      <c r="E25" t="s">
        <v>346</v>
      </c>
      <c r="F25" t="s">
        <v>346</v>
      </c>
      <c r="G25" t="s">
        <v>346</v>
      </c>
      <c r="H25" s="21" t="s">
        <v>747</v>
      </c>
      <c r="I25">
        <v>1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 t="s">
        <v>3</v>
      </c>
      <c r="AC25" t="s">
        <v>3</v>
      </c>
      <c r="AD25" s="18" t="s">
        <v>3</v>
      </c>
      <c r="AE25" t="s">
        <v>3</v>
      </c>
      <c r="AF25" t="s">
        <v>3</v>
      </c>
      <c r="AG25" t="s">
        <v>3</v>
      </c>
      <c r="AH25" t="s">
        <v>3</v>
      </c>
      <c r="AI25" t="s">
        <v>3</v>
      </c>
      <c r="AJ25" t="s">
        <v>3</v>
      </c>
      <c r="AK25" t="s">
        <v>3</v>
      </c>
      <c r="AL25" t="s">
        <v>3</v>
      </c>
      <c r="AM25" t="s">
        <v>3</v>
      </c>
      <c r="AN25" t="s">
        <v>3</v>
      </c>
      <c r="AO25" t="s">
        <v>3</v>
      </c>
      <c r="AP25" t="s">
        <v>3</v>
      </c>
      <c r="AQ25" t="s">
        <v>3</v>
      </c>
      <c r="AR25" t="s">
        <v>3</v>
      </c>
      <c r="AS25" t="s">
        <v>3</v>
      </c>
      <c r="AT25" t="s">
        <v>3</v>
      </c>
      <c r="AU25" t="s">
        <v>3</v>
      </c>
      <c r="AV25" t="s">
        <v>3</v>
      </c>
      <c r="AW25" t="s">
        <v>3</v>
      </c>
      <c r="AX25">
        <v>0</v>
      </c>
      <c r="AY25">
        <v>1</v>
      </c>
      <c r="AZ25" t="s">
        <v>1</v>
      </c>
      <c r="BA25" t="s">
        <v>1</v>
      </c>
      <c r="BB25" t="s">
        <v>1</v>
      </c>
      <c r="BC25" s="21" t="s">
        <v>748</v>
      </c>
      <c r="BD25" s="21" t="s">
        <v>144</v>
      </c>
      <c r="BE25">
        <v>0</v>
      </c>
      <c r="BF25">
        <v>0</v>
      </c>
      <c r="BG25">
        <v>0</v>
      </c>
      <c r="BH25">
        <v>0</v>
      </c>
      <c r="BI25">
        <v>0</v>
      </c>
      <c r="BJ25" t="s">
        <v>749</v>
      </c>
      <c r="BK25">
        <v>0</v>
      </c>
      <c r="BL25" t="s">
        <v>132</v>
      </c>
      <c r="BM25">
        <v>0</v>
      </c>
      <c r="BN25">
        <v>1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 t="s">
        <v>0</v>
      </c>
      <c r="BX25">
        <v>0</v>
      </c>
      <c r="BY25">
        <v>0</v>
      </c>
      <c r="BZ25">
        <v>0</v>
      </c>
      <c r="CA25">
        <v>0</v>
      </c>
      <c r="CB25" t="s">
        <v>145</v>
      </c>
      <c r="CD25" t="str" cm="1">
        <f t="array" aca="1" ref="CD25" ca="1">eConcatenar(A25:CB25,"|")</f>
        <v>033U9wbiquQEZfrk|MODIFCARD16|3|MODIF|MODIF|MODIF|MODIF|2022-01-01|1|0|0|0|0|0|0|0|0|0|0|0|0|0|0|0|0|0|0|x|x|x|x|x|x|x|x|x|x|x|x|x|x|x|x|x|x|x|x|x|x|0|1|X|X|X|2022-2-10|2022-02-23|0|0|0|0|0|QWYNRBIY9KVTQO|0|HOMBRE|0|1|0|0|0|0|0|0|0|0|CARDENAS|0|0|0|0|FINAL</v>
      </c>
    </row>
    <row r="26" spans="1:82" x14ac:dyDescent="0.25">
      <c r="A26" t="s">
        <v>162</v>
      </c>
      <c r="B26" s="19" t="s">
        <v>363</v>
      </c>
      <c r="C26">
        <v>3</v>
      </c>
      <c r="D26" t="s">
        <v>346</v>
      </c>
      <c r="E26" t="s">
        <v>346</v>
      </c>
      <c r="F26" t="s">
        <v>346</v>
      </c>
      <c r="G26" t="s">
        <v>346</v>
      </c>
      <c r="H26" s="21" t="s">
        <v>747</v>
      </c>
      <c r="I26">
        <v>1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 t="s">
        <v>3</v>
      </c>
      <c r="AC26" t="s">
        <v>3</v>
      </c>
      <c r="AD26" s="18" t="s">
        <v>3</v>
      </c>
      <c r="AE26" t="s">
        <v>3</v>
      </c>
      <c r="AF26" t="s">
        <v>3</v>
      </c>
      <c r="AG26" t="s">
        <v>3</v>
      </c>
      <c r="AH26" t="s">
        <v>3</v>
      </c>
      <c r="AI26" t="s">
        <v>3</v>
      </c>
      <c r="AJ26" t="s">
        <v>3</v>
      </c>
      <c r="AK26" t="s">
        <v>3</v>
      </c>
      <c r="AL26" t="s">
        <v>3</v>
      </c>
      <c r="AM26" t="s">
        <v>3</v>
      </c>
      <c r="AN26" t="s">
        <v>3</v>
      </c>
      <c r="AO26" t="s">
        <v>3</v>
      </c>
      <c r="AP26" t="s">
        <v>3</v>
      </c>
      <c r="AQ26" t="s">
        <v>3</v>
      </c>
      <c r="AR26" t="s">
        <v>3</v>
      </c>
      <c r="AS26" t="s">
        <v>3</v>
      </c>
      <c r="AT26" t="s">
        <v>3</v>
      </c>
      <c r="AU26" t="s">
        <v>3</v>
      </c>
      <c r="AV26" t="s">
        <v>3</v>
      </c>
      <c r="AW26" t="s">
        <v>3</v>
      </c>
      <c r="AX26">
        <v>0</v>
      </c>
      <c r="AY26">
        <v>1</v>
      </c>
      <c r="AZ26" t="s">
        <v>1</v>
      </c>
      <c r="BA26" t="s">
        <v>1</v>
      </c>
      <c r="BB26" t="s">
        <v>1</v>
      </c>
      <c r="BC26" s="21" t="s">
        <v>748</v>
      </c>
      <c r="BD26" s="21" t="s">
        <v>144</v>
      </c>
      <c r="BE26">
        <v>0</v>
      </c>
      <c r="BF26">
        <v>0</v>
      </c>
      <c r="BG26">
        <v>0</v>
      </c>
      <c r="BH26">
        <v>0</v>
      </c>
      <c r="BI26">
        <v>0</v>
      </c>
      <c r="BJ26" t="s">
        <v>749</v>
      </c>
      <c r="BK26">
        <v>0</v>
      </c>
      <c r="BL26" t="s">
        <v>132</v>
      </c>
      <c r="BM26">
        <v>0</v>
      </c>
      <c r="BN26">
        <v>1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 t="s">
        <v>0</v>
      </c>
      <c r="BX26">
        <v>0</v>
      </c>
      <c r="BY26">
        <v>0</v>
      </c>
      <c r="BZ26">
        <v>0</v>
      </c>
      <c r="CA26">
        <v>0</v>
      </c>
      <c r="CB26" t="s">
        <v>145</v>
      </c>
      <c r="CD26" t="str" cm="1">
        <f t="array" aca="1" ref="CD26" ca="1">eConcatenar(A26:CB26,"|")</f>
        <v>XGUBP5KsUFqNhmkn|MODIFCARD17|3|MODIF|MODIF|MODIF|MODIF|2022-01-01|1|0|0|0|0|0|0|0|0|0|0|0|0|0|0|0|0|0|0|x|x|x|x|x|x|x|x|x|x|x|x|x|x|x|x|x|x|x|x|x|x|0|1|X|X|X|2022-2-10|2022-02-23|0|0|0|0|0|QWYNRBIY9KVTQO|0|HOMBRE|0|1|0|0|0|0|0|0|0|0|CARDENAS|0|0|0|0|FINAL</v>
      </c>
    </row>
    <row r="27" spans="1:82" x14ac:dyDescent="0.25">
      <c r="A27" t="s">
        <v>163</v>
      </c>
      <c r="B27" s="19" t="s">
        <v>364</v>
      </c>
      <c r="C27">
        <v>3</v>
      </c>
      <c r="D27" t="s">
        <v>346</v>
      </c>
      <c r="E27" t="s">
        <v>346</v>
      </c>
      <c r="F27" t="s">
        <v>346</v>
      </c>
      <c r="G27" t="s">
        <v>346</v>
      </c>
      <c r="H27" s="21" t="s">
        <v>747</v>
      </c>
      <c r="I27">
        <v>1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 t="s">
        <v>3</v>
      </c>
      <c r="AC27" t="s">
        <v>3</v>
      </c>
      <c r="AD27" s="18" t="s">
        <v>3</v>
      </c>
      <c r="AE27" t="s">
        <v>3</v>
      </c>
      <c r="AF27" t="s">
        <v>3</v>
      </c>
      <c r="AG27" t="s">
        <v>3</v>
      </c>
      <c r="AH27" t="s">
        <v>3</v>
      </c>
      <c r="AI27" t="s">
        <v>3</v>
      </c>
      <c r="AJ27" t="s">
        <v>3</v>
      </c>
      <c r="AK27" t="s">
        <v>3</v>
      </c>
      <c r="AL27" t="s">
        <v>3</v>
      </c>
      <c r="AM27" t="s">
        <v>3</v>
      </c>
      <c r="AN27" t="s">
        <v>3</v>
      </c>
      <c r="AO27" t="s">
        <v>3</v>
      </c>
      <c r="AP27" t="s">
        <v>3</v>
      </c>
      <c r="AQ27" t="s">
        <v>3</v>
      </c>
      <c r="AR27" t="s">
        <v>3</v>
      </c>
      <c r="AS27" t="s">
        <v>3</v>
      </c>
      <c r="AT27" t="s">
        <v>3</v>
      </c>
      <c r="AU27" t="s">
        <v>3</v>
      </c>
      <c r="AV27" t="s">
        <v>3</v>
      </c>
      <c r="AW27" t="s">
        <v>3</v>
      </c>
      <c r="AX27">
        <v>0</v>
      </c>
      <c r="AY27">
        <v>1</v>
      </c>
      <c r="AZ27" t="s">
        <v>1</v>
      </c>
      <c r="BA27" t="s">
        <v>1</v>
      </c>
      <c r="BB27" t="s">
        <v>1</v>
      </c>
      <c r="BC27" s="21" t="s">
        <v>748</v>
      </c>
      <c r="BD27" s="21" t="s">
        <v>144</v>
      </c>
      <c r="BE27">
        <v>0</v>
      </c>
      <c r="BF27">
        <v>0</v>
      </c>
      <c r="BG27">
        <v>0</v>
      </c>
      <c r="BH27">
        <v>0</v>
      </c>
      <c r="BI27">
        <v>0</v>
      </c>
      <c r="BJ27" t="s">
        <v>749</v>
      </c>
      <c r="BK27">
        <v>0</v>
      </c>
      <c r="BL27" t="s">
        <v>132</v>
      </c>
      <c r="BM27">
        <v>0</v>
      </c>
      <c r="BN27">
        <v>1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 t="s">
        <v>0</v>
      </c>
      <c r="BX27">
        <v>0</v>
      </c>
      <c r="BY27">
        <v>0</v>
      </c>
      <c r="BZ27">
        <v>0</v>
      </c>
      <c r="CA27">
        <v>0</v>
      </c>
      <c r="CB27" t="s">
        <v>145</v>
      </c>
      <c r="CD27" t="str" cm="1">
        <f t="array" aca="1" ref="CD27" ca="1">eConcatenar(A27:CB27,"|")</f>
        <v>xHRjOsj510CQzEWh|MODIFCARD18|3|MODIF|MODIF|MODIF|MODIF|2022-01-01|1|0|0|0|0|0|0|0|0|0|0|0|0|0|0|0|0|0|0|x|x|x|x|x|x|x|x|x|x|x|x|x|x|x|x|x|x|x|x|x|x|0|1|X|X|X|2022-2-10|2022-02-23|0|0|0|0|0|QWYNRBIY9KVTQO|0|HOMBRE|0|1|0|0|0|0|0|0|0|0|CARDENAS|0|0|0|0|FINAL</v>
      </c>
    </row>
    <row r="28" spans="1:82" x14ac:dyDescent="0.25">
      <c r="A28" t="s">
        <v>164</v>
      </c>
      <c r="B28" s="19" t="s">
        <v>365</v>
      </c>
      <c r="C28">
        <v>3</v>
      </c>
      <c r="D28" t="s">
        <v>346</v>
      </c>
      <c r="E28" t="s">
        <v>346</v>
      </c>
      <c r="F28" t="s">
        <v>346</v>
      </c>
      <c r="G28" t="s">
        <v>346</v>
      </c>
      <c r="H28" s="21" t="s">
        <v>747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 t="s">
        <v>3</v>
      </c>
      <c r="AC28" t="s">
        <v>3</v>
      </c>
      <c r="AD28" s="18" t="s">
        <v>3</v>
      </c>
      <c r="AE28" t="s">
        <v>3</v>
      </c>
      <c r="AF28" t="s">
        <v>3</v>
      </c>
      <c r="AG28" t="s">
        <v>3</v>
      </c>
      <c r="AH28" t="s">
        <v>3</v>
      </c>
      <c r="AI28" t="s">
        <v>3</v>
      </c>
      <c r="AJ28" t="s">
        <v>3</v>
      </c>
      <c r="AK28" t="s">
        <v>3</v>
      </c>
      <c r="AL28" t="s">
        <v>3</v>
      </c>
      <c r="AM28" t="s">
        <v>3</v>
      </c>
      <c r="AN28" t="s">
        <v>3</v>
      </c>
      <c r="AO28" t="s">
        <v>3</v>
      </c>
      <c r="AP28" t="s">
        <v>3</v>
      </c>
      <c r="AQ28" t="s">
        <v>3</v>
      </c>
      <c r="AR28" t="s">
        <v>3</v>
      </c>
      <c r="AS28" t="s">
        <v>3</v>
      </c>
      <c r="AT28" t="s">
        <v>3</v>
      </c>
      <c r="AU28" t="s">
        <v>3</v>
      </c>
      <c r="AV28" t="s">
        <v>3</v>
      </c>
      <c r="AW28" t="s">
        <v>3</v>
      </c>
      <c r="AX28">
        <v>0</v>
      </c>
      <c r="AY28">
        <v>1</v>
      </c>
      <c r="AZ28" t="s">
        <v>1</v>
      </c>
      <c r="BA28" t="s">
        <v>1</v>
      </c>
      <c r="BB28" t="s">
        <v>1</v>
      </c>
      <c r="BC28" s="21" t="s">
        <v>748</v>
      </c>
      <c r="BD28" s="21" t="s">
        <v>144</v>
      </c>
      <c r="BE28">
        <v>0</v>
      </c>
      <c r="BF28">
        <v>0</v>
      </c>
      <c r="BG28">
        <v>0</v>
      </c>
      <c r="BH28">
        <v>0</v>
      </c>
      <c r="BI28">
        <v>0</v>
      </c>
      <c r="BJ28" t="s">
        <v>749</v>
      </c>
      <c r="BK28">
        <v>0</v>
      </c>
      <c r="BL28" t="s">
        <v>132</v>
      </c>
      <c r="BM28">
        <v>0</v>
      </c>
      <c r="BN28">
        <v>1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 t="s">
        <v>0</v>
      </c>
      <c r="BX28">
        <v>0</v>
      </c>
      <c r="BY28">
        <v>0</v>
      </c>
      <c r="BZ28">
        <v>0</v>
      </c>
      <c r="CA28">
        <v>0</v>
      </c>
      <c r="CB28" t="s">
        <v>145</v>
      </c>
      <c r="CD28" t="str" cm="1">
        <f t="array" aca="1" ref="CD28" ca="1">eConcatenar(A28:CB28,"|")</f>
        <v>YOQ14IXty0UJ6QZK|MODIFCARD19|3|MODIF|MODIF|MODIF|MODIF|2022-01-01|1|0|0|0|0|0|0|0|0|0|0|0|0|0|0|0|0|0|0|x|x|x|x|x|x|x|x|x|x|x|x|x|x|x|x|x|x|x|x|x|x|0|1|X|X|X|2022-2-10|2022-02-23|0|0|0|0|0|QWYNRBIY9KVTQO|0|HOMBRE|0|1|0|0|0|0|0|0|0|0|CARDENAS|0|0|0|0|FINAL</v>
      </c>
    </row>
    <row r="29" spans="1:82" x14ac:dyDescent="0.25">
      <c r="A29" t="s">
        <v>165</v>
      </c>
      <c r="B29" s="19" t="s">
        <v>366</v>
      </c>
      <c r="C29">
        <v>3</v>
      </c>
      <c r="D29" t="s">
        <v>346</v>
      </c>
      <c r="E29" t="s">
        <v>346</v>
      </c>
      <c r="F29" t="s">
        <v>346</v>
      </c>
      <c r="G29" t="s">
        <v>346</v>
      </c>
      <c r="H29" s="21" t="s">
        <v>747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 t="s">
        <v>3</v>
      </c>
      <c r="AC29" t="s">
        <v>3</v>
      </c>
      <c r="AD29" s="18" t="s">
        <v>3</v>
      </c>
      <c r="AE29" t="s">
        <v>3</v>
      </c>
      <c r="AF29" t="s">
        <v>3</v>
      </c>
      <c r="AG29" t="s">
        <v>3</v>
      </c>
      <c r="AH29" t="s">
        <v>3</v>
      </c>
      <c r="AI29" t="s">
        <v>3</v>
      </c>
      <c r="AJ29" t="s">
        <v>3</v>
      </c>
      <c r="AK29" t="s">
        <v>3</v>
      </c>
      <c r="AL29" t="s">
        <v>3</v>
      </c>
      <c r="AM29" t="s">
        <v>3</v>
      </c>
      <c r="AN29" t="s">
        <v>3</v>
      </c>
      <c r="AO29" t="s">
        <v>3</v>
      </c>
      <c r="AP29" t="s">
        <v>3</v>
      </c>
      <c r="AQ29" t="s">
        <v>3</v>
      </c>
      <c r="AR29" t="s">
        <v>3</v>
      </c>
      <c r="AS29" t="s">
        <v>3</v>
      </c>
      <c r="AT29" t="s">
        <v>3</v>
      </c>
      <c r="AU29" t="s">
        <v>3</v>
      </c>
      <c r="AV29" t="s">
        <v>3</v>
      </c>
      <c r="AW29" t="s">
        <v>3</v>
      </c>
      <c r="AX29">
        <v>0</v>
      </c>
      <c r="AY29">
        <v>1</v>
      </c>
      <c r="AZ29" t="s">
        <v>1</v>
      </c>
      <c r="BA29" t="s">
        <v>1</v>
      </c>
      <c r="BB29" t="s">
        <v>1</v>
      </c>
      <c r="BC29" s="21" t="s">
        <v>748</v>
      </c>
      <c r="BD29" s="21" t="s">
        <v>144</v>
      </c>
      <c r="BE29">
        <v>0</v>
      </c>
      <c r="BF29">
        <v>0</v>
      </c>
      <c r="BG29">
        <v>0</v>
      </c>
      <c r="BH29">
        <v>0</v>
      </c>
      <c r="BI29">
        <v>0</v>
      </c>
      <c r="BJ29" t="s">
        <v>749</v>
      </c>
      <c r="BK29">
        <v>0</v>
      </c>
      <c r="BL29" t="s">
        <v>132</v>
      </c>
      <c r="BM29">
        <v>0</v>
      </c>
      <c r="BN29">
        <v>1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 t="s">
        <v>0</v>
      </c>
      <c r="BX29">
        <v>0</v>
      </c>
      <c r="BY29">
        <v>0</v>
      </c>
      <c r="BZ29">
        <v>0</v>
      </c>
      <c r="CA29">
        <v>0</v>
      </c>
      <c r="CB29" t="s">
        <v>145</v>
      </c>
      <c r="CD29" t="str" cm="1">
        <f t="array" aca="1" ref="CD29" ca="1">eConcatenar(A29:CB29,"|")</f>
        <v>W7HVJHqhtQVkzEl6|MODIFCARD20|3|MODIF|MODIF|MODIF|MODIF|2022-01-01|1|0|0|0|0|0|0|0|0|0|0|0|0|0|0|0|0|0|0|x|x|x|x|x|x|x|x|x|x|x|x|x|x|x|x|x|x|x|x|x|x|0|1|X|X|X|2022-2-10|2022-02-23|0|0|0|0|0|QWYNRBIY9KVTQO|0|HOMBRE|0|1|0|0|0|0|0|0|0|0|CARDENAS|0|0|0|0|FINAL</v>
      </c>
    </row>
    <row r="30" spans="1:82" x14ac:dyDescent="0.25">
      <c r="A30" t="s">
        <v>166</v>
      </c>
      <c r="B30" s="19" t="s">
        <v>367</v>
      </c>
      <c r="C30">
        <v>3</v>
      </c>
      <c r="D30" t="s">
        <v>346</v>
      </c>
      <c r="E30" t="s">
        <v>346</v>
      </c>
      <c r="F30" t="s">
        <v>346</v>
      </c>
      <c r="G30" t="s">
        <v>346</v>
      </c>
      <c r="H30" s="21" t="s">
        <v>747</v>
      </c>
      <c r="I30">
        <v>1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 t="s">
        <v>3</v>
      </c>
      <c r="AC30" t="s">
        <v>3</v>
      </c>
      <c r="AD30" s="18" t="s">
        <v>3</v>
      </c>
      <c r="AE30" t="s">
        <v>3</v>
      </c>
      <c r="AF30" t="s">
        <v>3</v>
      </c>
      <c r="AG30" t="s">
        <v>3</v>
      </c>
      <c r="AH30" t="s">
        <v>3</v>
      </c>
      <c r="AI30" t="s">
        <v>3</v>
      </c>
      <c r="AJ30" t="s">
        <v>3</v>
      </c>
      <c r="AK30" t="s">
        <v>3</v>
      </c>
      <c r="AL30" t="s">
        <v>3</v>
      </c>
      <c r="AM30" t="s">
        <v>3</v>
      </c>
      <c r="AN30" t="s">
        <v>3</v>
      </c>
      <c r="AO30" t="s">
        <v>3</v>
      </c>
      <c r="AP30" t="s">
        <v>3</v>
      </c>
      <c r="AQ30" t="s">
        <v>3</v>
      </c>
      <c r="AR30" t="s">
        <v>3</v>
      </c>
      <c r="AS30" t="s">
        <v>3</v>
      </c>
      <c r="AT30" t="s">
        <v>3</v>
      </c>
      <c r="AU30" t="s">
        <v>3</v>
      </c>
      <c r="AV30" t="s">
        <v>3</v>
      </c>
      <c r="AW30" t="s">
        <v>3</v>
      </c>
      <c r="AX30">
        <v>0</v>
      </c>
      <c r="AY30">
        <v>1</v>
      </c>
      <c r="AZ30" t="s">
        <v>1</v>
      </c>
      <c r="BA30" t="s">
        <v>1</v>
      </c>
      <c r="BB30" t="s">
        <v>1</v>
      </c>
      <c r="BC30" s="21" t="s">
        <v>748</v>
      </c>
      <c r="BD30" s="21" t="s">
        <v>144</v>
      </c>
      <c r="BE30">
        <v>0</v>
      </c>
      <c r="BF30">
        <v>0</v>
      </c>
      <c r="BG30">
        <v>0</v>
      </c>
      <c r="BH30">
        <v>0</v>
      </c>
      <c r="BI30">
        <v>0</v>
      </c>
      <c r="BJ30" t="s">
        <v>749</v>
      </c>
      <c r="BK30">
        <v>0</v>
      </c>
      <c r="BL30" t="s">
        <v>132</v>
      </c>
      <c r="BM30">
        <v>0</v>
      </c>
      <c r="BN30">
        <v>1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 t="s">
        <v>0</v>
      </c>
      <c r="BX30">
        <v>0</v>
      </c>
      <c r="BY30">
        <v>0</v>
      </c>
      <c r="BZ30">
        <v>0</v>
      </c>
      <c r="CA30">
        <v>0</v>
      </c>
      <c r="CB30" t="s">
        <v>145</v>
      </c>
      <c r="CD30" t="str" cm="1">
        <f t="array" aca="1" ref="CD30" ca="1">eConcatenar(A30:CB30,"|")</f>
        <v>GkJvasNTZkSmeLg3|MODIFCARD21|3|MODIF|MODIF|MODIF|MODIF|2022-01-01|1|0|0|0|0|0|0|0|0|0|0|0|0|0|0|0|0|0|0|x|x|x|x|x|x|x|x|x|x|x|x|x|x|x|x|x|x|x|x|x|x|0|1|X|X|X|2022-2-10|2022-02-23|0|0|0|0|0|QWYNRBIY9KVTQO|0|HOMBRE|0|1|0|0|0|0|0|0|0|0|CARDENAS|0|0|0|0|FINAL</v>
      </c>
    </row>
    <row r="31" spans="1:82" x14ac:dyDescent="0.25">
      <c r="A31" t="s">
        <v>167</v>
      </c>
      <c r="B31" s="19" t="s">
        <v>368</v>
      </c>
      <c r="C31">
        <v>3</v>
      </c>
      <c r="D31" t="s">
        <v>346</v>
      </c>
      <c r="E31" t="s">
        <v>346</v>
      </c>
      <c r="F31" t="s">
        <v>346</v>
      </c>
      <c r="G31" t="s">
        <v>346</v>
      </c>
      <c r="H31" s="21" t="s">
        <v>747</v>
      </c>
      <c r="I31">
        <v>1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 t="s">
        <v>3</v>
      </c>
      <c r="AC31" t="s">
        <v>3</v>
      </c>
      <c r="AD31" s="18" t="s">
        <v>3</v>
      </c>
      <c r="AE31" t="s">
        <v>3</v>
      </c>
      <c r="AF31" t="s">
        <v>3</v>
      </c>
      <c r="AG31" t="s">
        <v>3</v>
      </c>
      <c r="AH31" t="s">
        <v>3</v>
      </c>
      <c r="AI31" t="s">
        <v>3</v>
      </c>
      <c r="AJ31" t="s">
        <v>3</v>
      </c>
      <c r="AK31" t="s">
        <v>3</v>
      </c>
      <c r="AL31" t="s">
        <v>3</v>
      </c>
      <c r="AM31" t="s">
        <v>3</v>
      </c>
      <c r="AN31" t="s">
        <v>3</v>
      </c>
      <c r="AO31" t="s">
        <v>3</v>
      </c>
      <c r="AP31" t="s">
        <v>3</v>
      </c>
      <c r="AQ31" t="s">
        <v>3</v>
      </c>
      <c r="AR31" t="s">
        <v>3</v>
      </c>
      <c r="AS31" t="s">
        <v>3</v>
      </c>
      <c r="AT31" t="s">
        <v>3</v>
      </c>
      <c r="AU31" t="s">
        <v>3</v>
      </c>
      <c r="AV31" t="s">
        <v>3</v>
      </c>
      <c r="AW31" t="s">
        <v>3</v>
      </c>
      <c r="AX31">
        <v>0</v>
      </c>
      <c r="AY31">
        <v>1</v>
      </c>
      <c r="AZ31" t="s">
        <v>1</v>
      </c>
      <c r="BA31" t="s">
        <v>1</v>
      </c>
      <c r="BB31" t="s">
        <v>1</v>
      </c>
      <c r="BC31" s="21" t="s">
        <v>748</v>
      </c>
      <c r="BD31" s="21" t="s">
        <v>144</v>
      </c>
      <c r="BE31">
        <v>0</v>
      </c>
      <c r="BF31">
        <v>0</v>
      </c>
      <c r="BG31">
        <v>0</v>
      </c>
      <c r="BH31">
        <v>0</v>
      </c>
      <c r="BI31">
        <v>0</v>
      </c>
      <c r="BJ31" t="s">
        <v>749</v>
      </c>
      <c r="BK31">
        <v>0</v>
      </c>
      <c r="BL31" t="s">
        <v>132</v>
      </c>
      <c r="BM31">
        <v>0</v>
      </c>
      <c r="BN31">
        <v>1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 t="s">
        <v>0</v>
      </c>
      <c r="BX31">
        <v>0</v>
      </c>
      <c r="BY31">
        <v>0</v>
      </c>
      <c r="BZ31">
        <v>0</v>
      </c>
      <c r="CA31">
        <v>0</v>
      </c>
      <c r="CB31" t="s">
        <v>145</v>
      </c>
      <c r="CD31" t="str" cm="1">
        <f t="array" aca="1" ref="CD31" ca="1">eConcatenar(A31:CB31,"|")</f>
        <v>roz8rnn44oS5YODv|MODIFCARD22|3|MODIF|MODIF|MODIF|MODIF|2022-01-01|1|0|0|0|0|0|0|0|0|0|0|0|0|0|0|0|0|0|0|x|x|x|x|x|x|x|x|x|x|x|x|x|x|x|x|x|x|x|x|x|x|0|1|X|X|X|2022-2-10|2022-02-23|0|0|0|0|0|QWYNRBIY9KVTQO|0|HOMBRE|0|1|0|0|0|0|0|0|0|0|CARDENAS|0|0|0|0|FINAL</v>
      </c>
    </row>
    <row r="32" spans="1:82" x14ac:dyDescent="0.25">
      <c r="A32" t="s">
        <v>168</v>
      </c>
      <c r="B32" s="19" t="s">
        <v>369</v>
      </c>
      <c r="C32">
        <v>3</v>
      </c>
      <c r="D32" t="s">
        <v>346</v>
      </c>
      <c r="E32" t="s">
        <v>346</v>
      </c>
      <c r="F32" t="s">
        <v>346</v>
      </c>
      <c r="G32" t="s">
        <v>346</v>
      </c>
      <c r="H32" s="21" t="s">
        <v>747</v>
      </c>
      <c r="I32">
        <v>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 t="s">
        <v>3</v>
      </c>
      <c r="AC32" t="s">
        <v>3</v>
      </c>
      <c r="AD32" s="18" t="s">
        <v>3</v>
      </c>
      <c r="AE32" t="s">
        <v>3</v>
      </c>
      <c r="AF32" t="s">
        <v>3</v>
      </c>
      <c r="AG32" t="s">
        <v>3</v>
      </c>
      <c r="AH32" t="s">
        <v>3</v>
      </c>
      <c r="AI32" t="s">
        <v>3</v>
      </c>
      <c r="AJ32" t="s">
        <v>3</v>
      </c>
      <c r="AK32" t="s">
        <v>3</v>
      </c>
      <c r="AL32" t="s">
        <v>3</v>
      </c>
      <c r="AM32" t="s">
        <v>3</v>
      </c>
      <c r="AN32" t="s">
        <v>3</v>
      </c>
      <c r="AO32" t="s">
        <v>3</v>
      </c>
      <c r="AP32" t="s">
        <v>3</v>
      </c>
      <c r="AQ32" t="s">
        <v>3</v>
      </c>
      <c r="AR32" t="s">
        <v>3</v>
      </c>
      <c r="AS32" t="s">
        <v>3</v>
      </c>
      <c r="AT32" t="s">
        <v>3</v>
      </c>
      <c r="AU32" t="s">
        <v>3</v>
      </c>
      <c r="AV32" t="s">
        <v>3</v>
      </c>
      <c r="AW32" t="s">
        <v>3</v>
      </c>
      <c r="AX32">
        <v>0</v>
      </c>
      <c r="AY32">
        <v>1</v>
      </c>
      <c r="AZ32" t="s">
        <v>1</v>
      </c>
      <c r="BA32" t="s">
        <v>1</v>
      </c>
      <c r="BB32" t="s">
        <v>1</v>
      </c>
      <c r="BC32" s="21" t="s">
        <v>748</v>
      </c>
      <c r="BD32" s="21" t="s">
        <v>144</v>
      </c>
      <c r="BE32">
        <v>0</v>
      </c>
      <c r="BF32">
        <v>0</v>
      </c>
      <c r="BG32">
        <v>0</v>
      </c>
      <c r="BH32">
        <v>0</v>
      </c>
      <c r="BI32">
        <v>0</v>
      </c>
      <c r="BJ32" t="s">
        <v>749</v>
      </c>
      <c r="BK32">
        <v>0</v>
      </c>
      <c r="BL32" t="s">
        <v>132</v>
      </c>
      <c r="BM32">
        <v>0</v>
      </c>
      <c r="BN32">
        <v>1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 t="s">
        <v>0</v>
      </c>
      <c r="BX32">
        <v>0</v>
      </c>
      <c r="BY32">
        <v>0</v>
      </c>
      <c r="BZ32">
        <v>0</v>
      </c>
      <c r="CA32">
        <v>0</v>
      </c>
      <c r="CB32" t="s">
        <v>145</v>
      </c>
      <c r="CD32" t="str" cm="1">
        <f t="array" aca="1" ref="CD32" ca="1">eConcatenar(A32:CB32,"|")</f>
        <v>WBaT1JnQ8mvXOUIt|MODIFCARD23|3|MODIF|MODIF|MODIF|MODIF|2022-01-01|1|0|0|0|0|0|0|0|0|0|0|0|0|0|0|0|0|0|0|x|x|x|x|x|x|x|x|x|x|x|x|x|x|x|x|x|x|x|x|x|x|0|1|X|X|X|2022-2-10|2022-02-23|0|0|0|0|0|QWYNRBIY9KVTQO|0|HOMBRE|0|1|0|0|0|0|0|0|0|0|CARDENAS|0|0|0|0|FINAL</v>
      </c>
    </row>
    <row r="33" spans="1:82" x14ac:dyDescent="0.25">
      <c r="A33" t="s">
        <v>169</v>
      </c>
      <c r="B33" s="19" t="s">
        <v>370</v>
      </c>
      <c r="C33">
        <v>3</v>
      </c>
      <c r="D33" t="s">
        <v>346</v>
      </c>
      <c r="E33" t="s">
        <v>346</v>
      </c>
      <c r="F33" t="s">
        <v>346</v>
      </c>
      <c r="G33" t="s">
        <v>346</v>
      </c>
      <c r="H33" s="21" t="s">
        <v>747</v>
      </c>
      <c r="I33">
        <v>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 t="s">
        <v>3</v>
      </c>
      <c r="AC33" t="s">
        <v>3</v>
      </c>
      <c r="AD33" s="18" t="s">
        <v>3</v>
      </c>
      <c r="AE33" t="s">
        <v>3</v>
      </c>
      <c r="AF33" t="s">
        <v>3</v>
      </c>
      <c r="AG33" t="s">
        <v>3</v>
      </c>
      <c r="AH33" t="s">
        <v>3</v>
      </c>
      <c r="AI33" t="s">
        <v>3</v>
      </c>
      <c r="AJ33" t="s">
        <v>3</v>
      </c>
      <c r="AK33" t="s">
        <v>3</v>
      </c>
      <c r="AL33" t="s">
        <v>3</v>
      </c>
      <c r="AM33" t="s">
        <v>3</v>
      </c>
      <c r="AN33" t="s">
        <v>3</v>
      </c>
      <c r="AO33" t="s">
        <v>3</v>
      </c>
      <c r="AP33" t="s">
        <v>3</v>
      </c>
      <c r="AQ33" t="s">
        <v>3</v>
      </c>
      <c r="AR33" t="s">
        <v>3</v>
      </c>
      <c r="AS33" t="s">
        <v>3</v>
      </c>
      <c r="AT33" t="s">
        <v>3</v>
      </c>
      <c r="AU33" t="s">
        <v>3</v>
      </c>
      <c r="AV33" t="s">
        <v>3</v>
      </c>
      <c r="AW33" t="s">
        <v>3</v>
      </c>
      <c r="AX33">
        <v>0</v>
      </c>
      <c r="AY33">
        <v>1</v>
      </c>
      <c r="AZ33" t="s">
        <v>1</v>
      </c>
      <c r="BA33" t="s">
        <v>1</v>
      </c>
      <c r="BB33" t="s">
        <v>1</v>
      </c>
      <c r="BC33" s="21" t="s">
        <v>748</v>
      </c>
      <c r="BD33" s="21" t="s">
        <v>144</v>
      </c>
      <c r="BE33">
        <v>0</v>
      </c>
      <c r="BF33">
        <v>0</v>
      </c>
      <c r="BG33">
        <v>0</v>
      </c>
      <c r="BH33">
        <v>0</v>
      </c>
      <c r="BI33">
        <v>0</v>
      </c>
      <c r="BJ33" t="s">
        <v>749</v>
      </c>
      <c r="BK33">
        <v>0</v>
      </c>
      <c r="BL33" t="s">
        <v>132</v>
      </c>
      <c r="BM33">
        <v>0</v>
      </c>
      <c r="BN33">
        <v>1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 t="s">
        <v>0</v>
      </c>
      <c r="BX33">
        <v>0</v>
      </c>
      <c r="BY33">
        <v>0</v>
      </c>
      <c r="BZ33">
        <v>0</v>
      </c>
      <c r="CA33">
        <v>0</v>
      </c>
      <c r="CB33" t="s">
        <v>145</v>
      </c>
      <c r="CD33" t="str" cm="1">
        <f t="array" aca="1" ref="CD33" ca="1">eConcatenar(A33:CB33,"|")</f>
        <v>in8wJog7jK6EeBCO|MODIFCARD24|3|MODIF|MODIF|MODIF|MODIF|2022-01-01|1|0|0|0|0|0|0|0|0|0|0|0|0|0|0|0|0|0|0|x|x|x|x|x|x|x|x|x|x|x|x|x|x|x|x|x|x|x|x|x|x|0|1|X|X|X|2022-2-10|2022-02-23|0|0|0|0|0|QWYNRBIY9KVTQO|0|HOMBRE|0|1|0|0|0|0|0|0|0|0|CARDENAS|0|0|0|0|FINAL</v>
      </c>
    </row>
    <row r="34" spans="1:82" x14ac:dyDescent="0.25">
      <c r="A34" t="s">
        <v>170</v>
      </c>
      <c r="B34" s="19" t="s">
        <v>371</v>
      </c>
      <c r="C34">
        <v>3</v>
      </c>
      <c r="D34" t="s">
        <v>346</v>
      </c>
      <c r="E34" t="s">
        <v>346</v>
      </c>
      <c r="F34" t="s">
        <v>346</v>
      </c>
      <c r="G34" t="s">
        <v>346</v>
      </c>
      <c r="H34" s="21" t="s">
        <v>747</v>
      </c>
      <c r="I34">
        <v>1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 t="s">
        <v>3</v>
      </c>
      <c r="AC34" t="s">
        <v>3</v>
      </c>
      <c r="AD34" s="18" t="s">
        <v>3</v>
      </c>
      <c r="AE34" t="s">
        <v>3</v>
      </c>
      <c r="AF34" t="s">
        <v>3</v>
      </c>
      <c r="AG34" t="s">
        <v>3</v>
      </c>
      <c r="AH34" t="s">
        <v>3</v>
      </c>
      <c r="AI34" t="s">
        <v>3</v>
      </c>
      <c r="AJ34" t="s">
        <v>3</v>
      </c>
      <c r="AK34" t="s">
        <v>3</v>
      </c>
      <c r="AL34" t="s">
        <v>3</v>
      </c>
      <c r="AM34" t="s">
        <v>3</v>
      </c>
      <c r="AN34" t="s">
        <v>3</v>
      </c>
      <c r="AO34" t="s">
        <v>3</v>
      </c>
      <c r="AP34" t="s">
        <v>3</v>
      </c>
      <c r="AQ34" t="s">
        <v>3</v>
      </c>
      <c r="AR34" t="s">
        <v>3</v>
      </c>
      <c r="AS34" t="s">
        <v>3</v>
      </c>
      <c r="AT34" t="s">
        <v>3</v>
      </c>
      <c r="AU34" t="s">
        <v>3</v>
      </c>
      <c r="AV34" t="s">
        <v>3</v>
      </c>
      <c r="AW34" t="s">
        <v>3</v>
      </c>
      <c r="AX34">
        <v>0</v>
      </c>
      <c r="AY34">
        <v>1</v>
      </c>
      <c r="AZ34" t="s">
        <v>1</v>
      </c>
      <c r="BA34" t="s">
        <v>1</v>
      </c>
      <c r="BB34" t="s">
        <v>1</v>
      </c>
      <c r="BC34" s="21" t="s">
        <v>748</v>
      </c>
      <c r="BD34" s="21" t="s">
        <v>144</v>
      </c>
      <c r="BE34">
        <v>0</v>
      </c>
      <c r="BF34">
        <v>0</v>
      </c>
      <c r="BG34">
        <v>0</v>
      </c>
      <c r="BH34">
        <v>0</v>
      </c>
      <c r="BI34">
        <v>0</v>
      </c>
      <c r="BJ34" t="s">
        <v>749</v>
      </c>
      <c r="BK34">
        <v>0</v>
      </c>
      <c r="BL34" t="s">
        <v>132</v>
      </c>
      <c r="BM34">
        <v>0</v>
      </c>
      <c r="BN34">
        <v>1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 t="s">
        <v>0</v>
      </c>
      <c r="BX34">
        <v>0</v>
      </c>
      <c r="BY34">
        <v>0</v>
      </c>
      <c r="BZ34">
        <v>0</v>
      </c>
      <c r="CA34">
        <v>0</v>
      </c>
      <c r="CB34" t="s">
        <v>145</v>
      </c>
      <c r="CD34" t="str" cm="1">
        <f t="array" aca="1" ref="CD34" ca="1">eConcatenar(A34:CB34,"|")</f>
        <v>M9DTbjtpEN1UymIv|MODIFCARD25|3|MODIF|MODIF|MODIF|MODIF|2022-01-01|1|0|0|0|0|0|0|0|0|0|0|0|0|0|0|0|0|0|0|x|x|x|x|x|x|x|x|x|x|x|x|x|x|x|x|x|x|x|x|x|x|0|1|X|X|X|2022-2-10|2022-02-23|0|0|0|0|0|QWYNRBIY9KVTQO|0|HOMBRE|0|1|0|0|0|0|0|0|0|0|CARDENAS|0|0|0|0|FINAL</v>
      </c>
    </row>
    <row r="35" spans="1:82" x14ac:dyDescent="0.25">
      <c r="A35" t="s">
        <v>171</v>
      </c>
      <c r="B35" s="19" t="s">
        <v>372</v>
      </c>
      <c r="C35">
        <v>3</v>
      </c>
      <c r="D35" t="s">
        <v>346</v>
      </c>
      <c r="E35" t="s">
        <v>346</v>
      </c>
      <c r="F35" t="s">
        <v>346</v>
      </c>
      <c r="G35" t="s">
        <v>346</v>
      </c>
      <c r="H35" s="21" t="s">
        <v>747</v>
      </c>
      <c r="I35">
        <v>1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 t="s">
        <v>3</v>
      </c>
      <c r="AC35" t="s">
        <v>3</v>
      </c>
      <c r="AD35" s="18" t="s">
        <v>3</v>
      </c>
      <c r="AE35" t="s">
        <v>3</v>
      </c>
      <c r="AF35" t="s">
        <v>3</v>
      </c>
      <c r="AG35" t="s">
        <v>3</v>
      </c>
      <c r="AH35" t="s">
        <v>3</v>
      </c>
      <c r="AI35" t="s">
        <v>3</v>
      </c>
      <c r="AJ35" t="s">
        <v>3</v>
      </c>
      <c r="AK35" t="s">
        <v>3</v>
      </c>
      <c r="AL35" t="s">
        <v>3</v>
      </c>
      <c r="AM35" t="s">
        <v>3</v>
      </c>
      <c r="AN35" t="s">
        <v>3</v>
      </c>
      <c r="AO35" t="s">
        <v>3</v>
      </c>
      <c r="AP35" t="s">
        <v>3</v>
      </c>
      <c r="AQ35" t="s">
        <v>3</v>
      </c>
      <c r="AR35" t="s">
        <v>3</v>
      </c>
      <c r="AS35" t="s">
        <v>3</v>
      </c>
      <c r="AT35" t="s">
        <v>3</v>
      </c>
      <c r="AU35" t="s">
        <v>3</v>
      </c>
      <c r="AV35" t="s">
        <v>3</v>
      </c>
      <c r="AW35" t="s">
        <v>3</v>
      </c>
      <c r="AX35">
        <v>0</v>
      </c>
      <c r="AY35">
        <v>1</v>
      </c>
      <c r="AZ35" t="s">
        <v>1</v>
      </c>
      <c r="BA35" t="s">
        <v>1</v>
      </c>
      <c r="BB35" t="s">
        <v>1</v>
      </c>
      <c r="BC35" s="21" t="s">
        <v>748</v>
      </c>
      <c r="BD35" s="21" t="s">
        <v>144</v>
      </c>
      <c r="BE35">
        <v>0</v>
      </c>
      <c r="BF35">
        <v>0</v>
      </c>
      <c r="BG35">
        <v>0</v>
      </c>
      <c r="BH35">
        <v>0</v>
      </c>
      <c r="BI35">
        <v>0</v>
      </c>
      <c r="BJ35" t="s">
        <v>749</v>
      </c>
      <c r="BK35">
        <v>0</v>
      </c>
      <c r="BL35" t="s">
        <v>132</v>
      </c>
      <c r="BM35">
        <v>0</v>
      </c>
      <c r="BN35">
        <v>1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 t="s">
        <v>0</v>
      </c>
      <c r="BX35">
        <v>0</v>
      </c>
      <c r="BY35">
        <v>0</v>
      </c>
      <c r="BZ35">
        <v>0</v>
      </c>
      <c r="CA35">
        <v>0</v>
      </c>
      <c r="CB35" t="s">
        <v>145</v>
      </c>
      <c r="CD35" t="str" cm="1">
        <f t="array" aca="1" ref="CD35" ca="1">eConcatenar(A35:CB35,"|")</f>
        <v>40a2d8ULjXODjsZQ|MODIFCARD26|3|MODIF|MODIF|MODIF|MODIF|2022-01-01|1|0|0|0|0|0|0|0|0|0|0|0|0|0|0|0|0|0|0|x|x|x|x|x|x|x|x|x|x|x|x|x|x|x|x|x|x|x|x|x|x|0|1|X|X|X|2022-2-10|2022-02-23|0|0|0|0|0|QWYNRBIY9KVTQO|0|HOMBRE|0|1|0|0|0|0|0|0|0|0|CARDENAS|0|0|0|0|FINAL</v>
      </c>
    </row>
    <row r="36" spans="1:82" x14ac:dyDescent="0.25">
      <c r="A36" t="s">
        <v>172</v>
      </c>
      <c r="B36" s="19" t="s">
        <v>373</v>
      </c>
      <c r="C36">
        <v>3</v>
      </c>
      <c r="D36" t="s">
        <v>346</v>
      </c>
      <c r="E36" t="s">
        <v>346</v>
      </c>
      <c r="F36" t="s">
        <v>346</v>
      </c>
      <c r="G36" t="s">
        <v>346</v>
      </c>
      <c r="H36" s="21" t="s">
        <v>747</v>
      </c>
      <c r="I36">
        <v>1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 t="s">
        <v>3</v>
      </c>
      <c r="AC36" t="s">
        <v>3</v>
      </c>
      <c r="AD36" s="18" t="s">
        <v>3</v>
      </c>
      <c r="AE36" t="s">
        <v>3</v>
      </c>
      <c r="AF36" t="s">
        <v>3</v>
      </c>
      <c r="AG36" t="s">
        <v>3</v>
      </c>
      <c r="AH36" t="s">
        <v>3</v>
      </c>
      <c r="AI36" t="s">
        <v>3</v>
      </c>
      <c r="AJ36" t="s">
        <v>3</v>
      </c>
      <c r="AK36" t="s">
        <v>3</v>
      </c>
      <c r="AL36" t="s">
        <v>3</v>
      </c>
      <c r="AM36" t="s">
        <v>3</v>
      </c>
      <c r="AN36" t="s">
        <v>3</v>
      </c>
      <c r="AO36" t="s">
        <v>3</v>
      </c>
      <c r="AP36" t="s">
        <v>3</v>
      </c>
      <c r="AQ36" t="s">
        <v>3</v>
      </c>
      <c r="AR36" t="s">
        <v>3</v>
      </c>
      <c r="AS36" t="s">
        <v>3</v>
      </c>
      <c r="AT36" t="s">
        <v>3</v>
      </c>
      <c r="AU36" t="s">
        <v>3</v>
      </c>
      <c r="AV36" t="s">
        <v>3</v>
      </c>
      <c r="AW36" t="s">
        <v>3</v>
      </c>
      <c r="AX36">
        <v>0</v>
      </c>
      <c r="AY36">
        <v>1</v>
      </c>
      <c r="AZ36" t="s">
        <v>1</v>
      </c>
      <c r="BA36" t="s">
        <v>1</v>
      </c>
      <c r="BB36" t="s">
        <v>1</v>
      </c>
      <c r="BC36" s="21" t="s">
        <v>748</v>
      </c>
      <c r="BD36" s="21" t="s">
        <v>144</v>
      </c>
      <c r="BE36">
        <v>0</v>
      </c>
      <c r="BF36">
        <v>0</v>
      </c>
      <c r="BG36">
        <v>0</v>
      </c>
      <c r="BH36">
        <v>0</v>
      </c>
      <c r="BI36">
        <v>0</v>
      </c>
      <c r="BJ36" t="s">
        <v>749</v>
      </c>
      <c r="BK36">
        <v>0</v>
      </c>
      <c r="BL36" t="s">
        <v>132</v>
      </c>
      <c r="BM36">
        <v>0</v>
      </c>
      <c r="BN36">
        <v>1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 t="s">
        <v>0</v>
      </c>
      <c r="BX36">
        <v>0</v>
      </c>
      <c r="BY36">
        <v>0</v>
      </c>
      <c r="BZ36">
        <v>0</v>
      </c>
      <c r="CA36">
        <v>0</v>
      </c>
      <c r="CB36" t="s">
        <v>145</v>
      </c>
      <c r="CD36" t="str" cm="1">
        <f t="array" aca="1" ref="CD36" ca="1">eConcatenar(A36:CB36,"|")</f>
        <v>1B240eZpmZLaOeIc|MODIFCARD27|3|MODIF|MODIF|MODIF|MODIF|2022-01-01|1|0|0|0|0|0|0|0|0|0|0|0|0|0|0|0|0|0|0|x|x|x|x|x|x|x|x|x|x|x|x|x|x|x|x|x|x|x|x|x|x|0|1|X|X|X|2022-2-10|2022-02-23|0|0|0|0|0|QWYNRBIY9KVTQO|0|HOMBRE|0|1|0|0|0|0|0|0|0|0|CARDENAS|0|0|0|0|FINAL</v>
      </c>
    </row>
    <row r="37" spans="1:82" x14ac:dyDescent="0.25">
      <c r="A37" t="s">
        <v>173</v>
      </c>
      <c r="B37" s="19" t="s">
        <v>374</v>
      </c>
      <c r="C37">
        <v>3</v>
      </c>
      <c r="D37" t="s">
        <v>346</v>
      </c>
      <c r="E37" t="s">
        <v>346</v>
      </c>
      <c r="F37" t="s">
        <v>346</v>
      </c>
      <c r="G37" t="s">
        <v>346</v>
      </c>
      <c r="H37" s="21" t="s">
        <v>747</v>
      </c>
      <c r="I37">
        <v>1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 t="s">
        <v>3</v>
      </c>
      <c r="AC37" t="s">
        <v>3</v>
      </c>
      <c r="AD37" s="18" t="s">
        <v>3</v>
      </c>
      <c r="AE37" t="s">
        <v>3</v>
      </c>
      <c r="AF37" t="s">
        <v>3</v>
      </c>
      <c r="AG37" t="s">
        <v>3</v>
      </c>
      <c r="AH37" t="s">
        <v>3</v>
      </c>
      <c r="AI37" t="s">
        <v>3</v>
      </c>
      <c r="AJ37" t="s">
        <v>3</v>
      </c>
      <c r="AK37" t="s">
        <v>3</v>
      </c>
      <c r="AL37" t="s">
        <v>3</v>
      </c>
      <c r="AM37" t="s">
        <v>3</v>
      </c>
      <c r="AN37" t="s">
        <v>3</v>
      </c>
      <c r="AO37" t="s">
        <v>3</v>
      </c>
      <c r="AP37" t="s">
        <v>3</v>
      </c>
      <c r="AQ37" t="s">
        <v>3</v>
      </c>
      <c r="AR37" t="s">
        <v>3</v>
      </c>
      <c r="AS37" t="s">
        <v>3</v>
      </c>
      <c r="AT37" t="s">
        <v>3</v>
      </c>
      <c r="AU37" t="s">
        <v>3</v>
      </c>
      <c r="AV37" t="s">
        <v>3</v>
      </c>
      <c r="AW37" t="s">
        <v>3</v>
      </c>
      <c r="AX37">
        <v>0</v>
      </c>
      <c r="AY37">
        <v>1</v>
      </c>
      <c r="AZ37" t="s">
        <v>1</v>
      </c>
      <c r="BA37" t="s">
        <v>1</v>
      </c>
      <c r="BB37" t="s">
        <v>1</v>
      </c>
      <c r="BC37" s="21" t="s">
        <v>748</v>
      </c>
      <c r="BD37" s="21" t="s">
        <v>144</v>
      </c>
      <c r="BE37">
        <v>0</v>
      </c>
      <c r="BF37">
        <v>0</v>
      </c>
      <c r="BG37">
        <v>0</v>
      </c>
      <c r="BH37">
        <v>0</v>
      </c>
      <c r="BI37">
        <v>0</v>
      </c>
      <c r="BJ37" t="s">
        <v>749</v>
      </c>
      <c r="BK37">
        <v>0</v>
      </c>
      <c r="BL37" t="s">
        <v>132</v>
      </c>
      <c r="BM37">
        <v>0</v>
      </c>
      <c r="BN37">
        <v>1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 t="s">
        <v>0</v>
      </c>
      <c r="BX37">
        <v>0</v>
      </c>
      <c r="BY37">
        <v>0</v>
      </c>
      <c r="BZ37">
        <v>0</v>
      </c>
      <c r="CA37">
        <v>0</v>
      </c>
      <c r="CB37" t="s">
        <v>145</v>
      </c>
      <c r="CD37" t="str" cm="1">
        <f t="array" aca="1" ref="CD37" ca="1">eConcatenar(A37:CB37,"|")</f>
        <v>tB2ySleegzLuLfRK|MODIFCARD28|3|MODIF|MODIF|MODIF|MODIF|2022-01-01|1|0|0|0|0|0|0|0|0|0|0|0|0|0|0|0|0|0|0|x|x|x|x|x|x|x|x|x|x|x|x|x|x|x|x|x|x|x|x|x|x|0|1|X|X|X|2022-2-10|2022-02-23|0|0|0|0|0|QWYNRBIY9KVTQO|0|HOMBRE|0|1|0|0|0|0|0|0|0|0|CARDENAS|0|0|0|0|FINAL</v>
      </c>
    </row>
    <row r="38" spans="1:82" x14ac:dyDescent="0.25">
      <c r="A38" t="s">
        <v>174</v>
      </c>
      <c r="B38" s="19" t="s">
        <v>375</v>
      </c>
      <c r="C38">
        <v>3</v>
      </c>
      <c r="D38" t="s">
        <v>346</v>
      </c>
      <c r="E38" t="s">
        <v>346</v>
      </c>
      <c r="F38" t="s">
        <v>346</v>
      </c>
      <c r="G38" t="s">
        <v>346</v>
      </c>
      <c r="H38" s="21" t="s">
        <v>747</v>
      </c>
      <c r="I38">
        <v>1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t="s">
        <v>3</v>
      </c>
      <c r="AC38" t="s">
        <v>3</v>
      </c>
      <c r="AD38" s="18" t="s">
        <v>3</v>
      </c>
      <c r="AE38" t="s">
        <v>3</v>
      </c>
      <c r="AF38" t="s">
        <v>3</v>
      </c>
      <c r="AG38" t="s">
        <v>3</v>
      </c>
      <c r="AH38" t="s">
        <v>3</v>
      </c>
      <c r="AI38" t="s">
        <v>3</v>
      </c>
      <c r="AJ38" t="s">
        <v>3</v>
      </c>
      <c r="AK38" t="s">
        <v>3</v>
      </c>
      <c r="AL38" t="s">
        <v>3</v>
      </c>
      <c r="AM38" t="s">
        <v>3</v>
      </c>
      <c r="AN38" t="s">
        <v>3</v>
      </c>
      <c r="AO38" t="s">
        <v>3</v>
      </c>
      <c r="AP38" t="s">
        <v>3</v>
      </c>
      <c r="AQ38" t="s">
        <v>3</v>
      </c>
      <c r="AR38" t="s">
        <v>3</v>
      </c>
      <c r="AS38" t="s">
        <v>3</v>
      </c>
      <c r="AT38" t="s">
        <v>3</v>
      </c>
      <c r="AU38" t="s">
        <v>3</v>
      </c>
      <c r="AV38" t="s">
        <v>3</v>
      </c>
      <c r="AW38" t="s">
        <v>3</v>
      </c>
      <c r="AX38">
        <v>0</v>
      </c>
      <c r="AY38">
        <v>1</v>
      </c>
      <c r="AZ38" t="s">
        <v>1</v>
      </c>
      <c r="BA38" t="s">
        <v>1</v>
      </c>
      <c r="BB38" t="s">
        <v>1</v>
      </c>
      <c r="BC38" s="21" t="s">
        <v>748</v>
      </c>
      <c r="BD38" s="21" t="s">
        <v>144</v>
      </c>
      <c r="BE38">
        <v>0</v>
      </c>
      <c r="BF38">
        <v>0</v>
      </c>
      <c r="BG38">
        <v>0</v>
      </c>
      <c r="BH38">
        <v>0</v>
      </c>
      <c r="BI38">
        <v>0</v>
      </c>
      <c r="BJ38" t="s">
        <v>749</v>
      </c>
      <c r="BK38">
        <v>0</v>
      </c>
      <c r="BL38" t="s">
        <v>132</v>
      </c>
      <c r="BM38">
        <v>0</v>
      </c>
      <c r="BN38">
        <v>1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 t="s">
        <v>0</v>
      </c>
      <c r="BX38">
        <v>0</v>
      </c>
      <c r="BY38">
        <v>0</v>
      </c>
      <c r="BZ38">
        <v>0</v>
      </c>
      <c r="CA38">
        <v>0</v>
      </c>
      <c r="CB38" t="s">
        <v>145</v>
      </c>
      <c r="CD38" t="str" cm="1">
        <f t="array" aca="1" ref="CD38" ca="1">eConcatenar(A38:CB38,"|")</f>
        <v>inPr7ef2T6SvRyWy|MODIFCARD29|3|MODIF|MODIF|MODIF|MODIF|2022-01-01|1|0|0|0|0|0|0|0|0|0|0|0|0|0|0|0|0|0|0|x|x|x|x|x|x|x|x|x|x|x|x|x|x|x|x|x|x|x|x|x|x|0|1|X|X|X|2022-2-10|2022-02-23|0|0|0|0|0|QWYNRBIY9KVTQO|0|HOMBRE|0|1|0|0|0|0|0|0|0|0|CARDENAS|0|0|0|0|FINAL</v>
      </c>
    </row>
    <row r="39" spans="1:82" x14ac:dyDescent="0.25">
      <c r="A39" t="s">
        <v>175</v>
      </c>
      <c r="B39" s="19" t="s">
        <v>376</v>
      </c>
      <c r="C39">
        <v>3</v>
      </c>
      <c r="D39" t="s">
        <v>346</v>
      </c>
      <c r="E39" t="s">
        <v>346</v>
      </c>
      <c r="F39" t="s">
        <v>346</v>
      </c>
      <c r="G39" t="s">
        <v>346</v>
      </c>
      <c r="H39" s="21" t="s">
        <v>747</v>
      </c>
      <c r="I39">
        <v>1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 t="s">
        <v>3</v>
      </c>
      <c r="AC39" t="s">
        <v>3</v>
      </c>
      <c r="AD39" s="18" t="s">
        <v>3</v>
      </c>
      <c r="AE39" t="s">
        <v>3</v>
      </c>
      <c r="AF39" t="s">
        <v>3</v>
      </c>
      <c r="AG39" t="s">
        <v>3</v>
      </c>
      <c r="AH39" t="s">
        <v>3</v>
      </c>
      <c r="AI39" t="s">
        <v>3</v>
      </c>
      <c r="AJ39" t="s">
        <v>3</v>
      </c>
      <c r="AK39" t="s">
        <v>3</v>
      </c>
      <c r="AL39" t="s">
        <v>3</v>
      </c>
      <c r="AM39" t="s">
        <v>3</v>
      </c>
      <c r="AN39" t="s">
        <v>3</v>
      </c>
      <c r="AO39" t="s">
        <v>3</v>
      </c>
      <c r="AP39" t="s">
        <v>3</v>
      </c>
      <c r="AQ39" t="s">
        <v>3</v>
      </c>
      <c r="AR39" t="s">
        <v>3</v>
      </c>
      <c r="AS39" t="s">
        <v>3</v>
      </c>
      <c r="AT39" t="s">
        <v>3</v>
      </c>
      <c r="AU39" t="s">
        <v>3</v>
      </c>
      <c r="AV39" t="s">
        <v>3</v>
      </c>
      <c r="AW39" t="s">
        <v>3</v>
      </c>
      <c r="AX39">
        <v>0</v>
      </c>
      <c r="AY39">
        <v>1</v>
      </c>
      <c r="AZ39" t="s">
        <v>1</v>
      </c>
      <c r="BA39" t="s">
        <v>1</v>
      </c>
      <c r="BB39" t="s">
        <v>1</v>
      </c>
      <c r="BC39" s="21" t="s">
        <v>748</v>
      </c>
      <c r="BD39" s="21" t="s">
        <v>144</v>
      </c>
      <c r="BE39">
        <v>0</v>
      </c>
      <c r="BF39">
        <v>0</v>
      </c>
      <c r="BG39">
        <v>0</v>
      </c>
      <c r="BH39">
        <v>0</v>
      </c>
      <c r="BI39">
        <v>0</v>
      </c>
      <c r="BJ39" t="s">
        <v>749</v>
      </c>
      <c r="BK39">
        <v>0</v>
      </c>
      <c r="BL39" t="s">
        <v>132</v>
      </c>
      <c r="BM39">
        <v>0</v>
      </c>
      <c r="BN39">
        <v>1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 t="s">
        <v>0</v>
      </c>
      <c r="BX39">
        <v>0</v>
      </c>
      <c r="BY39">
        <v>0</v>
      </c>
      <c r="BZ39">
        <v>0</v>
      </c>
      <c r="CA39">
        <v>0</v>
      </c>
      <c r="CB39" t="s">
        <v>145</v>
      </c>
      <c r="CD39" t="str" cm="1">
        <f t="array" aca="1" ref="CD39" ca="1">eConcatenar(A39:CB39,"|")</f>
        <v>tir9kv3Y2lkzXbmx|MODIFCARD30|3|MODIF|MODIF|MODIF|MODIF|2022-01-01|1|0|0|0|0|0|0|0|0|0|0|0|0|0|0|0|0|0|0|x|x|x|x|x|x|x|x|x|x|x|x|x|x|x|x|x|x|x|x|x|x|0|1|X|X|X|2022-2-10|2022-02-23|0|0|0|0|0|QWYNRBIY9KVTQO|0|HOMBRE|0|1|0|0|0|0|0|0|0|0|CARDENAS|0|0|0|0|FINAL</v>
      </c>
    </row>
    <row r="40" spans="1:82" x14ac:dyDescent="0.25">
      <c r="A40" t="s">
        <v>176</v>
      </c>
      <c r="B40" s="19" t="s">
        <v>377</v>
      </c>
      <c r="C40">
        <v>3</v>
      </c>
      <c r="D40" t="s">
        <v>346</v>
      </c>
      <c r="E40" t="s">
        <v>346</v>
      </c>
      <c r="F40" t="s">
        <v>346</v>
      </c>
      <c r="G40" t="s">
        <v>346</v>
      </c>
      <c r="H40" s="21" t="s">
        <v>747</v>
      </c>
      <c r="I40">
        <v>1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 t="s">
        <v>3</v>
      </c>
      <c r="AC40" t="s">
        <v>3</v>
      </c>
      <c r="AD40" s="18" t="s">
        <v>3</v>
      </c>
      <c r="AE40" t="s">
        <v>3</v>
      </c>
      <c r="AF40" t="s">
        <v>3</v>
      </c>
      <c r="AG40" t="s">
        <v>3</v>
      </c>
      <c r="AH40" t="s">
        <v>3</v>
      </c>
      <c r="AI40" t="s">
        <v>3</v>
      </c>
      <c r="AJ40" t="s">
        <v>3</v>
      </c>
      <c r="AK40" t="s">
        <v>3</v>
      </c>
      <c r="AL40" t="s">
        <v>3</v>
      </c>
      <c r="AM40" t="s">
        <v>3</v>
      </c>
      <c r="AN40" t="s">
        <v>3</v>
      </c>
      <c r="AO40" t="s">
        <v>3</v>
      </c>
      <c r="AP40" t="s">
        <v>3</v>
      </c>
      <c r="AQ40" t="s">
        <v>3</v>
      </c>
      <c r="AR40" t="s">
        <v>3</v>
      </c>
      <c r="AS40" t="s">
        <v>3</v>
      </c>
      <c r="AT40" t="s">
        <v>3</v>
      </c>
      <c r="AU40" t="s">
        <v>3</v>
      </c>
      <c r="AV40" t="s">
        <v>3</v>
      </c>
      <c r="AW40" t="s">
        <v>3</v>
      </c>
      <c r="AX40">
        <v>0</v>
      </c>
      <c r="AY40">
        <v>1</v>
      </c>
      <c r="AZ40" t="s">
        <v>1</v>
      </c>
      <c r="BA40" t="s">
        <v>1</v>
      </c>
      <c r="BB40" t="s">
        <v>1</v>
      </c>
      <c r="BC40" s="21" t="s">
        <v>748</v>
      </c>
      <c r="BD40" s="21" t="s">
        <v>144</v>
      </c>
      <c r="BE40">
        <v>0</v>
      </c>
      <c r="BF40">
        <v>0</v>
      </c>
      <c r="BG40">
        <v>0</v>
      </c>
      <c r="BH40">
        <v>0</v>
      </c>
      <c r="BI40">
        <v>0</v>
      </c>
      <c r="BJ40" t="s">
        <v>749</v>
      </c>
      <c r="BK40">
        <v>0</v>
      </c>
      <c r="BL40" t="s">
        <v>132</v>
      </c>
      <c r="BM40">
        <v>0</v>
      </c>
      <c r="BN40">
        <v>1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 t="s">
        <v>0</v>
      </c>
      <c r="BX40">
        <v>0</v>
      </c>
      <c r="BY40">
        <v>0</v>
      </c>
      <c r="BZ40">
        <v>0</v>
      </c>
      <c r="CA40">
        <v>0</v>
      </c>
      <c r="CB40" t="s">
        <v>145</v>
      </c>
      <c r="CD40" t="str" cm="1">
        <f t="array" aca="1" ref="CD40" ca="1">eConcatenar(A40:CB40,"|")</f>
        <v>4oFGkft5jJ9nvOXg|MODIFCARD31|3|MODIF|MODIF|MODIF|MODIF|2022-01-01|1|0|0|0|0|0|0|0|0|0|0|0|0|0|0|0|0|0|0|x|x|x|x|x|x|x|x|x|x|x|x|x|x|x|x|x|x|x|x|x|x|0|1|X|X|X|2022-2-10|2022-02-23|0|0|0|0|0|QWYNRBIY9KVTQO|0|HOMBRE|0|1|0|0|0|0|0|0|0|0|CARDENAS|0|0|0|0|FINAL</v>
      </c>
    </row>
    <row r="41" spans="1:82" x14ac:dyDescent="0.25">
      <c r="A41" t="s">
        <v>177</v>
      </c>
      <c r="B41" s="19" t="s">
        <v>378</v>
      </c>
      <c r="C41">
        <v>3</v>
      </c>
      <c r="D41" t="s">
        <v>346</v>
      </c>
      <c r="E41" t="s">
        <v>346</v>
      </c>
      <c r="F41" t="s">
        <v>346</v>
      </c>
      <c r="G41" t="s">
        <v>346</v>
      </c>
      <c r="H41" s="21" t="s">
        <v>747</v>
      </c>
      <c r="I41">
        <v>1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 t="s">
        <v>3</v>
      </c>
      <c r="AC41" t="s">
        <v>3</v>
      </c>
      <c r="AD41" s="18" t="s">
        <v>3</v>
      </c>
      <c r="AE41" t="s">
        <v>3</v>
      </c>
      <c r="AF41" t="s">
        <v>3</v>
      </c>
      <c r="AG41" t="s">
        <v>3</v>
      </c>
      <c r="AH41" t="s">
        <v>3</v>
      </c>
      <c r="AI41" t="s">
        <v>3</v>
      </c>
      <c r="AJ41" t="s">
        <v>3</v>
      </c>
      <c r="AK41" t="s">
        <v>3</v>
      </c>
      <c r="AL41" t="s">
        <v>3</v>
      </c>
      <c r="AM41" t="s">
        <v>3</v>
      </c>
      <c r="AN41" t="s">
        <v>3</v>
      </c>
      <c r="AO41" t="s">
        <v>3</v>
      </c>
      <c r="AP41" t="s">
        <v>3</v>
      </c>
      <c r="AQ41" t="s">
        <v>3</v>
      </c>
      <c r="AR41" t="s">
        <v>3</v>
      </c>
      <c r="AS41" t="s">
        <v>3</v>
      </c>
      <c r="AT41" t="s">
        <v>3</v>
      </c>
      <c r="AU41" t="s">
        <v>3</v>
      </c>
      <c r="AV41" t="s">
        <v>3</v>
      </c>
      <c r="AW41" t="s">
        <v>3</v>
      </c>
      <c r="AX41">
        <v>0</v>
      </c>
      <c r="AY41">
        <v>1</v>
      </c>
      <c r="AZ41" t="s">
        <v>1</v>
      </c>
      <c r="BA41" t="s">
        <v>1</v>
      </c>
      <c r="BB41" t="s">
        <v>1</v>
      </c>
      <c r="BC41" s="21" t="s">
        <v>748</v>
      </c>
      <c r="BD41" s="21" t="s">
        <v>144</v>
      </c>
      <c r="BE41">
        <v>0</v>
      </c>
      <c r="BF41">
        <v>0</v>
      </c>
      <c r="BG41">
        <v>0</v>
      </c>
      <c r="BH41">
        <v>0</v>
      </c>
      <c r="BI41">
        <v>0</v>
      </c>
      <c r="BJ41" t="s">
        <v>749</v>
      </c>
      <c r="BK41">
        <v>0</v>
      </c>
      <c r="BL41" t="s">
        <v>132</v>
      </c>
      <c r="BM41">
        <v>0</v>
      </c>
      <c r="BN41">
        <v>1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 t="s">
        <v>0</v>
      </c>
      <c r="BX41">
        <v>0</v>
      </c>
      <c r="BY41">
        <v>0</v>
      </c>
      <c r="BZ41">
        <v>0</v>
      </c>
      <c r="CA41">
        <v>0</v>
      </c>
      <c r="CB41" t="s">
        <v>145</v>
      </c>
      <c r="CD41" t="str" cm="1">
        <f t="array" aca="1" ref="CD41" ca="1">eConcatenar(A41:CB41,"|")</f>
        <v>qWsCBnIxRBtgrlKE|MODIFCARD32|3|MODIF|MODIF|MODIF|MODIF|2022-01-01|1|0|0|0|0|0|0|0|0|0|0|0|0|0|0|0|0|0|0|x|x|x|x|x|x|x|x|x|x|x|x|x|x|x|x|x|x|x|x|x|x|0|1|X|X|X|2022-2-10|2022-02-23|0|0|0|0|0|QWYNRBIY9KVTQO|0|HOMBRE|0|1|0|0|0|0|0|0|0|0|CARDENAS|0|0|0|0|FINAL</v>
      </c>
    </row>
    <row r="42" spans="1:82" x14ac:dyDescent="0.25">
      <c r="A42" t="s">
        <v>178</v>
      </c>
      <c r="B42" s="19" t="s">
        <v>379</v>
      </c>
      <c r="C42">
        <v>3</v>
      </c>
      <c r="D42" t="s">
        <v>346</v>
      </c>
      <c r="E42" t="s">
        <v>346</v>
      </c>
      <c r="F42" t="s">
        <v>346</v>
      </c>
      <c r="G42" t="s">
        <v>346</v>
      </c>
      <c r="H42" s="21" t="s">
        <v>747</v>
      </c>
      <c r="I42">
        <v>1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 t="s">
        <v>3</v>
      </c>
      <c r="AC42" t="s">
        <v>3</v>
      </c>
      <c r="AD42" s="18" t="s">
        <v>3</v>
      </c>
      <c r="AE42" t="s">
        <v>3</v>
      </c>
      <c r="AF42" t="s">
        <v>3</v>
      </c>
      <c r="AG42" t="s">
        <v>3</v>
      </c>
      <c r="AH42" t="s">
        <v>3</v>
      </c>
      <c r="AI42" t="s">
        <v>3</v>
      </c>
      <c r="AJ42" t="s">
        <v>3</v>
      </c>
      <c r="AK42" t="s">
        <v>3</v>
      </c>
      <c r="AL42" t="s">
        <v>3</v>
      </c>
      <c r="AM42" t="s">
        <v>3</v>
      </c>
      <c r="AN42" t="s">
        <v>3</v>
      </c>
      <c r="AO42" t="s">
        <v>3</v>
      </c>
      <c r="AP42" t="s">
        <v>3</v>
      </c>
      <c r="AQ42" t="s">
        <v>3</v>
      </c>
      <c r="AR42" t="s">
        <v>3</v>
      </c>
      <c r="AS42" t="s">
        <v>3</v>
      </c>
      <c r="AT42" t="s">
        <v>3</v>
      </c>
      <c r="AU42" t="s">
        <v>3</v>
      </c>
      <c r="AV42" t="s">
        <v>3</v>
      </c>
      <c r="AW42" t="s">
        <v>3</v>
      </c>
      <c r="AX42">
        <v>0</v>
      </c>
      <c r="AY42">
        <v>1</v>
      </c>
      <c r="AZ42" t="s">
        <v>1</v>
      </c>
      <c r="BA42" t="s">
        <v>1</v>
      </c>
      <c r="BB42" t="s">
        <v>1</v>
      </c>
      <c r="BC42" s="21" t="s">
        <v>748</v>
      </c>
      <c r="BD42" s="21" t="s">
        <v>144</v>
      </c>
      <c r="BE42">
        <v>0</v>
      </c>
      <c r="BF42">
        <v>0</v>
      </c>
      <c r="BG42">
        <v>0</v>
      </c>
      <c r="BH42">
        <v>0</v>
      </c>
      <c r="BI42">
        <v>0</v>
      </c>
      <c r="BJ42" t="s">
        <v>749</v>
      </c>
      <c r="BK42">
        <v>0</v>
      </c>
      <c r="BL42" t="s">
        <v>132</v>
      </c>
      <c r="BM42">
        <v>0</v>
      </c>
      <c r="BN42">
        <v>1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 t="s">
        <v>0</v>
      </c>
      <c r="BX42">
        <v>0</v>
      </c>
      <c r="BY42">
        <v>0</v>
      </c>
      <c r="BZ42">
        <v>0</v>
      </c>
      <c r="CA42">
        <v>0</v>
      </c>
      <c r="CB42" t="s">
        <v>145</v>
      </c>
      <c r="CD42" t="str" cm="1">
        <f t="array" aca="1" ref="CD42" ca="1">eConcatenar(A42:CB42,"|")</f>
        <v>tjNNcCp8ZZh1ZF8O|MODIFCARD33|3|MODIF|MODIF|MODIF|MODIF|2022-01-01|1|0|0|0|0|0|0|0|0|0|0|0|0|0|0|0|0|0|0|x|x|x|x|x|x|x|x|x|x|x|x|x|x|x|x|x|x|x|x|x|x|0|1|X|X|X|2022-2-10|2022-02-23|0|0|0|0|0|QWYNRBIY9KVTQO|0|HOMBRE|0|1|0|0|0|0|0|0|0|0|CARDENAS|0|0|0|0|FINAL</v>
      </c>
    </row>
    <row r="43" spans="1:82" x14ac:dyDescent="0.25">
      <c r="A43" t="s">
        <v>179</v>
      </c>
      <c r="B43" s="19" t="s">
        <v>380</v>
      </c>
      <c r="C43">
        <v>3</v>
      </c>
      <c r="D43" t="s">
        <v>346</v>
      </c>
      <c r="E43" t="s">
        <v>346</v>
      </c>
      <c r="F43" t="s">
        <v>346</v>
      </c>
      <c r="G43" t="s">
        <v>346</v>
      </c>
      <c r="H43" s="21" t="s">
        <v>747</v>
      </c>
      <c r="I43">
        <v>1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 t="s">
        <v>3</v>
      </c>
      <c r="AC43" t="s">
        <v>3</v>
      </c>
      <c r="AD43" s="18" t="s">
        <v>3</v>
      </c>
      <c r="AE43" t="s">
        <v>3</v>
      </c>
      <c r="AF43" t="s">
        <v>3</v>
      </c>
      <c r="AG43" t="s">
        <v>3</v>
      </c>
      <c r="AH43" t="s">
        <v>3</v>
      </c>
      <c r="AI43" t="s">
        <v>3</v>
      </c>
      <c r="AJ43" t="s">
        <v>3</v>
      </c>
      <c r="AK43" t="s">
        <v>3</v>
      </c>
      <c r="AL43" t="s">
        <v>3</v>
      </c>
      <c r="AM43" t="s">
        <v>3</v>
      </c>
      <c r="AN43" t="s">
        <v>3</v>
      </c>
      <c r="AO43" t="s">
        <v>3</v>
      </c>
      <c r="AP43" t="s">
        <v>3</v>
      </c>
      <c r="AQ43" t="s">
        <v>3</v>
      </c>
      <c r="AR43" t="s">
        <v>3</v>
      </c>
      <c r="AS43" t="s">
        <v>3</v>
      </c>
      <c r="AT43" t="s">
        <v>3</v>
      </c>
      <c r="AU43" t="s">
        <v>3</v>
      </c>
      <c r="AV43" t="s">
        <v>3</v>
      </c>
      <c r="AW43" t="s">
        <v>3</v>
      </c>
      <c r="AX43">
        <v>0</v>
      </c>
      <c r="AY43">
        <v>1</v>
      </c>
      <c r="AZ43" t="s">
        <v>1</v>
      </c>
      <c r="BA43" t="s">
        <v>1</v>
      </c>
      <c r="BB43" t="s">
        <v>1</v>
      </c>
      <c r="BC43" s="21" t="s">
        <v>748</v>
      </c>
      <c r="BD43" s="21" t="s">
        <v>144</v>
      </c>
      <c r="BE43">
        <v>0</v>
      </c>
      <c r="BF43">
        <v>0</v>
      </c>
      <c r="BG43">
        <v>0</v>
      </c>
      <c r="BH43">
        <v>0</v>
      </c>
      <c r="BI43">
        <v>0</v>
      </c>
      <c r="BJ43" t="s">
        <v>749</v>
      </c>
      <c r="BK43">
        <v>0</v>
      </c>
      <c r="BL43" t="s">
        <v>132</v>
      </c>
      <c r="BM43">
        <v>0</v>
      </c>
      <c r="BN43">
        <v>1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 t="s">
        <v>0</v>
      </c>
      <c r="BX43">
        <v>0</v>
      </c>
      <c r="BY43">
        <v>0</v>
      </c>
      <c r="BZ43">
        <v>0</v>
      </c>
      <c r="CA43">
        <v>0</v>
      </c>
      <c r="CB43" t="s">
        <v>145</v>
      </c>
      <c r="CD43" t="str" cm="1">
        <f t="array" aca="1" ref="CD43" ca="1">eConcatenar(A43:CB43,"|")</f>
        <v>k5FLIL1xlB8Noxop|MODIFCARD34|3|MODIF|MODIF|MODIF|MODIF|2022-01-01|1|0|0|0|0|0|0|0|0|0|0|0|0|0|0|0|0|0|0|x|x|x|x|x|x|x|x|x|x|x|x|x|x|x|x|x|x|x|x|x|x|0|1|X|X|X|2022-2-10|2022-02-23|0|0|0|0|0|QWYNRBIY9KVTQO|0|HOMBRE|0|1|0|0|0|0|0|0|0|0|CARDENAS|0|0|0|0|FINAL</v>
      </c>
    </row>
    <row r="44" spans="1:82" x14ac:dyDescent="0.25">
      <c r="A44" t="s">
        <v>180</v>
      </c>
      <c r="B44" s="19" t="s">
        <v>381</v>
      </c>
      <c r="C44">
        <v>3</v>
      </c>
      <c r="D44" t="s">
        <v>346</v>
      </c>
      <c r="E44" t="s">
        <v>346</v>
      </c>
      <c r="F44" t="s">
        <v>346</v>
      </c>
      <c r="G44" t="s">
        <v>346</v>
      </c>
      <c r="H44" s="21" t="s">
        <v>747</v>
      </c>
      <c r="I44">
        <v>1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 t="s">
        <v>3</v>
      </c>
      <c r="AC44" t="s">
        <v>3</v>
      </c>
      <c r="AD44" s="18" t="s">
        <v>3</v>
      </c>
      <c r="AE44" t="s">
        <v>3</v>
      </c>
      <c r="AF44" t="s">
        <v>3</v>
      </c>
      <c r="AG44" t="s">
        <v>3</v>
      </c>
      <c r="AH44" t="s">
        <v>3</v>
      </c>
      <c r="AI44" t="s">
        <v>3</v>
      </c>
      <c r="AJ44" t="s">
        <v>3</v>
      </c>
      <c r="AK44" t="s">
        <v>3</v>
      </c>
      <c r="AL44" t="s">
        <v>3</v>
      </c>
      <c r="AM44" t="s">
        <v>3</v>
      </c>
      <c r="AN44" t="s">
        <v>3</v>
      </c>
      <c r="AO44" t="s">
        <v>3</v>
      </c>
      <c r="AP44" t="s">
        <v>3</v>
      </c>
      <c r="AQ44" t="s">
        <v>3</v>
      </c>
      <c r="AR44" t="s">
        <v>3</v>
      </c>
      <c r="AS44" t="s">
        <v>3</v>
      </c>
      <c r="AT44" t="s">
        <v>3</v>
      </c>
      <c r="AU44" t="s">
        <v>3</v>
      </c>
      <c r="AV44" t="s">
        <v>3</v>
      </c>
      <c r="AW44" t="s">
        <v>3</v>
      </c>
      <c r="AX44">
        <v>0</v>
      </c>
      <c r="AY44">
        <v>1</v>
      </c>
      <c r="AZ44" t="s">
        <v>1</v>
      </c>
      <c r="BA44" t="s">
        <v>1</v>
      </c>
      <c r="BB44" t="s">
        <v>1</v>
      </c>
      <c r="BC44" s="21" t="s">
        <v>748</v>
      </c>
      <c r="BD44" s="21" t="s">
        <v>144</v>
      </c>
      <c r="BE44">
        <v>0</v>
      </c>
      <c r="BF44">
        <v>0</v>
      </c>
      <c r="BG44">
        <v>0</v>
      </c>
      <c r="BH44">
        <v>0</v>
      </c>
      <c r="BI44">
        <v>0</v>
      </c>
      <c r="BJ44" t="s">
        <v>749</v>
      </c>
      <c r="BK44">
        <v>0</v>
      </c>
      <c r="BL44" t="s">
        <v>132</v>
      </c>
      <c r="BM44">
        <v>0</v>
      </c>
      <c r="BN44">
        <v>1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 t="s">
        <v>0</v>
      </c>
      <c r="BX44">
        <v>0</v>
      </c>
      <c r="BY44">
        <v>0</v>
      </c>
      <c r="BZ44">
        <v>0</v>
      </c>
      <c r="CA44">
        <v>0</v>
      </c>
      <c r="CB44" t="s">
        <v>145</v>
      </c>
      <c r="CD44" t="str" cm="1">
        <f t="array" aca="1" ref="CD44" ca="1">eConcatenar(A44:CB44,"|")</f>
        <v>gCAKLtPylrpZhCOx|MODIFCARD35|3|MODIF|MODIF|MODIF|MODIF|2022-01-01|1|0|0|0|0|0|0|0|0|0|0|0|0|0|0|0|0|0|0|x|x|x|x|x|x|x|x|x|x|x|x|x|x|x|x|x|x|x|x|x|x|0|1|X|X|X|2022-2-10|2022-02-23|0|0|0|0|0|QWYNRBIY9KVTQO|0|HOMBRE|0|1|0|0|0|0|0|0|0|0|CARDENAS|0|0|0|0|FINAL</v>
      </c>
    </row>
    <row r="45" spans="1:82" x14ac:dyDescent="0.25">
      <c r="A45" t="s">
        <v>181</v>
      </c>
      <c r="B45" s="19" t="s">
        <v>382</v>
      </c>
      <c r="C45">
        <v>3</v>
      </c>
      <c r="D45" t="s">
        <v>346</v>
      </c>
      <c r="E45" t="s">
        <v>346</v>
      </c>
      <c r="F45" t="s">
        <v>346</v>
      </c>
      <c r="G45" t="s">
        <v>346</v>
      </c>
      <c r="H45" s="21" t="s">
        <v>747</v>
      </c>
      <c r="I45">
        <v>1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 t="s">
        <v>3</v>
      </c>
      <c r="AC45" t="s">
        <v>3</v>
      </c>
      <c r="AD45" s="18" t="s">
        <v>3</v>
      </c>
      <c r="AE45" t="s">
        <v>3</v>
      </c>
      <c r="AF45" t="s">
        <v>3</v>
      </c>
      <c r="AG45" t="s">
        <v>3</v>
      </c>
      <c r="AH45" t="s">
        <v>3</v>
      </c>
      <c r="AI45" t="s">
        <v>3</v>
      </c>
      <c r="AJ45" t="s">
        <v>3</v>
      </c>
      <c r="AK45" t="s">
        <v>3</v>
      </c>
      <c r="AL45" t="s">
        <v>3</v>
      </c>
      <c r="AM45" t="s">
        <v>3</v>
      </c>
      <c r="AN45" t="s">
        <v>3</v>
      </c>
      <c r="AO45" t="s">
        <v>3</v>
      </c>
      <c r="AP45" t="s">
        <v>3</v>
      </c>
      <c r="AQ45" t="s">
        <v>3</v>
      </c>
      <c r="AR45" t="s">
        <v>3</v>
      </c>
      <c r="AS45" t="s">
        <v>3</v>
      </c>
      <c r="AT45" t="s">
        <v>3</v>
      </c>
      <c r="AU45" t="s">
        <v>3</v>
      </c>
      <c r="AV45" t="s">
        <v>3</v>
      </c>
      <c r="AW45" t="s">
        <v>3</v>
      </c>
      <c r="AX45">
        <v>0</v>
      </c>
      <c r="AY45">
        <v>1</v>
      </c>
      <c r="AZ45" t="s">
        <v>1</v>
      </c>
      <c r="BA45" t="s">
        <v>1</v>
      </c>
      <c r="BB45" t="s">
        <v>1</v>
      </c>
      <c r="BC45" s="21" t="s">
        <v>748</v>
      </c>
      <c r="BD45" s="21" t="s">
        <v>144</v>
      </c>
      <c r="BE45">
        <v>0</v>
      </c>
      <c r="BF45">
        <v>0</v>
      </c>
      <c r="BG45">
        <v>0</v>
      </c>
      <c r="BH45">
        <v>0</v>
      </c>
      <c r="BI45">
        <v>0</v>
      </c>
      <c r="BJ45" t="s">
        <v>749</v>
      </c>
      <c r="BK45">
        <v>0</v>
      </c>
      <c r="BL45" t="s">
        <v>132</v>
      </c>
      <c r="BM45">
        <v>0</v>
      </c>
      <c r="BN45">
        <v>1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 t="s">
        <v>0</v>
      </c>
      <c r="BX45">
        <v>0</v>
      </c>
      <c r="BY45">
        <v>0</v>
      </c>
      <c r="BZ45">
        <v>0</v>
      </c>
      <c r="CA45">
        <v>0</v>
      </c>
      <c r="CB45" t="s">
        <v>145</v>
      </c>
      <c r="CD45" t="str" cm="1">
        <f t="array" aca="1" ref="CD45" ca="1">eConcatenar(A45:CB45,"|")</f>
        <v>soFMFR2CkoU9xKw9|MODIFCARD36|3|MODIF|MODIF|MODIF|MODIF|2022-01-01|1|0|0|0|0|0|0|0|0|0|0|0|0|0|0|0|0|0|0|x|x|x|x|x|x|x|x|x|x|x|x|x|x|x|x|x|x|x|x|x|x|0|1|X|X|X|2022-2-10|2022-02-23|0|0|0|0|0|QWYNRBIY9KVTQO|0|HOMBRE|0|1|0|0|0|0|0|0|0|0|CARDENAS|0|0|0|0|FINAL</v>
      </c>
    </row>
    <row r="46" spans="1:82" x14ac:dyDescent="0.25">
      <c r="A46" t="s">
        <v>182</v>
      </c>
      <c r="B46" s="19" t="s">
        <v>383</v>
      </c>
      <c r="C46">
        <v>3</v>
      </c>
      <c r="D46" t="s">
        <v>346</v>
      </c>
      <c r="E46" t="s">
        <v>346</v>
      </c>
      <c r="F46" t="s">
        <v>346</v>
      </c>
      <c r="G46" t="s">
        <v>346</v>
      </c>
      <c r="H46" s="21" t="s">
        <v>747</v>
      </c>
      <c r="I46">
        <v>1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 t="s">
        <v>3</v>
      </c>
      <c r="AC46" t="s">
        <v>3</v>
      </c>
      <c r="AD46" s="18" t="s">
        <v>3</v>
      </c>
      <c r="AE46" t="s">
        <v>3</v>
      </c>
      <c r="AF46" t="s">
        <v>3</v>
      </c>
      <c r="AG46" t="s">
        <v>3</v>
      </c>
      <c r="AH46" t="s">
        <v>3</v>
      </c>
      <c r="AI46" t="s">
        <v>3</v>
      </c>
      <c r="AJ46" t="s">
        <v>3</v>
      </c>
      <c r="AK46" t="s">
        <v>3</v>
      </c>
      <c r="AL46" t="s">
        <v>3</v>
      </c>
      <c r="AM46" t="s">
        <v>3</v>
      </c>
      <c r="AN46" t="s">
        <v>3</v>
      </c>
      <c r="AO46" t="s">
        <v>3</v>
      </c>
      <c r="AP46" t="s">
        <v>3</v>
      </c>
      <c r="AQ46" t="s">
        <v>3</v>
      </c>
      <c r="AR46" t="s">
        <v>3</v>
      </c>
      <c r="AS46" t="s">
        <v>3</v>
      </c>
      <c r="AT46" t="s">
        <v>3</v>
      </c>
      <c r="AU46" t="s">
        <v>3</v>
      </c>
      <c r="AV46" t="s">
        <v>3</v>
      </c>
      <c r="AW46" t="s">
        <v>3</v>
      </c>
      <c r="AX46">
        <v>0</v>
      </c>
      <c r="AY46">
        <v>1</v>
      </c>
      <c r="AZ46" t="s">
        <v>1</v>
      </c>
      <c r="BA46" t="s">
        <v>1</v>
      </c>
      <c r="BB46" t="s">
        <v>1</v>
      </c>
      <c r="BC46" s="21" t="s">
        <v>748</v>
      </c>
      <c r="BD46" s="21" t="s">
        <v>144</v>
      </c>
      <c r="BE46">
        <v>0</v>
      </c>
      <c r="BF46">
        <v>0</v>
      </c>
      <c r="BG46">
        <v>0</v>
      </c>
      <c r="BH46">
        <v>0</v>
      </c>
      <c r="BI46">
        <v>0</v>
      </c>
      <c r="BJ46" t="s">
        <v>749</v>
      </c>
      <c r="BK46">
        <v>0</v>
      </c>
      <c r="BL46" t="s">
        <v>132</v>
      </c>
      <c r="BM46">
        <v>0</v>
      </c>
      <c r="BN46">
        <v>1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 t="s">
        <v>0</v>
      </c>
      <c r="BX46">
        <v>0</v>
      </c>
      <c r="BY46">
        <v>0</v>
      </c>
      <c r="BZ46">
        <v>0</v>
      </c>
      <c r="CA46">
        <v>0</v>
      </c>
      <c r="CB46" t="s">
        <v>145</v>
      </c>
      <c r="CD46" t="str" cm="1">
        <f t="array" aca="1" ref="CD46" ca="1">eConcatenar(A46:CB46,"|")</f>
        <v>7FGKuMEc2p7ZU9hZ|MODIFCARD37|3|MODIF|MODIF|MODIF|MODIF|2022-01-01|1|0|0|0|0|0|0|0|0|0|0|0|0|0|0|0|0|0|0|x|x|x|x|x|x|x|x|x|x|x|x|x|x|x|x|x|x|x|x|x|x|0|1|X|X|X|2022-2-10|2022-02-23|0|0|0|0|0|QWYNRBIY9KVTQO|0|HOMBRE|0|1|0|0|0|0|0|0|0|0|CARDENAS|0|0|0|0|FINAL</v>
      </c>
    </row>
    <row r="47" spans="1:82" x14ac:dyDescent="0.25">
      <c r="A47" t="s">
        <v>183</v>
      </c>
      <c r="B47" s="19" t="s">
        <v>384</v>
      </c>
      <c r="C47">
        <v>3</v>
      </c>
      <c r="D47" t="s">
        <v>346</v>
      </c>
      <c r="E47" t="s">
        <v>346</v>
      </c>
      <c r="F47" t="s">
        <v>346</v>
      </c>
      <c r="G47" t="s">
        <v>346</v>
      </c>
      <c r="H47" s="21" t="s">
        <v>747</v>
      </c>
      <c r="I47">
        <v>1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 t="s">
        <v>3</v>
      </c>
      <c r="AC47" t="s">
        <v>3</v>
      </c>
      <c r="AD47" s="18" t="s">
        <v>3</v>
      </c>
      <c r="AE47" t="s">
        <v>3</v>
      </c>
      <c r="AF47" t="s">
        <v>3</v>
      </c>
      <c r="AG47" t="s">
        <v>3</v>
      </c>
      <c r="AH47" t="s">
        <v>3</v>
      </c>
      <c r="AI47" t="s">
        <v>3</v>
      </c>
      <c r="AJ47" t="s">
        <v>3</v>
      </c>
      <c r="AK47" t="s">
        <v>3</v>
      </c>
      <c r="AL47" t="s">
        <v>3</v>
      </c>
      <c r="AM47" t="s">
        <v>3</v>
      </c>
      <c r="AN47" t="s">
        <v>3</v>
      </c>
      <c r="AO47" t="s">
        <v>3</v>
      </c>
      <c r="AP47" t="s">
        <v>3</v>
      </c>
      <c r="AQ47" t="s">
        <v>3</v>
      </c>
      <c r="AR47" t="s">
        <v>3</v>
      </c>
      <c r="AS47" t="s">
        <v>3</v>
      </c>
      <c r="AT47" t="s">
        <v>3</v>
      </c>
      <c r="AU47" t="s">
        <v>3</v>
      </c>
      <c r="AV47" t="s">
        <v>3</v>
      </c>
      <c r="AW47" t="s">
        <v>3</v>
      </c>
      <c r="AX47">
        <v>0</v>
      </c>
      <c r="AY47">
        <v>1</v>
      </c>
      <c r="AZ47" t="s">
        <v>1</v>
      </c>
      <c r="BA47" t="s">
        <v>1</v>
      </c>
      <c r="BB47" t="s">
        <v>1</v>
      </c>
      <c r="BC47" s="21" t="s">
        <v>748</v>
      </c>
      <c r="BD47" s="21" t="s">
        <v>144</v>
      </c>
      <c r="BE47">
        <v>0</v>
      </c>
      <c r="BF47">
        <v>0</v>
      </c>
      <c r="BG47">
        <v>0</v>
      </c>
      <c r="BH47">
        <v>0</v>
      </c>
      <c r="BI47">
        <v>0</v>
      </c>
      <c r="BJ47" t="s">
        <v>749</v>
      </c>
      <c r="BK47">
        <v>0</v>
      </c>
      <c r="BL47" t="s">
        <v>132</v>
      </c>
      <c r="BM47">
        <v>0</v>
      </c>
      <c r="BN47">
        <v>1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 t="s">
        <v>0</v>
      </c>
      <c r="BX47">
        <v>0</v>
      </c>
      <c r="BY47">
        <v>0</v>
      </c>
      <c r="BZ47">
        <v>0</v>
      </c>
      <c r="CA47">
        <v>0</v>
      </c>
      <c r="CB47" t="s">
        <v>145</v>
      </c>
      <c r="CD47" t="str" cm="1">
        <f t="array" aca="1" ref="CD47" ca="1">eConcatenar(A47:CB47,"|")</f>
        <v>x328c0V5czEyUAzX|MODIFCARD38|3|MODIF|MODIF|MODIF|MODIF|2022-01-01|1|0|0|0|0|0|0|0|0|0|0|0|0|0|0|0|0|0|0|x|x|x|x|x|x|x|x|x|x|x|x|x|x|x|x|x|x|x|x|x|x|0|1|X|X|X|2022-2-10|2022-02-23|0|0|0|0|0|QWYNRBIY9KVTQO|0|HOMBRE|0|1|0|0|0|0|0|0|0|0|CARDENAS|0|0|0|0|FINAL</v>
      </c>
    </row>
    <row r="48" spans="1:82" x14ac:dyDescent="0.25">
      <c r="A48" t="s">
        <v>184</v>
      </c>
      <c r="B48" s="19" t="s">
        <v>385</v>
      </c>
      <c r="C48">
        <v>3</v>
      </c>
      <c r="D48" t="s">
        <v>346</v>
      </c>
      <c r="E48" t="s">
        <v>346</v>
      </c>
      <c r="F48" t="s">
        <v>346</v>
      </c>
      <c r="G48" t="s">
        <v>346</v>
      </c>
      <c r="H48" s="21" t="s">
        <v>747</v>
      </c>
      <c r="I48">
        <v>1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 t="s">
        <v>3</v>
      </c>
      <c r="AC48" t="s">
        <v>3</v>
      </c>
      <c r="AD48" s="18" t="s">
        <v>3</v>
      </c>
      <c r="AE48" t="s">
        <v>3</v>
      </c>
      <c r="AF48" t="s">
        <v>3</v>
      </c>
      <c r="AG48" t="s">
        <v>3</v>
      </c>
      <c r="AH48" t="s">
        <v>3</v>
      </c>
      <c r="AI48" t="s">
        <v>3</v>
      </c>
      <c r="AJ48" t="s">
        <v>3</v>
      </c>
      <c r="AK48" t="s">
        <v>3</v>
      </c>
      <c r="AL48" t="s">
        <v>3</v>
      </c>
      <c r="AM48" t="s">
        <v>3</v>
      </c>
      <c r="AN48" t="s">
        <v>3</v>
      </c>
      <c r="AO48" t="s">
        <v>3</v>
      </c>
      <c r="AP48" t="s">
        <v>3</v>
      </c>
      <c r="AQ48" t="s">
        <v>3</v>
      </c>
      <c r="AR48" t="s">
        <v>3</v>
      </c>
      <c r="AS48" t="s">
        <v>3</v>
      </c>
      <c r="AT48" t="s">
        <v>3</v>
      </c>
      <c r="AU48" t="s">
        <v>3</v>
      </c>
      <c r="AV48" t="s">
        <v>3</v>
      </c>
      <c r="AW48" t="s">
        <v>3</v>
      </c>
      <c r="AX48">
        <v>0</v>
      </c>
      <c r="AY48">
        <v>1</v>
      </c>
      <c r="AZ48" t="s">
        <v>1</v>
      </c>
      <c r="BA48" t="s">
        <v>1</v>
      </c>
      <c r="BB48" t="s">
        <v>1</v>
      </c>
      <c r="BC48" s="21" t="s">
        <v>748</v>
      </c>
      <c r="BD48" s="21" t="s">
        <v>144</v>
      </c>
      <c r="BE48">
        <v>0</v>
      </c>
      <c r="BF48">
        <v>0</v>
      </c>
      <c r="BG48">
        <v>0</v>
      </c>
      <c r="BH48">
        <v>0</v>
      </c>
      <c r="BI48">
        <v>0</v>
      </c>
      <c r="BJ48" t="s">
        <v>749</v>
      </c>
      <c r="BK48">
        <v>0</v>
      </c>
      <c r="BL48" t="s">
        <v>132</v>
      </c>
      <c r="BM48">
        <v>0</v>
      </c>
      <c r="BN48">
        <v>1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 t="s">
        <v>0</v>
      </c>
      <c r="BX48">
        <v>0</v>
      </c>
      <c r="BY48">
        <v>0</v>
      </c>
      <c r="BZ48">
        <v>0</v>
      </c>
      <c r="CA48">
        <v>0</v>
      </c>
      <c r="CB48" t="s">
        <v>145</v>
      </c>
      <c r="CD48" t="str" cm="1">
        <f t="array" aca="1" ref="CD48" ca="1">eConcatenar(A48:CB48,"|")</f>
        <v>46wCiVVVvOA2nrax|MODIFCARD39|3|MODIF|MODIF|MODIF|MODIF|2022-01-01|1|0|0|0|0|0|0|0|0|0|0|0|0|0|0|0|0|0|0|x|x|x|x|x|x|x|x|x|x|x|x|x|x|x|x|x|x|x|x|x|x|0|1|X|X|X|2022-2-10|2022-02-23|0|0|0|0|0|QWYNRBIY9KVTQO|0|HOMBRE|0|1|0|0|0|0|0|0|0|0|CARDENAS|0|0|0|0|FINAL</v>
      </c>
    </row>
    <row r="49" spans="1:82" x14ac:dyDescent="0.25">
      <c r="A49" t="s">
        <v>185</v>
      </c>
      <c r="B49" s="19" t="s">
        <v>386</v>
      </c>
      <c r="C49">
        <v>3</v>
      </c>
      <c r="D49" t="s">
        <v>346</v>
      </c>
      <c r="E49" t="s">
        <v>346</v>
      </c>
      <c r="F49" t="s">
        <v>346</v>
      </c>
      <c r="G49" t="s">
        <v>346</v>
      </c>
      <c r="H49" s="21" t="s">
        <v>747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 t="s">
        <v>3</v>
      </c>
      <c r="AC49" t="s">
        <v>3</v>
      </c>
      <c r="AD49" s="18" t="s">
        <v>3</v>
      </c>
      <c r="AE49" t="s">
        <v>3</v>
      </c>
      <c r="AF49" t="s">
        <v>3</v>
      </c>
      <c r="AG49" t="s">
        <v>3</v>
      </c>
      <c r="AH49" t="s">
        <v>3</v>
      </c>
      <c r="AI49" t="s">
        <v>3</v>
      </c>
      <c r="AJ49" t="s">
        <v>3</v>
      </c>
      <c r="AK49" t="s">
        <v>3</v>
      </c>
      <c r="AL49" t="s">
        <v>3</v>
      </c>
      <c r="AM49" t="s">
        <v>3</v>
      </c>
      <c r="AN49" t="s">
        <v>3</v>
      </c>
      <c r="AO49" t="s">
        <v>3</v>
      </c>
      <c r="AP49" t="s">
        <v>3</v>
      </c>
      <c r="AQ49" t="s">
        <v>3</v>
      </c>
      <c r="AR49" t="s">
        <v>3</v>
      </c>
      <c r="AS49" t="s">
        <v>3</v>
      </c>
      <c r="AT49" t="s">
        <v>3</v>
      </c>
      <c r="AU49" t="s">
        <v>3</v>
      </c>
      <c r="AV49" t="s">
        <v>3</v>
      </c>
      <c r="AW49" t="s">
        <v>3</v>
      </c>
      <c r="AX49">
        <v>0</v>
      </c>
      <c r="AY49">
        <v>1</v>
      </c>
      <c r="AZ49" t="s">
        <v>1</v>
      </c>
      <c r="BA49" t="s">
        <v>1</v>
      </c>
      <c r="BB49" t="s">
        <v>1</v>
      </c>
      <c r="BC49" s="21" t="s">
        <v>748</v>
      </c>
      <c r="BD49" s="21" t="s">
        <v>144</v>
      </c>
      <c r="BE49">
        <v>0</v>
      </c>
      <c r="BF49">
        <v>0</v>
      </c>
      <c r="BG49">
        <v>0</v>
      </c>
      <c r="BH49">
        <v>0</v>
      </c>
      <c r="BI49">
        <v>0</v>
      </c>
      <c r="BJ49" t="s">
        <v>749</v>
      </c>
      <c r="BK49">
        <v>0</v>
      </c>
      <c r="BL49" t="s">
        <v>132</v>
      </c>
      <c r="BM49">
        <v>0</v>
      </c>
      <c r="BN49">
        <v>1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 t="s">
        <v>0</v>
      </c>
      <c r="BX49">
        <v>0</v>
      </c>
      <c r="BY49">
        <v>0</v>
      </c>
      <c r="BZ49">
        <v>0</v>
      </c>
      <c r="CA49">
        <v>0</v>
      </c>
      <c r="CB49" t="s">
        <v>145</v>
      </c>
      <c r="CD49" t="str" cm="1">
        <f t="array" aca="1" ref="CD49" ca="1">eConcatenar(A49:CB49,"|")</f>
        <v>jh33hQRau3dMPKVD|MODIFCARD40|3|MODIF|MODIF|MODIF|MODIF|2022-01-01|1|0|0|0|0|0|0|0|0|0|0|0|0|0|0|0|0|0|0|x|x|x|x|x|x|x|x|x|x|x|x|x|x|x|x|x|x|x|x|x|x|0|1|X|X|X|2022-2-10|2022-02-23|0|0|0|0|0|QWYNRBIY9KVTQO|0|HOMBRE|0|1|0|0|0|0|0|0|0|0|CARDENAS|0|0|0|0|FINAL</v>
      </c>
    </row>
    <row r="50" spans="1:82" x14ac:dyDescent="0.25">
      <c r="A50" t="s">
        <v>186</v>
      </c>
      <c r="B50" s="19" t="s">
        <v>387</v>
      </c>
      <c r="C50">
        <v>3</v>
      </c>
      <c r="D50" t="s">
        <v>346</v>
      </c>
      <c r="E50" t="s">
        <v>346</v>
      </c>
      <c r="F50" t="s">
        <v>346</v>
      </c>
      <c r="G50" t="s">
        <v>346</v>
      </c>
      <c r="H50" s="21" t="s">
        <v>747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 t="s">
        <v>3</v>
      </c>
      <c r="AC50" t="s">
        <v>3</v>
      </c>
      <c r="AD50" s="18" t="s">
        <v>3</v>
      </c>
      <c r="AE50" t="s">
        <v>3</v>
      </c>
      <c r="AF50" t="s">
        <v>3</v>
      </c>
      <c r="AG50" t="s">
        <v>3</v>
      </c>
      <c r="AH50" t="s">
        <v>3</v>
      </c>
      <c r="AI50" t="s">
        <v>3</v>
      </c>
      <c r="AJ50" t="s">
        <v>3</v>
      </c>
      <c r="AK50" t="s">
        <v>3</v>
      </c>
      <c r="AL50" t="s">
        <v>3</v>
      </c>
      <c r="AM50" t="s">
        <v>3</v>
      </c>
      <c r="AN50" t="s">
        <v>3</v>
      </c>
      <c r="AO50" t="s">
        <v>3</v>
      </c>
      <c r="AP50" t="s">
        <v>3</v>
      </c>
      <c r="AQ50" t="s">
        <v>3</v>
      </c>
      <c r="AR50" t="s">
        <v>3</v>
      </c>
      <c r="AS50" t="s">
        <v>3</v>
      </c>
      <c r="AT50" t="s">
        <v>3</v>
      </c>
      <c r="AU50" t="s">
        <v>3</v>
      </c>
      <c r="AV50" t="s">
        <v>3</v>
      </c>
      <c r="AW50" t="s">
        <v>3</v>
      </c>
      <c r="AX50">
        <v>0</v>
      </c>
      <c r="AY50">
        <v>1</v>
      </c>
      <c r="AZ50" t="s">
        <v>1</v>
      </c>
      <c r="BA50" t="s">
        <v>1</v>
      </c>
      <c r="BB50" t="s">
        <v>1</v>
      </c>
      <c r="BC50" s="21" t="s">
        <v>748</v>
      </c>
      <c r="BD50" s="21" t="s">
        <v>144</v>
      </c>
      <c r="BE50">
        <v>0</v>
      </c>
      <c r="BF50">
        <v>0</v>
      </c>
      <c r="BG50">
        <v>0</v>
      </c>
      <c r="BH50">
        <v>0</v>
      </c>
      <c r="BI50">
        <v>0</v>
      </c>
      <c r="BJ50" t="s">
        <v>749</v>
      </c>
      <c r="BK50">
        <v>0</v>
      </c>
      <c r="BL50" t="s">
        <v>132</v>
      </c>
      <c r="BM50">
        <v>0</v>
      </c>
      <c r="BN50">
        <v>1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 t="s">
        <v>0</v>
      </c>
      <c r="BX50">
        <v>0</v>
      </c>
      <c r="BY50">
        <v>0</v>
      </c>
      <c r="BZ50">
        <v>0</v>
      </c>
      <c r="CA50">
        <v>0</v>
      </c>
      <c r="CB50" t="s">
        <v>145</v>
      </c>
      <c r="CD50" t="str" cm="1">
        <f t="array" aca="1" ref="CD50" ca="1">eConcatenar(A50:CB50,"|")</f>
        <v>G88RoiLR2iTsT70y|MODIFCARD41|3|MODIF|MODIF|MODIF|MODIF|2022-01-01|1|0|0|0|0|0|0|0|0|0|0|0|0|0|0|0|0|0|0|x|x|x|x|x|x|x|x|x|x|x|x|x|x|x|x|x|x|x|x|x|x|0|1|X|X|X|2022-2-10|2022-02-23|0|0|0|0|0|QWYNRBIY9KVTQO|0|HOMBRE|0|1|0|0|0|0|0|0|0|0|CARDENAS|0|0|0|0|FINAL</v>
      </c>
    </row>
    <row r="51" spans="1:82" x14ac:dyDescent="0.25">
      <c r="A51" t="s">
        <v>187</v>
      </c>
      <c r="B51" s="19" t="s">
        <v>388</v>
      </c>
      <c r="C51">
        <v>3</v>
      </c>
      <c r="D51" t="s">
        <v>346</v>
      </c>
      <c r="E51" t="s">
        <v>346</v>
      </c>
      <c r="F51" t="s">
        <v>346</v>
      </c>
      <c r="G51" t="s">
        <v>346</v>
      </c>
      <c r="H51" s="21" t="s">
        <v>747</v>
      </c>
      <c r="I51">
        <v>1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 t="s">
        <v>3</v>
      </c>
      <c r="AC51" t="s">
        <v>3</v>
      </c>
      <c r="AD51" s="18" t="s">
        <v>3</v>
      </c>
      <c r="AE51" t="s">
        <v>3</v>
      </c>
      <c r="AF51" t="s">
        <v>3</v>
      </c>
      <c r="AG51" t="s">
        <v>3</v>
      </c>
      <c r="AH51" t="s">
        <v>3</v>
      </c>
      <c r="AI51" t="s">
        <v>3</v>
      </c>
      <c r="AJ51" t="s">
        <v>3</v>
      </c>
      <c r="AK51" t="s">
        <v>3</v>
      </c>
      <c r="AL51" t="s">
        <v>3</v>
      </c>
      <c r="AM51" t="s">
        <v>3</v>
      </c>
      <c r="AN51" t="s">
        <v>3</v>
      </c>
      <c r="AO51" t="s">
        <v>3</v>
      </c>
      <c r="AP51" t="s">
        <v>3</v>
      </c>
      <c r="AQ51" t="s">
        <v>3</v>
      </c>
      <c r="AR51" t="s">
        <v>3</v>
      </c>
      <c r="AS51" t="s">
        <v>3</v>
      </c>
      <c r="AT51" t="s">
        <v>3</v>
      </c>
      <c r="AU51" t="s">
        <v>3</v>
      </c>
      <c r="AV51" t="s">
        <v>3</v>
      </c>
      <c r="AW51" t="s">
        <v>3</v>
      </c>
      <c r="AX51">
        <v>0</v>
      </c>
      <c r="AY51">
        <v>1</v>
      </c>
      <c r="AZ51" t="s">
        <v>1</v>
      </c>
      <c r="BA51" t="s">
        <v>1</v>
      </c>
      <c r="BB51" t="s">
        <v>1</v>
      </c>
      <c r="BC51" s="21" t="s">
        <v>748</v>
      </c>
      <c r="BD51" s="21" t="s">
        <v>144</v>
      </c>
      <c r="BE51">
        <v>0</v>
      </c>
      <c r="BF51">
        <v>0</v>
      </c>
      <c r="BG51">
        <v>0</v>
      </c>
      <c r="BH51">
        <v>0</v>
      </c>
      <c r="BI51">
        <v>0</v>
      </c>
      <c r="BJ51" t="s">
        <v>749</v>
      </c>
      <c r="BK51">
        <v>0</v>
      </c>
      <c r="BL51" t="s">
        <v>132</v>
      </c>
      <c r="BM51">
        <v>0</v>
      </c>
      <c r="BN51">
        <v>1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 t="s">
        <v>0</v>
      </c>
      <c r="BX51">
        <v>0</v>
      </c>
      <c r="BY51">
        <v>0</v>
      </c>
      <c r="BZ51">
        <v>0</v>
      </c>
      <c r="CA51">
        <v>0</v>
      </c>
      <c r="CB51" t="s">
        <v>145</v>
      </c>
      <c r="CD51" t="str" cm="1">
        <f t="array" aca="1" ref="CD51" ca="1">eConcatenar(A51:CB51,"|")</f>
        <v>7F2j9Y8MKJ1mOByz|MODIFCARD42|3|MODIF|MODIF|MODIF|MODIF|2022-01-01|1|0|0|0|0|0|0|0|0|0|0|0|0|0|0|0|0|0|0|x|x|x|x|x|x|x|x|x|x|x|x|x|x|x|x|x|x|x|x|x|x|0|1|X|X|X|2022-2-10|2022-02-23|0|0|0|0|0|QWYNRBIY9KVTQO|0|HOMBRE|0|1|0|0|0|0|0|0|0|0|CARDENAS|0|0|0|0|FINAL</v>
      </c>
    </row>
    <row r="52" spans="1:82" x14ac:dyDescent="0.25">
      <c r="A52" t="s">
        <v>188</v>
      </c>
      <c r="B52" s="19" t="s">
        <v>389</v>
      </c>
      <c r="C52">
        <v>3</v>
      </c>
      <c r="D52" t="s">
        <v>346</v>
      </c>
      <c r="E52" t="s">
        <v>346</v>
      </c>
      <c r="F52" t="s">
        <v>346</v>
      </c>
      <c r="G52" t="s">
        <v>346</v>
      </c>
      <c r="H52" s="21" t="s">
        <v>747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 t="s">
        <v>3</v>
      </c>
      <c r="AC52" t="s">
        <v>3</v>
      </c>
      <c r="AD52" s="18" t="s">
        <v>3</v>
      </c>
      <c r="AE52" t="s">
        <v>3</v>
      </c>
      <c r="AF52" t="s">
        <v>3</v>
      </c>
      <c r="AG52" t="s">
        <v>3</v>
      </c>
      <c r="AH52" t="s">
        <v>3</v>
      </c>
      <c r="AI52" t="s">
        <v>3</v>
      </c>
      <c r="AJ52" t="s">
        <v>3</v>
      </c>
      <c r="AK52" t="s">
        <v>3</v>
      </c>
      <c r="AL52" t="s">
        <v>3</v>
      </c>
      <c r="AM52" t="s">
        <v>3</v>
      </c>
      <c r="AN52" t="s">
        <v>3</v>
      </c>
      <c r="AO52" t="s">
        <v>3</v>
      </c>
      <c r="AP52" t="s">
        <v>3</v>
      </c>
      <c r="AQ52" t="s">
        <v>3</v>
      </c>
      <c r="AR52" t="s">
        <v>3</v>
      </c>
      <c r="AS52" t="s">
        <v>3</v>
      </c>
      <c r="AT52" t="s">
        <v>3</v>
      </c>
      <c r="AU52" t="s">
        <v>3</v>
      </c>
      <c r="AV52" t="s">
        <v>3</v>
      </c>
      <c r="AW52" t="s">
        <v>3</v>
      </c>
      <c r="AX52">
        <v>0</v>
      </c>
      <c r="AY52">
        <v>1</v>
      </c>
      <c r="AZ52" t="s">
        <v>1</v>
      </c>
      <c r="BA52" t="s">
        <v>1</v>
      </c>
      <c r="BB52" t="s">
        <v>1</v>
      </c>
      <c r="BC52" s="21" t="s">
        <v>748</v>
      </c>
      <c r="BD52" s="21" t="s">
        <v>144</v>
      </c>
      <c r="BE52">
        <v>0</v>
      </c>
      <c r="BF52">
        <v>0</v>
      </c>
      <c r="BG52">
        <v>0</v>
      </c>
      <c r="BH52">
        <v>0</v>
      </c>
      <c r="BI52">
        <v>0</v>
      </c>
      <c r="BJ52" t="s">
        <v>749</v>
      </c>
      <c r="BK52">
        <v>0</v>
      </c>
      <c r="BL52" t="s">
        <v>132</v>
      </c>
      <c r="BM52">
        <v>0</v>
      </c>
      <c r="BN52">
        <v>1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 t="s">
        <v>0</v>
      </c>
      <c r="BX52">
        <v>0</v>
      </c>
      <c r="BY52">
        <v>0</v>
      </c>
      <c r="BZ52">
        <v>0</v>
      </c>
      <c r="CA52">
        <v>0</v>
      </c>
      <c r="CB52" t="s">
        <v>145</v>
      </c>
      <c r="CD52" t="str" cm="1">
        <f t="array" aca="1" ref="CD52" ca="1">eConcatenar(A52:CB52,"|")</f>
        <v>l0hKfW5GwIN71EbY|MODIFCARD43|3|MODIF|MODIF|MODIF|MODIF|2022-01-01|1|0|0|0|0|0|0|0|0|0|0|0|0|0|0|0|0|0|0|x|x|x|x|x|x|x|x|x|x|x|x|x|x|x|x|x|x|x|x|x|x|0|1|X|X|X|2022-2-10|2022-02-23|0|0|0|0|0|QWYNRBIY9KVTQO|0|HOMBRE|0|1|0|0|0|0|0|0|0|0|CARDENAS|0|0|0|0|FINAL</v>
      </c>
    </row>
    <row r="53" spans="1:82" x14ac:dyDescent="0.25">
      <c r="A53" t="s">
        <v>189</v>
      </c>
      <c r="B53" s="19" t="s">
        <v>390</v>
      </c>
      <c r="C53">
        <v>3</v>
      </c>
      <c r="D53" t="s">
        <v>346</v>
      </c>
      <c r="E53" t="s">
        <v>346</v>
      </c>
      <c r="F53" t="s">
        <v>346</v>
      </c>
      <c r="G53" t="s">
        <v>346</v>
      </c>
      <c r="H53" s="21" t="s">
        <v>747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 t="s">
        <v>3</v>
      </c>
      <c r="AC53" t="s">
        <v>3</v>
      </c>
      <c r="AD53" s="18" t="s">
        <v>3</v>
      </c>
      <c r="AE53" t="s">
        <v>3</v>
      </c>
      <c r="AF53" t="s">
        <v>3</v>
      </c>
      <c r="AG53" t="s">
        <v>3</v>
      </c>
      <c r="AH53" t="s">
        <v>3</v>
      </c>
      <c r="AI53" t="s">
        <v>3</v>
      </c>
      <c r="AJ53" t="s">
        <v>3</v>
      </c>
      <c r="AK53" t="s">
        <v>3</v>
      </c>
      <c r="AL53" t="s">
        <v>3</v>
      </c>
      <c r="AM53" t="s">
        <v>3</v>
      </c>
      <c r="AN53" t="s">
        <v>3</v>
      </c>
      <c r="AO53" t="s">
        <v>3</v>
      </c>
      <c r="AP53" t="s">
        <v>3</v>
      </c>
      <c r="AQ53" t="s">
        <v>3</v>
      </c>
      <c r="AR53" t="s">
        <v>3</v>
      </c>
      <c r="AS53" t="s">
        <v>3</v>
      </c>
      <c r="AT53" t="s">
        <v>3</v>
      </c>
      <c r="AU53" t="s">
        <v>3</v>
      </c>
      <c r="AV53" t="s">
        <v>3</v>
      </c>
      <c r="AW53" t="s">
        <v>3</v>
      </c>
      <c r="AX53">
        <v>0</v>
      </c>
      <c r="AY53">
        <v>1</v>
      </c>
      <c r="AZ53" t="s">
        <v>1</v>
      </c>
      <c r="BA53" t="s">
        <v>1</v>
      </c>
      <c r="BB53" t="s">
        <v>1</v>
      </c>
      <c r="BC53" s="21" t="s">
        <v>748</v>
      </c>
      <c r="BD53" s="21" t="s">
        <v>144</v>
      </c>
      <c r="BE53">
        <v>0</v>
      </c>
      <c r="BF53">
        <v>0</v>
      </c>
      <c r="BG53">
        <v>0</v>
      </c>
      <c r="BH53">
        <v>0</v>
      </c>
      <c r="BI53">
        <v>0</v>
      </c>
      <c r="BJ53" t="s">
        <v>749</v>
      </c>
      <c r="BK53">
        <v>0</v>
      </c>
      <c r="BL53" t="s">
        <v>132</v>
      </c>
      <c r="BM53">
        <v>0</v>
      </c>
      <c r="BN53">
        <v>1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 t="s">
        <v>0</v>
      </c>
      <c r="BX53">
        <v>0</v>
      </c>
      <c r="BY53">
        <v>0</v>
      </c>
      <c r="BZ53">
        <v>0</v>
      </c>
      <c r="CA53">
        <v>0</v>
      </c>
      <c r="CB53" t="s">
        <v>145</v>
      </c>
      <c r="CD53" t="str" cm="1">
        <f t="array" aca="1" ref="CD53" ca="1">eConcatenar(A53:CB53,"|")</f>
        <v>bS9TOIsk3t2xOVdt|MODIFCARD44|3|MODIF|MODIF|MODIF|MODIF|2022-01-01|1|0|0|0|0|0|0|0|0|0|0|0|0|0|0|0|0|0|0|x|x|x|x|x|x|x|x|x|x|x|x|x|x|x|x|x|x|x|x|x|x|0|1|X|X|X|2022-2-10|2022-02-23|0|0|0|0|0|QWYNRBIY9KVTQO|0|HOMBRE|0|1|0|0|0|0|0|0|0|0|CARDENAS|0|0|0|0|FINAL</v>
      </c>
    </row>
    <row r="54" spans="1:82" x14ac:dyDescent="0.25">
      <c r="A54" t="s">
        <v>190</v>
      </c>
      <c r="B54" s="19" t="s">
        <v>391</v>
      </c>
      <c r="C54">
        <v>3</v>
      </c>
      <c r="D54" t="s">
        <v>346</v>
      </c>
      <c r="E54" t="s">
        <v>346</v>
      </c>
      <c r="F54" t="s">
        <v>346</v>
      </c>
      <c r="G54" t="s">
        <v>346</v>
      </c>
      <c r="H54" s="21" t="s">
        <v>747</v>
      </c>
      <c r="I54">
        <v>1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 t="s">
        <v>3</v>
      </c>
      <c r="AC54" t="s">
        <v>3</v>
      </c>
      <c r="AD54" s="18" t="s">
        <v>3</v>
      </c>
      <c r="AE54" t="s">
        <v>3</v>
      </c>
      <c r="AF54" t="s">
        <v>3</v>
      </c>
      <c r="AG54" t="s">
        <v>3</v>
      </c>
      <c r="AH54" t="s">
        <v>3</v>
      </c>
      <c r="AI54" t="s">
        <v>3</v>
      </c>
      <c r="AJ54" t="s">
        <v>3</v>
      </c>
      <c r="AK54" t="s">
        <v>3</v>
      </c>
      <c r="AL54" t="s">
        <v>3</v>
      </c>
      <c r="AM54" t="s">
        <v>3</v>
      </c>
      <c r="AN54" t="s">
        <v>3</v>
      </c>
      <c r="AO54" t="s">
        <v>3</v>
      </c>
      <c r="AP54" t="s">
        <v>3</v>
      </c>
      <c r="AQ54" t="s">
        <v>3</v>
      </c>
      <c r="AR54" t="s">
        <v>3</v>
      </c>
      <c r="AS54" t="s">
        <v>3</v>
      </c>
      <c r="AT54" t="s">
        <v>3</v>
      </c>
      <c r="AU54" t="s">
        <v>3</v>
      </c>
      <c r="AV54" t="s">
        <v>3</v>
      </c>
      <c r="AW54" t="s">
        <v>3</v>
      </c>
      <c r="AX54">
        <v>0</v>
      </c>
      <c r="AY54">
        <v>1</v>
      </c>
      <c r="AZ54" t="s">
        <v>1</v>
      </c>
      <c r="BA54" t="s">
        <v>1</v>
      </c>
      <c r="BB54" t="s">
        <v>1</v>
      </c>
      <c r="BC54" s="21" t="s">
        <v>748</v>
      </c>
      <c r="BD54" s="21" t="s">
        <v>144</v>
      </c>
      <c r="BE54">
        <v>0</v>
      </c>
      <c r="BF54">
        <v>0</v>
      </c>
      <c r="BG54">
        <v>0</v>
      </c>
      <c r="BH54">
        <v>0</v>
      </c>
      <c r="BI54">
        <v>0</v>
      </c>
      <c r="BJ54" t="s">
        <v>749</v>
      </c>
      <c r="BK54">
        <v>0</v>
      </c>
      <c r="BL54" t="s">
        <v>132</v>
      </c>
      <c r="BM54">
        <v>0</v>
      </c>
      <c r="BN54">
        <v>1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 t="s">
        <v>0</v>
      </c>
      <c r="BX54">
        <v>0</v>
      </c>
      <c r="BY54">
        <v>0</v>
      </c>
      <c r="BZ54">
        <v>0</v>
      </c>
      <c r="CA54">
        <v>0</v>
      </c>
      <c r="CB54" t="s">
        <v>145</v>
      </c>
      <c r="CD54" t="str" cm="1">
        <f t="array" aca="1" ref="CD54" ca="1">eConcatenar(A54:CB54,"|")</f>
        <v>elS0KxAly1lgV6r0|MODIFCARD45|3|MODIF|MODIF|MODIF|MODIF|2022-01-01|1|0|0|0|0|0|0|0|0|0|0|0|0|0|0|0|0|0|0|x|x|x|x|x|x|x|x|x|x|x|x|x|x|x|x|x|x|x|x|x|x|0|1|X|X|X|2022-2-10|2022-02-23|0|0|0|0|0|QWYNRBIY9KVTQO|0|HOMBRE|0|1|0|0|0|0|0|0|0|0|CARDENAS|0|0|0|0|FINAL</v>
      </c>
    </row>
    <row r="55" spans="1:82" x14ac:dyDescent="0.25">
      <c r="A55" t="s">
        <v>191</v>
      </c>
      <c r="B55" s="19" t="s">
        <v>392</v>
      </c>
      <c r="C55">
        <v>3</v>
      </c>
      <c r="D55" t="s">
        <v>346</v>
      </c>
      <c r="E55" t="s">
        <v>346</v>
      </c>
      <c r="F55" t="s">
        <v>346</v>
      </c>
      <c r="G55" t="s">
        <v>346</v>
      </c>
      <c r="H55" s="21" t="s">
        <v>747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 t="s">
        <v>3</v>
      </c>
      <c r="AC55" t="s">
        <v>3</v>
      </c>
      <c r="AD55" s="18" t="s">
        <v>3</v>
      </c>
      <c r="AE55" t="s">
        <v>3</v>
      </c>
      <c r="AF55" t="s">
        <v>3</v>
      </c>
      <c r="AG55" t="s">
        <v>3</v>
      </c>
      <c r="AH55" t="s">
        <v>3</v>
      </c>
      <c r="AI55" t="s">
        <v>3</v>
      </c>
      <c r="AJ55" t="s">
        <v>3</v>
      </c>
      <c r="AK55" t="s">
        <v>3</v>
      </c>
      <c r="AL55" t="s">
        <v>3</v>
      </c>
      <c r="AM55" t="s">
        <v>3</v>
      </c>
      <c r="AN55" t="s">
        <v>3</v>
      </c>
      <c r="AO55" t="s">
        <v>3</v>
      </c>
      <c r="AP55" t="s">
        <v>3</v>
      </c>
      <c r="AQ55" t="s">
        <v>3</v>
      </c>
      <c r="AR55" t="s">
        <v>3</v>
      </c>
      <c r="AS55" t="s">
        <v>3</v>
      </c>
      <c r="AT55" t="s">
        <v>3</v>
      </c>
      <c r="AU55" t="s">
        <v>3</v>
      </c>
      <c r="AV55" t="s">
        <v>3</v>
      </c>
      <c r="AW55" t="s">
        <v>3</v>
      </c>
      <c r="AX55">
        <v>0</v>
      </c>
      <c r="AY55">
        <v>1</v>
      </c>
      <c r="AZ55" t="s">
        <v>1</v>
      </c>
      <c r="BA55" t="s">
        <v>1</v>
      </c>
      <c r="BB55" t="s">
        <v>1</v>
      </c>
      <c r="BC55" s="21" t="s">
        <v>748</v>
      </c>
      <c r="BD55" s="21" t="s">
        <v>144</v>
      </c>
      <c r="BE55">
        <v>0</v>
      </c>
      <c r="BF55">
        <v>0</v>
      </c>
      <c r="BG55">
        <v>0</v>
      </c>
      <c r="BH55">
        <v>0</v>
      </c>
      <c r="BI55">
        <v>0</v>
      </c>
      <c r="BJ55" t="s">
        <v>749</v>
      </c>
      <c r="BK55">
        <v>0</v>
      </c>
      <c r="BL55" t="s">
        <v>132</v>
      </c>
      <c r="BM55">
        <v>0</v>
      </c>
      <c r="BN55">
        <v>1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 t="s">
        <v>0</v>
      </c>
      <c r="BX55">
        <v>0</v>
      </c>
      <c r="BY55">
        <v>0</v>
      </c>
      <c r="BZ55">
        <v>0</v>
      </c>
      <c r="CA55">
        <v>0</v>
      </c>
      <c r="CB55" t="s">
        <v>145</v>
      </c>
      <c r="CD55" t="str" cm="1">
        <f t="array" aca="1" ref="CD55" ca="1">eConcatenar(A55:CB55,"|")</f>
        <v>r1fEEVITnv66ZrHf|MODIFCARD46|3|MODIF|MODIF|MODIF|MODIF|2022-01-01|1|0|0|0|0|0|0|0|0|0|0|0|0|0|0|0|0|0|0|x|x|x|x|x|x|x|x|x|x|x|x|x|x|x|x|x|x|x|x|x|x|0|1|X|X|X|2022-2-10|2022-02-23|0|0|0|0|0|QWYNRBIY9KVTQO|0|HOMBRE|0|1|0|0|0|0|0|0|0|0|CARDENAS|0|0|0|0|FINAL</v>
      </c>
    </row>
    <row r="56" spans="1:82" x14ac:dyDescent="0.25">
      <c r="A56" t="s">
        <v>192</v>
      </c>
      <c r="B56" s="19" t="s">
        <v>393</v>
      </c>
      <c r="C56">
        <v>3</v>
      </c>
      <c r="D56" t="s">
        <v>346</v>
      </c>
      <c r="E56" t="s">
        <v>346</v>
      </c>
      <c r="F56" t="s">
        <v>346</v>
      </c>
      <c r="G56" t="s">
        <v>346</v>
      </c>
      <c r="H56" s="21" t="s">
        <v>747</v>
      </c>
      <c r="I56">
        <v>1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 t="s">
        <v>3</v>
      </c>
      <c r="AC56" t="s">
        <v>3</v>
      </c>
      <c r="AD56" s="18" t="s">
        <v>3</v>
      </c>
      <c r="AE56" t="s">
        <v>3</v>
      </c>
      <c r="AF56" t="s">
        <v>3</v>
      </c>
      <c r="AG56" t="s">
        <v>3</v>
      </c>
      <c r="AH56" t="s">
        <v>3</v>
      </c>
      <c r="AI56" t="s">
        <v>3</v>
      </c>
      <c r="AJ56" t="s">
        <v>3</v>
      </c>
      <c r="AK56" t="s">
        <v>3</v>
      </c>
      <c r="AL56" t="s">
        <v>3</v>
      </c>
      <c r="AM56" t="s">
        <v>3</v>
      </c>
      <c r="AN56" t="s">
        <v>3</v>
      </c>
      <c r="AO56" t="s">
        <v>3</v>
      </c>
      <c r="AP56" t="s">
        <v>3</v>
      </c>
      <c r="AQ56" t="s">
        <v>3</v>
      </c>
      <c r="AR56" t="s">
        <v>3</v>
      </c>
      <c r="AS56" t="s">
        <v>3</v>
      </c>
      <c r="AT56" t="s">
        <v>3</v>
      </c>
      <c r="AU56" t="s">
        <v>3</v>
      </c>
      <c r="AV56" t="s">
        <v>3</v>
      </c>
      <c r="AW56" t="s">
        <v>3</v>
      </c>
      <c r="AX56">
        <v>0</v>
      </c>
      <c r="AY56">
        <v>1</v>
      </c>
      <c r="AZ56" t="s">
        <v>1</v>
      </c>
      <c r="BA56" t="s">
        <v>1</v>
      </c>
      <c r="BB56" t="s">
        <v>1</v>
      </c>
      <c r="BC56" s="21" t="s">
        <v>748</v>
      </c>
      <c r="BD56" s="21" t="s">
        <v>144</v>
      </c>
      <c r="BE56">
        <v>0</v>
      </c>
      <c r="BF56">
        <v>0</v>
      </c>
      <c r="BG56">
        <v>0</v>
      </c>
      <c r="BH56">
        <v>0</v>
      </c>
      <c r="BI56">
        <v>0</v>
      </c>
      <c r="BJ56" t="s">
        <v>749</v>
      </c>
      <c r="BK56">
        <v>0</v>
      </c>
      <c r="BL56" t="s">
        <v>132</v>
      </c>
      <c r="BM56">
        <v>0</v>
      </c>
      <c r="BN56">
        <v>1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 t="s">
        <v>0</v>
      </c>
      <c r="BX56">
        <v>0</v>
      </c>
      <c r="BY56">
        <v>0</v>
      </c>
      <c r="BZ56">
        <v>0</v>
      </c>
      <c r="CA56">
        <v>0</v>
      </c>
      <c r="CB56" t="s">
        <v>145</v>
      </c>
      <c r="CD56" t="str" cm="1">
        <f t="array" aca="1" ref="CD56" ca="1">eConcatenar(A56:CB56,"|")</f>
        <v>ROOTClByUcExxXwF|MODIFCARD47|3|MODIF|MODIF|MODIF|MODIF|2022-01-01|1|0|0|0|0|0|0|0|0|0|0|0|0|0|0|0|0|0|0|x|x|x|x|x|x|x|x|x|x|x|x|x|x|x|x|x|x|x|x|x|x|0|1|X|X|X|2022-2-10|2022-02-23|0|0|0|0|0|QWYNRBIY9KVTQO|0|HOMBRE|0|1|0|0|0|0|0|0|0|0|CARDENAS|0|0|0|0|FINAL</v>
      </c>
    </row>
    <row r="57" spans="1:82" x14ac:dyDescent="0.25">
      <c r="A57" t="s">
        <v>193</v>
      </c>
      <c r="B57" s="19" t="s">
        <v>394</v>
      </c>
      <c r="C57">
        <v>3</v>
      </c>
      <c r="D57" t="s">
        <v>346</v>
      </c>
      <c r="E57" t="s">
        <v>346</v>
      </c>
      <c r="F57" t="s">
        <v>346</v>
      </c>
      <c r="G57" t="s">
        <v>346</v>
      </c>
      <c r="H57" s="21" t="s">
        <v>747</v>
      </c>
      <c r="I57">
        <v>1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 t="s">
        <v>3</v>
      </c>
      <c r="AC57" t="s">
        <v>3</v>
      </c>
      <c r="AD57" s="18" t="s">
        <v>3</v>
      </c>
      <c r="AE57" t="s">
        <v>3</v>
      </c>
      <c r="AF57" t="s">
        <v>3</v>
      </c>
      <c r="AG57" t="s">
        <v>3</v>
      </c>
      <c r="AH57" t="s">
        <v>3</v>
      </c>
      <c r="AI57" t="s">
        <v>3</v>
      </c>
      <c r="AJ57" t="s">
        <v>3</v>
      </c>
      <c r="AK57" t="s">
        <v>3</v>
      </c>
      <c r="AL57" t="s">
        <v>3</v>
      </c>
      <c r="AM57" t="s">
        <v>3</v>
      </c>
      <c r="AN57" t="s">
        <v>3</v>
      </c>
      <c r="AO57" t="s">
        <v>3</v>
      </c>
      <c r="AP57" t="s">
        <v>3</v>
      </c>
      <c r="AQ57" t="s">
        <v>3</v>
      </c>
      <c r="AR57" t="s">
        <v>3</v>
      </c>
      <c r="AS57" t="s">
        <v>3</v>
      </c>
      <c r="AT57" t="s">
        <v>3</v>
      </c>
      <c r="AU57" t="s">
        <v>3</v>
      </c>
      <c r="AV57" t="s">
        <v>3</v>
      </c>
      <c r="AW57" t="s">
        <v>3</v>
      </c>
      <c r="AX57">
        <v>0</v>
      </c>
      <c r="AY57">
        <v>1</v>
      </c>
      <c r="AZ57" t="s">
        <v>1</v>
      </c>
      <c r="BA57" t="s">
        <v>1</v>
      </c>
      <c r="BB57" t="s">
        <v>1</v>
      </c>
      <c r="BC57" s="21" t="s">
        <v>748</v>
      </c>
      <c r="BD57" s="21" t="s">
        <v>144</v>
      </c>
      <c r="BE57">
        <v>0</v>
      </c>
      <c r="BF57">
        <v>0</v>
      </c>
      <c r="BG57">
        <v>0</v>
      </c>
      <c r="BH57">
        <v>0</v>
      </c>
      <c r="BI57">
        <v>0</v>
      </c>
      <c r="BJ57" t="s">
        <v>749</v>
      </c>
      <c r="BK57">
        <v>0</v>
      </c>
      <c r="BL57" t="s">
        <v>132</v>
      </c>
      <c r="BM57">
        <v>0</v>
      </c>
      <c r="BN57">
        <v>1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 t="s">
        <v>0</v>
      </c>
      <c r="BX57">
        <v>0</v>
      </c>
      <c r="BY57">
        <v>0</v>
      </c>
      <c r="BZ57">
        <v>0</v>
      </c>
      <c r="CA57">
        <v>0</v>
      </c>
      <c r="CB57" t="s">
        <v>145</v>
      </c>
      <c r="CD57" t="str" cm="1">
        <f t="array" aca="1" ref="CD57" ca="1">eConcatenar(A57:CB57,"|")</f>
        <v>qK4m0fmtFk1LHxW9|MODIFCARD48|3|MODIF|MODIF|MODIF|MODIF|2022-01-01|1|0|0|0|0|0|0|0|0|0|0|0|0|0|0|0|0|0|0|x|x|x|x|x|x|x|x|x|x|x|x|x|x|x|x|x|x|x|x|x|x|0|1|X|X|X|2022-2-10|2022-02-23|0|0|0|0|0|QWYNRBIY9KVTQO|0|HOMBRE|0|1|0|0|0|0|0|0|0|0|CARDENAS|0|0|0|0|FINAL</v>
      </c>
    </row>
    <row r="58" spans="1:82" x14ac:dyDescent="0.25">
      <c r="A58" t="s">
        <v>194</v>
      </c>
      <c r="B58" s="19" t="s">
        <v>395</v>
      </c>
      <c r="C58">
        <v>3</v>
      </c>
      <c r="D58" t="s">
        <v>346</v>
      </c>
      <c r="E58" t="s">
        <v>346</v>
      </c>
      <c r="F58" t="s">
        <v>346</v>
      </c>
      <c r="G58" t="s">
        <v>346</v>
      </c>
      <c r="H58" s="21" t="s">
        <v>747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 t="s">
        <v>3</v>
      </c>
      <c r="AC58" t="s">
        <v>3</v>
      </c>
      <c r="AD58" s="18" t="s">
        <v>3</v>
      </c>
      <c r="AE58" t="s">
        <v>3</v>
      </c>
      <c r="AF58" t="s">
        <v>3</v>
      </c>
      <c r="AG58" t="s">
        <v>3</v>
      </c>
      <c r="AH58" t="s">
        <v>3</v>
      </c>
      <c r="AI58" t="s">
        <v>3</v>
      </c>
      <c r="AJ58" t="s">
        <v>3</v>
      </c>
      <c r="AK58" t="s">
        <v>3</v>
      </c>
      <c r="AL58" t="s">
        <v>3</v>
      </c>
      <c r="AM58" t="s">
        <v>3</v>
      </c>
      <c r="AN58" t="s">
        <v>3</v>
      </c>
      <c r="AO58" t="s">
        <v>3</v>
      </c>
      <c r="AP58" t="s">
        <v>3</v>
      </c>
      <c r="AQ58" t="s">
        <v>3</v>
      </c>
      <c r="AR58" t="s">
        <v>3</v>
      </c>
      <c r="AS58" t="s">
        <v>3</v>
      </c>
      <c r="AT58" t="s">
        <v>3</v>
      </c>
      <c r="AU58" t="s">
        <v>3</v>
      </c>
      <c r="AV58" t="s">
        <v>3</v>
      </c>
      <c r="AW58" t="s">
        <v>3</v>
      </c>
      <c r="AX58">
        <v>0</v>
      </c>
      <c r="AY58">
        <v>1</v>
      </c>
      <c r="AZ58" t="s">
        <v>1</v>
      </c>
      <c r="BA58" t="s">
        <v>1</v>
      </c>
      <c r="BB58" t="s">
        <v>1</v>
      </c>
      <c r="BC58" s="21" t="s">
        <v>748</v>
      </c>
      <c r="BD58" s="21" t="s">
        <v>144</v>
      </c>
      <c r="BE58">
        <v>0</v>
      </c>
      <c r="BF58">
        <v>0</v>
      </c>
      <c r="BG58">
        <v>0</v>
      </c>
      <c r="BH58">
        <v>0</v>
      </c>
      <c r="BI58">
        <v>0</v>
      </c>
      <c r="BJ58" t="s">
        <v>749</v>
      </c>
      <c r="BK58">
        <v>0</v>
      </c>
      <c r="BL58" t="s">
        <v>132</v>
      </c>
      <c r="BM58">
        <v>0</v>
      </c>
      <c r="BN58">
        <v>1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 t="s">
        <v>0</v>
      </c>
      <c r="BX58">
        <v>0</v>
      </c>
      <c r="BY58">
        <v>0</v>
      </c>
      <c r="BZ58">
        <v>0</v>
      </c>
      <c r="CA58">
        <v>0</v>
      </c>
      <c r="CB58" t="s">
        <v>145</v>
      </c>
      <c r="CD58" t="str" cm="1">
        <f t="array" aca="1" ref="CD58" ca="1">eConcatenar(A58:CB58,"|")</f>
        <v>V7IwnlnU9iqjNSG8|MODIFCARD49|3|MODIF|MODIF|MODIF|MODIF|2022-01-01|1|0|0|0|0|0|0|0|0|0|0|0|0|0|0|0|0|0|0|x|x|x|x|x|x|x|x|x|x|x|x|x|x|x|x|x|x|x|x|x|x|0|1|X|X|X|2022-2-10|2022-02-23|0|0|0|0|0|QWYNRBIY9KVTQO|0|HOMBRE|0|1|0|0|0|0|0|0|0|0|CARDENAS|0|0|0|0|FINAL</v>
      </c>
    </row>
    <row r="59" spans="1:82" x14ac:dyDescent="0.25">
      <c r="A59" t="s">
        <v>195</v>
      </c>
      <c r="B59" s="19" t="s">
        <v>396</v>
      </c>
      <c r="C59">
        <v>3</v>
      </c>
      <c r="D59" t="s">
        <v>346</v>
      </c>
      <c r="E59" t="s">
        <v>346</v>
      </c>
      <c r="F59" t="s">
        <v>346</v>
      </c>
      <c r="G59" t="s">
        <v>346</v>
      </c>
      <c r="H59" s="21" t="s">
        <v>747</v>
      </c>
      <c r="I59">
        <v>1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 t="s">
        <v>3</v>
      </c>
      <c r="AC59" t="s">
        <v>3</v>
      </c>
      <c r="AD59" s="18" t="s">
        <v>3</v>
      </c>
      <c r="AE59" t="s">
        <v>3</v>
      </c>
      <c r="AF59" t="s">
        <v>3</v>
      </c>
      <c r="AG59" t="s">
        <v>3</v>
      </c>
      <c r="AH59" t="s">
        <v>3</v>
      </c>
      <c r="AI59" t="s">
        <v>3</v>
      </c>
      <c r="AJ59" t="s">
        <v>3</v>
      </c>
      <c r="AK59" t="s">
        <v>3</v>
      </c>
      <c r="AL59" t="s">
        <v>3</v>
      </c>
      <c r="AM59" t="s">
        <v>3</v>
      </c>
      <c r="AN59" t="s">
        <v>3</v>
      </c>
      <c r="AO59" t="s">
        <v>3</v>
      </c>
      <c r="AP59" t="s">
        <v>3</v>
      </c>
      <c r="AQ59" t="s">
        <v>3</v>
      </c>
      <c r="AR59" t="s">
        <v>3</v>
      </c>
      <c r="AS59" t="s">
        <v>3</v>
      </c>
      <c r="AT59" t="s">
        <v>3</v>
      </c>
      <c r="AU59" t="s">
        <v>3</v>
      </c>
      <c r="AV59" t="s">
        <v>3</v>
      </c>
      <c r="AW59" t="s">
        <v>3</v>
      </c>
      <c r="AX59">
        <v>0</v>
      </c>
      <c r="AY59">
        <v>1</v>
      </c>
      <c r="AZ59" t="s">
        <v>1</v>
      </c>
      <c r="BA59" t="s">
        <v>1</v>
      </c>
      <c r="BB59" t="s">
        <v>1</v>
      </c>
      <c r="BC59" s="21" t="s">
        <v>748</v>
      </c>
      <c r="BD59" s="21" t="s">
        <v>144</v>
      </c>
      <c r="BE59">
        <v>0</v>
      </c>
      <c r="BF59">
        <v>0</v>
      </c>
      <c r="BG59">
        <v>0</v>
      </c>
      <c r="BH59">
        <v>0</v>
      </c>
      <c r="BI59">
        <v>0</v>
      </c>
      <c r="BJ59" t="s">
        <v>749</v>
      </c>
      <c r="BK59">
        <v>0</v>
      </c>
      <c r="BL59" t="s">
        <v>132</v>
      </c>
      <c r="BM59">
        <v>0</v>
      </c>
      <c r="BN59">
        <v>1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 t="s">
        <v>0</v>
      </c>
      <c r="BX59">
        <v>0</v>
      </c>
      <c r="BY59">
        <v>0</v>
      </c>
      <c r="BZ59">
        <v>0</v>
      </c>
      <c r="CA59">
        <v>0</v>
      </c>
      <c r="CB59" t="s">
        <v>145</v>
      </c>
      <c r="CD59" t="str" cm="1">
        <f t="array" aca="1" ref="CD59" ca="1">eConcatenar(A59:CB59,"|")</f>
        <v>XeL3UdtHf7Hm2s3O|MODIFCARD50|3|MODIF|MODIF|MODIF|MODIF|2022-01-01|1|0|0|0|0|0|0|0|0|0|0|0|0|0|0|0|0|0|0|x|x|x|x|x|x|x|x|x|x|x|x|x|x|x|x|x|x|x|x|x|x|0|1|X|X|X|2022-2-10|2022-02-23|0|0|0|0|0|QWYNRBIY9KVTQO|0|HOMBRE|0|1|0|0|0|0|0|0|0|0|CARDENAS|0|0|0|0|FINAL</v>
      </c>
    </row>
    <row r="60" spans="1:82" x14ac:dyDescent="0.25">
      <c r="A60" t="s">
        <v>196</v>
      </c>
      <c r="B60" s="19" t="s">
        <v>397</v>
      </c>
      <c r="C60">
        <v>3</v>
      </c>
      <c r="D60" t="s">
        <v>346</v>
      </c>
      <c r="E60" t="s">
        <v>346</v>
      </c>
      <c r="F60" t="s">
        <v>346</v>
      </c>
      <c r="G60" t="s">
        <v>346</v>
      </c>
      <c r="H60" s="21" t="s">
        <v>747</v>
      </c>
      <c r="I60">
        <v>1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 t="s">
        <v>3</v>
      </c>
      <c r="AC60" t="s">
        <v>3</v>
      </c>
      <c r="AD60" s="18" t="s">
        <v>3</v>
      </c>
      <c r="AE60" t="s">
        <v>3</v>
      </c>
      <c r="AF60" t="s">
        <v>3</v>
      </c>
      <c r="AG60" t="s">
        <v>3</v>
      </c>
      <c r="AH60" t="s">
        <v>3</v>
      </c>
      <c r="AI60" t="s">
        <v>3</v>
      </c>
      <c r="AJ60" t="s">
        <v>3</v>
      </c>
      <c r="AK60" t="s">
        <v>3</v>
      </c>
      <c r="AL60" t="s">
        <v>3</v>
      </c>
      <c r="AM60" t="s">
        <v>3</v>
      </c>
      <c r="AN60" t="s">
        <v>3</v>
      </c>
      <c r="AO60" t="s">
        <v>3</v>
      </c>
      <c r="AP60" t="s">
        <v>3</v>
      </c>
      <c r="AQ60" t="s">
        <v>3</v>
      </c>
      <c r="AR60" t="s">
        <v>3</v>
      </c>
      <c r="AS60" t="s">
        <v>3</v>
      </c>
      <c r="AT60" t="s">
        <v>3</v>
      </c>
      <c r="AU60" t="s">
        <v>3</v>
      </c>
      <c r="AV60" t="s">
        <v>3</v>
      </c>
      <c r="AW60" t="s">
        <v>3</v>
      </c>
      <c r="AX60">
        <v>0</v>
      </c>
      <c r="AY60">
        <v>1</v>
      </c>
      <c r="AZ60" t="s">
        <v>1</v>
      </c>
      <c r="BA60" t="s">
        <v>1</v>
      </c>
      <c r="BB60" t="s">
        <v>1</v>
      </c>
      <c r="BC60" s="21" t="s">
        <v>748</v>
      </c>
      <c r="BD60" s="21" t="s">
        <v>144</v>
      </c>
      <c r="BE60">
        <v>0</v>
      </c>
      <c r="BF60">
        <v>0</v>
      </c>
      <c r="BG60">
        <v>0</v>
      </c>
      <c r="BH60">
        <v>0</v>
      </c>
      <c r="BI60">
        <v>0</v>
      </c>
      <c r="BJ60" t="s">
        <v>749</v>
      </c>
      <c r="BK60">
        <v>0</v>
      </c>
      <c r="BL60" t="s">
        <v>132</v>
      </c>
      <c r="BM60">
        <v>0</v>
      </c>
      <c r="BN60">
        <v>1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 t="s">
        <v>0</v>
      </c>
      <c r="BX60">
        <v>0</v>
      </c>
      <c r="BY60">
        <v>0</v>
      </c>
      <c r="BZ60">
        <v>0</v>
      </c>
      <c r="CA60">
        <v>0</v>
      </c>
      <c r="CB60" t="s">
        <v>145</v>
      </c>
      <c r="CD60" t="str" cm="1">
        <f t="array" aca="1" ref="CD60" ca="1">eConcatenar(A60:CB60,"|")</f>
        <v>xRZcEIBNeEMFsPto|MODIFCARD51|3|MODIF|MODIF|MODIF|MODIF|2022-01-01|1|0|0|0|0|0|0|0|0|0|0|0|0|0|0|0|0|0|0|x|x|x|x|x|x|x|x|x|x|x|x|x|x|x|x|x|x|x|x|x|x|0|1|X|X|X|2022-2-10|2022-02-23|0|0|0|0|0|QWYNRBIY9KVTQO|0|HOMBRE|0|1|0|0|0|0|0|0|0|0|CARDENAS|0|0|0|0|FINAL</v>
      </c>
    </row>
    <row r="61" spans="1:82" x14ac:dyDescent="0.25">
      <c r="A61" t="s">
        <v>197</v>
      </c>
      <c r="B61" s="19" t="s">
        <v>398</v>
      </c>
      <c r="C61">
        <v>3</v>
      </c>
      <c r="D61" t="s">
        <v>346</v>
      </c>
      <c r="E61" t="s">
        <v>346</v>
      </c>
      <c r="F61" t="s">
        <v>346</v>
      </c>
      <c r="G61" t="s">
        <v>346</v>
      </c>
      <c r="H61" s="21" t="s">
        <v>747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 t="s">
        <v>3</v>
      </c>
      <c r="AC61" t="s">
        <v>3</v>
      </c>
      <c r="AD61" s="18" t="s">
        <v>3</v>
      </c>
      <c r="AE61" t="s">
        <v>3</v>
      </c>
      <c r="AF61" t="s">
        <v>3</v>
      </c>
      <c r="AG61" t="s">
        <v>3</v>
      </c>
      <c r="AH61" t="s">
        <v>3</v>
      </c>
      <c r="AI61" t="s">
        <v>3</v>
      </c>
      <c r="AJ61" t="s">
        <v>3</v>
      </c>
      <c r="AK61" t="s">
        <v>3</v>
      </c>
      <c r="AL61" t="s">
        <v>3</v>
      </c>
      <c r="AM61" t="s">
        <v>3</v>
      </c>
      <c r="AN61" t="s">
        <v>3</v>
      </c>
      <c r="AO61" t="s">
        <v>3</v>
      </c>
      <c r="AP61" t="s">
        <v>3</v>
      </c>
      <c r="AQ61" t="s">
        <v>3</v>
      </c>
      <c r="AR61" t="s">
        <v>3</v>
      </c>
      <c r="AS61" t="s">
        <v>3</v>
      </c>
      <c r="AT61" t="s">
        <v>3</v>
      </c>
      <c r="AU61" t="s">
        <v>3</v>
      </c>
      <c r="AV61" t="s">
        <v>3</v>
      </c>
      <c r="AW61" t="s">
        <v>3</v>
      </c>
      <c r="AX61">
        <v>0</v>
      </c>
      <c r="AY61">
        <v>1</v>
      </c>
      <c r="AZ61" t="s">
        <v>1</v>
      </c>
      <c r="BA61" t="s">
        <v>1</v>
      </c>
      <c r="BB61" t="s">
        <v>1</v>
      </c>
      <c r="BC61" s="21" t="s">
        <v>748</v>
      </c>
      <c r="BD61" s="21" t="s">
        <v>144</v>
      </c>
      <c r="BE61">
        <v>0</v>
      </c>
      <c r="BF61">
        <v>0</v>
      </c>
      <c r="BG61">
        <v>0</v>
      </c>
      <c r="BH61">
        <v>0</v>
      </c>
      <c r="BI61">
        <v>0</v>
      </c>
      <c r="BJ61" t="s">
        <v>749</v>
      </c>
      <c r="BK61">
        <v>0</v>
      </c>
      <c r="BL61" t="s">
        <v>132</v>
      </c>
      <c r="BM61">
        <v>0</v>
      </c>
      <c r="BN61">
        <v>1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 t="s">
        <v>0</v>
      </c>
      <c r="BX61">
        <v>0</v>
      </c>
      <c r="BY61">
        <v>0</v>
      </c>
      <c r="BZ61">
        <v>0</v>
      </c>
      <c r="CA61">
        <v>0</v>
      </c>
      <c r="CB61" t="s">
        <v>145</v>
      </c>
      <c r="CD61" t="str" cm="1">
        <f t="array" aca="1" ref="CD61" ca="1">eConcatenar(A61:CB61,"|")</f>
        <v>W7qvEdguS8yLAZzg|MODIFCARD52|3|MODIF|MODIF|MODIF|MODIF|2022-01-01|1|0|0|0|0|0|0|0|0|0|0|0|0|0|0|0|0|0|0|x|x|x|x|x|x|x|x|x|x|x|x|x|x|x|x|x|x|x|x|x|x|0|1|X|X|X|2022-2-10|2022-02-23|0|0|0|0|0|QWYNRBIY9KVTQO|0|HOMBRE|0|1|0|0|0|0|0|0|0|0|CARDENAS|0|0|0|0|FINAL</v>
      </c>
    </row>
    <row r="62" spans="1:82" x14ac:dyDescent="0.25">
      <c r="A62" t="s">
        <v>198</v>
      </c>
      <c r="B62" s="19" t="s">
        <v>399</v>
      </c>
      <c r="C62">
        <v>3</v>
      </c>
      <c r="D62" t="s">
        <v>346</v>
      </c>
      <c r="E62" t="s">
        <v>346</v>
      </c>
      <c r="F62" t="s">
        <v>346</v>
      </c>
      <c r="G62" t="s">
        <v>346</v>
      </c>
      <c r="H62" s="21" t="s">
        <v>747</v>
      </c>
      <c r="I62">
        <v>1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 t="s">
        <v>3</v>
      </c>
      <c r="AC62" t="s">
        <v>3</v>
      </c>
      <c r="AD62" s="18" t="s">
        <v>3</v>
      </c>
      <c r="AE62" t="s">
        <v>3</v>
      </c>
      <c r="AF62" t="s">
        <v>3</v>
      </c>
      <c r="AG62" t="s">
        <v>3</v>
      </c>
      <c r="AH62" t="s">
        <v>3</v>
      </c>
      <c r="AI62" t="s">
        <v>3</v>
      </c>
      <c r="AJ62" t="s">
        <v>3</v>
      </c>
      <c r="AK62" t="s">
        <v>3</v>
      </c>
      <c r="AL62" t="s">
        <v>3</v>
      </c>
      <c r="AM62" t="s">
        <v>3</v>
      </c>
      <c r="AN62" t="s">
        <v>3</v>
      </c>
      <c r="AO62" t="s">
        <v>3</v>
      </c>
      <c r="AP62" t="s">
        <v>3</v>
      </c>
      <c r="AQ62" t="s">
        <v>3</v>
      </c>
      <c r="AR62" t="s">
        <v>3</v>
      </c>
      <c r="AS62" t="s">
        <v>3</v>
      </c>
      <c r="AT62" t="s">
        <v>3</v>
      </c>
      <c r="AU62" t="s">
        <v>3</v>
      </c>
      <c r="AV62" t="s">
        <v>3</v>
      </c>
      <c r="AW62" t="s">
        <v>3</v>
      </c>
      <c r="AX62">
        <v>0</v>
      </c>
      <c r="AY62">
        <v>1</v>
      </c>
      <c r="AZ62" t="s">
        <v>1</v>
      </c>
      <c r="BA62" t="s">
        <v>1</v>
      </c>
      <c r="BB62" t="s">
        <v>1</v>
      </c>
      <c r="BC62" s="21" t="s">
        <v>748</v>
      </c>
      <c r="BD62" s="21" t="s">
        <v>144</v>
      </c>
      <c r="BE62">
        <v>0</v>
      </c>
      <c r="BF62">
        <v>0</v>
      </c>
      <c r="BG62">
        <v>0</v>
      </c>
      <c r="BH62">
        <v>0</v>
      </c>
      <c r="BI62">
        <v>0</v>
      </c>
      <c r="BJ62" t="s">
        <v>749</v>
      </c>
      <c r="BK62">
        <v>0</v>
      </c>
      <c r="BL62" t="s">
        <v>132</v>
      </c>
      <c r="BM62">
        <v>0</v>
      </c>
      <c r="BN62">
        <v>1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 t="s">
        <v>0</v>
      </c>
      <c r="BX62">
        <v>0</v>
      </c>
      <c r="BY62">
        <v>0</v>
      </c>
      <c r="BZ62">
        <v>0</v>
      </c>
      <c r="CA62">
        <v>0</v>
      </c>
      <c r="CB62" t="s">
        <v>145</v>
      </c>
      <c r="CD62" t="str" cm="1">
        <f t="array" aca="1" ref="CD62" ca="1">eConcatenar(A62:CB62,"|")</f>
        <v>CGbkt2OWXoT3vxuK|MODIFCARD53|3|MODIF|MODIF|MODIF|MODIF|2022-01-01|1|0|0|0|0|0|0|0|0|0|0|0|0|0|0|0|0|0|0|x|x|x|x|x|x|x|x|x|x|x|x|x|x|x|x|x|x|x|x|x|x|0|1|X|X|X|2022-2-10|2022-02-23|0|0|0|0|0|QWYNRBIY9KVTQO|0|HOMBRE|0|1|0|0|0|0|0|0|0|0|CARDENAS|0|0|0|0|FINAL</v>
      </c>
    </row>
    <row r="63" spans="1:82" x14ac:dyDescent="0.25">
      <c r="A63" t="s">
        <v>199</v>
      </c>
      <c r="B63" s="19" t="s">
        <v>400</v>
      </c>
      <c r="C63">
        <v>3</v>
      </c>
      <c r="D63" t="s">
        <v>346</v>
      </c>
      <c r="E63" t="s">
        <v>346</v>
      </c>
      <c r="F63" t="s">
        <v>346</v>
      </c>
      <c r="G63" t="s">
        <v>346</v>
      </c>
      <c r="H63" s="21" t="s">
        <v>747</v>
      </c>
      <c r="I63">
        <v>1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 t="s">
        <v>3</v>
      </c>
      <c r="AC63" t="s">
        <v>3</v>
      </c>
      <c r="AD63" s="18" t="s">
        <v>3</v>
      </c>
      <c r="AE63" t="s">
        <v>3</v>
      </c>
      <c r="AF63" t="s">
        <v>3</v>
      </c>
      <c r="AG63" t="s">
        <v>3</v>
      </c>
      <c r="AH63" t="s">
        <v>3</v>
      </c>
      <c r="AI63" t="s">
        <v>3</v>
      </c>
      <c r="AJ63" t="s">
        <v>3</v>
      </c>
      <c r="AK63" t="s">
        <v>3</v>
      </c>
      <c r="AL63" t="s">
        <v>3</v>
      </c>
      <c r="AM63" t="s">
        <v>3</v>
      </c>
      <c r="AN63" t="s">
        <v>3</v>
      </c>
      <c r="AO63" t="s">
        <v>3</v>
      </c>
      <c r="AP63" t="s">
        <v>3</v>
      </c>
      <c r="AQ63" t="s">
        <v>3</v>
      </c>
      <c r="AR63" t="s">
        <v>3</v>
      </c>
      <c r="AS63" t="s">
        <v>3</v>
      </c>
      <c r="AT63" t="s">
        <v>3</v>
      </c>
      <c r="AU63" t="s">
        <v>3</v>
      </c>
      <c r="AV63" t="s">
        <v>3</v>
      </c>
      <c r="AW63" t="s">
        <v>3</v>
      </c>
      <c r="AX63">
        <v>0</v>
      </c>
      <c r="AY63">
        <v>1</v>
      </c>
      <c r="AZ63" t="s">
        <v>1</v>
      </c>
      <c r="BA63" t="s">
        <v>1</v>
      </c>
      <c r="BB63" t="s">
        <v>1</v>
      </c>
      <c r="BC63" s="21" t="s">
        <v>748</v>
      </c>
      <c r="BD63" s="21" t="s">
        <v>144</v>
      </c>
      <c r="BE63">
        <v>0</v>
      </c>
      <c r="BF63">
        <v>0</v>
      </c>
      <c r="BG63">
        <v>0</v>
      </c>
      <c r="BH63">
        <v>0</v>
      </c>
      <c r="BI63">
        <v>0</v>
      </c>
      <c r="BJ63" t="s">
        <v>749</v>
      </c>
      <c r="BK63">
        <v>0</v>
      </c>
      <c r="BL63" t="s">
        <v>132</v>
      </c>
      <c r="BM63">
        <v>0</v>
      </c>
      <c r="BN63">
        <v>1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 t="s">
        <v>0</v>
      </c>
      <c r="BX63">
        <v>0</v>
      </c>
      <c r="BY63">
        <v>0</v>
      </c>
      <c r="BZ63">
        <v>0</v>
      </c>
      <c r="CA63">
        <v>0</v>
      </c>
      <c r="CB63" t="s">
        <v>145</v>
      </c>
      <c r="CD63" t="str" cm="1">
        <f t="array" aca="1" ref="CD63" ca="1">eConcatenar(A63:CB63,"|")</f>
        <v>X1FrkqzOIBWF0IRi|MODIFCARD54|3|MODIF|MODIF|MODIF|MODIF|2022-01-01|1|0|0|0|0|0|0|0|0|0|0|0|0|0|0|0|0|0|0|x|x|x|x|x|x|x|x|x|x|x|x|x|x|x|x|x|x|x|x|x|x|0|1|X|X|X|2022-2-10|2022-02-23|0|0|0|0|0|QWYNRBIY9KVTQO|0|HOMBRE|0|1|0|0|0|0|0|0|0|0|CARDENAS|0|0|0|0|FINAL</v>
      </c>
    </row>
    <row r="64" spans="1:82" x14ac:dyDescent="0.25">
      <c r="A64" t="s">
        <v>200</v>
      </c>
      <c r="B64" s="19" t="s">
        <v>401</v>
      </c>
      <c r="C64">
        <v>3</v>
      </c>
      <c r="D64" t="s">
        <v>346</v>
      </c>
      <c r="E64" t="s">
        <v>346</v>
      </c>
      <c r="F64" t="s">
        <v>346</v>
      </c>
      <c r="G64" t="s">
        <v>346</v>
      </c>
      <c r="H64" s="21" t="s">
        <v>747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 t="s">
        <v>3</v>
      </c>
      <c r="AC64" t="s">
        <v>3</v>
      </c>
      <c r="AD64" s="18" t="s">
        <v>3</v>
      </c>
      <c r="AE64" t="s">
        <v>3</v>
      </c>
      <c r="AF64" t="s">
        <v>3</v>
      </c>
      <c r="AG64" t="s">
        <v>3</v>
      </c>
      <c r="AH64" t="s">
        <v>3</v>
      </c>
      <c r="AI64" t="s">
        <v>3</v>
      </c>
      <c r="AJ64" t="s">
        <v>3</v>
      </c>
      <c r="AK64" t="s">
        <v>3</v>
      </c>
      <c r="AL64" t="s">
        <v>3</v>
      </c>
      <c r="AM64" t="s">
        <v>3</v>
      </c>
      <c r="AN64" t="s">
        <v>3</v>
      </c>
      <c r="AO64" t="s">
        <v>3</v>
      </c>
      <c r="AP64" t="s">
        <v>3</v>
      </c>
      <c r="AQ64" t="s">
        <v>3</v>
      </c>
      <c r="AR64" t="s">
        <v>3</v>
      </c>
      <c r="AS64" t="s">
        <v>3</v>
      </c>
      <c r="AT64" t="s">
        <v>3</v>
      </c>
      <c r="AU64" t="s">
        <v>3</v>
      </c>
      <c r="AV64" t="s">
        <v>3</v>
      </c>
      <c r="AW64" t="s">
        <v>3</v>
      </c>
      <c r="AX64">
        <v>0</v>
      </c>
      <c r="AY64">
        <v>1</v>
      </c>
      <c r="AZ64" t="s">
        <v>1</v>
      </c>
      <c r="BA64" t="s">
        <v>1</v>
      </c>
      <c r="BB64" t="s">
        <v>1</v>
      </c>
      <c r="BC64" s="21" t="s">
        <v>748</v>
      </c>
      <c r="BD64" s="21" t="s">
        <v>144</v>
      </c>
      <c r="BE64">
        <v>0</v>
      </c>
      <c r="BF64">
        <v>0</v>
      </c>
      <c r="BG64">
        <v>0</v>
      </c>
      <c r="BH64">
        <v>0</v>
      </c>
      <c r="BI64">
        <v>0</v>
      </c>
      <c r="BJ64" t="s">
        <v>749</v>
      </c>
      <c r="BK64">
        <v>0</v>
      </c>
      <c r="BL64" t="s">
        <v>132</v>
      </c>
      <c r="BM64">
        <v>0</v>
      </c>
      <c r="BN64">
        <v>1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 t="s">
        <v>0</v>
      </c>
      <c r="BX64">
        <v>0</v>
      </c>
      <c r="BY64">
        <v>0</v>
      </c>
      <c r="BZ64">
        <v>0</v>
      </c>
      <c r="CA64">
        <v>0</v>
      </c>
      <c r="CB64" t="s">
        <v>145</v>
      </c>
      <c r="CD64" t="str" cm="1">
        <f t="array" aca="1" ref="CD64" ca="1">eConcatenar(A64:CB64,"|")</f>
        <v>sty9b0qCiH61mkzz|MODIFCARD55|3|MODIF|MODIF|MODIF|MODIF|2022-01-01|1|0|0|0|0|0|0|0|0|0|0|0|0|0|0|0|0|0|0|x|x|x|x|x|x|x|x|x|x|x|x|x|x|x|x|x|x|x|x|x|x|0|1|X|X|X|2022-2-10|2022-02-23|0|0|0|0|0|QWYNRBIY9KVTQO|0|HOMBRE|0|1|0|0|0|0|0|0|0|0|CARDENAS|0|0|0|0|FINAL</v>
      </c>
    </row>
    <row r="65" spans="1:82" x14ac:dyDescent="0.25">
      <c r="A65" t="s">
        <v>201</v>
      </c>
      <c r="B65" s="19" t="s">
        <v>402</v>
      </c>
      <c r="C65">
        <v>3</v>
      </c>
      <c r="D65" t="s">
        <v>346</v>
      </c>
      <c r="E65" t="s">
        <v>346</v>
      </c>
      <c r="F65" t="s">
        <v>346</v>
      </c>
      <c r="G65" t="s">
        <v>346</v>
      </c>
      <c r="H65" s="21" t="s">
        <v>747</v>
      </c>
      <c r="I65">
        <v>1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 t="s">
        <v>3</v>
      </c>
      <c r="AC65" t="s">
        <v>3</v>
      </c>
      <c r="AD65" s="18" t="s">
        <v>3</v>
      </c>
      <c r="AE65" t="s">
        <v>3</v>
      </c>
      <c r="AF65" t="s">
        <v>3</v>
      </c>
      <c r="AG65" t="s">
        <v>3</v>
      </c>
      <c r="AH65" t="s">
        <v>3</v>
      </c>
      <c r="AI65" t="s">
        <v>3</v>
      </c>
      <c r="AJ65" t="s">
        <v>3</v>
      </c>
      <c r="AK65" t="s">
        <v>3</v>
      </c>
      <c r="AL65" t="s">
        <v>3</v>
      </c>
      <c r="AM65" t="s">
        <v>3</v>
      </c>
      <c r="AN65" t="s">
        <v>3</v>
      </c>
      <c r="AO65" t="s">
        <v>3</v>
      </c>
      <c r="AP65" t="s">
        <v>3</v>
      </c>
      <c r="AQ65" t="s">
        <v>3</v>
      </c>
      <c r="AR65" t="s">
        <v>3</v>
      </c>
      <c r="AS65" t="s">
        <v>3</v>
      </c>
      <c r="AT65" t="s">
        <v>3</v>
      </c>
      <c r="AU65" t="s">
        <v>3</v>
      </c>
      <c r="AV65" t="s">
        <v>3</v>
      </c>
      <c r="AW65" t="s">
        <v>3</v>
      </c>
      <c r="AX65">
        <v>0</v>
      </c>
      <c r="AY65">
        <v>1</v>
      </c>
      <c r="AZ65" t="s">
        <v>1</v>
      </c>
      <c r="BA65" t="s">
        <v>1</v>
      </c>
      <c r="BB65" t="s">
        <v>1</v>
      </c>
      <c r="BC65" s="21" t="s">
        <v>748</v>
      </c>
      <c r="BD65" s="21" t="s">
        <v>144</v>
      </c>
      <c r="BE65">
        <v>0</v>
      </c>
      <c r="BF65">
        <v>0</v>
      </c>
      <c r="BG65">
        <v>0</v>
      </c>
      <c r="BH65">
        <v>0</v>
      </c>
      <c r="BI65">
        <v>0</v>
      </c>
      <c r="BJ65" t="s">
        <v>749</v>
      </c>
      <c r="BK65">
        <v>0</v>
      </c>
      <c r="BL65" t="s">
        <v>132</v>
      </c>
      <c r="BM65">
        <v>0</v>
      </c>
      <c r="BN65">
        <v>1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 t="s">
        <v>0</v>
      </c>
      <c r="BX65">
        <v>0</v>
      </c>
      <c r="BY65">
        <v>0</v>
      </c>
      <c r="BZ65">
        <v>0</v>
      </c>
      <c r="CA65">
        <v>0</v>
      </c>
      <c r="CB65" t="s">
        <v>145</v>
      </c>
      <c r="CD65" t="str" cm="1">
        <f t="array" aca="1" ref="CD65" ca="1">eConcatenar(A65:CB65,"|")</f>
        <v>GPrVSj9n8BqOyg1u|MODIFCARD56|3|MODIF|MODIF|MODIF|MODIF|2022-01-01|1|0|0|0|0|0|0|0|0|0|0|0|0|0|0|0|0|0|0|x|x|x|x|x|x|x|x|x|x|x|x|x|x|x|x|x|x|x|x|x|x|0|1|X|X|X|2022-2-10|2022-02-23|0|0|0|0|0|QWYNRBIY9KVTQO|0|HOMBRE|0|1|0|0|0|0|0|0|0|0|CARDENAS|0|0|0|0|FINAL</v>
      </c>
    </row>
    <row r="66" spans="1:82" x14ac:dyDescent="0.25">
      <c r="A66" t="s">
        <v>202</v>
      </c>
      <c r="B66" s="19" t="s">
        <v>403</v>
      </c>
      <c r="C66">
        <v>3</v>
      </c>
      <c r="D66" t="s">
        <v>346</v>
      </c>
      <c r="E66" t="s">
        <v>346</v>
      </c>
      <c r="F66" t="s">
        <v>346</v>
      </c>
      <c r="G66" t="s">
        <v>346</v>
      </c>
      <c r="H66" s="21" t="s">
        <v>747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 t="s">
        <v>3</v>
      </c>
      <c r="AC66" t="s">
        <v>3</v>
      </c>
      <c r="AD66" s="18" t="s">
        <v>3</v>
      </c>
      <c r="AE66" t="s">
        <v>3</v>
      </c>
      <c r="AF66" t="s">
        <v>3</v>
      </c>
      <c r="AG66" t="s">
        <v>3</v>
      </c>
      <c r="AH66" t="s">
        <v>3</v>
      </c>
      <c r="AI66" t="s">
        <v>3</v>
      </c>
      <c r="AJ66" t="s">
        <v>3</v>
      </c>
      <c r="AK66" t="s">
        <v>3</v>
      </c>
      <c r="AL66" t="s">
        <v>3</v>
      </c>
      <c r="AM66" t="s">
        <v>3</v>
      </c>
      <c r="AN66" t="s">
        <v>3</v>
      </c>
      <c r="AO66" t="s">
        <v>3</v>
      </c>
      <c r="AP66" t="s">
        <v>3</v>
      </c>
      <c r="AQ66" t="s">
        <v>3</v>
      </c>
      <c r="AR66" t="s">
        <v>3</v>
      </c>
      <c r="AS66" t="s">
        <v>3</v>
      </c>
      <c r="AT66" t="s">
        <v>3</v>
      </c>
      <c r="AU66" t="s">
        <v>3</v>
      </c>
      <c r="AV66" t="s">
        <v>3</v>
      </c>
      <c r="AW66" t="s">
        <v>3</v>
      </c>
      <c r="AX66">
        <v>0</v>
      </c>
      <c r="AY66">
        <v>1</v>
      </c>
      <c r="AZ66" t="s">
        <v>1</v>
      </c>
      <c r="BA66" t="s">
        <v>1</v>
      </c>
      <c r="BB66" t="s">
        <v>1</v>
      </c>
      <c r="BC66" s="21" t="s">
        <v>748</v>
      </c>
      <c r="BD66" s="21" t="s">
        <v>144</v>
      </c>
      <c r="BE66">
        <v>0</v>
      </c>
      <c r="BF66">
        <v>0</v>
      </c>
      <c r="BG66">
        <v>0</v>
      </c>
      <c r="BH66">
        <v>0</v>
      </c>
      <c r="BI66">
        <v>0</v>
      </c>
      <c r="BJ66" t="s">
        <v>749</v>
      </c>
      <c r="BK66">
        <v>0</v>
      </c>
      <c r="BL66" t="s">
        <v>132</v>
      </c>
      <c r="BM66">
        <v>0</v>
      </c>
      <c r="BN66">
        <v>1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 t="s">
        <v>0</v>
      </c>
      <c r="BX66">
        <v>0</v>
      </c>
      <c r="BY66">
        <v>0</v>
      </c>
      <c r="BZ66">
        <v>0</v>
      </c>
      <c r="CA66">
        <v>0</v>
      </c>
      <c r="CB66" t="s">
        <v>145</v>
      </c>
      <c r="CD66" t="str" cm="1">
        <f t="array" aca="1" ref="CD66" ca="1">eConcatenar(A66:CB66,"|")</f>
        <v>j4XczVJSp4p8OOB1|MODIFCARD57|3|MODIF|MODIF|MODIF|MODIF|2022-01-01|1|0|0|0|0|0|0|0|0|0|0|0|0|0|0|0|0|0|0|x|x|x|x|x|x|x|x|x|x|x|x|x|x|x|x|x|x|x|x|x|x|0|1|X|X|X|2022-2-10|2022-02-23|0|0|0|0|0|QWYNRBIY9KVTQO|0|HOMBRE|0|1|0|0|0|0|0|0|0|0|CARDENAS|0|0|0|0|FINAL</v>
      </c>
    </row>
    <row r="67" spans="1:82" x14ac:dyDescent="0.25">
      <c r="A67" t="s">
        <v>203</v>
      </c>
      <c r="B67" s="19" t="s">
        <v>404</v>
      </c>
      <c r="C67">
        <v>3</v>
      </c>
      <c r="D67" t="s">
        <v>346</v>
      </c>
      <c r="E67" t="s">
        <v>346</v>
      </c>
      <c r="F67" t="s">
        <v>346</v>
      </c>
      <c r="G67" t="s">
        <v>346</v>
      </c>
      <c r="H67" s="21" t="s">
        <v>747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 t="s">
        <v>3</v>
      </c>
      <c r="AC67" t="s">
        <v>3</v>
      </c>
      <c r="AD67" s="18" t="s">
        <v>3</v>
      </c>
      <c r="AE67" t="s">
        <v>3</v>
      </c>
      <c r="AF67" t="s">
        <v>3</v>
      </c>
      <c r="AG67" t="s">
        <v>3</v>
      </c>
      <c r="AH67" t="s">
        <v>3</v>
      </c>
      <c r="AI67" t="s">
        <v>3</v>
      </c>
      <c r="AJ67" t="s">
        <v>3</v>
      </c>
      <c r="AK67" t="s">
        <v>3</v>
      </c>
      <c r="AL67" t="s">
        <v>3</v>
      </c>
      <c r="AM67" t="s">
        <v>3</v>
      </c>
      <c r="AN67" t="s">
        <v>3</v>
      </c>
      <c r="AO67" t="s">
        <v>3</v>
      </c>
      <c r="AP67" t="s">
        <v>3</v>
      </c>
      <c r="AQ67" t="s">
        <v>3</v>
      </c>
      <c r="AR67" t="s">
        <v>3</v>
      </c>
      <c r="AS67" t="s">
        <v>3</v>
      </c>
      <c r="AT67" t="s">
        <v>3</v>
      </c>
      <c r="AU67" t="s">
        <v>3</v>
      </c>
      <c r="AV67" t="s">
        <v>3</v>
      </c>
      <c r="AW67" t="s">
        <v>3</v>
      </c>
      <c r="AX67">
        <v>0</v>
      </c>
      <c r="AY67">
        <v>1</v>
      </c>
      <c r="AZ67" t="s">
        <v>1</v>
      </c>
      <c r="BA67" t="s">
        <v>1</v>
      </c>
      <c r="BB67" t="s">
        <v>1</v>
      </c>
      <c r="BC67" s="21" t="s">
        <v>748</v>
      </c>
      <c r="BD67" s="21" t="s">
        <v>144</v>
      </c>
      <c r="BE67">
        <v>0</v>
      </c>
      <c r="BF67">
        <v>0</v>
      </c>
      <c r="BG67">
        <v>0</v>
      </c>
      <c r="BH67">
        <v>0</v>
      </c>
      <c r="BI67">
        <v>0</v>
      </c>
      <c r="BJ67" t="s">
        <v>749</v>
      </c>
      <c r="BK67">
        <v>0</v>
      </c>
      <c r="BL67" t="s">
        <v>132</v>
      </c>
      <c r="BM67">
        <v>0</v>
      </c>
      <c r="BN67">
        <v>1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 t="s">
        <v>0</v>
      </c>
      <c r="BX67">
        <v>0</v>
      </c>
      <c r="BY67">
        <v>0</v>
      </c>
      <c r="BZ67">
        <v>0</v>
      </c>
      <c r="CA67">
        <v>0</v>
      </c>
      <c r="CB67" t="s">
        <v>145</v>
      </c>
      <c r="CD67" t="str" cm="1">
        <f t="array" aca="1" ref="CD67" ca="1">eConcatenar(A67:CB67,"|")</f>
        <v>ArzWdCAVRAYnuXXT|MODIFCARD58|3|MODIF|MODIF|MODIF|MODIF|2022-01-01|1|0|0|0|0|0|0|0|0|0|0|0|0|0|0|0|0|0|0|x|x|x|x|x|x|x|x|x|x|x|x|x|x|x|x|x|x|x|x|x|x|0|1|X|X|X|2022-2-10|2022-02-23|0|0|0|0|0|QWYNRBIY9KVTQO|0|HOMBRE|0|1|0|0|0|0|0|0|0|0|CARDENAS|0|0|0|0|FINAL</v>
      </c>
    </row>
    <row r="68" spans="1:82" x14ac:dyDescent="0.25">
      <c r="A68" t="s">
        <v>204</v>
      </c>
      <c r="B68" s="19" t="s">
        <v>405</v>
      </c>
      <c r="C68">
        <v>3</v>
      </c>
      <c r="D68" t="s">
        <v>346</v>
      </c>
      <c r="E68" t="s">
        <v>346</v>
      </c>
      <c r="F68" t="s">
        <v>346</v>
      </c>
      <c r="G68" t="s">
        <v>346</v>
      </c>
      <c r="H68" s="21" t="s">
        <v>747</v>
      </c>
      <c r="I68">
        <v>1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 t="s">
        <v>3</v>
      </c>
      <c r="AC68" t="s">
        <v>3</v>
      </c>
      <c r="AD68" s="18" t="s">
        <v>3</v>
      </c>
      <c r="AE68" t="s">
        <v>3</v>
      </c>
      <c r="AF68" t="s">
        <v>3</v>
      </c>
      <c r="AG68" t="s">
        <v>3</v>
      </c>
      <c r="AH68" t="s">
        <v>3</v>
      </c>
      <c r="AI68" t="s">
        <v>3</v>
      </c>
      <c r="AJ68" t="s">
        <v>3</v>
      </c>
      <c r="AK68" t="s">
        <v>3</v>
      </c>
      <c r="AL68" t="s">
        <v>3</v>
      </c>
      <c r="AM68" t="s">
        <v>3</v>
      </c>
      <c r="AN68" t="s">
        <v>3</v>
      </c>
      <c r="AO68" t="s">
        <v>3</v>
      </c>
      <c r="AP68" t="s">
        <v>3</v>
      </c>
      <c r="AQ68" t="s">
        <v>3</v>
      </c>
      <c r="AR68" t="s">
        <v>3</v>
      </c>
      <c r="AS68" t="s">
        <v>3</v>
      </c>
      <c r="AT68" t="s">
        <v>3</v>
      </c>
      <c r="AU68" t="s">
        <v>3</v>
      </c>
      <c r="AV68" t="s">
        <v>3</v>
      </c>
      <c r="AW68" t="s">
        <v>3</v>
      </c>
      <c r="AX68">
        <v>0</v>
      </c>
      <c r="AY68">
        <v>1</v>
      </c>
      <c r="AZ68" t="s">
        <v>1</v>
      </c>
      <c r="BA68" t="s">
        <v>1</v>
      </c>
      <c r="BB68" t="s">
        <v>1</v>
      </c>
      <c r="BC68" s="21" t="s">
        <v>748</v>
      </c>
      <c r="BD68" s="21" t="s">
        <v>144</v>
      </c>
      <c r="BE68">
        <v>0</v>
      </c>
      <c r="BF68">
        <v>0</v>
      </c>
      <c r="BG68">
        <v>0</v>
      </c>
      <c r="BH68">
        <v>0</v>
      </c>
      <c r="BI68">
        <v>0</v>
      </c>
      <c r="BJ68" t="s">
        <v>749</v>
      </c>
      <c r="BK68">
        <v>0</v>
      </c>
      <c r="BL68" t="s">
        <v>132</v>
      </c>
      <c r="BM68">
        <v>0</v>
      </c>
      <c r="BN68">
        <v>1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 t="s">
        <v>0</v>
      </c>
      <c r="BX68">
        <v>0</v>
      </c>
      <c r="BY68">
        <v>0</v>
      </c>
      <c r="BZ68">
        <v>0</v>
      </c>
      <c r="CA68">
        <v>0</v>
      </c>
      <c r="CB68" t="s">
        <v>145</v>
      </c>
      <c r="CD68" t="str" cm="1">
        <f t="array" aca="1" ref="CD68" ca="1">eConcatenar(A68:CB68,"|")</f>
        <v>OdrPl0QF6iHJua9P|MODIFCARD59|3|MODIF|MODIF|MODIF|MODIF|2022-01-01|1|0|0|0|0|0|0|0|0|0|0|0|0|0|0|0|0|0|0|x|x|x|x|x|x|x|x|x|x|x|x|x|x|x|x|x|x|x|x|x|x|0|1|X|X|X|2022-2-10|2022-02-23|0|0|0|0|0|QWYNRBIY9KVTQO|0|HOMBRE|0|1|0|0|0|0|0|0|0|0|CARDENAS|0|0|0|0|FINAL</v>
      </c>
    </row>
    <row r="69" spans="1:82" x14ac:dyDescent="0.25">
      <c r="A69" t="s">
        <v>205</v>
      </c>
      <c r="B69" s="19" t="s">
        <v>406</v>
      </c>
      <c r="C69">
        <v>3</v>
      </c>
      <c r="D69" t="s">
        <v>346</v>
      </c>
      <c r="E69" t="s">
        <v>346</v>
      </c>
      <c r="F69" t="s">
        <v>346</v>
      </c>
      <c r="G69" t="s">
        <v>346</v>
      </c>
      <c r="H69" s="21" t="s">
        <v>747</v>
      </c>
      <c r="I69">
        <v>1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 t="s">
        <v>3</v>
      </c>
      <c r="AC69" t="s">
        <v>3</v>
      </c>
      <c r="AD69" s="18" t="s">
        <v>3</v>
      </c>
      <c r="AE69" t="s">
        <v>3</v>
      </c>
      <c r="AF69" t="s">
        <v>3</v>
      </c>
      <c r="AG69" t="s">
        <v>3</v>
      </c>
      <c r="AH69" t="s">
        <v>3</v>
      </c>
      <c r="AI69" t="s">
        <v>3</v>
      </c>
      <c r="AJ69" t="s">
        <v>3</v>
      </c>
      <c r="AK69" t="s">
        <v>3</v>
      </c>
      <c r="AL69" t="s">
        <v>3</v>
      </c>
      <c r="AM69" t="s">
        <v>3</v>
      </c>
      <c r="AN69" t="s">
        <v>3</v>
      </c>
      <c r="AO69" t="s">
        <v>3</v>
      </c>
      <c r="AP69" t="s">
        <v>3</v>
      </c>
      <c r="AQ69" t="s">
        <v>3</v>
      </c>
      <c r="AR69" t="s">
        <v>3</v>
      </c>
      <c r="AS69" t="s">
        <v>3</v>
      </c>
      <c r="AT69" t="s">
        <v>3</v>
      </c>
      <c r="AU69" t="s">
        <v>3</v>
      </c>
      <c r="AV69" t="s">
        <v>3</v>
      </c>
      <c r="AW69" t="s">
        <v>3</v>
      </c>
      <c r="AX69">
        <v>0</v>
      </c>
      <c r="AY69">
        <v>1</v>
      </c>
      <c r="AZ69" t="s">
        <v>1</v>
      </c>
      <c r="BA69" t="s">
        <v>1</v>
      </c>
      <c r="BB69" t="s">
        <v>1</v>
      </c>
      <c r="BC69" s="21" t="s">
        <v>748</v>
      </c>
      <c r="BD69" s="21" t="s">
        <v>144</v>
      </c>
      <c r="BE69">
        <v>0</v>
      </c>
      <c r="BF69">
        <v>0</v>
      </c>
      <c r="BG69">
        <v>0</v>
      </c>
      <c r="BH69">
        <v>0</v>
      </c>
      <c r="BI69">
        <v>0</v>
      </c>
      <c r="BJ69" t="s">
        <v>749</v>
      </c>
      <c r="BK69">
        <v>0</v>
      </c>
      <c r="BL69" t="s">
        <v>132</v>
      </c>
      <c r="BM69">
        <v>0</v>
      </c>
      <c r="BN69">
        <v>1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 t="s">
        <v>0</v>
      </c>
      <c r="BX69">
        <v>0</v>
      </c>
      <c r="BY69">
        <v>0</v>
      </c>
      <c r="BZ69">
        <v>0</v>
      </c>
      <c r="CA69">
        <v>0</v>
      </c>
      <c r="CB69" t="s">
        <v>145</v>
      </c>
      <c r="CD69" t="str" cm="1">
        <f t="array" aca="1" ref="CD69" ca="1">eConcatenar(A69:CB69,"|")</f>
        <v>PYRyK5L9DEpWoe32|MODIFCARD60|3|MODIF|MODIF|MODIF|MODIF|2022-01-01|1|0|0|0|0|0|0|0|0|0|0|0|0|0|0|0|0|0|0|x|x|x|x|x|x|x|x|x|x|x|x|x|x|x|x|x|x|x|x|x|x|0|1|X|X|X|2022-2-10|2022-02-23|0|0|0|0|0|QWYNRBIY9KVTQO|0|HOMBRE|0|1|0|0|0|0|0|0|0|0|CARDENAS|0|0|0|0|FINAL</v>
      </c>
    </row>
    <row r="70" spans="1:82" x14ac:dyDescent="0.25">
      <c r="A70" t="s">
        <v>206</v>
      </c>
      <c r="B70" s="19" t="s">
        <v>407</v>
      </c>
      <c r="C70">
        <v>3</v>
      </c>
      <c r="D70" t="s">
        <v>346</v>
      </c>
      <c r="E70" t="s">
        <v>346</v>
      </c>
      <c r="F70" t="s">
        <v>346</v>
      </c>
      <c r="G70" t="s">
        <v>346</v>
      </c>
      <c r="H70" s="21" t="s">
        <v>747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 t="s">
        <v>3</v>
      </c>
      <c r="AC70" t="s">
        <v>3</v>
      </c>
      <c r="AD70" s="18" t="s">
        <v>3</v>
      </c>
      <c r="AE70" t="s">
        <v>3</v>
      </c>
      <c r="AF70" t="s">
        <v>3</v>
      </c>
      <c r="AG70" t="s">
        <v>3</v>
      </c>
      <c r="AH70" t="s">
        <v>3</v>
      </c>
      <c r="AI70" t="s">
        <v>3</v>
      </c>
      <c r="AJ70" t="s">
        <v>3</v>
      </c>
      <c r="AK70" t="s">
        <v>3</v>
      </c>
      <c r="AL70" t="s">
        <v>3</v>
      </c>
      <c r="AM70" t="s">
        <v>3</v>
      </c>
      <c r="AN70" t="s">
        <v>3</v>
      </c>
      <c r="AO70" t="s">
        <v>3</v>
      </c>
      <c r="AP70" t="s">
        <v>3</v>
      </c>
      <c r="AQ70" t="s">
        <v>3</v>
      </c>
      <c r="AR70" t="s">
        <v>3</v>
      </c>
      <c r="AS70" t="s">
        <v>3</v>
      </c>
      <c r="AT70" t="s">
        <v>3</v>
      </c>
      <c r="AU70" t="s">
        <v>3</v>
      </c>
      <c r="AV70" t="s">
        <v>3</v>
      </c>
      <c r="AW70" t="s">
        <v>3</v>
      </c>
      <c r="AX70">
        <v>0</v>
      </c>
      <c r="AY70">
        <v>1</v>
      </c>
      <c r="AZ70" t="s">
        <v>1</v>
      </c>
      <c r="BA70" t="s">
        <v>1</v>
      </c>
      <c r="BB70" t="s">
        <v>1</v>
      </c>
      <c r="BC70" s="21" t="s">
        <v>748</v>
      </c>
      <c r="BD70" s="21" t="s">
        <v>144</v>
      </c>
      <c r="BE70">
        <v>0</v>
      </c>
      <c r="BF70">
        <v>0</v>
      </c>
      <c r="BG70">
        <v>0</v>
      </c>
      <c r="BH70">
        <v>0</v>
      </c>
      <c r="BI70">
        <v>0</v>
      </c>
      <c r="BJ70" t="s">
        <v>749</v>
      </c>
      <c r="BK70">
        <v>0</v>
      </c>
      <c r="BL70" t="s">
        <v>132</v>
      </c>
      <c r="BM70">
        <v>0</v>
      </c>
      <c r="BN70">
        <v>1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 t="s">
        <v>0</v>
      </c>
      <c r="BX70">
        <v>0</v>
      </c>
      <c r="BY70">
        <v>0</v>
      </c>
      <c r="BZ70">
        <v>0</v>
      </c>
      <c r="CA70">
        <v>0</v>
      </c>
      <c r="CB70" t="s">
        <v>145</v>
      </c>
      <c r="CD70" t="str" cm="1">
        <f t="array" aca="1" ref="CD70" ca="1">eConcatenar(A70:CB70,"|")</f>
        <v>NzFXSOmxKUfGI6kZ|MODIFCARD61|3|MODIF|MODIF|MODIF|MODIF|2022-01-01|1|0|0|0|0|0|0|0|0|0|0|0|0|0|0|0|0|0|0|x|x|x|x|x|x|x|x|x|x|x|x|x|x|x|x|x|x|x|x|x|x|0|1|X|X|X|2022-2-10|2022-02-23|0|0|0|0|0|QWYNRBIY9KVTQO|0|HOMBRE|0|1|0|0|0|0|0|0|0|0|CARDENAS|0|0|0|0|FINAL</v>
      </c>
    </row>
    <row r="71" spans="1:82" x14ac:dyDescent="0.25">
      <c r="A71" t="s">
        <v>207</v>
      </c>
      <c r="B71" s="19" t="s">
        <v>408</v>
      </c>
      <c r="C71">
        <v>3</v>
      </c>
      <c r="D71" t="s">
        <v>346</v>
      </c>
      <c r="E71" t="s">
        <v>346</v>
      </c>
      <c r="F71" t="s">
        <v>346</v>
      </c>
      <c r="G71" t="s">
        <v>346</v>
      </c>
      <c r="H71" s="21" t="s">
        <v>747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 t="s">
        <v>3</v>
      </c>
      <c r="AC71" t="s">
        <v>3</v>
      </c>
      <c r="AD71" s="18" t="s">
        <v>3</v>
      </c>
      <c r="AE71" t="s">
        <v>3</v>
      </c>
      <c r="AF71" t="s">
        <v>3</v>
      </c>
      <c r="AG71" t="s">
        <v>3</v>
      </c>
      <c r="AH71" t="s">
        <v>3</v>
      </c>
      <c r="AI71" t="s">
        <v>3</v>
      </c>
      <c r="AJ71" t="s">
        <v>3</v>
      </c>
      <c r="AK71" t="s">
        <v>3</v>
      </c>
      <c r="AL71" t="s">
        <v>3</v>
      </c>
      <c r="AM71" t="s">
        <v>3</v>
      </c>
      <c r="AN71" t="s">
        <v>3</v>
      </c>
      <c r="AO71" t="s">
        <v>3</v>
      </c>
      <c r="AP71" t="s">
        <v>3</v>
      </c>
      <c r="AQ71" t="s">
        <v>3</v>
      </c>
      <c r="AR71" t="s">
        <v>3</v>
      </c>
      <c r="AS71" t="s">
        <v>3</v>
      </c>
      <c r="AT71" t="s">
        <v>3</v>
      </c>
      <c r="AU71" t="s">
        <v>3</v>
      </c>
      <c r="AV71" t="s">
        <v>3</v>
      </c>
      <c r="AW71" t="s">
        <v>3</v>
      </c>
      <c r="AX71">
        <v>0</v>
      </c>
      <c r="AY71">
        <v>1</v>
      </c>
      <c r="AZ71" t="s">
        <v>1</v>
      </c>
      <c r="BA71" t="s">
        <v>1</v>
      </c>
      <c r="BB71" t="s">
        <v>1</v>
      </c>
      <c r="BC71" s="21" t="s">
        <v>748</v>
      </c>
      <c r="BD71" s="21" t="s">
        <v>144</v>
      </c>
      <c r="BE71">
        <v>0</v>
      </c>
      <c r="BF71">
        <v>0</v>
      </c>
      <c r="BG71">
        <v>0</v>
      </c>
      <c r="BH71">
        <v>0</v>
      </c>
      <c r="BI71">
        <v>0</v>
      </c>
      <c r="BJ71" t="s">
        <v>749</v>
      </c>
      <c r="BK71">
        <v>0</v>
      </c>
      <c r="BL71" t="s">
        <v>132</v>
      </c>
      <c r="BM71">
        <v>0</v>
      </c>
      <c r="BN71">
        <v>1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 t="s">
        <v>0</v>
      </c>
      <c r="BX71">
        <v>0</v>
      </c>
      <c r="BY71">
        <v>0</v>
      </c>
      <c r="BZ71">
        <v>0</v>
      </c>
      <c r="CA71">
        <v>0</v>
      </c>
      <c r="CB71" t="s">
        <v>145</v>
      </c>
      <c r="CD71" t="str" cm="1">
        <f t="array" aca="1" ref="CD71" ca="1">eConcatenar(A71:CB71,"|")</f>
        <v>oZeTJgSeIhqJq62N|MODIFCARD62|3|MODIF|MODIF|MODIF|MODIF|2022-01-01|1|0|0|0|0|0|0|0|0|0|0|0|0|0|0|0|0|0|0|x|x|x|x|x|x|x|x|x|x|x|x|x|x|x|x|x|x|x|x|x|x|0|1|X|X|X|2022-2-10|2022-02-23|0|0|0|0|0|QWYNRBIY9KVTQO|0|HOMBRE|0|1|0|0|0|0|0|0|0|0|CARDENAS|0|0|0|0|FINAL</v>
      </c>
    </row>
    <row r="72" spans="1:82" x14ac:dyDescent="0.25">
      <c r="A72" t="s">
        <v>208</v>
      </c>
      <c r="B72" s="19" t="s">
        <v>409</v>
      </c>
      <c r="C72">
        <v>3</v>
      </c>
      <c r="D72" t="s">
        <v>346</v>
      </c>
      <c r="E72" t="s">
        <v>346</v>
      </c>
      <c r="F72" t="s">
        <v>346</v>
      </c>
      <c r="G72" t="s">
        <v>346</v>
      </c>
      <c r="H72" s="21" t="s">
        <v>747</v>
      </c>
      <c r="I72">
        <v>1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 t="s">
        <v>3</v>
      </c>
      <c r="AC72" t="s">
        <v>3</v>
      </c>
      <c r="AD72" s="18" t="s">
        <v>3</v>
      </c>
      <c r="AE72" t="s">
        <v>3</v>
      </c>
      <c r="AF72" t="s">
        <v>3</v>
      </c>
      <c r="AG72" t="s">
        <v>3</v>
      </c>
      <c r="AH72" t="s">
        <v>3</v>
      </c>
      <c r="AI72" t="s">
        <v>3</v>
      </c>
      <c r="AJ72" t="s">
        <v>3</v>
      </c>
      <c r="AK72" t="s">
        <v>3</v>
      </c>
      <c r="AL72" t="s">
        <v>3</v>
      </c>
      <c r="AM72" t="s">
        <v>3</v>
      </c>
      <c r="AN72" t="s">
        <v>3</v>
      </c>
      <c r="AO72" t="s">
        <v>3</v>
      </c>
      <c r="AP72" t="s">
        <v>3</v>
      </c>
      <c r="AQ72" t="s">
        <v>3</v>
      </c>
      <c r="AR72" t="s">
        <v>3</v>
      </c>
      <c r="AS72" t="s">
        <v>3</v>
      </c>
      <c r="AT72" t="s">
        <v>3</v>
      </c>
      <c r="AU72" t="s">
        <v>3</v>
      </c>
      <c r="AV72" t="s">
        <v>3</v>
      </c>
      <c r="AW72" t="s">
        <v>3</v>
      </c>
      <c r="AX72">
        <v>0</v>
      </c>
      <c r="AY72">
        <v>1</v>
      </c>
      <c r="AZ72" t="s">
        <v>1</v>
      </c>
      <c r="BA72" t="s">
        <v>1</v>
      </c>
      <c r="BB72" t="s">
        <v>1</v>
      </c>
      <c r="BC72" s="21" t="s">
        <v>748</v>
      </c>
      <c r="BD72" s="21" t="s">
        <v>144</v>
      </c>
      <c r="BE72">
        <v>0</v>
      </c>
      <c r="BF72">
        <v>0</v>
      </c>
      <c r="BG72">
        <v>0</v>
      </c>
      <c r="BH72">
        <v>0</v>
      </c>
      <c r="BI72">
        <v>0</v>
      </c>
      <c r="BJ72" t="s">
        <v>749</v>
      </c>
      <c r="BK72">
        <v>0</v>
      </c>
      <c r="BL72" t="s">
        <v>132</v>
      </c>
      <c r="BM72">
        <v>0</v>
      </c>
      <c r="BN72">
        <v>1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 t="s">
        <v>0</v>
      </c>
      <c r="BX72">
        <v>0</v>
      </c>
      <c r="BY72">
        <v>0</v>
      </c>
      <c r="BZ72">
        <v>0</v>
      </c>
      <c r="CA72">
        <v>0</v>
      </c>
      <c r="CB72" t="s">
        <v>145</v>
      </c>
      <c r="CD72" t="str" cm="1">
        <f t="array" aca="1" ref="CD72" ca="1">eConcatenar(A72:CB72,"|")</f>
        <v>6kf7o6HXpeNDeiZb|MODIFCARD63|3|MODIF|MODIF|MODIF|MODIF|2022-01-01|1|0|0|0|0|0|0|0|0|0|0|0|0|0|0|0|0|0|0|x|x|x|x|x|x|x|x|x|x|x|x|x|x|x|x|x|x|x|x|x|x|0|1|X|X|X|2022-2-10|2022-02-23|0|0|0|0|0|QWYNRBIY9KVTQO|0|HOMBRE|0|1|0|0|0|0|0|0|0|0|CARDENAS|0|0|0|0|FINAL</v>
      </c>
    </row>
    <row r="73" spans="1:82" x14ac:dyDescent="0.25">
      <c r="A73" t="s">
        <v>209</v>
      </c>
      <c r="B73" s="19" t="s">
        <v>410</v>
      </c>
      <c r="C73">
        <v>3</v>
      </c>
      <c r="D73" t="s">
        <v>346</v>
      </c>
      <c r="E73" t="s">
        <v>346</v>
      </c>
      <c r="F73" t="s">
        <v>346</v>
      </c>
      <c r="G73" t="s">
        <v>346</v>
      </c>
      <c r="H73" s="21" t="s">
        <v>747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 t="s">
        <v>3</v>
      </c>
      <c r="AC73" t="s">
        <v>3</v>
      </c>
      <c r="AD73" s="18" t="s">
        <v>3</v>
      </c>
      <c r="AE73" t="s">
        <v>3</v>
      </c>
      <c r="AF73" t="s">
        <v>3</v>
      </c>
      <c r="AG73" t="s">
        <v>3</v>
      </c>
      <c r="AH73" t="s">
        <v>3</v>
      </c>
      <c r="AI73" t="s">
        <v>3</v>
      </c>
      <c r="AJ73" t="s">
        <v>3</v>
      </c>
      <c r="AK73" t="s">
        <v>3</v>
      </c>
      <c r="AL73" t="s">
        <v>3</v>
      </c>
      <c r="AM73" t="s">
        <v>3</v>
      </c>
      <c r="AN73" t="s">
        <v>3</v>
      </c>
      <c r="AO73" t="s">
        <v>3</v>
      </c>
      <c r="AP73" t="s">
        <v>3</v>
      </c>
      <c r="AQ73" t="s">
        <v>3</v>
      </c>
      <c r="AR73" t="s">
        <v>3</v>
      </c>
      <c r="AS73" t="s">
        <v>3</v>
      </c>
      <c r="AT73" t="s">
        <v>3</v>
      </c>
      <c r="AU73" t="s">
        <v>3</v>
      </c>
      <c r="AV73" t="s">
        <v>3</v>
      </c>
      <c r="AW73" t="s">
        <v>3</v>
      </c>
      <c r="AX73">
        <v>0</v>
      </c>
      <c r="AY73">
        <v>1</v>
      </c>
      <c r="AZ73" t="s">
        <v>1</v>
      </c>
      <c r="BA73" t="s">
        <v>1</v>
      </c>
      <c r="BB73" t="s">
        <v>1</v>
      </c>
      <c r="BC73" s="21" t="s">
        <v>748</v>
      </c>
      <c r="BD73" s="21" t="s">
        <v>144</v>
      </c>
      <c r="BE73">
        <v>0</v>
      </c>
      <c r="BF73">
        <v>0</v>
      </c>
      <c r="BG73">
        <v>0</v>
      </c>
      <c r="BH73">
        <v>0</v>
      </c>
      <c r="BI73">
        <v>0</v>
      </c>
      <c r="BJ73" t="s">
        <v>749</v>
      </c>
      <c r="BK73">
        <v>0</v>
      </c>
      <c r="BL73" t="s">
        <v>132</v>
      </c>
      <c r="BM73">
        <v>0</v>
      </c>
      <c r="BN73">
        <v>1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 t="s">
        <v>0</v>
      </c>
      <c r="BX73">
        <v>0</v>
      </c>
      <c r="BY73">
        <v>0</v>
      </c>
      <c r="BZ73">
        <v>0</v>
      </c>
      <c r="CA73">
        <v>0</v>
      </c>
      <c r="CB73" t="s">
        <v>145</v>
      </c>
      <c r="CD73" t="str" cm="1">
        <f t="array" aca="1" ref="CD73" ca="1">eConcatenar(A73:CB73,"|")</f>
        <v>HSZSD4hUyEnqVfmj|MODIFCARD64|3|MODIF|MODIF|MODIF|MODIF|2022-01-01|1|0|0|0|0|0|0|0|0|0|0|0|0|0|0|0|0|0|0|x|x|x|x|x|x|x|x|x|x|x|x|x|x|x|x|x|x|x|x|x|x|0|1|X|X|X|2022-2-10|2022-02-23|0|0|0|0|0|QWYNRBIY9KVTQO|0|HOMBRE|0|1|0|0|0|0|0|0|0|0|CARDENAS|0|0|0|0|FINAL</v>
      </c>
    </row>
    <row r="74" spans="1:82" x14ac:dyDescent="0.25">
      <c r="A74" t="s">
        <v>210</v>
      </c>
      <c r="B74" s="19" t="s">
        <v>411</v>
      </c>
      <c r="C74">
        <v>3</v>
      </c>
      <c r="D74" t="s">
        <v>346</v>
      </c>
      <c r="E74" t="s">
        <v>346</v>
      </c>
      <c r="F74" t="s">
        <v>346</v>
      </c>
      <c r="G74" t="s">
        <v>346</v>
      </c>
      <c r="H74" s="21" t="s">
        <v>747</v>
      </c>
      <c r="I74">
        <v>1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 t="s">
        <v>3</v>
      </c>
      <c r="AC74" t="s">
        <v>3</v>
      </c>
      <c r="AD74" s="18" t="s">
        <v>3</v>
      </c>
      <c r="AE74" t="s">
        <v>3</v>
      </c>
      <c r="AF74" t="s">
        <v>3</v>
      </c>
      <c r="AG74" t="s">
        <v>3</v>
      </c>
      <c r="AH74" t="s">
        <v>3</v>
      </c>
      <c r="AI74" t="s">
        <v>3</v>
      </c>
      <c r="AJ74" t="s">
        <v>3</v>
      </c>
      <c r="AK74" t="s">
        <v>3</v>
      </c>
      <c r="AL74" t="s">
        <v>3</v>
      </c>
      <c r="AM74" t="s">
        <v>3</v>
      </c>
      <c r="AN74" t="s">
        <v>3</v>
      </c>
      <c r="AO74" t="s">
        <v>3</v>
      </c>
      <c r="AP74" t="s">
        <v>3</v>
      </c>
      <c r="AQ74" t="s">
        <v>3</v>
      </c>
      <c r="AR74" t="s">
        <v>3</v>
      </c>
      <c r="AS74" t="s">
        <v>3</v>
      </c>
      <c r="AT74" t="s">
        <v>3</v>
      </c>
      <c r="AU74" t="s">
        <v>3</v>
      </c>
      <c r="AV74" t="s">
        <v>3</v>
      </c>
      <c r="AW74" t="s">
        <v>3</v>
      </c>
      <c r="AX74">
        <v>0</v>
      </c>
      <c r="AY74">
        <v>1</v>
      </c>
      <c r="AZ74" t="s">
        <v>1</v>
      </c>
      <c r="BA74" t="s">
        <v>1</v>
      </c>
      <c r="BB74" t="s">
        <v>1</v>
      </c>
      <c r="BC74" s="21" t="s">
        <v>748</v>
      </c>
      <c r="BD74" s="21" t="s">
        <v>144</v>
      </c>
      <c r="BE74">
        <v>0</v>
      </c>
      <c r="BF74">
        <v>0</v>
      </c>
      <c r="BG74">
        <v>0</v>
      </c>
      <c r="BH74">
        <v>0</v>
      </c>
      <c r="BI74">
        <v>0</v>
      </c>
      <c r="BJ74" t="s">
        <v>749</v>
      </c>
      <c r="BK74">
        <v>0</v>
      </c>
      <c r="BL74" t="s">
        <v>132</v>
      </c>
      <c r="BM74">
        <v>0</v>
      </c>
      <c r="BN74">
        <v>1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 t="s">
        <v>0</v>
      </c>
      <c r="BX74">
        <v>0</v>
      </c>
      <c r="BY74">
        <v>0</v>
      </c>
      <c r="BZ74">
        <v>0</v>
      </c>
      <c r="CA74">
        <v>0</v>
      </c>
      <c r="CB74" t="s">
        <v>145</v>
      </c>
      <c r="CD74" t="str" cm="1">
        <f t="array" aca="1" ref="CD74" ca="1">eConcatenar(A74:CB74,"|")</f>
        <v>oeSsUuHY27F11Gtg|MODIFCARD65|3|MODIF|MODIF|MODIF|MODIF|2022-01-01|1|0|0|0|0|0|0|0|0|0|0|0|0|0|0|0|0|0|0|x|x|x|x|x|x|x|x|x|x|x|x|x|x|x|x|x|x|x|x|x|x|0|1|X|X|X|2022-2-10|2022-02-23|0|0|0|0|0|QWYNRBIY9KVTQO|0|HOMBRE|0|1|0|0|0|0|0|0|0|0|CARDENAS|0|0|0|0|FINAL</v>
      </c>
    </row>
    <row r="75" spans="1:82" x14ac:dyDescent="0.25">
      <c r="A75" t="s">
        <v>211</v>
      </c>
      <c r="B75" s="19" t="s">
        <v>412</v>
      </c>
      <c r="C75">
        <v>3</v>
      </c>
      <c r="D75" t="s">
        <v>346</v>
      </c>
      <c r="E75" t="s">
        <v>346</v>
      </c>
      <c r="F75" t="s">
        <v>346</v>
      </c>
      <c r="G75" t="s">
        <v>346</v>
      </c>
      <c r="H75" s="21" t="s">
        <v>747</v>
      </c>
      <c r="I75">
        <v>1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 t="s">
        <v>3</v>
      </c>
      <c r="AC75" t="s">
        <v>3</v>
      </c>
      <c r="AD75" s="18" t="s">
        <v>3</v>
      </c>
      <c r="AE75" t="s">
        <v>3</v>
      </c>
      <c r="AF75" t="s">
        <v>3</v>
      </c>
      <c r="AG75" t="s">
        <v>3</v>
      </c>
      <c r="AH75" t="s">
        <v>3</v>
      </c>
      <c r="AI75" t="s">
        <v>3</v>
      </c>
      <c r="AJ75" t="s">
        <v>3</v>
      </c>
      <c r="AK75" t="s">
        <v>3</v>
      </c>
      <c r="AL75" t="s">
        <v>3</v>
      </c>
      <c r="AM75" t="s">
        <v>3</v>
      </c>
      <c r="AN75" t="s">
        <v>3</v>
      </c>
      <c r="AO75" t="s">
        <v>3</v>
      </c>
      <c r="AP75" t="s">
        <v>3</v>
      </c>
      <c r="AQ75" t="s">
        <v>3</v>
      </c>
      <c r="AR75" t="s">
        <v>3</v>
      </c>
      <c r="AS75" t="s">
        <v>3</v>
      </c>
      <c r="AT75" t="s">
        <v>3</v>
      </c>
      <c r="AU75" t="s">
        <v>3</v>
      </c>
      <c r="AV75" t="s">
        <v>3</v>
      </c>
      <c r="AW75" t="s">
        <v>3</v>
      </c>
      <c r="AX75">
        <v>0</v>
      </c>
      <c r="AY75">
        <v>1</v>
      </c>
      <c r="AZ75" t="s">
        <v>1</v>
      </c>
      <c r="BA75" t="s">
        <v>1</v>
      </c>
      <c r="BB75" t="s">
        <v>1</v>
      </c>
      <c r="BC75" s="21" t="s">
        <v>748</v>
      </c>
      <c r="BD75" s="21" t="s">
        <v>144</v>
      </c>
      <c r="BE75">
        <v>0</v>
      </c>
      <c r="BF75">
        <v>0</v>
      </c>
      <c r="BG75">
        <v>0</v>
      </c>
      <c r="BH75">
        <v>0</v>
      </c>
      <c r="BI75">
        <v>0</v>
      </c>
      <c r="BJ75" t="s">
        <v>749</v>
      </c>
      <c r="BK75">
        <v>0</v>
      </c>
      <c r="BL75" t="s">
        <v>132</v>
      </c>
      <c r="BM75">
        <v>0</v>
      </c>
      <c r="BN75">
        <v>1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 t="s">
        <v>0</v>
      </c>
      <c r="BX75">
        <v>0</v>
      </c>
      <c r="BY75">
        <v>0</v>
      </c>
      <c r="BZ75">
        <v>0</v>
      </c>
      <c r="CA75">
        <v>0</v>
      </c>
      <c r="CB75" t="s">
        <v>145</v>
      </c>
      <c r="CD75" t="str" cm="1">
        <f t="array" aca="1" ref="CD75" ca="1">eConcatenar(A75:CB75,"|")</f>
        <v>jx8RofdVFK7WjImx|MODIFCARD66|3|MODIF|MODIF|MODIF|MODIF|2022-01-01|1|0|0|0|0|0|0|0|0|0|0|0|0|0|0|0|0|0|0|x|x|x|x|x|x|x|x|x|x|x|x|x|x|x|x|x|x|x|x|x|x|0|1|X|X|X|2022-2-10|2022-02-23|0|0|0|0|0|QWYNRBIY9KVTQO|0|HOMBRE|0|1|0|0|0|0|0|0|0|0|CARDENAS|0|0|0|0|FINAL</v>
      </c>
    </row>
    <row r="76" spans="1:82" x14ac:dyDescent="0.25">
      <c r="A76" t="s">
        <v>212</v>
      </c>
      <c r="B76" s="19" t="s">
        <v>413</v>
      </c>
      <c r="C76">
        <v>3</v>
      </c>
      <c r="D76" t="s">
        <v>346</v>
      </c>
      <c r="E76" t="s">
        <v>346</v>
      </c>
      <c r="F76" t="s">
        <v>346</v>
      </c>
      <c r="G76" t="s">
        <v>346</v>
      </c>
      <c r="H76" s="21" t="s">
        <v>747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 t="s">
        <v>3</v>
      </c>
      <c r="AC76" t="s">
        <v>3</v>
      </c>
      <c r="AD76" s="18" t="s">
        <v>3</v>
      </c>
      <c r="AE76" t="s">
        <v>3</v>
      </c>
      <c r="AF76" t="s">
        <v>3</v>
      </c>
      <c r="AG76" t="s">
        <v>3</v>
      </c>
      <c r="AH76" t="s">
        <v>3</v>
      </c>
      <c r="AI76" t="s">
        <v>3</v>
      </c>
      <c r="AJ76" t="s">
        <v>3</v>
      </c>
      <c r="AK76" t="s">
        <v>3</v>
      </c>
      <c r="AL76" t="s">
        <v>3</v>
      </c>
      <c r="AM76" t="s">
        <v>3</v>
      </c>
      <c r="AN76" t="s">
        <v>3</v>
      </c>
      <c r="AO76" t="s">
        <v>3</v>
      </c>
      <c r="AP76" t="s">
        <v>3</v>
      </c>
      <c r="AQ76" t="s">
        <v>3</v>
      </c>
      <c r="AR76" t="s">
        <v>3</v>
      </c>
      <c r="AS76" t="s">
        <v>3</v>
      </c>
      <c r="AT76" t="s">
        <v>3</v>
      </c>
      <c r="AU76" t="s">
        <v>3</v>
      </c>
      <c r="AV76" t="s">
        <v>3</v>
      </c>
      <c r="AW76" t="s">
        <v>3</v>
      </c>
      <c r="AX76">
        <v>0</v>
      </c>
      <c r="AY76">
        <v>1</v>
      </c>
      <c r="AZ76" t="s">
        <v>1</v>
      </c>
      <c r="BA76" t="s">
        <v>1</v>
      </c>
      <c r="BB76" t="s">
        <v>1</v>
      </c>
      <c r="BC76" s="21" t="s">
        <v>748</v>
      </c>
      <c r="BD76" s="21" t="s">
        <v>144</v>
      </c>
      <c r="BE76">
        <v>0</v>
      </c>
      <c r="BF76">
        <v>0</v>
      </c>
      <c r="BG76">
        <v>0</v>
      </c>
      <c r="BH76">
        <v>0</v>
      </c>
      <c r="BI76">
        <v>0</v>
      </c>
      <c r="BJ76" t="s">
        <v>749</v>
      </c>
      <c r="BK76">
        <v>0</v>
      </c>
      <c r="BL76" t="s">
        <v>132</v>
      </c>
      <c r="BM76">
        <v>0</v>
      </c>
      <c r="BN76">
        <v>1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 t="s">
        <v>0</v>
      </c>
      <c r="BX76">
        <v>0</v>
      </c>
      <c r="BY76">
        <v>0</v>
      </c>
      <c r="BZ76">
        <v>0</v>
      </c>
      <c r="CA76">
        <v>0</v>
      </c>
      <c r="CB76" t="s">
        <v>145</v>
      </c>
      <c r="CD76" t="str" cm="1">
        <f t="array" aca="1" ref="CD76" ca="1">eConcatenar(A76:CB76,"|")</f>
        <v>LnKtvOamX7IGXFgN|MODIFCARD67|3|MODIF|MODIF|MODIF|MODIF|2022-01-01|1|0|0|0|0|0|0|0|0|0|0|0|0|0|0|0|0|0|0|x|x|x|x|x|x|x|x|x|x|x|x|x|x|x|x|x|x|x|x|x|x|0|1|X|X|X|2022-2-10|2022-02-23|0|0|0|0|0|QWYNRBIY9KVTQO|0|HOMBRE|0|1|0|0|0|0|0|0|0|0|CARDENAS|0|0|0|0|FINAL</v>
      </c>
    </row>
    <row r="77" spans="1:82" x14ac:dyDescent="0.25">
      <c r="A77" t="s">
        <v>213</v>
      </c>
      <c r="B77" s="19" t="s">
        <v>414</v>
      </c>
      <c r="C77">
        <v>3</v>
      </c>
      <c r="D77" t="s">
        <v>346</v>
      </c>
      <c r="E77" t="s">
        <v>346</v>
      </c>
      <c r="F77" t="s">
        <v>346</v>
      </c>
      <c r="G77" t="s">
        <v>346</v>
      </c>
      <c r="H77" s="21" t="s">
        <v>747</v>
      </c>
      <c r="I77">
        <v>1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 t="s">
        <v>3</v>
      </c>
      <c r="AC77" t="s">
        <v>3</v>
      </c>
      <c r="AD77" s="18" t="s">
        <v>3</v>
      </c>
      <c r="AE77" t="s">
        <v>3</v>
      </c>
      <c r="AF77" t="s">
        <v>3</v>
      </c>
      <c r="AG77" t="s">
        <v>3</v>
      </c>
      <c r="AH77" t="s">
        <v>3</v>
      </c>
      <c r="AI77" t="s">
        <v>3</v>
      </c>
      <c r="AJ77" t="s">
        <v>3</v>
      </c>
      <c r="AK77" t="s">
        <v>3</v>
      </c>
      <c r="AL77" t="s">
        <v>3</v>
      </c>
      <c r="AM77" t="s">
        <v>3</v>
      </c>
      <c r="AN77" t="s">
        <v>3</v>
      </c>
      <c r="AO77" t="s">
        <v>3</v>
      </c>
      <c r="AP77" t="s">
        <v>3</v>
      </c>
      <c r="AQ77" t="s">
        <v>3</v>
      </c>
      <c r="AR77" t="s">
        <v>3</v>
      </c>
      <c r="AS77" t="s">
        <v>3</v>
      </c>
      <c r="AT77" t="s">
        <v>3</v>
      </c>
      <c r="AU77" t="s">
        <v>3</v>
      </c>
      <c r="AV77" t="s">
        <v>3</v>
      </c>
      <c r="AW77" t="s">
        <v>3</v>
      </c>
      <c r="AX77">
        <v>0</v>
      </c>
      <c r="AY77">
        <v>1</v>
      </c>
      <c r="AZ77" t="s">
        <v>1</v>
      </c>
      <c r="BA77" t="s">
        <v>1</v>
      </c>
      <c r="BB77" t="s">
        <v>1</v>
      </c>
      <c r="BC77" s="21" t="s">
        <v>748</v>
      </c>
      <c r="BD77" s="21" t="s">
        <v>144</v>
      </c>
      <c r="BE77">
        <v>0</v>
      </c>
      <c r="BF77">
        <v>0</v>
      </c>
      <c r="BG77">
        <v>0</v>
      </c>
      <c r="BH77">
        <v>0</v>
      </c>
      <c r="BI77">
        <v>0</v>
      </c>
      <c r="BJ77" t="s">
        <v>749</v>
      </c>
      <c r="BK77">
        <v>0</v>
      </c>
      <c r="BL77" t="s">
        <v>132</v>
      </c>
      <c r="BM77">
        <v>0</v>
      </c>
      <c r="BN77">
        <v>1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 t="s">
        <v>0</v>
      </c>
      <c r="BX77">
        <v>0</v>
      </c>
      <c r="BY77">
        <v>0</v>
      </c>
      <c r="BZ77">
        <v>0</v>
      </c>
      <c r="CA77">
        <v>0</v>
      </c>
      <c r="CB77" t="s">
        <v>145</v>
      </c>
      <c r="CD77" t="str" cm="1">
        <f t="array" aca="1" ref="CD77" ca="1">eConcatenar(A77:CB77,"|")</f>
        <v>rATxQ2eDfNu20BZ2|MODIFCARD68|3|MODIF|MODIF|MODIF|MODIF|2022-01-01|1|0|0|0|0|0|0|0|0|0|0|0|0|0|0|0|0|0|0|x|x|x|x|x|x|x|x|x|x|x|x|x|x|x|x|x|x|x|x|x|x|0|1|X|X|X|2022-2-10|2022-02-23|0|0|0|0|0|QWYNRBIY9KVTQO|0|HOMBRE|0|1|0|0|0|0|0|0|0|0|CARDENAS|0|0|0|0|FINAL</v>
      </c>
    </row>
    <row r="78" spans="1:82" x14ac:dyDescent="0.25">
      <c r="A78" t="s">
        <v>214</v>
      </c>
      <c r="B78" s="19" t="s">
        <v>415</v>
      </c>
      <c r="C78">
        <v>3</v>
      </c>
      <c r="D78" t="s">
        <v>346</v>
      </c>
      <c r="E78" t="s">
        <v>346</v>
      </c>
      <c r="F78" t="s">
        <v>346</v>
      </c>
      <c r="G78" t="s">
        <v>346</v>
      </c>
      <c r="H78" s="21" t="s">
        <v>747</v>
      </c>
      <c r="I78">
        <v>1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 t="s">
        <v>3</v>
      </c>
      <c r="AC78" t="s">
        <v>3</v>
      </c>
      <c r="AD78" s="18" t="s">
        <v>3</v>
      </c>
      <c r="AE78" t="s">
        <v>3</v>
      </c>
      <c r="AF78" t="s">
        <v>3</v>
      </c>
      <c r="AG78" t="s">
        <v>3</v>
      </c>
      <c r="AH78" t="s">
        <v>3</v>
      </c>
      <c r="AI78" t="s">
        <v>3</v>
      </c>
      <c r="AJ78" t="s">
        <v>3</v>
      </c>
      <c r="AK78" t="s">
        <v>3</v>
      </c>
      <c r="AL78" t="s">
        <v>3</v>
      </c>
      <c r="AM78" t="s">
        <v>3</v>
      </c>
      <c r="AN78" t="s">
        <v>3</v>
      </c>
      <c r="AO78" t="s">
        <v>3</v>
      </c>
      <c r="AP78" t="s">
        <v>3</v>
      </c>
      <c r="AQ78" t="s">
        <v>3</v>
      </c>
      <c r="AR78" t="s">
        <v>3</v>
      </c>
      <c r="AS78" t="s">
        <v>3</v>
      </c>
      <c r="AT78" t="s">
        <v>3</v>
      </c>
      <c r="AU78" t="s">
        <v>3</v>
      </c>
      <c r="AV78" t="s">
        <v>3</v>
      </c>
      <c r="AW78" t="s">
        <v>3</v>
      </c>
      <c r="AX78">
        <v>0</v>
      </c>
      <c r="AY78">
        <v>1</v>
      </c>
      <c r="AZ78" t="s">
        <v>1</v>
      </c>
      <c r="BA78" t="s">
        <v>1</v>
      </c>
      <c r="BB78" t="s">
        <v>1</v>
      </c>
      <c r="BC78" s="21" t="s">
        <v>748</v>
      </c>
      <c r="BD78" s="21" t="s">
        <v>144</v>
      </c>
      <c r="BE78">
        <v>0</v>
      </c>
      <c r="BF78">
        <v>0</v>
      </c>
      <c r="BG78">
        <v>0</v>
      </c>
      <c r="BH78">
        <v>0</v>
      </c>
      <c r="BI78">
        <v>0</v>
      </c>
      <c r="BJ78" t="s">
        <v>749</v>
      </c>
      <c r="BK78">
        <v>0</v>
      </c>
      <c r="BL78" t="s">
        <v>132</v>
      </c>
      <c r="BM78">
        <v>0</v>
      </c>
      <c r="BN78">
        <v>1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 t="s">
        <v>0</v>
      </c>
      <c r="BX78">
        <v>0</v>
      </c>
      <c r="BY78">
        <v>0</v>
      </c>
      <c r="BZ78">
        <v>0</v>
      </c>
      <c r="CA78">
        <v>0</v>
      </c>
      <c r="CB78" t="s">
        <v>145</v>
      </c>
      <c r="CD78" t="str" cm="1">
        <f t="array" aca="1" ref="CD78" ca="1">eConcatenar(A78:CB78,"|")</f>
        <v>UlCmdfUjCX6u34ku|MODIFCARD69|3|MODIF|MODIF|MODIF|MODIF|2022-01-01|1|0|0|0|0|0|0|0|0|0|0|0|0|0|0|0|0|0|0|x|x|x|x|x|x|x|x|x|x|x|x|x|x|x|x|x|x|x|x|x|x|0|1|X|X|X|2022-2-10|2022-02-23|0|0|0|0|0|QWYNRBIY9KVTQO|0|HOMBRE|0|1|0|0|0|0|0|0|0|0|CARDENAS|0|0|0|0|FINAL</v>
      </c>
    </row>
    <row r="79" spans="1:82" x14ac:dyDescent="0.25">
      <c r="A79" t="s">
        <v>215</v>
      </c>
      <c r="B79" s="19" t="s">
        <v>416</v>
      </c>
      <c r="C79">
        <v>3</v>
      </c>
      <c r="D79" t="s">
        <v>346</v>
      </c>
      <c r="E79" t="s">
        <v>346</v>
      </c>
      <c r="F79" t="s">
        <v>346</v>
      </c>
      <c r="G79" t="s">
        <v>346</v>
      </c>
      <c r="H79" s="21" t="s">
        <v>747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 t="s">
        <v>3</v>
      </c>
      <c r="AC79" t="s">
        <v>3</v>
      </c>
      <c r="AD79" s="18" t="s">
        <v>3</v>
      </c>
      <c r="AE79" t="s">
        <v>3</v>
      </c>
      <c r="AF79" t="s">
        <v>3</v>
      </c>
      <c r="AG79" t="s">
        <v>3</v>
      </c>
      <c r="AH79" t="s">
        <v>3</v>
      </c>
      <c r="AI79" t="s">
        <v>3</v>
      </c>
      <c r="AJ79" t="s">
        <v>3</v>
      </c>
      <c r="AK79" t="s">
        <v>3</v>
      </c>
      <c r="AL79" t="s">
        <v>3</v>
      </c>
      <c r="AM79" t="s">
        <v>3</v>
      </c>
      <c r="AN79" t="s">
        <v>3</v>
      </c>
      <c r="AO79" t="s">
        <v>3</v>
      </c>
      <c r="AP79" t="s">
        <v>3</v>
      </c>
      <c r="AQ79" t="s">
        <v>3</v>
      </c>
      <c r="AR79" t="s">
        <v>3</v>
      </c>
      <c r="AS79" t="s">
        <v>3</v>
      </c>
      <c r="AT79" t="s">
        <v>3</v>
      </c>
      <c r="AU79" t="s">
        <v>3</v>
      </c>
      <c r="AV79" t="s">
        <v>3</v>
      </c>
      <c r="AW79" t="s">
        <v>3</v>
      </c>
      <c r="AX79">
        <v>0</v>
      </c>
      <c r="AY79">
        <v>1</v>
      </c>
      <c r="AZ79" t="s">
        <v>1</v>
      </c>
      <c r="BA79" t="s">
        <v>1</v>
      </c>
      <c r="BB79" t="s">
        <v>1</v>
      </c>
      <c r="BC79" s="21" t="s">
        <v>748</v>
      </c>
      <c r="BD79" s="21" t="s">
        <v>144</v>
      </c>
      <c r="BE79">
        <v>0</v>
      </c>
      <c r="BF79">
        <v>0</v>
      </c>
      <c r="BG79">
        <v>0</v>
      </c>
      <c r="BH79">
        <v>0</v>
      </c>
      <c r="BI79">
        <v>0</v>
      </c>
      <c r="BJ79" t="s">
        <v>749</v>
      </c>
      <c r="BK79">
        <v>0</v>
      </c>
      <c r="BL79" t="s">
        <v>132</v>
      </c>
      <c r="BM79">
        <v>0</v>
      </c>
      <c r="BN79">
        <v>1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 t="s">
        <v>0</v>
      </c>
      <c r="BX79">
        <v>0</v>
      </c>
      <c r="BY79">
        <v>0</v>
      </c>
      <c r="BZ79">
        <v>0</v>
      </c>
      <c r="CA79">
        <v>0</v>
      </c>
      <c r="CB79" t="s">
        <v>145</v>
      </c>
      <c r="CD79" t="str" cm="1">
        <f t="array" aca="1" ref="CD79" ca="1">eConcatenar(A79:CB79,"|")</f>
        <v>0u6vwiAlXpYN0Lun|MODIFCARD70|3|MODIF|MODIF|MODIF|MODIF|2022-01-01|1|0|0|0|0|0|0|0|0|0|0|0|0|0|0|0|0|0|0|x|x|x|x|x|x|x|x|x|x|x|x|x|x|x|x|x|x|x|x|x|x|0|1|X|X|X|2022-2-10|2022-02-23|0|0|0|0|0|QWYNRBIY9KVTQO|0|HOMBRE|0|1|0|0|0|0|0|0|0|0|CARDENAS|0|0|0|0|FINAL</v>
      </c>
    </row>
    <row r="80" spans="1:82" x14ac:dyDescent="0.25">
      <c r="A80" t="s">
        <v>216</v>
      </c>
      <c r="B80" s="19" t="s">
        <v>417</v>
      </c>
      <c r="C80">
        <v>3</v>
      </c>
      <c r="D80" t="s">
        <v>346</v>
      </c>
      <c r="E80" t="s">
        <v>346</v>
      </c>
      <c r="F80" t="s">
        <v>346</v>
      </c>
      <c r="G80" t="s">
        <v>346</v>
      </c>
      <c r="H80" s="21" t="s">
        <v>747</v>
      </c>
      <c r="I80">
        <v>1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">
        <v>3</v>
      </c>
      <c r="AC80" t="s">
        <v>3</v>
      </c>
      <c r="AD80" s="18" t="s">
        <v>3</v>
      </c>
      <c r="AE80" t="s">
        <v>3</v>
      </c>
      <c r="AF80" t="s">
        <v>3</v>
      </c>
      <c r="AG80" t="s">
        <v>3</v>
      </c>
      <c r="AH80" t="s">
        <v>3</v>
      </c>
      <c r="AI80" t="s">
        <v>3</v>
      </c>
      <c r="AJ80" t="s">
        <v>3</v>
      </c>
      <c r="AK80" t="s">
        <v>3</v>
      </c>
      <c r="AL80" t="s">
        <v>3</v>
      </c>
      <c r="AM80" t="s">
        <v>3</v>
      </c>
      <c r="AN80" t="s">
        <v>3</v>
      </c>
      <c r="AO80" t="s">
        <v>3</v>
      </c>
      <c r="AP80" t="s">
        <v>3</v>
      </c>
      <c r="AQ80" t="s">
        <v>3</v>
      </c>
      <c r="AR80" t="s">
        <v>3</v>
      </c>
      <c r="AS80" t="s">
        <v>3</v>
      </c>
      <c r="AT80" t="s">
        <v>3</v>
      </c>
      <c r="AU80" t="s">
        <v>3</v>
      </c>
      <c r="AV80" t="s">
        <v>3</v>
      </c>
      <c r="AW80" t="s">
        <v>3</v>
      </c>
      <c r="AX80">
        <v>0</v>
      </c>
      <c r="AY80">
        <v>1</v>
      </c>
      <c r="AZ80" t="s">
        <v>1</v>
      </c>
      <c r="BA80" t="s">
        <v>1</v>
      </c>
      <c r="BB80" t="s">
        <v>1</v>
      </c>
      <c r="BC80" s="21" t="s">
        <v>748</v>
      </c>
      <c r="BD80" s="21" t="s">
        <v>144</v>
      </c>
      <c r="BE80">
        <v>0</v>
      </c>
      <c r="BF80">
        <v>0</v>
      </c>
      <c r="BG80">
        <v>0</v>
      </c>
      <c r="BH80">
        <v>0</v>
      </c>
      <c r="BI80">
        <v>0</v>
      </c>
      <c r="BJ80" t="s">
        <v>749</v>
      </c>
      <c r="BK80">
        <v>0</v>
      </c>
      <c r="BL80" t="s">
        <v>132</v>
      </c>
      <c r="BM80">
        <v>0</v>
      </c>
      <c r="BN80">
        <v>1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 t="s">
        <v>0</v>
      </c>
      <c r="BX80">
        <v>0</v>
      </c>
      <c r="BY80">
        <v>0</v>
      </c>
      <c r="BZ80">
        <v>0</v>
      </c>
      <c r="CA80">
        <v>0</v>
      </c>
      <c r="CB80" t="s">
        <v>145</v>
      </c>
      <c r="CD80" t="str" cm="1">
        <f t="array" aca="1" ref="CD80" ca="1">eConcatenar(A80:CB80,"|")</f>
        <v>Wi9fnsvKKjuCbsbT|MODIFCARD71|3|MODIF|MODIF|MODIF|MODIF|2022-01-01|1|0|0|0|0|0|0|0|0|0|0|0|0|0|0|0|0|0|0|x|x|x|x|x|x|x|x|x|x|x|x|x|x|x|x|x|x|x|x|x|x|0|1|X|X|X|2022-2-10|2022-02-23|0|0|0|0|0|QWYNRBIY9KVTQO|0|HOMBRE|0|1|0|0|0|0|0|0|0|0|CARDENAS|0|0|0|0|FINAL</v>
      </c>
    </row>
    <row r="81" spans="1:82" x14ac:dyDescent="0.25">
      <c r="A81" t="s">
        <v>217</v>
      </c>
      <c r="B81" s="19" t="s">
        <v>418</v>
      </c>
      <c r="C81">
        <v>3</v>
      </c>
      <c r="D81" t="s">
        <v>346</v>
      </c>
      <c r="E81" t="s">
        <v>346</v>
      </c>
      <c r="F81" t="s">
        <v>346</v>
      </c>
      <c r="G81" t="s">
        <v>346</v>
      </c>
      <c r="H81" s="21" t="s">
        <v>747</v>
      </c>
      <c r="I81">
        <v>1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">
        <v>3</v>
      </c>
      <c r="AC81" t="s">
        <v>3</v>
      </c>
      <c r="AD81" s="18" t="s">
        <v>3</v>
      </c>
      <c r="AE81" t="s">
        <v>3</v>
      </c>
      <c r="AF81" t="s">
        <v>3</v>
      </c>
      <c r="AG81" t="s">
        <v>3</v>
      </c>
      <c r="AH81" t="s">
        <v>3</v>
      </c>
      <c r="AI81" t="s">
        <v>3</v>
      </c>
      <c r="AJ81" t="s">
        <v>3</v>
      </c>
      <c r="AK81" t="s">
        <v>3</v>
      </c>
      <c r="AL81" t="s">
        <v>3</v>
      </c>
      <c r="AM81" t="s">
        <v>3</v>
      </c>
      <c r="AN81" t="s">
        <v>3</v>
      </c>
      <c r="AO81" t="s">
        <v>3</v>
      </c>
      <c r="AP81" t="s">
        <v>3</v>
      </c>
      <c r="AQ81" t="s">
        <v>3</v>
      </c>
      <c r="AR81" t="s">
        <v>3</v>
      </c>
      <c r="AS81" t="s">
        <v>3</v>
      </c>
      <c r="AT81" t="s">
        <v>3</v>
      </c>
      <c r="AU81" t="s">
        <v>3</v>
      </c>
      <c r="AV81" t="s">
        <v>3</v>
      </c>
      <c r="AW81" t="s">
        <v>3</v>
      </c>
      <c r="AX81">
        <v>0</v>
      </c>
      <c r="AY81">
        <v>1</v>
      </c>
      <c r="AZ81" t="s">
        <v>1</v>
      </c>
      <c r="BA81" t="s">
        <v>1</v>
      </c>
      <c r="BB81" t="s">
        <v>1</v>
      </c>
      <c r="BC81" s="21" t="s">
        <v>748</v>
      </c>
      <c r="BD81" s="21" t="s">
        <v>144</v>
      </c>
      <c r="BE81">
        <v>0</v>
      </c>
      <c r="BF81">
        <v>0</v>
      </c>
      <c r="BG81">
        <v>0</v>
      </c>
      <c r="BH81">
        <v>0</v>
      </c>
      <c r="BI81">
        <v>0</v>
      </c>
      <c r="BJ81" t="s">
        <v>749</v>
      </c>
      <c r="BK81">
        <v>0</v>
      </c>
      <c r="BL81" t="s">
        <v>132</v>
      </c>
      <c r="BM81">
        <v>0</v>
      </c>
      <c r="BN81">
        <v>1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 t="s">
        <v>0</v>
      </c>
      <c r="BX81">
        <v>0</v>
      </c>
      <c r="BY81">
        <v>0</v>
      </c>
      <c r="BZ81">
        <v>0</v>
      </c>
      <c r="CA81">
        <v>0</v>
      </c>
      <c r="CB81" t="s">
        <v>145</v>
      </c>
      <c r="CD81" t="str" cm="1">
        <f t="array" aca="1" ref="CD81" ca="1">eConcatenar(A81:CB81,"|")</f>
        <v>egykreW6C030X7XR|MODIFCARD72|3|MODIF|MODIF|MODIF|MODIF|2022-01-01|1|0|0|0|0|0|0|0|0|0|0|0|0|0|0|0|0|0|0|x|x|x|x|x|x|x|x|x|x|x|x|x|x|x|x|x|x|x|x|x|x|0|1|X|X|X|2022-2-10|2022-02-23|0|0|0|0|0|QWYNRBIY9KVTQO|0|HOMBRE|0|1|0|0|0|0|0|0|0|0|CARDENAS|0|0|0|0|FINAL</v>
      </c>
    </row>
    <row r="82" spans="1:82" x14ac:dyDescent="0.25">
      <c r="A82" t="s">
        <v>218</v>
      </c>
      <c r="B82" s="19" t="s">
        <v>419</v>
      </c>
      <c r="C82">
        <v>3</v>
      </c>
      <c r="D82" t="s">
        <v>346</v>
      </c>
      <c r="E82" t="s">
        <v>346</v>
      </c>
      <c r="F82" t="s">
        <v>346</v>
      </c>
      <c r="G82" t="s">
        <v>346</v>
      </c>
      <c r="H82" s="21" t="s">
        <v>747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 t="s">
        <v>3</v>
      </c>
      <c r="AC82" t="s">
        <v>3</v>
      </c>
      <c r="AD82" t="s">
        <v>3</v>
      </c>
      <c r="AE82" t="s">
        <v>3</v>
      </c>
      <c r="AF82" t="s">
        <v>3</v>
      </c>
      <c r="AG82" t="s">
        <v>3</v>
      </c>
      <c r="AH82" t="s">
        <v>3</v>
      </c>
      <c r="AI82" t="s">
        <v>3</v>
      </c>
      <c r="AJ82" t="s">
        <v>3</v>
      </c>
      <c r="AK82" t="s">
        <v>3</v>
      </c>
      <c r="AL82" t="s">
        <v>3</v>
      </c>
      <c r="AM82" t="s">
        <v>3</v>
      </c>
      <c r="AN82" t="s">
        <v>3</v>
      </c>
      <c r="AO82" t="s">
        <v>3</v>
      </c>
      <c r="AP82" t="s">
        <v>3</v>
      </c>
      <c r="AQ82" t="s">
        <v>3</v>
      </c>
      <c r="AR82" t="s">
        <v>3</v>
      </c>
      <c r="AS82" t="s">
        <v>3</v>
      </c>
      <c r="AT82" t="s">
        <v>3</v>
      </c>
      <c r="AU82" t="s">
        <v>3</v>
      </c>
      <c r="AV82" t="s">
        <v>3</v>
      </c>
      <c r="AW82" t="s">
        <v>3</v>
      </c>
      <c r="AX82">
        <v>0</v>
      </c>
      <c r="AY82">
        <v>1</v>
      </c>
      <c r="AZ82" t="s">
        <v>1</v>
      </c>
      <c r="BA82" t="s">
        <v>1</v>
      </c>
      <c r="BB82" t="s">
        <v>1</v>
      </c>
      <c r="BC82" s="21" t="s">
        <v>748</v>
      </c>
      <c r="BD82" s="21" t="s">
        <v>144</v>
      </c>
      <c r="BE82">
        <v>0</v>
      </c>
      <c r="BF82">
        <v>0</v>
      </c>
      <c r="BG82">
        <v>0</v>
      </c>
      <c r="BH82">
        <v>0</v>
      </c>
      <c r="BI82">
        <v>0</v>
      </c>
      <c r="BJ82" t="s">
        <v>749</v>
      </c>
      <c r="BK82">
        <v>0</v>
      </c>
      <c r="BL82" t="s">
        <v>132</v>
      </c>
      <c r="BM82">
        <v>0</v>
      </c>
      <c r="BN82">
        <v>1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 t="s">
        <v>0</v>
      </c>
      <c r="BX82">
        <v>0</v>
      </c>
      <c r="BY82">
        <v>0</v>
      </c>
      <c r="BZ82">
        <v>0</v>
      </c>
      <c r="CA82">
        <v>0</v>
      </c>
      <c r="CB82" t="s">
        <v>145</v>
      </c>
      <c r="CD82" t="str" cm="1">
        <f t="array" aca="1" ref="CD82" ca="1">eConcatenar(A82:CB82,"|")</f>
        <v>4qbD8CHDe8HXL081|MODIFCARD73|3|MODIF|MODIF|MODIF|MODIF|2022-01-01|1|0|0|0|0|0|0|0|0|0|0|0|0|0|0|0|0|0|0|x|x|x|x|x|x|x|x|x|x|x|x|x|x|x|x|x|x|x|x|x|x|0|1|X|X|X|2022-2-10|2022-02-23|0|0|0|0|0|QWYNRBIY9KVTQO|0|HOMBRE|0|1|0|0|0|0|0|0|0|0|CARDENAS|0|0|0|0|FINAL</v>
      </c>
    </row>
    <row r="83" spans="1:82" x14ac:dyDescent="0.25">
      <c r="A83" t="s">
        <v>219</v>
      </c>
      <c r="B83" s="19" t="s">
        <v>420</v>
      </c>
      <c r="C83">
        <v>3</v>
      </c>
      <c r="D83" t="s">
        <v>346</v>
      </c>
      <c r="E83" t="s">
        <v>346</v>
      </c>
      <c r="F83" t="s">
        <v>346</v>
      </c>
      <c r="G83" t="s">
        <v>346</v>
      </c>
      <c r="H83" s="21" t="s">
        <v>747</v>
      </c>
      <c r="I83">
        <v>1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">
        <v>3</v>
      </c>
      <c r="AC83" t="s">
        <v>3</v>
      </c>
      <c r="AD83" t="s">
        <v>3</v>
      </c>
      <c r="AE83" t="s">
        <v>3</v>
      </c>
      <c r="AF83" t="s">
        <v>3</v>
      </c>
      <c r="AG83" t="s">
        <v>3</v>
      </c>
      <c r="AH83" t="s">
        <v>3</v>
      </c>
      <c r="AI83" t="s">
        <v>3</v>
      </c>
      <c r="AJ83" t="s">
        <v>3</v>
      </c>
      <c r="AK83" t="s">
        <v>3</v>
      </c>
      <c r="AL83" t="s">
        <v>3</v>
      </c>
      <c r="AM83" t="s">
        <v>3</v>
      </c>
      <c r="AN83" t="s">
        <v>3</v>
      </c>
      <c r="AO83" t="s">
        <v>3</v>
      </c>
      <c r="AP83" t="s">
        <v>3</v>
      </c>
      <c r="AQ83" t="s">
        <v>3</v>
      </c>
      <c r="AR83" t="s">
        <v>3</v>
      </c>
      <c r="AS83" t="s">
        <v>3</v>
      </c>
      <c r="AT83" t="s">
        <v>3</v>
      </c>
      <c r="AU83" t="s">
        <v>3</v>
      </c>
      <c r="AV83" t="s">
        <v>3</v>
      </c>
      <c r="AW83" t="s">
        <v>3</v>
      </c>
      <c r="AX83">
        <v>0</v>
      </c>
      <c r="AY83">
        <v>1</v>
      </c>
      <c r="AZ83" t="s">
        <v>1</v>
      </c>
      <c r="BA83" t="s">
        <v>1</v>
      </c>
      <c r="BB83" t="s">
        <v>1</v>
      </c>
      <c r="BC83" s="21" t="s">
        <v>748</v>
      </c>
      <c r="BD83" s="21" t="s">
        <v>144</v>
      </c>
      <c r="BE83">
        <v>0</v>
      </c>
      <c r="BF83">
        <v>0</v>
      </c>
      <c r="BG83">
        <v>0</v>
      </c>
      <c r="BH83">
        <v>0</v>
      </c>
      <c r="BI83">
        <v>0</v>
      </c>
      <c r="BJ83" t="s">
        <v>749</v>
      </c>
      <c r="BK83">
        <v>0</v>
      </c>
      <c r="BL83" t="s">
        <v>132</v>
      </c>
      <c r="BM83">
        <v>0</v>
      </c>
      <c r="BN83">
        <v>1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 t="s">
        <v>0</v>
      </c>
      <c r="BX83">
        <v>0</v>
      </c>
      <c r="BY83">
        <v>0</v>
      </c>
      <c r="BZ83">
        <v>0</v>
      </c>
      <c r="CA83">
        <v>0</v>
      </c>
      <c r="CB83" t="s">
        <v>145</v>
      </c>
      <c r="CD83" t="str" cm="1">
        <f t="array" aca="1" ref="CD83" ca="1">eConcatenar(A83:CB83,"|")</f>
        <v>TuMuq3AN7j03a2Wn|MODIFCARD74|3|MODIF|MODIF|MODIF|MODIF|2022-01-01|1|0|0|0|0|0|0|0|0|0|0|0|0|0|0|0|0|0|0|x|x|x|x|x|x|x|x|x|x|x|x|x|x|x|x|x|x|x|x|x|x|0|1|X|X|X|2022-2-10|2022-02-23|0|0|0|0|0|QWYNRBIY9KVTQO|0|HOMBRE|0|1|0|0|0|0|0|0|0|0|CARDENAS|0|0|0|0|FINAL</v>
      </c>
    </row>
    <row r="84" spans="1:82" x14ac:dyDescent="0.25">
      <c r="A84" t="s">
        <v>220</v>
      </c>
      <c r="B84" s="19" t="s">
        <v>421</v>
      </c>
      <c r="C84">
        <v>3</v>
      </c>
      <c r="D84" t="s">
        <v>346</v>
      </c>
      <c r="E84" t="s">
        <v>346</v>
      </c>
      <c r="F84" t="s">
        <v>346</v>
      </c>
      <c r="G84" t="s">
        <v>346</v>
      </c>
      <c r="H84" s="21" t="s">
        <v>747</v>
      </c>
      <c r="I84">
        <v>1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">
        <v>3</v>
      </c>
      <c r="AC84" t="s">
        <v>3</v>
      </c>
      <c r="AD84" t="s">
        <v>3</v>
      </c>
      <c r="AE84" t="s">
        <v>3</v>
      </c>
      <c r="AF84" t="s">
        <v>3</v>
      </c>
      <c r="AG84" t="s">
        <v>3</v>
      </c>
      <c r="AH84" t="s">
        <v>3</v>
      </c>
      <c r="AI84" t="s">
        <v>3</v>
      </c>
      <c r="AJ84" t="s">
        <v>3</v>
      </c>
      <c r="AK84" t="s">
        <v>3</v>
      </c>
      <c r="AL84" t="s">
        <v>3</v>
      </c>
      <c r="AM84" t="s">
        <v>3</v>
      </c>
      <c r="AN84" t="s">
        <v>3</v>
      </c>
      <c r="AO84" t="s">
        <v>3</v>
      </c>
      <c r="AP84" t="s">
        <v>3</v>
      </c>
      <c r="AQ84" t="s">
        <v>3</v>
      </c>
      <c r="AR84" t="s">
        <v>3</v>
      </c>
      <c r="AS84" t="s">
        <v>3</v>
      </c>
      <c r="AT84" t="s">
        <v>3</v>
      </c>
      <c r="AU84" t="s">
        <v>3</v>
      </c>
      <c r="AV84" t="s">
        <v>3</v>
      </c>
      <c r="AW84" t="s">
        <v>3</v>
      </c>
      <c r="AX84">
        <v>0</v>
      </c>
      <c r="AY84">
        <v>1</v>
      </c>
      <c r="AZ84" t="s">
        <v>1</v>
      </c>
      <c r="BA84" t="s">
        <v>1</v>
      </c>
      <c r="BB84" t="s">
        <v>1</v>
      </c>
      <c r="BC84" s="21" t="s">
        <v>748</v>
      </c>
      <c r="BD84" s="21" t="s">
        <v>144</v>
      </c>
      <c r="BE84">
        <v>0</v>
      </c>
      <c r="BF84">
        <v>0</v>
      </c>
      <c r="BG84">
        <v>0</v>
      </c>
      <c r="BH84">
        <v>0</v>
      </c>
      <c r="BI84">
        <v>0</v>
      </c>
      <c r="BJ84" t="s">
        <v>749</v>
      </c>
      <c r="BK84">
        <v>0</v>
      </c>
      <c r="BL84" t="s">
        <v>132</v>
      </c>
      <c r="BM84">
        <v>0</v>
      </c>
      <c r="BN84">
        <v>1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 t="s">
        <v>0</v>
      </c>
      <c r="BX84">
        <v>0</v>
      </c>
      <c r="BY84">
        <v>0</v>
      </c>
      <c r="BZ84">
        <v>0</v>
      </c>
      <c r="CA84">
        <v>0</v>
      </c>
      <c r="CB84" t="s">
        <v>145</v>
      </c>
      <c r="CD84" t="str" cm="1">
        <f t="array" aca="1" ref="CD84" ca="1">eConcatenar(A84:CB84,"|")</f>
        <v>eYLp2YPFRi17lhAg|MODIFCARD75|3|MODIF|MODIF|MODIF|MODIF|2022-01-01|1|0|0|0|0|0|0|0|0|0|0|0|0|0|0|0|0|0|0|x|x|x|x|x|x|x|x|x|x|x|x|x|x|x|x|x|x|x|x|x|x|0|1|X|X|X|2022-2-10|2022-02-23|0|0|0|0|0|QWYNRBIY9KVTQO|0|HOMBRE|0|1|0|0|0|0|0|0|0|0|CARDENAS|0|0|0|0|FINAL</v>
      </c>
    </row>
    <row r="85" spans="1:82" x14ac:dyDescent="0.25">
      <c r="A85" t="s">
        <v>221</v>
      </c>
      <c r="B85" s="19" t="s">
        <v>422</v>
      </c>
      <c r="C85">
        <v>3</v>
      </c>
      <c r="D85" t="s">
        <v>346</v>
      </c>
      <c r="E85" t="s">
        <v>346</v>
      </c>
      <c r="F85" t="s">
        <v>346</v>
      </c>
      <c r="G85" t="s">
        <v>346</v>
      </c>
      <c r="H85" s="21" t="s">
        <v>747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 t="s">
        <v>3</v>
      </c>
      <c r="AC85" t="s">
        <v>3</v>
      </c>
      <c r="AD85" t="s">
        <v>3</v>
      </c>
      <c r="AE85" t="s">
        <v>3</v>
      </c>
      <c r="AF85" t="s">
        <v>3</v>
      </c>
      <c r="AG85" t="s">
        <v>3</v>
      </c>
      <c r="AH85" t="s">
        <v>3</v>
      </c>
      <c r="AI85" t="s">
        <v>3</v>
      </c>
      <c r="AJ85" t="s">
        <v>3</v>
      </c>
      <c r="AK85" t="s">
        <v>3</v>
      </c>
      <c r="AL85" t="s">
        <v>3</v>
      </c>
      <c r="AM85" t="s">
        <v>3</v>
      </c>
      <c r="AN85" t="s">
        <v>3</v>
      </c>
      <c r="AO85" t="s">
        <v>3</v>
      </c>
      <c r="AP85" t="s">
        <v>3</v>
      </c>
      <c r="AQ85" t="s">
        <v>3</v>
      </c>
      <c r="AR85" t="s">
        <v>3</v>
      </c>
      <c r="AS85" t="s">
        <v>3</v>
      </c>
      <c r="AT85" t="s">
        <v>3</v>
      </c>
      <c r="AU85" t="s">
        <v>3</v>
      </c>
      <c r="AV85" t="s">
        <v>3</v>
      </c>
      <c r="AW85" t="s">
        <v>3</v>
      </c>
      <c r="AX85">
        <v>0</v>
      </c>
      <c r="AY85">
        <v>1</v>
      </c>
      <c r="AZ85" t="s">
        <v>1</v>
      </c>
      <c r="BA85" t="s">
        <v>1</v>
      </c>
      <c r="BB85" t="s">
        <v>1</v>
      </c>
      <c r="BC85" s="21" t="s">
        <v>748</v>
      </c>
      <c r="BD85" s="21" t="s">
        <v>144</v>
      </c>
      <c r="BE85">
        <v>0</v>
      </c>
      <c r="BF85">
        <v>0</v>
      </c>
      <c r="BG85">
        <v>0</v>
      </c>
      <c r="BH85">
        <v>0</v>
      </c>
      <c r="BI85">
        <v>0</v>
      </c>
      <c r="BJ85" t="s">
        <v>749</v>
      </c>
      <c r="BK85">
        <v>0</v>
      </c>
      <c r="BL85" t="s">
        <v>132</v>
      </c>
      <c r="BM85">
        <v>0</v>
      </c>
      <c r="BN85">
        <v>1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 t="s">
        <v>0</v>
      </c>
      <c r="BX85">
        <v>0</v>
      </c>
      <c r="BY85">
        <v>0</v>
      </c>
      <c r="BZ85">
        <v>0</v>
      </c>
      <c r="CA85">
        <v>0</v>
      </c>
      <c r="CB85" t="s">
        <v>145</v>
      </c>
      <c r="CD85" t="str" cm="1">
        <f t="array" aca="1" ref="CD85" ca="1">eConcatenar(A85:CB85,"|")</f>
        <v>kDQm3IyjAfjKFSx2|MODIFCARD76|3|MODIF|MODIF|MODIF|MODIF|2022-01-01|1|0|0|0|0|0|0|0|0|0|0|0|0|0|0|0|0|0|0|x|x|x|x|x|x|x|x|x|x|x|x|x|x|x|x|x|x|x|x|x|x|0|1|X|X|X|2022-2-10|2022-02-23|0|0|0|0|0|QWYNRBIY9KVTQO|0|HOMBRE|0|1|0|0|0|0|0|0|0|0|CARDENAS|0|0|0|0|FINAL</v>
      </c>
    </row>
    <row r="86" spans="1:82" x14ac:dyDescent="0.25">
      <c r="A86" t="s">
        <v>222</v>
      </c>
      <c r="B86" s="19" t="s">
        <v>423</v>
      </c>
      <c r="C86">
        <v>3</v>
      </c>
      <c r="D86" t="s">
        <v>346</v>
      </c>
      <c r="E86" t="s">
        <v>346</v>
      </c>
      <c r="F86" t="s">
        <v>346</v>
      </c>
      <c r="G86" t="s">
        <v>346</v>
      </c>
      <c r="H86" s="21" t="s">
        <v>747</v>
      </c>
      <c r="I86">
        <v>1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">
        <v>3</v>
      </c>
      <c r="AC86" t="s">
        <v>3</v>
      </c>
      <c r="AD86" t="s">
        <v>3</v>
      </c>
      <c r="AE86" t="s">
        <v>3</v>
      </c>
      <c r="AF86" t="s">
        <v>3</v>
      </c>
      <c r="AG86" t="s">
        <v>3</v>
      </c>
      <c r="AH86" t="s">
        <v>3</v>
      </c>
      <c r="AI86" t="s">
        <v>3</v>
      </c>
      <c r="AJ86" t="s">
        <v>3</v>
      </c>
      <c r="AK86" t="s">
        <v>3</v>
      </c>
      <c r="AL86" t="s">
        <v>3</v>
      </c>
      <c r="AM86" t="s">
        <v>3</v>
      </c>
      <c r="AN86" t="s">
        <v>3</v>
      </c>
      <c r="AO86" t="s">
        <v>3</v>
      </c>
      <c r="AP86" t="s">
        <v>3</v>
      </c>
      <c r="AQ86" t="s">
        <v>3</v>
      </c>
      <c r="AR86" t="s">
        <v>3</v>
      </c>
      <c r="AS86" t="s">
        <v>3</v>
      </c>
      <c r="AT86" t="s">
        <v>3</v>
      </c>
      <c r="AU86" t="s">
        <v>3</v>
      </c>
      <c r="AV86" t="s">
        <v>3</v>
      </c>
      <c r="AW86" t="s">
        <v>3</v>
      </c>
      <c r="AX86">
        <v>0</v>
      </c>
      <c r="AY86">
        <v>1</v>
      </c>
      <c r="AZ86" t="s">
        <v>1</v>
      </c>
      <c r="BA86" t="s">
        <v>1</v>
      </c>
      <c r="BB86" t="s">
        <v>1</v>
      </c>
      <c r="BC86" s="21" t="s">
        <v>748</v>
      </c>
      <c r="BD86" s="21" t="s">
        <v>144</v>
      </c>
      <c r="BE86">
        <v>0</v>
      </c>
      <c r="BF86">
        <v>0</v>
      </c>
      <c r="BG86">
        <v>0</v>
      </c>
      <c r="BH86">
        <v>0</v>
      </c>
      <c r="BI86">
        <v>0</v>
      </c>
      <c r="BJ86" t="s">
        <v>749</v>
      </c>
      <c r="BK86">
        <v>0</v>
      </c>
      <c r="BL86" t="s">
        <v>132</v>
      </c>
      <c r="BM86">
        <v>0</v>
      </c>
      <c r="BN86">
        <v>1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 t="s">
        <v>0</v>
      </c>
      <c r="BX86">
        <v>0</v>
      </c>
      <c r="BY86">
        <v>0</v>
      </c>
      <c r="BZ86">
        <v>0</v>
      </c>
      <c r="CA86">
        <v>0</v>
      </c>
      <c r="CB86" t="s">
        <v>145</v>
      </c>
      <c r="CD86" t="str" cm="1">
        <f t="array" aca="1" ref="CD86" ca="1">eConcatenar(A86:CB86,"|")</f>
        <v>HOqaI56jAhMOLW0R|MODIFCARD77|3|MODIF|MODIF|MODIF|MODIF|2022-01-01|1|0|0|0|0|0|0|0|0|0|0|0|0|0|0|0|0|0|0|x|x|x|x|x|x|x|x|x|x|x|x|x|x|x|x|x|x|x|x|x|x|0|1|X|X|X|2022-2-10|2022-02-23|0|0|0|0|0|QWYNRBIY9KVTQO|0|HOMBRE|0|1|0|0|0|0|0|0|0|0|CARDENAS|0|0|0|0|FINAL</v>
      </c>
    </row>
    <row r="87" spans="1:82" x14ac:dyDescent="0.25">
      <c r="A87" t="s">
        <v>223</v>
      </c>
      <c r="B87" s="19" t="s">
        <v>424</v>
      </c>
      <c r="C87">
        <v>3</v>
      </c>
      <c r="D87" t="s">
        <v>346</v>
      </c>
      <c r="E87" t="s">
        <v>346</v>
      </c>
      <c r="F87" t="s">
        <v>346</v>
      </c>
      <c r="G87" t="s">
        <v>346</v>
      </c>
      <c r="H87" s="21" t="s">
        <v>747</v>
      </c>
      <c r="I87">
        <v>1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 t="s">
        <v>3</v>
      </c>
      <c r="AC87" t="s">
        <v>3</v>
      </c>
      <c r="AD87" t="s">
        <v>3</v>
      </c>
      <c r="AE87" t="s">
        <v>3</v>
      </c>
      <c r="AF87" t="s">
        <v>3</v>
      </c>
      <c r="AG87" t="s">
        <v>3</v>
      </c>
      <c r="AH87" t="s">
        <v>3</v>
      </c>
      <c r="AI87" t="s">
        <v>3</v>
      </c>
      <c r="AJ87" t="s">
        <v>3</v>
      </c>
      <c r="AK87" t="s">
        <v>3</v>
      </c>
      <c r="AL87" t="s">
        <v>3</v>
      </c>
      <c r="AM87" t="s">
        <v>3</v>
      </c>
      <c r="AN87" t="s">
        <v>3</v>
      </c>
      <c r="AO87" t="s">
        <v>3</v>
      </c>
      <c r="AP87" t="s">
        <v>3</v>
      </c>
      <c r="AQ87" t="s">
        <v>3</v>
      </c>
      <c r="AR87" t="s">
        <v>3</v>
      </c>
      <c r="AS87" t="s">
        <v>3</v>
      </c>
      <c r="AT87" t="s">
        <v>3</v>
      </c>
      <c r="AU87" t="s">
        <v>3</v>
      </c>
      <c r="AV87" t="s">
        <v>3</v>
      </c>
      <c r="AW87" t="s">
        <v>3</v>
      </c>
      <c r="AX87">
        <v>0</v>
      </c>
      <c r="AY87">
        <v>1</v>
      </c>
      <c r="AZ87" t="s">
        <v>1</v>
      </c>
      <c r="BA87" t="s">
        <v>1</v>
      </c>
      <c r="BB87" t="s">
        <v>1</v>
      </c>
      <c r="BC87" s="21" t="s">
        <v>748</v>
      </c>
      <c r="BD87" s="21" t="s">
        <v>144</v>
      </c>
      <c r="BE87">
        <v>0</v>
      </c>
      <c r="BF87">
        <v>0</v>
      </c>
      <c r="BG87">
        <v>0</v>
      </c>
      <c r="BH87">
        <v>0</v>
      </c>
      <c r="BI87">
        <v>0</v>
      </c>
      <c r="BJ87" t="s">
        <v>749</v>
      </c>
      <c r="BK87">
        <v>0</v>
      </c>
      <c r="BL87" t="s">
        <v>132</v>
      </c>
      <c r="BM87">
        <v>0</v>
      </c>
      <c r="BN87">
        <v>1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 t="s">
        <v>0</v>
      </c>
      <c r="BX87">
        <v>0</v>
      </c>
      <c r="BY87">
        <v>0</v>
      </c>
      <c r="BZ87">
        <v>0</v>
      </c>
      <c r="CA87">
        <v>0</v>
      </c>
      <c r="CB87" t="s">
        <v>145</v>
      </c>
      <c r="CD87" t="str" cm="1">
        <f t="array" aca="1" ref="CD87" ca="1">eConcatenar(A87:CB87,"|")</f>
        <v>BsNc1DyPeqvsZert|MODIFCARD78|3|MODIF|MODIF|MODIF|MODIF|2022-01-01|1|0|0|0|0|0|0|0|0|0|0|0|0|0|0|0|0|0|0|x|x|x|x|x|x|x|x|x|x|x|x|x|x|x|x|x|x|x|x|x|x|0|1|X|X|X|2022-2-10|2022-02-23|0|0|0|0|0|QWYNRBIY9KVTQO|0|HOMBRE|0|1|0|0|0|0|0|0|0|0|CARDENAS|0|0|0|0|FINAL</v>
      </c>
    </row>
    <row r="88" spans="1:82" x14ac:dyDescent="0.25">
      <c r="A88" t="s">
        <v>224</v>
      </c>
      <c r="B88" s="19" t="s">
        <v>425</v>
      </c>
      <c r="C88">
        <v>3</v>
      </c>
      <c r="D88" t="s">
        <v>346</v>
      </c>
      <c r="E88" t="s">
        <v>346</v>
      </c>
      <c r="F88" t="s">
        <v>346</v>
      </c>
      <c r="G88" t="s">
        <v>346</v>
      </c>
      <c r="H88" s="21" t="s">
        <v>747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">
        <v>3</v>
      </c>
      <c r="AC88" t="s">
        <v>3</v>
      </c>
      <c r="AD88" t="s">
        <v>3</v>
      </c>
      <c r="AE88" t="s">
        <v>3</v>
      </c>
      <c r="AF88" t="s">
        <v>3</v>
      </c>
      <c r="AG88" t="s">
        <v>3</v>
      </c>
      <c r="AH88" t="s">
        <v>3</v>
      </c>
      <c r="AI88" t="s">
        <v>3</v>
      </c>
      <c r="AJ88" t="s">
        <v>3</v>
      </c>
      <c r="AK88" t="s">
        <v>3</v>
      </c>
      <c r="AL88" t="s">
        <v>3</v>
      </c>
      <c r="AM88" t="s">
        <v>3</v>
      </c>
      <c r="AN88" t="s">
        <v>3</v>
      </c>
      <c r="AO88" t="s">
        <v>3</v>
      </c>
      <c r="AP88" t="s">
        <v>3</v>
      </c>
      <c r="AQ88" t="s">
        <v>3</v>
      </c>
      <c r="AR88" t="s">
        <v>3</v>
      </c>
      <c r="AS88" t="s">
        <v>3</v>
      </c>
      <c r="AT88" t="s">
        <v>3</v>
      </c>
      <c r="AU88" t="s">
        <v>3</v>
      </c>
      <c r="AV88" t="s">
        <v>3</v>
      </c>
      <c r="AW88" t="s">
        <v>3</v>
      </c>
      <c r="AX88">
        <v>0</v>
      </c>
      <c r="AY88">
        <v>1</v>
      </c>
      <c r="AZ88" t="s">
        <v>1</v>
      </c>
      <c r="BA88" t="s">
        <v>1</v>
      </c>
      <c r="BB88" t="s">
        <v>1</v>
      </c>
      <c r="BC88" s="21" t="s">
        <v>748</v>
      </c>
      <c r="BD88" s="21" t="s">
        <v>144</v>
      </c>
      <c r="BE88">
        <v>0</v>
      </c>
      <c r="BF88">
        <v>0</v>
      </c>
      <c r="BG88">
        <v>0</v>
      </c>
      <c r="BH88">
        <v>0</v>
      </c>
      <c r="BI88">
        <v>0</v>
      </c>
      <c r="BJ88" t="s">
        <v>749</v>
      </c>
      <c r="BK88">
        <v>0</v>
      </c>
      <c r="BL88" t="s">
        <v>132</v>
      </c>
      <c r="BM88">
        <v>0</v>
      </c>
      <c r="BN88">
        <v>1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 t="s">
        <v>0</v>
      </c>
      <c r="BX88">
        <v>0</v>
      </c>
      <c r="BY88">
        <v>0</v>
      </c>
      <c r="BZ88">
        <v>0</v>
      </c>
      <c r="CA88">
        <v>0</v>
      </c>
      <c r="CB88" t="s">
        <v>145</v>
      </c>
      <c r="CD88" t="str" cm="1">
        <f t="array" aca="1" ref="CD88" ca="1">eConcatenar(A88:CB88,"|")</f>
        <v>ztxh5ioO36iacnQE|MODIFCARD79|3|MODIF|MODIF|MODIF|MODIF|2022-01-01|1|0|0|0|0|0|0|0|0|0|0|0|0|0|0|0|0|0|0|x|x|x|x|x|x|x|x|x|x|x|x|x|x|x|x|x|x|x|x|x|x|0|1|X|X|X|2022-2-10|2022-02-23|0|0|0|0|0|QWYNRBIY9KVTQO|0|HOMBRE|0|1|0|0|0|0|0|0|0|0|CARDENAS|0|0|0|0|FINAL</v>
      </c>
    </row>
    <row r="89" spans="1:82" x14ac:dyDescent="0.25">
      <c r="A89" t="s">
        <v>225</v>
      </c>
      <c r="B89" s="19" t="s">
        <v>426</v>
      </c>
      <c r="C89">
        <v>3</v>
      </c>
      <c r="D89" t="s">
        <v>346</v>
      </c>
      <c r="E89" t="s">
        <v>346</v>
      </c>
      <c r="F89" t="s">
        <v>346</v>
      </c>
      <c r="G89" t="s">
        <v>346</v>
      </c>
      <c r="H89" s="21" t="s">
        <v>747</v>
      </c>
      <c r="I89">
        <v>1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">
        <v>3</v>
      </c>
      <c r="AC89" t="s">
        <v>3</v>
      </c>
      <c r="AD89" t="s">
        <v>3</v>
      </c>
      <c r="AE89" t="s">
        <v>3</v>
      </c>
      <c r="AF89" t="s">
        <v>3</v>
      </c>
      <c r="AG89" t="s">
        <v>3</v>
      </c>
      <c r="AH89" t="s">
        <v>3</v>
      </c>
      <c r="AI89" t="s">
        <v>3</v>
      </c>
      <c r="AJ89" t="s">
        <v>3</v>
      </c>
      <c r="AK89" t="s">
        <v>3</v>
      </c>
      <c r="AL89" t="s">
        <v>3</v>
      </c>
      <c r="AM89" t="s">
        <v>3</v>
      </c>
      <c r="AN89" t="s">
        <v>3</v>
      </c>
      <c r="AO89" t="s">
        <v>3</v>
      </c>
      <c r="AP89" t="s">
        <v>3</v>
      </c>
      <c r="AQ89" t="s">
        <v>3</v>
      </c>
      <c r="AR89" t="s">
        <v>3</v>
      </c>
      <c r="AS89" t="s">
        <v>3</v>
      </c>
      <c r="AT89" t="s">
        <v>3</v>
      </c>
      <c r="AU89" t="s">
        <v>3</v>
      </c>
      <c r="AV89" t="s">
        <v>3</v>
      </c>
      <c r="AW89" t="s">
        <v>3</v>
      </c>
      <c r="AX89">
        <v>0</v>
      </c>
      <c r="AY89">
        <v>1</v>
      </c>
      <c r="AZ89" t="s">
        <v>1</v>
      </c>
      <c r="BA89" t="s">
        <v>1</v>
      </c>
      <c r="BB89" t="s">
        <v>1</v>
      </c>
      <c r="BC89" s="21" t="s">
        <v>748</v>
      </c>
      <c r="BD89" s="21" t="s">
        <v>144</v>
      </c>
      <c r="BE89">
        <v>0</v>
      </c>
      <c r="BF89">
        <v>0</v>
      </c>
      <c r="BG89">
        <v>0</v>
      </c>
      <c r="BH89">
        <v>0</v>
      </c>
      <c r="BI89">
        <v>0</v>
      </c>
      <c r="BJ89" t="s">
        <v>749</v>
      </c>
      <c r="BK89">
        <v>0</v>
      </c>
      <c r="BL89" t="s">
        <v>132</v>
      </c>
      <c r="BM89">
        <v>0</v>
      </c>
      <c r="BN89">
        <v>1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 t="s">
        <v>0</v>
      </c>
      <c r="BX89">
        <v>0</v>
      </c>
      <c r="BY89">
        <v>0</v>
      </c>
      <c r="BZ89">
        <v>0</v>
      </c>
      <c r="CA89">
        <v>0</v>
      </c>
      <c r="CB89" t="s">
        <v>145</v>
      </c>
      <c r="CD89" t="str" cm="1">
        <f t="array" aca="1" ref="CD89" ca="1">eConcatenar(A89:CB89,"|")</f>
        <v>isPKm67sdPj3T1Zf|MODIFCARD80|3|MODIF|MODIF|MODIF|MODIF|2022-01-01|1|0|0|0|0|0|0|0|0|0|0|0|0|0|0|0|0|0|0|x|x|x|x|x|x|x|x|x|x|x|x|x|x|x|x|x|x|x|x|x|x|0|1|X|X|X|2022-2-10|2022-02-23|0|0|0|0|0|QWYNRBIY9KVTQO|0|HOMBRE|0|1|0|0|0|0|0|0|0|0|CARDENAS|0|0|0|0|FINAL</v>
      </c>
    </row>
    <row r="90" spans="1:82" x14ac:dyDescent="0.25">
      <c r="A90" t="s">
        <v>226</v>
      </c>
      <c r="B90" s="19" t="s">
        <v>427</v>
      </c>
      <c r="C90">
        <v>3</v>
      </c>
      <c r="D90" t="s">
        <v>346</v>
      </c>
      <c r="E90" t="s">
        <v>346</v>
      </c>
      <c r="F90" t="s">
        <v>346</v>
      </c>
      <c r="G90" t="s">
        <v>346</v>
      </c>
      <c r="H90" s="21" t="s">
        <v>747</v>
      </c>
      <c r="I90">
        <v>1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 t="s">
        <v>3</v>
      </c>
      <c r="AC90" t="s">
        <v>3</v>
      </c>
      <c r="AD90" t="s">
        <v>3</v>
      </c>
      <c r="AE90" t="s">
        <v>3</v>
      </c>
      <c r="AF90" t="s">
        <v>3</v>
      </c>
      <c r="AG90" t="s">
        <v>3</v>
      </c>
      <c r="AH90" t="s">
        <v>3</v>
      </c>
      <c r="AI90" t="s">
        <v>3</v>
      </c>
      <c r="AJ90" t="s">
        <v>3</v>
      </c>
      <c r="AK90" t="s">
        <v>3</v>
      </c>
      <c r="AL90" t="s">
        <v>3</v>
      </c>
      <c r="AM90" t="s">
        <v>3</v>
      </c>
      <c r="AN90" t="s">
        <v>3</v>
      </c>
      <c r="AO90" t="s">
        <v>3</v>
      </c>
      <c r="AP90" t="s">
        <v>3</v>
      </c>
      <c r="AQ90" t="s">
        <v>3</v>
      </c>
      <c r="AR90" t="s">
        <v>3</v>
      </c>
      <c r="AS90" t="s">
        <v>3</v>
      </c>
      <c r="AT90" t="s">
        <v>3</v>
      </c>
      <c r="AU90" t="s">
        <v>3</v>
      </c>
      <c r="AV90" t="s">
        <v>3</v>
      </c>
      <c r="AW90" t="s">
        <v>3</v>
      </c>
      <c r="AX90">
        <v>0</v>
      </c>
      <c r="AY90">
        <v>1</v>
      </c>
      <c r="AZ90" t="s">
        <v>1</v>
      </c>
      <c r="BA90" t="s">
        <v>1</v>
      </c>
      <c r="BB90" t="s">
        <v>1</v>
      </c>
      <c r="BC90" s="21" t="s">
        <v>748</v>
      </c>
      <c r="BD90" s="21" t="s">
        <v>144</v>
      </c>
      <c r="BE90">
        <v>0</v>
      </c>
      <c r="BF90">
        <v>0</v>
      </c>
      <c r="BG90">
        <v>0</v>
      </c>
      <c r="BH90">
        <v>0</v>
      </c>
      <c r="BI90">
        <v>0</v>
      </c>
      <c r="BJ90" t="s">
        <v>749</v>
      </c>
      <c r="BK90">
        <v>0</v>
      </c>
      <c r="BL90" t="s">
        <v>132</v>
      </c>
      <c r="BM90">
        <v>0</v>
      </c>
      <c r="BN90">
        <v>1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 t="s">
        <v>0</v>
      </c>
      <c r="BX90">
        <v>0</v>
      </c>
      <c r="BY90">
        <v>0</v>
      </c>
      <c r="BZ90">
        <v>0</v>
      </c>
      <c r="CA90">
        <v>0</v>
      </c>
      <c r="CB90" t="s">
        <v>145</v>
      </c>
      <c r="CD90" t="str" cm="1">
        <f t="array" aca="1" ref="CD90" ca="1">eConcatenar(A90:CB90,"|")</f>
        <v>H8W1V4s38FCObdrE|MODIFCARD81|3|MODIF|MODIF|MODIF|MODIF|2022-01-01|1|0|0|0|0|0|0|0|0|0|0|0|0|0|0|0|0|0|0|x|x|x|x|x|x|x|x|x|x|x|x|x|x|x|x|x|x|x|x|x|x|0|1|X|X|X|2022-2-10|2022-02-23|0|0|0|0|0|QWYNRBIY9KVTQO|0|HOMBRE|0|1|0|0|0|0|0|0|0|0|CARDENAS|0|0|0|0|FINAL</v>
      </c>
    </row>
    <row r="91" spans="1:82" x14ac:dyDescent="0.25">
      <c r="A91" t="s">
        <v>227</v>
      </c>
      <c r="B91" s="19" t="s">
        <v>428</v>
      </c>
      <c r="C91">
        <v>3</v>
      </c>
      <c r="D91" t="s">
        <v>346</v>
      </c>
      <c r="E91" t="s">
        <v>346</v>
      </c>
      <c r="F91" t="s">
        <v>346</v>
      </c>
      <c r="G91" t="s">
        <v>346</v>
      </c>
      <c r="H91" s="21" t="s">
        <v>747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">
        <v>3</v>
      </c>
      <c r="AC91" t="s">
        <v>3</v>
      </c>
      <c r="AD91" t="s">
        <v>3</v>
      </c>
      <c r="AE91" t="s">
        <v>3</v>
      </c>
      <c r="AF91" t="s">
        <v>3</v>
      </c>
      <c r="AG91" t="s">
        <v>3</v>
      </c>
      <c r="AH91" t="s">
        <v>3</v>
      </c>
      <c r="AI91" t="s">
        <v>3</v>
      </c>
      <c r="AJ91" t="s">
        <v>3</v>
      </c>
      <c r="AK91" t="s">
        <v>3</v>
      </c>
      <c r="AL91" t="s">
        <v>3</v>
      </c>
      <c r="AM91" t="s">
        <v>3</v>
      </c>
      <c r="AN91" t="s">
        <v>3</v>
      </c>
      <c r="AO91" t="s">
        <v>3</v>
      </c>
      <c r="AP91" t="s">
        <v>3</v>
      </c>
      <c r="AQ91" t="s">
        <v>3</v>
      </c>
      <c r="AR91" t="s">
        <v>3</v>
      </c>
      <c r="AS91" t="s">
        <v>3</v>
      </c>
      <c r="AT91" t="s">
        <v>3</v>
      </c>
      <c r="AU91" t="s">
        <v>3</v>
      </c>
      <c r="AV91" t="s">
        <v>3</v>
      </c>
      <c r="AW91" t="s">
        <v>3</v>
      </c>
      <c r="AX91">
        <v>0</v>
      </c>
      <c r="AY91">
        <v>1</v>
      </c>
      <c r="AZ91" t="s">
        <v>1</v>
      </c>
      <c r="BA91" t="s">
        <v>1</v>
      </c>
      <c r="BB91" t="s">
        <v>1</v>
      </c>
      <c r="BC91" s="21" t="s">
        <v>748</v>
      </c>
      <c r="BD91" s="21" t="s">
        <v>144</v>
      </c>
      <c r="BE91">
        <v>0</v>
      </c>
      <c r="BF91">
        <v>0</v>
      </c>
      <c r="BG91">
        <v>0</v>
      </c>
      <c r="BH91">
        <v>0</v>
      </c>
      <c r="BI91">
        <v>0</v>
      </c>
      <c r="BJ91" t="s">
        <v>749</v>
      </c>
      <c r="BK91">
        <v>0</v>
      </c>
      <c r="BL91" t="s">
        <v>132</v>
      </c>
      <c r="BM91">
        <v>0</v>
      </c>
      <c r="BN91">
        <v>1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 t="s">
        <v>0</v>
      </c>
      <c r="BX91">
        <v>0</v>
      </c>
      <c r="BY91">
        <v>0</v>
      </c>
      <c r="BZ91">
        <v>0</v>
      </c>
      <c r="CA91">
        <v>0</v>
      </c>
      <c r="CB91" t="s">
        <v>145</v>
      </c>
      <c r="CD91" t="str" cm="1">
        <f t="array" aca="1" ref="CD91" ca="1">eConcatenar(A91:CB91,"|")</f>
        <v>IoyUKEIHIzCLRN2a|MODIFCARD82|3|MODIF|MODIF|MODIF|MODIF|2022-01-01|1|0|0|0|0|0|0|0|0|0|0|0|0|0|0|0|0|0|0|x|x|x|x|x|x|x|x|x|x|x|x|x|x|x|x|x|x|x|x|x|x|0|1|X|X|X|2022-2-10|2022-02-23|0|0|0|0|0|QWYNRBIY9KVTQO|0|HOMBRE|0|1|0|0|0|0|0|0|0|0|CARDENAS|0|0|0|0|FINAL</v>
      </c>
    </row>
    <row r="92" spans="1:82" x14ac:dyDescent="0.25">
      <c r="A92" t="s">
        <v>228</v>
      </c>
      <c r="B92" s="19" t="s">
        <v>429</v>
      </c>
      <c r="C92">
        <v>3</v>
      </c>
      <c r="D92" t="s">
        <v>346</v>
      </c>
      <c r="E92" t="s">
        <v>346</v>
      </c>
      <c r="F92" t="s">
        <v>346</v>
      </c>
      <c r="G92" t="s">
        <v>346</v>
      </c>
      <c r="H92" s="21" t="s">
        <v>747</v>
      </c>
      <c r="I92">
        <v>1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">
        <v>3</v>
      </c>
      <c r="AC92" t="s">
        <v>3</v>
      </c>
      <c r="AD92" t="s">
        <v>3</v>
      </c>
      <c r="AE92" t="s">
        <v>3</v>
      </c>
      <c r="AF92" t="s">
        <v>3</v>
      </c>
      <c r="AG92" t="s">
        <v>3</v>
      </c>
      <c r="AH92" t="s">
        <v>3</v>
      </c>
      <c r="AI92" t="s">
        <v>3</v>
      </c>
      <c r="AJ92" t="s">
        <v>3</v>
      </c>
      <c r="AK92" t="s">
        <v>3</v>
      </c>
      <c r="AL92" t="s">
        <v>3</v>
      </c>
      <c r="AM92" t="s">
        <v>3</v>
      </c>
      <c r="AN92" t="s">
        <v>3</v>
      </c>
      <c r="AO92" t="s">
        <v>3</v>
      </c>
      <c r="AP92" t="s">
        <v>3</v>
      </c>
      <c r="AQ92" t="s">
        <v>3</v>
      </c>
      <c r="AR92" t="s">
        <v>3</v>
      </c>
      <c r="AS92" t="s">
        <v>3</v>
      </c>
      <c r="AT92" t="s">
        <v>3</v>
      </c>
      <c r="AU92" t="s">
        <v>3</v>
      </c>
      <c r="AV92" t="s">
        <v>3</v>
      </c>
      <c r="AW92" t="s">
        <v>3</v>
      </c>
      <c r="AX92">
        <v>0</v>
      </c>
      <c r="AY92">
        <v>1</v>
      </c>
      <c r="AZ92" t="s">
        <v>1</v>
      </c>
      <c r="BA92" t="s">
        <v>1</v>
      </c>
      <c r="BB92" t="s">
        <v>1</v>
      </c>
      <c r="BC92" s="21" t="s">
        <v>748</v>
      </c>
      <c r="BD92" s="21" t="s">
        <v>144</v>
      </c>
      <c r="BE92">
        <v>0</v>
      </c>
      <c r="BF92">
        <v>0</v>
      </c>
      <c r="BG92">
        <v>0</v>
      </c>
      <c r="BH92">
        <v>0</v>
      </c>
      <c r="BI92">
        <v>0</v>
      </c>
      <c r="BJ92" t="s">
        <v>749</v>
      </c>
      <c r="BK92">
        <v>0</v>
      </c>
      <c r="BL92" t="s">
        <v>132</v>
      </c>
      <c r="BM92">
        <v>0</v>
      </c>
      <c r="BN92">
        <v>1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 t="s">
        <v>0</v>
      </c>
      <c r="BX92">
        <v>0</v>
      </c>
      <c r="BY92">
        <v>0</v>
      </c>
      <c r="BZ92">
        <v>0</v>
      </c>
      <c r="CA92">
        <v>0</v>
      </c>
      <c r="CB92" t="s">
        <v>145</v>
      </c>
      <c r="CD92" t="str" cm="1">
        <f t="array" aca="1" ref="CD92" ca="1">eConcatenar(A92:CB92,"|")</f>
        <v>IjitA4MBGOWqkqA2|MODIFCARD83|3|MODIF|MODIF|MODIF|MODIF|2022-01-01|1|0|0|0|0|0|0|0|0|0|0|0|0|0|0|0|0|0|0|x|x|x|x|x|x|x|x|x|x|x|x|x|x|x|x|x|x|x|x|x|x|0|1|X|X|X|2022-2-10|2022-02-23|0|0|0|0|0|QWYNRBIY9KVTQO|0|HOMBRE|0|1|0|0|0|0|0|0|0|0|CARDENAS|0|0|0|0|FINAL</v>
      </c>
    </row>
    <row r="93" spans="1:82" x14ac:dyDescent="0.25">
      <c r="A93" t="s">
        <v>229</v>
      </c>
      <c r="B93" s="19" t="s">
        <v>430</v>
      </c>
      <c r="C93">
        <v>3</v>
      </c>
      <c r="D93" t="s">
        <v>346</v>
      </c>
      <c r="E93" t="s">
        <v>346</v>
      </c>
      <c r="F93" t="s">
        <v>346</v>
      </c>
      <c r="G93" t="s">
        <v>346</v>
      </c>
      <c r="H93" s="21" t="s">
        <v>747</v>
      </c>
      <c r="I93">
        <v>1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 t="s">
        <v>3</v>
      </c>
      <c r="AC93" t="s">
        <v>3</v>
      </c>
      <c r="AD93" t="s">
        <v>3</v>
      </c>
      <c r="AE93" t="s">
        <v>3</v>
      </c>
      <c r="AF93" t="s">
        <v>3</v>
      </c>
      <c r="AG93" t="s">
        <v>3</v>
      </c>
      <c r="AH93" t="s">
        <v>3</v>
      </c>
      <c r="AI93" t="s">
        <v>3</v>
      </c>
      <c r="AJ93" t="s">
        <v>3</v>
      </c>
      <c r="AK93" t="s">
        <v>3</v>
      </c>
      <c r="AL93" t="s">
        <v>3</v>
      </c>
      <c r="AM93" t="s">
        <v>3</v>
      </c>
      <c r="AN93" t="s">
        <v>3</v>
      </c>
      <c r="AO93" t="s">
        <v>3</v>
      </c>
      <c r="AP93" t="s">
        <v>3</v>
      </c>
      <c r="AQ93" t="s">
        <v>3</v>
      </c>
      <c r="AR93" t="s">
        <v>3</v>
      </c>
      <c r="AS93" t="s">
        <v>3</v>
      </c>
      <c r="AT93" t="s">
        <v>3</v>
      </c>
      <c r="AU93" t="s">
        <v>3</v>
      </c>
      <c r="AV93" t="s">
        <v>3</v>
      </c>
      <c r="AW93" t="s">
        <v>3</v>
      </c>
      <c r="AX93">
        <v>0</v>
      </c>
      <c r="AY93">
        <v>1</v>
      </c>
      <c r="AZ93" t="s">
        <v>1</v>
      </c>
      <c r="BA93" t="s">
        <v>1</v>
      </c>
      <c r="BB93" t="s">
        <v>1</v>
      </c>
      <c r="BC93" s="21" t="s">
        <v>748</v>
      </c>
      <c r="BD93" s="21" t="s">
        <v>144</v>
      </c>
      <c r="BE93">
        <v>0</v>
      </c>
      <c r="BF93">
        <v>0</v>
      </c>
      <c r="BG93">
        <v>0</v>
      </c>
      <c r="BH93">
        <v>0</v>
      </c>
      <c r="BI93">
        <v>0</v>
      </c>
      <c r="BJ93" t="s">
        <v>749</v>
      </c>
      <c r="BK93">
        <v>0</v>
      </c>
      <c r="BL93" t="s">
        <v>132</v>
      </c>
      <c r="BM93">
        <v>0</v>
      </c>
      <c r="BN93">
        <v>1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 t="s">
        <v>0</v>
      </c>
      <c r="BX93">
        <v>0</v>
      </c>
      <c r="BY93">
        <v>0</v>
      </c>
      <c r="BZ93">
        <v>0</v>
      </c>
      <c r="CA93">
        <v>0</v>
      </c>
      <c r="CB93" t="s">
        <v>145</v>
      </c>
      <c r="CD93" t="str" cm="1">
        <f t="array" aca="1" ref="CD93" ca="1">eConcatenar(A93:CB93,"|")</f>
        <v>LJ9QEEd35psrYbeb|MODIFCARD84|3|MODIF|MODIF|MODIF|MODIF|2022-01-01|1|0|0|0|0|0|0|0|0|0|0|0|0|0|0|0|0|0|0|x|x|x|x|x|x|x|x|x|x|x|x|x|x|x|x|x|x|x|x|x|x|0|1|X|X|X|2022-2-10|2022-02-23|0|0|0|0|0|QWYNRBIY9KVTQO|0|HOMBRE|0|1|0|0|0|0|0|0|0|0|CARDENAS|0|0|0|0|FINAL</v>
      </c>
    </row>
    <row r="94" spans="1:82" x14ac:dyDescent="0.25">
      <c r="A94" t="s">
        <v>230</v>
      </c>
      <c r="B94" s="19" t="s">
        <v>431</v>
      </c>
      <c r="C94">
        <v>3</v>
      </c>
      <c r="D94" t="s">
        <v>346</v>
      </c>
      <c r="E94" t="s">
        <v>346</v>
      </c>
      <c r="F94" t="s">
        <v>346</v>
      </c>
      <c r="G94" t="s">
        <v>346</v>
      </c>
      <c r="H94" s="21" t="s">
        <v>747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">
        <v>3</v>
      </c>
      <c r="AC94" t="s">
        <v>3</v>
      </c>
      <c r="AD94" t="s">
        <v>3</v>
      </c>
      <c r="AE94" t="s">
        <v>3</v>
      </c>
      <c r="AF94" t="s">
        <v>3</v>
      </c>
      <c r="AG94" t="s">
        <v>3</v>
      </c>
      <c r="AH94" t="s">
        <v>3</v>
      </c>
      <c r="AI94" t="s">
        <v>3</v>
      </c>
      <c r="AJ94" t="s">
        <v>3</v>
      </c>
      <c r="AK94" t="s">
        <v>3</v>
      </c>
      <c r="AL94" t="s">
        <v>3</v>
      </c>
      <c r="AM94" t="s">
        <v>3</v>
      </c>
      <c r="AN94" t="s">
        <v>3</v>
      </c>
      <c r="AO94" t="s">
        <v>3</v>
      </c>
      <c r="AP94" t="s">
        <v>3</v>
      </c>
      <c r="AQ94" t="s">
        <v>3</v>
      </c>
      <c r="AR94" t="s">
        <v>3</v>
      </c>
      <c r="AS94" t="s">
        <v>3</v>
      </c>
      <c r="AT94" t="s">
        <v>3</v>
      </c>
      <c r="AU94" t="s">
        <v>3</v>
      </c>
      <c r="AV94" t="s">
        <v>3</v>
      </c>
      <c r="AW94" t="s">
        <v>3</v>
      </c>
      <c r="AX94">
        <v>0</v>
      </c>
      <c r="AY94">
        <v>1</v>
      </c>
      <c r="AZ94" t="s">
        <v>1</v>
      </c>
      <c r="BA94" t="s">
        <v>1</v>
      </c>
      <c r="BB94" t="s">
        <v>1</v>
      </c>
      <c r="BC94" s="21" t="s">
        <v>748</v>
      </c>
      <c r="BD94" s="21" t="s">
        <v>144</v>
      </c>
      <c r="BE94">
        <v>0</v>
      </c>
      <c r="BF94">
        <v>0</v>
      </c>
      <c r="BG94">
        <v>0</v>
      </c>
      <c r="BH94">
        <v>0</v>
      </c>
      <c r="BI94">
        <v>0</v>
      </c>
      <c r="BJ94" t="s">
        <v>749</v>
      </c>
      <c r="BK94">
        <v>0</v>
      </c>
      <c r="BL94" t="s">
        <v>132</v>
      </c>
      <c r="BM94">
        <v>0</v>
      </c>
      <c r="BN94">
        <v>1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 t="s">
        <v>0</v>
      </c>
      <c r="BX94">
        <v>0</v>
      </c>
      <c r="BY94">
        <v>0</v>
      </c>
      <c r="BZ94">
        <v>0</v>
      </c>
      <c r="CA94">
        <v>0</v>
      </c>
      <c r="CB94" t="s">
        <v>145</v>
      </c>
      <c r="CD94" t="str" cm="1">
        <f t="array" aca="1" ref="CD94" ca="1">eConcatenar(A94:CB94,"|")</f>
        <v>YZWvg0FmrGCLXyZv|MODIFCARD85|3|MODIF|MODIF|MODIF|MODIF|2022-01-01|1|0|0|0|0|0|0|0|0|0|0|0|0|0|0|0|0|0|0|x|x|x|x|x|x|x|x|x|x|x|x|x|x|x|x|x|x|x|x|x|x|0|1|X|X|X|2022-2-10|2022-02-23|0|0|0|0|0|QWYNRBIY9KVTQO|0|HOMBRE|0|1|0|0|0|0|0|0|0|0|CARDENAS|0|0|0|0|FINAL</v>
      </c>
    </row>
    <row r="95" spans="1:82" x14ac:dyDescent="0.25">
      <c r="A95" t="s">
        <v>231</v>
      </c>
      <c r="B95" s="19" t="s">
        <v>432</v>
      </c>
      <c r="C95">
        <v>3</v>
      </c>
      <c r="D95" t="s">
        <v>346</v>
      </c>
      <c r="E95" t="s">
        <v>346</v>
      </c>
      <c r="F95" t="s">
        <v>346</v>
      </c>
      <c r="G95" t="s">
        <v>346</v>
      </c>
      <c r="H95" s="21" t="s">
        <v>747</v>
      </c>
      <c r="I95">
        <v>1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t="s">
        <v>3</v>
      </c>
      <c r="AC95" t="s">
        <v>3</v>
      </c>
      <c r="AD95" t="s">
        <v>3</v>
      </c>
      <c r="AE95" t="s">
        <v>3</v>
      </c>
      <c r="AF95" t="s">
        <v>3</v>
      </c>
      <c r="AG95" t="s">
        <v>3</v>
      </c>
      <c r="AH95" t="s">
        <v>3</v>
      </c>
      <c r="AI95" t="s">
        <v>3</v>
      </c>
      <c r="AJ95" t="s">
        <v>3</v>
      </c>
      <c r="AK95" t="s">
        <v>3</v>
      </c>
      <c r="AL95" t="s">
        <v>3</v>
      </c>
      <c r="AM95" t="s">
        <v>3</v>
      </c>
      <c r="AN95" t="s">
        <v>3</v>
      </c>
      <c r="AO95" t="s">
        <v>3</v>
      </c>
      <c r="AP95" t="s">
        <v>3</v>
      </c>
      <c r="AQ95" t="s">
        <v>3</v>
      </c>
      <c r="AR95" t="s">
        <v>3</v>
      </c>
      <c r="AS95" t="s">
        <v>3</v>
      </c>
      <c r="AT95" t="s">
        <v>3</v>
      </c>
      <c r="AU95" t="s">
        <v>3</v>
      </c>
      <c r="AV95" t="s">
        <v>3</v>
      </c>
      <c r="AW95" t="s">
        <v>3</v>
      </c>
      <c r="AX95">
        <v>0</v>
      </c>
      <c r="AY95">
        <v>1</v>
      </c>
      <c r="AZ95" t="s">
        <v>1</v>
      </c>
      <c r="BA95" t="s">
        <v>1</v>
      </c>
      <c r="BB95" t="s">
        <v>1</v>
      </c>
      <c r="BC95" s="21" t="s">
        <v>748</v>
      </c>
      <c r="BD95" s="21" t="s">
        <v>144</v>
      </c>
      <c r="BE95">
        <v>0</v>
      </c>
      <c r="BF95">
        <v>0</v>
      </c>
      <c r="BG95">
        <v>0</v>
      </c>
      <c r="BH95">
        <v>0</v>
      </c>
      <c r="BI95">
        <v>0</v>
      </c>
      <c r="BJ95" t="s">
        <v>749</v>
      </c>
      <c r="BK95">
        <v>0</v>
      </c>
      <c r="BL95" t="s">
        <v>132</v>
      </c>
      <c r="BM95">
        <v>0</v>
      </c>
      <c r="BN95">
        <v>1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 t="s">
        <v>0</v>
      </c>
      <c r="BX95">
        <v>0</v>
      </c>
      <c r="BY95">
        <v>0</v>
      </c>
      <c r="BZ95">
        <v>0</v>
      </c>
      <c r="CA95">
        <v>0</v>
      </c>
      <c r="CB95" t="s">
        <v>145</v>
      </c>
      <c r="CD95" t="str" cm="1">
        <f t="array" aca="1" ref="CD95" ca="1">eConcatenar(A95:CB95,"|")</f>
        <v>rwKVXhsyyawwhe6A|MODIFCARD86|3|MODIF|MODIF|MODIF|MODIF|2022-01-01|1|0|0|0|0|0|0|0|0|0|0|0|0|0|0|0|0|0|0|x|x|x|x|x|x|x|x|x|x|x|x|x|x|x|x|x|x|x|x|x|x|0|1|X|X|X|2022-2-10|2022-02-23|0|0|0|0|0|QWYNRBIY9KVTQO|0|HOMBRE|0|1|0|0|0|0|0|0|0|0|CARDENAS|0|0|0|0|FINAL</v>
      </c>
    </row>
    <row r="96" spans="1:82" x14ac:dyDescent="0.25">
      <c r="A96" t="s">
        <v>232</v>
      </c>
      <c r="B96" s="19" t="s">
        <v>433</v>
      </c>
      <c r="C96">
        <v>3</v>
      </c>
      <c r="D96" t="s">
        <v>346</v>
      </c>
      <c r="E96" t="s">
        <v>346</v>
      </c>
      <c r="F96" t="s">
        <v>346</v>
      </c>
      <c r="G96" t="s">
        <v>346</v>
      </c>
      <c r="H96" s="21" t="s">
        <v>747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">
        <v>3</v>
      </c>
      <c r="AC96" t="s">
        <v>3</v>
      </c>
      <c r="AD96" t="s">
        <v>3</v>
      </c>
      <c r="AE96" t="s">
        <v>3</v>
      </c>
      <c r="AF96" t="s">
        <v>3</v>
      </c>
      <c r="AG96" t="s">
        <v>3</v>
      </c>
      <c r="AH96" t="s">
        <v>3</v>
      </c>
      <c r="AI96" t="s">
        <v>3</v>
      </c>
      <c r="AJ96" t="s">
        <v>3</v>
      </c>
      <c r="AK96" t="s">
        <v>3</v>
      </c>
      <c r="AL96" t="s">
        <v>3</v>
      </c>
      <c r="AM96" t="s">
        <v>3</v>
      </c>
      <c r="AN96" t="s">
        <v>3</v>
      </c>
      <c r="AO96" t="s">
        <v>3</v>
      </c>
      <c r="AP96" t="s">
        <v>3</v>
      </c>
      <c r="AQ96" t="s">
        <v>3</v>
      </c>
      <c r="AR96" t="s">
        <v>3</v>
      </c>
      <c r="AS96" t="s">
        <v>3</v>
      </c>
      <c r="AT96" t="s">
        <v>3</v>
      </c>
      <c r="AU96" t="s">
        <v>3</v>
      </c>
      <c r="AV96" t="s">
        <v>3</v>
      </c>
      <c r="AW96" t="s">
        <v>3</v>
      </c>
      <c r="AX96">
        <v>0</v>
      </c>
      <c r="AY96">
        <v>1</v>
      </c>
      <c r="AZ96" t="s">
        <v>1</v>
      </c>
      <c r="BA96" t="s">
        <v>1</v>
      </c>
      <c r="BB96" t="s">
        <v>1</v>
      </c>
      <c r="BC96" s="21" t="s">
        <v>748</v>
      </c>
      <c r="BD96" s="21" t="s">
        <v>144</v>
      </c>
      <c r="BE96">
        <v>0</v>
      </c>
      <c r="BF96">
        <v>0</v>
      </c>
      <c r="BG96">
        <v>0</v>
      </c>
      <c r="BH96">
        <v>0</v>
      </c>
      <c r="BI96">
        <v>0</v>
      </c>
      <c r="BJ96" t="s">
        <v>749</v>
      </c>
      <c r="BK96">
        <v>0</v>
      </c>
      <c r="BL96" t="s">
        <v>132</v>
      </c>
      <c r="BM96">
        <v>0</v>
      </c>
      <c r="BN96">
        <v>1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 t="s">
        <v>0</v>
      </c>
      <c r="BX96">
        <v>0</v>
      </c>
      <c r="BY96">
        <v>0</v>
      </c>
      <c r="BZ96">
        <v>0</v>
      </c>
      <c r="CA96">
        <v>0</v>
      </c>
      <c r="CB96" t="s">
        <v>145</v>
      </c>
      <c r="CD96" t="str" cm="1">
        <f t="array" aca="1" ref="CD96" ca="1">eConcatenar(A96:CB96,"|")</f>
        <v>M9k4ilvD6PbtsJqr|MODIFCARD87|3|MODIF|MODIF|MODIF|MODIF|2022-01-01|1|0|0|0|0|0|0|0|0|0|0|0|0|0|0|0|0|0|0|x|x|x|x|x|x|x|x|x|x|x|x|x|x|x|x|x|x|x|x|x|x|0|1|X|X|X|2022-2-10|2022-02-23|0|0|0|0|0|QWYNRBIY9KVTQO|0|HOMBRE|0|1|0|0|0|0|0|0|0|0|CARDENAS|0|0|0|0|FINAL</v>
      </c>
    </row>
    <row r="97" spans="1:82" x14ac:dyDescent="0.25">
      <c r="A97" t="s">
        <v>233</v>
      </c>
      <c r="B97" s="19" t="s">
        <v>434</v>
      </c>
      <c r="C97">
        <v>3</v>
      </c>
      <c r="D97" t="s">
        <v>346</v>
      </c>
      <c r="E97" t="s">
        <v>346</v>
      </c>
      <c r="F97" t="s">
        <v>346</v>
      </c>
      <c r="G97" t="s">
        <v>346</v>
      </c>
      <c r="H97" s="21" t="s">
        <v>747</v>
      </c>
      <c r="I97">
        <v>1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">
        <v>3</v>
      </c>
      <c r="AC97" t="s">
        <v>3</v>
      </c>
      <c r="AD97" t="s">
        <v>3</v>
      </c>
      <c r="AE97" t="s">
        <v>3</v>
      </c>
      <c r="AF97" t="s">
        <v>3</v>
      </c>
      <c r="AG97" t="s">
        <v>3</v>
      </c>
      <c r="AH97" t="s">
        <v>3</v>
      </c>
      <c r="AI97" t="s">
        <v>3</v>
      </c>
      <c r="AJ97" t="s">
        <v>3</v>
      </c>
      <c r="AK97" t="s">
        <v>3</v>
      </c>
      <c r="AL97" t="s">
        <v>3</v>
      </c>
      <c r="AM97" t="s">
        <v>3</v>
      </c>
      <c r="AN97" t="s">
        <v>3</v>
      </c>
      <c r="AO97" t="s">
        <v>3</v>
      </c>
      <c r="AP97" t="s">
        <v>3</v>
      </c>
      <c r="AQ97" t="s">
        <v>3</v>
      </c>
      <c r="AR97" t="s">
        <v>3</v>
      </c>
      <c r="AS97" t="s">
        <v>3</v>
      </c>
      <c r="AT97" t="s">
        <v>3</v>
      </c>
      <c r="AU97" t="s">
        <v>3</v>
      </c>
      <c r="AV97" t="s">
        <v>3</v>
      </c>
      <c r="AW97" t="s">
        <v>3</v>
      </c>
      <c r="AX97">
        <v>0</v>
      </c>
      <c r="AY97">
        <v>1</v>
      </c>
      <c r="AZ97" t="s">
        <v>1</v>
      </c>
      <c r="BA97" t="s">
        <v>1</v>
      </c>
      <c r="BB97" t="s">
        <v>1</v>
      </c>
      <c r="BC97" s="21" t="s">
        <v>748</v>
      </c>
      <c r="BD97" s="21" t="s">
        <v>144</v>
      </c>
      <c r="BE97">
        <v>0</v>
      </c>
      <c r="BF97">
        <v>0</v>
      </c>
      <c r="BG97">
        <v>0</v>
      </c>
      <c r="BH97">
        <v>0</v>
      </c>
      <c r="BI97">
        <v>0</v>
      </c>
      <c r="BJ97" t="s">
        <v>749</v>
      </c>
      <c r="BK97">
        <v>0</v>
      </c>
      <c r="BL97" t="s">
        <v>132</v>
      </c>
      <c r="BM97">
        <v>0</v>
      </c>
      <c r="BN97">
        <v>1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 t="s">
        <v>0</v>
      </c>
      <c r="BX97">
        <v>0</v>
      </c>
      <c r="BY97">
        <v>0</v>
      </c>
      <c r="BZ97">
        <v>0</v>
      </c>
      <c r="CA97">
        <v>0</v>
      </c>
      <c r="CB97" t="s">
        <v>145</v>
      </c>
      <c r="CD97" t="str" cm="1">
        <f t="array" aca="1" ref="CD97" ca="1">eConcatenar(A97:CB97,"|")</f>
        <v>R4AIchIzBOwqORNA|MODIFCARD88|3|MODIF|MODIF|MODIF|MODIF|2022-01-01|1|0|0|0|0|0|0|0|0|0|0|0|0|0|0|0|0|0|0|x|x|x|x|x|x|x|x|x|x|x|x|x|x|x|x|x|x|x|x|x|x|0|1|X|X|X|2022-2-10|2022-02-23|0|0|0|0|0|QWYNRBIY9KVTQO|0|HOMBRE|0|1|0|0|0|0|0|0|0|0|CARDENAS|0|0|0|0|FINAL</v>
      </c>
    </row>
    <row r="98" spans="1:82" x14ac:dyDescent="0.25">
      <c r="A98" t="s">
        <v>234</v>
      </c>
      <c r="B98" s="19" t="s">
        <v>435</v>
      </c>
      <c r="C98">
        <v>3</v>
      </c>
      <c r="D98" t="s">
        <v>346</v>
      </c>
      <c r="E98" t="s">
        <v>346</v>
      </c>
      <c r="F98" t="s">
        <v>346</v>
      </c>
      <c r="G98" t="s">
        <v>346</v>
      </c>
      <c r="H98" s="21" t="s">
        <v>747</v>
      </c>
      <c r="I98">
        <v>1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 t="s">
        <v>3</v>
      </c>
      <c r="AC98" t="s">
        <v>3</v>
      </c>
      <c r="AD98" t="s">
        <v>3</v>
      </c>
      <c r="AE98" t="s">
        <v>3</v>
      </c>
      <c r="AF98" t="s">
        <v>3</v>
      </c>
      <c r="AG98" t="s">
        <v>3</v>
      </c>
      <c r="AH98" t="s">
        <v>3</v>
      </c>
      <c r="AI98" t="s">
        <v>3</v>
      </c>
      <c r="AJ98" t="s">
        <v>3</v>
      </c>
      <c r="AK98" t="s">
        <v>3</v>
      </c>
      <c r="AL98" t="s">
        <v>3</v>
      </c>
      <c r="AM98" t="s">
        <v>3</v>
      </c>
      <c r="AN98" t="s">
        <v>3</v>
      </c>
      <c r="AO98" t="s">
        <v>3</v>
      </c>
      <c r="AP98" t="s">
        <v>3</v>
      </c>
      <c r="AQ98" t="s">
        <v>3</v>
      </c>
      <c r="AR98" t="s">
        <v>3</v>
      </c>
      <c r="AS98" t="s">
        <v>3</v>
      </c>
      <c r="AT98" t="s">
        <v>3</v>
      </c>
      <c r="AU98" t="s">
        <v>3</v>
      </c>
      <c r="AV98" t="s">
        <v>3</v>
      </c>
      <c r="AW98" t="s">
        <v>3</v>
      </c>
      <c r="AX98">
        <v>0</v>
      </c>
      <c r="AY98">
        <v>1</v>
      </c>
      <c r="AZ98" t="s">
        <v>1</v>
      </c>
      <c r="BA98" t="s">
        <v>1</v>
      </c>
      <c r="BB98" t="s">
        <v>1</v>
      </c>
      <c r="BC98" s="21" t="s">
        <v>748</v>
      </c>
      <c r="BD98" s="21" t="s">
        <v>144</v>
      </c>
      <c r="BE98">
        <v>0</v>
      </c>
      <c r="BF98">
        <v>0</v>
      </c>
      <c r="BG98">
        <v>0</v>
      </c>
      <c r="BH98">
        <v>0</v>
      </c>
      <c r="BI98">
        <v>0</v>
      </c>
      <c r="BJ98" t="s">
        <v>749</v>
      </c>
      <c r="BK98">
        <v>0</v>
      </c>
      <c r="BL98" t="s">
        <v>132</v>
      </c>
      <c r="BM98">
        <v>0</v>
      </c>
      <c r="BN98">
        <v>1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 t="s">
        <v>0</v>
      </c>
      <c r="BX98">
        <v>0</v>
      </c>
      <c r="BY98">
        <v>0</v>
      </c>
      <c r="BZ98">
        <v>0</v>
      </c>
      <c r="CA98">
        <v>0</v>
      </c>
      <c r="CB98" t="s">
        <v>145</v>
      </c>
      <c r="CD98" t="str" cm="1">
        <f t="array" aca="1" ref="CD98" ca="1">eConcatenar(A98:CB98,"|")</f>
        <v>2uD1JwcWeZRcRe0H|MODIFCARD89|3|MODIF|MODIF|MODIF|MODIF|2022-01-01|1|0|0|0|0|0|0|0|0|0|0|0|0|0|0|0|0|0|0|x|x|x|x|x|x|x|x|x|x|x|x|x|x|x|x|x|x|x|x|x|x|0|1|X|X|X|2022-2-10|2022-02-23|0|0|0|0|0|QWYNRBIY9KVTQO|0|HOMBRE|0|1|0|0|0|0|0|0|0|0|CARDENAS|0|0|0|0|FINAL</v>
      </c>
    </row>
    <row r="99" spans="1:82" x14ac:dyDescent="0.25">
      <c r="A99" t="s">
        <v>235</v>
      </c>
      <c r="B99" s="19" t="s">
        <v>436</v>
      </c>
      <c r="C99">
        <v>3</v>
      </c>
      <c r="D99" t="s">
        <v>346</v>
      </c>
      <c r="E99" t="s">
        <v>346</v>
      </c>
      <c r="F99" t="s">
        <v>346</v>
      </c>
      <c r="G99" t="s">
        <v>346</v>
      </c>
      <c r="H99" s="21" t="s">
        <v>747</v>
      </c>
      <c r="I99">
        <v>1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">
        <v>3</v>
      </c>
      <c r="AC99" t="s">
        <v>3</v>
      </c>
      <c r="AD99" t="s">
        <v>3</v>
      </c>
      <c r="AE99" t="s">
        <v>3</v>
      </c>
      <c r="AF99" t="s">
        <v>3</v>
      </c>
      <c r="AG99" t="s">
        <v>3</v>
      </c>
      <c r="AH99" t="s">
        <v>3</v>
      </c>
      <c r="AI99" t="s">
        <v>3</v>
      </c>
      <c r="AJ99" t="s">
        <v>3</v>
      </c>
      <c r="AK99" t="s">
        <v>3</v>
      </c>
      <c r="AL99" t="s">
        <v>3</v>
      </c>
      <c r="AM99" t="s">
        <v>3</v>
      </c>
      <c r="AN99" t="s">
        <v>3</v>
      </c>
      <c r="AO99" t="s">
        <v>3</v>
      </c>
      <c r="AP99" t="s">
        <v>3</v>
      </c>
      <c r="AQ99" t="s">
        <v>3</v>
      </c>
      <c r="AR99" t="s">
        <v>3</v>
      </c>
      <c r="AS99" t="s">
        <v>3</v>
      </c>
      <c r="AT99" t="s">
        <v>3</v>
      </c>
      <c r="AU99" t="s">
        <v>3</v>
      </c>
      <c r="AV99" t="s">
        <v>3</v>
      </c>
      <c r="AW99" t="s">
        <v>3</v>
      </c>
      <c r="AX99">
        <v>0</v>
      </c>
      <c r="AY99">
        <v>1</v>
      </c>
      <c r="AZ99" t="s">
        <v>1</v>
      </c>
      <c r="BA99" t="s">
        <v>1</v>
      </c>
      <c r="BB99" t="s">
        <v>1</v>
      </c>
      <c r="BC99" s="21" t="s">
        <v>748</v>
      </c>
      <c r="BD99" s="21" t="s">
        <v>144</v>
      </c>
      <c r="BE99">
        <v>0</v>
      </c>
      <c r="BF99">
        <v>0</v>
      </c>
      <c r="BG99">
        <v>0</v>
      </c>
      <c r="BH99">
        <v>0</v>
      </c>
      <c r="BI99">
        <v>0</v>
      </c>
      <c r="BJ99" t="s">
        <v>749</v>
      </c>
      <c r="BK99">
        <v>0</v>
      </c>
      <c r="BL99" t="s">
        <v>132</v>
      </c>
      <c r="BM99">
        <v>0</v>
      </c>
      <c r="BN99">
        <v>1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 t="s">
        <v>0</v>
      </c>
      <c r="BX99">
        <v>0</v>
      </c>
      <c r="BY99">
        <v>0</v>
      </c>
      <c r="BZ99">
        <v>0</v>
      </c>
      <c r="CA99">
        <v>0</v>
      </c>
      <c r="CB99" t="s">
        <v>145</v>
      </c>
      <c r="CD99" t="str" cm="1">
        <f t="array" aca="1" ref="CD99" ca="1">eConcatenar(A99:CB99,"|")</f>
        <v>god531Na4HqG4NQY|MODIFCARD90|3|MODIF|MODIF|MODIF|MODIF|2022-01-01|1|0|0|0|0|0|0|0|0|0|0|0|0|0|0|0|0|0|0|x|x|x|x|x|x|x|x|x|x|x|x|x|x|x|x|x|x|x|x|x|x|0|1|X|X|X|2022-2-10|2022-02-23|0|0|0|0|0|QWYNRBIY9KVTQO|0|HOMBRE|0|1|0|0|0|0|0|0|0|0|CARDENAS|0|0|0|0|FINAL</v>
      </c>
    </row>
    <row r="100" spans="1:82" x14ac:dyDescent="0.25">
      <c r="A100" t="s">
        <v>236</v>
      </c>
      <c r="B100" s="19" t="s">
        <v>437</v>
      </c>
      <c r="C100">
        <v>3</v>
      </c>
      <c r="D100" t="s">
        <v>346</v>
      </c>
      <c r="E100" t="s">
        <v>346</v>
      </c>
      <c r="F100" t="s">
        <v>346</v>
      </c>
      <c r="G100" t="s">
        <v>346</v>
      </c>
      <c r="H100" s="21" t="s">
        <v>747</v>
      </c>
      <c r="I100">
        <v>1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">
        <v>3</v>
      </c>
      <c r="AC100" t="s">
        <v>3</v>
      </c>
      <c r="AD100" t="s">
        <v>3</v>
      </c>
      <c r="AE100" t="s">
        <v>3</v>
      </c>
      <c r="AF100" t="s">
        <v>3</v>
      </c>
      <c r="AG100" t="s">
        <v>3</v>
      </c>
      <c r="AH100" t="s">
        <v>3</v>
      </c>
      <c r="AI100" t="s">
        <v>3</v>
      </c>
      <c r="AJ100" t="s">
        <v>3</v>
      </c>
      <c r="AK100" t="s">
        <v>3</v>
      </c>
      <c r="AL100" t="s">
        <v>3</v>
      </c>
      <c r="AM100" t="s">
        <v>3</v>
      </c>
      <c r="AN100" t="s">
        <v>3</v>
      </c>
      <c r="AO100" t="s">
        <v>3</v>
      </c>
      <c r="AP100" t="s">
        <v>3</v>
      </c>
      <c r="AQ100" t="s">
        <v>3</v>
      </c>
      <c r="AR100" t="s">
        <v>3</v>
      </c>
      <c r="AS100" t="s">
        <v>3</v>
      </c>
      <c r="AT100" t="s">
        <v>3</v>
      </c>
      <c r="AU100" t="s">
        <v>3</v>
      </c>
      <c r="AV100" t="s">
        <v>3</v>
      </c>
      <c r="AW100" t="s">
        <v>3</v>
      </c>
      <c r="AX100">
        <v>0</v>
      </c>
      <c r="AY100">
        <v>1</v>
      </c>
      <c r="AZ100" t="s">
        <v>1</v>
      </c>
      <c r="BA100" t="s">
        <v>1</v>
      </c>
      <c r="BB100" t="s">
        <v>1</v>
      </c>
      <c r="BC100" s="21" t="s">
        <v>748</v>
      </c>
      <c r="BD100" s="21" t="s">
        <v>144</v>
      </c>
      <c r="BE100">
        <v>0</v>
      </c>
      <c r="BF100">
        <v>0</v>
      </c>
      <c r="BG100">
        <v>0</v>
      </c>
      <c r="BH100">
        <v>0</v>
      </c>
      <c r="BI100">
        <v>0</v>
      </c>
      <c r="BJ100" t="s">
        <v>749</v>
      </c>
      <c r="BK100">
        <v>0</v>
      </c>
      <c r="BL100" t="s">
        <v>132</v>
      </c>
      <c r="BM100">
        <v>0</v>
      </c>
      <c r="BN100">
        <v>1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 t="s">
        <v>0</v>
      </c>
      <c r="BX100">
        <v>0</v>
      </c>
      <c r="BY100">
        <v>0</v>
      </c>
      <c r="BZ100">
        <v>0</v>
      </c>
      <c r="CA100">
        <v>0</v>
      </c>
      <c r="CB100" t="s">
        <v>145</v>
      </c>
      <c r="CD100" t="str" cm="1">
        <f t="array" aca="1" ref="CD100" ca="1">eConcatenar(A100:CB100,"|")</f>
        <v>LG9eARjGy5nxUy9S|MODIFCARD91|3|MODIF|MODIF|MODIF|MODIF|2022-01-01|1|0|0|0|0|0|0|0|0|0|0|0|0|0|0|0|0|0|0|x|x|x|x|x|x|x|x|x|x|x|x|x|x|x|x|x|x|x|x|x|x|0|1|X|X|X|2022-2-10|2022-02-23|0|0|0|0|0|QWYNRBIY9KVTQO|0|HOMBRE|0|1|0|0|0|0|0|0|0|0|CARDENAS|0|0|0|0|FINAL</v>
      </c>
    </row>
    <row r="101" spans="1:82" x14ac:dyDescent="0.25">
      <c r="A101" t="s">
        <v>237</v>
      </c>
      <c r="B101" s="19" t="s">
        <v>438</v>
      </c>
      <c r="C101">
        <v>3</v>
      </c>
      <c r="D101" t="s">
        <v>346</v>
      </c>
      <c r="E101" t="s">
        <v>346</v>
      </c>
      <c r="F101" t="s">
        <v>346</v>
      </c>
      <c r="G101" t="s">
        <v>346</v>
      </c>
      <c r="H101" s="21" t="s">
        <v>747</v>
      </c>
      <c r="I101">
        <v>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 t="s">
        <v>3</v>
      </c>
      <c r="AC101" t="s">
        <v>3</v>
      </c>
      <c r="AD101" t="s">
        <v>3</v>
      </c>
      <c r="AE101" t="s">
        <v>3</v>
      </c>
      <c r="AF101" t="s">
        <v>3</v>
      </c>
      <c r="AG101" t="s">
        <v>3</v>
      </c>
      <c r="AH101" t="s">
        <v>3</v>
      </c>
      <c r="AI101" t="s">
        <v>3</v>
      </c>
      <c r="AJ101" t="s">
        <v>3</v>
      </c>
      <c r="AK101" t="s">
        <v>3</v>
      </c>
      <c r="AL101" t="s">
        <v>3</v>
      </c>
      <c r="AM101" t="s">
        <v>3</v>
      </c>
      <c r="AN101" t="s">
        <v>3</v>
      </c>
      <c r="AO101" t="s">
        <v>3</v>
      </c>
      <c r="AP101" t="s">
        <v>3</v>
      </c>
      <c r="AQ101" t="s">
        <v>3</v>
      </c>
      <c r="AR101" t="s">
        <v>3</v>
      </c>
      <c r="AS101" t="s">
        <v>3</v>
      </c>
      <c r="AT101" t="s">
        <v>3</v>
      </c>
      <c r="AU101" t="s">
        <v>3</v>
      </c>
      <c r="AV101" t="s">
        <v>3</v>
      </c>
      <c r="AW101" t="s">
        <v>3</v>
      </c>
      <c r="AX101">
        <v>0</v>
      </c>
      <c r="AY101">
        <v>1</v>
      </c>
      <c r="AZ101" t="s">
        <v>1</v>
      </c>
      <c r="BA101" t="s">
        <v>1</v>
      </c>
      <c r="BB101" t="s">
        <v>1</v>
      </c>
      <c r="BC101" s="21" t="s">
        <v>748</v>
      </c>
      <c r="BD101" s="21" t="s">
        <v>144</v>
      </c>
      <c r="BE101">
        <v>0</v>
      </c>
      <c r="BF101">
        <v>0</v>
      </c>
      <c r="BG101">
        <v>0</v>
      </c>
      <c r="BH101">
        <v>0</v>
      </c>
      <c r="BI101">
        <v>0</v>
      </c>
      <c r="BJ101" t="s">
        <v>749</v>
      </c>
      <c r="BK101">
        <v>0</v>
      </c>
      <c r="BL101" t="s">
        <v>132</v>
      </c>
      <c r="BM101">
        <v>0</v>
      </c>
      <c r="BN101">
        <v>1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 t="s">
        <v>0</v>
      </c>
      <c r="BX101">
        <v>0</v>
      </c>
      <c r="BY101">
        <v>0</v>
      </c>
      <c r="BZ101">
        <v>0</v>
      </c>
      <c r="CA101">
        <v>0</v>
      </c>
      <c r="CB101" t="s">
        <v>145</v>
      </c>
      <c r="CD101" t="str" cm="1">
        <f t="array" aca="1" ref="CD101" ca="1">eConcatenar(A101:CB101,"|")</f>
        <v>9ZOVwxDvlG7HHrUe|MODIFCARD92|3|MODIF|MODIF|MODIF|MODIF|2022-01-01|1|0|0|0|0|0|0|0|0|0|0|0|0|0|0|0|0|0|0|x|x|x|x|x|x|x|x|x|x|x|x|x|x|x|x|x|x|x|x|x|x|0|1|X|X|X|2022-2-10|2022-02-23|0|0|0|0|0|QWYNRBIY9KVTQO|0|HOMBRE|0|1|0|0|0|0|0|0|0|0|CARDENAS|0|0|0|0|FINAL</v>
      </c>
    </row>
    <row r="102" spans="1:82" x14ac:dyDescent="0.25">
      <c r="A102" t="s">
        <v>238</v>
      </c>
      <c r="B102" s="19" t="s">
        <v>439</v>
      </c>
      <c r="C102">
        <v>3</v>
      </c>
      <c r="D102" t="s">
        <v>346</v>
      </c>
      <c r="E102" t="s">
        <v>346</v>
      </c>
      <c r="F102" t="s">
        <v>346</v>
      </c>
      <c r="G102" t="s">
        <v>346</v>
      </c>
      <c r="H102" s="21" t="s">
        <v>747</v>
      </c>
      <c r="I102">
        <v>1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">
        <v>3</v>
      </c>
      <c r="AC102" t="s">
        <v>3</v>
      </c>
      <c r="AD102" t="s">
        <v>3</v>
      </c>
      <c r="AE102" t="s">
        <v>3</v>
      </c>
      <c r="AF102" t="s">
        <v>3</v>
      </c>
      <c r="AG102" t="s">
        <v>3</v>
      </c>
      <c r="AH102" t="s">
        <v>3</v>
      </c>
      <c r="AI102" t="s">
        <v>3</v>
      </c>
      <c r="AJ102" t="s">
        <v>3</v>
      </c>
      <c r="AK102" t="s">
        <v>3</v>
      </c>
      <c r="AL102" t="s">
        <v>3</v>
      </c>
      <c r="AM102" t="s">
        <v>3</v>
      </c>
      <c r="AN102" t="s">
        <v>3</v>
      </c>
      <c r="AO102" t="s">
        <v>3</v>
      </c>
      <c r="AP102" t="s">
        <v>3</v>
      </c>
      <c r="AQ102" t="s">
        <v>3</v>
      </c>
      <c r="AR102" t="s">
        <v>3</v>
      </c>
      <c r="AS102" t="s">
        <v>3</v>
      </c>
      <c r="AT102" t="s">
        <v>3</v>
      </c>
      <c r="AU102" t="s">
        <v>3</v>
      </c>
      <c r="AV102" t="s">
        <v>3</v>
      </c>
      <c r="AW102" t="s">
        <v>3</v>
      </c>
      <c r="AX102">
        <v>0</v>
      </c>
      <c r="AY102">
        <v>1</v>
      </c>
      <c r="AZ102" t="s">
        <v>1</v>
      </c>
      <c r="BA102" t="s">
        <v>1</v>
      </c>
      <c r="BB102" t="s">
        <v>1</v>
      </c>
      <c r="BC102" s="21" t="s">
        <v>748</v>
      </c>
      <c r="BD102" s="21" t="s">
        <v>144</v>
      </c>
      <c r="BE102">
        <v>0</v>
      </c>
      <c r="BF102">
        <v>0</v>
      </c>
      <c r="BG102">
        <v>0</v>
      </c>
      <c r="BH102">
        <v>0</v>
      </c>
      <c r="BI102">
        <v>0</v>
      </c>
      <c r="BJ102" t="s">
        <v>749</v>
      </c>
      <c r="BK102">
        <v>0</v>
      </c>
      <c r="BL102" t="s">
        <v>132</v>
      </c>
      <c r="BM102">
        <v>0</v>
      </c>
      <c r="BN102">
        <v>1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 t="s">
        <v>0</v>
      </c>
      <c r="BX102">
        <v>0</v>
      </c>
      <c r="BY102">
        <v>0</v>
      </c>
      <c r="BZ102">
        <v>0</v>
      </c>
      <c r="CA102">
        <v>0</v>
      </c>
      <c r="CB102" t="s">
        <v>145</v>
      </c>
      <c r="CD102" t="str" cm="1">
        <f t="array" aca="1" ref="CD102" ca="1">eConcatenar(A102:CB102,"|")</f>
        <v>Z0TR6GHHaz3kJRe6|MODIFCARD93|3|MODIF|MODIF|MODIF|MODIF|2022-01-01|1|0|0|0|0|0|0|0|0|0|0|0|0|0|0|0|0|0|0|x|x|x|x|x|x|x|x|x|x|x|x|x|x|x|x|x|x|x|x|x|x|0|1|X|X|X|2022-2-10|2022-02-23|0|0|0|0|0|QWYNRBIY9KVTQO|0|HOMBRE|0|1|0|0|0|0|0|0|0|0|CARDENAS|0|0|0|0|FINAL</v>
      </c>
    </row>
    <row r="103" spans="1:82" x14ac:dyDescent="0.25">
      <c r="A103" t="s">
        <v>239</v>
      </c>
      <c r="B103" s="19" t="s">
        <v>440</v>
      </c>
      <c r="C103">
        <v>3</v>
      </c>
      <c r="D103" t="s">
        <v>346</v>
      </c>
      <c r="E103" t="s">
        <v>346</v>
      </c>
      <c r="F103" t="s">
        <v>346</v>
      </c>
      <c r="G103" t="s">
        <v>346</v>
      </c>
      <c r="H103" s="21" t="s">
        <v>747</v>
      </c>
      <c r="I103">
        <v>1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 t="s">
        <v>3</v>
      </c>
      <c r="AC103" t="s">
        <v>3</v>
      </c>
      <c r="AD103" t="s">
        <v>3</v>
      </c>
      <c r="AE103" t="s">
        <v>3</v>
      </c>
      <c r="AF103" t="s">
        <v>3</v>
      </c>
      <c r="AG103" t="s">
        <v>3</v>
      </c>
      <c r="AH103" t="s">
        <v>3</v>
      </c>
      <c r="AI103" t="s">
        <v>3</v>
      </c>
      <c r="AJ103" t="s">
        <v>3</v>
      </c>
      <c r="AK103" t="s">
        <v>3</v>
      </c>
      <c r="AL103" t="s">
        <v>3</v>
      </c>
      <c r="AM103" t="s">
        <v>3</v>
      </c>
      <c r="AN103" t="s">
        <v>3</v>
      </c>
      <c r="AO103" t="s">
        <v>3</v>
      </c>
      <c r="AP103" t="s">
        <v>3</v>
      </c>
      <c r="AQ103" t="s">
        <v>3</v>
      </c>
      <c r="AR103" t="s">
        <v>3</v>
      </c>
      <c r="AS103" t="s">
        <v>3</v>
      </c>
      <c r="AT103" t="s">
        <v>3</v>
      </c>
      <c r="AU103" t="s">
        <v>3</v>
      </c>
      <c r="AV103" t="s">
        <v>3</v>
      </c>
      <c r="AW103" t="s">
        <v>3</v>
      </c>
      <c r="AX103">
        <v>0</v>
      </c>
      <c r="AY103">
        <v>1</v>
      </c>
      <c r="AZ103" t="s">
        <v>1</v>
      </c>
      <c r="BA103" t="s">
        <v>1</v>
      </c>
      <c r="BB103" t="s">
        <v>1</v>
      </c>
      <c r="BC103" s="21" t="s">
        <v>748</v>
      </c>
      <c r="BD103" s="21" t="s">
        <v>144</v>
      </c>
      <c r="BE103">
        <v>0</v>
      </c>
      <c r="BF103">
        <v>0</v>
      </c>
      <c r="BG103">
        <v>0</v>
      </c>
      <c r="BH103">
        <v>0</v>
      </c>
      <c r="BI103">
        <v>0</v>
      </c>
      <c r="BJ103" t="s">
        <v>749</v>
      </c>
      <c r="BK103">
        <v>0</v>
      </c>
      <c r="BL103" t="s">
        <v>132</v>
      </c>
      <c r="BM103">
        <v>0</v>
      </c>
      <c r="BN103">
        <v>1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 t="s">
        <v>0</v>
      </c>
      <c r="BX103">
        <v>0</v>
      </c>
      <c r="BY103">
        <v>0</v>
      </c>
      <c r="BZ103">
        <v>0</v>
      </c>
      <c r="CA103">
        <v>0</v>
      </c>
      <c r="CB103" t="s">
        <v>145</v>
      </c>
      <c r="CD103" t="str" cm="1">
        <f t="array" aca="1" ref="CD103" ca="1">eConcatenar(A103:CB103,"|")</f>
        <v>Gsu1cn7TsfuWWbDw|MODIFCARD94|3|MODIF|MODIF|MODIF|MODIF|2022-01-01|1|0|0|0|0|0|0|0|0|0|0|0|0|0|0|0|0|0|0|x|x|x|x|x|x|x|x|x|x|x|x|x|x|x|x|x|x|x|x|x|x|0|1|X|X|X|2022-2-10|2022-02-23|0|0|0|0|0|QWYNRBIY9KVTQO|0|HOMBRE|0|1|0|0|0|0|0|0|0|0|CARDENAS|0|0|0|0|FINAL</v>
      </c>
    </row>
    <row r="104" spans="1:82" x14ac:dyDescent="0.25">
      <c r="A104" t="s">
        <v>240</v>
      </c>
      <c r="B104" s="19" t="s">
        <v>441</v>
      </c>
      <c r="C104">
        <v>3</v>
      </c>
      <c r="D104" t="s">
        <v>346</v>
      </c>
      <c r="E104" t="s">
        <v>346</v>
      </c>
      <c r="F104" t="s">
        <v>346</v>
      </c>
      <c r="G104" t="s">
        <v>346</v>
      </c>
      <c r="H104" s="21" t="s">
        <v>747</v>
      </c>
      <c r="I104">
        <v>1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">
        <v>3</v>
      </c>
      <c r="AC104" t="s">
        <v>3</v>
      </c>
      <c r="AD104" t="s">
        <v>3</v>
      </c>
      <c r="AE104" t="s">
        <v>3</v>
      </c>
      <c r="AF104" t="s">
        <v>3</v>
      </c>
      <c r="AG104" t="s">
        <v>3</v>
      </c>
      <c r="AH104" t="s">
        <v>3</v>
      </c>
      <c r="AI104" t="s">
        <v>3</v>
      </c>
      <c r="AJ104" t="s">
        <v>3</v>
      </c>
      <c r="AK104" t="s">
        <v>3</v>
      </c>
      <c r="AL104" t="s">
        <v>3</v>
      </c>
      <c r="AM104" t="s">
        <v>3</v>
      </c>
      <c r="AN104" t="s">
        <v>3</v>
      </c>
      <c r="AO104" t="s">
        <v>3</v>
      </c>
      <c r="AP104" t="s">
        <v>3</v>
      </c>
      <c r="AQ104" t="s">
        <v>3</v>
      </c>
      <c r="AR104" t="s">
        <v>3</v>
      </c>
      <c r="AS104" t="s">
        <v>3</v>
      </c>
      <c r="AT104" t="s">
        <v>3</v>
      </c>
      <c r="AU104" t="s">
        <v>3</v>
      </c>
      <c r="AV104" t="s">
        <v>3</v>
      </c>
      <c r="AW104" t="s">
        <v>3</v>
      </c>
      <c r="AX104">
        <v>0</v>
      </c>
      <c r="AY104">
        <v>1</v>
      </c>
      <c r="AZ104" t="s">
        <v>1</v>
      </c>
      <c r="BA104" t="s">
        <v>1</v>
      </c>
      <c r="BB104" t="s">
        <v>1</v>
      </c>
      <c r="BC104" s="21" t="s">
        <v>748</v>
      </c>
      <c r="BD104" s="21" t="s">
        <v>144</v>
      </c>
      <c r="BE104">
        <v>0</v>
      </c>
      <c r="BF104">
        <v>0</v>
      </c>
      <c r="BG104">
        <v>0</v>
      </c>
      <c r="BH104">
        <v>0</v>
      </c>
      <c r="BI104">
        <v>0</v>
      </c>
      <c r="BJ104" t="s">
        <v>749</v>
      </c>
      <c r="BK104">
        <v>0</v>
      </c>
      <c r="BL104" t="s">
        <v>132</v>
      </c>
      <c r="BM104">
        <v>0</v>
      </c>
      <c r="BN104">
        <v>1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 t="s">
        <v>0</v>
      </c>
      <c r="BX104">
        <v>0</v>
      </c>
      <c r="BY104">
        <v>0</v>
      </c>
      <c r="BZ104">
        <v>0</v>
      </c>
      <c r="CA104">
        <v>0</v>
      </c>
      <c r="CB104" t="s">
        <v>145</v>
      </c>
      <c r="CD104" t="str" cm="1">
        <f t="array" aca="1" ref="CD104" ca="1">eConcatenar(A104:CB104,"|")</f>
        <v>on8sDaMgRS8K33EE|MODIFCARD95|3|MODIF|MODIF|MODIF|MODIF|2022-01-01|1|0|0|0|0|0|0|0|0|0|0|0|0|0|0|0|0|0|0|x|x|x|x|x|x|x|x|x|x|x|x|x|x|x|x|x|x|x|x|x|x|0|1|X|X|X|2022-2-10|2022-02-23|0|0|0|0|0|QWYNRBIY9KVTQO|0|HOMBRE|0|1|0|0|0|0|0|0|0|0|CARDENAS|0|0|0|0|FINAL</v>
      </c>
    </row>
    <row r="105" spans="1:82" x14ac:dyDescent="0.25">
      <c r="A105" t="s">
        <v>241</v>
      </c>
      <c r="B105" s="19" t="s">
        <v>442</v>
      </c>
      <c r="C105">
        <v>3</v>
      </c>
      <c r="D105" t="s">
        <v>346</v>
      </c>
      <c r="E105" t="s">
        <v>346</v>
      </c>
      <c r="F105" t="s">
        <v>346</v>
      </c>
      <c r="G105" t="s">
        <v>346</v>
      </c>
      <c r="H105" s="21" t="s">
        <v>747</v>
      </c>
      <c r="I105">
        <v>1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">
        <v>3</v>
      </c>
      <c r="AC105" t="s">
        <v>3</v>
      </c>
      <c r="AD105" t="s">
        <v>3</v>
      </c>
      <c r="AE105" t="s">
        <v>3</v>
      </c>
      <c r="AF105" t="s">
        <v>3</v>
      </c>
      <c r="AG105" t="s">
        <v>3</v>
      </c>
      <c r="AH105" t="s">
        <v>3</v>
      </c>
      <c r="AI105" t="s">
        <v>3</v>
      </c>
      <c r="AJ105" t="s">
        <v>3</v>
      </c>
      <c r="AK105" t="s">
        <v>3</v>
      </c>
      <c r="AL105" t="s">
        <v>3</v>
      </c>
      <c r="AM105" t="s">
        <v>3</v>
      </c>
      <c r="AN105" t="s">
        <v>3</v>
      </c>
      <c r="AO105" t="s">
        <v>3</v>
      </c>
      <c r="AP105" t="s">
        <v>3</v>
      </c>
      <c r="AQ105" t="s">
        <v>3</v>
      </c>
      <c r="AR105" t="s">
        <v>3</v>
      </c>
      <c r="AS105" t="s">
        <v>3</v>
      </c>
      <c r="AT105" t="s">
        <v>3</v>
      </c>
      <c r="AU105" t="s">
        <v>3</v>
      </c>
      <c r="AV105" t="s">
        <v>3</v>
      </c>
      <c r="AW105" t="s">
        <v>3</v>
      </c>
      <c r="AX105">
        <v>0</v>
      </c>
      <c r="AY105">
        <v>1</v>
      </c>
      <c r="AZ105" t="s">
        <v>1</v>
      </c>
      <c r="BA105" t="s">
        <v>1</v>
      </c>
      <c r="BB105" t="s">
        <v>1</v>
      </c>
      <c r="BC105" s="21" t="s">
        <v>748</v>
      </c>
      <c r="BD105" s="21" t="s">
        <v>144</v>
      </c>
      <c r="BE105">
        <v>0</v>
      </c>
      <c r="BF105">
        <v>0</v>
      </c>
      <c r="BG105">
        <v>0</v>
      </c>
      <c r="BH105">
        <v>0</v>
      </c>
      <c r="BI105">
        <v>0</v>
      </c>
      <c r="BJ105" t="s">
        <v>749</v>
      </c>
      <c r="BK105">
        <v>0</v>
      </c>
      <c r="BL105" t="s">
        <v>132</v>
      </c>
      <c r="BM105">
        <v>0</v>
      </c>
      <c r="BN105">
        <v>1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 t="s">
        <v>0</v>
      </c>
      <c r="BX105">
        <v>0</v>
      </c>
      <c r="BY105">
        <v>0</v>
      </c>
      <c r="BZ105">
        <v>0</v>
      </c>
      <c r="CA105">
        <v>0</v>
      </c>
      <c r="CB105" t="s">
        <v>145</v>
      </c>
      <c r="CD105" t="str" cm="1">
        <f t="array" aca="1" ref="CD105" ca="1">eConcatenar(A105:CB105,"|")</f>
        <v>wVGNF4pCxXKnfscf|MODIFCARD96|3|MODIF|MODIF|MODIF|MODIF|2022-01-01|1|0|0|0|0|0|0|0|0|0|0|0|0|0|0|0|0|0|0|x|x|x|x|x|x|x|x|x|x|x|x|x|x|x|x|x|x|x|x|x|x|0|1|X|X|X|2022-2-10|2022-02-23|0|0|0|0|0|QWYNRBIY9KVTQO|0|HOMBRE|0|1|0|0|0|0|0|0|0|0|CARDENAS|0|0|0|0|FINAL</v>
      </c>
    </row>
    <row r="106" spans="1:82" x14ac:dyDescent="0.25">
      <c r="A106" t="s">
        <v>242</v>
      </c>
      <c r="B106" s="19" t="s">
        <v>443</v>
      </c>
      <c r="C106">
        <v>3</v>
      </c>
      <c r="D106" t="s">
        <v>346</v>
      </c>
      <c r="E106" t="s">
        <v>346</v>
      </c>
      <c r="F106" t="s">
        <v>346</v>
      </c>
      <c r="G106" t="s">
        <v>346</v>
      </c>
      <c r="H106" s="21" t="s">
        <v>747</v>
      </c>
      <c r="I106">
        <v>1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 t="s">
        <v>3</v>
      </c>
      <c r="AC106" t="s">
        <v>3</v>
      </c>
      <c r="AD106" t="s">
        <v>3</v>
      </c>
      <c r="AE106" t="s">
        <v>3</v>
      </c>
      <c r="AF106" t="s">
        <v>3</v>
      </c>
      <c r="AG106" t="s">
        <v>3</v>
      </c>
      <c r="AH106" t="s">
        <v>3</v>
      </c>
      <c r="AI106" t="s">
        <v>3</v>
      </c>
      <c r="AJ106" t="s">
        <v>3</v>
      </c>
      <c r="AK106" t="s">
        <v>3</v>
      </c>
      <c r="AL106" t="s">
        <v>3</v>
      </c>
      <c r="AM106" t="s">
        <v>3</v>
      </c>
      <c r="AN106" t="s">
        <v>3</v>
      </c>
      <c r="AO106" t="s">
        <v>3</v>
      </c>
      <c r="AP106" t="s">
        <v>3</v>
      </c>
      <c r="AQ106" t="s">
        <v>3</v>
      </c>
      <c r="AR106" t="s">
        <v>3</v>
      </c>
      <c r="AS106" t="s">
        <v>3</v>
      </c>
      <c r="AT106" t="s">
        <v>3</v>
      </c>
      <c r="AU106" t="s">
        <v>3</v>
      </c>
      <c r="AV106" t="s">
        <v>3</v>
      </c>
      <c r="AW106" t="s">
        <v>3</v>
      </c>
      <c r="AX106">
        <v>0</v>
      </c>
      <c r="AY106">
        <v>1</v>
      </c>
      <c r="AZ106" t="s">
        <v>1</v>
      </c>
      <c r="BA106" t="s">
        <v>1</v>
      </c>
      <c r="BB106" t="s">
        <v>1</v>
      </c>
      <c r="BC106" s="21" t="s">
        <v>748</v>
      </c>
      <c r="BD106" s="21" t="s">
        <v>144</v>
      </c>
      <c r="BE106">
        <v>0</v>
      </c>
      <c r="BF106">
        <v>0</v>
      </c>
      <c r="BG106">
        <v>0</v>
      </c>
      <c r="BH106">
        <v>0</v>
      </c>
      <c r="BI106">
        <v>0</v>
      </c>
      <c r="BJ106" t="s">
        <v>749</v>
      </c>
      <c r="BK106">
        <v>0</v>
      </c>
      <c r="BL106" t="s">
        <v>132</v>
      </c>
      <c r="BM106">
        <v>0</v>
      </c>
      <c r="BN106">
        <v>1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 t="s">
        <v>0</v>
      </c>
      <c r="BX106">
        <v>0</v>
      </c>
      <c r="BY106">
        <v>0</v>
      </c>
      <c r="BZ106">
        <v>0</v>
      </c>
      <c r="CA106">
        <v>0</v>
      </c>
      <c r="CB106" t="s">
        <v>145</v>
      </c>
      <c r="CD106" t="str" cm="1">
        <f t="array" aca="1" ref="CD106" ca="1">eConcatenar(A106:CB106,"|")</f>
        <v>w06xSCCy3Uo5DBku|MODIFCARD97|3|MODIF|MODIF|MODIF|MODIF|2022-01-01|1|0|0|0|0|0|0|0|0|0|0|0|0|0|0|0|0|0|0|x|x|x|x|x|x|x|x|x|x|x|x|x|x|x|x|x|x|x|x|x|x|0|1|X|X|X|2022-2-10|2022-02-23|0|0|0|0|0|QWYNRBIY9KVTQO|0|HOMBRE|0|1|0|0|0|0|0|0|0|0|CARDENAS|0|0|0|0|FINAL</v>
      </c>
    </row>
    <row r="107" spans="1:82" x14ac:dyDescent="0.25">
      <c r="A107" t="s">
        <v>243</v>
      </c>
      <c r="B107" s="19" t="s">
        <v>444</v>
      </c>
      <c r="C107">
        <v>3</v>
      </c>
      <c r="D107" t="s">
        <v>346</v>
      </c>
      <c r="E107" t="s">
        <v>346</v>
      </c>
      <c r="F107" t="s">
        <v>346</v>
      </c>
      <c r="G107" t="s">
        <v>346</v>
      </c>
      <c r="H107" s="21" t="s">
        <v>747</v>
      </c>
      <c r="I107">
        <v>1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">
        <v>3</v>
      </c>
      <c r="AC107" t="s">
        <v>3</v>
      </c>
      <c r="AD107" t="s">
        <v>3</v>
      </c>
      <c r="AE107" t="s">
        <v>3</v>
      </c>
      <c r="AF107" t="s">
        <v>3</v>
      </c>
      <c r="AG107" t="s">
        <v>3</v>
      </c>
      <c r="AH107" t="s">
        <v>3</v>
      </c>
      <c r="AI107" t="s">
        <v>3</v>
      </c>
      <c r="AJ107" t="s">
        <v>3</v>
      </c>
      <c r="AK107" t="s">
        <v>3</v>
      </c>
      <c r="AL107" t="s">
        <v>3</v>
      </c>
      <c r="AM107" t="s">
        <v>3</v>
      </c>
      <c r="AN107" t="s">
        <v>3</v>
      </c>
      <c r="AO107" t="s">
        <v>3</v>
      </c>
      <c r="AP107" t="s">
        <v>3</v>
      </c>
      <c r="AQ107" t="s">
        <v>3</v>
      </c>
      <c r="AR107" t="s">
        <v>3</v>
      </c>
      <c r="AS107" t="s">
        <v>3</v>
      </c>
      <c r="AT107" t="s">
        <v>3</v>
      </c>
      <c r="AU107" t="s">
        <v>3</v>
      </c>
      <c r="AV107" t="s">
        <v>3</v>
      </c>
      <c r="AW107" t="s">
        <v>3</v>
      </c>
      <c r="AX107">
        <v>0</v>
      </c>
      <c r="AY107">
        <v>1</v>
      </c>
      <c r="AZ107" t="s">
        <v>1</v>
      </c>
      <c r="BA107" t="s">
        <v>1</v>
      </c>
      <c r="BB107" t="s">
        <v>1</v>
      </c>
      <c r="BC107" s="21" t="s">
        <v>748</v>
      </c>
      <c r="BD107" s="21" t="s">
        <v>144</v>
      </c>
      <c r="BE107">
        <v>0</v>
      </c>
      <c r="BF107">
        <v>0</v>
      </c>
      <c r="BG107">
        <v>0</v>
      </c>
      <c r="BH107">
        <v>0</v>
      </c>
      <c r="BI107">
        <v>0</v>
      </c>
      <c r="BJ107" t="s">
        <v>749</v>
      </c>
      <c r="BK107">
        <v>0</v>
      </c>
      <c r="BL107" t="s">
        <v>132</v>
      </c>
      <c r="BM107">
        <v>0</v>
      </c>
      <c r="BN107">
        <v>1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 t="s">
        <v>0</v>
      </c>
      <c r="BX107">
        <v>0</v>
      </c>
      <c r="BY107">
        <v>0</v>
      </c>
      <c r="BZ107">
        <v>0</v>
      </c>
      <c r="CA107">
        <v>0</v>
      </c>
      <c r="CB107" t="s">
        <v>145</v>
      </c>
      <c r="CD107" t="str" cm="1">
        <f t="array" aca="1" ref="CD107" ca="1">eConcatenar(A107:CB107,"|")</f>
        <v>B5hPsVQblxMHndiz|MODIFCARD98|3|MODIF|MODIF|MODIF|MODIF|2022-01-01|1|0|0|0|0|0|0|0|0|0|0|0|0|0|0|0|0|0|0|x|x|x|x|x|x|x|x|x|x|x|x|x|x|x|x|x|x|x|x|x|x|0|1|X|X|X|2022-2-10|2022-02-23|0|0|0|0|0|QWYNRBIY9KVTQO|0|HOMBRE|0|1|0|0|0|0|0|0|0|0|CARDENAS|0|0|0|0|FINAL</v>
      </c>
    </row>
    <row r="108" spans="1:82" x14ac:dyDescent="0.25">
      <c r="A108" t="s">
        <v>244</v>
      </c>
      <c r="B108" s="19" t="s">
        <v>445</v>
      </c>
      <c r="C108">
        <v>3</v>
      </c>
      <c r="D108" t="s">
        <v>346</v>
      </c>
      <c r="E108" t="s">
        <v>346</v>
      </c>
      <c r="F108" t="s">
        <v>346</v>
      </c>
      <c r="G108" t="s">
        <v>346</v>
      </c>
      <c r="H108" s="21" t="s">
        <v>747</v>
      </c>
      <c r="I108">
        <v>1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">
        <v>3</v>
      </c>
      <c r="AC108" t="s">
        <v>3</v>
      </c>
      <c r="AD108" t="s">
        <v>3</v>
      </c>
      <c r="AE108" t="s">
        <v>3</v>
      </c>
      <c r="AF108" t="s">
        <v>3</v>
      </c>
      <c r="AG108" t="s">
        <v>3</v>
      </c>
      <c r="AH108" t="s">
        <v>3</v>
      </c>
      <c r="AI108" t="s">
        <v>3</v>
      </c>
      <c r="AJ108" t="s">
        <v>3</v>
      </c>
      <c r="AK108" t="s">
        <v>3</v>
      </c>
      <c r="AL108" t="s">
        <v>3</v>
      </c>
      <c r="AM108" t="s">
        <v>3</v>
      </c>
      <c r="AN108" t="s">
        <v>3</v>
      </c>
      <c r="AO108" t="s">
        <v>3</v>
      </c>
      <c r="AP108" t="s">
        <v>3</v>
      </c>
      <c r="AQ108" t="s">
        <v>3</v>
      </c>
      <c r="AR108" t="s">
        <v>3</v>
      </c>
      <c r="AS108" t="s">
        <v>3</v>
      </c>
      <c r="AT108" t="s">
        <v>3</v>
      </c>
      <c r="AU108" t="s">
        <v>3</v>
      </c>
      <c r="AV108" t="s">
        <v>3</v>
      </c>
      <c r="AW108" t="s">
        <v>3</v>
      </c>
      <c r="AX108">
        <v>0</v>
      </c>
      <c r="AY108">
        <v>1</v>
      </c>
      <c r="AZ108" t="s">
        <v>1</v>
      </c>
      <c r="BA108" t="s">
        <v>1</v>
      </c>
      <c r="BB108" t="s">
        <v>1</v>
      </c>
      <c r="BC108" s="21" t="s">
        <v>748</v>
      </c>
      <c r="BD108" s="21" t="s">
        <v>144</v>
      </c>
      <c r="BE108">
        <v>0</v>
      </c>
      <c r="BF108">
        <v>0</v>
      </c>
      <c r="BG108">
        <v>0</v>
      </c>
      <c r="BH108">
        <v>0</v>
      </c>
      <c r="BI108">
        <v>0</v>
      </c>
      <c r="BJ108" t="s">
        <v>749</v>
      </c>
      <c r="BK108">
        <v>0</v>
      </c>
      <c r="BL108" t="s">
        <v>132</v>
      </c>
      <c r="BM108">
        <v>0</v>
      </c>
      <c r="BN108">
        <v>1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 t="s">
        <v>0</v>
      </c>
      <c r="BX108">
        <v>0</v>
      </c>
      <c r="BY108">
        <v>0</v>
      </c>
      <c r="BZ108">
        <v>0</v>
      </c>
      <c r="CA108">
        <v>0</v>
      </c>
      <c r="CB108" t="s">
        <v>145</v>
      </c>
      <c r="CD108" t="str" cm="1">
        <f t="array" aca="1" ref="CD108" ca="1">eConcatenar(A108:CB108,"|")</f>
        <v>mYGAUWLW8BltZbTI|MODIFCARD99|3|MODIF|MODIF|MODIF|MODIF|2022-01-01|1|0|0|0|0|0|0|0|0|0|0|0|0|0|0|0|0|0|0|x|x|x|x|x|x|x|x|x|x|x|x|x|x|x|x|x|x|x|x|x|x|0|1|X|X|X|2022-2-10|2022-02-23|0|0|0|0|0|QWYNRBIY9KVTQO|0|HOMBRE|0|1|0|0|0|0|0|0|0|0|CARDENAS|0|0|0|0|FINAL</v>
      </c>
    </row>
    <row r="109" spans="1:82" x14ac:dyDescent="0.25">
      <c r="A109" t="s">
        <v>245</v>
      </c>
      <c r="B109" s="19" t="s">
        <v>446</v>
      </c>
      <c r="C109">
        <v>3</v>
      </c>
      <c r="D109" t="s">
        <v>346</v>
      </c>
      <c r="E109" t="s">
        <v>346</v>
      </c>
      <c r="F109" t="s">
        <v>346</v>
      </c>
      <c r="G109" t="s">
        <v>346</v>
      </c>
      <c r="H109" s="21" t="s">
        <v>747</v>
      </c>
      <c r="I109">
        <v>1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t="s">
        <v>3</v>
      </c>
      <c r="AC109" t="s">
        <v>3</v>
      </c>
      <c r="AD109" t="s">
        <v>3</v>
      </c>
      <c r="AE109" t="s">
        <v>3</v>
      </c>
      <c r="AF109" t="s">
        <v>3</v>
      </c>
      <c r="AG109" t="s">
        <v>3</v>
      </c>
      <c r="AH109" t="s">
        <v>3</v>
      </c>
      <c r="AI109" t="s">
        <v>3</v>
      </c>
      <c r="AJ109" t="s">
        <v>3</v>
      </c>
      <c r="AK109" t="s">
        <v>3</v>
      </c>
      <c r="AL109" t="s">
        <v>3</v>
      </c>
      <c r="AM109" t="s">
        <v>3</v>
      </c>
      <c r="AN109" t="s">
        <v>3</v>
      </c>
      <c r="AO109" t="s">
        <v>3</v>
      </c>
      <c r="AP109" t="s">
        <v>3</v>
      </c>
      <c r="AQ109" t="s">
        <v>3</v>
      </c>
      <c r="AR109" t="s">
        <v>3</v>
      </c>
      <c r="AS109" t="s">
        <v>3</v>
      </c>
      <c r="AT109" t="s">
        <v>3</v>
      </c>
      <c r="AU109" t="s">
        <v>3</v>
      </c>
      <c r="AV109" t="s">
        <v>3</v>
      </c>
      <c r="AW109" t="s">
        <v>3</v>
      </c>
      <c r="AX109">
        <v>0</v>
      </c>
      <c r="AY109">
        <v>1</v>
      </c>
      <c r="AZ109" t="s">
        <v>1</v>
      </c>
      <c r="BA109" t="s">
        <v>1</v>
      </c>
      <c r="BB109" t="s">
        <v>1</v>
      </c>
      <c r="BC109" s="21" t="s">
        <v>748</v>
      </c>
      <c r="BD109" s="21" t="s">
        <v>144</v>
      </c>
      <c r="BE109">
        <v>0</v>
      </c>
      <c r="BF109">
        <v>0</v>
      </c>
      <c r="BG109">
        <v>0</v>
      </c>
      <c r="BH109">
        <v>0</v>
      </c>
      <c r="BI109">
        <v>0</v>
      </c>
      <c r="BJ109" t="s">
        <v>749</v>
      </c>
      <c r="BK109">
        <v>0</v>
      </c>
      <c r="BL109" t="s">
        <v>132</v>
      </c>
      <c r="BM109">
        <v>0</v>
      </c>
      <c r="BN109">
        <v>1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 t="s">
        <v>0</v>
      </c>
      <c r="BX109">
        <v>0</v>
      </c>
      <c r="BY109">
        <v>0</v>
      </c>
      <c r="BZ109">
        <v>0</v>
      </c>
      <c r="CA109">
        <v>0</v>
      </c>
      <c r="CB109" t="s">
        <v>145</v>
      </c>
      <c r="CD109" t="str" cm="1">
        <f t="array" aca="1" ref="CD109" ca="1">eConcatenar(A109:CB109,"|")</f>
        <v>eV51mHrRZ7B9mwVf|MODIFCARD100|3|MODIF|MODIF|MODIF|MODIF|2022-01-01|1|0|0|0|0|0|0|0|0|0|0|0|0|0|0|0|0|0|0|x|x|x|x|x|x|x|x|x|x|x|x|x|x|x|x|x|x|x|x|x|x|0|1|X|X|X|2022-2-10|2022-02-23|0|0|0|0|0|QWYNRBIY9KVTQO|0|HOMBRE|0|1|0|0|0|0|0|0|0|0|CARDENAS|0|0|0|0|FINAL</v>
      </c>
    </row>
    <row r="110" spans="1:82" x14ac:dyDescent="0.25">
      <c r="A110" t="s">
        <v>246</v>
      </c>
      <c r="B110" s="19" t="s">
        <v>447</v>
      </c>
      <c r="C110">
        <v>3</v>
      </c>
      <c r="D110" t="s">
        <v>346</v>
      </c>
      <c r="E110" t="s">
        <v>346</v>
      </c>
      <c r="F110" t="s">
        <v>346</v>
      </c>
      <c r="G110" t="s">
        <v>346</v>
      </c>
      <c r="H110" s="21" t="s">
        <v>747</v>
      </c>
      <c r="I110">
        <v>1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">
        <v>3</v>
      </c>
      <c r="AC110" t="s">
        <v>3</v>
      </c>
      <c r="AD110" t="s">
        <v>3</v>
      </c>
      <c r="AE110" t="s">
        <v>3</v>
      </c>
      <c r="AF110" t="s">
        <v>3</v>
      </c>
      <c r="AG110" t="s">
        <v>3</v>
      </c>
      <c r="AH110" t="s">
        <v>3</v>
      </c>
      <c r="AI110" t="s">
        <v>3</v>
      </c>
      <c r="AJ110" t="s">
        <v>3</v>
      </c>
      <c r="AK110" t="s">
        <v>3</v>
      </c>
      <c r="AL110" t="s">
        <v>3</v>
      </c>
      <c r="AM110" t="s">
        <v>3</v>
      </c>
      <c r="AN110" t="s">
        <v>3</v>
      </c>
      <c r="AO110" t="s">
        <v>3</v>
      </c>
      <c r="AP110" t="s">
        <v>3</v>
      </c>
      <c r="AQ110" t="s">
        <v>3</v>
      </c>
      <c r="AR110" t="s">
        <v>3</v>
      </c>
      <c r="AS110" t="s">
        <v>3</v>
      </c>
      <c r="AT110" t="s">
        <v>3</v>
      </c>
      <c r="AU110" t="s">
        <v>3</v>
      </c>
      <c r="AV110" t="s">
        <v>3</v>
      </c>
      <c r="AW110" t="s">
        <v>3</v>
      </c>
      <c r="AX110">
        <v>0</v>
      </c>
      <c r="AY110">
        <v>1</v>
      </c>
      <c r="AZ110" t="s">
        <v>1</v>
      </c>
      <c r="BA110" t="s">
        <v>1</v>
      </c>
      <c r="BB110" t="s">
        <v>1</v>
      </c>
      <c r="BC110" s="21" t="s">
        <v>748</v>
      </c>
      <c r="BD110" s="21" t="s">
        <v>144</v>
      </c>
      <c r="BE110">
        <v>0</v>
      </c>
      <c r="BF110">
        <v>0</v>
      </c>
      <c r="BG110">
        <v>0</v>
      </c>
      <c r="BH110">
        <v>0</v>
      </c>
      <c r="BI110">
        <v>0</v>
      </c>
      <c r="BJ110" t="s">
        <v>749</v>
      </c>
      <c r="BK110">
        <v>0</v>
      </c>
      <c r="BL110" t="s">
        <v>132</v>
      </c>
      <c r="BM110">
        <v>0</v>
      </c>
      <c r="BN110">
        <v>1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 t="s">
        <v>0</v>
      </c>
      <c r="BX110">
        <v>0</v>
      </c>
      <c r="BY110">
        <v>0</v>
      </c>
      <c r="BZ110">
        <v>0</v>
      </c>
      <c r="CA110">
        <v>0</v>
      </c>
      <c r="CB110" t="s">
        <v>145</v>
      </c>
      <c r="CD110" t="str" cm="1">
        <f t="array" aca="1" ref="CD110" ca="1">eConcatenar(A110:CB110,"|")</f>
        <v>DhE6mmi5J72v5rbg|MODIFCARD101|3|MODIF|MODIF|MODIF|MODIF|2022-01-01|1|0|0|0|0|0|0|0|0|0|0|0|0|0|0|0|0|0|0|x|x|x|x|x|x|x|x|x|x|x|x|x|x|x|x|x|x|x|x|x|x|0|1|X|X|X|2022-2-10|2022-02-23|0|0|0|0|0|QWYNRBIY9KVTQO|0|HOMBRE|0|1|0|0|0|0|0|0|0|0|CARDENAS|0|0|0|0|FINAL</v>
      </c>
    </row>
    <row r="111" spans="1:82" x14ac:dyDescent="0.25">
      <c r="A111" t="s">
        <v>247</v>
      </c>
      <c r="B111" s="19" t="s">
        <v>448</v>
      </c>
      <c r="C111">
        <v>3</v>
      </c>
      <c r="D111" t="s">
        <v>346</v>
      </c>
      <c r="E111" t="s">
        <v>346</v>
      </c>
      <c r="F111" t="s">
        <v>346</v>
      </c>
      <c r="G111" t="s">
        <v>346</v>
      </c>
      <c r="H111" s="21" t="s">
        <v>747</v>
      </c>
      <c r="I111">
        <v>1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 t="s">
        <v>3</v>
      </c>
      <c r="AC111" t="s">
        <v>3</v>
      </c>
      <c r="AD111" t="s">
        <v>3</v>
      </c>
      <c r="AE111" t="s">
        <v>3</v>
      </c>
      <c r="AF111" t="s">
        <v>3</v>
      </c>
      <c r="AG111" t="s">
        <v>3</v>
      </c>
      <c r="AH111" t="s">
        <v>3</v>
      </c>
      <c r="AI111" t="s">
        <v>3</v>
      </c>
      <c r="AJ111" t="s">
        <v>3</v>
      </c>
      <c r="AK111" t="s">
        <v>3</v>
      </c>
      <c r="AL111" t="s">
        <v>3</v>
      </c>
      <c r="AM111" t="s">
        <v>3</v>
      </c>
      <c r="AN111" t="s">
        <v>3</v>
      </c>
      <c r="AO111" t="s">
        <v>3</v>
      </c>
      <c r="AP111" t="s">
        <v>3</v>
      </c>
      <c r="AQ111" t="s">
        <v>3</v>
      </c>
      <c r="AR111" t="s">
        <v>3</v>
      </c>
      <c r="AS111" t="s">
        <v>3</v>
      </c>
      <c r="AT111" t="s">
        <v>3</v>
      </c>
      <c r="AU111" t="s">
        <v>3</v>
      </c>
      <c r="AV111" t="s">
        <v>3</v>
      </c>
      <c r="AW111" t="s">
        <v>3</v>
      </c>
      <c r="AX111">
        <v>0</v>
      </c>
      <c r="AY111">
        <v>1</v>
      </c>
      <c r="AZ111" t="s">
        <v>1</v>
      </c>
      <c r="BA111" t="s">
        <v>1</v>
      </c>
      <c r="BB111" t="s">
        <v>1</v>
      </c>
      <c r="BC111" s="21" t="s">
        <v>748</v>
      </c>
      <c r="BD111" s="21" t="s">
        <v>144</v>
      </c>
      <c r="BE111">
        <v>0</v>
      </c>
      <c r="BF111">
        <v>0</v>
      </c>
      <c r="BG111">
        <v>0</v>
      </c>
      <c r="BH111">
        <v>0</v>
      </c>
      <c r="BI111">
        <v>0</v>
      </c>
      <c r="BJ111" t="s">
        <v>749</v>
      </c>
      <c r="BK111">
        <v>0</v>
      </c>
      <c r="BL111" t="s">
        <v>132</v>
      </c>
      <c r="BM111">
        <v>0</v>
      </c>
      <c r="BN111">
        <v>1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 t="s">
        <v>0</v>
      </c>
      <c r="BX111">
        <v>0</v>
      </c>
      <c r="BY111">
        <v>0</v>
      </c>
      <c r="BZ111">
        <v>0</v>
      </c>
      <c r="CA111">
        <v>0</v>
      </c>
      <c r="CB111" t="s">
        <v>145</v>
      </c>
      <c r="CD111" t="str" cm="1">
        <f t="array" aca="1" ref="CD111" ca="1">eConcatenar(A111:CB111,"|")</f>
        <v>Z0IwzDKydmTOKLNW|MODIFCARD102|3|MODIF|MODIF|MODIF|MODIF|2022-01-01|1|0|0|0|0|0|0|0|0|0|0|0|0|0|0|0|0|0|0|x|x|x|x|x|x|x|x|x|x|x|x|x|x|x|x|x|x|x|x|x|x|0|1|X|X|X|2022-2-10|2022-02-23|0|0|0|0|0|QWYNRBIY9KVTQO|0|HOMBRE|0|1|0|0|0|0|0|0|0|0|CARDENAS|0|0|0|0|FINAL</v>
      </c>
    </row>
    <row r="112" spans="1:82" x14ac:dyDescent="0.25">
      <c r="A112" t="s">
        <v>248</v>
      </c>
      <c r="B112" s="19" t="s">
        <v>449</v>
      </c>
      <c r="C112">
        <v>3</v>
      </c>
      <c r="D112" t="s">
        <v>346</v>
      </c>
      <c r="E112" t="s">
        <v>346</v>
      </c>
      <c r="F112" t="s">
        <v>346</v>
      </c>
      <c r="G112" t="s">
        <v>346</v>
      </c>
      <c r="H112" s="21" t="s">
        <v>747</v>
      </c>
      <c r="I112">
        <v>1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">
        <v>3</v>
      </c>
      <c r="AC112" t="s">
        <v>3</v>
      </c>
      <c r="AD112" t="s">
        <v>3</v>
      </c>
      <c r="AE112" t="s">
        <v>3</v>
      </c>
      <c r="AF112" t="s">
        <v>3</v>
      </c>
      <c r="AG112" t="s">
        <v>3</v>
      </c>
      <c r="AH112" t="s">
        <v>3</v>
      </c>
      <c r="AI112" t="s">
        <v>3</v>
      </c>
      <c r="AJ112" t="s">
        <v>3</v>
      </c>
      <c r="AK112" t="s">
        <v>3</v>
      </c>
      <c r="AL112" t="s">
        <v>3</v>
      </c>
      <c r="AM112" t="s">
        <v>3</v>
      </c>
      <c r="AN112" t="s">
        <v>3</v>
      </c>
      <c r="AO112" t="s">
        <v>3</v>
      </c>
      <c r="AP112" t="s">
        <v>3</v>
      </c>
      <c r="AQ112" t="s">
        <v>3</v>
      </c>
      <c r="AR112" t="s">
        <v>3</v>
      </c>
      <c r="AS112" t="s">
        <v>3</v>
      </c>
      <c r="AT112" t="s">
        <v>3</v>
      </c>
      <c r="AU112" t="s">
        <v>3</v>
      </c>
      <c r="AV112" t="s">
        <v>3</v>
      </c>
      <c r="AW112" t="s">
        <v>3</v>
      </c>
      <c r="AX112">
        <v>0</v>
      </c>
      <c r="AY112">
        <v>1</v>
      </c>
      <c r="AZ112" t="s">
        <v>1</v>
      </c>
      <c r="BA112" t="s">
        <v>1</v>
      </c>
      <c r="BB112" t="s">
        <v>1</v>
      </c>
      <c r="BC112" s="21" t="s">
        <v>748</v>
      </c>
      <c r="BD112" s="21" t="s">
        <v>144</v>
      </c>
      <c r="BE112">
        <v>0</v>
      </c>
      <c r="BF112">
        <v>0</v>
      </c>
      <c r="BG112">
        <v>0</v>
      </c>
      <c r="BH112">
        <v>0</v>
      </c>
      <c r="BI112">
        <v>0</v>
      </c>
      <c r="BJ112" t="s">
        <v>749</v>
      </c>
      <c r="BK112">
        <v>0</v>
      </c>
      <c r="BL112" t="s">
        <v>132</v>
      </c>
      <c r="BM112">
        <v>0</v>
      </c>
      <c r="BN112">
        <v>1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 t="s">
        <v>0</v>
      </c>
      <c r="BX112">
        <v>0</v>
      </c>
      <c r="BY112">
        <v>0</v>
      </c>
      <c r="BZ112">
        <v>0</v>
      </c>
      <c r="CA112">
        <v>0</v>
      </c>
      <c r="CB112" t="s">
        <v>145</v>
      </c>
      <c r="CD112" t="str" cm="1">
        <f t="array" aca="1" ref="CD112" ca="1">eConcatenar(A112:CB112,"|")</f>
        <v>KnUV10VDQF0yRmU3|MODIFCARD103|3|MODIF|MODIF|MODIF|MODIF|2022-01-01|1|0|0|0|0|0|0|0|0|0|0|0|0|0|0|0|0|0|0|x|x|x|x|x|x|x|x|x|x|x|x|x|x|x|x|x|x|x|x|x|x|0|1|X|X|X|2022-2-10|2022-02-23|0|0|0|0|0|QWYNRBIY9KVTQO|0|HOMBRE|0|1|0|0|0|0|0|0|0|0|CARDENAS|0|0|0|0|FINAL</v>
      </c>
    </row>
    <row r="113" spans="1:82" x14ac:dyDescent="0.25">
      <c r="A113" t="s">
        <v>249</v>
      </c>
      <c r="B113" s="19" t="s">
        <v>450</v>
      </c>
      <c r="C113">
        <v>3</v>
      </c>
      <c r="D113" t="s">
        <v>346</v>
      </c>
      <c r="E113" t="s">
        <v>346</v>
      </c>
      <c r="F113" t="s">
        <v>346</v>
      </c>
      <c r="G113" t="s">
        <v>346</v>
      </c>
      <c r="H113" s="21" t="s">
        <v>747</v>
      </c>
      <c r="I113">
        <v>1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">
        <v>3</v>
      </c>
      <c r="AC113" t="s">
        <v>3</v>
      </c>
      <c r="AD113" t="s">
        <v>3</v>
      </c>
      <c r="AE113" t="s">
        <v>3</v>
      </c>
      <c r="AF113" t="s">
        <v>3</v>
      </c>
      <c r="AG113" t="s">
        <v>3</v>
      </c>
      <c r="AH113" t="s">
        <v>3</v>
      </c>
      <c r="AI113" t="s">
        <v>3</v>
      </c>
      <c r="AJ113" t="s">
        <v>3</v>
      </c>
      <c r="AK113" t="s">
        <v>3</v>
      </c>
      <c r="AL113" t="s">
        <v>3</v>
      </c>
      <c r="AM113" t="s">
        <v>3</v>
      </c>
      <c r="AN113" t="s">
        <v>3</v>
      </c>
      <c r="AO113" t="s">
        <v>3</v>
      </c>
      <c r="AP113" t="s">
        <v>3</v>
      </c>
      <c r="AQ113" t="s">
        <v>3</v>
      </c>
      <c r="AR113" t="s">
        <v>3</v>
      </c>
      <c r="AS113" t="s">
        <v>3</v>
      </c>
      <c r="AT113" t="s">
        <v>3</v>
      </c>
      <c r="AU113" t="s">
        <v>3</v>
      </c>
      <c r="AV113" t="s">
        <v>3</v>
      </c>
      <c r="AW113" t="s">
        <v>3</v>
      </c>
      <c r="AX113">
        <v>0</v>
      </c>
      <c r="AY113">
        <v>1</v>
      </c>
      <c r="AZ113" t="s">
        <v>1</v>
      </c>
      <c r="BA113" t="s">
        <v>1</v>
      </c>
      <c r="BB113" t="s">
        <v>1</v>
      </c>
      <c r="BC113" s="21" t="s">
        <v>748</v>
      </c>
      <c r="BD113" s="21" t="s">
        <v>144</v>
      </c>
      <c r="BE113">
        <v>0</v>
      </c>
      <c r="BF113">
        <v>0</v>
      </c>
      <c r="BG113">
        <v>0</v>
      </c>
      <c r="BH113">
        <v>0</v>
      </c>
      <c r="BI113">
        <v>0</v>
      </c>
      <c r="BJ113" t="s">
        <v>749</v>
      </c>
      <c r="BK113">
        <v>0</v>
      </c>
      <c r="BL113" t="s">
        <v>132</v>
      </c>
      <c r="BM113">
        <v>0</v>
      </c>
      <c r="BN113">
        <v>1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 t="s">
        <v>0</v>
      </c>
      <c r="BX113">
        <v>0</v>
      </c>
      <c r="BY113">
        <v>0</v>
      </c>
      <c r="BZ113">
        <v>0</v>
      </c>
      <c r="CA113">
        <v>0</v>
      </c>
      <c r="CB113" t="s">
        <v>145</v>
      </c>
      <c r="CD113" t="str" cm="1">
        <f t="array" aca="1" ref="CD113" ca="1">eConcatenar(A113:CB113,"|")</f>
        <v>2W7KB8iO6OLEZdXM|MODIFCARD104|3|MODIF|MODIF|MODIF|MODIF|2022-01-01|1|0|0|0|0|0|0|0|0|0|0|0|0|0|0|0|0|0|0|x|x|x|x|x|x|x|x|x|x|x|x|x|x|x|x|x|x|x|x|x|x|0|1|X|X|X|2022-2-10|2022-02-23|0|0|0|0|0|QWYNRBIY9KVTQO|0|HOMBRE|0|1|0|0|0|0|0|0|0|0|CARDENAS|0|0|0|0|FINAL</v>
      </c>
    </row>
    <row r="114" spans="1:82" x14ac:dyDescent="0.25">
      <c r="A114" t="s">
        <v>250</v>
      </c>
      <c r="B114" s="19" t="s">
        <v>451</v>
      </c>
      <c r="C114">
        <v>3</v>
      </c>
      <c r="D114" t="s">
        <v>346</v>
      </c>
      <c r="E114" t="s">
        <v>346</v>
      </c>
      <c r="F114" t="s">
        <v>346</v>
      </c>
      <c r="G114" t="s">
        <v>346</v>
      </c>
      <c r="H114" s="21" t="s">
        <v>747</v>
      </c>
      <c r="I114">
        <v>1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t="s">
        <v>3</v>
      </c>
      <c r="AC114" t="s">
        <v>3</v>
      </c>
      <c r="AD114" t="s">
        <v>3</v>
      </c>
      <c r="AE114" t="s">
        <v>3</v>
      </c>
      <c r="AF114" t="s">
        <v>3</v>
      </c>
      <c r="AG114" t="s">
        <v>3</v>
      </c>
      <c r="AH114" t="s">
        <v>3</v>
      </c>
      <c r="AI114" t="s">
        <v>3</v>
      </c>
      <c r="AJ114" t="s">
        <v>3</v>
      </c>
      <c r="AK114" t="s">
        <v>3</v>
      </c>
      <c r="AL114" t="s">
        <v>3</v>
      </c>
      <c r="AM114" t="s">
        <v>3</v>
      </c>
      <c r="AN114" t="s">
        <v>3</v>
      </c>
      <c r="AO114" t="s">
        <v>3</v>
      </c>
      <c r="AP114" t="s">
        <v>3</v>
      </c>
      <c r="AQ114" t="s">
        <v>3</v>
      </c>
      <c r="AR114" t="s">
        <v>3</v>
      </c>
      <c r="AS114" t="s">
        <v>3</v>
      </c>
      <c r="AT114" t="s">
        <v>3</v>
      </c>
      <c r="AU114" t="s">
        <v>3</v>
      </c>
      <c r="AV114" t="s">
        <v>3</v>
      </c>
      <c r="AW114" t="s">
        <v>3</v>
      </c>
      <c r="AX114">
        <v>0</v>
      </c>
      <c r="AY114">
        <v>1</v>
      </c>
      <c r="AZ114" t="s">
        <v>1</v>
      </c>
      <c r="BA114" t="s">
        <v>1</v>
      </c>
      <c r="BB114" t="s">
        <v>1</v>
      </c>
      <c r="BC114" s="21" t="s">
        <v>748</v>
      </c>
      <c r="BD114" s="21" t="s">
        <v>144</v>
      </c>
      <c r="BE114">
        <v>0</v>
      </c>
      <c r="BF114">
        <v>0</v>
      </c>
      <c r="BG114">
        <v>0</v>
      </c>
      <c r="BH114">
        <v>0</v>
      </c>
      <c r="BI114">
        <v>0</v>
      </c>
      <c r="BJ114" t="s">
        <v>749</v>
      </c>
      <c r="BK114">
        <v>0</v>
      </c>
      <c r="BL114" t="s">
        <v>132</v>
      </c>
      <c r="BM114">
        <v>0</v>
      </c>
      <c r="BN114">
        <v>1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 t="s">
        <v>0</v>
      </c>
      <c r="BX114">
        <v>0</v>
      </c>
      <c r="BY114">
        <v>0</v>
      </c>
      <c r="BZ114">
        <v>0</v>
      </c>
      <c r="CA114">
        <v>0</v>
      </c>
      <c r="CB114" t="s">
        <v>145</v>
      </c>
      <c r="CD114" t="str" cm="1">
        <f t="array" aca="1" ref="CD114" ca="1">eConcatenar(A114:CB114,"|")</f>
        <v>JU3uaYID2p1n54mS|MODIFCARD105|3|MODIF|MODIF|MODIF|MODIF|2022-01-01|1|0|0|0|0|0|0|0|0|0|0|0|0|0|0|0|0|0|0|x|x|x|x|x|x|x|x|x|x|x|x|x|x|x|x|x|x|x|x|x|x|0|1|X|X|X|2022-2-10|2022-02-23|0|0|0|0|0|QWYNRBIY9KVTQO|0|HOMBRE|0|1|0|0|0|0|0|0|0|0|CARDENAS|0|0|0|0|FINAL</v>
      </c>
    </row>
    <row r="115" spans="1:82" x14ac:dyDescent="0.25">
      <c r="A115" t="s">
        <v>251</v>
      </c>
      <c r="B115" s="19" t="s">
        <v>452</v>
      </c>
      <c r="C115">
        <v>3</v>
      </c>
      <c r="D115" t="s">
        <v>346</v>
      </c>
      <c r="E115" t="s">
        <v>346</v>
      </c>
      <c r="F115" t="s">
        <v>346</v>
      </c>
      <c r="G115" t="s">
        <v>346</v>
      </c>
      <c r="H115" s="21" t="s">
        <v>747</v>
      </c>
      <c r="I115">
        <v>1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">
        <v>3</v>
      </c>
      <c r="AC115" t="s">
        <v>3</v>
      </c>
      <c r="AD115" t="s">
        <v>3</v>
      </c>
      <c r="AE115" t="s">
        <v>3</v>
      </c>
      <c r="AF115" t="s">
        <v>3</v>
      </c>
      <c r="AG115" t="s">
        <v>3</v>
      </c>
      <c r="AH115" t="s">
        <v>3</v>
      </c>
      <c r="AI115" t="s">
        <v>3</v>
      </c>
      <c r="AJ115" t="s">
        <v>3</v>
      </c>
      <c r="AK115" t="s">
        <v>3</v>
      </c>
      <c r="AL115" t="s">
        <v>3</v>
      </c>
      <c r="AM115" t="s">
        <v>3</v>
      </c>
      <c r="AN115" t="s">
        <v>3</v>
      </c>
      <c r="AO115" t="s">
        <v>3</v>
      </c>
      <c r="AP115" t="s">
        <v>3</v>
      </c>
      <c r="AQ115" t="s">
        <v>3</v>
      </c>
      <c r="AR115" t="s">
        <v>3</v>
      </c>
      <c r="AS115" t="s">
        <v>3</v>
      </c>
      <c r="AT115" t="s">
        <v>3</v>
      </c>
      <c r="AU115" t="s">
        <v>3</v>
      </c>
      <c r="AV115" t="s">
        <v>3</v>
      </c>
      <c r="AW115" t="s">
        <v>3</v>
      </c>
      <c r="AX115">
        <v>0</v>
      </c>
      <c r="AY115">
        <v>1</v>
      </c>
      <c r="AZ115" t="s">
        <v>1</v>
      </c>
      <c r="BA115" t="s">
        <v>1</v>
      </c>
      <c r="BB115" t="s">
        <v>1</v>
      </c>
      <c r="BC115" s="21" t="s">
        <v>748</v>
      </c>
      <c r="BD115" s="21" t="s">
        <v>144</v>
      </c>
      <c r="BE115">
        <v>0</v>
      </c>
      <c r="BF115">
        <v>0</v>
      </c>
      <c r="BG115">
        <v>0</v>
      </c>
      <c r="BH115">
        <v>0</v>
      </c>
      <c r="BI115">
        <v>0</v>
      </c>
      <c r="BJ115" t="s">
        <v>749</v>
      </c>
      <c r="BK115">
        <v>0</v>
      </c>
      <c r="BL115" t="s">
        <v>132</v>
      </c>
      <c r="BM115">
        <v>0</v>
      </c>
      <c r="BN115">
        <v>1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 t="s">
        <v>0</v>
      </c>
      <c r="BX115">
        <v>0</v>
      </c>
      <c r="BY115">
        <v>0</v>
      </c>
      <c r="BZ115">
        <v>0</v>
      </c>
      <c r="CA115">
        <v>0</v>
      </c>
      <c r="CB115" t="s">
        <v>145</v>
      </c>
      <c r="CD115" t="str" cm="1">
        <f t="array" aca="1" ref="CD115" ca="1">eConcatenar(A115:CB115,"|")</f>
        <v>d2SeSG8YjeGAu4b7|MODIFCARD106|3|MODIF|MODIF|MODIF|MODIF|2022-01-01|1|0|0|0|0|0|0|0|0|0|0|0|0|0|0|0|0|0|0|x|x|x|x|x|x|x|x|x|x|x|x|x|x|x|x|x|x|x|x|x|x|0|1|X|X|X|2022-2-10|2022-02-23|0|0|0|0|0|QWYNRBIY9KVTQO|0|HOMBRE|0|1|0|0|0|0|0|0|0|0|CARDENAS|0|0|0|0|FINAL</v>
      </c>
    </row>
    <row r="116" spans="1:82" x14ac:dyDescent="0.25">
      <c r="A116" t="s">
        <v>252</v>
      </c>
      <c r="B116" s="19" t="s">
        <v>453</v>
      </c>
      <c r="C116">
        <v>3</v>
      </c>
      <c r="D116" t="s">
        <v>346</v>
      </c>
      <c r="E116" t="s">
        <v>346</v>
      </c>
      <c r="F116" t="s">
        <v>346</v>
      </c>
      <c r="G116" t="s">
        <v>346</v>
      </c>
      <c r="H116" s="21" t="s">
        <v>747</v>
      </c>
      <c r="I116">
        <v>1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">
        <v>3</v>
      </c>
      <c r="AC116" t="s">
        <v>3</v>
      </c>
      <c r="AD116" t="s">
        <v>3</v>
      </c>
      <c r="AE116" t="s">
        <v>3</v>
      </c>
      <c r="AF116" t="s">
        <v>3</v>
      </c>
      <c r="AG116" t="s">
        <v>3</v>
      </c>
      <c r="AH116" t="s">
        <v>3</v>
      </c>
      <c r="AI116" t="s">
        <v>3</v>
      </c>
      <c r="AJ116" t="s">
        <v>3</v>
      </c>
      <c r="AK116" t="s">
        <v>3</v>
      </c>
      <c r="AL116" t="s">
        <v>3</v>
      </c>
      <c r="AM116" t="s">
        <v>3</v>
      </c>
      <c r="AN116" t="s">
        <v>3</v>
      </c>
      <c r="AO116" t="s">
        <v>3</v>
      </c>
      <c r="AP116" t="s">
        <v>3</v>
      </c>
      <c r="AQ116" t="s">
        <v>3</v>
      </c>
      <c r="AR116" t="s">
        <v>3</v>
      </c>
      <c r="AS116" t="s">
        <v>3</v>
      </c>
      <c r="AT116" t="s">
        <v>3</v>
      </c>
      <c r="AU116" t="s">
        <v>3</v>
      </c>
      <c r="AV116" t="s">
        <v>3</v>
      </c>
      <c r="AW116" t="s">
        <v>3</v>
      </c>
      <c r="AX116">
        <v>0</v>
      </c>
      <c r="AY116">
        <v>1</v>
      </c>
      <c r="AZ116" t="s">
        <v>1</v>
      </c>
      <c r="BA116" t="s">
        <v>1</v>
      </c>
      <c r="BB116" t="s">
        <v>1</v>
      </c>
      <c r="BC116" s="21" t="s">
        <v>748</v>
      </c>
      <c r="BD116" s="21" t="s">
        <v>144</v>
      </c>
      <c r="BE116">
        <v>0</v>
      </c>
      <c r="BF116">
        <v>0</v>
      </c>
      <c r="BG116">
        <v>0</v>
      </c>
      <c r="BH116">
        <v>0</v>
      </c>
      <c r="BI116">
        <v>0</v>
      </c>
      <c r="BJ116" t="s">
        <v>749</v>
      </c>
      <c r="BK116">
        <v>0</v>
      </c>
      <c r="BL116" t="s">
        <v>132</v>
      </c>
      <c r="BM116">
        <v>0</v>
      </c>
      <c r="BN116">
        <v>1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 t="s">
        <v>0</v>
      </c>
      <c r="BX116">
        <v>0</v>
      </c>
      <c r="BY116">
        <v>0</v>
      </c>
      <c r="BZ116">
        <v>0</v>
      </c>
      <c r="CA116">
        <v>0</v>
      </c>
      <c r="CB116" t="s">
        <v>145</v>
      </c>
      <c r="CD116" t="str" cm="1">
        <f t="array" aca="1" ref="CD116" ca="1">eConcatenar(A116:CB116,"|")</f>
        <v>ngWtnw19V44sBWrV|MODIFCARD107|3|MODIF|MODIF|MODIF|MODIF|2022-01-01|1|0|0|0|0|0|0|0|0|0|0|0|0|0|0|0|0|0|0|x|x|x|x|x|x|x|x|x|x|x|x|x|x|x|x|x|x|x|x|x|x|0|1|X|X|X|2022-2-10|2022-02-23|0|0|0|0|0|QWYNRBIY9KVTQO|0|HOMBRE|0|1|0|0|0|0|0|0|0|0|CARDENAS|0|0|0|0|FINAL</v>
      </c>
    </row>
    <row r="117" spans="1:82" x14ac:dyDescent="0.25">
      <c r="A117" t="s">
        <v>253</v>
      </c>
      <c r="B117" s="19" t="s">
        <v>454</v>
      </c>
      <c r="C117">
        <v>3</v>
      </c>
      <c r="D117" t="s">
        <v>346</v>
      </c>
      <c r="E117" t="s">
        <v>346</v>
      </c>
      <c r="F117" t="s">
        <v>346</v>
      </c>
      <c r="G117" t="s">
        <v>346</v>
      </c>
      <c r="H117" s="21" t="s">
        <v>747</v>
      </c>
      <c r="I117">
        <v>1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 t="s">
        <v>3</v>
      </c>
      <c r="AC117" t="s">
        <v>3</v>
      </c>
      <c r="AD117" t="s">
        <v>3</v>
      </c>
      <c r="AE117" t="s">
        <v>3</v>
      </c>
      <c r="AF117" t="s">
        <v>3</v>
      </c>
      <c r="AG117" t="s">
        <v>3</v>
      </c>
      <c r="AH117" t="s">
        <v>3</v>
      </c>
      <c r="AI117" t="s">
        <v>3</v>
      </c>
      <c r="AJ117" t="s">
        <v>3</v>
      </c>
      <c r="AK117" t="s">
        <v>3</v>
      </c>
      <c r="AL117" t="s">
        <v>3</v>
      </c>
      <c r="AM117" t="s">
        <v>3</v>
      </c>
      <c r="AN117" t="s">
        <v>3</v>
      </c>
      <c r="AO117" t="s">
        <v>3</v>
      </c>
      <c r="AP117" t="s">
        <v>3</v>
      </c>
      <c r="AQ117" t="s">
        <v>3</v>
      </c>
      <c r="AR117" t="s">
        <v>3</v>
      </c>
      <c r="AS117" t="s">
        <v>3</v>
      </c>
      <c r="AT117" t="s">
        <v>3</v>
      </c>
      <c r="AU117" t="s">
        <v>3</v>
      </c>
      <c r="AV117" t="s">
        <v>3</v>
      </c>
      <c r="AW117" t="s">
        <v>3</v>
      </c>
      <c r="AX117">
        <v>0</v>
      </c>
      <c r="AY117">
        <v>1</v>
      </c>
      <c r="AZ117" t="s">
        <v>1</v>
      </c>
      <c r="BA117" t="s">
        <v>1</v>
      </c>
      <c r="BB117" t="s">
        <v>1</v>
      </c>
      <c r="BC117" s="21" t="s">
        <v>748</v>
      </c>
      <c r="BD117" s="21" t="s">
        <v>144</v>
      </c>
      <c r="BE117">
        <v>0</v>
      </c>
      <c r="BF117">
        <v>0</v>
      </c>
      <c r="BG117">
        <v>0</v>
      </c>
      <c r="BH117">
        <v>0</v>
      </c>
      <c r="BI117">
        <v>0</v>
      </c>
      <c r="BJ117" t="s">
        <v>749</v>
      </c>
      <c r="BK117">
        <v>0</v>
      </c>
      <c r="BL117" t="s">
        <v>132</v>
      </c>
      <c r="BM117">
        <v>0</v>
      </c>
      <c r="BN117">
        <v>1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 t="s">
        <v>0</v>
      </c>
      <c r="BX117">
        <v>0</v>
      </c>
      <c r="BY117">
        <v>0</v>
      </c>
      <c r="BZ117">
        <v>0</v>
      </c>
      <c r="CA117">
        <v>0</v>
      </c>
      <c r="CB117" t="s">
        <v>145</v>
      </c>
      <c r="CD117" t="str" cm="1">
        <f t="array" aca="1" ref="CD117" ca="1">eConcatenar(A117:CB117,"|")</f>
        <v>zPp6o5eMsesZTCHO|MODIFCARD108|3|MODIF|MODIF|MODIF|MODIF|2022-01-01|1|0|0|0|0|0|0|0|0|0|0|0|0|0|0|0|0|0|0|x|x|x|x|x|x|x|x|x|x|x|x|x|x|x|x|x|x|x|x|x|x|0|1|X|X|X|2022-2-10|2022-02-23|0|0|0|0|0|QWYNRBIY9KVTQO|0|HOMBRE|0|1|0|0|0|0|0|0|0|0|CARDENAS|0|0|0|0|FINAL</v>
      </c>
    </row>
    <row r="118" spans="1:82" x14ac:dyDescent="0.25">
      <c r="A118" t="s">
        <v>254</v>
      </c>
      <c r="B118" s="19" t="s">
        <v>455</v>
      </c>
      <c r="C118">
        <v>3</v>
      </c>
      <c r="D118" t="s">
        <v>346</v>
      </c>
      <c r="E118" t="s">
        <v>346</v>
      </c>
      <c r="F118" t="s">
        <v>346</v>
      </c>
      <c r="G118" t="s">
        <v>346</v>
      </c>
      <c r="H118" s="21" t="s">
        <v>747</v>
      </c>
      <c r="I118">
        <v>1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">
        <v>3</v>
      </c>
      <c r="AC118" t="s">
        <v>3</v>
      </c>
      <c r="AD118" t="s">
        <v>3</v>
      </c>
      <c r="AE118" t="s">
        <v>3</v>
      </c>
      <c r="AF118" t="s">
        <v>3</v>
      </c>
      <c r="AG118" t="s">
        <v>3</v>
      </c>
      <c r="AH118" t="s">
        <v>3</v>
      </c>
      <c r="AI118" t="s">
        <v>3</v>
      </c>
      <c r="AJ118" t="s">
        <v>3</v>
      </c>
      <c r="AK118" t="s">
        <v>3</v>
      </c>
      <c r="AL118" t="s">
        <v>3</v>
      </c>
      <c r="AM118" t="s">
        <v>3</v>
      </c>
      <c r="AN118" t="s">
        <v>3</v>
      </c>
      <c r="AO118" t="s">
        <v>3</v>
      </c>
      <c r="AP118" t="s">
        <v>3</v>
      </c>
      <c r="AQ118" t="s">
        <v>3</v>
      </c>
      <c r="AR118" t="s">
        <v>3</v>
      </c>
      <c r="AS118" t="s">
        <v>3</v>
      </c>
      <c r="AT118" t="s">
        <v>3</v>
      </c>
      <c r="AU118" t="s">
        <v>3</v>
      </c>
      <c r="AV118" t="s">
        <v>3</v>
      </c>
      <c r="AW118" t="s">
        <v>3</v>
      </c>
      <c r="AX118">
        <v>0</v>
      </c>
      <c r="AY118">
        <v>1</v>
      </c>
      <c r="AZ118" t="s">
        <v>1</v>
      </c>
      <c r="BA118" t="s">
        <v>1</v>
      </c>
      <c r="BB118" t="s">
        <v>1</v>
      </c>
      <c r="BC118" s="21" t="s">
        <v>748</v>
      </c>
      <c r="BD118" s="21" t="s">
        <v>144</v>
      </c>
      <c r="BE118">
        <v>0</v>
      </c>
      <c r="BF118">
        <v>0</v>
      </c>
      <c r="BG118">
        <v>0</v>
      </c>
      <c r="BH118">
        <v>0</v>
      </c>
      <c r="BI118">
        <v>0</v>
      </c>
      <c r="BJ118" t="s">
        <v>749</v>
      </c>
      <c r="BK118">
        <v>0</v>
      </c>
      <c r="BL118" t="s">
        <v>132</v>
      </c>
      <c r="BM118">
        <v>0</v>
      </c>
      <c r="BN118">
        <v>1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 t="s">
        <v>0</v>
      </c>
      <c r="BX118">
        <v>0</v>
      </c>
      <c r="BY118">
        <v>0</v>
      </c>
      <c r="BZ118">
        <v>0</v>
      </c>
      <c r="CA118">
        <v>0</v>
      </c>
      <c r="CB118" t="s">
        <v>145</v>
      </c>
      <c r="CD118" t="str" cm="1">
        <f t="array" aca="1" ref="CD118" ca="1">eConcatenar(A118:CB118,"|")</f>
        <v>5bQKJctIpUK0EllY|MODIFCARD109|3|MODIF|MODIF|MODIF|MODIF|2022-01-01|1|0|0|0|0|0|0|0|0|0|0|0|0|0|0|0|0|0|0|x|x|x|x|x|x|x|x|x|x|x|x|x|x|x|x|x|x|x|x|x|x|0|1|X|X|X|2022-2-10|2022-02-23|0|0|0|0|0|QWYNRBIY9KVTQO|0|HOMBRE|0|1|0|0|0|0|0|0|0|0|CARDENAS|0|0|0|0|FINAL</v>
      </c>
    </row>
    <row r="119" spans="1:82" x14ac:dyDescent="0.25">
      <c r="A119" t="s">
        <v>255</v>
      </c>
      <c r="B119" s="19" t="s">
        <v>456</v>
      </c>
      <c r="C119">
        <v>3</v>
      </c>
      <c r="D119" t="s">
        <v>346</v>
      </c>
      <c r="E119" t="s">
        <v>346</v>
      </c>
      <c r="F119" t="s">
        <v>346</v>
      </c>
      <c r="G119" t="s">
        <v>346</v>
      </c>
      <c r="H119" s="21" t="s">
        <v>747</v>
      </c>
      <c r="I119">
        <v>1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 t="s">
        <v>3</v>
      </c>
      <c r="AC119" t="s">
        <v>3</v>
      </c>
      <c r="AD119" t="s">
        <v>3</v>
      </c>
      <c r="AE119" t="s">
        <v>3</v>
      </c>
      <c r="AF119" t="s">
        <v>3</v>
      </c>
      <c r="AG119" t="s">
        <v>3</v>
      </c>
      <c r="AH119" t="s">
        <v>3</v>
      </c>
      <c r="AI119" t="s">
        <v>3</v>
      </c>
      <c r="AJ119" t="s">
        <v>3</v>
      </c>
      <c r="AK119" t="s">
        <v>3</v>
      </c>
      <c r="AL119" t="s">
        <v>3</v>
      </c>
      <c r="AM119" t="s">
        <v>3</v>
      </c>
      <c r="AN119" t="s">
        <v>3</v>
      </c>
      <c r="AO119" t="s">
        <v>3</v>
      </c>
      <c r="AP119" t="s">
        <v>3</v>
      </c>
      <c r="AQ119" t="s">
        <v>3</v>
      </c>
      <c r="AR119" t="s">
        <v>3</v>
      </c>
      <c r="AS119" t="s">
        <v>3</v>
      </c>
      <c r="AT119" t="s">
        <v>3</v>
      </c>
      <c r="AU119" t="s">
        <v>3</v>
      </c>
      <c r="AV119" t="s">
        <v>3</v>
      </c>
      <c r="AW119" t="s">
        <v>3</v>
      </c>
      <c r="AX119">
        <v>0</v>
      </c>
      <c r="AY119">
        <v>1</v>
      </c>
      <c r="AZ119" t="s">
        <v>1</v>
      </c>
      <c r="BA119" t="s">
        <v>1</v>
      </c>
      <c r="BB119" t="s">
        <v>1</v>
      </c>
      <c r="BC119" s="21" t="s">
        <v>748</v>
      </c>
      <c r="BD119" s="21" t="s">
        <v>144</v>
      </c>
      <c r="BE119">
        <v>0</v>
      </c>
      <c r="BF119">
        <v>0</v>
      </c>
      <c r="BG119">
        <v>0</v>
      </c>
      <c r="BH119">
        <v>0</v>
      </c>
      <c r="BI119">
        <v>0</v>
      </c>
      <c r="BJ119" t="s">
        <v>749</v>
      </c>
      <c r="BK119">
        <v>0</v>
      </c>
      <c r="BL119" t="s">
        <v>132</v>
      </c>
      <c r="BM119">
        <v>0</v>
      </c>
      <c r="BN119">
        <v>1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 t="s">
        <v>0</v>
      </c>
      <c r="BX119">
        <v>0</v>
      </c>
      <c r="BY119">
        <v>0</v>
      </c>
      <c r="BZ119">
        <v>0</v>
      </c>
      <c r="CA119">
        <v>0</v>
      </c>
      <c r="CB119" t="s">
        <v>145</v>
      </c>
      <c r="CD119" t="str" cm="1">
        <f t="array" aca="1" ref="CD119" ca="1">eConcatenar(A119:CB119,"|")</f>
        <v>UHszRoGz6GZOBiTC|MODIFCARD110|3|MODIF|MODIF|MODIF|MODIF|2022-01-01|1|0|0|0|0|0|0|0|0|0|0|0|0|0|0|0|0|0|0|x|x|x|x|x|x|x|x|x|x|x|x|x|x|x|x|x|x|x|x|x|x|0|1|X|X|X|2022-2-10|2022-02-23|0|0|0|0|0|QWYNRBIY9KVTQO|0|HOMBRE|0|1|0|0|0|0|0|0|0|0|CARDENAS|0|0|0|0|FINAL</v>
      </c>
    </row>
    <row r="120" spans="1:82" x14ac:dyDescent="0.25">
      <c r="A120" t="s">
        <v>256</v>
      </c>
      <c r="B120" s="19" t="s">
        <v>457</v>
      </c>
      <c r="C120">
        <v>3</v>
      </c>
      <c r="D120" t="s">
        <v>346</v>
      </c>
      <c r="E120" t="s">
        <v>346</v>
      </c>
      <c r="F120" t="s">
        <v>346</v>
      </c>
      <c r="G120" t="s">
        <v>346</v>
      </c>
      <c r="H120" s="21" t="s">
        <v>747</v>
      </c>
      <c r="I120">
        <v>1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">
        <v>3</v>
      </c>
      <c r="AC120" t="s">
        <v>3</v>
      </c>
      <c r="AD120" t="s">
        <v>3</v>
      </c>
      <c r="AE120" t="s">
        <v>3</v>
      </c>
      <c r="AF120" t="s">
        <v>3</v>
      </c>
      <c r="AG120" t="s">
        <v>3</v>
      </c>
      <c r="AH120" t="s">
        <v>3</v>
      </c>
      <c r="AI120" t="s">
        <v>3</v>
      </c>
      <c r="AJ120" t="s">
        <v>3</v>
      </c>
      <c r="AK120" t="s">
        <v>3</v>
      </c>
      <c r="AL120" t="s">
        <v>3</v>
      </c>
      <c r="AM120" t="s">
        <v>3</v>
      </c>
      <c r="AN120" t="s">
        <v>3</v>
      </c>
      <c r="AO120" t="s">
        <v>3</v>
      </c>
      <c r="AP120" t="s">
        <v>3</v>
      </c>
      <c r="AQ120" t="s">
        <v>3</v>
      </c>
      <c r="AR120" t="s">
        <v>3</v>
      </c>
      <c r="AS120" t="s">
        <v>3</v>
      </c>
      <c r="AT120" t="s">
        <v>3</v>
      </c>
      <c r="AU120" t="s">
        <v>3</v>
      </c>
      <c r="AV120" t="s">
        <v>3</v>
      </c>
      <c r="AW120" t="s">
        <v>3</v>
      </c>
      <c r="AX120">
        <v>0</v>
      </c>
      <c r="AY120">
        <v>1</v>
      </c>
      <c r="AZ120" t="s">
        <v>1</v>
      </c>
      <c r="BA120" t="s">
        <v>1</v>
      </c>
      <c r="BB120" t="s">
        <v>1</v>
      </c>
      <c r="BC120" s="21" t="s">
        <v>748</v>
      </c>
      <c r="BD120" s="21" t="s">
        <v>144</v>
      </c>
      <c r="BE120">
        <v>0</v>
      </c>
      <c r="BF120">
        <v>0</v>
      </c>
      <c r="BG120">
        <v>0</v>
      </c>
      <c r="BH120">
        <v>0</v>
      </c>
      <c r="BI120">
        <v>0</v>
      </c>
      <c r="BJ120" t="s">
        <v>749</v>
      </c>
      <c r="BK120">
        <v>0</v>
      </c>
      <c r="BL120" t="s">
        <v>132</v>
      </c>
      <c r="BM120">
        <v>0</v>
      </c>
      <c r="BN120">
        <v>1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 t="s">
        <v>0</v>
      </c>
      <c r="BX120">
        <v>0</v>
      </c>
      <c r="BY120">
        <v>0</v>
      </c>
      <c r="BZ120">
        <v>0</v>
      </c>
      <c r="CA120">
        <v>0</v>
      </c>
      <c r="CB120" t="s">
        <v>145</v>
      </c>
      <c r="CD120" t="str" cm="1">
        <f t="array" aca="1" ref="CD120" ca="1">eConcatenar(A120:CB120,"|")</f>
        <v>vyFcptP4Fdhg8z7T|MODIFCARD111|3|MODIF|MODIF|MODIF|MODIF|2022-01-01|1|0|0|0|0|0|0|0|0|0|0|0|0|0|0|0|0|0|0|x|x|x|x|x|x|x|x|x|x|x|x|x|x|x|x|x|x|x|x|x|x|0|1|X|X|X|2022-2-10|2022-02-23|0|0|0|0|0|QWYNRBIY9KVTQO|0|HOMBRE|0|1|0|0|0|0|0|0|0|0|CARDENAS|0|0|0|0|FINAL</v>
      </c>
    </row>
    <row r="121" spans="1:82" x14ac:dyDescent="0.25">
      <c r="A121" t="s">
        <v>257</v>
      </c>
      <c r="B121" s="19" t="s">
        <v>458</v>
      </c>
      <c r="C121">
        <v>3</v>
      </c>
      <c r="D121" t="s">
        <v>346</v>
      </c>
      <c r="E121" t="s">
        <v>346</v>
      </c>
      <c r="F121" t="s">
        <v>346</v>
      </c>
      <c r="G121" t="s">
        <v>346</v>
      </c>
      <c r="H121" s="21" t="s">
        <v>747</v>
      </c>
      <c r="I121">
        <v>1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">
        <v>3</v>
      </c>
      <c r="AC121" t="s">
        <v>3</v>
      </c>
      <c r="AD121" t="s">
        <v>3</v>
      </c>
      <c r="AE121" t="s">
        <v>3</v>
      </c>
      <c r="AF121" t="s">
        <v>3</v>
      </c>
      <c r="AG121" t="s">
        <v>3</v>
      </c>
      <c r="AH121" t="s">
        <v>3</v>
      </c>
      <c r="AI121" t="s">
        <v>3</v>
      </c>
      <c r="AJ121" t="s">
        <v>3</v>
      </c>
      <c r="AK121" t="s">
        <v>3</v>
      </c>
      <c r="AL121" t="s">
        <v>3</v>
      </c>
      <c r="AM121" t="s">
        <v>3</v>
      </c>
      <c r="AN121" t="s">
        <v>3</v>
      </c>
      <c r="AO121" t="s">
        <v>3</v>
      </c>
      <c r="AP121" t="s">
        <v>3</v>
      </c>
      <c r="AQ121" t="s">
        <v>3</v>
      </c>
      <c r="AR121" t="s">
        <v>3</v>
      </c>
      <c r="AS121" t="s">
        <v>3</v>
      </c>
      <c r="AT121" t="s">
        <v>3</v>
      </c>
      <c r="AU121" t="s">
        <v>3</v>
      </c>
      <c r="AV121" t="s">
        <v>3</v>
      </c>
      <c r="AW121" t="s">
        <v>3</v>
      </c>
      <c r="AX121">
        <v>0</v>
      </c>
      <c r="AY121">
        <v>1</v>
      </c>
      <c r="AZ121" t="s">
        <v>1</v>
      </c>
      <c r="BA121" t="s">
        <v>1</v>
      </c>
      <c r="BB121" t="s">
        <v>1</v>
      </c>
      <c r="BC121" s="21" t="s">
        <v>748</v>
      </c>
      <c r="BD121" s="21" t="s">
        <v>144</v>
      </c>
      <c r="BE121">
        <v>0</v>
      </c>
      <c r="BF121">
        <v>0</v>
      </c>
      <c r="BG121">
        <v>0</v>
      </c>
      <c r="BH121">
        <v>0</v>
      </c>
      <c r="BI121">
        <v>0</v>
      </c>
      <c r="BJ121" t="s">
        <v>749</v>
      </c>
      <c r="BK121">
        <v>0</v>
      </c>
      <c r="BL121" t="s">
        <v>132</v>
      </c>
      <c r="BM121">
        <v>0</v>
      </c>
      <c r="BN121">
        <v>1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 t="s">
        <v>0</v>
      </c>
      <c r="BX121">
        <v>0</v>
      </c>
      <c r="BY121">
        <v>0</v>
      </c>
      <c r="BZ121">
        <v>0</v>
      </c>
      <c r="CA121">
        <v>0</v>
      </c>
      <c r="CB121" t="s">
        <v>145</v>
      </c>
      <c r="CD121" t="str" cm="1">
        <f t="array" aca="1" ref="CD121" ca="1">eConcatenar(A121:CB121,"|")</f>
        <v>mQ3KXgFfan2eVlrK|MODIFCARD112|3|MODIF|MODIF|MODIF|MODIF|2022-01-01|1|0|0|0|0|0|0|0|0|0|0|0|0|0|0|0|0|0|0|x|x|x|x|x|x|x|x|x|x|x|x|x|x|x|x|x|x|x|x|x|x|0|1|X|X|X|2022-2-10|2022-02-23|0|0|0|0|0|QWYNRBIY9KVTQO|0|HOMBRE|0|1|0|0|0|0|0|0|0|0|CARDENAS|0|0|0|0|FINAL</v>
      </c>
    </row>
    <row r="122" spans="1:82" x14ac:dyDescent="0.25">
      <c r="A122" t="s">
        <v>258</v>
      </c>
      <c r="B122" s="19" t="s">
        <v>459</v>
      </c>
      <c r="C122">
        <v>3</v>
      </c>
      <c r="D122" t="s">
        <v>346</v>
      </c>
      <c r="E122" t="s">
        <v>346</v>
      </c>
      <c r="F122" t="s">
        <v>346</v>
      </c>
      <c r="G122" t="s">
        <v>346</v>
      </c>
      <c r="H122" s="21" t="s">
        <v>747</v>
      </c>
      <c r="I122">
        <v>1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t="s">
        <v>3</v>
      </c>
      <c r="AC122" t="s">
        <v>3</v>
      </c>
      <c r="AD122" t="s">
        <v>3</v>
      </c>
      <c r="AE122" t="s">
        <v>3</v>
      </c>
      <c r="AF122" t="s">
        <v>3</v>
      </c>
      <c r="AG122" t="s">
        <v>3</v>
      </c>
      <c r="AH122" t="s">
        <v>3</v>
      </c>
      <c r="AI122" t="s">
        <v>3</v>
      </c>
      <c r="AJ122" t="s">
        <v>3</v>
      </c>
      <c r="AK122" t="s">
        <v>3</v>
      </c>
      <c r="AL122" t="s">
        <v>3</v>
      </c>
      <c r="AM122" t="s">
        <v>3</v>
      </c>
      <c r="AN122" t="s">
        <v>3</v>
      </c>
      <c r="AO122" t="s">
        <v>3</v>
      </c>
      <c r="AP122" t="s">
        <v>3</v>
      </c>
      <c r="AQ122" t="s">
        <v>3</v>
      </c>
      <c r="AR122" t="s">
        <v>3</v>
      </c>
      <c r="AS122" t="s">
        <v>3</v>
      </c>
      <c r="AT122" t="s">
        <v>3</v>
      </c>
      <c r="AU122" t="s">
        <v>3</v>
      </c>
      <c r="AV122" t="s">
        <v>3</v>
      </c>
      <c r="AW122" t="s">
        <v>3</v>
      </c>
      <c r="AX122">
        <v>0</v>
      </c>
      <c r="AY122">
        <v>1</v>
      </c>
      <c r="AZ122" t="s">
        <v>1</v>
      </c>
      <c r="BA122" t="s">
        <v>1</v>
      </c>
      <c r="BB122" t="s">
        <v>1</v>
      </c>
      <c r="BC122" s="21" t="s">
        <v>748</v>
      </c>
      <c r="BD122" s="21" t="s">
        <v>144</v>
      </c>
      <c r="BE122">
        <v>0</v>
      </c>
      <c r="BF122">
        <v>0</v>
      </c>
      <c r="BG122">
        <v>0</v>
      </c>
      <c r="BH122">
        <v>0</v>
      </c>
      <c r="BI122">
        <v>0</v>
      </c>
      <c r="BJ122" t="s">
        <v>749</v>
      </c>
      <c r="BK122">
        <v>0</v>
      </c>
      <c r="BL122" t="s">
        <v>132</v>
      </c>
      <c r="BM122">
        <v>0</v>
      </c>
      <c r="BN122">
        <v>1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 t="s">
        <v>0</v>
      </c>
      <c r="BX122">
        <v>0</v>
      </c>
      <c r="BY122">
        <v>0</v>
      </c>
      <c r="BZ122">
        <v>0</v>
      </c>
      <c r="CA122">
        <v>0</v>
      </c>
      <c r="CB122" t="s">
        <v>145</v>
      </c>
      <c r="CD122" t="str" cm="1">
        <f t="array" aca="1" ref="CD122" ca="1">eConcatenar(A122:CB122,"|")</f>
        <v>ddexccL1kGrrBs4t|MODIFCARD113|3|MODIF|MODIF|MODIF|MODIF|2022-01-01|1|0|0|0|0|0|0|0|0|0|0|0|0|0|0|0|0|0|0|x|x|x|x|x|x|x|x|x|x|x|x|x|x|x|x|x|x|x|x|x|x|0|1|X|X|X|2022-2-10|2022-02-23|0|0|0|0|0|QWYNRBIY9KVTQO|0|HOMBRE|0|1|0|0|0|0|0|0|0|0|CARDENAS|0|0|0|0|FINAL</v>
      </c>
    </row>
    <row r="123" spans="1:82" x14ac:dyDescent="0.25">
      <c r="A123" t="s">
        <v>259</v>
      </c>
      <c r="B123" s="19" t="s">
        <v>460</v>
      </c>
      <c r="C123">
        <v>3</v>
      </c>
      <c r="D123" t="s">
        <v>346</v>
      </c>
      <c r="E123" t="s">
        <v>346</v>
      </c>
      <c r="F123" t="s">
        <v>346</v>
      </c>
      <c r="G123" t="s">
        <v>346</v>
      </c>
      <c r="H123" s="21" t="s">
        <v>747</v>
      </c>
      <c r="I123">
        <v>1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">
        <v>3</v>
      </c>
      <c r="AC123" t="s">
        <v>3</v>
      </c>
      <c r="AD123" t="s">
        <v>3</v>
      </c>
      <c r="AE123" t="s">
        <v>3</v>
      </c>
      <c r="AF123" t="s">
        <v>3</v>
      </c>
      <c r="AG123" t="s">
        <v>3</v>
      </c>
      <c r="AH123" t="s">
        <v>3</v>
      </c>
      <c r="AI123" t="s">
        <v>3</v>
      </c>
      <c r="AJ123" t="s">
        <v>3</v>
      </c>
      <c r="AK123" t="s">
        <v>3</v>
      </c>
      <c r="AL123" t="s">
        <v>3</v>
      </c>
      <c r="AM123" t="s">
        <v>3</v>
      </c>
      <c r="AN123" t="s">
        <v>3</v>
      </c>
      <c r="AO123" t="s">
        <v>3</v>
      </c>
      <c r="AP123" t="s">
        <v>3</v>
      </c>
      <c r="AQ123" t="s">
        <v>3</v>
      </c>
      <c r="AR123" t="s">
        <v>3</v>
      </c>
      <c r="AS123" t="s">
        <v>3</v>
      </c>
      <c r="AT123" t="s">
        <v>3</v>
      </c>
      <c r="AU123" t="s">
        <v>3</v>
      </c>
      <c r="AV123" t="s">
        <v>3</v>
      </c>
      <c r="AW123" t="s">
        <v>3</v>
      </c>
      <c r="AX123">
        <v>0</v>
      </c>
      <c r="AY123">
        <v>1</v>
      </c>
      <c r="AZ123" t="s">
        <v>1</v>
      </c>
      <c r="BA123" t="s">
        <v>1</v>
      </c>
      <c r="BB123" t="s">
        <v>1</v>
      </c>
      <c r="BC123" s="21" t="s">
        <v>748</v>
      </c>
      <c r="BD123" s="21" t="s">
        <v>144</v>
      </c>
      <c r="BE123">
        <v>0</v>
      </c>
      <c r="BF123">
        <v>0</v>
      </c>
      <c r="BG123">
        <v>0</v>
      </c>
      <c r="BH123">
        <v>0</v>
      </c>
      <c r="BI123">
        <v>0</v>
      </c>
      <c r="BJ123" t="s">
        <v>749</v>
      </c>
      <c r="BK123">
        <v>0</v>
      </c>
      <c r="BL123" t="s">
        <v>132</v>
      </c>
      <c r="BM123">
        <v>0</v>
      </c>
      <c r="BN123">
        <v>1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 t="s">
        <v>0</v>
      </c>
      <c r="BX123">
        <v>0</v>
      </c>
      <c r="BY123">
        <v>0</v>
      </c>
      <c r="BZ123">
        <v>0</v>
      </c>
      <c r="CA123">
        <v>0</v>
      </c>
      <c r="CB123" t="s">
        <v>145</v>
      </c>
      <c r="CD123" t="str" cm="1">
        <f t="array" aca="1" ref="CD123" ca="1">eConcatenar(A123:CB123,"|")</f>
        <v>BDikDVtEACLiWdYZ|MODIFCARD114|3|MODIF|MODIF|MODIF|MODIF|2022-01-01|1|0|0|0|0|0|0|0|0|0|0|0|0|0|0|0|0|0|0|x|x|x|x|x|x|x|x|x|x|x|x|x|x|x|x|x|x|x|x|x|x|0|1|X|X|X|2022-2-10|2022-02-23|0|0|0|0|0|QWYNRBIY9KVTQO|0|HOMBRE|0|1|0|0|0|0|0|0|0|0|CARDENAS|0|0|0|0|FINAL</v>
      </c>
    </row>
    <row r="124" spans="1:82" x14ac:dyDescent="0.25">
      <c r="A124" t="s">
        <v>260</v>
      </c>
      <c r="B124" s="19" t="s">
        <v>461</v>
      </c>
      <c r="C124">
        <v>3</v>
      </c>
      <c r="D124" t="s">
        <v>346</v>
      </c>
      <c r="E124" t="s">
        <v>346</v>
      </c>
      <c r="F124" t="s">
        <v>346</v>
      </c>
      <c r="G124" t="s">
        <v>346</v>
      </c>
      <c r="H124" s="21" t="s">
        <v>747</v>
      </c>
      <c r="I124">
        <v>1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">
        <v>3</v>
      </c>
      <c r="AC124" t="s">
        <v>3</v>
      </c>
      <c r="AD124" t="s">
        <v>3</v>
      </c>
      <c r="AE124" t="s">
        <v>3</v>
      </c>
      <c r="AF124" t="s">
        <v>3</v>
      </c>
      <c r="AG124" t="s">
        <v>3</v>
      </c>
      <c r="AH124" t="s">
        <v>3</v>
      </c>
      <c r="AI124" t="s">
        <v>3</v>
      </c>
      <c r="AJ124" t="s">
        <v>3</v>
      </c>
      <c r="AK124" t="s">
        <v>3</v>
      </c>
      <c r="AL124" t="s">
        <v>3</v>
      </c>
      <c r="AM124" t="s">
        <v>3</v>
      </c>
      <c r="AN124" t="s">
        <v>3</v>
      </c>
      <c r="AO124" t="s">
        <v>3</v>
      </c>
      <c r="AP124" t="s">
        <v>3</v>
      </c>
      <c r="AQ124" t="s">
        <v>3</v>
      </c>
      <c r="AR124" t="s">
        <v>3</v>
      </c>
      <c r="AS124" t="s">
        <v>3</v>
      </c>
      <c r="AT124" t="s">
        <v>3</v>
      </c>
      <c r="AU124" t="s">
        <v>3</v>
      </c>
      <c r="AV124" t="s">
        <v>3</v>
      </c>
      <c r="AW124" t="s">
        <v>3</v>
      </c>
      <c r="AX124">
        <v>0</v>
      </c>
      <c r="AY124">
        <v>1</v>
      </c>
      <c r="AZ124" t="s">
        <v>1</v>
      </c>
      <c r="BA124" t="s">
        <v>1</v>
      </c>
      <c r="BB124" t="s">
        <v>1</v>
      </c>
      <c r="BC124" s="21" t="s">
        <v>748</v>
      </c>
      <c r="BD124" s="21" t="s">
        <v>144</v>
      </c>
      <c r="BE124">
        <v>0</v>
      </c>
      <c r="BF124">
        <v>0</v>
      </c>
      <c r="BG124">
        <v>0</v>
      </c>
      <c r="BH124">
        <v>0</v>
      </c>
      <c r="BI124">
        <v>0</v>
      </c>
      <c r="BJ124" t="s">
        <v>749</v>
      </c>
      <c r="BK124">
        <v>0</v>
      </c>
      <c r="BL124" t="s">
        <v>132</v>
      </c>
      <c r="BM124">
        <v>0</v>
      </c>
      <c r="BN124">
        <v>1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 t="s">
        <v>0</v>
      </c>
      <c r="BX124">
        <v>0</v>
      </c>
      <c r="BY124">
        <v>0</v>
      </c>
      <c r="BZ124">
        <v>0</v>
      </c>
      <c r="CA124">
        <v>0</v>
      </c>
      <c r="CB124" t="s">
        <v>145</v>
      </c>
      <c r="CD124" t="str" cm="1">
        <f t="array" aca="1" ref="CD124" ca="1">eConcatenar(A124:CB124,"|")</f>
        <v>CQbQiKAscoBj4qIW|MODIFCARD115|3|MODIF|MODIF|MODIF|MODIF|2022-01-01|1|0|0|0|0|0|0|0|0|0|0|0|0|0|0|0|0|0|0|x|x|x|x|x|x|x|x|x|x|x|x|x|x|x|x|x|x|x|x|x|x|0|1|X|X|X|2022-2-10|2022-02-23|0|0|0|0|0|QWYNRBIY9KVTQO|0|HOMBRE|0|1|0|0|0|0|0|0|0|0|CARDENAS|0|0|0|0|FINAL</v>
      </c>
    </row>
    <row r="125" spans="1:82" x14ac:dyDescent="0.25">
      <c r="A125" t="s">
        <v>261</v>
      </c>
      <c r="B125" s="19" t="s">
        <v>462</v>
      </c>
      <c r="C125">
        <v>3</v>
      </c>
      <c r="D125" t="s">
        <v>346</v>
      </c>
      <c r="E125" t="s">
        <v>346</v>
      </c>
      <c r="F125" t="s">
        <v>346</v>
      </c>
      <c r="G125" t="s">
        <v>346</v>
      </c>
      <c r="H125" s="21" t="s">
        <v>747</v>
      </c>
      <c r="I125">
        <v>1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 t="s">
        <v>3</v>
      </c>
      <c r="AC125" t="s">
        <v>3</v>
      </c>
      <c r="AD125" t="s">
        <v>3</v>
      </c>
      <c r="AE125" t="s">
        <v>3</v>
      </c>
      <c r="AF125" t="s">
        <v>3</v>
      </c>
      <c r="AG125" t="s">
        <v>3</v>
      </c>
      <c r="AH125" t="s">
        <v>3</v>
      </c>
      <c r="AI125" t="s">
        <v>3</v>
      </c>
      <c r="AJ125" t="s">
        <v>3</v>
      </c>
      <c r="AK125" t="s">
        <v>3</v>
      </c>
      <c r="AL125" t="s">
        <v>3</v>
      </c>
      <c r="AM125" t="s">
        <v>3</v>
      </c>
      <c r="AN125" t="s">
        <v>3</v>
      </c>
      <c r="AO125" t="s">
        <v>3</v>
      </c>
      <c r="AP125" t="s">
        <v>3</v>
      </c>
      <c r="AQ125" t="s">
        <v>3</v>
      </c>
      <c r="AR125" t="s">
        <v>3</v>
      </c>
      <c r="AS125" t="s">
        <v>3</v>
      </c>
      <c r="AT125" t="s">
        <v>3</v>
      </c>
      <c r="AU125" t="s">
        <v>3</v>
      </c>
      <c r="AV125" t="s">
        <v>3</v>
      </c>
      <c r="AW125" t="s">
        <v>3</v>
      </c>
      <c r="AX125">
        <v>0</v>
      </c>
      <c r="AY125">
        <v>1</v>
      </c>
      <c r="AZ125" t="s">
        <v>1</v>
      </c>
      <c r="BA125" t="s">
        <v>1</v>
      </c>
      <c r="BB125" t="s">
        <v>1</v>
      </c>
      <c r="BC125" s="21" t="s">
        <v>748</v>
      </c>
      <c r="BD125" s="21" t="s">
        <v>144</v>
      </c>
      <c r="BE125">
        <v>0</v>
      </c>
      <c r="BF125">
        <v>0</v>
      </c>
      <c r="BG125">
        <v>0</v>
      </c>
      <c r="BH125">
        <v>0</v>
      </c>
      <c r="BI125">
        <v>0</v>
      </c>
      <c r="BJ125" t="s">
        <v>749</v>
      </c>
      <c r="BK125">
        <v>0</v>
      </c>
      <c r="BL125" t="s">
        <v>132</v>
      </c>
      <c r="BM125">
        <v>0</v>
      </c>
      <c r="BN125">
        <v>1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 t="s">
        <v>0</v>
      </c>
      <c r="BX125">
        <v>0</v>
      </c>
      <c r="BY125">
        <v>0</v>
      </c>
      <c r="BZ125">
        <v>0</v>
      </c>
      <c r="CA125">
        <v>0</v>
      </c>
      <c r="CB125" t="s">
        <v>145</v>
      </c>
      <c r="CD125" t="str" cm="1">
        <f t="array" aca="1" ref="CD125" ca="1">eConcatenar(A125:CB125,"|")</f>
        <v>0cTu6lPs08QDS3q8|MODIFCARD116|3|MODIF|MODIF|MODIF|MODIF|2022-01-01|1|0|0|0|0|0|0|0|0|0|0|0|0|0|0|0|0|0|0|x|x|x|x|x|x|x|x|x|x|x|x|x|x|x|x|x|x|x|x|x|x|0|1|X|X|X|2022-2-10|2022-02-23|0|0|0|0|0|QWYNRBIY9KVTQO|0|HOMBRE|0|1|0|0|0|0|0|0|0|0|CARDENAS|0|0|0|0|FINAL</v>
      </c>
    </row>
    <row r="126" spans="1:82" x14ac:dyDescent="0.25">
      <c r="A126" t="s">
        <v>262</v>
      </c>
      <c r="B126" s="19" t="s">
        <v>463</v>
      </c>
      <c r="C126">
        <v>3</v>
      </c>
      <c r="D126" t="s">
        <v>346</v>
      </c>
      <c r="E126" t="s">
        <v>346</v>
      </c>
      <c r="F126" t="s">
        <v>346</v>
      </c>
      <c r="G126" t="s">
        <v>346</v>
      </c>
      <c r="H126" s="21" t="s">
        <v>747</v>
      </c>
      <c r="I126">
        <v>1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">
        <v>3</v>
      </c>
      <c r="AC126" t="s">
        <v>3</v>
      </c>
      <c r="AD126" t="s">
        <v>3</v>
      </c>
      <c r="AE126" t="s">
        <v>3</v>
      </c>
      <c r="AF126" t="s">
        <v>3</v>
      </c>
      <c r="AG126" t="s">
        <v>3</v>
      </c>
      <c r="AH126" t="s">
        <v>3</v>
      </c>
      <c r="AI126" t="s">
        <v>3</v>
      </c>
      <c r="AJ126" t="s">
        <v>3</v>
      </c>
      <c r="AK126" t="s">
        <v>3</v>
      </c>
      <c r="AL126" t="s">
        <v>3</v>
      </c>
      <c r="AM126" t="s">
        <v>3</v>
      </c>
      <c r="AN126" t="s">
        <v>3</v>
      </c>
      <c r="AO126" t="s">
        <v>3</v>
      </c>
      <c r="AP126" t="s">
        <v>3</v>
      </c>
      <c r="AQ126" t="s">
        <v>3</v>
      </c>
      <c r="AR126" t="s">
        <v>3</v>
      </c>
      <c r="AS126" t="s">
        <v>3</v>
      </c>
      <c r="AT126" t="s">
        <v>3</v>
      </c>
      <c r="AU126" t="s">
        <v>3</v>
      </c>
      <c r="AV126" t="s">
        <v>3</v>
      </c>
      <c r="AW126" t="s">
        <v>3</v>
      </c>
      <c r="AX126">
        <v>0</v>
      </c>
      <c r="AY126">
        <v>1</v>
      </c>
      <c r="AZ126" t="s">
        <v>1</v>
      </c>
      <c r="BA126" t="s">
        <v>1</v>
      </c>
      <c r="BB126" t="s">
        <v>1</v>
      </c>
      <c r="BC126" s="21" t="s">
        <v>748</v>
      </c>
      <c r="BD126" s="21" t="s">
        <v>144</v>
      </c>
      <c r="BE126">
        <v>0</v>
      </c>
      <c r="BF126">
        <v>0</v>
      </c>
      <c r="BG126">
        <v>0</v>
      </c>
      <c r="BH126">
        <v>0</v>
      </c>
      <c r="BI126">
        <v>0</v>
      </c>
      <c r="BJ126" t="s">
        <v>749</v>
      </c>
      <c r="BK126">
        <v>0</v>
      </c>
      <c r="BL126" t="s">
        <v>132</v>
      </c>
      <c r="BM126">
        <v>0</v>
      </c>
      <c r="BN126">
        <v>1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 t="s">
        <v>0</v>
      </c>
      <c r="BX126">
        <v>0</v>
      </c>
      <c r="BY126">
        <v>0</v>
      </c>
      <c r="BZ126">
        <v>0</v>
      </c>
      <c r="CA126">
        <v>0</v>
      </c>
      <c r="CB126" t="s">
        <v>145</v>
      </c>
      <c r="CD126" t="str" cm="1">
        <f t="array" aca="1" ref="CD126" ca="1">eConcatenar(A126:CB126,"|")</f>
        <v>xQp0WbbTdBCZf9nN|MODIFCARD117|3|MODIF|MODIF|MODIF|MODIF|2022-01-01|1|0|0|0|0|0|0|0|0|0|0|0|0|0|0|0|0|0|0|x|x|x|x|x|x|x|x|x|x|x|x|x|x|x|x|x|x|x|x|x|x|0|1|X|X|X|2022-2-10|2022-02-23|0|0|0|0|0|QWYNRBIY9KVTQO|0|HOMBRE|0|1|0|0|0|0|0|0|0|0|CARDENAS|0|0|0|0|FINAL</v>
      </c>
    </row>
    <row r="127" spans="1:82" x14ac:dyDescent="0.25">
      <c r="A127" t="s">
        <v>263</v>
      </c>
      <c r="B127" s="19" t="s">
        <v>464</v>
      </c>
      <c r="C127">
        <v>3</v>
      </c>
      <c r="D127" t="s">
        <v>346</v>
      </c>
      <c r="E127" t="s">
        <v>346</v>
      </c>
      <c r="F127" t="s">
        <v>346</v>
      </c>
      <c r="G127" t="s">
        <v>346</v>
      </c>
      <c r="H127" s="21" t="s">
        <v>747</v>
      </c>
      <c r="I127">
        <v>1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 t="s">
        <v>3</v>
      </c>
      <c r="AC127" t="s">
        <v>3</v>
      </c>
      <c r="AD127" t="s">
        <v>3</v>
      </c>
      <c r="AE127" t="s">
        <v>3</v>
      </c>
      <c r="AF127" t="s">
        <v>3</v>
      </c>
      <c r="AG127" t="s">
        <v>3</v>
      </c>
      <c r="AH127" t="s">
        <v>3</v>
      </c>
      <c r="AI127" t="s">
        <v>3</v>
      </c>
      <c r="AJ127" t="s">
        <v>3</v>
      </c>
      <c r="AK127" t="s">
        <v>3</v>
      </c>
      <c r="AL127" t="s">
        <v>3</v>
      </c>
      <c r="AM127" t="s">
        <v>3</v>
      </c>
      <c r="AN127" t="s">
        <v>3</v>
      </c>
      <c r="AO127" t="s">
        <v>3</v>
      </c>
      <c r="AP127" t="s">
        <v>3</v>
      </c>
      <c r="AQ127" t="s">
        <v>3</v>
      </c>
      <c r="AR127" t="s">
        <v>3</v>
      </c>
      <c r="AS127" t="s">
        <v>3</v>
      </c>
      <c r="AT127" t="s">
        <v>3</v>
      </c>
      <c r="AU127" t="s">
        <v>3</v>
      </c>
      <c r="AV127" t="s">
        <v>3</v>
      </c>
      <c r="AW127" t="s">
        <v>3</v>
      </c>
      <c r="AX127">
        <v>0</v>
      </c>
      <c r="AY127">
        <v>1</v>
      </c>
      <c r="AZ127" t="s">
        <v>1</v>
      </c>
      <c r="BA127" t="s">
        <v>1</v>
      </c>
      <c r="BB127" t="s">
        <v>1</v>
      </c>
      <c r="BC127" s="21" t="s">
        <v>748</v>
      </c>
      <c r="BD127" s="21" t="s">
        <v>144</v>
      </c>
      <c r="BE127">
        <v>0</v>
      </c>
      <c r="BF127">
        <v>0</v>
      </c>
      <c r="BG127">
        <v>0</v>
      </c>
      <c r="BH127">
        <v>0</v>
      </c>
      <c r="BI127">
        <v>0</v>
      </c>
      <c r="BJ127" t="s">
        <v>749</v>
      </c>
      <c r="BK127">
        <v>0</v>
      </c>
      <c r="BL127" t="s">
        <v>132</v>
      </c>
      <c r="BM127">
        <v>0</v>
      </c>
      <c r="BN127">
        <v>1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 t="s">
        <v>0</v>
      </c>
      <c r="BX127">
        <v>0</v>
      </c>
      <c r="BY127">
        <v>0</v>
      </c>
      <c r="BZ127">
        <v>0</v>
      </c>
      <c r="CA127">
        <v>0</v>
      </c>
      <c r="CB127" t="s">
        <v>145</v>
      </c>
      <c r="CD127" t="str" cm="1">
        <f t="array" aca="1" ref="CD127" ca="1">eConcatenar(A127:CB127,"|")</f>
        <v>TKtyLHiAFTUFuMjn|MODIFCARD118|3|MODIF|MODIF|MODIF|MODIF|2022-01-01|1|0|0|0|0|0|0|0|0|0|0|0|0|0|0|0|0|0|0|x|x|x|x|x|x|x|x|x|x|x|x|x|x|x|x|x|x|x|x|x|x|0|1|X|X|X|2022-2-10|2022-02-23|0|0|0|0|0|QWYNRBIY9KVTQO|0|HOMBRE|0|1|0|0|0|0|0|0|0|0|CARDENAS|0|0|0|0|FINAL</v>
      </c>
    </row>
    <row r="128" spans="1:82" x14ac:dyDescent="0.25">
      <c r="A128" t="s">
        <v>264</v>
      </c>
      <c r="B128" s="19" t="s">
        <v>465</v>
      </c>
      <c r="C128">
        <v>3</v>
      </c>
      <c r="D128" t="s">
        <v>346</v>
      </c>
      <c r="E128" t="s">
        <v>346</v>
      </c>
      <c r="F128" t="s">
        <v>346</v>
      </c>
      <c r="G128" t="s">
        <v>346</v>
      </c>
      <c r="H128" s="21" t="s">
        <v>747</v>
      </c>
      <c r="I128">
        <v>1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">
        <v>3</v>
      </c>
      <c r="AC128" t="s">
        <v>3</v>
      </c>
      <c r="AD128" t="s">
        <v>3</v>
      </c>
      <c r="AE128" t="s">
        <v>3</v>
      </c>
      <c r="AF128" t="s">
        <v>3</v>
      </c>
      <c r="AG128" t="s">
        <v>3</v>
      </c>
      <c r="AH128" t="s">
        <v>3</v>
      </c>
      <c r="AI128" t="s">
        <v>3</v>
      </c>
      <c r="AJ128" t="s">
        <v>3</v>
      </c>
      <c r="AK128" t="s">
        <v>3</v>
      </c>
      <c r="AL128" t="s">
        <v>3</v>
      </c>
      <c r="AM128" t="s">
        <v>3</v>
      </c>
      <c r="AN128" t="s">
        <v>3</v>
      </c>
      <c r="AO128" t="s">
        <v>3</v>
      </c>
      <c r="AP128" t="s">
        <v>3</v>
      </c>
      <c r="AQ128" t="s">
        <v>3</v>
      </c>
      <c r="AR128" t="s">
        <v>3</v>
      </c>
      <c r="AS128" t="s">
        <v>3</v>
      </c>
      <c r="AT128" t="s">
        <v>3</v>
      </c>
      <c r="AU128" t="s">
        <v>3</v>
      </c>
      <c r="AV128" t="s">
        <v>3</v>
      </c>
      <c r="AW128" t="s">
        <v>3</v>
      </c>
      <c r="AX128">
        <v>0</v>
      </c>
      <c r="AY128">
        <v>1</v>
      </c>
      <c r="AZ128" t="s">
        <v>1</v>
      </c>
      <c r="BA128" t="s">
        <v>1</v>
      </c>
      <c r="BB128" t="s">
        <v>1</v>
      </c>
      <c r="BC128" s="21" t="s">
        <v>748</v>
      </c>
      <c r="BD128" s="21" t="s">
        <v>144</v>
      </c>
      <c r="BE128">
        <v>0</v>
      </c>
      <c r="BF128">
        <v>0</v>
      </c>
      <c r="BG128">
        <v>0</v>
      </c>
      <c r="BH128">
        <v>0</v>
      </c>
      <c r="BI128">
        <v>0</v>
      </c>
      <c r="BJ128" t="s">
        <v>749</v>
      </c>
      <c r="BK128">
        <v>0</v>
      </c>
      <c r="BL128" t="s">
        <v>132</v>
      </c>
      <c r="BM128">
        <v>0</v>
      </c>
      <c r="BN128">
        <v>1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 t="s">
        <v>0</v>
      </c>
      <c r="BX128">
        <v>0</v>
      </c>
      <c r="BY128">
        <v>0</v>
      </c>
      <c r="BZ128">
        <v>0</v>
      </c>
      <c r="CA128">
        <v>0</v>
      </c>
      <c r="CB128" t="s">
        <v>145</v>
      </c>
      <c r="CD128" t="str" cm="1">
        <f t="array" aca="1" ref="CD128" ca="1">eConcatenar(A128:CB128,"|")</f>
        <v>SZOUSEF42jka4zZ8|MODIFCARD119|3|MODIF|MODIF|MODIF|MODIF|2022-01-01|1|0|0|0|0|0|0|0|0|0|0|0|0|0|0|0|0|0|0|x|x|x|x|x|x|x|x|x|x|x|x|x|x|x|x|x|x|x|x|x|x|0|1|X|X|X|2022-2-10|2022-02-23|0|0|0|0|0|QWYNRBIY9KVTQO|0|HOMBRE|0|1|0|0|0|0|0|0|0|0|CARDENAS|0|0|0|0|FINAL</v>
      </c>
    </row>
    <row r="129" spans="1:82" x14ac:dyDescent="0.25">
      <c r="A129" t="s">
        <v>265</v>
      </c>
      <c r="B129" s="19" t="s">
        <v>466</v>
      </c>
      <c r="C129">
        <v>3</v>
      </c>
      <c r="D129" t="s">
        <v>346</v>
      </c>
      <c r="E129" t="s">
        <v>346</v>
      </c>
      <c r="F129" t="s">
        <v>346</v>
      </c>
      <c r="G129" t="s">
        <v>346</v>
      </c>
      <c r="H129" s="21" t="s">
        <v>747</v>
      </c>
      <c r="I129">
        <v>1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">
        <v>3</v>
      </c>
      <c r="AC129" t="s">
        <v>3</v>
      </c>
      <c r="AD129" t="s">
        <v>3</v>
      </c>
      <c r="AE129" t="s">
        <v>3</v>
      </c>
      <c r="AF129" t="s">
        <v>3</v>
      </c>
      <c r="AG129" t="s">
        <v>3</v>
      </c>
      <c r="AH129" t="s">
        <v>3</v>
      </c>
      <c r="AI129" t="s">
        <v>3</v>
      </c>
      <c r="AJ129" t="s">
        <v>3</v>
      </c>
      <c r="AK129" t="s">
        <v>3</v>
      </c>
      <c r="AL129" t="s">
        <v>3</v>
      </c>
      <c r="AM129" t="s">
        <v>3</v>
      </c>
      <c r="AN129" t="s">
        <v>3</v>
      </c>
      <c r="AO129" t="s">
        <v>3</v>
      </c>
      <c r="AP129" t="s">
        <v>3</v>
      </c>
      <c r="AQ129" t="s">
        <v>3</v>
      </c>
      <c r="AR129" t="s">
        <v>3</v>
      </c>
      <c r="AS129" t="s">
        <v>3</v>
      </c>
      <c r="AT129" t="s">
        <v>3</v>
      </c>
      <c r="AU129" t="s">
        <v>3</v>
      </c>
      <c r="AV129" t="s">
        <v>3</v>
      </c>
      <c r="AW129" t="s">
        <v>3</v>
      </c>
      <c r="AX129">
        <v>0</v>
      </c>
      <c r="AY129">
        <v>1</v>
      </c>
      <c r="AZ129" t="s">
        <v>1</v>
      </c>
      <c r="BA129" t="s">
        <v>1</v>
      </c>
      <c r="BB129" t="s">
        <v>1</v>
      </c>
      <c r="BC129" s="21" t="s">
        <v>748</v>
      </c>
      <c r="BD129" s="21" t="s">
        <v>144</v>
      </c>
      <c r="BE129">
        <v>0</v>
      </c>
      <c r="BF129">
        <v>0</v>
      </c>
      <c r="BG129">
        <v>0</v>
      </c>
      <c r="BH129">
        <v>0</v>
      </c>
      <c r="BI129">
        <v>0</v>
      </c>
      <c r="BJ129" t="s">
        <v>749</v>
      </c>
      <c r="BK129">
        <v>0</v>
      </c>
      <c r="BL129" t="s">
        <v>132</v>
      </c>
      <c r="BM129">
        <v>0</v>
      </c>
      <c r="BN129">
        <v>1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 t="s">
        <v>0</v>
      </c>
      <c r="BX129">
        <v>0</v>
      </c>
      <c r="BY129">
        <v>0</v>
      </c>
      <c r="BZ129">
        <v>0</v>
      </c>
      <c r="CA129">
        <v>0</v>
      </c>
      <c r="CB129" t="s">
        <v>145</v>
      </c>
      <c r="CD129" t="str" cm="1">
        <f t="array" aca="1" ref="CD129" ca="1">eConcatenar(A129:CB129,"|")</f>
        <v>6ctHHLDL7AlZhfMx|MODIFCARD120|3|MODIF|MODIF|MODIF|MODIF|2022-01-01|1|0|0|0|0|0|0|0|0|0|0|0|0|0|0|0|0|0|0|x|x|x|x|x|x|x|x|x|x|x|x|x|x|x|x|x|x|x|x|x|x|0|1|X|X|X|2022-2-10|2022-02-23|0|0|0|0|0|QWYNRBIY9KVTQO|0|HOMBRE|0|1|0|0|0|0|0|0|0|0|CARDENAS|0|0|0|0|FINAL</v>
      </c>
    </row>
    <row r="130" spans="1:82" x14ac:dyDescent="0.25">
      <c r="A130" t="s">
        <v>266</v>
      </c>
      <c r="B130" s="19" t="s">
        <v>467</v>
      </c>
      <c r="C130">
        <v>3</v>
      </c>
      <c r="D130" t="s">
        <v>346</v>
      </c>
      <c r="E130" t="s">
        <v>346</v>
      </c>
      <c r="F130" t="s">
        <v>346</v>
      </c>
      <c r="G130" t="s">
        <v>346</v>
      </c>
      <c r="H130" s="21" t="s">
        <v>747</v>
      </c>
      <c r="I130">
        <v>1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t="s">
        <v>3</v>
      </c>
      <c r="AC130" t="s">
        <v>3</v>
      </c>
      <c r="AD130" t="s">
        <v>3</v>
      </c>
      <c r="AE130" t="s">
        <v>3</v>
      </c>
      <c r="AF130" t="s">
        <v>3</v>
      </c>
      <c r="AG130" t="s">
        <v>3</v>
      </c>
      <c r="AH130" t="s">
        <v>3</v>
      </c>
      <c r="AI130" t="s">
        <v>3</v>
      </c>
      <c r="AJ130" t="s">
        <v>3</v>
      </c>
      <c r="AK130" t="s">
        <v>3</v>
      </c>
      <c r="AL130" t="s">
        <v>3</v>
      </c>
      <c r="AM130" t="s">
        <v>3</v>
      </c>
      <c r="AN130" t="s">
        <v>3</v>
      </c>
      <c r="AO130" t="s">
        <v>3</v>
      </c>
      <c r="AP130" t="s">
        <v>3</v>
      </c>
      <c r="AQ130" t="s">
        <v>3</v>
      </c>
      <c r="AR130" t="s">
        <v>3</v>
      </c>
      <c r="AS130" t="s">
        <v>3</v>
      </c>
      <c r="AT130" t="s">
        <v>3</v>
      </c>
      <c r="AU130" t="s">
        <v>3</v>
      </c>
      <c r="AV130" t="s">
        <v>3</v>
      </c>
      <c r="AW130" t="s">
        <v>3</v>
      </c>
      <c r="AX130">
        <v>0</v>
      </c>
      <c r="AY130">
        <v>1</v>
      </c>
      <c r="AZ130" t="s">
        <v>1</v>
      </c>
      <c r="BA130" t="s">
        <v>1</v>
      </c>
      <c r="BB130" t="s">
        <v>1</v>
      </c>
      <c r="BC130" s="21" t="s">
        <v>748</v>
      </c>
      <c r="BD130" s="21" t="s">
        <v>144</v>
      </c>
      <c r="BE130">
        <v>0</v>
      </c>
      <c r="BF130">
        <v>0</v>
      </c>
      <c r="BG130">
        <v>0</v>
      </c>
      <c r="BH130">
        <v>0</v>
      </c>
      <c r="BI130">
        <v>0</v>
      </c>
      <c r="BJ130" t="s">
        <v>749</v>
      </c>
      <c r="BK130">
        <v>0</v>
      </c>
      <c r="BL130" t="s">
        <v>132</v>
      </c>
      <c r="BM130">
        <v>0</v>
      </c>
      <c r="BN130">
        <v>1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 t="s">
        <v>0</v>
      </c>
      <c r="BX130">
        <v>0</v>
      </c>
      <c r="BY130">
        <v>0</v>
      </c>
      <c r="BZ130">
        <v>0</v>
      </c>
      <c r="CA130">
        <v>0</v>
      </c>
      <c r="CB130" t="s">
        <v>145</v>
      </c>
      <c r="CD130" t="str" cm="1">
        <f t="array" aca="1" ref="CD130" ca="1">eConcatenar(A130:CB130,"|")</f>
        <v>SpHDWMtEcvGjCqpu|MODIFCARD121|3|MODIF|MODIF|MODIF|MODIF|2022-01-01|1|0|0|0|0|0|0|0|0|0|0|0|0|0|0|0|0|0|0|x|x|x|x|x|x|x|x|x|x|x|x|x|x|x|x|x|x|x|x|x|x|0|1|X|X|X|2022-2-10|2022-02-23|0|0|0|0|0|QWYNRBIY9KVTQO|0|HOMBRE|0|1|0|0|0|0|0|0|0|0|CARDENAS|0|0|0|0|FINAL</v>
      </c>
    </row>
    <row r="131" spans="1:82" x14ac:dyDescent="0.25">
      <c r="A131" t="s">
        <v>267</v>
      </c>
      <c r="B131" s="19" t="s">
        <v>468</v>
      </c>
      <c r="C131">
        <v>3</v>
      </c>
      <c r="D131" t="s">
        <v>346</v>
      </c>
      <c r="E131" t="s">
        <v>346</v>
      </c>
      <c r="F131" t="s">
        <v>346</v>
      </c>
      <c r="G131" t="s">
        <v>346</v>
      </c>
      <c r="H131" s="21" t="s">
        <v>747</v>
      </c>
      <c r="I131">
        <v>1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">
        <v>3</v>
      </c>
      <c r="AC131" t="s">
        <v>3</v>
      </c>
      <c r="AD131" t="s">
        <v>3</v>
      </c>
      <c r="AE131" t="s">
        <v>3</v>
      </c>
      <c r="AF131" t="s">
        <v>3</v>
      </c>
      <c r="AG131" t="s">
        <v>3</v>
      </c>
      <c r="AH131" t="s">
        <v>3</v>
      </c>
      <c r="AI131" t="s">
        <v>3</v>
      </c>
      <c r="AJ131" t="s">
        <v>3</v>
      </c>
      <c r="AK131" t="s">
        <v>3</v>
      </c>
      <c r="AL131" t="s">
        <v>3</v>
      </c>
      <c r="AM131" t="s">
        <v>3</v>
      </c>
      <c r="AN131" t="s">
        <v>3</v>
      </c>
      <c r="AO131" t="s">
        <v>3</v>
      </c>
      <c r="AP131" t="s">
        <v>3</v>
      </c>
      <c r="AQ131" t="s">
        <v>3</v>
      </c>
      <c r="AR131" t="s">
        <v>3</v>
      </c>
      <c r="AS131" t="s">
        <v>3</v>
      </c>
      <c r="AT131" t="s">
        <v>3</v>
      </c>
      <c r="AU131" t="s">
        <v>3</v>
      </c>
      <c r="AV131" t="s">
        <v>3</v>
      </c>
      <c r="AW131" t="s">
        <v>3</v>
      </c>
      <c r="AX131">
        <v>0</v>
      </c>
      <c r="AY131">
        <v>1</v>
      </c>
      <c r="AZ131" t="s">
        <v>1</v>
      </c>
      <c r="BA131" t="s">
        <v>1</v>
      </c>
      <c r="BB131" t="s">
        <v>1</v>
      </c>
      <c r="BC131" s="21" t="s">
        <v>748</v>
      </c>
      <c r="BD131" s="21" t="s">
        <v>144</v>
      </c>
      <c r="BE131">
        <v>0</v>
      </c>
      <c r="BF131">
        <v>0</v>
      </c>
      <c r="BG131">
        <v>0</v>
      </c>
      <c r="BH131">
        <v>0</v>
      </c>
      <c r="BI131">
        <v>0</v>
      </c>
      <c r="BJ131" t="s">
        <v>749</v>
      </c>
      <c r="BK131">
        <v>0</v>
      </c>
      <c r="BL131" t="s">
        <v>132</v>
      </c>
      <c r="BM131">
        <v>0</v>
      </c>
      <c r="BN131">
        <v>1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 t="s">
        <v>0</v>
      </c>
      <c r="BX131">
        <v>0</v>
      </c>
      <c r="BY131">
        <v>0</v>
      </c>
      <c r="BZ131">
        <v>0</v>
      </c>
      <c r="CA131">
        <v>0</v>
      </c>
      <c r="CB131" t="s">
        <v>145</v>
      </c>
      <c r="CD131" t="str" cm="1">
        <f t="array" aca="1" ref="CD131" ca="1">eConcatenar(A131:CB131,"|")</f>
        <v>APLyDYTLs9Pldgiq|MODIFCARD122|3|MODIF|MODIF|MODIF|MODIF|2022-01-01|1|0|0|0|0|0|0|0|0|0|0|0|0|0|0|0|0|0|0|x|x|x|x|x|x|x|x|x|x|x|x|x|x|x|x|x|x|x|x|x|x|0|1|X|X|X|2022-2-10|2022-02-23|0|0|0|0|0|QWYNRBIY9KVTQO|0|HOMBRE|0|1|0|0|0|0|0|0|0|0|CARDENAS|0|0|0|0|FINAL</v>
      </c>
    </row>
    <row r="132" spans="1:82" x14ac:dyDescent="0.25">
      <c r="A132" t="s">
        <v>268</v>
      </c>
      <c r="B132" s="19" t="s">
        <v>469</v>
      </c>
      <c r="C132">
        <v>3</v>
      </c>
      <c r="D132" t="s">
        <v>346</v>
      </c>
      <c r="E132" t="s">
        <v>346</v>
      </c>
      <c r="F132" t="s">
        <v>346</v>
      </c>
      <c r="G132" t="s">
        <v>346</v>
      </c>
      <c r="H132" s="21" t="s">
        <v>747</v>
      </c>
      <c r="I132">
        <v>1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">
        <v>3</v>
      </c>
      <c r="AC132" t="s">
        <v>3</v>
      </c>
      <c r="AD132" t="s">
        <v>3</v>
      </c>
      <c r="AE132" t="s">
        <v>3</v>
      </c>
      <c r="AF132" t="s">
        <v>3</v>
      </c>
      <c r="AG132" t="s">
        <v>3</v>
      </c>
      <c r="AH132" t="s">
        <v>3</v>
      </c>
      <c r="AI132" t="s">
        <v>3</v>
      </c>
      <c r="AJ132" t="s">
        <v>3</v>
      </c>
      <c r="AK132" t="s">
        <v>3</v>
      </c>
      <c r="AL132" t="s">
        <v>3</v>
      </c>
      <c r="AM132" t="s">
        <v>3</v>
      </c>
      <c r="AN132" t="s">
        <v>3</v>
      </c>
      <c r="AO132" t="s">
        <v>3</v>
      </c>
      <c r="AP132" t="s">
        <v>3</v>
      </c>
      <c r="AQ132" t="s">
        <v>3</v>
      </c>
      <c r="AR132" t="s">
        <v>3</v>
      </c>
      <c r="AS132" t="s">
        <v>3</v>
      </c>
      <c r="AT132" t="s">
        <v>3</v>
      </c>
      <c r="AU132" t="s">
        <v>3</v>
      </c>
      <c r="AV132" t="s">
        <v>3</v>
      </c>
      <c r="AW132" t="s">
        <v>3</v>
      </c>
      <c r="AX132">
        <v>0</v>
      </c>
      <c r="AY132">
        <v>1</v>
      </c>
      <c r="AZ132" t="s">
        <v>1</v>
      </c>
      <c r="BA132" t="s">
        <v>1</v>
      </c>
      <c r="BB132" t="s">
        <v>1</v>
      </c>
      <c r="BC132" s="21" t="s">
        <v>748</v>
      </c>
      <c r="BD132" s="21" t="s">
        <v>144</v>
      </c>
      <c r="BE132">
        <v>0</v>
      </c>
      <c r="BF132">
        <v>0</v>
      </c>
      <c r="BG132">
        <v>0</v>
      </c>
      <c r="BH132">
        <v>0</v>
      </c>
      <c r="BI132">
        <v>0</v>
      </c>
      <c r="BJ132" t="s">
        <v>749</v>
      </c>
      <c r="BK132">
        <v>0</v>
      </c>
      <c r="BL132" t="s">
        <v>132</v>
      </c>
      <c r="BM132">
        <v>0</v>
      </c>
      <c r="BN132">
        <v>1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 t="s">
        <v>0</v>
      </c>
      <c r="BX132">
        <v>0</v>
      </c>
      <c r="BY132">
        <v>0</v>
      </c>
      <c r="BZ132">
        <v>0</v>
      </c>
      <c r="CA132">
        <v>0</v>
      </c>
      <c r="CB132" t="s">
        <v>145</v>
      </c>
      <c r="CD132" t="str" cm="1">
        <f t="array" aca="1" ref="CD132" ca="1">eConcatenar(A132:CB132,"|")</f>
        <v>6xgjIrr5oT4NPFCQ|MODIFCARD123|3|MODIF|MODIF|MODIF|MODIF|2022-01-01|1|0|0|0|0|0|0|0|0|0|0|0|0|0|0|0|0|0|0|x|x|x|x|x|x|x|x|x|x|x|x|x|x|x|x|x|x|x|x|x|x|0|1|X|X|X|2022-2-10|2022-02-23|0|0|0|0|0|QWYNRBIY9KVTQO|0|HOMBRE|0|1|0|0|0|0|0|0|0|0|CARDENAS|0|0|0|0|FINAL</v>
      </c>
    </row>
    <row r="133" spans="1:82" x14ac:dyDescent="0.25">
      <c r="A133" t="s">
        <v>269</v>
      </c>
      <c r="B133" s="19" t="s">
        <v>470</v>
      </c>
      <c r="C133">
        <v>3</v>
      </c>
      <c r="D133" t="s">
        <v>346</v>
      </c>
      <c r="E133" t="s">
        <v>346</v>
      </c>
      <c r="F133" t="s">
        <v>346</v>
      </c>
      <c r="G133" t="s">
        <v>346</v>
      </c>
      <c r="H133" s="21" t="s">
        <v>747</v>
      </c>
      <c r="I133">
        <v>1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 t="s">
        <v>3</v>
      </c>
      <c r="AC133" t="s">
        <v>3</v>
      </c>
      <c r="AD133" t="s">
        <v>3</v>
      </c>
      <c r="AE133" t="s">
        <v>3</v>
      </c>
      <c r="AF133" t="s">
        <v>3</v>
      </c>
      <c r="AG133" t="s">
        <v>3</v>
      </c>
      <c r="AH133" t="s">
        <v>3</v>
      </c>
      <c r="AI133" t="s">
        <v>3</v>
      </c>
      <c r="AJ133" t="s">
        <v>3</v>
      </c>
      <c r="AK133" t="s">
        <v>3</v>
      </c>
      <c r="AL133" t="s">
        <v>3</v>
      </c>
      <c r="AM133" t="s">
        <v>3</v>
      </c>
      <c r="AN133" t="s">
        <v>3</v>
      </c>
      <c r="AO133" t="s">
        <v>3</v>
      </c>
      <c r="AP133" t="s">
        <v>3</v>
      </c>
      <c r="AQ133" t="s">
        <v>3</v>
      </c>
      <c r="AR133" t="s">
        <v>3</v>
      </c>
      <c r="AS133" t="s">
        <v>3</v>
      </c>
      <c r="AT133" t="s">
        <v>3</v>
      </c>
      <c r="AU133" t="s">
        <v>3</v>
      </c>
      <c r="AV133" t="s">
        <v>3</v>
      </c>
      <c r="AW133" t="s">
        <v>3</v>
      </c>
      <c r="AX133">
        <v>0</v>
      </c>
      <c r="AY133">
        <v>1</v>
      </c>
      <c r="AZ133" t="s">
        <v>1</v>
      </c>
      <c r="BA133" t="s">
        <v>1</v>
      </c>
      <c r="BB133" t="s">
        <v>1</v>
      </c>
      <c r="BC133" s="21" t="s">
        <v>748</v>
      </c>
      <c r="BD133" s="21" t="s">
        <v>144</v>
      </c>
      <c r="BE133">
        <v>0</v>
      </c>
      <c r="BF133">
        <v>0</v>
      </c>
      <c r="BG133">
        <v>0</v>
      </c>
      <c r="BH133">
        <v>0</v>
      </c>
      <c r="BI133">
        <v>0</v>
      </c>
      <c r="BJ133" t="s">
        <v>749</v>
      </c>
      <c r="BK133">
        <v>0</v>
      </c>
      <c r="BL133" t="s">
        <v>132</v>
      </c>
      <c r="BM133">
        <v>0</v>
      </c>
      <c r="BN133">
        <v>1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 t="s">
        <v>0</v>
      </c>
      <c r="BX133">
        <v>0</v>
      </c>
      <c r="BY133">
        <v>0</v>
      </c>
      <c r="BZ133">
        <v>0</v>
      </c>
      <c r="CA133">
        <v>0</v>
      </c>
      <c r="CB133" t="s">
        <v>145</v>
      </c>
      <c r="CD133" t="str" cm="1">
        <f t="array" aca="1" ref="CD133" ca="1">eConcatenar(A133:CB133,"|")</f>
        <v>higl9a5juSrhp7hV|MODIFCARD124|3|MODIF|MODIF|MODIF|MODIF|2022-01-01|1|0|0|0|0|0|0|0|0|0|0|0|0|0|0|0|0|0|0|x|x|x|x|x|x|x|x|x|x|x|x|x|x|x|x|x|x|x|x|x|x|0|1|X|X|X|2022-2-10|2022-02-23|0|0|0|0|0|QWYNRBIY9KVTQO|0|HOMBRE|0|1|0|0|0|0|0|0|0|0|CARDENAS|0|0|0|0|FINAL</v>
      </c>
    </row>
    <row r="134" spans="1:82" x14ac:dyDescent="0.25">
      <c r="A134" t="s">
        <v>270</v>
      </c>
      <c r="B134" s="19" t="s">
        <v>471</v>
      </c>
      <c r="C134">
        <v>3</v>
      </c>
      <c r="D134" t="s">
        <v>346</v>
      </c>
      <c r="E134" t="s">
        <v>346</v>
      </c>
      <c r="F134" t="s">
        <v>346</v>
      </c>
      <c r="G134" t="s">
        <v>346</v>
      </c>
      <c r="H134" s="21" t="s">
        <v>747</v>
      </c>
      <c r="I134">
        <v>1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">
        <v>3</v>
      </c>
      <c r="AC134" t="s">
        <v>3</v>
      </c>
      <c r="AD134" t="s">
        <v>3</v>
      </c>
      <c r="AE134" t="s">
        <v>3</v>
      </c>
      <c r="AF134" t="s">
        <v>3</v>
      </c>
      <c r="AG134" t="s">
        <v>3</v>
      </c>
      <c r="AH134" t="s">
        <v>3</v>
      </c>
      <c r="AI134" t="s">
        <v>3</v>
      </c>
      <c r="AJ134" t="s">
        <v>3</v>
      </c>
      <c r="AK134" t="s">
        <v>3</v>
      </c>
      <c r="AL134" t="s">
        <v>3</v>
      </c>
      <c r="AM134" t="s">
        <v>3</v>
      </c>
      <c r="AN134" t="s">
        <v>3</v>
      </c>
      <c r="AO134" t="s">
        <v>3</v>
      </c>
      <c r="AP134" t="s">
        <v>3</v>
      </c>
      <c r="AQ134" t="s">
        <v>3</v>
      </c>
      <c r="AR134" t="s">
        <v>3</v>
      </c>
      <c r="AS134" t="s">
        <v>3</v>
      </c>
      <c r="AT134" t="s">
        <v>3</v>
      </c>
      <c r="AU134" t="s">
        <v>3</v>
      </c>
      <c r="AV134" t="s">
        <v>3</v>
      </c>
      <c r="AW134" t="s">
        <v>3</v>
      </c>
      <c r="AX134">
        <v>0</v>
      </c>
      <c r="AY134">
        <v>1</v>
      </c>
      <c r="AZ134" t="s">
        <v>1</v>
      </c>
      <c r="BA134" t="s">
        <v>1</v>
      </c>
      <c r="BB134" t="s">
        <v>1</v>
      </c>
      <c r="BC134" s="21" t="s">
        <v>748</v>
      </c>
      <c r="BD134" s="21" t="s">
        <v>144</v>
      </c>
      <c r="BE134">
        <v>0</v>
      </c>
      <c r="BF134">
        <v>0</v>
      </c>
      <c r="BG134">
        <v>0</v>
      </c>
      <c r="BH134">
        <v>0</v>
      </c>
      <c r="BI134">
        <v>0</v>
      </c>
      <c r="BJ134" t="s">
        <v>749</v>
      </c>
      <c r="BK134">
        <v>0</v>
      </c>
      <c r="BL134" t="s">
        <v>132</v>
      </c>
      <c r="BM134">
        <v>0</v>
      </c>
      <c r="BN134">
        <v>1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 t="s">
        <v>0</v>
      </c>
      <c r="BX134">
        <v>0</v>
      </c>
      <c r="BY134">
        <v>0</v>
      </c>
      <c r="BZ134">
        <v>0</v>
      </c>
      <c r="CA134">
        <v>0</v>
      </c>
      <c r="CB134" t="s">
        <v>145</v>
      </c>
      <c r="CD134" t="str" cm="1">
        <f t="array" aca="1" ref="CD134" ca="1">eConcatenar(A134:CB134,"|")</f>
        <v>DK1XVtkQQbJ1G2Hm|MODIFCARD125|3|MODIF|MODIF|MODIF|MODIF|2022-01-01|1|0|0|0|0|0|0|0|0|0|0|0|0|0|0|0|0|0|0|x|x|x|x|x|x|x|x|x|x|x|x|x|x|x|x|x|x|x|x|x|x|0|1|X|X|X|2022-2-10|2022-02-23|0|0|0|0|0|QWYNRBIY9KVTQO|0|HOMBRE|0|1|0|0|0|0|0|0|0|0|CARDENAS|0|0|0|0|FINAL</v>
      </c>
    </row>
    <row r="135" spans="1:82" x14ac:dyDescent="0.25">
      <c r="A135" t="s">
        <v>271</v>
      </c>
      <c r="B135" s="19" t="s">
        <v>472</v>
      </c>
      <c r="C135">
        <v>3</v>
      </c>
      <c r="D135" t="s">
        <v>346</v>
      </c>
      <c r="E135" t="s">
        <v>346</v>
      </c>
      <c r="F135" t="s">
        <v>346</v>
      </c>
      <c r="G135" t="s">
        <v>346</v>
      </c>
      <c r="H135" s="21" t="s">
        <v>747</v>
      </c>
      <c r="I135">
        <v>1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 t="s">
        <v>3</v>
      </c>
      <c r="AC135" t="s">
        <v>3</v>
      </c>
      <c r="AD135" t="s">
        <v>3</v>
      </c>
      <c r="AE135" t="s">
        <v>3</v>
      </c>
      <c r="AF135" t="s">
        <v>3</v>
      </c>
      <c r="AG135" t="s">
        <v>3</v>
      </c>
      <c r="AH135" t="s">
        <v>3</v>
      </c>
      <c r="AI135" t="s">
        <v>3</v>
      </c>
      <c r="AJ135" t="s">
        <v>3</v>
      </c>
      <c r="AK135" t="s">
        <v>3</v>
      </c>
      <c r="AL135" t="s">
        <v>3</v>
      </c>
      <c r="AM135" t="s">
        <v>3</v>
      </c>
      <c r="AN135" t="s">
        <v>3</v>
      </c>
      <c r="AO135" t="s">
        <v>3</v>
      </c>
      <c r="AP135" t="s">
        <v>3</v>
      </c>
      <c r="AQ135" t="s">
        <v>3</v>
      </c>
      <c r="AR135" t="s">
        <v>3</v>
      </c>
      <c r="AS135" t="s">
        <v>3</v>
      </c>
      <c r="AT135" t="s">
        <v>3</v>
      </c>
      <c r="AU135" t="s">
        <v>3</v>
      </c>
      <c r="AV135" t="s">
        <v>3</v>
      </c>
      <c r="AW135" t="s">
        <v>3</v>
      </c>
      <c r="AX135">
        <v>0</v>
      </c>
      <c r="AY135">
        <v>1</v>
      </c>
      <c r="AZ135" t="s">
        <v>1</v>
      </c>
      <c r="BA135" t="s">
        <v>1</v>
      </c>
      <c r="BB135" t="s">
        <v>1</v>
      </c>
      <c r="BC135" s="21" t="s">
        <v>748</v>
      </c>
      <c r="BD135" s="21" t="s">
        <v>144</v>
      </c>
      <c r="BE135">
        <v>0</v>
      </c>
      <c r="BF135">
        <v>0</v>
      </c>
      <c r="BG135">
        <v>0</v>
      </c>
      <c r="BH135">
        <v>0</v>
      </c>
      <c r="BI135">
        <v>0</v>
      </c>
      <c r="BJ135" t="s">
        <v>749</v>
      </c>
      <c r="BK135">
        <v>0</v>
      </c>
      <c r="BL135" t="s">
        <v>132</v>
      </c>
      <c r="BM135">
        <v>0</v>
      </c>
      <c r="BN135">
        <v>1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 t="s">
        <v>0</v>
      </c>
      <c r="BX135">
        <v>0</v>
      </c>
      <c r="BY135">
        <v>0</v>
      </c>
      <c r="BZ135">
        <v>0</v>
      </c>
      <c r="CA135">
        <v>0</v>
      </c>
      <c r="CB135" t="s">
        <v>145</v>
      </c>
      <c r="CD135" t="str" cm="1">
        <f t="array" aca="1" ref="CD135" ca="1">eConcatenar(A135:CB135,"|")</f>
        <v>d3NHChgqhWkIc1EZ|MODIFCARD126|3|MODIF|MODIF|MODIF|MODIF|2022-01-01|1|0|0|0|0|0|0|0|0|0|0|0|0|0|0|0|0|0|0|x|x|x|x|x|x|x|x|x|x|x|x|x|x|x|x|x|x|x|x|x|x|0|1|X|X|X|2022-2-10|2022-02-23|0|0|0|0|0|QWYNRBIY9KVTQO|0|HOMBRE|0|1|0|0|0|0|0|0|0|0|CARDENAS|0|0|0|0|FINAL</v>
      </c>
    </row>
    <row r="136" spans="1:82" x14ac:dyDescent="0.25">
      <c r="A136" t="s">
        <v>272</v>
      </c>
      <c r="B136" s="19" t="s">
        <v>473</v>
      </c>
      <c r="C136">
        <v>3</v>
      </c>
      <c r="D136" t="s">
        <v>346</v>
      </c>
      <c r="E136" t="s">
        <v>346</v>
      </c>
      <c r="F136" t="s">
        <v>346</v>
      </c>
      <c r="G136" t="s">
        <v>346</v>
      </c>
      <c r="H136" s="21" t="s">
        <v>747</v>
      </c>
      <c r="I136">
        <v>1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">
        <v>3</v>
      </c>
      <c r="AC136" t="s">
        <v>3</v>
      </c>
      <c r="AD136" t="s">
        <v>3</v>
      </c>
      <c r="AE136" t="s">
        <v>3</v>
      </c>
      <c r="AF136" t="s">
        <v>3</v>
      </c>
      <c r="AG136" t="s">
        <v>3</v>
      </c>
      <c r="AH136" t="s">
        <v>3</v>
      </c>
      <c r="AI136" t="s">
        <v>3</v>
      </c>
      <c r="AJ136" t="s">
        <v>3</v>
      </c>
      <c r="AK136" t="s">
        <v>3</v>
      </c>
      <c r="AL136" t="s">
        <v>3</v>
      </c>
      <c r="AM136" t="s">
        <v>3</v>
      </c>
      <c r="AN136" t="s">
        <v>3</v>
      </c>
      <c r="AO136" t="s">
        <v>3</v>
      </c>
      <c r="AP136" t="s">
        <v>3</v>
      </c>
      <c r="AQ136" t="s">
        <v>3</v>
      </c>
      <c r="AR136" t="s">
        <v>3</v>
      </c>
      <c r="AS136" t="s">
        <v>3</v>
      </c>
      <c r="AT136" t="s">
        <v>3</v>
      </c>
      <c r="AU136" t="s">
        <v>3</v>
      </c>
      <c r="AV136" t="s">
        <v>3</v>
      </c>
      <c r="AW136" t="s">
        <v>3</v>
      </c>
      <c r="AX136">
        <v>0</v>
      </c>
      <c r="AY136">
        <v>1</v>
      </c>
      <c r="AZ136" t="s">
        <v>1</v>
      </c>
      <c r="BA136" t="s">
        <v>1</v>
      </c>
      <c r="BB136" t="s">
        <v>1</v>
      </c>
      <c r="BC136" s="21" t="s">
        <v>748</v>
      </c>
      <c r="BD136" s="21" t="s">
        <v>144</v>
      </c>
      <c r="BE136">
        <v>0</v>
      </c>
      <c r="BF136">
        <v>0</v>
      </c>
      <c r="BG136">
        <v>0</v>
      </c>
      <c r="BH136">
        <v>0</v>
      </c>
      <c r="BI136">
        <v>0</v>
      </c>
      <c r="BJ136" t="s">
        <v>749</v>
      </c>
      <c r="BK136">
        <v>0</v>
      </c>
      <c r="BL136" t="s">
        <v>132</v>
      </c>
      <c r="BM136">
        <v>0</v>
      </c>
      <c r="BN136">
        <v>1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 t="s">
        <v>0</v>
      </c>
      <c r="BX136">
        <v>0</v>
      </c>
      <c r="BY136">
        <v>0</v>
      </c>
      <c r="BZ136">
        <v>0</v>
      </c>
      <c r="CA136">
        <v>0</v>
      </c>
      <c r="CB136" t="s">
        <v>145</v>
      </c>
      <c r="CD136" t="str" cm="1">
        <f t="array" aca="1" ref="CD136" ca="1">eConcatenar(A136:CB136,"|")</f>
        <v>GoksdDuUbeOCppSu|MODIFCARD127|3|MODIF|MODIF|MODIF|MODIF|2022-01-01|1|0|0|0|0|0|0|0|0|0|0|0|0|0|0|0|0|0|0|x|x|x|x|x|x|x|x|x|x|x|x|x|x|x|x|x|x|x|x|x|x|0|1|X|X|X|2022-2-10|2022-02-23|0|0|0|0|0|QWYNRBIY9KVTQO|0|HOMBRE|0|1|0|0|0|0|0|0|0|0|CARDENAS|0|0|0|0|FINAL</v>
      </c>
    </row>
    <row r="137" spans="1:82" x14ac:dyDescent="0.25">
      <c r="A137" t="s">
        <v>273</v>
      </c>
      <c r="B137" s="19" t="s">
        <v>474</v>
      </c>
      <c r="C137">
        <v>3</v>
      </c>
      <c r="D137" t="s">
        <v>346</v>
      </c>
      <c r="E137" t="s">
        <v>346</v>
      </c>
      <c r="F137" t="s">
        <v>346</v>
      </c>
      <c r="G137" t="s">
        <v>346</v>
      </c>
      <c r="H137" s="21" t="s">
        <v>747</v>
      </c>
      <c r="I137">
        <v>1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">
        <v>3</v>
      </c>
      <c r="AC137" t="s">
        <v>3</v>
      </c>
      <c r="AD137" t="s">
        <v>3</v>
      </c>
      <c r="AE137" t="s">
        <v>3</v>
      </c>
      <c r="AF137" t="s">
        <v>3</v>
      </c>
      <c r="AG137" t="s">
        <v>3</v>
      </c>
      <c r="AH137" t="s">
        <v>3</v>
      </c>
      <c r="AI137" t="s">
        <v>3</v>
      </c>
      <c r="AJ137" t="s">
        <v>3</v>
      </c>
      <c r="AK137" t="s">
        <v>3</v>
      </c>
      <c r="AL137" t="s">
        <v>3</v>
      </c>
      <c r="AM137" t="s">
        <v>3</v>
      </c>
      <c r="AN137" t="s">
        <v>3</v>
      </c>
      <c r="AO137" t="s">
        <v>3</v>
      </c>
      <c r="AP137" t="s">
        <v>3</v>
      </c>
      <c r="AQ137" t="s">
        <v>3</v>
      </c>
      <c r="AR137" t="s">
        <v>3</v>
      </c>
      <c r="AS137" t="s">
        <v>3</v>
      </c>
      <c r="AT137" t="s">
        <v>3</v>
      </c>
      <c r="AU137" t="s">
        <v>3</v>
      </c>
      <c r="AV137" t="s">
        <v>3</v>
      </c>
      <c r="AW137" t="s">
        <v>3</v>
      </c>
      <c r="AX137">
        <v>0</v>
      </c>
      <c r="AY137">
        <v>1</v>
      </c>
      <c r="AZ137" t="s">
        <v>1</v>
      </c>
      <c r="BA137" t="s">
        <v>1</v>
      </c>
      <c r="BB137" t="s">
        <v>1</v>
      </c>
      <c r="BC137" s="21" t="s">
        <v>748</v>
      </c>
      <c r="BD137" s="21" t="s">
        <v>144</v>
      </c>
      <c r="BE137">
        <v>0</v>
      </c>
      <c r="BF137">
        <v>0</v>
      </c>
      <c r="BG137">
        <v>0</v>
      </c>
      <c r="BH137">
        <v>0</v>
      </c>
      <c r="BI137">
        <v>0</v>
      </c>
      <c r="BJ137" t="s">
        <v>749</v>
      </c>
      <c r="BK137">
        <v>0</v>
      </c>
      <c r="BL137" t="s">
        <v>132</v>
      </c>
      <c r="BM137">
        <v>0</v>
      </c>
      <c r="BN137">
        <v>1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 t="s">
        <v>0</v>
      </c>
      <c r="BX137">
        <v>0</v>
      </c>
      <c r="BY137">
        <v>0</v>
      </c>
      <c r="BZ137">
        <v>0</v>
      </c>
      <c r="CA137">
        <v>0</v>
      </c>
      <c r="CB137" t="s">
        <v>145</v>
      </c>
      <c r="CD137" t="str" cm="1">
        <f t="array" aca="1" ref="CD137" ca="1">eConcatenar(A137:CB137,"|")</f>
        <v>dEVZYVqdqxwrPha4|MODIFCARD128|3|MODIF|MODIF|MODIF|MODIF|2022-01-01|1|0|0|0|0|0|0|0|0|0|0|0|0|0|0|0|0|0|0|x|x|x|x|x|x|x|x|x|x|x|x|x|x|x|x|x|x|x|x|x|x|0|1|X|X|X|2022-2-10|2022-02-23|0|0|0|0|0|QWYNRBIY9KVTQO|0|HOMBRE|0|1|0|0|0|0|0|0|0|0|CARDENAS|0|0|0|0|FINAL</v>
      </c>
    </row>
    <row r="138" spans="1:82" x14ac:dyDescent="0.25">
      <c r="A138" t="s">
        <v>274</v>
      </c>
      <c r="B138" s="19" t="s">
        <v>475</v>
      </c>
      <c r="C138">
        <v>3</v>
      </c>
      <c r="D138" t="s">
        <v>346</v>
      </c>
      <c r="E138" t="s">
        <v>346</v>
      </c>
      <c r="F138" t="s">
        <v>346</v>
      </c>
      <c r="G138" t="s">
        <v>346</v>
      </c>
      <c r="H138" s="21" t="s">
        <v>747</v>
      </c>
      <c r="I138">
        <v>1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 t="s">
        <v>3</v>
      </c>
      <c r="AC138" t="s">
        <v>3</v>
      </c>
      <c r="AD138" t="s">
        <v>3</v>
      </c>
      <c r="AE138" t="s">
        <v>3</v>
      </c>
      <c r="AF138" t="s">
        <v>3</v>
      </c>
      <c r="AG138" t="s">
        <v>3</v>
      </c>
      <c r="AH138" t="s">
        <v>3</v>
      </c>
      <c r="AI138" t="s">
        <v>3</v>
      </c>
      <c r="AJ138" t="s">
        <v>3</v>
      </c>
      <c r="AK138" t="s">
        <v>3</v>
      </c>
      <c r="AL138" t="s">
        <v>3</v>
      </c>
      <c r="AM138" t="s">
        <v>3</v>
      </c>
      <c r="AN138" t="s">
        <v>3</v>
      </c>
      <c r="AO138" t="s">
        <v>3</v>
      </c>
      <c r="AP138" t="s">
        <v>3</v>
      </c>
      <c r="AQ138" t="s">
        <v>3</v>
      </c>
      <c r="AR138" t="s">
        <v>3</v>
      </c>
      <c r="AS138" t="s">
        <v>3</v>
      </c>
      <c r="AT138" t="s">
        <v>3</v>
      </c>
      <c r="AU138" t="s">
        <v>3</v>
      </c>
      <c r="AV138" t="s">
        <v>3</v>
      </c>
      <c r="AW138" t="s">
        <v>3</v>
      </c>
      <c r="AX138">
        <v>0</v>
      </c>
      <c r="AY138">
        <v>1</v>
      </c>
      <c r="AZ138" t="s">
        <v>1</v>
      </c>
      <c r="BA138" t="s">
        <v>1</v>
      </c>
      <c r="BB138" t="s">
        <v>1</v>
      </c>
      <c r="BC138" s="21" t="s">
        <v>748</v>
      </c>
      <c r="BD138" s="21" t="s">
        <v>144</v>
      </c>
      <c r="BE138">
        <v>0</v>
      </c>
      <c r="BF138">
        <v>0</v>
      </c>
      <c r="BG138">
        <v>0</v>
      </c>
      <c r="BH138">
        <v>0</v>
      </c>
      <c r="BI138">
        <v>0</v>
      </c>
      <c r="BJ138" t="s">
        <v>749</v>
      </c>
      <c r="BK138">
        <v>0</v>
      </c>
      <c r="BL138" t="s">
        <v>132</v>
      </c>
      <c r="BM138">
        <v>0</v>
      </c>
      <c r="BN138">
        <v>1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 t="s">
        <v>0</v>
      </c>
      <c r="BX138">
        <v>0</v>
      </c>
      <c r="BY138">
        <v>0</v>
      </c>
      <c r="BZ138">
        <v>0</v>
      </c>
      <c r="CA138">
        <v>0</v>
      </c>
      <c r="CB138" t="s">
        <v>145</v>
      </c>
      <c r="CD138" t="str" cm="1">
        <f t="array" aca="1" ref="CD138" ca="1">eConcatenar(A138:CB138,"|")</f>
        <v>ZC9FmWLr2J8SSzVB|MODIFCARD129|3|MODIF|MODIF|MODIF|MODIF|2022-01-01|1|0|0|0|0|0|0|0|0|0|0|0|0|0|0|0|0|0|0|x|x|x|x|x|x|x|x|x|x|x|x|x|x|x|x|x|x|x|x|x|x|0|1|X|X|X|2022-2-10|2022-02-23|0|0|0|0|0|QWYNRBIY9KVTQO|0|HOMBRE|0|1|0|0|0|0|0|0|0|0|CARDENAS|0|0|0|0|FINAL</v>
      </c>
    </row>
    <row r="139" spans="1:82" x14ac:dyDescent="0.25">
      <c r="A139" t="s">
        <v>275</v>
      </c>
      <c r="B139" s="19" t="s">
        <v>476</v>
      </c>
      <c r="C139">
        <v>3</v>
      </c>
      <c r="D139" t="s">
        <v>346</v>
      </c>
      <c r="E139" t="s">
        <v>346</v>
      </c>
      <c r="F139" t="s">
        <v>346</v>
      </c>
      <c r="G139" t="s">
        <v>346</v>
      </c>
      <c r="H139" s="21" t="s">
        <v>747</v>
      </c>
      <c r="I139">
        <v>1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">
        <v>3</v>
      </c>
      <c r="AC139" t="s">
        <v>3</v>
      </c>
      <c r="AD139" t="s">
        <v>3</v>
      </c>
      <c r="AE139" t="s">
        <v>3</v>
      </c>
      <c r="AF139" t="s">
        <v>3</v>
      </c>
      <c r="AG139" t="s">
        <v>3</v>
      </c>
      <c r="AH139" t="s">
        <v>3</v>
      </c>
      <c r="AI139" t="s">
        <v>3</v>
      </c>
      <c r="AJ139" t="s">
        <v>3</v>
      </c>
      <c r="AK139" t="s">
        <v>3</v>
      </c>
      <c r="AL139" t="s">
        <v>3</v>
      </c>
      <c r="AM139" t="s">
        <v>3</v>
      </c>
      <c r="AN139" t="s">
        <v>3</v>
      </c>
      <c r="AO139" t="s">
        <v>3</v>
      </c>
      <c r="AP139" t="s">
        <v>3</v>
      </c>
      <c r="AQ139" t="s">
        <v>3</v>
      </c>
      <c r="AR139" t="s">
        <v>3</v>
      </c>
      <c r="AS139" t="s">
        <v>3</v>
      </c>
      <c r="AT139" t="s">
        <v>3</v>
      </c>
      <c r="AU139" t="s">
        <v>3</v>
      </c>
      <c r="AV139" t="s">
        <v>3</v>
      </c>
      <c r="AW139" t="s">
        <v>3</v>
      </c>
      <c r="AX139">
        <v>0</v>
      </c>
      <c r="AY139">
        <v>1</v>
      </c>
      <c r="AZ139" t="s">
        <v>1</v>
      </c>
      <c r="BA139" t="s">
        <v>1</v>
      </c>
      <c r="BB139" t="s">
        <v>1</v>
      </c>
      <c r="BC139" s="21" t="s">
        <v>748</v>
      </c>
      <c r="BD139" s="21" t="s">
        <v>144</v>
      </c>
      <c r="BE139">
        <v>0</v>
      </c>
      <c r="BF139">
        <v>0</v>
      </c>
      <c r="BG139">
        <v>0</v>
      </c>
      <c r="BH139">
        <v>0</v>
      </c>
      <c r="BI139">
        <v>0</v>
      </c>
      <c r="BJ139" t="s">
        <v>749</v>
      </c>
      <c r="BK139">
        <v>0</v>
      </c>
      <c r="BL139" t="s">
        <v>132</v>
      </c>
      <c r="BM139">
        <v>0</v>
      </c>
      <c r="BN139">
        <v>1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 t="s">
        <v>0</v>
      </c>
      <c r="BX139">
        <v>0</v>
      </c>
      <c r="BY139">
        <v>0</v>
      </c>
      <c r="BZ139">
        <v>0</v>
      </c>
      <c r="CA139">
        <v>0</v>
      </c>
      <c r="CB139" t="s">
        <v>145</v>
      </c>
      <c r="CD139" t="str" cm="1">
        <f t="array" aca="1" ref="CD139" ca="1">eConcatenar(A139:CB139,"|")</f>
        <v>P6YFU78VNOEWQlcf|MODIFCARD130|3|MODIF|MODIF|MODIF|MODIF|2022-01-01|1|0|0|0|0|0|0|0|0|0|0|0|0|0|0|0|0|0|0|x|x|x|x|x|x|x|x|x|x|x|x|x|x|x|x|x|x|x|x|x|x|0|1|X|X|X|2022-2-10|2022-02-23|0|0|0|0|0|QWYNRBIY9KVTQO|0|HOMBRE|0|1|0|0|0|0|0|0|0|0|CARDENAS|0|0|0|0|FINAL</v>
      </c>
    </row>
    <row r="140" spans="1:82" x14ac:dyDescent="0.25">
      <c r="A140" t="s">
        <v>276</v>
      </c>
      <c r="B140" s="19" t="s">
        <v>477</v>
      </c>
      <c r="C140">
        <v>3</v>
      </c>
      <c r="D140" t="s">
        <v>346</v>
      </c>
      <c r="E140" t="s">
        <v>346</v>
      </c>
      <c r="F140" t="s">
        <v>346</v>
      </c>
      <c r="G140" t="s">
        <v>346</v>
      </c>
      <c r="H140" s="21" t="s">
        <v>747</v>
      </c>
      <c r="I140">
        <v>1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">
        <v>3</v>
      </c>
      <c r="AC140" t="s">
        <v>3</v>
      </c>
      <c r="AD140" t="s">
        <v>3</v>
      </c>
      <c r="AE140" t="s">
        <v>3</v>
      </c>
      <c r="AF140" t="s">
        <v>3</v>
      </c>
      <c r="AG140" t="s">
        <v>3</v>
      </c>
      <c r="AH140" t="s">
        <v>3</v>
      </c>
      <c r="AI140" t="s">
        <v>3</v>
      </c>
      <c r="AJ140" t="s">
        <v>3</v>
      </c>
      <c r="AK140" t="s">
        <v>3</v>
      </c>
      <c r="AL140" t="s">
        <v>3</v>
      </c>
      <c r="AM140" t="s">
        <v>3</v>
      </c>
      <c r="AN140" t="s">
        <v>3</v>
      </c>
      <c r="AO140" t="s">
        <v>3</v>
      </c>
      <c r="AP140" t="s">
        <v>3</v>
      </c>
      <c r="AQ140" t="s">
        <v>3</v>
      </c>
      <c r="AR140" t="s">
        <v>3</v>
      </c>
      <c r="AS140" t="s">
        <v>3</v>
      </c>
      <c r="AT140" t="s">
        <v>3</v>
      </c>
      <c r="AU140" t="s">
        <v>3</v>
      </c>
      <c r="AV140" t="s">
        <v>3</v>
      </c>
      <c r="AW140" t="s">
        <v>3</v>
      </c>
      <c r="AX140">
        <v>0</v>
      </c>
      <c r="AY140">
        <v>1</v>
      </c>
      <c r="AZ140" t="s">
        <v>1</v>
      </c>
      <c r="BA140" t="s">
        <v>1</v>
      </c>
      <c r="BB140" t="s">
        <v>1</v>
      </c>
      <c r="BC140" s="21" t="s">
        <v>748</v>
      </c>
      <c r="BD140" s="21" t="s">
        <v>144</v>
      </c>
      <c r="BE140">
        <v>0</v>
      </c>
      <c r="BF140">
        <v>0</v>
      </c>
      <c r="BG140">
        <v>0</v>
      </c>
      <c r="BH140">
        <v>0</v>
      </c>
      <c r="BI140">
        <v>0</v>
      </c>
      <c r="BJ140" t="s">
        <v>749</v>
      </c>
      <c r="BK140">
        <v>0</v>
      </c>
      <c r="BL140" t="s">
        <v>132</v>
      </c>
      <c r="BM140">
        <v>0</v>
      </c>
      <c r="BN140">
        <v>1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 t="s">
        <v>0</v>
      </c>
      <c r="BX140">
        <v>0</v>
      </c>
      <c r="BY140">
        <v>0</v>
      </c>
      <c r="BZ140">
        <v>0</v>
      </c>
      <c r="CA140">
        <v>0</v>
      </c>
      <c r="CB140" t="s">
        <v>145</v>
      </c>
      <c r="CD140" t="str" cm="1">
        <f t="array" aca="1" ref="CD140" ca="1">eConcatenar(A140:CB140,"|")</f>
        <v>K5tb2Pv9ihAScVtm|MODIFCARD131|3|MODIF|MODIF|MODIF|MODIF|2022-01-01|1|0|0|0|0|0|0|0|0|0|0|0|0|0|0|0|0|0|0|x|x|x|x|x|x|x|x|x|x|x|x|x|x|x|x|x|x|x|x|x|x|0|1|X|X|X|2022-2-10|2022-02-23|0|0|0|0|0|QWYNRBIY9KVTQO|0|HOMBRE|0|1|0|0|0|0|0|0|0|0|CARDENAS|0|0|0|0|FINAL</v>
      </c>
    </row>
    <row r="141" spans="1:82" x14ac:dyDescent="0.25">
      <c r="A141" t="s">
        <v>277</v>
      </c>
      <c r="B141" s="19" t="s">
        <v>478</v>
      </c>
      <c r="C141">
        <v>3</v>
      </c>
      <c r="D141" t="s">
        <v>346</v>
      </c>
      <c r="E141" t="s">
        <v>346</v>
      </c>
      <c r="F141" t="s">
        <v>346</v>
      </c>
      <c r="G141" t="s">
        <v>346</v>
      </c>
      <c r="H141" s="21" t="s">
        <v>747</v>
      </c>
      <c r="I141">
        <v>1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 t="s">
        <v>3</v>
      </c>
      <c r="AC141" t="s">
        <v>3</v>
      </c>
      <c r="AD141" t="s">
        <v>3</v>
      </c>
      <c r="AE141" t="s">
        <v>3</v>
      </c>
      <c r="AF141" t="s">
        <v>3</v>
      </c>
      <c r="AG141" t="s">
        <v>3</v>
      </c>
      <c r="AH141" t="s">
        <v>3</v>
      </c>
      <c r="AI141" t="s">
        <v>3</v>
      </c>
      <c r="AJ141" t="s">
        <v>3</v>
      </c>
      <c r="AK141" t="s">
        <v>3</v>
      </c>
      <c r="AL141" t="s">
        <v>3</v>
      </c>
      <c r="AM141" t="s">
        <v>3</v>
      </c>
      <c r="AN141" t="s">
        <v>3</v>
      </c>
      <c r="AO141" t="s">
        <v>3</v>
      </c>
      <c r="AP141" t="s">
        <v>3</v>
      </c>
      <c r="AQ141" t="s">
        <v>3</v>
      </c>
      <c r="AR141" t="s">
        <v>3</v>
      </c>
      <c r="AS141" t="s">
        <v>3</v>
      </c>
      <c r="AT141" t="s">
        <v>3</v>
      </c>
      <c r="AU141" t="s">
        <v>3</v>
      </c>
      <c r="AV141" t="s">
        <v>3</v>
      </c>
      <c r="AW141" t="s">
        <v>3</v>
      </c>
      <c r="AX141">
        <v>0</v>
      </c>
      <c r="AY141">
        <v>1</v>
      </c>
      <c r="AZ141" t="s">
        <v>1</v>
      </c>
      <c r="BA141" t="s">
        <v>1</v>
      </c>
      <c r="BB141" t="s">
        <v>1</v>
      </c>
      <c r="BC141" s="21" t="s">
        <v>748</v>
      </c>
      <c r="BD141" s="21" t="s">
        <v>144</v>
      </c>
      <c r="BE141">
        <v>0</v>
      </c>
      <c r="BF141">
        <v>0</v>
      </c>
      <c r="BG141">
        <v>0</v>
      </c>
      <c r="BH141">
        <v>0</v>
      </c>
      <c r="BI141">
        <v>0</v>
      </c>
      <c r="BJ141" t="s">
        <v>749</v>
      </c>
      <c r="BK141">
        <v>0</v>
      </c>
      <c r="BL141" t="s">
        <v>132</v>
      </c>
      <c r="BM141">
        <v>0</v>
      </c>
      <c r="BN141">
        <v>1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 t="s">
        <v>0</v>
      </c>
      <c r="BX141">
        <v>0</v>
      </c>
      <c r="BY141">
        <v>0</v>
      </c>
      <c r="BZ141">
        <v>0</v>
      </c>
      <c r="CA141">
        <v>0</v>
      </c>
      <c r="CB141" t="s">
        <v>145</v>
      </c>
      <c r="CD141" t="str" cm="1">
        <f t="array" aca="1" ref="CD141" ca="1">eConcatenar(A141:CB141,"|")</f>
        <v>8zM791EP11Vny8I1|MODIFCARD132|3|MODIF|MODIF|MODIF|MODIF|2022-01-01|1|0|0|0|0|0|0|0|0|0|0|0|0|0|0|0|0|0|0|x|x|x|x|x|x|x|x|x|x|x|x|x|x|x|x|x|x|x|x|x|x|0|1|X|X|X|2022-2-10|2022-02-23|0|0|0|0|0|QWYNRBIY9KVTQO|0|HOMBRE|0|1|0|0|0|0|0|0|0|0|CARDENAS|0|0|0|0|FINAL</v>
      </c>
    </row>
    <row r="142" spans="1:82" x14ac:dyDescent="0.25">
      <c r="A142" t="s">
        <v>278</v>
      </c>
      <c r="B142" s="19" t="s">
        <v>479</v>
      </c>
      <c r="C142">
        <v>3</v>
      </c>
      <c r="D142" t="s">
        <v>346</v>
      </c>
      <c r="E142" t="s">
        <v>346</v>
      </c>
      <c r="F142" t="s">
        <v>346</v>
      </c>
      <c r="G142" t="s">
        <v>346</v>
      </c>
      <c r="H142" s="21" t="s">
        <v>747</v>
      </c>
      <c r="I142">
        <v>1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">
        <v>3</v>
      </c>
      <c r="AC142" t="s">
        <v>3</v>
      </c>
      <c r="AD142" t="s">
        <v>3</v>
      </c>
      <c r="AE142" t="s">
        <v>3</v>
      </c>
      <c r="AF142" t="s">
        <v>3</v>
      </c>
      <c r="AG142" t="s">
        <v>3</v>
      </c>
      <c r="AH142" t="s">
        <v>3</v>
      </c>
      <c r="AI142" t="s">
        <v>3</v>
      </c>
      <c r="AJ142" t="s">
        <v>3</v>
      </c>
      <c r="AK142" t="s">
        <v>3</v>
      </c>
      <c r="AL142" t="s">
        <v>3</v>
      </c>
      <c r="AM142" t="s">
        <v>3</v>
      </c>
      <c r="AN142" t="s">
        <v>3</v>
      </c>
      <c r="AO142" t="s">
        <v>3</v>
      </c>
      <c r="AP142" t="s">
        <v>3</v>
      </c>
      <c r="AQ142" t="s">
        <v>3</v>
      </c>
      <c r="AR142" t="s">
        <v>3</v>
      </c>
      <c r="AS142" t="s">
        <v>3</v>
      </c>
      <c r="AT142" t="s">
        <v>3</v>
      </c>
      <c r="AU142" t="s">
        <v>3</v>
      </c>
      <c r="AV142" t="s">
        <v>3</v>
      </c>
      <c r="AW142" t="s">
        <v>3</v>
      </c>
      <c r="AX142">
        <v>0</v>
      </c>
      <c r="AY142">
        <v>1</v>
      </c>
      <c r="AZ142" t="s">
        <v>1</v>
      </c>
      <c r="BA142" t="s">
        <v>1</v>
      </c>
      <c r="BB142" t="s">
        <v>1</v>
      </c>
      <c r="BC142" s="21" t="s">
        <v>748</v>
      </c>
      <c r="BD142" s="21" t="s">
        <v>144</v>
      </c>
      <c r="BE142">
        <v>0</v>
      </c>
      <c r="BF142">
        <v>0</v>
      </c>
      <c r="BG142">
        <v>0</v>
      </c>
      <c r="BH142">
        <v>0</v>
      </c>
      <c r="BI142">
        <v>0</v>
      </c>
      <c r="BJ142" t="s">
        <v>749</v>
      </c>
      <c r="BK142">
        <v>0</v>
      </c>
      <c r="BL142" t="s">
        <v>132</v>
      </c>
      <c r="BM142">
        <v>0</v>
      </c>
      <c r="BN142">
        <v>1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 t="s">
        <v>0</v>
      </c>
      <c r="BX142">
        <v>0</v>
      </c>
      <c r="BY142">
        <v>0</v>
      </c>
      <c r="BZ142">
        <v>0</v>
      </c>
      <c r="CA142">
        <v>0</v>
      </c>
      <c r="CB142" t="s">
        <v>145</v>
      </c>
      <c r="CD142" t="str" cm="1">
        <f t="array" aca="1" ref="CD142" ca="1">eConcatenar(A142:CB142,"|")</f>
        <v>bUiuTdiBRc7uw2ZA|MODIFCARD133|3|MODIF|MODIF|MODIF|MODIF|2022-01-01|1|0|0|0|0|0|0|0|0|0|0|0|0|0|0|0|0|0|0|x|x|x|x|x|x|x|x|x|x|x|x|x|x|x|x|x|x|x|x|x|x|0|1|X|X|X|2022-2-10|2022-02-23|0|0|0|0|0|QWYNRBIY9KVTQO|0|HOMBRE|0|1|0|0|0|0|0|0|0|0|CARDENAS|0|0|0|0|FINAL</v>
      </c>
    </row>
    <row r="143" spans="1:82" x14ac:dyDescent="0.25">
      <c r="A143" t="s">
        <v>279</v>
      </c>
      <c r="B143" s="19" t="s">
        <v>480</v>
      </c>
      <c r="C143">
        <v>3</v>
      </c>
      <c r="D143" t="s">
        <v>346</v>
      </c>
      <c r="E143" t="s">
        <v>346</v>
      </c>
      <c r="F143" t="s">
        <v>346</v>
      </c>
      <c r="G143" t="s">
        <v>346</v>
      </c>
      <c r="H143" s="21" t="s">
        <v>747</v>
      </c>
      <c r="I143">
        <v>1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 t="s">
        <v>3</v>
      </c>
      <c r="AC143" t="s">
        <v>3</v>
      </c>
      <c r="AD143" t="s">
        <v>3</v>
      </c>
      <c r="AE143" t="s">
        <v>3</v>
      </c>
      <c r="AF143" t="s">
        <v>3</v>
      </c>
      <c r="AG143" t="s">
        <v>3</v>
      </c>
      <c r="AH143" t="s">
        <v>3</v>
      </c>
      <c r="AI143" t="s">
        <v>3</v>
      </c>
      <c r="AJ143" t="s">
        <v>3</v>
      </c>
      <c r="AK143" t="s">
        <v>3</v>
      </c>
      <c r="AL143" t="s">
        <v>3</v>
      </c>
      <c r="AM143" t="s">
        <v>3</v>
      </c>
      <c r="AN143" t="s">
        <v>3</v>
      </c>
      <c r="AO143" t="s">
        <v>3</v>
      </c>
      <c r="AP143" t="s">
        <v>3</v>
      </c>
      <c r="AQ143" t="s">
        <v>3</v>
      </c>
      <c r="AR143" t="s">
        <v>3</v>
      </c>
      <c r="AS143" t="s">
        <v>3</v>
      </c>
      <c r="AT143" t="s">
        <v>3</v>
      </c>
      <c r="AU143" t="s">
        <v>3</v>
      </c>
      <c r="AV143" t="s">
        <v>3</v>
      </c>
      <c r="AW143" t="s">
        <v>3</v>
      </c>
      <c r="AX143">
        <v>0</v>
      </c>
      <c r="AY143">
        <v>1</v>
      </c>
      <c r="AZ143" t="s">
        <v>1</v>
      </c>
      <c r="BA143" t="s">
        <v>1</v>
      </c>
      <c r="BB143" t="s">
        <v>1</v>
      </c>
      <c r="BC143" s="21" t="s">
        <v>748</v>
      </c>
      <c r="BD143" s="21" t="s">
        <v>144</v>
      </c>
      <c r="BE143">
        <v>0</v>
      </c>
      <c r="BF143">
        <v>0</v>
      </c>
      <c r="BG143">
        <v>0</v>
      </c>
      <c r="BH143">
        <v>0</v>
      </c>
      <c r="BI143">
        <v>0</v>
      </c>
      <c r="BJ143" t="s">
        <v>749</v>
      </c>
      <c r="BK143">
        <v>0</v>
      </c>
      <c r="BL143" t="s">
        <v>132</v>
      </c>
      <c r="BM143">
        <v>0</v>
      </c>
      <c r="BN143">
        <v>1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 t="s">
        <v>0</v>
      </c>
      <c r="BX143">
        <v>0</v>
      </c>
      <c r="BY143">
        <v>0</v>
      </c>
      <c r="BZ143">
        <v>0</v>
      </c>
      <c r="CA143">
        <v>0</v>
      </c>
      <c r="CB143" t="s">
        <v>145</v>
      </c>
      <c r="CD143" t="str" cm="1">
        <f t="array" aca="1" ref="CD143" ca="1">eConcatenar(A143:CB143,"|")</f>
        <v>gyqOpCkf4ZQQdLZg|MODIFCARD134|3|MODIF|MODIF|MODIF|MODIF|2022-01-01|1|0|0|0|0|0|0|0|0|0|0|0|0|0|0|0|0|0|0|x|x|x|x|x|x|x|x|x|x|x|x|x|x|x|x|x|x|x|x|x|x|0|1|X|X|X|2022-2-10|2022-02-23|0|0|0|0|0|QWYNRBIY9KVTQO|0|HOMBRE|0|1|0|0|0|0|0|0|0|0|CARDENAS|0|0|0|0|FINAL</v>
      </c>
    </row>
    <row r="144" spans="1:82" x14ac:dyDescent="0.25">
      <c r="A144" t="s">
        <v>280</v>
      </c>
      <c r="B144" s="19" t="s">
        <v>481</v>
      </c>
      <c r="C144">
        <v>3</v>
      </c>
      <c r="D144" t="s">
        <v>346</v>
      </c>
      <c r="E144" t="s">
        <v>346</v>
      </c>
      <c r="F144" t="s">
        <v>346</v>
      </c>
      <c r="G144" t="s">
        <v>346</v>
      </c>
      <c r="H144" s="21" t="s">
        <v>747</v>
      </c>
      <c r="I144">
        <v>1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">
        <v>3</v>
      </c>
      <c r="AC144" t="s">
        <v>3</v>
      </c>
      <c r="AD144" t="s">
        <v>3</v>
      </c>
      <c r="AE144" t="s">
        <v>3</v>
      </c>
      <c r="AF144" t="s">
        <v>3</v>
      </c>
      <c r="AG144" t="s">
        <v>3</v>
      </c>
      <c r="AH144" t="s">
        <v>3</v>
      </c>
      <c r="AI144" t="s">
        <v>3</v>
      </c>
      <c r="AJ144" t="s">
        <v>3</v>
      </c>
      <c r="AK144" t="s">
        <v>3</v>
      </c>
      <c r="AL144" t="s">
        <v>3</v>
      </c>
      <c r="AM144" t="s">
        <v>3</v>
      </c>
      <c r="AN144" t="s">
        <v>3</v>
      </c>
      <c r="AO144" t="s">
        <v>3</v>
      </c>
      <c r="AP144" t="s">
        <v>3</v>
      </c>
      <c r="AQ144" t="s">
        <v>3</v>
      </c>
      <c r="AR144" t="s">
        <v>3</v>
      </c>
      <c r="AS144" t="s">
        <v>3</v>
      </c>
      <c r="AT144" t="s">
        <v>3</v>
      </c>
      <c r="AU144" t="s">
        <v>3</v>
      </c>
      <c r="AV144" t="s">
        <v>3</v>
      </c>
      <c r="AW144" t="s">
        <v>3</v>
      </c>
      <c r="AX144">
        <v>0</v>
      </c>
      <c r="AY144">
        <v>1</v>
      </c>
      <c r="AZ144" t="s">
        <v>1</v>
      </c>
      <c r="BA144" t="s">
        <v>1</v>
      </c>
      <c r="BB144" t="s">
        <v>1</v>
      </c>
      <c r="BC144" s="21" t="s">
        <v>748</v>
      </c>
      <c r="BD144" s="21" t="s">
        <v>144</v>
      </c>
      <c r="BE144">
        <v>0</v>
      </c>
      <c r="BF144">
        <v>0</v>
      </c>
      <c r="BG144">
        <v>0</v>
      </c>
      <c r="BH144">
        <v>0</v>
      </c>
      <c r="BI144">
        <v>0</v>
      </c>
      <c r="BJ144" t="s">
        <v>749</v>
      </c>
      <c r="BK144">
        <v>0</v>
      </c>
      <c r="BL144" t="s">
        <v>132</v>
      </c>
      <c r="BM144">
        <v>0</v>
      </c>
      <c r="BN144">
        <v>1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 t="s">
        <v>0</v>
      </c>
      <c r="BX144">
        <v>0</v>
      </c>
      <c r="BY144">
        <v>0</v>
      </c>
      <c r="BZ144">
        <v>0</v>
      </c>
      <c r="CA144">
        <v>0</v>
      </c>
      <c r="CB144" t="s">
        <v>145</v>
      </c>
      <c r="CD144" t="str" cm="1">
        <f t="array" aca="1" ref="CD144" ca="1">eConcatenar(A144:CB144,"|")</f>
        <v>WIvMnVPFynIYTge5|MODIFCARD135|3|MODIF|MODIF|MODIF|MODIF|2022-01-01|1|0|0|0|0|0|0|0|0|0|0|0|0|0|0|0|0|0|0|x|x|x|x|x|x|x|x|x|x|x|x|x|x|x|x|x|x|x|x|x|x|0|1|X|X|X|2022-2-10|2022-02-23|0|0|0|0|0|QWYNRBIY9KVTQO|0|HOMBRE|0|1|0|0|0|0|0|0|0|0|CARDENAS|0|0|0|0|FINAL</v>
      </c>
    </row>
    <row r="145" spans="1:82" x14ac:dyDescent="0.25">
      <c r="A145" t="s">
        <v>281</v>
      </c>
      <c r="B145" s="19" t="s">
        <v>482</v>
      </c>
      <c r="C145">
        <v>3</v>
      </c>
      <c r="D145" t="s">
        <v>346</v>
      </c>
      <c r="E145" t="s">
        <v>346</v>
      </c>
      <c r="F145" t="s">
        <v>346</v>
      </c>
      <c r="G145" t="s">
        <v>346</v>
      </c>
      <c r="H145" s="21" t="s">
        <v>747</v>
      </c>
      <c r="I145">
        <v>1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">
        <v>3</v>
      </c>
      <c r="AC145" t="s">
        <v>3</v>
      </c>
      <c r="AD145" t="s">
        <v>3</v>
      </c>
      <c r="AE145" t="s">
        <v>3</v>
      </c>
      <c r="AF145" t="s">
        <v>3</v>
      </c>
      <c r="AG145" t="s">
        <v>3</v>
      </c>
      <c r="AH145" t="s">
        <v>3</v>
      </c>
      <c r="AI145" t="s">
        <v>3</v>
      </c>
      <c r="AJ145" t="s">
        <v>3</v>
      </c>
      <c r="AK145" t="s">
        <v>3</v>
      </c>
      <c r="AL145" t="s">
        <v>3</v>
      </c>
      <c r="AM145" t="s">
        <v>3</v>
      </c>
      <c r="AN145" t="s">
        <v>3</v>
      </c>
      <c r="AO145" t="s">
        <v>3</v>
      </c>
      <c r="AP145" t="s">
        <v>3</v>
      </c>
      <c r="AQ145" t="s">
        <v>3</v>
      </c>
      <c r="AR145" t="s">
        <v>3</v>
      </c>
      <c r="AS145" t="s">
        <v>3</v>
      </c>
      <c r="AT145" t="s">
        <v>3</v>
      </c>
      <c r="AU145" t="s">
        <v>3</v>
      </c>
      <c r="AV145" t="s">
        <v>3</v>
      </c>
      <c r="AW145" t="s">
        <v>3</v>
      </c>
      <c r="AX145">
        <v>0</v>
      </c>
      <c r="AY145">
        <v>1</v>
      </c>
      <c r="AZ145" t="s">
        <v>1</v>
      </c>
      <c r="BA145" t="s">
        <v>1</v>
      </c>
      <c r="BB145" t="s">
        <v>1</v>
      </c>
      <c r="BC145" s="21" t="s">
        <v>748</v>
      </c>
      <c r="BD145" s="21" t="s">
        <v>144</v>
      </c>
      <c r="BE145">
        <v>0</v>
      </c>
      <c r="BF145">
        <v>0</v>
      </c>
      <c r="BG145">
        <v>0</v>
      </c>
      <c r="BH145">
        <v>0</v>
      </c>
      <c r="BI145">
        <v>0</v>
      </c>
      <c r="BJ145" t="s">
        <v>749</v>
      </c>
      <c r="BK145">
        <v>0</v>
      </c>
      <c r="BL145" t="s">
        <v>132</v>
      </c>
      <c r="BM145">
        <v>0</v>
      </c>
      <c r="BN145">
        <v>1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 t="s">
        <v>0</v>
      </c>
      <c r="BX145">
        <v>0</v>
      </c>
      <c r="BY145">
        <v>0</v>
      </c>
      <c r="BZ145">
        <v>0</v>
      </c>
      <c r="CA145">
        <v>0</v>
      </c>
      <c r="CB145" t="s">
        <v>145</v>
      </c>
      <c r="CD145" t="str" cm="1">
        <f t="array" aca="1" ref="CD145" ca="1">eConcatenar(A145:CB145,"|")</f>
        <v>9h98slwV0XcN6knK|MODIFCARD136|3|MODIF|MODIF|MODIF|MODIF|2022-01-01|1|0|0|0|0|0|0|0|0|0|0|0|0|0|0|0|0|0|0|x|x|x|x|x|x|x|x|x|x|x|x|x|x|x|x|x|x|x|x|x|x|0|1|X|X|X|2022-2-10|2022-02-23|0|0|0|0|0|QWYNRBIY9KVTQO|0|HOMBRE|0|1|0|0|0|0|0|0|0|0|CARDENAS|0|0|0|0|FINAL</v>
      </c>
    </row>
    <row r="146" spans="1:82" x14ac:dyDescent="0.25">
      <c r="A146" t="s">
        <v>282</v>
      </c>
      <c r="B146" s="19" t="s">
        <v>483</v>
      </c>
      <c r="C146">
        <v>3</v>
      </c>
      <c r="D146" t="s">
        <v>346</v>
      </c>
      <c r="E146" t="s">
        <v>346</v>
      </c>
      <c r="F146" t="s">
        <v>346</v>
      </c>
      <c r="G146" t="s">
        <v>346</v>
      </c>
      <c r="H146" s="21" t="s">
        <v>747</v>
      </c>
      <c r="I146">
        <v>1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 t="s">
        <v>3</v>
      </c>
      <c r="AC146" t="s">
        <v>3</v>
      </c>
      <c r="AD146" t="s">
        <v>3</v>
      </c>
      <c r="AE146" t="s">
        <v>3</v>
      </c>
      <c r="AF146" t="s">
        <v>3</v>
      </c>
      <c r="AG146" t="s">
        <v>3</v>
      </c>
      <c r="AH146" t="s">
        <v>3</v>
      </c>
      <c r="AI146" t="s">
        <v>3</v>
      </c>
      <c r="AJ146" t="s">
        <v>3</v>
      </c>
      <c r="AK146" t="s">
        <v>3</v>
      </c>
      <c r="AL146" t="s">
        <v>3</v>
      </c>
      <c r="AM146" t="s">
        <v>3</v>
      </c>
      <c r="AN146" t="s">
        <v>3</v>
      </c>
      <c r="AO146" t="s">
        <v>3</v>
      </c>
      <c r="AP146" t="s">
        <v>3</v>
      </c>
      <c r="AQ146" t="s">
        <v>3</v>
      </c>
      <c r="AR146" t="s">
        <v>3</v>
      </c>
      <c r="AS146" t="s">
        <v>3</v>
      </c>
      <c r="AT146" t="s">
        <v>3</v>
      </c>
      <c r="AU146" t="s">
        <v>3</v>
      </c>
      <c r="AV146" t="s">
        <v>3</v>
      </c>
      <c r="AW146" t="s">
        <v>3</v>
      </c>
      <c r="AX146">
        <v>0</v>
      </c>
      <c r="AY146">
        <v>1</v>
      </c>
      <c r="AZ146" t="s">
        <v>1</v>
      </c>
      <c r="BA146" t="s">
        <v>1</v>
      </c>
      <c r="BB146" t="s">
        <v>1</v>
      </c>
      <c r="BC146" s="21" t="s">
        <v>748</v>
      </c>
      <c r="BD146" s="21" t="s">
        <v>144</v>
      </c>
      <c r="BE146">
        <v>0</v>
      </c>
      <c r="BF146">
        <v>0</v>
      </c>
      <c r="BG146">
        <v>0</v>
      </c>
      <c r="BH146">
        <v>0</v>
      </c>
      <c r="BI146">
        <v>0</v>
      </c>
      <c r="BJ146" t="s">
        <v>749</v>
      </c>
      <c r="BK146">
        <v>0</v>
      </c>
      <c r="BL146" t="s">
        <v>132</v>
      </c>
      <c r="BM146">
        <v>0</v>
      </c>
      <c r="BN146">
        <v>1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 t="s">
        <v>0</v>
      </c>
      <c r="BX146">
        <v>0</v>
      </c>
      <c r="BY146">
        <v>0</v>
      </c>
      <c r="BZ146">
        <v>0</v>
      </c>
      <c r="CA146">
        <v>0</v>
      </c>
      <c r="CB146" t="s">
        <v>145</v>
      </c>
      <c r="CD146" t="str" cm="1">
        <f t="array" aca="1" ref="CD146" ca="1">eConcatenar(A146:CB146,"|")</f>
        <v>LRAW2vhVy6xllg4D|MODIFCARD137|3|MODIF|MODIF|MODIF|MODIF|2022-01-01|1|0|0|0|0|0|0|0|0|0|0|0|0|0|0|0|0|0|0|x|x|x|x|x|x|x|x|x|x|x|x|x|x|x|x|x|x|x|x|x|x|0|1|X|X|X|2022-2-10|2022-02-23|0|0|0|0|0|QWYNRBIY9KVTQO|0|HOMBRE|0|1|0|0|0|0|0|0|0|0|CARDENAS|0|0|0|0|FINAL</v>
      </c>
    </row>
    <row r="147" spans="1:82" x14ac:dyDescent="0.25">
      <c r="A147" t="s">
        <v>283</v>
      </c>
      <c r="B147" s="19" t="s">
        <v>484</v>
      </c>
      <c r="C147">
        <v>3</v>
      </c>
      <c r="D147" t="s">
        <v>346</v>
      </c>
      <c r="E147" t="s">
        <v>346</v>
      </c>
      <c r="F147" t="s">
        <v>346</v>
      </c>
      <c r="G147" t="s">
        <v>346</v>
      </c>
      <c r="H147" s="21" t="s">
        <v>747</v>
      </c>
      <c r="I147">
        <v>1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">
        <v>3</v>
      </c>
      <c r="AC147" t="s">
        <v>3</v>
      </c>
      <c r="AD147" t="s">
        <v>3</v>
      </c>
      <c r="AE147" t="s">
        <v>3</v>
      </c>
      <c r="AF147" t="s">
        <v>3</v>
      </c>
      <c r="AG147" t="s">
        <v>3</v>
      </c>
      <c r="AH147" t="s">
        <v>3</v>
      </c>
      <c r="AI147" t="s">
        <v>3</v>
      </c>
      <c r="AJ147" t="s">
        <v>3</v>
      </c>
      <c r="AK147" t="s">
        <v>3</v>
      </c>
      <c r="AL147" t="s">
        <v>3</v>
      </c>
      <c r="AM147" t="s">
        <v>3</v>
      </c>
      <c r="AN147" t="s">
        <v>3</v>
      </c>
      <c r="AO147" t="s">
        <v>3</v>
      </c>
      <c r="AP147" t="s">
        <v>3</v>
      </c>
      <c r="AQ147" t="s">
        <v>3</v>
      </c>
      <c r="AR147" t="s">
        <v>3</v>
      </c>
      <c r="AS147" t="s">
        <v>3</v>
      </c>
      <c r="AT147" t="s">
        <v>3</v>
      </c>
      <c r="AU147" t="s">
        <v>3</v>
      </c>
      <c r="AV147" t="s">
        <v>3</v>
      </c>
      <c r="AW147" t="s">
        <v>3</v>
      </c>
      <c r="AX147">
        <v>0</v>
      </c>
      <c r="AY147">
        <v>1</v>
      </c>
      <c r="AZ147" t="s">
        <v>1</v>
      </c>
      <c r="BA147" t="s">
        <v>1</v>
      </c>
      <c r="BB147" t="s">
        <v>1</v>
      </c>
      <c r="BC147" s="21" t="s">
        <v>748</v>
      </c>
      <c r="BD147" s="21" t="s">
        <v>144</v>
      </c>
      <c r="BE147">
        <v>0</v>
      </c>
      <c r="BF147">
        <v>0</v>
      </c>
      <c r="BG147">
        <v>0</v>
      </c>
      <c r="BH147">
        <v>0</v>
      </c>
      <c r="BI147">
        <v>0</v>
      </c>
      <c r="BJ147" t="s">
        <v>749</v>
      </c>
      <c r="BK147">
        <v>0</v>
      </c>
      <c r="BL147" t="s">
        <v>132</v>
      </c>
      <c r="BM147">
        <v>0</v>
      </c>
      <c r="BN147">
        <v>1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 t="s">
        <v>0</v>
      </c>
      <c r="BX147">
        <v>0</v>
      </c>
      <c r="BY147">
        <v>0</v>
      </c>
      <c r="BZ147">
        <v>0</v>
      </c>
      <c r="CA147">
        <v>0</v>
      </c>
      <c r="CB147" t="s">
        <v>145</v>
      </c>
      <c r="CD147" t="str" cm="1">
        <f t="array" aca="1" ref="CD147" ca="1">eConcatenar(A147:CB147,"|")</f>
        <v>kyLXKJZEEdC37Us8|MODIFCARD138|3|MODIF|MODIF|MODIF|MODIF|2022-01-01|1|0|0|0|0|0|0|0|0|0|0|0|0|0|0|0|0|0|0|x|x|x|x|x|x|x|x|x|x|x|x|x|x|x|x|x|x|x|x|x|x|0|1|X|X|X|2022-2-10|2022-02-23|0|0|0|0|0|QWYNRBIY9KVTQO|0|HOMBRE|0|1|0|0|0|0|0|0|0|0|CARDENAS|0|0|0|0|FINAL</v>
      </c>
    </row>
    <row r="148" spans="1:82" x14ac:dyDescent="0.25">
      <c r="A148" t="s">
        <v>284</v>
      </c>
      <c r="B148" s="19" t="s">
        <v>485</v>
      </c>
      <c r="C148">
        <v>3</v>
      </c>
      <c r="D148" t="s">
        <v>346</v>
      </c>
      <c r="E148" t="s">
        <v>346</v>
      </c>
      <c r="F148" t="s">
        <v>346</v>
      </c>
      <c r="G148" t="s">
        <v>346</v>
      </c>
      <c r="H148" s="21" t="s">
        <v>747</v>
      </c>
      <c r="I148">
        <v>1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">
        <v>3</v>
      </c>
      <c r="AC148" t="s">
        <v>3</v>
      </c>
      <c r="AD148" t="s">
        <v>3</v>
      </c>
      <c r="AE148" t="s">
        <v>3</v>
      </c>
      <c r="AF148" t="s">
        <v>3</v>
      </c>
      <c r="AG148" t="s">
        <v>3</v>
      </c>
      <c r="AH148" t="s">
        <v>3</v>
      </c>
      <c r="AI148" t="s">
        <v>3</v>
      </c>
      <c r="AJ148" t="s">
        <v>3</v>
      </c>
      <c r="AK148" t="s">
        <v>3</v>
      </c>
      <c r="AL148" t="s">
        <v>3</v>
      </c>
      <c r="AM148" t="s">
        <v>3</v>
      </c>
      <c r="AN148" t="s">
        <v>3</v>
      </c>
      <c r="AO148" t="s">
        <v>3</v>
      </c>
      <c r="AP148" t="s">
        <v>3</v>
      </c>
      <c r="AQ148" t="s">
        <v>3</v>
      </c>
      <c r="AR148" t="s">
        <v>3</v>
      </c>
      <c r="AS148" t="s">
        <v>3</v>
      </c>
      <c r="AT148" t="s">
        <v>3</v>
      </c>
      <c r="AU148" t="s">
        <v>3</v>
      </c>
      <c r="AV148" t="s">
        <v>3</v>
      </c>
      <c r="AW148" t="s">
        <v>3</v>
      </c>
      <c r="AX148">
        <v>0</v>
      </c>
      <c r="AY148">
        <v>1</v>
      </c>
      <c r="AZ148" t="s">
        <v>1</v>
      </c>
      <c r="BA148" t="s">
        <v>1</v>
      </c>
      <c r="BB148" t="s">
        <v>1</v>
      </c>
      <c r="BC148" s="21" t="s">
        <v>748</v>
      </c>
      <c r="BD148" s="21" t="s">
        <v>144</v>
      </c>
      <c r="BE148">
        <v>0</v>
      </c>
      <c r="BF148">
        <v>0</v>
      </c>
      <c r="BG148">
        <v>0</v>
      </c>
      <c r="BH148">
        <v>0</v>
      </c>
      <c r="BI148">
        <v>0</v>
      </c>
      <c r="BJ148" t="s">
        <v>749</v>
      </c>
      <c r="BK148">
        <v>0</v>
      </c>
      <c r="BL148" t="s">
        <v>132</v>
      </c>
      <c r="BM148">
        <v>0</v>
      </c>
      <c r="BN148">
        <v>1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 t="s">
        <v>0</v>
      </c>
      <c r="BX148">
        <v>0</v>
      </c>
      <c r="BY148">
        <v>0</v>
      </c>
      <c r="BZ148">
        <v>0</v>
      </c>
      <c r="CA148">
        <v>0</v>
      </c>
      <c r="CB148" t="s">
        <v>145</v>
      </c>
      <c r="CD148" t="str" cm="1">
        <f t="array" aca="1" ref="CD148" ca="1">eConcatenar(A148:CB148,"|")</f>
        <v>KUAmcwUKxYhDsY1s|MODIFCARD139|3|MODIF|MODIF|MODIF|MODIF|2022-01-01|1|0|0|0|0|0|0|0|0|0|0|0|0|0|0|0|0|0|0|x|x|x|x|x|x|x|x|x|x|x|x|x|x|x|x|x|x|x|x|x|x|0|1|X|X|X|2022-2-10|2022-02-23|0|0|0|0|0|QWYNRBIY9KVTQO|0|HOMBRE|0|1|0|0|0|0|0|0|0|0|CARDENAS|0|0|0|0|FINAL</v>
      </c>
    </row>
    <row r="149" spans="1:82" x14ac:dyDescent="0.25">
      <c r="A149" t="s">
        <v>285</v>
      </c>
      <c r="B149" s="19" t="s">
        <v>486</v>
      </c>
      <c r="C149">
        <v>3</v>
      </c>
      <c r="D149" t="s">
        <v>346</v>
      </c>
      <c r="E149" t="s">
        <v>346</v>
      </c>
      <c r="F149" t="s">
        <v>346</v>
      </c>
      <c r="G149" t="s">
        <v>346</v>
      </c>
      <c r="H149" s="21" t="s">
        <v>747</v>
      </c>
      <c r="I149">
        <v>1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 t="s">
        <v>3</v>
      </c>
      <c r="AC149" t="s">
        <v>3</v>
      </c>
      <c r="AD149" t="s">
        <v>3</v>
      </c>
      <c r="AE149" t="s">
        <v>3</v>
      </c>
      <c r="AF149" t="s">
        <v>3</v>
      </c>
      <c r="AG149" t="s">
        <v>3</v>
      </c>
      <c r="AH149" t="s">
        <v>3</v>
      </c>
      <c r="AI149" t="s">
        <v>3</v>
      </c>
      <c r="AJ149" t="s">
        <v>3</v>
      </c>
      <c r="AK149" t="s">
        <v>3</v>
      </c>
      <c r="AL149" t="s">
        <v>3</v>
      </c>
      <c r="AM149" t="s">
        <v>3</v>
      </c>
      <c r="AN149" t="s">
        <v>3</v>
      </c>
      <c r="AO149" t="s">
        <v>3</v>
      </c>
      <c r="AP149" t="s">
        <v>3</v>
      </c>
      <c r="AQ149" t="s">
        <v>3</v>
      </c>
      <c r="AR149" t="s">
        <v>3</v>
      </c>
      <c r="AS149" t="s">
        <v>3</v>
      </c>
      <c r="AT149" t="s">
        <v>3</v>
      </c>
      <c r="AU149" t="s">
        <v>3</v>
      </c>
      <c r="AV149" t="s">
        <v>3</v>
      </c>
      <c r="AW149" t="s">
        <v>3</v>
      </c>
      <c r="AX149">
        <v>0</v>
      </c>
      <c r="AY149">
        <v>1</v>
      </c>
      <c r="AZ149" t="s">
        <v>1</v>
      </c>
      <c r="BA149" t="s">
        <v>1</v>
      </c>
      <c r="BB149" t="s">
        <v>1</v>
      </c>
      <c r="BC149" s="21" t="s">
        <v>748</v>
      </c>
      <c r="BD149" s="21" t="s">
        <v>144</v>
      </c>
      <c r="BE149">
        <v>0</v>
      </c>
      <c r="BF149">
        <v>0</v>
      </c>
      <c r="BG149">
        <v>0</v>
      </c>
      <c r="BH149">
        <v>0</v>
      </c>
      <c r="BI149">
        <v>0</v>
      </c>
      <c r="BJ149" t="s">
        <v>749</v>
      </c>
      <c r="BK149">
        <v>0</v>
      </c>
      <c r="BL149" t="s">
        <v>132</v>
      </c>
      <c r="BM149">
        <v>0</v>
      </c>
      <c r="BN149">
        <v>1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 t="s">
        <v>0</v>
      </c>
      <c r="BX149">
        <v>0</v>
      </c>
      <c r="BY149">
        <v>0</v>
      </c>
      <c r="BZ149">
        <v>0</v>
      </c>
      <c r="CA149">
        <v>0</v>
      </c>
      <c r="CB149" t="s">
        <v>145</v>
      </c>
      <c r="CD149" t="str" cm="1">
        <f t="array" aca="1" ref="CD149" ca="1">eConcatenar(A149:CB149,"|")</f>
        <v>9ML8kdI5RocSnWdb|MODIFCARD140|3|MODIF|MODIF|MODIF|MODIF|2022-01-01|1|0|0|0|0|0|0|0|0|0|0|0|0|0|0|0|0|0|0|x|x|x|x|x|x|x|x|x|x|x|x|x|x|x|x|x|x|x|x|x|x|0|1|X|X|X|2022-2-10|2022-02-23|0|0|0|0|0|QWYNRBIY9KVTQO|0|HOMBRE|0|1|0|0|0|0|0|0|0|0|CARDENAS|0|0|0|0|FINAL</v>
      </c>
    </row>
    <row r="150" spans="1:82" x14ac:dyDescent="0.25">
      <c r="A150" t="s">
        <v>286</v>
      </c>
      <c r="B150" s="19" t="s">
        <v>487</v>
      </c>
      <c r="C150">
        <v>3</v>
      </c>
      <c r="D150" t="s">
        <v>346</v>
      </c>
      <c r="E150" t="s">
        <v>346</v>
      </c>
      <c r="F150" t="s">
        <v>346</v>
      </c>
      <c r="G150" t="s">
        <v>346</v>
      </c>
      <c r="H150" s="21" t="s">
        <v>747</v>
      </c>
      <c r="I150">
        <v>1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">
        <v>3</v>
      </c>
      <c r="AC150" t="s">
        <v>3</v>
      </c>
      <c r="AD150" t="s">
        <v>3</v>
      </c>
      <c r="AE150" t="s">
        <v>3</v>
      </c>
      <c r="AF150" t="s">
        <v>3</v>
      </c>
      <c r="AG150" t="s">
        <v>3</v>
      </c>
      <c r="AH150" t="s">
        <v>3</v>
      </c>
      <c r="AI150" t="s">
        <v>3</v>
      </c>
      <c r="AJ150" t="s">
        <v>3</v>
      </c>
      <c r="AK150" t="s">
        <v>3</v>
      </c>
      <c r="AL150" t="s">
        <v>3</v>
      </c>
      <c r="AM150" t="s">
        <v>3</v>
      </c>
      <c r="AN150" t="s">
        <v>3</v>
      </c>
      <c r="AO150" t="s">
        <v>3</v>
      </c>
      <c r="AP150" t="s">
        <v>3</v>
      </c>
      <c r="AQ150" t="s">
        <v>3</v>
      </c>
      <c r="AR150" t="s">
        <v>3</v>
      </c>
      <c r="AS150" t="s">
        <v>3</v>
      </c>
      <c r="AT150" t="s">
        <v>3</v>
      </c>
      <c r="AU150" t="s">
        <v>3</v>
      </c>
      <c r="AV150" t="s">
        <v>3</v>
      </c>
      <c r="AW150" t="s">
        <v>3</v>
      </c>
      <c r="AX150">
        <v>0</v>
      </c>
      <c r="AY150">
        <v>1</v>
      </c>
      <c r="AZ150" t="s">
        <v>1</v>
      </c>
      <c r="BA150" t="s">
        <v>1</v>
      </c>
      <c r="BB150" t="s">
        <v>1</v>
      </c>
      <c r="BC150" s="21" t="s">
        <v>748</v>
      </c>
      <c r="BD150" s="21" t="s">
        <v>144</v>
      </c>
      <c r="BE150">
        <v>0</v>
      </c>
      <c r="BF150">
        <v>0</v>
      </c>
      <c r="BG150">
        <v>0</v>
      </c>
      <c r="BH150">
        <v>0</v>
      </c>
      <c r="BI150">
        <v>0</v>
      </c>
      <c r="BJ150" t="s">
        <v>749</v>
      </c>
      <c r="BK150">
        <v>0</v>
      </c>
      <c r="BL150" t="s">
        <v>132</v>
      </c>
      <c r="BM150">
        <v>0</v>
      </c>
      <c r="BN150">
        <v>1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 t="s">
        <v>0</v>
      </c>
      <c r="BX150">
        <v>0</v>
      </c>
      <c r="BY150">
        <v>0</v>
      </c>
      <c r="BZ150">
        <v>0</v>
      </c>
      <c r="CA150">
        <v>0</v>
      </c>
      <c r="CB150" t="s">
        <v>145</v>
      </c>
      <c r="CD150" t="str" cm="1">
        <f t="array" aca="1" ref="CD150" ca="1">eConcatenar(A150:CB150,"|")</f>
        <v>w2MDXiyrLNfLeBdE|MODIFCARD141|3|MODIF|MODIF|MODIF|MODIF|2022-01-01|1|0|0|0|0|0|0|0|0|0|0|0|0|0|0|0|0|0|0|x|x|x|x|x|x|x|x|x|x|x|x|x|x|x|x|x|x|x|x|x|x|0|1|X|X|X|2022-2-10|2022-02-23|0|0|0|0|0|QWYNRBIY9KVTQO|0|HOMBRE|0|1|0|0|0|0|0|0|0|0|CARDENAS|0|0|0|0|FINAL</v>
      </c>
    </row>
    <row r="151" spans="1:82" x14ac:dyDescent="0.25">
      <c r="A151" t="s">
        <v>287</v>
      </c>
      <c r="B151" s="19" t="s">
        <v>488</v>
      </c>
      <c r="C151">
        <v>3</v>
      </c>
      <c r="D151" t="s">
        <v>346</v>
      </c>
      <c r="E151" t="s">
        <v>346</v>
      </c>
      <c r="F151" t="s">
        <v>346</v>
      </c>
      <c r="G151" t="s">
        <v>346</v>
      </c>
      <c r="H151" s="21" t="s">
        <v>747</v>
      </c>
      <c r="I151">
        <v>1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 t="s">
        <v>3</v>
      </c>
      <c r="AC151" t="s">
        <v>3</v>
      </c>
      <c r="AD151" t="s">
        <v>3</v>
      </c>
      <c r="AE151" t="s">
        <v>3</v>
      </c>
      <c r="AF151" t="s">
        <v>3</v>
      </c>
      <c r="AG151" t="s">
        <v>3</v>
      </c>
      <c r="AH151" t="s">
        <v>3</v>
      </c>
      <c r="AI151" t="s">
        <v>3</v>
      </c>
      <c r="AJ151" t="s">
        <v>3</v>
      </c>
      <c r="AK151" t="s">
        <v>3</v>
      </c>
      <c r="AL151" t="s">
        <v>3</v>
      </c>
      <c r="AM151" t="s">
        <v>3</v>
      </c>
      <c r="AN151" t="s">
        <v>3</v>
      </c>
      <c r="AO151" t="s">
        <v>3</v>
      </c>
      <c r="AP151" t="s">
        <v>3</v>
      </c>
      <c r="AQ151" t="s">
        <v>3</v>
      </c>
      <c r="AR151" t="s">
        <v>3</v>
      </c>
      <c r="AS151" t="s">
        <v>3</v>
      </c>
      <c r="AT151" t="s">
        <v>3</v>
      </c>
      <c r="AU151" t="s">
        <v>3</v>
      </c>
      <c r="AV151" t="s">
        <v>3</v>
      </c>
      <c r="AW151" t="s">
        <v>3</v>
      </c>
      <c r="AX151">
        <v>0</v>
      </c>
      <c r="AY151">
        <v>1</v>
      </c>
      <c r="AZ151" t="s">
        <v>1</v>
      </c>
      <c r="BA151" t="s">
        <v>1</v>
      </c>
      <c r="BB151" t="s">
        <v>1</v>
      </c>
      <c r="BC151" s="21" t="s">
        <v>748</v>
      </c>
      <c r="BD151" s="21" t="s">
        <v>144</v>
      </c>
      <c r="BE151">
        <v>0</v>
      </c>
      <c r="BF151">
        <v>0</v>
      </c>
      <c r="BG151">
        <v>0</v>
      </c>
      <c r="BH151">
        <v>0</v>
      </c>
      <c r="BI151">
        <v>0</v>
      </c>
      <c r="BJ151" t="s">
        <v>749</v>
      </c>
      <c r="BK151">
        <v>0</v>
      </c>
      <c r="BL151" t="s">
        <v>132</v>
      </c>
      <c r="BM151">
        <v>0</v>
      </c>
      <c r="BN151">
        <v>1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 t="s">
        <v>0</v>
      </c>
      <c r="BX151">
        <v>0</v>
      </c>
      <c r="BY151">
        <v>0</v>
      </c>
      <c r="BZ151">
        <v>0</v>
      </c>
      <c r="CA151">
        <v>0</v>
      </c>
      <c r="CB151" t="s">
        <v>145</v>
      </c>
      <c r="CD151" t="str" cm="1">
        <f t="array" aca="1" ref="CD151" ca="1">eConcatenar(A151:CB151,"|")</f>
        <v>v5NlyRD2RXAKTrt7|MODIFCARD142|3|MODIF|MODIF|MODIF|MODIF|2022-01-01|1|0|0|0|0|0|0|0|0|0|0|0|0|0|0|0|0|0|0|x|x|x|x|x|x|x|x|x|x|x|x|x|x|x|x|x|x|x|x|x|x|0|1|X|X|X|2022-2-10|2022-02-23|0|0|0|0|0|QWYNRBIY9KVTQO|0|HOMBRE|0|1|0|0|0|0|0|0|0|0|CARDENAS|0|0|0|0|FINAL</v>
      </c>
    </row>
    <row r="152" spans="1:82" x14ac:dyDescent="0.25">
      <c r="A152" t="s">
        <v>288</v>
      </c>
      <c r="B152" s="19" t="s">
        <v>489</v>
      </c>
      <c r="C152">
        <v>3</v>
      </c>
      <c r="D152" t="s">
        <v>346</v>
      </c>
      <c r="E152" t="s">
        <v>346</v>
      </c>
      <c r="F152" t="s">
        <v>346</v>
      </c>
      <c r="G152" t="s">
        <v>346</v>
      </c>
      <c r="H152" s="21" t="s">
        <v>747</v>
      </c>
      <c r="I152">
        <v>1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">
        <v>3</v>
      </c>
      <c r="AC152" t="s">
        <v>3</v>
      </c>
      <c r="AD152" t="s">
        <v>3</v>
      </c>
      <c r="AE152" t="s">
        <v>3</v>
      </c>
      <c r="AF152" t="s">
        <v>3</v>
      </c>
      <c r="AG152" t="s">
        <v>3</v>
      </c>
      <c r="AH152" t="s">
        <v>3</v>
      </c>
      <c r="AI152" t="s">
        <v>3</v>
      </c>
      <c r="AJ152" t="s">
        <v>3</v>
      </c>
      <c r="AK152" t="s">
        <v>3</v>
      </c>
      <c r="AL152" t="s">
        <v>3</v>
      </c>
      <c r="AM152" t="s">
        <v>3</v>
      </c>
      <c r="AN152" t="s">
        <v>3</v>
      </c>
      <c r="AO152" t="s">
        <v>3</v>
      </c>
      <c r="AP152" t="s">
        <v>3</v>
      </c>
      <c r="AQ152" t="s">
        <v>3</v>
      </c>
      <c r="AR152" t="s">
        <v>3</v>
      </c>
      <c r="AS152" t="s">
        <v>3</v>
      </c>
      <c r="AT152" t="s">
        <v>3</v>
      </c>
      <c r="AU152" t="s">
        <v>3</v>
      </c>
      <c r="AV152" t="s">
        <v>3</v>
      </c>
      <c r="AW152" t="s">
        <v>3</v>
      </c>
      <c r="AX152">
        <v>0</v>
      </c>
      <c r="AY152">
        <v>1</v>
      </c>
      <c r="AZ152" t="s">
        <v>1</v>
      </c>
      <c r="BA152" t="s">
        <v>1</v>
      </c>
      <c r="BB152" t="s">
        <v>1</v>
      </c>
      <c r="BC152" s="21" t="s">
        <v>748</v>
      </c>
      <c r="BD152" s="21" t="s">
        <v>144</v>
      </c>
      <c r="BE152">
        <v>0</v>
      </c>
      <c r="BF152">
        <v>0</v>
      </c>
      <c r="BG152">
        <v>0</v>
      </c>
      <c r="BH152">
        <v>0</v>
      </c>
      <c r="BI152">
        <v>0</v>
      </c>
      <c r="BJ152" t="s">
        <v>749</v>
      </c>
      <c r="BK152">
        <v>0</v>
      </c>
      <c r="BL152" t="s">
        <v>132</v>
      </c>
      <c r="BM152">
        <v>0</v>
      </c>
      <c r="BN152">
        <v>1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 t="s">
        <v>0</v>
      </c>
      <c r="BX152">
        <v>0</v>
      </c>
      <c r="BY152">
        <v>0</v>
      </c>
      <c r="BZ152">
        <v>0</v>
      </c>
      <c r="CA152">
        <v>0</v>
      </c>
      <c r="CB152" t="s">
        <v>145</v>
      </c>
      <c r="CD152" t="str" cm="1">
        <f t="array" aca="1" ref="CD152" ca="1">eConcatenar(A152:CB152,"|")</f>
        <v>Ka7JIFDgDGbC7rQC|MODIFCARD143|3|MODIF|MODIF|MODIF|MODIF|2022-01-01|1|0|0|0|0|0|0|0|0|0|0|0|0|0|0|0|0|0|0|x|x|x|x|x|x|x|x|x|x|x|x|x|x|x|x|x|x|x|x|x|x|0|1|X|X|X|2022-2-10|2022-02-23|0|0|0|0|0|QWYNRBIY9KVTQO|0|HOMBRE|0|1|0|0|0|0|0|0|0|0|CARDENAS|0|0|0|0|FINAL</v>
      </c>
    </row>
    <row r="153" spans="1:82" x14ac:dyDescent="0.25">
      <c r="A153" t="s">
        <v>289</v>
      </c>
      <c r="B153" s="19" t="s">
        <v>490</v>
      </c>
      <c r="C153">
        <v>3</v>
      </c>
      <c r="D153" t="s">
        <v>346</v>
      </c>
      <c r="E153" t="s">
        <v>346</v>
      </c>
      <c r="F153" t="s">
        <v>346</v>
      </c>
      <c r="G153" t="s">
        <v>346</v>
      </c>
      <c r="H153" s="21" t="s">
        <v>747</v>
      </c>
      <c r="I153">
        <v>1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">
        <v>3</v>
      </c>
      <c r="AC153" t="s">
        <v>3</v>
      </c>
      <c r="AD153" t="s">
        <v>3</v>
      </c>
      <c r="AE153" t="s">
        <v>3</v>
      </c>
      <c r="AF153" t="s">
        <v>3</v>
      </c>
      <c r="AG153" t="s">
        <v>3</v>
      </c>
      <c r="AH153" t="s">
        <v>3</v>
      </c>
      <c r="AI153" t="s">
        <v>3</v>
      </c>
      <c r="AJ153" t="s">
        <v>3</v>
      </c>
      <c r="AK153" t="s">
        <v>3</v>
      </c>
      <c r="AL153" t="s">
        <v>3</v>
      </c>
      <c r="AM153" t="s">
        <v>3</v>
      </c>
      <c r="AN153" t="s">
        <v>3</v>
      </c>
      <c r="AO153" t="s">
        <v>3</v>
      </c>
      <c r="AP153" t="s">
        <v>3</v>
      </c>
      <c r="AQ153" t="s">
        <v>3</v>
      </c>
      <c r="AR153" t="s">
        <v>3</v>
      </c>
      <c r="AS153" t="s">
        <v>3</v>
      </c>
      <c r="AT153" t="s">
        <v>3</v>
      </c>
      <c r="AU153" t="s">
        <v>3</v>
      </c>
      <c r="AV153" t="s">
        <v>3</v>
      </c>
      <c r="AW153" t="s">
        <v>3</v>
      </c>
      <c r="AX153">
        <v>0</v>
      </c>
      <c r="AY153">
        <v>1</v>
      </c>
      <c r="AZ153" t="s">
        <v>1</v>
      </c>
      <c r="BA153" t="s">
        <v>1</v>
      </c>
      <c r="BB153" t="s">
        <v>1</v>
      </c>
      <c r="BC153" s="21" t="s">
        <v>748</v>
      </c>
      <c r="BD153" s="21" t="s">
        <v>144</v>
      </c>
      <c r="BE153">
        <v>0</v>
      </c>
      <c r="BF153">
        <v>0</v>
      </c>
      <c r="BG153">
        <v>0</v>
      </c>
      <c r="BH153">
        <v>0</v>
      </c>
      <c r="BI153">
        <v>0</v>
      </c>
      <c r="BJ153" t="s">
        <v>749</v>
      </c>
      <c r="BK153">
        <v>0</v>
      </c>
      <c r="BL153" t="s">
        <v>132</v>
      </c>
      <c r="BM153">
        <v>0</v>
      </c>
      <c r="BN153">
        <v>1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 t="s">
        <v>0</v>
      </c>
      <c r="BX153">
        <v>0</v>
      </c>
      <c r="BY153">
        <v>0</v>
      </c>
      <c r="BZ153">
        <v>0</v>
      </c>
      <c r="CA153">
        <v>0</v>
      </c>
      <c r="CB153" t="s">
        <v>145</v>
      </c>
      <c r="CD153" t="str" cm="1">
        <f t="array" aca="1" ref="CD153" ca="1">eConcatenar(A153:CB153,"|")</f>
        <v>GyqEu05HyxIixrDZ|MODIFCARD144|3|MODIF|MODIF|MODIF|MODIF|2022-01-01|1|0|0|0|0|0|0|0|0|0|0|0|0|0|0|0|0|0|0|x|x|x|x|x|x|x|x|x|x|x|x|x|x|x|x|x|x|x|x|x|x|0|1|X|X|X|2022-2-10|2022-02-23|0|0|0|0|0|QWYNRBIY9KVTQO|0|HOMBRE|0|1|0|0|0|0|0|0|0|0|CARDENAS|0|0|0|0|FINAL</v>
      </c>
    </row>
    <row r="154" spans="1:82" x14ac:dyDescent="0.25">
      <c r="A154" t="s">
        <v>290</v>
      </c>
      <c r="B154" s="19" t="s">
        <v>491</v>
      </c>
      <c r="C154">
        <v>3</v>
      </c>
      <c r="D154" t="s">
        <v>346</v>
      </c>
      <c r="E154" t="s">
        <v>346</v>
      </c>
      <c r="F154" t="s">
        <v>346</v>
      </c>
      <c r="G154" t="s">
        <v>346</v>
      </c>
      <c r="H154" s="21" t="s">
        <v>747</v>
      </c>
      <c r="I154">
        <v>1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 t="s">
        <v>3</v>
      </c>
      <c r="AC154" t="s">
        <v>3</v>
      </c>
      <c r="AD154" t="s">
        <v>3</v>
      </c>
      <c r="AE154" t="s">
        <v>3</v>
      </c>
      <c r="AF154" t="s">
        <v>3</v>
      </c>
      <c r="AG154" t="s">
        <v>3</v>
      </c>
      <c r="AH154" t="s">
        <v>3</v>
      </c>
      <c r="AI154" t="s">
        <v>3</v>
      </c>
      <c r="AJ154" t="s">
        <v>3</v>
      </c>
      <c r="AK154" t="s">
        <v>3</v>
      </c>
      <c r="AL154" t="s">
        <v>3</v>
      </c>
      <c r="AM154" t="s">
        <v>3</v>
      </c>
      <c r="AN154" t="s">
        <v>3</v>
      </c>
      <c r="AO154" t="s">
        <v>3</v>
      </c>
      <c r="AP154" t="s">
        <v>3</v>
      </c>
      <c r="AQ154" t="s">
        <v>3</v>
      </c>
      <c r="AR154" t="s">
        <v>3</v>
      </c>
      <c r="AS154" t="s">
        <v>3</v>
      </c>
      <c r="AT154" t="s">
        <v>3</v>
      </c>
      <c r="AU154" t="s">
        <v>3</v>
      </c>
      <c r="AV154" t="s">
        <v>3</v>
      </c>
      <c r="AW154" t="s">
        <v>3</v>
      </c>
      <c r="AX154">
        <v>0</v>
      </c>
      <c r="AY154">
        <v>1</v>
      </c>
      <c r="AZ154" t="s">
        <v>1</v>
      </c>
      <c r="BA154" t="s">
        <v>1</v>
      </c>
      <c r="BB154" t="s">
        <v>1</v>
      </c>
      <c r="BC154" s="21" t="s">
        <v>748</v>
      </c>
      <c r="BD154" s="21" t="s">
        <v>144</v>
      </c>
      <c r="BE154">
        <v>0</v>
      </c>
      <c r="BF154">
        <v>0</v>
      </c>
      <c r="BG154">
        <v>0</v>
      </c>
      <c r="BH154">
        <v>0</v>
      </c>
      <c r="BI154">
        <v>0</v>
      </c>
      <c r="BJ154" t="s">
        <v>749</v>
      </c>
      <c r="BK154">
        <v>0</v>
      </c>
      <c r="BL154" t="s">
        <v>132</v>
      </c>
      <c r="BM154">
        <v>0</v>
      </c>
      <c r="BN154">
        <v>1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 t="s">
        <v>0</v>
      </c>
      <c r="BX154">
        <v>0</v>
      </c>
      <c r="BY154">
        <v>0</v>
      </c>
      <c r="BZ154">
        <v>0</v>
      </c>
      <c r="CA154">
        <v>0</v>
      </c>
      <c r="CB154" t="s">
        <v>145</v>
      </c>
      <c r="CD154" t="str" cm="1">
        <f t="array" aca="1" ref="CD154" ca="1">eConcatenar(A154:CB154,"|")</f>
        <v>QEcEHh4tCGrnw1pL|MODIFCARD145|3|MODIF|MODIF|MODIF|MODIF|2022-01-01|1|0|0|0|0|0|0|0|0|0|0|0|0|0|0|0|0|0|0|x|x|x|x|x|x|x|x|x|x|x|x|x|x|x|x|x|x|x|x|x|x|0|1|X|X|X|2022-2-10|2022-02-23|0|0|0|0|0|QWYNRBIY9KVTQO|0|HOMBRE|0|1|0|0|0|0|0|0|0|0|CARDENAS|0|0|0|0|FINAL</v>
      </c>
    </row>
    <row r="155" spans="1:82" x14ac:dyDescent="0.25">
      <c r="A155" t="s">
        <v>291</v>
      </c>
      <c r="B155" s="19" t="s">
        <v>492</v>
      </c>
      <c r="C155">
        <v>3</v>
      </c>
      <c r="D155" t="s">
        <v>346</v>
      </c>
      <c r="E155" t="s">
        <v>346</v>
      </c>
      <c r="F155" t="s">
        <v>346</v>
      </c>
      <c r="G155" t="s">
        <v>346</v>
      </c>
      <c r="H155" s="21" t="s">
        <v>747</v>
      </c>
      <c r="I155">
        <v>1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">
        <v>3</v>
      </c>
      <c r="AC155" t="s">
        <v>3</v>
      </c>
      <c r="AD155" t="s">
        <v>3</v>
      </c>
      <c r="AE155" t="s">
        <v>3</v>
      </c>
      <c r="AF155" t="s">
        <v>3</v>
      </c>
      <c r="AG155" t="s">
        <v>3</v>
      </c>
      <c r="AH155" t="s">
        <v>3</v>
      </c>
      <c r="AI155" t="s">
        <v>3</v>
      </c>
      <c r="AJ155" t="s">
        <v>3</v>
      </c>
      <c r="AK155" t="s">
        <v>3</v>
      </c>
      <c r="AL155" t="s">
        <v>3</v>
      </c>
      <c r="AM155" t="s">
        <v>3</v>
      </c>
      <c r="AN155" t="s">
        <v>3</v>
      </c>
      <c r="AO155" t="s">
        <v>3</v>
      </c>
      <c r="AP155" t="s">
        <v>3</v>
      </c>
      <c r="AQ155" t="s">
        <v>3</v>
      </c>
      <c r="AR155" t="s">
        <v>3</v>
      </c>
      <c r="AS155" t="s">
        <v>3</v>
      </c>
      <c r="AT155" t="s">
        <v>3</v>
      </c>
      <c r="AU155" t="s">
        <v>3</v>
      </c>
      <c r="AV155" t="s">
        <v>3</v>
      </c>
      <c r="AW155" t="s">
        <v>3</v>
      </c>
      <c r="AX155">
        <v>0</v>
      </c>
      <c r="AY155">
        <v>1</v>
      </c>
      <c r="AZ155" t="s">
        <v>1</v>
      </c>
      <c r="BA155" t="s">
        <v>1</v>
      </c>
      <c r="BB155" t="s">
        <v>1</v>
      </c>
      <c r="BC155" s="21" t="s">
        <v>748</v>
      </c>
      <c r="BD155" s="21" t="s">
        <v>144</v>
      </c>
      <c r="BE155">
        <v>0</v>
      </c>
      <c r="BF155">
        <v>0</v>
      </c>
      <c r="BG155">
        <v>0</v>
      </c>
      <c r="BH155">
        <v>0</v>
      </c>
      <c r="BI155">
        <v>0</v>
      </c>
      <c r="BJ155" t="s">
        <v>749</v>
      </c>
      <c r="BK155">
        <v>0</v>
      </c>
      <c r="BL155" t="s">
        <v>132</v>
      </c>
      <c r="BM155">
        <v>0</v>
      </c>
      <c r="BN155">
        <v>1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 t="s">
        <v>0</v>
      </c>
      <c r="BX155">
        <v>0</v>
      </c>
      <c r="BY155">
        <v>0</v>
      </c>
      <c r="BZ155">
        <v>0</v>
      </c>
      <c r="CA155">
        <v>0</v>
      </c>
      <c r="CB155" t="s">
        <v>145</v>
      </c>
      <c r="CD155" t="str" cm="1">
        <f t="array" aca="1" ref="CD155" ca="1">eConcatenar(A155:CB155,"|")</f>
        <v>Z6SNusHRn1gkparM|MODIFCARD146|3|MODIF|MODIF|MODIF|MODIF|2022-01-01|1|0|0|0|0|0|0|0|0|0|0|0|0|0|0|0|0|0|0|x|x|x|x|x|x|x|x|x|x|x|x|x|x|x|x|x|x|x|x|x|x|0|1|X|X|X|2022-2-10|2022-02-23|0|0|0|0|0|QWYNRBIY9KVTQO|0|HOMBRE|0|1|0|0|0|0|0|0|0|0|CARDENAS|0|0|0|0|FINAL</v>
      </c>
    </row>
    <row r="156" spans="1:82" x14ac:dyDescent="0.25">
      <c r="A156" t="s">
        <v>292</v>
      </c>
      <c r="B156" s="19" t="s">
        <v>493</v>
      </c>
      <c r="C156">
        <v>3</v>
      </c>
      <c r="D156" t="s">
        <v>346</v>
      </c>
      <c r="E156" t="s">
        <v>346</v>
      </c>
      <c r="F156" t="s">
        <v>346</v>
      </c>
      <c r="G156" t="s">
        <v>346</v>
      </c>
      <c r="H156" s="21" t="s">
        <v>747</v>
      </c>
      <c r="I156">
        <v>1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">
        <v>3</v>
      </c>
      <c r="AC156" t="s">
        <v>3</v>
      </c>
      <c r="AD156" t="s">
        <v>3</v>
      </c>
      <c r="AE156" t="s">
        <v>3</v>
      </c>
      <c r="AF156" t="s">
        <v>3</v>
      </c>
      <c r="AG156" t="s">
        <v>3</v>
      </c>
      <c r="AH156" t="s">
        <v>3</v>
      </c>
      <c r="AI156" t="s">
        <v>3</v>
      </c>
      <c r="AJ156" t="s">
        <v>3</v>
      </c>
      <c r="AK156" t="s">
        <v>3</v>
      </c>
      <c r="AL156" t="s">
        <v>3</v>
      </c>
      <c r="AM156" t="s">
        <v>3</v>
      </c>
      <c r="AN156" t="s">
        <v>3</v>
      </c>
      <c r="AO156" t="s">
        <v>3</v>
      </c>
      <c r="AP156" t="s">
        <v>3</v>
      </c>
      <c r="AQ156" t="s">
        <v>3</v>
      </c>
      <c r="AR156" t="s">
        <v>3</v>
      </c>
      <c r="AS156" t="s">
        <v>3</v>
      </c>
      <c r="AT156" t="s">
        <v>3</v>
      </c>
      <c r="AU156" t="s">
        <v>3</v>
      </c>
      <c r="AV156" t="s">
        <v>3</v>
      </c>
      <c r="AW156" t="s">
        <v>3</v>
      </c>
      <c r="AX156">
        <v>0</v>
      </c>
      <c r="AY156">
        <v>1</v>
      </c>
      <c r="AZ156" t="s">
        <v>1</v>
      </c>
      <c r="BA156" t="s">
        <v>1</v>
      </c>
      <c r="BB156" t="s">
        <v>1</v>
      </c>
      <c r="BC156" s="21" t="s">
        <v>748</v>
      </c>
      <c r="BD156" s="21" t="s">
        <v>144</v>
      </c>
      <c r="BE156">
        <v>0</v>
      </c>
      <c r="BF156">
        <v>0</v>
      </c>
      <c r="BG156">
        <v>0</v>
      </c>
      <c r="BH156">
        <v>0</v>
      </c>
      <c r="BI156">
        <v>0</v>
      </c>
      <c r="BJ156" t="s">
        <v>749</v>
      </c>
      <c r="BK156">
        <v>0</v>
      </c>
      <c r="BL156" t="s">
        <v>132</v>
      </c>
      <c r="BM156">
        <v>0</v>
      </c>
      <c r="BN156">
        <v>1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 t="s">
        <v>0</v>
      </c>
      <c r="BX156">
        <v>0</v>
      </c>
      <c r="BY156">
        <v>0</v>
      </c>
      <c r="BZ156">
        <v>0</v>
      </c>
      <c r="CA156">
        <v>0</v>
      </c>
      <c r="CB156" t="s">
        <v>145</v>
      </c>
      <c r="CD156" t="str" cm="1">
        <f t="array" aca="1" ref="CD156" ca="1">eConcatenar(A156:CB156,"|")</f>
        <v>u99qVLki2WcASrZP|MODIFCARD147|3|MODIF|MODIF|MODIF|MODIF|2022-01-01|1|0|0|0|0|0|0|0|0|0|0|0|0|0|0|0|0|0|0|x|x|x|x|x|x|x|x|x|x|x|x|x|x|x|x|x|x|x|x|x|x|0|1|X|X|X|2022-2-10|2022-02-23|0|0|0|0|0|QWYNRBIY9KVTQO|0|HOMBRE|0|1|0|0|0|0|0|0|0|0|CARDENAS|0|0|0|0|FINAL</v>
      </c>
    </row>
    <row r="157" spans="1:82" x14ac:dyDescent="0.25">
      <c r="A157" t="s">
        <v>293</v>
      </c>
      <c r="B157" s="19" t="s">
        <v>494</v>
      </c>
      <c r="C157">
        <v>3</v>
      </c>
      <c r="D157" t="s">
        <v>346</v>
      </c>
      <c r="E157" t="s">
        <v>346</v>
      </c>
      <c r="F157" t="s">
        <v>346</v>
      </c>
      <c r="G157" t="s">
        <v>346</v>
      </c>
      <c r="H157" s="21" t="s">
        <v>747</v>
      </c>
      <c r="I157">
        <v>1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 t="s">
        <v>3</v>
      </c>
      <c r="AC157" t="s">
        <v>3</v>
      </c>
      <c r="AD157" t="s">
        <v>3</v>
      </c>
      <c r="AE157" t="s">
        <v>3</v>
      </c>
      <c r="AF157" t="s">
        <v>3</v>
      </c>
      <c r="AG157" t="s">
        <v>3</v>
      </c>
      <c r="AH157" t="s">
        <v>3</v>
      </c>
      <c r="AI157" t="s">
        <v>3</v>
      </c>
      <c r="AJ157" t="s">
        <v>3</v>
      </c>
      <c r="AK157" t="s">
        <v>3</v>
      </c>
      <c r="AL157" t="s">
        <v>3</v>
      </c>
      <c r="AM157" t="s">
        <v>3</v>
      </c>
      <c r="AN157" t="s">
        <v>3</v>
      </c>
      <c r="AO157" t="s">
        <v>3</v>
      </c>
      <c r="AP157" t="s">
        <v>3</v>
      </c>
      <c r="AQ157" t="s">
        <v>3</v>
      </c>
      <c r="AR157" t="s">
        <v>3</v>
      </c>
      <c r="AS157" t="s">
        <v>3</v>
      </c>
      <c r="AT157" t="s">
        <v>3</v>
      </c>
      <c r="AU157" t="s">
        <v>3</v>
      </c>
      <c r="AV157" t="s">
        <v>3</v>
      </c>
      <c r="AW157" t="s">
        <v>3</v>
      </c>
      <c r="AX157">
        <v>0</v>
      </c>
      <c r="AY157">
        <v>1</v>
      </c>
      <c r="AZ157" t="s">
        <v>1</v>
      </c>
      <c r="BA157" t="s">
        <v>1</v>
      </c>
      <c r="BB157" t="s">
        <v>1</v>
      </c>
      <c r="BC157" s="21" t="s">
        <v>748</v>
      </c>
      <c r="BD157" s="21" t="s">
        <v>144</v>
      </c>
      <c r="BE157">
        <v>0</v>
      </c>
      <c r="BF157">
        <v>0</v>
      </c>
      <c r="BG157">
        <v>0</v>
      </c>
      <c r="BH157">
        <v>0</v>
      </c>
      <c r="BI157">
        <v>0</v>
      </c>
      <c r="BJ157" t="s">
        <v>749</v>
      </c>
      <c r="BK157">
        <v>0</v>
      </c>
      <c r="BL157" t="s">
        <v>132</v>
      </c>
      <c r="BM157">
        <v>0</v>
      </c>
      <c r="BN157">
        <v>1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 t="s">
        <v>0</v>
      </c>
      <c r="BX157">
        <v>0</v>
      </c>
      <c r="BY157">
        <v>0</v>
      </c>
      <c r="BZ157">
        <v>0</v>
      </c>
      <c r="CA157">
        <v>0</v>
      </c>
      <c r="CB157" t="s">
        <v>145</v>
      </c>
      <c r="CD157" t="str" cm="1">
        <f t="array" aca="1" ref="CD157" ca="1">eConcatenar(A157:CB157,"|")</f>
        <v>gjhqDp1qQqbqNUQ4|MODIFCARD148|3|MODIF|MODIF|MODIF|MODIF|2022-01-01|1|0|0|0|0|0|0|0|0|0|0|0|0|0|0|0|0|0|0|x|x|x|x|x|x|x|x|x|x|x|x|x|x|x|x|x|x|x|x|x|x|0|1|X|X|X|2022-2-10|2022-02-23|0|0|0|0|0|QWYNRBIY9KVTQO|0|HOMBRE|0|1|0|0|0|0|0|0|0|0|CARDENAS|0|0|0|0|FINAL</v>
      </c>
    </row>
    <row r="158" spans="1:82" x14ac:dyDescent="0.25">
      <c r="A158" t="s">
        <v>294</v>
      </c>
      <c r="B158" s="19" t="s">
        <v>495</v>
      </c>
      <c r="C158">
        <v>3</v>
      </c>
      <c r="D158" t="s">
        <v>346</v>
      </c>
      <c r="E158" t="s">
        <v>346</v>
      </c>
      <c r="F158" t="s">
        <v>346</v>
      </c>
      <c r="G158" t="s">
        <v>346</v>
      </c>
      <c r="H158" s="21" t="s">
        <v>747</v>
      </c>
      <c r="I158">
        <v>1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">
        <v>3</v>
      </c>
      <c r="AC158" t="s">
        <v>3</v>
      </c>
      <c r="AD158" t="s">
        <v>3</v>
      </c>
      <c r="AE158" t="s">
        <v>3</v>
      </c>
      <c r="AF158" t="s">
        <v>3</v>
      </c>
      <c r="AG158" t="s">
        <v>3</v>
      </c>
      <c r="AH158" t="s">
        <v>3</v>
      </c>
      <c r="AI158" t="s">
        <v>3</v>
      </c>
      <c r="AJ158" t="s">
        <v>3</v>
      </c>
      <c r="AK158" t="s">
        <v>3</v>
      </c>
      <c r="AL158" t="s">
        <v>3</v>
      </c>
      <c r="AM158" t="s">
        <v>3</v>
      </c>
      <c r="AN158" t="s">
        <v>3</v>
      </c>
      <c r="AO158" t="s">
        <v>3</v>
      </c>
      <c r="AP158" t="s">
        <v>3</v>
      </c>
      <c r="AQ158" t="s">
        <v>3</v>
      </c>
      <c r="AR158" t="s">
        <v>3</v>
      </c>
      <c r="AS158" t="s">
        <v>3</v>
      </c>
      <c r="AT158" t="s">
        <v>3</v>
      </c>
      <c r="AU158" t="s">
        <v>3</v>
      </c>
      <c r="AV158" t="s">
        <v>3</v>
      </c>
      <c r="AW158" t="s">
        <v>3</v>
      </c>
      <c r="AX158">
        <v>0</v>
      </c>
      <c r="AY158">
        <v>1</v>
      </c>
      <c r="AZ158" t="s">
        <v>1</v>
      </c>
      <c r="BA158" t="s">
        <v>1</v>
      </c>
      <c r="BB158" t="s">
        <v>1</v>
      </c>
      <c r="BC158" s="21" t="s">
        <v>748</v>
      </c>
      <c r="BD158" s="21" t="s">
        <v>144</v>
      </c>
      <c r="BE158">
        <v>0</v>
      </c>
      <c r="BF158">
        <v>0</v>
      </c>
      <c r="BG158">
        <v>0</v>
      </c>
      <c r="BH158">
        <v>0</v>
      </c>
      <c r="BI158">
        <v>0</v>
      </c>
      <c r="BJ158" t="s">
        <v>749</v>
      </c>
      <c r="BK158">
        <v>0</v>
      </c>
      <c r="BL158" t="s">
        <v>132</v>
      </c>
      <c r="BM158">
        <v>0</v>
      </c>
      <c r="BN158">
        <v>1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 t="s">
        <v>0</v>
      </c>
      <c r="BX158">
        <v>0</v>
      </c>
      <c r="BY158">
        <v>0</v>
      </c>
      <c r="BZ158">
        <v>0</v>
      </c>
      <c r="CA158">
        <v>0</v>
      </c>
      <c r="CB158" t="s">
        <v>145</v>
      </c>
      <c r="CD158" t="str" cm="1">
        <f t="array" aca="1" ref="CD158" ca="1">eConcatenar(A158:CB158,"|")</f>
        <v>CyPcHTXf5iG7dX3M|MODIFCARD149|3|MODIF|MODIF|MODIF|MODIF|2022-01-01|1|0|0|0|0|0|0|0|0|0|0|0|0|0|0|0|0|0|0|x|x|x|x|x|x|x|x|x|x|x|x|x|x|x|x|x|x|x|x|x|x|0|1|X|X|X|2022-2-10|2022-02-23|0|0|0|0|0|QWYNRBIY9KVTQO|0|HOMBRE|0|1|0|0|0|0|0|0|0|0|CARDENAS|0|0|0|0|FINAL</v>
      </c>
    </row>
    <row r="159" spans="1:82" x14ac:dyDescent="0.25">
      <c r="A159" t="s">
        <v>295</v>
      </c>
      <c r="B159" s="19" t="s">
        <v>496</v>
      </c>
      <c r="C159">
        <v>3</v>
      </c>
      <c r="D159" t="s">
        <v>346</v>
      </c>
      <c r="E159" t="s">
        <v>346</v>
      </c>
      <c r="F159" t="s">
        <v>346</v>
      </c>
      <c r="G159" t="s">
        <v>346</v>
      </c>
      <c r="H159" s="21" t="s">
        <v>747</v>
      </c>
      <c r="I159">
        <v>1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 t="s">
        <v>3</v>
      </c>
      <c r="AC159" t="s">
        <v>3</v>
      </c>
      <c r="AD159" t="s">
        <v>3</v>
      </c>
      <c r="AE159" t="s">
        <v>3</v>
      </c>
      <c r="AF159" t="s">
        <v>3</v>
      </c>
      <c r="AG159" t="s">
        <v>3</v>
      </c>
      <c r="AH159" t="s">
        <v>3</v>
      </c>
      <c r="AI159" t="s">
        <v>3</v>
      </c>
      <c r="AJ159" t="s">
        <v>3</v>
      </c>
      <c r="AK159" t="s">
        <v>3</v>
      </c>
      <c r="AL159" t="s">
        <v>3</v>
      </c>
      <c r="AM159" t="s">
        <v>3</v>
      </c>
      <c r="AN159" t="s">
        <v>3</v>
      </c>
      <c r="AO159" t="s">
        <v>3</v>
      </c>
      <c r="AP159" t="s">
        <v>3</v>
      </c>
      <c r="AQ159" t="s">
        <v>3</v>
      </c>
      <c r="AR159" t="s">
        <v>3</v>
      </c>
      <c r="AS159" t="s">
        <v>3</v>
      </c>
      <c r="AT159" t="s">
        <v>3</v>
      </c>
      <c r="AU159" t="s">
        <v>3</v>
      </c>
      <c r="AV159" t="s">
        <v>3</v>
      </c>
      <c r="AW159" t="s">
        <v>3</v>
      </c>
      <c r="AX159">
        <v>0</v>
      </c>
      <c r="AY159">
        <v>1</v>
      </c>
      <c r="AZ159" t="s">
        <v>1</v>
      </c>
      <c r="BA159" t="s">
        <v>1</v>
      </c>
      <c r="BB159" t="s">
        <v>1</v>
      </c>
      <c r="BC159" s="21" t="s">
        <v>748</v>
      </c>
      <c r="BD159" s="21" t="s">
        <v>144</v>
      </c>
      <c r="BE159">
        <v>0</v>
      </c>
      <c r="BF159">
        <v>0</v>
      </c>
      <c r="BG159">
        <v>0</v>
      </c>
      <c r="BH159">
        <v>0</v>
      </c>
      <c r="BI159">
        <v>0</v>
      </c>
      <c r="BJ159" t="s">
        <v>749</v>
      </c>
      <c r="BK159">
        <v>0</v>
      </c>
      <c r="BL159" t="s">
        <v>132</v>
      </c>
      <c r="BM159">
        <v>0</v>
      </c>
      <c r="BN159">
        <v>1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 t="s">
        <v>0</v>
      </c>
      <c r="BX159">
        <v>0</v>
      </c>
      <c r="BY159">
        <v>0</v>
      </c>
      <c r="BZ159">
        <v>0</v>
      </c>
      <c r="CA159">
        <v>0</v>
      </c>
      <c r="CB159" t="s">
        <v>145</v>
      </c>
      <c r="CD159" t="str" cm="1">
        <f t="array" aca="1" ref="CD159" ca="1">eConcatenar(A159:CB159,"|")</f>
        <v>xqivDcKyLJCNt3GK|MODIFCARD150|3|MODIF|MODIF|MODIF|MODIF|2022-01-01|1|0|0|0|0|0|0|0|0|0|0|0|0|0|0|0|0|0|0|x|x|x|x|x|x|x|x|x|x|x|x|x|x|x|x|x|x|x|x|x|x|0|1|X|X|X|2022-2-10|2022-02-23|0|0|0|0|0|QWYNRBIY9KVTQO|0|HOMBRE|0|1|0|0|0|0|0|0|0|0|CARDENAS|0|0|0|0|FINAL</v>
      </c>
    </row>
    <row r="160" spans="1:82" x14ac:dyDescent="0.25">
      <c r="A160" t="s">
        <v>296</v>
      </c>
      <c r="B160" s="19" t="s">
        <v>497</v>
      </c>
      <c r="C160">
        <v>3</v>
      </c>
      <c r="D160" t="s">
        <v>346</v>
      </c>
      <c r="E160" t="s">
        <v>346</v>
      </c>
      <c r="F160" t="s">
        <v>346</v>
      </c>
      <c r="G160" t="s">
        <v>346</v>
      </c>
      <c r="H160" s="21" t="s">
        <v>747</v>
      </c>
      <c r="I160">
        <v>1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">
        <v>3</v>
      </c>
      <c r="AC160" t="s">
        <v>3</v>
      </c>
      <c r="AD160" t="s">
        <v>3</v>
      </c>
      <c r="AE160" t="s">
        <v>3</v>
      </c>
      <c r="AF160" t="s">
        <v>3</v>
      </c>
      <c r="AG160" t="s">
        <v>3</v>
      </c>
      <c r="AH160" t="s">
        <v>3</v>
      </c>
      <c r="AI160" t="s">
        <v>3</v>
      </c>
      <c r="AJ160" t="s">
        <v>3</v>
      </c>
      <c r="AK160" t="s">
        <v>3</v>
      </c>
      <c r="AL160" t="s">
        <v>3</v>
      </c>
      <c r="AM160" t="s">
        <v>3</v>
      </c>
      <c r="AN160" t="s">
        <v>3</v>
      </c>
      <c r="AO160" t="s">
        <v>3</v>
      </c>
      <c r="AP160" t="s">
        <v>3</v>
      </c>
      <c r="AQ160" t="s">
        <v>3</v>
      </c>
      <c r="AR160" t="s">
        <v>3</v>
      </c>
      <c r="AS160" t="s">
        <v>3</v>
      </c>
      <c r="AT160" t="s">
        <v>3</v>
      </c>
      <c r="AU160" t="s">
        <v>3</v>
      </c>
      <c r="AV160" t="s">
        <v>3</v>
      </c>
      <c r="AW160" t="s">
        <v>3</v>
      </c>
      <c r="AX160">
        <v>0</v>
      </c>
      <c r="AY160">
        <v>1</v>
      </c>
      <c r="AZ160" t="s">
        <v>1</v>
      </c>
      <c r="BA160" t="s">
        <v>1</v>
      </c>
      <c r="BB160" t="s">
        <v>1</v>
      </c>
      <c r="BC160" s="21" t="s">
        <v>748</v>
      </c>
      <c r="BD160" s="21" t="s">
        <v>144</v>
      </c>
      <c r="BE160">
        <v>0</v>
      </c>
      <c r="BF160">
        <v>0</v>
      </c>
      <c r="BG160">
        <v>0</v>
      </c>
      <c r="BH160">
        <v>0</v>
      </c>
      <c r="BI160">
        <v>0</v>
      </c>
      <c r="BJ160" t="s">
        <v>749</v>
      </c>
      <c r="BK160">
        <v>0</v>
      </c>
      <c r="BL160" t="s">
        <v>132</v>
      </c>
      <c r="BM160">
        <v>0</v>
      </c>
      <c r="BN160">
        <v>1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 t="s">
        <v>0</v>
      </c>
      <c r="BX160">
        <v>0</v>
      </c>
      <c r="BY160">
        <v>0</v>
      </c>
      <c r="BZ160">
        <v>0</v>
      </c>
      <c r="CA160">
        <v>0</v>
      </c>
      <c r="CB160" t="s">
        <v>145</v>
      </c>
      <c r="CD160" t="str" cm="1">
        <f t="array" aca="1" ref="CD160" ca="1">eConcatenar(A160:CB160,"|")</f>
        <v>uuE94weHfg9ODn1p|MODIFCARD151|3|MODIF|MODIF|MODIF|MODIF|2022-01-01|1|0|0|0|0|0|0|0|0|0|0|0|0|0|0|0|0|0|0|x|x|x|x|x|x|x|x|x|x|x|x|x|x|x|x|x|x|x|x|x|x|0|1|X|X|X|2022-2-10|2022-02-23|0|0|0|0|0|QWYNRBIY9KVTQO|0|HOMBRE|0|1|0|0|0|0|0|0|0|0|CARDENAS|0|0|0|0|FINAL</v>
      </c>
    </row>
    <row r="161" spans="1:82" x14ac:dyDescent="0.25">
      <c r="A161" t="s">
        <v>297</v>
      </c>
      <c r="B161" s="19" t="s">
        <v>498</v>
      </c>
      <c r="C161">
        <v>3</v>
      </c>
      <c r="D161" t="s">
        <v>346</v>
      </c>
      <c r="E161" t="s">
        <v>346</v>
      </c>
      <c r="F161" t="s">
        <v>346</v>
      </c>
      <c r="G161" t="s">
        <v>346</v>
      </c>
      <c r="H161" s="21" t="s">
        <v>747</v>
      </c>
      <c r="I161">
        <v>1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">
        <v>3</v>
      </c>
      <c r="AC161" t="s">
        <v>3</v>
      </c>
      <c r="AD161" t="s">
        <v>3</v>
      </c>
      <c r="AE161" t="s">
        <v>3</v>
      </c>
      <c r="AF161" t="s">
        <v>3</v>
      </c>
      <c r="AG161" t="s">
        <v>3</v>
      </c>
      <c r="AH161" t="s">
        <v>3</v>
      </c>
      <c r="AI161" t="s">
        <v>3</v>
      </c>
      <c r="AJ161" t="s">
        <v>3</v>
      </c>
      <c r="AK161" t="s">
        <v>3</v>
      </c>
      <c r="AL161" t="s">
        <v>3</v>
      </c>
      <c r="AM161" t="s">
        <v>3</v>
      </c>
      <c r="AN161" t="s">
        <v>3</v>
      </c>
      <c r="AO161" t="s">
        <v>3</v>
      </c>
      <c r="AP161" t="s">
        <v>3</v>
      </c>
      <c r="AQ161" t="s">
        <v>3</v>
      </c>
      <c r="AR161" t="s">
        <v>3</v>
      </c>
      <c r="AS161" t="s">
        <v>3</v>
      </c>
      <c r="AT161" t="s">
        <v>3</v>
      </c>
      <c r="AU161" t="s">
        <v>3</v>
      </c>
      <c r="AV161" t="s">
        <v>3</v>
      </c>
      <c r="AW161" t="s">
        <v>3</v>
      </c>
      <c r="AX161">
        <v>0</v>
      </c>
      <c r="AY161">
        <v>1</v>
      </c>
      <c r="AZ161" t="s">
        <v>1</v>
      </c>
      <c r="BA161" t="s">
        <v>1</v>
      </c>
      <c r="BB161" t="s">
        <v>1</v>
      </c>
      <c r="BC161" s="21" t="s">
        <v>748</v>
      </c>
      <c r="BD161" s="21" t="s">
        <v>144</v>
      </c>
      <c r="BE161">
        <v>0</v>
      </c>
      <c r="BF161">
        <v>0</v>
      </c>
      <c r="BG161">
        <v>0</v>
      </c>
      <c r="BH161">
        <v>0</v>
      </c>
      <c r="BI161">
        <v>0</v>
      </c>
      <c r="BJ161" t="s">
        <v>749</v>
      </c>
      <c r="BK161">
        <v>0</v>
      </c>
      <c r="BL161" t="s">
        <v>132</v>
      </c>
      <c r="BM161">
        <v>0</v>
      </c>
      <c r="BN161">
        <v>1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 t="s">
        <v>0</v>
      </c>
      <c r="BX161">
        <v>0</v>
      </c>
      <c r="BY161">
        <v>0</v>
      </c>
      <c r="BZ161">
        <v>0</v>
      </c>
      <c r="CA161">
        <v>0</v>
      </c>
      <c r="CB161" t="s">
        <v>145</v>
      </c>
      <c r="CD161" t="str" cm="1">
        <f t="array" aca="1" ref="CD161" ca="1">eConcatenar(A161:CB161,"|")</f>
        <v>9R4nHZ15cIoAE4kz|MODIFCARD152|3|MODIF|MODIF|MODIF|MODIF|2022-01-01|1|0|0|0|0|0|0|0|0|0|0|0|0|0|0|0|0|0|0|x|x|x|x|x|x|x|x|x|x|x|x|x|x|x|x|x|x|x|x|x|x|0|1|X|X|X|2022-2-10|2022-02-23|0|0|0|0|0|QWYNRBIY9KVTQO|0|HOMBRE|0|1|0|0|0|0|0|0|0|0|CARDENAS|0|0|0|0|FINAL</v>
      </c>
    </row>
    <row r="162" spans="1:82" x14ac:dyDescent="0.25">
      <c r="A162" t="s">
        <v>298</v>
      </c>
      <c r="B162" s="19" t="s">
        <v>499</v>
      </c>
      <c r="C162">
        <v>3</v>
      </c>
      <c r="D162" t="s">
        <v>346</v>
      </c>
      <c r="E162" t="s">
        <v>346</v>
      </c>
      <c r="F162" t="s">
        <v>346</v>
      </c>
      <c r="G162" t="s">
        <v>346</v>
      </c>
      <c r="H162" s="21" t="s">
        <v>747</v>
      </c>
      <c r="I162">
        <v>1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 t="s">
        <v>3</v>
      </c>
      <c r="AC162" t="s">
        <v>3</v>
      </c>
      <c r="AD162" t="s">
        <v>3</v>
      </c>
      <c r="AE162" t="s">
        <v>3</v>
      </c>
      <c r="AF162" t="s">
        <v>3</v>
      </c>
      <c r="AG162" t="s">
        <v>3</v>
      </c>
      <c r="AH162" t="s">
        <v>3</v>
      </c>
      <c r="AI162" t="s">
        <v>3</v>
      </c>
      <c r="AJ162" t="s">
        <v>3</v>
      </c>
      <c r="AK162" t="s">
        <v>3</v>
      </c>
      <c r="AL162" t="s">
        <v>3</v>
      </c>
      <c r="AM162" t="s">
        <v>3</v>
      </c>
      <c r="AN162" t="s">
        <v>3</v>
      </c>
      <c r="AO162" t="s">
        <v>3</v>
      </c>
      <c r="AP162" t="s">
        <v>3</v>
      </c>
      <c r="AQ162" t="s">
        <v>3</v>
      </c>
      <c r="AR162" t="s">
        <v>3</v>
      </c>
      <c r="AS162" t="s">
        <v>3</v>
      </c>
      <c r="AT162" t="s">
        <v>3</v>
      </c>
      <c r="AU162" t="s">
        <v>3</v>
      </c>
      <c r="AV162" t="s">
        <v>3</v>
      </c>
      <c r="AW162" t="s">
        <v>3</v>
      </c>
      <c r="AX162">
        <v>0</v>
      </c>
      <c r="AY162">
        <v>1</v>
      </c>
      <c r="AZ162" t="s">
        <v>1</v>
      </c>
      <c r="BA162" t="s">
        <v>1</v>
      </c>
      <c r="BB162" t="s">
        <v>1</v>
      </c>
      <c r="BC162" s="21" t="s">
        <v>748</v>
      </c>
      <c r="BD162" s="21" t="s">
        <v>144</v>
      </c>
      <c r="BE162">
        <v>0</v>
      </c>
      <c r="BF162">
        <v>0</v>
      </c>
      <c r="BG162">
        <v>0</v>
      </c>
      <c r="BH162">
        <v>0</v>
      </c>
      <c r="BI162">
        <v>0</v>
      </c>
      <c r="BJ162" t="s">
        <v>749</v>
      </c>
      <c r="BK162">
        <v>0</v>
      </c>
      <c r="BL162" t="s">
        <v>132</v>
      </c>
      <c r="BM162">
        <v>0</v>
      </c>
      <c r="BN162">
        <v>1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 t="s">
        <v>0</v>
      </c>
      <c r="BX162">
        <v>0</v>
      </c>
      <c r="BY162">
        <v>0</v>
      </c>
      <c r="BZ162">
        <v>0</v>
      </c>
      <c r="CA162">
        <v>0</v>
      </c>
      <c r="CB162" t="s">
        <v>145</v>
      </c>
      <c r="CD162" t="str" cm="1">
        <f t="array" aca="1" ref="CD162" ca="1">eConcatenar(A162:CB162,"|")</f>
        <v>SAJ7dg1Ykjs2w25g|MODIFCARD153|3|MODIF|MODIF|MODIF|MODIF|2022-01-01|1|0|0|0|0|0|0|0|0|0|0|0|0|0|0|0|0|0|0|x|x|x|x|x|x|x|x|x|x|x|x|x|x|x|x|x|x|x|x|x|x|0|1|X|X|X|2022-2-10|2022-02-23|0|0|0|0|0|QWYNRBIY9KVTQO|0|HOMBRE|0|1|0|0|0|0|0|0|0|0|CARDENAS|0|0|0|0|FINAL</v>
      </c>
    </row>
    <row r="163" spans="1:82" x14ac:dyDescent="0.25">
      <c r="A163" t="s">
        <v>299</v>
      </c>
      <c r="B163" s="19" t="s">
        <v>500</v>
      </c>
      <c r="C163">
        <v>3</v>
      </c>
      <c r="D163" t="s">
        <v>346</v>
      </c>
      <c r="E163" t="s">
        <v>346</v>
      </c>
      <c r="F163" t="s">
        <v>346</v>
      </c>
      <c r="G163" t="s">
        <v>346</v>
      </c>
      <c r="H163" s="21" t="s">
        <v>747</v>
      </c>
      <c r="I163">
        <v>1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">
        <v>3</v>
      </c>
      <c r="AC163" t="s">
        <v>3</v>
      </c>
      <c r="AD163" t="s">
        <v>3</v>
      </c>
      <c r="AE163" t="s">
        <v>3</v>
      </c>
      <c r="AF163" t="s">
        <v>3</v>
      </c>
      <c r="AG163" t="s">
        <v>3</v>
      </c>
      <c r="AH163" t="s">
        <v>3</v>
      </c>
      <c r="AI163" t="s">
        <v>3</v>
      </c>
      <c r="AJ163" t="s">
        <v>3</v>
      </c>
      <c r="AK163" t="s">
        <v>3</v>
      </c>
      <c r="AL163" t="s">
        <v>3</v>
      </c>
      <c r="AM163" t="s">
        <v>3</v>
      </c>
      <c r="AN163" t="s">
        <v>3</v>
      </c>
      <c r="AO163" t="s">
        <v>3</v>
      </c>
      <c r="AP163" t="s">
        <v>3</v>
      </c>
      <c r="AQ163" t="s">
        <v>3</v>
      </c>
      <c r="AR163" t="s">
        <v>3</v>
      </c>
      <c r="AS163" t="s">
        <v>3</v>
      </c>
      <c r="AT163" t="s">
        <v>3</v>
      </c>
      <c r="AU163" t="s">
        <v>3</v>
      </c>
      <c r="AV163" t="s">
        <v>3</v>
      </c>
      <c r="AW163" t="s">
        <v>3</v>
      </c>
      <c r="AX163">
        <v>0</v>
      </c>
      <c r="AY163">
        <v>1</v>
      </c>
      <c r="AZ163" t="s">
        <v>1</v>
      </c>
      <c r="BA163" t="s">
        <v>1</v>
      </c>
      <c r="BB163" t="s">
        <v>1</v>
      </c>
      <c r="BC163" s="21" t="s">
        <v>748</v>
      </c>
      <c r="BD163" s="21" t="s">
        <v>144</v>
      </c>
      <c r="BE163">
        <v>0</v>
      </c>
      <c r="BF163">
        <v>0</v>
      </c>
      <c r="BG163">
        <v>0</v>
      </c>
      <c r="BH163">
        <v>0</v>
      </c>
      <c r="BI163">
        <v>0</v>
      </c>
      <c r="BJ163" t="s">
        <v>749</v>
      </c>
      <c r="BK163">
        <v>0</v>
      </c>
      <c r="BL163" t="s">
        <v>132</v>
      </c>
      <c r="BM163">
        <v>0</v>
      </c>
      <c r="BN163">
        <v>1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 t="s">
        <v>0</v>
      </c>
      <c r="BX163">
        <v>0</v>
      </c>
      <c r="BY163">
        <v>0</v>
      </c>
      <c r="BZ163">
        <v>0</v>
      </c>
      <c r="CA163">
        <v>0</v>
      </c>
      <c r="CB163" t="s">
        <v>145</v>
      </c>
      <c r="CD163" t="str" cm="1">
        <f t="array" aca="1" ref="CD163" ca="1">eConcatenar(A163:CB163,"|")</f>
        <v>9ljBLPDNkLYrTcDG|MODIFCARD154|3|MODIF|MODIF|MODIF|MODIF|2022-01-01|1|0|0|0|0|0|0|0|0|0|0|0|0|0|0|0|0|0|0|x|x|x|x|x|x|x|x|x|x|x|x|x|x|x|x|x|x|x|x|x|x|0|1|X|X|X|2022-2-10|2022-02-23|0|0|0|0|0|QWYNRBIY9KVTQO|0|HOMBRE|0|1|0|0|0|0|0|0|0|0|CARDENAS|0|0|0|0|FINAL</v>
      </c>
    </row>
    <row r="164" spans="1:82" x14ac:dyDescent="0.25">
      <c r="A164" t="s">
        <v>300</v>
      </c>
      <c r="B164" s="19" t="s">
        <v>501</v>
      </c>
      <c r="C164">
        <v>3</v>
      </c>
      <c r="D164" t="s">
        <v>346</v>
      </c>
      <c r="E164" t="s">
        <v>346</v>
      </c>
      <c r="F164" t="s">
        <v>346</v>
      </c>
      <c r="G164" t="s">
        <v>346</v>
      </c>
      <c r="H164" s="21" t="s">
        <v>747</v>
      </c>
      <c r="I164">
        <v>1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">
        <v>3</v>
      </c>
      <c r="AC164" t="s">
        <v>3</v>
      </c>
      <c r="AD164" t="s">
        <v>3</v>
      </c>
      <c r="AE164" t="s">
        <v>3</v>
      </c>
      <c r="AF164" t="s">
        <v>3</v>
      </c>
      <c r="AG164" t="s">
        <v>3</v>
      </c>
      <c r="AH164" t="s">
        <v>3</v>
      </c>
      <c r="AI164" t="s">
        <v>3</v>
      </c>
      <c r="AJ164" t="s">
        <v>3</v>
      </c>
      <c r="AK164" t="s">
        <v>3</v>
      </c>
      <c r="AL164" t="s">
        <v>3</v>
      </c>
      <c r="AM164" t="s">
        <v>3</v>
      </c>
      <c r="AN164" t="s">
        <v>3</v>
      </c>
      <c r="AO164" t="s">
        <v>3</v>
      </c>
      <c r="AP164" t="s">
        <v>3</v>
      </c>
      <c r="AQ164" t="s">
        <v>3</v>
      </c>
      <c r="AR164" t="s">
        <v>3</v>
      </c>
      <c r="AS164" t="s">
        <v>3</v>
      </c>
      <c r="AT164" t="s">
        <v>3</v>
      </c>
      <c r="AU164" t="s">
        <v>3</v>
      </c>
      <c r="AV164" t="s">
        <v>3</v>
      </c>
      <c r="AW164" t="s">
        <v>3</v>
      </c>
      <c r="AX164">
        <v>0</v>
      </c>
      <c r="AY164">
        <v>1</v>
      </c>
      <c r="AZ164" t="s">
        <v>1</v>
      </c>
      <c r="BA164" t="s">
        <v>1</v>
      </c>
      <c r="BB164" t="s">
        <v>1</v>
      </c>
      <c r="BC164" s="21" t="s">
        <v>748</v>
      </c>
      <c r="BD164" s="21" t="s">
        <v>144</v>
      </c>
      <c r="BE164">
        <v>0</v>
      </c>
      <c r="BF164">
        <v>0</v>
      </c>
      <c r="BG164">
        <v>0</v>
      </c>
      <c r="BH164">
        <v>0</v>
      </c>
      <c r="BI164">
        <v>0</v>
      </c>
      <c r="BJ164" t="s">
        <v>749</v>
      </c>
      <c r="BK164">
        <v>0</v>
      </c>
      <c r="BL164" t="s">
        <v>132</v>
      </c>
      <c r="BM164">
        <v>0</v>
      </c>
      <c r="BN164">
        <v>1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 t="s">
        <v>0</v>
      </c>
      <c r="BX164">
        <v>0</v>
      </c>
      <c r="BY164">
        <v>0</v>
      </c>
      <c r="BZ164">
        <v>0</v>
      </c>
      <c r="CA164">
        <v>0</v>
      </c>
      <c r="CB164" t="s">
        <v>145</v>
      </c>
      <c r="CD164" t="str" cm="1">
        <f t="array" aca="1" ref="CD164" ca="1">eConcatenar(A164:CB164,"|")</f>
        <v>56cto9o0GW1pbDXg|MODIFCARD155|3|MODIF|MODIF|MODIF|MODIF|2022-01-01|1|0|0|0|0|0|0|0|0|0|0|0|0|0|0|0|0|0|0|x|x|x|x|x|x|x|x|x|x|x|x|x|x|x|x|x|x|x|x|x|x|0|1|X|X|X|2022-2-10|2022-02-23|0|0|0|0|0|QWYNRBIY9KVTQO|0|HOMBRE|0|1|0|0|0|0|0|0|0|0|CARDENAS|0|0|0|0|FINAL</v>
      </c>
    </row>
    <row r="165" spans="1:82" x14ac:dyDescent="0.25">
      <c r="A165" t="s">
        <v>301</v>
      </c>
      <c r="B165" s="19" t="s">
        <v>502</v>
      </c>
      <c r="C165">
        <v>3</v>
      </c>
      <c r="D165" t="s">
        <v>346</v>
      </c>
      <c r="E165" t="s">
        <v>346</v>
      </c>
      <c r="F165" t="s">
        <v>346</v>
      </c>
      <c r="G165" t="s">
        <v>346</v>
      </c>
      <c r="H165" s="21" t="s">
        <v>747</v>
      </c>
      <c r="I165">
        <v>1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 t="s">
        <v>3</v>
      </c>
      <c r="AC165" t="s">
        <v>3</v>
      </c>
      <c r="AD165" t="s">
        <v>3</v>
      </c>
      <c r="AE165" t="s">
        <v>3</v>
      </c>
      <c r="AF165" t="s">
        <v>3</v>
      </c>
      <c r="AG165" t="s">
        <v>3</v>
      </c>
      <c r="AH165" t="s">
        <v>3</v>
      </c>
      <c r="AI165" t="s">
        <v>3</v>
      </c>
      <c r="AJ165" t="s">
        <v>3</v>
      </c>
      <c r="AK165" t="s">
        <v>3</v>
      </c>
      <c r="AL165" t="s">
        <v>3</v>
      </c>
      <c r="AM165" t="s">
        <v>3</v>
      </c>
      <c r="AN165" t="s">
        <v>3</v>
      </c>
      <c r="AO165" t="s">
        <v>3</v>
      </c>
      <c r="AP165" t="s">
        <v>3</v>
      </c>
      <c r="AQ165" t="s">
        <v>3</v>
      </c>
      <c r="AR165" t="s">
        <v>3</v>
      </c>
      <c r="AS165" t="s">
        <v>3</v>
      </c>
      <c r="AT165" t="s">
        <v>3</v>
      </c>
      <c r="AU165" t="s">
        <v>3</v>
      </c>
      <c r="AV165" t="s">
        <v>3</v>
      </c>
      <c r="AW165" t="s">
        <v>3</v>
      </c>
      <c r="AX165">
        <v>0</v>
      </c>
      <c r="AY165">
        <v>1</v>
      </c>
      <c r="AZ165" t="s">
        <v>1</v>
      </c>
      <c r="BA165" t="s">
        <v>1</v>
      </c>
      <c r="BB165" t="s">
        <v>1</v>
      </c>
      <c r="BC165" s="21" t="s">
        <v>748</v>
      </c>
      <c r="BD165" s="21" t="s">
        <v>144</v>
      </c>
      <c r="BE165">
        <v>0</v>
      </c>
      <c r="BF165">
        <v>0</v>
      </c>
      <c r="BG165">
        <v>0</v>
      </c>
      <c r="BH165">
        <v>0</v>
      </c>
      <c r="BI165">
        <v>0</v>
      </c>
      <c r="BJ165" t="s">
        <v>749</v>
      </c>
      <c r="BK165">
        <v>0</v>
      </c>
      <c r="BL165" t="s">
        <v>132</v>
      </c>
      <c r="BM165">
        <v>0</v>
      </c>
      <c r="BN165">
        <v>1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 t="s">
        <v>0</v>
      </c>
      <c r="BX165">
        <v>0</v>
      </c>
      <c r="BY165">
        <v>0</v>
      </c>
      <c r="BZ165">
        <v>0</v>
      </c>
      <c r="CA165">
        <v>0</v>
      </c>
      <c r="CB165" t="s">
        <v>145</v>
      </c>
      <c r="CD165" t="str" cm="1">
        <f t="array" aca="1" ref="CD165" ca="1">eConcatenar(A165:CB165,"|")</f>
        <v>5ZVLoi1MbA4aF4aD|MODIFCARD156|3|MODIF|MODIF|MODIF|MODIF|2022-01-01|1|0|0|0|0|0|0|0|0|0|0|0|0|0|0|0|0|0|0|x|x|x|x|x|x|x|x|x|x|x|x|x|x|x|x|x|x|x|x|x|x|0|1|X|X|X|2022-2-10|2022-02-23|0|0|0|0|0|QWYNRBIY9KVTQO|0|HOMBRE|0|1|0|0|0|0|0|0|0|0|CARDENAS|0|0|0|0|FINAL</v>
      </c>
    </row>
    <row r="166" spans="1:82" x14ac:dyDescent="0.25">
      <c r="A166" t="s">
        <v>302</v>
      </c>
      <c r="B166" s="19" t="s">
        <v>503</v>
      </c>
      <c r="C166">
        <v>3</v>
      </c>
      <c r="D166" t="s">
        <v>346</v>
      </c>
      <c r="E166" t="s">
        <v>346</v>
      </c>
      <c r="F166" t="s">
        <v>346</v>
      </c>
      <c r="G166" t="s">
        <v>346</v>
      </c>
      <c r="H166" s="21" t="s">
        <v>747</v>
      </c>
      <c r="I166">
        <v>1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">
        <v>3</v>
      </c>
      <c r="AC166" t="s">
        <v>3</v>
      </c>
      <c r="AD166" t="s">
        <v>3</v>
      </c>
      <c r="AE166" t="s">
        <v>3</v>
      </c>
      <c r="AF166" t="s">
        <v>3</v>
      </c>
      <c r="AG166" t="s">
        <v>3</v>
      </c>
      <c r="AH166" t="s">
        <v>3</v>
      </c>
      <c r="AI166" t="s">
        <v>3</v>
      </c>
      <c r="AJ166" t="s">
        <v>3</v>
      </c>
      <c r="AK166" t="s">
        <v>3</v>
      </c>
      <c r="AL166" t="s">
        <v>3</v>
      </c>
      <c r="AM166" t="s">
        <v>3</v>
      </c>
      <c r="AN166" t="s">
        <v>3</v>
      </c>
      <c r="AO166" t="s">
        <v>3</v>
      </c>
      <c r="AP166" t="s">
        <v>3</v>
      </c>
      <c r="AQ166" t="s">
        <v>3</v>
      </c>
      <c r="AR166" t="s">
        <v>3</v>
      </c>
      <c r="AS166" t="s">
        <v>3</v>
      </c>
      <c r="AT166" t="s">
        <v>3</v>
      </c>
      <c r="AU166" t="s">
        <v>3</v>
      </c>
      <c r="AV166" t="s">
        <v>3</v>
      </c>
      <c r="AW166" t="s">
        <v>3</v>
      </c>
      <c r="AX166">
        <v>0</v>
      </c>
      <c r="AY166">
        <v>1</v>
      </c>
      <c r="AZ166" t="s">
        <v>1</v>
      </c>
      <c r="BA166" t="s">
        <v>1</v>
      </c>
      <c r="BB166" t="s">
        <v>1</v>
      </c>
      <c r="BC166" s="21" t="s">
        <v>748</v>
      </c>
      <c r="BD166" s="21" t="s">
        <v>144</v>
      </c>
      <c r="BE166">
        <v>0</v>
      </c>
      <c r="BF166">
        <v>0</v>
      </c>
      <c r="BG166">
        <v>0</v>
      </c>
      <c r="BH166">
        <v>0</v>
      </c>
      <c r="BI166">
        <v>0</v>
      </c>
      <c r="BJ166" t="s">
        <v>749</v>
      </c>
      <c r="BK166">
        <v>0</v>
      </c>
      <c r="BL166" t="s">
        <v>132</v>
      </c>
      <c r="BM166">
        <v>0</v>
      </c>
      <c r="BN166">
        <v>1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 t="s">
        <v>0</v>
      </c>
      <c r="BX166">
        <v>0</v>
      </c>
      <c r="BY166">
        <v>0</v>
      </c>
      <c r="BZ166">
        <v>0</v>
      </c>
      <c r="CA166">
        <v>0</v>
      </c>
      <c r="CB166" t="s">
        <v>145</v>
      </c>
      <c r="CD166" t="str" cm="1">
        <f t="array" aca="1" ref="CD166" ca="1">eConcatenar(A166:CB166,"|")</f>
        <v>0PiFBQRndLk9jn2Y|MODIFCARD157|3|MODIF|MODIF|MODIF|MODIF|2022-01-01|1|0|0|0|0|0|0|0|0|0|0|0|0|0|0|0|0|0|0|x|x|x|x|x|x|x|x|x|x|x|x|x|x|x|x|x|x|x|x|x|x|0|1|X|X|X|2022-2-10|2022-02-23|0|0|0|0|0|QWYNRBIY9KVTQO|0|HOMBRE|0|1|0|0|0|0|0|0|0|0|CARDENAS|0|0|0|0|FINAL</v>
      </c>
    </row>
    <row r="167" spans="1:82" x14ac:dyDescent="0.25">
      <c r="A167" t="s">
        <v>303</v>
      </c>
      <c r="B167" s="19" t="s">
        <v>504</v>
      </c>
      <c r="C167">
        <v>3</v>
      </c>
      <c r="D167" t="s">
        <v>346</v>
      </c>
      <c r="E167" t="s">
        <v>346</v>
      </c>
      <c r="F167" t="s">
        <v>346</v>
      </c>
      <c r="G167" t="s">
        <v>346</v>
      </c>
      <c r="H167" s="21" t="s">
        <v>747</v>
      </c>
      <c r="I167">
        <v>1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 t="s">
        <v>3</v>
      </c>
      <c r="AC167" t="s">
        <v>3</v>
      </c>
      <c r="AD167" t="s">
        <v>3</v>
      </c>
      <c r="AE167" t="s">
        <v>3</v>
      </c>
      <c r="AF167" t="s">
        <v>3</v>
      </c>
      <c r="AG167" t="s">
        <v>3</v>
      </c>
      <c r="AH167" t="s">
        <v>3</v>
      </c>
      <c r="AI167" t="s">
        <v>3</v>
      </c>
      <c r="AJ167" t="s">
        <v>3</v>
      </c>
      <c r="AK167" t="s">
        <v>3</v>
      </c>
      <c r="AL167" t="s">
        <v>3</v>
      </c>
      <c r="AM167" t="s">
        <v>3</v>
      </c>
      <c r="AN167" t="s">
        <v>3</v>
      </c>
      <c r="AO167" t="s">
        <v>3</v>
      </c>
      <c r="AP167" t="s">
        <v>3</v>
      </c>
      <c r="AQ167" t="s">
        <v>3</v>
      </c>
      <c r="AR167" t="s">
        <v>3</v>
      </c>
      <c r="AS167" t="s">
        <v>3</v>
      </c>
      <c r="AT167" t="s">
        <v>3</v>
      </c>
      <c r="AU167" t="s">
        <v>3</v>
      </c>
      <c r="AV167" t="s">
        <v>3</v>
      </c>
      <c r="AW167" t="s">
        <v>3</v>
      </c>
      <c r="AX167">
        <v>0</v>
      </c>
      <c r="AY167">
        <v>1</v>
      </c>
      <c r="AZ167" t="s">
        <v>1</v>
      </c>
      <c r="BA167" t="s">
        <v>1</v>
      </c>
      <c r="BB167" t="s">
        <v>1</v>
      </c>
      <c r="BC167" s="21" t="s">
        <v>748</v>
      </c>
      <c r="BD167" s="21" t="s">
        <v>144</v>
      </c>
      <c r="BE167">
        <v>0</v>
      </c>
      <c r="BF167">
        <v>0</v>
      </c>
      <c r="BG167">
        <v>0</v>
      </c>
      <c r="BH167">
        <v>0</v>
      </c>
      <c r="BI167">
        <v>0</v>
      </c>
      <c r="BJ167" t="s">
        <v>749</v>
      </c>
      <c r="BK167">
        <v>0</v>
      </c>
      <c r="BL167" t="s">
        <v>132</v>
      </c>
      <c r="BM167">
        <v>0</v>
      </c>
      <c r="BN167">
        <v>1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 t="s">
        <v>0</v>
      </c>
      <c r="BX167">
        <v>0</v>
      </c>
      <c r="BY167">
        <v>0</v>
      </c>
      <c r="BZ167">
        <v>0</v>
      </c>
      <c r="CA167">
        <v>0</v>
      </c>
      <c r="CB167" t="s">
        <v>145</v>
      </c>
      <c r="CD167" t="str" cm="1">
        <f t="array" aca="1" ref="CD167" ca="1">eConcatenar(A167:CB167,"|")</f>
        <v>7DPVJGRc2JY8ApLI|MODIFCARD158|3|MODIF|MODIF|MODIF|MODIF|2022-01-01|1|0|0|0|0|0|0|0|0|0|0|0|0|0|0|0|0|0|0|x|x|x|x|x|x|x|x|x|x|x|x|x|x|x|x|x|x|x|x|x|x|0|1|X|X|X|2022-2-10|2022-02-23|0|0|0|0|0|QWYNRBIY9KVTQO|0|HOMBRE|0|1|0|0|0|0|0|0|0|0|CARDENAS|0|0|0|0|FINAL</v>
      </c>
    </row>
    <row r="168" spans="1:82" x14ac:dyDescent="0.25">
      <c r="A168" t="s">
        <v>304</v>
      </c>
      <c r="B168" s="19" t="s">
        <v>505</v>
      </c>
      <c r="C168">
        <v>3</v>
      </c>
      <c r="D168" t="s">
        <v>346</v>
      </c>
      <c r="E168" t="s">
        <v>346</v>
      </c>
      <c r="F168" t="s">
        <v>346</v>
      </c>
      <c r="G168" t="s">
        <v>346</v>
      </c>
      <c r="H168" s="21" t="s">
        <v>747</v>
      </c>
      <c r="I168">
        <v>1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">
        <v>3</v>
      </c>
      <c r="AC168" t="s">
        <v>3</v>
      </c>
      <c r="AD168" t="s">
        <v>3</v>
      </c>
      <c r="AE168" t="s">
        <v>3</v>
      </c>
      <c r="AF168" t="s">
        <v>3</v>
      </c>
      <c r="AG168" t="s">
        <v>3</v>
      </c>
      <c r="AH168" t="s">
        <v>3</v>
      </c>
      <c r="AI168" t="s">
        <v>3</v>
      </c>
      <c r="AJ168" t="s">
        <v>3</v>
      </c>
      <c r="AK168" t="s">
        <v>3</v>
      </c>
      <c r="AL168" t="s">
        <v>3</v>
      </c>
      <c r="AM168" t="s">
        <v>3</v>
      </c>
      <c r="AN168" t="s">
        <v>3</v>
      </c>
      <c r="AO168" t="s">
        <v>3</v>
      </c>
      <c r="AP168" t="s">
        <v>3</v>
      </c>
      <c r="AQ168" t="s">
        <v>3</v>
      </c>
      <c r="AR168" t="s">
        <v>3</v>
      </c>
      <c r="AS168" t="s">
        <v>3</v>
      </c>
      <c r="AT168" t="s">
        <v>3</v>
      </c>
      <c r="AU168" t="s">
        <v>3</v>
      </c>
      <c r="AV168" t="s">
        <v>3</v>
      </c>
      <c r="AW168" t="s">
        <v>3</v>
      </c>
      <c r="AX168">
        <v>0</v>
      </c>
      <c r="AY168">
        <v>1</v>
      </c>
      <c r="AZ168" t="s">
        <v>1</v>
      </c>
      <c r="BA168" t="s">
        <v>1</v>
      </c>
      <c r="BB168" t="s">
        <v>1</v>
      </c>
      <c r="BC168" s="21" t="s">
        <v>748</v>
      </c>
      <c r="BD168" s="21" t="s">
        <v>144</v>
      </c>
      <c r="BE168">
        <v>0</v>
      </c>
      <c r="BF168">
        <v>0</v>
      </c>
      <c r="BG168">
        <v>0</v>
      </c>
      <c r="BH168">
        <v>0</v>
      </c>
      <c r="BI168">
        <v>0</v>
      </c>
      <c r="BJ168" t="s">
        <v>749</v>
      </c>
      <c r="BK168">
        <v>0</v>
      </c>
      <c r="BL168" t="s">
        <v>132</v>
      </c>
      <c r="BM168">
        <v>0</v>
      </c>
      <c r="BN168">
        <v>1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 t="s">
        <v>0</v>
      </c>
      <c r="BX168">
        <v>0</v>
      </c>
      <c r="BY168">
        <v>0</v>
      </c>
      <c r="BZ168">
        <v>0</v>
      </c>
      <c r="CA168">
        <v>0</v>
      </c>
      <c r="CB168" t="s">
        <v>145</v>
      </c>
      <c r="CD168" t="str" cm="1">
        <f t="array" aca="1" ref="CD168" ca="1">eConcatenar(A168:CB168,"|")</f>
        <v>vFYnYtXHb0FfGob8|MODIFCARD159|3|MODIF|MODIF|MODIF|MODIF|2022-01-01|1|0|0|0|0|0|0|0|0|0|0|0|0|0|0|0|0|0|0|x|x|x|x|x|x|x|x|x|x|x|x|x|x|x|x|x|x|x|x|x|x|0|1|X|X|X|2022-2-10|2022-02-23|0|0|0|0|0|QWYNRBIY9KVTQO|0|HOMBRE|0|1|0|0|0|0|0|0|0|0|CARDENAS|0|0|0|0|FINAL</v>
      </c>
    </row>
    <row r="169" spans="1:82" x14ac:dyDescent="0.25">
      <c r="A169" t="s">
        <v>305</v>
      </c>
      <c r="B169" s="19" t="s">
        <v>506</v>
      </c>
      <c r="C169">
        <v>3</v>
      </c>
      <c r="D169" t="s">
        <v>346</v>
      </c>
      <c r="E169" t="s">
        <v>346</v>
      </c>
      <c r="F169" t="s">
        <v>346</v>
      </c>
      <c r="G169" t="s">
        <v>346</v>
      </c>
      <c r="H169" s="21" t="s">
        <v>747</v>
      </c>
      <c r="I169">
        <v>1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">
        <v>3</v>
      </c>
      <c r="AC169" t="s">
        <v>3</v>
      </c>
      <c r="AD169" t="s">
        <v>3</v>
      </c>
      <c r="AE169" t="s">
        <v>3</v>
      </c>
      <c r="AF169" t="s">
        <v>3</v>
      </c>
      <c r="AG169" t="s">
        <v>3</v>
      </c>
      <c r="AH169" t="s">
        <v>3</v>
      </c>
      <c r="AI169" t="s">
        <v>3</v>
      </c>
      <c r="AJ169" t="s">
        <v>3</v>
      </c>
      <c r="AK169" t="s">
        <v>3</v>
      </c>
      <c r="AL169" t="s">
        <v>3</v>
      </c>
      <c r="AM169" t="s">
        <v>3</v>
      </c>
      <c r="AN169" t="s">
        <v>3</v>
      </c>
      <c r="AO169" t="s">
        <v>3</v>
      </c>
      <c r="AP169" t="s">
        <v>3</v>
      </c>
      <c r="AQ169" t="s">
        <v>3</v>
      </c>
      <c r="AR169" t="s">
        <v>3</v>
      </c>
      <c r="AS169" t="s">
        <v>3</v>
      </c>
      <c r="AT169" t="s">
        <v>3</v>
      </c>
      <c r="AU169" t="s">
        <v>3</v>
      </c>
      <c r="AV169" t="s">
        <v>3</v>
      </c>
      <c r="AW169" t="s">
        <v>3</v>
      </c>
      <c r="AX169">
        <v>0</v>
      </c>
      <c r="AY169">
        <v>1</v>
      </c>
      <c r="AZ169" t="s">
        <v>1</v>
      </c>
      <c r="BA169" t="s">
        <v>1</v>
      </c>
      <c r="BB169" t="s">
        <v>1</v>
      </c>
      <c r="BC169" s="21" t="s">
        <v>748</v>
      </c>
      <c r="BD169" s="21" t="s">
        <v>144</v>
      </c>
      <c r="BE169">
        <v>0</v>
      </c>
      <c r="BF169">
        <v>0</v>
      </c>
      <c r="BG169">
        <v>0</v>
      </c>
      <c r="BH169">
        <v>0</v>
      </c>
      <c r="BI169">
        <v>0</v>
      </c>
      <c r="BJ169" t="s">
        <v>749</v>
      </c>
      <c r="BK169">
        <v>0</v>
      </c>
      <c r="BL169" t="s">
        <v>132</v>
      </c>
      <c r="BM169">
        <v>0</v>
      </c>
      <c r="BN169">
        <v>1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 t="s">
        <v>0</v>
      </c>
      <c r="BX169">
        <v>0</v>
      </c>
      <c r="BY169">
        <v>0</v>
      </c>
      <c r="BZ169">
        <v>0</v>
      </c>
      <c r="CA169">
        <v>0</v>
      </c>
      <c r="CB169" t="s">
        <v>145</v>
      </c>
      <c r="CD169" t="str" cm="1">
        <f t="array" aca="1" ref="CD169" ca="1">eConcatenar(A169:CB169,"|")</f>
        <v>uQU7N1WhslEJzk7k|MODIFCARD160|3|MODIF|MODIF|MODIF|MODIF|2022-01-01|1|0|0|0|0|0|0|0|0|0|0|0|0|0|0|0|0|0|0|x|x|x|x|x|x|x|x|x|x|x|x|x|x|x|x|x|x|x|x|x|x|0|1|X|X|X|2022-2-10|2022-02-23|0|0|0|0|0|QWYNRBIY9KVTQO|0|HOMBRE|0|1|0|0|0|0|0|0|0|0|CARDENAS|0|0|0|0|FINAL</v>
      </c>
    </row>
    <row r="170" spans="1:82" x14ac:dyDescent="0.25">
      <c r="A170" t="s">
        <v>306</v>
      </c>
      <c r="B170" s="19" t="s">
        <v>507</v>
      </c>
      <c r="C170">
        <v>3</v>
      </c>
      <c r="D170" t="s">
        <v>346</v>
      </c>
      <c r="E170" t="s">
        <v>346</v>
      </c>
      <c r="F170" t="s">
        <v>346</v>
      </c>
      <c r="G170" t="s">
        <v>346</v>
      </c>
      <c r="H170" s="21" t="s">
        <v>747</v>
      </c>
      <c r="I170">
        <v>1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 t="s">
        <v>3</v>
      </c>
      <c r="AC170" t="s">
        <v>3</v>
      </c>
      <c r="AD170" t="s">
        <v>3</v>
      </c>
      <c r="AE170" t="s">
        <v>3</v>
      </c>
      <c r="AF170" t="s">
        <v>3</v>
      </c>
      <c r="AG170" t="s">
        <v>3</v>
      </c>
      <c r="AH170" t="s">
        <v>3</v>
      </c>
      <c r="AI170" t="s">
        <v>3</v>
      </c>
      <c r="AJ170" t="s">
        <v>3</v>
      </c>
      <c r="AK170" t="s">
        <v>3</v>
      </c>
      <c r="AL170" t="s">
        <v>3</v>
      </c>
      <c r="AM170" t="s">
        <v>3</v>
      </c>
      <c r="AN170" t="s">
        <v>3</v>
      </c>
      <c r="AO170" t="s">
        <v>3</v>
      </c>
      <c r="AP170" t="s">
        <v>3</v>
      </c>
      <c r="AQ170" t="s">
        <v>3</v>
      </c>
      <c r="AR170" t="s">
        <v>3</v>
      </c>
      <c r="AS170" t="s">
        <v>3</v>
      </c>
      <c r="AT170" t="s">
        <v>3</v>
      </c>
      <c r="AU170" t="s">
        <v>3</v>
      </c>
      <c r="AV170" t="s">
        <v>3</v>
      </c>
      <c r="AW170" t="s">
        <v>3</v>
      </c>
      <c r="AX170">
        <v>0</v>
      </c>
      <c r="AY170">
        <v>1</v>
      </c>
      <c r="AZ170" t="s">
        <v>1</v>
      </c>
      <c r="BA170" t="s">
        <v>1</v>
      </c>
      <c r="BB170" t="s">
        <v>1</v>
      </c>
      <c r="BC170" s="21" t="s">
        <v>748</v>
      </c>
      <c r="BD170" s="21" t="s">
        <v>144</v>
      </c>
      <c r="BE170">
        <v>0</v>
      </c>
      <c r="BF170">
        <v>0</v>
      </c>
      <c r="BG170">
        <v>0</v>
      </c>
      <c r="BH170">
        <v>0</v>
      </c>
      <c r="BI170">
        <v>0</v>
      </c>
      <c r="BJ170" t="s">
        <v>749</v>
      </c>
      <c r="BK170">
        <v>0</v>
      </c>
      <c r="BL170" t="s">
        <v>132</v>
      </c>
      <c r="BM170">
        <v>0</v>
      </c>
      <c r="BN170">
        <v>1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 t="s">
        <v>0</v>
      </c>
      <c r="BX170">
        <v>0</v>
      </c>
      <c r="BY170">
        <v>0</v>
      </c>
      <c r="BZ170">
        <v>0</v>
      </c>
      <c r="CA170">
        <v>0</v>
      </c>
      <c r="CB170" t="s">
        <v>145</v>
      </c>
      <c r="CD170" t="str" cm="1">
        <f t="array" aca="1" ref="CD170" ca="1">eConcatenar(A170:CB170,"|")</f>
        <v>JJbQeP3cHg0cmiYX|MODIFCARD161|3|MODIF|MODIF|MODIF|MODIF|2022-01-01|1|0|0|0|0|0|0|0|0|0|0|0|0|0|0|0|0|0|0|x|x|x|x|x|x|x|x|x|x|x|x|x|x|x|x|x|x|x|x|x|x|0|1|X|X|X|2022-2-10|2022-02-23|0|0|0|0|0|QWYNRBIY9KVTQO|0|HOMBRE|0|1|0|0|0|0|0|0|0|0|CARDENAS|0|0|0|0|FINAL</v>
      </c>
    </row>
    <row r="171" spans="1:82" x14ac:dyDescent="0.25">
      <c r="A171" t="s">
        <v>307</v>
      </c>
      <c r="B171" s="19" t="s">
        <v>508</v>
      </c>
      <c r="C171">
        <v>3</v>
      </c>
      <c r="D171" t="s">
        <v>346</v>
      </c>
      <c r="E171" t="s">
        <v>346</v>
      </c>
      <c r="F171" t="s">
        <v>346</v>
      </c>
      <c r="G171" t="s">
        <v>346</v>
      </c>
      <c r="H171" s="21" t="s">
        <v>747</v>
      </c>
      <c r="I171">
        <v>1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">
        <v>3</v>
      </c>
      <c r="AC171" t="s">
        <v>3</v>
      </c>
      <c r="AD171" t="s">
        <v>3</v>
      </c>
      <c r="AE171" t="s">
        <v>3</v>
      </c>
      <c r="AF171" t="s">
        <v>3</v>
      </c>
      <c r="AG171" t="s">
        <v>3</v>
      </c>
      <c r="AH171" t="s">
        <v>3</v>
      </c>
      <c r="AI171" t="s">
        <v>3</v>
      </c>
      <c r="AJ171" t="s">
        <v>3</v>
      </c>
      <c r="AK171" t="s">
        <v>3</v>
      </c>
      <c r="AL171" t="s">
        <v>3</v>
      </c>
      <c r="AM171" t="s">
        <v>3</v>
      </c>
      <c r="AN171" t="s">
        <v>3</v>
      </c>
      <c r="AO171" t="s">
        <v>3</v>
      </c>
      <c r="AP171" t="s">
        <v>3</v>
      </c>
      <c r="AQ171" t="s">
        <v>3</v>
      </c>
      <c r="AR171" t="s">
        <v>3</v>
      </c>
      <c r="AS171" t="s">
        <v>3</v>
      </c>
      <c r="AT171" t="s">
        <v>3</v>
      </c>
      <c r="AU171" t="s">
        <v>3</v>
      </c>
      <c r="AV171" t="s">
        <v>3</v>
      </c>
      <c r="AW171" t="s">
        <v>3</v>
      </c>
      <c r="AX171">
        <v>0</v>
      </c>
      <c r="AY171">
        <v>1</v>
      </c>
      <c r="AZ171" t="s">
        <v>1</v>
      </c>
      <c r="BA171" t="s">
        <v>1</v>
      </c>
      <c r="BB171" t="s">
        <v>1</v>
      </c>
      <c r="BC171" s="21" t="s">
        <v>748</v>
      </c>
      <c r="BD171" s="21" t="s">
        <v>144</v>
      </c>
      <c r="BE171">
        <v>0</v>
      </c>
      <c r="BF171">
        <v>0</v>
      </c>
      <c r="BG171">
        <v>0</v>
      </c>
      <c r="BH171">
        <v>0</v>
      </c>
      <c r="BI171">
        <v>0</v>
      </c>
      <c r="BJ171" t="s">
        <v>749</v>
      </c>
      <c r="BK171">
        <v>0</v>
      </c>
      <c r="BL171" t="s">
        <v>132</v>
      </c>
      <c r="BM171">
        <v>0</v>
      </c>
      <c r="BN171">
        <v>1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 t="s">
        <v>0</v>
      </c>
      <c r="BX171">
        <v>0</v>
      </c>
      <c r="BY171">
        <v>0</v>
      </c>
      <c r="BZ171">
        <v>0</v>
      </c>
      <c r="CA171">
        <v>0</v>
      </c>
      <c r="CB171" t="s">
        <v>145</v>
      </c>
      <c r="CD171" t="str" cm="1">
        <f t="array" aca="1" ref="CD171" ca="1">eConcatenar(A171:CB171,"|")</f>
        <v>RAWIU3tLLRqso8PV|MODIFCARD162|3|MODIF|MODIF|MODIF|MODIF|2022-01-01|1|0|0|0|0|0|0|0|0|0|0|0|0|0|0|0|0|0|0|x|x|x|x|x|x|x|x|x|x|x|x|x|x|x|x|x|x|x|x|x|x|0|1|X|X|X|2022-2-10|2022-02-23|0|0|0|0|0|QWYNRBIY9KVTQO|0|HOMBRE|0|1|0|0|0|0|0|0|0|0|CARDENAS|0|0|0|0|FINAL</v>
      </c>
    </row>
    <row r="172" spans="1:82" x14ac:dyDescent="0.25">
      <c r="A172" t="s">
        <v>308</v>
      </c>
      <c r="B172" s="19" t="s">
        <v>509</v>
      </c>
      <c r="C172">
        <v>3</v>
      </c>
      <c r="D172" t="s">
        <v>346</v>
      </c>
      <c r="E172" t="s">
        <v>346</v>
      </c>
      <c r="F172" t="s">
        <v>346</v>
      </c>
      <c r="G172" t="s">
        <v>346</v>
      </c>
      <c r="H172" s="21" t="s">
        <v>747</v>
      </c>
      <c r="I172">
        <v>1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">
        <v>3</v>
      </c>
      <c r="AC172" t="s">
        <v>3</v>
      </c>
      <c r="AD172" t="s">
        <v>3</v>
      </c>
      <c r="AE172" t="s">
        <v>3</v>
      </c>
      <c r="AF172" t="s">
        <v>3</v>
      </c>
      <c r="AG172" t="s">
        <v>3</v>
      </c>
      <c r="AH172" t="s">
        <v>3</v>
      </c>
      <c r="AI172" t="s">
        <v>3</v>
      </c>
      <c r="AJ172" t="s">
        <v>3</v>
      </c>
      <c r="AK172" t="s">
        <v>3</v>
      </c>
      <c r="AL172" t="s">
        <v>3</v>
      </c>
      <c r="AM172" t="s">
        <v>3</v>
      </c>
      <c r="AN172" t="s">
        <v>3</v>
      </c>
      <c r="AO172" t="s">
        <v>3</v>
      </c>
      <c r="AP172" t="s">
        <v>3</v>
      </c>
      <c r="AQ172" t="s">
        <v>3</v>
      </c>
      <c r="AR172" t="s">
        <v>3</v>
      </c>
      <c r="AS172" t="s">
        <v>3</v>
      </c>
      <c r="AT172" t="s">
        <v>3</v>
      </c>
      <c r="AU172" t="s">
        <v>3</v>
      </c>
      <c r="AV172" t="s">
        <v>3</v>
      </c>
      <c r="AW172" t="s">
        <v>3</v>
      </c>
      <c r="AX172">
        <v>0</v>
      </c>
      <c r="AY172">
        <v>1</v>
      </c>
      <c r="AZ172" t="s">
        <v>1</v>
      </c>
      <c r="BA172" t="s">
        <v>1</v>
      </c>
      <c r="BB172" t="s">
        <v>1</v>
      </c>
      <c r="BC172" s="21" t="s">
        <v>748</v>
      </c>
      <c r="BD172" s="21" t="s">
        <v>144</v>
      </c>
      <c r="BE172">
        <v>0</v>
      </c>
      <c r="BF172">
        <v>0</v>
      </c>
      <c r="BG172">
        <v>0</v>
      </c>
      <c r="BH172">
        <v>0</v>
      </c>
      <c r="BI172">
        <v>0</v>
      </c>
      <c r="BJ172" t="s">
        <v>749</v>
      </c>
      <c r="BK172">
        <v>0</v>
      </c>
      <c r="BL172" t="s">
        <v>132</v>
      </c>
      <c r="BM172">
        <v>0</v>
      </c>
      <c r="BN172">
        <v>1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 t="s">
        <v>0</v>
      </c>
      <c r="BX172">
        <v>0</v>
      </c>
      <c r="BY172">
        <v>0</v>
      </c>
      <c r="BZ172">
        <v>0</v>
      </c>
      <c r="CA172">
        <v>0</v>
      </c>
      <c r="CB172" t="s">
        <v>145</v>
      </c>
      <c r="CD172" t="str" cm="1">
        <f t="array" aca="1" ref="CD172" ca="1">eConcatenar(A172:CB172,"|")</f>
        <v>7sN0xJQkxJIhIduK|MODIFCARD163|3|MODIF|MODIF|MODIF|MODIF|2022-01-01|1|0|0|0|0|0|0|0|0|0|0|0|0|0|0|0|0|0|0|x|x|x|x|x|x|x|x|x|x|x|x|x|x|x|x|x|x|x|x|x|x|0|1|X|X|X|2022-2-10|2022-02-23|0|0|0|0|0|QWYNRBIY9KVTQO|0|HOMBRE|0|1|0|0|0|0|0|0|0|0|CARDENAS|0|0|0|0|FINAL</v>
      </c>
    </row>
    <row r="173" spans="1:82" x14ac:dyDescent="0.25">
      <c r="A173" t="s">
        <v>309</v>
      </c>
      <c r="B173" s="19" t="s">
        <v>510</v>
      </c>
      <c r="C173">
        <v>3</v>
      </c>
      <c r="D173" t="s">
        <v>346</v>
      </c>
      <c r="E173" t="s">
        <v>346</v>
      </c>
      <c r="F173" t="s">
        <v>346</v>
      </c>
      <c r="G173" t="s">
        <v>346</v>
      </c>
      <c r="H173" s="21" t="s">
        <v>747</v>
      </c>
      <c r="I173">
        <v>1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 t="s">
        <v>3</v>
      </c>
      <c r="AC173" t="s">
        <v>3</v>
      </c>
      <c r="AD173" t="s">
        <v>3</v>
      </c>
      <c r="AE173" t="s">
        <v>3</v>
      </c>
      <c r="AF173" t="s">
        <v>3</v>
      </c>
      <c r="AG173" t="s">
        <v>3</v>
      </c>
      <c r="AH173" t="s">
        <v>3</v>
      </c>
      <c r="AI173" t="s">
        <v>3</v>
      </c>
      <c r="AJ173" t="s">
        <v>3</v>
      </c>
      <c r="AK173" t="s">
        <v>3</v>
      </c>
      <c r="AL173" t="s">
        <v>3</v>
      </c>
      <c r="AM173" t="s">
        <v>3</v>
      </c>
      <c r="AN173" t="s">
        <v>3</v>
      </c>
      <c r="AO173" t="s">
        <v>3</v>
      </c>
      <c r="AP173" t="s">
        <v>3</v>
      </c>
      <c r="AQ173" t="s">
        <v>3</v>
      </c>
      <c r="AR173" t="s">
        <v>3</v>
      </c>
      <c r="AS173" t="s">
        <v>3</v>
      </c>
      <c r="AT173" t="s">
        <v>3</v>
      </c>
      <c r="AU173" t="s">
        <v>3</v>
      </c>
      <c r="AV173" t="s">
        <v>3</v>
      </c>
      <c r="AW173" t="s">
        <v>3</v>
      </c>
      <c r="AX173">
        <v>0</v>
      </c>
      <c r="AY173">
        <v>1</v>
      </c>
      <c r="AZ173" t="s">
        <v>1</v>
      </c>
      <c r="BA173" t="s">
        <v>1</v>
      </c>
      <c r="BB173" t="s">
        <v>1</v>
      </c>
      <c r="BC173" s="21" t="s">
        <v>748</v>
      </c>
      <c r="BD173" s="21" t="s">
        <v>144</v>
      </c>
      <c r="BE173">
        <v>0</v>
      </c>
      <c r="BF173">
        <v>0</v>
      </c>
      <c r="BG173">
        <v>0</v>
      </c>
      <c r="BH173">
        <v>0</v>
      </c>
      <c r="BI173">
        <v>0</v>
      </c>
      <c r="BJ173" t="s">
        <v>749</v>
      </c>
      <c r="BK173">
        <v>0</v>
      </c>
      <c r="BL173" t="s">
        <v>132</v>
      </c>
      <c r="BM173">
        <v>0</v>
      </c>
      <c r="BN173">
        <v>1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 t="s">
        <v>0</v>
      </c>
      <c r="BX173">
        <v>0</v>
      </c>
      <c r="BY173">
        <v>0</v>
      </c>
      <c r="BZ173">
        <v>0</v>
      </c>
      <c r="CA173">
        <v>0</v>
      </c>
      <c r="CB173" t="s">
        <v>145</v>
      </c>
      <c r="CD173" t="str" cm="1">
        <f t="array" aca="1" ref="CD173" ca="1">eConcatenar(A173:CB173,"|")</f>
        <v>zEh5hTh06lDpwuDJ|MODIFCARD164|3|MODIF|MODIF|MODIF|MODIF|2022-01-01|1|0|0|0|0|0|0|0|0|0|0|0|0|0|0|0|0|0|0|x|x|x|x|x|x|x|x|x|x|x|x|x|x|x|x|x|x|x|x|x|x|0|1|X|X|X|2022-2-10|2022-02-23|0|0|0|0|0|QWYNRBIY9KVTQO|0|HOMBRE|0|1|0|0|0|0|0|0|0|0|CARDENAS|0|0|0|0|FINAL</v>
      </c>
    </row>
    <row r="174" spans="1:82" x14ac:dyDescent="0.25">
      <c r="A174" t="s">
        <v>310</v>
      </c>
      <c r="B174" s="19" t="s">
        <v>511</v>
      </c>
      <c r="C174">
        <v>3</v>
      </c>
      <c r="D174" t="s">
        <v>346</v>
      </c>
      <c r="E174" t="s">
        <v>346</v>
      </c>
      <c r="F174" t="s">
        <v>346</v>
      </c>
      <c r="G174" t="s">
        <v>346</v>
      </c>
      <c r="H174" s="21" t="s">
        <v>747</v>
      </c>
      <c r="I174">
        <v>1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">
        <v>3</v>
      </c>
      <c r="AC174" t="s">
        <v>3</v>
      </c>
      <c r="AD174" t="s">
        <v>3</v>
      </c>
      <c r="AE174" t="s">
        <v>3</v>
      </c>
      <c r="AF174" t="s">
        <v>3</v>
      </c>
      <c r="AG174" t="s">
        <v>3</v>
      </c>
      <c r="AH174" t="s">
        <v>3</v>
      </c>
      <c r="AI174" t="s">
        <v>3</v>
      </c>
      <c r="AJ174" t="s">
        <v>3</v>
      </c>
      <c r="AK174" t="s">
        <v>3</v>
      </c>
      <c r="AL174" t="s">
        <v>3</v>
      </c>
      <c r="AM174" t="s">
        <v>3</v>
      </c>
      <c r="AN174" t="s">
        <v>3</v>
      </c>
      <c r="AO174" t="s">
        <v>3</v>
      </c>
      <c r="AP174" t="s">
        <v>3</v>
      </c>
      <c r="AQ174" t="s">
        <v>3</v>
      </c>
      <c r="AR174" t="s">
        <v>3</v>
      </c>
      <c r="AS174" t="s">
        <v>3</v>
      </c>
      <c r="AT174" t="s">
        <v>3</v>
      </c>
      <c r="AU174" t="s">
        <v>3</v>
      </c>
      <c r="AV174" t="s">
        <v>3</v>
      </c>
      <c r="AW174" t="s">
        <v>3</v>
      </c>
      <c r="AX174">
        <v>0</v>
      </c>
      <c r="AY174">
        <v>1</v>
      </c>
      <c r="AZ174" t="s">
        <v>1</v>
      </c>
      <c r="BA174" t="s">
        <v>1</v>
      </c>
      <c r="BB174" t="s">
        <v>1</v>
      </c>
      <c r="BC174" s="21" t="s">
        <v>748</v>
      </c>
      <c r="BD174" s="21" t="s">
        <v>144</v>
      </c>
      <c r="BE174">
        <v>0</v>
      </c>
      <c r="BF174">
        <v>0</v>
      </c>
      <c r="BG174">
        <v>0</v>
      </c>
      <c r="BH174">
        <v>0</v>
      </c>
      <c r="BI174">
        <v>0</v>
      </c>
      <c r="BJ174" t="s">
        <v>749</v>
      </c>
      <c r="BK174">
        <v>0</v>
      </c>
      <c r="BL174" t="s">
        <v>132</v>
      </c>
      <c r="BM174">
        <v>0</v>
      </c>
      <c r="BN174">
        <v>1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 t="s">
        <v>0</v>
      </c>
      <c r="BX174">
        <v>0</v>
      </c>
      <c r="BY174">
        <v>0</v>
      </c>
      <c r="BZ174">
        <v>0</v>
      </c>
      <c r="CA174">
        <v>0</v>
      </c>
      <c r="CB174" t="s">
        <v>145</v>
      </c>
      <c r="CD174" t="str" cm="1">
        <f t="array" aca="1" ref="CD174" ca="1">eConcatenar(A174:CB174,"|")</f>
        <v>6EnF3nyMRUVGDU4l|MODIFCARD165|3|MODIF|MODIF|MODIF|MODIF|2022-01-01|1|0|0|0|0|0|0|0|0|0|0|0|0|0|0|0|0|0|0|x|x|x|x|x|x|x|x|x|x|x|x|x|x|x|x|x|x|x|x|x|x|0|1|X|X|X|2022-2-10|2022-02-23|0|0|0|0|0|QWYNRBIY9KVTQO|0|HOMBRE|0|1|0|0|0|0|0|0|0|0|CARDENAS|0|0|0|0|FINAL</v>
      </c>
    </row>
    <row r="175" spans="1:82" x14ac:dyDescent="0.25">
      <c r="A175" t="s">
        <v>311</v>
      </c>
      <c r="B175" s="19" t="s">
        <v>512</v>
      </c>
      <c r="C175">
        <v>3</v>
      </c>
      <c r="D175" t="s">
        <v>346</v>
      </c>
      <c r="E175" t="s">
        <v>346</v>
      </c>
      <c r="F175" t="s">
        <v>346</v>
      </c>
      <c r="G175" t="s">
        <v>346</v>
      </c>
      <c r="H175" s="21" t="s">
        <v>747</v>
      </c>
      <c r="I175">
        <v>1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 t="s">
        <v>3</v>
      </c>
      <c r="AC175" t="s">
        <v>3</v>
      </c>
      <c r="AD175" t="s">
        <v>3</v>
      </c>
      <c r="AE175" t="s">
        <v>3</v>
      </c>
      <c r="AF175" t="s">
        <v>3</v>
      </c>
      <c r="AG175" t="s">
        <v>3</v>
      </c>
      <c r="AH175" t="s">
        <v>3</v>
      </c>
      <c r="AI175" t="s">
        <v>3</v>
      </c>
      <c r="AJ175" t="s">
        <v>3</v>
      </c>
      <c r="AK175" t="s">
        <v>3</v>
      </c>
      <c r="AL175" t="s">
        <v>3</v>
      </c>
      <c r="AM175" t="s">
        <v>3</v>
      </c>
      <c r="AN175" t="s">
        <v>3</v>
      </c>
      <c r="AO175" t="s">
        <v>3</v>
      </c>
      <c r="AP175" t="s">
        <v>3</v>
      </c>
      <c r="AQ175" t="s">
        <v>3</v>
      </c>
      <c r="AR175" t="s">
        <v>3</v>
      </c>
      <c r="AS175" t="s">
        <v>3</v>
      </c>
      <c r="AT175" t="s">
        <v>3</v>
      </c>
      <c r="AU175" t="s">
        <v>3</v>
      </c>
      <c r="AV175" t="s">
        <v>3</v>
      </c>
      <c r="AW175" t="s">
        <v>3</v>
      </c>
      <c r="AX175">
        <v>0</v>
      </c>
      <c r="AY175">
        <v>1</v>
      </c>
      <c r="AZ175" t="s">
        <v>1</v>
      </c>
      <c r="BA175" t="s">
        <v>1</v>
      </c>
      <c r="BB175" t="s">
        <v>1</v>
      </c>
      <c r="BC175" s="21" t="s">
        <v>748</v>
      </c>
      <c r="BD175" s="21" t="s">
        <v>144</v>
      </c>
      <c r="BE175">
        <v>0</v>
      </c>
      <c r="BF175">
        <v>0</v>
      </c>
      <c r="BG175">
        <v>0</v>
      </c>
      <c r="BH175">
        <v>0</v>
      </c>
      <c r="BI175">
        <v>0</v>
      </c>
      <c r="BJ175" t="s">
        <v>749</v>
      </c>
      <c r="BK175">
        <v>0</v>
      </c>
      <c r="BL175" t="s">
        <v>132</v>
      </c>
      <c r="BM175">
        <v>0</v>
      </c>
      <c r="BN175">
        <v>1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 t="s">
        <v>0</v>
      </c>
      <c r="BX175">
        <v>0</v>
      </c>
      <c r="BY175">
        <v>0</v>
      </c>
      <c r="BZ175">
        <v>0</v>
      </c>
      <c r="CA175">
        <v>0</v>
      </c>
      <c r="CB175" t="s">
        <v>145</v>
      </c>
      <c r="CD175" t="str" cm="1">
        <f t="array" aca="1" ref="CD175" ca="1">eConcatenar(A175:CB175,"|")</f>
        <v>sOu1h0f3hg31XRnE|MODIFCARD166|3|MODIF|MODIF|MODIF|MODIF|2022-01-01|1|0|0|0|0|0|0|0|0|0|0|0|0|0|0|0|0|0|0|x|x|x|x|x|x|x|x|x|x|x|x|x|x|x|x|x|x|x|x|x|x|0|1|X|X|X|2022-2-10|2022-02-23|0|0|0|0|0|QWYNRBIY9KVTQO|0|HOMBRE|0|1|0|0|0|0|0|0|0|0|CARDENAS|0|0|0|0|FINAL</v>
      </c>
    </row>
    <row r="176" spans="1:82" x14ac:dyDescent="0.25">
      <c r="A176" t="s">
        <v>312</v>
      </c>
      <c r="B176" s="19" t="s">
        <v>513</v>
      </c>
      <c r="C176">
        <v>3</v>
      </c>
      <c r="D176" t="s">
        <v>346</v>
      </c>
      <c r="E176" t="s">
        <v>346</v>
      </c>
      <c r="F176" t="s">
        <v>346</v>
      </c>
      <c r="G176" t="s">
        <v>346</v>
      </c>
      <c r="H176" s="21" t="s">
        <v>747</v>
      </c>
      <c r="I176">
        <v>1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">
        <v>3</v>
      </c>
      <c r="AC176" t="s">
        <v>3</v>
      </c>
      <c r="AD176" t="s">
        <v>3</v>
      </c>
      <c r="AE176" t="s">
        <v>3</v>
      </c>
      <c r="AF176" t="s">
        <v>3</v>
      </c>
      <c r="AG176" t="s">
        <v>3</v>
      </c>
      <c r="AH176" t="s">
        <v>3</v>
      </c>
      <c r="AI176" t="s">
        <v>3</v>
      </c>
      <c r="AJ176" t="s">
        <v>3</v>
      </c>
      <c r="AK176" t="s">
        <v>3</v>
      </c>
      <c r="AL176" t="s">
        <v>3</v>
      </c>
      <c r="AM176" t="s">
        <v>3</v>
      </c>
      <c r="AN176" t="s">
        <v>3</v>
      </c>
      <c r="AO176" t="s">
        <v>3</v>
      </c>
      <c r="AP176" t="s">
        <v>3</v>
      </c>
      <c r="AQ176" t="s">
        <v>3</v>
      </c>
      <c r="AR176" t="s">
        <v>3</v>
      </c>
      <c r="AS176" t="s">
        <v>3</v>
      </c>
      <c r="AT176" t="s">
        <v>3</v>
      </c>
      <c r="AU176" t="s">
        <v>3</v>
      </c>
      <c r="AV176" t="s">
        <v>3</v>
      </c>
      <c r="AW176" t="s">
        <v>3</v>
      </c>
      <c r="AX176">
        <v>0</v>
      </c>
      <c r="AY176">
        <v>1</v>
      </c>
      <c r="AZ176" t="s">
        <v>1</v>
      </c>
      <c r="BA176" t="s">
        <v>1</v>
      </c>
      <c r="BB176" t="s">
        <v>1</v>
      </c>
      <c r="BC176" s="21" t="s">
        <v>748</v>
      </c>
      <c r="BD176" s="21" t="s">
        <v>144</v>
      </c>
      <c r="BE176">
        <v>0</v>
      </c>
      <c r="BF176">
        <v>0</v>
      </c>
      <c r="BG176">
        <v>0</v>
      </c>
      <c r="BH176">
        <v>0</v>
      </c>
      <c r="BI176">
        <v>0</v>
      </c>
      <c r="BJ176" t="s">
        <v>749</v>
      </c>
      <c r="BK176">
        <v>0</v>
      </c>
      <c r="BL176" t="s">
        <v>132</v>
      </c>
      <c r="BM176">
        <v>0</v>
      </c>
      <c r="BN176">
        <v>1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 t="s">
        <v>0</v>
      </c>
      <c r="BX176">
        <v>0</v>
      </c>
      <c r="BY176">
        <v>0</v>
      </c>
      <c r="BZ176">
        <v>0</v>
      </c>
      <c r="CA176">
        <v>0</v>
      </c>
      <c r="CB176" t="s">
        <v>145</v>
      </c>
      <c r="CD176" t="str" cm="1">
        <f t="array" aca="1" ref="CD176" ca="1">eConcatenar(A176:CB176,"|")</f>
        <v>9RmXzHBXN6BtaAWg|MODIFCARD167|3|MODIF|MODIF|MODIF|MODIF|2022-01-01|1|0|0|0|0|0|0|0|0|0|0|0|0|0|0|0|0|0|0|x|x|x|x|x|x|x|x|x|x|x|x|x|x|x|x|x|x|x|x|x|x|0|1|X|X|X|2022-2-10|2022-02-23|0|0|0|0|0|QWYNRBIY9KVTQO|0|HOMBRE|0|1|0|0|0|0|0|0|0|0|CARDENAS|0|0|0|0|FINAL</v>
      </c>
    </row>
    <row r="177" spans="1:82" x14ac:dyDescent="0.25">
      <c r="A177" t="s">
        <v>313</v>
      </c>
      <c r="B177" s="19" t="s">
        <v>514</v>
      </c>
      <c r="C177">
        <v>3</v>
      </c>
      <c r="D177" t="s">
        <v>346</v>
      </c>
      <c r="E177" t="s">
        <v>346</v>
      </c>
      <c r="F177" t="s">
        <v>346</v>
      </c>
      <c r="G177" t="s">
        <v>346</v>
      </c>
      <c r="H177" s="21" t="s">
        <v>747</v>
      </c>
      <c r="I177">
        <v>1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">
        <v>3</v>
      </c>
      <c r="AC177" t="s">
        <v>3</v>
      </c>
      <c r="AD177" t="s">
        <v>3</v>
      </c>
      <c r="AE177" t="s">
        <v>3</v>
      </c>
      <c r="AF177" t="s">
        <v>3</v>
      </c>
      <c r="AG177" t="s">
        <v>3</v>
      </c>
      <c r="AH177" t="s">
        <v>3</v>
      </c>
      <c r="AI177" t="s">
        <v>3</v>
      </c>
      <c r="AJ177" t="s">
        <v>3</v>
      </c>
      <c r="AK177" t="s">
        <v>3</v>
      </c>
      <c r="AL177" t="s">
        <v>3</v>
      </c>
      <c r="AM177" t="s">
        <v>3</v>
      </c>
      <c r="AN177" t="s">
        <v>3</v>
      </c>
      <c r="AO177" t="s">
        <v>3</v>
      </c>
      <c r="AP177" t="s">
        <v>3</v>
      </c>
      <c r="AQ177" t="s">
        <v>3</v>
      </c>
      <c r="AR177" t="s">
        <v>3</v>
      </c>
      <c r="AS177" t="s">
        <v>3</v>
      </c>
      <c r="AT177" t="s">
        <v>3</v>
      </c>
      <c r="AU177" t="s">
        <v>3</v>
      </c>
      <c r="AV177" t="s">
        <v>3</v>
      </c>
      <c r="AW177" t="s">
        <v>3</v>
      </c>
      <c r="AX177">
        <v>0</v>
      </c>
      <c r="AY177">
        <v>1</v>
      </c>
      <c r="AZ177" t="s">
        <v>1</v>
      </c>
      <c r="BA177" t="s">
        <v>1</v>
      </c>
      <c r="BB177" t="s">
        <v>1</v>
      </c>
      <c r="BC177" s="21" t="s">
        <v>748</v>
      </c>
      <c r="BD177" s="21" t="s">
        <v>144</v>
      </c>
      <c r="BE177">
        <v>0</v>
      </c>
      <c r="BF177">
        <v>0</v>
      </c>
      <c r="BG177">
        <v>0</v>
      </c>
      <c r="BH177">
        <v>0</v>
      </c>
      <c r="BI177">
        <v>0</v>
      </c>
      <c r="BJ177" t="s">
        <v>749</v>
      </c>
      <c r="BK177">
        <v>0</v>
      </c>
      <c r="BL177" t="s">
        <v>132</v>
      </c>
      <c r="BM177">
        <v>0</v>
      </c>
      <c r="BN177">
        <v>1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 t="s">
        <v>0</v>
      </c>
      <c r="BX177">
        <v>0</v>
      </c>
      <c r="BY177">
        <v>0</v>
      </c>
      <c r="BZ177">
        <v>0</v>
      </c>
      <c r="CA177">
        <v>0</v>
      </c>
      <c r="CB177" t="s">
        <v>145</v>
      </c>
      <c r="CD177" t="str" cm="1">
        <f t="array" aca="1" ref="CD177" ca="1">eConcatenar(A177:CB177,"|")</f>
        <v>xMXmoEiyvqCtbSjp|MODIFCARD168|3|MODIF|MODIF|MODIF|MODIF|2022-01-01|1|0|0|0|0|0|0|0|0|0|0|0|0|0|0|0|0|0|0|x|x|x|x|x|x|x|x|x|x|x|x|x|x|x|x|x|x|x|x|x|x|0|1|X|X|X|2022-2-10|2022-02-23|0|0|0|0|0|QWYNRBIY9KVTQO|0|HOMBRE|0|1|0|0|0|0|0|0|0|0|CARDENAS|0|0|0|0|FINAL</v>
      </c>
    </row>
    <row r="178" spans="1:82" x14ac:dyDescent="0.25">
      <c r="A178" t="s">
        <v>314</v>
      </c>
      <c r="B178" s="19" t="s">
        <v>515</v>
      </c>
      <c r="C178">
        <v>3</v>
      </c>
      <c r="D178" t="s">
        <v>346</v>
      </c>
      <c r="E178" t="s">
        <v>346</v>
      </c>
      <c r="F178" t="s">
        <v>346</v>
      </c>
      <c r="G178" t="s">
        <v>346</v>
      </c>
      <c r="H178" s="21" t="s">
        <v>747</v>
      </c>
      <c r="I178">
        <v>1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 t="s">
        <v>3</v>
      </c>
      <c r="AC178" t="s">
        <v>3</v>
      </c>
      <c r="AD178" t="s">
        <v>3</v>
      </c>
      <c r="AE178" t="s">
        <v>3</v>
      </c>
      <c r="AF178" t="s">
        <v>3</v>
      </c>
      <c r="AG178" t="s">
        <v>3</v>
      </c>
      <c r="AH178" t="s">
        <v>3</v>
      </c>
      <c r="AI178" t="s">
        <v>3</v>
      </c>
      <c r="AJ178" t="s">
        <v>3</v>
      </c>
      <c r="AK178" t="s">
        <v>3</v>
      </c>
      <c r="AL178" t="s">
        <v>3</v>
      </c>
      <c r="AM178" t="s">
        <v>3</v>
      </c>
      <c r="AN178" t="s">
        <v>3</v>
      </c>
      <c r="AO178" t="s">
        <v>3</v>
      </c>
      <c r="AP178" t="s">
        <v>3</v>
      </c>
      <c r="AQ178" t="s">
        <v>3</v>
      </c>
      <c r="AR178" t="s">
        <v>3</v>
      </c>
      <c r="AS178" t="s">
        <v>3</v>
      </c>
      <c r="AT178" t="s">
        <v>3</v>
      </c>
      <c r="AU178" t="s">
        <v>3</v>
      </c>
      <c r="AV178" t="s">
        <v>3</v>
      </c>
      <c r="AW178" t="s">
        <v>3</v>
      </c>
      <c r="AX178">
        <v>0</v>
      </c>
      <c r="AY178">
        <v>1</v>
      </c>
      <c r="AZ178" t="s">
        <v>1</v>
      </c>
      <c r="BA178" t="s">
        <v>1</v>
      </c>
      <c r="BB178" t="s">
        <v>1</v>
      </c>
      <c r="BC178" s="21" t="s">
        <v>748</v>
      </c>
      <c r="BD178" s="21" t="s">
        <v>144</v>
      </c>
      <c r="BE178">
        <v>0</v>
      </c>
      <c r="BF178">
        <v>0</v>
      </c>
      <c r="BG178">
        <v>0</v>
      </c>
      <c r="BH178">
        <v>0</v>
      </c>
      <c r="BI178">
        <v>0</v>
      </c>
      <c r="BJ178" t="s">
        <v>749</v>
      </c>
      <c r="BK178">
        <v>0</v>
      </c>
      <c r="BL178" t="s">
        <v>132</v>
      </c>
      <c r="BM178">
        <v>0</v>
      </c>
      <c r="BN178">
        <v>1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 t="s">
        <v>0</v>
      </c>
      <c r="BX178">
        <v>0</v>
      </c>
      <c r="BY178">
        <v>0</v>
      </c>
      <c r="BZ178">
        <v>0</v>
      </c>
      <c r="CA178">
        <v>0</v>
      </c>
      <c r="CB178" t="s">
        <v>145</v>
      </c>
      <c r="CD178" t="str" cm="1">
        <f t="array" aca="1" ref="CD178" ca="1">eConcatenar(A178:CB178,"|")</f>
        <v>7zLAeaqr5P8YtZXt|MODIFCARD169|3|MODIF|MODIF|MODIF|MODIF|2022-01-01|1|0|0|0|0|0|0|0|0|0|0|0|0|0|0|0|0|0|0|x|x|x|x|x|x|x|x|x|x|x|x|x|x|x|x|x|x|x|x|x|x|0|1|X|X|X|2022-2-10|2022-02-23|0|0|0|0|0|QWYNRBIY9KVTQO|0|HOMBRE|0|1|0|0|0|0|0|0|0|0|CARDENAS|0|0|0|0|FINAL</v>
      </c>
    </row>
    <row r="179" spans="1:82" x14ac:dyDescent="0.25">
      <c r="A179" t="s">
        <v>315</v>
      </c>
      <c r="B179" s="19" t="s">
        <v>516</v>
      </c>
      <c r="C179">
        <v>3</v>
      </c>
      <c r="D179" t="s">
        <v>346</v>
      </c>
      <c r="E179" t="s">
        <v>346</v>
      </c>
      <c r="F179" t="s">
        <v>346</v>
      </c>
      <c r="G179" t="s">
        <v>346</v>
      </c>
      <c r="H179" s="21" t="s">
        <v>747</v>
      </c>
      <c r="I179">
        <v>1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t="s">
        <v>3</v>
      </c>
      <c r="AC179" t="s">
        <v>3</v>
      </c>
      <c r="AD179" t="s">
        <v>3</v>
      </c>
      <c r="AE179" t="s">
        <v>3</v>
      </c>
      <c r="AF179" t="s">
        <v>3</v>
      </c>
      <c r="AG179" t="s">
        <v>3</v>
      </c>
      <c r="AH179" t="s">
        <v>3</v>
      </c>
      <c r="AI179" t="s">
        <v>3</v>
      </c>
      <c r="AJ179" t="s">
        <v>3</v>
      </c>
      <c r="AK179" t="s">
        <v>3</v>
      </c>
      <c r="AL179" t="s">
        <v>3</v>
      </c>
      <c r="AM179" t="s">
        <v>3</v>
      </c>
      <c r="AN179" t="s">
        <v>3</v>
      </c>
      <c r="AO179" t="s">
        <v>3</v>
      </c>
      <c r="AP179" t="s">
        <v>3</v>
      </c>
      <c r="AQ179" t="s">
        <v>3</v>
      </c>
      <c r="AR179" t="s">
        <v>3</v>
      </c>
      <c r="AS179" t="s">
        <v>3</v>
      </c>
      <c r="AT179" t="s">
        <v>3</v>
      </c>
      <c r="AU179" t="s">
        <v>3</v>
      </c>
      <c r="AV179" t="s">
        <v>3</v>
      </c>
      <c r="AW179" t="s">
        <v>3</v>
      </c>
      <c r="AX179">
        <v>0</v>
      </c>
      <c r="AY179">
        <v>1</v>
      </c>
      <c r="AZ179" t="s">
        <v>1</v>
      </c>
      <c r="BA179" t="s">
        <v>1</v>
      </c>
      <c r="BB179" t="s">
        <v>1</v>
      </c>
      <c r="BC179" s="21" t="s">
        <v>748</v>
      </c>
      <c r="BD179" s="21" t="s">
        <v>144</v>
      </c>
      <c r="BE179">
        <v>0</v>
      </c>
      <c r="BF179">
        <v>0</v>
      </c>
      <c r="BG179">
        <v>0</v>
      </c>
      <c r="BH179">
        <v>0</v>
      </c>
      <c r="BI179">
        <v>0</v>
      </c>
      <c r="BJ179" t="s">
        <v>749</v>
      </c>
      <c r="BK179">
        <v>0</v>
      </c>
      <c r="BL179" t="s">
        <v>132</v>
      </c>
      <c r="BM179">
        <v>0</v>
      </c>
      <c r="BN179">
        <v>1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 t="s">
        <v>0</v>
      </c>
      <c r="BX179">
        <v>0</v>
      </c>
      <c r="BY179">
        <v>0</v>
      </c>
      <c r="BZ179">
        <v>0</v>
      </c>
      <c r="CA179">
        <v>0</v>
      </c>
      <c r="CB179" t="s">
        <v>145</v>
      </c>
      <c r="CD179" t="str" cm="1">
        <f t="array" aca="1" ref="CD179" ca="1">eConcatenar(A179:CB179,"|")</f>
        <v>aVRqKJdFprFc7KMg|MODIFCARD170|3|MODIF|MODIF|MODIF|MODIF|2022-01-01|1|0|0|0|0|0|0|0|0|0|0|0|0|0|0|0|0|0|0|x|x|x|x|x|x|x|x|x|x|x|x|x|x|x|x|x|x|x|x|x|x|0|1|X|X|X|2022-2-10|2022-02-23|0|0|0|0|0|QWYNRBIY9KVTQO|0|HOMBRE|0|1|0|0|0|0|0|0|0|0|CARDENAS|0|0|0|0|FINAL</v>
      </c>
    </row>
    <row r="180" spans="1:82" x14ac:dyDescent="0.25">
      <c r="A180" t="s">
        <v>316</v>
      </c>
      <c r="B180" s="19" t="s">
        <v>517</v>
      </c>
      <c r="C180">
        <v>3</v>
      </c>
      <c r="D180" t="s">
        <v>346</v>
      </c>
      <c r="E180" t="s">
        <v>346</v>
      </c>
      <c r="F180" t="s">
        <v>346</v>
      </c>
      <c r="G180" t="s">
        <v>346</v>
      </c>
      <c r="H180" s="21" t="s">
        <v>747</v>
      </c>
      <c r="I180">
        <v>1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 t="s">
        <v>3</v>
      </c>
      <c r="AC180" t="s">
        <v>3</v>
      </c>
      <c r="AD180" t="s">
        <v>3</v>
      </c>
      <c r="AE180" t="s">
        <v>3</v>
      </c>
      <c r="AF180" t="s">
        <v>3</v>
      </c>
      <c r="AG180" t="s">
        <v>3</v>
      </c>
      <c r="AH180" t="s">
        <v>3</v>
      </c>
      <c r="AI180" t="s">
        <v>3</v>
      </c>
      <c r="AJ180" t="s">
        <v>3</v>
      </c>
      <c r="AK180" t="s">
        <v>3</v>
      </c>
      <c r="AL180" t="s">
        <v>3</v>
      </c>
      <c r="AM180" t="s">
        <v>3</v>
      </c>
      <c r="AN180" t="s">
        <v>3</v>
      </c>
      <c r="AO180" t="s">
        <v>3</v>
      </c>
      <c r="AP180" t="s">
        <v>3</v>
      </c>
      <c r="AQ180" t="s">
        <v>3</v>
      </c>
      <c r="AR180" t="s">
        <v>3</v>
      </c>
      <c r="AS180" t="s">
        <v>3</v>
      </c>
      <c r="AT180" t="s">
        <v>3</v>
      </c>
      <c r="AU180" t="s">
        <v>3</v>
      </c>
      <c r="AV180" t="s">
        <v>3</v>
      </c>
      <c r="AW180" t="s">
        <v>3</v>
      </c>
      <c r="AX180">
        <v>0</v>
      </c>
      <c r="AY180">
        <v>1</v>
      </c>
      <c r="AZ180" t="s">
        <v>1</v>
      </c>
      <c r="BA180" t="s">
        <v>1</v>
      </c>
      <c r="BB180" t="s">
        <v>1</v>
      </c>
      <c r="BC180" s="21" t="s">
        <v>748</v>
      </c>
      <c r="BD180" s="21" t="s">
        <v>144</v>
      </c>
      <c r="BE180">
        <v>0</v>
      </c>
      <c r="BF180">
        <v>0</v>
      </c>
      <c r="BG180">
        <v>0</v>
      </c>
      <c r="BH180">
        <v>0</v>
      </c>
      <c r="BI180">
        <v>0</v>
      </c>
      <c r="BJ180" t="s">
        <v>749</v>
      </c>
      <c r="BK180">
        <v>0</v>
      </c>
      <c r="BL180" t="s">
        <v>132</v>
      </c>
      <c r="BM180">
        <v>0</v>
      </c>
      <c r="BN180">
        <v>1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 t="s">
        <v>0</v>
      </c>
      <c r="BX180">
        <v>0</v>
      </c>
      <c r="BY180">
        <v>0</v>
      </c>
      <c r="BZ180">
        <v>0</v>
      </c>
      <c r="CA180">
        <v>0</v>
      </c>
      <c r="CB180" t="s">
        <v>145</v>
      </c>
      <c r="CD180" t="str" cm="1">
        <f t="array" aca="1" ref="CD180" ca="1">eConcatenar(A180:CB180,"|")</f>
        <v>mDK8V0HyHHtUTJx1|MODIFCARD171|3|MODIF|MODIF|MODIF|MODIF|2022-01-01|1|0|0|0|0|0|0|0|0|0|0|0|0|0|0|0|0|0|0|x|x|x|x|x|x|x|x|x|x|x|x|x|x|x|x|x|x|x|x|x|x|0|1|X|X|X|2022-2-10|2022-02-23|0|0|0|0|0|QWYNRBIY9KVTQO|0|HOMBRE|0|1|0|0|0|0|0|0|0|0|CARDENAS|0|0|0|0|FINAL</v>
      </c>
    </row>
    <row r="181" spans="1:82" x14ac:dyDescent="0.25">
      <c r="A181" t="s">
        <v>317</v>
      </c>
      <c r="B181" s="19" t="s">
        <v>518</v>
      </c>
      <c r="C181">
        <v>3</v>
      </c>
      <c r="D181" t="s">
        <v>346</v>
      </c>
      <c r="E181" t="s">
        <v>346</v>
      </c>
      <c r="F181" t="s">
        <v>346</v>
      </c>
      <c r="G181" t="s">
        <v>346</v>
      </c>
      <c r="H181" s="21" t="s">
        <v>747</v>
      </c>
      <c r="I181">
        <v>1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t="s">
        <v>3</v>
      </c>
      <c r="AC181" t="s">
        <v>3</v>
      </c>
      <c r="AD181" t="s">
        <v>3</v>
      </c>
      <c r="AE181" t="s">
        <v>3</v>
      </c>
      <c r="AF181" t="s">
        <v>3</v>
      </c>
      <c r="AG181" t="s">
        <v>3</v>
      </c>
      <c r="AH181" t="s">
        <v>3</v>
      </c>
      <c r="AI181" t="s">
        <v>3</v>
      </c>
      <c r="AJ181" t="s">
        <v>3</v>
      </c>
      <c r="AK181" t="s">
        <v>3</v>
      </c>
      <c r="AL181" t="s">
        <v>3</v>
      </c>
      <c r="AM181" t="s">
        <v>3</v>
      </c>
      <c r="AN181" t="s">
        <v>3</v>
      </c>
      <c r="AO181" t="s">
        <v>3</v>
      </c>
      <c r="AP181" t="s">
        <v>3</v>
      </c>
      <c r="AQ181" t="s">
        <v>3</v>
      </c>
      <c r="AR181" t="s">
        <v>3</v>
      </c>
      <c r="AS181" t="s">
        <v>3</v>
      </c>
      <c r="AT181" t="s">
        <v>3</v>
      </c>
      <c r="AU181" t="s">
        <v>3</v>
      </c>
      <c r="AV181" t="s">
        <v>3</v>
      </c>
      <c r="AW181" t="s">
        <v>3</v>
      </c>
      <c r="AX181">
        <v>0</v>
      </c>
      <c r="AY181">
        <v>1</v>
      </c>
      <c r="AZ181" t="s">
        <v>1</v>
      </c>
      <c r="BA181" t="s">
        <v>1</v>
      </c>
      <c r="BB181" t="s">
        <v>1</v>
      </c>
      <c r="BC181" s="21" t="s">
        <v>748</v>
      </c>
      <c r="BD181" s="21" t="s">
        <v>144</v>
      </c>
      <c r="BE181">
        <v>0</v>
      </c>
      <c r="BF181">
        <v>0</v>
      </c>
      <c r="BG181">
        <v>0</v>
      </c>
      <c r="BH181">
        <v>0</v>
      </c>
      <c r="BI181">
        <v>0</v>
      </c>
      <c r="BJ181" t="s">
        <v>749</v>
      </c>
      <c r="BK181">
        <v>0</v>
      </c>
      <c r="BL181" t="s">
        <v>132</v>
      </c>
      <c r="BM181">
        <v>0</v>
      </c>
      <c r="BN181">
        <v>1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 t="s">
        <v>0</v>
      </c>
      <c r="BX181">
        <v>0</v>
      </c>
      <c r="BY181">
        <v>0</v>
      </c>
      <c r="BZ181">
        <v>0</v>
      </c>
      <c r="CA181">
        <v>0</v>
      </c>
      <c r="CB181" t="s">
        <v>145</v>
      </c>
      <c r="CD181" t="str" cm="1">
        <f t="array" aca="1" ref="CD181" ca="1">eConcatenar(A181:CB181,"|")</f>
        <v>8Xp19Z5SM8TfMEh9|MODIFCARD172|3|MODIF|MODIF|MODIF|MODIF|2022-01-01|1|0|0|0|0|0|0|0|0|0|0|0|0|0|0|0|0|0|0|x|x|x|x|x|x|x|x|x|x|x|x|x|x|x|x|x|x|x|x|x|x|0|1|X|X|X|2022-2-10|2022-02-23|0|0|0|0|0|QWYNRBIY9KVTQO|0|HOMBRE|0|1|0|0|0|0|0|0|0|0|CARDENAS|0|0|0|0|FINAL</v>
      </c>
    </row>
    <row r="182" spans="1:82" x14ac:dyDescent="0.25">
      <c r="A182" t="s">
        <v>318</v>
      </c>
      <c r="B182" s="19" t="s">
        <v>519</v>
      </c>
      <c r="C182">
        <v>3</v>
      </c>
      <c r="D182" t="s">
        <v>346</v>
      </c>
      <c r="E182" t="s">
        <v>346</v>
      </c>
      <c r="F182" t="s">
        <v>346</v>
      </c>
      <c r="G182" t="s">
        <v>346</v>
      </c>
      <c r="H182" s="21" t="s">
        <v>747</v>
      </c>
      <c r="I182">
        <v>1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t="s">
        <v>3</v>
      </c>
      <c r="AC182" t="s">
        <v>3</v>
      </c>
      <c r="AD182" t="s">
        <v>3</v>
      </c>
      <c r="AE182" t="s">
        <v>3</v>
      </c>
      <c r="AF182" t="s">
        <v>3</v>
      </c>
      <c r="AG182" t="s">
        <v>3</v>
      </c>
      <c r="AH182" t="s">
        <v>3</v>
      </c>
      <c r="AI182" t="s">
        <v>3</v>
      </c>
      <c r="AJ182" t="s">
        <v>3</v>
      </c>
      <c r="AK182" t="s">
        <v>3</v>
      </c>
      <c r="AL182" t="s">
        <v>3</v>
      </c>
      <c r="AM182" t="s">
        <v>3</v>
      </c>
      <c r="AN182" t="s">
        <v>3</v>
      </c>
      <c r="AO182" t="s">
        <v>3</v>
      </c>
      <c r="AP182" t="s">
        <v>3</v>
      </c>
      <c r="AQ182" t="s">
        <v>3</v>
      </c>
      <c r="AR182" t="s">
        <v>3</v>
      </c>
      <c r="AS182" t="s">
        <v>3</v>
      </c>
      <c r="AT182" t="s">
        <v>3</v>
      </c>
      <c r="AU182" t="s">
        <v>3</v>
      </c>
      <c r="AV182" t="s">
        <v>3</v>
      </c>
      <c r="AW182" t="s">
        <v>3</v>
      </c>
      <c r="AX182">
        <v>0</v>
      </c>
      <c r="AY182">
        <v>1</v>
      </c>
      <c r="AZ182" t="s">
        <v>1</v>
      </c>
      <c r="BA182" t="s">
        <v>1</v>
      </c>
      <c r="BB182" t="s">
        <v>1</v>
      </c>
      <c r="BC182" s="21" t="s">
        <v>748</v>
      </c>
      <c r="BD182" s="21" t="s">
        <v>144</v>
      </c>
      <c r="BE182">
        <v>0</v>
      </c>
      <c r="BF182">
        <v>0</v>
      </c>
      <c r="BG182">
        <v>0</v>
      </c>
      <c r="BH182">
        <v>0</v>
      </c>
      <c r="BI182">
        <v>0</v>
      </c>
      <c r="BJ182" t="s">
        <v>749</v>
      </c>
      <c r="BK182">
        <v>0</v>
      </c>
      <c r="BL182" t="s">
        <v>132</v>
      </c>
      <c r="BM182">
        <v>0</v>
      </c>
      <c r="BN182">
        <v>1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 t="s">
        <v>0</v>
      </c>
      <c r="BX182">
        <v>0</v>
      </c>
      <c r="BY182">
        <v>0</v>
      </c>
      <c r="BZ182">
        <v>0</v>
      </c>
      <c r="CA182">
        <v>0</v>
      </c>
      <c r="CB182" t="s">
        <v>145</v>
      </c>
      <c r="CD182" t="str" cm="1">
        <f t="array" aca="1" ref="CD182" ca="1">eConcatenar(A182:CB182,"|")</f>
        <v>pR0lqLZG0Sc5Z0gr|MODIFCARD173|3|MODIF|MODIF|MODIF|MODIF|2022-01-01|1|0|0|0|0|0|0|0|0|0|0|0|0|0|0|0|0|0|0|x|x|x|x|x|x|x|x|x|x|x|x|x|x|x|x|x|x|x|x|x|x|0|1|X|X|X|2022-2-10|2022-02-23|0|0|0|0|0|QWYNRBIY9KVTQO|0|HOMBRE|0|1|0|0|0|0|0|0|0|0|CARDENAS|0|0|0|0|FINAL</v>
      </c>
    </row>
    <row r="183" spans="1:82" x14ac:dyDescent="0.25">
      <c r="A183" t="s">
        <v>319</v>
      </c>
      <c r="B183" s="19" t="s">
        <v>520</v>
      </c>
      <c r="C183">
        <v>3</v>
      </c>
      <c r="D183" t="s">
        <v>346</v>
      </c>
      <c r="E183" t="s">
        <v>346</v>
      </c>
      <c r="F183" t="s">
        <v>346</v>
      </c>
      <c r="G183" t="s">
        <v>346</v>
      </c>
      <c r="H183" s="21" t="s">
        <v>747</v>
      </c>
      <c r="I183">
        <v>1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 t="s">
        <v>3</v>
      </c>
      <c r="AC183" t="s">
        <v>3</v>
      </c>
      <c r="AD183" t="s">
        <v>3</v>
      </c>
      <c r="AE183" t="s">
        <v>3</v>
      </c>
      <c r="AF183" t="s">
        <v>3</v>
      </c>
      <c r="AG183" t="s">
        <v>3</v>
      </c>
      <c r="AH183" t="s">
        <v>3</v>
      </c>
      <c r="AI183" t="s">
        <v>3</v>
      </c>
      <c r="AJ183" t="s">
        <v>3</v>
      </c>
      <c r="AK183" t="s">
        <v>3</v>
      </c>
      <c r="AL183" t="s">
        <v>3</v>
      </c>
      <c r="AM183" t="s">
        <v>3</v>
      </c>
      <c r="AN183" t="s">
        <v>3</v>
      </c>
      <c r="AO183" t="s">
        <v>3</v>
      </c>
      <c r="AP183" t="s">
        <v>3</v>
      </c>
      <c r="AQ183" t="s">
        <v>3</v>
      </c>
      <c r="AR183" t="s">
        <v>3</v>
      </c>
      <c r="AS183" t="s">
        <v>3</v>
      </c>
      <c r="AT183" t="s">
        <v>3</v>
      </c>
      <c r="AU183" t="s">
        <v>3</v>
      </c>
      <c r="AV183" t="s">
        <v>3</v>
      </c>
      <c r="AW183" t="s">
        <v>3</v>
      </c>
      <c r="AX183">
        <v>0</v>
      </c>
      <c r="AY183">
        <v>1</v>
      </c>
      <c r="AZ183" t="s">
        <v>1</v>
      </c>
      <c r="BA183" t="s">
        <v>1</v>
      </c>
      <c r="BB183" t="s">
        <v>1</v>
      </c>
      <c r="BC183" s="21" t="s">
        <v>748</v>
      </c>
      <c r="BD183" s="21" t="s">
        <v>144</v>
      </c>
      <c r="BE183">
        <v>0</v>
      </c>
      <c r="BF183">
        <v>0</v>
      </c>
      <c r="BG183">
        <v>0</v>
      </c>
      <c r="BH183">
        <v>0</v>
      </c>
      <c r="BI183">
        <v>0</v>
      </c>
      <c r="BJ183" t="s">
        <v>749</v>
      </c>
      <c r="BK183">
        <v>0</v>
      </c>
      <c r="BL183" t="s">
        <v>132</v>
      </c>
      <c r="BM183">
        <v>0</v>
      </c>
      <c r="BN183">
        <v>1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 t="s">
        <v>0</v>
      </c>
      <c r="BX183">
        <v>0</v>
      </c>
      <c r="BY183">
        <v>0</v>
      </c>
      <c r="BZ183">
        <v>0</v>
      </c>
      <c r="CA183">
        <v>0</v>
      </c>
      <c r="CB183" t="s">
        <v>145</v>
      </c>
      <c r="CD183" t="str" cm="1">
        <f t="array" aca="1" ref="CD183" ca="1">eConcatenar(A183:CB183,"|")</f>
        <v>HfgMszJhhpuAYtZX|MODIFCARD174|3|MODIF|MODIF|MODIF|MODIF|2022-01-01|1|0|0|0|0|0|0|0|0|0|0|0|0|0|0|0|0|0|0|x|x|x|x|x|x|x|x|x|x|x|x|x|x|x|x|x|x|x|x|x|x|0|1|X|X|X|2022-2-10|2022-02-23|0|0|0|0|0|QWYNRBIY9KVTQO|0|HOMBRE|0|1|0|0|0|0|0|0|0|0|CARDENAS|0|0|0|0|FINAL</v>
      </c>
    </row>
    <row r="184" spans="1:82" x14ac:dyDescent="0.25">
      <c r="A184" t="s">
        <v>320</v>
      </c>
      <c r="B184" s="19" t="s">
        <v>521</v>
      </c>
      <c r="C184">
        <v>3</v>
      </c>
      <c r="D184" t="s">
        <v>346</v>
      </c>
      <c r="E184" t="s">
        <v>346</v>
      </c>
      <c r="F184" t="s">
        <v>346</v>
      </c>
      <c r="G184" t="s">
        <v>346</v>
      </c>
      <c r="H184" s="21" t="s">
        <v>747</v>
      </c>
      <c r="I184">
        <v>1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">
        <v>3</v>
      </c>
      <c r="AC184" t="s">
        <v>3</v>
      </c>
      <c r="AD184" t="s">
        <v>3</v>
      </c>
      <c r="AE184" t="s">
        <v>3</v>
      </c>
      <c r="AF184" t="s">
        <v>3</v>
      </c>
      <c r="AG184" t="s">
        <v>3</v>
      </c>
      <c r="AH184" t="s">
        <v>3</v>
      </c>
      <c r="AI184" t="s">
        <v>3</v>
      </c>
      <c r="AJ184" t="s">
        <v>3</v>
      </c>
      <c r="AK184" t="s">
        <v>3</v>
      </c>
      <c r="AL184" t="s">
        <v>3</v>
      </c>
      <c r="AM184" t="s">
        <v>3</v>
      </c>
      <c r="AN184" t="s">
        <v>3</v>
      </c>
      <c r="AO184" t="s">
        <v>3</v>
      </c>
      <c r="AP184" t="s">
        <v>3</v>
      </c>
      <c r="AQ184" t="s">
        <v>3</v>
      </c>
      <c r="AR184" t="s">
        <v>3</v>
      </c>
      <c r="AS184" t="s">
        <v>3</v>
      </c>
      <c r="AT184" t="s">
        <v>3</v>
      </c>
      <c r="AU184" t="s">
        <v>3</v>
      </c>
      <c r="AV184" t="s">
        <v>3</v>
      </c>
      <c r="AW184" t="s">
        <v>3</v>
      </c>
      <c r="AX184">
        <v>0</v>
      </c>
      <c r="AY184">
        <v>1</v>
      </c>
      <c r="AZ184" t="s">
        <v>1</v>
      </c>
      <c r="BA184" t="s">
        <v>1</v>
      </c>
      <c r="BB184" t="s">
        <v>1</v>
      </c>
      <c r="BC184" s="21" t="s">
        <v>748</v>
      </c>
      <c r="BD184" s="21" t="s">
        <v>144</v>
      </c>
      <c r="BE184">
        <v>0</v>
      </c>
      <c r="BF184">
        <v>0</v>
      </c>
      <c r="BG184">
        <v>0</v>
      </c>
      <c r="BH184">
        <v>0</v>
      </c>
      <c r="BI184">
        <v>0</v>
      </c>
      <c r="BJ184" t="s">
        <v>749</v>
      </c>
      <c r="BK184">
        <v>0</v>
      </c>
      <c r="BL184" t="s">
        <v>132</v>
      </c>
      <c r="BM184">
        <v>0</v>
      </c>
      <c r="BN184">
        <v>1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 t="s">
        <v>0</v>
      </c>
      <c r="BX184">
        <v>0</v>
      </c>
      <c r="BY184">
        <v>0</v>
      </c>
      <c r="BZ184">
        <v>0</v>
      </c>
      <c r="CA184">
        <v>0</v>
      </c>
      <c r="CB184" t="s">
        <v>145</v>
      </c>
      <c r="CD184" t="str" cm="1">
        <f t="array" aca="1" ref="CD184" ca="1">eConcatenar(A184:CB184,"|")</f>
        <v>W2TPboi9fZNkSyBj|MODIFCARD175|3|MODIF|MODIF|MODIF|MODIF|2022-01-01|1|0|0|0|0|0|0|0|0|0|0|0|0|0|0|0|0|0|0|x|x|x|x|x|x|x|x|x|x|x|x|x|x|x|x|x|x|x|x|x|x|0|1|X|X|X|2022-2-10|2022-02-23|0|0|0|0|0|QWYNRBIY9KVTQO|0|HOMBRE|0|1|0|0|0|0|0|0|0|0|CARDENAS|0|0|0|0|FINAL</v>
      </c>
    </row>
    <row r="185" spans="1:82" x14ac:dyDescent="0.25">
      <c r="A185" t="s">
        <v>321</v>
      </c>
      <c r="B185" s="19" t="s">
        <v>522</v>
      </c>
      <c r="C185">
        <v>3</v>
      </c>
      <c r="D185" t="s">
        <v>346</v>
      </c>
      <c r="E185" t="s">
        <v>346</v>
      </c>
      <c r="F185" t="s">
        <v>346</v>
      </c>
      <c r="G185" t="s">
        <v>346</v>
      </c>
      <c r="H185" s="21" t="s">
        <v>747</v>
      </c>
      <c r="I185">
        <v>1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">
        <v>3</v>
      </c>
      <c r="AC185" t="s">
        <v>3</v>
      </c>
      <c r="AD185" t="s">
        <v>3</v>
      </c>
      <c r="AE185" t="s">
        <v>3</v>
      </c>
      <c r="AF185" t="s">
        <v>3</v>
      </c>
      <c r="AG185" t="s">
        <v>3</v>
      </c>
      <c r="AH185" t="s">
        <v>3</v>
      </c>
      <c r="AI185" t="s">
        <v>3</v>
      </c>
      <c r="AJ185" t="s">
        <v>3</v>
      </c>
      <c r="AK185" t="s">
        <v>3</v>
      </c>
      <c r="AL185" t="s">
        <v>3</v>
      </c>
      <c r="AM185" t="s">
        <v>3</v>
      </c>
      <c r="AN185" t="s">
        <v>3</v>
      </c>
      <c r="AO185" t="s">
        <v>3</v>
      </c>
      <c r="AP185" t="s">
        <v>3</v>
      </c>
      <c r="AQ185" t="s">
        <v>3</v>
      </c>
      <c r="AR185" t="s">
        <v>3</v>
      </c>
      <c r="AS185" t="s">
        <v>3</v>
      </c>
      <c r="AT185" t="s">
        <v>3</v>
      </c>
      <c r="AU185" t="s">
        <v>3</v>
      </c>
      <c r="AV185" t="s">
        <v>3</v>
      </c>
      <c r="AW185" t="s">
        <v>3</v>
      </c>
      <c r="AX185">
        <v>0</v>
      </c>
      <c r="AY185">
        <v>1</v>
      </c>
      <c r="AZ185" t="s">
        <v>1</v>
      </c>
      <c r="BA185" t="s">
        <v>1</v>
      </c>
      <c r="BB185" t="s">
        <v>1</v>
      </c>
      <c r="BC185" s="21" t="s">
        <v>748</v>
      </c>
      <c r="BD185" s="21" t="s">
        <v>144</v>
      </c>
      <c r="BE185">
        <v>0</v>
      </c>
      <c r="BF185">
        <v>0</v>
      </c>
      <c r="BG185">
        <v>0</v>
      </c>
      <c r="BH185">
        <v>0</v>
      </c>
      <c r="BI185">
        <v>0</v>
      </c>
      <c r="BJ185" t="s">
        <v>749</v>
      </c>
      <c r="BK185">
        <v>0</v>
      </c>
      <c r="BL185" t="s">
        <v>132</v>
      </c>
      <c r="BM185">
        <v>0</v>
      </c>
      <c r="BN185">
        <v>1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 t="s">
        <v>0</v>
      </c>
      <c r="BX185">
        <v>0</v>
      </c>
      <c r="BY185">
        <v>0</v>
      </c>
      <c r="BZ185">
        <v>0</v>
      </c>
      <c r="CA185">
        <v>0</v>
      </c>
      <c r="CB185" t="s">
        <v>145</v>
      </c>
      <c r="CD185" t="str" cm="1">
        <f t="array" aca="1" ref="CD185" ca="1">eConcatenar(A185:CB185,"|")</f>
        <v>CC3VvCaZEqAEc3JT|MODIFCARD176|3|MODIF|MODIF|MODIF|MODIF|2022-01-01|1|0|0|0|0|0|0|0|0|0|0|0|0|0|0|0|0|0|0|x|x|x|x|x|x|x|x|x|x|x|x|x|x|x|x|x|x|x|x|x|x|0|1|X|X|X|2022-2-10|2022-02-23|0|0|0|0|0|QWYNRBIY9KVTQO|0|HOMBRE|0|1|0|0|0|0|0|0|0|0|CARDENAS|0|0|0|0|FINAL</v>
      </c>
    </row>
    <row r="186" spans="1:82" x14ac:dyDescent="0.25">
      <c r="A186" t="s">
        <v>322</v>
      </c>
      <c r="B186" s="19" t="s">
        <v>523</v>
      </c>
      <c r="C186">
        <v>3</v>
      </c>
      <c r="D186" t="s">
        <v>346</v>
      </c>
      <c r="E186" t="s">
        <v>346</v>
      </c>
      <c r="F186" t="s">
        <v>346</v>
      </c>
      <c r="G186" t="s">
        <v>346</v>
      </c>
      <c r="H186" s="21" t="s">
        <v>747</v>
      </c>
      <c r="I186">
        <v>1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 t="s">
        <v>3</v>
      </c>
      <c r="AC186" t="s">
        <v>3</v>
      </c>
      <c r="AD186" t="s">
        <v>3</v>
      </c>
      <c r="AE186" t="s">
        <v>3</v>
      </c>
      <c r="AF186" t="s">
        <v>3</v>
      </c>
      <c r="AG186" t="s">
        <v>3</v>
      </c>
      <c r="AH186" t="s">
        <v>3</v>
      </c>
      <c r="AI186" t="s">
        <v>3</v>
      </c>
      <c r="AJ186" t="s">
        <v>3</v>
      </c>
      <c r="AK186" t="s">
        <v>3</v>
      </c>
      <c r="AL186" t="s">
        <v>3</v>
      </c>
      <c r="AM186" t="s">
        <v>3</v>
      </c>
      <c r="AN186" t="s">
        <v>3</v>
      </c>
      <c r="AO186" t="s">
        <v>3</v>
      </c>
      <c r="AP186" t="s">
        <v>3</v>
      </c>
      <c r="AQ186" t="s">
        <v>3</v>
      </c>
      <c r="AR186" t="s">
        <v>3</v>
      </c>
      <c r="AS186" t="s">
        <v>3</v>
      </c>
      <c r="AT186" t="s">
        <v>3</v>
      </c>
      <c r="AU186" t="s">
        <v>3</v>
      </c>
      <c r="AV186" t="s">
        <v>3</v>
      </c>
      <c r="AW186" t="s">
        <v>3</v>
      </c>
      <c r="AX186">
        <v>0</v>
      </c>
      <c r="AY186">
        <v>1</v>
      </c>
      <c r="AZ186" t="s">
        <v>1</v>
      </c>
      <c r="BA186" t="s">
        <v>1</v>
      </c>
      <c r="BB186" t="s">
        <v>1</v>
      </c>
      <c r="BC186" s="21" t="s">
        <v>748</v>
      </c>
      <c r="BD186" s="21" t="s">
        <v>144</v>
      </c>
      <c r="BE186">
        <v>0</v>
      </c>
      <c r="BF186">
        <v>0</v>
      </c>
      <c r="BG186">
        <v>0</v>
      </c>
      <c r="BH186">
        <v>0</v>
      </c>
      <c r="BI186">
        <v>0</v>
      </c>
      <c r="BJ186" t="s">
        <v>749</v>
      </c>
      <c r="BK186">
        <v>0</v>
      </c>
      <c r="BL186" t="s">
        <v>132</v>
      </c>
      <c r="BM186">
        <v>0</v>
      </c>
      <c r="BN186">
        <v>1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 t="s">
        <v>0</v>
      </c>
      <c r="BX186">
        <v>0</v>
      </c>
      <c r="BY186">
        <v>0</v>
      </c>
      <c r="BZ186">
        <v>0</v>
      </c>
      <c r="CA186">
        <v>0</v>
      </c>
      <c r="CB186" t="s">
        <v>145</v>
      </c>
      <c r="CD186" t="str" cm="1">
        <f t="array" aca="1" ref="CD186" ca="1">eConcatenar(A186:CB186,"|")</f>
        <v>nlAP4XilAiwfNrqR|MODIFCARD177|3|MODIF|MODIF|MODIF|MODIF|2022-01-01|1|0|0|0|0|0|0|0|0|0|0|0|0|0|0|0|0|0|0|x|x|x|x|x|x|x|x|x|x|x|x|x|x|x|x|x|x|x|x|x|x|0|1|X|X|X|2022-2-10|2022-02-23|0|0|0|0|0|QWYNRBIY9KVTQO|0|HOMBRE|0|1|0|0|0|0|0|0|0|0|CARDENAS|0|0|0|0|FINAL</v>
      </c>
    </row>
    <row r="187" spans="1:82" x14ac:dyDescent="0.25">
      <c r="A187" t="s">
        <v>323</v>
      </c>
      <c r="B187" s="19" t="s">
        <v>524</v>
      </c>
      <c r="C187">
        <v>3</v>
      </c>
      <c r="D187" t="s">
        <v>346</v>
      </c>
      <c r="E187" t="s">
        <v>346</v>
      </c>
      <c r="F187" t="s">
        <v>346</v>
      </c>
      <c r="G187" t="s">
        <v>346</v>
      </c>
      <c r="H187" s="21" t="s">
        <v>747</v>
      </c>
      <c r="I187">
        <v>1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">
        <v>3</v>
      </c>
      <c r="AC187" t="s">
        <v>3</v>
      </c>
      <c r="AD187" t="s">
        <v>3</v>
      </c>
      <c r="AE187" t="s">
        <v>3</v>
      </c>
      <c r="AF187" t="s">
        <v>3</v>
      </c>
      <c r="AG187" t="s">
        <v>3</v>
      </c>
      <c r="AH187" t="s">
        <v>3</v>
      </c>
      <c r="AI187" t="s">
        <v>3</v>
      </c>
      <c r="AJ187" t="s">
        <v>3</v>
      </c>
      <c r="AK187" t="s">
        <v>3</v>
      </c>
      <c r="AL187" t="s">
        <v>3</v>
      </c>
      <c r="AM187" t="s">
        <v>3</v>
      </c>
      <c r="AN187" t="s">
        <v>3</v>
      </c>
      <c r="AO187" t="s">
        <v>3</v>
      </c>
      <c r="AP187" t="s">
        <v>3</v>
      </c>
      <c r="AQ187" t="s">
        <v>3</v>
      </c>
      <c r="AR187" t="s">
        <v>3</v>
      </c>
      <c r="AS187" t="s">
        <v>3</v>
      </c>
      <c r="AT187" t="s">
        <v>3</v>
      </c>
      <c r="AU187" t="s">
        <v>3</v>
      </c>
      <c r="AV187" t="s">
        <v>3</v>
      </c>
      <c r="AW187" t="s">
        <v>3</v>
      </c>
      <c r="AX187">
        <v>0</v>
      </c>
      <c r="AY187">
        <v>1</v>
      </c>
      <c r="AZ187" t="s">
        <v>1</v>
      </c>
      <c r="BA187" t="s">
        <v>1</v>
      </c>
      <c r="BB187" t="s">
        <v>1</v>
      </c>
      <c r="BC187" s="21" t="s">
        <v>748</v>
      </c>
      <c r="BD187" s="21" t="s">
        <v>144</v>
      </c>
      <c r="BE187">
        <v>0</v>
      </c>
      <c r="BF187">
        <v>0</v>
      </c>
      <c r="BG187">
        <v>0</v>
      </c>
      <c r="BH187">
        <v>0</v>
      </c>
      <c r="BI187">
        <v>0</v>
      </c>
      <c r="BJ187" t="s">
        <v>749</v>
      </c>
      <c r="BK187">
        <v>0</v>
      </c>
      <c r="BL187" t="s">
        <v>132</v>
      </c>
      <c r="BM187">
        <v>0</v>
      </c>
      <c r="BN187">
        <v>1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 t="s">
        <v>0</v>
      </c>
      <c r="BX187">
        <v>0</v>
      </c>
      <c r="BY187">
        <v>0</v>
      </c>
      <c r="BZ187">
        <v>0</v>
      </c>
      <c r="CA187">
        <v>0</v>
      </c>
      <c r="CB187" t="s">
        <v>145</v>
      </c>
      <c r="CD187" t="str" cm="1">
        <f t="array" aca="1" ref="CD187" ca="1">eConcatenar(A187:CB187,"|")</f>
        <v>0eD3x5LJtEA7wkEL|MODIFCARD178|3|MODIF|MODIF|MODIF|MODIF|2022-01-01|1|0|0|0|0|0|0|0|0|0|0|0|0|0|0|0|0|0|0|x|x|x|x|x|x|x|x|x|x|x|x|x|x|x|x|x|x|x|x|x|x|0|1|X|X|X|2022-2-10|2022-02-23|0|0|0|0|0|QWYNRBIY9KVTQO|0|HOMBRE|0|1|0|0|0|0|0|0|0|0|CARDENAS|0|0|0|0|FINAL</v>
      </c>
    </row>
    <row r="188" spans="1:82" x14ac:dyDescent="0.25">
      <c r="A188" t="s">
        <v>324</v>
      </c>
      <c r="B188" s="19" t="s">
        <v>525</v>
      </c>
      <c r="C188">
        <v>3</v>
      </c>
      <c r="D188" t="s">
        <v>346</v>
      </c>
      <c r="E188" t="s">
        <v>346</v>
      </c>
      <c r="F188" t="s">
        <v>346</v>
      </c>
      <c r="G188" t="s">
        <v>346</v>
      </c>
      <c r="H188" s="21" t="s">
        <v>747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 t="s">
        <v>3</v>
      </c>
      <c r="AC188" t="s">
        <v>3</v>
      </c>
      <c r="AD188" t="s">
        <v>3</v>
      </c>
      <c r="AE188" t="s">
        <v>3</v>
      </c>
      <c r="AF188" t="s">
        <v>3</v>
      </c>
      <c r="AG188" t="s">
        <v>3</v>
      </c>
      <c r="AH188" t="s">
        <v>3</v>
      </c>
      <c r="AI188" t="s">
        <v>3</v>
      </c>
      <c r="AJ188" t="s">
        <v>3</v>
      </c>
      <c r="AK188" t="s">
        <v>3</v>
      </c>
      <c r="AL188" t="s">
        <v>3</v>
      </c>
      <c r="AM188" t="s">
        <v>3</v>
      </c>
      <c r="AN188" t="s">
        <v>3</v>
      </c>
      <c r="AO188" t="s">
        <v>3</v>
      </c>
      <c r="AP188" t="s">
        <v>3</v>
      </c>
      <c r="AQ188" t="s">
        <v>3</v>
      </c>
      <c r="AR188" t="s">
        <v>3</v>
      </c>
      <c r="AS188" t="s">
        <v>3</v>
      </c>
      <c r="AT188" t="s">
        <v>3</v>
      </c>
      <c r="AU188" t="s">
        <v>3</v>
      </c>
      <c r="AV188" t="s">
        <v>3</v>
      </c>
      <c r="AW188" t="s">
        <v>3</v>
      </c>
      <c r="AX188">
        <v>0</v>
      </c>
      <c r="AY188">
        <v>1</v>
      </c>
      <c r="AZ188" t="s">
        <v>1</v>
      </c>
      <c r="BA188" t="s">
        <v>1</v>
      </c>
      <c r="BB188" t="s">
        <v>1</v>
      </c>
      <c r="BC188" s="21" t="s">
        <v>748</v>
      </c>
      <c r="BD188" s="21" t="s">
        <v>144</v>
      </c>
      <c r="BE188">
        <v>0</v>
      </c>
      <c r="BF188">
        <v>0</v>
      </c>
      <c r="BG188">
        <v>0</v>
      </c>
      <c r="BH188">
        <v>0</v>
      </c>
      <c r="BI188">
        <v>0</v>
      </c>
      <c r="BJ188" t="s">
        <v>749</v>
      </c>
      <c r="BK188">
        <v>0</v>
      </c>
      <c r="BL188" t="s">
        <v>132</v>
      </c>
      <c r="BM188">
        <v>0</v>
      </c>
      <c r="BN188">
        <v>1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 t="s">
        <v>0</v>
      </c>
      <c r="BX188">
        <v>0</v>
      </c>
      <c r="BY188">
        <v>0</v>
      </c>
      <c r="BZ188">
        <v>0</v>
      </c>
      <c r="CA188">
        <v>0</v>
      </c>
      <c r="CB188" t="s">
        <v>145</v>
      </c>
      <c r="CD188" t="str" cm="1">
        <f t="array" aca="1" ref="CD188" ca="1">eConcatenar(A188:CB188,"|")</f>
        <v>fSIWVWNhuyzKZVSe|MODIFCARD179|3|MODIF|MODIF|MODIF|MODIF|2022-01-01|1|0|0|0|0|0|0|0|0|0|0|0|0|0|0|0|0|0|0|x|x|x|x|x|x|x|x|x|x|x|x|x|x|x|x|x|x|x|x|x|x|0|1|X|X|X|2022-2-10|2022-02-23|0|0|0|0|0|QWYNRBIY9KVTQO|0|HOMBRE|0|1|0|0|0|0|0|0|0|0|CARDENAS|0|0|0|0|FINAL</v>
      </c>
    </row>
    <row r="189" spans="1:82" x14ac:dyDescent="0.25">
      <c r="A189" t="s">
        <v>325</v>
      </c>
      <c r="B189" s="19" t="s">
        <v>526</v>
      </c>
      <c r="C189">
        <v>3</v>
      </c>
      <c r="D189" t="s">
        <v>346</v>
      </c>
      <c r="E189" t="s">
        <v>346</v>
      </c>
      <c r="F189" t="s">
        <v>346</v>
      </c>
      <c r="G189" t="s">
        <v>346</v>
      </c>
      <c r="H189" s="21" t="s">
        <v>747</v>
      </c>
      <c r="I189">
        <v>1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">
        <v>3</v>
      </c>
      <c r="AC189" t="s">
        <v>3</v>
      </c>
      <c r="AD189" t="s">
        <v>3</v>
      </c>
      <c r="AE189" t="s">
        <v>3</v>
      </c>
      <c r="AF189" t="s">
        <v>3</v>
      </c>
      <c r="AG189" t="s">
        <v>3</v>
      </c>
      <c r="AH189" t="s">
        <v>3</v>
      </c>
      <c r="AI189" t="s">
        <v>3</v>
      </c>
      <c r="AJ189" t="s">
        <v>3</v>
      </c>
      <c r="AK189" t="s">
        <v>3</v>
      </c>
      <c r="AL189" t="s">
        <v>3</v>
      </c>
      <c r="AM189" t="s">
        <v>3</v>
      </c>
      <c r="AN189" t="s">
        <v>3</v>
      </c>
      <c r="AO189" t="s">
        <v>3</v>
      </c>
      <c r="AP189" t="s">
        <v>3</v>
      </c>
      <c r="AQ189" t="s">
        <v>3</v>
      </c>
      <c r="AR189" t="s">
        <v>3</v>
      </c>
      <c r="AS189" t="s">
        <v>3</v>
      </c>
      <c r="AT189" t="s">
        <v>3</v>
      </c>
      <c r="AU189" t="s">
        <v>3</v>
      </c>
      <c r="AV189" t="s">
        <v>3</v>
      </c>
      <c r="AW189" t="s">
        <v>3</v>
      </c>
      <c r="AX189">
        <v>0</v>
      </c>
      <c r="AY189">
        <v>1</v>
      </c>
      <c r="AZ189" t="s">
        <v>1</v>
      </c>
      <c r="BA189" t="s">
        <v>1</v>
      </c>
      <c r="BB189" t="s">
        <v>1</v>
      </c>
      <c r="BC189" s="21" t="s">
        <v>748</v>
      </c>
      <c r="BD189" s="21" t="s">
        <v>144</v>
      </c>
      <c r="BE189">
        <v>0</v>
      </c>
      <c r="BF189">
        <v>0</v>
      </c>
      <c r="BG189">
        <v>0</v>
      </c>
      <c r="BH189">
        <v>0</v>
      </c>
      <c r="BI189">
        <v>0</v>
      </c>
      <c r="BJ189" t="s">
        <v>749</v>
      </c>
      <c r="BK189">
        <v>0</v>
      </c>
      <c r="BL189" t="s">
        <v>132</v>
      </c>
      <c r="BM189">
        <v>0</v>
      </c>
      <c r="BN189">
        <v>1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 t="s">
        <v>0</v>
      </c>
      <c r="BX189">
        <v>0</v>
      </c>
      <c r="BY189">
        <v>0</v>
      </c>
      <c r="BZ189">
        <v>0</v>
      </c>
      <c r="CA189">
        <v>0</v>
      </c>
      <c r="CB189" t="s">
        <v>145</v>
      </c>
      <c r="CD189" t="str" cm="1">
        <f t="array" aca="1" ref="CD189" ca="1">eConcatenar(A189:CB189,"|")</f>
        <v>oxHF5t9QJLFnSZk6|MODIFCARD180|3|MODIF|MODIF|MODIF|MODIF|2022-01-01|1|0|0|0|0|0|0|0|0|0|0|0|0|0|0|0|0|0|0|x|x|x|x|x|x|x|x|x|x|x|x|x|x|x|x|x|x|x|x|x|x|0|1|X|X|X|2022-2-10|2022-02-23|0|0|0|0|0|QWYNRBIY9KVTQO|0|HOMBRE|0|1|0|0|0|0|0|0|0|0|CARDENAS|0|0|0|0|FINAL</v>
      </c>
    </row>
    <row r="190" spans="1:82" x14ac:dyDescent="0.25">
      <c r="A190" t="s">
        <v>326</v>
      </c>
      <c r="B190" s="19" t="s">
        <v>527</v>
      </c>
      <c r="C190">
        <v>3</v>
      </c>
      <c r="D190" t="s">
        <v>346</v>
      </c>
      <c r="E190" t="s">
        <v>346</v>
      </c>
      <c r="F190" t="s">
        <v>346</v>
      </c>
      <c r="G190" t="s">
        <v>346</v>
      </c>
      <c r="H190" s="21" t="s">
        <v>747</v>
      </c>
      <c r="I190">
        <v>1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t="s">
        <v>3</v>
      </c>
      <c r="AC190" t="s">
        <v>3</v>
      </c>
      <c r="AD190" t="s">
        <v>3</v>
      </c>
      <c r="AE190" t="s">
        <v>3</v>
      </c>
      <c r="AF190" t="s">
        <v>3</v>
      </c>
      <c r="AG190" t="s">
        <v>3</v>
      </c>
      <c r="AH190" t="s">
        <v>3</v>
      </c>
      <c r="AI190" t="s">
        <v>3</v>
      </c>
      <c r="AJ190" t="s">
        <v>3</v>
      </c>
      <c r="AK190" t="s">
        <v>3</v>
      </c>
      <c r="AL190" t="s">
        <v>3</v>
      </c>
      <c r="AM190" t="s">
        <v>3</v>
      </c>
      <c r="AN190" t="s">
        <v>3</v>
      </c>
      <c r="AO190" t="s">
        <v>3</v>
      </c>
      <c r="AP190" t="s">
        <v>3</v>
      </c>
      <c r="AQ190" t="s">
        <v>3</v>
      </c>
      <c r="AR190" t="s">
        <v>3</v>
      </c>
      <c r="AS190" t="s">
        <v>3</v>
      </c>
      <c r="AT190" t="s">
        <v>3</v>
      </c>
      <c r="AU190" t="s">
        <v>3</v>
      </c>
      <c r="AV190" t="s">
        <v>3</v>
      </c>
      <c r="AW190" t="s">
        <v>3</v>
      </c>
      <c r="AX190">
        <v>0</v>
      </c>
      <c r="AY190">
        <v>1</v>
      </c>
      <c r="AZ190" t="s">
        <v>1</v>
      </c>
      <c r="BA190" t="s">
        <v>1</v>
      </c>
      <c r="BB190" t="s">
        <v>1</v>
      </c>
      <c r="BC190" s="21" t="s">
        <v>748</v>
      </c>
      <c r="BD190" s="21" t="s">
        <v>144</v>
      </c>
      <c r="BE190">
        <v>0</v>
      </c>
      <c r="BF190">
        <v>0</v>
      </c>
      <c r="BG190">
        <v>0</v>
      </c>
      <c r="BH190">
        <v>0</v>
      </c>
      <c r="BI190">
        <v>0</v>
      </c>
      <c r="BJ190" t="s">
        <v>749</v>
      </c>
      <c r="BK190">
        <v>0</v>
      </c>
      <c r="BL190" t="s">
        <v>132</v>
      </c>
      <c r="BM190">
        <v>0</v>
      </c>
      <c r="BN190">
        <v>1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 t="s">
        <v>0</v>
      </c>
      <c r="BX190">
        <v>0</v>
      </c>
      <c r="BY190">
        <v>0</v>
      </c>
      <c r="BZ190">
        <v>0</v>
      </c>
      <c r="CA190">
        <v>0</v>
      </c>
      <c r="CB190" t="s">
        <v>145</v>
      </c>
      <c r="CD190" t="str" cm="1">
        <f t="array" aca="1" ref="CD190" ca="1">eConcatenar(A190:CB190,"|")</f>
        <v>jNvlFHipzaQFAD1J|MODIFCARD181|3|MODIF|MODIF|MODIF|MODIF|2022-01-01|1|0|0|0|0|0|0|0|0|0|0|0|0|0|0|0|0|0|0|x|x|x|x|x|x|x|x|x|x|x|x|x|x|x|x|x|x|x|x|x|x|0|1|X|X|X|2022-2-10|2022-02-23|0|0|0|0|0|QWYNRBIY9KVTQO|0|HOMBRE|0|1|0|0|0|0|0|0|0|0|CARDENAS|0|0|0|0|FINAL</v>
      </c>
    </row>
    <row r="191" spans="1:82" x14ac:dyDescent="0.25">
      <c r="A191" t="s">
        <v>327</v>
      </c>
      <c r="B191" s="19" t="s">
        <v>528</v>
      </c>
      <c r="C191">
        <v>3</v>
      </c>
      <c r="D191" t="s">
        <v>346</v>
      </c>
      <c r="E191" t="s">
        <v>346</v>
      </c>
      <c r="F191" t="s">
        <v>346</v>
      </c>
      <c r="G191" t="s">
        <v>346</v>
      </c>
      <c r="H191" s="21" t="s">
        <v>747</v>
      </c>
      <c r="I191">
        <v>1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 t="s">
        <v>3</v>
      </c>
      <c r="AC191" t="s">
        <v>3</v>
      </c>
      <c r="AD191" t="s">
        <v>3</v>
      </c>
      <c r="AE191" t="s">
        <v>3</v>
      </c>
      <c r="AF191" t="s">
        <v>3</v>
      </c>
      <c r="AG191" t="s">
        <v>3</v>
      </c>
      <c r="AH191" t="s">
        <v>3</v>
      </c>
      <c r="AI191" t="s">
        <v>3</v>
      </c>
      <c r="AJ191" t="s">
        <v>3</v>
      </c>
      <c r="AK191" t="s">
        <v>3</v>
      </c>
      <c r="AL191" t="s">
        <v>3</v>
      </c>
      <c r="AM191" t="s">
        <v>3</v>
      </c>
      <c r="AN191" t="s">
        <v>3</v>
      </c>
      <c r="AO191" t="s">
        <v>3</v>
      </c>
      <c r="AP191" t="s">
        <v>3</v>
      </c>
      <c r="AQ191" t="s">
        <v>3</v>
      </c>
      <c r="AR191" t="s">
        <v>3</v>
      </c>
      <c r="AS191" t="s">
        <v>3</v>
      </c>
      <c r="AT191" t="s">
        <v>3</v>
      </c>
      <c r="AU191" t="s">
        <v>3</v>
      </c>
      <c r="AV191" t="s">
        <v>3</v>
      </c>
      <c r="AW191" t="s">
        <v>3</v>
      </c>
      <c r="AX191">
        <v>0</v>
      </c>
      <c r="AY191">
        <v>1</v>
      </c>
      <c r="AZ191" t="s">
        <v>1</v>
      </c>
      <c r="BA191" t="s">
        <v>1</v>
      </c>
      <c r="BB191" t="s">
        <v>1</v>
      </c>
      <c r="BC191" s="21" t="s">
        <v>748</v>
      </c>
      <c r="BD191" s="21" t="s">
        <v>144</v>
      </c>
      <c r="BE191">
        <v>0</v>
      </c>
      <c r="BF191">
        <v>0</v>
      </c>
      <c r="BG191">
        <v>0</v>
      </c>
      <c r="BH191">
        <v>0</v>
      </c>
      <c r="BI191">
        <v>0</v>
      </c>
      <c r="BJ191" t="s">
        <v>749</v>
      </c>
      <c r="BK191">
        <v>0</v>
      </c>
      <c r="BL191" t="s">
        <v>132</v>
      </c>
      <c r="BM191">
        <v>0</v>
      </c>
      <c r="BN191">
        <v>1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 t="s">
        <v>0</v>
      </c>
      <c r="BX191">
        <v>0</v>
      </c>
      <c r="BY191">
        <v>0</v>
      </c>
      <c r="BZ191">
        <v>0</v>
      </c>
      <c r="CA191">
        <v>0</v>
      </c>
      <c r="CB191" t="s">
        <v>145</v>
      </c>
      <c r="CD191" t="str" cm="1">
        <f t="array" aca="1" ref="CD191" ca="1">eConcatenar(A191:CB191,"|")</f>
        <v>vpneMU514KtTC64Y|MODIFCARD182|3|MODIF|MODIF|MODIF|MODIF|2022-01-01|1|0|0|0|0|0|0|0|0|0|0|0|0|0|0|0|0|0|0|x|x|x|x|x|x|x|x|x|x|x|x|x|x|x|x|x|x|x|x|x|x|0|1|X|X|X|2022-2-10|2022-02-23|0|0|0|0|0|QWYNRBIY9KVTQO|0|HOMBRE|0|1|0|0|0|0|0|0|0|0|CARDENAS|0|0|0|0|FINAL</v>
      </c>
    </row>
    <row r="192" spans="1:82" x14ac:dyDescent="0.25">
      <c r="A192" t="s">
        <v>328</v>
      </c>
      <c r="B192" s="19" t="s">
        <v>529</v>
      </c>
      <c r="C192">
        <v>3</v>
      </c>
      <c r="D192" t="s">
        <v>346</v>
      </c>
      <c r="E192" t="s">
        <v>346</v>
      </c>
      <c r="F192" t="s">
        <v>346</v>
      </c>
      <c r="G192" t="s">
        <v>346</v>
      </c>
      <c r="H192" s="21" t="s">
        <v>747</v>
      </c>
      <c r="I192">
        <v>1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t="s">
        <v>3</v>
      </c>
      <c r="AC192" t="s">
        <v>3</v>
      </c>
      <c r="AD192" t="s">
        <v>3</v>
      </c>
      <c r="AE192" t="s">
        <v>3</v>
      </c>
      <c r="AF192" t="s">
        <v>3</v>
      </c>
      <c r="AG192" t="s">
        <v>3</v>
      </c>
      <c r="AH192" t="s">
        <v>3</v>
      </c>
      <c r="AI192" t="s">
        <v>3</v>
      </c>
      <c r="AJ192" t="s">
        <v>3</v>
      </c>
      <c r="AK192" t="s">
        <v>3</v>
      </c>
      <c r="AL192" t="s">
        <v>3</v>
      </c>
      <c r="AM192" t="s">
        <v>3</v>
      </c>
      <c r="AN192" t="s">
        <v>3</v>
      </c>
      <c r="AO192" t="s">
        <v>3</v>
      </c>
      <c r="AP192" t="s">
        <v>3</v>
      </c>
      <c r="AQ192" t="s">
        <v>3</v>
      </c>
      <c r="AR192" t="s">
        <v>3</v>
      </c>
      <c r="AS192" t="s">
        <v>3</v>
      </c>
      <c r="AT192" t="s">
        <v>3</v>
      </c>
      <c r="AU192" t="s">
        <v>3</v>
      </c>
      <c r="AV192" t="s">
        <v>3</v>
      </c>
      <c r="AW192" t="s">
        <v>3</v>
      </c>
      <c r="AX192">
        <v>0</v>
      </c>
      <c r="AY192">
        <v>1</v>
      </c>
      <c r="AZ192" t="s">
        <v>1</v>
      </c>
      <c r="BA192" t="s">
        <v>1</v>
      </c>
      <c r="BB192" t="s">
        <v>1</v>
      </c>
      <c r="BC192" s="21" t="s">
        <v>748</v>
      </c>
      <c r="BD192" s="21" t="s">
        <v>144</v>
      </c>
      <c r="BE192">
        <v>0</v>
      </c>
      <c r="BF192">
        <v>0</v>
      </c>
      <c r="BG192">
        <v>0</v>
      </c>
      <c r="BH192">
        <v>0</v>
      </c>
      <c r="BI192">
        <v>0</v>
      </c>
      <c r="BJ192" t="s">
        <v>749</v>
      </c>
      <c r="BK192">
        <v>0</v>
      </c>
      <c r="BL192" t="s">
        <v>132</v>
      </c>
      <c r="BM192">
        <v>0</v>
      </c>
      <c r="BN192">
        <v>1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 t="s">
        <v>0</v>
      </c>
      <c r="BX192">
        <v>0</v>
      </c>
      <c r="BY192">
        <v>0</v>
      </c>
      <c r="BZ192">
        <v>0</v>
      </c>
      <c r="CA192">
        <v>0</v>
      </c>
      <c r="CB192" t="s">
        <v>145</v>
      </c>
      <c r="CD192" t="str" cm="1">
        <f t="array" aca="1" ref="CD192" ca="1">eConcatenar(A192:CB192,"|")</f>
        <v>YKH3mHG7KFNDBuip|MODIFCARD183|3|MODIF|MODIF|MODIF|MODIF|2022-01-01|1|0|0|0|0|0|0|0|0|0|0|0|0|0|0|0|0|0|0|x|x|x|x|x|x|x|x|x|x|x|x|x|x|x|x|x|x|x|x|x|x|0|1|X|X|X|2022-2-10|2022-02-23|0|0|0|0|0|QWYNRBIY9KVTQO|0|HOMBRE|0|1|0|0|0|0|0|0|0|0|CARDENAS|0|0|0|0|FINAL</v>
      </c>
    </row>
    <row r="193" spans="1:82" x14ac:dyDescent="0.25">
      <c r="A193" t="s">
        <v>329</v>
      </c>
      <c r="B193" s="19" t="s">
        <v>530</v>
      </c>
      <c r="C193">
        <v>3</v>
      </c>
      <c r="D193" t="s">
        <v>346</v>
      </c>
      <c r="E193" t="s">
        <v>346</v>
      </c>
      <c r="F193" t="s">
        <v>346</v>
      </c>
      <c r="G193" t="s">
        <v>346</v>
      </c>
      <c r="H193" s="21" t="s">
        <v>747</v>
      </c>
      <c r="I193">
        <v>1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">
        <v>3</v>
      </c>
      <c r="AC193" t="s">
        <v>3</v>
      </c>
      <c r="AD193" t="s">
        <v>3</v>
      </c>
      <c r="AE193" t="s">
        <v>3</v>
      </c>
      <c r="AF193" t="s">
        <v>3</v>
      </c>
      <c r="AG193" t="s">
        <v>3</v>
      </c>
      <c r="AH193" t="s">
        <v>3</v>
      </c>
      <c r="AI193" t="s">
        <v>3</v>
      </c>
      <c r="AJ193" t="s">
        <v>3</v>
      </c>
      <c r="AK193" t="s">
        <v>3</v>
      </c>
      <c r="AL193" t="s">
        <v>3</v>
      </c>
      <c r="AM193" t="s">
        <v>3</v>
      </c>
      <c r="AN193" t="s">
        <v>3</v>
      </c>
      <c r="AO193" t="s">
        <v>3</v>
      </c>
      <c r="AP193" t="s">
        <v>3</v>
      </c>
      <c r="AQ193" t="s">
        <v>3</v>
      </c>
      <c r="AR193" t="s">
        <v>3</v>
      </c>
      <c r="AS193" t="s">
        <v>3</v>
      </c>
      <c r="AT193" t="s">
        <v>3</v>
      </c>
      <c r="AU193" t="s">
        <v>3</v>
      </c>
      <c r="AV193" t="s">
        <v>3</v>
      </c>
      <c r="AW193" t="s">
        <v>3</v>
      </c>
      <c r="AX193">
        <v>0</v>
      </c>
      <c r="AY193">
        <v>1</v>
      </c>
      <c r="AZ193" t="s">
        <v>1</v>
      </c>
      <c r="BA193" t="s">
        <v>1</v>
      </c>
      <c r="BB193" t="s">
        <v>1</v>
      </c>
      <c r="BC193" s="21" t="s">
        <v>748</v>
      </c>
      <c r="BD193" s="21" t="s">
        <v>144</v>
      </c>
      <c r="BE193">
        <v>0</v>
      </c>
      <c r="BF193">
        <v>0</v>
      </c>
      <c r="BG193">
        <v>0</v>
      </c>
      <c r="BH193">
        <v>0</v>
      </c>
      <c r="BI193">
        <v>0</v>
      </c>
      <c r="BJ193" t="s">
        <v>749</v>
      </c>
      <c r="BK193">
        <v>0</v>
      </c>
      <c r="BL193" t="s">
        <v>132</v>
      </c>
      <c r="BM193">
        <v>0</v>
      </c>
      <c r="BN193">
        <v>1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 t="s">
        <v>0</v>
      </c>
      <c r="BX193">
        <v>0</v>
      </c>
      <c r="BY193">
        <v>0</v>
      </c>
      <c r="BZ193">
        <v>0</v>
      </c>
      <c r="CA193">
        <v>0</v>
      </c>
      <c r="CB193" t="s">
        <v>145</v>
      </c>
      <c r="CD193" t="str" cm="1">
        <f t="array" aca="1" ref="CD193" ca="1">eConcatenar(A193:CB193,"|")</f>
        <v>J2JU8JIJoTK0dK6u|MODIFCARD184|3|MODIF|MODIF|MODIF|MODIF|2022-01-01|1|0|0|0|0|0|0|0|0|0|0|0|0|0|0|0|0|0|0|x|x|x|x|x|x|x|x|x|x|x|x|x|x|x|x|x|x|x|x|x|x|0|1|X|X|X|2022-2-10|2022-02-23|0|0|0|0|0|QWYNRBIY9KVTQO|0|HOMBRE|0|1|0|0|0|0|0|0|0|0|CARDENAS|0|0|0|0|FINAL</v>
      </c>
    </row>
    <row r="194" spans="1:82" x14ac:dyDescent="0.25">
      <c r="A194" t="s">
        <v>330</v>
      </c>
      <c r="B194" s="19" t="s">
        <v>531</v>
      </c>
      <c r="C194">
        <v>3</v>
      </c>
      <c r="D194" t="s">
        <v>346</v>
      </c>
      <c r="E194" t="s">
        <v>346</v>
      </c>
      <c r="F194" t="s">
        <v>346</v>
      </c>
      <c r="G194" t="s">
        <v>346</v>
      </c>
      <c r="H194" s="21" t="s">
        <v>747</v>
      </c>
      <c r="I194">
        <v>1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 t="s">
        <v>3</v>
      </c>
      <c r="AC194" t="s">
        <v>3</v>
      </c>
      <c r="AD194" t="s">
        <v>3</v>
      </c>
      <c r="AE194" t="s">
        <v>3</v>
      </c>
      <c r="AF194" t="s">
        <v>3</v>
      </c>
      <c r="AG194" t="s">
        <v>3</v>
      </c>
      <c r="AH194" t="s">
        <v>3</v>
      </c>
      <c r="AI194" t="s">
        <v>3</v>
      </c>
      <c r="AJ194" t="s">
        <v>3</v>
      </c>
      <c r="AK194" t="s">
        <v>3</v>
      </c>
      <c r="AL194" t="s">
        <v>3</v>
      </c>
      <c r="AM194" t="s">
        <v>3</v>
      </c>
      <c r="AN194" t="s">
        <v>3</v>
      </c>
      <c r="AO194" t="s">
        <v>3</v>
      </c>
      <c r="AP194" t="s">
        <v>3</v>
      </c>
      <c r="AQ194" t="s">
        <v>3</v>
      </c>
      <c r="AR194" t="s">
        <v>3</v>
      </c>
      <c r="AS194" t="s">
        <v>3</v>
      </c>
      <c r="AT194" t="s">
        <v>3</v>
      </c>
      <c r="AU194" t="s">
        <v>3</v>
      </c>
      <c r="AV194" t="s">
        <v>3</v>
      </c>
      <c r="AW194" t="s">
        <v>3</v>
      </c>
      <c r="AX194">
        <v>0</v>
      </c>
      <c r="AY194">
        <v>1</v>
      </c>
      <c r="AZ194" t="s">
        <v>1</v>
      </c>
      <c r="BA194" t="s">
        <v>1</v>
      </c>
      <c r="BB194" t="s">
        <v>1</v>
      </c>
      <c r="BC194" s="21" t="s">
        <v>748</v>
      </c>
      <c r="BD194" s="21" t="s">
        <v>144</v>
      </c>
      <c r="BE194">
        <v>0</v>
      </c>
      <c r="BF194">
        <v>0</v>
      </c>
      <c r="BG194">
        <v>0</v>
      </c>
      <c r="BH194">
        <v>0</v>
      </c>
      <c r="BI194">
        <v>0</v>
      </c>
      <c r="BJ194" t="s">
        <v>749</v>
      </c>
      <c r="BK194">
        <v>0</v>
      </c>
      <c r="BL194" t="s">
        <v>132</v>
      </c>
      <c r="BM194">
        <v>0</v>
      </c>
      <c r="BN194">
        <v>1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 t="s">
        <v>0</v>
      </c>
      <c r="BX194">
        <v>0</v>
      </c>
      <c r="BY194">
        <v>0</v>
      </c>
      <c r="BZ194">
        <v>0</v>
      </c>
      <c r="CA194">
        <v>0</v>
      </c>
      <c r="CB194" t="s">
        <v>145</v>
      </c>
      <c r="CD194" t="str" cm="1">
        <f t="array" aca="1" ref="CD194" ca="1">eConcatenar(A194:CB194,"|")</f>
        <v>YicOPsGFeKfny9OI|MODIFCARD185|3|MODIF|MODIF|MODIF|MODIF|2022-01-01|1|0|0|0|0|0|0|0|0|0|0|0|0|0|0|0|0|0|0|x|x|x|x|x|x|x|x|x|x|x|x|x|x|x|x|x|x|x|x|x|x|0|1|X|X|X|2022-2-10|2022-02-23|0|0|0|0|0|QWYNRBIY9KVTQO|0|HOMBRE|0|1|0|0|0|0|0|0|0|0|CARDENAS|0|0|0|0|FINAL</v>
      </c>
    </row>
    <row r="195" spans="1:82" x14ac:dyDescent="0.25">
      <c r="A195" t="s">
        <v>331</v>
      </c>
      <c r="B195" s="19" t="s">
        <v>532</v>
      </c>
      <c r="C195">
        <v>3</v>
      </c>
      <c r="D195" t="s">
        <v>346</v>
      </c>
      <c r="E195" t="s">
        <v>346</v>
      </c>
      <c r="F195" t="s">
        <v>346</v>
      </c>
      <c r="G195" t="s">
        <v>346</v>
      </c>
      <c r="H195" s="21" t="s">
        <v>747</v>
      </c>
      <c r="I195">
        <v>1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">
        <v>3</v>
      </c>
      <c r="AC195" t="s">
        <v>3</v>
      </c>
      <c r="AD195" t="s">
        <v>3</v>
      </c>
      <c r="AE195" t="s">
        <v>3</v>
      </c>
      <c r="AF195" t="s">
        <v>3</v>
      </c>
      <c r="AG195" t="s">
        <v>3</v>
      </c>
      <c r="AH195" t="s">
        <v>3</v>
      </c>
      <c r="AI195" t="s">
        <v>3</v>
      </c>
      <c r="AJ195" t="s">
        <v>3</v>
      </c>
      <c r="AK195" t="s">
        <v>3</v>
      </c>
      <c r="AL195" t="s">
        <v>3</v>
      </c>
      <c r="AM195" t="s">
        <v>3</v>
      </c>
      <c r="AN195" t="s">
        <v>3</v>
      </c>
      <c r="AO195" t="s">
        <v>3</v>
      </c>
      <c r="AP195" t="s">
        <v>3</v>
      </c>
      <c r="AQ195" t="s">
        <v>3</v>
      </c>
      <c r="AR195" t="s">
        <v>3</v>
      </c>
      <c r="AS195" t="s">
        <v>3</v>
      </c>
      <c r="AT195" t="s">
        <v>3</v>
      </c>
      <c r="AU195" t="s">
        <v>3</v>
      </c>
      <c r="AV195" t="s">
        <v>3</v>
      </c>
      <c r="AW195" t="s">
        <v>3</v>
      </c>
      <c r="AX195">
        <v>0</v>
      </c>
      <c r="AY195">
        <v>1</v>
      </c>
      <c r="AZ195" t="s">
        <v>1</v>
      </c>
      <c r="BA195" t="s">
        <v>1</v>
      </c>
      <c r="BB195" t="s">
        <v>1</v>
      </c>
      <c r="BC195" s="21" t="s">
        <v>748</v>
      </c>
      <c r="BD195" s="21" t="s">
        <v>144</v>
      </c>
      <c r="BE195">
        <v>0</v>
      </c>
      <c r="BF195">
        <v>0</v>
      </c>
      <c r="BG195">
        <v>0</v>
      </c>
      <c r="BH195">
        <v>0</v>
      </c>
      <c r="BI195">
        <v>0</v>
      </c>
      <c r="BJ195" t="s">
        <v>749</v>
      </c>
      <c r="BK195">
        <v>0</v>
      </c>
      <c r="BL195" t="s">
        <v>132</v>
      </c>
      <c r="BM195">
        <v>0</v>
      </c>
      <c r="BN195">
        <v>1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 t="s">
        <v>0</v>
      </c>
      <c r="BX195">
        <v>0</v>
      </c>
      <c r="BY195">
        <v>0</v>
      </c>
      <c r="BZ195">
        <v>0</v>
      </c>
      <c r="CA195">
        <v>0</v>
      </c>
      <c r="CB195" t="s">
        <v>145</v>
      </c>
      <c r="CD195" t="str" cm="1">
        <f t="array" aca="1" ref="CD195" ca="1">eConcatenar(A195:CB195,"|")</f>
        <v>SmtNw1ieFSFDUuJC|MODIFCARD186|3|MODIF|MODIF|MODIF|MODIF|2022-01-01|1|0|0|0|0|0|0|0|0|0|0|0|0|0|0|0|0|0|0|x|x|x|x|x|x|x|x|x|x|x|x|x|x|x|x|x|x|x|x|x|x|0|1|X|X|X|2022-2-10|2022-02-23|0|0|0|0|0|QWYNRBIY9KVTQO|0|HOMBRE|0|1|0|0|0|0|0|0|0|0|CARDENAS|0|0|0|0|FINAL</v>
      </c>
    </row>
    <row r="196" spans="1:82" x14ac:dyDescent="0.25">
      <c r="A196" t="s">
        <v>332</v>
      </c>
      <c r="B196" s="19" t="s">
        <v>533</v>
      </c>
      <c r="C196">
        <v>3</v>
      </c>
      <c r="D196" t="s">
        <v>346</v>
      </c>
      <c r="E196" t="s">
        <v>346</v>
      </c>
      <c r="F196" t="s">
        <v>346</v>
      </c>
      <c r="G196" t="s">
        <v>346</v>
      </c>
      <c r="H196" s="21" t="s">
        <v>747</v>
      </c>
      <c r="I196">
        <v>1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 t="s">
        <v>3</v>
      </c>
      <c r="AC196" t="s">
        <v>3</v>
      </c>
      <c r="AD196" t="s">
        <v>3</v>
      </c>
      <c r="AE196" t="s">
        <v>3</v>
      </c>
      <c r="AF196" t="s">
        <v>3</v>
      </c>
      <c r="AG196" t="s">
        <v>3</v>
      </c>
      <c r="AH196" t="s">
        <v>3</v>
      </c>
      <c r="AI196" t="s">
        <v>3</v>
      </c>
      <c r="AJ196" t="s">
        <v>3</v>
      </c>
      <c r="AK196" t="s">
        <v>3</v>
      </c>
      <c r="AL196" t="s">
        <v>3</v>
      </c>
      <c r="AM196" t="s">
        <v>3</v>
      </c>
      <c r="AN196" t="s">
        <v>3</v>
      </c>
      <c r="AO196" t="s">
        <v>3</v>
      </c>
      <c r="AP196" t="s">
        <v>3</v>
      </c>
      <c r="AQ196" t="s">
        <v>3</v>
      </c>
      <c r="AR196" t="s">
        <v>3</v>
      </c>
      <c r="AS196" t="s">
        <v>3</v>
      </c>
      <c r="AT196" t="s">
        <v>3</v>
      </c>
      <c r="AU196" t="s">
        <v>3</v>
      </c>
      <c r="AV196" t="s">
        <v>3</v>
      </c>
      <c r="AW196" t="s">
        <v>3</v>
      </c>
      <c r="AX196">
        <v>0</v>
      </c>
      <c r="AY196">
        <v>1</v>
      </c>
      <c r="AZ196" t="s">
        <v>1</v>
      </c>
      <c r="BA196" t="s">
        <v>1</v>
      </c>
      <c r="BB196" t="s">
        <v>1</v>
      </c>
      <c r="BC196" s="21" t="s">
        <v>748</v>
      </c>
      <c r="BD196" s="21" t="s">
        <v>144</v>
      </c>
      <c r="BE196">
        <v>0</v>
      </c>
      <c r="BF196">
        <v>0</v>
      </c>
      <c r="BG196">
        <v>0</v>
      </c>
      <c r="BH196">
        <v>0</v>
      </c>
      <c r="BI196">
        <v>0</v>
      </c>
      <c r="BJ196" t="s">
        <v>749</v>
      </c>
      <c r="BK196">
        <v>0</v>
      </c>
      <c r="BL196" t="s">
        <v>132</v>
      </c>
      <c r="BM196">
        <v>0</v>
      </c>
      <c r="BN196">
        <v>1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 t="s">
        <v>0</v>
      </c>
      <c r="BX196">
        <v>0</v>
      </c>
      <c r="BY196">
        <v>0</v>
      </c>
      <c r="BZ196">
        <v>0</v>
      </c>
      <c r="CA196">
        <v>0</v>
      </c>
      <c r="CB196" t="s">
        <v>145</v>
      </c>
      <c r="CD196" t="str" cm="1">
        <f t="array" aca="1" ref="CD196" ca="1">eConcatenar(A196:CB196,"|")</f>
        <v>9Zy3YIMgFHcQund9|MODIFCARD187|3|MODIF|MODIF|MODIF|MODIF|2022-01-01|1|0|0|0|0|0|0|0|0|0|0|0|0|0|0|0|0|0|0|x|x|x|x|x|x|x|x|x|x|x|x|x|x|x|x|x|x|x|x|x|x|0|1|X|X|X|2022-2-10|2022-02-23|0|0|0|0|0|QWYNRBIY9KVTQO|0|HOMBRE|0|1|0|0|0|0|0|0|0|0|CARDENAS|0|0|0|0|FINAL</v>
      </c>
    </row>
    <row r="197" spans="1:82" x14ac:dyDescent="0.25">
      <c r="A197" t="s">
        <v>333</v>
      </c>
      <c r="B197" s="19" t="s">
        <v>534</v>
      </c>
      <c r="C197">
        <v>3</v>
      </c>
      <c r="D197" t="s">
        <v>346</v>
      </c>
      <c r="E197" t="s">
        <v>346</v>
      </c>
      <c r="F197" t="s">
        <v>346</v>
      </c>
      <c r="G197" t="s">
        <v>346</v>
      </c>
      <c r="H197" s="21" t="s">
        <v>747</v>
      </c>
      <c r="I197">
        <v>1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">
        <v>3</v>
      </c>
      <c r="AC197" t="s">
        <v>3</v>
      </c>
      <c r="AD197" t="s">
        <v>3</v>
      </c>
      <c r="AE197" t="s">
        <v>3</v>
      </c>
      <c r="AF197" t="s">
        <v>3</v>
      </c>
      <c r="AG197" t="s">
        <v>3</v>
      </c>
      <c r="AH197" t="s">
        <v>3</v>
      </c>
      <c r="AI197" t="s">
        <v>3</v>
      </c>
      <c r="AJ197" t="s">
        <v>3</v>
      </c>
      <c r="AK197" t="s">
        <v>3</v>
      </c>
      <c r="AL197" t="s">
        <v>3</v>
      </c>
      <c r="AM197" t="s">
        <v>3</v>
      </c>
      <c r="AN197" t="s">
        <v>3</v>
      </c>
      <c r="AO197" t="s">
        <v>3</v>
      </c>
      <c r="AP197" t="s">
        <v>3</v>
      </c>
      <c r="AQ197" t="s">
        <v>3</v>
      </c>
      <c r="AR197" t="s">
        <v>3</v>
      </c>
      <c r="AS197" t="s">
        <v>3</v>
      </c>
      <c r="AT197" t="s">
        <v>3</v>
      </c>
      <c r="AU197" t="s">
        <v>3</v>
      </c>
      <c r="AV197" t="s">
        <v>3</v>
      </c>
      <c r="AW197" t="s">
        <v>3</v>
      </c>
      <c r="AX197">
        <v>0</v>
      </c>
      <c r="AY197">
        <v>1</v>
      </c>
      <c r="AZ197" t="s">
        <v>1</v>
      </c>
      <c r="BA197" t="s">
        <v>1</v>
      </c>
      <c r="BB197" t="s">
        <v>1</v>
      </c>
      <c r="BC197" s="21" t="s">
        <v>748</v>
      </c>
      <c r="BD197" s="21" t="s">
        <v>144</v>
      </c>
      <c r="BE197">
        <v>0</v>
      </c>
      <c r="BF197">
        <v>0</v>
      </c>
      <c r="BG197">
        <v>0</v>
      </c>
      <c r="BH197">
        <v>0</v>
      </c>
      <c r="BI197">
        <v>0</v>
      </c>
      <c r="BJ197" t="s">
        <v>749</v>
      </c>
      <c r="BK197">
        <v>0</v>
      </c>
      <c r="BL197" t="s">
        <v>132</v>
      </c>
      <c r="BM197">
        <v>0</v>
      </c>
      <c r="BN197">
        <v>1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 t="s">
        <v>0</v>
      </c>
      <c r="BX197">
        <v>0</v>
      </c>
      <c r="BY197">
        <v>0</v>
      </c>
      <c r="BZ197">
        <v>0</v>
      </c>
      <c r="CA197">
        <v>0</v>
      </c>
      <c r="CB197" t="s">
        <v>145</v>
      </c>
      <c r="CD197" t="str" cm="1">
        <f t="array" aca="1" ref="CD197" ca="1">eConcatenar(A197:CB197,"|")</f>
        <v>X66Fy1XIjuvFFRT8|MODIFCARD188|3|MODIF|MODIF|MODIF|MODIF|2022-01-01|1|0|0|0|0|0|0|0|0|0|0|0|0|0|0|0|0|0|0|x|x|x|x|x|x|x|x|x|x|x|x|x|x|x|x|x|x|x|x|x|x|0|1|X|X|X|2022-2-10|2022-02-23|0|0|0|0|0|QWYNRBIY9KVTQO|0|HOMBRE|0|1|0|0|0|0|0|0|0|0|CARDENAS|0|0|0|0|FINAL</v>
      </c>
    </row>
    <row r="198" spans="1:82" x14ac:dyDescent="0.25">
      <c r="A198" t="s">
        <v>334</v>
      </c>
      <c r="B198" s="19" t="s">
        <v>535</v>
      </c>
      <c r="C198">
        <v>3</v>
      </c>
      <c r="D198" t="s">
        <v>346</v>
      </c>
      <c r="E198" t="s">
        <v>346</v>
      </c>
      <c r="F198" t="s">
        <v>346</v>
      </c>
      <c r="G198" t="s">
        <v>346</v>
      </c>
      <c r="H198" s="21" t="s">
        <v>747</v>
      </c>
      <c r="I198">
        <v>1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t="s">
        <v>3</v>
      </c>
      <c r="AC198" t="s">
        <v>3</v>
      </c>
      <c r="AD198" t="s">
        <v>3</v>
      </c>
      <c r="AE198" t="s">
        <v>3</v>
      </c>
      <c r="AF198" t="s">
        <v>3</v>
      </c>
      <c r="AG198" t="s">
        <v>3</v>
      </c>
      <c r="AH198" t="s">
        <v>3</v>
      </c>
      <c r="AI198" t="s">
        <v>3</v>
      </c>
      <c r="AJ198" t="s">
        <v>3</v>
      </c>
      <c r="AK198" t="s">
        <v>3</v>
      </c>
      <c r="AL198" t="s">
        <v>3</v>
      </c>
      <c r="AM198" t="s">
        <v>3</v>
      </c>
      <c r="AN198" t="s">
        <v>3</v>
      </c>
      <c r="AO198" t="s">
        <v>3</v>
      </c>
      <c r="AP198" t="s">
        <v>3</v>
      </c>
      <c r="AQ198" t="s">
        <v>3</v>
      </c>
      <c r="AR198" t="s">
        <v>3</v>
      </c>
      <c r="AS198" t="s">
        <v>3</v>
      </c>
      <c r="AT198" t="s">
        <v>3</v>
      </c>
      <c r="AU198" t="s">
        <v>3</v>
      </c>
      <c r="AV198" t="s">
        <v>3</v>
      </c>
      <c r="AW198" t="s">
        <v>3</v>
      </c>
      <c r="AX198">
        <v>0</v>
      </c>
      <c r="AY198">
        <v>1</v>
      </c>
      <c r="AZ198" t="s">
        <v>1</v>
      </c>
      <c r="BA198" t="s">
        <v>1</v>
      </c>
      <c r="BB198" t="s">
        <v>1</v>
      </c>
      <c r="BC198" s="21" t="s">
        <v>748</v>
      </c>
      <c r="BD198" s="21" t="s">
        <v>144</v>
      </c>
      <c r="BE198">
        <v>0</v>
      </c>
      <c r="BF198">
        <v>0</v>
      </c>
      <c r="BG198">
        <v>0</v>
      </c>
      <c r="BH198">
        <v>0</v>
      </c>
      <c r="BI198">
        <v>0</v>
      </c>
      <c r="BJ198" t="s">
        <v>749</v>
      </c>
      <c r="BK198">
        <v>0</v>
      </c>
      <c r="BL198" t="s">
        <v>132</v>
      </c>
      <c r="BM198">
        <v>0</v>
      </c>
      <c r="BN198">
        <v>1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 t="s">
        <v>0</v>
      </c>
      <c r="BX198">
        <v>0</v>
      </c>
      <c r="BY198">
        <v>0</v>
      </c>
      <c r="BZ198">
        <v>0</v>
      </c>
      <c r="CA198">
        <v>0</v>
      </c>
      <c r="CB198" t="s">
        <v>145</v>
      </c>
      <c r="CD198" t="str" cm="1">
        <f t="array" aca="1" ref="CD198" ca="1">eConcatenar(A198:CB198,"|")</f>
        <v>V8Jx1dlP1bfyqanT|MODIFCARD189|3|MODIF|MODIF|MODIF|MODIF|2022-01-01|1|0|0|0|0|0|0|0|0|0|0|0|0|0|0|0|0|0|0|x|x|x|x|x|x|x|x|x|x|x|x|x|x|x|x|x|x|x|x|x|x|0|1|X|X|X|2022-2-10|2022-02-23|0|0|0|0|0|QWYNRBIY9KVTQO|0|HOMBRE|0|1|0|0|0|0|0|0|0|0|CARDENAS|0|0|0|0|FINAL</v>
      </c>
    </row>
    <row r="199" spans="1:82" x14ac:dyDescent="0.25">
      <c r="A199" t="s">
        <v>335</v>
      </c>
      <c r="B199" s="19" t="s">
        <v>536</v>
      </c>
      <c r="C199">
        <v>3</v>
      </c>
      <c r="D199" t="s">
        <v>346</v>
      </c>
      <c r="E199" t="s">
        <v>346</v>
      </c>
      <c r="F199" t="s">
        <v>346</v>
      </c>
      <c r="G199" t="s">
        <v>346</v>
      </c>
      <c r="H199" s="21" t="s">
        <v>747</v>
      </c>
      <c r="I199">
        <v>1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 t="s">
        <v>3</v>
      </c>
      <c r="AC199" t="s">
        <v>3</v>
      </c>
      <c r="AD199" t="s">
        <v>3</v>
      </c>
      <c r="AE199" t="s">
        <v>3</v>
      </c>
      <c r="AF199" t="s">
        <v>3</v>
      </c>
      <c r="AG199" t="s">
        <v>3</v>
      </c>
      <c r="AH199" t="s">
        <v>3</v>
      </c>
      <c r="AI199" t="s">
        <v>3</v>
      </c>
      <c r="AJ199" t="s">
        <v>3</v>
      </c>
      <c r="AK199" t="s">
        <v>3</v>
      </c>
      <c r="AL199" t="s">
        <v>3</v>
      </c>
      <c r="AM199" t="s">
        <v>3</v>
      </c>
      <c r="AN199" t="s">
        <v>3</v>
      </c>
      <c r="AO199" t="s">
        <v>3</v>
      </c>
      <c r="AP199" t="s">
        <v>3</v>
      </c>
      <c r="AQ199" t="s">
        <v>3</v>
      </c>
      <c r="AR199" t="s">
        <v>3</v>
      </c>
      <c r="AS199" t="s">
        <v>3</v>
      </c>
      <c r="AT199" t="s">
        <v>3</v>
      </c>
      <c r="AU199" t="s">
        <v>3</v>
      </c>
      <c r="AV199" t="s">
        <v>3</v>
      </c>
      <c r="AW199" t="s">
        <v>3</v>
      </c>
      <c r="AX199">
        <v>0</v>
      </c>
      <c r="AY199">
        <v>1</v>
      </c>
      <c r="AZ199" t="s">
        <v>1</v>
      </c>
      <c r="BA199" t="s">
        <v>1</v>
      </c>
      <c r="BB199" t="s">
        <v>1</v>
      </c>
      <c r="BC199" s="21" t="s">
        <v>748</v>
      </c>
      <c r="BD199" s="21" t="s">
        <v>144</v>
      </c>
      <c r="BE199">
        <v>0</v>
      </c>
      <c r="BF199">
        <v>0</v>
      </c>
      <c r="BG199">
        <v>0</v>
      </c>
      <c r="BH199">
        <v>0</v>
      </c>
      <c r="BI199">
        <v>0</v>
      </c>
      <c r="BJ199" t="s">
        <v>749</v>
      </c>
      <c r="BK199">
        <v>0</v>
      </c>
      <c r="BL199" t="s">
        <v>132</v>
      </c>
      <c r="BM199">
        <v>0</v>
      </c>
      <c r="BN199">
        <v>1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 t="s">
        <v>0</v>
      </c>
      <c r="BX199">
        <v>0</v>
      </c>
      <c r="BY199">
        <v>0</v>
      </c>
      <c r="BZ199">
        <v>0</v>
      </c>
      <c r="CA199">
        <v>0</v>
      </c>
      <c r="CB199" t="s">
        <v>145</v>
      </c>
      <c r="CD199" t="str" cm="1">
        <f t="array" aca="1" ref="CD199" ca="1">eConcatenar(A199:CB199,"|")</f>
        <v>HpYPcARPIsSHIa4C|MODIFCARD190|3|MODIF|MODIF|MODIF|MODIF|2022-01-01|1|0|0|0|0|0|0|0|0|0|0|0|0|0|0|0|0|0|0|x|x|x|x|x|x|x|x|x|x|x|x|x|x|x|x|x|x|x|x|x|x|0|1|X|X|X|2022-2-10|2022-02-23|0|0|0|0|0|QWYNRBIY9KVTQO|0|HOMBRE|0|1|0|0|0|0|0|0|0|0|CARDENAS|0|0|0|0|FINAL</v>
      </c>
    </row>
    <row r="200" spans="1:82" x14ac:dyDescent="0.25">
      <c r="A200" t="s">
        <v>336</v>
      </c>
      <c r="B200" s="19" t="s">
        <v>537</v>
      </c>
      <c r="C200">
        <v>3</v>
      </c>
      <c r="D200" t="s">
        <v>346</v>
      </c>
      <c r="E200" t="s">
        <v>346</v>
      </c>
      <c r="F200" t="s">
        <v>346</v>
      </c>
      <c r="G200" t="s">
        <v>346</v>
      </c>
      <c r="H200" s="21" t="s">
        <v>747</v>
      </c>
      <c r="I200">
        <v>1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t="s">
        <v>3</v>
      </c>
      <c r="AC200" t="s">
        <v>3</v>
      </c>
      <c r="AD200" t="s">
        <v>3</v>
      </c>
      <c r="AE200" t="s">
        <v>3</v>
      </c>
      <c r="AF200" t="s">
        <v>3</v>
      </c>
      <c r="AG200" t="s">
        <v>3</v>
      </c>
      <c r="AH200" t="s">
        <v>3</v>
      </c>
      <c r="AI200" t="s">
        <v>3</v>
      </c>
      <c r="AJ200" t="s">
        <v>3</v>
      </c>
      <c r="AK200" t="s">
        <v>3</v>
      </c>
      <c r="AL200" t="s">
        <v>3</v>
      </c>
      <c r="AM200" t="s">
        <v>3</v>
      </c>
      <c r="AN200" t="s">
        <v>3</v>
      </c>
      <c r="AO200" t="s">
        <v>3</v>
      </c>
      <c r="AP200" t="s">
        <v>3</v>
      </c>
      <c r="AQ200" t="s">
        <v>3</v>
      </c>
      <c r="AR200" t="s">
        <v>3</v>
      </c>
      <c r="AS200" t="s">
        <v>3</v>
      </c>
      <c r="AT200" t="s">
        <v>3</v>
      </c>
      <c r="AU200" t="s">
        <v>3</v>
      </c>
      <c r="AV200" t="s">
        <v>3</v>
      </c>
      <c r="AW200" t="s">
        <v>3</v>
      </c>
      <c r="AX200">
        <v>0</v>
      </c>
      <c r="AY200">
        <v>1</v>
      </c>
      <c r="AZ200" t="s">
        <v>1</v>
      </c>
      <c r="BA200" t="s">
        <v>1</v>
      </c>
      <c r="BB200" t="s">
        <v>1</v>
      </c>
      <c r="BC200" s="21" t="s">
        <v>748</v>
      </c>
      <c r="BD200" s="21" t="s">
        <v>144</v>
      </c>
      <c r="BE200">
        <v>0</v>
      </c>
      <c r="BF200">
        <v>0</v>
      </c>
      <c r="BG200">
        <v>0</v>
      </c>
      <c r="BH200">
        <v>0</v>
      </c>
      <c r="BI200">
        <v>0</v>
      </c>
      <c r="BJ200" t="s">
        <v>749</v>
      </c>
      <c r="BK200">
        <v>0</v>
      </c>
      <c r="BL200" t="s">
        <v>132</v>
      </c>
      <c r="BM200">
        <v>0</v>
      </c>
      <c r="BN200">
        <v>1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 t="s">
        <v>0</v>
      </c>
      <c r="BX200">
        <v>0</v>
      </c>
      <c r="BY200">
        <v>0</v>
      </c>
      <c r="BZ200">
        <v>0</v>
      </c>
      <c r="CA200">
        <v>0</v>
      </c>
      <c r="CB200" t="s">
        <v>145</v>
      </c>
      <c r="CD200" t="str" cm="1">
        <f t="array" aca="1" ref="CD200" ca="1">eConcatenar(A200:CB200,"|")</f>
        <v>Ee5zgpcUaNf4dFRn|MODIFCARD191|3|MODIF|MODIF|MODIF|MODIF|2022-01-01|1|0|0|0|0|0|0|0|0|0|0|0|0|0|0|0|0|0|0|x|x|x|x|x|x|x|x|x|x|x|x|x|x|x|x|x|x|x|x|x|x|0|1|X|X|X|2022-2-10|2022-02-23|0|0|0|0|0|QWYNRBIY9KVTQO|0|HOMBRE|0|1|0|0|0|0|0|0|0|0|CARDENAS|0|0|0|0|FINAL</v>
      </c>
    </row>
    <row r="201" spans="1:82" x14ac:dyDescent="0.25">
      <c r="A201" t="s">
        <v>337</v>
      </c>
      <c r="B201" s="19" t="s">
        <v>538</v>
      </c>
      <c r="C201">
        <v>3</v>
      </c>
      <c r="D201" t="s">
        <v>346</v>
      </c>
      <c r="E201" t="s">
        <v>346</v>
      </c>
      <c r="F201" t="s">
        <v>346</v>
      </c>
      <c r="G201" t="s">
        <v>346</v>
      </c>
      <c r="H201" s="21" t="s">
        <v>747</v>
      </c>
      <c r="I201">
        <v>1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 t="s">
        <v>3</v>
      </c>
      <c r="AC201" t="s">
        <v>3</v>
      </c>
      <c r="AD201" t="s">
        <v>3</v>
      </c>
      <c r="AE201" t="s">
        <v>3</v>
      </c>
      <c r="AF201" t="s">
        <v>3</v>
      </c>
      <c r="AG201" t="s">
        <v>3</v>
      </c>
      <c r="AH201" t="s">
        <v>3</v>
      </c>
      <c r="AI201" t="s">
        <v>3</v>
      </c>
      <c r="AJ201" t="s">
        <v>3</v>
      </c>
      <c r="AK201" t="s">
        <v>3</v>
      </c>
      <c r="AL201" t="s">
        <v>3</v>
      </c>
      <c r="AM201" t="s">
        <v>3</v>
      </c>
      <c r="AN201" t="s">
        <v>3</v>
      </c>
      <c r="AO201" t="s">
        <v>3</v>
      </c>
      <c r="AP201" t="s">
        <v>3</v>
      </c>
      <c r="AQ201" t="s">
        <v>3</v>
      </c>
      <c r="AR201" t="s">
        <v>3</v>
      </c>
      <c r="AS201" t="s">
        <v>3</v>
      </c>
      <c r="AT201" t="s">
        <v>3</v>
      </c>
      <c r="AU201" t="s">
        <v>3</v>
      </c>
      <c r="AV201" t="s">
        <v>3</v>
      </c>
      <c r="AW201" t="s">
        <v>3</v>
      </c>
      <c r="AX201">
        <v>0</v>
      </c>
      <c r="AY201">
        <v>1</v>
      </c>
      <c r="AZ201" t="s">
        <v>1</v>
      </c>
      <c r="BA201" t="s">
        <v>1</v>
      </c>
      <c r="BB201" t="s">
        <v>1</v>
      </c>
      <c r="BC201" s="21" t="s">
        <v>748</v>
      </c>
      <c r="BD201" s="21" t="s">
        <v>144</v>
      </c>
      <c r="BE201">
        <v>0</v>
      </c>
      <c r="BF201">
        <v>0</v>
      </c>
      <c r="BG201">
        <v>0</v>
      </c>
      <c r="BH201">
        <v>0</v>
      </c>
      <c r="BI201">
        <v>0</v>
      </c>
      <c r="BJ201" t="s">
        <v>749</v>
      </c>
      <c r="BK201">
        <v>0</v>
      </c>
      <c r="BL201" t="s">
        <v>132</v>
      </c>
      <c r="BM201">
        <v>0</v>
      </c>
      <c r="BN201">
        <v>1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 t="s">
        <v>0</v>
      </c>
      <c r="BX201">
        <v>0</v>
      </c>
      <c r="BY201">
        <v>0</v>
      </c>
      <c r="BZ201">
        <v>0</v>
      </c>
      <c r="CA201">
        <v>0</v>
      </c>
      <c r="CB201" t="s">
        <v>145</v>
      </c>
      <c r="CD201" t="str" cm="1">
        <f t="array" aca="1" ref="CD201" ca="1">eConcatenar(A201:CB201,"|")</f>
        <v>ACBfk5KZD5XveQOO|MODIFCARD192|3|MODIF|MODIF|MODIF|MODIF|2022-01-01|1|0|0|0|0|0|0|0|0|0|0|0|0|0|0|0|0|0|0|x|x|x|x|x|x|x|x|x|x|x|x|x|x|x|x|x|x|x|x|x|x|0|1|X|X|X|2022-2-10|2022-02-23|0|0|0|0|0|QWYNRBIY9KVTQO|0|HOMBRE|0|1|0|0|0|0|0|0|0|0|CARDENAS|0|0|0|0|FINAL</v>
      </c>
    </row>
    <row r="202" spans="1:82" x14ac:dyDescent="0.25">
      <c r="A202" t="s">
        <v>338</v>
      </c>
      <c r="B202" s="19" t="s">
        <v>539</v>
      </c>
      <c r="C202">
        <v>3</v>
      </c>
      <c r="D202" t="s">
        <v>346</v>
      </c>
      <c r="E202" t="s">
        <v>346</v>
      </c>
      <c r="F202" t="s">
        <v>346</v>
      </c>
      <c r="G202" t="s">
        <v>346</v>
      </c>
      <c r="H202" s="21" t="s">
        <v>747</v>
      </c>
      <c r="I202">
        <v>1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 t="s">
        <v>3</v>
      </c>
      <c r="AC202" t="s">
        <v>3</v>
      </c>
      <c r="AD202" t="s">
        <v>3</v>
      </c>
      <c r="AE202" t="s">
        <v>3</v>
      </c>
      <c r="AF202" t="s">
        <v>3</v>
      </c>
      <c r="AG202" t="s">
        <v>3</v>
      </c>
      <c r="AH202" t="s">
        <v>3</v>
      </c>
      <c r="AI202" t="s">
        <v>3</v>
      </c>
      <c r="AJ202" t="s">
        <v>3</v>
      </c>
      <c r="AK202" t="s">
        <v>3</v>
      </c>
      <c r="AL202" t="s">
        <v>3</v>
      </c>
      <c r="AM202" t="s">
        <v>3</v>
      </c>
      <c r="AN202" t="s">
        <v>3</v>
      </c>
      <c r="AO202" t="s">
        <v>3</v>
      </c>
      <c r="AP202" t="s">
        <v>3</v>
      </c>
      <c r="AQ202" t="s">
        <v>3</v>
      </c>
      <c r="AR202" t="s">
        <v>3</v>
      </c>
      <c r="AS202" t="s">
        <v>3</v>
      </c>
      <c r="AT202" t="s">
        <v>3</v>
      </c>
      <c r="AU202" t="s">
        <v>3</v>
      </c>
      <c r="AV202" t="s">
        <v>3</v>
      </c>
      <c r="AW202" t="s">
        <v>3</v>
      </c>
      <c r="AX202">
        <v>0</v>
      </c>
      <c r="AY202">
        <v>1</v>
      </c>
      <c r="AZ202" t="s">
        <v>1</v>
      </c>
      <c r="BA202" t="s">
        <v>1</v>
      </c>
      <c r="BB202" t="s">
        <v>1</v>
      </c>
      <c r="BC202" s="21" t="s">
        <v>748</v>
      </c>
      <c r="BD202" s="21" t="s">
        <v>144</v>
      </c>
      <c r="BE202">
        <v>0</v>
      </c>
      <c r="BF202">
        <v>0</v>
      </c>
      <c r="BG202">
        <v>0</v>
      </c>
      <c r="BH202">
        <v>0</v>
      </c>
      <c r="BI202">
        <v>0</v>
      </c>
      <c r="BJ202" t="s">
        <v>749</v>
      </c>
      <c r="BK202">
        <v>0</v>
      </c>
      <c r="BL202" t="s">
        <v>132</v>
      </c>
      <c r="BM202">
        <v>0</v>
      </c>
      <c r="BN202">
        <v>1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 t="s">
        <v>0</v>
      </c>
      <c r="BX202">
        <v>0</v>
      </c>
      <c r="BY202">
        <v>0</v>
      </c>
      <c r="BZ202">
        <v>0</v>
      </c>
      <c r="CA202">
        <v>0</v>
      </c>
      <c r="CB202" t="s">
        <v>145</v>
      </c>
      <c r="CD202" t="str" cm="1">
        <f t="array" aca="1" ref="CD202" ca="1">eConcatenar(A202:CB202,"|")</f>
        <v>a25I6zhY8G1H4MnH|MODIFCARD193|3|MODIF|MODIF|MODIF|MODIF|2022-01-01|1|0|0|0|0|0|0|0|0|0|0|0|0|0|0|0|0|0|0|x|x|x|x|x|x|x|x|x|x|x|x|x|x|x|x|x|x|x|x|x|x|0|1|X|X|X|2022-2-10|2022-02-23|0|0|0|0|0|QWYNRBIY9KVTQO|0|HOMBRE|0|1|0|0|0|0|0|0|0|0|CARDENAS|0|0|0|0|FINAL</v>
      </c>
    </row>
    <row r="203" spans="1:82" x14ac:dyDescent="0.25">
      <c r="A203" t="s">
        <v>339</v>
      </c>
      <c r="B203" s="19" t="s">
        <v>540</v>
      </c>
      <c r="C203">
        <v>3</v>
      </c>
      <c r="D203" t="s">
        <v>346</v>
      </c>
      <c r="E203" t="s">
        <v>346</v>
      </c>
      <c r="F203" t="s">
        <v>346</v>
      </c>
      <c r="G203" t="s">
        <v>346</v>
      </c>
      <c r="H203" s="21" t="s">
        <v>747</v>
      </c>
      <c r="I203">
        <v>1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t="s">
        <v>3</v>
      </c>
      <c r="AC203" t="s">
        <v>3</v>
      </c>
      <c r="AD203" t="s">
        <v>3</v>
      </c>
      <c r="AE203" t="s">
        <v>3</v>
      </c>
      <c r="AF203" t="s">
        <v>3</v>
      </c>
      <c r="AG203" t="s">
        <v>3</v>
      </c>
      <c r="AH203" t="s">
        <v>3</v>
      </c>
      <c r="AI203" t="s">
        <v>3</v>
      </c>
      <c r="AJ203" t="s">
        <v>3</v>
      </c>
      <c r="AK203" t="s">
        <v>3</v>
      </c>
      <c r="AL203" t="s">
        <v>3</v>
      </c>
      <c r="AM203" t="s">
        <v>3</v>
      </c>
      <c r="AN203" t="s">
        <v>3</v>
      </c>
      <c r="AO203" t="s">
        <v>3</v>
      </c>
      <c r="AP203" t="s">
        <v>3</v>
      </c>
      <c r="AQ203" t="s">
        <v>3</v>
      </c>
      <c r="AR203" t="s">
        <v>3</v>
      </c>
      <c r="AS203" t="s">
        <v>3</v>
      </c>
      <c r="AT203" t="s">
        <v>3</v>
      </c>
      <c r="AU203" t="s">
        <v>3</v>
      </c>
      <c r="AV203" t="s">
        <v>3</v>
      </c>
      <c r="AW203" t="s">
        <v>3</v>
      </c>
      <c r="AX203">
        <v>0</v>
      </c>
      <c r="AY203">
        <v>1</v>
      </c>
      <c r="AZ203" t="s">
        <v>1</v>
      </c>
      <c r="BA203" t="s">
        <v>1</v>
      </c>
      <c r="BB203" t="s">
        <v>1</v>
      </c>
      <c r="BC203" s="21" t="s">
        <v>748</v>
      </c>
      <c r="BD203" s="21" t="s">
        <v>144</v>
      </c>
      <c r="BE203">
        <v>0</v>
      </c>
      <c r="BF203">
        <v>0</v>
      </c>
      <c r="BG203">
        <v>0</v>
      </c>
      <c r="BH203">
        <v>0</v>
      </c>
      <c r="BI203">
        <v>0</v>
      </c>
      <c r="BJ203" t="s">
        <v>749</v>
      </c>
      <c r="BK203">
        <v>0</v>
      </c>
      <c r="BL203" t="s">
        <v>132</v>
      </c>
      <c r="BM203">
        <v>0</v>
      </c>
      <c r="BN203">
        <v>1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 t="s">
        <v>0</v>
      </c>
      <c r="BX203">
        <v>0</v>
      </c>
      <c r="BY203">
        <v>0</v>
      </c>
      <c r="BZ203">
        <v>0</v>
      </c>
      <c r="CA203">
        <v>0</v>
      </c>
      <c r="CB203" t="s">
        <v>145</v>
      </c>
      <c r="CD203" t="str" cm="1">
        <f t="array" aca="1" ref="CD203" ca="1">eConcatenar(A203:CB203,"|")</f>
        <v>gmheuxgRejUDqBPo|MODIFCARD194|3|MODIF|MODIF|MODIF|MODIF|2022-01-01|1|0|0|0|0|0|0|0|0|0|0|0|0|0|0|0|0|0|0|x|x|x|x|x|x|x|x|x|x|x|x|x|x|x|x|x|x|x|x|x|x|0|1|X|X|X|2022-2-10|2022-02-23|0|0|0|0|0|QWYNRBIY9KVTQO|0|HOMBRE|0|1|0|0|0|0|0|0|0|0|CARDENAS|0|0|0|0|FINAL</v>
      </c>
    </row>
    <row r="204" spans="1:82" x14ac:dyDescent="0.25">
      <c r="A204" t="s">
        <v>340</v>
      </c>
      <c r="B204" s="19" t="s">
        <v>541</v>
      </c>
      <c r="C204">
        <v>3</v>
      </c>
      <c r="D204" t="s">
        <v>346</v>
      </c>
      <c r="E204" t="s">
        <v>346</v>
      </c>
      <c r="F204" t="s">
        <v>346</v>
      </c>
      <c r="G204" t="s">
        <v>346</v>
      </c>
      <c r="H204" s="21" t="s">
        <v>747</v>
      </c>
      <c r="I204">
        <v>1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 t="s">
        <v>3</v>
      </c>
      <c r="AC204" t="s">
        <v>3</v>
      </c>
      <c r="AD204" t="s">
        <v>3</v>
      </c>
      <c r="AE204" t="s">
        <v>3</v>
      </c>
      <c r="AF204" t="s">
        <v>3</v>
      </c>
      <c r="AG204" t="s">
        <v>3</v>
      </c>
      <c r="AH204" t="s">
        <v>3</v>
      </c>
      <c r="AI204" t="s">
        <v>3</v>
      </c>
      <c r="AJ204" t="s">
        <v>3</v>
      </c>
      <c r="AK204" t="s">
        <v>3</v>
      </c>
      <c r="AL204" t="s">
        <v>3</v>
      </c>
      <c r="AM204" t="s">
        <v>3</v>
      </c>
      <c r="AN204" t="s">
        <v>3</v>
      </c>
      <c r="AO204" t="s">
        <v>3</v>
      </c>
      <c r="AP204" t="s">
        <v>3</v>
      </c>
      <c r="AQ204" t="s">
        <v>3</v>
      </c>
      <c r="AR204" t="s">
        <v>3</v>
      </c>
      <c r="AS204" t="s">
        <v>3</v>
      </c>
      <c r="AT204" t="s">
        <v>3</v>
      </c>
      <c r="AU204" t="s">
        <v>3</v>
      </c>
      <c r="AV204" t="s">
        <v>3</v>
      </c>
      <c r="AW204" t="s">
        <v>3</v>
      </c>
      <c r="AX204">
        <v>0</v>
      </c>
      <c r="AY204">
        <v>1</v>
      </c>
      <c r="AZ204" t="s">
        <v>1</v>
      </c>
      <c r="BA204" t="s">
        <v>1</v>
      </c>
      <c r="BB204" t="s">
        <v>1</v>
      </c>
      <c r="BC204" s="21" t="s">
        <v>748</v>
      </c>
      <c r="BD204" s="21" t="s">
        <v>144</v>
      </c>
      <c r="BE204">
        <v>0</v>
      </c>
      <c r="BF204">
        <v>0</v>
      </c>
      <c r="BG204">
        <v>0</v>
      </c>
      <c r="BH204">
        <v>0</v>
      </c>
      <c r="BI204">
        <v>0</v>
      </c>
      <c r="BJ204" t="s">
        <v>749</v>
      </c>
      <c r="BK204">
        <v>0</v>
      </c>
      <c r="BL204" t="s">
        <v>132</v>
      </c>
      <c r="BM204">
        <v>0</v>
      </c>
      <c r="BN204">
        <v>1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 t="s">
        <v>0</v>
      </c>
      <c r="BX204">
        <v>0</v>
      </c>
      <c r="BY204">
        <v>0</v>
      </c>
      <c r="BZ204">
        <v>0</v>
      </c>
      <c r="CA204">
        <v>0</v>
      </c>
      <c r="CB204" t="s">
        <v>145</v>
      </c>
      <c r="CD204" t="str" cm="1">
        <f t="array" aca="1" ref="CD204" ca="1">eConcatenar(A204:CB204,"|")</f>
        <v>wJU6iP6fktURAmD1|MODIFCARD195|3|MODIF|MODIF|MODIF|MODIF|2022-01-01|1|0|0|0|0|0|0|0|0|0|0|0|0|0|0|0|0|0|0|x|x|x|x|x|x|x|x|x|x|x|x|x|x|x|x|x|x|x|x|x|x|0|1|X|X|X|2022-2-10|2022-02-23|0|0|0|0|0|QWYNRBIY9KVTQO|0|HOMBRE|0|1|0|0|0|0|0|0|0|0|CARDENAS|0|0|0|0|FINAL</v>
      </c>
    </row>
    <row r="205" spans="1:82" x14ac:dyDescent="0.25">
      <c r="A205" t="s">
        <v>341</v>
      </c>
      <c r="B205" s="19" t="s">
        <v>542</v>
      </c>
      <c r="C205">
        <v>3</v>
      </c>
      <c r="D205" t="s">
        <v>346</v>
      </c>
      <c r="E205" t="s">
        <v>346</v>
      </c>
      <c r="F205" t="s">
        <v>346</v>
      </c>
      <c r="G205" t="s">
        <v>346</v>
      </c>
      <c r="H205" s="21" t="s">
        <v>747</v>
      </c>
      <c r="I205">
        <v>1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">
        <v>3</v>
      </c>
      <c r="AC205" t="s">
        <v>3</v>
      </c>
      <c r="AD205" t="s">
        <v>3</v>
      </c>
      <c r="AE205" t="s">
        <v>3</v>
      </c>
      <c r="AF205" t="s">
        <v>3</v>
      </c>
      <c r="AG205" t="s">
        <v>3</v>
      </c>
      <c r="AH205" t="s">
        <v>3</v>
      </c>
      <c r="AI205" t="s">
        <v>3</v>
      </c>
      <c r="AJ205" t="s">
        <v>3</v>
      </c>
      <c r="AK205" t="s">
        <v>3</v>
      </c>
      <c r="AL205" t="s">
        <v>3</v>
      </c>
      <c r="AM205" t="s">
        <v>3</v>
      </c>
      <c r="AN205" t="s">
        <v>3</v>
      </c>
      <c r="AO205" t="s">
        <v>3</v>
      </c>
      <c r="AP205" t="s">
        <v>3</v>
      </c>
      <c r="AQ205" t="s">
        <v>3</v>
      </c>
      <c r="AR205" t="s">
        <v>3</v>
      </c>
      <c r="AS205" t="s">
        <v>3</v>
      </c>
      <c r="AT205" t="s">
        <v>3</v>
      </c>
      <c r="AU205" t="s">
        <v>3</v>
      </c>
      <c r="AV205" t="s">
        <v>3</v>
      </c>
      <c r="AW205" t="s">
        <v>3</v>
      </c>
      <c r="AX205">
        <v>0</v>
      </c>
      <c r="AY205">
        <v>1</v>
      </c>
      <c r="AZ205" t="s">
        <v>1</v>
      </c>
      <c r="BA205" t="s">
        <v>1</v>
      </c>
      <c r="BB205" t="s">
        <v>1</v>
      </c>
      <c r="BC205" s="21" t="s">
        <v>748</v>
      </c>
      <c r="BD205" s="21" t="s">
        <v>144</v>
      </c>
      <c r="BE205">
        <v>0</v>
      </c>
      <c r="BF205">
        <v>0</v>
      </c>
      <c r="BG205">
        <v>0</v>
      </c>
      <c r="BH205">
        <v>0</v>
      </c>
      <c r="BI205">
        <v>0</v>
      </c>
      <c r="BJ205" t="s">
        <v>749</v>
      </c>
      <c r="BK205">
        <v>0</v>
      </c>
      <c r="BL205" t="s">
        <v>132</v>
      </c>
      <c r="BM205">
        <v>0</v>
      </c>
      <c r="BN205">
        <v>1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 t="s">
        <v>0</v>
      </c>
      <c r="BX205">
        <v>0</v>
      </c>
      <c r="BY205">
        <v>0</v>
      </c>
      <c r="BZ205">
        <v>0</v>
      </c>
      <c r="CA205">
        <v>0</v>
      </c>
      <c r="CB205" t="s">
        <v>145</v>
      </c>
      <c r="CD205" t="str" cm="1">
        <f t="array" aca="1" ref="CD205" ca="1">eConcatenar(A205:CB205,"|")</f>
        <v>9o7X8Sm6DlTpf2A7|MODIFCARD196|3|MODIF|MODIF|MODIF|MODIF|2022-01-01|1|0|0|0|0|0|0|0|0|0|0|0|0|0|0|0|0|0|0|x|x|x|x|x|x|x|x|x|x|x|x|x|x|x|x|x|x|x|x|x|x|0|1|X|X|X|2022-2-10|2022-02-23|0|0|0|0|0|QWYNRBIY9KVTQO|0|HOMBRE|0|1|0|0|0|0|0|0|0|0|CARDENAS|0|0|0|0|FINAL</v>
      </c>
    </row>
    <row r="206" spans="1:82" x14ac:dyDescent="0.25">
      <c r="A206" t="s">
        <v>342</v>
      </c>
      <c r="B206" s="19" t="s">
        <v>543</v>
      </c>
      <c r="C206">
        <v>3</v>
      </c>
      <c r="D206" t="s">
        <v>346</v>
      </c>
      <c r="E206" t="s">
        <v>346</v>
      </c>
      <c r="F206" t="s">
        <v>346</v>
      </c>
      <c r="G206" t="s">
        <v>346</v>
      </c>
      <c r="H206" s="21" t="s">
        <v>747</v>
      </c>
      <c r="I206">
        <v>1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">
        <v>3</v>
      </c>
      <c r="AC206" t="s">
        <v>3</v>
      </c>
      <c r="AD206" t="s">
        <v>3</v>
      </c>
      <c r="AE206" t="s">
        <v>3</v>
      </c>
      <c r="AF206" t="s">
        <v>3</v>
      </c>
      <c r="AG206" t="s">
        <v>3</v>
      </c>
      <c r="AH206" t="s">
        <v>3</v>
      </c>
      <c r="AI206" t="s">
        <v>3</v>
      </c>
      <c r="AJ206" t="s">
        <v>3</v>
      </c>
      <c r="AK206" t="s">
        <v>3</v>
      </c>
      <c r="AL206" t="s">
        <v>3</v>
      </c>
      <c r="AM206" t="s">
        <v>3</v>
      </c>
      <c r="AN206" t="s">
        <v>3</v>
      </c>
      <c r="AO206" t="s">
        <v>3</v>
      </c>
      <c r="AP206" t="s">
        <v>3</v>
      </c>
      <c r="AQ206" t="s">
        <v>3</v>
      </c>
      <c r="AR206" t="s">
        <v>3</v>
      </c>
      <c r="AS206" t="s">
        <v>3</v>
      </c>
      <c r="AT206" t="s">
        <v>3</v>
      </c>
      <c r="AU206" t="s">
        <v>3</v>
      </c>
      <c r="AV206" t="s">
        <v>3</v>
      </c>
      <c r="AW206" t="s">
        <v>3</v>
      </c>
      <c r="AX206">
        <v>0</v>
      </c>
      <c r="AY206">
        <v>1</v>
      </c>
      <c r="AZ206" t="s">
        <v>1</v>
      </c>
      <c r="BA206" t="s">
        <v>1</v>
      </c>
      <c r="BB206" t="s">
        <v>1</v>
      </c>
      <c r="BC206" s="21" t="s">
        <v>748</v>
      </c>
      <c r="BD206" s="21" t="s">
        <v>144</v>
      </c>
      <c r="BE206">
        <v>0</v>
      </c>
      <c r="BF206">
        <v>0</v>
      </c>
      <c r="BG206">
        <v>0</v>
      </c>
      <c r="BH206">
        <v>0</v>
      </c>
      <c r="BI206">
        <v>0</v>
      </c>
      <c r="BJ206" t="s">
        <v>749</v>
      </c>
      <c r="BK206">
        <v>0</v>
      </c>
      <c r="BL206" t="s">
        <v>132</v>
      </c>
      <c r="BM206">
        <v>0</v>
      </c>
      <c r="BN206">
        <v>1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 t="s">
        <v>0</v>
      </c>
      <c r="BX206">
        <v>0</v>
      </c>
      <c r="BY206">
        <v>0</v>
      </c>
      <c r="BZ206">
        <v>0</v>
      </c>
      <c r="CA206">
        <v>0</v>
      </c>
      <c r="CB206" t="s">
        <v>145</v>
      </c>
      <c r="CD206" t="str" cm="1">
        <f t="array" aca="1" ref="CD206" ca="1">eConcatenar(A206:CB206,"|")</f>
        <v>KYZRFd3TcMl3XrVs|MODIFCARD197|3|MODIF|MODIF|MODIF|MODIF|2022-01-01|1|0|0|0|0|0|0|0|0|0|0|0|0|0|0|0|0|0|0|x|x|x|x|x|x|x|x|x|x|x|x|x|x|x|x|x|x|x|x|x|x|0|1|X|X|X|2022-2-10|2022-02-23|0|0|0|0|0|QWYNRBIY9KVTQO|0|HOMBRE|0|1|0|0|0|0|0|0|0|0|CARDENAS|0|0|0|0|FINAL</v>
      </c>
    </row>
    <row r="207" spans="1:82" x14ac:dyDescent="0.25">
      <c r="A207" t="s">
        <v>343</v>
      </c>
      <c r="B207" s="19" t="s">
        <v>544</v>
      </c>
      <c r="C207">
        <v>3</v>
      </c>
      <c r="D207" t="s">
        <v>346</v>
      </c>
      <c r="E207" t="s">
        <v>346</v>
      </c>
      <c r="F207" t="s">
        <v>346</v>
      </c>
      <c r="G207" t="s">
        <v>346</v>
      </c>
      <c r="H207" s="21" t="s">
        <v>747</v>
      </c>
      <c r="I207">
        <v>1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 t="s">
        <v>3</v>
      </c>
      <c r="AC207" t="s">
        <v>3</v>
      </c>
      <c r="AD207" t="s">
        <v>3</v>
      </c>
      <c r="AE207" t="s">
        <v>3</v>
      </c>
      <c r="AF207" t="s">
        <v>3</v>
      </c>
      <c r="AG207" t="s">
        <v>3</v>
      </c>
      <c r="AH207" t="s">
        <v>3</v>
      </c>
      <c r="AI207" t="s">
        <v>3</v>
      </c>
      <c r="AJ207" t="s">
        <v>3</v>
      </c>
      <c r="AK207" t="s">
        <v>3</v>
      </c>
      <c r="AL207" t="s">
        <v>3</v>
      </c>
      <c r="AM207" t="s">
        <v>3</v>
      </c>
      <c r="AN207" t="s">
        <v>3</v>
      </c>
      <c r="AO207" t="s">
        <v>3</v>
      </c>
      <c r="AP207" t="s">
        <v>3</v>
      </c>
      <c r="AQ207" t="s">
        <v>3</v>
      </c>
      <c r="AR207" t="s">
        <v>3</v>
      </c>
      <c r="AS207" t="s">
        <v>3</v>
      </c>
      <c r="AT207" t="s">
        <v>3</v>
      </c>
      <c r="AU207" t="s">
        <v>3</v>
      </c>
      <c r="AV207" t="s">
        <v>3</v>
      </c>
      <c r="AW207" t="s">
        <v>3</v>
      </c>
      <c r="AX207">
        <v>0</v>
      </c>
      <c r="AY207">
        <v>1</v>
      </c>
      <c r="AZ207" t="s">
        <v>1</v>
      </c>
      <c r="BA207" t="s">
        <v>1</v>
      </c>
      <c r="BB207" t="s">
        <v>1</v>
      </c>
      <c r="BC207" s="21" t="s">
        <v>748</v>
      </c>
      <c r="BD207" s="21" t="s">
        <v>144</v>
      </c>
      <c r="BE207">
        <v>0</v>
      </c>
      <c r="BF207">
        <v>0</v>
      </c>
      <c r="BG207">
        <v>0</v>
      </c>
      <c r="BH207">
        <v>0</v>
      </c>
      <c r="BI207">
        <v>0</v>
      </c>
      <c r="BJ207" t="s">
        <v>749</v>
      </c>
      <c r="BK207">
        <v>0</v>
      </c>
      <c r="BL207" t="s">
        <v>132</v>
      </c>
      <c r="BM207">
        <v>0</v>
      </c>
      <c r="BN207">
        <v>1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 t="s">
        <v>0</v>
      </c>
      <c r="BX207">
        <v>0</v>
      </c>
      <c r="BY207">
        <v>0</v>
      </c>
      <c r="BZ207">
        <v>0</v>
      </c>
      <c r="CA207">
        <v>0</v>
      </c>
      <c r="CB207" t="s">
        <v>145</v>
      </c>
      <c r="CD207" t="str" cm="1">
        <f t="array" aca="1" ref="CD207" ca="1">eConcatenar(A207:CB207,"|")</f>
        <v>uqOSKXKfDnZ6hpjp|MODIFCARD198|3|MODIF|MODIF|MODIF|MODIF|2022-01-01|1|0|0|0|0|0|0|0|0|0|0|0|0|0|0|0|0|0|0|x|x|x|x|x|x|x|x|x|x|x|x|x|x|x|x|x|x|x|x|x|x|0|1|X|X|X|2022-2-10|2022-02-23|0|0|0|0|0|QWYNRBIY9KVTQO|0|HOMBRE|0|1|0|0|0|0|0|0|0|0|CARDENAS|0|0|0|0|FINAL</v>
      </c>
    </row>
    <row r="208" spans="1:82" x14ac:dyDescent="0.25">
      <c r="A208" t="s">
        <v>344</v>
      </c>
      <c r="B208" s="19" t="s">
        <v>545</v>
      </c>
      <c r="C208">
        <v>3</v>
      </c>
      <c r="D208" t="s">
        <v>346</v>
      </c>
      <c r="E208" t="s">
        <v>346</v>
      </c>
      <c r="F208" t="s">
        <v>346</v>
      </c>
      <c r="G208" t="s">
        <v>346</v>
      </c>
      <c r="H208" s="21" t="s">
        <v>747</v>
      </c>
      <c r="I208">
        <v>1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 t="s">
        <v>3</v>
      </c>
      <c r="AC208" t="s">
        <v>3</v>
      </c>
      <c r="AD208" t="s">
        <v>3</v>
      </c>
      <c r="AE208" t="s">
        <v>3</v>
      </c>
      <c r="AF208" t="s">
        <v>3</v>
      </c>
      <c r="AG208" t="s">
        <v>3</v>
      </c>
      <c r="AH208" t="s">
        <v>3</v>
      </c>
      <c r="AI208" t="s">
        <v>3</v>
      </c>
      <c r="AJ208" t="s">
        <v>3</v>
      </c>
      <c r="AK208" t="s">
        <v>3</v>
      </c>
      <c r="AL208" t="s">
        <v>3</v>
      </c>
      <c r="AM208" t="s">
        <v>3</v>
      </c>
      <c r="AN208" t="s">
        <v>3</v>
      </c>
      <c r="AO208" t="s">
        <v>3</v>
      </c>
      <c r="AP208" t="s">
        <v>3</v>
      </c>
      <c r="AQ208" t="s">
        <v>3</v>
      </c>
      <c r="AR208" t="s">
        <v>3</v>
      </c>
      <c r="AS208" t="s">
        <v>3</v>
      </c>
      <c r="AT208" t="s">
        <v>3</v>
      </c>
      <c r="AU208" t="s">
        <v>3</v>
      </c>
      <c r="AV208" t="s">
        <v>3</v>
      </c>
      <c r="AW208" t="s">
        <v>3</v>
      </c>
      <c r="AX208">
        <v>0</v>
      </c>
      <c r="AY208">
        <v>1</v>
      </c>
      <c r="AZ208" t="s">
        <v>1</v>
      </c>
      <c r="BA208" t="s">
        <v>1</v>
      </c>
      <c r="BB208" t="s">
        <v>1</v>
      </c>
      <c r="BC208" s="21" t="s">
        <v>748</v>
      </c>
      <c r="BD208" s="21" t="s">
        <v>144</v>
      </c>
      <c r="BE208">
        <v>0</v>
      </c>
      <c r="BF208">
        <v>0</v>
      </c>
      <c r="BG208">
        <v>0</v>
      </c>
      <c r="BH208">
        <v>0</v>
      </c>
      <c r="BI208">
        <v>0</v>
      </c>
      <c r="BJ208" t="s">
        <v>749</v>
      </c>
      <c r="BK208">
        <v>0</v>
      </c>
      <c r="BL208" t="s">
        <v>132</v>
      </c>
      <c r="BM208">
        <v>0</v>
      </c>
      <c r="BN208">
        <v>1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 t="s">
        <v>0</v>
      </c>
      <c r="BX208">
        <v>0</v>
      </c>
      <c r="BY208">
        <v>0</v>
      </c>
      <c r="BZ208">
        <v>0</v>
      </c>
      <c r="CA208">
        <v>0</v>
      </c>
      <c r="CB208" t="s">
        <v>145</v>
      </c>
      <c r="CD208" t="str" cm="1">
        <f t="array" aca="1" ref="CD208" ca="1">eConcatenar(A208:CB208,"|")</f>
        <v>47CAFJWyFnnkvZAu|MODIFCARD199|3|MODIF|MODIF|MODIF|MODIF|2022-01-01|1|0|0|0|0|0|0|0|0|0|0|0|0|0|0|0|0|0|0|x|x|x|x|x|x|x|x|x|x|x|x|x|x|x|x|x|x|x|x|x|x|0|1|X|X|X|2022-2-10|2022-02-23|0|0|0|0|0|QWYNRBIY9KVTQO|0|HOMBRE|0|1|0|0|0|0|0|0|0|0|CARDENAS|0|0|0|0|FINAL</v>
      </c>
    </row>
    <row r="209" spans="1:82" x14ac:dyDescent="0.25">
      <c r="A209" t="s">
        <v>345</v>
      </c>
      <c r="B209" s="19" t="s">
        <v>546</v>
      </c>
      <c r="C209">
        <v>3</v>
      </c>
      <c r="D209" t="s">
        <v>346</v>
      </c>
      <c r="E209" t="s">
        <v>346</v>
      </c>
      <c r="F209" t="s">
        <v>346</v>
      </c>
      <c r="G209" t="s">
        <v>346</v>
      </c>
      <c r="H209" s="21" t="s">
        <v>747</v>
      </c>
      <c r="I209">
        <v>1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t="s">
        <v>3</v>
      </c>
      <c r="AC209" t="s">
        <v>3</v>
      </c>
      <c r="AD209" t="s">
        <v>3</v>
      </c>
      <c r="AE209" t="s">
        <v>3</v>
      </c>
      <c r="AF209" t="s">
        <v>3</v>
      </c>
      <c r="AG209" t="s">
        <v>3</v>
      </c>
      <c r="AH209" t="s">
        <v>3</v>
      </c>
      <c r="AI209" t="s">
        <v>3</v>
      </c>
      <c r="AJ209" t="s">
        <v>3</v>
      </c>
      <c r="AK209" t="s">
        <v>3</v>
      </c>
      <c r="AL209" t="s">
        <v>3</v>
      </c>
      <c r="AM209" t="s">
        <v>3</v>
      </c>
      <c r="AN209" t="s">
        <v>3</v>
      </c>
      <c r="AO209" t="s">
        <v>3</v>
      </c>
      <c r="AP209" t="s">
        <v>3</v>
      </c>
      <c r="AQ209" t="s">
        <v>3</v>
      </c>
      <c r="AR209" t="s">
        <v>3</v>
      </c>
      <c r="AS209" t="s">
        <v>3</v>
      </c>
      <c r="AT209" t="s">
        <v>3</v>
      </c>
      <c r="AU209" t="s">
        <v>3</v>
      </c>
      <c r="AV209" t="s">
        <v>3</v>
      </c>
      <c r="AW209" t="s">
        <v>3</v>
      </c>
      <c r="AX209">
        <v>0</v>
      </c>
      <c r="AY209">
        <v>1</v>
      </c>
      <c r="AZ209" t="s">
        <v>1</v>
      </c>
      <c r="BA209" t="s">
        <v>1</v>
      </c>
      <c r="BB209" t="s">
        <v>1</v>
      </c>
      <c r="BC209" s="21" t="s">
        <v>748</v>
      </c>
      <c r="BD209" s="21" t="s">
        <v>144</v>
      </c>
      <c r="BE209">
        <v>0</v>
      </c>
      <c r="BF209">
        <v>0</v>
      </c>
      <c r="BG209">
        <v>0</v>
      </c>
      <c r="BH209">
        <v>0</v>
      </c>
      <c r="BI209">
        <v>0</v>
      </c>
      <c r="BJ209" t="s">
        <v>749</v>
      </c>
      <c r="BK209">
        <v>0</v>
      </c>
      <c r="BL209" t="s">
        <v>132</v>
      </c>
      <c r="BM209">
        <v>0</v>
      </c>
      <c r="BN209">
        <v>1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 t="s">
        <v>0</v>
      </c>
      <c r="BX209">
        <v>0</v>
      </c>
      <c r="BY209">
        <v>0</v>
      </c>
      <c r="BZ209">
        <v>0</v>
      </c>
      <c r="CA209">
        <v>0</v>
      </c>
      <c r="CB209" t="s">
        <v>145</v>
      </c>
      <c r="CD209" t="str" cm="1">
        <f t="array" aca="1" ref="CD209" ca="1">eConcatenar(A209:CB209,"|")</f>
        <v>9vts7zLc3jXVRbok|MODIFCARD200|3|MODIF|MODIF|MODIF|MODIF|2022-01-01|1|0|0|0|0|0|0|0|0|0|0|0|0|0|0|0|0|0|0|x|x|x|x|x|x|x|x|x|x|x|x|x|x|x|x|x|x|x|x|x|x|0|1|X|X|X|2022-2-10|2022-02-23|0|0|0|0|0|QWYNRBIY9KVTQO|0|HOMBRE|0|1|0|0|0|0|0|0|0|0|CARDENAS|0|0|0|0|FINAL</v>
      </c>
    </row>
    <row r="210" spans="1:82" x14ac:dyDescent="0.25">
      <c r="C210">
        <v>3</v>
      </c>
      <c r="D210" t="s">
        <v>346</v>
      </c>
      <c r="E210" t="s">
        <v>346</v>
      </c>
      <c r="F210" t="s">
        <v>346</v>
      </c>
      <c r="G210" t="s">
        <v>346</v>
      </c>
      <c r="H210" s="21" t="s">
        <v>747</v>
      </c>
      <c r="I210">
        <v>1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 t="s">
        <v>3</v>
      </c>
      <c r="AC210" t="s">
        <v>3</v>
      </c>
      <c r="AD210" t="s">
        <v>3</v>
      </c>
      <c r="AE210" t="s">
        <v>3</v>
      </c>
      <c r="AF210" t="s">
        <v>3</v>
      </c>
      <c r="AG210" t="s">
        <v>3</v>
      </c>
      <c r="AH210" t="s">
        <v>3</v>
      </c>
      <c r="AI210" t="s">
        <v>3</v>
      </c>
      <c r="AJ210" t="s">
        <v>3</v>
      </c>
      <c r="AK210" t="s">
        <v>3</v>
      </c>
      <c r="AL210" t="s">
        <v>3</v>
      </c>
      <c r="AM210" t="s">
        <v>3</v>
      </c>
      <c r="AN210" t="s">
        <v>3</v>
      </c>
      <c r="AO210" t="s">
        <v>3</v>
      </c>
      <c r="AP210" t="s">
        <v>3</v>
      </c>
      <c r="AQ210" t="s">
        <v>3</v>
      </c>
      <c r="AR210" t="s">
        <v>3</v>
      </c>
      <c r="AS210" t="s">
        <v>3</v>
      </c>
      <c r="AT210" t="s">
        <v>3</v>
      </c>
      <c r="AU210" t="s">
        <v>3</v>
      </c>
      <c r="AV210" t="s">
        <v>3</v>
      </c>
      <c r="AW210" t="s">
        <v>3</v>
      </c>
      <c r="AX210">
        <v>0</v>
      </c>
      <c r="AY210">
        <v>1</v>
      </c>
      <c r="AZ210" t="s">
        <v>1</v>
      </c>
      <c r="BA210" t="s">
        <v>1</v>
      </c>
      <c r="BB210" t="s">
        <v>1</v>
      </c>
      <c r="BC210" s="21" t="s">
        <v>748</v>
      </c>
      <c r="BD210" s="21" t="s">
        <v>144</v>
      </c>
      <c r="BE210">
        <v>0</v>
      </c>
      <c r="BF210">
        <v>0</v>
      </c>
      <c r="BG210">
        <v>0</v>
      </c>
      <c r="BH210">
        <v>0</v>
      </c>
      <c r="BI210">
        <v>0</v>
      </c>
      <c r="BJ210" t="s">
        <v>749</v>
      </c>
      <c r="BK210">
        <v>0</v>
      </c>
      <c r="BL210" t="s">
        <v>132</v>
      </c>
      <c r="BM210">
        <v>0</v>
      </c>
      <c r="BN210">
        <v>1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 t="s">
        <v>0</v>
      </c>
      <c r="BX210">
        <v>0</v>
      </c>
      <c r="BY210">
        <v>0</v>
      </c>
      <c r="BZ210">
        <v>0</v>
      </c>
      <c r="CA210">
        <v>0</v>
      </c>
      <c r="CB210" t="s">
        <v>145</v>
      </c>
    </row>
    <row r="211" spans="1:82" x14ac:dyDescent="0.25">
      <c r="A211" t="s">
        <v>751</v>
      </c>
      <c r="B211" t="s">
        <v>547</v>
      </c>
      <c r="C211">
        <v>3</v>
      </c>
      <c r="D211" t="s">
        <v>346</v>
      </c>
      <c r="E211" t="s">
        <v>346</v>
      </c>
      <c r="F211" t="s">
        <v>346</v>
      </c>
      <c r="G211" t="s">
        <v>346</v>
      </c>
      <c r="H211" s="21" t="s">
        <v>747</v>
      </c>
      <c r="I211">
        <v>1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t="s">
        <v>3</v>
      </c>
      <c r="AC211" t="s">
        <v>3</v>
      </c>
      <c r="AD211" t="s">
        <v>3</v>
      </c>
      <c r="AE211" t="s">
        <v>3</v>
      </c>
      <c r="AF211" t="s">
        <v>3</v>
      </c>
      <c r="AG211" t="s">
        <v>3</v>
      </c>
      <c r="AH211" t="s">
        <v>3</v>
      </c>
      <c r="AI211" t="s">
        <v>3</v>
      </c>
      <c r="AJ211" t="s">
        <v>3</v>
      </c>
      <c r="AK211" t="s">
        <v>3</v>
      </c>
      <c r="AL211" t="s">
        <v>3</v>
      </c>
      <c r="AM211" t="s">
        <v>3</v>
      </c>
      <c r="AN211" t="s">
        <v>3</v>
      </c>
      <c r="AO211" t="s">
        <v>3</v>
      </c>
      <c r="AP211" t="s">
        <v>3</v>
      </c>
      <c r="AQ211" t="s">
        <v>3</v>
      </c>
      <c r="AR211" t="s">
        <v>3</v>
      </c>
      <c r="AS211" t="s">
        <v>3</v>
      </c>
      <c r="AT211" t="s">
        <v>3</v>
      </c>
      <c r="AU211" t="s">
        <v>3</v>
      </c>
      <c r="AV211" t="s">
        <v>3</v>
      </c>
      <c r="AW211" t="s">
        <v>3</v>
      </c>
      <c r="AX211">
        <v>0</v>
      </c>
      <c r="AY211">
        <v>1</v>
      </c>
      <c r="AZ211" t="s">
        <v>1</v>
      </c>
      <c r="BA211" t="s">
        <v>1</v>
      </c>
      <c r="BB211" t="s">
        <v>1</v>
      </c>
      <c r="BC211" s="21" t="s">
        <v>748</v>
      </c>
      <c r="BD211" s="21" t="s">
        <v>144</v>
      </c>
      <c r="BE211">
        <v>0</v>
      </c>
      <c r="BF211">
        <v>0</v>
      </c>
      <c r="BG211">
        <v>0</v>
      </c>
      <c r="BH211">
        <v>0</v>
      </c>
      <c r="BI211">
        <v>0</v>
      </c>
      <c r="BJ211" t="s">
        <v>749</v>
      </c>
      <c r="BK211">
        <v>0</v>
      </c>
      <c r="BL211" t="s">
        <v>132</v>
      </c>
      <c r="BM211">
        <v>0</v>
      </c>
      <c r="BN211">
        <v>1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 t="s">
        <v>0</v>
      </c>
      <c r="BX211">
        <v>0</v>
      </c>
      <c r="BY211">
        <v>0</v>
      </c>
      <c r="BZ211">
        <v>0</v>
      </c>
      <c r="CA211">
        <v>0</v>
      </c>
      <c r="CB211" t="s">
        <v>145</v>
      </c>
      <c r="CD211" t="str" cm="1">
        <f t="array" aca="1" ref="CD211" ca="1">eConcatenar(A211:CB211,"|")</f>
        <v>sQq5xwNaHiHMmUM2|MODIFVHS1|3|MODIF|MODIF|MODIF|MODIF|2022-01-01|1|0|0|0|0|0|0|0|0|0|0|0|0|0|0|0|0|0|0|x|x|x|x|x|x|x|x|x|x|x|x|x|x|x|x|x|x|x|x|x|x|0|1|X|X|X|2022-2-10|2022-02-23|0|0|0|0|0|QWYNRBIY9KVTQO|0|HOMBRE|0|1|0|0|0|0|0|0|0|0|CARDENAS|0|0|0|0|FINAL</v>
      </c>
    </row>
    <row r="212" spans="1:82" x14ac:dyDescent="0.25">
      <c r="A212" t="s">
        <v>752</v>
      </c>
      <c r="B212" t="s">
        <v>548</v>
      </c>
      <c r="C212">
        <v>3</v>
      </c>
      <c r="D212" t="s">
        <v>346</v>
      </c>
      <c r="E212" t="s">
        <v>346</v>
      </c>
      <c r="F212" t="s">
        <v>346</v>
      </c>
      <c r="G212" t="s">
        <v>346</v>
      </c>
      <c r="H212" s="21" t="s">
        <v>747</v>
      </c>
      <c r="I212">
        <v>1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 t="s">
        <v>3</v>
      </c>
      <c r="AC212" t="s">
        <v>3</v>
      </c>
      <c r="AD212" t="s">
        <v>3</v>
      </c>
      <c r="AE212" t="s">
        <v>3</v>
      </c>
      <c r="AF212" t="s">
        <v>3</v>
      </c>
      <c r="AG212" t="s">
        <v>3</v>
      </c>
      <c r="AH212" t="s">
        <v>3</v>
      </c>
      <c r="AI212" t="s">
        <v>3</v>
      </c>
      <c r="AJ212" t="s">
        <v>3</v>
      </c>
      <c r="AK212" t="s">
        <v>3</v>
      </c>
      <c r="AL212" t="s">
        <v>3</v>
      </c>
      <c r="AM212" t="s">
        <v>3</v>
      </c>
      <c r="AN212" t="s">
        <v>3</v>
      </c>
      <c r="AO212" t="s">
        <v>3</v>
      </c>
      <c r="AP212" t="s">
        <v>3</v>
      </c>
      <c r="AQ212" t="s">
        <v>3</v>
      </c>
      <c r="AR212" t="s">
        <v>3</v>
      </c>
      <c r="AS212" t="s">
        <v>3</v>
      </c>
      <c r="AT212" t="s">
        <v>3</v>
      </c>
      <c r="AU212" t="s">
        <v>3</v>
      </c>
      <c r="AV212" t="s">
        <v>3</v>
      </c>
      <c r="AW212" t="s">
        <v>3</v>
      </c>
      <c r="AX212">
        <v>0</v>
      </c>
      <c r="AY212">
        <v>1</v>
      </c>
      <c r="AZ212" t="s">
        <v>1</v>
      </c>
      <c r="BA212" t="s">
        <v>1</v>
      </c>
      <c r="BB212" t="s">
        <v>1</v>
      </c>
      <c r="BC212" s="21" t="s">
        <v>748</v>
      </c>
      <c r="BD212" s="21" t="s">
        <v>144</v>
      </c>
      <c r="BE212">
        <v>0</v>
      </c>
      <c r="BF212">
        <v>0</v>
      </c>
      <c r="BG212">
        <v>0</v>
      </c>
      <c r="BH212">
        <v>0</v>
      </c>
      <c r="BI212">
        <v>0</v>
      </c>
      <c r="BJ212" t="s">
        <v>749</v>
      </c>
      <c r="BK212">
        <v>0</v>
      </c>
      <c r="BL212" t="s">
        <v>132</v>
      </c>
      <c r="BM212">
        <v>0</v>
      </c>
      <c r="BN212">
        <v>1</v>
      </c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 t="s">
        <v>0</v>
      </c>
      <c r="BX212">
        <v>0</v>
      </c>
      <c r="BY212">
        <v>0</v>
      </c>
      <c r="BZ212">
        <v>0</v>
      </c>
      <c r="CA212">
        <v>0</v>
      </c>
      <c r="CB212" t="s">
        <v>145</v>
      </c>
      <c r="CD212" t="str" cm="1">
        <f t="array" aca="1" ref="CD212" ca="1">eConcatenar(A212:CB212,"|")</f>
        <v>f71Srzt5lEwIEmqm|MODIFVHS2|3|MODIF|MODIF|MODIF|MODIF|2022-01-01|1|0|0|0|0|0|0|0|0|0|0|0|0|0|0|0|0|0|0|x|x|x|x|x|x|x|x|x|x|x|x|x|x|x|x|x|x|x|x|x|x|0|1|X|X|X|2022-2-10|2022-02-23|0|0|0|0|0|QWYNRBIY9KVTQO|0|HOMBRE|0|1|0|0|0|0|0|0|0|0|CARDENAS|0|0|0|0|FINAL</v>
      </c>
    </row>
    <row r="213" spans="1:82" x14ac:dyDescent="0.25">
      <c r="A213" t="s">
        <v>753</v>
      </c>
      <c r="B213" t="s">
        <v>549</v>
      </c>
      <c r="C213">
        <v>3</v>
      </c>
      <c r="D213" t="s">
        <v>346</v>
      </c>
      <c r="E213" t="s">
        <v>346</v>
      </c>
      <c r="F213" t="s">
        <v>346</v>
      </c>
      <c r="G213" t="s">
        <v>346</v>
      </c>
      <c r="H213" s="21" t="s">
        <v>747</v>
      </c>
      <c r="I213">
        <v>1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t="s">
        <v>3</v>
      </c>
      <c r="AC213" t="s">
        <v>3</v>
      </c>
      <c r="AD213" t="s">
        <v>3</v>
      </c>
      <c r="AE213" t="s">
        <v>3</v>
      </c>
      <c r="AF213" t="s">
        <v>3</v>
      </c>
      <c r="AG213" t="s">
        <v>3</v>
      </c>
      <c r="AH213" t="s">
        <v>3</v>
      </c>
      <c r="AI213" t="s">
        <v>3</v>
      </c>
      <c r="AJ213" t="s">
        <v>3</v>
      </c>
      <c r="AK213" t="s">
        <v>3</v>
      </c>
      <c r="AL213" t="s">
        <v>3</v>
      </c>
      <c r="AM213" t="s">
        <v>3</v>
      </c>
      <c r="AN213" t="s">
        <v>3</v>
      </c>
      <c r="AO213" t="s">
        <v>3</v>
      </c>
      <c r="AP213" t="s">
        <v>3</v>
      </c>
      <c r="AQ213" t="s">
        <v>3</v>
      </c>
      <c r="AR213" t="s">
        <v>3</v>
      </c>
      <c r="AS213" t="s">
        <v>3</v>
      </c>
      <c r="AT213" t="s">
        <v>3</v>
      </c>
      <c r="AU213" t="s">
        <v>3</v>
      </c>
      <c r="AV213" t="s">
        <v>3</v>
      </c>
      <c r="AW213" t="s">
        <v>3</v>
      </c>
      <c r="AX213">
        <v>0</v>
      </c>
      <c r="AY213">
        <v>1</v>
      </c>
      <c r="AZ213" t="s">
        <v>1</v>
      </c>
      <c r="BA213" t="s">
        <v>1</v>
      </c>
      <c r="BB213" t="s">
        <v>1</v>
      </c>
      <c r="BC213" s="21" t="s">
        <v>748</v>
      </c>
      <c r="BD213" s="21" t="s">
        <v>144</v>
      </c>
      <c r="BE213">
        <v>0</v>
      </c>
      <c r="BF213">
        <v>0</v>
      </c>
      <c r="BG213">
        <v>0</v>
      </c>
      <c r="BH213">
        <v>0</v>
      </c>
      <c r="BI213">
        <v>0</v>
      </c>
      <c r="BJ213" t="s">
        <v>749</v>
      </c>
      <c r="BK213">
        <v>0</v>
      </c>
      <c r="BL213" t="s">
        <v>132</v>
      </c>
      <c r="BM213">
        <v>0</v>
      </c>
      <c r="BN213">
        <v>1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 t="s">
        <v>0</v>
      </c>
      <c r="BX213">
        <v>0</v>
      </c>
      <c r="BY213">
        <v>0</v>
      </c>
      <c r="BZ213">
        <v>0</v>
      </c>
      <c r="CA213">
        <v>0</v>
      </c>
      <c r="CB213" t="s">
        <v>145</v>
      </c>
      <c r="CD213" t="str" cm="1">
        <f t="array" aca="1" ref="CD213" ca="1">eConcatenar(A213:CB213,"|")</f>
        <v>X58JxDMmzaEsiohr|MODIFVHS3|3|MODIF|MODIF|MODIF|MODIF|2022-01-01|1|0|0|0|0|0|0|0|0|0|0|0|0|0|0|0|0|0|0|x|x|x|x|x|x|x|x|x|x|x|x|x|x|x|x|x|x|x|x|x|x|0|1|X|X|X|2022-2-10|2022-02-23|0|0|0|0|0|QWYNRBIY9KVTQO|0|HOMBRE|0|1|0|0|0|0|0|0|0|0|CARDENAS|0|0|0|0|FINAL</v>
      </c>
    </row>
    <row r="214" spans="1:82" x14ac:dyDescent="0.25">
      <c r="A214" t="s">
        <v>754</v>
      </c>
      <c r="B214" t="s">
        <v>550</v>
      </c>
      <c r="C214">
        <v>3</v>
      </c>
      <c r="D214" t="s">
        <v>346</v>
      </c>
      <c r="E214" t="s">
        <v>346</v>
      </c>
      <c r="F214" t="s">
        <v>346</v>
      </c>
      <c r="G214" t="s">
        <v>346</v>
      </c>
      <c r="H214" s="21" t="s">
        <v>747</v>
      </c>
      <c r="I214">
        <v>1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">
        <v>3</v>
      </c>
      <c r="AC214" t="s">
        <v>3</v>
      </c>
      <c r="AD214" t="s">
        <v>3</v>
      </c>
      <c r="AE214" t="s">
        <v>3</v>
      </c>
      <c r="AF214" t="s">
        <v>3</v>
      </c>
      <c r="AG214" t="s">
        <v>3</v>
      </c>
      <c r="AH214" t="s">
        <v>3</v>
      </c>
      <c r="AI214" t="s">
        <v>3</v>
      </c>
      <c r="AJ214" t="s">
        <v>3</v>
      </c>
      <c r="AK214" t="s">
        <v>3</v>
      </c>
      <c r="AL214" t="s">
        <v>3</v>
      </c>
      <c r="AM214" t="s">
        <v>3</v>
      </c>
      <c r="AN214" t="s">
        <v>3</v>
      </c>
      <c r="AO214" t="s">
        <v>3</v>
      </c>
      <c r="AP214" t="s">
        <v>3</v>
      </c>
      <c r="AQ214" t="s">
        <v>3</v>
      </c>
      <c r="AR214" t="s">
        <v>3</v>
      </c>
      <c r="AS214" t="s">
        <v>3</v>
      </c>
      <c r="AT214" t="s">
        <v>3</v>
      </c>
      <c r="AU214" t="s">
        <v>3</v>
      </c>
      <c r="AV214" t="s">
        <v>3</v>
      </c>
      <c r="AW214" t="s">
        <v>3</v>
      </c>
      <c r="AX214">
        <v>0</v>
      </c>
      <c r="AY214">
        <v>1</v>
      </c>
      <c r="AZ214" t="s">
        <v>1</v>
      </c>
      <c r="BA214" t="s">
        <v>1</v>
      </c>
      <c r="BB214" t="s">
        <v>1</v>
      </c>
      <c r="BC214" s="21" t="s">
        <v>748</v>
      </c>
      <c r="BD214" s="21" t="s">
        <v>144</v>
      </c>
      <c r="BE214">
        <v>0</v>
      </c>
      <c r="BF214">
        <v>0</v>
      </c>
      <c r="BG214">
        <v>0</v>
      </c>
      <c r="BH214">
        <v>0</v>
      </c>
      <c r="BI214">
        <v>0</v>
      </c>
      <c r="BJ214" t="s">
        <v>749</v>
      </c>
      <c r="BK214">
        <v>0</v>
      </c>
      <c r="BL214" t="s">
        <v>132</v>
      </c>
      <c r="BM214">
        <v>0</v>
      </c>
      <c r="BN214">
        <v>1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 t="s">
        <v>0</v>
      </c>
      <c r="BX214">
        <v>0</v>
      </c>
      <c r="BY214">
        <v>0</v>
      </c>
      <c r="BZ214">
        <v>0</v>
      </c>
      <c r="CA214">
        <v>0</v>
      </c>
      <c r="CB214" t="s">
        <v>145</v>
      </c>
      <c r="CD214" t="str" cm="1">
        <f t="array" aca="1" ref="CD214" ca="1">eConcatenar(A214:CB214,"|")</f>
        <v>ePRABy7WmvFv03XF|MODIFVHS4|3|MODIF|MODIF|MODIF|MODIF|2022-01-01|1|0|0|0|0|0|0|0|0|0|0|0|0|0|0|0|0|0|0|x|x|x|x|x|x|x|x|x|x|x|x|x|x|x|x|x|x|x|x|x|x|0|1|X|X|X|2022-2-10|2022-02-23|0|0|0|0|0|QWYNRBIY9KVTQO|0|HOMBRE|0|1|0|0|0|0|0|0|0|0|CARDENAS|0|0|0|0|FINAL</v>
      </c>
    </row>
    <row r="215" spans="1:82" x14ac:dyDescent="0.25">
      <c r="A215" t="s">
        <v>755</v>
      </c>
      <c r="B215" t="s">
        <v>551</v>
      </c>
      <c r="C215">
        <v>3</v>
      </c>
      <c r="D215" t="s">
        <v>346</v>
      </c>
      <c r="E215" t="s">
        <v>346</v>
      </c>
      <c r="F215" t="s">
        <v>346</v>
      </c>
      <c r="G215" t="s">
        <v>346</v>
      </c>
      <c r="H215" s="21" t="s">
        <v>747</v>
      </c>
      <c r="I215">
        <v>1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 t="s">
        <v>3</v>
      </c>
      <c r="AC215" t="s">
        <v>3</v>
      </c>
      <c r="AD215" t="s">
        <v>3</v>
      </c>
      <c r="AE215" t="s">
        <v>3</v>
      </c>
      <c r="AF215" t="s">
        <v>3</v>
      </c>
      <c r="AG215" t="s">
        <v>3</v>
      </c>
      <c r="AH215" t="s">
        <v>3</v>
      </c>
      <c r="AI215" t="s">
        <v>3</v>
      </c>
      <c r="AJ215" t="s">
        <v>3</v>
      </c>
      <c r="AK215" t="s">
        <v>3</v>
      </c>
      <c r="AL215" t="s">
        <v>3</v>
      </c>
      <c r="AM215" t="s">
        <v>3</v>
      </c>
      <c r="AN215" t="s">
        <v>3</v>
      </c>
      <c r="AO215" t="s">
        <v>3</v>
      </c>
      <c r="AP215" t="s">
        <v>3</v>
      </c>
      <c r="AQ215" t="s">
        <v>3</v>
      </c>
      <c r="AR215" t="s">
        <v>3</v>
      </c>
      <c r="AS215" t="s">
        <v>3</v>
      </c>
      <c r="AT215" t="s">
        <v>3</v>
      </c>
      <c r="AU215" t="s">
        <v>3</v>
      </c>
      <c r="AV215" t="s">
        <v>3</v>
      </c>
      <c r="AW215" t="s">
        <v>3</v>
      </c>
      <c r="AX215">
        <v>0</v>
      </c>
      <c r="AY215">
        <v>1</v>
      </c>
      <c r="AZ215" t="s">
        <v>1</v>
      </c>
      <c r="BA215" t="s">
        <v>1</v>
      </c>
      <c r="BB215" t="s">
        <v>1</v>
      </c>
      <c r="BC215" s="21" t="s">
        <v>748</v>
      </c>
      <c r="BD215" s="21" t="s">
        <v>144</v>
      </c>
      <c r="BE215">
        <v>0</v>
      </c>
      <c r="BF215">
        <v>0</v>
      </c>
      <c r="BG215">
        <v>0</v>
      </c>
      <c r="BH215">
        <v>0</v>
      </c>
      <c r="BI215">
        <v>0</v>
      </c>
      <c r="BJ215" t="s">
        <v>749</v>
      </c>
      <c r="BK215">
        <v>0</v>
      </c>
      <c r="BL215" t="s">
        <v>132</v>
      </c>
      <c r="BM215">
        <v>0</v>
      </c>
      <c r="BN215">
        <v>1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 t="s">
        <v>0</v>
      </c>
      <c r="BX215">
        <v>0</v>
      </c>
      <c r="BY215">
        <v>0</v>
      </c>
      <c r="BZ215">
        <v>0</v>
      </c>
      <c r="CA215">
        <v>0</v>
      </c>
      <c r="CB215" t="s">
        <v>145</v>
      </c>
      <c r="CD215" t="str" cm="1">
        <f t="array" aca="1" ref="CD215" ca="1">eConcatenar(A215:CB215,"|")</f>
        <v>v4cR0wvG0bg162gt|MODIFVHS5|3|MODIF|MODIF|MODIF|MODIF|2022-01-01|1|0|0|0|0|0|0|0|0|0|0|0|0|0|0|0|0|0|0|x|x|x|x|x|x|x|x|x|x|x|x|x|x|x|x|x|x|x|x|x|x|0|1|X|X|X|2022-2-10|2022-02-23|0|0|0|0|0|QWYNRBIY9KVTQO|0|HOMBRE|0|1|0|0|0|0|0|0|0|0|CARDENAS|0|0|0|0|FINAL</v>
      </c>
    </row>
    <row r="216" spans="1:82" x14ac:dyDescent="0.25">
      <c r="A216" t="s">
        <v>756</v>
      </c>
      <c r="B216" t="s">
        <v>552</v>
      </c>
      <c r="C216">
        <v>3</v>
      </c>
      <c r="D216" t="s">
        <v>346</v>
      </c>
      <c r="E216" t="s">
        <v>346</v>
      </c>
      <c r="F216" t="s">
        <v>346</v>
      </c>
      <c r="G216" t="s">
        <v>346</v>
      </c>
      <c r="H216" s="21" t="s">
        <v>747</v>
      </c>
      <c r="I216">
        <v>1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 t="s">
        <v>3</v>
      </c>
      <c r="AC216" t="s">
        <v>3</v>
      </c>
      <c r="AD216" t="s">
        <v>3</v>
      </c>
      <c r="AE216" t="s">
        <v>3</v>
      </c>
      <c r="AF216" t="s">
        <v>3</v>
      </c>
      <c r="AG216" t="s">
        <v>3</v>
      </c>
      <c r="AH216" t="s">
        <v>3</v>
      </c>
      <c r="AI216" t="s">
        <v>3</v>
      </c>
      <c r="AJ216" t="s">
        <v>3</v>
      </c>
      <c r="AK216" t="s">
        <v>3</v>
      </c>
      <c r="AL216" t="s">
        <v>3</v>
      </c>
      <c r="AM216" t="s">
        <v>3</v>
      </c>
      <c r="AN216" t="s">
        <v>3</v>
      </c>
      <c r="AO216" t="s">
        <v>3</v>
      </c>
      <c r="AP216" t="s">
        <v>3</v>
      </c>
      <c r="AQ216" t="s">
        <v>3</v>
      </c>
      <c r="AR216" t="s">
        <v>3</v>
      </c>
      <c r="AS216" t="s">
        <v>3</v>
      </c>
      <c r="AT216" t="s">
        <v>3</v>
      </c>
      <c r="AU216" t="s">
        <v>3</v>
      </c>
      <c r="AV216" t="s">
        <v>3</v>
      </c>
      <c r="AW216" t="s">
        <v>3</v>
      </c>
      <c r="AX216">
        <v>0</v>
      </c>
      <c r="AY216">
        <v>1</v>
      </c>
      <c r="AZ216" t="s">
        <v>1</v>
      </c>
      <c r="BA216" t="s">
        <v>1</v>
      </c>
      <c r="BB216" t="s">
        <v>1</v>
      </c>
      <c r="BC216" s="21" t="s">
        <v>748</v>
      </c>
      <c r="BD216" s="21" t="s">
        <v>144</v>
      </c>
      <c r="BE216">
        <v>0</v>
      </c>
      <c r="BF216">
        <v>0</v>
      </c>
      <c r="BG216">
        <v>0</v>
      </c>
      <c r="BH216">
        <v>0</v>
      </c>
      <c r="BI216">
        <v>0</v>
      </c>
      <c r="BJ216" t="s">
        <v>749</v>
      </c>
      <c r="BK216">
        <v>0</v>
      </c>
      <c r="BL216" t="s">
        <v>132</v>
      </c>
      <c r="BM216">
        <v>0</v>
      </c>
      <c r="BN216">
        <v>1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 t="s">
        <v>0</v>
      </c>
      <c r="BX216">
        <v>0</v>
      </c>
      <c r="BY216">
        <v>0</v>
      </c>
      <c r="BZ216">
        <v>0</v>
      </c>
      <c r="CA216">
        <v>0</v>
      </c>
      <c r="CB216" t="s">
        <v>145</v>
      </c>
      <c r="CD216" t="str" cm="1">
        <f t="array" aca="1" ref="CD216" ca="1">eConcatenar(A216:CB216,"|")</f>
        <v>9lG35coWV17spzb3|MODIFVHS6|3|MODIF|MODIF|MODIF|MODIF|2022-01-01|1|0|0|0|0|0|0|0|0|0|0|0|0|0|0|0|0|0|0|x|x|x|x|x|x|x|x|x|x|x|x|x|x|x|x|x|x|x|x|x|x|0|1|X|X|X|2022-2-10|2022-02-23|0|0|0|0|0|QWYNRBIY9KVTQO|0|HOMBRE|0|1|0|0|0|0|0|0|0|0|CARDENAS|0|0|0|0|FINAL</v>
      </c>
    </row>
    <row r="217" spans="1:82" x14ac:dyDescent="0.25">
      <c r="A217" t="s">
        <v>757</v>
      </c>
      <c r="B217" t="s">
        <v>553</v>
      </c>
      <c r="C217">
        <v>3</v>
      </c>
      <c r="D217" t="s">
        <v>346</v>
      </c>
      <c r="E217" t="s">
        <v>346</v>
      </c>
      <c r="F217" t="s">
        <v>346</v>
      </c>
      <c r="G217" t="s">
        <v>346</v>
      </c>
      <c r="H217" s="21" t="s">
        <v>747</v>
      </c>
      <c r="I217">
        <v>1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t="s">
        <v>3</v>
      </c>
      <c r="AC217" t="s">
        <v>3</v>
      </c>
      <c r="AD217" t="s">
        <v>3</v>
      </c>
      <c r="AE217" t="s">
        <v>3</v>
      </c>
      <c r="AF217" t="s">
        <v>3</v>
      </c>
      <c r="AG217" t="s">
        <v>3</v>
      </c>
      <c r="AH217" t="s">
        <v>3</v>
      </c>
      <c r="AI217" t="s">
        <v>3</v>
      </c>
      <c r="AJ217" t="s">
        <v>3</v>
      </c>
      <c r="AK217" t="s">
        <v>3</v>
      </c>
      <c r="AL217" t="s">
        <v>3</v>
      </c>
      <c r="AM217" t="s">
        <v>3</v>
      </c>
      <c r="AN217" t="s">
        <v>3</v>
      </c>
      <c r="AO217" t="s">
        <v>3</v>
      </c>
      <c r="AP217" t="s">
        <v>3</v>
      </c>
      <c r="AQ217" t="s">
        <v>3</v>
      </c>
      <c r="AR217" t="s">
        <v>3</v>
      </c>
      <c r="AS217" t="s">
        <v>3</v>
      </c>
      <c r="AT217" t="s">
        <v>3</v>
      </c>
      <c r="AU217" t="s">
        <v>3</v>
      </c>
      <c r="AV217" t="s">
        <v>3</v>
      </c>
      <c r="AW217" t="s">
        <v>3</v>
      </c>
      <c r="AX217">
        <v>0</v>
      </c>
      <c r="AY217">
        <v>1</v>
      </c>
      <c r="AZ217" t="s">
        <v>1</v>
      </c>
      <c r="BA217" t="s">
        <v>1</v>
      </c>
      <c r="BB217" t="s">
        <v>1</v>
      </c>
      <c r="BC217" s="21" t="s">
        <v>748</v>
      </c>
      <c r="BD217" s="21" t="s">
        <v>144</v>
      </c>
      <c r="BE217">
        <v>0</v>
      </c>
      <c r="BF217">
        <v>0</v>
      </c>
      <c r="BG217">
        <v>0</v>
      </c>
      <c r="BH217">
        <v>0</v>
      </c>
      <c r="BI217">
        <v>0</v>
      </c>
      <c r="BJ217" t="s">
        <v>749</v>
      </c>
      <c r="BK217">
        <v>0</v>
      </c>
      <c r="BL217" t="s">
        <v>132</v>
      </c>
      <c r="BM217">
        <v>0</v>
      </c>
      <c r="BN217">
        <v>1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 t="s">
        <v>0</v>
      </c>
      <c r="BX217">
        <v>0</v>
      </c>
      <c r="BY217">
        <v>0</v>
      </c>
      <c r="BZ217">
        <v>0</v>
      </c>
      <c r="CA217">
        <v>0</v>
      </c>
      <c r="CB217" t="s">
        <v>145</v>
      </c>
      <c r="CD217" t="str" cm="1">
        <f t="array" aca="1" ref="CD217" ca="1">eConcatenar(A217:CB217,"|")</f>
        <v>VOhrmMvL8hmlyhPR|MODIFVHS7|3|MODIF|MODIF|MODIF|MODIF|2022-01-01|1|0|0|0|0|0|0|0|0|0|0|0|0|0|0|0|0|0|0|x|x|x|x|x|x|x|x|x|x|x|x|x|x|x|x|x|x|x|x|x|x|0|1|X|X|X|2022-2-10|2022-02-23|0|0|0|0|0|QWYNRBIY9KVTQO|0|HOMBRE|0|1|0|0|0|0|0|0|0|0|CARDENAS|0|0|0|0|FINAL</v>
      </c>
    </row>
    <row r="218" spans="1:82" x14ac:dyDescent="0.25">
      <c r="A218" t="s">
        <v>758</v>
      </c>
      <c r="B218" t="s">
        <v>554</v>
      </c>
      <c r="C218">
        <v>3</v>
      </c>
      <c r="D218" t="s">
        <v>346</v>
      </c>
      <c r="E218" t="s">
        <v>346</v>
      </c>
      <c r="F218" t="s">
        <v>346</v>
      </c>
      <c r="G218" t="s">
        <v>346</v>
      </c>
      <c r="H218" s="21" t="s">
        <v>747</v>
      </c>
      <c r="I218">
        <v>1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 t="s">
        <v>3</v>
      </c>
      <c r="AC218" t="s">
        <v>3</v>
      </c>
      <c r="AD218" t="s">
        <v>3</v>
      </c>
      <c r="AE218" t="s">
        <v>3</v>
      </c>
      <c r="AF218" t="s">
        <v>3</v>
      </c>
      <c r="AG218" t="s">
        <v>3</v>
      </c>
      <c r="AH218" t="s">
        <v>3</v>
      </c>
      <c r="AI218" t="s">
        <v>3</v>
      </c>
      <c r="AJ218" t="s">
        <v>3</v>
      </c>
      <c r="AK218" t="s">
        <v>3</v>
      </c>
      <c r="AL218" t="s">
        <v>3</v>
      </c>
      <c r="AM218" t="s">
        <v>3</v>
      </c>
      <c r="AN218" t="s">
        <v>3</v>
      </c>
      <c r="AO218" t="s">
        <v>3</v>
      </c>
      <c r="AP218" t="s">
        <v>3</v>
      </c>
      <c r="AQ218" t="s">
        <v>3</v>
      </c>
      <c r="AR218" t="s">
        <v>3</v>
      </c>
      <c r="AS218" t="s">
        <v>3</v>
      </c>
      <c r="AT218" t="s">
        <v>3</v>
      </c>
      <c r="AU218" t="s">
        <v>3</v>
      </c>
      <c r="AV218" t="s">
        <v>3</v>
      </c>
      <c r="AW218" t="s">
        <v>3</v>
      </c>
      <c r="AX218">
        <v>0</v>
      </c>
      <c r="AY218">
        <v>1</v>
      </c>
      <c r="AZ218" t="s">
        <v>1</v>
      </c>
      <c r="BA218" t="s">
        <v>1</v>
      </c>
      <c r="BB218" t="s">
        <v>1</v>
      </c>
      <c r="BC218" s="21" t="s">
        <v>748</v>
      </c>
      <c r="BD218" s="21" t="s">
        <v>144</v>
      </c>
      <c r="BE218">
        <v>0</v>
      </c>
      <c r="BF218">
        <v>0</v>
      </c>
      <c r="BG218">
        <v>0</v>
      </c>
      <c r="BH218">
        <v>0</v>
      </c>
      <c r="BI218">
        <v>0</v>
      </c>
      <c r="BJ218" t="s">
        <v>749</v>
      </c>
      <c r="BK218">
        <v>0</v>
      </c>
      <c r="BL218" t="s">
        <v>132</v>
      </c>
      <c r="BM218">
        <v>0</v>
      </c>
      <c r="BN218">
        <v>1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 t="s">
        <v>0</v>
      </c>
      <c r="BX218">
        <v>0</v>
      </c>
      <c r="BY218">
        <v>0</v>
      </c>
      <c r="BZ218">
        <v>0</v>
      </c>
      <c r="CA218">
        <v>0</v>
      </c>
      <c r="CB218" t="s">
        <v>145</v>
      </c>
      <c r="CD218" t="str" cm="1">
        <f t="array" aca="1" ref="CD218" ca="1">eConcatenar(A218:CB218,"|")</f>
        <v>4EuRrWDSAtZJx0ED|MODIFVHS8|3|MODIF|MODIF|MODIF|MODIF|2022-01-01|1|0|0|0|0|0|0|0|0|0|0|0|0|0|0|0|0|0|0|x|x|x|x|x|x|x|x|x|x|x|x|x|x|x|x|x|x|x|x|x|x|0|1|X|X|X|2022-2-10|2022-02-23|0|0|0|0|0|QWYNRBIY9KVTQO|0|HOMBRE|0|1|0|0|0|0|0|0|0|0|CARDENAS|0|0|0|0|FINAL</v>
      </c>
    </row>
    <row r="219" spans="1:82" x14ac:dyDescent="0.25">
      <c r="A219" t="s">
        <v>759</v>
      </c>
      <c r="B219" t="s">
        <v>555</v>
      </c>
      <c r="C219">
        <v>3</v>
      </c>
      <c r="D219" t="s">
        <v>346</v>
      </c>
      <c r="E219" t="s">
        <v>346</v>
      </c>
      <c r="F219" t="s">
        <v>346</v>
      </c>
      <c r="G219" t="s">
        <v>346</v>
      </c>
      <c r="H219" s="21" t="s">
        <v>747</v>
      </c>
      <c r="I219">
        <v>1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">
        <v>3</v>
      </c>
      <c r="AC219" t="s">
        <v>3</v>
      </c>
      <c r="AD219" t="s">
        <v>3</v>
      </c>
      <c r="AE219" t="s">
        <v>3</v>
      </c>
      <c r="AF219" t="s">
        <v>3</v>
      </c>
      <c r="AG219" t="s">
        <v>3</v>
      </c>
      <c r="AH219" t="s">
        <v>3</v>
      </c>
      <c r="AI219" t="s">
        <v>3</v>
      </c>
      <c r="AJ219" t="s">
        <v>3</v>
      </c>
      <c r="AK219" t="s">
        <v>3</v>
      </c>
      <c r="AL219" t="s">
        <v>3</v>
      </c>
      <c r="AM219" t="s">
        <v>3</v>
      </c>
      <c r="AN219" t="s">
        <v>3</v>
      </c>
      <c r="AO219" t="s">
        <v>3</v>
      </c>
      <c r="AP219" t="s">
        <v>3</v>
      </c>
      <c r="AQ219" t="s">
        <v>3</v>
      </c>
      <c r="AR219" t="s">
        <v>3</v>
      </c>
      <c r="AS219" t="s">
        <v>3</v>
      </c>
      <c r="AT219" t="s">
        <v>3</v>
      </c>
      <c r="AU219" t="s">
        <v>3</v>
      </c>
      <c r="AV219" t="s">
        <v>3</v>
      </c>
      <c r="AW219" t="s">
        <v>3</v>
      </c>
      <c r="AX219">
        <v>0</v>
      </c>
      <c r="AY219">
        <v>1</v>
      </c>
      <c r="AZ219" t="s">
        <v>1</v>
      </c>
      <c r="BA219" t="s">
        <v>1</v>
      </c>
      <c r="BB219" t="s">
        <v>1</v>
      </c>
      <c r="BC219" s="21" t="s">
        <v>748</v>
      </c>
      <c r="BD219" s="21" t="s">
        <v>144</v>
      </c>
      <c r="BE219">
        <v>0</v>
      </c>
      <c r="BF219">
        <v>0</v>
      </c>
      <c r="BG219">
        <v>0</v>
      </c>
      <c r="BH219">
        <v>0</v>
      </c>
      <c r="BI219">
        <v>0</v>
      </c>
      <c r="BJ219" t="s">
        <v>749</v>
      </c>
      <c r="BK219">
        <v>0</v>
      </c>
      <c r="BL219" t="s">
        <v>132</v>
      </c>
      <c r="BM219">
        <v>0</v>
      </c>
      <c r="BN219">
        <v>1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 t="s">
        <v>0</v>
      </c>
      <c r="BX219">
        <v>0</v>
      </c>
      <c r="BY219">
        <v>0</v>
      </c>
      <c r="BZ219">
        <v>0</v>
      </c>
      <c r="CA219">
        <v>0</v>
      </c>
      <c r="CB219" t="s">
        <v>145</v>
      </c>
      <c r="CD219" t="str" cm="1">
        <f t="array" aca="1" ref="CD219" ca="1">eConcatenar(A219:CB219,"|")</f>
        <v>pWBI6x1c8E31QBQa|MODIFVHS9|3|MODIF|MODIF|MODIF|MODIF|2022-01-01|1|0|0|0|0|0|0|0|0|0|0|0|0|0|0|0|0|0|0|x|x|x|x|x|x|x|x|x|x|x|x|x|x|x|x|x|x|x|x|x|x|0|1|X|X|X|2022-2-10|2022-02-23|0|0|0|0|0|QWYNRBIY9KVTQO|0|HOMBRE|0|1|0|0|0|0|0|0|0|0|CARDENAS|0|0|0|0|FINAL</v>
      </c>
    </row>
    <row r="220" spans="1:82" x14ac:dyDescent="0.25">
      <c r="A220" t="s">
        <v>760</v>
      </c>
      <c r="B220" t="s">
        <v>556</v>
      </c>
      <c r="C220">
        <v>3</v>
      </c>
      <c r="D220" t="s">
        <v>346</v>
      </c>
      <c r="E220" t="s">
        <v>346</v>
      </c>
      <c r="F220" t="s">
        <v>346</v>
      </c>
      <c r="G220" t="s">
        <v>346</v>
      </c>
      <c r="H220" s="21" t="s">
        <v>747</v>
      </c>
      <c r="I220">
        <v>1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 t="s">
        <v>3</v>
      </c>
      <c r="AC220" t="s">
        <v>3</v>
      </c>
      <c r="AD220" t="s">
        <v>3</v>
      </c>
      <c r="AE220" t="s">
        <v>3</v>
      </c>
      <c r="AF220" t="s">
        <v>3</v>
      </c>
      <c r="AG220" t="s">
        <v>3</v>
      </c>
      <c r="AH220" t="s">
        <v>3</v>
      </c>
      <c r="AI220" t="s">
        <v>3</v>
      </c>
      <c r="AJ220" t="s">
        <v>3</v>
      </c>
      <c r="AK220" t="s">
        <v>3</v>
      </c>
      <c r="AL220" t="s">
        <v>3</v>
      </c>
      <c r="AM220" t="s">
        <v>3</v>
      </c>
      <c r="AN220" t="s">
        <v>3</v>
      </c>
      <c r="AO220" t="s">
        <v>3</v>
      </c>
      <c r="AP220" t="s">
        <v>3</v>
      </c>
      <c r="AQ220" t="s">
        <v>3</v>
      </c>
      <c r="AR220" t="s">
        <v>3</v>
      </c>
      <c r="AS220" t="s">
        <v>3</v>
      </c>
      <c r="AT220" t="s">
        <v>3</v>
      </c>
      <c r="AU220" t="s">
        <v>3</v>
      </c>
      <c r="AV220" t="s">
        <v>3</v>
      </c>
      <c r="AW220" t="s">
        <v>3</v>
      </c>
      <c r="AX220">
        <v>0</v>
      </c>
      <c r="AY220">
        <v>1</v>
      </c>
      <c r="AZ220" t="s">
        <v>1</v>
      </c>
      <c r="BA220" t="s">
        <v>1</v>
      </c>
      <c r="BB220" t="s">
        <v>1</v>
      </c>
      <c r="BC220" s="21" t="s">
        <v>748</v>
      </c>
      <c r="BD220" s="21" t="s">
        <v>144</v>
      </c>
      <c r="BE220">
        <v>0</v>
      </c>
      <c r="BF220">
        <v>0</v>
      </c>
      <c r="BG220">
        <v>0</v>
      </c>
      <c r="BH220">
        <v>0</v>
      </c>
      <c r="BI220">
        <v>0</v>
      </c>
      <c r="BJ220" t="s">
        <v>749</v>
      </c>
      <c r="BK220">
        <v>0</v>
      </c>
      <c r="BL220" t="s">
        <v>132</v>
      </c>
      <c r="BM220">
        <v>0</v>
      </c>
      <c r="BN220">
        <v>1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 t="s">
        <v>0</v>
      </c>
      <c r="BX220">
        <v>0</v>
      </c>
      <c r="BY220">
        <v>0</v>
      </c>
      <c r="BZ220">
        <v>0</v>
      </c>
      <c r="CA220">
        <v>0</v>
      </c>
      <c r="CB220" t="s">
        <v>145</v>
      </c>
      <c r="CD220" t="str" cm="1">
        <f t="array" aca="1" ref="CD220" ca="1">eConcatenar(A220:CB220,"|")</f>
        <v>KhsxRwDjVOhVIB3L|MODIFVHS10|3|MODIF|MODIF|MODIF|MODIF|2022-01-01|1|0|0|0|0|0|0|0|0|0|0|0|0|0|0|0|0|0|0|x|x|x|x|x|x|x|x|x|x|x|x|x|x|x|x|x|x|x|x|x|x|0|1|X|X|X|2022-2-10|2022-02-23|0|0|0|0|0|QWYNRBIY9KVTQO|0|HOMBRE|0|1|0|0|0|0|0|0|0|0|CARDENAS|0|0|0|0|FINAL</v>
      </c>
    </row>
    <row r="221" spans="1:82" x14ac:dyDescent="0.25">
      <c r="A221" t="s">
        <v>761</v>
      </c>
      <c r="B221" t="s">
        <v>557</v>
      </c>
      <c r="C221">
        <v>3</v>
      </c>
      <c r="D221" t="s">
        <v>346</v>
      </c>
      <c r="E221" t="s">
        <v>346</v>
      </c>
      <c r="F221" t="s">
        <v>346</v>
      </c>
      <c r="G221" t="s">
        <v>346</v>
      </c>
      <c r="H221" s="21" t="s">
        <v>747</v>
      </c>
      <c r="I221">
        <v>1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">
        <v>3</v>
      </c>
      <c r="AC221" t="s">
        <v>3</v>
      </c>
      <c r="AD221" t="s">
        <v>3</v>
      </c>
      <c r="AE221" t="s">
        <v>3</v>
      </c>
      <c r="AF221" t="s">
        <v>3</v>
      </c>
      <c r="AG221" t="s">
        <v>3</v>
      </c>
      <c r="AH221" t="s">
        <v>3</v>
      </c>
      <c r="AI221" t="s">
        <v>3</v>
      </c>
      <c r="AJ221" t="s">
        <v>3</v>
      </c>
      <c r="AK221" t="s">
        <v>3</v>
      </c>
      <c r="AL221" t="s">
        <v>3</v>
      </c>
      <c r="AM221" t="s">
        <v>3</v>
      </c>
      <c r="AN221" t="s">
        <v>3</v>
      </c>
      <c r="AO221" t="s">
        <v>3</v>
      </c>
      <c r="AP221" t="s">
        <v>3</v>
      </c>
      <c r="AQ221" t="s">
        <v>3</v>
      </c>
      <c r="AR221" t="s">
        <v>3</v>
      </c>
      <c r="AS221" t="s">
        <v>3</v>
      </c>
      <c r="AT221" t="s">
        <v>3</v>
      </c>
      <c r="AU221" t="s">
        <v>3</v>
      </c>
      <c r="AV221" t="s">
        <v>3</v>
      </c>
      <c r="AW221" t="s">
        <v>3</v>
      </c>
      <c r="AX221">
        <v>0</v>
      </c>
      <c r="AY221">
        <v>1</v>
      </c>
      <c r="AZ221" t="s">
        <v>1</v>
      </c>
      <c r="BA221" t="s">
        <v>1</v>
      </c>
      <c r="BB221" t="s">
        <v>1</v>
      </c>
      <c r="BC221" s="21" t="s">
        <v>748</v>
      </c>
      <c r="BD221" s="21" t="s">
        <v>144</v>
      </c>
      <c r="BE221">
        <v>0</v>
      </c>
      <c r="BF221">
        <v>0</v>
      </c>
      <c r="BG221">
        <v>0</v>
      </c>
      <c r="BH221">
        <v>0</v>
      </c>
      <c r="BI221">
        <v>0</v>
      </c>
      <c r="BJ221" t="s">
        <v>749</v>
      </c>
      <c r="BK221">
        <v>0</v>
      </c>
      <c r="BL221" t="s">
        <v>132</v>
      </c>
      <c r="BM221">
        <v>0</v>
      </c>
      <c r="BN221">
        <v>1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 t="s">
        <v>0</v>
      </c>
      <c r="BX221">
        <v>0</v>
      </c>
      <c r="BY221">
        <v>0</v>
      </c>
      <c r="BZ221">
        <v>0</v>
      </c>
      <c r="CA221">
        <v>0</v>
      </c>
      <c r="CB221" t="s">
        <v>145</v>
      </c>
      <c r="CD221" t="str" cm="1">
        <f t="array" aca="1" ref="CD221" ca="1">eConcatenar(A221:CB221,"|")</f>
        <v>uUhjf4vw7DA99iW1|MODIFVHS11|3|MODIF|MODIF|MODIF|MODIF|2022-01-01|1|0|0|0|0|0|0|0|0|0|0|0|0|0|0|0|0|0|0|x|x|x|x|x|x|x|x|x|x|x|x|x|x|x|x|x|x|x|x|x|x|0|1|X|X|X|2022-2-10|2022-02-23|0|0|0|0|0|QWYNRBIY9KVTQO|0|HOMBRE|0|1|0|0|0|0|0|0|0|0|CARDENAS|0|0|0|0|FINAL</v>
      </c>
    </row>
    <row r="222" spans="1:82" x14ac:dyDescent="0.25">
      <c r="A222" t="s">
        <v>762</v>
      </c>
      <c r="B222" t="s">
        <v>558</v>
      </c>
      <c r="C222">
        <v>3</v>
      </c>
      <c r="D222" t="s">
        <v>346</v>
      </c>
      <c r="E222" t="s">
        <v>346</v>
      </c>
      <c r="F222" t="s">
        <v>346</v>
      </c>
      <c r="G222" t="s">
        <v>346</v>
      </c>
      <c r="H222" s="21" t="s">
        <v>747</v>
      </c>
      <c r="I222">
        <v>1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t="s">
        <v>3</v>
      </c>
      <c r="AC222" t="s">
        <v>3</v>
      </c>
      <c r="AD222" t="s">
        <v>3</v>
      </c>
      <c r="AE222" t="s">
        <v>3</v>
      </c>
      <c r="AF222" t="s">
        <v>3</v>
      </c>
      <c r="AG222" t="s">
        <v>3</v>
      </c>
      <c r="AH222" t="s">
        <v>3</v>
      </c>
      <c r="AI222" t="s">
        <v>3</v>
      </c>
      <c r="AJ222" t="s">
        <v>3</v>
      </c>
      <c r="AK222" t="s">
        <v>3</v>
      </c>
      <c r="AL222" t="s">
        <v>3</v>
      </c>
      <c r="AM222" t="s">
        <v>3</v>
      </c>
      <c r="AN222" t="s">
        <v>3</v>
      </c>
      <c r="AO222" t="s">
        <v>3</v>
      </c>
      <c r="AP222" t="s">
        <v>3</v>
      </c>
      <c r="AQ222" t="s">
        <v>3</v>
      </c>
      <c r="AR222" t="s">
        <v>3</v>
      </c>
      <c r="AS222" t="s">
        <v>3</v>
      </c>
      <c r="AT222" t="s">
        <v>3</v>
      </c>
      <c r="AU222" t="s">
        <v>3</v>
      </c>
      <c r="AV222" t="s">
        <v>3</v>
      </c>
      <c r="AW222" t="s">
        <v>3</v>
      </c>
      <c r="AX222">
        <v>0</v>
      </c>
      <c r="AY222">
        <v>1</v>
      </c>
      <c r="AZ222" t="s">
        <v>1</v>
      </c>
      <c r="BA222" t="s">
        <v>1</v>
      </c>
      <c r="BB222" t="s">
        <v>1</v>
      </c>
      <c r="BC222" s="21" t="s">
        <v>748</v>
      </c>
      <c r="BD222" s="21" t="s">
        <v>144</v>
      </c>
      <c r="BE222">
        <v>0</v>
      </c>
      <c r="BF222">
        <v>0</v>
      </c>
      <c r="BG222">
        <v>0</v>
      </c>
      <c r="BH222">
        <v>0</v>
      </c>
      <c r="BI222">
        <v>0</v>
      </c>
      <c r="BJ222" t="s">
        <v>749</v>
      </c>
      <c r="BK222">
        <v>0</v>
      </c>
      <c r="BL222" t="s">
        <v>132</v>
      </c>
      <c r="BM222">
        <v>0</v>
      </c>
      <c r="BN222">
        <v>1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 t="s">
        <v>0</v>
      </c>
      <c r="BX222">
        <v>0</v>
      </c>
      <c r="BY222">
        <v>0</v>
      </c>
      <c r="BZ222">
        <v>0</v>
      </c>
      <c r="CA222">
        <v>0</v>
      </c>
      <c r="CB222" t="s">
        <v>145</v>
      </c>
      <c r="CD222" t="str" cm="1">
        <f t="array" aca="1" ref="CD222" ca="1">eConcatenar(A222:CB222,"|")</f>
        <v>P3gWx7QmOSW4Io1B|MODIFVHS12|3|MODIF|MODIF|MODIF|MODIF|2022-01-01|1|0|0|0|0|0|0|0|0|0|0|0|0|0|0|0|0|0|0|x|x|x|x|x|x|x|x|x|x|x|x|x|x|x|x|x|x|x|x|x|x|0|1|X|X|X|2022-2-10|2022-02-23|0|0|0|0|0|QWYNRBIY9KVTQO|0|HOMBRE|0|1|0|0|0|0|0|0|0|0|CARDENAS|0|0|0|0|FINAL</v>
      </c>
    </row>
    <row r="223" spans="1:82" x14ac:dyDescent="0.25">
      <c r="A223" t="s">
        <v>763</v>
      </c>
      <c r="B223" t="s">
        <v>559</v>
      </c>
      <c r="C223">
        <v>3</v>
      </c>
      <c r="D223" t="s">
        <v>346</v>
      </c>
      <c r="E223" t="s">
        <v>346</v>
      </c>
      <c r="F223" t="s">
        <v>346</v>
      </c>
      <c r="G223" t="s">
        <v>346</v>
      </c>
      <c r="H223" s="21" t="s">
        <v>747</v>
      </c>
      <c r="I223">
        <v>1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 t="s">
        <v>3</v>
      </c>
      <c r="AC223" t="s">
        <v>3</v>
      </c>
      <c r="AD223" t="s">
        <v>3</v>
      </c>
      <c r="AE223" t="s">
        <v>3</v>
      </c>
      <c r="AF223" t="s">
        <v>3</v>
      </c>
      <c r="AG223" t="s">
        <v>3</v>
      </c>
      <c r="AH223" t="s">
        <v>3</v>
      </c>
      <c r="AI223" t="s">
        <v>3</v>
      </c>
      <c r="AJ223" t="s">
        <v>3</v>
      </c>
      <c r="AK223" t="s">
        <v>3</v>
      </c>
      <c r="AL223" t="s">
        <v>3</v>
      </c>
      <c r="AM223" t="s">
        <v>3</v>
      </c>
      <c r="AN223" t="s">
        <v>3</v>
      </c>
      <c r="AO223" t="s">
        <v>3</v>
      </c>
      <c r="AP223" t="s">
        <v>3</v>
      </c>
      <c r="AQ223" t="s">
        <v>3</v>
      </c>
      <c r="AR223" t="s">
        <v>3</v>
      </c>
      <c r="AS223" t="s">
        <v>3</v>
      </c>
      <c r="AT223" t="s">
        <v>3</v>
      </c>
      <c r="AU223" t="s">
        <v>3</v>
      </c>
      <c r="AV223" t="s">
        <v>3</v>
      </c>
      <c r="AW223" t="s">
        <v>3</v>
      </c>
      <c r="AX223">
        <v>0</v>
      </c>
      <c r="AY223">
        <v>1</v>
      </c>
      <c r="AZ223" t="s">
        <v>1</v>
      </c>
      <c r="BA223" t="s">
        <v>1</v>
      </c>
      <c r="BB223" t="s">
        <v>1</v>
      </c>
      <c r="BC223" s="21" t="s">
        <v>748</v>
      </c>
      <c r="BD223" s="21" t="s">
        <v>144</v>
      </c>
      <c r="BE223">
        <v>0</v>
      </c>
      <c r="BF223">
        <v>0</v>
      </c>
      <c r="BG223">
        <v>0</v>
      </c>
      <c r="BH223">
        <v>0</v>
      </c>
      <c r="BI223">
        <v>0</v>
      </c>
      <c r="BJ223" t="s">
        <v>749</v>
      </c>
      <c r="BK223">
        <v>0</v>
      </c>
      <c r="BL223" t="s">
        <v>132</v>
      </c>
      <c r="BM223">
        <v>0</v>
      </c>
      <c r="BN223">
        <v>1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 t="s">
        <v>0</v>
      </c>
      <c r="BX223">
        <v>0</v>
      </c>
      <c r="BY223">
        <v>0</v>
      </c>
      <c r="BZ223">
        <v>0</v>
      </c>
      <c r="CA223">
        <v>0</v>
      </c>
      <c r="CB223" t="s">
        <v>145</v>
      </c>
      <c r="CD223" t="str" cm="1">
        <f t="array" aca="1" ref="CD223" ca="1">eConcatenar(A223:CB223,"|")</f>
        <v>ququLQEKWaYnwOz4|MODIFVHS13|3|MODIF|MODIF|MODIF|MODIF|2022-01-01|1|0|0|0|0|0|0|0|0|0|0|0|0|0|0|0|0|0|0|x|x|x|x|x|x|x|x|x|x|x|x|x|x|x|x|x|x|x|x|x|x|0|1|X|X|X|2022-2-10|2022-02-23|0|0|0|0|0|QWYNRBIY9KVTQO|0|HOMBRE|0|1|0|0|0|0|0|0|0|0|CARDENAS|0|0|0|0|FINAL</v>
      </c>
    </row>
    <row r="224" spans="1:82" x14ac:dyDescent="0.25">
      <c r="A224" t="s">
        <v>764</v>
      </c>
      <c r="B224" t="s">
        <v>560</v>
      </c>
      <c r="C224">
        <v>3</v>
      </c>
      <c r="D224" t="s">
        <v>346</v>
      </c>
      <c r="E224" t="s">
        <v>346</v>
      </c>
      <c r="F224" t="s">
        <v>346</v>
      </c>
      <c r="G224" t="s">
        <v>346</v>
      </c>
      <c r="H224" s="21" t="s">
        <v>747</v>
      </c>
      <c r="I224">
        <v>1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">
        <v>3</v>
      </c>
      <c r="AC224" t="s">
        <v>3</v>
      </c>
      <c r="AD224" t="s">
        <v>3</v>
      </c>
      <c r="AE224" t="s">
        <v>3</v>
      </c>
      <c r="AF224" t="s">
        <v>3</v>
      </c>
      <c r="AG224" t="s">
        <v>3</v>
      </c>
      <c r="AH224" t="s">
        <v>3</v>
      </c>
      <c r="AI224" t="s">
        <v>3</v>
      </c>
      <c r="AJ224" t="s">
        <v>3</v>
      </c>
      <c r="AK224" t="s">
        <v>3</v>
      </c>
      <c r="AL224" t="s">
        <v>3</v>
      </c>
      <c r="AM224" t="s">
        <v>3</v>
      </c>
      <c r="AN224" t="s">
        <v>3</v>
      </c>
      <c r="AO224" t="s">
        <v>3</v>
      </c>
      <c r="AP224" t="s">
        <v>3</v>
      </c>
      <c r="AQ224" t="s">
        <v>3</v>
      </c>
      <c r="AR224" t="s">
        <v>3</v>
      </c>
      <c r="AS224" t="s">
        <v>3</v>
      </c>
      <c r="AT224" t="s">
        <v>3</v>
      </c>
      <c r="AU224" t="s">
        <v>3</v>
      </c>
      <c r="AV224" t="s">
        <v>3</v>
      </c>
      <c r="AW224" t="s">
        <v>3</v>
      </c>
      <c r="AX224">
        <v>0</v>
      </c>
      <c r="AY224">
        <v>1</v>
      </c>
      <c r="AZ224" t="s">
        <v>1</v>
      </c>
      <c r="BA224" t="s">
        <v>1</v>
      </c>
      <c r="BB224" t="s">
        <v>1</v>
      </c>
      <c r="BC224" s="21" t="s">
        <v>748</v>
      </c>
      <c r="BD224" s="21" t="s">
        <v>144</v>
      </c>
      <c r="BE224">
        <v>0</v>
      </c>
      <c r="BF224">
        <v>0</v>
      </c>
      <c r="BG224">
        <v>0</v>
      </c>
      <c r="BH224">
        <v>0</v>
      </c>
      <c r="BI224">
        <v>0</v>
      </c>
      <c r="BJ224" t="s">
        <v>749</v>
      </c>
      <c r="BK224">
        <v>0</v>
      </c>
      <c r="BL224" t="s">
        <v>132</v>
      </c>
      <c r="BM224">
        <v>0</v>
      </c>
      <c r="BN224">
        <v>1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 t="s">
        <v>0</v>
      </c>
      <c r="BX224">
        <v>0</v>
      </c>
      <c r="BY224">
        <v>0</v>
      </c>
      <c r="BZ224">
        <v>0</v>
      </c>
      <c r="CA224">
        <v>0</v>
      </c>
      <c r="CB224" t="s">
        <v>145</v>
      </c>
      <c r="CD224" t="str" cm="1">
        <f t="array" aca="1" ref="CD224" ca="1">eConcatenar(A224:CB224,"|")</f>
        <v>xURG4xfadrfETrUv|MODIFVHS14|3|MODIF|MODIF|MODIF|MODIF|2022-01-01|1|0|0|0|0|0|0|0|0|0|0|0|0|0|0|0|0|0|0|x|x|x|x|x|x|x|x|x|x|x|x|x|x|x|x|x|x|x|x|x|x|0|1|X|X|X|2022-2-10|2022-02-23|0|0|0|0|0|QWYNRBIY9KVTQO|0|HOMBRE|0|1|0|0|0|0|0|0|0|0|CARDENAS|0|0|0|0|FINAL</v>
      </c>
    </row>
    <row r="225" spans="1:82" x14ac:dyDescent="0.25">
      <c r="A225" t="s">
        <v>765</v>
      </c>
      <c r="B225" t="s">
        <v>561</v>
      </c>
      <c r="C225">
        <v>3</v>
      </c>
      <c r="D225" t="s">
        <v>346</v>
      </c>
      <c r="E225" t="s">
        <v>346</v>
      </c>
      <c r="F225" t="s">
        <v>346</v>
      </c>
      <c r="G225" t="s">
        <v>346</v>
      </c>
      <c r="H225" s="21" t="s">
        <v>747</v>
      </c>
      <c r="I225">
        <v>1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">
        <v>3</v>
      </c>
      <c r="AC225" t="s">
        <v>3</v>
      </c>
      <c r="AD225" t="s">
        <v>3</v>
      </c>
      <c r="AE225" t="s">
        <v>3</v>
      </c>
      <c r="AF225" t="s">
        <v>3</v>
      </c>
      <c r="AG225" t="s">
        <v>3</v>
      </c>
      <c r="AH225" t="s">
        <v>3</v>
      </c>
      <c r="AI225" t="s">
        <v>3</v>
      </c>
      <c r="AJ225" t="s">
        <v>3</v>
      </c>
      <c r="AK225" t="s">
        <v>3</v>
      </c>
      <c r="AL225" t="s">
        <v>3</v>
      </c>
      <c r="AM225" t="s">
        <v>3</v>
      </c>
      <c r="AN225" t="s">
        <v>3</v>
      </c>
      <c r="AO225" t="s">
        <v>3</v>
      </c>
      <c r="AP225" t="s">
        <v>3</v>
      </c>
      <c r="AQ225" t="s">
        <v>3</v>
      </c>
      <c r="AR225" t="s">
        <v>3</v>
      </c>
      <c r="AS225" t="s">
        <v>3</v>
      </c>
      <c r="AT225" t="s">
        <v>3</v>
      </c>
      <c r="AU225" t="s">
        <v>3</v>
      </c>
      <c r="AV225" t="s">
        <v>3</v>
      </c>
      <c r="AW225" t="s">
        <v>3</v>
      </c>
      <c r="AX225">
        <v>0</v>
      </c>
      <c r="AY225">
        <v>1</v>
      </c>
      <c r="AZ225" t="s">
        <v>1</v>
      </c>
      <c r="BA225" t="s">
        <v>1</v>
      </c>
      <c r="BB225" t="s">
        <v>1</v>
      </c>
      <c r="BC225" s="21" t="s">
        <v>748</v>
      </c>
      <c r="BD225" s="21" t="s">
        <v>144</v>
      </c>
      <c r="BE225">
        <v>0</v>
      </c>
      <c r="BF225">
        <v>0</v>
      </c>
      <c r="BG225">
        <v>0</v>
      </c>
      <c r="BH225">
        <v>0</v>
      </c>
      <c r="BI225">
        <v>0</v>
      </c>
      <c r="BJ225" t="s">
        <v>749</v>
      </c>
      <c r="BK225">
        <v>0</v>
      </c>
      <c r="BL225" t="s">
        <v>132</v>
      </c>
      <c r="BM225">
        <v>0</v>
      </c>
      <c r="BN225">
        <v>1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 t="s">
        <v>0</v>
      </c>
      <c r="BX225">
        <v>0</v>
      </c>
      <c r="BY225">
        <v>0</v>
      </c>
      <c r="BZ225">
        <v>0</v>
      </c>
      <c r="CA225">
        <v>0</v>
      </c>
      <c r="CB225" t="s">
        <v>145</v>
      </c>
      <c r="CD225" t="str" cm="1">
        <f t="array" aca="1" ref="CD225" ca="1">eConcatenar(A225:CB225,"|")</f>
        <v>CN4d5AeLpxW55rkC|MODIFVHS15|3|MODIF|MODIF|MODIF|MODIF|2022-01-01|1|0|0|0|0|0|0|0|0|0|0|0|0|0|0|0|0|0|0|x|x|x|x|x|x|x|x|x|x|x|x|x|x|x|x|x|x|x|x|x|x|0|1|X|X|X|2022-2-10|2022-02-23|0|0|0|0|0|QWYNRBIY9KVTQO|0|HOMBRE|0|1|0|0|0|0|0|0|0|0|CARDENAS|0|0|0|0|FINAL</v>
      </c>
    </row>
    <row r="226" spans="1:82" x14ac:dyDescent="0.25">
      <c r="A226" t="s">
        <v>766</v>
      </c>
      <c r="B226" t="s">
        <v>562</v>
      </c>
      <c r="C226">
        <v>3</v>
      </c>
      <c r="D226" t="s">
        <v>346</v>
      </c>
      <c r="E226" t="s">
        <v>346</v>
      </c>
      <c r="F226" t="s">
        <v>346</v>
      </c>
      <c r="G226" t="s">
        <v>346</v>
      </c>
      <c r="H226" s="21" t="s">
        <v>747</v>
      </c>
      <c r="I226">
        <v>1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 t="s">
        <v>3</v>
      </c>
      <c r="AC226" t="s">
        <v>3</v>
      </c>
      <c r="AD226" t="s">
        <v>3</v>
      </c>
      <c r="AE226" t="s">
        <v>3</v>
      </c>
      <c r="AF226" t="s">
        <v>3</v>
      </c>
      <c r="AG226" t="s">
        <v>3</v>
      </c>
      <c r="AH226" t="s">
        <v>3</v>
      </c>
      <c r="AI226" t="s">
        <v>3</v>
      </c>
      <c r="AJ226" t="s">
        <v>3</v>
      </c>
      <c r="AK226" t="s">
        <v>3</v>
      </c>
      <c r="AL226" t="s">
        <v>3</v>
      </c>
      <c r="AM226" t="s">
        <v>3</v>
      </c>
      <c r="AN226" t="s">
        <v>3</v>
      </c>
      <c r="AO226" t="s">
        <v>3</v>
      </c>
      <c r="AP226" t="s">
        <v>3</v>
      </c>
      <c r="AQ226" t="s">
        <v>3</v>
      </c>
      <c r="AR226" t="s">
        <v>3</v>
      </c>
      <c r="AS226" t="s">
        <v>3</v>
      </c>
      <c r="AT226" t="s">
        <v>3</v>
      </c>
      <c r="AU226" t="s">
        <v>3</v>
      </c>
      <c r="AV226" t="s">
        <v>3</v>
      </c>
      <c r="AW226" t="s">
        <v>3</v>
      </c>
      <c r="AX226">
        <v>0</v>
      </c>
      <c r="AY226">
        <v>1</v>
      </c>
      <c r="AZ226" t="s">
        <v>1</v>
      </c>
      <c r="BA226" t="s">
        <v>1</v>
      </c>
      <c r="BB226" t="s">
        <v>1</v>
      </c>
      <c r="BC226" s="21" t="s">
        <v>748</v>
      </c>
      <c r="BD226" s="21" t="s">
        <v>144</v>
      </c>
      <c r="BE226">
        <v>0</v>
      </c>
      <c r="BF226">
        <v>0</v>
      </c>
      <c r="BG226">
        <v>0</v>
      </c>
      <c r="BH226">
        <v>0</v>
      </c>
      <c r="BI226">
        <v>0</v>
      </c>
      <c r="BJ226" t="s">
        <v>749</v>
      </c>
      <c r="BK226">
        <v>0</v>
      </c>
      <c r="BL226" t="s">
        <v>132</v>
      </c>
      <c r="BM226">
        <v>0</v>
      </c>
      <c r="BN226">
        <v>1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 t="s">
        <v>0</v>
      </c>
      <c r="BX226">
        <v>0</v>
      </c>
      <c r="BY226">
        <v>0</v>
      </c>
      <c r="BZ226">
        <v>0</v>
      </c>
      <c r="CA226">
        <v>0</v>
      </c>
      <c r="CB226" t="s">
        <v>145</v>
      </c>
      <c r="CD226" t="str" cm="1">
        <f t="array" aca="1" ref="CD226" ca="1">eConcatenar(A226:CB226,"|")</f>
        <v>VZ8u87gc9XPU5wxE|MODIFVHS16|3|MODIF|MODIF|MODIF|MODIF|2022-01-01|1|0|0|0|0|0|0|0|0|0|0|0|0|0|0|0|0|0|0|x|x|x|x|x|x|x|x|x|x|x|x|x|x|x|x|x|x|x|x|x|x|0|1|X|X|X|2022-2-10|2022-02-23|0|0|0|0|0|QWYNRBIY9KVTQO|0|HOMBRE|0|1|0|0|0|0|0|0|0|0|CARDENAS|0|0|0|0|FINAL</v>
      </c>
    </row>
    <row r="227" spans="1:82" x14ac:dyDescent="0.25">
      <c r="A227" t="s">
        <v>767</v>
      </c>
      <c r="B227" t="s">
        <v>563</v>
      </c>
      <c r="C227">
        <v>3</v>
      </c>
      <c r="D227" t="s">
        <v>346</v>
      </c>
      <c r="E227" t="s">
        <v>346</v>
      </c>
      <c r="F227" t="s">
        <v>346</v>
      </c>
      <c r="G227" t="s">
        <v>346</v>
      </c>
      <c r="H227" s="21" t="s">
        <v>747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">
        <v>3</v>
      </c>
      <c r="AC227" t="s">
        <v>3</v>
      </c>
      <c r="AD227" t="s">
        <v>3</v>
      </c>
      <c r="AE227" t="s">
        <v>3</v>
      </c>
      <c r="AF227" t="s">
        <v>3</v>
      </c>
      <c r="AG227" t="s">
        <v>3</v>
      </c>
      <c r="AH227" t="s">
        <v>3</v>
      </c>
      <c r="AI227" t="s">
        <v>3</v>
      </c>
      <c r="AJ227" t="s">
        <v>3</v>
      </c>
      <c r="AK227" t="s">
        <v>3</v>
      </c>
      <c r="AL227" t="s">
        <v>3</v>
      </c>
      <c r="AM227" t="s">
        <v>3</v>
      </c>
      <c r="AN227" t="s">
        <v>3</v>
      </c>
      <c r="AO227" t="s">
        <v>3</v>
      </c>
      <c r="AP227" t="s">
        <v>3</v>
      </c>
      <c r="AQ227" t="s">
        <v>3</v>
      </c>
      <c r="AR227" t="s">
        <v>3</v>
      </c>
      <c r="AS227" t="s">
        <v>3</v>
      </c>
      <c r="AT227" t="s">
        <v>3</v>
      </c>
      <c r="AU227" t="s">
        <v>3</v>
      </c>
      <c r="AV227" t="s">
        <v>3</v>
      </c>
      <c r="AW227" t="s">
        <v>3</v>
      </c>
      <c r="AX227">
        <v>0</v>
      </c>
      <c r="AY227">
        <v>1</v>
      </c>
      <c r="AZ227" t="s">
        <v>1</v>
      </c>
      <c r="BA227" t="s">
        <v>1</v>
      </c>
      <c r="BB227" t="s">
        <v>1</v>
      </c>
      <c r="BC227" s="21" t="s">
        <v>748</v>
      </c>
      <c r="BD227" s="21" t="s">
        <v>144</v>
      </c>
      <c r="BE227">
        <v>0</v>
      </c>
      <c r="BF227">
        <v>0</v>
      </c>
      <c r="BG227">
        <v>0</v>
      </c>
      <c r="BH227">
        <v>0</v>
      </c>
      <c r="BI227">
        <v>0</v>
      </c>
      <c r="BJ227" t="s">
        <v>749</v>
      </c>
      <c r="BK227">
        <v>0</v>
      </c>
      <c r="BL227" t="s">
        <v>132</v>
      </c>
      <c r="BM227">
        <v>0</v>
      </c>
      <c r="BN227">
        <v>1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 t="s">
        <v>0</v>
      </c>
      <c r="BX227">
        <v>0</v>
      </c>
      <c r="BY227">
        <v>0</v>
      </c>
      <c r="BZ227">
        <v>0</v>
      </c>
      <c r="CA227">
        <v>0</v>
      </c>
      <c r="CB227" t="s">
        <v>145</v>
      </c>
      <c r="CD227" t="str" cm="1">
        <f t="array" aca="1" ref="CD227" ca="1">eConcatenar(A227:CB227,"|")</f>
        <v>jTDte5jgYA1pjtJ9|MODIFVHS17|3|MODIF|MODIF|MODIF|MODIF|2022-01-01|1|0|0|0|0|0|0|0|0|0|0|0|0|0|0|0|0|0|0|x|x|x|x|x|x|x|x|x|x|x|x|x|x|x|x|x|x|x|x|x|x|0|1|X|X|X|2022-2-10|2022-02-23|0|0|0|0|0|QWYNRBIY9KVTQO|0|HOMBRE|0|1|0|0|0|0|0|0|0|0|CARDENAS|0|0|0|0|FINAL</v>
      </c>
    </row>
    <row r="228" spans="1:82" x14ac:dyDescent="0.25">
      <c r="A228" t="s">
        <v>768</v>
      </c>
      <c r="B228" t="s">
        <v>564</v>
      </c>
      <c r="C228">
        <v>3</v>
      </c>
      <c r="D228" t="s">
        <v>346</v>
      </c>
      <c r="E228" t="s">
        <v>346</v>
      </c>
      <c r="F228" t="s">
        <v>346</v>
      </c>
      <c r="G228" t="s">
        <v>346</v>
      </c>
      <c r="H228" s="21" t="s">
        <v>747</v>
      </c>
      <c r="I228">
        <v>1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 t="s">
        <v>3</v>
      </c>
      <c r="AC228" t="s">
        <v>3</v>
      </c>
      <c r="AD228" t="s">
        <v>3</v>
      </c>
      <c r="AE228" t="s">
        <v>3</v>
      </c>
      <c r="AF228" t="s">
        <v>3</v>
      </c>
      <c r="AG228" t="s">
        <v>3</v>
      </c>
      <c r="AH228" t="s">
        <v>3</v>
      </c>
      <c r="AI228" t="s">
        <v>3</v>
      </c>
      <c r="AJ228" t="s">
        <v>3</v>
      </c>
      <c r="AK228" t="s">
        <v>3</v>
      </c>
      <c r="AL228" t="s">
        <v>3</v>
      </c>
      <c r="AM228" t="s">
        <v>3</v>
      </c>
      <c r="AN228" t="s">
        <v>3</v>
      </c>
      <c r="AO228" t="s">
        <v>3</v>
      </c>
      <c r="AP228" t="s">
        <v>3</v>
      </c>
      <c r="AQ228" t="s">
        <v>3</v>
      </c>
      <c r="AR228" t="s">
        <v>3</v>
      </c>
      <c r="AS228" t="s">
        <v>3</v>
      </c>
      <c r="AT228" t="s">
        <v>3</v>
      </c>
      <c r="AU228" t="s">
        <v>3</v>
      </c>
      <c r="AV228" t="s">
        <v>3</v>
      </c>
      <c r="AW228" t="s">
        <v>3</v>
      </c>
      <c r="AX228">
        <v>0</v>
      </c>
      <c r="AY228">
        <v>1</v>
      </c>
      <c r="AZ228" t="s">
        <v>1</v>
      </c>
      <c r="BA228" t="s">
        <v>1</v>
      </c>
      <c r="BB228" t="s">
        <v>1</v>
      </c>
      <c r="BC228" s="21" t="s">
        <v>748</v>
      </c>
      <c r="BD228" s="21" t="s">
        <v>144</v>
      </c>
      <c r="BE228">
        <v>0</v>
      </c>
      <c r="BF228">
        <v>0</v>
      </c>
      <c r="BG228">
        <v>0</v>
      </c>
      <c r="BH228">
        <v>0</v>
      </c>
      <c r="BI228">
        <v>0</v>
      </c>
      <c r="BJ228" t="s">
        <v>749</v>
      </c>
      <c r="BK228">
        <v>0</v>
      </c>
      <c r="BL228" t="s">
        <v>132</v>
      </c>
      <c r="BM228">
        <v>0</v>
      </c>
      <c r="BN228">
        <v>1</v>
      </c>
      <c r="BO228">
        <v>0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 t="s">
        <v>0</v>
      </c>
      <c r="BX228">
        <v>0</v>
      </c>
      <c r="BY228">
        <v>0</v>
      </c>
      <c r="BZ228">
        <v>0</v>
      </c>
      <c r="CA228">
        <v>0</v>
      </c>
      <c r="CB228" t="s">
        <v>145</v>
      </c>
      <c r="CD228" t="str" cm="1">
        <f t="array" aca="1" ref="CD228" ca="1">eConcatenar(A228:CB228,"|")</f>
        <v>QAkvLs6BIpctbuYY|MODIFVHS18|3|MODIF|MODIF|MODIF|MODIF|2022-01-01|1|0|0|0|0|0|0|0|0|0|0|0|0|0|0|0|0|0|0|x|x|x|x|x|x|x|x|x|x|x|x|x|x|x|x|x|x|x|x|x|x|0|1|X|X|X|2022-2-10|2022-02-23|0|0|0|0|0|QWYNRBIY9KVTQO|0|HOMBRE|0|1|0|0|0|0|0|0|0|0|CARDENAS|0|0|0|0|FINAL</v>
      </c>
    </row>
    <row r="229" spans="1:82" x14ac:dyDescent="0.25">
      <c r="A229" t="s">
        <v>769</v>
      </c>
      <c r="B229" t="s">
        <v>565</v>
      </c>
      <c r="C229">
        <v>3</v>
      </c>
      <c r="D229" t="s">
        <v>346</v>
      </c>
      <c r="E229" t="s">
        <v>346</v>
      </c>
      <c r="F229" t="s">
        <v>346</v>
      </c>
      <c r="G229" t="s">
        <v>346</v>
      </c>
      <c r="H229" s="21" t="s">
        <v>747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t="s">
        <v>3</v>
      </c>
      <c r="AC229" t="s">
        <v>3</v>
      </c>
      <c r="AD229" t="s">
        <v>3</v>
      </c>
      <c r="AE229" t="s">
        <v>3</v>
      </c>
      <c r="AF229" t="s">
        <v>3</v>
      </c>
      <c r="AG229" t="s">
        <v>3</v>
      </c>
      <c r="AH229" t="s">
        <v>3</v>
      </c>
      <c r="AI229" t="s">
        <v>3</v>
      </c>
      <c r="AJ229" t="s">
        <v>3</v>
      </c>
      <c r="AK229" t="s">
        <v>3</v>
      </c>
      <c r="AL229" t="s">
        <v>3</v>
      </c>
      <c r="AM229" t="s">
        <v>3</v>
      </c>
      <c r="AN229" t="s">
        <v>3</v>
      </c>
      <c r="AO229" t="s">
        <v>3</v>
      </c>
      <c r="AP229" t="s">
        <v>3</v>
      </c>
      <c r="AQ229" t="s">
        <v>3</v>
      </c>
      <c r="AR229" t="s">
        <v>3</v>
      </c>
      <c r="AS229" t="s">
        <v>3</v>
      </c>
      <c r="AT229" t="s">
        <v>3</v>
      </c>
      <c r="AU229" t="s">
        <v>3</v>
      </c>
      <c r="AV229" t="s">
        <v>3</v>
      </c>
      <c r="AW229" t="s">
        <v>3</v>
      </c>
      <c r="AX229">
        <v>0</v>
      </c>
      <c r="AY229">
        <v>1</v>
      </c>
      <c r="AZ229" t="s">
        <v>1</v>
      </c>
      <c r="BA229" t="s">
        <v>1</v>
      </c>
      <c r="BB229" t="s">
        <v>1</v>
      </c>
      <c r="BC229" s="21" t="s">
        <v>748</v>
      </c>
      <c r="BD229" s="21" t="s">
        <v>144</v>
      </c>
      <c r="BE229">
        <v>0</v>
      </c>
      <c r="BF229">
        <v>0</v>
      </c>
      <c r="BG229">
        <v>0</v>
      </c>
      <c r="BH229">
        <v>0</v>
      </c>
      <c r="BI229">
        <v>0</v>
      </c>
      <c r="BJ229" t="s">
        <v>749</v>
      </c>
      <c r="BK229">
        <v>0</v>
      </c>
      <c r="BL229" t="s">
        <v>132</v>
      </c>
      <c r="BM229">
        <v>0</v>
      </c>
      <c r="BN229">
        <v>1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 t="s">
        <v>0</v>
      </c>
      <c r="BX229">
        <v>0</v>
      </c>
      <c r="BY229">
        <v>0</v>
      </c>
      <c r="BZ229">
        <v>0</v>
      </c>
      <c r="CA229">
        <v>0</v>
      </c>
      <c r="CB229" t="s">
        <v>145</v>
      </c>
      <c r="CD229" t="str" cm="1">
        <f t="array" aca="1" ref="CD229" ca="1">eConcatenar(A229:CB229,"|")</f>
        <v>hr1kievrOtMAYtDI|MODIFVHS19|3|MODIF|MODIF|MODIF|MODIF|2022-01-01|1|0|0|0|0|0|0|0|0|0|0|0|0|0|0|0|0|0|0|x|x|x|x|x|x|x|x|x|x|x|x|x|x|x|x|x|x|x|x|x|x|0|1|X|X|X|2022-2-10|2022-02-23|0|0|0|0|0|QWYNRBIY9KVTQO|0|HOMBRE|0|1|0|0|0|0|0|0|0|0|CARDENAS|0|0|0|0|FINAL</v>
      </c>
    </row>
    <row r="230" spans="1:82" x14ac:dyDescent="0.25">
      <c r="A230" t="s">
        <v>770</v>
      </c>
      <c r="B230" t="s">
        <v>566</v>
      </c>
      <c r="C230">
        <v>3</v>
      </c>
      <c r="D230" t="s">
        <v>346</v>
      </c>
      <c r="E230" t="s">
        <v>346</v>
      </c>
      <c r="F230" t="s">
        <v>346</v>
      </c>
      <c r="G230" t="s">
        <v>346</v>
      </c>
      <c r="H230" s="21" t="s">
        <v>747</v>
      </c>
      <c r="I230">
        <v>1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 t="s">
        <v>3</v>
      </c>
      <c r="AC230" t="s">
        <v>3</v>
      </c>
      <c r="AD230" t="s">
        <v>3</v>
      </c>
      <c r="AE230" t="s">
        <v>3</v>
      </c>
      <c r="AF230" t="s">
        <v>3</v>
      </c>
      <c r="AG230" t="s">
        <v>3</v>
      </c>
      <c r="AH230" t="s">
        <v>3</v>
      </c>
      <c r="AI230" t="s">
        <v>3</v>
      </c>
      <c r="AJ230" t="s">
        <v>3</v>
      </c>
      <c r="AK230" t="s">
        <v>3</v>
      </c>
      <c r="AL230" t="s">
        <v>3</v>
      </c>
      <c r="AM230" t="s">
        <v>3</v>
      </c>
      <c r="AN230" t="s">
        <v>3</v>
      </c>
      <c r="AO230" t="s">
        <v>3</v>
      </c>
      <c r="AP230" t="s">
        <v>3</v>
      </c>
      <c r="AQ230" t="s">
        <v>3</v>
      </c>
      <c r="AR230" t="s">
        <v>3</v>
      </c>
      <c r="AS230" t="s">
        <v>3</v>
      </c>
      <c r="AT230" t="s">
        <v>3</v>
      </c>
      <c r="AU230" t="s">
        <v>3</v>
      </c>
      <c r="AV230" t="s">
        <v>3</v>
      </c>
      <c r="AW230" t="s">
        <v>3</v>
      </c>
      <c r="AX230">
        <v>0</v>
      </c>
      <c r="AY230">
        <v>1</v>
      </c>
      <c r="AZ230" t="s">
        <v>1</v>
      </c>
      <c r="BA230" t="s">
        <v>1</v>
      </c>
      <c r="BB230" t="s">
        <v>1</v>
      </c>
      <c r="BC230" s="21" t="s">
        <v>748</v>
      </c>
      <c r="BD230" s="21" t="s">
        <v>144</v>
      </c>
      <c r="BE230">
        <v>0</v>
      </c>
      <c r="BF230">
        <v>0</v>
      </c>
      <c r="BG230">
        <v>0</v>
      </c>
      <c r="BH230">
        <v>0</v>
      </c>
      <c r="BI230">
        <v>0</v>
      </c>
      <c r="BJ230" t="s">
        <v>749</v>
      </c>
      <c r="BK230">
        <v>0</v>
      </c>
      <c r="BL230" t="s">
        <v>132</v>
      </c>
      <c r="BM230">
        <v>0</v>
      </c>
      <c r="BN230">
        <v>1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 t="s">
        <v>0</v>
      </c>
      <c r="BX230">
        <v>0</v>
      </c>
      <c r="BY230">
        <v>0</v>
      </c>
      <c r="BZ230">
        <v>0</v>
      </c>
      <c r="CA230">
        <v>0</v>
      </c>
      <c r="CB230" t="s">
        <v>145</v>
      </c>
      <c r="CD230" t="str" cm="1">
        <f t="array" aca="1" ref="CD230" ca="1">eConcatenar(A230:CB230,"|")</f>
        <v>vOJDjGejZerBing9|MODIFVHS20|3|MODIF|MODIF|MODIF|MODIF|2022-01-01|1|0|0|0|0|0|0|0|0|0|0|0|0|0|0|0|0|0|0|x|x|x|x|x|x|x|x|x|x|x|x|x|x|x|x|x|x|x|x|x|x|0|1|X|X|X|2022-2-10|2022-02-23|0|0|0|0|0|QWYNRBIY9KVTQO|0|HOMBRE|0|1|0|0|0|0|0|0|0|0|CARDENAS|0|0|0|0|FINAL</v>
      </c>
    </row>
    <row r="231" spans="1:82" x14ac:dyDescent="0.25">
      <c r="A231" t="s">
        <v>771</v>
      </c>
      <c r="B231" t="s">
        <v>567</v>
      </c>
      <c r="C231">
        <v>3</v>
      </c>
      <c r="D231" t="s">
        <v>346</v>
      </c>
      <c r="E231" t="s">
        <v>346</v>
      </c>
      <c r="F231" t="s">
        <v>346</v>
      </c>
      <c r="G231" t="s">
        <v>346</v>
      </c>
      <c r="H231" s="21" t="s">
        <v>747</v>
      </c>
      <c r="I231">
        <v>1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 t="s">
        <v>3</v>
      </c>
      <c r="AC231" t="s">
        <v>3</v>
      </c>
      <c r="AD231" t="s">
        <v>3</v>
      </c>
      <c r="AE231" t="s">
        <v>3</v>
      </c>
      <c r="AF231" t="s">
        <v>3</v>
      </c>
      <c r="AG231" t="s">
        <v>3</v>
      </c>
      <c r="AH231" t="s">
        <v>3</v>
      </c>
      <c r="AI231" t="s">
        <v>3</v>
      </c>
      <c r="AJ231" t="s">
        <v>3</v>
      </c>
      <c r="AK231" t="s">
        <v>3</v>
      </c>
      <c r="AL231" t="s">
        <v>3</v>
      </c>
      <c r="AM231" t="s">
        <v>3</v>
      </c>
      <c r="AN231" t="s">
        <v>3</v>
      </c>
      <c r="AO231" t="s">
        <v>3</v>
      </c>
      <c r="AP231" t="s">
        <v>3</v>
      </c>
      <c r="AQ231" t="s">
        <v>3</v>
      </c>
      <c r="AR231" t="s">
        <v>3</v>
      </c>
      <c r="AS231" t="s">
        <v>3</v>
      </c>
      <c r="AT231" t="s">
        <v>3</v>
      </c>
      <c r="AU231" t="s">
        <v>3</v>
      </c>
      <c r="AV231" t="s">
        <v>3</v>
      </c>
      <c r="AW231" t="s">
        <v>3</v>
      </c>
      <c r="AX231">
        <v>0</v>
      </c>
      <c r="AY231">
        <v>1</v>
      </c>
      <c r="AZ231" t="s">
        <v>1</v>
      </c>
      <c r="BA231" t="s">
        <v>1</v>
      </c>
      <c r="BB231" t="s">
        <v>1</v>
      </c>
      <c r="BC231" s="21" t="s">
        <v>748</v>
      </c>
      <c r="BD231" s="21" t="s">
        <v>144</v>
      </c>
      <c r="BE231">
        <v>0</v>
      </c>
      <c r="BF231">
        <v>0</v>
      </c>
      <c r="BG231">
        <v>0</v>
      </c>
      <c r="BH231">
        <v>0</v>
      </c>
      <c r="BI231">
        <v>0</v>
      </c>
      <c r="BJ231" t="s">
        <v>749</v>
      </c>
      <c r="BK231">
        <v>0</v>
      </c>
      <c r="BL231" t="s">
        <v>132</v>
      </c>
      <c r="BM231">
        <v>0</v>
      </c>
      <c r="BN231">
        <v>1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 t="s">
        <v>0</v>
      </c>
      <c r="BX231">
        <v>0</v>
      </c>
      <c r="BY231">
        <v>0</v>
      </c>
      <c r="BZ231">
        <v>0</v>
      </c>
      <c r="CA231">
        <v>0</v>
      </c>
      <c r="CB231" t="s">
        <v>145</v>
      </c>
      <c r="CD231" t="str" cm="1">
        <f t="array" aca="1" ref="CD231" ca="1">eConcatenar(A231:CB231,"|")</f>
        <v>pgmKYSO1d5pJcYWs|MODIFVHS21|3|MODIF|MODIF|MODIF|MODIF|2022-01-01|1|0|0|0|0|0|0|0|0|0|0|0|0|0|0|0|0|0|0|x|x|x|x|x|x|x|x|x|x|x|x|x|x|x|x|x|x|x|x|x|x|0|1|X|X|X|2022-2-10|2022-02-23|0|0|0|0|0|QWYNRBIY9KVTQO|0|HOMBRE|0|1|0|0|0|0|0|0|0|0|CARDENAS|0|0|0|0|FINAL</v>
      </c>
    </row>
    <row r="232" spans="1:82" x14ac:dyDescent="0.25">
      <c r="A232" t="s">
        <v>772</v>
      </c>
      <c r="B232" t="s">
        <v>568</v>
      </c>
      <c r="C232">
        <v>3</v>
      </c>
      <c r="D232" t="s">
        <v>346</v>
      </c>
      <c r="E232" t="s">
        <v>346</v>
      </c>
      <c r="F232" t="s">
        <v>346</v>
      </c>
      <c r="G232" t="s">
        <v>346</v>
      </c>
      <c r="H232" s="21" t="s">
        <v>747</v>
      </c>
      <c r="I232">
        <v>1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">
        <v>3</v>
      </c>
      <c r="AC232" t="s">
        <v>3</v>
      </c>
      <c r="AD232" t="s">
        <v>3</v>
      </c>
      <c r="AE232" t="s">
        <v>3</v>
      </c>
      <c r="AF232" t="s">
        <v>3</v>
      </c>
      <c r="AG232" t="s">
        <v>3</v>
      </c>
      <c r="AH232" t="s">
        <v>3</v>
      </c>
      <c r="AI232" t="s">
        <v>3</v>
      </c>
      <c r="AJ232" t="s">
        <v>3</v>
      </c>
      <c r="AK232" t="s">
        <v>3</v>
      </c>
      <c r="AL232" t="s">
        <v>3</v>
      </c>
      <c r="AM232" t="s">
        <v>3</v>
      </c>
      <c r="AN232" t="s">
        <v>3</v>
      </c>
      <c r="AO232" t="s">
        <v>3</v>
      </c>
      <c r="AP232" t="s">
        <v>3</v>
      </c>
      <c r="AQ232" t="s">
        <v>3</v>
      </c>
      <c r="AR232" t="s">
        <v>3</v>
      </c>
      <c r="AS232" t="s">
        <v>3</v>
      </c>
      <c r="AT232" t="s">
        <v>3</v>
      </c>
      <c r="AU232" t="s">
        <v>3</v>
      </c>
      <c r="AV232" t="s">
        <v>3</v>
      </c>
      <c r="AW232" t="s">
        <v>3</v>
      </c>
      <c r="AX232">
        <v>0</v>
      </c>
      <c r="AY232">
        <v>1</v>
      </c>
      <c r="AZ232" t="s">
        <v>1</v>
      </c>
      <c r="BA232" t="s">
        <v>1</v>
      </c>
      <c r="BB232" t="s">
        <v>1</v>
      </c>
      <c r="BC232" s="21" t="s">
        <v>748</v>
      </c>
      <c r="BD232" s="21" t="s">
        <v>144</v>
      </c>
      <c r="BE232">
        <v>0</v>
      </c>
      <c r="BF232">
        <v>0</v>
      </c>
      <c r="BG232">
        <v>0</v>
      </c>
      <c r="BH232">
        <v>0</v>
      </c>
      <c r="BI232">
        <v>0</v>
      </c>
      <c r="BJ232" t="s">
        <v>749</v>
      </c>
      <c r="BK232">
        <v>0</v>
      </c>
      <c r="BL232" t="s">
        <v>132</v>
      </c>
      <c r="BM232">
        <v>0</v>
      </c>
      <c r="BN232">
        <v>1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 t="s">
        <v>0</v>
      </c>
      <c r="BX232">
        <v>0</v>
      </c>
      <c r="BY232">
        <v>0</v>
      </c>
      <c r="BZ232">
        <v>0</v>
      </c>
      <c r="CA232">
        <v>0</v>
      </c>
      <c r="CB232" t="s">
        <v>145</v>
      </c>
      <c r="CD232" t="str" cm="1">
        <f t="array" aca="1" ref="CD232" ca="1">eConcatenar(A232:CB232,"|")</f>
        <v>wQOc5i01I93Bqx3V|MODIFVHS22|3|MODIF|MODIF|MODIF|MODIF|2022-01-01|1|0|0|0|0|0|0|0|0|0|0|0|0|0|0|0|0|0|0|x|x|x|x|x|x|x|x|x|x|x|x|x|x|x|x|x|x|x|x|x|x|0|1|X|X|X|2022-2-10|2022-02-23|0|0|0|0|0|QWYNRBIY9KVTQO|0|HOMBRE|0|1|0|0|0|0|0|0|0|0|CARDENAS|0|0|0|0|FINAL</v>
      </c>
    </row>
    <row r="233" spans="1:82" x14ac:dyDescent="0.25">
      <c r="A233" t="s">
        <v>773</v>
      </c>
      <c r="B233" t="s">
        <v>569</v>
      </c>
      <c r="C233">
        <v>3</v>
      </c>
      <c r="D233" t="s">
        <v>346</v>
      </c>
      <c r="E233" t="s">
        <v>346</v>
      </c>
      <c r="F233" t="s">
        <v>346</v>
      </c>
      <c r="G233" t="s">
        <v>346</v>
      </c>
      <c r="H233" s="21" t="s">
        <v>747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t="s">
        <v>3</v>
      </c>
      <c r="AC233" t="s">
        <v>3</v>
      </c>
      <c r="AD233" t="s">
        <v>3</v>
      </c>
      <c r="AE233" t="s">
        <v>3</v>
      </c>
      <c r="AF233" t="s">
        <v>3</v>
      </c>
      <c r="AG233" t="s">
        <v>3</v>
      </c>
      <c r="AH233" t="s">
        <v>3</v>
      </c>
      <c r="AI233" t="s">
        <v>3</v>
      </c>
      <c r="AJ233" t="s">
        <v>3</v>
      </c>
      <c r="AK233" t="s">
        <v>3</v>
      </c>
      <c r="AL233" t="s">
        <v>3</v>
      </c>
      <c r="AM233" t="s">
        <v>3</v>
      </c>
      <c r="AN233" t="s">
        <v>3</v>
      </c>
      <c r="AO233" t="s">
        <v>3</v>
      </c>
      <c r="AP233" t="s">
        <v>3</v>
      </c>
      <c r="AQ233" t="s">
        <v>3</v>
      </c>
      <c r="AR233" t="s">
        <v>3</v>
      </c>
      <c r="AS233" t="s">
        <v>3</v>
      </c>
      <c r="AT233" t="s">
        <v>3</v>
      </c>
      <c r="AU233" t="s">
        <v>3</v>
      </c>
      <c r="AV233" t="s">
        <v>3</v>
      </c>
      <c r="AW233" t="s">
        <v>3</v>
      </c>
      <c r="AX233">
        <v>0</v>
      </c>
      <c r="AY233">
        <v>1</v>
      </c>
      <c r="AZ233" t="s">
        <v>1</v>
      </c>
      <c r="BA233" t="s">
        <v>1</v>
      </c>
      <c r="BB233" t="s">
        <v>1</v>
      </c>
      <c r="BC233" s="21" t="s">
        <v>748</v>
      </c>
      <c r="BD233" s="21" t="s">
        <v>144</v>
      </c>
      <c r="BE233">
        <v>0</v>
      </c>
      <c r="BF233">
        <v>0</v>
      </c>
      <c r="BG233">
        <v>0</v>
      </c>
      <c r="BH233">
        <v>0</v>
      </c>
      <c r="BI233">
        <v>0</v>
      </c>
      <c r="BJ233" t="s">
        <v>749</v>
      </c>
      <c r="BK233">
        <v>0</v>
      </c>
      <c r="BL233" t="s">
        <v>132</v>
      </c>
      <c r="BM233">
        <v>0</v>
      </c>
      <c r="BN233">
        <v>1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 t="s">
        <v>0</v>
      </c>
      <c r="BX233">
        <v>0</v>
      </c>
      <c r="BY233">
        <v>0</v>
      </c>
      <c r="BZ233">
        <v>0</v>
      </c>
      <c r="CA233">
        <v>0</v>
      </c>
      <c r="CB233" t="s">
        <v>145</v>
      </c>
      <c r="CD233" t="str" cm="1">
        <f t="array" aca="1" ref="CD233" ca="1">eConcatenar(A233:CB233,"|")</f>
        <v>MT6JAwYBaNOV9J0C|MODIFVHS23|3|MODIF|MODIF|MODIF|MODIF|2022-01-01|1|0|0|0|0|0|0|0|0|0|0|0|0|0|0|0|0|0|0|x|x|x|x|x|x|x|x|x|x|x|x|x|x|x|x|x|x|x|x|x|x|0|1|X|X|X|2022-2-10|2022-02-23|0|0|0|0|0|QWYNRBIY9KVTQO|0|HOMBRE|0|1|0|0|0|0|0|0|0|0|CARDENAS|0|0|0|0|FINAL</v>
      </c>
    </row>
    <row r="234" spans="1:82" x14ac:dyDescent="0.25">
      <c r="A234" t="s">
        <v>774</v>
      </c>
      <c r="B234" t="s">
        <v>570</v>
      </c>
      <c r="C234">
        <v>3</v>
      </c>
      <c r="D234" t="s">
        <v>346</v>
      </c>
      <c r="E234" t="s">
        <v>346</v>
      </c>
      <c r="F234" t="s">
        <v>346</v>
      </c>
      <c r="G234" t="s">
        <v>346</v>
      </c>
      <c r="H234" s="21" t="s">
        <v>747</v>
      </c>
      <c r="I234">
        <v>1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 t="s">
        <v>3</v>
      </c>
      <c r="AC234" t="s">
        <v>3</v>
      </c>
      <c r="AD234" t="s">
        <v>3</v>
      </c>
      <c r="AE234" t="s">
        <v>3</v>
      </c>
      <c r="AF234" t="s">
        <v>3</v>
      </c>
      <c r="AG234" t="s">
        <v>3</v>
      </c>
      <c r="AH234" t="s">
        <v>3</v>
      </c>
      <c r="AI234" t="s">
        <v>3</v>
      </c>
      <c r="AJ234" t="s">
        <v>3</v>
      </c>
      <c r="AK234" t="s">
        <v>3</v>
      </c>
      <c r="AL234" t="s">
        <v>3</v>
      </c>
      <c r="AM234" t="s">
        <v>3</v>
      </c>
      <c r="AN234" t="s">
        <v>3</v>
      </c>
      <c r="AO234" t="s">
        <v>3</v>
      </c>
      <c r="AP234" t="s">
        <v>3</v>
      </c>
      <c r="AQ234" t="s">
        <v>3</v>
      </c>
      <c r="AR234" t="s">
        <v>3</v>
      </c>
      <c r="AS234" t="s">
        <v>3</v>
      </c>
      <c r="AT234" t="s">
        <v>3</v>
      </c>
      <c r="AU234" t="s">
        <v>3</v>
      </c>
      <c r="AV234" t="s">
        <v>3</v>
      </c>
      <c r="AW234" t="s">
        <v>3</v>
      </c>
      <c r="AX234">
        <v>0</v>
      </c>
      <c r="AY234">
        <v>1</v>
      </c>
      <c r="AZ234" t="s">
        <v>1</v>
      </c>
      <c r="BA234" t="s">
        <v>1</v>
      </c>
      <c r="BB234" t="s">
        <v>1</v>
      </c>
      <c r="BC234" s="21" t="s">
        <v>748</v>
      </c>
      <c r="BD234" s="21" t="s">
        <v>144</v>
      </c>
      <c r="BE234">
        <v>0</v>
      </c>
      <c r="BF234">
        <v>0</v>
      </c>
      <c r="BG234">
        <v>0</v>
      </c>
      <c r="BH234">
        <v>0</v>
      </c>
      <c r="BI234">
        <v>0</v>
      </c>
      <c r="BJ234" t="s">
        <v>749</v>
      </c>
      <c r="BK234">
        <v>0</v>
      </c>
      <c r="BL234" t="s">
        <v>132</v>
      </c>
      <c r="BM234">
        <v>0</v>
      </c>
      <c r="BN234">
        <v>1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 t="s">
        <v>0</v>
      </c>
      <c r="BX234">
        <v>0</v>
      </c>
      <c r="BY234">
        <v>0</v>
      </c>
      <c r="BZ234">
        <v>0</v>
      </c>
      <c r="CA234">
        <v>0</v>
      </c>
      <c r="CB234" t="s">
        <v>145</v>
      </c>
      <c r="CD234" t="str" cm="1">
        <f t="array" aca="1" ref="CD234" ca="1">eConcatenar(A234:CB234,"|")</f>
        <v>efjU9o2midVFTRTw|MODIFVHS24|3|MODIF|MODIF|MODIF|MODIF|2022-01-01|1|0|0|0|0|0|0|0|0|0|0|0|0|0|0|0|0|0|0|x|x|x|x|x|x|x|x|x|x|x|x|x|x|x|x|x|x|x|x|x|x|0|1|X|X|X|2022-2-10|2022-02-23|0|0|0|0|0|QWYNRBIY9KVTQO|0|HOMBRE|0|1|0|0|0|0|0|0|0|0|CARDENAS|0|0|0|0|FINAL</v>
      </c>
    </row>
    <row r="235" spans="1:82" x14ac:dyDescent="0.25">
      <c r="A235" t="s">
        <v>775</v>
      </c>
      <c r="B235" t="s">
        <v>571</v>
      </c>
      <c r="C235">
        <v>3</v>
      </c>
      <c r="D235" t="s">
        <v>346</v>
      </c>
      <c r="E235" t="s">
        <v>346</v>
      </c>
      <c r="F235" t="s">
        <v>346</v>
      </c>
      <c r="G235" t="s">
        <v>346</v>
      </c>
      <c r="H235" s="21" t="s">
        <v>747</v>
      </c>
      <c r="I235">
        <v>1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">
        <v>3</v>
      </c>
      <c r="AC235" t="s">
        <v>3</v>
      </c>
      <c r="AD235" t="s">
        <v>3</v>
      </c>
      <c r="AE235" t="s">
        <v>3</v>
      </c>
      <c r="AF235" t="s">
        <v>3</v>
      </c>
      <c r="AG235" t="s">
        <v>3</v>
      </c>
      <c r="AH235" t="s">
        <v>3</v>
      </c>
      <c r="AI235" t="s">
        <v>3</v>
      </c>
      <c r="AJ235" t="s">
        <v>3</v>
      </c>
      <c r="AK235" t="s">
        <v>3</v>
      </c>
      <c r="AL235" t="s">
        <v>3</v>
      </c>
      <c r="AM235" t="s">
        <v>3</v>
      </c>
      <c r="AN235" t="s">
        <v>3</v>
      </c>
      <c r="AO235" t="s">
        <v>3</v>
      </c>
      <c r="AP235" t="s">
        <v>3</v>
      </c>
      <c r="AQ235" t="s">
        <v>3</v>
      </c>
      <c r="AR235" t="s">
        <v>3</v>
      </c>
      <c r="AS235" t="s">
        <v>3</v>
      </c>
      <c r="AT235" t="s">
        <v>3</v>
      </c>
      <c r="AU235" t="s">
        <v>3</v>
      </c>
      <c r="AV235" t="s">
        <v>3</v>
      </c>
      <c r="AW235" t="s">
        <v>3</v>
      </c>
      <c r="AX235">
        <v>0</v>
      </c>
      <c r="AY235">
        <v>1</v>
      </c>
      <c r="AZ235" t="s">
        <v>1</v>
      </c>
      <c r="BA235" t="s">
        <v>1</v>
      </c>
      <c r="BB235" t="s">
        <v>1</v>
      </c>
      <c r="BC235" s="21" t="s">
        <v>748</v>
      </c>
      <c r="BD235" s="21" t="s">
        <v>144</v>
      </c>
      <c r="BE235">
        <v>0</v>
      </c>
      <c r="BF235">
        <v>0</v>
      </c>
      <c r="BG235">
        <v>0</v>
      </c>
      <c r="BH235">
        <v>0</v>
      </c>
      <c r="BI235">
        <v>0</v>
      </c>
      <c r="BJ235" t="s">
        <v>749</v>
      </c>
      <c r="BK235">
        <v>0</v>
      </c>
      <c r="BL235" t="s">
        <v>132</v>
      </c>
      <c r="BM235">
        <v>0</v>
      </c>
      <c r="BN235">
        <v>1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 t="s">
        <v>0</v>
      </c>
      <c r="BX235">
        <v>0</v>
      </c>
      <c r="BY235">
        <v>0</v>
      </c>
      <c r="BZ235">
        <v>0</v>
      </c>
      <c r="CA235">
        <v>0</v>
      </c>
      <c r="CB235" t="s">
        <v>145</v>
      </c>
      <c r="CD235" t="str" cm="1">
        <f t="array" aca="1" ref="CD235" ca="1">eConcatenar(A235:CB235,"|")</f>
        <v>ElXVrsGkPW5HjLtW|MODIFVHS25|3|MODIF|MODIF|MODIF|MODIF|2022-01-01|1|0|0|0|0|0|0|0|0|0|0|0|0|0|0|0|0|0|0|x|x|x|x|x|x|x|x|x|x|x|x|x|x|x|x|x|x|x|x|x|x|0|1|X|X|X|2022-2-10|2022-02-23|0|0|0|0|0|QWYNRBIY9KVTQO|0|HOMBRE|0|1|0|0|0|0|0|0|0|0|CARDENAS|0|0|0|0|FINAL</v>
      </c>
    </row>
    <row r="236" spans="1:82" x14ac:dyDescent="0.25">
      <c r="A236" t="s">
        <v>776</v>
      </c>
      <c r="B236" t="s">
        <v>572</v>
      </c>
      <c r="C236">
        <v>3</v>
      </c>
      <c r="D236" t="s">
        <v>346</v>
      </c>
      <c r="E236" t="s">
        <v>346</v>
      </c>
      <c r="F236" t="s">
        <v>346</v>
      </c>
      <c r="G236" t="s">
        <v>346</v>
      </c>
      <c r="H236" s="21" t="s">
        <v>747</v>
      </c>
      <c r="I236">
        <v>1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 t="s">
        <v>3</v>
      </c>
      <c r="AC236" t="s">
        <v>3</v>
      </c>
      <c r="AD236" t="s">
        <v>3</v>
      </c>
      <c r="AE236" t="s">
        <v>3</v>
      </c>
      <c r="AF236" t="s">
        <v>3</v>
      </c>
      <c r="AG236" t="s">
        <v>3</v>
      </c>
      <c r="AH236" t="s">
        <v>3</v>
      </c>
      <c r="AI236" t="s">
        <v>3</v>
      </c>
      <c r="AJ236" t="s">
        <v>3</v>
      </c>
      <c r="AK236" t="s">
        <v>3</v>
      </c>
      <c r="AL236" t="s">
        <v>3</v>
      </c>
      <c r="AM236" t="s">
        <v>3</v>
      </c>
      <c r="AN236" t="s">
        <v>3</v>
      </c>
      <c r="AO236" t="s">
        <v>3</v>
      </c>
      <c r="AP236" t="s">
        <v>3</v>
      </c>
      <c r="AQ236" t="s">
        <v>3</v>
      </c>
      <c r="AR236" t="s">
        <v>3</v>
      </c>
      <c r="AS236" t="s">
        <v>3</v>
      </c>
      <c r="AT236" t="s">
        <v>3</v>
      </c>
      <c r="AU236" t="s">
        <v>3</v>
      </c>
      <c r="AV236" t="s">
        <v>3</v>
      </c>
      <c r="AW236" t="s">
        <v>3</v>
      </c>
      <c r="AX236">
        <v>0</v>
      </c>
      <c r="AY236">
        <v>1</v>
      </c>
      <c r="AZ236" t="s">
        <v>1</v>
      </c>
      <c r="BA236" t="s">
        <v>1</v>
      </c>
      <c r="BB236" t="s">
        <v>1</v>
      </c>
      <c r="BC236" s="21" t="s">
        <v>748</v>
      </c>
      <c r="BD236" s="21" t="s">
        <v>144</v>
      </c>
      <c r="BE236">
        <v>0</v>
      </c>
      <c r="BF236">
        <v>0</v>
      </c>
      <c r="BG236">
        <v>0</v>
      </c>
      <c r="BH236">
        <v>0</v>
      </c>
      <c r="BI236">
        <v>0</v>
      </c>
      <c r="BJ236" t="s">
        <v>749</v>
      </c>
      <c r="BK236">
        <v>0</v>
      </c>
      <c r="BL236" t="s">
        <v>132</v>
      </c>
      <c r="BM236">
        <v>0</v>
      </c>
      <c r="BN236">
        <v>1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 t="s">
        <v>0</v>
      </c>
      <c r="BX236">
        <v>0</v>
      </c>
      <c r="BY236">
        <v>0</v>
      </c>
      <c r="BZ236">
        <v>0</v>
      </c>
      <c r="CA236">
        <v>0</v>
      </c>
      <c r="CB236" t="s">
        <v>145</v>
      </c>
      <c r="CD236" t="str" cm="1">
        <f t="array" aca="1" ref="CD236" ca="1">eConcatenar(A236:CB236,"|")</f>
        <v>CQIe9HOhSmFZtRtk|MODIFVHS26|3|MODIF|MODIF|MODIF|MODIF|2022-01-01|1|0|0|0|0|0|0|0|0|0|0|0|0|0|0|0|0|0|0|x|x|x|x|x|x|x|x|x|x|x|x|x|x|x|x|x|x|x|x|x|x|0|1|X|X|X|2022-2-10|2022-02-23|0|0|0|0|0|QWYNRBIY9KVTQO|0|HOMBRE|0|1|0|0|0|0|0|0|0|0|CARDENAS|0|0|0|0|FINAL</v>
      </c>
    </row>
    <row r="237" spans="1:82" x14ac:dyDescent="0.25">
      <c r="A237" t="s">
        <v>777</v>
      </c>
      <c r="B237" t="s">
        <v>573</v>
      </c>
      <c r="C237">
        <v>3</v>
      </c>
      <c r="D237" t="s">
        <v>346</v>
      </c>
      <c r="E237" t="s">
        <v>346</v>
      </c>
      <c r="F237" t="s">
        <v>346</v>
      </c>
      <c r="G237" t="s">
        <v>346</v>
      </c>
      <c r="H237" s="21" t="s">
        <v>747</v>
      </c>
      <c r="I237">
        <v>1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t="s">
        <v>3</v>
      </c>
      <c r="AC237" t="s">
        <v>3</v>
      </c>
      <c r="AD237" t="s">
        <v>3</v>
      </c>
      <c r="AE237" t="s">
        <v>3</v>
      </c>
      <c r="AF237" t="s">
        <v>3</v>
      </c>
      <c r="AG237" t="s">
        <v>3</v>
      </c>
      <c r="AH237" t="s">
        <v>3</v>
      </c>
      <c r="AI237" t="s">
        <v>3</v>
      </c>
      <c r="AJ237" t="s">
        <v>3</v>
      </c>
      <c r="AK237" t="s">
        <v>3</v>
      </c>
      <c r="AL237" t="s">
        <v>3</v>
      </c>
      <c r="AM237" t="s">
        <v>3</v>
      </c>
      <c r="AN237" t="s">
        <v>3</v>
      </c>
      <c r="AO237" t="s">
        <v>3</v>
      </c>
      <c r="AP237" t="s">
        <v>3</v>
      </c>
      <c r="AQ237" t="s">
        <v>3</v>
      </c>
      <c r="AR237" t="s">
        <v>3</v>
      </c>
      <c r="AS237" t="s">
        <v>3</v>
      </c>
      <c r="AT237" t="s">
        <v>3</v>
      </c>
      <c r="AU237" t="s">
        <v>3</v>
      </c>
      <c r="AV237" t="s">
        <v>3</v>
      </c>
      <c r="AW237" t="s">
        <v>3</v>
      </c>
      <c r="AX237">
        <v>0</v>
      </c>
      <c r="AY237">
        <v>1</v>
      </c>
      <c r="AZ237" t="s">
        <v>1</v>
      </c>
      <c r="BA237" t="s">
        <v>1</v>
      </c>
      <c r="BB237" t="s">
        <v>1</v>
      </c>
      <c r="BC237" s="21" t="s">
        <v>748</v>
      </c>
      <c r="BD237" s="21" t="s">
        <v>144</v>
      </c>
      <c r="BE237">
        <v>0</v>
      </c>
      <c r="BF237">
        <v>0</v>
      </c>
      <c r="BG237">
        <v>0</v>
      </c>
      <c r="BH237">
        <v>0</v>
      </c>
      <c r="BI237">
        <v>0</v>
      </c>
      <c r="BJ237" t="s">
        <v>749</v>
      </c>
      <c r="BK237">
        <v>0</v>
      </c>
      <c r="BL237" t="s">
        <v>132</v>
      </c>
      <c r="BM237">
        <v>0</v>
      </c>
      <c r="BN237">
        <v>1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 t="s">
        <v>0</v>
      </c>
      <c r="BX237">
        <v>0</v>
      </c>
      <c r="BY237">
        <v>0</v>
      </c>
      <c r="BZ237">
        <v>0</v>
      </c>
      <c r="CA237">
        <v>0</v>
      </c>
      <c r="CB237" t="s">
        <v>145</v>
      </c>
      <c r="CD237" t="str" cm="1">
        <f t="array" aca="1" ref="CD237" ca="1">eConcatenar(A237:CB237,"|")</f>
        <v>uiy8TmKHXDRALnJf|MODIFVHS27|3|MODIF|MODIF|MODIF|MODIF|2022-01-01|1|0|0|0|0|0|0|0|0|0|0|0|0|0|0|0|0|0|0|x|x|x|x|x|x|x|x|x|x|x|x|x|x|x|x|x|x|x|x|x|x|0|1|X|X|X|2022-2-10|2022-02-23|0|0|0|0|0|QWYNRBIY9KVTQO|0|HOMBRE|0|1|0|0|0|0|0|0|0|0|CARDENAS|0|0|0|0|FINAL</v>
      </c>
    </row>
    <row r="238" spans="1:82" x14ac:dyDescent="0.25">
      <c r="A238" t="s">
        <v>778</v>
      </c>
      <c r="B238" t="s">
        <v>574</v>
      </c>
      <c r="C238">
        <v>3</v>
      </c>
      <c r="D238" t="s">
        <v>346</v>
      </c>
      <c r="E238" t="s">
        <v>346</v>
      </c>
      <c r="F238" t="s">
        <v>346</v>
      </c>
      <c r="G238" t="s">
        <v>346</v>
      </c>
      <c r="H238" s="21" t="s">
        <v>747</v>
      </c>
      <c r="I238">
        <v>1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t="s">
        <v>3</v>
      </c>
      <c r="AC238" t="s">
        <v>3</v>
      </c>
      <c r="AD238" t="s">
        <v>3</v>
      </c>
      <c r="AE238" t="s">
        <v>3</v>
      </c>
      <c r="AF238" t="s">
        <v>3</v>
      </c>
      <c r="AG238" t="s">
        <v>3</v>
      </c>
      <c r="AH238" t="s">
        <v>3</v>
      </c>
      <c r="AI238" t="s">
        <v>3</v>
      </c>
      <c r="AJ238" t="s">
        <v>3</v>
      </c>
      <c r="AK238" t="s">
        <v>3</v>
      </c>
      <c r="AL238" t="s">
        <v>3</v>
      </c>
      <c r="AM238" t="s">
        <v>3</v>
      </c>
      <c r="AN238" t="s">
        <v>3</v>
      </c>
      <c r="AO238" t="s">
        <v>3</v>
      </c>
      <c r="AP238" t="s">
        <v>3</v>
      </c>
      <c r="AQ238" t="s">
        <v>3</v>
      </c>
      <c r="AR238" t="s">
        <v>3</v>
      </c>
      <c r="AS238" t="s">
        <v>3</v>
      </c>
      <c r="AT238" t="s">
        <v>3</v>
      </c>
      <c r="AU238" t="s">
        <v>3</v>
      </c>
      <c r="AV238" t="s">
        <v>3</v>
      </c>
      <c r="AW238" t="s">
        <v>3</v>
      </c>
      <c r="AX238">
        <v>0</v>
      </c>
      <c r="AY238">
        <v>1</v>
      </c>
      <c r="AZ238" t="s">
        <v>1</v>
      </c>
      <c r="BA238" t="s">
        <v>1</v>
      </c>
      <c r="BB238" t="s">
        <v>1</v>
      </c>
      <c r="BC238" s="21" t="s">
        <v>748</v>
      </c>
      <c r="BD238" s="21" t="s">
        <v>144</v>
      </c>
      <c r="BE238">
        <v>0</v>
      </c>
      <c r="BF238">
        <v>0</v>
      </c>
      <c r="BG238">
        <v>0</v>
      </c>
      <c r="BH238">
        <v>0</v>
      </c>
      <c r="BI238">
        <v>0</v>
      </c>
      <c r="BJ238" t="s">
        <v>749</v>
      </c>
      <c r="BK238">
        <v>0</v>
      </c>
      <c r="BL238" t="s">
        <v>132</v>
      </c>
      <c r="BM238">
        <v>0</v>
      </c>
      <c r="BN238">
        <v>1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 t="s">
        <v>0</v>
      </c>
      <c r="BX238">
        <v>0</v>
      </c>
      <c r="BY238">
        <v>0</v>
      </c>
      <c r="BZ238">
        <v>0</v>
      </c>
      <c r="CA238">
        <v>0</v>
      </c>
      <c r="CB238" t="s">
        <v>145</v>
      </c>
      <c r="CD238" t="str" cm="1">
        <f t="array" aca="1" ref="CD238" ca="1">eConcatenar(A238:CB238,"|")</f>
        <v>4vTiD0cSR5KtbatV|MODIFVHS28|3|MODIF|MODIF|MODIF|MODIF|2022-01-01|1|0|0|0|0|0|0|0|0|0|0|0|0|0|0|0|0|0|0|x|x|x|x|x|x|x|x|x|x|x|x|x|x|x|x|x|x|x|x|x|x|0|1|X|X|X|2022-2-10|2022-02-23|0|0|0|0|0|QWYNRBIY9KVTQO|0|HOMBRE|0|1|0|0|0|0|0|0|0|0|CARDENAS|0|0|0|0|FINAL</v>
      </c>
    </row>
    <row r="239" spans="1:82" x14ac:dyDescent="0.25">
      <c r="A239" t="s">
        <v>779</v>
      </c>
      <c r="B239" t="s">
        <v>575</v>
      </c>
      <c r="C239">
        <v>3</v>
      </c>
      <c r="D239" t="s">
        <v>346</v>
      </c>
      <c r="E239" t="s">
        <v>346</v>
      </c>
      <c r="F239" t="s">
        <v>346</v>
      </c>
      <c r="G239" t="s">
        <v>346</v>
      </c>
      <c r="H239" s="21" t="s">
        <v>747</v>
      </c>
      <c r="I239">
        <v>1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 t="s">
        <v>3</v>
      </c>
      <c r="AC239" t="s">
        <v>3</v>
      </c>
      <c r="AD239" t="s">
        <v>3</v>
      </c>
      <c r="AE239" t="s">
        <v>3</v>
      </c>
      <c r="AF239" t="s">
        <v>3</v>
      </c>
      <c r="AG239" t="s">
        <v>3</v>
      </c>
      <c r="AH239" t="s">
        <v>3</v>
      </c>
      <c r="AI239" t="s">
        <v>3</v>
      </c>
      <c r="AJ239" t="s">
        <v>3</v>
      </c>
      <c r="AK239" t="s">
        <v>3</v>
      </c>
      <c r="AL239" t="s">
        <v>3</v>
      </c>
      <c r="AM239" t="s">
        <v>3</v>
      </c>
      <c r="AN239" t="s">
        <v>3</v>
      </c>
      <c r="AO239" t="s">
        <v>3</v>
      </c>
      <c r="AP239" t="s">
        <v>3</v>
      </c>
      <c r="AQ239" t="s">
        <v>3</v>
      </c>
      <c r="AR239" t="s">
        <v>3</v>
      </c>
      <c r="AS239" t="s">
        <v>3</v>
      </c>
      <c r="AT239" t="s">
        <v>3</v>
      </c>
      <c r="AU239" t="s">
        <v>3</v>
      </c>
      <c r="AV239" t="s">
        <v>3</v>
      </c>
      <c r="AW239" t="s">
        <v>3</v>
      </c>
      <c r="AX239">
        <v>0</v>
      </c>
      <c r="AY239">
        <v>1</v>
      </c>
      <c r="AZ239" t="s">
        <v>1</v>
      </c>
      <c r="BA239" t="s">
        <v>1</v>
      </c>
      <c r="BB239" t="s">
        <v>1</v>
      </c>
      <c r="BC239" s="21" t="s">
        <v>748</v>
      </c>
      <c r="BD239" s="21" t="s">
        <v>144</v>
      </c>
      <c r="BE239">
        <v>0</v>
      </c>
      <c r="BF239">
        <v>0</v>
      </c>
      <c r="BG239">
        <v>0</v>
      </c>
      <c r="BH239">
        <v>0</v>
      </c>
      <c r="BI239">
        <v>0</v>
      </c>
      <c r="BJ239" t="s">
        <v>749</v>
      </c>
      <c r="BK239">
        <v>0</v>
      </c>
      <c r="BL239" t="s">
        <v>132</v>
      </c>
      <c r="BM239">
        <v>0</v>
      </c>
      <c r="BN239">
        <v>1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 t="s">
        <v>0</v>
      </c>
      <c r="BX239">
        <v>0</v>
      </c>
      <c r="BY239">
        <v>0</v>
      </c>
      <c r="BZ239">
        <v>0</v>
      </c>
      <c r="CA239">
        <v>0</v>
      </c>
      <c r="CB239" t="s">
        <v>145</v>
      </c>
      <c r="CD239" t="str" cm="1">
        <f t="array" aca="1" ref="CD239" ca="1">eConcatenar(A239:CB239,"|")</f>
        <v>CLPH618PxNfogt42|MODIFVHS29|3|MODIF|MODIF|MODIF|MODIF|2022-01-01|1|0|0|0|0|0|0|0|0|0|0|0|0|0|0|0|0|0|0|x|x|x|x|x|x|x|x|x|x|x|x|x|x|x|x|x|x|x|x|x|x|0|1|X|X|X|2022-2-10|2022-02-23|0|0|0|0|0|QWYNRBIY9KVTQO|0|HOMBRE|0|1|0|0|0|0|0|0|0|0|CARDENAS|0|0|0|0|FINAL</v>
      </c>
    </row>
    <row r="240" spans="1:82" x14ac:dyDescent="0.25">
      <c r="A240" t="s">
        <v>780</v>
      </c>
      <c r="B240" t="s">
        <v>576</v>
      </c>
      <c r="C240">
        <v>3</v>
      </c>
      <c r="D240" t="s">
        <v>346</v>
      </c>
      <c r="E240" t="s">
        <v>346</v>
      </c>
      <c r="F240" t="s">
        <v>346</v>
      </c>
      <c r="G240" t="s">
        <v>346</v>
      </c>
      <c r="H240" s="21" t="s">
        <v>747</v>
      </c>
      <c r="I240">
        <v>1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">
        <v>3</v>
      </c>
      <c r="AC240" t="s">
        <v>3</v>
      </c>
      <c r="AD240" t="s">
        <v>3</v>
      </c>
      <c r="AE240" t="s">
        <v>3</v>
      </c>
      <c r="AF240" t="s">
        <v>3</v>
      </c>
      <c r="AG240" t="s">
        <v>3</v>
      </c>
      <c r="AH240" t="s">
        <v>3</v>
      </c>
      <c r="AI240" t="s">
        <v>3</v>
      </c>
      <c r="AJ240" t="s">
        <v>3</v>
      </c>
      <c r="AK240" t="s">
        <v>3</v>
      </c>
      <c r="AL240" t="s">
        <v>3</v>
      </c>
      <c r="AM240" t="s">
        <v>3</v>
      </c>
      <c r="AN240" t="s">
        <v>3</v>
      </c>
      <c r="AO240" t="s">
        <v>3</v>
      </c>
      <c r="AP240" t="s">
        <v>3</v>
      </c>
      <c r="AQ240" t="s">
        <v>3</v>
      </c>
      <c r="AR240" t="s">
        <v>3</v>
      </c>
      <c r="AS240" t="s">
        <v>3</v>
      </c>
      <c r="AT240" t="s">
        <v>3</v>
      </c>
      <c r="AU240" t="s">
        <v>3</v>
      </c>
      <c r="AV240" t="s">
        <v>3</v>
      </c>
      <c r="AW240" t="s">
        <v>3</v>
      </c>
      <c r="AX240">
        <v>0</v>
      </c>
      <c r="AY240">
        <v>1</v>
      </c>
      <c r="AZ240" t="s">
        <v>1</v>
      </c>
      <c r="BA240" t="s">
        <v>1</v>
      </c>
      <c r="BB240" t="s">
        <v>1</v>
      </c>
      <c r="BC240" s="21" t="s">
        <v>748</v>
      </c>
      <c r="BD240" s="21" t="s">
        <v>144</v>
      </c>
      <c r="BE240">
        <v>0</v>
      </c>
      <c r="BF240">
        <v>0</v>
      </c>
      <c r="BG240">
        <v>0</v>
      </c>
      <c r="BH240">
        <v>0</v>
      </c>
      <c r="BI240">
        <v>0</v>
      </c>
      <c r="BJ240" t="s">
        <v>749</v>
      </c>
      <c r="BK240">
        <v>0</v>
      </c>
      <c r="BL240" t="s">
        <v>132</v>
      </c>
      <c r="BM240">
        <v>0</v>
      </c>
      <c r="BN240">
        <v>1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 t="s">
        <v>0</v>
      </c>
      <c r="BX240">
        <v>0</v>
      </c>
      <c r="BY240">
        <v>0</v>
      </c>
      <c r="BZ240">
        <v>0</v>
      </c>
      <c r="CA240">
        <v>0</v>
      </c>
      <c r="CB240" t="s">
        <v>145</v>
      </c>
      <c r="CD240" t="str" cm="1">
        <f t="array" aca="1" ref="CD240" ca="1">eConcatenar(A240:CB240,"|")</f>
        <v>mq9QLA4dikM1gldT|MODIFVHS30|3|MODIF|MODIF|MODIF|MODIF|2022-01-01|1|0|0|0|0|0|0|0|0|0|0|0|0|0|0|0|0|0|0|x|x|x|x|x|x|x|x|x|x|x|x|x|x|x|x|x|x|x|x|x|x|0|1|X|X|X|2022-2-10|2022-02-23|0|0|0|0|0|QWYNRBIY9KVTQO|0|HOMBRE|0|1|0|0|0|0|0|0|0|0|CARDENAS|0|0|0|0|FINAL</v>
      </c>
    </row>
    <row r="241" spans="1:82" x14ac:dyDescent="0.25">
      <c r="A241" t="s">
        <v>781</v>
      </c>
      <c r="B241" t="s">
        <v>577</v>
      </c>
      <c r="C241">
        <v>3</v>
      </c>
      <c r="D241" t="s">
        <v>346</v>
      </c>
      <c r="E241" t="s">
        <v>346</v>
      </c>
      <c r="F241" t="s">
        <v>346</v>
      </c>
      <c r="G241" t="s">
        <v>346</v>
      </c>
      <c r="H241" s="21" t="s">
        <v>747</v>
      </c>
      <c r="I241">
        <v>1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t="s">
        <v>3</v>
      </c>
      <c r="AC241" t="s">
        <v>3</v>
      </c>
      <c r="AD241" t="s">
        <v>3</v>
      </c>
      <c r="AE241" t="s">
        <v>3</v>
      </c>
      <c r="AF241" t="s">
        <v>3</v>
      </c>
      <c r="AG241" t="s">
        <v>3</v>
      </c>
      <c r="AH241" t="s">
        <v>3</v>
      </c>
      <c r="AI241" t="s">
        <v>3</v>
      </c>
      <c r="AJ241" t="s">
        <v>3</v>
      </c>
      <c r="AK241" t="s">
        <v>3</v>
      </c>
      <c r="AL241" t="s">
        <v>3</v>
      </c>
      <c r="AM241" t="s">
        <v>3</v>
      </c>
      <c r="AN241" t="s">
        <v>3</v>
      </c>
      <c r="AO241" t="s">
        <v>3</v>
      </c>
      <c r="AP241" t="s">
        <v>3</v>
      </c>
      <c r="AQ241" t="s">
        <v>3</v>
      </c>
      <c r="AR241" t="s">
        <v>3</v>
      </c>
      <c r="AS241" t="s">
        <v>3</v>
      </c>
      <c r="AT241" t="s">
        <v>3</v>
      </c>
      <c r="AU241" t="s">
        <v>3</v>
      </c>
      <c r="AV241" t="s">
        <v>3</v>
      </c>
      <c r="AW241" t="s">
        <v>3</v>
      </c>
      <c r="AX241">
        <v>0</v>
      </c>
      <c r="AY241">
        <v>1</v>
      </c>
      <c r="AZ241" t="s">
        <v>1</v>
      </c>
      <c r="BA241" t="s">
        <v>1</v>
      </c>
      <c r="BB241" t="s">
        <v>1</v>
      </c>
      <c r="BC241" s="21" t="s">
        <v>748</v>
      </c>
      <c r="BD241" s="21" t="s">
        <v>144</v>
      </c>
      <c r="BE241">
        <v>0</v>
      </c>
      <c r="BF241">
        <v>0</v>
      </c>
      <c r="BG241">
        <v>0</v>
      </c>
      <c r="BH241">
        <v>0</v>
      </c>
      <c r="BI241">
        <v>0</v>
      </c>
      <c r="BJ241" t="s">
        <v>749</v>
      </c>
      <c r="BK241">
        <v>0</v>
      </c>
      <c r="BL241" t="s">
        <v>132</v>
      </c>
      <c r="BM241">
        <v>0</v>
      </c>
      <c r="BN241">
        <v>1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 t="s">
        <v>0</v>
      </c>
      <c r="BX241">
        <v>0</v>
      </c>
      <c r="BY241">
        <v>0</v>
      </c>
      <c r="BZ241">
        <v>0</v>
      </c>
      <c r="CA241">
        <v>0</v>
      </c>
      <c r="CB241" t="s">
        <v>145</v>
      </c>
      <c r="CD241" t="str" cm="1">
        <f t="array" aca="1" ref="CD241" ca="1">eConcatenar(A241:CB241,"|")</f>
        <v>ZRIVEfDlv9303zbG|MODIFVHS31|3|MODIF|MODIF|MODIF|MODIF|2022-01-01|1|0|0|0|0|0|0|0|0|0|0|0|0|0|0|0|0|0|0|x|x|x|x|x|x|x|x|x|x|x|x|x|x|x|x|x|x|x|x|x|x|0|1|X|X|X|2022-2-10|2022-02-23|0|0|0|0|0|QWYNRBIY9KVTQO|0|HOMBRE|0|1|0|0|0|0|0|0|0|0|CARDENAS|0|0|0|0|FINAL</v>
      </c>
    </row>
    <row r="242" spans="1:82" x14ac:dyDescent="0.25">
      <c r="A242" t="s">
        <v>782</v>
      </c>
      <c r="B242" t="s">
        <v>578</v>
      </c>
      <c r="C242">
        <v>3</v>
      </c>
      <c r="D242" t="s">
        <v>346</v>
      </c>
      <c r="E242" t="s">
        <v>346</v>
      </c>
      <c r="F242" t="s">
        <v>346</v>
      </c>
      <c r="G242" t="s">
        <v>346</v>
      </c>
      <c r="H242" s="21" t="s">
        <v>747</v>
      </c>
      <c r="I242">
        <v>1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 t="s">
        <v>3</v>
      </c>
      <c r="AC242" t="s">
        <v>3</v>
      </c>
      <c r="AD242" t="s">
        <v>3</v>
      </c>
      <c r="AE242" t="s">
        <v>3</v>
      </c>
      <c r="AF242" t="s">
        <v>3</v>
      </c>
      <c r="AG242" t="s">
        <v>3</v>
      </c>
      <c r="AH242" t="s">
        <v>3</v>
      </c>
      <c r="AI242" t="s">
        <v>3</v>
      </c>
      <c r="AJ242" t="s">
        <v>3</v>
      </c>
      <c r="AK242" t="s">
        <v>3</v>
      </c>
      <c r="AL242" t="s">
        <v>3</v>
      </c>
      <c r="AM242" t="s">
        <v>3</v>
      </c>
      <c r="AN242" t="s">
        <v>3</v>
      </c>
      <c r="AO242" t="s">
        <v>3</v>
      </c>
      <c r="AP242" t="s">
        <v>3</v>
      </c>
      <c r="AQ242" t="s">
        <v>3</v>
      </c>
      <c r="AR242" t="s">
        <v>3</v>
      </c>
      <c r="AS242" t="s">
        <v>3</v>
      </c>
      <c r="AT242" t="s">
        <v>3</v>
      </c>
      <c r="AU242" t="s">
        <v>3</v>
      </c>
      <c r="AV242" t="s">
        <v>3</v>
      </c>
      <c r="AW242" t="s">
        <v>3</v>
      </c>
      <c r="AX242">
        <v>0</v>
      </c>
      <c r="AY242">
        <v>1</v>
      </c>
      <c r="AZ242" t="s">
        <v>1</v>
      </c>
      <c r="BA242" t="s">
        <v>1</v>
      </c>
      <c r="BB242" t="s">
        <v>1</v>
      </c>
      <c r="BC242" s="21" t="s">
        <v>748</v>
      </c>
      <c r="BD242" s="21" t="s">
        <v>144</v>
      </c>
      <c r="BE242">
        <v>0</v>
      </c>
      <c r="BF242">
        <v>0</v>
      </c>
      <c r="BG242">
        <v>0</v>
      </c>
      <c r="BH242">
        <v>0</v>
      </c>
      <c r="BI242">
        <v>0</v>
      </c>
      <c r="BJ242" t="s">
        <v>749</v>
      </c>
      <c r="BK242">
        <v>0</v>
      </c>
      <c r="BL242" t="s">
        <v>132</v>
      </c>
      <c r="BM242">
        <v>0</v>
      </c>
      <c r="BN242">
        <v>1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 t="s">
        <v>0</v>
      </c>
      <c r="BX242">
        <v>0</v>
      </c>
      <c r="BY242">
        <v>0</v>
      </c>
      <c r="BZ242">
        <v>0</v>
      </c>
      <c r="CA242">
        <v>0</v>
      </c>
      <c r="CB242" t="s">
        <v>145</v>
      </c>
      <c r="CD242" t="str" cm="1">
        <f t="array" aca="1" ref="CD242" ca="1">eConcatenar(A242:CB242,"|")</f>
        <v>fI3drBNpb44IQvzp|MODIFVHS32|3|MODIF|MODIF|MODIF|MODIF|2022-01-01|1|0|0|0|0|0|0|0|0|0|0|0|0|0|0|0|0|0|0|x|x|x|x|x|x|x|x|x|x|x|x|x|x|x|x|x|x|x|x|x|x|0|1|X|X|X|2022-2-10|2022-02-23|0|0|0|0|0|QWYNRBIY9KVTQO|0|HOMBRE|0|1|0|0|0|0|0|0|0|0|CARDENAS|0|0|0|0|FINAL</v>
      </c>
    </row>
    <row r="243" spans="1:82" x14ac:dyDescent="0.25">
      <c r="A243" t="s">
        <v>783</v>
      </c>
      <c r="B243" t="s">
        <v>579</v>
      </c>
      <c r="C243">
        <v>3</v>
      </c>
      <c r="D243" t="s">
        <v>346</v>
      </c>
      <c r="E243" t="s">
        <v>346</v>
      </c>
      <c r="F243" t="s">
        <v>346</v>
      </c>
      <c r="G243" t="s">
        <v>346</v>
      </c>
      <c r="H243" s="21" t="s">
        <v>747</v>
      </c>
      <c r="I243">
        <v>1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">
        <v>3</v>
      </c>
      <c r="AC243" t="s">
        <v>3</v>
      </c>
      <c r="AD243" t="s">
        <v>3</v>
      </c>
      <c r="AE243" t="s">
        <v>3</v>
      </c>
      <c r="AF243" t="s">
        <v>3</v>
      </c>
      <c r="AG243" t="s">
        <v>3</v>
      </c>
      <c r="AH243" t="s">
        <v>3</v>
      </c>
      <c r="AI243" t="s">
        <v>3</v>
      </c>
      <c r="AJ243" t="s">
        <v>3</v>
      </c>
      <c r="AK243" t="s">
        <v>3</v>
      </c>
      <c r="AL243" t="s">
        <v>3</v>
      </c>
      <c r="AM243" t="s">
        <v>3</v>
      </c>
      <c r="AN243" t="s">
        <v>3</v>
      </c>
      <c r="AO243" t="s">
        <v>3</v>
      </c>
      <c r="AP243" t="s">
        <v>3</v>
      </c>
      <c r="AQ243" t="s">
        <v>3</v>
      </c>
      <c r="AR243" t="s">
        <v>3</v>
      </c>
      <c r="AS243" t="s">
        <v>3</v>
      </c>
      <c r="AT243" t="s">
        <v>3</v>
      </c>
      <c r="AU243" t="s">
        <v>3</v>
      </c>
      <c r="AV243" t="s">
        <v>3</v>
      </c>
      <c r="AW243" t="s">
        <v>3</v>
      </c>
      <c r="AX243">
        <v>0</v>
      </c>
      <c r="AY243">
        <v>1</v>
      </c>
      <c r="AZ243" t="s">
        <v>1</v>
      </c>
      <c r="BA243" t="s">
        <v>1</v>
      </c>
      <c r="BB243" t="s">
        <v>1</v>
      </c>
      <c r="BC243" s="21" t="s">
        <v>748</v>
      </c>
      <c r="BD243" s="21" t="s">
        <v>144</v>
      </c>
      <c r="BE243">
        <v>0</v>
      </c>
      <c r="BF243">
        <v>0</v>
      </c>
      <c r="BG243">
        <v>0</v>
      </c>
      <c r="BH243">
        <v>0</v>
      </c>
      <c r="BI243">
        <v>0</v>
      </c>
      <c r="BJ243" t="s">
        <v>749</v>
      </c>
      <c r="BK243">
        <v>0</v>
      </c>
      <c r="BL243" t="s">
        <v>132</v>
      </c>
      <c r="BM243">
        <v>0</v>
      </c>
      <c r="BN243">
        <v>1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 t="s">
        <v>0</v>
      </c>
      <c r="BX243">
        <v>0</v>
      </c>
      <c r="BY243">
        <v>0</v>
      </c>
      <c r="BZ243">
        <v>0</v>
      </c>
      <c r="CA243">
        <v>0</v>
      </c>
      <c r="CB243" t="s">
        <v>145</v>
      </c>
      <c r="CD243" t="str" cm="1">
        <f t="array" aca="1" ref="CD243" ca="1">eConcatenar(A243:CB243,"|")</f>
        <v>J5eoiL8c195j9vQZ|MODIFVHS33|3|MODIF|MODIF|MODIF|MODIF|2022-01-01|1|0|0|0|0|0|0|0|0|0|0|0|0|0|0|0|0|0|0|x|x|x|x|x|x|x|x|x|x|x|x|x|x|x|x|x|x|x|x|x|x|0|1|X|X|X|2022-2-10|2022-02-23|0|0|0|0|0|QWYNRBIY9KVTQO|0|HOMBRE|0|1|0|0|0|0|0|0|0|0|CARDENAS|0|0|0|0|FINAL</v>
      </c>
    </row>
    <row r="244" spans="1:82" x14ac:dyDescent="0.25">
      <c r="A244" t="s">
        <v>784</v>
      </c>
      <c r="B244" t="s">
        <v>580</v>
      </c>
      <c r="C244">
        <v>3</v>
      </c>
      <c r="D244" t="s">
        <v>346</v>
      </c>
      <c r="E244" t="s">
        <v>346</v>
      </c>
      <c r="F244" t="s">
        <v>346</v>
      </c>
      <c r="G244" t="s">
        <v>346</v>
      </c>
      <c r="H244" s="21" t="s">
        <v>747</v>
      </c>
      <c r="I244">
        <v>1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 t="s">
        <v>3</v>
      </c>
      <c r="AC244" t="s">
        <v>3</v>
      </c>
      <c r="AD244" t="s">
        <v>3</v>
      </c>
      <c r="AE244" t="s">
        <v>3</v>
      </c>
      <c r="AF244" t="s">
        <v>3</v>
      </c>
      <c r="AG244" t="s">
        <v>3</v>
      </c>
      <c r="AH244" t="s">
        <v>3</v>
      </c>
      <c r="AI244" t="s">
        <v>3</v>
      </c>
      <c r="AJ244" t="s">
        <v>3</v>
      </c>
      <c r="AK244" t="s">
        <v>3</v>
      </c>
      <c r="AL244" t="s">
        <v>3</v>
      </c>
      <c r="AM244" t="s">
        <v>3</v>
      </c>
      <c r="AN244" t="s">
        <v>3</v>
      </c>
      <c r="AO244" t="s">
        <v>3</v>
      </c>
      <c r="AP244" t="s">
        <v>3</v>
      </c>
      <c r="AQ244" t="s">
        <v>3</v>
      </c>
      <c r="AR244" t="s">
        <v>3</v>
      </c>
      <c r="AS244" t="s">
        <v>3</v>
      </c>
      <c r="AT244" t="s">
        <v>3</v>
      </c>
      <c r="AU244" t="s">
        <v>3</v>
      </c>
      <c r="AV244" t="s">
        <v>3</v>
      </c>
      <c r="AW244" t="s">
        <v>3</v>
      </c>
      <c r="AX244">
        <v>0</v>
      </c>
      <c r="AY244">
        <v>1</v>
      </c>
      <c r="AZ244" t="s">
        <v>1</v>
      </c>
      <c r="BA244" t="s">
        <v>1</v>
      </c>
      <c r="BB244" t="s">
        <v>1</v>
      </c>
      <c r="BC244" s="21" t="s">
        <v>748</v>
      </c>
      <c r="BD244" s="21" t="s">
        <v>144</v>
      </c>
      <c r="BE244">
        <v>0</v>
      </c>
      <c r="BF244">
        <v>0</v>
      </c>
      <c r="BG244">
        <v>0</v>
      </c>
      <c r="BH244">
        <v>0</v>
      </c>
      <c r="BI244">
        <v>0</v>
      </c>
      <c r="BJ244" t="s">
        <v>749</v>
      </c>
      <c r="BK244">
        <v>0</v>
      </c>
      <c r="BL244" t="s">
        <v>132</v>
      </c>
      <c r="BM244">
        <v>0</v>
      </c>
      <c r="BN244">
        <v>1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 t="s">
        <v>0</v>
      </c>
      <c r="BX244">
        <v>0</v>
      </c>
      <c r="BY244">
        <v>0</v>
      </c>
      <c r="BZ244">
        <v>0</v>
      </c>
      <c r="CA244">
        <v>0</v>
      </c>
      <c r="CB244" t="s">
        <v>145</v>
      </c>
      <c r="CD244" t="str" cm="1">
        <f t="array" aca="1" ref="CD244" ca="1">eConcatenar(A244:CB244,"|")</f>
        <v>jqfNSnVpf6xsNjpi|MODIFVHS34|3|MODIF|MODIF|MODIF|MODIF|2022-01-01|1|0|0|0|0|0|0|0|0|0|0|0|0|0|0|0|0|0|0|x|x|x|x|x|x|x|x|x|x|x|x|x|x|x|x|x|x|x|x|x|x|0|1|X|X|X|2022-2-10|2022-02-23|0|0|0|0|0|QWYNRBIY9KVTQO|0|HOMBRE|0|1|0|0|0|0|0|0|0|0|CARDENAS|0|0|0|0|FINAL</v>
      </c>
    </row>
    <row r="245" spans="1:82" x14ac:dyDescent="0.25">
      <c r="A245" t="s">
        <v>785</v>
      </c>
      <c r="B245" t="s">
        <v>581</v>
      </c>
      <c r="C245">
        <v>3</v>
      </c>
      <c r="D245" t="s">
        <v>346</v>
      </c>
      <c r="E245" t="s">
        <v>346</v>
      </c>
      <c r="F245" t="s">
        <v>346</v>
      </c>
      <c r="G245" t="s">
        <v>346</v>
      </c>
      <c r="H245" s="21" t="s">
        <v>747</v>
      </c>
      <c r="I245">
        <v>1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 t="s">
        <v>3</v>
      </c>
      <c r="AC245" t="s">
        <v>3</v>
      </c>
      <c r="AD245" t="s">
        <v>3</v>
      </c>
      <c r="AE245" t="s">
        <v>3</v>
      </c>
      <c r="AF245" t="s">
        <v>3</v>
      </c>
      <c r="AG245" t="s">
        <v>3</v>
      </c>
      <c r="AH245" t="s">
        <v>3</v>
      </c>
      <c r="AI245" t="s">
        <v>3</v>
      </c>
      <c r="AJ245" t="s">
        <v>3</v>
      </c>
      <c r="AK245" t="s">
        <v>3</v>
      </c>
      <c r="AL245" t="s">
        <v>3</v>
      </c>
      <c r="AM245" t="s">
        <v>3</v>
      </c>
      <c r="AN245" t="s">
        <v>3</v>
      </c>
      <c r="AO245" t="s">
        <v>3</v>
      </c>
      <c r="AP245" t="s">
        <v>3</v>
      </c>
      <c r="AQ245" t="s">
        <v>3</v>
      </c>
      <c r="AR245" t="s">
        <v>3</v>
      </c>
      <c r="AS245" t="s">
        <v>3</v>
      </c>
      <c r="AT245" t="s">
        <v>3</v>
      </c>
      <c r="AU245" t="s">
        <v>3</v>
      </c>
      <c r="AV245" t="s">
        <v>3</v>
      </c>
      <c r="AW245" t="s">
        <v>3</v>
      </c>
      <c r="AX245">
        <v>0</v>
      </c>
      <c r="AY245">
        <v>1</v>
      </c>
      <c r="AZ245" t="s">
        <v>1</v>
      </c>
      <c r="BA245" t="s">
        <v>1</v>
      </c>
      <c r="BB245" t="s">
        <v>1</v>
      </c>
      <c r="BC245" s="21" t="s">
        <v>748</v>
      </c>
      <c r="BD245" s="21" t="s">
        <v>144</v>
      </c>
      <c r="BE245">
        <v>0</v>
      </c>
      <c r="BF245">
        <v>0</v>
      </c>
      <c r="BG245">
        <v>0</v>
      </c>
      <c r="BH245">
        <v>0</v>
      </c>
      <c r="BI245">
        <v>0</v>
      </c>
      <c r="BJ245" t="s">
        <v>749</v>
      </c>
      <c r="BK245">
        <v>0</v>
      </c>
      <c r="BL245" t="s">
        <v>132</v>
      </c>
      <c r="BM245">
        <v>0</v>
      </c>
      <c r="BN245">
        <v>1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 t="s">
        <v>0</v>
      </c>
      <c r="BX245">
        <v>0</v>
      </c>
      <c r="BY245">
        <v>0</v>
      </c>
      <c r="BZ245">
        <v>0</v>
      </c>
      <c r="CA245">
        <v>0</v>
      </c>
      <c r="CB245" t="s">
        <v>145</v>
      </c>
      <c r="CD245" t="str" cm="1">
        <f t="array" aca="1" ref="CD245" ca="1">eConcatenar(A245:CB245,"|")</f>
        <v>doMtwyfqMSsEPbhO|MODIFVHS35|3|MODIF|MODIF|MODIF|MODIF|2022-01-01|1|0|0|0|0|0|0|0|0|0|0|0|0|0|0|0|0|0|0|x|x|x|x|x|x|x|x|x|x|x|x|x|x|x|x|x|x|x|x|x|x|0|1|X|X|X|2022-2-10|2022-02-23|0|0|0|0|0|QWYNRBIY9KVTQO|0|HOMBRE|0|1|0|0|0|0|0|0|0|0|CARDENAS|0|0|0|0|FINAL</v>
      </c>
    </row>
    <row r="246" spans="1:82" x14ac:dyDescent="0.25">
      <c r="A246" t="s">
        <v>786</v>
      </c>
      <c r="B246" t="s">
        <v>582</v>
      </c>
      <c r="C246">
        <v>3</v>
      </c>
      <c r="D246" t="s">
        <v>346</v>
      </c>
      <c r="E246" t="s">
        <v>346</v>
      </c>
      <c r="F246" t="s">
        <v>346</v>
      </c>
      <c r="G246" t="s">
        <v>346</v>
      </c>
      <c r="H246" s="21" t="s">
        <v>747</v>
      </c>
      <c r="I246">
        <v>1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">
        <v>3</v>
      </c>
      <c r="AC246" t="s">
        <v>3</v>
      </c>
      <c r="AD246" t="s">
        <v>3</v>
      </c>
      <c r="AE246" t="s">
        <v>3</v>
      </c>
      <c r="AF246" t="s">
        <v>3</v>
      </c>
      <c r="AG246" t="s">
        <v>3</v>
      </c>
      <c r="AH246" t="s">
        <v>3</v>
      </c>
      <c r="AI246" t="s">
        <v>3</v>
      </c>
      <c r="AJ246" t="s">
        <v>3</v>
      </c>
      <c r="AK246" t="s">
        <v>3</v>
      </c>
      <c r="AL246" t="s">
        <v>3</v>
      </c>
      <c r="AM246" t="s">
        <v>3</v>
      </c>
      <c r="AN246" t="s">
        <v>3</v>
      </c>
      <c r="AO246" t="s">
        <v>3</v>
      </c>
      <c r="AP246" t="s">
        <v>3</v>
      </c>
      <c r="AQ246" t="s">
        <v>3</v>
      </c>
      <c r="AR246" t="s">
        <v>3</v>
      </c>
      <c r="AS246" t="s">
        <v>3</v>
      </c>
      <c r="AT246" t="s">
        <v>3</v>
      </c>
      <c r="AU246" t="s">
        <v>3</v>
      </c>
      <c r="AV246" t="s">
        <v>3</v>
      </c>
      <c r="AW246" t="s">
        <v>3</v>
      </c>
      <c r="AX246">
        <v>0</v>
      </c>
      <c r="AY246">
        <v>1</v>
      </c>
      <c r="AZ246" t="s">
        <v>1</v>
      </c>
      <c r="BA246" t="s">
        <v>1</v>
      </c>
      <c r="BB246" t="s">
        <v>1</v>
      </c>
      <c r="BC246" s="21" t="s">
        <v>748</v>
      </c>
      <c r="BD246" s="21" t="s">
        <v>144</v>
      </c>
      <c r="BE246">
        <v>0</v>
      </c>
      <c r="BF246">
        <v>0</v>
      </c>
      <c r="BG246">
        <v>0</v>
      </c>
      <c r="BH246">
        <v>0</v>
      </c>
      <c r="BI246">
        <v>0</v>
      </c>
      <c r="BJ246" t="s">
        <v>749</v>
      </c>
      <c r="BK246">
        <v>0</v>
      </c>
      <c r="BL246" t="s">
        <v>132</v>
      </c>
      <c r="BM246">
        <v>0</v>
      </c>
      <c r="BN246">
        <v>1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 t="s">
        <v>0</v>
      </c>
      <c r="BX246">
        <v>0</v>
      </c>
      <c r="BY246">
        <v>0</v>
      </c>
      <c r="BZ246">
        <v>0</v>
      </c>
      <c r="CA246">
        <v>0</v>
      </c>
      <c r="CB246" t="s">
        <v>145</v>
      </c>
      <c r="CD246" t="str" cm="1">
        <f t="array" aca="1" ref="CD246" ca="1">eConcatenar(A246:CB246,"|")</f>
        <v>07zAI8bc7oEwkzg5|MODIFVHS36|3|MODIF|MODIF|MODIF|MODIF|2022-01-01|1|0|0|0|0|0|0|0|0|0|0|0|0|0|0|0|0|0|0|x|x|x|x|x|x|x|x|x|x|x|x|x|x|x|x|x|x|x|x|x|x|0|1|X|X|X|2022-2-10|2022-02-23|0|0|0|0|0|QWYNRBIY9KVTQO|0|HOMBRE|0|1|0|0|0|0|0|0|0|0|CARDENAS|0|0|0|0|FINAL</v>
      </c>
    </row>
    <row r="247" spans="1:82" x14ac:dyDescent="0.25">
      <c r="A247" t="s">
        <v>787</v>
      </c>
      <c r="B247" t="s">
        <v>583</v>
      </c>
      <c r="C247">
        <v>3</v>
      </c>
      <c r="D247" t="s">
        <v>346</v>
      </c>
      <c r="E247" t="s">
        <v>346</v>
      </c>
      <c r="F247" t="s">
        <v>346</v>
      </c>
      <c r="G247" t="s">
        <v>346</v>
      </c>
      <c r="H247" s="21" t="s">
        <v>747</v>
      </c>
      <c r="I247">
        <v>1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 t="s">
        <v>3</v>
      </c>
      <c r="AC247" t="s">
        <v>3</v>
      </c>
      <c r="AD247" t="s">
        <v>3</v>
      </c>
      <c r="AE247" t="s">
        <v>3</v>
      </c>
      <c r="AF247" t="s">
        <v>3</v>
      </c>
      <c r="AG247" t="s">
        <v>3</v>
      </c>
      <c r="AH247" t="s">
        <v>3</v>
      </c>
      <c r="AI247" t="s">
        <v>3</v>
      </c>
      <c r="AJ247" t="s">
        <v>3</v>
      </c>
      <c r="AK247" t="s">
        <v>3</v>
      </c>
      <c r="AL247" t="s">
        <v>3</v>
      </c>
      <c r="AM247" t="s">
        <v>3</v>
      </c>
      <c r="AN247" t="s">
        <v>3</v>
      </c>
      <c r="AO247" t="s">
        <v>3</v>
      </c>
      <c r="AP247" t="s">
        <v>3</v>
      </c>
      <c r="AQ247" t="s">
        <v>3</v>
      </c>
      <c r="AR247" t="s">
        <v>3</v>
      </c>
      <c r="AS247" t="s">
        <v>3</v>
      </c>
      <c r="AT247" t="s">
        <v>3</v>
      </c>
      <c r="AU247" t="s">
        <v>3</v>
      </c>
      <c r="AV247" t="s">
        <v>3</v>
      </c>
      <c r="AW247" t="s">
        <v>3</v>
      </c>
      <c r="AX247">
        <v>0</v>
      </c>
      <c r="AY247">
        <v>1</v>
      </c>
      <c r="AZ247" t="s">
        <v>1</v>
      </c>
      <c r="BA247" t="s">
        <v>1</v>
      </c>
      <c r="BB247" t="s">
        <v>1</v>
      </c>
      <c r="BC247" s="21" t="s">
        <v>748</v>
      </c>
      <c r="BD247" s="21" t="s">
        <v>144</v>
      </c>
      <c r="BE247">
        <v>0</v>
      </c>
      <c r="BF247">
        <v>0</v>
      </c>
      <c r="BG247">
        <v>0</v>
      </c>
      <c r="BH247">
        <v>0</v>
      </c>
      <c r="BI247">
        <v>0</v>
      </c>
      <c r="BJ247" t="s">
        <v>749</v>
      </c>
      <c r="BK247">
        <v>0</v>
      </c>
      <c r="BL247" t="s">
        <v>132</v>
      </c>
      <c r="BM247">
        <v>0</v>
      </c>
      <c r="BN247">
        <v>1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 t="s">
        <v>0</v>
      </c>
      <c r="BX247">
        <v>0</v>
      </c>
      <c r="BY247">
        <v>0</v>
      </c>
      <c r="BZ247">
        <v>0</v>
      </c>
      <c r="CA247">
        <v>0</v>
      </c>
      <c r="CB247" t="s">
        <v>145</v>
      </c>
      <c r="CD247" t="str" cm="1">
        <f t="array" aca="1" ref="CD247" ca="1">eConcatenar(A247:CB247,"|")</f>
        <v>8KHx77Q91fHWdUe1|MODIFVHS37|3|MODIF|MODIF|MODIF|MODIF|2022-01-01|1|0|0|0|0|0|0|0|0|0|0|0|0|0|0|0|0|0|0|x|x|x|x|x|x|x|x|x|x|x|x|x|x|x|x|x|x|x|x|x|x|0|1|X|X|X|2022-2-10|2022-02-23|0|0|0|0|0|QWYNRBIY9KVTQO|0|HOMBRE|0|1|0|0|0|0|0|0|0|0|CARDENAS|0|0|0|0|FINAL</v>
      </c>
    </row>
    <row r="248" spans="1:82" x14ac:dyDescent="0.25">
      <c r="A248" t="s">
        <v>788</v>
      </c>
      <c r="B248" t="s">
        <v>584</v>
      </c>
      <c r="C248">
        <v>3</v>
      </c>
      <c r="D248" t="s">
        <v>346</v>
      </c>
      <c r="E248" t="s">
        <v>346</v>
      </c>
      <c r="F248" t="s">
        <v>346</v>
      </c>
      <c r="G248" t="s">
        <v>346</v>
      </c>
      <c r="H248" s="21" t="s">
        <v>747</v>
      </c>
      <c r="I248">
        <v>1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">
        <v>3</v>
      </c>
      <c r="AC248" t="s">
        <v>3</v>
      </c>
      <c r="AD248" t="s">
        <v>3</v>
      </c>
      <c r="AE248" t="s">
        <v>3</v>
      </c>
      <c r="AF248" t="s">
        <v>3</v>
      </c>
      <c r="AG248" t="s">
        <v>3</v>
      </c>
      <c r="AH248" t="s">
        <v>3</v>
      </c>
      <c r="AI248" t="s">
        <v>3</v>
      </c>
      <c r="AJ248" t="s">
        <v>3</v>
      </c>
      <c r="AK248" t="s">
        <v>3</v>
      </c>
      <c r="AL248" t="s">
        <v>3</v>
      </c>
      <c r="AM248" t="s">
        <v>3</v>
      </c>
      <c r="AN248" t="s">
        <v>3</v>
      </c>
      <c r="AO248" t="s">
        <v>3</v>
      </c>
      <c r="AP248" t="s">
        <v>3</v>
      </c>
      <c r="AQ248" t="s">
        <v>3</v>
      </c>
      <c r="AR248" t="s">
        <v>3</v>
      </c>
      <c r="AS248" t="s">
        <v>3</v>
      </c>
      <c r="AT248" t="s">
        <v>3</v>
      </c>
      <c r="AU248" t="s">
        <v>3</v>
      </c>
      <c r="AV248" t="s">
        <v>3</v>
      </c>
      <c r="AW248" t="s">
        <v>3</v>
      </c>
      <c r="AX248">
        <v>0</v>
      </c>
      <c r="AY248">
        <v>1</v>
      </c>
      <c r="AZ248" t="s">
        <v>1</v>
      </c>
      <c r="BA248" t="s">
        <v>1</v>
      </c>
      <c r="BB248" t="s">
        <v>1</v>
      </c>
      <c r="BC248" s="21" t="s">
        <v>748</v>
      </c>
      <c r="BD248" s="21" t="s">
        <v>144</v>
      </c>
      <c r="BE248">
        <v>0</v>
      </c>
      <c r="BF248">
        <v>0</v>
      </c>
      <c r="BG248">
        <v>0</v>
      </c>
      <c r="BH248">
        <v>0</v>
      </c>
      <c r="BI248">
        <v>0</v>
      </c>
      <c r="BJ248" t="s">
        <v>749</v>
      </c>
      <c r="BK248">
        <v>0</v>
      </c>
      <c r="BL248" t="s">
        <v>132</v>
      </c>
      <c r="BM248">
        <v>0</v>
      </c>
      <c r="BN248">
        <v>1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 t="s">
        <v>0</v>
      </c>
      <c r="BX248">
        <v>0</v>
      </c>
      <c r="BY248">
        <v>0</v>
      </c>
      <c r="BZ248">
        <v>0</v>
      </c>
      <c r="CA248">
        <v>0</v>
      </c>
      <c r="CB248" t="s">
        <v>145</v>
      </c>
      <c r="CD248" t="str" cm="1">
        <f t="array" aca="1" ref="CD248" ca="1">eConcatenar(A248:CB248,"|")</f>
        <v>2oE4Bg4FPHFXWr0O|MODIFVHS38|3|MODIF|MODIF|MODIF|MODIF|2022-01-01|1|0|0|0|0|0|0|0|0|0|0|0|0|0|0|0|0|0|0|x|x|x|x|x|x|x|x|x|x|x|x|x|x|x|x|x|x|x|x|x|x|0|1|X|X|X|2022-2-10|2022-02-23|0|0|0|0|0|QWYNRBIY9KVTQO|0|HOMBRE|0|1|0|0|0|0|0|0|0|0|CARDENAS|0|0|0|0|FINAL</v>
      </c>
    </row>
    <row r="249" spans="1:82" x14ac:dyDescent="0.25">
      <c r="A249" t="s">
        <v>789</v>
      </c>
      <c r="B249" t="s">
        <v>585</v>
      </c>
      <c r="C249">
        <v>3</v>
      </c>
      <c r="D249" t="s">
        <v>346</v>
      </c>
      <c r="E249" t="s">
        <v>346</v>
      </c>
      <c r="F249" t="s">
        <v>346</v>
      </c>
      <c r="G249" t="s">
        <v>346</v>
      </c>
      <c r="H249" s="21" t="s">
        <v>747</v>
      </c>
      <c r="I249">
        <v>1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t="s">
        <v>3</v>
      </c>
      <c r="AC249" t="s">
        <v>3</v>
      </c>
      <c r="AD249" t="s">
        <v>3</v>
      </c>
      <c r="AE249" t="s">
        <v>3</v>
      </c>
      <c r="AF249" t="s">
        <v>3</v>
      </c>
      <c r="AG249" t="s">
        <v>3</v>
      </c>
      <c r="AH249" t="s">
        <v>3</v>
      </c>
      <c r="AI249" t="s">
        <v>3</v>
      </c>
      <c r="AJ249" t="s">
        <v>3</v>
      </c>
      <c r="AK249" t="s">
        <v>3</v>
      </c>
      <c r="AL249" t="s">
        <v>3</v>
      </c>
      <c r="AM249" t="s">
        <v>3</v>
      </c>
      <c r="AN249" t="s">
        <v>3</v>
      </c>
      <c r="AO249" t="s">
        <v>3</v>
      </c>
      <c r="AP249" t="s">
        <v>3</v>
      </c>
      <c r="AQ249" t="s">
        <v>3</v>
      </c>
      <c r="AR249" t="s">
        <v>3</v>
      </c>
      <c r="AS249" t="s">
        <v>3</v>
      </c>
      <c r="AT249" t="s">
        <v>3</v>
      </c>
      <c r="AU249" t="s">
        <v>3</v>
      </c>
      <c r="AV249" t="s">
        <v>3</v>
      </c>
      <c r="AW249" t="s">
        <v>3</v>
      </c>
      <c r="AX249">
        <v>0</v>
      </c>
      <c r="AY249">
        <v>1</v>
      </c>
      <c r="AZ249" t="s">
        <v>1</v>
      </c>
      <c r="BA249" t="s">
        <v>1</v>
      </c>
      <c r="BB249" t="s">
        <v>1</v>
      </c>
      <c r="BC249" s="21" t="s">
        <v>748</v>
      </c>
      <c r="BD249" s="21" t="s">
        <v>144</v>
      </c>
      <c r="BE249">
        <v>0</v>
      </c>
      <c r="BF249">
        <v>0</v>
      </c>
      <c r="BG249">
        <v>0</v>
      </c>
      <c r="BH249">
        <v>0</v>
      </c>
      <c r="BI249">
        <v>0</v>
      </c>
      <c r="BJ249" t="s">
        <v>749</v>
      </c>
      <c r="BK249">
        <v>0</v>
      </c>
      <c r="BL249" t="s">
        <v>132</v>
      </c>
      <c r="BM249">
        <v>0</v>
      </c>
      <c r="BN249">
        <v>1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 t="s">
        <v>0</v>
      </c>
      <c r="BX249">
        <v>0</v>
      </c>
      <c r="BY249">
        <v>0</v>
      </c>
      <c r="BZ249">
        <v>0</v>
      </c>
      <c r="CA249">
        <v>0</v>
      </c>
      <c r="CB249" t="s">
        <v>145</v>
      </c>
      <c r="CD249" t="str" cm="1">
        <f t="array" aca="1" ref="CD249" ca="1">eConcatenar(A249:CB249,"|")</f>
        <v>Upyae04FGGU8cshQ|MODIFVHS39|3|MODIF|MODIF|MODIF|MODIF|2022-01-01|1|0|0|0|0|0|0|0|0|0|0|0|0|0|0|0|0|0|0|x|x|x|x|x|x|x|x|x|x|x|x|x|x|x|x|x|x|x|x|x|x|0|1|X|X|X|2022-2-10|2022-02-23|0|0|0|0|0|QWYNRBIY9KVTQO|0|HOMBRE|0|1|0|0|0|0|0|0|0|0|CARDENAS|0|0|0|0|FINAL</v>
      </c>
    </row>
    <row r="250" spans="1:82" x14ac:dyDescent="0.25">
      <c r="A250" t="s">
        <v>790</v>
      </c>
      <c r="B250" t="s">
        <v>586</v>
      </c>
      <c r="C250">
        <v>3</v>
      </c>
      <c r="D250" t="s">
        <v>346</v>
      </c>
      <c r="E250" t="s">
        <v>346</v>
      </c>
      <c r="F250" t="s">
        <v>346</v>
      </c>
      <c r="G250" t="s">
        <v>346</v>
      </c>
      <c r="H250" s="21" t="s">
        <v>747</v>
      </c>
      <c r="I250">
        <v>1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 t="s">
        <v>3</v>
      </c>
      <c r="AC250" t="s">
        <v>3</v>
      </c>
      <c r="AD250" t="s">
        <v>3</v>
      </c>
      <c r="AE250" t="s">
        <v>3</v>
      </c>
      <c r="AF250" t="s">
        <v>3</v>
      </c>
      <c r="AG250" t="s">
        <v>3</v>
      </c>
      <c r="AH250" t="s">
        <v>3</v>
      </c>
      <c r="AI250" t="s">
        <v>3</v>
      </c>
      <c r="AJ250" t="s">
        <v>3</v>
      </c>
      <c r="AK250" t="s">
        <v>3</v>
      </c>
      <c r="AL250" t="s">
        <v>3</v>
      </c>
      <c r="AM250" t="s">
        <v>3</v>
      </c>
      <c r="AN250" t="s">
        <v>3</v>
      </c>
      <c r="AO250" t="s">
        <v>3</v>
      </c>
      <c r="AP250" t="s">
        <v>3</v>
      </c>
      <c r="AQ250" t="s">
        <v>3</v>
      </c>
      <c r="AR250" t="s">
        <v>3</v>
      </c>
      <c r="AS250" t="s">
        <v>3</v>
      </c>
      <c r="AT250" t="s">
        <v>3</v>
      </c>
      <c r="AU250" t="s">
        <v>3</v>
      </c>
      <c r="AV250" t="s">
        <v>3</v>
      </c>
      <c r="AW250" t="s">
        <v>3</v>
      </c>
      <c r="AX250">
        <v>0</v>
      </c>
      <c r="AY250">
        <v>1</v>
      </c>
      <c r="AZ250" t="s">
        <v>1</v>
      </c>
      <c r="BA250" t="s">
        <v>1</v>
      </c>
      <c r="BB250" t="s">
        <v>1</v>
      </c>
      <c r="BC250" s="21" t="s">
        <v>748</v>
      </c>
      <c r="BD250" s="21" t="s">
        <v>144</v>
      </c>
      <c r="BE250">
        <v>0</v>
      </c>
      <c r="BF250">
        <v>0</v>
      </c>
      <c r="BG250">
        <v>0</v>
      </c>
      <c r="BH250">
        <v>0</v>
      </c>
      <c r="BI250">
        <v>0</v>
      </c>
      <c r="BJ250" t="s">
        <v>749</v>
      </c>
      <c r="BK250">
        <v>0</v>
      </c>
      <c r="BL250" t="s">
        <v>132</v>
      </c>
      <c r="BM250">
        <v>0</v>
      </c>
      <c r="BN250">
        <v>1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 t="s">
        <v>0</v>
      </c>
      <c r="BX250">
        <v>0</v>
      </c>
      <c r="BY250">
        <v>0</v>
      </c>
      <c r="BZ250">
        <v>0</v>
      </c>
      <c r="CA250">
        <v>0</v>
      </c>
      <c r="CB250" t="s">
        <v>145</v>
      </c>
      <c r="CD250" t="str" cm="1">
        <f t="array" aca="1" ref="CD250" ca="1">eConcatenar(A250:CB250,"|")</f>
        <v>ZBmF8FZoHilZ5q6w|MODIFVHS40|3|MODIF|MODIF|MODIF|MODIF|2022-01-01|1|0|0|0|0|0|0|0|0|0|0|0|0|0|0|0|0|0|0|x|x|x|x|x|x|x|x|x|x|x|x|x|x|x|x|x|x|x|x|x|x|0|1|X|X|X|2022-2-10|2022-02-23|0|0|0|0|0|QWYNRBIY9KVTQO|0|HOMBRE|0|1|0|0|0|0|0|0|0|0|CARDENAS|0|0|0|0|FINAL</v>
      </c>
    </row>
    <row r="251" spans="1:82" x14ac:dyDescent="0.25">
      <c r="A251" t="s">
        <v>791</v>
      </c>
      <c r="B251" t="s">
        <v>587</v>
      </c>
      <c r="C251">
        <v>3</v>
      </c>
      <c r="D251" t="s">
        <v>346</v>
      </c>
      <c r="E251" t="s">
        <v>346</v>
      </c>
      <c r="F251" t="s">
        <v>346</v>
      </c>
      <c r="G251" t="s">
        <v>346</v>
      </c>
      <c r="H251" s="21" t="s">
        <v>747</v>
      </c>
      <c r="I251">
        <v>1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t="s">
        <v>3</v>
      </c>
      <c r="AC251" t="s">
        <v>3</v>
      </c>
      <c r="AD251" t="s">
        <v>3</v>
      </c>
      <c r="AE251" t="s">
        <v>3</v>
      </c>
      <c r="AF251" t="s">
        <v>3</v>
      </c>
      <c r="AG251" t="s">
        <v>3</v>
      </c>
      <c r="AH251" t="s">
        <v>3</v>
      </c>
      <c r="AI251" t="s">
        <v>3</v>
      </c>
      <c r="AJ251" t="s">
        <v>3</v>
      </c>
      <c r="AK251" t="s">
        <v>3</v>
      </c>
      <c r="AL251" t="s">
        <v>3</v>
      </c>
      <c r="AM251" t="s">
        <v>3</v>
      </c>
      <c r="AN251" t="s">
        <v>3</v>
      </c>
      <c r="AO251" t="s">
        <v>3</v>
      </c>
      <c r="AP251" t="s">
        <v>3</v>
      </c>
      <c r="AQ251" t="s">
        <v>3</v>
      </c>
      <c r="AR251" t="s">
        <v>3</v>
      </c>
      <c r="AS251" t="s">
        <v>3</v>
      </c>
      <c r="AT251" t="s">
        <v>3</v>
      </c>
      <c r="AU251" t="s">
        <v>3</v>
      </c>
      <c r="AV251" t="s">
        <v>3</v>
      </c>
      <c r="AW251" t="s">
        <v>3</v>
      </c>
      <c r="AX251">
        <v>0</v>
      </c>
      <c r="AY251">
        <v>1</v>
      </c>
      <c r="AZ251" t="s">
        <v>1</v>
      </c>
      <c r="BA251" t="s">
        <v>1</v>
      </c>
      <c r="BB251" t="s">
        <v>1</v>
      </c>
      <c r="BC251" s="21" t="s">
        <v>748</v>
      </c>
      <c r="BD251" s="21" t="s">
        <v>144</v>
      </c>
      <c r="BE251">
        <v>0</v>
      </c>
      <c r="BF251">
        <v>0</v>
      </c>
      <c r="BG251">
        <v>0</v>
      </c>
      <c r="BH251">
        <v>0</v>
      </c>
      <c r="BI251">
        <v>0</v>
      </c>
      <c r="BJ251" t="s">
        <v>749</v>
      </c>
      <c r="BK251">
        <v>0</v>
      </c>
      <c r="BL251" t="s">
        <v>132</v>
      </c>
      <c r="BM251">
        <v>0</v>
      </c>
      <c r="BN251">
        <v>1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 t="s">
        <v>0</v>
      </c>
      <c r="BX251">
        <v>0</v>
      </c>
      <c r="BY251">
        <v>0</v>
      </c>
      <c r="BZ251">
        <v>0</v>
      </c>
      <c r="CA251">
        <v>0</v>
      </c>
      <c r="CB251" t="s">
        <v>145</v>
      </c>
      <c r="CD251" t="str" cm="1">
        <f t="array" aca="1" ref="CD251" ca="1">eConcatenar(A251:CB251,"|")</f>
        <v>0ZZC8qu1lnP8BRWd|MODIFVHS41|3|MODIF|MODIF|MODIF|MODIF|2022-01-01|1|0|0|0|0|0|0|0|0|0|0|0|0|0|0|0|0|0|0|x|x|x|x|x|x|x|x|x|x|x|x|x|x|x|x|x|x|x|x|x|x|0|1|X|X|X|2022-2-10|2022-02-23|0|0|0|0|0|QWYNRBIY9KVTQO|0|HOMBRE|0|1|0|0|0|0|0|0|0|0|CARDENAS|0|0|0|0|FINAL</v>
      </c>
    </row>
    <row r="252" spans="1:82" x14ac:dyDescent="0.25">
      <c r="A252" t="s">
        <v>792</v>
      </c>
      <c r="B252" t="s">
        <v>588</v>
      </c>
      <c r="C252">
        <v>3</v>
      </c>
      <c r="D252" t="s">
        <v>346</v>
      </c>
      <c r="E252" t="s">
        <v>346</v>
      </c>
      <c r="F252" t="s">
        <v>346</v>
      </c>
      <c r="G252" t="s">
        <v>346</v>
      </c>
      <c r="H252" s="21" t="s">
        <v>747</v>
      </c>
      <c r="I252">
        <v>1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 t="s">
        <v>3</v>
      </c>
      <c r="AC252" t="s">
        <v>3</v>
      </c>
      <c r="AD252" t="s">
        <v>3</v>
      </c>
      <c r="AE252" t="s">
        <v>3</v>
      </c>
      <c r="AF252" t="s">
        <v>3</v>
      </c>
      <c r="AG252" t="s">
        <v>3</v>
      </c>
      <c r="AH252" t="s">
        <v>3</v>
      </c>
      <c r="AI252" t="s">
        <v>3</v>
      </c>
      <c r="AJ252" t="s">
        <v>3</v>
      </c>
      <c r="AK252" t="s">
        <v>3</v>
      </c>
      <c r="AL252" t="s">
        <v>3</v>
      </c>
      <c r="AM252" t="s">
        <v>3</v>
      </c>
      <c r="AN252" t="s">
        <v>3</v>
      </c>
      <c r="AO252" t="s">
        <v>3</v>
      </c>
      <c r="AP252" t="s">
        <v>3</v>
      </c>
      <c r="AQ252" t="s">
        <v>3</v>
      </c>
      <c r="AR252" t="s">
        <v>3</v>
      </c>
      <c r="AS252" t="s">
        <v>3</v>
      </c>
      <c r="AT252" t="s">
        <v>3</v>
      </c>
      <c r="AU252" t="s">
        <v>3</v>
      </c>
      <c r="AV252" t="s">
        <v>3</v>
      </c>
      <c r="AW252" t="s">
        <v>3</v>
      </c>
      <c r="AX252">
        <v>0</v>
      </c>
      <c r="AY252">
        <v>1</v>
      </c>
      <c r="AZ252" t="s">
        <v>1</v>
      </c>
      <c r="BA252" t="s">
        <v>1</v>
      </c>
      <c r="BB252" t="s">
        <v>1</v>
      </c>
      <c r="BC252" s="21" t="s">
        <v>748</v>
      </c>
      <c r="BD252" s="21" t="s">
        <v>144</v>
      </c>
      <c r="BE252">
        <v>0</v>
      </c>
      <c r="BF252">
        <v>0</v>
      </c>
      <c r="BG252">
        <v>0</v>
      </c>
      <c r="BH252">
        <v>0</v>
      </c>
      <c r="BI252">
        <v>0</v>
      </c>
      <c r="BJ252" t="s">
        <v>749</v>
      </c>
      <c r="BK252">
        <v>0</v>
      </c>
      <c r="BL252" t="s">
        <v>132</v>
      </c>
      <c r="BM252">
        <v>0</v>
      </c>
      <c r="BN252">
        <v>1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 t="s">
        <v>0</v>
      </c>
      <c r="BX252">
        <v>0</v>
      </c>
      <c r="BY252">
        <v>0</v>
      </c>
      <c r="BZ252">
        <v>0</v>
      </c>
      <c r="CA252">
        <v>0</v>
      </c>
      <c r="CB252" t="s">
        <v>145</v>
      </c>
      <c r="CD252" t="str" cm="1">
        <f t="array" aca="1" ref="CD252" ca="1">eConcatenar(A252:CB252,"|")</f>
        <v>YCVp8OuGIkJzHy5X|MODIFVHS42|3|MODIF|MODIF|MODIF|MODIF|2022-01-01|1|0|0|0|0|0|0|0|0|0|0|0|0|0|0|0|0|0|0|x|x|x|x|x|x|x|x|x|x|x|x|x|x|x|x|x|x|x|x|x|x|0|1|X|X|X|2022-2-10|2022-02-23|0|0|0|0|0|QWYNRBIY9KVTQO|0|HOMBRE|0|1|0|0|0|0|0|0|0|0|CARDENAS|0|0|0|0|FINAL</v>
      </c>
    </row>
    <row r="253" spans="1:82" x14ac:dyDescent="0.25">
      <c r="A253" t="s">
        <v>793</v>
      </c>
      <c r="B253" t="s">
        <v>589</v>
      </c>
      <c r="C253">
        <v>3</v>
      </c>
      <c r="D253" t="s">
        <v>346</v>
      </c>
      <c r="E253" t="s">
        <v>346</v>
      </c>
      <c r="F253" t="s">
        <v>346</v>
      </c>
      <c r="G253" t="s">
        <v>346</v>
      </c>
      <c r="H253" s="21" t="s">
        <v>747</v>
      </c>
      <c r="I253">
        <v>1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">
        <v>3</v>
      </c>
      <c r="AC253" t="s">
        <v>3</v>
      </c>
      <c r="AD253" t="s">
        <v>3</v>
      </c>
      <c r="AE253" t="s">
        <v>3</v>
      </c>
      <c r="AF253" t="s">
        <v>3</v>
      </c>
      <c r="AG253" t="s">
        <v>3</v>
      </c>
      <c r="AH253" t="s">
        <v>3</v>
      </c>
      <c r="AI253" t="s">
        <v>3</v>
      </c>
      <c r="AJ253" t="s">
        <v>3</v>
      </c>
      <c r="AK253" t="s">
        <v>3</v>
      </c>
      <c r="AL253" t="s">
        <v>3</v>
      </c>
      <c r="AM253" t="s">
        <v>3</v>
      </c>
      <c r="AN253" t="s">
        <v>3</v>
      </c>
      <c r="AO253" t="s">
        <v>3</v>
      </c>
      <c r="AP253" t="s">
        <v>3</v>
      </c>
      <c r="AQ253" t="s">
        <v>3</v>
      </c>
      <c r="AR253" t="s">
        <v>3</v>
      </c>
      <c r="AS253" t="s">
        <v>3</v>
      </c>
      <c r="AT253" t="s">
        <v>3</v>
      </c>
      <c r="AU253" t="s">
        <v>3</v>
      </c>
      <c r="AV253" t="s">
        <v>3</v>
      </c>
      <c r="AW253" t="s">
        <v>3</v>
      </c>
      <c r="AX253">
        <v>0</v>
      </c>
      <c r="AY253">
        <v>1</v>
      </c>
      <c r="AZ253" t="s">
        <v>1</v>
      </c>
      <c r="BA253" t="s">
        <v>1</v>
      </c>
      <c r="BB253" t="s">
        <v>1</v>
      </c>
      <c r="BC253" s="21" t="s">
        <v>748</v>
      </c>
      <c r="BD253" s="21" t="s">
        <v>144</v>
      </c>
      <c r="BE253">
        <v>0</v>
      </c>
      <c r="BF253">
        <v>0</v>
      </c>
      <c r="BG253">
        <v>0</v>
      </c>
      <c r="BH253">
        <v>0</v>
      </c>
      <c r="BI253">
        <v>0</v>
      </c>
      <c r="BJ253" t="s">
        <v>749</v>
      </c>
      <c r="BK253">
        <v>0</v>
      </c>
      <c r="BL253" t="s">
        <v>132</v>
      </c>
      <c r="BM253">
        <v>0</v>
      </c>
      <c r="BN253">
        <v>1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 t="s">
        <v>0</v>
      </c>
      <c r="BX253">
        <v>0</v>
      </c>
      <c r="BY253">
        <v>0</v>
      </c>
      <c r="BZ253">
        <v>0</v>
      </c>
      <c r="CA253">
        <v>0</v>
      </c>
      <c r="CB253" t="s">
        <v>145</v>
      </c>
      <c r="CD253" t="str" cm="1">
        <f t="array" aca="1" ref="CD253" ca="1">eConcatenar(A253:CB253,"|")</f>
        <v>G3zT4R7PxyBSjOId|MODIFVHS43|3|MODIF|MODIF|MODIF|MODIF|2022-01-01|1|0|0|0|0|0|0|0|0|0|0|0|0|0|0|0|0|0|0|x|x|x|x|x|x|x|x|x|x|x|x|x|x|x|x|x|x|x|x|x|x|0|1|X|X|X|2022-2-10|2022-02-23|0|0|0|0|0|QWYNRBIY9KVTQO|0|HOMBRE|0|1|0|0|0|0|0|0|0|0|CARDENAS|0|0|0|0|FINAL</v>
      </c>
    </row>
    <row r="254" spans="1:82" x14ac:dyDescent="0.25">
      <c r="A254" t="s">
        <v>794</v>
      </c>
      <c r="B254" t="s">
        <v>590</v>
      </c>
      <c r="C254">
        <v>3</v>
      </c>
      <c r="D254" t="s">
        <v>346</v>
      </c>
      <c r="E254" t="s">
        <v>346</v>
      </c>
      <c r="F254" t="s">
        <v>346</v>
      </c>
      <c r="G254" t="s">
        <v>346</v>
      </c>
      <c r="H254" s="21" t="s">
        <v>747</v>
      </c>
      <c r="I254">
        <v>1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t="s">
        <v>3</v>
      </c>
      <c r="AC254" t="s">
        <v>3</v>
      </c>
      <c r="AD254" t="s">
        <v>3</v>
      </c>
      <c r="AE254" t="s">
        <v>3</v>
      </c>
      <c r="AF254" t="s">
        <v>3</v>
      </c>
      <c r="AG254" t="s">
        <v>3</v>
      </c>
      <c r="AH254" t="s">
        <v>3</v>
      </c>
      <c r="AI254" t="s">
        <v>3</v>
      </c>
      <c r="AJ254" t="s">
        <v>3</v>
      </c>
      <c r="AK254" t="s">
        <v>3</v>
      </c>
      <c r="AL254" t="s">
        <v>3</v>
      </c>
      <c r="AM254" t="s">
        <v>3</v>
      </c>
      <c r="AN254" t="s">
        <v>3</v>
      </c>
      <c r="AO254" t="s">
        <v>3</v>
      </c>
      <c r="AP254" t="s">
        <v>3</v>
      </c>
      <c r="AQ254" t="s">
        <v>3</v>
      </c>
      <c r="AR254" t="s">
        <v>3</v>
      </c>
      <c r="AS254" t="s">
        <v>3</v>
      </c>
      <c r="AT254" t="s">
        <v>3</v>
      </c>
      <c r="AU254" t="s">
        <v>3</v>
      </c>
      <c r="AV254" t="s">
        <v>3</v>
      </c>
      <c r="AW254" t="s">
        <v>3</v>
      </c>
      <c r="AX254">
        <v>0</v>
      </c>
      <c r="AY254">
        <v>1</v>
      </c>
      <c r="AZ254" t="s">
        <v>1</v>
      </c>
      <c r="BA254" t="s">
        <v>1</v>
      </c>
      <c r="BB254" t="s">
        <v>1</v>
      </c>
      <c r="BC254" s="21" t="s">
        <v>748</v>
      </c>
      <c r="BD254" s="21" t="s">
        <v>144</v>
      </c>
      <c r="BE254">
        <v>0</v>
      </c>
      <c r="BF254">
        <v>0</v>
      </c>
      <c r="BG254">
        <v>0</v>
      </c>
      <c r="BH254">
        <v>0</v>
      </c>
      <c r="BI254">
        <v>0</v>
      </c>
      <c r="BJ254" t="s">
        <v>749</v>
      </c>
      <c r="BK254">
        <v>0</v>
      </c>
      <c r="BL254" t="s">
        <v>132</v>
      </c>
      <c r="BM254">
        <v>0</v>
      </c>
      <c r="BN254">
        <v>1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 t="s">
        <v>0</v>
      </c>
      <c r="BX254">
        <v>0</v>
      </c>
      <c r="BY254">
        <v>0</v>
      </c>
      <c r="BZ254">
        <v>0</v>
      </c>
      <c r="CA254">
        <v>0</v>
      </c>
      <c r="CB254" t="s">
        <v>145</v>
      </c>
      <c r="CD254" t="str" cm="1">
        <f t="array" aca="1" ref="CD254" ca="1">eConcatenar(A254:CB254,"|")</f>
        <v>C4paNIAdZrXO2qa2|MODIFVHS44|3|MODIF|MODIF|MODIF|MODIF|2022-01-01|1|0|0|0|0|0|0|0|0|0|0|0|0|0|0|0|0|0|0|x|x|x|x|x|x|x|x|x|x|x|x|x|x|x|x|x|x|x|x|x|x|0|1|X|X|X|2022-2-10|2022-02-23|0|0|0|0|0|QWYNRBIY9KVTQO|0|HOMBRE|0|1|0|0|0|0|0|0|0|0|CARDENAS|0|0|0|0|FINAL</v>
      </c>
    </row>
    <row r="255" spans="1:82" x14ac:dyDescent="0.25">
      <c r="A255" t="s">
        <v>795</v>
      </c>
      <c r="B255" t="s">
        <v>591</v>
      </c>
      <c r="C255">
        <v>3</v>
      </c>
      <c r="D255" t="s">
        <v>346</v>
      </c>
      <c r="E255" t="s">
        <v>346</v>
      </c>
      <c r="F255" t="s">
        <v>346</v>
      </c>
      <c r="G255" t="s">
        <v>346</v>
      </c>
      <c r="H255" s="21" t="s">
        <v>747</v>
      </c>
      <c r="I255">
        <v>1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 t="s">
        <v>3</v>
      </c>
      <c r="AC255" t="s">
        <v>3</v>
      </c>
      <c r="AD255" t="s">
        <v>3</v>
      </c>
      <c r="AE255" t="s">
        <v>3</v>
      </c>
      <c r="AF255" t="s">
        <v>3</v>
      </c>
      <c r="AG255" t="s">
        <v>3</v>
      </c>
      <c r="AH255" t="s">
        <v>3</v>
      </c>
      <c r="AI255" t="s">
        <v>3</v>
      </c>
      <c r="AJ255" t="s">
        <v>3</v>
      </c>
      <c r="AK255" t="s">
        <v>3</v>
      </c>
      <c r="AL255" t="s">
        <v>3</v>
      </c>
      <c r="AM255" t="s">
        <v>3</v>
      </c>
      <c r="AN255" t="s">
        <v>3</v>
      </c>
      <c r="AO255" t="s">
        <v>3</v>
      </c>
      <c r="AP255" t="s">
        <v>3</v>
      </c>
      <c r="AQ255" t="s">
        <v>3</v>
      </c>
      <c r="AR255" t="s">
        <v>3</v>
      </c>
      <c r="AS255" t="s">
        <v>3</v>
      </c>
      <c r="AT255" t="s">
        <v>3</v>
      </c>
      <c r="AU255" t="s">
        <v>3</v>
      </c>
      <c r="AV255" t="s">
        <v>3</v>
      </c>
      <c r="AW255" t="s">
        <v>3</v>
      </c>
      <c r="AX255">
        <v>0</v>
      </c>
      <c r="AY255">
        <v>1</v>
      </c>
      <c r="AZ255" t="s">
        <v>1</v>
      </c>
      <c r="BA255" t="s">
        <v>1</v>
      </c>
      <c r="BB255" t="s">
        <v>1</v>
      </c>
      <c r="BC255" s="21" t="s">
        <v>748</v>
      </c>
      <c r="BD255" s="21" t="s">
        <v>144</v>
      </c>
      <c r="BE255">
        <v>0</v>
      </c>
      <c r="BF255">
        <v>0</v>
      </c>
      <c r="BG255">
        <v>0</v>
      </c>
      <c r="BH255">
        <v>0</v>
      </c>
      <c r="BI255">
        <v>0</v>
      </c>
      <c r="BJ255" t="s">
        <v>749</v>
      </c>
      <c r="BK255">
        <v>0</v>
      </c>
      <c r="BL255" t="s">
        <v>132</v>
      </c>
      <c r="BM255">
        <v>0</v>
      </c>
      <c r="BN255">
        <v>1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 t="s">
        <v>0</v>
      </c>
      <c r="BX255">
        <v>0</v>
      </c>
      <c r="BY255">
        <v>0</v>
      </c>
      <c r="BZ255">
        <v>0</v>
      </c>
      <c r="CA255">
        <v>0</v>
      </c>
      <c r="CB255" t="s">
        <v>145</v>
      </c>
      <c r="CD255" t="str" cm="1">
        <f t="array" aca="1" ref="CD255" ca="1">eConcatenar(A255:CB255,"|")</f>
        <v>atHaqbHfkn6epusY|MODIFVHS45|3|MODIF|MODIF|MODIF|MODIF|2022-01-01|1|0|0|0|0|0|0|0|0|0|0|0|0|0|0|0|0|0|0|x|x|x|x|x|x|x|x|x|x|x|x|x|x|x|x|x|x|x|x|x|x|0|1|X|X|X|2022-2-10|2022-02-23|0|0|0|0|0|QWYNRBIY9KVTQO|0|HOMBRE|0|1|0|0|0|0|0|0|0|0|CARDENAS|0|0|0|0|FINAL</v>
      </c>
    </row>
    <row r="256" spans="1:82" x14ac:dyDescent="0.25">
      <c r="A256" t="s">
        <v>796</v>
      </c>
      <c r="B256" t="s">
        <v>592</v>
      </c>
      <c r="C256">
        <v>3</v>
      </c>
      <c r="D256" t="s">
        <v>346</v>
      </c>
      <c r="E256" t="s">
        <v>346</v>
      </c>
      <c r="F256" t="s">
        <v>346</v>
      </c>
      <c r="G256" t="s">
        <v>346</v>
      </c>
      <c r="H256" s="21" t="s">
        <v>747</v>
      </c>
      <c r="I256">
        <v>1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">
        <v>3</v>
      </c>
      <c r="AC256" t="s">
        <v>3</v>
      </c>
      <c r="AD256" t="s">
        <v>3</v>
      </c>
      <c r="AE256" t="s">
        <v>3</v>
      </c>
      <c r="AF256" t="s">
        <v>3</v>
      </c>
      <c r="AG256" t="s">
        <v>3</v>
      </c>
      <c r="AH256" t="s">
        <v>3</v>
      </c>
      <c r="AI256" t="s">
        <v>3</v>
      </c>
      <c r="AJ256" t="s">
        <v>3</v>
      </c>
      <c r="AK256" t="s">
        <v>3</v>
      </c>
      <c r="AL256" t="s">
        <v>3</v>
      </c>
      <c r="AM256" t="s">
        <v>3</v>
      </c>
      <c r="AN256" t="s">
        <v>3</v>
      </c>
      <c r="AO256" t="s">
        <v>3</v>
      </c>
      <c r="AP256" t="s">
        <v>3</v>
      </c>
      <c r="AQ256" t="s">
        <v>3</v>
      </c>
      <c r="AR256" t="s">
        <v>3</v>
      </c>
      <c r="AS256" t="s">
        <v>3</v>
      </c>
      <c r="AT256" t="s">
        <v>3</v>
      </c>
      <c r="AU256" t="s">
        <v>3</v>
      </c>
      <c r="AV256" t="s">
        <v>3</v>
      </c>
      <c r="AW256" t="s">
        <v>3</v>
      </c>
      <c r="AX256">
        <v>0</v>
      </c>
      <c r="AY256">
        <v>1</v>
      </c>
      <c r="AZ256" t="s">
        <v>1</v>
      </c>
      <c r="BA256" t="s">
        <v>1</v>
      </c>
      <c r="BB256" t="s">
        <v>1</v>
      </c>
      <c r="BC256" s="21" t="s">
        <v>748</v>
      </c>
      <c r="BD256" s="21" t="s">
        <v>144</v>
      </c>
      <c r="BE256">
        <v>0</v>
      </c>
      <c r="BF256">
        <v>0</v>
      </c>
      <c r="BG256">
        <v>0</v>
      </c>
      <c r="BH256">
        <v>0</v>
      </c>
      <c r="BI256">
        <v>0</v>
      </c>
      <c r="BJ256" t="s">
        <v>749</v>
      </c>
      <c r="BK256">
        <v>0</v>
      </c>
      <c r="BL256" t="s">
        <v>132</v>
      </c>
      <c r="BM256">
        <v>0</v>
      </c>
      <c r="BN256">
        <v>1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 t="s">
        <v>0</v>
      </c>
      <c r="BX256">
        <v>0</v>
      </c>
      <c r="BY256">
        <v>0</v>
      </c>
      <c r="BZ256">
        <v>0</v>
      </c>
      <c r="CA256">
        <v>0</v>
      </c>
      <c r="CB256" t="s">
        <v>145</v>
      </c>
      <c r="CD256" t="str" cm="1">
        <f t="array" aca="1" ref="CD256" ca="1">eConcatenar(A256:CB256,"|")</f>
        <v>FSsLk7YNrnfC8iUh|MODIFVHS46|3|MODIF|MODIF|MODIF|MODIF|2022-01-01|1|0|0|0|0|0|0|0|0|0|0|0|0|0|0|0|0|0|0|x|x|x|x|x|x|x|x|x|x|x|x|x|x|x|x|x|x|x|x|x|x|0|1|X|X|X|2022-2-10|2022-02-23|0|0|0|0|0|QWYNRBIY9KVTQO|0|HOMBRE|0|1|0|0|0|0|0|0|0|0|CARDENAS|0|0|0|0|FINAL</v>
      </c>
    </row>
    <row r="257" spans="1:82" x14ac:dyDescent="0.25">
      <c r="A257" t="s">
        <v>797</v>
      </c>
      <c r="B257" t="s">
        <v>593</v>
      </c>
      <c r="C257">
        <v>3</v>
      </c>
      <c r="D257" t="s">
        <v>346</v>
      </c>
      <c r="E257" t="s">
        <v>346</v>
      </c>
      <c r="F257" t="s">
        <v>346</v>
      </c>
      <c r="G257" t="s">
        <v>346</v>
      </c>
      <c r="H257" s="21" t="s">
        <v>747</v>
      </c>
      <c r="I257">
        <v>1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t="s">
        <v>3</v>
      </c>
      <c r="AC257" t="s">
        <v>3</v>
      </c>
      <c r="AD257" t="s">
        <v>3</v>
      </c>
      <c r="AE257" t="s">
        <v>3</v>
      </c>
      <c r="AF257" t="s">
        <v>3</v>
      </c>
      <c r="AG257" t="s">
        <v>3</v>
      </c>
      <c r="AH257" t="s">
        <v>3</v>
      </c>
      <c r="AI257" t="s">
        <v>3</v>
      </c>
      <c r="AJ257" t="s">
        <v>3</v>
      </c>
      <c r="AK257" t="s">
        <v>3</v>
      </c>
      <c r="AL257" t="s">
        <v>3</v>
      </c>
      <c r="AM257" t="s">
        <v>3</v>
      </c>
      <c r="AN257" t="s">
        <v>3</v>
      </c>
      <c r="AO257" t="s">
        <v>3</v>
      </c>
      <c r="AP257" t="s">
        <v>3</v>
      </c>
      <c r="AQ257" t="s">
        <v>3</v>
      </c>
      <c r="AR257" t="s">
        <v>3</v>
      </c>
      <c r="AS257" t="s">
        <v>3</v>
      </c>
      <c r="AT257" t="s">
        <v>3</v>
      </c>
      <c r="AU257" t="s">
        <v>3</v>
      </c>
      <c r="AV257" t="s">
        <v>3</v>
      </c>
      <c r="AW257" t="s">
        <v>3</v>
      </c>
      <c r="AX257">
        <v>0</v>
      </c>
      <c r="AY257">
        <v>1</v>
      </c>
      <c r="AZ257" t="s">
        <v>1</v>
      </c>
      <c r="BA257" t="s">
        <v>1</v>
      </c>
      <c r="BB257" t="s">
        <v>1</v>
      </c>
      <c r="BC257" s="21" t="s">
        <v>748</v>
      </c>
      <c r="BD257" s="21" t="s">
        <v>144</v>
      </c>
      <c r="BE257">
        <v>0</v>
      </c>
      <c r="BF257">
        <v>0</v>
      </c>
      <c r="BG257">
        <v>0</v>
      </c>
      <c r="BH257">
        <v>0</v>
      </c>
      <c r="BI257">
        <v>0</v>
      </c>
      <c r="BJ257" t="s">
        <v>749</v>
      </c>
      <c r="BK257">
        <v>0</v>
      </c>
      <c r="BL257" t="s">
        <v>132</v>
      </c>
      <c r="BM257">
        <v>0</v>
      </c>
      <c r="BN257">
        <v>1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 t="s">
        <v>0</v>
      </c>
      <c r="BX257">
        <v>0</v>
      </c>
      <c r="BY257">
        <v>0</v>
      </c>
      <c r="BZ257">
        <v>0</v>
      </c>
      <c r="CA257">
        <v>0</v>
      </c>
      <c r="CB257" t="s">
        <v>145</v>
      </c>
      <c r="CD257" t="str" cm="1">
        <f t="array" aca="1" ref="CD257" ca="1">eConcatenar(A257:CB257,"|")</f>
        <v>Wia6JZmuRnvSwQOn|MODIFVHS47|3|MODIF|MODIF|MODIF|MODIF|2022-01-01|1|0|0|0|0|0|0|0|0|0|0|0|0|0|0|0|0|0|0|x|x|x|x|x|x|x|x|x|x|x|x|x|x|x|x|x|x|x|x|x|x|0|1|X|X|X|2022-2-10|2022-02-23|0|0|0|0|0|QWYNRBIY9KVTQO|0|HOMBRE|0|1|0|0|0|0|0|0|0|0|CARDENAS|0|0|0|0|FINAL</v>
      </c>
    </row>
    <row r="258" spans="1:82" x14ac:dyDescent="0.25">
      <c r="A258" t="s">
        <v>798</v>
      </c>
      <c r="B258" t="s">
        <v>594</v>
      </c>
      <c r="C258">
        <v>3</v>
      </c>
      <c r="D258" t="s">
        <v>346</v>
      </c>
      <c r="E258" t="s">
        <v>346</v>
      </c>
      <c r="F258" t="s">
        <v>346</v>
      </c>
      <c r="G258" t="s">
        <v>346</v>
      </c>
      <c r="H258" s="21" t="s">
        <v>747</v>
      </c>
      <c r="I258">
        <v>1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 t="s">
        <v>3</v>
      </c>
      <c r="AC258" t="s">
        <v>3</v>
      </c>
      <c r="AD258" t="s">
        <v>3</v>
      </c>
      <c r="AE258" t="s">
        <v>3</v>
      </c>
      <c r="AF258" t="s">
        <v>3</v>
      </c>
      <c r="AG258" t="s">
        <v>3</v>
      </c>
      <c r="AH258" t="s">
        <v>3</v>
      </c>
      <c r="AI258" t="s">
        <v>3</v>
      </c>
      <c r="AJ258" t="s">
        <v>3</v>
      </c>
      <c r="AK258" t="s">
        <v>3</v>
      </c>
      <c r="AL258" t="s">
        <v>3</v>
      </c>
      <c r="AM258" t="s">
        <v>3</v>
      </c>
      <c r="AN258" t="s">
        <v>3</v>
      </c>
      <c r="AO258" t="s">
        <v>3</v>
      </c>
      <c r="AP258" t="s">
        <v>3</v>
      </c>
      <c r="AQ258" t="s">
        <v>3</v>
      </c>
      <c r="AR258" t="s">
        <v>3</v>
      </c>
      <c r="AS258" t="s">
        <v>3</v>
      </c>
      <c r="AT258" t="s">
        <v>3</v>
      </c>
      <c r="AU258" t="s">
        <v>3</v>
      </c>
      <c r="AV258" t="s">
        <v>3</v>
      </c>
      <c r="AW258" t="s">
        <v>3</v>
      </c>
      <c r="AX258">
        <v>0</v>
      </c>
      <c r="AY258">
        <v>1</v>
      </c>
      <c r="AZ258" t="s">
        <v>1</v>
      </c>
      <c r="BA258" t="s">
        <v>1</v>
      </c>
      <c r="BB258" t="s">
        <v>1</v>
      </c>
      <c r="BC258" s="21" t="s">
        <v>748</v>
      </c>
      <c r="BD258" s="21" t="s">
        <v>144</v>
      </c>
      <c r="BE258">
        <v>0</v>
      </c>
      <c r="BF258">
        <v>0</v>
      </c>
      <c r="BG258">
        <v>0</v>
      </c>
      <c r="BH258">
        <v>0</v>
      </c>
      <c r="BI258">
        <v>0</v>
      </c>
      <c r="BJ258" t="s">
        <v>749</v>
      </c>
      <c r="BK258">
        <v>0</v>
      </c>
      <c r="BL258" t="s">
        <v>132</v>
      </c>
      <c r="BM258">
        <v>0</v>
      </c>
      <c r="BN258">
        <v>1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 t="s">
        <v>0</v>
      </c>
      <c r="BX258">
        <v>0</v>
      </c>
      <c r="BY258">
        <v>0</v>
      </c>
      <c r="BZ258">
        <v>0</v>
      </c>
      <c r="CA258">
        <v>0</v>
      </c>
      <c r="CB258" t="s">
        <v>145</v>
      </c>
      <c r="CD258" t="str" cm="1">
        <f t="array" aca="1" ref="CD258" ca="1">eConcatenar(A258:CB258,"|")</f>
        <v>kgavsuZ3KKRbJfNj|MODIFVHS48|3|MODIF|MODIF|MODIF|MODIF|2022-01-01|1|0|0|0|0|0|0|0|0|0|0|0|0|0|0|0|0|0|0|x|x|x|x|x|x|x|x|x|x|x|x|x|x|x|x|x|x|x|x|x|x|0|1|X|X|X|2022-2-10|2022-02-23|0|0|0|0|0|QWYNRBIY9KVTQO|0|HOMBRE|0|1|0|0|0|0|0|0|0|0|CARDENAS|0|0|0|0|FINAL</v>
      </c>
    </row>
    <row r="259" spans="1:82" x14ac:dyDescent="0.25">
      <c r="A259" t="s">
        <v>799</v>
      </c>
      <c r="B259" t="s">
        <v>595</v>
      </c>
      <c r="C259">
        <v>3</v>
      </c>
      <c r="D259" t="s">
        <v>346</v>
      </c>
      <c r="E259" t="s">
        <v>346</v>
      </c>
      <c r="F259" t="s">
        <v>346</v>
      </c>
      <c r="G259" t="s">
        <v>346</v>
      </c>
      <c r="H259" s="21" t="s">
        <v>747</v>
      </c>
      <c r="I259">
        <v>1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">
        <v>3</v>
      </c>
      <c r="AC259" t="s">
        <v>3</v>
      </c>
      <c r="AD259" t="s">
        <v>3</v>
      </c>
      <c r="AE259" t="s">
        <v>3</v>
      </c>
      <c r="AF259" t="s">
        <v>3</v>
      </c>
      <c r="AG259" t="s">
        <v>3</v>
      </c>
      <c r="AH259" t="s">
        <v>3</v>
      </c>
      <c r="AI259" t="s">
        <v>3</v>
      </c>
      <c r="AJ259" t="s">
        <v>3</v>
      </c>
      <c r="AK259" t="s">
        <v>3</v>
      </c>
      <c r="AL259" t="s">
        <v>3</v>
      </c>
      <c r="AM259" t="s">
        <v>3</v>
      </c>
      <c r="AN259" t="s">
        <v>3</v>
      </c>
      <c r="AO259" t="s">
        <v>3</v>
      </c>
      <c r="AP259" t="s">
        <v>3</v>
      </c>
      <c r="AQ259" t="s">
        <v>3</v>
      </c>
      <c r="AR259" t="s">
        <v>3</v>
      </c>
      <c r="AS259" t="s">
        <v>3</v>
      </c>
      <c r="AT259" t="s">
        <v>3</v>
      </c>
      <c r="AU259" t="s">
        <v>3</v>
      </c>
      <c r="AV259" t="s">
        <v>3</v>
      </c>
      <c r="AW259" t="s">
        <v>3</v>
      </c>
      <c r="AX259">
        <v>0</v>
      </c>
      <c r="AY259">
        <v>1</v>
      </c>
      <c r="AZ259" t="s">
        <v>1</v>
      </c>
      <c r="BA259" t="s">
        <v>1</v>
      </c>
      <c r="BB259" t="s">
        <v>1</v>
      </c>
      <c r="BC259" s="21" t="s">
        <v>748</v>
      </c>
      <c r="BD259" s="21" t="s">
        <v>144</v>
      </c>
      <c r="BE259">
        <v>0</v>
      </c>
      <c r="BF259">
        <v>0</v>
      </c>
      <c r="BG259">
        <v>0</v>
      </c>
      <c r="BH259">
        <v>0</v>
      </c>
      <c r="BI259">
        <v>0</v>
      </c>
      <c r="BJ259" t="s">
        <v>749</v>
      </c>
      <c r="BK259">
        <v>0</v>
      </c>
      <c r="BL259" t="s">
        <v>132</v>
      </c>
      <c r="BM259">
        <v>0</v>
      </c>
      <c r="BN259">
        <v>1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 t="s">
        <v>0</v>
      </c>
      <c r="BX259">
        <v>0</v>
      </c>
      <c r="BY259">
        <v>0</v>
      </c>
      <c r="BZ259">
        <v>0</v>
      </c>
      <c r="CA259">
        <v>0</v>
      </c>
      <c r="CB259" t="s">
        <v>145</v>
      </c>
      <c r="CD259" t="str" cm="1">
        <f t="array" aca="1" ref="CD259" ca="1">eConcatenar(A259:CB259,"|")</f>
        <v>puSHdFuUwtHrS569|MODIFVHS49|3|MODIF|MODIF|MODIF|MODIF|2022-01-01|1|0|0|0|0|0|0|0|0|0|0|0|0|0|0|0|0|0|0|x|x|x|x|x|x|x|x|x|x|x|x|x|x|x|x|x|x|x|x|x|x|0|1|X|X|X|2022-2-10|2022-02-23|0|0|0|0|0|QWYNRBIY9KVTQO|0|HOMBRE|0|1|0|0|0|0|0|0|0|0|CARDENAS|0|0|0|0|FINAL</v>
      </c>
    </row>
    <row r="260" spans="1:82" x14ac:dyDescent="0.25">
      <c r="A260" t="s">
        <v>800</v>
      </c>
      <c r="B260" t="s">
        <v>596</v>
      </c>
      <c r="C260">
        <v>3</v>
      </c>
      <c r="D260" t="s">
        <v>346</v>
      </c>
      <c r="E260" t="s">
        <v>346</v>
      </c>
      <c r="F260" t="s">
        <v>346</v>
      </c>
      <c r="G260" t="s">
        <v>346</v>
      </c>
      <c r="H260" s="21" t="s">
        <v>747</v>
      </c>
      <c r="I260">
        <v>1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 t="s">
        <v>3</v>
      </c>
      <c r="AC260" t="s">
        <v>3</v>
      </c>
      <c r="AD260" t="s">
        <v>3</v>
      </c>
      <c r="AE260" t="s">
        <v>3</v>
      </c>
      <c r="AF260" t="s">
        <v>3</v>
      </c>
      <c r="AG260" t="s">
        <v>3</v>
      </c>
      <c r="AH260" t="s">
        <v>3</v>
      </c>
      <c r="AI260" t="s">
        <v>3</v>
      </c>
      <c r="AJ260" t="s">
        <v>3</v>
      </c>
      <c r="AK260" t="s">
        <v>3</v>
      </c>
      <c r="AL260" t="s">
        <v>3</v>
      </c>
      <c r="AM260" t="s">
        <v>3</v>
      </c>
      <c r="AN260" t="s">
        <v>3</v>
      </c>
      <c r="AO260" t="s">
        <v>3</v>
      </c>
      <c r="AP260" t="s">
        <v>3</v>
      </c>
      <c r="AQ260" t="s">
        <v>3</v>
      </c>
      <c r="AR260" t="s">
        <v>3</v>
      </c>
      <c r="AS260" t="s">
        <v>3</v>
      </c>
      <c r="AT260" t="s">
        <v>3</v>
      </c>
      <c r="AU260" t="s">
        <v>3</v>
      </c>
      <c r="AV260" t="s">
        <v>3</v>
      </c>
      <c r="AW260" t="s">
        <v>3</v>
      </c>
      <c r="AX260">
        <v>0</v>
      </c>
      <c r="AY260">
        <v>1</v>
      </c>
      <c r="AZ260" t="s">
        <v>1</v>
      </c>
      <c r="BA260" t="s">
        <v>1</v>
      </c>
      <c r="BB260" t="s">
        <v>1</v>
      </c>
      <c r="BC260" s="21" t="s">
        <v>748</v>
      </c>
      <c r="BD260" s="21" t="s">
        <v>144</v>
      </c>
      <c r="BE260">
        <v>0</v>
      </c>
      <c r="BF260">
        <v>0</v>
      </c>
      <c r="BG260">
        <v>0</v>
      </c>
      <c r="BH260">
        <v>0</v>
      </c>
      <c r="BI260">
        <v>0</v>
      </c>
      <c r="BJ260" t="s">
        <v>749</v>
      </c>
      <c r="BK260">
        <v>0</v>
      </c>
      <c r="BL260" t="s">
        <v>132</v>
      </c>
      <c r="BM260">
        <v>0</v>
      </c>
      <c r="BN260">
        <v>1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 t="s">
        <v>0</v>
      </c>
      <c r="BX260">
        <v>0</v>
      </c>
      <c r="BY260">
        <v>0</v>
      </c>
      <c r="BZ260">
        <v>0</v>
      </c>
      <c r="CA260">
        <v>0</v>
      </c>
      <c r="CB260" t="s">
        <v>145</v>
      </c>
      <c r="CD260" t="str" cm="1">
        <f t="array" aca="1" ref="CD260" ca="1">eConcatenar(A260:CB260,"|")</f>
        <v>ge2zHrdXugLBhYL2|MODIFVHS50|3|MODIF|MODIF|MODIF|MODIF|2022-01-01|1|0|0|0|0|0|0|0|0|0|0|0|0|0|0|0|0|0|0|x|x|x|x|x|x|x|x|x|x|x|x|x|x|x|x|x|x|x|x|x|x|0|1|X|X|X|2022-2-10|2022-02-23|0|0|0|0|0|QWYNRBIY9KVTQO|0|HOMBRE|0|1|0|0|0|0|0|0|0|0|CARDENAS|0|0|0|0|FINAL</v>
      </c>
    </row>
    <row r="261" spans="1:82" x14ac:dyDescent="0.25">
      <c r="A261" t="s">
        <v>801</v>
      </c>
      <c r="B261" t="s">
        <v>597</v>
      </c>
      <c r="C261">
        <v>3</v>
      </c>
      <c r="D261" t="s">
        <v>346</v>
      </c>
      <c r="E261" t="s">
        <v>346</v>
      </c>
      <c r="F261" t="s">
        <v>346</v>
      </c>
      <c r="G261" t="s">
        <v>346</v>
      </c>
      <c r="H261" s="21" t="s">
        <v>747</v>
      </c>
      <c r="I261">
        <v>1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t="s">
        <v>3</v>
      </c>
      <c r="AC261" t="s">
        <v>3</v>
      </c>
      <c r="AD261" t="s">
        <v>3</v>
      </c>
      <c r="AE261" t="s">
        <v>3</v>
      </c>
      <c r="AF261" t="s">
        <v>3</v>
      </c>
      <c r="AG261" t="s">
        <v>3</v>
      </c>
      <c r="AH261" t="s">
        <v>3</v>
      </c>
      <c r="AI261" t="s">
        <v>3</v>
      </c>
      <c r="AJ261" t="s">
        <v>3</v>
      </c>
      <c r="AK261" t="s">
        <v>3</v>
      </c>
      <c r="AL261" t="s">
        <v>3</v>
      </c>
      <c r="AM261" t="s">
        <v>3</v>
      </c>
      <c r="AN261" t="s">
        <v>3</v>
      </c>
      <c r="AO261" t="s">
        <v>3</v>
      </c>
      <c r="AP261" t="s">
        <v>3</v>
      </c>
      <c r="AQ261" t="s">
        <v>3</v>
      </c>
      <c r="AR261" t="s">
        <v>3</v>
      </c>
      <c r="AS261" t="s">
        <v>3</v>
      </c>
      <c r="AT261" t="s">
        <v>3</v>
      </c>
      <c r="AU261" t="s">
        <v>3</v>
      </c>
      <c r="AV261" t="s">
        <v>3</v>
      </c>
      <c r="AW261" t="s">
        <v>3</v>
      </c>
      <c r="AX261">
        <v>0</v>
      </c>
      <c r="AY261">
        <v>1</v>
      </c>
      <c r="AZ261" t="s">
        <v>1</v>
      </c>
      <c r="BA261" t="s">
        <v>1</v>
      </c>
      <c r="BB261" t="s">
        <v>1</v>
      </c>
      <c r="BC261" s="21" t="s">
        <v>748</v>
      </c>
      <c r="BD261" s="21" t="s">
        <v>144</v>
      </c>
      <c r="BE261">
        <v>0</v>
      </c>
      <c r="BF261">
        <v>0</v>
      </c>
      <c r="BG261">
        <v>0</v>
      </c>
      <c r="BH261">
        <v>0</v>
      </c>
      <c r="BI261">
        <v>0</v>
      </c>
      <c r="BJ261" t="s">
        <v>749</v>
      </c>
      <c r="BK261">
        <v>0</v>
      </c>
      <c r="BL261" t="s">
        <v>132</v>
      </c>
      <c r="BM261">
        <v>0</v>
      </c>
      <c r="BN261">
        <v>1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 t="s">
        <v>0</v>
      </c>
      <c r="BX261">
        <v>0</v>
      </c>
      <c r="BY261">
        <v>0</v>
      </c>
      <c r="BZ261">
        <v>0</v>
      </c>
      <c r="CA261">
        <v>0</v>
      </c>
      <c r="CB261" t="s">
        <v>145</v>
      </c>
      <c r="CD261" t="str" cm="1">
        <f t="array" aca="1" ref="CD261" ca="1">eConcatenar(A261:CB261,"|")</f>
        <v>rhZ81ppNz0Qc7Ffj|MODIFVHS51|3|MODIF|MODIF|MODIF|MODIF|2022-01-01|1|0|0|0|0|0|0|0|0|0|0|0|0|0|0|0|0|0|0|x|x|x|x|x|x|x|x|x|x|x|x|x|x|x|x|x|x|x|x|x|x|0|1|X|X|X|2022-2-10|2022-02-23|0|0|0|0|0|QWYNRBIY9KVTQO|0|HOMBRE|0|1|0|0|0|0|0|0|0|0|CARDENAS|0|0|0|0|FINAL</v>
      </c>
    </row>
    <row r="262" spans="1:82" x14ac:dyDescent="0.25">
      <c r="A262" t="s">
        <v>802</v>
      </c>
      <c r="B262" t="s">
        <v>598</v>
      </c>
      <c r="C262">
        <v>3</v>
      </c>
      <c r="D262" t="s">
        <v>346</v>
      </c>
      <c r="E262" t="s">
        <v>346</v>
      </c>
      <c r="F262" t="s">
        <v>346</v>
      </c>
      <c r="G262" t="s">
        <v>346</v>
      </c>
      <c r="H262" s="21" t="s">
        <v>747</v>
      </c>
      <c r="I262">
        <v>1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t="s">
        <v>3</v>
      </c>
      <c r="AC262" t="s">
        <v>3</v>
      </c>
      <c r="AD262" t="s">
        <v>3</v>
      </c>
      <c r="AE262" t="s">
        <v>3</v>
      </c>
      <c r="AF262" t="s">
        <v>3</v>
      </c>
      <c r="AG262" t="s">
        <v>3</v>
      </c>
      <c r="AH262" t="s">
        <v>3</v>
      </c>
      <c r="AI262" t="s">
        <v>3</v>
      </c>
      <c r="AJ262" t="s">
        <v>3</v>
      </c>
      <c r="AK262" t="s">
        <v>3</v>
      </c>
      <c r="AL262" t="s">
        <v>3</v>
      </c>
      <c r="AM262" t="s">
        <v>3</v>
      </c>
      <c r="AN262" t="s">
        <v>3</v>
      </c>
      <c r="AO262" t="s">
        <v>3</v>
      </c>
      <c r="AP262" t="s">
        <v>3</v>
      </c>
      <c r="AQ262" t="s">
        <v>3</v>
      </c>
      <c r="AR262" t="s">
        <v>3</v>
      </c>
      <c r="AS262" t="s">
        <v>3</v>
      </c>
      <c r="AT262" t="s">
        <v>3</v>
      </c>
      <c r="AU262" t="s">
        <v>3</v>
      </c>
      <c r="AV262" t="s">
        <v>3</v>
      </c>
      <c r="AW262" t="s">
        <v>3</v>
      </c>
      <c r="AX262">
        <v>0</v>
      </c>
      <c r="AY262">
        <v>1</v>
      </c>
      <c r="AZ262" t="s">
        <v>1</v>
      </c>
      <c r="BA262" t="s">
        <v>1</v>
      </c>
      <c r="BB262" t="s">
        <v>1</v>
      </c>
      <c r="BC262" s="21" t="s">
        <v>748</v>
      </c>
      <c r="BD262" s="21" t="s">
        <v>144</v>
      </c>
      <c r="BE262">
        <v>0</v>
      </c>
      <c r="BF262">
        <v>0</v>
      </c>
      <c r="BG262">
        <v>0</v>
      </c>
      <c r="BH262">
        <v>0</v>
      </c>
      <c r="BI262">
        <v>0</v>
      </c>
      <c r="BJ262" t="s">
        <v>749</v>
      </c>
      <c r="BK262">
        <v>0</v>
      </c>
      <c r="BL262" t="s">
        <v>132</v>
      </c>
      <c r="BM262">
        <v>0</v>
      </c>
      <c r="BN262">
        <v>1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 t="s">
        <v>0</v>
      </c>
      <c r="BX262">
        <v>0</v>
      </c>
      <c r="BY262">
        <v>0</v>
      </c>
      <c r="BZ262">
        <v>0</v>
      </c>
      <c r="CA262">
        <v>0</v>
      </c>
      <c r="CB262" t="s">
        <v>145</v>
      </c>
      <c r="CD262" t="str" cm="1">
        <f t="array" aca="1" ref="CD262" ca="1">eConcatenar(A262:CB262,"|")</f>
        <v>pKsF4i5MLv5lkWVG|MODIFVHS52|3|MODIF|MODIF|MODIF|MODIF|2022-01-01|1|0|0|0|0|0|0|0|0|0|0|0|0|0|0|0|0|0|0|x|x|x|x|x|x|x|x|x|x|x|x|x|x|x|x|x|x|x|x|x|x|0|1|X|X|X|2022-2-10|2022-02-23|0|0|0|0|0|QWYNRBIY9KVTQO|0|HOMBRE|0|1|0|0|0|0|0|0|0|0|CARDENAS|0|0|0|0|FINAL</v>
      </c>
    </row>
    <row r="263" spans="1:82" x14ac:dyDescent="0.25">
      <c r="A263" t="s">
        <v>803</v>
      </c>
      <c r="B263" t="s">
        <v>599</v>
      </c>
      <c r="C263">
        <v>3</v>
      </c>
      <c r="D263" t="s">
        <v>346</v>
      </c>
      <c r="E263" t="s">
        <v>346</v>
      </c>
      <c r="F263" t="s">
        <v>346</v>
      </c>
      <c r="G263" t="s">
        <v>346</v>
      </c>
      <c r="H263" s="21" t="s">
        <v>747</v>
      </c>
      <c r="I263">
        <v>1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 t="s">
        <v>3</v>
      </c>
      <c r="AC263" t="s">
        <v>3</v>
      </c>
      <c r="AD263" t="s">
        <v>3</v>
      </c>
      <c r="AE263" t="s">
        <v>3</v>
      </c>
      <c r="AF263" t="s">
        <v>3</v>
      </c>
      <c r="AG263" t="s">
        <v>3</v>
      </c>
      <c r="AH263" t="s">
        <v>3</v>
      </c>
      <c r="AI263" t="s">
        <v>3</v>
      </c>
      <c r="AJ263" t="s">
        <v>3</v>
      </c>
      <c r="AK263" t="s">
        <v>3</v>
      </c>
      <c r="AL263" t="s">
        <v>3</v>
      </c>
      <c r="AM263" t="s">
        <v>3</v>
      </c>
      <c r="AN263" t="s">
        <v>3</v>
      </c>
      <c r="AO263" t="s">
        <v>3</v>
      </c>
      <c r="AP263" t="s">
        <v>3</v>
      </c>
      <c r="AQ263" t="s">
        <v>3</v>
      </c>
      <c r="AR263" t="s">
        <v>3</v>
      </c>
      <c r="AS263" t="s">
        <v>3</v>
      </c>
      <c r="AT263" t="s">
        <v>3</v>
      </c>
      <c r="AU263" t="s">
        <v>3</v>
      </c>
      <c r="AV263" t="s">
        <v>3</v>
      </c>
      <c r="AW263" t="s">
        <v>3</v>
      </c>
      <c r="AX263">
        <v>0</v>
      </c>
      <c r="AY263">
        <v>1</v>
      </c>
      <c r="AZ263" t="s">
        <v>1</v>
      </c>
      <c r="BA263" t="s">
        <v>1</v>
      </c>
      <c r="BB263" t="s">
        <v>1</v>
      </c>
      <c r="BC263" s="21" t="s">
        <v>748</v>
      </c>
      <c r="BD263" s="21" t="s">
        <v>144</v>
      </c>
      <c r="BE263">
        <v>0</v>
      </c>
      <c r="BF263">
        <v>0</v>
      </c>
      <c r="BG263">
        <v>0</v>
      </c>
      <c r="BH263">
        <v>0</v>
      </c>
      <c r="BI263">
        <v>0</v>
      </c>
      <c r="BJ263" t="s">
        <v>749</v>
      </c>
      <c r="BK263">
        <v>0</v>
      </c>
      <c r="BL263" t="s">
        <v>132</v>
      </c>
      <c r="BM263">
        <v>0</v>
      </c>
      <c r="BN263">
        <v>1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 t="s">
        <v>0</v>
      </c>
      <c r="BX263">
        <v>0</v>
      </c>
      <c r="BY263">
        <v>0</v>
      </c>
      <c r="BZ263">
        <v>0</v>
      </c>
      <c r="CA263">
        <v>0</v>
      </c>
      <c r="CB263" t="s">
        <v>145</v>
      </c>
      <c r="CD263" t="str" cm="1">
        <f t="array" aca="1" ref="CD263" ca="1">eConcatenar(A263:CB263,"|")</f>
        <v>MKfWcJB17V5FafAD|MODIFVHS53|3|MODIF|MODIF|MODIF|MODIF|2022-01-01|1|0|0|0|0|0|0|0|0|0|0|0|0|0|0|0|0|0|0|x|x|x|x|x|x|x|x|x|x|x|x|x|x|x|x|x|x|x|x|x|x|0|1|X|X|X|2022-2-10|2022-02-23|0|0|0|0|0|QWYNRBIY9KVTQO|0|HOMBRE|0|1|0|0|0|0|0|0|0|0|CARDENAS|0|0|0|0|FINAL</v>
      </c>
    </row>
    <row r="264" spans="1:82" x14ac:dyDescent="0.25">
      <c r="A264" t="s">
        <v>804</v>
      </c>
      <c r="B264" t="s">
        <v>600</v>
      </c>
      <c r="C264">
        <v>3</v>
      </c>
      <c r="D264" t="s">
        <v>346</v>
      </c>
      <c r="E264" t="s">
        <v>346</v>
      </c>
      <c r="F264" t="s">
        <v>346</v>
      </c>
      <c r="G264" t="s">
        <v>346</v>
      </c>
      <c r="H264" s="21" t="s">
        <v>747</v>
      </c>
      <c r="I264">
        <v>1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t="s">
        <v>3</v>
      </c>
      <c r="AC264" t="s">
        <v>3</v>
      </c>
      <c r="AD264" t="s">
        <v>3</v>
      </c>
      <c r="AE264" t="s">
        <v>3</v>
      </c>
      <c r="AF264" t="s">
        <v>3</v>
      </c>
      <c r="AG264" t="s">
        <v>3</v>
      </c>
      <c r="AH264" t="s">
        <v>3</v>
      </c>
      <c r="AI264" t="s">
        <v>3</v>
      </c>
      <c r="AJ264" t="s">
        <v>3</v>
      </c>
      <c r="AK264" t="s">
        <v>3</v>
      </c>
      <c r="AL264" t="s">
        <v>3</v>
      </c>
      <c r="AM264" t="s">
        <v>3</v>
      </c>
      <c r="AN264" t="s">
        <v>3</v>
      </c>
      <c r="AO264" t="s">
        <v>3</v>
      </c>
      <c r="AP264" t="s">
        <v>3</v>
      </c>
      <c r="AQ264" t="s">
        <v>3</v>
      </c>
      <c r="AR264" t="s">
        <v>3</v>
      </c>
      <c r="AS264" t="s">
        <v>3</v>
      </c>
      <c r="AT264" t="s">
        <v>3</v>
      </c>
      <c r="AU264" t="s">
        <v>3</v>
      </c>
      <c r="AV264" t="s">
        <v>3</v>
      </c>
      <c r="AW264" t="s">
        <v>3</v>
      </c>
      <c r="AX264">
        <v>0</v>
      </c>
      <c r="AY264">
        <v>1</v>
      </c>
      <c r="AZ264" t="s">
        <v>1</v>
      </c>
      <c r="BA264" t="s">
        <v>1</v>
      </c>
      <c r="BB264" t="s">
        <v>1</v>
      </c>
      <c r="BC264" s="21" t="s">
        <v>748</v>
      </c>
      <c r="BD264" s="21" t="s">
        <v>144</v>
      </c>
      <c r="BE264">
        <v>0</v>
      </c>
      <c r="BF264">
        <v>0</v>
      </c>
      <c r="BG264">
        <v>0</v>
      </c>
      <c r="BH264">
        <v>0</v>
      </c>
      <c r="BI264">
        <v>0</v>
      </c>
      <c r="BJ264" t="s">
        <v>749</v>
      </c>
      <c r="BK264">
        <v>0</v>
      </c>
      <c r="BL264" t="s">
        <v>132</v>
      </c>
      <c r="BM264">
        <v>0</v>
      </c>
      <c r="BN264">
        <v>1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 t="s">
        <v>0</v>
      </c>
      <c r="BX264">
        <v>0</v>
      </c>
      <c r="BY264">
        <v>0</v>
      </c>
      <c r="BZ264">
        <v>0</v>
      </c>
      <c r="CA264">
        <v>0</v>
      </c>
      <c r="CB264" t="s">
        <v>145</v>
      </c>
      <c r="CD264" t="str" cm="1">
        <f t="array" aca="1" ref="CD264" ca="1">eConcatenar(A264:CB264,"|")</f>
        <v>p5HUpVTYQEzVBaCb|MODIFVHS54|3|MODIF|MODIF|MODIF|MODIF|2022-01-01|1|0|0|0|0|0|0|0|0|0|0|0|0|0|0|0|0|0|0|x|x|x|x|x|x|x|x|x|x|x|x|x|x|x|x|x|x|x|x|x|x|0|1|X|X|X|2022-2-10|2022-02-23|0|0|0|0|0|QWYNRBIY9KVTQO|0|HOMBRE|0|1|0|0|0|0|0|0|0|0|CARDENAS|0|0|0|0|FINAL</v>
      </c>
    </row>
    <row r="265" spans="1:82" x14ac:dyDescent="0.25">
      <c r="A265" t="s">
        <v>805</v>
      </c>
      <c r="B265" t="s">
        <v>601</v>
      </c>
      <c r="C265">
        <v>3</v>
      </c>
      <c r="D265" t="s">
        <v>346</v>
      </c>
      <c r="E265" t="s">
        <v>346</v>
      </c>
      <c r="F265" t="s">
        <v>346</v>
      </c>
      <c r="G265" t="s">
        <v>346</v>
      </c>
      <c r="H265" s="21" t="s">
        <v>747</v>
      </c>
      <c r="I265">
        <v>1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 t="s">
        <v>3</v>
      </c>
      <c r="AC265" t="s">
        <v>3</v>
      </c>
      <c r="AD265" t="s">
        <v>3</v>
      </c>
      <c r="AE265" t="s">
        <v>3</v>
      </c>
      <c r="AF265" t="s">
        <v>3</v>
      </c>
      <c r="AG265" t="s">
        <v>3</v>
      </c>
      <c r="AH265" t="s">
        <v>3</v>
      </c>
      <c r="AI265" t="s">
        <v>3</v>
      </c>
      <c r="AJ265" t="s">
        <v>3</v>
      </c>
      <c r="AK265" t="s">
        <v>3</v>
      </c>
      <c r="AL265" t="s">
        <v>3</v>
      </c>
      <c r="AM265" t="s">
        <v>3</v>
      </c>
      <c r="AN265" t="s">
        <v>3</v>
      </c>
      <c r="AO265" t="s">
        <v>3</v>
      </c>
      <c r="AP265" t="s">
        <v>3</v>
      </c>
      <c r="AQ265" t="s">
        <v>3</v>
      </c>
      <c r="AR265" t="s">
        <v>3</v>
      </c>
      <c r="AS265" t="s">
        <v>3</v>
      </c>
      <c r="AT265" t="s">
        <v>3</v>
      </c>
      <c r="AU265" t="s">
        <v>3</v>
      </c>
      <c r="AV265" t="s">
        <v>3</v>
      </c>
      <c r="AW265" t="s">
        <v>3</v>
      </c>
      <c r="AX265">
        <v>0</v>
      </c>
      <c r="AY265">
        <v>1</v>
      </c>
      <c r="AZ265" t="s">
        <v>1</v>
      </c>
      <c r="BA265" t="s">
        <v>1</v>
      </c>
      <c r="BB265" t="s">
        <v>1</v>
      </c>
      <c r="BC265" s="21" t="s">
        <v>748</v>
      </c>
      <c r="BD265" s="21" t="s">
        <v>144</v>
      </c>
      <c r="BE265">
        <v>0</v>
      </c>
      <c r="BF265">
        <v>0</v>
      </c>
      <c r="BG265">
        <v>0</v>
      </c>
      <c r="BH265">
        <v>0</v>
      </c>
      <c r="BI265">
        <v>0</v>
      </c>
      <c r="BJ265" t="s">
        <v>749</v>
      </c>
      <c r="BK265">
        <v>0</v>
      </c>
      <c r="BL265" t="s">
        <v>132</v>
      </c>
      <c r="BM265">
        <v>0</v>
      </c>
      <c r="BN265">
        <v>1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 t="s">
        <v>0</v>
      </c>
      <c r="BX265">
        <v>0</v>
      </c>
      <c r="BY265">
        <v>0</v>
      </c>
      <c r="BZ265">
        <v>0</v>
      </c>
      <c r="CA265">
        <v>0</v>
      </c>
      <c r="CB265" t="s">
        <v>145</v>
      </c>
      <c r="CD265" t="str" cm="1">
        <f t="array" aca="1" ref="CD265" ca="1">eConcatenar(A265:CB265,"|")</f>
        <v>UD4vGpQuUiqcfUiu|MODIFVHS55|3|MODIF|MODIF|MODIF|MODIF|2022-01-01|1|0|0|0|0|0|0|0|0|0|0|0|0|0|0|0|0|0|0|x|x|x|x|x|x|x|x|x|x|x|x|x|x|x|x|x|x|x|x|x|x|0|1|X|X|X|2022-2-10|2022-02-23|0|0|0|0|0|QWYNRBIY9KVTQO|0|HOMBRE|0|1|0|0|0|0|0|0|0|0|CARDENAS|0|0|0|0|FINAL</v>
      </c>
    </row>
    <row r="266" spans="1:82" x14ac:dyDescent="0.25">
      <c r="A266" t="s">
        <v>806</v>
      </c>
      <c r="B266" t="s">
        <v>602</v>
      </c>
      <c r="C266">
        <v>3</v>
      </c>
      <c r="D266" t="s">
        <v>346</v>
      </c>
      <c r="E266" t="s">
        <v>346</v>
      </c>
      <c r="F266" t="s">
        <v>346</v>
      </c>
      <c r="G266" t="s">
        <v>346</v>
      </c>
      <c r="H266" s="21" t="s">
        <v>747</v>
      </c>
      <c r="I266">
        <v>1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 t="s">
        <v>3</v>
      </c>
      <c r="AC266" t="s">
        <v>3</v>
      </c>
      <c r="AD266" t="s">
        <v>3</v>
      </c>
      <c r="AE266" t="s">
        <v>3</v>
      </c>
      <c r="AF266" t="s">
        <v>3</v>
      </c>
      <c r="AG266" t="s">
        <v>3</v>
      </c>
      <c r="AH266" t="s">
        <v>3</v>
      </c>
      <c r="AI266" t="s">
        <v>3</v>
      </c>
      <c r="AJ266" t="s">
        <v>3</v>
      </c>
      <c r="AK266" t="s">
        <v>3</v>
      </c>
      <c r="AL266" t="s">
        <v>3</v>
      </c>
      <c r="AM266" t="s">
        <v>3</v>
      </c>
      <c r="AN266" t="s">
        <v>3</v>
      </c>
      <c r="AO266" t="s">
        <v>3</v>
      </c>
      <c r="AP266" t="s">
        <v>3</v>
      </c>
      <c r="AQ266" t="s">
        <v>3</v>
      </c>
      <c r="AR266" t="s">
        <v>3</v>
      </c>
      <c r="AS266" t="s">
        <v>3</v>
      </c>
      <c r="AT266" t="s">
        <v>3</v>
      </c>
      <c r="AU266" t="s">
        <v>3</v>
      </c>
      <c r="AV266" t="s">
        <v>3</v>
      </c>
      <c r="AW266" t="s">
        <v>3</v>
      </c>
      <c r="AX266">
        <v>0</v>
      </c>
      <c r="AY266">
        <v>1</v>
      </c>
      <c r="AZ266" t="s">
        <v>1</v>
      </c>
      <c r="BA266" t="s">
        <v>1</v>
      </c>
      <c r="BB266" t="s">
        <v>1</v>
      </c>
      <c r="BC266" s="21" t="s">
        <v>748</v>
      </c>
      <c r="BD266" s="21" t="s">
        <v>144</v>
      </c>
      <c r="BE266">
        <v>0</v>
      </c>
      <c r="BF266">
        <v>0</v>
      </c>
      <c r="BG266">
        <v>0</v>
      </c>
      <c r="BH266">
        <v>0</v>
      </c>
      <c r="BI266">
        <v>0</v>
      </c>
      <c r="BJ266" t="s">
        <v>749</v>
      </c>
      <c r="BK266">
        <v>0</v>
      </c>
      <c r="BL266" t="s">
        <v>132</v>
      </c>
      <c r="BM266">
        <v>0</v>
      </c>
      <c r="BN266">
        <v>1</v>
      </c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 t="s">
        <v>0</v>
      </c>
      <c r="BX266">
        <v>0</v>
      </c>
      <c r="BY266">
        <v>0</v>
      </c>
      <c r="BZ266">
        <v>0</v>
      </c>
      <c r="CA266">
        <v>0</v>
      </c>
      <c r="CB266" t="s">
        <v>145</v>
      </c>
      <c r="CD266" t="str" cm="1">
        <f t="array" aca="1" ref="CD266" ca="1">eConcatenar(A266:CB266,"|")</f>
        <v>dWEJrkH56Y15swx0|MODIFVHS56|3|MODIF|MODIF|MODIF|MODIF|2022-01-01|1|0|0|0|0|0|0|0|0|0|0|0|0|0|0|0|0|0|0|x|x|x|x|x|x|x|x|x|x|x|x|x|x|x|x|x|x|x|x|x|x|0|1|X|X|X|2022-2-10|2022-02-23|0|0|0|0|0|QWYNRBIY9KVTQO|0|HOMBRE|0|1|0|0|0|0|0|0|0|0|CARDENAS|0|0|0|0|FINAL</v>
      </c>
    </row>
    <row r="267" spans="1:82" x14ac:dyDescent="0.25">
      <c r="A267" t="s">
        <v>807</v>
      </c>
      <c r="B267" t="s">
        <v>603</v>
      </c>
      <c r="C267">
        <v>3</v>
      </c>
      <c r="D267" t="s">
        <v>346</v>
      </c>
      <c r="E267" t="s">
        <v>346</v>
      </c>
      <c r="F267" t="s">
        <v>346</v>
      </c>
      <c r="G267" t="s">
        <v>346</v>
      </c>
      <c r="H267" s="21" t="s">
        <v>747</v>
      </c>
      <c r="I267">
        <v>1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t="s">
        <v>3</v>
      </c>
      <c r="AC267" t="s">
        <v>3</v>
      </c>
      <c r="AD267" t="s">
        <v>3</v>
      </c>
      <c r="AE267" t="s">
        <v>3</v>
      </c>
      <c r="AF267" t="s">
        <v>3</v>
      </c>
      <c r="AG267" t="s">
        <v>3</v>
      </c>
      <c r="AH267" t="s">
        <v>3</v>
      </c>
      <c r="AI267" t="s">
        <v>3</v>
      </c>
      <c r="AJ267" t="s">
        <v>3</v>
      </c>
      <c r="AK267" t="s">
        <v>3</v>
      </c>
      <c r="AL267" t="s">
        <v>3</v>
      </c>
      <c r="AM267" t="s">
        <v>3</v>
      </c>
      <c r="AN267" t="s">
        <v>3</v>
      </c>
      <c r="AO267" t="s">
        <v>3</v>
      </c>
      <c r="AP267" t="s">
        <v>3</v>
      </c>
      <c r="AQ267" t="s">
        <v>3</v>
      </c>
      <c r="AR267" t="s">
        <v>3</v>
      </c>
      <c r="AS267" t="s">
        <v>3</v>
      </c>
      <c r="AT267" t="s">
        <v>3</v>
      </c>
      <c r="AU267" t="s">
        <v>3</v>
      </c>
      <c r="AV267" t="s">
        <v>3</v>
      </c>
      <c r="AW267" t="s">
        <v>3</v>
      </c>
      <c r="AX267">
        <v>0</v>
      </c>
      <c r="AY267">
        <v>1</v>
      </c>
      <c r="AZ267" t="s">
        <v>1</v>
      </c>
      <c r="BA267" t="s">
        <v>1</v>
      </c>
      <c r="BB267" t="s">
        <v>1</v>
      </c>
      <c r="BC267" s="21" t="s">
        <v>748</v>
      </c>
      <c r="BD267" s="21" t="s">
        <v>144</v>
      </c>
      <c r="BE267">
        <v>0</v>
      </c>
      <c r="BF267">
        <v>0</v>
      </c>
      <c r="BG267">
        <v>0</v>
      </c>
      <c r="BH267">
        <v>0</v>
      </c>
      <c r="BI267">
        <v>0</v>
      </c>
      <c r="BJ267" t="s">
        <v>749</v>
      </c>
      <c r="BK267">
        <v>0</v>
      </c>
      <c r="BL267" t="s">
        <v>132</v>
      </c>
      <c r="BM267">
        <v>0</v>
      </c>
      <c r="BN267">
        <v>1</v>
      </c>
      <c r="BO267">
        <v>0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 t="s">
        <v>0</v>
      </c>
      <c r="BX267">
        <v>0</v>
      </c>
      <c r="BY267">
        <v>0</v>
      </c>
      <c r="BZ267">
        <v>0</v>
      </c>
      <c r="CA267">
        <v>0</v>
      </c>
      <c r="CB267" t="s">
        <v>145</v>
      </c>
      <c r="CD267" t="str" cm="1">
        <f t="array" aca="1" ref="CD267" ca="1">eConcatenar(A267:CB267,"|")</f>
        <v>XQbkNFNXfiDqhomG|MODIFVHS57|3|MODIF|MODIF|MODIF|MODIF|2022-01-01|1|0|0|0|0|0|0|0|0|0|0|0|0|0|0|0|0|0|0|x|x|x|x|x|x|x|x|x|x|x|x|x|x|x|x|x|x|x|x|x|x|0|1|X|X|X|2022-2-10|2022-02-23|0|0|0|0|0|QWYNRBIY9KVTQO|0|HOMBRE|0|1|0|0|0|0|0|0|0|0|CARDENAS|0|0|0|0|FINAL</v>
      </c>
    </row>
    <row r="268" spans="1:82" x14ac:dyDescent="0.25">
      <c r="A268" t="s">
        <v>808</v>
      </c>
      <c r="B268" t="s">
        <v>604</v>
      </c>
      <c r="C268">
        <v>3</v>
      </c>
      <c r="D268" t="s">
        <v>346</v>
      </c>
      <c r="E268" t="s">
        <v>346</v>
      </c>
      <c r="F268" t="s">
        <v>346</v>
      </c>
      <c r="G268" t="s">
        <v>346</v>
      </c>
      <c r="H268" s="21" t="s">
        <v>747</v>
      </c>
      <c r="I268">
        <v>1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 t="s">
        <v>3</v>
      </c>
      <c r="AC268" t="s">
        <v>3</v>
      </c>
      <c r="AD268" t="s">
        <v>3</v>
      </c>
      <c r="AE268" t="s">
        <v>3</v>
      </c>
      <c r="AF268" t="s">
        <v>3</v>
      </c>
      <c r="AG268" t="s">
        <v>3</v>
      </c>
      <c r="AH268" t="s">
        <v>3</v>
      </c>
      <c r="AI268" t="s">
        <v>3</v>
      </c>
      <c r="AJ268" t="s">
        <v>3</v>
      </c>
      <c r="AK268" t="s">
        <v>3</v>
      </c>
      <c r="AL268" t="s">
        <v>3</v>
      </c>
      <c r="AM268" t="s">
        <v>3</v>
      </c>
      <c r="AN268" t="s">
        <v>3</v>
      </c>
      <c r="AO268" t="s">
        <v>3</v>
      </c>
      <c r="AP268" t="s">
        <v>3</v>
      </c>
      <c r="AQ268" t="s">
        <v>3</v>
      </c>
      <c r="AR268" t="s">
        <v>3</v>
      </c>
      <c r="AS268" t="s">
        <v>3</v>
      </c>
      <c r="AT268" t="s">
        <v>3</v>
      </c>
      <c r="AU268" t="s">
        <v>3</v>
      </c>
      <c r="AV268" t="s">
        <v>3</v>
      </c>
      <c r="AW268" t="s">
        <v>3</v>
      </c>
      <c r="AX268">
        <v>0</v>
      </c>
      <c r="AY268">
        <v>1</v>
      </c>
      <c r="AZ268" t="s">
        <v>1</v>
      </c>
      <c r="BA268" t="s">
        <v>1</v>
      </c>
      <c r="BB268" t="s">
        <v>1</v>
      </c>
      <c r="BC268" s="21" t="s">
        <v>748</v>
      </c>
      <c r="BD268" s="21" t="s">
        <v>144</v>
      </c>
      <c r="BE268">
        <v>0</v>
      </c>
      <c r="BF268">
        <v>0</v>
      </c>
      <c r="BG268">
        <v>0</v>
      </c>
      <c r="BH268">
        <v>0</v>
      </c>
      <c r="BI268">
        <v>0</v>
      </c>
      <c r="BJ268" t="s">
        <v>749</v>
      </c>
      <c r="BK268">
        <v>0</v>
      </c>
      <c r="BL268" t="s">
        <v>132</v>
      </c>
      <c r="BM268">
        <v>0</v>
      </c>
      <c r="BN268">
        <v>1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 t="s">
        <v>0</v>
      </c>
      <c r="BX268">
        <v>0</v>
      </c>
      <c r="BY268">
        <v>0</v>
      </c>
      <c r="BZ268">
        <v>0</v>
      </c>
      <c r="CA268">
        <v>0</v>
      </c>
      <c r="CB268" t="s">
        <v>145</v>
      </c>
      <c r="CD268" t="str" cm="1">
        <f t="array" aca="1" ref="CD268" ca="1">eConcatenar(A268:CB268,"|")</f>
        <v>64gg8Yb9ZFczji4a|MODIFVHS58|3|MODIF|MODIF|MODIF|MODIF|2022-01-01|1|0|0|0|0|0|0|0|0|0|0|0|0|0|0|0|0|0|0|x|x|x|x|x|x|x|x|x|x|x|x|x|x|x|x|x|x|x|x|x|x|0|1|X|X|X|2022-2-10|2022-02-23|0|0|0|0|0|QWYNRBIY9KVTQO|0|HOMBRE|0|1|0|0|0|0|0|0|0|0|CARDENAS|0|0|0|0|FINAL</v>
      </c>
    </row>
    <row r="269" spans="1:82" x14ac:dyDescent="0.25">
      <c r="A269" t="s">
        <v>809</v>
      </c>
      <c r="B269" t="s">
        <v>605</v>
      </c>
      <c r="C269">
        <v>3</v>
      </c>
      <c r="D269" t="s">
        <v>346</v>
      </c>
      <c r="E269" t="s">
        <v>346</v>
      </c>
      <c r="F269" t="s">
        <v>346</v>
      </c>
      <c r="G269" t="s">
        <v>346</v>
      </c>
      <c r="H269" s="21" t="s">
        <v>747</v>
      </c>
      <c r="I269">
        <v>1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">
        <v>3</v>
      </c>
      <c r="AC269" t="s">
        <v>3</v>
      </c>
      <c r="AD269" t="s">
        <v>3</v>
      </c>
      <c r="AE269" t="s">
        <v>3</v>
      </c>
      <c r="AF269" t="s">
        <v>3</v>
      </c>
      <c r="AG269" t="s">
        <v>3</v>
      </c>
      <c r="AH269" t="s">
        <v>3</v>
      </c>
      <c r="AI269" t="s">
        <v>3</v>
      </c>
      <c r="AJ269" t="s">
        <v>3</v>
      </c>
      <c r="AK269" t="s">
        <v>3</v>
      </c>
      <c r="AL269" t="s">
        <v>3</v>
      </c>
      <c r="AM269" t="s">
        <v>3</v>
      </c>
      <c r="AN269" t="s">
        <v>3</v>
      </c>
      <c r="AO269" t="s">
        <v>3</v>
      </c>
      <c r="AP269" t="s">
        <v>3</v>
      </c>
      <c r="AQ269" t="s">
        <v>3</v>
      </c>
      <c r="AR269" t="s">
        <v>3</v>
      </c>
      <c r="AS269" t="s">
        <v>3</v>
      </c>
      <c r="AT269" t="s">
        <v>3</v>
      </c>
      <c r="AU269" t="s">
        <v>3</v>
      </c>
      <c r="AV269" t="s">
        <v>3</v>
      </c>
      <c r="AW269" t="s">
        <v>3</v>
      </c>
      <c r="AX269">
        <v>0</v>
      </c>
      <c r="AY269">
        <v>1</v>
      </c>
      <c r="AZ269" t="s">
        <v>1</v>
      </c>
      <c r="BA269" t="s">
        <v>1</v>
      </c>
      <c r="BB269" t="s">
        <v>1</v>
      </c>
      <c r="BC269" s="21" t="s">
        <v>748</v>
      </c>
      <c r="BD269" s="21" t="s">
        <v>144</v>
      </c>
      <c r="BE269">
        <v>0</v>
      </c>
      <c r="BF269">
        <v>0</v>
      </c>
      <c r="BG269">
        <v>0</v>
      </c>
      <c r="BH269">
        <v>0</v>
      </c>
      <c r="BI269">
        <v>0</v>
      </c>
      <c r="BJ269" t="s">
        <v>749</v>
      </c>
      <c r="BK269">
        <v>0</v>
      </c>
      <c r="BL269" t="s">
        <v>132</v>
      </c>
      <c r="BM269">
        <v>0</v>
      </c>
      <c r="BN269">
        <v>1</v>
      </c>
      <c r="BO269">
        <v>0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 t="s">
        <v>0</v>
      </c>
      <c r="BX269">
        <v>0</v>
      </c>
      <c r="BY269">
        <v>0</v>
      </c>
      <c r="BZ269">
        <v>0</v>
      </c>
      <c r="CA269">
        <v>0</v>
      </c>
      <c r="CB269" t="s">
        <v>145</v>
      </c>
      <c r="CD269" t="str" cm="1">
        <f t="array" aca="1" ref="CD269" ca="1">eConcatenar(A269:CB269,"|")</f>
        <v>OcjDaPU7jdPCySxz|MODIFVHS59|3|MODIF|MODIF|MODIF|MODIF|2022-01-01|1|0|0|0|0|0|0|0|0|0|0|0|0|0|0|0|0|0|0|x|x|x|x|x|x|x|x|x|x|x|x|x|x|x|x|x|x|x|x|x|x|0|1|X|X|X|2022-2-10|2022-02-23|0|0|0|0|0|QWYNRBIY9KVTQO|0|HOMBRE|0|1|0|0|0|0|0|0|0|0|CARDENAS|0|0|0|0|FINAL</v>
      </c>
    </row>
    <row r="270" spans="1:82" x14ac:dyDescent="0.25">
      <c r="A270" t="s">
        <v>810</v>
      </c>
      <c r="B270" t="s">
        <v>606</v>
      </c>
      <c r="C270">
        <v>3</v>
      </c>
      <c r="D270" t="s">
        <v>346</v>
      </c>
      <c r="E270" t="s">
        <v>346</v>
      </c>
      <c r="F270" t="s">
        <v>346</v>
      </c>
      <c r="G270" t="s">
        <v>346</v>
      </c>
      <c r="H270" s="21" t="s">
        <v>747</v>
      </c>
      <c r="I270">
        <v>1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 t="s">
        <v>3</v>
      </c>
      <c r="AC270" t="s">
        <v>3</v>
      </c>
      <c r="AD270" t="s">
        <v>3</v>
      </c>
      <c r="AE270" t="s">
        <v>3</v>
      </c>
      <c r="AF270" t="s">
        <v>3</v>
      </c>
      <c r="AG270" t="s">
        <v>3</v>
      </c>
      <c r="AH270" t="s">
        <v>3</v>
      </c>
      <c r="AI270" t="s">
        <v>3</v>
      </c>
      <c r="AJ270" t="s">
        <v>3</v>
      </c>
      <c r="AK270" t="s">
        <v>3</v>
      </c>
      <c r="AL270" t="s">
        <v>3</v>
      </c>
      <c r="AM270" t="s">
        <v>3</v>
      </c>
      <c r="AN270" t="s">
        <v>3</v>
      </c>
      <c r="AO270" t="s">
        <v>3</v>
      </c>
      <c r="AP270" t="s">
        <v>3</v>
      </c>
      <c r="AQ270" t="s">
        <v>3</v>
      </c>
      <c r="AR270" t="s">
        <v>3</v>
      </c>
      <c r="AS270" t="s">
        <v>3</v>
      </c>
      <c r="AT270" t="s">
        <v>3</v>
      </c>
      <c r="AU270" t="s">
        <v>3</v>
      </c>
      <c r="AV270" t="s">
        <v>3</v>
      </c>
      <c r="AW270" t="s">
        <v>3</v>
      </c>
      <c r="AX270">
        <v>0</v>
      </c>
      <c r="AY270">
        <v>1</v>
      </c>
      <c r="AZ270" t="s">
        <v>1</v>
      </c>
      <c r="BA270" t="s">
        <v>1</v>
      </c>
      <c r="BB270" t="s">
        <v>1</v>
      </c>
      <c r="BC270" s="21" t="s">
        <v>748</v>
      </c>
      <c r="BD270" s="21" t="s">
        <v>144</v>
      </c>
      <c r="BE270">
        <v>0</v>
      </c>
      <c r="BF270">
        <v>0</v>
      </c>
      <c r="BG270">
        <v>0</v>
      </c>
      <c r="BH270">
        <v>0</v>
      </c>
      <c r="BI270">
        <v>0</v>
      </c>
      <c r="BJ270" t="s">
        <v>749</v>
      </c>
      <c r="BK270">
        <v>0</v>
      </c>
      <c r="BL270" t="s">
        <v>132</v>
      </c>
      <c r="BM270">
        <v>0</v>
      </c>
      <c r="BN270">
        <v>1</v>
      </c>
      <c r="BO270">
        <v>0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 t="s">
        <v>0</v>
      </c>
      <c r="BX270">
        <v>0</v>
      </c>
      <c r="BY270">
        <v>0</v>
      </c>
      <c r="BZ270">
        <v>0</v>
      </c>
      <c r="CA270">
        <v>0</v>
      </c>
      <c r="CB270" t="s">
        <v>145</v>
      </c>
      <c r="CD270" t="str" cm="1">
        <f t="array" aca="1" ref="CD270" ca="1">eConcatenar(A270:CB270,"|")</f>
        <v>FXdSMhtMFBTRavAv|MODIFVHS60|3|MODIF|MODIF|MODIF|MODIF|2022-01-01|1|0|0|0|0|0|0|0|0|0|0|0|0|0|0|0|0|0|0|x|x|x|x|x|x|x|x|x|x|x|x|x|x|x|x|x|x|x|x|x|x|0|1|X|X|X|2022-2-10|2022-02-23|0|0|0|0|0|QWYNRBIY9KVTQO|0|HOMBRE|0|1|0|0|0|0|0|0|0|0|CARDENAS|0|0|0|0|FINAL</v>
      </c>
    </row>
    <row r="271" spans="1:82" x14ac:dyDescent="0.25">
      <c r="A271" t="s">
        <v>811</v>
      </c>
      <c r="B271" t="s">
        <v>607</v>
      </c>
      <c r="C271">
        <v>3</v>
      </c>
      <c r="D271" t="s">
        <v>346</v>
      </c>
      <c r="E271" t="s">
        <v>346</v>
      </c>
      <c r="F271" t="s">
        <v>346</v>
      </c>
      <c r="G271" t="s">
        <v>346</v>
      </c>
      <c r="H271" s="21" t="s">
        <v>747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 t="s">
        <v>3</v>
      </c>
      <c r="AC271" t="s">
        <v>3</v>
      </c>
      <c r="AD271" t="s">
        <v>3</v>
      </c>
      <c r="AE271" t="s">
        <v>3</v>
      </c>
      <c r="AF271" t="s">
        <v>3</v>
      </c>
      <c r="AG271" t="s">
        <v>3</v>
      </c>
      <c r="AH271" t="s">
        <v>3</v>
      </c>
      <c r="AI271" t="s">
        <v>3</v>
      </c>
      <c r="AJ271" t="s">
        <v>3</v>
      </c>
      <c r="AK271" t="s">
        <v>3</v>
      </c>
      <c r="AL271" t="s">
        <v>3</v>
      </c>
      <c r="AM271" t="s">
        <v>3</v>
      </c>
      <c r="AN271" t="s">
        <v>3</v>
      </c>
      <c r="AO271" t="s">
        <v>3</v>
      </c>
      <c r="AP271" t="s">
        <v>3</v>
      </c>
      <c r="AQ271" t="s">
        <v>3</v>
      </c>
      <c r="AR271" t="s">
        <v>3</v>
      </c>
      <c r="AS271" t="s">
        <v>3</v>
      </c>
      <c r="AT271" t="s">
        <v>3</v>
      </c>
      <c r="AU271" t="s">
        <v>3</v>
      </c>
      <c r="AV271" t="s">
        <v>3</v>
      </c>
      <c r="AW271" t="s">
        <v>3</v>
      </c>
      <c r="AX271">
        <v>0</v>
      </c>
      <c r="AY271">
        <v>1</v>
      </c>
      <c r="AZ271" t="s">
        <v>1</v>
      </c>
      <c r="BA271" t="s">
        <v>1</v>
      </c>
      <c r="BB271" t="s">
        <v>1</v>
      </c>
      <c r="BC271" s="21" t="s">
        <v>748</v>
      </c>
      <c r="BD271" s="21" t="s">
        <v>144</v>
      </c>
      <c r="BE271">
        <v>0</v>
      </c>
      <c r="BF271">
        <v>0</v>
      </c>
      <c r="BG271">
        <v>0</v>
      </c>
      <c r="BH271">
        <v>0</v>
      </c>
      <c r="BI271">
        <v>0</v>
      </c>
      <c r="BJ271" t="s">
        <v>749</v>
      </c>
      <c r="BK271">
        <v>0</v>
      </c>
      <c r="BL271" t="s">
        <v>132</v>
      </c>
      <c r="BM271">
        <v>0</v>
      </c>
      <c r="BN271">
        <v>1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 t="s">
        <v>0</v>
      </c>
      <c r="BX271">
        <v>0</v>
      </c>
      <c r="BY271">
        <v>0</v>
      </c>
      <c r="BZ271">
        <v>0</v>
      </c>
      <c r="CA271">
        <v>0</v>
      </c>
      <c r="CB271" t="s">
        <v>145</v>
      </c>
      <c r="CD271" t="str" cm="1">
        <f t="array" aca="1" ref="CD271" ca="1">eConcatenar(A271:CB271,"|")</f>
        <v>MhurWBVZALjvXPAQ|MODIFVHS61|3|MODIF|MODIF|MODIF|MODIF|2022-01-01|1|0|0|0|0|0|0|0|0|0|0|0|0|0|0|0|0|0|0|x|x|x|x|x|x|x|x|x|x|x|x|x|x|x|x|x|x|x|x|x|x|0|1|X|X|X|2022-2-10|2022-02-23|0|0|0|0|0|QWYNRBIY9KVTQO|0|HOMBRE|0|1|0|0|0|0|0|0|0|0|CARDENAS|0|0|0|0|FINAL</v>
      </c>
    </row>
    <row r="272" spans="1:82" x14ac:dyDescent="0.25">
      <c r="A272" t="s">
        <v>812</v>
      </c>
      <c r="B272" t="s">
        <v>608</v>
      </c>
      <c r="C272">
        <v>3</v>
      </c>
      <c r="D272" t="s">
        <v>346</v>
      </c>
      <c r="E272" t="s">
        <v>346</v>
      </c>
      <c r="F272" t="s">
        <v>346</v>
      </c>
      <c r="G272" t="s">
        <v>346</v>
      </c>
      <c r="H272" s="21" t="s">
        <v>747</v>
      </c>
      <c r="I272">
        <v>1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 t="s">
        <v>3</v>
      </c>
      <c r="AC272" t="s">
        <v>3</v>
      </c>
      <c r="AD272" t="s">
        <v>3</v>
      </c>
      <c r="AE272" t="s">
        <v>3</v>
      </c>
      <c r="AF272" t="s">
        <v>3</v>
      </c>
      <c r="AG272" t="s">
        <v>3</v>
      </c>
      <c r="AH272" t="s">
        <v>3</v>
      </c>
      <c r="AI272" t="s">
        <v>3</v>
      </c>
      <c r="AJ272" t="s">
        <v>3</v>
      </c>
      <c r="AK272" t="s">
        <v>3</v>
      </c>
      <c r="AL272" t="s">
        <v>3</v>
      </c>
      <c r="AM272" t="s">
        <v>3</v>
      </c>
      <c r="AN272" t="s">
        <v>3</v>
      </c>
      <c r="AO272" t="s">
        <v>3</v>
      </c>
      <c r="AP272" t="s">
        <v>3</v>
      </c>
      <c r="AQ272" t="s">
        <v>3</v>
      </c>
      <c r="AR272" t="s">
        <v>3</v>
      </c>
      <c r="AS272" t="s">
        <v>3</v>
      </c>
      <c r="AT272" t="s">
        <v>3</v>
      </c>
      <c r="AU272" t="s">
        <v>3</v>
      </c>
      <c r="AV272" t="s">
        <v>3</v>
      </c>
      <c r="AW272" t="s">
        <v>3</v>
      </c>
      <c r="AX272">
        <v>0</v>
      </c>
      <c r="AY272">
        <v>1</v>
      </c>
      <c r="AZ272" t="s">
        <v>1</v>
      </c>
      <c r="BA272" t="s">
        <v>1</v>
      </c>
      <c r="BB272" t="s">
        <v>1</v>
      </c>
      <c r="BC272" s="21" t="s">
        <v>748</v>
      </c>
      <c r="BD272" s="21" t="s">
        <v>144</v>
      </c>
      <c r="BE272">
        <v>0</v>
      </c>
      <c r="BF272">
        <v>0</v>
      </c>
      <c r="BG272">
        <v>0</v>
      </c>
      <c r="BH272">
        <v>0</v>
      </c>
      <c r="BI272">
        <v>0</v>
      </c>
      <c r="BJ272" t="s">
        <v>749</v>
      </c>
      <c r="BK272">
        <v>0</v>
      </c>
      <c r="BL272" t="s">
        <v>132</v>
      </c>
      <c r="BM272">
        <v>0</v>
      </c>
      <c r="BN272">
        <v>1</v>
      </c>
      <c r="BO272">
        <v>0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 t="s">
        <v>0</v>
      </c>
      <c r="BX272">
        <v>0</v>
      </c>
      <c r="BY272">
        <v>0</v>
      </c>
      <c r="BZ272">
        <v>0</v>
      </c>
      <c r="CA272">
        <v>0</v>
      </c>
      <c r="CB272" t="s">
        <v>145</v>
      </c>
      <c r="CD272" t="str" cm="1">
        <f t="array" aca="1" ref="CD272" ca="1">eConcatenar(A272:CB272,"|")</f>
        <v>pggaITYHUwvJSSnC|MODIFVHS62|3|MODIF|MODIF|MODIF|MODIF|2022-01-01|1|0|0|0|0|0|0|0|0|0|0|0|0|0|0|0|0|0|0|x|x|x|x|x|x|x|x|x|x|x|x|x|x|x|x|x|x|x|x|x|x|0|1|X|X|X|2022-2-10|2022-02-23|0|0|0|0|0|QWYNRBIY9KVTQO|0|HOMBRE|0|1|0|0|0|0|0|0|0|0|CARDENAS|0|0|0|0|FINAL</v>
      </c>
    </row>
    <row r="273" spans="1:82" x14ac:dyDescent="0.25">
      <c r="A273" t="s">
        <v>813</v>
      </c>
      <c r="B273" t="s">
        <v>609</v>
      </c>
      <c r="C273">
        <v>3</v>
      </c>
      <c r="D273" t="s">
        <v>346</v>
      </c>
      <c r="E273" t="s">
        <v>346</v>
      </c>
      <c r="F273" t="s">
        <v>346</v>
      </c>
      <c r="G273" t="s">
        <v>346</v>
      </c>
      <c r="H273" s="21" t="s">
        <v>747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 t="s">
        <v>3</v>
      </c>
      <c r="AC273" t="s">
        <v>3</v>
      </c>
      <c r="AD273" t="s">
        <v>3</v>
      </c>
      <c r="AE273" t="s">
        <v>3</v>
      </c>
      <c r="AF273" t="s">
        <v>3</v>
      </c>
      <c r="AG273" t="s">
        <v>3</v>
      </c>
      <c r="AH273" t="s">
        <v>3</v>
      </c>
      <c r="AI273" t="s">
        <v>3</v>
      </c>
      <c r="AJ273" t="s">
        <v>3</v>
      </c>
      <c r="AK273" t="s">
        <v>3</v>
      </c>
      <c r="AL273" t="s">
        <v>3</v>
      </c>
      <c r="AM273" t="s">
        <v>3</v>
      </c>
      <c r="AN273" t="s">
        <v>3</v>
      </c>
      <c r="AO273" t="s">
        <v>3</v>
      </c>
      <c r="AP273" t="s">
        <v>3</v>
      </c>
      <c r="AQ273" t="s">
        <v>3</v>
      </c>
      <c r="AR273" t="s">
        <v>3</v>
      </c>
      <c r="AS273" t="s">
        <v>3</v>
      </c>
      <c r="AT273" t="s">
        <v>3</v>
      </c>
      <c r="AU273" t="s">
        <v>3</v>
      </c>
      <c r="AV273" t="s">
        <v>3</v>
      </c>
      <c r="AW273" t="s">
        <v>3</v>
      </c>
      <c r="AX273">
        <v>0</v>
      </c>
      <c r="AY273">
        <v>1</v>
      </c>
      <c r="AZ273" t="s">
        <v>1</v>
      </c>
      <c r="BA273" t="s">
        <v>1</v>
      </c>
      <c r="BB273" t="s">
        <v>1</v>
      </c>
      <c r="BC273" s="21" t="s">
        <v>748</v>
      </c>
      <c r="BD273" s="21" t="s">
        <v>144</v>
      </c>
      <c r="BE273">
        <v>0</v>
      </c>
      <c r="BF273">
        <v>0</v>
      </c>
      <c r="BG273">
        <v>0</v>
      </c>
      <c r="BH273">
        <v>0</v>
      </c>
      <c r="BI273">
        <v>0</v>
      </c>
      <c r="BJ273" t="s">
        <v>749</v>
      </c>
      <c r="BK273">
        <v>0</v>
      </c>
      <c r="BL273" t="s">
        <v>132</v>
      </c>
      <c r="BM273">
        <v>0</v>
      </c>
      <c r="BN273">
        <v>1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 t="s">
        <v>0</v>
      </c>
      <c r="BX273">
        <v>0</v>
      </c>
      <c r="BY273">
        <v>0</v>
      </c>
      <c r="BZ273">
        <v>0</v>
      </c>
      <c r="CA273">
        <v>0</v>
      </c>
      <c r="CB273" t="s">
        <v>145</v>
      </c>
      <c r="CD273" t="str" cm="1">
        <f t="array" aca="1" ref="CD273" ca="1">eConcatenar(A273:CB273,"|")</f>
        <v>v1hSX4JXTPlxhXai|MODIFVHS63|3|MODIF|MODIF|MODIF|MODIF|2022-01-01|1|0|0|0|0|0|0|0|0|0|0|0|0|0|0|0|0|0|0|x|x|x|x|x|x|x|x|x|x|x|x|x|x|x|x|x|x|x|x|x|x|0|1|X|X|X|2022-2-10|2022-02-23|0|0|0|0|0|QWYNRBIY9KVTQO|0|HOMBRE|0|1|0|0|0|0|0|0|0|0|CARDENAS|0|0|0|0|FINAL</v>
      </c>
    </row>
    <row r="274" spans="1:82" x14ac:dyDescent="0.25">
      <c r="A274" t="s">
        <v>814</v>
      </c>
      <c r="B274" t="s">
        <v>610</v>
      </c>
      <c r="C274">
        <v>3</v>
      </c>
      <c r="D274" t="s">
        <v>346</v>
      </c>
      <c r="E274" t="s">
        <v>346</v>
      </c>
      <c r="F274" t="s">
        <v>346</v>
      </c>
      <c r="G274" t="s">
        <v>346</v>
      </c>
      <c r="H274" s="21" t="s">
        <v>747</v>
      </c>
      <c r="I274">
        <v>1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 t="s">
        <v>3</v>
      </c>
      <c r="AC274" t="s">
        <v>3</v>
      </c>
      <c r="AD274" t="s">
        <v>3</v>
      </c>
      <c r="AE274" t="s">
        <v>3</v>
      </c>
      <c r="AF274" t="s">
        <v>3</v>
      </c>
      <c r="AG274" t="s">
        <v>3</v>
      </c>
      <c r="AH274" t="s">
        <v>3</v>
      </c>
      <c r="AI274" t="s">
        <v>3</v>
      </c>
      <c r="AJ274" t="s">
        <v>3</v>
      </c>
      <c r="AK274" t="s">
        <v>3</v>
      </c>
      <c r="AL274" t="s">
        <v>3</v>
      </c>
      <c r="AM274" t="s">
        <v>3</v>
      </c>
      <c r="AN274" t="s">
        <v>3</v>
      </c>
      <c r="AO274" t="s">
        <v>3</v>
      </c>
      <c r="AP274" t="s">
        <v>3</v>
      </c>
      <c r="AQ274" t="s">
        <v>3</v>
      </c>
      <c r="AR274" t="s">
        <v>3</v>
      </c>
      <c r="AS274" t="s">
        <v>3</v>
      </c>
      <c r="AT274" t="s">
        <v>3</v>
      </c>
      <c r="AU274" t="s">
        <v>3</v>
      </c>
      <c r="AV274" t="s">
        <v>3</v>
      </c>
      <c r="AW274" t="s">
        <v>3</v>
      </c>
      <c r="AX274">
        <v>0</v>
      </c>
      <c r="AY274">
        <v>1</v>
      </c>
      <c r="AZ274" t="s">
        <v>1</v>
      </c>
      <c r="BA274" t="s">
        <v>1</v>
      </c>
      <c r="BB274" t="s">
        <v>1</v>
      </c>
      <c r="BC274" s="21" t="s">
        <v>748</v>
      </c>
      <c r="BD274" s="21" t="s">
        <v>144</v>
      </c>
      <c r="BE274">
        <v>0</v>
      </c>
      <c r="BF274">
        <v>0</v>
      </c>
      <c r="BG274">
        <v>0</v>
      </c>
      <c r="BH274">
        <v>0</v>
      </c>
      <c r="BI274">
        <v>0</v>
      </c>
      <c r="BJ274" t="s">
        <v>749</v>
      </c>
      <c r="BK274">
        <v>0</v>
      </c>
      <c r="BL274" t="s">
        <v>132</v>
      </c>
      <c r="BM274">
        <v>0</v>
      </c>
      <c r="BN274">
        <v>1</v>
      </c>
      <c r="BO274">
        <v>0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 t="s">
        <v>0</v>
      </c>
      <c r="BX274">
        <v>0</v>
      </c>
      <c r="BY274">
        <v>0</v>
      </c>
      <c r="BZ274">
        <v>0</v>
      </c>
      <c r="CA274">
        <v>0</v>
      </c>
      <c r="CB274" t="s">
        <v>145</v>
      </c>
      <c r="CD274" t="str" cm="1">
        <f t="array" aca="1" ref="CD274" ca="1">eConcatenar(A274:CB274,"|")</f>
        <v>seqtgnf4YsHDzJWy|MODIFVHS64|3|MODIF|MODIF|MODIF|MODIF|2022-01-01|1|0|0|0|0|0|0|0|0|0|0|0|0|0|0|0|0|0|0|x|x|x|x|x|x|x|x|x|x|x|x|x|x|x|x|x|x|x|x|x|x|0|1|X|X|X|2022-2-10|2022-02-23|0|0|0|0|0|QWYNRBIY9KVTQO|0|HOMBRE|0|1|0|0|0|0|0|0|0|0|CARDENAS|0|0|0|0|FINAL</v>
      </c>
    </row>
    <row r="275" spans="1:82" x14ac:dyDescent="0.25">
      <c r="A275" t="s">
        <v>815</v>
      </c>
      <c r="B275" t="s">
        <v>611</v>
      </c>
      <c r="C275">
        <v>3</v>
      </c>
      <c r="D275" t="s">
        <v>346</v>
      </c>
      <c r="E275" t="s">
        <v>346</v>
      </c>
      <c r="F275" t="s">
        <v>346</v>
      </c>
      <c r="G275" t="s">
        <v>346</v>
      </c>
      <c r="H275" s="21" t="s">
        <v>747</v>
      </c>
      <c r="I275">
        <v>1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 t="s">
        <v>3</v>
      </c>
      <c r="AC275" t="s">
        <v>3</v>
      </c>
      <c r="AD275" t="s">
        <v>3</v>
      </c>
      <c r="AE275" t="s">
        <v>3</v>
      </c>
      <c r="AF275" t="s">
        <v>3</v>
      </c>
      <c r="AG275" t="s">
        <v>3</v>
      </c>
      <c r="AH275" t="s">
        <v>3</v>
      </c>
      <c r="AI275" t="s">
        <v>3</v>
      </c>
      <c r="AJ275" t="s">
        <v>3</v>
      </c>
      <c r="AK275" t="s">
        <v>3</v>
      </c>
      <c r="AL275" t="s">
        <v>3</v>
      </c>
      <c r="AM275" t="s">
        <v>3</v>
      </c>
      <c r="AN275" t="s">
        <v>3</v>
      </c>
      <c r="AO275" t="s">
        <v>3</v>
      </c>
      <c r="AP275" t="s">
        <v>3</v>
      </c>
      <c r="AQ275" t="s">
        <v>3</v>
      </c>
      <c r="AR275" t="s">
        <v>3</v>
      </c>
      <c r="AS275" t="s">
        <v>3</v>
      </c>
      <c r="AT275" t="s">
        <v>3</v>
      </c>
      <c r="AU275" t="s">
        <v>3</v>
      </c>
      <c r="AV275" t="s">
        <v>3</v>
      </c>
      <c r="AW275" t="s">
        <v>3</v>
      </c>
      <c r="AX275">
        <v>0</v>
      </c>
      <c r="AY275">
        <v>1</v>
      </c>
      <c r="AZ275" t="s">
        <v>1</v>
      </c>
      <c r="BA275" t="s">
        <v>1</v>
      </c>
      <c r="BB275" t="s">
        <v>1</v>
      </c>
      <c r="BC275" s="21" t="s">
        <v>748</v>
      </c>
      <c r="BD275" s="21" t="s">
        <v>144</v>
      </c>
      <c r="BE275">
        <v>0</v>
      </c>
      <c r="BF275">
        <v>0</v>
      </c>
      <c r="BG275">
        <v>0</v>
      </c>
      <c r="BH275">
        <v>0</v>
      </c>
      <c r="BI275">
        <v>0</v>
      </c>
      <c r="BJ275" t="s">
        <v>749</v>
      </c>
      <c r="BK275">
        <v>0</v>
      </c>
      <c r="BL275" t="s">
        <v>132</v>
      </c>
      <c r="BM275">
        <v>0</v>
      </c>
      <c r="BN275">
        <v>1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 t="s">
        <v>0</v>
      </c>
      <c r="BX275">
        <v>0</v>
      </c>
      <c r="BY275">
        <v>0</v>
      </c>
      <c r="BZ275">
        <v>0</v>
      </c>
      <c r="CA275">
        <v>0</v>
      </c>
      <c r="CB275" t="s">
        <v>145</v>
      </c>
      <c r="CD275" t="str" cm="1">
        <f t="array" aca="1" ref="CD275" ca="1">eConcatenar(A275:CB275,"|")</f>
        <v>xczgsbQ1e2aueWTO|MODIFVHS65|3|MODIF|MODIF|MODIF|MODIF|2022-01-01|1|0|0|0|0|0|0|0|0|0|0|0|0|0|0|0|0|0|0|x|x|x|x|x|x|x|x|x|x|x|x|x|x|x|x|x|x|x|x|x|x|0|1|X|X|X|2022-2-10|2022-02-23|0|0|0|0|0|QWYNRBIY9KVTQO|0|HOMBRE|0|1|0|0|0|0|0|0|0|0|CARDENAS|0|0|0|0|FINAL</v>
      </c>
    </row>
    <row r="276" spans="1:82" x14ac:dyDescent="0.25">
      <c r="A276" t="s">
        <v>816</v>
      </c>
      <c r="B276" t="s">
        <v>612</v>
      </c>
      <c r="C276">
        <v>3</v>
      </c>
      <c r="D276" t="s">
        <v>346</v>
      </c>
      <c r="E276" t="s">
        <v>346</v>
      </c>
      <c r="F276" t="s">
        <v>346</v>
      </c>
      <c r="G276" t="s">
        <v>346</v>
      </c>
      <c r="H276" s="21" t="s">
        <v>747</v>
      </c>
      <c r="I276">
        <v>1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 t="s">
        <v>3</v>
      </c>
      <c r="AC276" t="s">
        <v>3</v>
      </c>
      <c r="AD276" t="s">
        <v>3</v>
      </c>
      <c r="AE276" t="s">
        <v>3</v>
      </c>
      <c r="AF276" t="s">
        <v>3</v>
      </c>
      <c r="AG276" t="s">
        <v>3</v>
      </c>
      <c r="AH276" t="s">
        <v>3</v>
      </c>
      <c r="AI276" t="s">
        <v>3</v>
      </c>
      <c r="AJ276" t="s">
        <v>3</v>
      </c>
      <c r="AK276" t="s">
        <v>3</v>
      </c>
      <c r="AL276" t="s">
        <v>3</v>
      </c>
      <c r="AM276" t="s">
        <v>3</v>
      </c>
      <c r="AN276" t="s">
        <v>3</v>
      </c>
      <c r="AO276" t="s">
        <v>3</v>
      </c>
      <c r="AP276" t="s">
        <v>3</v>
      </c>
      <c r="AQ276" t="s">
        <v>3</v>
      </c>
      <c r="AR276" t="s">
        <v>3</v>
      </c>
      <c r="AS276" t="s">
        <v>3</v>
      </c>
      <c r="AT276" t="s">
        <v>3</v>
      </c>
      <c r="AU276" t="s">
        <v>3</v>
      </c>
      <c r="AV276" t="s">
        <v>3</v>
      </c>
      <c r="AW276" t="s">
        <v>3</v>
      </c>
      <c r="AX276">
        <v>0</v>
      </c>
      <c r="AY276">
        <v>1</v>
      </c>
      <c r="AZ276" t="s">
        <v>1</v>
      </c>
      <c r="BA276" t="s">
        <v>1</v>
      </c>
      <c r="BB276" t="s">
        <v>1</v>
      </c>
      <c r="BC276" s="21" t="s">
        <v>748</v>
      </c>
      <c r="BD276" s="21" t="s">
        <v>144</v>
      </c>
      <c r="BE276">
        <v>0</v>
      </c>
      <c r="BF276">
        <v>0</v>
      </c>
      <c r="BG276">
        <v>0</v>
      </c>
      <c r="BH276">
        <v>0</v>
      </c>
      <c r="BI276">
        <v>0</v>
      </c>
      <c r="BJ276" t="s">
        <v>749</v>
      </c>
      <c r="BK276">
        <v>0</v>
      </c>
      <c r="BL276" t="s">
        <v>132</v>
      </c>
      <c r="BM276">
        <v>0</v>
      </c>
      <c r="BN276">
        <v>1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 t="s">
        <v>0</v>
      </c>
      <c r="BX276">
        <v>0</v>
      </c>
      <c r="BY276">
        <v>0</v>
      </c>
      <c r="BZ276">
        <v>0</v>
      </c>
      <c r="CA276">
        <v>0</v>
      </c>
      <c r="CB276" t="s">
        <v>145</v>
      </c>
      <c r="CD276" t="str" cm="1">
        <f t="array" aca="1" ref="CD276" ca="1">eConcatenar(A276:CB276,"|")</f>
        <v>N5cXy7ea5V4SDLVS|MODIFVHS66|3|MODIF|MODIF|MODIF|MODIF|2022-01-01|1|0|0|0|0|0|0|0|0|0|0|0|0|0|0|0|0|0|0|x|x|x|x|x|x|x|x|x|x|x|x|x|x|x|x|x|x|x|x|x|x|0|1|X|X|X|2022-2-10|2022-02-23|0|0|0|0|0|QWYNRBIY9KVTQO|0|HOMBRE|0|1|0|0|0|0|0|0|0|0|CARDENAS|0|0|0|0|FINAL</v>
      </c>
    </row>
    <row r="277" spans="1:82" x14ac:dyDescent="0.25">
      <c r="A277" t="s">
        <v>817</v>
      </c>
      <c r="B277" t="s">
        <v>613</v>
      </c>
      <c r="C277">
        <v>3</v>
      </c>
      <c r="D277" t="s">
        <v>346</v>
      </c>
      <c r="E277" t="s">
        <v>346</v>
      </c>
      <c r="F277" t="s">
        <v>346</v>
      </c>
      <c r="G277" t="s">
        <v>346</v>
      </c>
      <c r="H277" s="21" t="s">
        <v>747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 t="s">
        <v>3</v>
      </c>
      <c r="AC277" t="s">
        <v>3</v>
      </c>
      <c r="AD277" t="s">
        <v>3</v>
      </c>
      <c r="AE277" t="s">
        <v>3</v>
      </c>
      <c r="AF277" t="s">
        <v>3</v>
      </c>
      <c r="AG277" t="s">
        <v>3</v>
      </c>
      <c r="AH277" t="s">
        <v>3</v>
      </c>
      <c r="AI277" t="s">
        <v>3</v>
      </c>
      <c r="AJ277" t="s">
        <v>3</v>
      </c>
      <c r="AK277" t="s">
        <v>3</v>
      </c>
      <c r="AL277" t="s">
        <v>3</v>
      </c>
      <c r="AM277" t="s">
        <v>3</v>
      </c>
      <c r="AN277" t="s">
        <v>3</v>
      </c>
      <c r="AO277" t="s">
        <v>3</v>
      </c>
      <c r="AP277" t="s">
        <v>3</v>
      </c>
      <c r="AQ277" t="s">
        <v>3</v>
      </c>
      <c r="AR277" t="s">
        <v>3</v>
      </c>
      <c r="AS277" t="s">
        <v>3</v>
      </c>
      <c r="AT277" t="s">
        <v>3</v>
      </c>
      <c r="AU277" t="s">
        <v>3</v>
      </c>
      <c r="AV277" t="s">
        <v>3</v>
      </c>
      <c r="AW277" t="s">
        <v>3</v>
      </c>
      <c r="AX277">
        <v>0</v>
      </c>
      <c r="AY277">
        <v>1</v>
      </c>
      <c r="AZ277" t="s">
        <v>1</v>
      </c>
      <c r="BA277" t="s">
        <v>1</v>
      </c>
      <c r="BB277" t="s">
        <v>1</v>
      </c>
      <c r="BC277" s="21" t="s">
        <v>748</v>
      </c>
      <c r="BD277" s="21" t="s">
        <v>144</v>
      </c>
      <c r="BE277">
        <v>0</v>
      </c>
      <c r="BF277">
        <v>0</v>
      </c>
      <c r="BG277">
        <v>0</v>
      </c>
      <c r="BH277">
        <v>0</v>
      </c>
      <c r="BI277">
        <v>0</v>
      </c>
      <c r="BJ277" t="s">
        <v>749</v>
      </c>
      <c r="BK277">
        <v>0</v>
      </c>
      <c r="BL277" t="s">
        <v>132</v>
      </c>
      <c r="BM277">
        <v>0</v>
      </c>
      <c r="BN277">
        <v>1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 t="s">
        <v>0</v>
      </c>
      <c r="BX277">
        <v>0</v>
      </c>
      <c r="BY277">
        <v>0</v>
      </c>
      <c r="BZ277">
        <v>0</v>
      </c>
      <c r="CA277">
        <v>0</v>
      </c>
      <c r="CB277" t="s">
        <v>145</v>
      </c>
      <c r="CD277" t="str" cm="1">
        <f t="array" aca="1" ref="CD277" ca="1">eConcatenar(A277:CB277,"|")</f>
        <v>wO4tUxtnHv7IWtfX|MODIFVHS67|3|MODIF|MODIF|MODIF|MODIF|2022-01-01|1|0|0|0|0|0|0|0|0|0|0|0|0|0|0|0|0|0|0|x|x|x|x|x|x|x|x|x|x|x|x|x|x|x|x|x|x|x|x|x|x|0|1|X|X|X|2022-2-10|2022-02-23|0|0|0|0|0|QWYNRBIY9KVTQO|0|HOMBRE|0|1|0|0|0|0|0|0|0|0|CARDENAS|0|0|0|0|FINAL</v>
      </c>
    </row>
    <row r="278" spans="1:82" x14ac:dyDescent="0.25">
      <c r="A278" t="s">
        <v>818</v>
      </c>
      <c r="B278" t="s">
        <v>614</v>
      </c>
      <c r="C278">
        <v>3</v>
      </c>
      <c r="D278" t="s">
        <v>346</v>
      </c>
      <c r="E278" t="s">
        <v>346</v>
      </c>
      <c r="F278" t="s">
        <v>346</v>
      </c>
      <c r="G278" t="s">
        <v>346</v>
      </c>
      <c r="H278" s="21" t="s">
        <v>747</v>
      </c>
      <c r="I278">
        <v>1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 t="s">
        <v>3</v>
      </c>
      <c r="AC278" t="s">
        <v>3</v>
      </c>
      <c r="AD278" t="s">
        <v>3</v>
      </c>
      <c r="AE278" t="s">
        <v>3</v>
      </c>
      <c r="AF278" t="s">
        <v>3</v>
      </c>
      <c r="AG278" t="s">
        <v>3</v>
      </c>
      <c r="AH278" t="s">
        <v>3</v>
      </c>
      <c r="AI278" t="s">
        <v>3</v>
      </c>
      <c r="AJ278" t="s">
        <v>3</v>
      </c>
      <c r="AK278" t="s">
        <v>3</v>
      </c>
      <c r="AL278" t="s">
        <v>3</v>
      </c>
      <c r="AM278" t="s">
        <v>3</v>
      </c>
      <c r="AN278" t="s">
        <v>3</v>
      </c>
      <c r="AO278" t="s">
        <v>3</v>
      </c>
      <c r="AP278" t="s">
        <v>3</v>
      </c>
      <c r="AQ278" t="s">
        <v>3</v>
      </c>
      <c r="AR278" t="s">
        <v>3</v>
      </c>
      <c r="AS278" t="s">
        <v>3</v>
      </c>
      <c r="AT278" t="s">
        <v>3</v>
      </c>
      <c r="AU278" t="s">
        <v>3</v>
      </c>
      <c r="AV278" t="s">
        <v>3</v>
      </c>
      <c r="AW278" t="s">
        <v>3</v>
      </c>
      <c r="AX278">
        <v>0</v>
      </c>
      <c r="AY278">
        <v>1</v>
      </c>
      <c r="AZ278" t="s">
        <v>1</v>
      </c>
      <c r="BA278" t="s">
        <v>1</v>
      </c>
      <c r="BB278" t="s">
        <v>1</v>
      </c>
      <c r="BC278" s="21" t="s">
        <v>748</v>
      </c>
      <c r="BD278" s="21" t="s">
        <v>144</v>
      </c>
      <c r="BE278">
        <v>0</v>
      </c>
      <c r="BF278">
        <v>0</v>
      </c>
      <c r="BG278">
        <v>0</v>
      </c>
      <c r="BH278">
        <v>0</v>
      </c>
      <c r="BI278">
        <v>0</v>
      </c>
      <c r="BJ278" t="s">
        <v>749</v>
      </c>
      <c r="BK278">
        <v>0</v>
      </c>
      <c r="BL278" t="s">
        <v>132</v>
      </c>
      <c r="BM278">
        <v>0</v>
      </c>
      <c r="BN278">
        <v>1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 t="s">
        <v>0</v>
      </c>
      <c r="BX278">
        <v>0</v>
      </c>
      <c r="BY278">
        <v>0</v>
      </c>
      <c r="BZ278">
        <v>0</v>
      </c>
      <c r="CA278">
        <v>0</v>
      </c>
      <c r="CB278" t="s">
        <v>145</v>
      </c>
      <c r="CD278" t="str" cm="1">
        <f t="array" aca="1" ref="CD278" ca="1">eConcatenar(A278:CB278,"|")</f>
        <v>tj8eVBSGGdZMP2qO|MODIFVHS68|3|MODIF|MODIF|MODIF|MODIF|2022-01-01|1|0|0|0|0|0|0|0|0|0|0|0|0|0|0|0|0|0|0|x|x|x|x|x|x|x|x|x|x|x|x|x|x|x|x|x|x|x|x|x|x|0|1|X|X|X|2022-2-10|2022-02-23|0|0|0|0|0|QWYNRBIY9KVTQO|0|HOMBRE|0|1|0|0|0|0|0|0|0|0|CARDENAS|0|0|0|0|FINAL</v>
      </c>
    </row>
    <row r="279" spans="1:82" x14ac:dyDescent="0.25">
      <c r="A279" t="s">
        <v>819</v>
      </c>
      <c r="B279" t="s">
        <v>615</v>
      </c>
      <c r="C279">
        <v>3</v>
      </c>
      <c r="D279" t="s">
        <v>346</v>
      </c>
      <c r="E279" t="s">
        <v>346</v>
      </c>
      <c r="F279" t="s">
        <v>346</v>
      </c>
      <c r="G279" t="s">
        <v>346</v>
      </c>
      <c r="H279" s="21" t="s">
        <v>747</v>
      </c>
      <c r="I279">
        <v>1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 t="s">
        <v>3</v>
      </c>
      <c r="AC279" t="s">
        <v>3</v>
      </c>
      <c r="AD279" t="s">
        <v>3</v>
      </c>
      <c r="AE279" t="s">
        <v>3</v>
      </c>
      <c r="AF279" t="s">
        <v>3</v>
      </c>
      <c r="AG279" t="s">
        <v>3</v>
      </c>
      <c r="AH279" t="s">
        <v>3</v>
      </c>
      <c r="AI279" t="s">
        <v>3</v>
      </c>
      <c r="AJ279" t="s">
        <v>3</v>
      </c>
      <c r="AK279" t="s">
        <v>3</v>
      </c>
      <c r="AL279" t="s">
        <v>3</v>
      </c>
      <c r="AM279" t="s">
        <v>3</v>
      </c>
      <c r="AN279" t="s">
        <v>3</v>
      </c>
      <c r="AO279" t="s">
        <v>3</v>
      </c>
      <c r="AP279" t="s">
        <v>3</v>
      </c>
      <c r="AQ279" t="s">
        <v>3</v>
      </c>
      <c r="AR279" t="s">
        <v>3</v>
      </c>
      <c r="AS279" t="s">
        <v>3</v>
      </c>
      <c r="AT279" t="s">
        <v>3</v>
      </c>
      <c r="AU279" t="s">
        <v>3</v>
      </c>
      <c r="AV279" t="s">
        <v>3</v>
      </c>
      <c r="AW279" t="s">
        <v>3</v>
      </c>
      <c r="AX279">
        <v>0</v>
      </c>
      <c r="AY279">
        <v>1</v>
      </c>
      <c r="AZ279" t="s">
        <v>1</v>
      </c>
      <c r="BA279" t="s">
        <v>1</v>
      </c>
      <c r="BB279" t="s">
        <v>1</v>
      </c>
      <c r="BC279" s="21" t="s">
        <v>748</v>
      </c>
      <c r="BD279" s="21" t="s">
        <v>144</v>
      </c>
      <c r="BE279">
        <v>0</v>
      </c>
      <c r="BF279">
        <v>0</v>
      </c>
      <c r="BG279">
        <v>0</v>
      </c>
      <c r="BH279">
        <v>0</v>
      </c>
      <c r="BI279">
        <v>0</v>
      </c>
      <c r="BJ279" t="s">
        <v>749</v>
      </c>
      <c r="BK279">
        <v>0</v>
      </c>
      <c r="BL279" t="s">
        <v>132</v>
      </c>
      <c r="BM279">
        <v>0</v>
      </c>
      <c r="BN279">
        <v>1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 t="s">
        <v>0</v>
      </c>
      <c r="BX279">
        <v>0</v>
      </c>
      <c r="BY279">
        <v>0</v>
      </c>
      <c r="BZ279">
        <v>0</v>
      </c>
      <c r="CA279">
        <v>0</v>
      </c>
      <c r="CB279" t="s">
        <v>145</v>
      </c>
      <c r="CD279" t="str" cm="1">
        <f t="array" aca="1" ref="CD279" ca="1">eConcatenar(A279:CB279,"|")</f>
        <v>WZ0nXWq2QxO3x5pd|MODIFVHS69|3|MODIF|MODIF|MODIF|MODIF|2022-01-01|1|0|0|0|0|0|0|0|0|0|0|0|0|0|0|0|0|0|0|x|x|x|x|x|x|x|x|x|x|x|x|x|x|x|x|x|x|x|x|x|x|0|1|X|X|X|2022-2-10|2022-02-23|0|0|0|0|0|QWYNRBIY9KVTQO|0|HOMBRE|0|1|0|0|0|0|0|0|0|0|CARDENAS|0|0|0|0|FINAL</v>
      </c>
    </row>
    <row r="280" spans="1:82" x14ac:dyDescent="0.25">
      <c r="A280" t="s">
        <v>820</v>
      </c>
      <c r="B280" t="s">
        <v>616</v>
      </c>
      <c r="C280">
        <v>3</v>
      </c>
      <c r="D280" t="s">
        <v>346</v>
      </c>
      <c r="E280" t="s">
        <v>346</v>
      </c>
      <c r="F280" t="s">
        <v>346</v>
      </c>
      <c r="G280" t="s">
        <v>346</v>
      </c>
      <c r="H280" s="21" t="s">
        <v>747</v>
      </c>
      <c r="I280">
        <v>1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 t="s">
        <v>3</v>
      </c>
      <c r="AC280" t="s">
        <v>3</v>
      </c>
      <c r="AD280" t="s">
        <v>3</v>
      </c>
      <c r="AE280" t="s">
        <v>3</v>
      </c>
      <c r="AF280" t="s">
        <v>3</v>
      </c>
      <c r="AG280" t="s">
        <v>3</v>
      </c>
      <c r="AH280" t="s">
        <v>3</v>
      </c>
      <c r="AI280" t="s">
        <v>3</v>
      </c>
      <c r="AJ280" t="s">
        <v>3</v>
      </c>
      <c r="AK280" t="s">
        <v>3</v>
      </c>
      <c r="AL280" t="s">
        <v>3</v>
      </c>
      <c r="AM280" t="s">
        <v>3</v>
      </c>
      <c r="AN280" t="s">
        <v>3</v>
      </c>
      <c r="AO280" t="s">
        <v>3</v>
      </c>
      <c r="AP280" t="s">
        <v>3</v>
      </c>
      <c r="AQ280" t="s">
        <v>3</v>
      </c>
      <c r="AR280" t="s">
        <v>3</v>
      </c>
      <c r="AS280" t="s">
        <v>3</v>
      </c>
      <c r="AT280" t="s">
        <v>3</v>
      </c>
      <c r="AU280" t="s">
        <v>3</v>
      </c>
      <c r="AV280" t="s">
        <v>3</v>
      </c>
      <c r="AW280" t="s">
        <v>3</v>
      </c>
      <c r="AX280">
        <v>0</v>
      </c>
      <c r="AY280">
        <v>1</v>
      </c>
      <c r="AZ280" t="s">
        <v>1</v>
      </c>
      <c r="BA280" t="s">
        <v>1</v>
      </c>
      <c r="BB280" t="s">
        <v>1</v>
      </c>
      <c r="BC280" s="21" t="s">
        <v>748</v>
      </c>
      <c r="BD280" s="21" t="s">
        <v>144</v>
      </c>
      <c r="BE280">
        <v>0</v>
      </c>
      <c r="BF280">
        <v>0</v>
      </c>
      <c r="BG280">
        <v>0</v>
      </c>
      <c r="BH280">
        <v>0</v>
      </c>
      <c r="BI280">
        <v>0</v>
      </c>
      <c r="BJ280" t="s">
        <v>749</v>
      </c>
      <c r="BK280">
        <v>0</v>
      </c>
      <c r="BL280" t="s">
        <v>132</v>
      </c>
      <c r="BM280">
        <v>0</v>
      </c>
      <c r="BN280">
        <v>1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 t="s">
        <v>0</v>
      </c>
      <c r="BX280">
        <v>0</v>
      </c>
      <c r="BY280">
        <v>0</v>
      </c>
      <c r="BZ280">
        <v>0</v>
      </c>
      <c r="CA280">
        <v>0</v>
      </c>
      <c r="CB280" t="s">
        <v>145</v>
      </c>
      <c r="CD280" t="str" cm="1">
        <f t="array" aca="1" ref="CD280" ca="1">eConcatenar(A280:CB280,"|")</f>
        <v>ZFzLvdYsQiQN2cs7|MODIFVHS70|3|MODIF|MODIF|MODIF|MODIF|2022-01-01|1|0|0|0|0|0|0|0|0|0|0|0|0|0|0|0|0|0|0|x|x|x|x|x|x|x|x|x|x|x|x|x|x|x|x|x|x|x|x|x|x|0|1|X|X|X|2022-2-10|2022-02-23|0|0|0|0|0|QWYNRBIY9KVTQO|0|HOMBRE|0|1|0|0|0|0|0|0|0|0|CARDENAS|0|0|0|0|FINAL</v>
      </c>
    </row>
    <row r="281" spans="1:82" x14ac:dyDescent="0.25">
      <c r="A281" t="s">
        <v>821</v>
      </c>
      <c r="B281" t="s">
        <v>617</v>
      </c>
      <c r="C281">
        <v>3</v>
      </c>
      <c r="D281" t="s">
        <v>346</v>
      </c>
      <c r="E281" t="s">
        <v>346</v>
      </c>
      <c r="F281" t="s">
        <v>346</v>
      </c>
      <c r="G281" t="s">
        <v>346</v>
      </c>
      <c r="H281" s="21" t="s">
        <v>747</v>
      </c>
      <c r="I281">
        <v>1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 t="s">
        <v>3</v>
      </c>
      <c r="AC281" t="s">
        <v>3</v>
      </c>
      <c r="AD281" t="s">
        <v>3</v>
      </c>
      <c r="AE281" t="s">
        <v>3</v>
      </c>
      <c r="AF281" t="s">
        <v>3</v>
      </c>
      <c r="AG281" t="s">
        <v>3</v>
      </c>
      <c r="AH281" t="s">
        <v>3</v>
      </c>
      <c r="AI281" t="s">
        <v>3</v>
      </c>
      <c r="AJ281" t="s">
        <v>3</v>
      </c>
      <c r="AK281" t="s">
        <v>3</v>
      </c>
      <c r="AL281" t="s">
        <v>3</v>
      </c>
      <c r="AM281" t="s">
        <v>3</v>
      </c>
      <c r="AN281" t="s">
        <v>3</v>
      </c>
      <c r="AO281" t="s">
        <v>3</v>
      </c>
      <c r="AP281" t="s">
        <v>3</v>
      </c>
      <c r="AQ281" t="s">
        <v>3</v>
      </c>
      <c r="AR281" t="s">
        <v>3</v>
      </c>
      <c r="AS281" t="s">
        <v>3</v>
      </c>
      <c r="AT281" t="s">
        <v>3</v>
      </c>
      <c r="AU281" t="s">
        <v>3</v>
      </c>
      <c r="AV281" t="s">
        <v>3</v>
      </c>
      <c r="AW281" t="s">
        <v>3</v>
      </c>
      <c r="AX281">
        <v>0</v>
      </c>
      <c r="AY281">
        <v>1</v>
      </c>
      <c r="AZ281" t="s">
        <v>1</v>
      </c>
      <c r="BA281" t="s">
        <v>1</v>
      </c>
      <c r="BB281" t="s">
        <v>1</v>
      </c>
      <c r="BC281" s="21" t="s">
        <v>748</v>
      </c>
      <c r="BD281" s="21" t="s">
        <v>144</v>
      </c>
      <c r="BE281">
        <v>0</v>
      </c>
      <c r="BF281">
        <v>0</v>
      </c>
      <c r="BG281">
        <v>0</v>
      </c>
      <c r="BH281">
        <v>0</v>
      </c>
      <c r="BI281">
        <v>0</v>
      </c>
      <c r="BJ281" t="s">
        <v>749</v>
      </c>
      <c r="BK281">
        <v>0</v>
      </c>
      <c r="BL281" t="s">
        <v>132</v>
      </c>
      <c r="BM281">
        <v>0</v>
      </c>
      <c r="BN281">
        <v>1</v>
      </c>
      <c r="BO281">
        <v>0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 t="s">
        <v>0</v>
      </c>
      <c r="BX281">
        <v>0</v>
      </c>
      <c r="BY281">
        <v>0</v>
      </c>
      <c r="BZ281">
        <v>0</v>
      </c>
      <c r="CA281">
        <v>0</v>
      </c>
      <c r="CB281" t="s">
        <v>145</v>
      </c>
      <c r="CD281" t="str" cm="1">
        <f t="array" aca="1" ref="CD281" ca="1">eConcatenar(A281:CB281,"|")</f>
        <v>ODMMgXoOjPmgfk50|MODIFVHS71|3|MODIF|MODIF|MODIF|MODIF|2022-01-01|1|0|0|0|0|0|0|0|0|0|0|0|0|0|0|0|0|0|0|x|x|x|x|x|x|x|x|x|x|x|x|x|x|x|x|x|x|x|x|x|x|0|1|X|X|X|2022-2-10|2022-02-23|0|0|0|0|0|QWYNRBIY9KVTQO|0|HOMBRE|0|1|0|0|0|0|0|0|0|0|CARDENAS|0|0|0|0|FINAL</v>
      </c>
    </row>
    <row r="282" spans="1:82" x14ac:dyDescent="0.25">
      <c r="A282" t="s">
        <v>822</v>
      </c>
      <c r="B282" t="s">
        <v>618</v>
      </c>
      <c r="C282">
        <v>3</v>
      </c>
      <c r="D282" t="s">
        <v>346</v>
      </c>
      <c r="E282" t="s">
        <v>346</v>
      </c>
      <c r="F282" t="s">
        <v>346</v>
      </c>
      <c r="G282" t="s">
        <v>346</v>
      </c>
      <c r="H282" s="21" t="s">
        <v>747</v>
      </c>
      <c r="I282">
        <v>1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 t="s">
        <v>3</v>
      </c>
      <c r="AC282" t="s">
        <v>3</v>
      </c>
      <c r="AD282" t="s">
        <v>3</v>
      </c>
      <c r="AE282" t="s">
        <v>3</v>
      </c>
      <c r="AF282" t="s">
        <v>3</v>
      </c>
      <c r="AG282" t="s">
        <v>3</v>
      </c>
      <c r="AH282" t="s">
        <v>3</v>
      </c>
      <c r="AI282" t="s">
        <v>3</v>
      </c>
      <c r="AJ282" t="s">
        <v>3</v>
      </c>
      <c r="AK282" t="s">
        <v>3</v>
      </c>
      <c r="AL282" t="s">
        <v>3</v>
      </c>
      <c r="AM282" t="s">
        <v>3</v>
      </c>
      <c r="AN282" t="s">
        <v>3</v>
      </c>
      <c r="AO282" t="s">
        <v>3</v>
      </c>
      <c r="AP282" t="s">
        <v>3</v>
      </c>
      <c r="AQ282" t="s">
        <v>3</v>
      </c>
      <c r="AR282" t="s">
        <v>3</v>
      </c>
      <c r="AS282" t="s">
        <v>3</v>
      </c>
      <c r="AT282" t="s">
        <v>3</v>
      </c>
      <c r="AU282" t="s">
        <v>3</v>
      </c>
      <c r="AV282" t="s">
        <v>3</v>
      </c>
      <c r="AW282" t="s">
        <v>3</v>
      </c>
      <c r="AX282">
        <v>0</v>
      </c>
      <c r="AY282">
        <v>1</v>
      </c>
      <c r="AZ282" t="s">
        <v>1</v>
      </c>
      <c r="BA282" t="s">
        <v>1</v>
      </c>
      <c r="BB282" t="s">
        <v>1</v>
      </c>
      <c r="BC282" s="21" t="s">
        <v>748</v>
      </c>
      <c r="BD282" s="21" t="s">
        <v>144</v>
      </c>
      <c r="BE282">
        <v>0</v>
      </c>
      <c r="BF282">
        <v>0</v>
      </c>
      <c r="BG282">
        <v>0</v>
      </c>
      <c r="BH282">
        <v>0</v>
      </c>
      <c r="BI282">
        <v>0</v>
      </c>
      <c r="BJ282" t="s">
        <v>749</v>
      </c>
      <c r="BK282">
        <v>0</v>
      </c>
      <c r="BL282" t="s">
        <v>132</v>
      </c>
      <c r="BM282">
        <v>0</v>
      </c>
      <c r="BN282">
        <v>1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 t="s">
        <v>0</v>
      </c>
      <c r="BX282">
        <v>0</v>
      </c>
      <c r="BY282">
        <v>0</v>
      </c>
      <c r="BZ282">
        <v>0</v>
      </c>
      <c r="CA282">
        <v>0</v>
      </c>
      <c r="CB282" t="s">
        <v>145</v>
      </c>
      <c r="CD282" t="str" cm="1">
        <f t="array" aca="1" ref="CD282" ca="1">eConcatenar(A282:CB282,"|")</f>
        <v>IisN9bYHik9OxTig|MODIFVHS72|3|MODIF|MODIF|MODIF|MODIF|2022-01-01|1|0|0|0|0|0|0|0|0|0|0|0|0|0|0|0|0|0|0|x|x|x|x|x|x|x|x|x|x|x|x|x|x|x|x|x|x|x|x|x|x|0|1|X|X|X|2022-2-10|2022-02-23|0|0|0|0|0|QWYNRBIY9KVTQO|0|HOMBRE|0|1|0|0|0|0|0|0|0|0|CARDENAS|0|0|0|0|FINAL</v>
      </c>
    </row>
    <row r="283" spans="1:82" x14ac:dyDescent="0.25">
      <c r="A283" t="s">
        <v>823</v>
      </c>
      <c r="B283" t="s">
        <v>619</v>
      </c>
      <c r="C283">
        <v>3</v>
      </c>
      <c r="D283" t="s">
        <v>346</v>
      </c>
      <c r="E283" t="s">
        <v>346</v>
      </c>
      <c r="F283" t="s">
        <v>346</v>
      </c>
      <c r="G283" t="s">
        <v>346</v>
      </c>
      <c r="H283" s="21" t="s">
        <v>747</v>
      </c>
      <c r="I283">
        <v>1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t="s">
        <v>3</v>
      </c>
      <c r="AC283" t="s">
        <v>3</v>
      </c>
      <c r="AD283" t="s">
        <v>3</v>
      </c>
      <c r="AE283" t="s">
        <v>3</v>
      </c>
      <c r="AF283" t="s">
        <v>3</v>
      </c>
      <c r="AG283" t="s">
        <v>3</v>
      </c>
      <c r="AH283" t="s">
        <v>3</v>
      </c>
      <c r="AI283" t="s">
        <v>3</v>
      </c>
      <c r="AJ283" t="s">
        <v>3</v>
      </c>
      <c r="AK283" t="s">
        <v>3</v>
      </c>
      <c r="AL283" t="s">
        <v>3</v>
      </c>
      <c r="AM283" t="s">
        <v>3</v>
      </c>
      <c r="AN283" t="s">
        <v>3</v>
      </c>
      <c r="AO283" t="s">
        <v>3</v>
      </c>
      <c r="AP283" t="s">
        <v>3</v>
      </c>
      <c r="AQ283" t="s">
        <v>3</v>
      </c>
      <c r="AR283" t="s">
        <v>3</v>
      </c>
      <c r="AS283" t="s">
        <v>3</v>
      </c>
      <c r="AT283" t="s">
        <v>3</v>
      </c>
      <c r="AU283" t="s">
        <v>3</v>
      </c>
      <c r="AV283" t="s">
        <v>3</v>
      </c>
      <c r="AW283" t="s">
        <v>3</v>
      </c>
      <c r="AX283">
        <v>0</v>
      </c>
      <c r="AY283">
        <v>1</v>
      </c>
      <c r="AZ283" t="s">
        <v>1</v>
      </c>
      <c r="BA283" t="s">
        <v>1</v>
      </c>
      <c r="BB283" t="s">
        <v>1</v>
      </c>
      <c r="BC283" s="21" t="s">
        <v>748</v>
      </c>
      <c r="BD283" s="21" t="s">
        <v>144</v>
      </c>
      <c r="BE283">
        <v>0</v>
      </c>
      <c r="BF283">
        <v>0</v>
      </c>
      <c r="BG283">
        <v>0</v>
      </c>
      <c r="BH283">
        <v>0</v>
      </c>
      <c r="BI283">
        <v>0</v>
      </c>
      <c r="BJ283" t="s">
        <v>749</v>
      </c>
      <c r="BK283">
        <v>0</v>
      </c>
      <c r="BL283" t="s">
        <v>132</v>
      </c>
      <c r="BM283">
        <v>0</v>
      </c>
      <c r="BN283">
        <v>1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 t="s">
        <v>0</v>
      </c>
      <c r="BX283">
        <v>0</v>
      </c>
      <c r="BY283">
        <v>0</v>
      </c>
      <c r="BZ283">
        <v>0</v>
      </c>
      <c r="CA283">
        <v>0</v>
      </c>
      <c r="CB283" t="s">
        <v>145</v>
      </c>
      <c r="CD283" t="str" cm="1">
        <f t="array" aca="1" ref="CD283" ca="1">eConcatenar(A283:CB283,"|")</f>
        <v>wT11jmMZUfTiaL0k|MODIFVHS73|3|MODIF|MODIF|MODIF|MODIF|2022-01-01|1|0|0|0|0|0|0|0|0|0|0|0|0|0|0|0|0|0|0|x|x|x|x|x|x|x|x|x|x|x|x|x|x|x|x|x|x|x|x|x|x|0|1|X|X|X|2022-2-10|2022-02-23|0|0|0|0|0|QWYNRBIY9KVTQO|0|HOMBRE|0|1|0|0|0|0|0|0|0|0|CARDENAS|0|0|0|0|FINAL</v>
      </c>
    </row>
    <row r="284" spans="1:82" x14ac:dyDescent="0.25">
      <c r="A284" t="s">
        <v>824</v>
      </c>
      <c r="B284" t="s">
        <v>620</v>
      </c>
      <c r="C284">
        <v>3</v>
      </c>
      <c r="D284" t="s">
        <v>346</v>
      </c>
      <c r="E284" t="s">
        <v>346</v>
      </c>
      <c r="F284" t="s">
        <v>346</v>
      </c>
      <c r="G284" t="s">
        <v>346</v>
      </c>
      <c r="H284" s="21" t="s">
        <v>747</v>
      </c>
      <c r="I284">
        <v>1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 t="s">
        <v>3</v>
      </c>
      <c r="AC284" t="s">
        <v>3</v>
      </c>
      <c r="AD284" t="s">
        <v>3</v>
      </c>
      <c r="AE284" t="s">
        <v>3</v>
      </c>
      <c r="AF284" t="s">
        <v>3</v>
      </c>
      <c r="AG284" t="s">
        <v>3</v>
      </c>
      <c r="AH284" t="s">
        <v>3</v>
      </c>
      <c r="AI284" t="s">
        <v>3</v>
      </c>
      <c r="AJ284" t="s">
        <v>3</v>
      </c>
      <c r="AK284" t="s">
        <v>3</v>
      </c>
      <c r="AL284" t="s">
        <v>3</v>
      </c>
      <c r="AM284" t="s">
        <v>3</v>
      </c>
      <c r="AN284" t="s">
        <v>3</v>
      </c>
      <c r="AO284" t="s">
        <v>3</v>
      </c>
      <c r="AP284" t="s">
        <v>3</v>
      </c>
      <c r="AQ284" t="s">
        <v>3</v>
      </c>
      <c r="AR284" t="s">
        <v>3</v>
      </c>
      <c r="AS284" t="s">
        <v>3</v>
      </c>
      <c r="AT284" t="s">
        <v>3</v>
      </c>
      <c r="AU284" t="s">
        <v>3</v>
      </c>
      <c r="AV284" t="s">
        <v>3</v>
      </c>
      <c r="AW284" t="s">
        <v>3</v>
      </c>
      <c r="AX284">
        <v>0</v>
      </c>
      <c r="AY284">
        <v>1</v>
      </c>
      <c r="AZ284" t="s">
        <v>1</v>
      </c>
      <c r="BA284" t="s">
        <v>1</v>
      </c>
      <c r="BB284" t="s">
        <v>1</v>
      </c>
      <c r="BC284" s="21" t="s">
        <v>748</v>
      </c>
      <c r="BD284" s="21" t="s">
        <v>144</v>
      </c>
      <c r="BE284">
        <v>0</v>
      </c>
      <c r="BF284">
        <v>0</v>
      </c>
      <c r="BG284">
        <v>0</v>
      </c>
      <c r="BH284">
        <v>0</v>
      </c>
      <c r="BI284">
        <v>0</v>
      </c>
      <c r="BJ284" t="s">
        <v>749</v>
      </c>
      <c r="BK284">
        <v>0</v>
      </c>
      <c r="BL284" t="s">
        <v>132</v>
      </c>
      <c r="BM284">
        <v>0</v>
      </c>
      <c r="BN284">
        <v>1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 t="s">
        <v>0</v>
      </c>
      <c r="BX284">
        <v>0</v>
      </c>
      <c r="BY284">
        <v>0</v>
      </c>
      <c r="BZ284">
        <v>0</v>
      </c>
      <c r="CA284">
        <v>0</v>
      </c>
      <c r="CB284" t="s">
        <v>145</v>
      </c>
      <c r="CD284" t="str" cm="1">
        <f t="array" aca="1" ref="CD284" ca="1">eConcatenar(A284:CB284,"|")</f>
        <v>O91O3KgwjrKmT8eV|MODIFVHS74|3|MODIF|MODIF|MODIF|MODIF|2022-01-01|1|0|0|0|0|0|0|0|0|0|0|0|0|0|0|0|0|0|0|x|x|x|x|x|x|x|x|x|x|x|x|x|x|x|x|x|x|x|x|x|x|0|1|X|X|X|2022-2-10|2022-02-23|0|0|0|0|0|QWYNRBIY9KVTQO|0|HOMBRE|0|1|0|0|0|0|0|0|0|0|CARDENAS|0|0|0|0|FINAL</v>
      </c>
    </row>
    <row r="285" spans="1:82" x14ac:dyDescent="0.25">
      <c r="A285" t="s">
        <v>825</v>
      </c>
      <c r="B285" t="s">
        <v>621</v>
      </c>
      <c r="C285">
        <v>3</v>
      </c>
      <c r="D285" t="s">
        <v>346</v>
      </c>
      <c r="E285" t="s">
        <v>346</v>
      </c>
      <c r="F285" t="s">
        <v>346</v>
      </c>
      <c r="G285" t="s">
        <v>346</v>
      </c>
      <c r="H285" s="21" t="s">
        <v>747</v>
      </c>
      <c r="I285">
        <v>1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 t="s">
        <v>3</v>
      </c>
      <c r="AC285" t="s">
        <v>3</v>
      </c>
      <c r="AD285" t="s">
        <v>3</v>
      </c>
      <c r="AE285" t="s">
        <v>3</v>
      </c>
      <c r="AF285" t="s">
        <v>3</v>
      </c>
      <c r="AG285" t="s">
        <v>3</v>
      </c>
      <c r="AH285" t="s">
        <v>3</v>
      </c>
      <c r="AI285" t="s">
        <v>3</v>
      </c>
      <c r="AJ285" t="s">
        <v>3</v>
      </c>
      <c r="AK285" t="s">
        <v>3</v>
      </c>
      <c r="AL285" t="s">
        <v>3</v>
      </c>
      <c r="AM285" t="s">
        <v>3</v>
      </c>
      <c r="AN285" t="s">
        <v>3</v>
      </c>
      <c r="AO285" t="s">
        <v>3</v>
      </c>
      <c r="AP285" t="s">
        <v>3</v>
      </c>
      <c r="AQ285" t="s">
        <v>3</v>
      </c>
      <c r="AR285" t="s">
        <v>3</v>
      </c>
      <c r="AS285" t="s">
        <v>3</v>
      </c>
      <c r="AT285" t="s">
        <v>3</v>
      </c>
      <c r="AU285" t="s">
        <v>3</v>
      </c>
      <c r="AV285" t="s">
        <v>3</v>
      </c>
      <c r="AW285" t="s">
        <v>3</v>
      </c>
      <c r="AX285">
        <v>0</v>
      </c>
      <c r="AY285">
        <v>1</v>
      </c>
      <c r="AZ285" t="s">
        <v>1</v>
      </c>
      <c r="BA285" t="s">
        <v>1</v>
      </c>
      <c r="BB285" t="s">
        <v>1</v>
      </c>
      <c r="BC285" s="21" t="s">
        <v>748</v>
      </c>
      <c r="BD285" s="21" t="s">
        <v>144</v>
      </c>
      <c r="BE285">
        <v>0</v>
      </c>
      <c r="BF285">
        <v>0</v>
      </c>
      <c r="BG285">
        <v>0</v>
      </c>
      <c r="BH285">
        <v>0</v>
      </c>
      <c r="BI285">
        <v>0</v>
      </c>
      <c r="BJ285" t="s">
        <v>749</v>
      </c>
      <c r="BK285">
        <v>0</v>
      </c>
      <c r="BL285" t="s">
        <v>132</v>
      </c>
      <c r="BM285">
        <v>0</v>
      </c>
      <c r="BN285">
        <v>1</v>
      </c>
      <c r="BO285">
        <v>0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 t="s">
        <v>0</v>
      </c>
      <c r="BX285">
        <v>0</v>
      </c>
      <c r="BY285">
        <v>0</v>
      </c>
      <c r="BZ285">
        <v>0</v>
      </c>
      <c r="CA285">
        <v>0</v>
      </c>
      <c r="CB285" t="s">
        <v>145</v>
      </c>
      <c r="CD285" t="str" cm="1">
        <f t="array" aca="1" ref="CD285" ca="1">eConcatenar(A285:CB285,"|")</f>
        <v>lxsWH3LTHhqhmDaW|MODIFVHS75|3|MODIF|MODIF|MODIF|MODIF|2022-01-01|1|0|0|0|0|0|0|0|0|0|0|0|0|0|0|0|0|0|0|x|x|x|x|x|x|x|x|x|x|x|x|x|x|x|x|x|x|x|x|x|x|0|1|X|X|X|2022-2-10|2022-02-23|0|0|0|0|0|QWYNRBIY9KVTQO|0|HOMBRE|0|1|0|0|0|0|0|0|0|0|CARDENAS|0|0|0|0|FINAL</v>
      </c>
    </row>
    <row r="286" spans="1:82" x14ac:dyDescent="0.25">
      <c r="A286" t="s">
        <v>826</v>
      </c>
      <c r="B286" t="s">
        <v>622</v>
      </c>
      <c r="C286">
        <v>3</v>
      </c>
      <c r="D286" t="s">
        <v>346</v>
      </c>
      <c r="E286" t="s">
        <v>346</v>
      </c>
      <c r="F286" t="s">
        <v>346</v>
      </c>
      <c r="G286" t="s">
        <v>346</v>
      </c>
      <c r="H286" s="21" t="s">
        <v>747</v>
      </c>
      <c r="I286">
        <v>1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 t="s">
        <v>3</v>
      </c>
      <c r="AC286" t="s">
        <v>3</v>
      </c>
      <c r="AD286" t="s">
        <v>3</v>
      </c>
      <c r="AE286" t="s">
        <v>3</v>
      </c>
      <c r="AF286" t="s">
        <v>3</v>
      </c>
      <c r="AG286" t="s">
        <v>3</v>
      </c>
      <c r="AH286" t="s">
        <v>3</v>
      </c>
      <c r="AI286" t="s">
        <v>3</v>
      </c>
      <c r="AJ286" t="s">
        <v>3</v>
      </c>
      <c r="AK286" t="s">
        <v>3</v>
      </c>
      <c r="AL286" t="s">
        <v>3</v>
      </c>
      <c r="AM286" t="s">
        <v>3</v>
      </c>
      <c r="AN286" t="s">
        <v>3</v>
      </c>
      <c r="AO286" t="s">
        <v>3</v>
      </c>
      <c r="AP286" t="s">
        <v>3</v>
      </c>
      <c r="AQ286" t="s">
        <v>3</v>
      </c>
      <c r="AR286" t="s">
        <v>3</v>
      </c>
      <c r="AS286" t="s">
        <v>3</v>
      </c>
      <c r="AT286" t="s">
        <v>3</v>
      </c>
      <c r="AU286" t="s">
        <v>3</v>
      </c>
      <c r="AV286" t="s">
        <v>3</v>
      </c>
      <c r="AW286" t="s">
        <v>3</v>
      </c>
      <c r="AX286">
        <v>0</v>
      </c>
      <c r="AY286">
        <v>1</v>
      </c>
      <c r="AZ286" t="s">
        <v>1</v>
      </c>
      <c r="BA286" t="s">
        <v>1</v>
      </c>
      <c r="BB286" t="s">
        <v>1</v>
      </c>
      <c r="BC286" s="21" t="s">
        <v>748</v>
      </c>
      <c r="BD286" s="21" t="s">
        <v>144</v>
      </c>
      <c r="BE286">
        <v>0</v>
      </c>
      <c r="BF286">
        <v>0</v>
      </c>
      <c r="BG286">
        <v>0</v>
      </c>
      <c r="BH286">
        <v>0</v>
      </c>
      <c r="BI286">
        <v>0</v>
      </c>
      <c r="BJ286" t="s">
        <v>749</v>
      </c>
      <c r="BK286">
        <v>0</v>
      </c>
      <c r="BL286" t="s">
        <v>132</v>
      </c>
      <c r="BM286">
        <v>0</v>
      </c>
      <c r="BN286">
        <v>1</v>
      </c>
      <c r="BO286">
        <v>0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 t="s">
        <v>0</v>
      </c>
      <c r="BX286">
        <v>0</v>
      </c>
      <c r="BY286">
        <v>0</v>
      </c>
      <c r="BZ286">
        <v>0</v>
      </c>
      <c r="CA286">
        <v>0</v>
      </c>
      <c r="CB286" t="s">
        <v>145</v>
      </c>
      <c r="CD286" t="str" cm="1">
        <f t="array" aca="1" ref="CD286" ca="1">eConcatenar(A286:CB286,"|")</f>
        <v>HVU32xtDBu8zO1p7|MODIFVHS76|3|MODIF|MODIF|MODIF|MODIF|2022-01-01|1|0|0|0|0|0|0|0|0|0|0|0|0|0|0|0|0|0|0|x|x|x|x|x|x|x|x|x|x|x|x|x|x|x|x|x|x|x|x|x|x|0|1|X|X|X|2022-2-10|2022-02-23|0|0|0|0|0|QWYNRBIY9KVTQO|0|HOMBRE|0|1|0|0|0|0|0|0|0|0|CARDENAS|0|0|0|0|FINAL</v>
      </c>
    </row>
    <row r="287" spans="1:82" x14ac:dyDescent="0.25">
      <c r="A287" t="s">
        <v>827</v>
      </c>
      <c r="B287" t="s">
        <v>623</v>
      </c>
      <c r="C287">
        <v>3</v>
      </c>
      <c r="D287" t="s">
        <v>346</v>
      </c>
      <c r="E287" t="s">
        <v>346</v>
      </c>
      <c r="F287" t="s">
        <v>346</v>
      </c>
      <c r="G287" t="s">
        <v>346</v>
      </c>
      <c r="H287" s="21" t="s">
        <v>747</v>
      </c>
      <c r="I287">
        <v>1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t="s">
        <v>3</v>
      </c>
      <c r="AC287" t="s">
        <v>3</v>
      </c>
      <c r="AD287" t="s">
        <v>3</v>
      </c>
      <c r="AE287" t="s">
        <v>3</v>
      </c>
      <c r="AF287" t="s">
        <v>3</v>
      </c>
      <c r="AG287" t="s">
        <v>3</v>
      </c>
      <c r="AH287" t="s">
        <v>3</v>
      </c>
      <c r="AI287" t="s">
        <v>3</v>
      </c>
      <c r="AJ287" t="s">
        <v>3</v>
      </c>
      <c r="AK287" t="s">
        <v>3</v>
      </c>
      <c r="AL287" t="s">
        <v>3</v>
      </c>
      <c r="AM287" t="s">
        <v>3</v>
      </c>
      <c r="AN287" t="s">
        <v>3</v>
      </c>
      <c r="AO287" t="s">
        <v>3</v>
      </c>
      <c r="AP287" t="s">
        <v>3</v>
      </c>
      <c r="AQ287" t="s">
        <v>3</v>
      </c>
      <c r="AR287" t="s">
        <v>3</v>
      </c>
      <c r="AS287" t="s">
        <v>3</v>
      </c>
      <c r="AT287" t="s">
        <v>3</v>
      </c>
      <c r="AU287" t="s">
        <v>3</v>
      </c>
      <c r="AV287" t="s">
        <v>3</v>
      </c>
      <c r="AW287" t="s">
        <v>3</v>
      </c>
      <c r="AX287">
        <v>0</v>
      </c>
      <c r="AY287">
        <v>1</v>
      </c>
      <c r="AZ287" t="s">
        <v>1</v>
      </c>
      <c r="BA287" t="s">
        <v>1</v>
      </c>
      <c r="BB287" t="s">
        <v>1</v>
      </c>
      <c r="BC287" s="21" t="s">
        <v>748</v>
      </c>
      <c r="BD287" s="21" t="s">
        <v>144</v>
      </c>
      <c r="BE287">
        <v>0</v>
      </c>
      <c r="BF287">
        <v>0</v>
      </c>
      <c r="BG287">
        <v>0</v>
      </c>
      <c r="BH287">
        <v>0</v>
      </c>
      <c r="BI287">
        <v>0</v>
      </c>
      <c r="BJ287" t="s">
        <v>749</v>
      </c>
      <c r="BK287">
        <v>0</v>
      </c>
      <c r="BL287" t="s">
        <v>132</v>
      </c>
      <c r="BM287">
        <v>0</v>
      </c>
      <c r="BN287">
        <v>1</v>
      </c>
      <c r="BO287">
        <v>0</v>
      </c>
      <c r="BP287">
        <v>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 t="s">
        <v>0</v>
      </c>
      <c r="BX287">
        <v>0</v>
      </c>
      <c r="BY287">
        <v>0</v>
      </c>
      <c r="BZ287">
        <v>0</v>
      </c>
      <c r="CA287">
        <v>0</v>
      </c>
      <c r="CB287" t="s">
        <v>145</v>
      </c>
      <c r="CD287" t="str" cm="1">
        <f t="array" aca="1" ref="CD287" ca="1">eConcatenar(A287:CB287,"|")</f>
        <v>c5SBts9bLtOjXLPp|MODIFVHS77|3|MODIF|MODIF|MODIF|MODIF|2022-01-01|1|0|0|0|0|0|0|0|0|0|0|0|0|0|0|0|0|0|0|x|x|x|x|x|x|x|x|x|x|x|x|x|x|x|x|x|x|x|x|x|x|0|1|X|X|X|2022-2-10|2022-02-23|0|0|0|0|0|QWYNRBIY9KVTQO|0|HOMBRE|0|1|0|0|0|0|0|0|0|0|CARDENAS|0|0|0|0|FINAL</v>
      </c>
    </row>
    <row r="288" spans="1:82" x14ac:dyDescent="0.25">
      <c r="A288" t="s">
        <v>828</v>
      </c>
      <c r="B288" t="s">
        <v>624</v>
      </c>
      <c r="C288">
        <v>3</v>
      </c>
      <c r="D288" t="s">
        <v>346</v>
      </c>
      <c r="E288" t="s">
        <v>346</v>
      </c>
      <c r="F288" t="s">
        <v>346</v>
      </c>
      <c r="G288" t="s">
        <v>346</v>
      </c>
      <c r="H288" s="21" t="s">
        <v>747</v>
      </c>
      <c r="I288">
        <v>1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 t="s">
        <v>3</v>
      </c>
      <c r="AC288" t="s">
        <v>3</v>
      </c>
      <c r="AD288" t="s">
        <v>3</v>
      </c>
      <c r="AE288" t="s">
        <v>3</v>
      </c>
      <c r="AF288" t="s">
        <v>3</v>
      </c>
      <c r="AG288" t="s">
        <v>3</v>
      </c>
      <c r="AH288" t="s">
        <v>3</v>
      </c>
      <c r="AI288" t="s">
        <v>3</v>
      </c>
      <c r="AJ288" t="s">
        <v>3</v>
      </c>
      <c r="AK288" t="s">
        <v>3</v>
      </c>
      <c r="AL288" t="s">
        <v>3</v>
      </c>
      <c r="AM288" t="s">
        <v>3</v>
      </c>
      <c r="AN288" t="s">
        <v>3</v>
      </c>
      <c r="AO288" t="s">
        <v>3</v>
      </c>
      <c r="AP288" t="s">
        <v>3</v>
      </c>
      <c r="AQ288" t="s">
        <v>3</v>
      </c>
      <c r="AR288" t="s">
        <v>3</v>
      </c>
      <c r="AS288" t="s">
        <v>3</v>
      </c>
      <c r="AT288" t="s">
        <v>3</v>
      </c>
      <c r="AU288" t="s">
        <v>3</v>
      </c>
      <c r="AV288" t="s">
        <v>3</v>
      </c>
      <c r="AW288" t="s">
        <v>3</v>
      </c>
      <c r="AX288">
        <v>0</v>
      </c>
      <c r="AY288">
        <v>1</v>
      </c>
      <c r="AZ288" t="s">
        <v>1</v>
      </c>
      <c r="BA288" t="s">
        <v>1</v>
      </c>
      <c r="BB288" t="s">
        <v>1</v>
      </c>
      <c r="BC288" s="21" t="s">
        <v>748</v>
      </c>
      <c r="BD288" s="21" t="s">
        <v>144</v>
      </c>
      <c r="BE288">
        <v>0</v>
      </c>
      <c r="BF288">
        <v>0</v>
      </c>
      <c r="BG288">
        <v>0</v>
      </c>
      <c r="BH288">
        <v>0</v>
      </c>
      <c r="BI288">
        <v>0</v>
      </c>
      <c r="BJ288" t="s">
        <v>749</v>
      </c>
      <c r="BK288">
        <v>0</v>
      </c>
      <c r="BL288" t="s">
        <v>132</v>
      </c>
      <c r="BM288">
        <v>0</v>
      </c>
      <c r="BN288">
        <v>1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 t="s">
        <v>0</v>
      </c>
      <c r="BX288">
        <v>0</v>
      </c>
      <c r="BY288">
        <v>0</v>
      </c>
      <c r="BZ288">
        <v>0</v>
      </c>
      <c r="CA288">
        <v>0</v>
      </c>
      <c r="CB288" t="s">
        <v>145</v>
      </c>
      <c r="CD288" t="str" cm="1">
        <f t="array" aca="1" ref="CD288" ca="1">eConcatenar(A288:CB288,"|")</f>
        <v>1DpzB0E0XrNyNs0i|MODIFVHS78|3|MODIF|MODIF|MODIF|MODIF|2022-01-01|1|0|0|0|0|0|0|0|0|0|0|0|0|0|0|0|0|0|0|x|x|x|x|x|x|x|x|x|x|x|x|x|x|x|x|x|x|x|x|x|x|0|1|X|X|X|2022-2-10|2022-02-23|0|0|0|0|0|QWYNRBIY9KVTQO|0|HOMBRE|0|1|0|0|0|0|0|0|0|0|CARDENAS|0|0|0|0|FINAL</v>
      </c>
    </row>
    <row r="289" spans="1:82" x14ac:dyDescent="0.25">
      <c r="A289" t="s">
        <v>829</v>
      </c>
      <c r="B289" t="s">
        <v>625</v>
      </c>
      <c r="C289">
        <v>3</v>
      </c>
      <c r="D289" t="s">
        <v>346</v>
      </c>
      <c r="E289" t="s">
        <v>346</v>
      </c>
      <c r="F289" t="s">
        <v>346</v>
      </c>
      <c r="G289" t="s">
        <v>346</v>
      </c>
      <c r="H289" s="21" t="s">
        <v>747</v>
      </c>
      <c r="I289">
        <v>1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 t="s">
        <v>3</v>
      </c>
      <c r="AC289" t="s">
        <v>3</v>
      </c>
      <c r="AD289" t="s">
        <v>3</v>
      </c>
      <c r="AE289" t="s">
        <v>3</v>
      </c>
      <c r="AF289" t="s">
        <v>3</v>
      </c>
      <c r="AG289" t="s">
        <v>3</v>
      </c>
      <c r="AH289" t="s">
        <v>3</v>
      </c>
      <c r="AI289" t="s">
        <v>3</v>
      </c>
      <c r="AJ289" t="s">
        <v>3</v>
      </c>
      <c r="AK289" t="s">
        <v>3</v>
      </c>
      <c r="AL289" t="s">
        <v>3</v>
      </c>
      <c r="AM289" t="s">
        <v>3</v>
      </c>
      <c r="AN289" t="s">
        <v>3</v>
      </c>
      <c r="AO289" t="s">
        <v>3</v>
      </c>
      <c r="AP289" t="s">
        <v>3</v>
      </c>
      <c r="AQ289" t="s">
        <v>3</v>
      </c>
      <c r="AR289" t="s">
        <v>3</v>
      </c>
      <c r="AS289" t="s">
        <v>3</v>
      </c>
      <c r="AT289" t="s">
        <v>3</v>
      </c>
      <c r="AU289" t="s">
        <v>3</v>
      </c>
      <c r="AV289" t="s">
        <v>3</v>
      </c>
      <c r="AW289" t="s">
        <v>3</v>
      </c>
      <c r="AX289">
        <v>0</v>
      </c>
      <c r="AY289">
        <v>1</v>
      </c>
      <c r="AZ289" t="s">
        <v>1</v>
      </c>
      <c r="BA289" t="s">
        <v>1</v>
      </c>
      <c r="BB289" t="s">
        <v>1</v>
      </c>
      <c r="BC289" s="21" t="s">
        <v>748</v>
      </c>
      <c r="BD289" s="21" t="s">
        <v>144</v>
      </c>
      <c r="BE289">
        <v>0</v>
      </c>
      <c r="BF289">
        <v>0</v>
      </c>
      <c r="BG289">
        <v>0</v>
      </c>
      <c r="BH289">
        <v>0</v>
      </c>
      <c r="BI289">
        <v>0</v>
      </c>
      <c r="BJ289" t="s">
        <v>749</v>
      </c>
      <c r="BK289">
        <v>0</v>
      </c>
      <c r="BL289" t="s">
        <v>132</v>
      </c>
      <c r="BM289">
        <v>0</v>
      </c>
      <c r="BN289">
        <v>1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 t="s">
        <v>0</v>
      </c>
      <c r="BX289">
        <v>0</v>
      </c>
      <c r="BY289">
        <v>0</v>
      </c>
      <c r="BZ289">
        <v>0</v>
      </c>
      <c r="CA289">
        <v>0</v>
      </c>
      <c r="CB289" t="s">
        <v>145</v>
      </c>
      <c r="CD289" t="str" cm="1">
        <f t="array" aca="1" ref="CD289" ca="1">eConcatenar(A289:CB289,"|")</f>
        <v>iIIPmCd6eaBfjpFZ|MODIFVHS79|3|MODIF|MODIF|MODIF|MODIF|2022-01-01|1|0|0|0|0|0|0|0|0|0|0|0|0|0|0|0|0|0|0|x|x|x|x|x|x|x|x|x|x|x|x|x|x|x|x|x|x|x|x|x|x|0|1|X|X|X|2022-2-10|2022-02-23|0|0|0|0|0|QWYNRBIY9KVTQO|0|HOMBRE|0|1|0|0|0|0|0|0|0|0|CARDENAS|0|0|0|0|FINAL</v>
      </c>
    </row>
    <row r="290" spans="1:82" x14ac:dyDescent="0.25">
      <c r="A290" t="s">
        <v>830</v>
      </c>
      <c r="B290" t="s">
        <v>626</v>
      </c>
      <c r="C290">
        <v>3</v>
      </c>
      <c r="D290" t="s">
        <v>346</v>
      </c>
      <c r="E290" t="s">
        <v>346</v>
      </c>
      <c r="F290" t="s">
        <v>346</v>
      </c>
      <c r="G290" t="s">
        <v>346</v>
      </c>
      <c r="H290" s="21" t="s">
        <v>747</v>
      </c>
      <c r="I290">
        <v>1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 t="s">
        <v>3</v>
      </c>
      <c r="AC290" t="s">
        <v>3</v>
      </c>
      <c r="AD290" t="s">
        <v>3</v>
      </c>
      <c r="AE290" t="s">
        <v>3</v>
      </c>
      <c r="AF290" t="s">
        <v>3</v>
      </c>
      <c r="AG290" t="s">
        <v>3</v>
      </c>
      <c r="AH290" t="s">
        <v>3</v>
      </c>
      <c r="AI290" t="s">
        <v>3</v>
      </c>
      <c r="AJ290" t="s">
        <v>3</v>
      </c>
      <c r="AK290" t="s">
        <v>3</v>
      </c>
      <c r="AL290" t="s">
        <v>3</v>
      </c>
      <c r="AM290" t="s">
        <v>3</v>
      </c>
      <c r="AN290" t="s">
        <v>3</v>
      </c>
      <c r="AO290" t="s">
        <v>3</v>
      </c>
      <c r="AP290" t="s">
        <v>3</v>
      </c>
      <c r="AQ290" t="s">
        <v>3</v>
      </c>
      <c r="AR290" t="s">
        <v>3</v>
      </c>
      <c r="AS290" t="s">
        <v>3</v>
      </c>
      <c r="AT290" t="s">
        <v>3</v>
      </c>
      <c r="AU290" t="s">
        <v>3</v>
      </c>
      <c r="AV290" t="s">
        <v>3</v>
      </c>
      <c r="AW290" t="s">
        <v>3</v>
      </c>
      <c r="AX290">
        <v>0</v>
      </c>
      <c r="AY290">
        <v>1</v>
      </c>
      <c r="AZ290" t="s">
        <v>1</v>
      </c>
      <c r="BA290" t="s">
        <v>1</v>
      </c>
      <c r="BB290" t="s">
        <v>1</v>
      </c>
      <c r="BC290" s="21" t="s">
        <v>748</v>
      </c>
      <c r="BD290" s="21" t="s">
        <v>144</v>
      </c>
      <c r="BE290">
        <v>0</v>
      </c>
      <c r="BF290">
        <v>0</v>
      </c>
      <c r="BG290">
        <v>0</v>
      </c>
      <c r="BH290">
        <v>0</v>
      </c>
      <c r="BI290">
        <v>0</v>
      </c>
      <c r="BJ290" t="s">
        <v>749</v>
      </c>
      <c r="BK290">
        <v>0</v>
      </c>
      <c r="BL290" t="s">
        <v>132</v>
      </c>
      <c r="BM290">
        <v>0</v>
      </c>
      <c r="BN290">
        <v>1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 t="s">
        <v>0</v>
      </c>
      <c r="BX290">
        <v>0</v>
      </c>
      <c r="BY290">
        <v>0</v>
      </c>
      <c r="BZ290">
        <v>0</v>
      </c>
      <c r="CA290">
        <v>0</v>
      </c>
      <c r="CB290" t="s">
        <v>145</v>
      </c>
      <c r="CD290" t="str" cm="1">
        <f t="array" aca="1" ref="CD290" ca="1">eConcatenar(A290:CB290,"|")</f>
        <v>YiaKwtCCPoH2YFBF|MODIFVHS80|3|MODIF|MODIF|MODIF|MODIF|2022-01-01|1|0|0|0|0|0|0|0|0|0|0|0|0|0|0|0|0|0|0|x|x|x|x|x|x|x|x|x|x|x|x|x|x|x|x|x|x|x|x|x|x|0|1|X|X|X|2022-2-10|2022-02-23|0|0|0|0|0|QWYNRBIY9KVTQO|0|HOMBRE|0|1|0|0|0|0|0|0|0|0|CARDENAS|0|0|0|0|FINAL</v>
      </c>
    </row>
    <row r="291" spans="1:82" x14ac:dyDescent="0.25">
      <c r="A291" t="s">
        <v>831</v>
      </c>
      <c r="B291" t="s">
        <v>627</v>
      </c>
      <c r="C291">
        <v>3</v>
      </c>
      <c r="D291" t="s">
        <v>346</v>
      </c>
      <c r="E291" t="s">
        <v>346</v>
      </c>
      <c r="F291" t="s">
        <v>346</v>
      </c>
      <c r="G291" t="s">
        <v>346</v>
      </c>
      <c r="H291" s="21" t="s">
        <v>747</v>
      </c>
      <c r="I291">
        <v>1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t="s">
        <v>3</v>
      </c>
      <c r="AC291" t="s">
        <v>3</v>
      </c>
      <c r="AD291" t="s">
        <v>3</v>
      </c>
      <c r="AE291" t="s">
        <v>3</v>
      </c>
      <c r="AF291" t="s">
        <v>3</v>
      </c>
      <c r="AG291" t="s">
        <v>3</v>
      </c>
      <c r="AH291" t="s">
        <v>3</v>
      </c>
      <c r="AI291" t="s">
        <v>3</v>
      </c>
      <c r="AJ291" t="s">
        <v>3</v>
      </c>
      <c r="AK291" t="s">
        <v>3</v>
      </c>
      <c r="AL291" t="s">
        <v>3</v>
      </c>
      <c r="AM291" t="s">
        <v>3</v>
      </c>
      <c r="AN291" t="s">
        <v>3</v>
      </c>
      <c r="AO291" t="s">
        <v>3</v>
      </c>
      <c r="AP291" t="s">
        <v>3</v>
      </c>
      <c r="AQ291" t="s">
        <v>3</v>
      </c>
      <c r="AR291" t="s">
        <v>3</v>
      </c>
      <c r="AS291" t="s">
        <v>3</v>
      </c>
      <c r="AT291" t="s">
        <v>3</v>
      </c>
      <c r="AU291" t="s">
        <v>3</v>
      </c>
      <c r="AV291" t="s">
        <v>3</v>
      </c>
      <c r="AW291" t="s">
        <v>3</v>
      </c>
      <c r="AX291">
        <v>0</v>
      </c>
      <c r="AY291">
        <v>1</v>
      </c>
      <c r="AZ291" t="s">
        <v>1</v>
      </c>
      <c r="BA291" t="s">
        <v>1</v>
      </c>
      <c r="BB291" t="s">
        <v>1</v>
      </c>
      <c r="BC291" s="21" t="s">
        <v>748</v>
      </c>
      <c r="BD291" s="21" t="s">
        <v>144</v>
      </c>
      <c r="BE291">
        <v>0</v>
      </c>
      <c r="BF291">
        <v>0</v>
      </c>
      <c r="BG291">
        <v>0</v>
      </c>
      <c r="BH291">
        <v>0</v>
      </c>
      <c r="BI291">
        <v>0</v>
      </c>
      <c r="BJ291" t="s">
        <v>749</v>
      </c>
      <c r="BK291">
        <v>0</v>
      </c>
      <c r="BL291" t="s">
        <v>132</v>
      </c>
      <c r="BM291">
        <v>0</v>
      </c>
      <c r="BN291">
        <v>1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 t="s">
        <v>0</v>
      </c>
      <c r="BX291">
        <v>0</v>
      </c>
      <c r="BY291">
        <v>0</v>
      </c>
      <c r="BZ291">
        <v>0</v>
      </c>
      <c r="CA291">
        <v>0</v>
      </c>
      <c r="CB291" t="s">
        <v>145</v>
      </c>
      <c r="CD291" t="str" cm="1">
        <f t="array" aca="1" ref="CD291" ca="1">eConcatenar(A291:CB291,"|")</f>
        <v>D6gybmyWA16XEgr3|MODIFVHS81|3|MODIF|MODIF|MODIF|MODIF|2022-01-01|1|0|0|0|0|0|0|0|0|0|0|0|0|0|0|0|0|0|0|x|x|x|x|x|x|x|x|x|x|x|x|x|x|x|x|x|x|x|x|x|x|0|1|X|X|X|2022-2-10|2022-02-23|0|0|0|0|0|QWYNRBIY9KVTQO|0|HOMBRE|0|1|0|0|0|0|0|0|0|0|CARDENAS|0|0|0|0|FINAL</v>
      </c>
    </row>
    <row r="292" spans="1:82" x14ac:dyDescent="0.25">
      <c r="A292" t="s">
        <v>832</v>
      </c>
      <c r="B292" t="s">
        <v>628</v>
      </c>
      <c r="C292">
        <v>3</v>
      </c>
      <c r="D292" t="s">
        <v>346</v>
      </c>
      <c r="E292" t="s">
        <v>346</v>
      </c>
      <c r="F292" t="s">
        <v>346</v>
      </c>
      <c r="G292" t="s">
        <v>346</v>
      </c>
      <c r="H292" s="21" t="s">
        <v>747</v>
      </c>
      <c r="I292">
        <v>1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 t="s">
        <v>3</v>
      </c>
      <c r="AC292" t="s">
        <v>3</v>
      </c>
      <c r="AD292" t="s">
        <v>3</v>
      </c>
      <c r="AE292" t="s">
        <v>3</v>
      </c>
      <c r="AF292" t="s">
        <v>3</v>
      </c>
      <c r="AG292" t="s">
        <v>3</v>
      </c>
      <c r="AH292" t="s">
        <v>3</v>
      </c>
      <c r="AI292" t="s">
        <v>3</v>
      </c>
      <c r="AJ292" t="s">
        <v>3</v>
      </c>
      <c r="AK292" t="s">
        <v>3</v>
      </c>
      <c r="AL292" t="s">
        <v>3</v>
      </c>
      <c r="AM292" t="s">
        <v>3</v>
      </c>
      <c r="AN292" t="s">
        <v>3</v>
      </c>
      <c r="AO292" t="s">
        <v>3</v>
      </c>
      <c r="AP292" t="s">
        <v>3</v>
      </c>
      <c r="AQ292" t="s">
        <v>3</v>
      </c>
      <c r="AR292" t="s">
        <v>3</v>
      </c>
      <c r="AS292" t="s">
        <v>3</v>
      </c>
      <c r="AT292" t="s">
        <v>3</v>
      </c>
      <c r="AU292" t="s">
        <v>3</v>
      </c>
      <c r="AV292" t="s">
        <v>3</v>
      </c>
      <c r="AW292" t="s">
        <v>3</v>
      </c>
      <c r="AX292">
        <v>0</v>
      </c>
      <c r="AY292">
        <v>1</v>
      </c>
      <c r="AZ292" t="s">
        <v>1</v>
      </c>
      <c r="BA292" t="s">
        <v>1</v>
      </c>
      <c r="BB292" t="s">
        <v>1</v>
      </c>
      <c r="BC292" s="21" t="s">
        <v>748</v>
      </c>
      <c r="BD292" s="21" t="s">
        <v>144</v>
      </c>
      <c r="BE292">
        <v>0</v>
      </c>
      <c r="BF292">
        <v>0</v>
      </c>
      <c r="BG292">
        <v>0</v>
      </c>
      <c r="BH292">
        <v>0</v>
      </c>
      <c r="BI292">
        <v>0</v>
      </c>
      <c r="BJ292" t="s">
        <v>749</v>
      </c>
      <c r="BK292">
        <v>0</v>
      </c>
      <c r="BL292" t="s">
        <v>132</v>
      </c>
      <c r="BM292">
        <v>0</v>
      </c>
      <c r="BN292">
        <v>1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 t="s">
        <v>0</v>
      </c>
      <c r="BX292">
        <v>0</v>
      </c>
      <c r="BY292">
        <v>0</v>
      </c>
      <c r="BZ292">
        <v>0</v>
      </c>
      <c r="CA292">
        <v>0</v>
      </c>
      <c r="CB292" t="s">
        <v>145</v>
      </c>
      <c r="CD292" t="str" cm="1">
        <f t="array" aca="1" ref="CD292" ca="1">eConcatenar(A292:CB292,"|")</f>
        <v>kr8BfnbDO4dEq14J|MODIFVHS82|3|MODIF|MODIF|MODIF|MODIF|2022-01-01|1|0|0|0|0|0|0|0|0|0|0|0|0|0|0|0|0|0|0|x|x|x|x|x|x|x|x|x|x|x|x|x|x|x|x|x|x|x|x|x|x|0|1|X|X|X|2022-2-10|2022-02-23|0|0|0|0|0|QWYNRBIY9KVTQO|0|HOMBRE|0|1|0|0|0|0|0|0|0|0|CARDENAS|0|0|0|0|FINAL</v>
      </c>
    </row>
    <row r="293" spans="1:82" x14ac:dyDescent="0.25">
      <c r="A293" t="s">
        <v>833</v>
      </c>
      <c r="B293" t="s">
        <v>629</v>
      </c>
      <c r="C293">
        <v>3</v>
      </c>
      <c r="D293" t="s">
        <v>346</v>
      </c>
      <c r="E293" t="s">
        <v>346</v>
      </c>
      <c r="F293" t="s">
        <v>346</v>
      </c>
      <c r="G293" t="s">
        <v>346</v>
      </c>
      <c r="H293" s="21" t="s">
        <v>747</v>
      </c>
      <c r="I293">
        <v>1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 t="s">
        <v>3</v>
      </c>
      <c r="AC293" t="s">
        <v>3</v>
      </c>
      <c r="AD293" t="s">
        <v>3</v>
      </c>
      <c r="AE293" t="s">
        <v>3</v>
      </c>
      <c r="AF293" t="s">
        <v>3</v>
      </c>
      <c r="AG293" t="s">
        <v>3</v>
      </c>
      <c r="AH293" t="s">
        <v>3</v>
      </c>
      <c r="AI293" t="s">
        <v>3</v>
      </c>
      <c r="AJ293" t="s">
        <v>3</v>
      </c>
      <c r="AK293" t="s">
        <v>3</v>
      </c>
      <c r="AL293" t="s">
        <v>3</v>
      </c>
      <c r="AM293" t="s">
        <v>3</v>
      </c>
      <c r="AN293" t="s">
        <v>3</v>
      </c>
      <c r="AO293" t="s">
        <v>3</v>
      </c>
      <c r="AP293" t="s">
        <v>3</v>
      </c>
      <c r="AQ293" t="s">
        <v>3</v>
      </c>
      <c r="AR293" t="s">
        <v>3</v>
      </c>
      <c r="AS293" t="s">
        <v>3</v>
      </c>
      <c r="AT293" t="s">
        <v>3</v>
      </c>
      <c r="AU293" t="s">
        <v>3</v>
      </c>
      <c r="AV293" t="s">
        <v>3</v>
      </c>
      <c r="AW293" t="s">
        <v>3</v>
      </c>
      <c r="AX293">
        <v>0</v>
      </c>
      <c r="AY293">
        <v>1</v>
      </c>
      <c r="AZ293" t="s">
        <v>1</v>
      </c>
      <c r="BA293" t="s">
        <v>1</v>
      </c>
      <c r="BB293" t="s">
        <v>1</v>
      </c>
      <c r="BC293" s="21" t="s">
        <v>748</v>
      </c>
      <c r="BD293" s="21" t="s">
        <v>144</v>
      </c>
      <c r="BE293">
        <v>0</v>
      </c>
      <c r="BF293">
        <v>0</v>
      </c>
      <c r="BG293">
        <v>0</v>
      </c>
      <c r="BH293">
        <v>0</v>
      </c>
      <c r="BI293">
        <v>0</v>
      </c>
      <c r="BJ293" t="s">
        <v>749</v>
      </c>
      <c r="BK293">
        <v>0</v>
      </c>
      <c r="BL293" t="s">
        <v>132</v>
      </c>
      <c r="BM293">
        <v>0</v>
      </c>
      <c r="BN293">
        <v>1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 t="s">
        <v>0</v>
      </c>
      <c r="BX293">
        <v>0</v>
      </c>
      <c r="BY293">
        <v>0</v>
      </c>
      <c r="BZ293">
        <v>0</v>
      </c>
      <c r="CA293">
        <v>0</v>
      </c>
      <c r="CB293" t="s">
        <v>145</v>
      </c>
      <c r="CD293" t="str" cm="1">
        <f t="array" aca="1" ref="CD293" ca="1">eConcatenar(A293:CB293,"|")</f>
        <v>5V5meGr2LKXDl8cL|MODIFVHS83|3|MODIF|MODIF|MODIF|MODIF|2022-01-01|1|0|0|0|0|0|0|0|0|0|0|0|0|0|0|0|0|0|0|x|x|x|x|x|x|x|x|x|x|x|x|x|x|x|x|x|x|x|x|x|x|0|1|X|X|X|2022-2-10|2022-02-23|0|0|0|0|0|QWYNRBIY9KVTQO|0|HOMBRE|0|1|0|0|0|0|0|0|0|0|CARDENAS|0|0|0|0|FINAL</v>
      </c>
    </row>
    <row r="294" spans="1:82" x14ac:dyDescent="0.25">
      <c r="A294" t="s">
        <v>834</v>
      </c>
      <c r="B294" t="s">
        <v>630</v>
      </c>
      <c r="C294">
        <v>3</v>
      </c>
      <c r="D294" t="s">
        <v>346</v>
      </c>
      <c r="E294" t="s">
        <v>346</v>
      </c>
      <c r="F294" t="s">
        <v>346</v>
      </c>
      <c r="G294" t="s">
        <v>346</v>
      </c>
      <c r="H294" s="21" t="s">
        <v>747</v>
      </c>
      <c r="I294">
        <v>1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 t="s">
        <v>3</v>
      </c>
      <c r="AC294" t="s">
        <v>3</v>
      </c>
      <c r="AD294" t="s">
        <v>3</v>
      </c>
      <c r="AE294" t="s">
        <v>3</v>
      </c>
      <c r="AF294" t="s">
        <v>3</v>
      </c>
      <c r="AG294" t="s">
        <v>3</v>
      </c>
      <c r="AH294" t="s">
        <v>3</v>
      </c>
      <c r="AI294" t="s">
        <v>3</v>
      </c>
      <c r="AJ294" t="s">
        <v>3</v>
      </c>
      <c r="AK294" t="s">
        <v>3</v>
      </c>
      <c r="AL294" t="s">
        <v>3</v>
      </c>
      <c r="AM294" t="s">
        <v>3</v>
      </c>
      <c r="AN294" t="s">
        <v>3</v>
      </c>
      <c r="AO294" t="s">
        <v>3</v>
      </c>
      <c r="AP294" t="s">
        <v>3</v>
      </c>
      <c r="AQ294" t="s">
        <v>3</v>
      </c>
      <c r="AR294" t="s">
        <v>3</v>
      </c>
      <c r="AS294" t="s">
        <v>3</v>
      </c>
      <c r="AT294" t="s">
        <v>3</v>
      </c>
      <c r="AU294" t="s">
        <v>3</v>
      </c>
      <c r="AV294" t="s">
        <v>3</v>
      </c>
      <c r="AW294" t="s">
        <v>3</v>
      </c>
      <c r="AX294">
        <v>0</v>
      </c>
      <c r="AY294">
        <v>1</v>
      </c>
      <c r="AZ294" t="s">
        <v>1</v>
      </c>
      <c r="BA294" t="s">
        <v>1</v>
      </c>
      <c r="BB294" t="s">
        <v>1</v>
      </c>
      <c r="BC294" s="21" t="s">
        <v>748</v>
      </c>
      <c r="BD294" s="21" t="s">
        <v>144</v>
      </c>
      <c r="BE294">
        <v>0</v>
      </c>
      <c r="BF294">
        <v>0</v>
      </c>
      <c r="BG294">
        <v>0</v>
      </c>
      <c r="BH294">
        <v>0</v>
      </c>
      <c r="BI294">
        <v>0</v>
      </c>
      <c r="BJ294" t="s">
        <v>749</v>
      </c>
      <c r="BK294">
        <v>0</v>
      </c>
      <c r="BL294" t="s">
        <v>132</v>
      </c>
      <c r="BM294">
        <v>0</v>
      </c>
      <c r="BN294">
        <v>1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 t="s">
        <v>0</v>
      </c>
      <c r="BX294">
        <v>0</v>
      </c>
      <c r="BY294">
        <v>0</v>
      </c>
      <c r="BZ294">
        <v>0</v>
      </c>
      <c r="CA294">
        <v>0</v>
      </c>
      <c r="CB294" t="s">
        <v>145</v>
      </c>
      <c r="CD294" t="str" cm="1">
        <f t="array" aca="1" ref="CD294" ca="1">eConcatenar(A294:CB294,"|")</f>
        <v>4vTav7s99vy8IXHe|MODIFVHS84|3|MODIF|MODIF|MODIF|MODIF|2022-01-01|1|0|0|0|0|0|0|0|0|0|0|0|0|0|0|0|0|0|0|x|x|x|x|x|x|x|x|x|x|x|x|x|x|x|x|x|x|x|x|x|x|0|1|X|X|X|2022-2-10|2022-02-23|0|0|0|0|0|QWYNRBIY9KVTQO|0|HOMBRE|0|1|0|0|0|0|0|0|0|0|CARDENAS|0|0|0|0|FINAL</v>
      </c>
    </row>
    <row r="295" spans="1:82" x14ac:dyDescent="0.25">
      <c r="A295" t="s">
        <v>835</v>
      </c>
      <c r="B295" t="s">
        <v>631</v>
      </c>
      <c r="C295">
        <v>3</v>
      </c>
      <c r="D295" t="s">
        <v>346</v>
      </c>
      <c r="E295" t="s">
        <v>346</v>
      </c>
      <c r="F295" t="s">
        <v>346</v>
      </c>
      <c r="G295" t="s">
        <v>346</v>
      </c>
      <c r="H295" s="21" t="s">
        <v>747</v>
      </c>
      <c r="I295">
        <v>1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 t="s">
        <v>3</v>
      </c>
      <c r="AC295" t="s">
        <v>3</v>
      </c>
      <c r="AD295" t="s">
        <v>3</v>
      </c>
      <c r="AE295" t="s">
        <v>3</v>
      </c>
      <c r="AF295" t="s">
        <v>3</v>
      </c>
      <c r="AG295" t="s">
        <v>3</v>
      </c>
      <c r="AH295" t="s">
        <v>3</v>
      </c>
      <c r="AI295" t="s">
        <v>3</v>
      </c>
      <c r="AJ295" t="s">
        <v>3</v>
      </c>
      <c r="AK295" t="s">
        <v>3</v>
      </c>
      <c r="AL295" t="s">
        <v>3</v>
      </c>
      <c r="AM295" t="s">
        <v>3</v>
      </c>
      <c r="AN295" t="s">
        <v>3</v>
      </c>
      <c r="AO295" t="s">
        <v>3</v>
      </c>
      <c r="AP295" t="s">
        <v>3</v>
      </c>
      <c r="AQ295" t="s">
        <v>3</v>
      </c>
      <c r="AR295" t="s">
        <v>3</v>
      </c>
      <c r="AS295" t="s">
        <v>3</v>
      </c>
      <c r="AT295" t="s">
        <v>3</v>
      </c>
      <c r="AU295" t="s">
        <v>3</v>
      </c>
      <c r="AV295" t="s">
        <v>3</v>
      </c>
      <c r="AW295" t="s">
        <v>3</v>
      </c>
      <c r="AX295">
        <v>0</v>
      </c>
      <c r="AY295">
        <v>1</v>
      </c>
      <c r="AZ295" t="s">
        <v>1</v>
      </c>
      <c r="BA295" t="s">
        <v>1</v>
      </c>
      <c r="BB295" t="s">
        <v>1</v>
      </c>
      <c r="BC295" s="21" t="s">
        <v>748</v>
      </c>
      <c r="BD295" s="21" t="s">
        <v>144</v>
      </c>
      <c r="BE295">
        <v>0</v>
      </c>
      <c r="BF295">
        <v>0</v>
      </c>
      <c r="BG295">
        <v>0</v>
      </c>
      <c r="BH295">
        <v>0</v>
      </c>
      <c r="BI295">
        <v>0</v>
      </c>
      <c r="BJ295" t="s">
        <v>749</v>
      </c>
      <c r="BK295">
        <v>0</v>
      </c>
      <c r="BL295" t="s">
        <v>132</v>
      </c>
      <c r="BM295">
        <v>0</v>
      </c>
      <c r="BN295">
        <v>1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 t="s">
        <v>0</v>
      </c>
      <c r="BX295">
        <v>0</v>
      </c>
      <c r="BY295">
        <v>0</v>
      </c>
      <c r="BZ295">
        <v>0</v>
      </c>
      <c r="CA295">
        <v>0</v>
      </c>
      <c r="CB295" t="s">
        <v>145</v>
      </c>
      <c r="CD295" t="str" cm="1">
        <f t="array" aca="1" ref="CD295" ca="1">eConcatenar(A295:CB295,"|")</f>
        <v>ETUBuaVIyxtoDqvv|MODIFVHS85|3|MODIF|MODIF|MODIF|MODIF|2022-01-01|1|0|0|0|0|0|0|0|0|0|0|0|0|0|0|0|0|0|0|x|x|x|x|x|x|x|x|x|x|x|x|x|x|x|x|x|x|x|x|x|x|0|1|X|X|X|2022-2-10|2022-02-23|0|0|0|0|0|QWYNRBIY9KVTQO|0|HOMBRE|0|1|0|0|0|0|0|0|0|0|CARDENAS|0|0|0|0|FINAL</v>
      </c>
    </row>
    <row r="296" spans="1:82" x14ac:dyDescent="0.25">
      <c r="A296" t="s">
        <v>836</v>
      </c>
      <c r="B296" t="s">
        <v>632</v>
      </c>
      <c r="C296">
        <v>3</v>
      </c>
      <c r="D296" t="s">
        <v>346</v>
      </c>
      <c r="E296" t="s">
        <v>346</v>
      </c>
      <c r="F296" t="s">
        <v>346</v>
      </c>
      <c r="G296" t="s">
        <v>346</v>
      </c>
      <c r="H296" s="21" t="s">
        <v>747</v>
      </c>
      <c r="I296">
        <v>1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 t="s">
        <v>3</v>
      </c>
      <c r="AC296" t="s">
        <v>3</v>
      </c>
      <c r="AD296" t="s">
        <v>3</v>
      </c>
      <c r="AE296" t="s">
        <v>3</v>
      </c>
      <c r="AF296" t="s">
        <v>3</v>
      </c>
      <c r="AG296" t="s">
        <v>3</v>
      </c>
      <c r="AH296" t="s">
        <v>3</v>
      </c>
      <c r="AI296" t="s">
        <v>3</v>
      </c>
      <c r="AJ296" t="s">
        <v>3</v>
      </c>
      <c r="AK296" t="s">
        <v>3</v>
      </c>
      <c r="AL296" t="s">
        <v>3</v>
      </c>
      <c r="AM296" t="s">
        <v>3</v>
      </c>
      <c r="AN296" t="s">
        <v>3</v>
      </c>
      <c r="AO296" t="s">
        <v>3</v>
      </c>
      <c r="AP296" t="s">
        <v>3</v>
      </c>
      <c r="AQ296" t="s">
        <v>3</v>
      </c>
      <c r="AR296" t="s">
        <v>3</v>
      </c>
      <c r="AS296" t="s">
        <v>3</v>
      </c>
      <c r="AT296" t="s">
        <v>3</v>
      </c>
      <c r="AU296" t="s">
        <v>3</v>
      </c>
      <c r="AV296" t="s">
        <v>3</v>
      </c>
      <c r="AW296" t="s">
        <v>3</v>
      </c>
      <c r="AX296">
        <v>0</v>
      </c>
      <c r="AY296">
        <v>1</v>
      </c>
      <c r="AZ296" t="s">
        <v>1</v>
      </c>
      <c r="BA296" t="s">
        <v>1</v>
      </c>
      <c r="BB296" t="s">
        <v>1</v>
      </c>
      <c r="BC296" s="21" t="s">
        <v>748</v>
      </c>
      <c r="BD296" s="21" t="s">
        <v>144</v>
      </c>
      <c r="BE296">
        <v>0</v>
      </c>
      <c r="BF296">
        <v>0</v>
      </c>
      <c r="BG296">
        <v>0</v>
      </c>
      <c r="BH296">
        <v>0</v>
      </c>
      <c r="BI296">
        <v>0</v>
      </c>
      <c r="BJ296" t="s">
        <v>749</v>
      </c>
      <c r="BK296">
        <v>0</v>
      </c>
      <c r="BL296" t="s">
        <v>132</v>
      </c>
      <c r="BM296">
        <v>0</v>
      </c>
      <c r="BN296">
        <v>1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 t="s">
        <v>0</v>
      </c>
      <c r="BX296">
        <v>0</v>
      </c>
      <c r="BY296">
        <v>0</v>
      </c>
      <c r="BZ296">
        <v>0</v>
      </c>
      <c r="CA296">
        <v>0</v>
      </c>
      <c r="CB296" t="s">
        <v>145</v>
      </c>
      <c r="CD296" t="str" cm="1">
        <f t="array" aca="1" ref="CD296" ca="1">eConcatenar(A296:CB296,"|")</f>
        <v>Y1DwIs3zG75vDLI3|MODIFVHS86|3|MODIF|MODIF|MODIF|MODIF|2022-01-01|1|0|0|0|0|0|0|0|0|0|0|0|0|0|0|0|0|0|0|x|x|x|x|x|x|x|x|x|x|x|x|x|x|x|x|x|x|x|x|x|x|0|1|X|X|X|2022-2-10|2022-02-23|0|0|0|0|0|QWYNRBIY9KVTQO|0|HOMBRE|0|1|0|0|0|0|0|0|0|0|CARDENAS|0|0|0|0|FINAL</v>
      </c>
    </row>
    <row r="297" spans="1:82" x14ac:dyDescent="0.25">
      <c r="A297" t="s">
        <v>837</v>
      </c>
      <c r="B297" t="s">
        <v>633</v>
      </c>
      <c r="C297">
        <v>3</v>
      </c>
      <c r="D297" t="s">
        <v>346</v>
      </c>
      <c r="E297" t="s">
        <v>346</v>
      </c>
      <c r="F297" t="s">
        <v>346</v>
      </c>
      <c r="G297" t="s">
        <v>346</v>
      </c>
      <c r="H297" s="21" t="s">
        <v>747</v>
      </c>
      <c r="I297">
        <v>1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 t="s">
        <v>3</v>
      </c>
      <c r="AC297" t="s">
        <v>3</v>
      </c>
      <c r="AD297" t="s">
        <v>3</v>
      </c>
      <c r="AE297" t="s">
        <v>3</v>
      </c>
      <c r="AF297" t="s">
        <v>3</v>
      </c>
      <c r="AG297" t="s">
        <v>3</v>
      </c>
      <c r="AH297" t="s">
        <v>3</v>
      </c>
      <c r="AI297" t="s">
        <v>3</v>
      </c>
      <c r="AJ297" t="s">
        <v>3</v>
      </c>
      <c r="AK297" t="s">
        <v>3</v>
      </c>
      <c r="AL297" t="s">
        <v>3</v>
      </c>
      <c r="AM297" t="s">
        <v>3</v>
      </c>
      <c r="AN297" t="s">
        <v>3</v>
      </c>
      <c r="AO297" t="s">
        <v>3</v>
      </c>
      <c r="AP297" t="s">
        <v>3</v>
      </c>
      <c r="AQ297" t="s">
        <v>3</v>
      </c>
      <c r="AR297" t="s">
        <v>3</v>
      </c>
      <c r="AS297" t="s">
        <v>3</v>
      </c>
      <c r="AT297" t="s">
        <v>3</v>
      </c>
      <c r="AU297" t="s">
        <v>3</v>
      </c>
      <c r="AV297" t="s">
        <v>3</v>
      </c>
      <c r="AW297" t="s">
        <v>3</v>
      </c>
      <c r="AX297">
        <v>0</v>
      </c>
      <c r="AY297">
        <v>1</v>
      </c>
      <c r="AZ297" t="s">
        <v>1</v>
      </c>
      <c r="BA297" t="s">
        <v>1</v>
      </c>
      <c r="BB297" t="s">
        <v>1</v>
      </c>
      <c r="BC297" s="21" t="s">
        <v>748</v>
      </c>
      <c r="BD297" s="21" t="s">
        <v>144</v>
      </c>
      <c r="BE297">
        <v>0</v>
      </c>
      <c r="BF297">
        <v>0</v>
      </c>
      <c r="BG297">
        <v>0</v>
      </c>
      <c r="BH297">
        <v>0</v>
      </c>
      <c r="BI297">
        <v>0</v>
      </c>
      <c r="BJ297" t="s">
        <v>749</v>
      </c>
      <c r="BK297">
        <v>0</v>
      </c>
      <c r="BL297" t="s">
        <v>132</v>
      </c>
      <c r="BM297">
        <v>0</v>
      </c>
      <c r="BN297">
        <v>1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 t="s">
        <v>0</v>
      </c>
      <c r="BX297">
        <v>0</v>
      </c>
      <c r="BY297">
        <v>0</v>
      </c>
      <c r="BZ297">
        <v>0</v>
      </c>
      <c r="CA297">
        <v>0</v>
      </c>
      <c r="CB297" t="s">
        <v>145</v>
      </c>
      <c r="CD297" t="str" cm="1">
        <f t="array" aca="1" ref="CD297" ca="1">eConcatenar(A297:CB297,"|")</f>
        <v>dKFAWix7IutwYtCj|MODIFVHS87|3|MODIF|MODIF|MODIF|MODIF|2022-01-01|1|0|0|0|0|0|0|0|0|0|0|0|0|0|0|0|0|0|0|x|x|x|x|x|x|x|x|x|x|x|x|x|x|x|x|x|x|x|x|x|x|0|1|X|X|X|2022-2-10|2022-02-23|0|0|0|0|0|QWYNRBIY9KVTQO|0|HOMBRE|0|1|0|0|0|0|0|0|0|0|CARDENAS|0|0|0|0|FINAL</v>
      </c>
    </row>
    <row r="298" spans="1:82" x14ac:dyDescent="0.25">
      <c r="A298" t="s">
        <v>838</v>
      </c>
      <c r="B298" t="s">
        <v>634</v>
      </c>
      <c r="C298">
        <v>3</v>
      </c>
      <c r="D298" t="s">
        <v>346</v>
      </c>
      <c r="E298" t="s">
        <v>346</v>
      </c>
      <c r="F298" t="s">
        <v>346</v>
      </c>
      <c r="G298" t="s">
        <v>346</v>
      </c>
      <c r="H298" s="21" t="s">
        <v>747</v>
      </c>
      <c r="I298">
        <v>1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 t="s">
        <v>3</v>
      </c>
      <c r="AC298" t="s">
        <v>3</v>
      </c>
      <c r="AD298" t="s">
        <v>3</v>
      </c>
      <c r="AE298" t="s">
        <v>3</v>
      </c>
      <c r="AF298" t="s">
        <v>3</v>
      </c>
      <c r="AG298" t="s">
        <v>3</v>
      </c>
      <c r="AH298" t="s">
        <v>3</v>
      </c>
      <c r="AI298" t="s">
        <v>3</v>
      </c>
      <c r="AJ298" t="s">
        <v>3</v>
      </c>
      <c r="AK298" t="s">
        <v>3</v>
      </c>
      <c r="AL298" t="s">
        <v>3</v>
      </c>
      <c r="AM298" t="s">
        <v>3</v>
      </c>
      <c r="AN298" t="s">
        <v>3</v>
      </c>
      <c r="AO298" t="s">
        <v>3</v>
      </c>
      <c r="AP298" t="s">
        <v>3</v>
      </c>
      <c r="AQ298" t="s">
        <v>3</v>
      </c>
      <c r="AR298" t="s">
        <v>3</v>
      </c>
      <c r="AS298" t="s">
        <v>3</v>
      </c>
      <c r="AT298" t="s">
        <v>3</v>
      </c>
      <c r="AU298" t="s">
        <v>3</v>
      </c>
      <c r="AV298" t="s">
        <v>3</v>
      </c>
      <c r="AW298" t="s">
        <v>3</v>
      </c>
      <c r="AX298">
        <v>0</v>
      </c>
      <c r="AY298">
        <v>1</v>
      </c>
      <c r="AZ298" t="s">
        <v>1</v>
      </c>
      <c r="BA298" t="s">
        <v>1</v>
      </c>
      <c r="BB298" t="s">
        <v>1</v>
      </c>
      <c r="BC298" s="21" t="s">
        <v>748</v>
      </c>
      <c r="BD298" s="21" t="s">
        <v>144</v>
      </c>
      <c r="BE298">
        <v>0</v>
      </c>
      <c r="BF298">
        <v>0</v>
      </c>
      <c r="BG298">
        <v>0</v>
      </c>
      <c r="BH298">
        <v>0</v>
      </c>
      <c r="BI298">
        <v>0</v>
      </c>
      <c r="BJ298" t="s">
        <v>749</v>
      </c>
      <c r="BK298">
        <v>0</v>
      </c>
      <c r="BL298" t="s">
        <v>132</v>
      </c>
      <c r="BM298">
        <v>0</v>
      </c>
      <c r="BN298">
        <v>1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 t="s">
        <v>0</v>
      </c>
      <c r="BX298">
        <v>0</v>
      </c>
      <c r="BY298">
        <v>0</v>
      </c>
      <c r="BZ298">
        <v>0</v>
      </c>
      <c r="CA298">
        <v>0</v>
      </c>
      <c r="CB298" t="s">
        <v>145</v>
      </c>
      <c r="CD298" t="str" cm="1">
        <f t="array" aca="1" ref="CD298" ca="1">eConcatenar(A298:CB298,"|")</f>
        <v>dVfRclWiRD6lV3Fm|MODIFVHS88|3|MODIF|MODIF|MODIF|MODIF|2022-01-01|1|0|0|0|0|0|0|0|0|0|0|0|0|0|0|0|0|0|0|x|x|x|x|x|x|x|x|x|x|x|x|x|x|x|x|x|x|x|x|x|x|0|1|X|X|X|2022-2-10|2022-02-23|0|0|0|0|0|QWYNRBIY9KVTQO|0|HOMBRE|0|1|0|0|0|0|0|0|0|0|CARDENAS|0|0|0|0|FINAL</v>
      </c>
    </row>
    <row r="299" spans="1:82" x14ac:dyDescent="0.25">
      <c r="A299" t="s">
        <v>839</v>
      </c>
      <c r="B299" t="s">
        <v>635</v>
      </c>
      <c r="C299">
        <v>3</v>
      </c>
      <c r="D299" t="s">
        <v>346</v>
      </c>
      <c r="E299" t="s">
        <v>346</v>
      </c>
      <c r="F299" t="s">
        <v>346</v>
      </c>
      <c r="G299" t="s">
        <v>346</v>
      </c>
      <c r="H299" s="21" t="s">
        <v>747</v>
      </c>
      <c r="I299">
        <v>1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t="s">
        <v>3</v>
      </c>
      <c r="AC299" t="s">
        <v>3</v>
      </c>
      <c r="AD299" t="s">
        <v>3</v>
      </c>
      <c r="AE299" t="s">
        <v>3</v>
      </c>
      <c r="AF299" t="s">
        <v>3</v>
      </c>
      <c r="AG299" t="s">
        <v>3</v>
      </c>
      <c r="AH299" t="s">
        <v>3</v>
      </c>
      <c r="AI299" t="s">
        <v>3</v>
      </c>
      <c r="AJ299" t="s">
        <v>3</v>
      </c>
      <c r="AK299" t="s">
        <v>3</v>
      </c>
      <c r="AL299" t="s">
        <v>3</v>
      </c>
      <c r="AM299" t="s">
        <v>3</v>
      </c>
      <c r="AN299" t="s">
        <v>3</v>
      </c>
      <c r="AO299" t="s">
        <v>3</v>
      </c>
      <c r="AP299" t="s">
        <v>3</v>
      </c>
      <c r="AQ299" t="s">
        <v>3</v>
      </c>
      <c r="AR299" t="s">
        <v>3</v>
      </c>
      <c r="AS299" t="s">
        <v>3</v>
      </c>
      <c r="AT299" t="s">
        <v>3</v>
      </c>
      <c r="AU299" t="s">
        <v>3</v>
      </c>
      <c r="AV299" t="s">
        <v>3</v>
      </c>
      <c r="AW299" t="s">
        <v>3</v>
      </c>
      <c r="AX299">
        <v>0</v>
      </c>
      <c r="AY299">
        <v>1</v>
      </c>
      <c r="AZ299" t="s">
        <v>1</v>
      </c>
      <c r="BA299" t="s">
        <v>1</v>
      </c>
      <c r="BB299" t="s">
        <v>1</v>
      </c>
      <c r="BC299" s="21" t="s">
        <v>748</v>
      </c>
      <c r="BD299" s="21" t="s">
        <v>144</v>
      </c>
      <c r="BE299">
        <v>0</v>
      </c>
      <c r="BF299">
        <v>0</v>
      </c>
      <c r="BG299">
        <v>0</v>
      </c>
      <c r="BH299">
        <v>0</v>
      </c>
      <c r="BI299">
        <v>0</v>
      </c>
      <c r="BJ299" t="s">
        <v>749</v>
      </c>
      <c r="BK299">
        <v>0</v>
      </c>
      <c r="BL299" t="s">
        <v>132</v>
      </c>
      <c r="BM299">
        <v>0</v>
      </c>
      <c r="BN299">
        <v>1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 t="s">
        <v>0</v>
      </c>
      <c r="BX299">
        <v>0</v>
      </c>
      <c r="BY299">
        <v>0</v>
      </c>
      <c r="BZ299">
        <v>0</v>
      </c>
      <c r="CA299">
        <v>0</v>
      </c>
      <c r="CB299" t="s">
        <v>145</v>
      </c>
      <c r="CD299" t="str" cm="1">
        <f t="array" aca="1" ref="CD299" ca="1">eConcatenar(A299:CB299,"|")</f>
        <v>0XKA9k5ygjMWWupB|MODIFVHS89|3|MODIF|MODIF|MODIF|MODIF|2022-01-01|1|0|0|0|0|0|0|0|0|0|0|0|0|0|0|0|0|0|0|x|x|x|x|x|x|x|x|x|x|x|x|x|x|x|x|x|x|x|x|x|x|0|1|X|X|X|2022-2-10|2022-02-23|0|0|0|0|0|QWYNRBIY9KVTQO|0|HOMBRE|0|1|0|0|0|0|0|0|0|0|CARDENAS|0|0|0|0|FINAL</v>
      </c>
    </row>
    <row r="300" spans="1:82" x14ac:dyDescent="0.25">
      <c r="A300" t="s">
        <v>840</v>
      </c>
      <c r="B300" t="s">
        <v>636</v>
      </c>
      <c r="C300">
        <v>3</v>
      </c>
      <c r="D300" t="s">
        <v>346</v>
      </c>
      <c r="E300" t="s">
        <v>346</v>
      </c>
      <c r="F300" t="s">
        <v>346</v>
      </c>
      <c r="G300" t="s">
        <v>346</v>
      </c>
      <c r="H300" s="21" t="s">
        <v>747</v>
      </c>
      <c r="I300">
        <v>1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 t="s">
        <v>3</v>
      </c>
      <c r="AC300" t="s">
        <v>3</v>
      </c>
      <c r="AD300" t="s">
        <v>3</v>
      </c>
      <c r="AE300" t="s">
        <v>3</v>
      </c>
      <c r="AF300" t="s">
        <v>3</v>
      </c>
      <c r="AG300" t="s">
        <v>3</v>
      </c>
      <c r="AH300" t="s">
        <v>3</v>
      </c>
      <c r="AI300" t="s">
        <v>3</v>
      </c>
      <c r="AJ300" t="s">
        <v>3</v>
      </c>
      <c r="AK300" t="s">
        <v>3</v>
      </c>
      <c r="AL300" t="s">
        <v>3</v>
      </c>
      <c r="AM300" t="s">
        <v>3</v>
      </c>
      <c r="AN300" t="s">
        <v>3</v>
      </c>
      <c r="AO300" t="s">
        <v>3</v>
      </c>
      <c r="AP300" t="s">
        <v>3</v>
      </c>
      <c r="AQ300" t="s">
        <v>3</v>
      </c>
      <c r="AR300" t="s">
        <v>3</v>
      </c>
      <c r="AS300" t="s">
        <v>3</v>
      </c>
      <c r="AT300" t="s">
        <v>3</v>
      </c>
      <c r="AU300" t="s">
        <v>3</v>
      </c>
      <c r="AV300" t="s">
        <v>3</v>
      </c>
      <c r="AW300" t="s">
        <v>3</v>
      </c>
      <c r="AX300">
        <v>0</v>
      </c>
      <c r="AY300">
        <v>1</v>
      </c>
      <c r="AZ300" t="s">
        <v>1</v>
      </c>
      <c r="BA300" t="s">
        <v>1</v>
      </c>
      <c r="BB300" t="s">
        <v>1</v>
      </c>
      <c r="BC300" s="21" t="s">
        <v>748</v>
      </c>
      <c r="BD300" s="21" t="s">
        <v>144</v>
      </c>
      <c r="BE300">
        <v>0</v>
      </c>
      <c r="BF300">
        <v>0</v>
      </c>
      <c r="BG300">
        <v>0</v>
      </c>
      <c r="BH300">
        <v>0</v>
      </c>
      <c r="BI300">
        <v>0</v>
      </c>
      <c r="BJ300" t="s">
        <v>749</v>
      </c>
      <c r="BK300">
        <v>0</v>
      </c>
      <c r="BL300" t="s">
        <v>132</v>
      </c>
      <c r="BM300">
        <v>0</v>
      </c>
      <c r="BN300">
        <v>1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 t="s">
        <v>0</v>
      </c>
      <c r="BX300">
        <v>0</v>
      </c>
      <c r="BY300">
        <v>0</v>
      </c>
      <c r="BZ300">
        <v>0</v>
      </c>
      <c r="CA300">
        <v>0</v>
      </c>
      <c r="CB300" t="s">
        <v>145</v>
      </c>
      <c r="CD300" t="str" cm="1">
        <f t="array" aca="1" ref="CD300" ca="1">eConcatenar(A300:CB300,"|")</f>
        <v>eONoSsfeZ3j4jq1F|MODIFVHS90|3|MODIF|MODIF|MODIF|MODIF|2022-01-01|1|0|0|0|0|0|0|0|0|0|0|0|0|0|0|0|0|0|0|x|x|x|x|x|x|x|x|x|x|x|x|x|x|x|x|x|x|x|x|x|x|0|1|X|X|X|2022-2-10|2022-02-23|0|0|0|0|0|QWYNRBIY9KVTQO|0|HOMBRE|0|1|0|0|0|0|0|0|0|0|CARDENAS|0|0|0|0|FINAL</v>
      </c>
    </row>
    <row r="301" spans="1:82" x14ac:dyDescent="0.25">
      <c r="A301" t="s">
        <v>841</v>
      </c>
      <c r="B301" t="s">
        <v>637</v>
      </c>
      <c r="C301">
        <v>3</v>
      </c>
      <c r="D301" t="s">
        <v>346</v>
      </c>
      <c r="E301" t="s">
        <v>346</v>
      </c>
      <c r="F301" t="s">
        <v>346</v>
      </c>
      <c r="G301" t="s">
        <v>346</v>
      </c>
      <c r="H301" s="21" t="s">
        <v>747</v>
      </c>
      <c r="I301">
        <v>1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 t="s">
        <v>3</v>
      </c>
      <c r="AC301" t="s">
        <v>3</v>
      </c>
      <c r="AD301" t="s">
        <v>3</v>
      </c>
      <c r="AE301" t="s">
        <v>3</v>
      </c>
      <c r="AF301" t="s">
        <v>3</v>
      </c>
      <c r="AG301" t="s">
        <v>3</v>
      </c>
      <c r="AH301" t="s">
        <v>3</v>
      </c>
      <c r="AI301" t="s">
        <v>3</v>
      </c>
      <c r="AJ301" t="s">
        <v>3</v>
      </c>
      <c r="AK301" t="s">
        <v>3</v>
      </c>
      <c r="AL301" t="s">
        <v>3</v>
      </c>
      <c r="AM301" t="s">
        <v>3</v>
      </c>
      <c r="AN301" t="s">
        <v>3</v>
      </c>
      <c r="AO301" t="s">
        <v>3</v>
      </c>
      <c r="AP301" t="s">
        <v>3</v>
      </c>
      <c r="AQ301" t="s">
        <v>3</v>
      </c>
      <c r="AR301" t="s">
        <v>3</v>
      </c>
      <c r="AS301" t="s">
        <v>3</v>
      </c>
      <c r="AT301" t="s">
        <v>3</v>
      </c>
      <c r="AU301" t="s">
        <v>3</v>
      </c>
      <c r="AV301" t="s">
        <v>3</v>
      </c>
      <c r="AW301" t="s">
        <v>3</v>
      </c>
      <c r="AX301">
        <v>0</v>
      </c>
      <c r="AY301">
        <v>1</v>
      </c>
      <c r="AZ301" t="s">
        <v>1</v>
      </c>
      <c r="BA301" t="s">
        <v>1</v>
      </c>
      <c r="BB301" t="s">
        <v>1</v>
      </c>
      <c r="BC301" s="21" t="s">
        <v>748</v>
      </c>
      <c r="BD301" s="21" t="s">
        <v>144</v>
      </c>
      <c r="BE301">
        <v>0</v>
      </c>
      <c r="BF301">
        <v>0</v>
      </c>
      <c r="BG301">
        <v>0</v>
      </c>
      <c r="BH301">
        <v>0</v>
      </c>
      <c r="BI301">
        <v>0</v>
      </c>
      <c r="BJ301" t="s">
        <v>749</v>
      </c>
      <c r="BK301">
        <v>0</v>
      </c>
      <c r="BL301" t="s">
        <v>132</v>
      </c>
      <c r="BM301">
        <v>0</v>
      </c>
      <c r="BN301">
        <v>1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 t="s">
        <v>0</v>
      </c>
      <c r="BX301">
        <v>0</v>
      </c>
      <c r="BY301">
        <v>0</v>
      </c>
      <c r="BZ301">
        <v>0</v>
      </c>
      <c r="CA301">
        <v>0</v>
      </c>
      <c r="CB301" t="s">
        <v>145</v>
      </c>
      <c r="CD301" t="str" cm="1">
        <f t="array" aca="1" ref="CD301" ca="1">eConcatenar(A301:CB301,"|")</f>
        <v>QePRp0zSRXueCTL9|MODIFVHS91|3|MODIF|MODIF|MODIF|MODIF|2022-01-01|1|0|0|0|0|0|0|0|0|0|0|0|0|0|0|0|0|0|0|x|x|x|x|x|x|x|x|x|x|x|x|x|x|x|x|x|x|x|x|x|x|0|1|X|X|X|2022-2-10|2022-02-23|0|0|0|0|0|QWYNRBIY9KVTQO|0|HOMBRE|0|1|0|0|0|0|0|0|0|0|CARDENAS|0|0|0|0|FINAL</v>
      </c>
    </row>
    <row r="302" spans="1:82" x14ac:dyDescent="0.25">
      <c r="A302" t="s">
        <v>842</v>
      </c>
      <c r="B302" t="s">
        <v>638</v>
      </c>
      <c r="C302">
        <v>3</v>
      </c>
      <c r="D302" t="s">
        <v>346</v>
      </c>
      <c r="E302" t="s">
        <v>346</v>
      </c>
      <c r="F302" t="s">
        <v>346</v>
      </c>
      <c r="G302" t="s">
        <v>346</v>
      </c>
      <c r="H302" s="21" t="s">
        <v>747</v>
      </c>
      <c r="I302">
        <v>1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 t="s">
        <v>3</v>
      </c>
      <c r="AC302" t="s">
        <v>3</v>
      </c>
      <c r="AD302" t="s">
        <v>3</v>
      </c>
      <c r="AE302" t="s">
        <v>3</v>
      </c>
      <c r="AF302" t="s">
        <v>3</v>
      </c>
      <c r="AG302" t="s">
        <v>3</v>
      </c>
      <c r="AH302" t="s">
        <v>3</v>
      </c>
      <c r="AI302" t="s">
        <v>3</v>
      </c>
      <c r="AJ302" t="s">
        <v>3</v>
      </c>
      <c r="AK302" t="s">
        <v>3</v>
      </c>
      <c r="AL302" t="s">
        <v>3</v>
      </c>
      <c r="AM302" t="s">
        <v>3</v>
      </c>
      <c r="AN302" t="s">
        <v>3</v>
      </c>
      <c r="AO302" t="s">
        <v>3</v>
      </c>
      <c r="AP302" t="s">
        <v>3</v>
      </c>
      <c r="AQ302" t="s">
        <v>3</v>
      </c>
      <c r="AR302" t="s">
        <v>3</v>
      </c>
      <c r="AS302" t="s">
        <v>3</v>
      </c>
      <c r="AT302" t="s">
        <v>3</v>
      </c>
      <c r="AU302" t="s">
        <v>3</v>
      </c>
      <c r="AV302" t="s">
        <v>3</v>
      </c>
      <c r="AW302" t="s">
        <v>3</v>
      </c>
      <c r="AX302">
        <v>0</v>
      </c>
      <c r="AY302">
        <v>1</v>
      </c>
      <c r="AZ302" t="s">
        <v>1</v>
      </c>
      <c r="BA302" t="s">
        <v>1</v>
      </c>
      <c r="BB302" t="s">
        <v>1</v>
      </c>
      <c r="BC302" s="21" t="s">
        <v>748</v>
      </c>
      <c r="BD302" s="21" t="s">
        <v>144</v>
      </c>
      <c r="BE302">
        <v>0</v>
      </c>
      <c r="BF302">
        <v>0</v>
      </c>
      <c r="BG302">
        <v>0</v>
      </c>
      <c r="BH302">
        <v>0</v>
      </c>
      <c r="BI302">
        <v>0</v>
      </c>
      <c r="BJ302" t="s">
        <v>749</v>
      </c>
      <c r="BK302">
        <v>0</v>
      </c>
      <c r="BL302" t="s">
        <v>132</v>
      </c>
      <c r="BM302">
        <v>0</v>
      </c>
      <c r="BN302">
        <v>1</v>
      </c>
      <c r="BO302">
        <v>0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 t="s">
        <v>0</v>
      </c>
      <c r="BX302">
        <v>0</v>
      </c>
      <c r="BY302">
        <v>0</v>
      </c>
      <c r="BZ302">
        <v>0</v>
      </c>
      <c r="CA302">
        <v>0</v>
      </c>
      <c r="CB302" t="s">
        <v>145</v>
      </c>
      <c r="CD302" t="str" cm="1">
        <f t="array" aca="1" ref="CD302" ca="1">eConcatenar(A302:CB302,"|")</f>
        <v>fad6vro5rhQIVxHk|MODIFVHS92|3|MODIF|MODIF|MODIF|MODIF|2022-01-01|1|0|0|0|0|0|0|0|0|0|0|0|0|0|0|0|0|0|0|x|x|x|x|x|x|x|x|x|x|x|x|x|x|x|x|x|x|x|x|x|x|0|1|X|X|X|2022-2-10|2022-02-23|0|0|0|0|0|QWYNRBIY9KVTQO|0|HOMBRE|0|1|0|0|0|0|0|0|0|0|CARDENAS|0|0|0|0|FINAL</v>
      </c>
    </row>
    <row r="303" spans="1:82" x14ac:dyDescent="0.25">
      <c r="A303" t="s">
        <v>843</v>
      </c>
      <c r="B303" t="s">
        <v>639</v>
      </c>
      <c r="C303">
        <v>3</v>
      </c>
      <c r="D303" t="s">
        <v>346</v>
      </c>
      <c r="E303" t="s">
        <v>346</v>
      </c>
      <c r="F303" t="s">
        <v>346</v>
      </c>
      <c r="G303" t="s">
        <v>346</v>
      </c>
      <c r="H303" s="21" t="s">
        <v>747</v>
      </c>
      <c r="I303">
        <v>1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t="s">
        <v>3</v>
      </c>
      <c r="AC303" t="s">
        <v>3</v>
      </c>
      <c r="AD303" t="s">
        <v>3</v>
      </c>
      <c r="AE303" t="s">
        <v>3</v>
      </c>
      <c r="AF303" t="s">
        <v>3</v>
      </c>
      <c r="AG303" t="s">
        <v>3</v>
      </c>
      <c r="AH303" t="s">
        <v>3</v>
      </c>
      <c r="AI303" t="s">
        <v>3</v>
      </c>
      <c r="AJ303" t="s">
        <v>3</v>
      </c>
      <c r="AK303" t="s">
        <v>3</v>
      </c>
      <c r="AL303" t="s">
        <v>3</v>
      </c>
      <c r="AM303" t="s">
        <v>3</v>
      </c>
      <c r="AN303" t="s">
        <v>3</v>
      </c>
      <c r="AO303" t="s">
        <v>3</v>
      </c>
      <c r="AP303" t="s">
        <v>3</v>
      </c>
      <c r="AQ303" t="s">
        <v>3</v>
      </c>
      <c r="AR303" t="s">
        <v>3</v>
      </c>
      <c r="AS303" t="s">
        <v>3</v>
      </c>
      <c r="AT303" t="s">
        <v>3</v>
      </c>
      <c r="AU303" t="s">
        <v>3</v>
      </c>
      <c r="AV303" t="s">
        <v>3</v>
      </c>
      <c r="AW303" t="s">
        <v>3</v>
      </c>
      <c r="AX303">
        <v>0</v>
      </c>
      <c r="AY303">
        <v>1</v>
      </c>
      <c r="AZ303" t="s">
        <v>1</v>
      </c>
      <c r="BA303" t="s">
        <v>1</v>
      </c>
      <c r="BB303" t="s">
        <v>1</v>
      </c>
      <c r="BC303" s="21" t="s">
        <v>748</v>
      </c>
      <c r="BD303" s="21" t="s">
        <v>144</v>
      </c>
      <c r="BE303">
        <v>0</v>
      </c>
      <c r="BF303">
        <v>0</v>
      </c>
      <c r="BG303">
        <v>0</v>
      </c>
      <c r="BH303">
        <v>0</v>
      </c>
      <c r="BI303">
        <v>0</v>
      </c>
      <c r="BJ303" t="s">
        <v>749</v>
      </c>
      <c r="BK303">
        <v>0</v>
      </c>
      <c r="BL303" t="s">
        <v>132</v>
      </c>
      <c r="BM303">
        <v>0</v>
      </c>
      <c r="BN303">
        <v>1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 t="s">
        <v>0</v>
      </c>
      <c r="BX303">
        <v>0</v>
      </c>
      <c r="BY303">
        <v>0</v>
      </c>
      <c r="BZ303">
        <v>0</v>
      </c>
      <c r="CA303">
        <v>0</v>
      </c>
      <c r="CB303" t="s">
        <v>145</v>
      </c>
      <c r="CD303" t="str" cm="1">
        <f t="array" aca="1" ref="CD303" ca="1">eConcatenar(A303:CB303,"|")</f>
        <v>aaDFhZEBW7UuaRY1|MODIFVHS93|3|MODIF|MODIF|MODIF|MODIF|2022-01-01|1|0|0|0|0|0|0|0|0|0|0|0|0|0|0|0|0|0|0|x|x|x|x|x|x|x|x|x|x|x|x|x|x|x|x|x|x|x|x|x|x|0|1|X|X|X|2022-2-10|2022-02-23|0|0|0|0|0|QWYNRBIY9KVTQO|0|HOMBRE|0|1|0|0|0|0|0|0|0|0|CARDENAS|0|0|0|0|FINAL</v>
      </c>
    </row>
    <row r="304" spans="1:82" x14ac:dyDescent="0.25">
      <c r="A304" t="s">
        <v>844</v>
      </c>
      <c r="B304" t="s">
        <v>640</v>
      </c>
      <c r="C304">
        <v>3</v>
      </c>
      <c r="D304" t="s">
        <v>346</v>
      </c>
      <c r="E304" t="s">
        <v>346</v>
      </c>
      <c r="F304" t="s">
        <v>346</v>
      </c>
      <c r="G304" t="s">
        <v>346</v>
      </c>
      <c r="H304" s="21" t="s">
        <v>747</v>
      </c>
      <c r="I304">
        <v>1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 t="s">
        <v>3</v>
      </c>
      <c r="AC304" t="s">
        <v>3</v>
      </c>
      <c r="AD304" t="s">
        <v>3</v>
      </c>
      <c r="AE304" t="s">
        <v>3</v>
      </c>
      <c r="AF304" t="s">
        <v>3</v>
      </c>
      <c r="AG304" t="s">
        <v>3</v>
      </c>
      <c r="AH304" t="s">
        <v>3</v>
      </c>
      <c r="AI304" t="s">
        <v>3</v>
      </c>
      <c r="AJ304" t="s">
        <v>3</v>
      </c>
      <c r="AK304" t="s">
        <v>3</v>
      </c>
      <c r="AL304" t="s">
        <v>3</v>
      </c>
      <c r="AM304" t="s">
        <v>3</v>
      </c>
      <c r="AN304" t="s">
        <v>3</v>
      </c>
      <c r="AO304" t="s">
        <v>3</v>
      </c>
      <c r="AP304" t="s">
        <v>3</v>
      </c>
      <c r="AQ304" t="s">
        <v>3</v>
      </c>
      <c r="AR304" t="s">
        <v>3</v>
      </c>
      <c r="AS304" t="s">
        <v>3</v>
      </c>
      <c r="AT304" t="s">
        <v>3</v>
      </c>
      <c r="AU304" t="s">
        <v>3</v>
      </c>
      <c r="AV304" t="s">
        <v>3</v>
      </c>
      <c r="AW304" t="s">
        <v>3</v>
      </c>
      <c r="AX304">
        <v>0</v>
      </c>
      <c r="AY304">
        <v>1</v>
      </c>
      <c r="AZ304" t="s">
        <v>1</v>
      </c>
      <c r="BA304" t="s">
        <v>1</v>
      </c>
      <c r="BB304" t="s">
        <v>1</v>
      </c>
      <c r="BC304" s="21" t="s">
        <v>748</v>
      </c>
      <c r="BD304" s="21" t="s">
        <v>144</v>
      </c>
      <c r="BE304">
        <v>0</v>
      </c>
      <c r="BF304">
        <v>0</v>
      </c>
      <c r="BG304">
        <v>0</v>
      </c>
      <c r="BH304">
        <v>0</v>
      </c>
      <c r="BI304">
        <v>0</v>
      </c>
      <c r="BJ304" t="s">
        <v>749</v>
      </c>
      <c r="BK304">
        <v>0</v>
      </c>
      <c r="BL304" t="s">
        <v>132</v>
      </c>
      <c r="BM304">
        <v>0</v>
      </c>
      <c r="BN304">
        <v>1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 t="s">
        <v>0</v>
      </c>
      <c r="BX304">
        <v>0</v>
      </c>
      <c r="BY304">
        <v>0</v>
      </c>
      <c r="BZ304">
        <v>0</v>
      </c>
      <c r="CA304">
        <v>0</v>
      </c>
      <c r="CB304" t="s">
        <v>145</v>
      </c>
      <c r="CD304" t="str" cm="1">
        <f t="array" aca="1" ref="CD304" ca="1">eConcatenar(A304:CB304,"|")</f>
        <v>wZYHfvzeb6yguxJc|MODIFVHS94|3|MODIF|MODIF|MODIF|MODIF|2022-01-01|1|0|0|0|0|0|0|0|0|0|0|0|0|0|0|0|0|0|0|x|x|x|x|x|x|x|x|x|x|x|x|x|x|x|x|x|x|x|x|x|x|0|1|X|X|X|2022-2-10|2022-02-23|0|0|0|0|0|QWYNRBIY9KVTQO|0|HOMBRE|0|1|0|0|0|0|0|0|0|0|CARDENAS|0|0|0|0|FINAL</v>
      </c>
    </row>
    <row r="305" spans="1:82" x14ac:dyDescent="0.25">
      <c r="A305" t="s">
        <v>845</v>
      </c>
      <c r="B305" t="s">
        <v>641</v>
      </c>
      <c r="C305">
        <v>3</v>
      </c>
      <c r="D305" t="s">
        <v>346</v>
      </c>
      <c r="E305" t="s">
        <v>346</v>
      </c>
      <c r="F305" t="s">
        <v>346</v>
      </c>
      <c r="G305" t="s">
        <v>346</v>
      </c>
      <c r="H305" s="21" t="s">
        <v>747</v>
      </c>
      <c r="I305">
        <v>1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 t="s">
        <v>3</v>
      </c>
      <c r="AC305" t="s">
        <v>3</v>
      </c>
      <c r="AD305" t="s">
        <v>3</v>
      </c>
      <c r="AE305" t="s">
        <v>3</v>
      </c>
      <c r="AF305" t="s">
        <v>3</v>
      </c>
      <c r="AG305" t="s">
        <v>3</v>
      </c>
      <c r="AH305" t="s">
        <v>3</v>
      </c>
      <c r="AI305" t="s">
        <v>3</v>
      </c>
      <c r="AJ305" t="s">
        <v>3</v>
      </c>
      <c r="AK305" t="s">
        <v>3</v>
      </c>
      <c r="AL305" t="s">
        <v>3</v>
      </c>
      <c r="AM305" t="s">
        <v>3</v>
      </c>
      <c r="AN305" t="s">
        <v>3</v>
      </c>
      <c r="AO305" t="s">
        <v>3</v>
      </c>
      <c r="AP305" t="s">
        <v>3</v>
      </c>
      <c r="AQ305" t="s">
        <v>3</v>
      </c>
      <c r="AR305" t="s">
        <v>3</v>
      </c>
      <c r="AS305" t="s">
        <v>3</v>
      </c>
      <c r="AT305" t="s">
        <v>3</v>
      </c>
      <c r="AU305" t="s">
        <v>3</v>
      </c>
      <c r="AV305" t="s">
        <v>3</v>
      </c>
      <c r="AW305" t="s">
        <v>3</v>
      </c>
      <c r="AX305">
        <v>0</v>
      </c>
      <c r="AY305">
        <v>1</v>
      </c>
      <c r="AZ305" t="s">
        <v>1</v>
      </c>
      <c r="BA305" t="s">
        <v>1</v>
      </c>
      <c r="BB305" t="s">
        <v>1</v>
      </c>
      <c r="BC305" s="21" t="s">
        <v>748</v>
      </c>
      <c r="BD305" s="21" t="s">
        <v>144</v>
      </c>
      <c r="BE305">
        <v>0</v>
      </c>
      <c r="BF305">
        <v>0</v>
      </c>
      <c r="BG305">
        <v>0</v>
      </c>
      <c r="BH305">
        <v>0</v>
      </c>
      <c r="BI305">
        <v>0</v>
      </c>
      <c r="BJ305" t="s">
        <v>749</v>
      </c>
      <c r="BK305">
        <v>0</v>
      </c>
      <c r="BL305" t="s">
        <v>132</v>
      </c>
      <c r="BM305">
        <v>0</v>
      </c>
      <c r="BN305">
        <v>1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 t="s">
        <v>0</v>
      </c>
      <c r="BX305">
        <v>0</v>
      </c>
      <c r="BY305">
        <v>0</v>
      </c>
      <c r="BZ305">
        <v>0</v>
      </c>
      <c r="CA305">
        <v>0</v>
      </c>
      <c r="CB305" t="s">
        <v>145</v>
      </c>
      <c r="CD305" t="str" cm="1">
        <f t="array" aca="1" ref="CD305" ca="1">eConcatenar(A305:CB305,"|")</f>
        <v>qTM7sMUi0xqmgGkP|MODIFVHS95|3|MODIF|MODIF|MODIF|MODIF|2022-01-01|1|0|0|0|0|0|0|0|0|0|0|0|0|0|0|0|0|0|0|x|x|x|x|x|x|x|x|x|x|x|x|x|x|x|x|x|x|x|x|x|x|0|1|X|X|X|2022-2-10|2022-02-23|0|0|0|0|0|QWYNRBIY9KVTQO|0|HOMBRE|0|1|0|0|0|0|0|0|0|0|CARDENAS|0|0|0|0|FINAL</v>
      </c>
    </row>
    <row r="306" spans="1:82" x14ac:dyDescent="0.25">
      <c r="A306" t="s">
        <v>846</v>
      </c>
      <c r="B306" t="s">
        <v>642</v>
      </c>
      <c r="C306">
        <v>3</v>
      </c>
      <c r="D306" t="s">
        <v>346</v>
      </c>
      <c r="E306" t="s">
        <v>346</v>
      </c>
      <c r="F306" t="s">
        <v>346</v>
      </c>
      <c r="G306" t="s">
        <v>346</v>
      </c>
      <c r="H306" s="21" t="s">
        <v>747</v>
      </c>
      <c r="I306">
        <v>1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 t="s">
        <v>3</v>
      </c>
      <c r="AC306" t="s">
        <v>3</v>
      </c>
      <c r="AD306" t="s">
        <v>3</v>
      </c>
      <c r="AE306" t="s">
        <v>3</v>
      </c>
      <c r="AF306" t="s">
        <v>3</v>
      </c>
      <c r="AG306" t="s">
        <v>3</v>
      </c>
      <c r="AH306" t="s">
        <v>3</v>
      </c>
      <c r="AI306" t="s">
        <v>3</v>
      </c>
      <c r="AJ306" t="s">
        <v>3</v>
      </c>
      <c r="AK306" t="s">
        <v>3</v>
      </c>
      <c r="AL306" t="s">
        <v>3</v>
      </c>
      <c r="AM306" t="s">
        <v>3</v>
      </c>
      <c r="AN306" t="s">
        <v>3</v>
      </c>
      <c r="AO306" t="s">
        <v>3</v>
      </c>
      <c r="AP306" t="s">
        <v>3</v>
      </c>
      <c r="AQ306" t="s">
        <v>3</v>
      </c>
      <c r="AR306" t="s">
        <v>3</v>
      </c>
      <c r="AS306" t="s">
        <v>3</v>
      </c>
      <c r="AT306" t="s">
        <v>3</v>
      </c>
      <c r="AU306" t="s">
        <v>3</v>
      </c>
      <c r="AV306" t="s">
        <v>3</v>
      </c>
      <c r="AW306" t="s">
        <v>3</v>
      </c>
      <c r="AX306">
        <v>0</v>
      </c>
      <c r="AY306">
        <v>1</v>
      </c>
      <c r="AZ306" t="s">
        <v>1</v>
      </c>
      <c r="BA306" t="s">
        <v>1</v>
      </c>
      <c r="BB306" t="s">
        <v>1</v>
      </c>
      <c r="BC306" s="21" t="s">
        <v>748</v>
      </c>
      <c r="BD306" s="21" t="s">
        <v>144</v>
      </c>
      <c r="BE306">
        <v>0</v>
      </c>
      <c r="BF306">
        <v>0</v>
      </c>
      <c r="BG306">
        <v>0</v>
      </c>
      <c r="BH306">
        <v>0</v>
      </c>
      <c r="BI306">
        <v>0</v>
      </c>
      <c r="BJ306" t="s">
        <v>749</v>
      </c>
      <c r="BK306">
        <v>0</v>
      </c>
      <c r="BL306" t="s">
        <v>132</v>
      </c>
      <c r="BM306">
        <v>0</v>
      </c>
      <c r="BN306">
        <v>1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 t="s">
        <v>0</v>
      </c>
      <c r="BX306">
        <v>0</v>
      </c>
      <c r="BY306">
        <v>0</v>
      </c>
      <c r="BZ306">
        <v>0</v>
      </c>
      <c r="CA306">
        <v>0</v>
      </c>
      <c r="CB306" t="s">
        <v>145</v>
      </c>
      <c r="CD306" t="str" cm="1">
        <f t="array" aca="1" ref="CD306" ca="1">eConcatenar(A306:CB306,"|")</f>
        <v>w0oKXkyxOdy5Fldw|MODIFVHS96|3|MODIF|MODIF|MODIF|MODIF|2022-01-01|1|0|0|0|0|0|0|0|0|0|0|0|0|0|0|0|0|0|0|x|x|x|x|x|x|x|x|x|x|x|x|x|x|x|x|x|x|x|x|x|x|0|1|X|X|X|2022-2-10|2022-02-23|0|0|0|0|0|QWYNRBIY9KVTQO|0|HOMBRE|0|1|0|0|0|0|0|0|0|0|CARDENAS|0|0|0|0|FINAL</v>
      </c>
    </row>
    <row r="307" spans="1:82" x14ac:dyDescent="0.25">
      <c r="A307" t="s">
        <v>847</v>
      </c>
      <c r="B307" t="s">
        <v>643</v>
      </c>
      <c r="C307">
        <v>3</v>
      </c>
      <c r="D307" t="s">
        <v>346</v>
      </c>
      <c r="E307" t="s">
        <v>346</v>
      </c>
      <c r="F307" t="s">
        <v>346</v>
      </c>
      <c r="G307" t="s">
        <v>346</v>
      </c>
      <c r="H307" s="21" t="s">
        <v>747</v>
      </c>
      <c r="I307">
        <v>1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t="s">
        <v>3</v>
      </c>
      <c r="AC307" t="s">
        <v>3</v>
      </c>
      <c r="AD307" t="s">
        <v>3</v>
      </c>
      <c r="AE307" t="s">
        <v>3</v>
      </c>
      <c r="AF307" t="s">
        <v>3</v>
      </c>
      <c r="AG307" t="s">
        <v>3</v>
      </c>
      <c r="AH307" t="s">
        <v>3</v>
      </c>
      <c r="AI307" t="s">
        <v>3</v>
      </c>
      <c r="AJ307" t="s">
        <v>3</v>
      </c>
      <c r="AK307" t="s">
        <v>3</v>
      </c>
      <c r="AL307" t="s">
        <v>3</v>
      </c>
      <c r="AM307" t="s">
        <v>3</v>
      </c>
      <c r="AN307" t="s">
        <v>3</v>
      </c>
      <c r="AO307" t="s">
        <v>3</v>
      </c>
      <c r="AP307" t="s">
        <v>3</v>
      </c>
      <c r="AQ307" t="s">
        <v>3</v>
      </c>
      <c r="AR307" t="s">
        <v>3</v>
      </c>
      <c r="AS307" t="s">
        <v>3</v>
      </c>
      <c r="AT307" t="s">
        <v>3</v>
      </c>
      <c r="AU307" t="s">
        <v>3</v>
      </c>
      <c r="AV307" t="s">
        <v>3</v>
      </c>
      <c r="AW307" t="s">
        <v>3</v>
      </c>
      <c r="AX307">
        <v>0</v>
      </c>
      <c r="AY307">
        <v>1</v>
      </c>
      <c r="AZ307" t="s">
        <v>1</v>
      </c>
      <c r="BA307" t="s">
        <v>1</v>
      </c>
      <c r="BB307" t="s">
        <v>1</v>
      </c>
      <c r="BC307" s="21" t="s">
        <v>748</v>
      </c>
      <c r="BD307" s="21" t="s">
        <v>144</v>
      </c>
      <c r="BE307">
        <v>0</v>
      </c>
      <c r="BF307">
        <v>0</v>
      </c>
      <c r="BG307">
        <v>0</v>
      </c>
      <c r="BH307">
        <v>0</v>
      </c>
      <c r="BI307">
        <v>0</v>
      </c>
      <c r="BJ307" t="s">
        <v>749</v>
      </c>
      <c r="BK307">
        <v>0</v>
      </c>
      <c r="BL307" t="s">
        <v>132</v>
      </c>
      <c r="BM307">
        <v>0</v>
      </c>
      <c r="BN307">
        <v>1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 t="s">
        <v>0</v>
      </c>
      <c r="BX307">
        <v>0</v>
      </c>
      <c r="BY307">
        <v>0</v>
      </c>
      <c r="BZ307">
        <v>0</v>
      </c>
      <c r="CA307">
        <v>0</v>
      </c>
      <c r="CB307" t="s">
        <v>145</v>
      </c>
      <c r="CD307" t="str" cm="1">
        <f t="array" aca="1" ref="CD307" ca="1">eConcatenar(A307:CB307,"|")</f>
        <v>afn5bLJTBuXC8RHG|MODIFVHS97|3|MODIF|MODIF|MODIF|MODIF|2022-01-01|1|0|0|0|0|0|0|0|0|0|0|0|0|0|0|0|0|0|0|x|x|x|x|x|x|x|x|x|x|x|x|x|x|x|x|x|x|x|x|x|x|0|1|X|X|X|2022-2-10|2022-02-23|0|0|0|0|0|QWYNRBIY9KVTQO|0|HOMBRE|0|1|0|0|0|0|0|0|0|0|CARDENAS|0|0|0|0|FINAL</v>
      </c>
    </row>
    <row r="308" spans="1:82" x14ac:dyDescent="0.25">
      <c r="A308" t="s">
        <v>848</v>
      </c>
      <c r="B308" t="s">
        <v>644</v>
      </c>
      <c r="C308">
        <v>3</v>
      </c>
      <c r="D308" t="s">
        <v>346</v>
      </c>
      <c r="E308" t="s">
        <v>346</v>
      </c>
      <c r="F308" t="s">
        <v>346</v>
      </c>
      <c r="G308" t="s">
        <v>346</v>
      </c>
      <c r="H308" s="21" t="s">
        <v>747</v>
      </c>
      <c r="I308">
        <v>1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 t="s">
        <v>3</v>
      </c>
      <c r="AC308" t="s">
        <v>3</v>
      </c>
      <c r="AD308" t="s">
        <v>3</v>
      </c>
      <c r="AE308" t="s">
        <v>3</v>
      </c>
      <c r="AF308" t="s">
        <v>3</v>
      </c>
      <c r="AG308" t="s">
        <v>3</v>
      </c>
      <c r="AH308" t="s">
        <v>3</v>
      </c>
      <c r="AI308" t="s">
        <v>3</v>
      </c>
      <c r="AJ308" t="s">
        <v>3</v>
      </c>
      <c r="AK308" t="s">
        <v>3</v>
      </c>
      <c r="AL308" t="s">
        <v>3</v>
      </c>
      <c r="AM308" t="s">
        <v>3</v>
      </c>
      <c r="AN308" t="s">
        <v>3</v>
      </c>
      <c r="AO308" t="s">
        <v>3</v>
      </c>
      <c r="AP308" t="s">
        <v>3</v>
      </c>
      <c r="AQ308" t="s">
        <v>3</v>
      </c>
      <c r="AR308" t="s">
        <v>3</v>
      </c>
      <c r="AS308" t="s">
        <v>3</v>
      </c>
      <c r="AT308" t="s">
        <v>3</v>
      </c>
      <c r="AU308" t="s">
        <v>3</v>
      </c>
      <c r="AV308" t="s">
        <v>3</v>
      </c>
      <c r="AW308" t="s">
        <v>3</v>
      </c>
      <c r="AX308">
        <v>0</v>
      </c>
      <c r="AY308">
        <v>1</v>
      </c>
      <c r="AZ308" t="s">
        <v>1</v>
      </c>
      <c r="BA308" t="s">
        <v>1</v>
      </c>
      <c r="BB308" t="s">
        <v>1</v>
      </c>
      <c r="BC308" s="21" t="s">
        <v>748</v>
      </c>
      <c r="BD308" s="21" t="s">
        <v>144</v>
      </c>
      <c r="BE308">
        <v>0</v>
      </c>
      <c r="BF308">
        <v>0</v>
      </c>
      <c r="BG308">
        <v>0</v>
      </c>
      <c r="BH308">
        <v>0</v>
      </c>
      <c r="BI308">
        <v>0</v>
      </c>
      <c r="BJ308" t="s">
        <v>749</v>
      </c>
      <c r="BK308">
        <v>0</v>
      </c>
      <c r="BL308" t="s">
        <v>132</v>
      </c>
      <c r="BM308">
        <v>0</v>
      </c>
      <c r="BN308">
        <v>1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 t="s">
        <v>0</v>
      </c>
      <c r="BX308">
        <v>0</v>
      </c>
      <c r="BY308">
        <v>0</v>
      </c>
      <c r="BZ308">
        <v>0</v>
      </c>
      <c r="CA308">
        <v>0</v>
      </c>
      <c r="CB308" t="s">
        <v>145</v>
      </c>
      <c r="CD308" t="str" cm="1">
        <f t="array" aca="1" ref="CD308" ca="1">eConcatenar(A308:CB308,"|")</f>
        <v>JNcJpwACNvvzTmq4|MODIFVHS98|3|MODIF|MODIF|MODIF|MODIF|2022-01-01|1|0|0|0|0|0|0|0|0|0|0|0|0|0|0|0|0|0|0|x|x|x|x|x|x|x|x|x|x|x|x|x|x|x|x|x|x|x|x|x|x|0|1|X|X|X|2022-2-10|2022-02-23|0|0|0|0|0|QWYNRBIY9KVTQO|0|HOMBRE|0|1|0|0|0|0|0|0|0|0|CARDENAS|0|0|0|0|FINAL</v>
      </c>
    </row>
    <row r="309" spans="1:82" s="5" customFormat="1" x14ac:dyDescent="0.25">
      <c r="A309" t="s">
        <v>849</v>
      </c>
      <c r="B309" t="s">
        <v>645</v>
      </c>
      <c r="C309">
        <v>3</v>
      </c>
      <c r="D309" t="s">
        <v>346</v>
      </c>
      <c r="E309" t="s">
        <v>346</v>
      </c>
      <c r="F309" t="s">
        <v>346</v>
      </c>
      <c r="G309" t="s">
        <v>346</v>
      </c>
      <c r="H309" s="21" t="s">
        <v>747</v>
      </c>
      <c r="I309">
        <v>1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 t="s">
        <v>3</v>
      </c>
      <c r="AC309" t="s">
        <v>3</v>
      </c>
      <c r="AD309" t="s">
        <v>3</v>
      </c>
      <c r="AE309" t="s">
        <v>3</v>
      </c>
      <c r="AF309" t="s">
        <v>3</v>
      </c>
      <c r="AG309" t="s">
        <v>3</v>
      </c>
      <c r="AH309" t="s">
        <v>3</v>
      </c>
      <c r="AI309" t="s">
        <v>3</v>
      </c>
      <c r="AJ309" t="s">
        <v>3</v>
      </c>
      <c r="AK309" t="s">
        <v>3</v>
      </c>
      <c r="AL309" t="s">
        <v>3</v>
      </c>
      <c r="AM309" t="s">
        <v>3</v>
      </c>
      <c r="AN309" t="s">
        <v>3</v>
      </c>
      <c r="AO309" t="s">
        <v>3</v>
      </c>
      <c r="AP309" t="s">
        <v>3</v>
      </c>
      <c r="AQ309" t="s">
        <v>3</v>
      </c>
      <c r="AR309" t="s">
        <v>3</v>
      </c>
      <c r="AS309" t="s">
        <v>3</v>
      </c>
      <c r="AT309" t="s">
        <v>3</v>
      </c>
      <c r="AU309" t="s">
        <v>3</v>
      </c>
      <c r="AV309" t="s">
        <v>3</v>
      </c>
      <c r="AW309" t="s">
        <v>3</v>
      </c>
      <c r="AX309">
        <v>0</v>
      </c>
      <c r="AY309">
        <v>1</v>
      </c>
      <c r="AZ309" t="s">
        <v>1</v>
      </c>
      <c r="BA309" t="s">
        <v>1</v>
      </c>
      <c r="BB309" t="s">
        <v>1</v>
      </c>
      <c r="BC309" s="21" t="s">
        <v>748</v>
      </c>
      <c r="BD309" s="21" t="s">
        <v>144</v>
      </c>
      <c r="BE309">
        <v>0</v>
      </c>
      <c r="BF309">
        <v>0</v>
      </c>
      <c r="BG309">
        <v>0</v>
      </c>
      <c r="BH309">
        <v>0</v>
      </c>
      <c r="BI309">
        <v>0</v>
      </c>
      <c r="BJ309" t="s">
        <v>749</v>
      </c>
      <c r="BK309">
        <v>0</v>
      </c>
      <c r="BL309" t="s">
        <v>132</v>
      </c>
      <c r="BM309">
        <v>0</v>
      </c>
      <c r="BN309">
        <v>1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 t="s">
        <v>0</v>
      </c>
      <c r="BX309">
        <v>0</v>
      </c>
      <c r="BY309">
        <v>0</v>
      </c>
      <c r="BZ309">
        <v>0</v>
      </c>
      <c r="CA309">
        <v>0</v>
      </c>
      <c r="CB309" t="s">
        <v>145</v>
      </c>
      <c r="CD309" s="5" t="str" cm="1">
        <f t="array" aca="1" ref="CD309" ca="1">eConcatenar(A309:CB309,"|")</f>
        <v>R5Q8v7YfHuYAZRW7|MODIFVHS99|3|MODIF|MODIF|MODIF|MODIF|2022-01-01|1|0|0|0|0|0|0|0|0|0|0|0|0|0|0|0|0|0|0|x|x|x|x|x|x|x|x|x|x|x|x|x|x|x|x|x|x|x|x|x|x|0|1|X|X|X|2022-2-10|2022-02-23|0|0|0|0|0|QWYNRBIY9KVTQO|0|HOMBRE|0|1|0|0|0|0|0|0|0|0|CARDENAS|0|0|0|0|FINAL</v>
      </c>
    </row>
    <row r="310" spans="1:82" x14ac:dyDescent="0.25">
      <c r="A310" t="s">
        <v>850</v>
      </c>
      <c r="B310" t="s">
        <v>646</v>
      </c>
      <c r="C310">
        <v>3</v>
      </c>
      <c r="D310" t="s">
        <v>346</v>
      </c>
      <c r="E310" t="s">
        <v>346</v>
      </c>
      <c r="F310" t="s">
        <v>346</v>
      </c>
      <c r="G310" t="s">
        <v>346</v>
      </c>
      <c r="H310" s="21" t="s">
        <v>747</v>
      </c>
      <c r="I310">
        <v>1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 t="s">
        <v>3</v>
      </c>
      <c r="AC310" t="s">
        <v>3</v>
      </c>
      <c r="AD310" t="s">
        <v>3</v>
      </c>
      <c r="AE310" t="s">
        <v>3</v>
      </c>
      <c r="AF310" t="s">
        <v>3</v>
      </c>
      <c r="AG310" t="s">
        <v>3</v>
      </c>
      <c r="AH310" t="s">
        <v>3</v>
      </c>
      <c r="AI310" t="s">
        <v>3</v>
      </c>
      <c r="AJ310" t="s">
        <v>3</v>
      </c>
      <c r="AK310" t="s">
        <v>3</v>
      </c>
      <c r="AL310" t="s">
        <v>3</v>
      </c>
      <c r="AM310" t="s">
        <v>3</v>
      </c>
      <c r="AN310" t="s">
        <v>3</v>
      </c>
      <c r="AO310" t="s">
        <v>3</v>
      </c>
      <c r="AP310" t="s">
        <v>3</v>
      </c>
      <c r="AQ310" t="s">
        <v>3</v>
      </c>
      <c r="AR310" t="s">
        <v>3</v>
      </c>
      <c r="AS310" t="s">
        <v>3</v>
      </c>
      <c r="AT310" t="s">
        <v>3</v>
      </c>
      <c r="AU310" t="s">
        <v>3</v>
      </c>
      <c r="AV310" t="s">
        <v>3</v>
      </c>
      <c r="AW310" t="s">
        <v>3</v>
      </c>
      <c r="AX310">
        <v>0</v>
      </c>
      <c r="AY310">
        <v>1</v>
      </c>
      <c r="AZ310" t="s">
        <v>1</v>
      </c>
      <c r="BA310" t="s">
        <v>1</v>
      </c>
      <c r="BB310" t="s">
        <v>1</v>
      </c>
      <c r="BC310" s="21" t="s">
        <v>748</v>
      </c>
      <c r="BD310" s="21" t="s">
        <v>144</v>
      </c>
      <c r="BE310">
        <v>0</v>
      </c>
      <c r="BF310">
        <v>0</v>
      </c>
      <c r="BG310">
        <v>0</v>
      </c>
      <c r="BH310">
        <v>0</v>
      </c>
      <c r="BI310">
        <v>0</v>
      </c>
      <c r="BJ310" t="s">
        <v>749</v>
      </c>
      <c r="BK310">
        <v>0</v>
      </c>
      <c r="BL310" t="s">
        <v>132</v>
      </c>
      <c r="BM310">
        <v>0</v>
      </c>
      <c r="BN310">
        <v>1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0</v>
      </c>
      <c r="BU310">
        <v>0</v>
      </c>
      <c r="BV310">
        <v>0</v>
      </c>
      <c r="BW310" t="s">
        <v>0</v>
      </c>
      <c r="BX310">
        <v>0</v>
      </c>
      <c r="BY310">
        <v>0</v>
      </c>
      <c r="BZ310">
        <v>0</v>
      </c>
      <c r="CA310">
        <v>0</v>
      </c>
      <c r="CB310" t="s">
        <v>145</v>
      </c>
      <c r="CD310" t="str" cm="1">
        <f t="array" aca="1" ref="CD310" ca="1">eConcatenar(A310:CB310,"|")</f>
        <v>rVTtgzof3sChSDFQ|MODIFVHS100|3|MODIF|MODIF|MODIF|MODIF|2022-01-01|1|0|0|0|0|0|0|0|0|0|0|0|0|0|0|0|0|0|0|x|x|x|x|x|x|x|x|x|x|x|x|x|x|x|x|x|x|x|x|x|x|0|1|X|X|X|2022-2-10|2022-02-23|0|0|0|0|0|QWYNRBIY9KVTQO|0|HOMBRE|0|1|0|0|0|0|0|0|0|0|CARDENAS|0|0|0|0|FINAL</v>
      </c>
    </row>
    <row r="311" spans="1:82" x14ac:dyDescent="0.25">
      <c r="A311" t="s">
        <v>851</v>
      </c>
      <c r="B311" t="s">
        <v>647</v>
      </c>
      <c r="C311">
        <v>3</v>
      </c>
      <c r="D311" t="s">
        <v>346</v>
      </c>
      <c r="E311" t="s">
        <v>346</v>
      </c>
      <c r="F311" t="s">
        <v>346</v>
      </c>
      <c r="G311" t="s">
        <v>346</v>
      </c>
      <c r="H311" s="21" t="s">
        <v>747</v>
      </c>
      <c r="I311">
        <v>1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">
        <v>3</v>
      </c>
      <c r="AC311" t="s">
        <v>3</v>
      </c>
      <c r="AD311" t="s">
        <v>3</v>
      </c>
      <c r="AE311" t="s">
        <v>3</v>
      </c>
      <c r="AF311" t="s">
        <v>3</v>
      </c>
      <c r="AG311" t="s">
        <v>3</v>
      </c>
      <c r="AH311" t="s">
        <v>3</v>
      </c>
      <c r="AI311" t="s">
        <v>3</v>
      </c>
      <c r="AJ311" t="s">
        <v>3</v>
      </c>
      <c r="AK311" t="s">
        <v>3</v>
      </c>
      <c r="AL311" t="s">
        <v>3</v>
      </c>
      <c r="AM311" t="s">
        <v>3</v>
      </c>
      <c r="AN311" t="s">
        <v>3</v>
      </c>
      <c r="AO311" t="s">
        <v>3</v>
      </c>
      <c r="AP311" t="s">
        <v>3</v>
      </c>
      <c r="AQ311" t="s">
        <v>3</v>
      </c>
      <c r="AR311" t="s">
        <v>3</v>
      </c>
      <c r="AS311" t="s">
        <v>3</v>
      </c>
      <c r="AT311" t="s">
        <v>3</v>
      </c>
      <c r="AU311" t="s">
        <v>3</v>
      </c>
      <c r="AV311" t="s">
        <v>3</v>
      </c>
      <c r="AW311" t="s">
        <v>3</v>
      </c>
      <c r="AX311">
        <v>0</v>
      </c>
      <c r="AY311">
        <v>1</v>
      </c>
      <c r="AZ311" t="s">
        <v>1</v>
      </c>
      <c r="BA311" t="s">
        <v>1</v>
      </c>
      <c r="BB311" t="s">
        <v>1</v>
      </c>
      <c r="BC311" s="21" t="s">
        <v>748</v>
      </c>
      <c r="BD311" s="21" t="s">
        <v>144</v>
      </c>
      <c r="BE311">
        <v>0</v>
      </c>
      <c r="BF311">
        <v>0</v>
      </c>
      <c r="BG311">
        <v>0</v>
      </c>
      <c r="BH311">
        <v>0</v>
      </c>
      <c r="BI311">
        <v>0</v>
      </c>
      <c r="BJ311" t="s">
        <v>749</v>
      </c>
      <c r="BK311">
        <v>0</v>
      </c>
      <c r="BL311" t="s">
        <v>132</v>
      </c>
      <c r="BM311">
        <v>0</v>
      </c>
      <c r="BN311">
        <v>1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  <c r="BW311" t="s">
        <v>0</v>
      </c>
      <c r="BX311">
        <v>0</v>
      </c>
      <c r="BY311">
        <v>0</v>
      </c>
      <c r="BZ311">
        <v>0</v>
      </c>
      <c r="CA311">
        <v>0</v>
      </c>
      <c r="CB311" t="s">
        <v>145</v>
      </c>
      <c r="CD311" t="str" cm="1">
        <f t="array" aca="1" ref="CD311" ca="1">eConcatenar(A311:CB311,"|")</f>
        <v>wHf64IeqX9Qe7gnU|MODIFVHS101|3|MODIF|MODIF|MODIF|MODIF|2022-01-01|1|0|0|0|0|0|0|0|0|0|0|0|0|0|0|0|0|0|0|x|x|x|x|x|x|x|x|x|x|x|x|x|x|x|x|x|x|x|x|x|x|0|1|X|X|X|2022-2-10|2022-02-23|0|0|0|0|0|QWYNRBIY9KVTQO|0|HOMBRE|0|1|0|0|0|0|0|0|0|0|CARDENAS|0|0|0|0|FINAL</v>
      </c>
    </row>
    <row r="312" spans="1:82" x14ac:dyDescent="0.25">
      <c r="A312" t="s">
        <v>852</v>
      </c>
      <c r="B312" t="s">
        <v>648</v>
      </c>
      <c r="C312">
        <v>3</v>
      </c>
      <c r="D312" t="s">
        <v>346</v>
      </c>
      <c r="E312" t="s">
        <v>346</v>
      </c>
      <c r="F312" t="s">
        <v>346</v>
      </c>
      <c r="G312" t="s">
        <v>346</v>
      </c>
      <c r="H312" s="21" t="s">
        <v>747</v>
      </c>
      <c r="I312">
        <v>1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 t="s">
        <v>3</v>
      </c>
      <c r="AC312" t="s">
        <v>3</v>
      </c>
      <c r="AD312" t="s">
        <v>3</v>
      </c>
      <c r="AE312" t="s">
        <v>3</v>
      </c>
      <c r="AF312" t="s">
        <v>3</v>
      </c>
      <c r="AG312" t="s">
        <v>3</v>
      </c>
      <c r="AH312" t="s">
        <v>3</v>
      </c>
      <c r="AI312" t="s">
        <v>3</v>
      </c>
      <c r="AJ312" t="s">
        <v>3</v>
      </c>
      <c r="AK312" t="s">
        <v>3</v>
      </c>
      <c r="AL312" t="s">
        <v>3</v>
      </c>
      <c r="AM312" t="s">
        <v>3</v>
      </c>
      <c r="AN312" t="s">
        <v>3</v>
      </c>
      <c r="AO312" t="s">
        <v>3</v>
      </c>
      <c r="AP312" t="s">
        <v>3</v>
      </c>
      <c r="AQ312" t="s">
        <v>3</v>
      </c>
      <c r="AR312" t="s">
        <v>3</v>
      </c>
      <c r="AS312" t="s">
        <v>3</v>
      </c>
      <c r="AT312" t="s">
        <v>3</v>
      </c>
      <c r="AU312" t="s">
        <v>3</v>
      </c>
      <c r="AV312" t="s">
        <v>3</v>
      </c>
      <c r="AW312" t="s">
        <v>3</v>
      </c>
      <c r="AX312">
        <v>0</v>
      </c>
      <c r="AY312">
        <v>1</v>
      </c>
      <c r="AZ312" t="s">
        <v>1</v>
      </c>
      <c r="BA312" t="s">
        <v>1</v>
      </c>
      <c r="BB312" t="s">
        <v>1</v>
      </c>
      <c r="BC312" s="21" t="s">
        <v>748</v>
      </c>
      <c r="BD312" s="21" t="s">
        <v>144</v>
      </c>
      <c r="BE312">
        <v>0</v>
      </c>
      <c r="BF312">
        <v>0</v>
      </c>
      <c r="BG312">
        <v>0</v>
      </c>
      <c r="BH312">
        <v>0</v>
      </c>
      <c r="BI312">
        <v>0</v>
      </c>
      <c r="BJ312" t="s">
        <v>749</v>
      </c>
      <c r="BK312">
        <v>0</v>
      </c>
      <c r="BL312" t="s">
        <v>132</v>
      </c>
      <c r="BM312">
        <v>0</v>
      </c>
      <c r="BN312">
        <v>1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 t="s">
        <v>0</v>
      </c>
      <c r="BX312">
        <v>0</v>
      </c>
      <c r="BY312">
        <v>0</v>
      </c>
      <c r="BZ312">
        <v>0</v>
      </c>
      <c r="CA312">
        <v>0</v>
      </c>
      <c r="CB312" t="s">
        <v>145</v>
      </c>
      <c r="CD312" t="str" cm="1">
        <f t="array" aca="1" ref="CD312" ca="1">eConcatenar(A312:CB312,"|")</f>
        <v>v6XpXFMDELg4Z95T|MODIFVHS102|3|MODIF|MODIF|MODIF|MODIF|2022-01-01|1|0|0|0|0|0|0|0|0|0|0|0|0|0|0|0|0|0|0|x|x|x|x|x|x|x|x|x|x|x|x|x|x|x|x|x|x|x|x|x|x|0|1|X|X|X|2022-2-10|2022-02-23|0|0|0|0|0|QWYNRBIY9KVTQO|0|HOMBRE|0|1|0|0|0|0|0|0|0|0|CARDENAS|0|0|0|0|FINAL</v>
      </c>
    </row>
    <row r="313" spans="1:82" x14ac:dyDescent="0.25">
      <c r="A313" t="s">
        <v>853</v>
      </c>
      <c r="B313" t="s">
        <v>649</v>
      </c>
      <c r="C313">
        <v>3</v>
      </c>
      <c r="D313" t="s">
        <v>346</v>
      </c>
      <c r="E313" t="s">
        <v>346</v>
      </c>
      <c r="F313" t="s">
        <v>346</v>
      </c>
      <c r="G313" t="s">
        <v>346</v>
      </c>
      <c r="H313" s="21" t="s">
        <v>747</v>
      </c>
      <c r="I313">
        <v>1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 t="s">
        <v>3</v>
      </c>
      <c r="AC313" t="s">
        <v>3</v>
      </c>
      <c r="AD313" t="s">
        <v>3</v>
      </c>
      <c r="AE313" t="s">
        <v>3</v>
      </c>
      <c r="AF313" t="s">
        <v>3</v>
      </c>
      <c r="AG313" t="s">
        <v>3</v>
      </c>
      <c r="AH313" t="s">
        <v>3</v>
      </c>
      <c r="AI313" t="s">
        <v>3</v>
      </c>
      <c r="AJ313" t="s">
        <v>3</v>
      </c>
      <c r="AK313" t="s">
        <v>3</v>
      </c>
      <c r="AL313" t="s">
        <v>3</v>
      </c>
      <c r="AM313" t="s">
        <v>3</v>
      </c>
      <c r="AN313" t="s">
        <v>3</v>
      </c>
      <c r="AO313" t="s">
        <v>3</v>
      </c>
      <c r="AP313" t="s">
        <v>3</v>
      </c>
      <c r="AQ313" t="s">
        <v>3</v>
      </c>
      <c r="AR313" t="s">
        <v>3</v>
      </c>
      <c r="AS313" t="s">
        <v>3</v>
      </c>
      <c r="AT313" t="s">
        <v>3</v>
      </c>
      <c r="AU313" t="s">
        <v>3</v>
      </c>
      <c r="AV313" t="s">
        <v>3</v>
      </c>
      <c r="AW313" t="s">
        <v>3</v>
      </c>
      <c r="AX313">
        <v>0</v>
      </c>
      <c r="AY313">
        <v>1</v>
      </c>
      <c r="AZ313" t="s">
        <v>1</v>
      </c>
      <c r="BA313" t="s">
        <v>1</v>
      </c>
      <c r="BB313" t="s">
        <v>1</v>
      </c>
      <c r="BC313" s="21" t="s">
        <v>748</v>
      </c>
      <c r="BD313" s="21" t="s">
        <v>144</v>
      </c>
      <c r="BE313">
        <v>0</v>
      </c>
      <c r="BF313">
        <v>0</v>
      </c>
      <c r="BG313">
        <v>0</v>
      </c>
      <c r="BH313">
        <v>0</v>
      </c>
      <c r="BI313">
        <v>0</v>
      </c>
      <c r="BJ313" t="s">
        <v>749</v>
      </c>
      <c r="BK313">
        <v>0</v>
      </c>
      <c r="BL313" t="s">
        <v>132</v>
      </c>
      <c r="BM313">
        <v>0</v>
      </c>
      <c r="BN313">
        <v>1</v>
      </c>
      <c r="BO313">
        <v>0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 t="s">
        <v>0</v>
      </c>
      <c r="BX313">
        <v>0</v>
      </c>
      <c r="BY313">
        <v>0</v>
      </c>
      <c r="BZ313">
        <v>0</v>
      </c>
      <c r="CA313">
        <v>0</v>
      </c>
      <c r="CB313" t="s">
        <v>145</v>
      </c>
      <c r="CD313" t="str" cm="1">
        <f t="array" aca="1" ref="CD313" ca="1">eConcatenar(A313:CB313,"|")</f>
        <v>DEZbCTpWpJ94nFnY|MODIFVHS103|3|MODIF|MODIF|MODIF|MODIF|2022-01-01|1|0|0|0|0|0|0|0|0|0|0|0|0|0|0|0|0|0|0|x|x|x|x|x|x|x|x|x|x|x|x|x|x|x|x|x|x|x|x|x|x|0|1|X|X|X|2022-2-10|2022-02-23|0|0|0|0|0|QWYNRBIY9KVTQO|0|HOMBRE|0|1|0|0|0|0|0|0|0|0|CARDENAS|0|0|0|0|FINAL</v>
      </c>
    </row>
    <row r="314" spans="1:82" x14ac:dyDescent="0.25">
      <c r="A314" t="s">
        <v>854</v>
      </c>
      <c r="B314" t="s">
        <v>650</v>
      </c>
      <c r="C314">
        <v>3</v>
      </c>
      <c r="D314" t="s">
        <v>346</v>
      </c>
      <c r="E314" t="s">
        <v>346</v>
      </c>
      <c r="F314" t="s">
        <v>346</v>
      </c>
      <c r="G314" t="s">
        <v>346</v>
      </c>
      <c r="H314" s="21" t="s">
        <v>747</v>
      </c>
      <c r="I314">
        <v>1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 t="s">
        <v>3</v>
      </c>
      <c r="AC314" t="s">
        <v>3</v>
      </c>
      <c r="AD314" t="s">
        <v>3</v>
      </c>
      <c r="AE314" t="s">
        <v>3</v>
      </c>
      <c r="AF314" t="s">
        <v>3</v>
      </c>
      <c r="AG314" t="s">
        <v>3</v>
      </c>
      <c r="AH314" t="s">
        <v>3</v>
      </c>
      <c r="AI314" t="s">
        <v>3</v>
      </c>
      <c r="AJ314" t="s">
        <v>3</v>
      </c>
      <c r="AK314" t="s">
        <v>3</v>
      </c>
      <c r="AL314" t="s">
        <v>3</v>
      </c>
      <c r="AM314" t="s">
        <v>3</v>
      </c>
      <c r="AN314" t="s">
        <v>3</v>
      </c>
      <c r="AO314" t="s">
        <v>3</v>
      </c>
      <c r="AP314" t="s">
        <v>3</v>
      </c>
      <c r="AQ314" t="s">
        <v>3</v>
      </c>
      <c r="AR314" t="s">
        <v>3</v>
      </c>
      <c r="AS314" t="s">
        <v>3</v>
      </c>
      <c r="AT314" t="s">
        <v>3</v>
      </c>
      <c r="AU314" t="s">
        <v>3</v>
      </c>
      <c r="AV314" t="s">
        <v>3</v>
      </c>
      <c r="AW314" t="s">
        <v>3</v>
      </c>
      <c r="AX314">
        <v>0</v>
      </c>
      <c r="AY314">
        <v>1</v>
      </c>
      <c r="AZ314" t="s">
        <v>1</v>
      </c>
      <c r="BA314" t="s">
        <v>1</v>
      </c>
      <c r="BB314" t="s">
        <v>1</v>
      </c>
      <c r="BC314" s="21" t="s">
        <v>748</v>
      </c>
      <c r="BD314" s="21" t="s">
        <v>144</v>
      </c>
      <c r="BE314">
        <v>0</v>
      </c>
      <c r="BF314">
        <v>0</v>
      </c>
      <c r="BG314">
        <v>0</v>
      </c>
      <c r="BH314">
        <v>0</v>
      </c>
      <c r="BI314">
        <v>0</v>
      </c>
      <c r="BJ314" t="s">
        <v>749</v>
      </c>
      <c r="BK314">
        <v>0</v>
      </c>
      <c r="BL314" t="s">
        <v>132</v>
      </c>
      <c r="BM314">
        <v>0</v>
      </c>
      <c r="BN314">
        <v>1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 t="s">
        <v>0</v>
      </c>
      <c r="BX314">
        <v>0</v>
      </c>
      <c r="BY314">
        <v>0</v>
      </c>
      <c r="BZ314">
        <v>0</v>
      </c>
      <c r="CA314">
        <v>0</v>
      </c>
      <c r="CB314" t="s">
        <v>145</v>
      </c>
      <c r="CD314" t="str" cm="1">
        <f t="array" aca="1" ref="CD314" ca="1">eConcatenar(A314:CB314,"|")</f>
        <v>0tesaqV80F1OKPkU|MODIFVHS104|3|MODIF|MODIF|MODIF|MODIF|2022-01-01|1|0|0|0|0|0|0|0|0|0|0|0|0|0|0|0|0|0|0|x|x|x|x|x|x|x|x|x|x|x|x|x|x|x|x|x|x|x|x|x|x|0|1|X|X|X|2022-2-10|2022-02-23|0|0|0|0|0|QWYNRBIY9KVTQO|0|HOMBRE|0|1|0|0|0|0|0|0|0|0|CARDENAS|0|0|0|0|FINAL</v>
      </c>
    </row>
    <row r="315" spans="1:82" x14ac:dyDescent="0.25">
      <c r="A315" t="s">
        <v>855</v>
      </c>
      <c r="B315" t="s">
        <v>651</v>
      </c>
      <c r="C315">
        <v>3</v>
      </c>
      <c r="D315" t="s">
        <v>346</v>
      </c>
      <c r="E315" t="s">
        <v>346</v>
      </c>
      <c r="F315" t="s">
        <v>346</v>
      </c>
      <c r="G315" t="s">
        <v>346</v>
      </c>
      <c r="H315" s="21" t="s">
        <v>747</v>
      </c>
      <c r="I315">
        <v>1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">
        <v>3</v>
      </c>
      <c r="AC315" t="s">
        <v>3</v>
      </c>
      <c r="AD315" t="s">
        <v>3</v>
      </c>
      <c r="AE315" t="s">
        <v>3</v>
      </c>
      <c r="AF315" t="s">
        <v>3</v>
      </c>
      <c r="AG315" t="s">
        <v>3</v>
      </c>
      <c r="AH315" t="s">
        <v>3</v>
      </c>
      <c r="AI315" t="s">
        <v>3</v>
      </c>
      <c r="AJ315" t="s">
        <v>3</v>
      </c>
      <c r="AK315" t="s">
        <v>3</v>
      </c>
      <c r="AL315" t="s">
        <v>3</v>
      </c>
      <c r="AM315" t="s">
        <v>3</v>
      </c>
      <c r="AN315" t="s">
        <v>3</v>
      </c>
      <c r="AO315" t="s">
        <v>3</v>
      </c>
      <c r="AP315" t="s">
        <v>3</v>
      </c>
      <c r="AQ315" t="s">
        <v>3</v>
      </c>
      <c r="AR315" t="s">
        <v>3</v>
      </c>
      <c r="AS315" t="s">
        <v>3</v>
      </c>
      <c r="AT315" t="s">
        <v>3</v>
      </c>
      <c r="AU315" t="s">
        <v>3</v>
      </c>
      <c r="AV315" t="s">
        <v>3</v>
      </c>
      <c r="AW315" t="s">
        <v>3</v>
      </c>
      <c r="AX315">
        <v>0</v>
      </c>
      <c r="AY315">
        <v>1</v>
      </c>
      <c r="AZ315" t="s">
        <v>1</v>
      </c>
      <c r="BA315" t="s">
        <v>1</v>
      </c>
      <c r="BB315" t="s">
        <v>1</v>
      </c>
      <c r="BC315" s="21" t="s">
        <v>748</v>
      </c>
      <c r="BD315" s="21" t="s">
        <v>144</v>
      </c>
      <c r="BE315">
        <v>0</v>
      </c>
      <c r="BF315">
        <v>0</v>
      </c>
      <c r="BG315">
        <v>0</v>
      </c>
      <c r="BH315">
        <v>0</v>
      </c>
      <c r="BI315">
        <v>0</v>
      </c>
      <c r="BJ315" t="s">
        <v>749</v>
      </c>
      <c r="BK315">
        <v>0</v>
      </c>
      <c r="BL315" t="s">
        <v>132</v>
      </c>
      <c r="BM315">
        <v>0</v>
      </c>
      <c r="BN315">
        <v>1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 t="s">
        <v>0</v>
      </c>
      <c r="BX315">
        <v>0</v>
      </c>
      <c r="BY315">
        <v>0</v>
      </c>
      <c r="BZ315">
        <v>0</v>
      </c>
      <c r="CA315">
        <v>0</v>
      </c>
      <c r="CB315" t="s">
        <v>145</v>
      </c>
      <c r="CD315" t="str" cm="1">
        <f t="array" aca="1" ref="CD315" ca="1">eConcatenar(A315:CB315,"|")</f>
        <v>kPEMKgcbQ0TlcHis|MODIFVHS105|3|MODIF|MODIF|MODIF|MODIF|2022-01-01|1|0|0|0|0|0|0|0|0|0|0|0|0|0|0|0|0|0|0|x|x|x|x|x|x|x|x|x|x|x|x|x|x|x|x|x|x|x|x|x|x|0|1|X|X|X|2022-2-10|2022-02-23|0|0|0|0|0|QWYNRBIY9KVTQO|0|HOMBRE|0|1|0|0|0|0|0|0|0|0|CARDENAS|0|0|0|0|FINAL</v>
      </c>
    </row>
    <row r="316" spans="1:82" x14ac:dyDescent="0.25">
      <c r="A316" t="s">
        <v>856</v>
      </c>
      <c r="B316" t="s">
        <v>652</v>
      </c>
      <c r="C316">
        <v>3</v>
      </c>
      <c r="D316" t="s">
        <v>346</v>
      </c>
      <c r="E316" t="s">
        <v>346</v>
      </c>
      <c r="F316" t="s">
        <v>346</v>
      </c>
      <c r="G316" t="s">
        <v>346</v>
      </c>
      <c r="H316" s="21" t="s">
        <v>747</v>
      </c>
      <c r="I316">
        <v>1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 t="s">
        <v>3</v>
      </c>
      <c r="AC316" t="s">
        <v>3</v>
      </c>
      <c r="AD316" t="s">
        <v>3</v>
      </c>
      <c r="AE316" t="s">
        <v>3</v>
      </c>
      <c r="AF316" t="s">
        <v>3</v>
      </c>
      <c r="AG316" t="s">
        <v>3</v>
      </c>
      <c r="AH316" t="s">
        <v>3</v>
      </c>
      <c r="AI316" t="s">
        <v>3</v>
      </c>
      <c r="AJ316" t="s">
        <v>3</v>
      </c>
      <c r="AK316" t="s">
        <v>3</v>
      </c>
      <c r="AL316" t="s">
        <v>3</v>
      </c>
      <c r="AM316" t="s">
        <v>3</v>
      </c>
      <c r="AN316" t="s">
        <v>3</v>
      </c>
      <c r="AO316" t="s">
        <v>3</v>
      </c>
      <c r="AP316" t="s">
        <v>3</v>
      </c>
      <c r="AQ316" t="s">
        <v>3</v>
      </c>
      <c r="AR316" t="s">
        <v>3</v>
      </c>
      <c r="AS316" t="s">
        <v>3</v>
      </c>
      <c r="AT316" t="s">
        <v>3</v>
      </c>
      <c r="AU316" t="s">
        <v>3</v>
      </c>
      <c r="AV316" t="s">
        <v>3</v>
      </c>
      <c r="AW316" t="s">
        <v>3</v>
      </c>
      <c r="AX316">
        <v>0</v>
      </c>
      <c r="AY316">
        <v>1</v>
      </c>
      <c r="AZ316" t="s">
        <v>1</v>
      </c>
      <c r="BA316" t="s">
        <v>1</v>
      </c>
      <c r="BB316" t="s">
        <v>1</v>
      </c>
      <c r="BC316" s="21" t="s">
        <v>748</v>
      </c>
      <c r="BD316" s="21" t="s">
        <v>144</v>
      </c>
      <c r="BE316">
        <v>0</v>
      </c>
      <c r="BF316">
        <v>0</v>
      </c>
      <c r="BG316">
        <v>0</v>
      </c>
      <c r="BH316">
        <v>0</v>
      </c>
      <c r="BI316">
        <v>0</v>
      </c>
      <c r="BJ316" t="s">
        <v>749</v>
      </c>
      <c r="BK316">
        <v>0</v>
      </c>
      <c r="BL316" t="s">
        <v>132</v>
      </c>
      <c r="BM316">
        <v>0</v>
      </c>
      <c r="BN316">
        <v>1</v>
      </c>
      <c r="BO316">
        <v>0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  <c r="BW316" t="s">
        <v>0</v>
      </c>
      <c r="BX316">
        <v>0</v>
      </c>
      <c r="BY316">
        <v>0</v>
      </c>
      <c r="BZ316">
        <v>0</v>
      </c>
      <c r="CA316">
        <v>0</v>
      </c>
      <c r="CB316" t="s">
        <v>145</v>
      </c>
      <c r="CD316" t="str" cm="1">
        <f t="array" aca="1" ref="CD316" ca="1">eConcatenar(A316:CB316,"|")</f>
        <v>Pv8NwpMI59xbhF0X|MODIFVHS106|3|MODIF|MODIF|MODIF|MODIF|2022-01-01|1|0|0|0|0|0|0|0|0|0|0|0|0|0|0|0|0|0|0|x|x|x|x|x|x|x|x|x|x|x|x|x|x|x|x|x|x|x|x|x|x|0|1|X|X|X|2022-2-10|2022-02-23|0|0|0|0|0|QWYNRBIY9KVTQO|0|HOMBRE|0|1|0|0|0|0|0|0|0|0|CARDENAS|0|0|0|0|FINAL</v>
      </c>
    </row>
    <row r="317" spans="1:82" x14ac:dyDescent="0.25">
      <c r="A317" t="s">
        <v>857</v>
      </c>
      <c r="B317" t="s">
        <v>653</v>
      </c>
      <c r="C317">
        <v>3</v>
      </c>
      <c r="D317" t="s">
        <v>346</v>
      </c>
      <c r="E317" t="s">
        <v>346</v>
      </c>
      <c r="F317" t="s">
        <v>346</v>
      </c>
      <c r="G317" t="s">
        <v>346</v>
      </c>
      <c r="H317" s="21" t="s">
        <v>747</v>
      </c>
      <c r="I317">
        <v>1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 t="s">
        <v>3</v>
      </c>
      <c r="AC317" t="s">
        <v>3</v>
      </c>
      <c r="AD317" t="s">
        <v>3</v>
      </c>
      <c r="AE317" t="s">
        <v>3</v>
      </c>
      <c r="AF317" t="s">
        <v>3</v>
      </c>
      <c r="AG317" t="s">
        <v>3</v>
      </c>
      <c r="AH317" t="s">
        <v>3</v>
      </c>
      <c r="AI317" t="s">
        <v>3</v>
      </c>
      <c r="AJ317" t="s">
        <v>3</v>
      </c>
      <c r="AK317" t="s">
        <v>3</v>
      </c>
      <c r="AL317" t="s">
        <v>3</v>
      </c>
      <c r="AM317" t="s">
        <v>3</v>
      </c>
      <c r="AN317" t="s">
        <v>3</v>
      </c>
      <c r="AO317" t="s">
        <v>3</v>
      </c>
      <c r="AP317" t="s">
        <v>3</v>
      </c>
      <c r="AQ317" t="s">
        <v>3</v>
      </c>
      <c r="AR317" t="s">
        <v>3</v>
      </c>
      <c r="AS317" t="s">
        <v>3</v>
      </c>
      <c r="AT317" t="s">
        <v>3</v>
      </c>
      <c r="AU317" t="s">
        <v>3</v>
      </c>
      <c r="AV317" t="s">
        <v>3</v>
      </c>
      <c r="AW317" t="s">
        <v>3</v>
      </c>
      <c r="AX317">
        <v>0</v>
      </c>
      <c r="AY317">
        <v>1</v>
      </c>
      <c r="AZ317" t="s">
        <v>1</v>
      </c>
      <c r="BA317" t="s">
        <v>1</v>
      </c>
      <c r="BB317" t="s">
        <v>1</v>
      </c>
      <c r="BC317" s="21" t="s">
        <v>748</v>
      </c>
      <c r="BD317" s="21" t="s">
        <v>144</v>
      </c>
      <c r="BE317">
        <v>0</v>
      </c>
      <c r="BF317">
        <v>0</v>
      </c>
      <c r="BG317">
        <v>0</v>
      </c>
      <c r="BH317">
        <v>0</v>
      </c>
      <c r="BI317">
        <v>0</v>
      </c>
      <c r="BJ317" t="s">
        <v>749</v>
      </c>
      <c r="BK317">
        <v>0</v>
      </c>
      <c r="BL317" t="s">
        <v>132</v>
      </c>
      <c r="BM317">
        <v>0</v>
      </c>
      <c r="BN317">
        <v>1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 t="s">
        <v>0</v>
      </c>
      <c r="BX317">
        <v>0</v>
      </c>
      <c r="BY317">
        <v>0</v>
      </c>
      <c r="BZ317">
        <v>0</v>
      </c>
      <c r="CA317">
        <v>0</v>
      </c>
      <c r="CB317" t="s">
        <v>145</v>
      </c>
      <c r="CD317" t="str" cm="1">
        <f t="array" aca="1" ref="CD317" ca="1">eConcatenar(A317:CB317,"|")</f>
        <v>3wTClqWD9FItxERd|MODIFVHS107|3|MODIF|MODIF|MODIF|MODIF|2022-01-01|1|0|0|0|0|0|0|0|0|0|0|0|0|0|0|0|0|0|0|x|x|x|x|x|x|x|x|x|x|x|x|x|x|x|x|x|x|x|x|x|x|0|1|X|X|X|2022-2-10|2022-02-23|0|0|0|0|0|QWYNRBIY9KVTQO|0|HOMBRE|0|1|0|0|0|0|0|0|0|0|CARDENAS|0|0|0|0|FINAL</v>
      </c>
    </row>
    <row r="318" spans="1:82" x14ac:dyDescent="0.25">
      <c r="A318" t="s">
        <v>858</v>
      </c>
      <c r="B318" t="s">
        <v>654</v>
      </c>
      <c r="C318">
        <v>3</v>
      </c>
      <c r="D318" t="s">
        <v>346</v>
      </c>
      <c r="E318" t="s">
        <v>346</v>
      </c>
      <c r="F318" t="s">
        <v>346</v>
      </c>
      <c r="G318" t="s">
        <v>346</v>
      </c>
      <c r="H318" s="21" t="s">
        <v>747</v>
      </c>
      <c r="I318">
        <v>1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 t="s">
        <v>3</v>
      </c>
      <c r="AC318" t="s">
        <v>3</v>
      </c>
      <c r="AD318" t="s">
        <v>3</v>
      </c>
      <c r="AE318" t="s">
        <v>3</v>
      </c>
      <c r="AF318" t="s">
        <v>3</v>
      </c>
      <c r="AG318" t="s">
        <v>3</v>
      </c>
      <c r="AH318" t="s">
        <v>3</v>
      </c>
      <c r="AI318" t="s">
        <v>3</v>
      </c>
      <c r="AJ318" t="s">
        <v>3</v>
      </c>
      <c r="AK318" t="s">
        <v>3</v>
      </c>
      <c r="AL318" t="s">
        <v>3</v>
      </c>
      <c r="AM318" t="s">
        <v>3</v>
      </c>
      <c r="AN318" t="s">
        <v>3</v>
      </c>
      <c r="AO318" t="s">
        <v>3</v>
      </c>
      <c r="AP318" t="s">
        <v>3</v>
      </c>
      <c r="AQ318" t="s">
        <v>3</v>
      </c>
      <c r="AR318" t="s">
        <v>3</v>
      </c>
      <c r="AS318" t="s">
        <v>3</v>
      </c>
      <c r="AT318" t="s">
        <v>3</v>
      </c>
      <c r="AU318" t="s">
        <v>3</v>
      </c>
      <c r="AV318" t="s">
        <v>3</v>
      </c>
      <c r="AW318" t="s">
        <v>3</v>
      </c>
      <c r="AX318">
        <v>0</v>
      </c>
      <c r="AY318">
        <v>1</v>
      </c>
      <c r="AZ318" t="s">
        <v>1</v>
      </c>
      <c r="BA318" t="s">
        <v>1</v>
      </c>
      <c r="BB318" t="s">
        <v>1</v>
      </c>
      <c r="BC318" s="21" t="s">
        <v>748</v>
      </c>
      <c r="BD318" s="21" t="s">
        <v>144</v>
      </c>
      <c r="BE318">
        <v>0</v>
      </c>
      <c r="BF318">
        <v>0</v>
      </c>
      <c r="BG318">
        <v>0</v>
      </c>
      <c r="BH318">
        <v>0</v>
      </c>
      <c r="BI318">
        <v>0</v>
      </c>
      <c r="BJ318" t="s">
        <v>749</v>
      </c>
      <c r="BK318">
        <v>0</v>
      </c>
      <c r="BL318" t="s">
        <v>132</v>
      </c>
      <c r="BM318">
        <v>0</v>
      </c>
      <c r="BN318">
        <v>1</v>
      </c>
      <c r="BO318">
        <v>0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 t="s">
        <v>0</v>
      </c>
      <c r="BX318">
        <v>0</v>
      </c>
      <c r="BY318">
        <v>0</v>
      </c>
      <c r="BZ318">
        <v>0</v>
      </c>
      <c r="CA318">
        <v>0</v>
      </c>
      <c r="CB318" t="s">
        <v>145</v>
      </c>
      <c r="CD318" t="str" cm="1">
        <f t="array" aca="1" ref="CD318" ca="1">eConcatenar(A318:CB318,"|")</f>
        <v>YDP9Nh2k3eNVKdzg|MODIFVHS108|3|MODIF|MODIF|MODIF|MODIF|2022-01-01|1|0|0|0|0|0|0|0|0|0|0|0|0|0|0|0|0|0|0|x|x|x|x|x|x|x|x|x|x|x|x|x|x|x|x|x|x|x|x|x|x|0|1|X|X|X|2022-2-10|2022-02-23|0|0|0|0|0|QWYNRBIY9KVTQO|0|HOMBRE|0|1|0|0|0|0|0|0|0|0|CARDENAS|0|0|0|0|FINAL</v>
      </c>
    </row>
    <row r="319" spans="1:82" x14ac:dyDescent="0.25">
      <c r="A319" t="s">
        <v>859</v>
      </c>
      <c r="B319" t="s">
        <v>655</v>
      </c>
      <c r="C319">
        <v>3</v>
      </c>
      <c r="D319" t="s">
        <v>346</v>
      </c>
      <c r="E319" t="s">
        <v>346</v>
      </c>
      <c r="F319" t="s">
        <v>346</v>
      </c>
      <c r="G319" t="s">
        <v>346</v>
      </c>
      <c r="H319" s="21" t="s">
        <v>747</v>
      </c>
      <c r="I319">
        <v>1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">
        <v>3</v>
      </c>
      <c r="AC319" t="s">
        <v>3</v>
      </c>
      <c r="AD319" t="s">
        <v>3</v>
      </c>
      <c r="AE319" t="s">
        <v>3</v>
      </c>
      <c r="AF319" t="s">
        <v>3</v>
      </c>
      <c r="AG319" t="s">
        <v>3</v>
      </c>
      <c r="AH319" t="s">
        <v>3</v>
      </c>
      <c r="AI319" t="s">
        <v>3</v>
      </c>
      <c r="AJ319" t="s">
        <v>3</v>
      </c>
      <c r="AK319" t="s">
        <v>3</v>
      </c>
      <c r="AL319" t="s">
        <v>3</v>
      </c>
      <c r="AM319" t="s">
        <v>3</v>
      </c>
      <c r="AN319" t="s">
        <v>3</v>
      </c>
      <c r="AO319" t="s">
        <v>3</v>
      </c>
      <c r="AP319" t="s">
        <v>3</v>
      </c>
      <c r="AQ319" t="s">
        <v>3</v>
      </c>
      <c r="AR319" t="s">
        <v>3</v>
      </c>
      <c r="AS319" t="s">
        <v>3</v>
      </c>
      <c r="AT319" t="s">
        <v>3</v>
      </c>
      <c r="AU319" t="s">
        <v>3</v>
      </c>
      <c r="AV319" t="s">
        <v>3</v>
      </c>
      <c r="AW319" t="s">
        <v>3</v>
      </c>
      <c r="AX319">
        <v>0</v>
      </c>
      <c r="AY319">
        <v>1</v>
      </c>
      <c r="AZ319" t="s">
        <v>1</v>
      </c>
      <c r="BA319" t="s">
        <v>1</v>
      </c>
      <c r="BB319" t="s">
        <v>1</v>
      </c>
      <c r="BC319" s="21" t="s">
        <v>748</v>
      </c>
      <c r="BD319" s="21" t="s">
        <v>144</v>
      </c>
      <c r="BE319">
        <v>0</v>
      </c>
      <c r="BF319">
        <v>0</v>
      </c>
      <c r="BG319">
        <v>0</v>
      </c>
      <c r="BH319">
        <v>0</v>
      </c>
      <c r="BI319">
        <v>0</v>
      </c>
      <c r="BJ319" t="s">
        <v>749</v>
      </c>
      <c r="BK319">
        <v>0</v>
      </c>
      <c r="BL319" t="s">
        <v>132</v>
      </c>
      <c r="BM319">
        <v>0</v>
      </c>
      <c r="BN319">
        <v>1</v>
      </c>
      <c r="BO319">
        <v>0</v>
      </c>
      <c r="BP319">
        <v>0</v>
      </c>
      <c r="BQ319">
        <v>0</v>
      </c>
      <c r="BR319">
        <v>0</v>
      </c>
      <c r="BS319">
        <v>0</v>
      </c>
      <c r="BT319">
        <v>0</v>
      </c>
      <c r="BU319">
        <v>0</v>
      </c>
      <c r="BV319">
        <v>0</v>
      </c>
      <c r="BW319" t="s">
        <v>0</v>
      </c>
      <c r="BX319">
        <v>0</v>
      </c>
      <c r="BY319">
        <v>0</v>
      </c>
      <c r="BZ319">
        <v>0</v>
      </c>
      <c r="CA319">
        <v>0</v>
      </c>
      <c r="CB319" t="s">
        <v>145</v>
      </c>
      <c r="CD319" t="str" cm="1">
        <f t="array" aca="1" ref="CD319" ca="1">eConcatenar(A319:CB319,"|")</f>
        <v>Y6ujujrfKt9nHaaR|MODIFVHS109|3|MODIF|MODIF|MODIF|MODIF|2022-01-01|1|0|0|0|0|0|0|0|0|0|0|0|0|0|0|0|0|0|0|x|x|x|x|x|x|x|x|x|x|x|x|x|x|x|x|x|x|x|x|x|x|0|1|X|X|X|2022-2-10|2022-02-23|0|0|0|0|0|QWYNRBIY9KVTQO|0|HOMBRE|0|1|0|0|0|0|0|0|0|0|CARDENAS|0|0|0|0|FINAL</v>
      </c>
    </row>
    <row r="320" spans="1:82" x14ac:dyDescent="0.25">
      <c r="A320" t="s">
        <v>860</v>
      </c>
      <c r="B320" t="s">
        <v>656</v>
      </c>
      <c r="C320">
        <v>3</v>
      </c>
      <c r="D320" t="s">
        <v>346</v>
      </c>
      <c r="E320" t="s">
        <v>346</v>
      </c>
      <c r="F320" t="s">
        <v>346</v>
      </c>
      <c r="G320" t="s">
        <v>346</v>
      </c>
      <c r="H320" s="21" t="s">
        <v>747</v>
      </c>
      <c r="I320">
        <v>1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 t="s">
        <v>3</v>
      </c>
      <c r="AC320" t="s">
        <v>3</v>
      </c>
      <c r="AD320" t="s">
        <v>3</v>
      </c>
      <c r="AE320" t="s">
        <v>3</v>
      </c>
      <c r="AF320" t="s">
        <v>3</v>
      </c>
      <c r="AG320" t="s">
        <v>3</v>
      </c>
      <c r="AH320" t="s">
        <v>3</v>
      </c>
      <c r="AI320" t="s">
        <v>3</v>
      </c>
      <c r="AJ320" t="s">
        <v>3</v>
      </c>
      <c r="AK320" t="s">
        <v>3</v>
      </c>
      <c r="AL320" t="s">
        <v>3</v>
      </c>
      <c r="AM320" t="s">
        <v>3</v>
      </c>
      <c r="AN320" t="s">
        <v>3</v>
      </c>
      <c r="AO320" t="s">
        <v>3</v>
      </c>
      <c r="AP320" t="s">
        <v>3</v>
      </c>
      <c r="AQ320" t="s">
        <v>3</v>
      </c>
      <c r="AR320" t="s">
        <v>3</v>
      </c>
      <c r="AS320" t="s">
        <v>3</v>
      </c>
      <c r="AT320" t="s">
        <v>3</v>
      </c>
      <c r="AU320" t="s">
        <v>3</v>
      </c>
      <c r="AV320" t="s">
        <v>3</v>
      </c>
      <c r="AW320" t="s">
        <v>3</v>
      </c>
      <c r="AX320">
        <v>0</v>
      </c>
      <c r="AY320">
        <v>1</v>
      </c>
      <c r="AZ320" t="s">
        <v>1</v>
      </c>
      <c r="BA320" t="s">
        <v>1</v>
      </c>
      <c r="BB320" t="s">
        <v>1</v>
      </c>
      <c r="BC320" s="21" t="s">
        <v>748</v>
      </c>
      <c r="BD320" s="21" t="s">
        <v>144</v>
      </c>
      <c r="BE320">
        <v>0</v>
      </c>
      <c r="BF320">
        <v>0</v>
      </c>
      <c r="BG320">
        <v>0</v>
      </c>
      <c r="BH320">
        <v>0</v>
      </c>
      <c r="BI320">
        <v>0</v>
      </c>
      <c r="BJ320" t="s">
        <v>749</v>
      </c>
      <c r="BK320">
        <v>0</v>
      </c>
      <c r="BL320" t="s">
        <v>132</v>
      </c>
      <c r="BM320">
        <v>0</v>
      </c>
      <c r="BN320">
        <v>1</v>
      </c>
      <c r="BO320">
        <v>0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 t="s">
        <v>0</v>
      </c>
      <c r="BX320">
        <v>0</v>
      </c>
      <c r="BY320">
        <v>0</v>
      </c>
      <c r="BZ320">
        <v>0</v>
      </c>
      <c r="CA320">
        <v>0</v>
      </c>
      <c r="CB320" t="s">
        <v>145</v>
      </c>
      <c r="CD320" t="str" cm="1">
        <f t="array" aca="1" ref="CD320" ca="1">eConcatenar(A320:CB320,"|")</f>
        <v>L9xYAPZf2kBpgjpH|MODIFVHS110|3|MODIF|MODIF|MODIF|MODIF|2022-01-01|1|0|0|0|0|0|0|0|0|0|0|0|0|0|0|0|0|0|0|x|x|x|x|x|x|x|x|x|x|x|x|x|x|x|x|x|x|x|x|x|x|0|1|X|X|X|2022-2-10|2022-02-23|0|0|0|0|0|QWYNRBIY9KVTQO|0|HOMBRE|0|1|0|0|0|0|0|0|0|0|CARDENAS|0|0|0|0|FINAL</v>
      </c>
    </row>
    <row r="321" spans="1:82" x14ac:dyDescent="0.25">
      <c r="A321" t="s">
        <v>861</v>
      </c>
      <c r="B321" t="s">
        <v>657</v>
      </c>
      <c r="C321">
        <v>3</v>
      </c>
      <c r="D321" t="s">
        <v>346</v>
      </c>
      <c r="E321" t="s">
        <v>346</v>
      </c>
      <c r="F321" t="s">
        <v>346</v>
      </c>
      <c r="G321" t="s">
        <v>346</v>
      </c>
      <c r="H321" s="21" t="s">
        <v>747</v>
      </c>
      <c r="I321">
        <v>1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 t="s">
        <v>3</v>
      </c>
      <c r="AC321" t="s">
        <v>3</v>
      </c>
      <c r="AD321" t="s">
        <v>3</v>
      </c>
      <c r="AE321" t="s">
        <v>3</v>
      </c>
      <c r="AF321" t="s">
        <v>3</v>
      </c>
      <c r="AG321" t="s">
        <v>3</v>
      </c>
      <c r="AH321" t="s">
        <v>3</v>
      </c>
      <c r="AI321" t="s">
        <v>3</v>
      </c>
      <c r="AJ321" t="s">
        <v>3</v>
      </c>
      <c r="AK321" t="s">
        <v>3</v>
      </c>
      <c r="AL321" t="s">
        <v>3</v>
      </c>
      <c r="AM321" t="s">
        <v>3</v>
      </c>
      <c r="AN321" t="s">
        <v>3</v>
      </c>
      <c r="AO321" t="s">
        <v>3</v>
      </c>
      <c r="AP321" t="s">
        <v>3</v>
      </c>
      <c r="AQ321" t="s">
        <v>3</v>
      </c>
      <c r="AR321" t="s">
        <v>3</v>
      </c>
      <c r="AS321" t="s">
        <v>3</v>
      </c>
      <c r="AT321" t="s">
        <v>3</v>
      </c>
      <c r="AU321" t="s">
        <v>3</v>
      </c>
      <c r="AV321" t="s">
        <v>3</v>
      </c>
      <c r="AW321" t="s">
        <v>3</v>
      </c>
      <c r="AX321">
        <v>0</v>
      </c>
      <c r="AY321">
        <v>1</v>
      </c>
      <c r="AZ321" t="s">
        <v>1</v>
      </c>
      <c r="BA321" t="s">
        <v>1</v>
      </c>
      <c r="BB321" t="s">
        <v>1</v>
      </c>
      <c r="BC321" s="21" t="s">
        <v>748</v>
      </c>
      <c r="BD321" s="21" t="s">
        <v>144</v>
      </c>
      <c r="BE321">
        <v>0</v>
      </c>
      <c r="BF321">
        <v>0</v>
      </c>
      <c r="BG321">
        <v>0</v>
      </c>
      <c r="BH321">
        <v>0</v>
      </c>
      <c r="BI321">
        <v>0</v>
      </c>
      <c r="BJ321" t="s">
        <v>749</v>
      </c>
      <c r="BK321">
        <v>0</v>
      </c>
      <c r="BL321" t="s">
        <v>132</v>
      </c>
      <c r="BM321">
        <v>0</v>
      </c>
      <c r="BN321">
        <v>1</v>
      </c>
      <c r="BO321">
        <v>0</v>
      </c>
      <c r="BP321">
        <v>0</v>
      </c>
      <c r="BQ321">
        <v>0</v>
      </c>
      <c r="BR321">
        <v>0</v>
      </c>
      <c r="BS321">
        <v>0</v>
      </c>
      <c r="BT321">
        <v>0</v>
      </c>
      <c r="BU321">
        <v>0</v>
      </c>
      <c r="BV321">
        <v>0</v>
      </c>
      <c r="BW321" t="s">
        <v>0</v>
      </c>
      <c r="BX321">
        <v>0</v>
      </c>
      <c r="BY321">
        <v>0</v>
      </c>
      <c r="BZ321">
        <v>0</v>
      </c>
      <c r="CA321">
        <v>0</v>
      </c>
      <c r="CB321" t="s">
        <v>145</v>
      </c>
      <c r="CD321" t="str" cm="1">
        <f t="array" aca="1" ref="CD321" ca="1">eConcatenar(A321:CB321,"|")</f>
        <v>dbN09qLpGooNc87J|MODIFVHS111|3|MODIF|MODIF|MODIF|MODIF|2022-01-01|1|0|0|0|0|0|0|0|0|0|0|0|0|0|0|0|0|0|0|x|x|x|x|x|x|x|x|x|x|x|x|x|x|x|x|x|x|x|x|x|x|0|1|X|X|X|2022-2-10|2022-02-23|0|0|0|0|0|QWYNRBIY9KVTQO|0|HOMBRE|0|1|0|0|0|0|0|0|0|0|CARDENAS|0|0|0|0|FINAL</v>
      </c>
    </row>
    <row r="322" spans="1:82" x14ac:dyDescent="0.25">
      <c r="A322" t="s">
        <v>862</v>
      </c>
      <c r="B322" t="s">
        <v>658</v>
      </c>
      <c r="C322">
        <v>3</v>
      </c>
      <c r="D322" t="s">
        <v>346</v>
      </c>
      <c r="E322" t="s">
        <v>346</v>
      </c>
      <c r="F322" t="s">
        <v>346</v>
      </c>
      <c r="G322" t="s">
        <v>346</v>
      </c>
      <c r="H322" s="21" t="s">
        <v>747</v>
      </c>
      <c r="I322">
        <v>1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 t="s">
        <v>3</v>
      </c>
      <c r="AC322" t="s">
        <v>3</v>
      </c>
      <c r="AD322" t="s">
        <v>3</v>
      </c>
      <c r="AE322" t="s">
        <v>3</v>
      </c>
      <c r="AF322" t="s">
        <v>3</v>
      </c>
      <c r="AG322" t="s">
        <v>3</v>
      </c>
      <c r="AH322" t="s">
        <v>3</v>
      </c>
      <c r="AI322" t="s">
        <v>3</v>
      </c>
      <c r="AJ322" t="s">
        <v>3</v>
      </c>
      <c r="AK322" t="s">
        <v>3</v>
      </c>
      <c r="AL322" t="s">
        <v>3</v>
      </c>
      <c r="AM322" t="s">
        <v>3</v>
      </c>
      <c r="AN322" t="s">
        <v>3</v>
      </c>
      <c r="AO322" t="s">
        <v>3</v>
      </c>
      <c r="AP322" t="s">
        <v>3</v>
      </c>
      <c r="AQ322" t="s">
        <v>3</v>
      </c>
      <c r="AR322" t="s">
        <v>3</v>
      </c>
      <c r="AS322" t="s">
        <v>3</v>
      </c>
      <c r="AT322" t="s">
        <v>3</v>
      </c>
      <c r="AU322" t="s">
        <v>3</v>
      </c>
      <c r="AV322" t="s">
        <v>3</v>
      </c>
      <c r="AW322" t="s">
        <v>3</v>
      </c>
      <c r="AX322">
        <v>0</v>
      </c>
      <c r="AY322">
        <v>1</v>
      </c>
      <c r="AZ322" t="s">
        <v>1</v>
      </c>
      <c r="BA322" t="s">
        <v>1</v>
      </c>
      <c r="BB322" t="s">
        <v>1</v>
      </c>
      <c r="BC322" s="21" t="s">
        <v>748</v>
      </c>
      <c r="BD322" s="21" t="s">
        <v>144</v>
      </c>
      <c r="BE322">
        <v>0</v>
      </c>
      <c r="BF322">
        <v>0</v>
      </c>
      <c r="BG322">
        <v>0</v>
      </c>
      <c r="BH322">
        <v>0</v>
      </c>
      <c r="BI322">
        <v>0</v>
      </c>
      <c r="BJ322" t="s">
        <v>749</v>
      </c>
      <c r="BK322">
        <v>0</v>
      </c>
      <c r="BL322" t="s">
        <v>132</v>
      </c>
      <c r="BM322">
        <v>0</v>
      </c>
      <c r="BN322">
        <v>1</v>
      </c>
      <c r="BO322">
        <v>0</v>
      </c>
      <c r="BP322">
        <v>0</v>
      </c>
      <c r="BQ322">
        <v>0</v>
      </c>
      <c r="BR322">
        <v>0</v>
      </c>
      <c r="BS322">
        <v>0</v>
      </c>
      <c r="BT322">
        <v>0</v>
      </c>
      <c r="BU322">
        <v>0</v>
      </c>
      <c r="BV322">
        <v>0</v>
      </c>
      <c r="BW322" t="s">
        <v>0</v>
      </c>
      <c r="BX322">
        <v>0</v>
      </c>
      <c r="BY322">
        <v>0</v>
      </c>
      <c r="BZ322">
        <v>0</v>
      </c>
      <c r="CA322">
        <v>0</v>
      </c>
      <c r="CB322" t="s">
        <v>145</v>
      </c>
      <c r="CD322" t="str" cm="1">
        <f t="array" aca="1" ref="CD322" ca="1">eConcatenar(A322:CB322,"|")</f>
        <v>ssOZDP1AfkHoQgXz|MODIFVHS112|3|MODIF|MODIF|MODIF|MODIF|2022-01-01|1|0|0|0|0|0|0|0|0|0|0|0|0|0|0|0|0|0|0|x|x|x|x|x|x|x|x|x|x|x|x|x|x|x|x|x|x|x|x|x|x|0|1|X|X|X|2022-2-10|2022-02-23|0|0|0|0|0|QWYNRBIY9KVTQO|0|HOMBRE|0|1|0|0|0|0|0|0|0|0|CARDENAS|0|0|0|0|FINAL</v>
      </c>
    </row>
    <row r="323" spans="1:82" x14ac:dyDescent="0.25">
      <c r="A323" t="s">
        <v>863</v>
      </c>
      <c r="B323" t="s">
        <v>659</v>
      </c>
      <c r="C323">
        <v>3</v>
      </c>
      <c r="D323" t="s">
        <v>346</v>
      </c>
      <c r="E323" t="s">
        <v>346</v>
      </c>
      <c r="F323" t="s">
        <v>346</v>
      </c>
      <c r="G323" t="s">
        <v>346</v>
      </c>
      <c r="H323" s="21" t="s">
        <v>747</v>
      </c>
      <c r="I323">
        <v>1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 t="s">
        <v>3</v>
      </c>
      <c r="AC323" t="s">
        <v>3</v>
      </c>
      <c r="AD323" t="s">
        <v>3</v>
      </c>
      <c r="AE323" t="s">
        <v>3</v>
      </c>
      <c r="AF323" t="s">
        <v>3</v>
      </c>
      <c r="AG323" t="s">
        <v>3</v>
      </c>
      <c r="AH323" t="s">
        <v>3</v>
      </c>
      <c r="AI323" t="s">
        <v>3</v>
      </c>
      <c r="AJ323" t="s">
        <v>3</v>
      </c>
      <c r="AK323" t="s">
        <v>3</v>
      </c>
      <c r="AL323" t="s">
        <v>3</v>
      </c>
      <c r="AM323" t="s">
        <v>3</v>
      </c>
      <c r="AN323" t="s">
        <v>3</v>
      </c>
      <c r="AO323" t="s">
        <v>3</v>
      </c>
      <c r="AP323" t="s">
        <v>3</v>
      </c>
      <c r="AQ323" t="s">
        <v>3</v>
      </c>
      <c r="AR323" t="s">
        <v>3</v>
      </c>
      <c r="AS323" t="s">
        <v>3</v>
      </c>
      <c r="AT323" t="s">
        <v>3</v>
      </c>
      <c r="AU323" t="s">
        <v>3</v>
      </c>
      <c r="AV323" t="s">
        <v>3</v>
      </c>
      <c r="AW323" t="s">
        <v>3</v>
      </c>
      <c r="AX323">
        <v>0</v>
      </c>
      <c r="AY323">
        <v>1</v>
      </c>
      <c r="AZ323" t="s">
        <v>1</v>
      </c>
      <c r="BA323" t="s">
        <v>1</v>
      </c>
      <c r="BB323" t="s">
        <v>1</v>
      </c>
      <c r="BC323" s="21" t="s">
        <v>748</v>
      </c>
      <c r="BD323" s="21" t="s">
        <v>144</v>
      </c>
      <c r="BE323">
        <v>0</v>
      </c>
      <c r="BF323">
        <v>0</v>
      </c>
      <c r="BG323">
        <v>0</v>
      </c>
      <c r="BH323">
        <v>0</v>
      </c>
      <c r="BI323">
        <v>0</v>
      </c>
      <c r="BJ323" t="s">
        <v>749</v>
      </c>
      <c r="BK323">
        <v>0</v>
      </c>
      <c r="BL323" t="s">
        <v>132</v>
      </c>
      <c r="BM323">
        <v>0</v>
      </c>
      <c r="BN323">
        <v>1</v>
      </c>
      <c r="BO323">
        <v>0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 t="s">
        <v>0</v>
      </c>
      <c r="BX323">
        <v>0</v>
      </c>
      <c r="BY323">
        <v>0</v>
      </c>
      <c r="BZ323">
        <v>0</v>
      </c>
      <c r="CA323">
        <v>0</v>
      </c>
      <c r="CB323" t="s">
        <v>145</v>
      </c>
      <c r="CD323" t="str" cm="1">
        <f t="array" aca="1" ref="CD323" ca="1">eConcatenar(A323:CB323,"|")</f>
        <v>tIkQRJKlT2JT5XKj|MODIFVHS113|3|MODIF|MODIF|MODIF|MODIF|2022-01-01|1|0|0|0|0|0|0|0|0|0|0|0|0|0|0|0|0|0|0|x|x|x|x|x|x|x|x|x|x|x|x|x|x|x|x|x|x|x|x|x|x|0|1|X|X|X|2022-2-10|2022-02-23|0|0|0|0|0|QWYNRBIY9KVTQO|0|HOMBRE|0|1|0|0|0|0|0|0|0|0|CARDENAS|0|0|0|0|FINAL</v>
      </c>
    </row>
    <row r="324" spans="1:82" x14ac:dyDescent="0.25">
      <c r="A324" t="s">
        <v>864</v>
      </c>
      <c r="B324" t="s">
        <v>660</v>
      </c>
      <c r="C324">
        <v>3</v>
      </c>
      <c r="D324" t="s">
        <v>346</v>
      </c>
      <c r="E324" t="s">
        <v>346</v>
      </c>
      <c r="F324" t="s">
        <v>346</v>
      </c>
      <c r="G324" t="s">
        <v>346</v>
      </c>
      <c r="H324" s="21" t="s">
        <v>747</v>
      </c>
      <c r="I324">
        <v>1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 t="s">
        <v>3</v>
      </c>
      <c r="AC324" t="s">
        <v>3</v>
      </c>
      <c r="AD324" t="s">
        <v>3</v>
      </c>
      <c r="AE324" t="s">
        <v>3</v>
      </c>
      <c r="AF324" t="s">
        <v>3</v>
      </c>
      <c r="AG324" t="s">
        <v>3</v>
      </c>
      <c r="AH324" t="s">
        <v>3</v>
      </c>
      <c r="AI324" t="s">
        <v>3</v>
      </c>
      <c r="AJ324" t="s">
        <v>3</v>
      </c>
      <c r="AK324" t="s">
        <v>3</v>
      </c>
      <c r="AL324" t="s">
        <v>3</v>
      </c>
      <c r="AM324" t="s">
        <v>3</v>
      </c>
      <c r="AN324" t="s">
        <v>3</v>
      </c>
      <c r="AO324" t="s">
        <v>3</v>
      </c>
      <c r="AP324" t="s">
        <v>3</v>
      </c>
      <c r="AQ324" t="s">
        <v>3</v>
      </c>
      <c r="AR324" t="s">
        <v>3</v>
      </c>
      <c r="AS324" t="s">
        <v>3</v>
      </c>
      <c r="AT324" t="s">
        <v>3</v>
      </c>
      <c r="AU324" t="s">
        <v>3</v>
      </c>
      <c r="AV324" t="s">
        <v>3</v>
      </c>
      <c r="AW324" t="s">
        <v>3</v>
      </c>
      <c r="AX324">
        <v>0</v>
      </c>
      <c r="AY324">
        <v>1</v>
      </c>
      <c r="AZ324" t="s">
        <v>1</v>
      </c>
      <c r="BA324" t="s">
        <v>1</v>
      </c>
      <c r="BB324" t="s">
        <v>1</v>
      </c>
      <c r="BC324" s="21" t="s">
        <v>748</v>
      </c>
      <c r="BD324" s="21" t="s">
        <v>144</v>
      </c>
      <c r="BE324">
        <v>0</v>
      </c>
      <c r="BF324">
        <v>0</v>
      </c>
      <c r="BG324">
        <v>0</v>
      </c>
      <c r="BH324">
        <v>0</v>
      </c>
      <c r="BI324">
        <v>0</v>
      </c>
      <c r="BJ324" t="s">
        <v>749</v>
      </c>
      <c r="BK324">
        <v>0</v>
      </c>
      <c r="BL324" t="s">
        <v>132</v>
      </c>
      <c r="BM324">
        <v>0</v>
      </c>
      <c r="BN324">
        <v>1</v>
      </c>
      <c r="BO324">
        <v>0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 t="s">
        <v>0</v>
      </c>
      <c r="BX324">
        <v>0</v>
      </c>
      <c r="BY324">
        <v>0</v>
      </c>
      <c r="BZ324">
        <v>0</v>
      </c>
      <c r="CA324">
        <v>0</v>
      </c>
      <c r="CB324" t="s">
        <v>145</v>
      </c>
      <c r="CD324" t="str" cm="1">
        <f t="array" aca="1" ref="CD324" ca="1">eConcatenar(A324:CB324,"|")</f>
        <v>xQk5N4w0ly5Dzxmg|MODIFVHS114|3|MODIF|MODIF|MODIF|MODIF|2022-01-01|1|0|0|0|0|0|0|0|0|0|0|0|0|0|0|0|0|0|0|x|x|x|x|x|x|x|x|x|x|x|x|x|x|x|x|x|x|x|x|x|x|0|1|X|X|X|2022-2-10|2022-02-23|0|0|0|0|0|QWYNRBIY9KVTQO|0|HOMBRE|0|1|0|0|0|0|0|0|0|0|CARDENAS|0|0|0|0|FINAL</v>
      </c>
    </row>
    <row r="325" spans="1:82" x14ac:dyDescent="0.25">
      <c r="A325" t="s">
        <v>865</v>
      </c>
      <c r="B325" t="s">
        <v>661</v>
      </c>
      <c r="C325">
        <v>3</v>
      </c>
      <c r="D325" t="s">
        <v>346</v>
      </c>
      <c r="E325" t="s">
        <v>346</v>
      </c>
      <c r="F325" t="s">
        <v>346</v>
      </c>
      <c r="G325" t="s">
        <v>346</v>
      </c>
      <c r="H325" s="21" t="s">
        <v>747</v>
      </c>
      <c r="I325">
        <v>1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 t="s">
        <v>3</v>
      </c>
      <c r="AC325" t="s">
        <v>3</v>
      </c>
      <c r="AD325" t="s">
        <v>3</v>
      </c>
      <c r="AE325" t="s">
        <v>3</v>
      </c>
      <c r="AF325" t="s">
        <v>3</v>
      </c>
      <c r="AG325" t="s">
        <v>3</v>
      </c>
      <c r="AH325" t="s">
        <v>3</v>
      </c>
      <c r="AI325" t="s">
        <v>3</v>
      </c>
      <c r="AJ325" t="s">
        <v>3</v>
      </c>
      <c r="AK325" t="s">
        <v>3</v>
      </c>
      <c r="AL325" t="s">
        <v>3</v>
      </c>
      <c r="AM325" t="s">
        <v>3</v>
      </c>
      <c r="AN325" t="s">
        <v>3</v>
      </c>
      <c r="AO325" t="s">
        <v>3</v>
      </c>
      <c r="AP325" t="s">
        <v>3</v>
      </c>
      <c r="AQ325" t="s">
        <v>3</v>
      </c>
      <c r="AR325" t="s">
        <v>3</v>
      </c>
      <c r="AS325" t="s">
        <v>3</v>
      </c>
      <c r="AT325" t="s">
        <v>3</v>
      </c>
      <c r="AU325" t="s">
        <v>3</v>
      </c>
      <c r="AV325" t="s">
        <v>3</v>
      </c>
      <c r="AW325" t="s">
        <v>3</v>
      </c>
      <c r="AX325">
        <v>0</v>
      </c>
      <c r="AY325">
        <v>1</v>
      </c>
      <c r="AZ325" t="s">
        <v>1</v>
      </c>
      <c r="BA325" t="s">
        <v>1</v>
      </c>
      <c r="BB325" t="s">
        <v>1</v>
      </c>
      <c r="BC325" s="21" t="s">
        <v>748</v>
      </c>
      <c r="BD325" s="21" t="s">
        <v>144</v>
      </c>
      <c r="BE325">
        <v>0</v>
      </c>
      <c r="BF325">
        <v>0</v>
      </c>
      <c r="BG325">
        <v>0</v>
      </c>
      <c r="BH325">
        <v>0</v>
      </c>
      <c r="BI325">
        <v>0</v>
      </c>
      <c r="BJ325" t="s">
        <v>749</v>
      </c>
      <c r="BK325">
        <v>0</v>
      </c>
      <c r="BL325" t="s">
        <v>132</v>
      </c>
      <c r="BM325">
        <v>0</v>
      </c>
      <c r="BN325">
        <v>1</v>
      </c>
      <c r="BO325">
        <v>0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 t="s">
        <v>0</v>
      </c>
      <c r="BX325">
        <v>0</v>
      </c>
      <c r="BY325">
        <v>0</v>
      </c>
      <c r="BZ325">
        <v>0</v>
      </c>
      <c r="CA325">
        <v>0</v>
      </c>
      <c r="CB325" t="s">
        <v>145</v>
      </c>
      <c r="CD325" t="str" cm="1">
        <f t="array" aca="1" ref="CD325" ca="1">eConcatenar(A325:CB325,"|")</f>
        <v>p0dmAJaeQKbkX189|MODIFVHS115|3|MODIF|MODIF|MODIF|MODIF|2022-01-01|1|0|0|0|0|0|0|0|0|0|0|0|0|0|0|0|0|0|0|x|x|x|x|x|x|x|x|x|x|x|x|x|x|x|x|x|x|x|x|x|x|0|1|X|X|X|2022-2-10|2022-02-23|0|0|0|0|0|QWYNRBIY9KVTQO|0|HOMBRE|0|1|0|0|0|0|0|0|0|0|CARDENAS|0|0|0|0|FINAL</v>
      </c>
    </row>
    <row r="326" spans="1:82" x14ac:dyDescent="0.25">
      <c r="A326" t="s">
        <v>866</v>
      </c>
      <c r="B326" t="s">
        <v>662</v>
      </c>
      <c r="C326">
        <v>3</v>
      </c>
      <c r="D326" t="s">
        <v>346</v>
      </c>
      <c r="E326" t="s">
        <v>346</v>
      </c>
      <c r="F326" t="s">
        <v>346</v>
      </c>
      <c r="G326" t="s">
        <v>346</v>
      </c>
      <c r="H326" s="21" t="s">
        <v>747</v>
      </c>
      <c r="I326">
        <v>1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 t="s">
        <v>3</v>
      </c>
      <c r="AC326" t="s">
        <v>3</v>
      </c>
      <c r="AD326" t="s">
        <v>3</v>
      </c>
      <c r="AE326" t="s">
        <v>3</v>
      </c>
      <c r="AF326" t="s">
        <v>3</v>
      </c>
      <c r="AG326" t="s">
        <v>3</v>
      </c>
      <c r="AH326" t="s">
        <v>3</v>
      </c>
      <c r="AI326" t="s">
        <v>3</v>
      </c>
      <c r="AJ326" t="s">
        <v>3</v>
      </c>
      <c r="AK326" t="s">
        <v>3</v>
      </c>
      <c r="AL326" t="s">
        <v>3</v>
      </c>
      <c r="AM326" t="s">
        <v>3</v>
      </c>
      <c r="AN326" t="s">
        <v>3</v>
      </c>
      <c r="AO326" t="s">
        <v>3</v>
      </c>
      <c r="AP326" t="s">
        <v>3</v>
      </c>
      <c r="AQ326" t="s">
        <v>3</v>
      </c>
      <c r="AR326" t="s">
        <v>3</v>
      </c>
      <c r="AS326" t="s">
        <v>3</v>
      </c>
      <c r="AT326" t="s">
        <v>3</v>
      </c>
      <c r="AU326" t="s">
        <v>3</v>
      </c>
      <c r="AV326" t="s">
        <v>3</v>
      </c>
      <c r="AW326" t="s">
        <v>3</v>
      </c>
      <c r="AX326">
        <v>0</v>
      </c>
      <c r="AY326">
        <v>1</v>
      </c>
      <c r="AZ326" t="s">
        <v>1</v>
      </c>
      <c r="BA326" t="s">
        <v>1</v>
      </c>
      <c r="BB326" t="s">
        <v>1</v>
      </c>
      <c r="BC326" s="21" t="s">
        <v>748</v>
      </c>
      <c r="BD326" s="21" t="s">
        <v>144</v>
      </c>
      <c r="BE326">
        <v>0</v>
      </c>
      <c r="BF326">
        <v>0</v>
      </c>
      <c r="BG326">
        <v>0</v>
      </c>
      <c r="BH326">
        <v>0</v>
      </c>
      <c r="BI326">
        <v>0</v>
      </c>
      <c r="BJ326" t="s">
        <v>749</v>
      </c>
      <c r="BK326">
        <v>0</v>
      </c>
      <c r="BL326" t="s">
        <v>132</v>
      </c>
      <c r="BM326">
        <v>0</v>
      </c>
      <c r="BN326">
        <v>1</v>
      </c>
      <c r="BO326">
        <v>0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 t="s">
        <v>0</v>
      </c>
      <c r="BX326">
        <v>0</v>
      </c>
      <c r="BY326">
        <v>0</v>
      </c>
      <c r="BZ326">
        <v>0</v>
      </c>
      <c r="CA326">
        <v>0</v>
      </c>
      <c r="CB326" t="s">
        <v>145</v>
      </c>
      <c r="CD326" t="str" cm="1">
        <f t="array" aca="1" ref="CD326" ca="1">eConcatenar(A326:CB326,"|")</f>
        <v>iPCPTr4IK4TorI91|MODIFVHS116|3|MODIF|MODIF|MODIF|MODIF|2022-01-01|1|0|0|0|0|0|0|0|0|0|0|0|0|0|0|0|0|0|0|x|x|x|x|x|x|x|x|x|x|x|x|x|x|x|x|x|x|x|x|x|x|0|1|X|X|X|2022-2-10|2022-02-23|0|0|0|0|0|QWYNRBIY9KVTQO|0|HOMBRE|0|1|0|0|0|0|0|0|0|0|CARDENAS|0|0|0|0|FINAL</v>
      </c>
    </row>
    <row r="327" spans="1:82" x14ac:dyDescent="0.25">
      <c r="A327" t="s">
        <v>867</v>
      </c>
      <c r="B327" t="s">
        <v>663</v>
      </c>
      <c r="C327">
        <v>3</v>
      </c>
      <c r="D327" t="s">
        <v>346</v>
      </c>
      <c r="E327" t="s">
        <v>346</v>
      </c>
      <c r="F327" t="s">
        <v>346</v>
      </c>
      <c r="G327" t="s">
        <v>346</v>
      </c>
      <c r="H327" s="21" t="s">
        <v>747</v>
      </c>
      <c r="I327">
        <v>1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 t="s">
        <v>3</v>
      </c>
      <c r="AC327" t="s">
        <v>3</v>
      </c>
      <c r="AD327" t="s">
        <v>3</v>
      </c>
      <c r="AE327" t="s">
        <v>3</v>
      </c>
      <c r="AF327" t="s">
        <v>3</v>
      </c>
      <c r="AG327" t="s">
        <v>3</v>
      </c>
      <c r="AH327" t="s">
        <v>3</v>
      </c>
      <c r="AI327" t="s">
        <v>3</v>
      </c>
      <c r="AJ327" t="s">
        <v>3</v>
      </c>
      <c r="AK327" t="s">
        <v>3</v>
      </c>
      <c r="AL327" t="s">
        <v>3</v>
      </c>
      <c r="AM327" t="s">
        <v>3</v>
      </c>
      <c r="AN327" t="s">
        <v>3</v>
      </c>
      <c r="AO327" t="s">
        <v>3</v>
      </c>
      <c r="AP327" t="s">
        <v>3</v>
      </c>
      <c r="AQ327" t="s">
        <v>3</v>
      </c>
      <c r="AR327" t="s">
        <v>3</v>
      </c>
      <c r="AS327" t="s">
        <v>3</v>
      </c>
      <c r="AT327" t="s">
        <v>3</v>
      </c>
      <c r="AU327" t="s">
        <v>3</v>
      </c>
      <c r="AV327" t="s">
        <v>3</v>
      </c>
      <c r="AW327" t="s">
        <v>3</v>
      </c>
      <c r="AX327">
        <v>0</v>
      </c>
      <c r="AY327">
        <v>1</v>
      </c>
      <c r="AZ327" t="s">
        <v>1</v>
      </c>
      <c r="BA327" t="s">
        <v>1</v>
      </c>
      <c r="BB327" t="s">
        <v>1</v>
      </c>
      <c r="BC327" s="21" t="s">
        <v>748</v>
      </c>
      <c r="BD327" s="21" t="s">
        <v>144</v>
      </c>
      <c r="BE327">
        <v>0</v>
      </c>
      <c r="BF327">
        <v>0</v>
      </c>
      <c r="BG327">
        <v>0</v>
      </c>
      <c r="BH327">
        <v>0</v>
      </c>
      <c r="BI327">
        <v>0</v>
      </c>
      <c r="BJ327" t="s">
        <v>749</v>
      </c>
      <c r="BK327">
        <v>0</v>
      </c>
      <c r="BL327" t="s">
        <v>132</v>
      </c>
      <c r="BM327">
        <v>0</v>
      </c>
      <c r="BN327">
        <v>1</v>
      </c>
      <c r="BO327">
        <v>0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 t="s">
        <v>0</v>
      </c>
      <c r="BX327">
        <v>0</v>
      </c>
      <c r="BY327">
        <v>0</v>
      </c>
      <c r="BZ327">
        <v>0</v>
      </c>
      <c r="CA327">
        <v>0</v>
      </c>
      <c r="CB327" t="s">
        <v>145</v>
      </c>
      <c r="CD327" t="str" cm="1">
        <f t="array" aca="1" ref="CD327" ca="1">eConcatenar(A327:CB327,"|")</f>
        <v>fSQuwcY2oEfF9mMt|MODIFVHS117|3|MODIF|MODIF|MODIF|MODIF|2022-01-01|1|0|0|0|0|0|0|0|0|0|0|0|0|0|0|0|0|0|0|x|x|x|x|x|x|x|x|x|x|x|x|x|x|x|x|x|x|x|x|x|x|0|1|X|X|X|2022-2-10|2022-02-23|0|0|0|0|0|QWYNRBIY9KVTQO|0|HOMBRE|0|1|0|0|0|0|0|0|0|0|CARDENAS|0|0|0|0|FINAL</v>
      </c>
    </row>
    <row r="328" spans="1:82" x14ac:dyDescent="0.25">
      <c r="A328" t="s">
        <v>868</v>
      </c>
      <c r="B328" t="s">
        <v>664</v>
      </c>
      <c r="C328">
        <v>3</v>
      </c>
      <c r="D328" t="s">
        <v>346</v>
      </c>
      <c r="E328" t="s">
        <v>346</v>
      </c>
      <c r="F328" t="s">
        <v>346</v>
      </c>
      <c r="G328" t="s">
        <v>346</v>
      </c>
      <c r="H328" s="21" t="s">
        <v>747</v>
      </c>
      <c r="I328">
        <v>1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 t="s">
        <v>3</v>
      </c>
      <c r="AC328" t="s">
        <v>3</v>
      </c>
      <c r="AD328" t="s">
        <v>3</v>
      </c>
      <c r="AE328" t="s">
        <v>3</v>
      </c>
      <c r="AF328" t="s">
        <v>3</v>
      </c>
      <c r="AG328" t="s">
        <v>3</v>
      </c>
      <c r="AH328" t="s">
        <v>3</v>
      </c>
      <c r="AI328" t="s">
        <v>3</v>
      </c>
      <c r="AJ328" t="s">
        <v>3</v>
      </c>
      <c r="AK328" t="s">
        <v>3</v>
      </c>
      <c r="AL328" t="s">
        <v>3</v>
      </c>
      <c r="AM328" t="s">
        <v>3</v>
      </c>
      <c r="AN328" t="s">
        <v>3</v>
      </c>
      <c r="AO328" t="s">
        <v>3</v>
      </c>
      <c r="AP328" t="s">
        <v>3</v>
      </c>
      <c r="AQ328" t="s">
        <v>3</v>
      </c>
      <c r="AR328" t="s">
        <v>3</v>
      </c>
      <c r="AS328" t="s">
        <v>3</v>
      </c>
      <c r="AT328" t="s">
        <v>3</v>
      </c>
      <c r="AU328" t="s">
        <v>3</v>
      </c>
      <c r="AV328" t="s">
        <v>3</v>
      </c>
      <c r="AW328" t="s">
        <v>3</v>
      </c>
      <c r="AX328">
        <v>0</v>
      </c>
      <c r="AY328">
        <v>1</v>
      </c>
      <c r="AZ328" t="s">
        <v>1</v>
      </c>
      <c r="BA328" t="s">
        <v>1</v>
      </c>
      <c r="BB328" t="s">
        <v>1</v>
      </c>
      <c r="BC328" s="21" t="s">
        <v>748</v>
      </c>
      <c r="BD328" s="21" t="s">
        <v>144</v>
      </c>
      <c r="BE328">
        <v>0</v>
      </c>
      <c r="BF328">
        <v>0</v>
      </c>
      <c r="BG328">
        <v>0</v>
      </c>
      <c r="BH328">
        <v>0</v>
      </c>
      <c r="BI328">
        <v>0</v>
      </c>
      <c r="BJ328" t="s">
        <v>749</v>
      </c>
      <c r="BK328">
        <v>0</v>
      </c>
      <c r="BL328" t="s">
        <v>132</v>
      </c>
      <c r="BM328">
        <v>0</v>
      </c>
      <c r="BN328">
        <v>1</v>
      </c>
      <c r="BO328">
        <v>0</v>
      </c>
      <c r="BP328">
        <v>0</v>
      </c>
      <c r="BQ328">
        <v>0</v>
      </c>
      <c r="BR328">
        <v>0</v>
      </c>
      <c r="BS328">
        <v>0</v>
      </c>
      <c r="BT328">
        <v>0</v>
      </c>
      <c r="BU328">
        <v>0</v>
      </c>
      <c r="BV328">
        <v>0</v>
      </c>
      <c r="BW328" t="s">
        <v>0</v>
      </c>
      <c r="BX328">
        <v>0</v>
      </c>
      <c r="BY328">
        <v>0</v>
      </c>
      <c r="BZ328">
        <v>0</v>
      </c>
      <c r="CA328">
        <v>0</v>
      </c>
      <c r="CB328" t="s">
        <v>145</v>
      </c>
      <c r="CD328" t="str" cm="1">
        <f t="array" aca="1" ref="CD328" ca="1">eConcatenar(A328:CB328,"|")</f>
        <v>thUJ6S614ynREZu4|MODIFVHS118|3|MODIF|MODIF|MODIF|MODIF|2022-01-01|1|0|0|0|0|0|0|0|0|0|0|0|0|0|0|0|0|0|0|x|x|x|x|x|x|x|x|x|x|x|x|x|x|x|x|x|x|x|x|x|x|0|1|X|X|X|2022-2-10|2022-02-23|0|0|0|0|0|QWYNRBIY9KVTQO|0|HOMBRE|0|1|0|0|0|0|0|0|0|0|CARDENAS|0|0|0|0|FINAL</v>
      </c>
    </row>
    <row r="329" spans="1:82" x14ac:dyDescent="0.25">
      <c r="A329" t="s">
        <v>869</v>
      </c>
      <c r="B329" t="s">
        <v>665</v>
      </c>
      <c r="C329">
        <v>3</v>
      </c>
      <c r="D329" t="s">
        <v>346</v>
      </c>
      <c r="E329" t="s">
        <v>346</v>
      </c>
      <c r="F329" t="s">
        <v>346</v>
      </c>
      <c r="G329" t="s">
        <v>346</v>
      </c>
      <c r="H329" s="21" t="s">
        <v>747</v>
      </c>
      <c r="I329">
        <v>1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 t="s">
        <v>3</v>
      </c>
      <c r="AC329" t="s">
        <v>3</v>
      </c>
      <c r="AD329" t="s">
        <v>3</v>
      </c>
      <c r="AE329" t="s">
        <v>3</v>
      </c>
      <c r="AF329" t="s">
        <v>3</v>
      </c>
      <c r="AG329" t="s">
        <v>3</v>
      </c>
      <c r="AH329" t="s">
        <v>3</v>
      </c>
      <c r="AI329" t="s">
        <v>3</v>
      </c>
      <c r="AJ329" t="s">
        <v>3</v>
      </c>
      <c r="AK329" t="s">
        <v>3</v>
      </c>
      <c r="AL329" t="s">
        <v>3</v>
      </c>
      <c r="AM329" t="s">
        <v>3</v>
      </c>
      <c r="AN329" t="s">
        <v>3</v>
      </c>
      <c r="AO329" t="s">
        <v>3</v>
      </c>
      <c r="AP329" t="s">
        <v>3</v>
      </c>
      <c r="AQ329" t="s">
        <v>3</v>
      </c>
      <c r="AR329" t="s">
        <v>3</v>
      </c>
      <c r="AS329" t="s">
        <v>3</v>
      </c>
      <c r="AT329" t="s">
        <v>3</v>
      </c>
      <c r="AU329" t="s">
        <v>3</v>
      </c>
      <c r="AV329" t="s">
        <v>3</v>
      </c>
      <c r="AW329" t="s">
        <v>3</v>
      </c>
      <c r="AX329">
        <v>0</v>
      </c>
      <c r="AY329">
        <v>1</v>
      </c>
      <c r="AZ329" t="s">
        <v>1</v>
      </c>
      <c r="BA329" t="s">
        <v>1</v>
      </c>
      <c r="BB329" t="s">
        <v>1</v>
      </c>
      <c r="BC329" s="21" t="s">
        <v>748</v>
      </c>
      <c r="BD329" s="21" t="s">
        <v>144</v>
      </c>
      <c r="BE329">
        <v>0</v>
      </c>
      <c r="BF329">
        <v>0</v>
      </c>
      <c r="BG329">
        <v>0</v>
      </c>
      <c r="BH329">
        <v>0</v>
      </c>
      <c r="BI329">
        <v>0</v>
      </c>
      <c r="BJ329" t="s">
        <v>749</v>
      </c>
      <c r="BK329">
        <v>0</v>
      </c>
      <c r="BL329" t="s">
        <v>132</v>
      </c>
      <c r="BM329">
        <v>0</v>
      </c>
      <c r="BN329">
        <v>1</v>
      </c>
      <c r="BO329">
        <v>0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 t="s">
        <v>0</v>
      </c>
      <c r="BX329">
        <v>0</v>
      </c>
      <c r="BY329">
        <v>0</v>
      </c>
      <c r="BZ329">
        <v>0</v>
      </c>
      <c r="CA329">
        <v>0</v>
      </c>
      <c r="CB329" t="s">
        <v>145</v>
      </c>
      <c r="CD329" t="str" cm="1">
        <f t="array" aca="1" ref="CD329" ca="1">eConcatenar(A329:CB329,"|")</f>
        <v>gHYVCyu251vGh0VM|MODIFVHS119|3|MODIF|MODIF|MODIF|MODIF|2022-01-01|1|0|0|0|0|0|0|0|0|0|0|0|0|0|0|0|0|0|0|x|x|x|x|x|x|x|x|x|x|x|x|x|x|x|x|x|x|x|x|x|x|0|1|X|X|X|2022-2-10|2022-02-23|0|0|0|0|0|QWYNRBIY9KVTQO|0|HOMBRE|0|1|0|0|0|0|0|0|0|0|CARDENAS|0|0|0|0|FINAL</v>
      </c>
    </row>
    <row r="330" spans="1:82" x14ac:dyDescent="0.25">
      <c r="A330" t="s">
        <v>870</v>
      </c>
      <c r="B330" t="s">
        <v>666</v>
      </c>
      <c r="C330">
        <v>3</v>
      </c>
      <c r="D330" t="s">
        <v>346</v>
      </c>
      <c r="E330" t="s">
        <v>346</v>
      </c>
      <c r="F330" t="s">
        <v>346</v>
      </c>
      <c r="G330" t="s">
        <v>346</v>
      </c>
      <c r="H330" s="21" t="s">
        <v>747</v>
      </c>
      <c r="I330">
        <v>1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 t="s">
        <v>3</v>
      </c>
      <c r="AC330" t="s">
        <v>3</v>
      </c>
      <c r="AD330" t="s">
        <v>3</v>
      </c>
      <c r="AE330" t="s">
        <v>3</v>
      </c>
      <c r="AF330" t="s">
        <v>3</v>
      </c>
      <c r="AG330" t="s">
        <v>3</v>
      </c>
      <c r="AH330" t="s">
        <v>3</v>
      </c>
      <c r="AI330" t="s">
        <v>3</v>
      </c>
      <c r="AJ330" t="s">
        <v>3</v>
      </c>
      <c r="AK330" t="s">
        <v>3</v>
      </c>
      <c r="AL330" t="s">
        <v>3</v>
      </c>
      <c r="AM330" t="s">
        <v>3</v>
      </c>
      <c r="AN330" t="s">
        <v>3</v>
      </c>
      <c r="AO330" t="s">
        <v>3</v>
      </c>
      <c r="AP330" t="s">
        <v>3</v>
      </c>
      <c r="AQ330" t="s">
        <v>3</v>
      </c>
      <c r="AR330" t="s">
        <v>3</v>
      </c>
      <c r="AS330" t="s">
        <v>3</v>
      </c>
      <c r="AT330" t="s">
        <v>3</v>
      </c>
      <c r="AU330" t="s">
        <v>3</v>
      </c>
      <c r="AV330" t="s">
        <v>3</v>
      </c>
      <c r="AW330" t="s">
        <v>3</v>
      </c>
      <c r="AX330">
        <v>0</v>
      </c>
      <c r="AY330">
        <v>1</v>
      </c>
      <c r="AZ330" t="s">
        <v>1</v>
      </c>
      <c r="BA330" t="s">
        <v>1</v>
      </c>
      <c r="BB330" t="s">
        <v>1</v>
      </c>
      <c r="BC330" s="21" t="s">
        <v>748</v>
      </c>
      <c r="BD330" s="21" t="s">
        <v>144</v>
      </c>
      <c r="BE330">
        <v>0</v>
      </c>
      <c r="BF330">
        <v>0</v>
      </c>
      <c r="BG330">
        <v>0</v>
      </c>
      <c r="BH330">
        <v>0</v>
      </c>
      <c r="BI330">
        <v>0</v>
      </c>
      <c r="BJ330" t="s">
        <v>749</v>
      </c>
      <c r="BK330">
        <v>0</v>
      </c>
      <c r="BL330" t="s">
        <v>132</v>
      </c>
      <c r="BM330">
        <v>0</v>
      </c>
      <c r="BN330">
        <v>1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 t="s">
        <v>0</v>
      </c>
      <c r="BX330">
        <v>0</v>
      </c>
      <c r="BY330">
        <v>0</v>
      </c>
      <c r="BZ330">
        <v>0</v>
      </c>
      <c r="CA330">
        <v>0</v>
      </c>
      <c r="CB330" t="s">
        <v>145</v>
      </c>
      <c r="CD330" t="str" cm="1">
        <f t="array" aca="1" ref="CD330" ca="1">eConcatenar(A330:CB330,"|")</f>
        <v>kBFBUFYE3qUmFv7p|MODIFVHS120|3|MODIF|MODIF|MODIF|MODIF|2022-01-01|1|0|0|0|0|0|0|0|0|0|0|0|0|0|0|0|0|0|0|x|x|x|x|x|x|x|x|x|x|x|x|x|x|x|x|x|x|x|x|x|x|0|1|X|X|X|2022-2-10|2022-02-23|0|0|0|0|0|QWYNRBIY9KVTQO|0|HOMBRE|0|1|0|0|0|0|0|0|0|0|CARDENAS|0|0|0|0|FINAL</v>
      </c>
    </row>
    <row r="331" spans="1:82" x14ac:dyDescent="0.25">
      <c r="A331" t="s">
        <v>871</v>
      </c>
      <c r="B331" t="s">
        <v>667</v>
      </c>
      <c r="C331">
        <v>3</v>
      </c>
      <c r="D331" t="s">
        <v>346</v>
      </c>
      <c r="E331" t="s">
        <v>346</v>
      </c>
      <c r="F331" t="s">
        <v>346</v>
      </c>
      <c r="G331" t="s">
        <v>346</v>
      </c>
      <c r="H331" s="21" t="s">
        <v>747</v>
      </c>
      <c r="I331">
        <v>1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 t="s">
        <v>3</v>
      </c>
      <c r="AC331" t="s">
        <v>3</v>
      </c>
      <c r="AD331" t="s">
        <v>3</v>
      </c>
      <c r="AE331" t="s">
        <v>3</v>
      </c>
      <c r="AF331" t="s">
        <v>3</v>
      </c>
      <c r="AG331" t="s">
        <v>3</v>
      </c>
      <c r="AH331" t="s">
        <v>3</v>
      </c>
      <c r="AI331" t="s">
        <v>3</v>
      </c>
      <c r="AJ331" t="s">
        <v>3</v>
      </c>
      <c r="AK331" t="s">
        <v>3</v>
      </c>
      <c r="AL331" t="s">
        <v>3</v>
      </c>
      <c r="AM331" t="s">
        <v>3</v>
      </c>
      <c r="AN331" t="s">
        <v>3</v>
      </c>
      <c r="AO331" t="s">
        <v>3</v>
      </c>
      <c r="AP331" t="s">
        <v>3</v>
      </c>
      <c r="AQ331" t="s">
        <v>3</v>
      </c>
      <c r="AR331" t="s">
        <v>3</v>
      </c>
      <c r="AS331" t="s">
        <v>3</v>
      </c>
      <c r="AT331" t="s">
        <v>3</v>
      </c>
      <c r="AU331" t="s">
        <v>3</v>
      </c>
      <c r="AV331" t="s">
        <v>3</v>
      </c>
      <c r="AW331" t="s">
        <v>3</v>
      </c>
      <c r="AX331">
        <v>0</v>
      </c>
      <c r="AY331">
        <v>1</v>
      </c>
      <c r="AZ331" t="s">
        <v>1</v>
      </c>
      <c r="BA331" t="s">
        <v>1</v>
      </c>
      <c r="BB331" t="s">
        <v>1</v>
      </c>
      <c r="BC331" s="21" t="s">
        <v>748</v>
      </c>
      <c r="BD331" s="21" t="s">
        <v>144</v>
      </c>
      <c r="BE331">
        <v>0</v>
      </c>
      <c r="BF331">
        <v>0</v>
      </c>
      <c r="BG331">
        <v>0</v>
      </c>
      <c r="BH331">
        <v>0</v>
      </c>
      <c r="BI331">
        <v>0</v>
      </c>
      <c r="BJ331" t="s">
        <v>749</v>
      </c>
      <c r="BK331">
        <v>0</v>
      </c>
      <c r="BL331" t="s">
        <v>132</v>
      </c>
      <c r="BM331">
        <v>0</v>
      </c>
      <c r="BN331">
        <v>1</v>
      </c>
      <c r="BO331">
        <v>0</v>
      </c>
      <c r="BP331">
        <v>0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0</v>
      </c>
      <c r="BW331" t="s">
        <v>0</v>
      </c>
      <c r="BX331">
        <v>0</v>
      </c>
      <c r="BY331">
        <v>0</v>
      </c>
      <c r="BZ331">
        <v>0</v>
      </c>
      <c r="CA331">
        <v>0</v>
      </c>
      <c r="CB331" t="s">
        <v>145</v>
      </c>
      <c r="CD331" t="str" cm="1">
        <f t="array" aca="1" ref="CD331" ca="1">eConcatenar(A331:CB331,"|")</f>
        <v>BuaB3OeNjgOehcnr|MODIFVHS121|3|MODIF|MODIF|MODIF|MODIF|2022-01-01|1|0|0|0|0|0|0|0|0|0|0|0|0|0|0|0|0|0|0|x|x|x|x|x|x|x|x|x|x|x|x|x|x|x|x|x|x|x|x|x|x|0|1|X|X|X|2022-2-10|2022-02-23|0|0|0|0|0|QWYNRBIY9KVTQO|0|HOMBRE|0|1|0|0|0|0|0|0|0|0|CARDENAS|0|0|0|0|FINAL</v>
      </c>
    </row>
    <row r="332" spans="1:82" x14ac:dyDescent="0.25">
      <c r="A332" t="s">
        <v>872</v>
      </c>
      <c r="B332" t="s">
        <v>668</v>
      </c>
      <c r="C332">
        <v>3</v>
      </c>
      <c r="D332" t="s">
        <v>346</v>
      </c>
      <c r="E332" t="s">
        <v>346</v>
      </c>
      <c r="F332" t="s">
        <v>346</v>
      </c>
      <c r="G332" t="s">
        <v>346</v>
      </c>
      <c r="H332" s="21" t="s">
        <v>747</v>
      </c>
      <c r="I332">
        <v>1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 t="s">
        <v>3</v>
      </c>
      <c r="AC332" t="s">
        <v>3</v>
      </c>
      <c r="AD332" t="s">
        <v>3</v>
      </c>
      <c r="AE332" t="s">
        <v>3</v>
      </c>
      <c r="AF332" t="s">
        <v>3</v>
      </c>
      <c r="AG332" t="s">
        <v>3</v>
      </c>
      <c r="AH332" t="s">
        <v>3</v>
      </c>
      <c r="AI332" t="s">
        <v>3</v>
      </c>
      <c r="AJ332" t="s">
        <v>3</v>
      </c>
      <c r="AK332" t="s">
        <v>3</v>
      </c>
      <c r="AL332" t="s">
        <v>3</v>
      </c>
      <c r="AM332" t="s">
        <v>3</v>
      </c>
      <c r="AN332" t="s">
        <v>3</v>
      </c>
      <c r="AO332" t="s">
        <v>3</v>
      </c>
      <c r="AP332" t="s">
        <v>3</v>
      </c>
      <c r="AQ332" t="s">
        <v>3</v>
      </c>
      <c r="AR332" t="s">
        <v>3</v>
      </c>
      <c r="AS332" t="s">
        <v>3</v>
      </c>
      <c r="AT332" t="s">
        <v>3</v>
      </c>
      <c r="AU332" t="s">
        <v>3</v>
      </c>
      <c r="AV332" t="s">
        <v>3</v>
      </c>
      <c r="AW332" t="s">
        <v>3</v>
      </c>
      <c r="AX332">
        <v>0</v>
      </c>
      <c r="AY332">
        <v>1</v>
      </c>
      <c r="AZ332" t="s">
        <v>1</v>
      </c>
      <c r="BA332" t="s">
        <v>1</v>
      </c>
      <c r="BB332" t="s">
        <v>1</v>
      </c>
      <c r="BC332" s="21" t="s">
        <v>748</v>
      </c>
      <c r="BD332" s="21" t="s">
        <v>144</v>
      </c>
      <c r="BE332">
        <v>0</v>
      </c>
      <c r="BF332">
        <v>0</v>
      </c>
      <c r="BG332">
        <v>0</v>
      </c>
      <c r="BH332">
        <v>0</v>
      </c>
      <c r="BI332">
        <v>0</v>
      </c>
      <c r="BJ332" t="s">
        <v>749</v>
      </c>
      <c r="BK332">
        <v>0</v>
      </c>
      <c r="BL332" t="s">
        <v>132</v>
      </c>
      <c r="BM332">
        <v>0</v>
      </c>
      <c r="BN332">
        <v>1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0</v>
      </c>
      <c r="BU332">
        <v>0</v>
      </c>
      <c r="BV332">
        <v>0</v>
      </c>
      <c r="BW332" t="s">
        <v>0</v>
      </c>
      <c r="BX332">
        <v>0</v>
      </c>
      <c r="BY332">
        <v>0</v>
      </c>
      <c r="BZ332">
        <v>0</v>
      </c>
      <c r="CA332">
        <v>0</v>
      </c>
      <c r="CB332" t="s">
        <v>145</v>
      </c>
      <c r="CD332" t="str" cm="1">
        <f t="array" aca="1" ref="CD332" ca="1">eConcatenar(A332:CB332,"|")</f>
        <v>hHenTMB7EPiERNjI|MODIFVHS122|3|MODIF|MODIF|MODIF|MODIF|2022-01-01|1|0|0|0|0|0|0|0|0|0|0|0|0|0|0|0|0|0|0|x|x|x|x|x|x|x|x|x|x|x|x|x|x|x|x|x|x|x|x|x|x|0|1|X|X|X|2022-2-10|2022-02-23|0|0|0|0|0|QWYNRBIY9KVTQO|0|HOMBRE|0|1|0|0|0|0|0|0|0|0|CARDENAS|0|0|0|0|FINAL</v>
      </c>
    </row>
    <row r="333" spans="1:82" x14ac:dyDescent="0.25">
      <c r="A333" t="s">
        <v>873</v>
      </c>
      <c r="B333" t="s">
        <v>669</v>
      </c>
      <c r="C333">
        <v>3</v>
      </c>
      <c r="D333" t="s">
        <v>346</v>
      </c>
      <c r="E333" t="s">
        <v>346</v>
      </c>
      <c r="F333" t="s">
        <v>346</v>
      </c>
      <c r="G333" t="s">
        <v>346</v>
      </c>
      <c r="H333" s="21" t="s">
        <v>747</v>
      </c>
      <c r="I333">
        <v>1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 t="s">
        <v>3</v>
      </c>
      <c r="AC333" t="s">
        <v>3</v>
      </c>
      <c r="AD333" t="s">
        <v>3</v>
      </c>
      <c r="AE333" t="s">
        <v>3</v>
      </c>
      <c r="AF333" t="s">
        <v>3</v>
      </c>
      <c r="AG333" t="s">
        <v>3</v>
      </c>
      <c r="AH333" t="s">
        <v>3</v>
      </c>
      <c r="AI333" t="s">
        <v>3</v>
      </c>
      <c r="AJ333" t="s">
        <v>3</v>
      </c>
      <c r="AK333" t="s">
        <v>3</v>
      </c>
      <c r="AL333" t="s">
        <v>3</v>
      </c>
      <c r="AM333" t="s">
        <v>3</v>
      </c>
      <c r="AN333" t="s">
        <v>3</v>
      </c>
      <c r="AO333" t="s">
        <v>3</v>
      </c>
      <c r="AP333" t="s">
        <v>3</v>
      </c>
      <c r="AQ333" t="s">
        <v>3</v>
      </c>
      <c r="AR333" t="s">
        <v>3</v>
      </c>
      <c r="AS333" t="s">
        <v>3</v>
      </c>
      <c r="AT333" t="s">
        <v>3</v>
      </c>
      <c r="AU333" t="s">
        <v>3</v>
      </c>
      <c r="AV333" t="s">
        <v>3</v>
      </c>
      <c r="AW333" t="s">
        <v>3</v>
      </c>
      <c r="AX333">
        <v>0</v>
      </c>
      <c r="AY333">
        <v>1</v>
      </c>
      <c r="AZ333" t="s">
        <v>1</v>
      </c>
      <c r="BA333" t="s">
        <v>1</v>
      </c>
      <c r="BB333" t="s">
        <v>1</v>
      </c>
      <c r="BC333" s="21" t="s">
        <v>748</v>
      </c>
      <c r="BD333" s="21" t="s">
        <v>144</v>
      </c>
      <c r="BE333">
        <v>0</v>
      </c>
      <c r="BF333">
        <v>0</v>
      </c>
      <c r="BG333">
        <v>0</v>
      </c>
      <c r="BH333">
        <v>0</v>
      </c>
      <c r="BI333">
        <v>0</v>
      </c>
      <c r="BJ333" t="s">
        <v>749</v>
      </c>
      <c r="BK333">
        <v>0</v>
      </c>
      <c r="BL333" t="s">
        <v>132</v>
      </c>
      <c r="BM333">
        <v>0</v>
      </c>
      <c r="BN333">
        <v>1</v>
      </c>
      <c r="BO333">
        <v>0</v>
      </c>
      <c r="BP333">
        <v>0</v>
      </c>
      <c r="BQ333">
        <v>0</v>
      </c>
      <c r="BR333">
        <v>0</v>
      </c>
      <c r="BS333">
        <v>0</v>
      </c>
      <c r="BT333">
        <v>0</v>
      </c>
      <c r="BU333">
        <v>0</v>
      </c>
      <c r="BV333">
        <v>0</v>
      </c>
      <c r="BW333" t="s">
        <v>0</v>
      </c>
      <c r="BX333">
        <v>0</v>
      </c>
      <c r="BY333">
        <v>0</v>
      </c>
      <c r="BZ333">
        <v>0</v>
      </c>
      <c r="CA333">
        <v>0</v>
      </c>
      <c r="CB333" t="s">
        <v>145</v>
      </c>
      <c r="CD333" t="str" cm="1">
        <f t="array" aca="1" ref="CD333" ca="1">eConcatenar(A333:CB333,"|")</f>
        <v>Ulxson38UNukWlbA|MODIFVHS123|3|MODIF|MODIF|MODIF|MODIF|2022-01-01|1|0|0|0|0|0|0|0|0|0|0|0|0|0|0|0|0|0|0|x|x|x|x|x|x|x|x|x|x|x|x|x|x|x|x|x|x|x|x|x|x|0|1|X|X|X|2022-2-10|2022-02-23|0|0|0|0|0|QWYNRBIY9KVTQO|0|HOMBRE|0|1|0|0|0|0|0|0|0|0|CARDENAS|0|0|0|0|FINAL</v>
      </c>
    </row>
    <row r="334" spans="1:82" x14ac:dyDescent="0.25">
      <c r="A334" t="s">
        <v>874</v>
      </c>
      <c r="B334" t="s">
        <v>670</v>
      </c>
      <c r="C334">
        <v>3</v>
      </c>
      <c r="D334" t="s">
        <v>346</v>
      </c>
      <c r="E334" t="s">
        <v>346</v>
      </c>
      <c r="F334" t="s">
        <v>346</v>
      </c>
      <c r="G334" t="s">
        <v>346</v>
      </c>
      <c r="H334" s="21" t="s">
        <v>747</v>
      </c>
      <c r="I334">
        <v>1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 t="s">
        <v>3</v>
      </c>
      <c r="AC334" t="s">
        <v>3</v>
      </c>
      <c r="AD334" t="s">
        <v>3</v>
      </c>
      <c r="AE334" t="s">
        <v>3</v>
      </c>
      <c r="AF334" t="s">
        <v>3</v>
      </c>
      <c r="AG334" t="s">
        <v>3</v>
      </c>
      <c r="AH334" t="s">
        <v>3</v>
      </c>
      <c r="AI334" t="s">
        <v>3</v>
      </c>
      <c r="AJ334" t="s">
        <v>3</v>
      </c>
      <c r="AK334" t="s">
        <v>3</v>
      </c>
      <c r="AL334" t="s">
        <v>3</v>
      </c>
      <c r="AM334" t="s">
        <v>3</v>
      </c>
      <c r="AN334" t="s">
        <v>3</v>
      </c>
      <c r="AO334" t="s">
        <v>3</v>
      </c>
      <c r="AP334" t="s">
        <v>3</v>
      </c>
      <c r="AQ334" t="s">
        <v>3</v>
      </c>
      <c r="AR334" t="s">
        <v>3</v>
      </c>
      <c r="AS334" t="s">
        <v>3</v>
      </c>
      <c r="AT334" t="s">
        <v>3</v>
      </c>
      <c r="AU334" t="s">
        <v>3</v>
      </c>
      <c r="AV334" t="s">
        <v>3</v>
      </c>
      <c r="AW334" t="s">
        <v>3</v>
      </c>
      <c r="AX334">
        <v>0</v>
      </c>
      <c r="AY334">
        <v>1</v>
      </c>
      <c r="AZ334" t="s">
        <v>1</v>
      </c>
      <c r="BA334" t="s">
        <v>1</v>
      </c>
      <c r="BB334" t="s">
        <v>1</v>
      </c>
      <c r="BC334" s="21" t="s">
        <v>748</v>
      </c>
      <c r="BD334" s="21" t="s">
        <v>144</v>
      </c>
      <c r="BE334">
        <v>0</v>
      </c>
      <c r="BF334">
        <v>0</v>
      </c>
      <c r="BG334">
        <v>0</v>
      </c>
      <c r="BH334">
        <v>0</v>
      </c>
      <c r="BI334">
        <v>0</v>
      </c>
      <c r="BJ334" t="s">
        <v>749</v>
      </c>
      <c r="BK334">
        <v>0</v>
      </c>
      <c r="BL334" t="s">
        <v>132</v>
      </c>
      <c r="BM334">
        <v>0</v>
      </c>
      <c r="BN334">
        <v>1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</v>
      </c>
      <c r="BV334">
        <v>0</v>
      </c>
      <c r="BW334" t="s">
        <v>0</v>
      </c>
      <c r="BX334">
        <v>0</v>
      </c>
      <c r="BY334">
        <v>0</v>
      </c>
      <c r="BZ334">
        <v>0</v>
      </c>
      <c r="CA334">
        <v>0</v>
      </c>
      <c r="CB334" t="s">
        <v>145</v>
      </c>
      <c r="CD334" t="str" cm="1">
        <f t="array" aca="1" ref="CD334" ca="1">eConcatenar(A334:CB334,"|")</f>
        <v>YFvBN0YrmlOxMQfM|MODIFVHS124|3|MODIF|MODIF|MODIF|MODIF|2022-01-01|1|0|0|0|0|0|0|0|0|0|0|0|0|0|0|0|0|0|0|x|x|x|x|x|x|x|x|x|x|x|x|x|x|x|x|x|x|x|x|x|x|0|1|X|X|X|2022-2-10|2022-02-23|0|0|0|0|0|QWYNRBIY9KVTQO|0|HOMBRE|0|1|0|0|0|0|0|0|0|0|CARDENAS|0|0|0|0|FINAL</v>
      </c>
    </row>
    <row r="335" spans="1:82" x14ac:dyDescent="0.25">
      <c r="A335" t="s">
        <v>875</v>
      </c>
      <c r="B335" t="s">
        <v>671</v>
      </c>
      <c r="C335">
        <v>3</v>
      </c>
      <c r="D335" t="s">
        <v>346</v>
      </c>
      <c r="E335" t="s">
        <v>346</v>
      </c>
      <c r="F335" t="s">
        <v>346</v>
      </c>
      <c r="G335" t="s">
        <v>346</v>
      </c>
      <c r="H335" s="21" t="s">
        <v>747</v>
      </c>
      <c r="I335">
        <v>1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 t="s">
        <v>3</v>
      </c>
      <c r="AC335" t="s">
        <v>3</v>
      </c>
      <c r="AD335" t="s">
        <v>3</v>
      </c>
      <c r="AE335" t="s">
        <v>3</v>
      </c>
      <c r="AF335" t="s">
        <v>3</v>
      </c>
      <c r="AG335" t="s">
        <v>3</v>
      </c>
      <c r="AH335" t="s">
        <v>3</v>
      </c>
      <c r="AI335" t="s">
        <v>3</v>
      </c>
      <c r="AJ335" t="s">
        <v>3</v>
      </c>
      <c r="AK335" t="s">
        <v>3</v>
      </c>
      <c r="AL335" t="s">
        <v>3</v>
      </c>
      <c r="AM335" t="s">
        <v>3</v>
      </c>
      <c r="AN335" t="s">
        <v>3</v>
      </c>
      <c r="AO335" t="s">
        <v>3</v>
      </c>
      <c r="AP335" t="s">
        <v>3</v>
      </c>
      <c r="AQ335" t="s">
        <v>3</v>
      </c>
      <c r="AR335" t="s">
        <v>3</v>
      </c>
      <c r="AS335" t="s">
        <v>3</v>
      </c>
      <c r="AT335" t="s">
        <v>3</v>
      </c>
      <c r="AU335" t="s">
        <v>3</v>
      </c>
      <c r="AV335" t="s">
        <v>3</v>
      </c>
      <c r="AW335" t="s">
        <v>3</v>
      </c>
      <c r="AX335">
        <v>0</v>
      </c>
      <c r="AY335">
        <v>1</v>
      </c>
      <c r="AZ335" t="s">
        <v>1</v>
      </c>
      <c r="BA335" t="s">
        <v>1</v>
      </c>
      <c r="BB335" t="s">
        <v>1</v>
      </c>
      <c r="BC335" s="21" t="s">
        <v>748</v>
      </c>
      <c r="BD335" s="21" t="s">
        <v>144</v>
      </c>
      <c r="BE335">
        <v>0</v>
      </c>
      <c r="BF335">
        <v>0</v>
      </c>
      <c r="BG335">
        <v>0</v>
      </c>
      <c r="BH335">
        <v>0</v>
      </c>
      <c r="BI335">
        <v>0</v>
      </c>
      <c r="BJ335" t="s">
        <v>749</v>
      </c>
      <c r="BK335">
        <v>0</v>
      </c>
      <c r="BL335" t="s">
        <v>132</v>
      </c>
      <c r="BM335">
        <v>0</v>
      </c>
      <c r="BN335">
        <v>1</v>
      </c>
      <c r="BO335">
        <v>0</v>
      </c>
      <c r="BP335">
        <v>0</v>
      </c>
      <c r="BQ335">
        <v>0</v>
      </c>
      <c r="BR335">
        <v>0</v>
      </c>
      <c r="BS335">
        <v>0</v>
      </c>
      <c r="BT335">
        <v>0</v>
      </c>
      <c r="BU335">
        <v>0</v>
      </c>
      <c r="BV335">
        <v>0</v>
      </c>
      <c r="BW335" t="s">
        <v>0</v>
      </c>
      <c r="BX335">
        <v>0</v>
      </c>
      <c r="BY335">
        <v>0</v>
      </c>
      <c r="BZ335">
        <v>0</v>
      </c>
      <c r="CA335">
        <v>0</v>
      </c>
      <c r="CB335" t="s">
        <v>145</v>
      </c>
      <c r="CD335" t="str" cm="1">
        <f t="array" aca="1" ref="CD335" ca="1">eConcatenar(A335:CB335,"|")</f>
        <v>jl6gapwuSMRMExYJ|MODIFVHS125|3|MODIF|MODIF|MODIF|MODIF|2022-01-01|1|0|0|0|0|0|0|0|0|0|0|0|0|0|0|0|0|0|0|x|x|x|x|x|x|x|x|x|x|x|x|x|x|x|x|x|x|x|x|x|x|0|1|X|X|X|2022-2-10|2022-02-23|0|0|0|0|0|QWYNRBIY9KVTQO|0|HOMBRE|0|1|0|0|0|0|0|0|0|0|CARDENAS|0|0|0|0|FINAL</v>
      </c>
    </row>
    <row r="336" spans="1:82" x14ac:dyDescent="0.25">
      <c r="A336" t="s">
        <v>876</v>
      </c>
      <c r="B336" t="s">
        <v>672</v>
      </c>
      <c r="C336">
        <v>3</v>
      </c>
      <c r="D336" t="s">
        <v>346</v>
      </c>
      <c r="E336" t="s">
        <v>346</v>
      </c>
      <c r="F336" t="s">
        <v>346</v>
      </c>
      <c r="G336" t="s">
        <v>346</v>
      </c>
      <c r="H336" s="21" t="s">
        <v>747</v>
      </c>
      <c r="I336">
        <v>1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 t="s">
        <v>3</v>
      </c>
      <c r="AC336" t="s">
        <v>3</v>
      </c>
      <c r="AD336" t="s">
        <v>3</v>
      </c>
      <c r="AE336" t="s">
        <v>3</v>
      </c>
      <c r="AF336" t="s">
        <v>3</v>
      </c>
      <c r="AG336" t="s">
        <v>3</v>
      </c>
      <c r="AH336" t="s">
        <v>3</v>
      </c>
      <c r="AI336" t="s">
        <v>3</v>
      </c>
      <c r="AJ336" t="s">
        <v>3</v>
      </c>
      <c r="AK336" t="s">
        <v>3</v>
      </c>
      <c r="AL336" t="s">
        <v>3</v>
      </c>
      <c r="AM336" t="s">
        <v>3</v>
      </c>
      <c r="AN336" t="s">
        <v>3</v>
      </c>
      <c r="AO336" t="s">
        <v>3</v>
      </c>
      <c r="AP336" t="s">
        <v>3</v>
      </c>
      <c r="AQ336" t="s">
        <v>3</v>
      </c>
      <c r="AR336" t="s">
        <v>3</v>
      </c>
      <c r="AS336" t="s">
        <v>3</v>
      </c>
      <c r="AT336" t="s">
        <v>3</v>
      </c>
      <c r="AU336" t="s">
        <v>3</v>
      </c>
      <c r="AV336" t="s">
        <v>3</v>
      </c>
      <c r="AW336" t="s">
        <v>3</v>
      </c>
      <c r="AX336">
        <v>0</v>
      </c>
      <c r="AY336">
        <v>1</v>
      </c>
      <c r="AZ336" t="s">
        <v>1</v>
      </c>
      <c r="BA336" t="s">
        <v>1</v>
      </c>
      <c r="BB336" t="s">
        <v>1</v>
      </c>
      <c r="BC336" s="21" t="s">
        <v>748</v>
      </c>
      <c r="BD336" s="21" t="s">
        <v>144</v>
      </c>
      <c r="BE336">
        <v>0</v>
      </c>
      <c r="BF336">
        <v>0</v>
      </c>
      <c r="BG336">
        <v>0</v>
      </c>
      <c r="BH336">
        <v>0</v>
      </c>
      <c r="BI336">
        <v>0</v>
      </c>
      <c r="BJ336" t="s">
        <v>749</v>
      </c>
      <c r="BK336">
        <v>0</v>
      </c>
      <c r="BL336" t="s">
        <v>132</v>
      </c>
      <c r="BM336">
        <v>0</v>
      </c>
      <c r="BN336">
        <v>1</v>
      </c>
      <c r="BO336">
        <v>0</v>
      </c>
      <c r="BP336">
        <v>0</v>
      </c>
      <c r="BQ336">
        <v>0</v>
      </c>
      <c r="BR336">
        <v>0</v>
      </c>
      <c r="BS336">
        <v>0</v>
      </c>
      <c r="BT336">
        <v>0</v>
      </c>
      <c r="BU336">
        <v>0</v>
      </c>
      <c r="BV336">
        <v>0</v>
      </c>
      <c r="BW336" t="s">
        <v>0</v>
      </c>
      <c r="BX336">
        <v>0</v>
      </c>
      <c r="BY336">
        <v>0</v>
      </c>
      <c r="BZ336">
        <v>0</v>
      </c>
      <c r="CA336">
        <v>0</v>
      </c>
      <c r="CB336" t="s">
        <v>145</v>
      </c>
      <c r="CD336" t="str" cm="1">
        <f t="array" aca="1" ref="CD336" ca="1">eConcatenar(A336:CB336,"|")</f>
        <v>481tOhcliYbiVSAq|MODIFVHS126|3|MODIF|MODIF|MODIF|MODIF|2022-01-01|1|0|0|0|0|0|0|0|0|0|0|0|0|0|0|0|0|0|0|x|x|x|x|x|x|x|x|x|x|x|x|x|x|x|x|x|x|x|x|x|x|0|1|X|X|X|2022-2-10|2022-02-23|0|0|0|0|0|QWYNRBIY9KVTQO|0|HOMBRE|0|1|0|0|0|0|0|0|0|0|CARDENAS|0|0|0|0|FINAL</v>
      </c>
    </row>
    <row r="337" spans="1:82" x14ac:dyDescent="0.25">
      <c r="A337" t="s">
        <v>877</v>
      </c>
      <c r="B337" t="s">
        <v>673</v>
      </c>
      <c r="C337">
        <v>3</v>
      </c>
      <c r="D337" t="s">
        <v>346</v>
      </c>
      <c r="E337" t="s">
        <v>346</v>
      </c>
      <c r="F337" t="s">
        <v>346</v>
      </c>
      <c r="G337" t="s">
        <v>346</v>
      </c>
      <c r="H337" s="21" t="s">
        <v>747</v>
      </c>
      <c r="I337">
        <v>1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 t="s">
        <v>3</v>
      </c>
      <c r="AC337" t="s">
        <v>3</v>
      </c>
      <c r="AD337" t="s">
        <v>3</v>
      </c>
      <c r="AE337" t="s">
        <v>3</v>
      </c>
      <c r="AF337" t="s">
        <v>3</v>
      </c>
      <c r="AG337" t="s">
        <v>3</v>
      </c>
      <c r="AH337" t="s">
        <v>3</v>
      </c>
      <c r="AI337" t="s">
        <v>3</v>
      </c>
      <c r="AJ337" t="s">
        <v>3</v>
      </c>
      <c r="AK337" t="s">
        <v>3</v>
      </c>
      <c r="AL337" t="s">
        <v>3</v>
      </c>
      <c r="AM337" t="s">
        <v>3</v>
      </c>
      <c r="AN337" t="s">
        <v>3</v>
      </c>
      <c r="AO337" t="s">
        <v>3</v>
      </c>
      <c r="AP337" t="s">
        <v>3</v>
      </c>
      <c r="AQ337" t="s">
        <v>3</v>
      </c>
      <c r="AR337" t="s">
        <v>3</v>
      </c>
      <c r="AS337" t="s">
        <v>3</v>
      </c>
      <c r="AT337" t="s">
        <v>3</v>
      </c>
      <c r="AU337" t="s">
        <v>3</v>
      </c>
      <c r="AV337" t="s">
        <v>3</v>
      </c>
      <c r="AW337" t="s">
        <v>3</v>
      </c>
      <c r="AX337">
        <v>0</v>
      </c>
      <c r="AY337">
        <v>1</v>
      </c>
      <c r="AZ337" t="s">
        <v>1</v>
      </c>
      <c r="BA337" t="s">
        <v>1</v>
      </c>
      <c r="BB337" t="s">
        <v>1</v>
      </c>
      <c r="BC337" s="21" t="s">
        <v>748</v>
      </c>
      <c r="BD337" s="21" t="s">
        <v>144</v>
      </c>
      <c r="BE337">
        <v>0</v>
      </c>
      <c r="BF337">
        <v>0</v>
      </c>
      <c r="BG337">
        <v>0</v>
      </c>
      <c r="BH337">
        <v>0</v>
      </c>
      <c r="BI337">
        <v>0</v>
      </c>
      <c r="BJ337" t="s">
        <v>749</v>
      </c>
      <c r="BK337">
        <v>0</v>
      </c>
      <c r="BL337" t="s">
        <v>132</v>
      </c>
      <c r="BM337">
        <v>0</v>
      </c>
      <c r="BN337">
        <v>1</v>
      </c>
      <c r="BO337">
        <v>0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 t="s">
        <v>0</v>
      </c>
      <c r="BX337">
        <v>0</v>
      </c>
      <c r="BY337">
        <v>0</v>
      </c>
      <c r="BZ337">
        <v>0</v>
      </c>
      <c r="CA337">
        <v>0</v>
      </c>
      <c r="CB337" t="s">
        <v>145</v>
      </c>
      <c r="CD337" t="str" cm="1">
        <f t="array" aca="1" ref="CD337" ca="1">eConcatenar(A337:CB337,"|")</f>
        <v>CTj2YrgTCakI3yC5|MODIFVHS127|3|MODIF|MODIF|MODIF|MODIF|2022-01-01|1|0|0|0|0|0|0|0|0|0|0|0|0|0|0|0|0|0|0|x|x|x|x|x|x|x|x|x|x|x|x|x|x|x|x|x|x|x|x|x|x|0|1|X|X|X|2022-2-10|2022-02-23|0|0|0|0|0|QWYNRBIY9KVTQO|0|HOMBRE|0|1|0|0|0|0|0|0|0|0|CARDENAS|0|0|0|0|FINAL</v>
      </c>
    </row>
    <row r="338" spans="1:82" x14ac:dyDescent="0.25">
      <c r="A338" t="s">
        <v>878</v>
      </c>
      <c r="B338" t="s">
        <v>674</v>
      </c>
      <c r="C338">
        <v>3</v>
      </c>
      <c r="D338" t="s">
        <v>346</v>
      </c>
      <c r="E338" t="s">
        <v>346</v>
      </c>
      <c r="F338" t="s">
        <v>346</v>
      </c>
      <c r="G338" t="s">
        <v>346</v>
      </c>
      <c r="H338" s="21" t="s">
        <v>747</v>
      </c>
      <c r="I338">
        <v>1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 t="s">
        <v>3</v>
      </c>
      <c r="AC338" t="s">
        <v>3</v>
      </c>
      <c r="AD338" t="s">
        <v>3</v>
      </c>
      <c r="AE338" t="s">
        <v>3</v>
      </c>
      <c r="AF338" t="s">
        <v>3</v>
      </c>
      <c r="AG338" t="s">
        <v>3</v>
      </c>
      <c r="AH338" t="s">
        <v>3</v>
      </c>
      <c r="AI338" t="s">
        <v>3</v>
      </c>
      <c r="AJ338" t="s">
        <v>3</v>
      </c>
      <c r="AK338" t="s">
        <v>3</v>
      </c>
      <c r="AL338" t="s">
        <v>3</v>
      </c>
      <c r="AM338" t="s">
        <v>3</v>
      </c>
      <c r="AN338" t="s">
        <v>3</v>
      </c>
      <c r="AO338" t="s">
        <v>3</v>
      </c>
      <c r="AP338" t="s">
        <v>3</v>
      </c>
      <c r="AQ338" t="s">
        <v>3</v>
      </c>
      <c r="AR338" t="s">
        <v>3</v>
      </c>
      <c r="AS338" t="s">
        <v>3</v>
      </c>
      <c r="AT338" t="s">
        <v>3</v>
      </c>
      <c r="AU338" t="s">
        <v>3</v>
      </c>
      <c r="AV338" t="s">
        <v>3</v>
      </c>
      <c r="AW338" t="s">
        <v>3</v>
      </c>
      <c r="AX338">
        <v>0</v>
      </c>
      <c r="AY338">
        <v>1</v>
      </c>
      <c r="AZ338" t="s">
        <v>1</v>
      </c>
      <c r="BA338" t="s">
        <v>1</v>
      </c>
      <c r="BB338" t="s">
        <v>1</v>
      </c>
      <c r="BC338" s="21" t="s">
        <v>748</v>
      </c>
      <c r="BD338" s="21" t="s">
        <v>144</v>
      </c>
      <c r="BE338">
        <v>0</v>
      </c>
      <c r="BF338">
        <v>0</v>
      </c>
      <c r="BG338">
        <v>0</v>
      </c>
      <c r="BH338">
        <v>0</v>
      </c>
      <c r="BI338">
        <v>0</v>
      </c>
      <c r="BJ338" t="s">
        <v>749</v>
      </c>
      <c r="BK338">
        <v>0</v>
      </c>
      <c r="BL338" t="s">
        <v>132</v>
      </c>
      <c r="BM338">
        <v>0</v>
      </c>
      <c r="BN338">
        <v>1</v>
      </c>
      <c r="BO338">
        <v>0</v>
      </c>
      <c r="BP338">
        <v>0</v>
      </c>
      <c r="BQ338">
        <v>0</v>
      </c>
      <c r="BR338">
        <v>0</v>
      </c>
      <c r="BS338">
        <v>0</v>
      </c>
      <c r="BT338">
        <v>0</v>
      </c>
      <c r="BU338">
        <v>0</v>
      </c>
      <c r="BV338">
        <v>0</v>
      </c>
      <c r="BW338" t="s">
        <v>0</v>
      </c>
      <c r="BX338">
        <v>0</v>
      </c>
      <c r="BY338">
        <v>0</v>
      </c>
      <c r="BZ338">
        <v>0</v>
      </c>
      <c r="CA338">
        <v>0</v>
      </c>
      <c r="CB338" t="s">
        <v>145</v>
      </c>
      <c r="CD338" t="str" cm="1">
        <f t="array" aca="1" ref="CD338" ca="1">eConcatenar(A338:CB338,"|")</f>
        <v>U3ylAfWGzB4Zl1xx|MODIFVHS128|3|MODIF|MODIF|MODIF|MODIF|2022-01-01|1|0|0|0|0|0|0|0|0|0|0|0|0|0|0|0|0|0|0|x|x|x|x|x|x|x|x|x|x|x|x|x|x|x|x|x|x|x|x|x|x|0|1|X|X|X|2022-2-10|2022-02-23|0|0|0|0|0|QWYNRBIY9KVTQO|0|HOMBRE|0|1|0|0|0|0|0|0|0|0|CARDENAS|0|0|0|0|FINAL</v>
      </c>
    </row>
    <row r="339" spans="1:82" x14ac:dyDescent="0.25">
      <c r="A339" t="s">
        <v>879</v>
      </c>
      <c r="B339" t="s">
        <v>675</v>
      </c>
      <c r="C339">
        <v>3</v>
      </c>
      <c r="D339" t="s">
        <v>346</v>
      </c>
      <c r="E339" t="s">
        <v>346</v>
      </c>
      <c r="F339" t="s">
        <v>346</v>
      </c>
      <c r="G339" t="s">
        <v>346</v>
      </c>
      <c r="H339" s="21" t="s">
        <v>747</v>
      </c>
      <c r="I339">
        <v>1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 t="s">
        <v>3</v>
      </c>
      <c r="AC339" t="s">
        <v>3</v>
      </c>
      <c r="AD339" t="s">
        <v>3</v>
      </c>
      <c r="AE339" t="s">
        <v>3</v>
      </c>
      <c r="AF339" t="s">
        <v>3</v>
      </c>
      <c r="AG339" t="s">
        <v>3</v>
      </c>
      <c r="AH339" t="s">
        <v>3</v>
      </c>
      <c r="AI339" t="s">
        <v>3</v>
      </c>
      <c r="AJ339" t="s">
        <v>3</v>
      </c>
      <c r="AK339" t="s">
        <v>3</v>
      </c>
      <c r="AL339" t="s">
        <v>3</v>
      </c>
      <c r="AM339" t="s">
        <v>3</v>
      </c>
      <c r="AN339" t="s">
        <v>3</v>
      </c>
      <c r="AO339" t="s">
        <v>3</v>
      </c>
      <c r="AP339" t="s">
        <v>3</v>
      </c>
      <c r="AQ339" t="s">
        <v>3</v>
      </c>
      <c r="AR339" t="s">
        <v>3</v>
      </c>
      <c r="AS339" t="s">
        <v>3</v>
      </c>
      <c r="AT339" t="s">
        <v>3</v>
      </c>
      <c r="AU339" t="s">
        <v>3</v>
      </c>
      <c r="AV339" t="s">
        <v>3</v>
      </c>
      <c r="AW339" t="s">
        <v>3</v>
      </c>
      <c r="AX339">
        <v>0</v>
      </c>
      <c r="AY339">
        <v>1</v>
      </c>
      <c r="AZ339" t="s">
        <v>1</v>
      </c>
      <c r="BA339" t="s">
        <v>1</v>
      </c>
      <c r="BB339" t="s">
        <v>1</v>
      </c>
      <c r="BC339" s="21" t="s">
        <v>748</v>
      </c>
      <c r="BD339" s="21" t="s">
        <v>144</v>
      </c>
      <c r="BE339">
        <v>0</v>
      </c>
      <c r="BF339">
        <v>0</v>
      </c>
      <c r="BG339">
        <v>0</v>
      </c>
      <c r="BH339">
        <v>0</v>
      </c>
      <c r="BI339">
        <v>0</v>
      </c>
      <c r="BJ339" t="s">
        <v>749</v>
      </c>
      <c r="BK339">
        <v>0</v>
      </c>
      <c r="BL339" t="s">
        <v>132</v>
      </c>
      <c r="BM339">
        <v>0</v>
      </c>
      <c r="BN339">
        <v>1</v>
      </c>
      <c r="BO339">
        <v>0</v>
      </c>
      <c r="BP339">
        <v>0</v>
      </c>
      <c r="BQ339">
        <v>0</v>
      </c>
      <c r="BR339">
        <v>0</v>
      </c>
      <c r="BS339">
        <v>0</v>
      </c>
      <c r="BT339">
        <v>0</v>
      </c>
      <c r="BU339">
        <v>0</v>
      </c>
      <c r="BV339">
        <v>0</v>
      </c>
      <c r="BW339" t="s">
        <v>0</v>
      </c>
      <c r="BX339">
        <v>0</v>
      </c>
      <c r="BY339">
        <v>0</v>
      </c>
      <c r="BZ339">
        <v>0</v>
      </c>
      <c r="CA339">
        <v>0</v>
      </c>
      <c r="CB339" t="s">
        <v>145</v>
      </c>
      <c r="CD339" t="str" cm="1">
        <f t="array" aca="1" ref="CD339" ca="1">eConcatenar(A339:CB339,"|")</f>
        <v>VICwEkCZ51kwOjNZ|MODIFVHS129|3|MODIF|MODIF|MODIF|MODIF|2022-01-01|1|0|0|0|0|0|0|0|0|0|0|0|0|0|0|0|0|0|0|x|x|x|x|x|x|x|x|x|x|x|x|x|x|x|x|x|x|x|x|x|x|0|1|X|X|X|2022-2-10|2022-02-23|0|0|0|0|0|QWYNRBIY9KVTQO|0|HOMBRE|0|1|0|0|0|0|0|0|0|0|CARDENAS|0|0|0|0|FINAL</v>
      </c>
    </row>
    <row r="340" spans="1:82" x14ac:dyDescent="0.25">
      <c r="A340" t="s">
        <v>880</v>
      </c>
      <c r="B340" t="s">
        <v>676</v>
      </c>
      <c r="C340">
        <v>3</v>
      </c>
      <c r="D340" t="s">
        <v>346</v>
      </c>
      <c r="E340" t="s">
        <v>346</v>
      </c>
      <c r="F340" t="s">
        <v>346</v>
      </c>
      <c r="G340" t="s">
        <v>346</v>
      </c>
      <c r="H340" s="21" t="s">
        <v>747</v>
      </c>
      <c r="I340">
        <v>1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 t="s">
        <v>3</v>
      </c>
      <c r="AC340" t="s">
        <v>3</v>
      </c>
      <c r="AD340" t="s">
        <v>3</v>
      </c>
      <c r="AE340" t="s">
        <v>3</v>
      </c>
      <c r="AF340" t="s">
        <v>3</v>
      </c>
      <c r="AG340" t="s">
        <v>3</v>
      </c>
      <c r="AH340" t="s">
        <v>3</v>
      </c>
      <c r="AI340" t="s">
        <v>3</v>
      </c>
      <c r="AJ340" t="s">
        <v>3</v>
      </c>
      <c r="AK340" t="s">
        <v>3</v>
      </c>
      <c r="AL340" t="s">
        <v>3</v>
      </c>
      <c r="AM340" t="s">
        <v>3</v>
      </c>
      <c r="AN340" t="s">
        <v>3</v>
      </c>
      <c r="AO340" t="s">
        <v>3</v>
      </c>
      <c r="AP340" t="s">
        <v>3</v>
      </c>
      <c r="AQ340" t="s">
        <v>3</v>
      </c>
      <c r="AR340" t="s">
        <v>3</v>
      </c>
      <c r="AS340" t="s">
        <v>3</v>
      </c>
      <c r="AT340" t="s">
        <v>3</v>
      </c>
      <c r="AU340" t="s">
        <v>3</v>
      </c>
      <c r="AV340" t="s">
        <v>3</v>
      </c>
      <c r="AW340" t="s">
        <v>3</v>
      </c>
      <c r="AX340">
        <v>0</v>
      </c>
      <c r="AY340">
        <v>1</v>
      </c>
      <c r="AZ340" t="s">
        <v>1</v>
      </c>
      <c r="BA340" t="s">
        <v>1</v>
      </c>
      <c r="BB340" t="s">
        <v>1</v>
      </c>
      <c r="BC340" s="21" t="s">
        <v>748</v>
      </c>
      <c r="BD340" s="21" t="s">
        <v>144</v>
      </c>
      <c r="BE340">
        <v>0</v>
      </c>
      <c r="BF340">
        <v>0</v>
      </c>
      <c r="BG340">
        <v>0</v>
      </c>
      <c r="BH340">
        <v>0</v>
      </c>
      <c r="BI340">
        <v>0</v>
      </c>
      <c r="BJ340" t="s">
        <v>749</v>
      </c>
      <c r="BK340">
        <v>0</v>
      </c>
      <c r="BL340" t="s">
        <v>132</v>
      </c>
      <c r="BM340">
        <v>0</v>
      </c>
      <c r="BN340">
        <v>1</v>
      </c>
      <c r="BO340">
        <v>0</v>
      </c>
      <c r="BP340">
        <v>0</v>
      </c>
      <c r="BQ340">
        <v>0</v>
      </c>
      <c r="BR340">
        <v>0</v>
      </c>
      <c r="BS340">
        <v>0</v>
      </c>
      <c r="BT340">
        <v>0</v>
      </c>
      <c r="BU340">
        <v>0</v>
      </c>
      <c r="BV340">
        <v>0</v>
      </c>
      <c r="BW340" t="s">
        <v>0</v>
      </c>
      <c r="BX340">
        <v>0</v>
      </c>
      <c r="BY340">
        <v>0</v>
      </c>
      <c r="BZ340">
        <v>0</v>
      </c>
      <c r="CA340">
        <v>0</v>
      </c>
      <c r="CB340" t="s">
        <v>145</v>
      </c>
      <c r="CD340" t="str" cm="1">
        <f t="array" aca="1" ref="CD340" ca="1">eConcatenar(A340:CB340,"|")</f>
        <v>bEOnCztC8Bpqe5Bd|MODIFVHS130|3|MODIF|MODIF|MODIF|MODIF|2022-01-01|1|0|0|0|0|0|0|0|0|0|0|0|0|0|0|0|0|0|0|x|x|x|x|x|x|x|x|x|x|x|x|x|x|x|x|x|x|x|x|x|x|0|1|X|X|X|2022-2-10|2022-02-23|0|0|0|0|0|QWYNRBIY9KVTQO|0|HOMBRE|0|1|0|0|0|0|0|0|0|0|CARDENAS|0|0|0|0|FINAL</v>
      </c>
    </row>
    <row r="341" spans="1:82" x14ac:dyDescent="0.25">
      <c r="A341" t="s">
        <v>881</v>
      </c>
      <c r="B341" t="s">
        <v>677</v>
      </c>
      <c r="C341">
        <v>3</v>
      </c>
      <c r="D341" t="s">
        <v>346</v>
      </c>
      <c r="E341" t="s">
        <v>346</v>
      </c>
      <c r="F341" t="s">
        <v>346</v>
      </c>
      <c r="G341" t="s">
        <v>346</v>
      </c>
      <c r="H341" s="21" t="s">
        <v>747</v>
      </c>
      <c r="I341">
        <v>1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 t="s">
        <v>3</v>
      </c>
      <c r="AC341" t="s">
        <v>3</v>
      </c>
      <c r="AD341" t="s">
        <v>3</v>
      </c>
      <c r="AE341" t="s">
        <v>3</v>
      </c>
      <c r="AF341" t="s">
        <v>3</v>
      </c>
      <c r="AG341" t="s">
        <v>3</v>
      </c>
      <c r="AH341" t="s">
        <v>3</v>
      </c>
      <c r="AI341" t="s">
        <v>3</v>
      </c>
      <c r="AJ341" t="s">
        <v>3</v>
      </c>
      <c r="AK341" t="s">
        <v>3</v>
      </c>
      <c r="AL341" t="s">
        <v>3</v>
      </c>
      <c r="AM341" t="s">
        <v>3</v>
      </c>
      <c r="AN341" t="s">
        <v>3</v>
      </c>
      <c r="AO341" t="s">
        <v>3</v>
      </c>
      <c r="AP341" t="s">
        <v>3</v>
      </c>
      <c r="AQ341" t="s">
        <v>3</v>
      </c>
      <c r="AR341" t="s">
        <v>3</v>
      </c>
      <c r="AS341" t="s">
        <v>3</v>
      </c>
      <c r="AT341" t="s">
        <v>3</v>
      </c>
      <c r="AU341" t="s">
        <v>3</v>
      </c>
      <c r="AV341" t="s">
        <v>3</v>
      </c>
      <c r="AW341" t="s">
        <v>3</v>
      </c>
      <c r="AX341">
        <v>0</v>
      </c>
      <c r="AY341">
        <v>1</v>
      </c>
      <c r="AZ341" t="s">
        <v>1</v>
      </c>
      <c r="BA341" t="s">
        <v>1</v>
      </c>
      <c r="BB341" t="s">
        <v>1</v>
      </c>
      <c r="BC341" s="21" t="s">
        <v>748</v>
      </c>
      <c r="BD341" s="21" t="s">
        <v>144</v>
      </c>
      <c r="BE341">
        <v>0</v>
      </c>
      <c r="BF341">
        <v>0</v>
      </c>
      <c r="BG341">
        <v>0</v>
      </c>
      <c r="BH341">
        <v>0</v>
      </c>
      <c r="BI341">
        <v>0</v>
      </c>
      <c r="BJ341" t="s">
        <v>749</v>
      </c>
      <c r="BK341">
        <v>0</v>
      </c>
      <c r="BL341" t="s">
        <v>132</v>
      </c>
      <c r="BM341">
        <v>0</v>
      </c>
      <c r="BN341">
        <v>1</v>
      </c>
      <c r="BO341">
        <v>0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 t="s">
        <v>0</v>
      </c>
      <c r="BX341">
        <v>0</v>
      </c>
      <c r="BY341">
        <v>0</v>
      </c>
      <c r="BZ341">
        <v>0</v>
      </c>
      <c r="CA341">
        <v>0</v>
      </c>
      <c r="CB341" t="s">
        <v>145</v>
      </c>
      <c r="CD341" t="str" cm="1">
        <f t="array" aca="1" ref="CD341" ca="1">eConcatenar(A341:CB341,"|")</f>
        <v>0Ab6jxQ4G6vcdFcD|MODIFVHS131|3|MODIF|MODIF|MODIF|MODIF|2022-01-01|1|0|0|0|0|0|0|0|0|0|0|0|0|0|0|0|0|0|0|x|x|x|x|x|x|x|x|x|x|x|x|x|x|x|x|x|x|x|x|x|x|0|1|X|X|X|2022-2-10|2022-02-23|0|0|0|0|0|QWYNRBIY9KVTQO|0|HOMBRE|0|1|0|0|0|0|0|0|0|0|CARDENAS|0|0|0|0|FINAL</v>
      </c>
    </row>
    <row r="342" spans="1:82" x14ac:dyDescent="0.25">
      <c r="A342" t="s">
        <v>882</v>
      </c>
      <c r="B342" t="s">
        <v>678</v>
      </c>
      <c r="C342">
        <v>3</v>
      </c>
      <c r="D342" t="s">
        <v>346</v>
      </c>
      <c r="E342" t="s">
        <v>346</v>
      </c>
      <c r="F342" t="s">
        <v>346</v>
      </c>
      <c r="G342" t="s">
        <v>346</v>
      </c>
      <c r="H342" s="21" t="s">
        <v>747</v>
      </c>
      <c r="I342">
        <v>1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 t="s">
        <v>3</v>
      </c>
      <c r="AC342" t="s">
        <v>3</v>
      </c>
      <c r="AD342" t="s">
        <v>3</v>
      </c>
      <c r="AE342" t="s">
        <v>3</v>
      </c>
      <c r="AF342" t="s">
        <v>3</v>
      </c>
      <c r="AG342" t="s">
        <v>3</v>
      </c>
      <c r="AH342" t="s">
        <v>3</v>
      </c>
      <c r="AI342" t="s">
        <v>3</v>
      </c>
      <c r="AJ342" t="s">
        <v>3</v>
      </c>
      <c r="AK342" t="s">
        <v>3</v>
      </c>
      <c r="AL342" t="s">
        <v>3</v>
      </c>
      <c r="AM342" t="s">
        <v>3</v>
      </c>
      <c r="AN342" t="s">
        <v>3</v>
      </c>
      <c r="AO342" t="s">
        <v>3</v>
      </c>
      <c r="AP342" t="s">
        <v>3</v>
      </c>
      <c r="AQ342" t="s">
        <v>3</v>
      </c>
      <c r="AR342" t="s">
        <v>3</v>
      </c>
      <c r="AS342" t="s">
        <v>3</v>
      </c>
      <c r="AT342" t="s">
        <v>3</v>
      </c>
      <c r="AU342" t="s">
        <v>3</v>
      </c>
      <c r="AV342" t="s">
        <v>3</v>
      </c>
      <c r="AW342" t="s">
        <v>3</v>
      </c>
      <c r="AX342">
        <v>0</v>
      </c>
      <c r="AY342">
        <v>1</v>
      </c>
      <c r="AZ342" t="s">
        <v>1</v>
      </c>
      <c r="BA342" t="s">
        <v>1</v>
      </c>
      <c r="BB342" t="s">
        <v>1</v>
      </c>
      <c r="BC342" s="21" t="s">
        <v>748</v>
      </c>
      <c r="BD342" s="21" t="s">
        <v>144</v>
      </c>
      <c r="BE342">
        <v>0</v>
      </c>
      <c r="BF342">
        <v>0</v>
      </c>
      <c r="BG342">
        <v>0</v>
      </c>
      <c r="BH342">
        <v>0</v>
      </c>
      <c r="BI342">
        <v>0</v>
      </c>
      <c r="BJ342" t="s">
        <v>749</v>
      </c>
      <c r="BK342">
        <v>0</v>
      </c>
      <c r="BL342" t="s">
        <v>132</v>
      </c>
      <c r="BM342">
        <v>0</v>
      </c>
      <c r="BN342">
        <v>1</v>
      </c>
      <c r="BO342">
        <v>0</v>
      </c>
      <c r="BP342">
        <v>0</v>
      </c>
      <c r="BQ342">
        <v>0</v>
      </c>
      <c r="BR342">
        <v>0</v>
      </c>
      <c r="BS342">
        <v>0</v>
      </c>
      <c r="BT342">
        <v>0</v>
      </c>
      <c r="BU342">
        <v>0</v>
      </c>
      <c r="BV342">
        <v>0</v>
      </c>
      <c r="BW342" t="s">
        <v>0</v>
      </c>
      <c r="BX342">
        <v>0</v>
      </c>
      <c r="BY342">
        <v>0</v>
      </c>
      <c r="BZ342">
        <v>0</v>
      </c>
      <c r="CA342">
        <v>0</v>
      </c>
      <c r="CB342" t="s">
        <v>145</v>
      </c>
      <c r="CD342" t="str" cm="1">
        <f t="array" aca="1" ref="CD342" ca="1">eConcatenar(A342:CB342,"|")</f>
        <v>fdfaYWY27lulbPDI|MODIFVHS132|3|MODIF|MODIF|MODIF|MODIF|2022-01-01|1|0|0|0|0|0|0|0|0|0|0|0|0|0|0|0|0|0|0|x|x|x|x|x|x|x|x|x|x|x|x|x|x|x|x|x|x|x|x|x|x|0|1|X|X|X|2022-2-10|2022-02-23|0|0|0|0|0|QWYNRBIY9KVTQO|0|HOMBRE|0|1|0|0|0|0|0|0|0|0|CARDENAS|0|0|0|0|FINAL</v>
      </c>
    </row>
    <row r="343" spans="1:82" x14ac:dyDescent="0.25">
      <c r="A343" t="s">
        <v>883</v>
      </c>
      <c r="B343" t="s">
        <v>679</v>
      </c>
      <c r="C343">
        <v>3</v>
      </c>
      <c r="D343" t="s">
        <v>346</v>
      </c>
      <c r="E343" t="s">
        <v>346</v>
      </c>
      <c r="F343" t="s">
        <v>346</v>
      </c>
      <c r="G343" t="s">
        <v>346</v>
      </c>
      <c r="H343" s="21" t="s">
        <v>747</v>
      </c>
      <c r="I343">
        <v>1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 t="s">
        <v>3</v>
      </c>
      <c r="AC343" t="s">
        <v>3</v>
      </c>
      <c r="AD343" t="s">
        <v>3</v>
      </c>
      <c r="AE343" t="s">
        <v>3</v>
      </c>
      <c r="AF343" t="s">
        <v>3</v>
      </c>
      <c r="AG343" t="s">
        <v>3</v>
      </c>
      <c r="AH343" t="s">
        <v>3</v>
      </c>
      <c r="AI343" t="s">
        <v>3</v>
      </c>
      <c r="AJ343" t="s">
        <v>3</v>
      </c>
      <c r="AK343" t="s">
        <v>3</v>
      </c>
      <c r="AL343" t="s">
        <v>3</v>
      </c>
      <c r="AM343" t="s">
        <v>3</v>
      </c>
      <c r="AN343" t="s">
        <v>3</v>
      </c>
      <c r="AO343" t="s">
        <v>3</v>
      </c>
      <c r="AP343" t="s">
        <v>3</v>
      </c>
      <c r="AQ343" t="s">
        <v>3</v>
      </c>
      <c r="AR343" t="s">
        <v>3</v>
      </c>
      <c r="AS343" t="s">
        <v>3</v>
      </c>
      <c r="AT343" t="s">
        <v>3</v>
      </c>
      <c r="AU343" t="s">
        <v>3</v>
      </c>
      <c r="AV343" t="s">
        <v>3</v>
      </c>
      <c r="AW343" t="s">
        <v>3</v>
      </c>
      <c r="AX343">
        <v>0</v>
      </c>
      <c r="AY343">
        <v>1</v>
      </c>
      <c r="AZ343" t="s">
        <v>1</v>
      </c>
      <c r="BA343" t="s">
        <v>1</v>
      </c>
      <c r="BB343" t="s">
        <v>1</v>
      </c>
      <c r="BC343" s="21" t="s">
        <v>748</v>
      </c>
      <c r="BD343" s="21" t="s">
        <v>144</v>
      </c>
      <c r="BE343">
        <v>0</v>
      </c>
      <c r="BF343">
        <v>0</v>
      </c>
      <c r="BG343">
        <v>0</v>
      </c>
      <c r="BH343">
        <v>0</v>
      </c>
      <c r="BI343">
        <v>0</v>
      </c>
      <c r="BJ343" t="s">
        <v>749</v>
      </c>
      <c r="BK343">
        <v>0</v>
      </c>
      <c r="BL343" t="s">
        <v>132</v>
      </c>
      <c r="BM343">
        <v>0</v>
      </c>
      <c r="BN343">
        <v>1</v>
      </c>
      <c r="BO343">
        <v>0</v>
      </c>
      <c r="BP343">
        <v>0</v>
      </c>
      <c r="BQ343">
        <v>0</v>
      </c>
      <c r="BR343">
        <v>0</v>
      </c>
      <c r="BS343">
        <v>0</v>
      </c>
      <c r="BT343">
        <v>0</v>
      </c>
      <c r="BU343">
        <v>0</v>
      </c>
      <c r="BV343">
        <v>0</v>
      </c>
      <c r="BW343" t="s">
        <v>0</v>
      </c>
      <c r="BX343">
        <v>0</v>
      </c>
      <c r="BY343">
        <v>0</v>
      </c>
      <c r="BZ343">
        <v>0</v>
      </c>
      <c r="CA343">
        <v>0</v>
      </c>
      <c r="CB343" t="s">
        <v>145</v>
      </c>
      <c r="CD343" t="str" cm="1">
        <f t="array" aca="1" ref="CD343" ca="1">eConcatenar(A343:CB343,"|")</f>
        <v>RAEuW9ABwmVFgXCy|MODIFVHS133|3|MODIF|MODIF|MODIF|MODIF|2022-01-01|1|0|0|0|0|0|0|0|0|0|0|0|0|0|0|0|0|0|0|x|x|x|x|x|x|x|x|x|x|x|x|x|x|x|x|x|x|x|x|x|x|0|1|X|X|X|2022-2-10|2022-02-23|0|0|0|0|0|QWYNRBIY9KVTQO|0|HOMBRE|0|1|0|0|0|0|0|0|0|0|CARDENAS|0|0|0|0|FINAL</v>
      </c>
    </row>
    <row r="344" spans="1:82" x14ac:dyDescent="0.25">
      <c r="A344" t="s">
        <v>884</v>
      </c>
      <c r="B344" t="s">
        <v>680</v>
      </c>
      <c r="C344">
        <v>3</v>
      </c>
      <c r="D344" t="s">
        <v>346</v>
      </c>
      <c r="E344" t="s">
        <v>346</v>
      </c>
      <c r="F344" t="s">
        <v>346</v>
      </c>
      <c r="G344" t="s">
        <v>346</v>
      </c>
      <c r="H344" s="21" t="s">
        <v>747</v>
      </c>
      <c r="I344">
        <v>1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 t="s">
        <v>3</v>
      </c>
      <c r="AC344" t="s">
        <v>3</v>
      </c>
      <c r="AD344" t="s">
        <v>3</v>
      </c>
      <c r="AE344" t="s">
        <v>3</v>
      </c>
      <c r="AF344" t="s">
        <v>3</v>
      </c>
      <c r="AG344" t="s">
        <v>3</v>
      </c>
      <c r="AH344" t="s">
        <v>3</v>
      </c>
      <c r="AI344" t="s">
        <v>3</v>
      </c>
      <c r="AJ344" t="s">
        <v>3</v>
      </c>
      <c r="AK344" t="s">
        <v>3</v>
      </c>
      <c r="AL344" t="s">
        <v>3</v>
      </c>
      <c r="AM344" t="s">
        <v>3</v>
      </c>
      <c r="AN344" t="s">
        <v>3</v>
      </c>
      <c r="AO344" t="s">
        <v>3</v>
      </c>
      <c r="AP344" t="s">
        <v>3</v>
      </c>
      <c r="AQ344" t="s">
        <v>3</v>
      </c>
      <c r="AR344" t="s">
        <v>3</v>
      </c>
      <c r="AS344" t="s">
        <v>3</v>
      </c>
      <c r="AT344" t="s">
        <v>3</v>
      </c>
      <c r="AU344" t="s">
        <v>3</v>
      </c>
      <c r="AV344" t="s">
        <v>3</v>
      </c>
      <c r="AW344" t="s">
        <v>3</v>
      </c>
      <c r="AX344">
        <v>0</v>
      </c>
      <c r="AY344">
        <v>1</v>
      </c>
      <c r="AZ344" t="s">
        <v>1</v>
      </c>
      <c r="BA344" t="s">
        <v>1</v>
      </c>
      <c r="BB344" t="s">
        <v>1</v>
      </c>
      <c r="BC344" s="21" t="s">
        <v>748</v>
      </c>
      <c r="BD344" s="21" t="s">
        <v>144</v>
      </c>
      <c r="BE344">
        <v>0</v>
      </c>
      <c r="BF344">
        <v>0</v>
      </c>
      <c r="BG344">
        <v>0</v>
      </c>
      <c r="BH344">
        <v>0</v>
      </c>
      <c r="BI344">
        <v>0</v>
      </c>
      <c r="BJ344" t="s">
        <v>749</v>
      </c>
      <c r="BK344">
        <v>0</v>
      </c>
      <c r="BL344" t="s">
        <v>132</v>
      </c>
      <c r="BM344">
        <v>0</v>
      </c>
      <c r="BN344">
        <v>1</v>
      </c>
      <c r="BO344">
        <v>0</v>
      </c>
      <c r="BP344">
        <v>0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 t="s">
        <v>0</v>
      </c>
      <c r="BX344">
        <v>0</v>
      </c>
      <c r="BY344">
        <v>0</v>
      </c>
      <c r="BZ344">
        <v>0</v>
      </c>
      <c r="CA344">
        <v>0</v>
      </c>
      <c r="CB344" t="s">
        <v>145</v>
      </c>
      <c r="CD344" t="str" cm="1">
        <f t="array" aca="1" ref="CD344" ca="1">eConcatenar(A344:CB344,"|")</f>
        <v>7w28J72rn5SyBXxr|MODIFVHS134|3|MODIF|MODIF|MODIF|MODIF|2022-01-01|1|0|0|0|0|0|0|0|0|0|0|0|0|0|0|0|0|0|0|x|x|x|x|x|x|x|x|x|x|x|x|x|x|x|x|x|x|x|x|x|x|0|1|X|X|X|2022-2-10|2022-02-23|0|0|0|0|0|QWYNRBIY9KVTQO|0|HOMBRE|0|1|0|0|0|0|0|0|0|0|CARDENAS|0|0|0|0|FINAL</v>
      </c>
    </row>
    <row r="345" spans="1:82" x14ac:dyDescent="0.25">
      <c r="A345" t="s">
        <v>885</v>
      </c>
      <c r="B345" t="s">
        <v>681</v>
      </c>
      <c r="C345">
        <v>3</v>
      </c>
      <c r="D345" t="s">
        <v>346</v>
      </c>
      <c r="E345" t="s">
        <v>346</v>
      </c>
      <c r="F345" t="s">
        <v>346</v>
      </c>
      <c r="G345" t="s">
        <v>346</v>
      </c>
      <c r="H345" s="21" t="s">
        <v>747</v>
      </c>
      <c r="I345">
        <v>1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 t="s">
        <v>3</v>
      </c>
      <c r="AC345" t="s">
        <v>3</v>
      </c>
      <c r="AD345" t="s">
        <v>3</v>
      </c>
      <c r="AE345" t="s">
        <v>3</v>
      </c>
      <c r="AF345" t="s">
        <v>3</v>
      </c>
      <c r="AG345" t="s">
        <v>3</v>
      </c>
      <c r="AH345" t="s">
        <v>3</v>
      </c>
      <c r="AI345" t="s">
        <v>3</v>
      </c>
      <c r="AJ345" t="s">
        <v>3</v>
      </c>
      <c r="AK345" t="s">
        <v>3</v>
      </c>
      <c r="AL345" t="s">
        <v>3</v>
      </c>
      <c r="AM345" t="s">
        <v>3</v>
      </c>
      <c r="AN345" t="s">
        <v>3</v>
      </c>
      <c r="AO345" t="s">
        <v>3</v>
      </c>
      <c r="AP345" t="s">
        <v>3</v>
      </c>
      <c r="AQ345" t="s">
        <v>3</v>
      </c>
      <c r="AR345" t="s">
        <v>3</v>
      </c>
      <c r="AS345" t="s">
        <v>3</v>
      </c>
      <c r="AT345" t="s">
        <v>3</v>
      </c>
      <c r="AU345" t="s">
        <v>3</v>
      </c>
      <c r="AV345" t="s">
        <v>3</v>
      </c>
      <c r="AW345" t="s">
        <v>3</v>
      </c>
      <c r="AX345">
        <v>0</v>
      </c>
      <c r="AY345">
        <v>1</v>
      </c>
      <c r="AZ345" t="s">
        <v>1</v>
      </c>
      <c r="BA345" t="s">
        <v>1</v>
      </c>
      <c r="BB345" t="s">
        <v>1</v>
      </c>
      <c r="BC345" s="21" t="s">
        <v>748</v>
      </c>
      <c r="BD345" s="21" t="s">
        <v>144</v>
      </c>
      <c r="BE345">
        <v>0</v>
      </c>
      <c r="BF345">
        <v>0</v>
      </c>
      <c r="BG345">
        <v>0</v>
      </c>
      <c r="BH345">
        <v>0</v>
      </c>
      <c r="BI345">
        <v>0</v>
      </c>
      <c r="BJ345" t="s">
        <v>749</v>
      </c>
      <c r="BK345">
        <v>0</v>
      </c>
      <c r="BL345" t="s">
        <v>132</v>
      </c>
      <c r="BM345">
        <v>0</v>
      </c>
      <c r="BN345">
        <v>1</v>
      </c>
      <c r="BO345">
        <v>0</v>
      </c>
      <c r="BP345">
        <v>0</v>
      </c>
      <c r="BQ345">
        <v>0</v>
      </c>
      <c r="BR345">
        <v>0</v>
      </c>
      <c r="BS345">
        <v>0</v>
      </c>
      <c r="BT345">
        <v>0</v>
      </c>
      <c r="BU345">
        <v>0</v>
      </c>
      <c r="BV345">
        <v>0</v>
      </c>
      <c r="BW345" t="s">
        <v>0</v>
      </c>
      <c r="BX345">
        <v>0</v>
      </c>
      <c r="BY345">
        <v>0</v>
      </c>
      <c r="BZ345">
        <v>0</v>
      </c>
      <c r="CA345">
        <v>0</v>
      </c>
      <c r="CB345" t="s">
        <v>145</v>
      </c>
      <c r="CD345" t="str" cm="1">
        <f t="array" aca="1" ref="CD345" ca="1">eConcatenar(A345:CB345,"|")</f>
        <v>k7zQb2gPOi3caqV9|MODIFVHS135|3|MODIF|MODIF|MODIF|MODIF|2022-01-01|1|0|0|0|0|0|0|0|0|0|0|0|0|0|0|0|0|0|0|x|x|x|x|x|x|x|x|x|x|x|x|x|x|x|x|x|x|x|x|x|x|0|1|X|X|X|2022-2-10|2022-02-23|0|0|0|0|0|QWYNRBIY9KVTQO|0|HOMBRE|0|1|0|0|0|0|0|0|0|0|CARDENAS|0|0|0|0|FINAL</v>
      </c>
    </row>
    <row r="346" spans="1:82" x14ac:dyDescent="0.25">
      <c r="A346" t="s">
        <v>886</v>
      </c>
      <c r="B346" t="s">
        <v>682</v>
      </c>
      <c r="C346">
        <v>3</v>
      </c>
      <c r="D346" t="s">
        <v>346</v>
      </c>
      <c r="E346" t="s">
        <v>346</v>
      </c>
      <c r="F346" t="s">
        <v>346</v>
      </c>
      <c r="G346" t="s">
        <v>346</v>
      </c>
      <c r="H346" s="21" t="s">
        <v>747</v>
      </c>
      <c r="I346">
        <v>1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 t="s">
        <v>3</v>
      </c>
      <c r="AC346" t="s">
        <v>3</v>
      </c>
      <c r="AD346" t="s">
        <v>3</v>
      </c>
      <c r="AE346" t="s">
        <v>3</v>
      </c>
      <c r="AF346" t="s">
        <v>3</v>
      </c>
      <c r="AG346" t="s">
        <v>3</v>
      </c>
      <c r="AH346" t="s">
        <v>3</v>
      </c>
      <c r="AI346" t="s">
        <v>3</v>
      </c>
      <c r="AJ346" t="s">
        <v>3</v>
      </c>
      <c r="AK346" t="s">
        <v>3</v>
      </c>
      <c r="AL346" t="s">
        <v>3</v>
      </c>
      <c r="AM346" t="s">
        <v>3</v>
      </c>
      <c r="AN346" t="s">
        <v>3</v>
      </c>
      <c r="AO346" t="s">
        <v>3</v>
      </c>
      <c r="AP346" t="s">
        <v>3</v>
      </c>
      <c r="AQ346" t="s">
        <v>3</v>
      </c>
      <c r="AR346" t="s">
        <v>3</v>
      </c>
      <c r="AS346" t="s">
        <v>3</v>
      </c>
      <c r="AT346" t="s">
        <v>3</v>
      </c>
      <c r="AU346" t="s">
        <v>3</v>
      </c>
      <c r="AV346" t="s">
        <v>3</v>
      </c>
      <c r="AW346" t="s">
        <v>3</v>
      </c>
      <c r="AX346">
        <v>0</v>
      </c>
      <c r="AY346">
        <v>1</v>
      </c>
      <c r="AZ346" t="s">
        <v>1</v>
      </c>
      <c r="BA346" t="s">
        <v>1</v>
      </c>
      <c r="BB346" t="s">
        <v>1</v>
      </c>
      <c r="BC346" s="21" t="s">
        <v>748</v>
      </c>
      <c r="BD346" s="21" t="s">
        <v>144</v>
      </c>
      <c r="BE346">
        <v>0</v>
      </c>
      <c r="BF346">
        <v>0</v>
      </c>
      <c r="BG346">
        <v>0</v>
      </c>
      <c r="BH346">
        <v>0</v>
      </c>
      <c r="BI346">
        <v>0</v>
      </c>
      <c r="BJ346" t="s">
        <v>749</v>
      </c>
      <c r="BK346">
        <v>0</v>
      </c>
      <c r="BL346" t="s">
        <v>132</v>
      </c>
      <c r="BM346">
        <v>0</v>
      </c>
      <c r="BN346">
        <v>1</v>
      </c>
      <c r="BO346">
        <v>0</v>
      </c>
      <c r="BP346">
        <v>0</v>
      </c>
      <c r="BQ346">
        <v>0</v>
      </c>
      <c r="BR346">
        <v>0</v>
      </c>
      <c r="BS346">
        <v>0</v>
      </c>
      <c r="BT346">
        <v>0</v>
      </c>
      <c r="BU346">
        <v>0</v>
      </c>
      <c r="BV346">
        <v>0</v>
      </c>
      <c r="BW346" t="s">
        <v>0</v>
      </c>
      <c r="BX346">
        <v>0</v>
      </c>
      <c r="BY346">
        <v>0</v>
      </c>
      <c r="BZ346">
        <v>0</v>
      </c>
      <c r="CA346">
        <v>0</v>
      </c>
      <c r="CB346" t="s">
        <v>145</v>
      </c>
      <c r="CD346" t="str" cm="1">
        <f t="array" aca="1" ref="CD346" ca="1">eConcatenar(A346:CB346,"|")</f>
        <v>WLbjVgNqgo3uaY05|MODIFVHS136|3|MODIF|MODIF|MODIF|MODIF|2022-01-01|1|0|0|0|0|0|0|0|0|0|0|0|0|0|0|0|0|0|0|x|x|x|x|x|x|x|x|x|x|x|x|x|x|x|x|x|x|x|x|x|x|0|1|X|X|X|2022-2-10|2022-02-23|0|0|0|0|0|QWYNRBIY9KVTQO|0|HOMBRE|0|1|0|0|0|0|0|0|0|0|CARDENAS|0|0|0|0|FINAL</v>
      </c>
    </row>
    <row r="347" spans="1:82" x14ac:dyDescent="0.25">
      <c r="A347" t="s">
        <v>887</v>
      </c>
      <c r="B347" t="s">
        <v>683</v>
      </c>
      <c r="C347">
        <v>3</v>
      </c>
      <c r="D347" t="s">
        <v>346</v>
      </c>
      <c r="E347" t="s">
        <v>346</v>
      </c>
      <c r="F347" t="s">
        <v>346</v>
      </c>
      <c r="G347" t="s">
        <v>346</v>
      </c>
      <c r="H347" s="21" t="s">
        <v>747</v>
      </c>
      <c r="I347">
        <v>1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 t="s">
        <v>3</v>
      </c>
      <c r="AC347" t="s">
        <v>3</v>
      </c>
      <c r="AD347" t="s">
        <v>3</v>
      </c>
      <c r="AE347" t="s">
        <v>3</v>
      </c>
      <c r="AF347" t="s">
        <v>3</v>
      </c>
      <c r="AG347" t="s">
        <v>3</v>
      </c>
      <c r="AH347" t="s">
        <v>3</v>
      </c>
      <c r="AI347" t="s">
        <v>3</v>
      </c>
      <c r="AJ347" t="s">
        <v>3</v>
      </c>
      <c r="AK347" t="s">
        <v>3</v>
      </c>
      <c r="AL347" t="s">
        <v>3</v>
      </c>
      <c r="AM347" t="s">
        <v>3</v>
      </c>
      <c r="AN347" t="s">
        <v>3</v>
      </c>
      <c r="AO347" t="s">
        <v>3</v>
      </c>
      <c r="AP347" t="s">
        <v>3</v>
      </c>
      <c r="AQ347" t="s">
        <v>3</v>
      </c>
      <c r="AR347" t="s">
        <v>3</v>
      </c>
      <c r="AS347" t="s">
        <v>3</v>
      </c>
      <c r="AT347" t="s">
        <v>3</v>
      </c>
      <c r="AU347" t="s">
        <v>3</v>
      </c>
      <c r="AV347" t="s">
        <v>3</v>
      </c>
      <c r="AW347" t="s">
        <v>3</v>
      </c>
      <c r="AX347">
        <v>0</v>
      </c>
      <c r="AY347">
        <v>1</v>
      </c>
      <c r="AZ347" t="s">
        <v>1</v>
      </c>
      <c r="BA347" t="s">
        <v>1</v>
      </c>
      <c r="BB347" t="s">
        <v>1</v>
      </c>
      <c r="BC347" s="21" t="s">
        <v>748</v>
      </c>
      <c r="BD347" s="21" t="s">
        <v>144</v>
      </c>
      <c r="BE347">
        <v>0</v>
      </c>
      <c r="BF347">
        <v>0</v>
      </c>
      <c r="BG347">
        <v>0</v>
      </c>
      <c r="BH347">
        <v>0</v>
      </c>
      <c r="BI347">
        <v>0</v>
      </c>
      <c r="BJ347" t="s">
        <v>749</v>
      </c>
      <c r="BK347">
        <v>0</v>
      </c>
      <c r="BL347" t="s">
        <v>132</v>
      </c>
      <c r="BM347">
        <v>0</v>
      </c>
      <c r="BN347">
        <v>1</v>
      </c>
      <c r="BO347">
        <v>0</v>
      </c>
      <c r="BP347">
        <v>0</v>
      </c>
      <c r="BQ347">
        <v>0</v>
      </c>
      <c r="BR347">
        <v>0</v>
      </c>
      <c r="BS347">
        <v>0</v>
      </c>
      <c r="BT347">
        <v>0</v>
      </c>
      <c r="BU347">
        <v>0</v>
      </c>
      <c r="BV347">
        <v>0</v>
      </c>
      <c r="BW347" t="s">
        <v>0</v>
      </c>
      <c r="BX347">
        <v>0</v>
      </c>
      <c r="BY347">
        <v>0</v>
      </c>
      <c r="BZ347">
        <v>0</v>
      </c>
      <c r="CA347">
        <v>0</v>
      </c>
      <c r="CB347" t="s">
        <v>145</v>
      </c>
      <c r="CD347" t="str" cm="1">
        <f t="array" aca="1" ref="CD347" ca="1">eConcatenar(A347:CB347,"|")</f>
        <v>rJFO96fHnP8itE1I|MODIFVHS137|3|MODIF|MODIF|MODIF|MODIF|2022-01-01|1|0|0|0|0|0|0|0|0|0|0|0|0|0|0|0|0|0|0|x|x|x|x|x|x|x|x|x|x|x|x|x|x|x|x|x|x|x|x|x|x|0|1|X|X|X|2022-2-10|2022-02-23|0|0|0|0|0|QWYNRBIY9KVTQO|0|HOMBRE|0|1|0|0|0|0|0|0|0|0|CARDENAS|0|0|0|0|FINAL</v>
      </c>
    </row>
    <row r="348" spans="1:82" x14ac:dyDescent="0.25">
      <c r="A348" t="s">
        <v>888</v>
      </c>
      <c r="B348" t="s">
        <v>684</v>
      </c>
      <c r="C348">
        <v>3</v>
      </c>
      <c r="D348" t="s">
        <v>346</v>
      </c>
      <c r="E348" t="s">
        <v>346</v>
      </c>
      <c r="F348" t="s">
        <v>346</v>
      </c>
      <c r="G348" t="s">
        <v>346</v>
      </c>
      <c r="H348" s="21" t="s">
        <v>747</v>
      </c>
      <c r="I348">
        <v>1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 t="s">
        <v>3</v>
      </c>
      <c r="AC348" t="s">
        <v>3</v>
      </c>
      <c r="AD348" t="s">
        <v>3</v>
      </c>
      <c r="AE348" t="s">
        <v>3</v>
      </c>
      <c r="AF348" t="s">
        <v>3</v>
      </c>
      <c r="AG348" t="s">
        <v>3</v>
      </c>
      <c r="AH348" t="s">
        <v>3</v>
      </c>
      <c r="AI348" t="s">
        <v>3</v>
      </c>
      <c r="AJ348" t="s">
        <v>3</v>
      </c>
      <c r="AK348" t="s">
        <v>3</v>
      </c>
      <c r="AL348" t="s">
        <v>3</v>
      </c>
      <c r="AM348" t="s">
        <v>3</v>
      </c>
      <c r="AN348" t="s">
        <v>3</v>
      </c>
      <c r="AO348" t="s">
        <v>3</v>
      </c>
      <c r="AP348" t="s">
        <v>3</v>
      </c>
      <c r="AQ348" t="s">
        <v>3</v>
      </c>
      <c r="AR348" t="s">
        <v>3</v>
      </c>
      <c r="AS348" t="s">
        <v>3</v>
      </c>
      <c r="AT348" t="s">
        <v>3</v>
      </c>
      <c r="AU348" t="s">
        <v>3</v>
      </c>
      <c r="AV348" t="s">
        <v>3</v>
      </c>
      <c r="AW348" t="s">
        <v>3</v>
      </c>
      <c r="AX348">
        <v>0</v>
      </c>
      <c r="AY348">
        <v>1</v>
      </c>
      <c r="AZ348" t="s">
        <v>1</v>
      </c>
      <c r="BA348" t="s">
        <v>1</v>
      </c>
      <c r="BB348" t="s">
        <v>1</v>
      </c>
      <c r="BC348" s="21" t="s">
        <v>748</v>
      </c>
      <c r="BD348" s="21" t="s">
        <v>144</v>
      </c>
      <c r="BE348">
        <v>0</v>
      </c>
      <c r="BF348">
        <v>0</v>
      </c>
      <c r="BG348">
        <v>0</v>
      </c>
      <c r="BH348">
        <v>0</v>
      </c>
      <c r="BI348">
        <v>0</v>
      </c>
      <c r="BJ348" t="s">
        <v>749</v>
      </c>
      <c r="BK348">
        <v>0</v>
      </c>
      <c r="BL348" t="s">
        <v>132</v>
      </c>
      <c r="BM348">
        <v>0</v>
      </c>
      <c r="BN348">
        <v>1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 t="s">
        <v>0</v>
      </c>
      <c r="BX348">
        <v>0</v>
      </c>
      <c r="BY348">
        <v>0</v>
      </c>
      <c r="BZ348">
        <v>0</v>
      </c>
      <c r="CA348">
        <v>0</v>
      </c>
      <c r="CB348" t="s">
        <v>145</v>
      </c>
      <c r="CD348" t="str" cm="1">
        <f t="array" aca="1" ref="CD348" ca="1">eConcatenar(A348:CB348,"|")</f>
        <v>1hFLWOuPuYzzeswy|MODIFVHS138|3|MODIF|MODIF|MODIF|MODIF|2022-01-01|1|0|0|0|0|0|0|0|0|0|0|0|0|0|0|0|0|0|0|x|x|x|x|x|x|x|x|x|x|x|x|x|x|x|x|x|x|x|x|x|x|0|1|X|X|X|2022-2-10|2022-02-23|0|0|0|0|0|QWYNRBIY9KVTQO|0|HOMBRE|0|1|0|0|0|0|0|0|0|0|CARDENAS|0|0|0|0|FINAL</v>
      </c>
    </row>
    <row r="349" spans="1:82" x14ac:dyDescent="0.25">
      <c r="A349" t="s">
        <v>889</v>
      </c>
      <c r="B349" t="s">
        <v>685</v>
      </c>
      <c r="C349">
        <v>3</v>
      </c>
      <c r="D349" t="s">
        <v>346</v>
      </c>
      <c r="E349" t="s">
        <v>346</v>
      </c>
      <c r="F349" t="s">
        <v>346</v>
      </c>
      <c r="G349" t="s">
        <v>346</v>
      </c>
      <c r="H349" s="21" t="s">
        <v>747</v>
      </c>
      <c r="I349">
        <v>1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 t="s">
        <v>3</v>
      </c>
      <c r="AC349" t="s">
        <v>3</v>
      </c>
      <c r="AD349" t="s">
        <v>3</v>
      </c>
      <c r="AE349" t="s">
        <v>3</v>
      </c>
      <c r="AF349" t="s">
        <v>3</v>
      </c>
      <c r="AG349" t="s">
        <v>3</v>
      </c>
      <c r="AH349" t="s">
        <v>3</v>
      </c>
      <c r="AI349" t="s">
        <v>3</v>
      </c>
      <c r="AJ349" t="s">
        <v>3</v>
      </c>
      <c r="AK349" t="s">
        <v>3</v>
      </c>
      <c r="AL349" t="s">
        <v>3</v>
      </c>
      <c r="AM349" t="s">
        <v>3</v>
      </c>
      <c r="AN349" t="s">
        <v>3</v>
      </c>
      <c r="AO349" t="s">
        <v>3</v>
      </c>
      <c r="AP349" t="s">
        <v>3</v>
      </c>
      <c r="AQ349" t="s">
        <v>3</v>
      </c>
      <c r="AR349" t="s">
        <v>3</v>
      </c>
      <c r="AS349" t="s">
        <v>3</v>
      </c>
      <c r="AT349" t="s">
        <v>3</v>
      </c>
      <c r="AU349" t="s">
        <v>3</v>
      </c>
      <c r="AV349" t="s">
        <v>3</v>
      </c>
      <c r="AW349" t="s">
        <v>3</v>
      </c>
      <c r="AX349">
        <v>0</v>
      </c>
      <c r="AY349">
        <v>1</v>
      </c>
      <c r="AZ349" t="s">
        <v>1</v>
      </c>
      <c r="BA349" t="s">
        <v>1</v>
      </c>
      <c r="BB349" t="s">
        <v>1</v>
      </c>
      <c r="BC349" s="21" t="s">
        <v>748</v>
      </c>
      <c r="BD349" s="21" t="s">
        <v>144</v>
      </c>
      <c r="BE349">
        <v>0</v>
      </c>
      <c r="BF349">
        <v>0</v>
      </c>
      <c r="BG349">
        <v>0</v>
      </c>
      <c r="BH349">
        <v>0</v>
      </c>
      <c r="BI349">
        <v>0</v>
      </c>
      <c r="BJ349" t="s">
        <v>749</v>
      </c>
      <c r="BK349">
        <v>0</v>
      </c>
      <c r="BL349" t="s">
        <v>132</v>
      </c>
      <c r="BM349">
        <v>0</v>
      </c>
      <c r="BN349">
        <v>1</v>
      </c>
      <c r="BO349">
        <v>0</v>
      </c>
      <c r="BP349">
        <v>0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  <c r="BW349" t="s">
        <v>0</v>
      </c>
      <c r="BX349">
        <v>0</v>
      </c>
      <c r="BY349">
        <v>0</v>
      </c>
      <c r="BZ349">
        <v>0</v>
      </c>
      <c r="CA349">
        <v>0</v>
      </c>
      <c r="CB349" t="s">
        <v>145</v>
      </c>
      <c r="CD349" t="str" cm="1">
        <f t="array" aca="1" ref="CD349" ca="1">eConcatenar(A349:CB349,"|")</f>
        <v>TJjJ3RJHIQeK8GYL|MODIFVHS139|3|MODIF|MODIF|MODIF|MODIF|2022-01-01|1|0|0|0|0|0|0|0|0|0|0|0|0|0|0|0|0|0|0|x|x|x|x|x|x|x|x|x|x|x|x|x|x|x|x|x|x|x|x|x|x|0|1|X|X|X|2022-2-10|2022-02-23|0|0|0|0|0|QWYNRBIY9KVTQO|0|HOMBRE|0|1|0|0|0|0|0|0|0|0|CARDENAS|0|0|0|0|FINAL</v>
      </c>
    </row>
    <row r="350" spans="1:82" x14ac:dyDescent="0.25">
      <c r="A350" t="s">
        <v>890</v>
      </c>
      <c r="B350" t="s">
        <v>686</v>
      </c>
      <c r="C350">
        <v>3</v>
      </c>
      <c r="D350" t="s">
        <v>346</v>
      </c>
      <c r="E350" t="s">
        <v>346</v>
      </c>
      <c r="F350" t="s">
        <v>346</v>
      </c>
      <c r="G350" t="s">
        <v>346</v>
      </c>
      <c r="H350" s="21" t="s">
        <v>747</v>
      </c>
      <c r="I350">
        <v>1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 t="s">
        <v>3</v>
      </c>
      <c r="AC350" t="s">
        <v>3</v>
      </c>
      <c r="AD350" t="s">
        <v>3</v>
      </c>
      <c r="AE350" t="s">
        <v>3</v>
      </c>
      <c r="AF350" t="s">
        <v>3</v>
      </c>
      <c r="AG350" t="s">
        <v>3</v>
      </c>
      <c r="AH350" t="s">
        <v>3</v>
      </c>
      <c r="AI350" t="s">
        <v>3</v>
      </c>
      <c r="AJ350" t="s">
        <v>3</v>
      </c>
      <c r="AK350" t="s">
        <v>3</v>
      </c>
      <c r="AL350" t="s">
        <v>3</v>
      </c>
      <c r="AM350" t="s">
        <v>3</v>
      </c>
      <c r="AN350" t="s">
        <v>3</v>
      </c>
      <c r="AO350" t="s">
        <v>3</v>
      </c>
      <c r="AP350" t="s">
        <v>3</v>
      </c>
      <c r="AQ350" t="s">
        <v>3</v>
      </c>
      <c r="AR350" t="s">
        <v>3</v>
      </c>
      <c r="AS350" t="s">
        <v>3</v>
      </c>
      <c r="AT350" t="s">
        <v>3</v>
      </c>
      <c r="AU350" t="s">
        <v>3</v>
      </c>
      <c r="AV350" t="s">
        <v>3</v>
      </c>
      <c r="AW350" t="s">
        <v>3</v>
      </c>
      <c r="AX350">
        <v>0</v>
      </c>
      <c r="AY350">
        <v>1</v>
      </c>
      <c r="AZ350" t="s">
        <v>1</v>
      </c>
      <c r="BA350" t="s">
        <v>1</v>
      </c>
      <c r="BB350" t="s">
        <v>1</v>
      </c>
      <c r="BC350" s="21" t="s">
        <v>748</v>
      </c>
      <c r="BD350" s="21" t="s">
        <v>144</v>
      </c>
      <c r="BE350">
        <v>0</v>
      </c>
      <c r="BF350">
        <v>0</v>
      </c>
      <c r="BG350">
        <v>0</v>
      </c>
      <c r="BH350">
        <v>0</v>
      </c>
      <c r="BI350">
        <v>0</v>
      </c>
      <c r="BJ350" t="s">
        <v>749</v>
      </c>
      <c r="BK350">
        <v>0</v>
      </c>
      <c r="BL350" t="s">
        <v>132</v>
      </c>
      <c r="BM350">
        <v>0</v>
      </c>
      <c r="BN350">
        <v>1</v>
      </c>
      <c r="BO350">
        <v>0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 t="s">
        <v>0</v>
      </c>
      <c r="BX350">
        <v>0</v>
      </c>
      <c r="BY350">
        <v>0</v>
      </c>
      <c r="BZ350">
        <v>0</v>
      </c>
      <c r="CA350">
        <v>0</v>
      </c>
      <c r="CB350" t="s">
        <v>145</v>
      </c>
      <c r="CD350" t="str" cm="1">
        <f t="array" aca="1" ref="CD350" ca="1">eConcatenar(A350:CB350,"|")</f>
        <v>NlySTPzLT0oSAUUx|MODIFVHS140|3|MODIF|MODIF|MODIF|MODIF|2022-01-01|1|0|0|0|0|0|0|0|0|0|0|0|0|0|0|0|0|0|0|x|x|x|x|x|x|x|x|x|x|x|x|x|x|x|x|x|x|x|x|x|x|0|1|X|X|X|2022-2-10|2022-02-23|0|0|0|0|0|QWYNRBIY9KVTQO|0|HOMBRE|0|1|0|0|0|0|0|0|0|0|CARDENAS|0|0|0|0|FINAL</v>
      </c>
    </row>
    <row r="351" spans="1:82" x14ac:dyDescent="0.25">
      <c r="A351" t="s">
        <v>891</v>
      </c>
      <c r="B351" t="s">
        <v>687</v>
      </c>
      <c r="C351">
        <v>3</v>
      </c>
      <c r="D351" t="s">
        <v>346</v>
      </c>
      <c r="E351" t="s">
        <v>346</v>
      </c>
      <c r="F351" t="s">
        <v>346</v>
      </c>
      <c r="G351" t="s">
        <v>346</v>
      </c>
      <c r="H351" s="21" t="s">
        <v>747</v>
      </c>
      <c r="I351">
        <v>1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 t="s">
        <v>3</v>
      </c>
      <c r="AC351" t="s">
        <v>3</v>
      </c>
      <c r="AD351" t="s">
        <v>3</v>
      </c>
      <c r="AE351" t="s">
        <v>3</v>
      </c>
      <c r="AF351" t="s">
        <v>3</v>
      </c>
      <c r="AG351" t="s">
        <v>3</v>
      </c>
      <c r="AH351" t="s">
        <v>3</v>
      </c>
      <c r="AI351" t="s">
        <v>3</v>
      </c>
      <c r="AJ351" t="s">
        <v>3</v>
      </c>
      <c r="AK351" t="s">
        <v>3</v>
      </c>
      <c r="AL351" t="s">
        <v>3</v>
      </c>
      <c r="AM351" t="s">
        <v>3</v>
      </c>
      <c r="AN351" t="s">
        <v>3</v>
      </c>
      <c r="AO351" t="s">
        <v>3</v>
      </c>
      <c r="AP351" t="s">
        <v>3</v>
      </c>
      <c r="AQ351" t="s">
        <v>3</v>
      </c>
      <c r="AR351" t="s">
        <v>3</v>
      </c>
      <c r="AS351" t="s">
        <v>3</v>
      </c>
      <c r="AT351" t="s">
        <v>3</v>
      </c>
      <c r="AU351" t="s">
        <v>3</v>
      </c>
      <c r="AV351" t="s">
        <v>3</v>
      </c>
      <c r="AW351" t="s">
        <v>3</v>
      </c>
      <c r="AX351">
        <v>0</v>
      </c>
      <c r="AY351">
        <v>1</v>
      </c>
      <c r="AZ351" t="s">
        <v>1</v>
      </c>
      <c r="BA351" t="s">
        <v>1</v>
      </c>
      <c r="BB351" t="s">
        <v>1</v>
      </c>
      <c r="BC351" s="21" t="s">
        <v>748</v>
      </c>
      <c r="BD351" s="21" t="s">
        <v>144</v>
      </c>
      <c r="BE351">
        <v>0</v>
      </c>
      <c r="BF351">
        <v>0</v>
      </c>
      <c r="BG351">
        <v>0</v>
      </c>
      <c r="BH351">
        <v>0</v>
      </c>
      <c r="BI351">
        <v>0</v>
      </c>
      <c r="BJ351" t="s">
        <v>749</v>
      </c>
      <c r="BK351">
        <v>0</v>
      </c>
      <c r="BL351" t="s">
        <v>132</v>
      </c>
      <c r="BM351">
        <v>0</v>
      </c>
      <c r="BN351">
        <v>1</v>
      </c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 t="s">
        <v>0</v>
      </c>
      <c r="BX351">
        <v>0</v>
      </c>
      <c r="BY351">
        <v>0</v>
      </c>
      <c r="BZ351">
        <v>0</v>
      </c>
      <c r="CA351">
        <v>0</v>
      </c>
      <c r="CB351" t="s">
        <v>145</v>
      </c>
      <c r="CD351" t="str" cm="1">
        <f t="array" aca="1" ref="CD351" ca="1">eConcatenar(A351:CB351,"|")</f>
        <v>diiNpgDFuIdHh0jD|MODIFVHS141|3|MODIF|MODIF|MODIF|MODIF|2022-01-01|1|0|0|0|0|0|0|0|0|0|0|0|0|0|0|0|0|0|0|x|x|x|x|x|x|x|x|x|x|x|x|x|x|x|x|x|x|x|x|x|x|0|1|X|X|X|2022-2-10|2022-02-23|0|0|0|0|0|QWYNRBIY9KVTQO|0|HOMBRE|0|1|0|0|0|0|0|0|0|0|CARDENAS|0|0|0|0|FINAL</v>
      </c>
    </row>
    <row r="352" spans="1:82" x14ac:dyDescent="0.25">
      <c r="A352" t="s">
        <v>892</v>
      </c>
      <c r="B352" t="s">
        <v>688</v>
      </c>
      <c r="C352">
        <v>3</v>
      </c>
      <c r="D352" t="s">
        <v>346</v>
      </c>
      <c r="E352" t="s">
        <v>346</v>
      </c>
      <c r="F352" t="s">
        <v>346</v>
      </c>
      <c r="G352" t="s">
        <v>346</v>
      </c>
      <c r="H352" s="21" t="s">
        <v>747</v>
      </c>
      <c r="I352">
        <v>1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 t="s">
        <v>3</v>
      </c>
      <c r="AC352" t="s">
        <v>3</v>
      </c>
      <c r="AD352" t="s">
        <v>3</v>
      </c>
      <c r="AE352" t="s">
        <v>3</v>
      </c>
      <c r="AF352" t="s">
        <v>3</v>
      </c>
      <c r="AG352" t="s">
        <v>3</v>
      </c>
      <c r="AH352" t="s">
        <v>3</v>
      </c>
      <c r="AI352" t="s">
        <v>3</v>
      </c>
      <c r="AJ352" t="s">
        <v>3</v>
      </c>
      <c r="AK352" t="s">
        <v>3</v>
      </c>
      <c r="AL352" t="s">
        <v>3</v>
      </c>
      <c r="AM352" t="s">
        <v>3</v>
      </c>
      <c r="AN352" t="s">
        <v>3</v>
      </c>
      <c r="AO352" t="s">
        <v>3</v>
      </c>
      <c r="AP352" t="s">
        <v>3</v>
      </c>
      <c r="AQ352" t="s">
        <v>3</v>
      </c>
      <c r="AR352" t="s">
        <v>3</v>
      </c>
      <c r="AS352" t="s">
        <v>3</v>
      </c>
      <c r="AT352" t="s">
        <v>3</v>
      </c>
      <c r="AU352" t="s">
        <v>3</v>
      </c>
      <c r="AV352" t="s">
        <v>3</v>
      </c>
      <c r="AW352" t="s">
        <v>3</v>
      </c>
      <c r="AX352">
        <v>0</v>
      </c>
      <c r="AY352">
        <v>1</v>
      </c>
      <c r="AZ352" t="s">
        <v>1</v>
      </c>
      <c r="BA352" t="s">
        <v>1</v>
      </c>
      <c r="BB352" t="s">
        <v>1</v>
      </c>
      <c r="BC352" s="21" t="s">
        <v>748</v>
      </c>
      <c r="BD352" s="21" t="s">
        <v>144</v>
      </c>
      <c r="BE352">
        <v>0</v>
      </c>
      <c r="BF352">
        <v>0</v>
      </c>
      <c r="BG352">
        <v>0</v>
      </c>
      <c r="BH352">
        <v>0</v>
      </c>
      <c r="BI352">
        <v>0</v>
      </c>
      <c r="BJ352" t="s">
        <v>749</v>
      </c>
      <c r="BK352">
        <v>0</v>
      </c>
      <c r="BL352" t="s">
        <v>132</v>
      </c>
      <c r="BM352">
        <v>0</v>
      </c>
      <c r="BN352">
        <v>1</v>
      </c>
      <c r="BO352">
        <v>0</v>
      </c>
      <c r="BP352">
        <v>0</v>
      </c>
      <c r="BQ352">
        <v>0</v>
      </c>
      <c r="BR352">
        <v>0</v>
      </c>
      <c r="BS352">
        <v>0</v>
      </c>
      <c r="BT352">
        <v>0</v>
      </c>
      <c r="BU352">
        <v>0</v>
      </c>
      <c r="BV352">
        <v>0</v>
      </c>
      <c r="BW352" t="s">
        <v>0</v>
      </c>
      <c r="BX352">
        <v>0</v>
      </c>
      <c r="BY352">
        <v>0</v>
      </c>
      <c r="BZ352">
        <v>0</v>
      </c>
      <c r="CA352">
        <v>0</v>
      </c>
      <c r="CB352" t="s">
        <v>145</v>
      </c>
      <c r="CD352" t="str" cm="1">
        <f t="array" aca="1" ref="CD352" ca="1">eConcatenar(A352:CB352,"|")</f>
        <v>0l1FMt3oq5ZTNMhv|MODIFVHS142|3|MODIF|MODIF|MODIF|MODIF|2022-01-01|1|0|0|0|0|0|0|0|0|0|0|0|0|0|0|0|0|0|0|x|x|x|x|x|x|x|x|x|x|x|x|x|x|x|x|x|x|x|x|x|x|0|1|X|X|X|2022-2-10|2022-02-23|0|0|0|0|0|QWYNRBIY9KVTQO|0|HOMBRE|0|1|0|0|0|0|0|0|0|0|CARDENAS|0|0|0|0|FINAL</v>
      </c>
    </row>
    <row r="353" spans="1:82" x14ac:dyDescent="0.25">
      <c r="A353" t="s">
        <v>893</v>
      </c>
      <c r="B353" t="s">
        <v>689</v>
      </c>
      <c r="C353">
        <v>3</v>
      </c>
      <c r="D353" t="s">
        <v>346</v>
      </c>
      <c r="E353" t="s">
        <v>346</v>
      </c>
      <c r="F353" t="s">
        <v>346</v>
      </c>
      <c r="G353" t="s">
        <v>346</v>
      </c>
      <c r="H353" s="21" t="s">
        <v>747</v>
      </c>
      <c r="I353">
        <v>1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 t="s">
        <v>3</v>
      </c>
      <c r="AC353" t="s">
        <v>3</v>
      </c>
      <c r="AD353" t="s">
        <v>3</v>
      </c>
      <c r="AE353" t="s">
        <v>3</v>
      </c>
      <c r="AF353" t="s">
        <v>3</v>
      </c>
      <c r="AG353" t="s">
        <v>3</v>
      </c>
      <c r="AH353" t="s">
        <v>3</v>
      </c>
      <c r="AI353" t="s">
        <v>3</v>
      </c>
      <c r="AJ353" t="s">
        <v>3</v>
      </c>
      <c r="AK353" t="s">
        <v>3</v>
      </c>
      <c r="AL353" t="s">
        <v>3</v>
      </c>
      <c r="AM353" t="s">
        <v>3</v>
      </c>
      <c r="AN353" t="s">
        <v>3</v>
      </c>
      <c r="AO353" t="s">
        <v>3</v>
      </c>
      <c r="AP353" t="s">
        <v>3</v>
      </c>
      <c r="AQ353" t="s">
        <v>3</v>
      </c>
      <c r="AR353" t="s">
        <v>3</v>
      </c>
      <c r="AS353" t="s">
        <v>3</v>
      </c>
      <c r="AT353" t="s">
        <v>3</v>
      </c>
      <c r="AU353" t="s">
        <v>3</v>
      </c>
      <c r="AV353" t="s">
        <v>3</v>
      </c>
      <c r="AW353" t="s">
        <v>3</v>
      </c>
      <c r="AX353">
        <v>0</v>
      </c>
      <c r="AY353">
        <v>1</v>
      </c>
      <c r="AZ353" t="s">
        <v>1</v>
      </c>
      <c r="BA353" t="s">
        <v>1</v>
      </c>
      <c r="BB353" t="s">
        <v>1</v>
      </c>
      <c r="BC353" s="21" t="s">
        <v>748</v>
      </c>
      <c r="BD353" s="21" t="s">
        <v>144</v>
      </c>
      <c r="BE353">
        <v>0</v>
      </c>
      <c r="BF353">
        <v>0</v>
      </c>
      <c r="BG353">
        <v>0</v>
      </c>
      <c r="BH353">
        <v>0</v>
      </c>
      <c r="BI353">
        <v>0</v>
      </c>
      <c r="BJ353" t="s">
        <v>749</v>
      </c>
      <c r="BK353">
        <v>0</v>
      </c>
      <c r="BL353" t="s">
        <v>132</v>
      </c>
      <c r="BM353">
        <v>0</v>
      </c>
      <c r="BN353">
        <v>1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 t="s">
        <v>0</v>
      </c>
      <c r="BX353">
        <v>0</v>
      </c>
      <c r="BY353">
        <v>0</v>
      </c>
      <c r="BZ353">
        <v>0</v>
      </c>
      <c r="CA353">
        <v>0</v>
      </c>
      <c r="CB353" t="s">
        <v>145</v>
      </c>
      <c r="CD353" t="str" cm="1">
        <f t="array" aca="1" ref="CD353" ca="1">eConcatenar(A353:CB353,"|")</f>
        <v>mWINSTtma0Tk5VKi|MODIFVHS143|3|MODIF|MODIF|MODIF|MODIF|2022-01-01|1|0|0|0|0|0|0|0|0|0|0|0|0|0|0|0|0|0|0|x|x|x|x|x|x|x|x|x|x|x|x|x|x|x|x|x|x|x|x|x|x|0|1|X|X|X|2022-2-10|2022-02-23|0|0|0|0|0|QWYNRBIY9KVTQO|0|HOMBRE|0|1|0|0|0|0|0|0|0|0|CARDENAS|0|0|0|0|FINAL</v>
      </c>
    </row>
    <row r="354" spans="1:82" x14ac:dyDescent="0.25">
      <c r="A354" t="s">
        <v>894</v>
      </c>
      <c r="B354" t="s">
        <v>690</v>
      </c>
      <c r="C354">
        <v>3</v>
      </c>
      <c r="D354" t="s">
        <v>346</v>
      </c>
      <c r="E354" t="s">
        <v>346</v>
      </c>
      <c r="F354" t="s">
        <v>346</v>
      </c>
      <c r="G354" t="s">
        <v>346</v>
      </c>
      <c r="H354" s="21" t="s">
        <v>747</v>
      </c>
      <c r="I354">
        <v>1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 t="s">
        <v>3</v>
      </c>
      <c r="AC354" t="s">
        <v>3</v>
      </c>
      <c r="AD354" t="s">
        <v>3</v>
      </c>
      <c r="AE354" t="s">
        <v>3</v>
      </c>
      <c r="AF354" t="s">
        <v>3</v>
      </c>
      <c r="AG354" t="s">
        <v>3</v>
      </c>
      <c r="AH354" t="s">
        <v>3</v>
      </c>
      <c r="AI354" t="s">
        <v>3</v>
      </c>
      <c r="AJ354" t="s">
        <v>3</v>
      </c>
      <c r="AK354" t="s">
        <v>3</v>
      </c>
      <c r="AL354" t="s">
        <v>3</v>
      </c>
      <c r="AM354" t="s">
        <v>3</v>
      </c>
      <c r="AN354" t="s">
        <v>3</v>
      </c>
      <c r="AO354" t="s">
        <v>3</v>
      </c>
      <c r="AP354" t="s">
        <v>3</v>
      </c>
      <c r="AQ354" t="s">
        <v>3</v>
      </c>
      <c r="AR354" t="s">
        <v>3</v>
      </c>
      <c r="AS354" t="s">
        <v>3</v>
      </c>
      <c r="AT354" t="s">
        <v>3</v>
      </c>
      <c r="AU354" t="s">
        <v>3</v>
      </c>
      <c r="AV354" t="s">
        <v>3</v>
      </c>
      <c r="AW354" t="s">
        <v>3</v>
      </c>
      <c r="AX354">
        <v>0</v>
      </c>
      <c r="AY354">
        <v>1</v>
      </c>
      <c r="AZ354" t="s">
        <v>1</v>
      </c>
      <c r="BA354" t="s">
        <v>1</v>
      </c>
      <c r="BB354" t="s">
        <v>1</v>
      </c>
      <c r="BC354" s="21" t="s">
        <v>748</v>
      </c>
      <c r="BD354" s="21" t="s">
        <v>144</v>
      </c>
      <c r="BE354">
        <v>0</v>
      </c>
      <c r="BF354">
        <v>0</v>
      </c>
      <c r="BG354">
        <v>0</v>
      </c>
      <c r="BH354">
        <v>0</v>
      </c>
      <c r="BI354">
        <v>0</v>
      </c>
      <c r="BJ354" t="s">
        <v>749</v>
      </c>
      <c r="BK354">
        <v>0</v>
      </c>
      <c r="BL354" t="s">
        <v>132</v>
      </c>
      <c r="BM354">
        <v>0</v>
      </c>
      <c r="BN354">
        <v>1</v>
      </c>
      <c r="BO354">
        <v>0</v>
      </c>
      <c r="BP354">
        <v>0</v>
      </c>
      <c r="BQ354">
        <v>0</v>
      </c>
      <c r="BR354">
        <v>0</v>
      </c>
      <c r="BS354">
        <v>0</v>
      </c>
      <c r="BT354">
        <v>0</v>
      </c>
      <c r="BU354">
        <v>0</v>
      </c>
      <c r="BV354">
        <v>0</v>
      </c>
      <c r="BW354" t="s">
        <v>0</v>
      </c>
      <c r="BX354">
        <v>0</v>
      </c>
      <c r="BY354">
        <v>0</v>
      </c>
      <c r="BZ354">
        <v>0</v>
      </c>
      <c r="CA354">
        <v>0</v>
      </c>
      <c r="CB354" t="s">
        <v>145</v>
      </c>
      <c r="CD354" t="str" cm="1">
        <f t="array" aca="1" ref="CD354" ca="1">eConcatenar(A354:CB354,"|")</f>
        <v>lyed9ZgDr5JURDA2|MODIFVHS144|3|MODIF|MODIF|MODIF|MODIF|2022-01-01|1|0|0|0|0|0|0|0|0|0|0|0|0|0|0|0|0|0|0|x|x|x|x|x|x|x|x|x|x|x|x|x|x|x|x|x|x|x|x|x|x|0|1|X|X|X|2022-2-10|2022-02-23|0|0|0|0|0|QWYNRBIY9KVTQO|0|HOMBRE|0|1|0|0|0|0|0|0|0|0|CARDENAS|0|0|0|0|FINAL</v>
      </c>
    </row>
    <row r="355" spans="1:82" x14ac:dyDescent="0.25">
      <c r="A355" t="s">
        <v>895</v>
      </c>
      <c r="B355" t="s">
        <v>691</v>
      </c>
      <c r="C355">
        <v>3</v>
      </c>
      <c r="D355" t="s">
        <v>346</v>
      </c>
      <c r="E355" t="s">
        <v>346</v>
      </c>
      <c r="F355" t="s">
        <v>346</v>
      </c>
      <c r="G355" t="s">
        <v>346</v>
      </c>
      <c r="H355" s="21" t="s">
        <v>747</v>
      </c>
      <c r="I355">
        <v>1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 t="s">
        <v>3</v>
      </c>
      <c r="AC355" t="s">
        <v>3</v>
      </c>
      <c r="AD355" t="s">
        <v>3</v>
      </c>
      <c r="AE355" t="s">
        <v>3</v>
      </c>
      <c r="AF355" t="s">
        <v>3</v>
      </c>
      <c r="AG355" t="s">
        <v>3</v>
      </c>
      <c r="AH355" t="s">
        <v>3</v>
      </c>
      <c r="AI355" t="s">
        <v>3</v>
      </c>
      <c r="AJ355" t="s">
        <v>3</v>
      </c>
      <c r="AK355" t="s">
        <v>3</v>
      </c>
      <c r="AL355" t="s">
        <v>3</v>
      </c>
      <c r="AM355" t="s">
        <v>3</v>
      </c>
      <c r="AN355" t="s">
        <v>3</v>
      </c>
      <c r="AO355" t="s">
        <v>3</v>
      </c>
      <c r="AP355" t="s">
        <v>3</v>
      </c>
      <c r="AQ355" t="s">
        <v>3</v>
      </c>
      <c r="AR355" t="s">
        <v>3</v>
      </c>
      <c r="AS355" t="s">
        <v>3</v>
      </c>
      <c r="AT355" t="s">
        <v>3</v>
      </c>
      <c r="AU355" t="s">
        <v>3</v>
      </c>
      <c r="AV355" t="s">
        <v>3</v>
      </c>
      <c r="AW355" t="s">
        <v>3</v>
      </c>
      <c r="AX355">
        <v>0</v>
      </c>
      <c r="AY355">
        <v>1</v>
      </c>
      <c r="AZ355" t="s">
        <v>1</v>
      </c>
      <c r="BA355" t="s">
        <v>1</v>
      </c>
      <c r="BB355" t="s">
        <v>1</v>
      </c>
      <c r="BC355" s="21" t="s">
        <v>748</v>
      </c>
      <c r="BD355" s="21" t="s">
        <v>144</v>
      </c>
      <c r="BE355">
        <v>0</v>
      </c>
      <c r="BF355">
        <v>0</v>
      </c>
      <c r="BG355">
        <v>0</v>
      </c>
      <c r="BH355">
        <v>0</v>
      </c>
      <c r="BI355">
        <v>0</v>
      </c>
      <c r="BJ355" t="s">
        <v>749</v>
      </c>
      <c r="BK355">
        <v>0</v>
      </c>
      <c r="BL355" t="s">
        <v>132</v>
      </c>
      <c r="BM355">
        <v>0</v>
      </c>
      <c r="BN355">
        <v>1</v>
      </c>
      <c r="BO355">
        <v>0</v>
      </c>
      <c r="BP355">
        <v>0</v>
      </c>
      <c r="BQ355">
        <v>0</v>
      </c>
      <c r="BR355">
        <v>0</v>
      </c>
      <c r="BS355">
        <v>0</v>
      </c>
      <c r="BT355">
        <v>0</v>
      </c>
      <c r="BU355">
        <v>0</v>
      </c>
      <c r="BV355">
        <v>0</v>
      </c>
      <c r="BW355" t="s">
        <v>0</v>
      </c>
      <c r="BX355">
        <v>0</v>
      </c>
      <c r="BY355">
        <v>0</v>
      </c>
      <c r="BZ355">
        <v>0</v>
      </c>
      <c r="CA355">
        <v>0</v>
      </c>
      <c r="CB355" t="s">
        <v>145</v>
      </c>
      <c r="CD355" t="str" cm="1">
        <f t="array" aca="1" ref="CD355" ca="1">eConcatenar(A355:CB355,"|")</f>
        <v>w2zK0Mt8oLPlCFrM|MODIFVHS145|3|MODIF|MODIF|MODIF|MODIF|2022-01-01|1|0|0|0|0|0|0|0|0|0|0|0|0|0|0|0|0|0|0|x|x|x|x|x|x|x|x|x|x|x|x|x|x|x|x|x|x|x|x|x|x|0|1|X|X|X|2022-2-10|2022-02-23|0|0|0|0|0|QWYNRBIY9KVTQO|0|HOMBRE|0|1|0|0|0|0|0|0|0|0|CARDENAS|0|0|0|0|FINAL</v>
      </c>
    </row>
    <row r="356" spans="1:82" x14ac:dyDescent="0.25">
      <c r="A356" t="s">
        <v>896</v>
      </c>
      <c r="B356" t="s">
        <v>692</v>
      </c>
      <c r="C356">
        <v>3</v>
      </c>
      <c r="D356" t="s">
        <v>346</v>
      </c>
      <c r="E356" t="s">
        <v>346</v>
      </c>
      <c r="F356" t="s">
        <v>346</v>
      </c>
      <c r="G356" t="s">
        <v>346</v>
      </c>
      <c r="H356" s="21" t="s">
        <v>747</v>
      </c>
      <c r="I356">
        <v>1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 t="s">
        <v>3</v>
      </c>
      <c r="AC356" t="s">
        <v>3</v>
      </c>
      <c r="AD356" t="s">
        <v>3</v>
      </c>
      <c r="AE356" t="s">
        <v>3</v>
      </c>
      <c r="AF356" t="s">
        <v>3</v>
      </c>
      <c r="AG356" t="s">
        <v>3</v>
      </c>
      <c r="AH356" t="s">
        <v>3</v>
      </c>
      <c r="AI356" t="s">
        <v>3</v>
      </c>
      <c r="AJ356" t="s">
        <v>3</v>
      </c>
      <c r="AK356" t="s">
        <v>3</v>
      </c>
      <c r="AL356" t="s">
        <v>3</v>
      </c>
      <c r="AM356" t="s">
        <v>3</v>
      </c>
      <c r="AN356" t="s">
        <v>3</v>
      </c>
      <c r="AO356" t="s">
        <v>3</v>
      </c>
      <c r="AP356" t="s">
        <v>3</v>
      </c>
      <c r="AQ356" t="s">
        <v>3</v>
      </c>
      <c r="AR356" t="s">
        <v>3</v>
      </c>
      <c r="AS356" t="s">
        <v>3</v>
      </c>
      <c r="AT356" t="s">
        <v>3</v>
      </c>
      <c r="AU356" t="s">
        <v>3</v>
      </c>
      <c r="AV356" t="s">
        <v>3</v>
      </c>
      <c r="AW356" t="s">
        <v>3</v>
      </c>
      <c r="AX356">
        <v>0</v>
      </c>
      <c r="AY356">
        <v>1</v>
      </c>
      <c r="AZ356" t="s">
        <v>1</v>
      </c>
      <c r="BA356" t="s">
        <v>1</v>
      </c>
      <c r="BB356" t="s">
        <v>1</v>
      </c>
      <c r="BC356" s="21" t="s">
        <v>748</v>
      </c>
      <c r="BD356" s="21" t="s">
        <v>144</v>
      </c>
      <c r="BE356">
        <v>0</v>
      </c>
      <c r="BF356">
        <v>0</v>
      </c>
      <c r="BG356">
        <v>0</v>
      </c>
      <c r="BH356">
        <v>0</v>
      </c>
      <c r="BI356">
        <v>0</v>
      </c>
      <c r="BJ356" t="s">
        <v>749</v>
      </c>
      <c r="BK356">
        <v>0</v>
      </c>
      <c r="BL356" t="s">
        <v>132</v>
      </c>
      <c r="BM356">
        <v>0</v>
      </c>
      <c r="BN356">
        <v>1</v>
      </c>
      <c r="BO356">
        <v>0</v>
      </c>
      <c r="BP356">
        <v>0</v>
      </c>
      <c r="BQ356">
        <v>0</v>
      </c>
      <c r="BR356">
        <v>0</v>
      </c>
      <c r="BS356">
        <v>0</v>
      </c>
      <c r="BT356">
        <v>0</v>
      </c>
      <c r="BU356">
        <v>0</v>
      </c>
      <c r="BV356">
        <v>0</v>
      </c>
      <c r="BW356" t="s">
        <v>0</v>
      </c>
      <c r="BX356">
        <v>0</v>
      </c>
      <c r="BY356">
        <v>0</v>
      </c>
      <c r="BZ356">
        <v>0</v>
      </c>
      <c r="CA356">
        <v>0</v>
      </c>
      <c r="CB356" t="s">
        <v>145</v>
      </c>
      <c r="CD356" t="str" cm="1">
        <f t="array" aca="1" ref="CD356" ca="1">eConcatenar(A356:CB356,"|")</f>
        <v>IupWCLHECj1wDHwt|MODIFVHS146|3|MODIF|MODIF|MODIF|MODIF|2022-01-01|1|0|0|0|0|0|0|0|0|0|0|0|0|0|0|0|0|0|0|x|x|x|x|x|x|x|x|x|x|x|x|x|x|x|x|x|x|x|x|x|x|0|1|X|X|X|2022-2-10|2022-02-23|0|0|0|0|0|QWYNRBIY9KVTQO|0|HOMBRE|0|1|0|0|0|0|0|0|0|0|CARDENAS|0|0|0|0|FINAL</v>
      </c>
    </row>
    <row r="357" spans="1:82" x14ac:dyDescent="0.25">
      <c r="A357" t="s">
        <v>897</v>
      </c>
      <c r="B357" t="s">
        <v>693</v>
      </c>
      <c r="C357">
        <v>3</v>
      </c>
      <c r="D357" t="s">
        <v>346</v>
      </c>
      <c r="E357" t="s">
        <v>346</v>
      </c>
      <c r="F357" t="s">
        <v>346</v>
      </c>
      <c r="G357" t="s">
        <v>346</v>
      </c>
      <c r="H357" s="21" t="s">
        <v>747</v>
      </c>
      <c r="I357">
        <v>1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 t="s">
        <v>3</v>
      </c>
      <c r="AC357" t="s">
        <v>3</v>
      </c>
      <c r="AD357" t="s">
        <v>3</v>
      </c>
      <c r="AE357" t="s">
        <v>3</v>
      </c>
      <c r="AF357" t="s">
        <v>3</v>
      </c>
      <c r="AG357" t="s">
        <v>3</v>
      </c>
      <c r="AH357" t="s">
        <v>3</v>
      </c>
      <c r="AI357" t="s">
        <v>3</v>
      </c>
      <c r="AJ357" t="s">
        <v>3</v>
      </c>
      <c r="AK357" t="s">
        <v>3</v>
      </c>
      <c r="AL357" t="s">
        <v>3</v>
      </c>
      <c r="AM357" t="s">
        <v>3</v>
      </c>
      <c r="AN357" t="s">
        <v>3</v>
      </c>
      <c r="AO357" t="s">
        <v>3</v>
      </c>
      <c r="AP357" t="s">
        <v>3</v>
      </c>
      <c r="AQ357" t="s">
        <v>3</v>
      </c>
      <c r="AR357" t="s">
        <v>3</v>
      </c>
      <c r="AS357" t="s">
        <v>3</v>
      </c>
      <c r="AT357" t="s">
        <v>3</v>
      </c>
      <c r="AU357" t="s">
        <v>3</v>
      </c>
      <c r="AV357" t="s">
        <v>3</v>
      </c>
      <c r="AW357" t="s">
        <v>3</v>
      </c>
      <c r="AX357">
        <v>0</v>
      </c>
      <c r="AY357">
        <v>1</v>
      </c>
      <c r="AZ357" t="s">
        <v>1</v>
      </c>
      <c r="BA357" t="s">
        <v>1</v>
      </c>
      <c r="BB357" t="s">
        <v>1</v>
      </c>
      <c r="BC357" s="21" t="s">
        <v>748</v>
      </c>
      <c r="BD357" s="21" t="s">
        <v>144</v>
      </c>
      <c r="BE357">
        <v>0</v>
      </c>
      <c r="BF357">
        <v>0</v>
      </c>
      <c r="BG357">
        <v>0</v>
      </c>
      <c r="BH357">
        <v>0</v>
      </c>
      <c r="BI357">
        <v>0</v>
      </c>
      <c r="BJ357" t="s">
        <v>749</v>
      </c>
      <c r="BK357">
        <v>0</v>
      </c>
      <c r="BL357" t="s">
        <v>132</v>
      </c>
      <c r="BM357">
        <v>0</v>
      </c>
      <c r="BN357">
        <v>1</v>
      </c>
      <c r="BO357">
        <v>0</v>
      </c>
      <c r="BP357">
        <v>0</v>
      </c>
      <c r="BQ357">
        <v>0</v>
      </c>
      <c r="BR357">
        <v>0</v>
      </c>
      <c r="BS357">
        <v>0</v>
      </c>
      <c r="BT357">
        <v>0</v>
      </c>
      <c r="BU357">
        <v>0</v>
      </c>
      <c r="BV357">
        <v>0</v>
      </c>
      <c r="BW357" t="s">
        <v>0</v>
      </c>
      <c r="BX357">
        <v>0</v>
      </c>
      <c r="BY357">
        <v>0</v>
      </c>
      <c r="BZ357">
        <v>0</v>
      </c>
      <c r="CA357">
        <v>0</v>
      </c>
      <c r="CB357" t="s">
        <v>145</v>
      </c>
      <c r="CD357" t="str" cm="1">
        <f t="array" aca="1" ref="CD357" ca="1">eConcatenar(A357:CB357,"|")</f>
        <v>sY2u4nYLuGqMybgr|MODIFVHS147|3|MODIF|MODIF|MODIF|MODIF|2022-01-01|1|0|0|0|0|0|0|0|0|0|0|0|0|0|0|0|0|0|0|x|x|x|x|x|x|x|x|x|x|x|x|x|x|x|x|x|x|x|x|x|x|0|1|X|X|X|2022-2-10|2022-02-23|0|0|0|0|0|QWYNRBIY9KVTQO|0|HOMBRE|0|1|0|0|0|0|0|0|0|0|CARDENAS|0|0|0|0|FINAL</v>
      </c>
    </row>
    <row r="358" spans="1:82" x14ac:dyDescent="0.25">
      <c r="A358" t="s">
        <v>898</v>
      </c>
      <c r="B358" t="s">
        <v>694</v>
      </c>
      <c r="C358">
        <v>3</v>
      </c>
      <c r="D358" t="s">
        <v>346</v>
      </c>
      <c r="E358" t="s">
        <v>346</v>
      </c>
      <c r="F358" t="s">
        <v>346</v>
      </c>
      <c r="G358" t="s">
        <v>346</v>
      </c>
      <c r="H358" s="21" t="s">
        <v>747</v>
      </c>
      <c r="I358">
        <v>1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 t="s">
        <v>3</v>
      </c>
      <c r="AC358" t="s">
        <v>3</v>
      </c>
      <c r="AD358" t="s">
        <v>3</v>
      </c>
      <c r="AE358" t="s">
        <v>3</v>
      </c>
      <c r="AF358" t="s">
        <v>3</v>
      </c>
      <c r="AG358" t="s">
        <v>3</v>
      </c>
      <c r="AH358" t="s">
        <v>3</v>
      </c>
      <c r="AI358" t="s">
        <v>3</v>
      </c>
      <c r="AJ358" t="s">
        <v>3</v>
      </c>
      <c r="AK358" t="s">
        <v>3</v>
      </c>
      <c r="AL358" t="s">
        <v>3</v>
      </c>
      <c r="AM358" t="s">
        <v>3</v>
      </c>
      <c r="AN358" t="s">
        <v>3</v>
      </c>
      <c r="AO358" t="s">
        <v>3</v>
      </c>
      <c r="AP358" t="s">
        <v>3</v>
      </c>
      <c r="AQ358" t="s">
        <v>3</v>
      </c>
      <c r="AR358" t="s">
        <v>3</v>
      </c>
      <c r="AS358" t="s">
        <v>3</v>
      </c>
      <c r="AT358" t="s">
        <v>3</v>
      </c>
      <c r="AU358" t="s">
        <v>3</v>
      </c>
      <c r="AV358" t="s">
        <v>3</v>
      </c>
      <c r="AW358" t="s">
        <v>3</v>
      </c>
      <c r="AX358">
        <v>0</v>
      </c>
      <c r="AY358">
        <v>1</v>
      </c>
      <c r="AZ358" t="s">
        <v>1</v>
      </c>
      <c r="BA358" t="s">
        <v>1</v>
      </c>
      <c r="BB358" t="s">
        <v>1</v>
      </c>
      <c r="BC358" s="21" t="s">
        <v>748</v>
      </c>
      <c r="BD358" s="21" t="s">
        <v>144</v>
      </c>
      <c r="BE358">
        <v>0</v>
      </c>
      <c r="BF358">
        <v>0</v>
      </c>
      <c r="BG358">
        <v>0</v>
      </c>
      <c r="BH358">
        <v>0</v>
      </c>
      <c r="BI358">
        <v>0</v>
      </c>
      <c r="BJ358" t="s">
        <v>749</v>
      </c>
      <c r="BK358">
        <v>0</v>
      </c>
      <c r="BL358" t="s">
        <v>132</v>
      </c>
      <c r="BM358">
        <v>0</v>
      </c>
      <c r="BN358">
        <v>1</v>
      </c>
      <c r="BO358">
        <v>0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 t="s">
        <v>0</v>
      </c>
      <c r="BX358">
        <v>0</v>
      </c>
      <c r="BY358">
        <v>0</v>
      </c>
      <c r="BZ358">
        <v>0</v>
      </c>
      <c r="CA358">
        <v>0</v>
      </c>
      <c r="CB358" t="s">
        <v>145</v>
      </c>
      <c r="CD358" t="str" cm="1">
        <f t="array" aca="1" ref="CD358" ca="1">eConcatenar(A358:CB358,"|")</f>
        <v>febPye58RYBtdwxo|MODIFVHS148|3|MODIF|MODIF|MODIF|MODIF|2022-01-01|1|0|0|0|0|0|0|0|0|0|0|0|0|0|0|0|0|0|0|x|x|x|x|x|x|x|x|x|x|x|x|x|x|x|x|x|x|x|x|x|x|0|1|X|X|X|2022-2-10|2022-02-23|0|0|0|0|0|QWYNRBIY9KVTQO|0|HOMBRE|0|1|0|0|0|0|0|0|0|0|CARDENAS|0|0|0|0|FINAL</v>
      </c>
    </row>
    <row r="359" spans="1:82" x14ac:dyDescent="0.25">
      <c r="A359" t="s">
        <v>899</v>
      </c>
      <c r="B359" t="s">
        <v>695</v>
      </c>
      <c r="C359">
        <v>3</v>
      </c>
      <c r="D359" t="s">
        <v>346</v>
      </c>
      <c r="E359" t="s">
        <v>346</v>
      </c>
      <c r="F359" t="s">
        <v>346</v>
      </c>
      <c r="G359" t="s">
        <v>346</v>
      </c>
      <c r="H359" s="21" t="s">
        <v>747</v>
      </c>
      <c r="I359">
        <v>1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 t="s">
        <v>3</v>
      </c>
      <c r="AC359" t="s">
        <v>3</v>
      </c>
      <c r="AD359" t="s">
        <v>3</v>
      </c>
      <c r="AE359" t="s">
        <v>3</v>
      </c>
      <c r="AF359" t="s">
        <v>3</v>
      </c>
      <c r="AG359" t="s">
        <v>3</v>
      </c>
      <c r="AH359" t="s">
        <v>3</v>
      </c>
      <c r="AI359" t="s">
        <v>3</v>
      </c>
      <c r="AJ359" t="s">
        <v>3</v>
      </c>
      <c r="AK359" t="s">
        <v>3</v>
      </c>
      <c r="AL359" t="s">
        <v>3</v>
      </c>
      <c r="AM359" t="s">
        <v>3</v>
      </c>
      <c r="AN359" t="s">
        <v>3</v>
      </c>
      <c r="AO359" t="s">
        <v>3</v>
      </c>
      <c r="AP359" t="s">
        <v>3</v>
      </c>
      <c r="AQ359" t="s">
        <v>3</v>
      </c>
      <c r="AR359" t="s">
        <v>3</v>
      </c>
      <c r="AS359" t="s">
        <v>3</v>
      </c>
      <c r="AT359" t="s">
        <v>3</v>
      </c>
      <c r="AU359" t="s">
        <v>3</v>
      </c>
      <c r="AV359" t="s">
        <v>3</v>
      </c>
      <c r="AW359" t="s">
        <v>3</v>
      </c>
      <c r="AX359">
        <v>0</v>
      </c>
      <c r="AY359">
        <v>1</v>
      </c>
      <c r="AZ359" t="s">
        <v>1</v>
      </c>
      <c r="BA359" t="s">
        <v>1</v>
      </c>
      <c r="BB359" t="s">
        <v>1</v>
      </c>
      <c r="BC359" s="21" t="s">
        <v>748</v>
      </c>
      <c r="BD359" s="21" t="s">
        <v>144</v>
      </c>
      <c r="BE359">
        <v>0</v>
      </c>
      <c r="BF359">
        <v>0</v>
      </c>
      <c r="BG359">
        <v>0</v>
      </c>
      <c r="BH359">
        <v>0</v>
      </c>
      <c r="BI359">
        <v>0</v>
      </c>
      <c r="BJ359" t="s">
        <v>749</v>
      </c>
      <c r="BK359">
        <v>0</v>
      </c>
      <c r="BL359" t="s">
        <v>132</v>
      </c>
      <c r="BM359">
        <v>0</v>
      </c>
      <c r="BN359">
        <v>1</v>
      </c>
      <c r="BO359">
        <v>0</v>
      </c>
      <c r="BP359">
        <v>0</v>
      </c>
      <c r="BQ359">
        <v>0</v>
      </c>
      <c r="BR359">
        <v>0</v>
      </c>
      <c r="BS359">
        <v>0</v>
      </c>
      <c r="BT359">
        <v>0</v>
      </c>
      <c r="BU359">
        <v>0</v>
      </c>
      <c r="BV359">
        <v>0</v>
      </c>
      <c r="BW359" t="s">
        <v>0</v>
      </c>
      <c r="BX359">
        <v>0</v>
      </c>
      <c r="BY359">
        <v>0</v>
      </c>
      <c r="BZ359">
        <v>0</v>
      </c>
      <c r="CA359">
        <v>0</v>
      </c>
      <c r="CB359" t="s">
        <v>145</v>
      </c>
      <c r="CD359" t="str" cm="1">
        <f t="array" aca="1" ref="CD359" ca="1">eConcatenar(A359:CB359,"|")</f>
        <v>6R8k4stkuBmb2QbR|MODIFVHS149|3|MODIF|MODIF|MODIF|MODIF|2022-01-01|1|0|0|0|0|0|0|0|0|0|0|0|0|0|0|0|0|0|0|x|x|x|x|x|x|x|x|x|x|x|x|x|x|x|x|x|x|x|x|x|x|0|1|X|X|X|2022-2-10|2022-02-23|0|0|0|0|0|QWYNRBIY9KVTQO|0|HOMBRE|0|1|0|0|0|0|0|0|0|0|CARDENAS|0|0|0|0|FINAL</v>
      </c>
    </row>
    <row r="360" spans="1:82" x14ac:dyDescent="0.25">
      <c r="A360" t="s">
        <v>900</v>
      </c>
      <c r="B360" t="s">
        <v>696</v>
      </c>
      <c r="C360">
        <v>3</v>
      </c>
      <c r="D360" t="s">
        <v>346</v>
      </c>
      <c r="E360" t="s">
        <v>346</v>
      </c>
      <c r="F360" t="s">
        <v>346</v>
      </c>
      <c r="G360" t="s">
        <v>346</v>
      </c>
      <c r="H360" s="21" t="s">
        <v>747</v>
      </c>
      <c r="I360">
        <v>1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 t="s">
        <v>3</v>
      </c>
      <c r="AC360" t="s">
        <v>3</v>
      </c>
      <c r="AD360" t="s">
        <v>3</v>
      </c>
      <c r="AE360" t="s">
        <v>3</v>
      </c>
      <c r="AF360" t="s">
        <v>3</v>
      </c>
      <c r="AG360" t="s">
        <v>3</v>
      </c>
      <c r="AH360" t="s">
        <v>3</v>
      </c>
      <c r="AI360" t="s">
        <v>3</v>
      </c>
      <c r="AJ360" t="s">
        <v>3</v>
      </c>
      <c r="AK360" t="s">
        <v>3</v>
      </c>
      <c r="AL360" t="s">
        <v>3</v>
      </c>
      <c r="AM360" t="s">
        <v>3</v>
      </c>
      <c r="AN360" t="s">
        <v>3</v>
      </c>
      <c r="AO360" t="s">
        <v>3</v>
      </c>
      <c r="AP360" t="s">
        <v>3</v>
      </c>
      <c r="AQ360" t="s">
        <v>3</v>
      </c>
      <c r="AR360" t="s">
        <v>3</v>
      </c>
      <c r="AS360" t="s">
        <v>3</v>
      </c>
      <c r="AT360" t="s">
        <v>3</v>
      </c>
      <c r="AU360" t="s">
        <v>3</v>
      </c>
      <c r="AV360" t="s">
        <v>3</v>
      </c>
      <c r="AW360" t="s">
        <v>3</v>
      </c>
      <c r="AX360">
        <v>0</v>
      </c>
      <c r="AY360">
        <v>1</v>
      </c>
      <c r="AZ360" t="s">
        <v>1</v>
      </c>
      <c r="BA360" t="s">
        <v>1</v>
      </c>
      <c r="BB360" t="s">
        <v>1</v>
      </c>
      <c r="BC360" s="21" t="s">
        <v>748</v>
      </c>
      <c r="BD360" s="21" t="s">
        <v>144</v>
      </c>
      <c r="BE360">
        <v>0</v>
      </c>
      <c r="BF360">
        <v>0</v>
      </c>
      <c r="BG360">
        <v>0</v>
      </c>
      <c r="BH360">
        <v>0</v>
      </c>
      <c r="BI360">
        <v>0</v>
      </c>
      <c r="BJ360" t="s">
        <v>749</v>
      </c>
      <c r="BK360">
        <v>0</v>
      </c>
      <c r="BL360" t="s">
        <v>132</v>
      </c>
      <c r="BM360">
        <v>0</v>
      </c>
      <c r="BN360">
        <v>1</v>
      </c>
      <c r="BO360">
        <v>0</v>
      </c>
      <c r="BP360">
        <v>0</v>
      </c>
      <c r="BQ360">
        <v>0</v>
      </c>
      <c r="BR360">
        <v>0</v>
      </c>
      <c r="BS360">
        <v>0</v>
      </c>
      <c r="BT360">
        <v>0</v>
      </c>
      <c r="BU360">
        <v>0</v>
      </c>
      <c r="BV360">
        <v>0</v>
      </c>
      <c r="BW360" t="s">
        <v>0</v>
      </c>
      <c r="BX360">
        <v>0</v>
      </c>
      <c r="BY360">
        <v>0</v>
      </c>
      <c r="BZ360">
        <v>0</v>
      </c>
      <c r="CA360">
        <v>0</v>
      </c>
      <c r="CB360" t="s">
        <v>145</v>
      </c>
      <c r="CD360" t="str" cm="1">
        <f t="array" aca="1" ref="CD360" ca="1">eConcatenar(A360:CB360,"|")</f>
        <v>xmxfU3SUuk4dG7IG|MODIFVHS150|3|MODIF|MODIF|MODIF|MODIF|2022-01-01|1|0|0|0|0|0|0|0|0|0|0|0|0|0|0|0|0|0|0|x|x|x|x|x|x|x|x|x|x|x|x|x|x|x|x|x|x|x|x|x|x|0|1|X|X|X|2022-2-10|2022-02-23|0|0|0|0|0|QWYNRBIY9KVTQO|0|HOMBRE|0|1|0|0|0|0|0|0|0|0|CARDENAS|0|0|0|0|FINAL</v>
      </c>
    </row>
    <row r="361" spans="1:82" x14ac:dyDescent="0.25">
      <c r="A361" t="s">
        <v>901</v>
      </c>
      <c r="B361" t="s">
        <v>697</v>
      </c>
      <c r="C361">
        <v>3</v>
      </c>
      <c r="D361" t="s">
        <v>346</v>
      </c>
      <c r="E361" t="s">
        <v>346</v>
      </c>
      <c r="F361" t="s">
        <v>346</v>
      </c>
      <c r="G361" t="s">
        <v>346</v>
      </c>
      <c r="H361" s="21" t="s">
        <v>747</v>
      </c>
      <c r="I361">
        <v>1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 t="s">
        <v>3</v>
      </c>
      <c r="AC361" t="s">
        <v>3</v>
      </c>
      <c r="AD361" t="s">
        <v>3</v>
      </c>
      <c r="AE361" t="s">
        <v>3</v>
      </c>
      <c r="AF361" t="s">
        <v>3</v>
      </c>
      <c r="AG361" t="s">
        <v>3</v>
      </c>
      <c r="AH361" t="s">
        <v>3</v>
      </c>
      <c r="AI361" t="s">
        <v>3</v>
      </c>
      <c r="AJ361" t="s">
        <v>3</v>
      </c>
      <c r="AK361" t="s">
        <v>3</v>
      </c>
      <c r="AL361" t="s">
        <v>3</v>
      </c>
      <c r="AM361" t="s">
        <v>3</v>
      </c>
      <c r="AN361" t="s">
        <v>3</v>
      </c>
      <c r="AO361" t="s">
        <v>3</v>
      </c>
      <c r="AP361" t="s">
        <v>3</v>
      </c>
      <c r="AQ361" t="s">
        <v>3</v>
      </c>
      <c r="AR361" t="s">
        <v>3</v>
      </c>
      <c r="AS361" t="s">
        <v>3</v>
      </c>
      <c r="AT361" t="s">
        <v>3</v>
      </c>
      <c r="AU361" t="s">
        <v>3</v>
      </c>
      <c r="AV361" t="s">
        <v>3</v>
      </c>
      <c r="AW361" t="s">
        <v>3</v>
      </c>
      <c r="AX361">
        <v>0</v>
      </c>
      <c r="AY361">
        <v>1</v>
      </c>
      <c r="AZ361" t="s">
        <v>1</v>
      </c>
      <c r="BA361" t="s">
        <v>1</v>
      </c>
      <c r="BB361" t="s">
        <v>1</v>
      </c>
      <c r="BC361" s="21" t="s">
        <v>748</v>
      </c>
      <c r="BD361" s="21" t="s">
        <v>144</v>
      </c>
      <c r="BE361">
        <v>0</v>
      </c>
      <c r="BF361">
        <v>0</v>
      </c>
      <c r="BG361">
        <v>0</v>
      </c>
      <c r="BH361">
        <v>0</v>
      </c>
      <c r="BI361">
        <v>0</v>
      </c>
      <c r="BJ361" t="s">
        <v>749</v>
      </c>
      <c r="BK361">
        <v>0</v>
      </c>
      <c r="BL361" t="s">
        <v>132</v>
      </c>
      <c r="BM361">
        <v>0</v>
      </c>
      <c r="BN361">
        <v>1</v>
      </c>
      <c r="BO361">
        <v>0</v>
      </c>
      <c r="BP361">
        <v>0</v>
      </c>
      <c r="BQ361">
        <v>0</v>
      </c>
      <c r="BR361">
        <v>0</v>
      </c>
      <c r="BS361">
        <v>0</v>
      </c>
      <c r="BT361">
        <v>0</v>
      </c>
      <c r="BU361">
        <v>0</v>
      </c>
      <c r="BV361">
        <v>0</v>
      </c>
      <c r="BW361" t="s">
        <v>0</v>
      </c>
      <c r="BX361">
        <v>0</v>
      </c>
      <c r="BY361">
        <v>0</v>
      </c>
      <c r="BZ361">
        <v>0</v>
      </c>
      <c r="CA361">
        <v>0</v>
      </c>
      <c r="CB361" t="s">
        <v>145</v>
      </c>
      <c r="CD361" t="str" cm="1">
        <f t="array" aca="1" ref="CD361" ca="1">eConcatenar(A361:CB361,"|")</f>
        <v>G2tr6aFQ28Z0VeBm|MODIFVHS151|3|MODIF|MODIF|MODIF|MODIF|2022-01-01|1|0|0|0|0|0|0|0|0|0|0|0|0|0|0|0|0|0|0|x|x|x|x|x|x|x|x|x|x|x|x|x|x|x|x|x|x|x|x|x|x|0|1|X|X|X|2022-2-10|2022-02-23|0|0|0|0|0|QWYNRBIY9KVTQO|0|HOMBRE|0|1|0|0|0|0|0|0|0|0|CARDENAS|0|0|0|0|FINAL</v>
      </c>
    </row>
    <row r="362" spans="1:82" x14ac:dyDescent="0.25">
      <c r="A362" t="s">
        <v>902</v>
      </c>
      <c r="B362" t="s">
        <v>698</v>
      </c>
      <c r="C362">
        <v>3</v>
      </c>
      <c r="D362" t="s">
        <v>346</v>
      </c>
      <c r="E362" t="s">
        <v>346</v>
      </c>
      <c r="F362" t="s">
        <v>346</v>
      </c>
      <c r="G362" t="s">
        <v>346</v>
      </c>
      <c r="H362" s="21" t="s">
        <v>747</v>
      </c>
      <c r="I362">
        <v>1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 t="s">
        <v>3</v>
      </c>
      <c r="AC362" t="s">
        <v>3</v>
      </c>
      <c r="AD362" t="s">
        <v>3</v>
      </c>
      <c r="AE362" t="s">
        <v>3</v>
      </c>
      <c r="AF362" t="s">
        <v>3</v>
      </c>
      <c r="AG362" t="s">
        <v>3</v>
      </c>
      <c r="AH362" t="s">
        <v>3</v>
      </c>
      <c r="AI362" t="s">
        <v>3</v>
      </c>
      <c r="AJ362" t="s">
        <v>3</v>
      </c>
      <c r="AK362" t="s">
        <v>3</v>
      </c>
      <c r="AL362" t="s">
        <v>3</v>
      </c>
      <c r="AM362" t="s">
        <v>3</v>
      </c>
      <c r="AN362" t="s">
        <v>3</v>
      </c>
      <c r="AO362" t="s">
        <v>3</v>
      </c>
      <c r="AP362" t="s">
        <v>3</v>
      </c>
      <c r="AQ362" t="s">
        <v>3</v>
      </c>
      <c r="AR362" t="s">
        <v>3</v>
      </c>
      <c r="AS362" t="s">
        <v>3</v>
      </c>
      <c r="AT362" t="s">
        <v>3</v>
      </c>
      <c r="AU362" t="s">
        <v>3</v>
      </c>
      <c r="AV362" t="s">
        <v>3</v>
      </c>
      <c r="AW362" t="s">
        <v>3</v>
      </c>
      <c r="AX362">
        <v>0</v>
      </c>
      <c r="AY362">
        <v>1</v>
      </c>
      <c r="AZ362" t="s">
        <v>1</v>
      </c>
      <c r="BA362" t="s">
        <v>1</v>
      </c>
      <c r="BB362" t="s">
        <v>1</v>
      </c>
      <c r="BC362" s="21" t="s">
        <v>748</v>
      </c>
      <c r="BD362" s="21" t="s">
        <v>144</v>
      </c>
      <c r="BE362">
        <v>0</v>
      </c>
      <c r="BF362">
        <v>0</v>
      </c>
      <c r="BG362">
        <v>0</v>
      </c>
      <c r="BH362">
        <v>0</v>
      </c>
      <c r="BI362">
        <v>0</v>
      </c>
      <c r="BJ362" t="s">
        <v>749</v>
      </c>
      <c r="BK362">
        <v>0</v>
      </c>
      <c r="BL362" t="s">
        <v>132</v>
      </c>
      <c r="BM362">
        <v>0</v>
      </c>
      <c r="BN362">
        <v>1</v>
      </c>
      <c r="BO362">
        <v>0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 t="s">
        <v>0</v>
      </c>
      <c r="BX362">
        <v>0</v>
      </c>
      <c r="BY362">
        <v>0</v>
      </c>
      <c r="BZ362">
        <v>0</v>
      </c>
      <c r="CA362">
        <v>0</v>
      </c>
      <c r="CB362" t="s">
        <v>145</v>
      </c>
      <c r="CD362" t="str" cm="1">
        <f t="array" aca="1" ref="CD362" ca="1">eConcatenar(A362:CB362,"|")</f>
        <v>M322eT2hVMuYQR3K|MODIFVHS152|3|MODIF|MODIF|MODIF|MODIF|2022-01-01|1|0|0|0|0|0|0|0|0|0|0|0|0|0|0|0|0|0|0|x|x|x|x|x|x|x|x|x|x|x|x|x|x|x|x|x|x|x|x|x|x|0|1|X|X|X|2022-2-10|2022-02-23|0|0|0|0|0|QWYNRBIY9KVTQO|0|HOMBRE|0|1|0|0|0|0|0|0|0|0|CARDENAS|0|0|0|0|FINAL</v>
      </c>
    </row>
    <row r="363" spans="1:82" x14ac:dyDescent="0.25">
      <c r="A363" t="s">
        <v>903</v>
      </c>
      <c r="B363" t="s">
        <v>699</v>
      </c>
      <c r="C363">
        <v>3</v>
      </c>
      <c r="D363" t="s">
        <v>346</v>
      </c>
      <c r="E363" t="s">
        <v>346</v>
      </c>
      <c r="F363" t="s">
        <v>346</v>
      </c>
      <c r="G363" t="s">
        <v>346</v>
      </c>
      <c r="H363" s="21" t="s">
        <v>747</v>
      </c>
      <c r="I363">
        <v>1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 t="s">
        <v>3</v>
      </c>
      <c r="AC363" t="s">
        <v>3</v>
      </c>
      <c r="AD363" t="s">
        <v>3</v>
      </c>
      <c r="AE363" t="s">
        <v>3</v>
      </c>
      <c r="AF363" t="s">
        <v>3</v>
      </c>
      <c r="AG363" t="s">
        <v>3</v>
      </c>
      <c r="AH363" t="s">
        <v>3</v>
      </c>
      <c r="AI363" t="s">
        <v>3</v>
      </c>
      <c r="AJ363" t="s">
        <v>3</v>
      </c>
      <c r="AK363" t="s">
        <v>3</v>
      </c>
      <c r="AL363" t="s">
        <v>3</v>
      </c>
      <c r="AM363" t="s">
        <v>3</v>
      </c>
      <c r="AN363" t="s">
        <v>3</v>
      </c>
      <c r="AO363" t="s">
        <v>3</v>
      </c>
      <c r="AP363" t="s">
        <v>3</v>
      </c>
      <c r="AQ363" t="s">
        <v>3</v>
      </c>
      <c r="AR363" t="s">
        <v>3</v>
      </c>
      <c r="AS363" t="s">
        <v>3</v>
      </c>
      <c r="AT363" t="s">
        <v>3</v>
      </c>
      <c r="AU363" t="s">
        <v>3</v>
      </c>
      <c r="AV363" t="s">
        <v>3</v>
      </c>
      <c r="AW363" t="s">
        <v>3</v>
      </c>
      <c r="AX363">
        <v>0</v>
      </c>
      <c r="AY363">
        <v>1</v>
      </c>
      <c r="AZ363" t="s">
        <v>1</v>
      </c>
      <c r="BA363" t="s">
        <v>1</v>
      </c>
      <c r="BB363" t="s">
        <v>1</v>
      </c>
      <c r="BC363" s="21" t="s">
        <v>748</v>
      </c>
      <c r="BD363" s="21" t="s">
        <v>144</v>
      </c>
      <c r="BE363">
        <v>0</v>
      </c>
      <c r="BF363">
        <v>0</v>
      </c>
      <c r="BG363">
        <v>0</v>
      </c>
      <c r="BH363">
        <v>0</v>
      </c>
      <c r="BI363">
        <v>0</v>
      </c>
      <c r="BJ363" t="s">
        <v>749</v>
      </c>
      <c r="BK363">
        <v>0</v>
      </c>
      <c r="BL363" t="s">
        <v>132</v>
      </c>
      <c r="BM363">
        <v>0</v>
      </c>
      <c r="BN363">
        <v>1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 t="s">
        <v>0</v>
      </c>
      <c r="BX363">
        <v>0</v>
      </c>
      <c r="BY363">
        <v>0</v>
      </c>
      <c r="BZ363">
        <v>0</v>
      </c>
      <c r="CA363">
        <v>0</v>
      </c>
      <c r="CB363" t="s">
        <v>145</v>
      </c>
      <c r="CD363" t="str" cm="1">
        <f t="array" aca="1" ref="CD363" ca="1">eConcatenar(A363:CB363,"|")</f>
        <v>RAmbBICoABnQOtBo|MODIFVHS153|3|MODIF|MODIF|MODIF|MODIF|2022-01-01|1|0|0|0|0|0|0|0|0|0|0|0|0|0|0|0|0|0|0|x|x|x|x|x|x|x|x|x|x|x|x|x|x|x|x|x|x|x|x|x|x|0|1|X|X|X|2022-2-10|2022-02-23|0|0|0|0|0|QWYNRBIY9KVTQO|0|HOMBRE|0|1|0|0|0|0|0|0|0|0|CARDENAS|0|0|0|0|FINAL</v>
      </c>
    </row>
    <row r="364" spans="1:82" x14ac:dyDescent="0.25">
      <c r="A364" t="s">
        <v>904</v>
      </c>
      <c r="B364" t="s">
        <v>700</v>
      </c>
      <c r="C364">
        <v>3</v>
      </c>
      <c r="D364" t="s">
        <v>346</v>
      </c>
      <c r="E364" t="s">
        <v>346</v>
      </c>
      <c r="F364" t="s">
        <v>346</v>
      </c>
      <c r="G364" t="s">
        <v>346</v>
      </c>
      <c r="H364" s="21" t="s">
        <v>747</v>
      </c>
      <c r="I364">
        <v>1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 t="s">
        <v>3</v>
      </c>
      <c r="AC364" t="s">
        <v>3</v>
      </c>
      <c r="AD364" t="s">
        <v>3</v>
      </c>
      <c r="AE364" t="s">
        <v>3</v>
      </c>
      <c r="AF364" t="s">
        <v>3</v>
      </c>
      <c r="AG364" t="s">
        <v>3</v>
      </c>
      <c r="AH364" t="s">
        <v>3</v>
      </c>
      <c r="AI364" t="s">
        <v>3</v>
      </c>
      <c r="AJ364" t="s">
        <v>3</v>
      </c>
      <c r="AK364" t="s">
        <v>3</v>
      </c>
      <c r="AL364" t="s">
        <v>3</v>
      </c>
      <c r="AM364" t="s">
        <v>3</v>
      </c>
      <c r="AN364" t="s">
        <v>3</v>
      </c>
      <c r="AO364" t="s">
        <v>3</v>
      </c>
      <c r="AP364" t="s">
        <v>3</v>
      </c>
      <c r="AQ364" t="s">
        <v>3</v>
      </c>
      <c r="AR364" t="s">
        <v>3</v>
      </c>
      <c r="AS364" t="s">
        <v>3</v>
      </c>
      <c r="AT364" t="s">
        <v>3</v>
      </c>
      <c r="AU364" t="s">
        <v>3</v>
      </c>
      <c r="AV364" t="s">
        <v>3</v>
      </c>
      <c r="AW364" t="s">
        <v>3</v>
      </c>
      <c r="AX364">
        <v>0</v>
      </c>
      <c r="AY364">
        <v>1</v>
      </c>
      <c r="AZ364" t="s">
        <v>1</v>
      </c>
      <c r="BA364" t="s">
        <v>1</v>
      </c>
      <c r="BB364" t="s">
        <v>1</v>
      </c>
      <c r="BC364" s="21" t="s">
        <v>748</v>
      </c>
      <c r="BD364" s="21" t="s">
        <v>144</v>
      </c>
      <c r="BE364">
        <v>0</v>
      </c>
      <c r="BF364">
        <v>0</v>
      </c>
      <c r="BG364">
        <v>0</v>
      </c>
      <c r="BH364">
        <v>0</v>
      </c>
      <c r="BI364">
        <v>0</v>
      </c>
      <c r="BJ364" t="s">
        <v>749</v>
      </c>
      <c r="BK364">
        <v>0</v>
      </c>
      <c r="BL364" t="s">
        <v>132</v>
      </c>
      <c r="BM364">
        <v>0</v>
      </c>
      <c r="BN364">
        <v>1</v>
      </c>
      <c r="BO364">
        <v>0</v>
      </c>
      <c r="BP364">
        <v>0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 t="s">
        <v>0</v>
      </c>
      <c r="BX364">
        <v>0</v>
      </c>
      <c r="BY364">
        <v>0</v>
      </c>
      <c r="BZ364">
        <v>0</v>
      </c>
      <c r="CA364">
        <v>0</v>
      </c>
      <c r="CB364" t="s">
        <v>145</v>
      </c>
      <c r="CD364" t="str" cm="1">
        <f t="array" aca="1" ref="CD364" ca="1">eConcatenar(A364:CB364,"|")</f>
        <v>KQbLWND9JffHhIzB|MODIFVHS154|3|MODIF|MODIF|MODIF|MODIF|2022-01-01|1|0|0|0|0|0|0|0|0|0|0|0|0|0|0|0|0|0|0|x|x|x|x|x|x|x|x|x|x|x|x|x|x|x|x|x|x|x|x|x|x|0|1|X|X|X|2022-2-10|2022-02-23|0|0|0|0|0|QWYNRBIY9KVTQO|0|HOMBRE|0|1|0|0|0|0|0|0|0|0|CARDENAS|0|0|0|0|FINAL</v>
      </c>
    </row>
    <row r="365" spans="1:82" x14ac:dyDescent="0.25">
      <c r="A365" t="s">
        <v>905</v>
      </c>
      <c r="B365" t="s">
        <v>701</v>
      </c>
      <c r="C365">
        <v>3</v>
      </c>
      <c r="D365" t="s">
        <v>346</v>
      </c>
      <c r="E365" t="s">
        <v>346</v>
      </c>
      <c r="F365" t="s">
        <v>346</v>
      </c>
      <c r="G365" t="s">
        <v>346</v>
      </c>
      <c r="H365" s="21" t="s">
        <v>747</v>
      </c>
      <c r="I365">
        <v>1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 t="s">
        <v>3</v>
      </c>
      <c r="AC365" t="s">
        <v>3</v>
      </c>
      <c r="AD365" t="s">
        <v>3</v>
      </c>
      <c r="AE365" t="s">
        <v>3</v>
      </c>
      <c r="AF365" t="s">
        <v>3</v>
      </c>
      <c r="AG365" t="s">
        <v>3</v>
      </c>
      <c r="AH365" t="s">
        <v>3</v>
      </c>
      <c r="AI365" t="s">
        <v>3</v>
      </c>
      <c r="AJ365" t="s">
        <v>3</v>
      </c>
      <c r="AK365" t="s">
        <v>3</v>
      </c>
      <c r="AL365" t="s">
        <v>3</v>
      </c>
      <c r="AM365" t="s">
        <v>3</v>
      </c>
      <c r="AN365" t="s">
        <v>3</v>
      </c>
      <c r="AO365" t="s">
        <v>3</v>
      </c>
      <c r="AP365" t="s">
        <v>3</v>
      </c>
      <c r="AQ365" t="s">
        <v>3</v>
      </c>
      <c r="AR365" t="s">
        <v>3</v>
      </c>
      <c r="AS365" t="s">
        <v>3</v>
      </c>
      <c r="AT365" t="s">
        <v>3</v>
      </c>
      <c r="AU365" t="s">
        <v>3</v>
      </c>
      <c r="AV365" t="s">
        <v>3</v>
      </c>
      <c r="AW365" t="s">
        <v>3</v>
      </c>
      <c r="AX365">
        <v>0</v>
      </c>
      <c r="AY365">
        <v>1</v>
      </c>
      <c r="AZ365" t="s">
        <v>1</v>
      </c>
      <c r="BA365" t="s">
        <v>1</v>
      </c>
      <c r="BB365" t="s">
        <v>1</v>
      </c>
      <c r="BC365" s="21" t="s">
        <v>748</v>
      </c>
      <c r="BD365" s="21" t="s">
        <v>144</v>
      </c>
      <c r="BE365">
        <v>0</v>
      </c>
      <c r="BF365">
        <v>0</v>
      </c>
      <c r="BG365">
        <v>0</v>
      </c>
      <c r="BH365">
        <v>0</v>
      </c>
      <c r="BI365">
        <v>0</v>
      </c>
      <c r="BJ365" t="s">
        <v>749</v>
      </c>
      <c r="BK365">
        <v>0</v>
      </c>
      <c r="BL365" t="s">
        <v>132</v>
      </c>
      <c r="BM365">
        <v>0</v>
      </c>
      <c r="BN365">
        <v>1</v>
      </c>
      <c r="BO365">
        <v>0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  <c r="BW365" t="s">
        <v>0</v>
      </c>
      <c r="BX365">
        <v>0</v>
      </c>
      <c r="BY365">
        <v>0</v>
      </c>
      <c r="BZ365">
        <v>0</v>
      </c>
      <c r="CA365">
        <v>0</v>
      </c>
      <c r="CB365" t="s">
        <v>145</v>
      </c>
      <c r="CD365" t="str" cm="1">
        <f t="array" aca="1" ref="CD365" ca="1">eConcatenar(A365:CB365,"|")</f>
        <v>DM3SVKZXuAhmT9cF|MODIFVHS155|3|MODIF|MODIF|MODIF|MODIF|2022-01-01|1|0|0|0|0|0|0|0|0|0|0|0|0|0|0|0|0|0|0|x|x|x|x|x|x|x|x|x|x|x|x|x|x|x|x|x|x|x|x|x|x|0|1|X|X|X|2022-2-10|2022-02-23|0|0|0|0|0|QWYNRBIY9KVTQO|0|HOMBRE|0|1|0|0|0|0|0|0|0|0|CARDENAS|0|0|0|0|FINAL</v>
      </c>
    </row>
    <row r="366" spans="1:82" x14ac:dyDescent="0.25">
      <c r="A366" t="s">
        <v>906</v>
      </c>
      <c r="B366" t="s">
        <v>702</v>
      </c>
      <c r="C366">
        <v>3</v>
      </c>
      <c r="D366" t="s">
        <v>346</v>
      </c>
      <c r="E366" t="s">
        <v>346</v>
      </c>
      <c r="F366" t="s">
        <v>346</v>
      </c>
      <c r="G366" t="s">
        <v>346</v>
      </c>
      <c r="H366" s="21" t="s">
        <v>747</v>
      </c>
      <c r="I366">
        <v>1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 t="s">
        <v>3</v>
      </c>
      <c r="AC366" t="s">
        <v>3</v>
      </c>
      <c r="AD366" t="s">
        <v>3</v>
      </c>
      <c r="AE366" t="s">
        <v>3</v>
      </c>
      <c r="AF366" t="s">
        <v>3</v>
      </c>
      <c r="AG366" t="s">
        <v>3</v>
      </c>
      <c r="AH366" t="s">
        <v>3</v>
      </c>
      <c r="AI366" t="s">
        <v>3</v>
      </c>
      <c r="AJ366" t="s">
        <v>3</v>
      </c>
      <c r="AK366" t="s">
        <v>3</v>
      </c>
      <c r="AL366" t="s">
        <v>3</v>
      </c>
      <c r="AM366" t="s">
        <v>3</v>
      </c>
      <c r="AN366" t="s">
        <v>3</v>
      </c>
      <c r="AO366" t="s">
        <v>3</v>
      </c>
      <c r="AP366" t="s">
        <v>3</v>
      </c>
      <c r="AQ366" t="s">
        <v>3</v>
      </c>
      <c r="AR366" t="s">
        <v>3</v>
      </c>
      <c r="AS366" t="s">
        <v>3</v>
      </c>
      <c r="AT366" t="s">
        <v>3</v>
      </c>
      <c r="AU366" t="s">
        <v>3</v>
      </c>
      <c r="AV366" t="s">
        <v>3</v>
      </c>
      <c r="AW366" t="s">
        <v>3</v>
      </c>
      <c r="AX366">
        <v>0</v>
      </c>
      <c r="AY366">
        <v>1</v>
      </c>
      <c r="AZ366" t="s">
        <v>1</v>
      </c>
      <c r="BA366" t="s">
        <v>1</v>
      </c>
      <c r="BB366" t="s">
        <v>1</v>
      </c>
      <c r="BC366" s="21" t="s">
        <v>748</v>
      </c>
      <c r="BD366" s="21" t="s">
        <v>144</v>
      </c>
      <c r="BE366">
        <v>0</v>
      </c>
      <c r="BF366">
        <v>0</v>
      </c>
      <c r="BG366">
        <v>0</v>
      </c>
      <c r="BH366">
        <v>0</v>
      </c>
      <c r="BI366">
        <v>0</v>
      </c>
      <c r="BJ366" t="s">
        <v>749</v>
      </c>
      <c r="BK366">
        <v>0</v>
      </c>
      <c r="BL366" t="s">
        <v>132</v>
      </c>
      <c r="BM366">
        <v>0</v>
      </c>
      <c r="BN366">
        <v>1</v>
      </c>
      <c r="BO366">
        <v>0</v>
      </c>
      <c r="BP366">
        <v>0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 t="s">
        <v>0</v>
      </c>
      <c r="BX366">
        <v>0</v>
      </c>
      <c r="BY366">
        <v>0</v>
      </c>
      <c r="BZ366">
        <v>0</v>
      </c>
      <c r="CA366">
        <v>0</v>
      </c>
      <c r="CB366" t="s">
        <v>145</v>
      </c>
      <c r="CD366" t="str" cm="1">
        <f t="array" aca="1" ref="CD366" ca="1">eConcatenar(A366:CB366,"|")</f>
        <v>GazB8ngmmh4Ruskv|MODIFVHS156|3|MODIF|MODIF|MODIF|MODIF|2022-01-01|1|0|0|0|0|0|0|0|0|0|0|0|0|0|0|0|0|0|0|x|x|x|x|x|x|x|x|x|x|x|x|x|x|x|x|x|x|x|x|x|x|0|1|X|X|X|2022-2-10|2022-02-23|0|0|0|0|0|QWYNRBIY9KVTQO|0|HOMBRE|0|1|0|0|0|0|0|0|0|0|CARDENAS|0|0|0|0|FINAL</v>
      </c>
    </row>
    <row r="367" spans="1:82" x14ac:dyDescent="0.25">
      <c r="A367" t="s">
        <v>907</v>
      </c>
      <c r="B367" t="s">
        <v>703</v>
      </c>
      <c r="C367">
        <v>3</v>
      </c>
      <c r="D367" t="s">
        <v>346</v>
      </c>
      <c r="E367" t="s">
        <v>346</v>
      </c>
      <c r="F367" t="s">
        <v>346</v>
      </c>
      <c r="G367" t="s">
        <v>346</v>
      </c>
      <c r="H367" s="21" t="s">
        <v>747</v>
      </c>
      <c r="I367">
        <v>1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 t="s">
        <v>3</v>
      </c>
      <c r="AC367" t="s">
        <v>3</v>
      </c>
      <c r="AD367" t="s">
        <v>3</v>
      </c>
      <c r="AE367" t="s">
        <v>3</v>
      </c>
      <c r="AF367" t="s">
        <v>3</v>
      </c>
      <c r="AG367" t="s">
        <v>3</v>
      </c>
      <c r="AH367" t="s">
        <v>3</v>
      </c>
      <c r="AI367" t="s">
        <v>3</v>
      </c>
      <c r="AJ367" t="s">
        <v>3</v>
      </c>
      <c r="AK367" t="s">
        <v>3</v>
      </c>
      <c r="AL367" t="s">
        <v>3</v>
      </c>
      <c r="AM367" t="s">
        <v>3</v>
      </c>
      <c r="AN367" t="s">
        <v>3</v>
      </c>
      <c r="AO367" t="s">
        <v>3</v>
      </c>
      <c r="AP367" t="s">
        <v>3</v>
      </c>
      <c r="AQ367" t="s">
        <v>3</v>
      </c>
      <c r="AR367" t="s">
        <v>3</v>
      </c>
      <c r="AS367" t="s">
        <v>3</v>
      </c>
      <c r="AT367" t="s">
        <v>3</v>
      </c>
      <c r="AU367" t="s">
        <v>3</v>
      </c>
      <c r="AV367" t="s">
        <v>3</v>
      </c>
      <c r="AW367" t="s">
        <v>3</v>
      </c>
      <c r="AX367">
        <v>0</v>
      </c>
      <c r="AY367">
        <v>1</v>
      </c>
      <c r="AZ367" t="s">
        <v>1</v>
      </c>
      <c r="BA367" t="s">
        <v>1</v>
      </c>
      <c r="BB367" t="s">
        <v>1</v>
      </c>
      <c r="BC367" s="21" t="s">
        <v>748</v>
      </c>
      <c r="BD367" s="21" t="s">
        <v>144</v>
      </c>
      <c r="BE367">
        <v>0</v>
      </c>
      <c r="BF367">
        <v>0</v>
      </c>
      <c r="BG367">
        <v>0</v>
      </c>
      <c r="BH367">
        <v>0</v>
      </c>
      <c r="BI367">
        <v>0</v>
      </c>
      <c r="BJ367" t="s">
        <v>749</v>
      </c>
      <c r="BK367">
        <v>0</v>
      </c>
      <c r="BL367" t="s">
        <v>132</v>
      </c>
      <c r="BM367">
        <v>0</v>
      </c>
      <c r="BN367">
        <v>1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0</v>
      </c>
      <c r="BU367">
        <v>0</v>
      </c>
      <c r="BV367">
        <v>0</v>
      </c>
      <c r="BW367" t="s">
        <v>0</v>
      </c>
      <c r="BX367">
        <v>0</v>
      </c>
      <c r="BY367">
        <v>0</v>
      </c>
      <c r="BZ367">
        <v>0</v>
      </c>
      <c r="CA367">
        <v>0</v>
      </c>
      <c r="CB367" t="s">
        <v>145</v>
      </c>
      <c r="CD367" t="str" cm="1">
        <f t="array" aca="1" ref="CD367" ca="1">eConcatenar(A367:CB367,"|")</f>
        <v>UabxToHFgVzoW8vP|MODIFVHS157|3|MODIF|MODIF|MODIF|MODIF|2022-01-01|1|0|0|0|0|0|0|0|0|0|0|0|0|0|0|0|0|0|0|x|x|x|x|x|x|x|x|x|x|x|x|x|x|x|x|x|x|x|x|x|x|0|1|X|X|X|2022-2-10|2022-02-23|0|0|0|0|0|QWYNRBIY9KVTQO|0|HOMBRE|0|1|0|0|0|0|0|0|0|0|CARDENAS|0|0|0|0|FINAL</v>
      </c>
    </row>
    <row r="368" spans="1:82" x14ac:dyDescent="0.25">
      <c r="A368" t="s">
        <v>908</v>
      </c>
      <c r="B368" t="s">
        <v>704</v>
      </c>
      <c r="C368">
        <v>3</v>
      </c>
      <c r="D368" t="s">
        <v>346</v>
      </c>
      <c r="E368" t="s">
        <v>346</v>
      </c>
      <c r="F368" t="s">
        <v>346</v>
      </c>
      <c r="G368" t="s">
        <v>346</v>
      </c>
      <c r="H368" s="21" t="s">
        <v>747</v>
      </c>
      <c r="I368">
        <v>1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 t="s">
        <v>3</v>
      </c>
      <c r="AC368" t="s">
        <v>3</v>
      </c>
      <c r="AD368" t="s">
        <v>3</v>
      </c>
      <c r="AE368" t="s">
        <v>3</v>
      </c>
      <c r="AF368" t="s">
        <v>3</v>
      </c>
      <c r="AG368" t="s">
        <v>3</v>
      </c>
      <c r="AH368" t="s">
        <v>3</v>
      </c>
      <c r="AI368" t="s">
        <v>3</v>
      </c>
      <c r="AJ368" t="s">
        <v>3</v>
      </c>
      <c r="AK368" t="s">
        <v>3</v>
      </c>
      <c r="AL368" t="s">
        <v>3</v>
      </c>
      <c r="AM368" t="s">
        <v>3</v>
      </c>
      <c r="AN368" t="s">
        <v>3</v>
      </c>
      <c r="AO368" t="s">
        <v>3</v>
      </c>
      <c r="AP368" t="s">
        <v>3</v>
      </c>
      <c r="AQ368" t="s">
        <v>3</v>
      </c>
      <c r="AR368" t="s">
        <v>3</v>
      </c>
      <c r="AS368" t="s">
        <v>3</v>
      </c>
      <c r="AT368" t="s">
        <v>3</v>
      </c>
      <c r="AU368" t="s">
        <v>3</v>
      </c>
      <c r="AV368" t="s">
        <v>3</v>
      </c>
      <c r="AW368" t="s">
        <v>3</v>
      </c>
      <c r="AX368">
        <v>0</v>
      </c>
      <c r="AY368">
        <v>1</v>
      </c>
      <c r="AZ368" t="s">
        <v>1</v>
      </c>
      <c r="BA368" t="s">
        <v>1</v>
      </c>
      <c r="BB368" t="s">
        <v>1</v>
      </c>
      <c r="BC368" s="21" t="s">
        <v>748</v>
      </c>
      <c r="BD368" s="21" t="s">
        <v>144</v>
      </c>
      <c r="BE368">
        <v>0</v>
      </c>
      <c r="BF368">
        <v>0</v>
      </c>
      <c r="BG368">
        <v>0</v>
      </c>
      <c r="BH368">
        <v>0</v>
      </c>
      <c r="BI368">
        <v>0</v>
      </c>
      <c r="BJ368" t="s">
        <v>749</v>
      </c>
      <c r="BK368">
        <v>0</v>
      </c>
      <c r="BL368" t="s">
        <v>132</v>
      </c>
      <c r="BM368">
        <v>0</v>
      </c>
      <c r="BN368">
        <v>1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 t="s">
        <v>0</v>
      </c>
      <c r="BX368">
        <v>0</v>
      </c>
      <c r="BY368">
        <v>0</v>
      </c>
      <c r="BZ368">
        <v>0</v>
      </c>
      <c r="CA368">
        <v>0</v>
      </c>
      <c r="CB368" t="s">
        <v>145</v>
      </c>
      <c r="CD368" t="str" cm="1">
        <f t="array" aca="1" ref="CD368" ca="1">eConcatenar(A368:CB368,"|")</f>
        <v>6ZNoi3F91L4mUA2w|MODIFVHS158|3|MODIF|MODIF|MODIF|MODIF|2022-01-01|1|0|0|0|0|0|0|0|0|0|0|0|0|0|0|0|0|0|0|x|x|x|x|x|x|x|x|x|x|x|x|x|x|x|x|x|x|x|x|x|x|0|1|X|X|X|2022-2-10|2022-02-23|0|0|0|0|0|QWYNRBIY9KVTQO|0|HOMBRE|0|1|0|0|0|0|0|0|0|0|CARDENAS|0|0|0|0|FINAL</v>
      </c>
    </row>
    <row r="369" spans="1:82" x14ac:dyDescent="0.25">
      <c r="A369" t="s">
        <v>909</v>
      </c>
      <c r="B369" t="s">
        <v>705</v>
      </c>
      <c r="C369">
        <v>3</v>
      </c>
      <c r="D369" t="s">
        <v>346</v>
      </c>
      <c r="E369" t="s">
        <v>346</v>
      </c>
      <c r="F369" t="s">
        <v>346</v>
      </c>
      <c r="G369" t="s">
        <v>346</v>
      </c>
      <c r="H369" s="21" t="s">
        <v>747</v>
      </c>
      <c r="I369">
        <v>1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 t="s">
        <v>3</v>
      </c>
      <c r="AC369" t="s">
        <v>3</v>
      </c>
      <c r="AD369" t="s">
        <v>3</v>
      </c>
      <c r="AE369" t="s">
        <v>3</v>
      </c>
      <c r="AF369" t="s">
        <v>3</v>
      </c>
      <c r="AG369" t="s">
        <v>3</v>
      </c>
      <c r="AH369" t="s">
        <v>3</v>
      </c>
      <c r="AI369" t="s">
        <v>3</v>
      </c>
      <c r="AJ369" t="s">
        <v>3</v>
      </c>
      <c r="AK369" t="s">
        <v>3</v>
      </c>
      <c r="AL369" t="s">
        <v>3</v>
      </c>
      <c r="AM369" t="s">
        <v>3</v>
      </c>
      <c r="AN369" t="s">
        <v>3</v>
      </c>
      <c r="AO369" t="s">
        <v>3</v>
      </c>
      <c r="AP369" t="s">
        <v>3</v>
      </c>
      <c r="AQ369" t="s">
        <v>3</v>
      </c>
      <c r="AR369" t="s">
        <v>3</v>
      </c>
      <c r="AS369" t="s">
        <v>3</v>
      </c>
      <c r="AT369" t="s">
        <v>3</v>
      </c>
      <c r="AU369" t="s">
        <v>3</v>
      </c>
      <c r="AV369" t="s">
        <v>3</v>
      </c>
      <c r="AW369" t="s">
        <v>3</v>
      </c>
      <c r="AX369">
        <v>0</v>
      </c>
      <c r="AY369">
        <v>1</v>
      </c>
      <c r="AZ369" t="s">
        <v>1</v>
      </c>
      <c r="BA369" t="s">
        <v>1</v>
      </c>
      <c r="BB369" t="s">
        <v>1</v>
      </c>
      <c r="BC369" s="21" t="s">
        <v>748</v>
      </c>
      <c r="BD369" s="21" t="s">
        <v>144</v>
      </c>
      <c r="BE369">
        <v>0</v>
      </c>
      <c r="BF369">
        <v>0</v>
      </c>
      <c r="BG369">
        <v>0</v>
      </c>
      <c r="BH369">
        <v>0</v>
      </c>
      <c r="BI369">
        <v>0</v>
      </c>
      <c r="BJ369" t="s">
        <v>749</v>
      </c>
      <c r="BK369">
        <v>0</v>
      </c>
      <c r="BL369" t="s">
        <v>132</v>
      </c>
      <c r="BM369">
        <v>0</v>
      </c>
      <c r="BN369">
        <v>1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 t="s">
        <v>0</v>
      </c>
      <c r="BX369">
        <v>0</v>
      </c>
      <c r="BY369">
        <v>0</v>
      </c>
      <c r="BZ369">
        <v>0</v>
      </c>
      <c r="CA369">
        <v>0</v>
      </c>
      <c r="CB369" t="s">
        <v>145</v>
      </c>
      <c r="CD369" t="str" cm="1">
        <f t="array" aca="1" ref="CD369" ca="1">eConcatenar(A369:CB369,"|")</f>
        <v>hv8D6X0vDP6Kk0ln|MODIFVHS159|3|MODIF|MODIF|MODIF|MODIF|2022-01-01|1|0|0|0|0|0|0|0|0|0|0|0|0|0|0|0|0|0|0|x|x|x|x|x|x|x|x|x|x|x|x|x|x|x|x|x|x|x|x|x|x|0|1|X|X|X|2022-2-10|2022-02-23|0|0|0|0|0|QWYNRBIY9KVTQO|0|HOMBRE|0|1|0|0|0|0|0|0|0|0|CARDENAS|0|0|0|0|FINAL</v>
      </c>
    </row>
    <row r="370" spans="1:82" x14ac:dyDescent="0.25">
      <c r="A370" t="s">
        <v>910</v>
      </c>
      <c r="B370" t="s">
        <v>706</v>
      </c>
      <c r="C370">
        <v>3</v>
      </c>
      <c r="D370" t="s">
        <v>346</v>
      </c>
      <c r="E370" t="s">
        <v>346</v>
      </c>
      <c r="F370" t="s">
        <v>346</v>
      </c>
      <c r="G370" t="s">
        <v>346</v>
      </c>
      <c r="H370" s="21" t="s">
        <v>747</v>
      </c>
      <c r="I370">
        <v>1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 t="s">
        <v>3</v>
      </c>
      <c r="AC370" t="s">
        <v>3</v>
      </c>
      <c r="AD370" t="s">
        <v>3</v>
      </c>
      <c r="AE370" t="s">
        <v>3</v>
      </c>
      <c r="AF370" t="s">
        <v>3</v>
      </c>
      <c r="AG370" t="s">
        <v>3</v>
      </c>
      <c r="AH370" t="s">
        <v>3</v>
      </c>
      <c r="AI370" t="s">
        <v>3</v>
      </c>
      <c r="AJ370" t="s">
        <v>3</v>
      </c>
      <c r="AK370" t="s">
        <v>3</v>
      </c>
      <c r="AL370" t="s">
        <v>3</v>
      </c>
      <c r="AM370" t="s">
        <v>3</v>
      </c>
      <c r="AN370" t="s">
        <v>3</v>
      </c>
      <c r="AO370" t="s">
        <v>3</v>
      </c>
      <c r="AP370" t="s">
        <v>3</v>
      </c>
      <c r="AQ370" t="s">
        <v>3</v>
      </c>
      <c r="AR370" t="s">
        <v>3</v>
      </c>
      <c r="AS370" t="s">
        <v>3</v>
      </c>
      <c r="AT370" t="s">
        <v>3</v>
      </c>
      <c r="AU370" t="s">
        <v>3</v>
      </c>
      <c r="AV370" t="s">
        <v>3</v>
      </c>
      <c r="AW370" t="s">
        <v>3</v>
      </c>
      <c r="AX370">
        <v>0</v>
      </c>
      <c r="AY370">
        <v>1</v>
      </c>
      <c r="AZ370" t="s">
        <v>1</v>
      </c>
      <c r="BA370" t="s">
        <v>1</v>
      </c>
      <c r="BB370" t="s">
        <v>1</v>
      </c>
      <c r="BC370" s="21" t="s">
        <v>748</v>
      </c>
      <c r="BD370" s="21" t="s">
        <v>144</v>
      </c>
      <c r="BE370">
        <v>0</v>
      </c>
      <c r="BF370">
        <v>0</v>
      </c>
      <c r="BG370">
        <v>0</v>
      </c>
      <c r="BH370">
        <v>0</v>
      </c>
      <c r="BI370">
        <v>0</v>
      </c>
      <c r="BJ370" t="s">
        <v>749</v>
      </c>
      <c r="BK370">
        <v>0</v>
      </c>
      <c r="BL370" t="s">
        <v>132</v>
      </c>
      <c r="BM370">
        <v>0</v>
      </c>
      <c r="BN370">
        <v>1</v>
      </c>
      <c r="BO370">
        <v>0</v>
      </c>
      <c r="BP370">
        <v>0</v>
      </c>
      <c r="BQ370">
        <v>0</v>
      </c>
      <c r="BR370">
        <v>0</v>
      </c>
      <c r="BS370">
        <v>0</v>
      </c>
      <c r="BT370">
        <v>0</v>
      </c>
      <c r="BU370">
        <v>0</v>
      </c>
      <c r="BV370">
        <v>0</v>
      </c>
      <c r="BW370" t="s">
        <v>0</v>
      </c>
      <c r="BX370">
        <v>0</v>
      </c>
      <c r="BY370">
        <v>0</v>
      </c>
      <c r="BZ370">
        <v>0</v>
      </c>
      <c r="CA370">
        <v>0</v>
      </c>
      <c r="CB370" t="s">
        <v>145</v>
      </c>
      <c r="CD370" t="str" cm="1">
        <f t="array" aca="1" ref="CD370" ca="1">eConcatenar(A370:CB370,"|")</f>
        <v>ox86iqgaJY0xDIg4|MODIFVHS160|3|MODIF|MODIF|MODIF|MODIF|2022-01-01|1|0|0|0|0|0|0|0|0|0|0|0|0|0|0|0|0|0|0|x|x|x|x|x|x|x|x|x|x|x|x|x|x|x|x|x|x|x|x|x|x|0|1|X|X|X|2022-2-10|2022-02-23|0|0|0|0|0|QWYNRBIY9KVTQO|0|HOMBRE|0|1|0|0|0|0|0|0|0|0|CARDENAS|0|0|0|0|FINAL</v>
      </c>
    </row>
    <row r="371" spans="1:82" x14ac:dyDescent="0.25">
      <c r="A371" t="s">
        <v>911</v>
      </c>
      <c r="B371" t="s">
        <v>707</v>
      </c>
      <c r="C371">
        <v>3</v>
      </c>
      <c r="D371" t="s">
        <v>346</v>
      </c>
      <c r="E371" t="s">
        <v>346</v>
      </c>
      <c r="F371" t="s">
        <v>346</v>
      </c>
      <c r="G371" t="s">
        <v>346</v>
      </c>
      <c r="H371" s="21" t="s">
        <v>747</v>
      </c>
      <c r="I371">
        <v>1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t="s">
        <v>3</v>
      </c>
      <c r="AC371" t="s">
        <v>3</v>
      </c>
      <c r="AD371" t="s">
        <v>3</v>
      </c>
      <c r="AE371" t="s">
        <v>3</v>
      </c>
      <c r="AF371" t="s">
        <v>3</v>
      </c>
      <c r="AG371" t="s">
        <v>3</v>
      </c>
      <c r="AH371" t="s">
        <v>3</v>
      </c>
      <c r="AI371" t="s">
        <v>3</v>
      </c>
      <c r="AJ371" t="s">
        <v>3</v>
      </c>
      <c r="AK371" t="s">
        <v>3</v>
      </c>
      <c r="AL371" t="s">
        <v>3</v>
      </c>
      <c r="AM371" t="s">
        <v>3</v>
      </c>
      <c r="AN371" t="s">
        <v>3</v>
      </c>
      <c r="AO371" t="s">
        <v>3</v>
      </c>
      <c r="AP371" t="s">
        <v>3</v>
      </c>
      <c r="AQ371" t="s">
        <v>3</v>
      </c>
      <c r="AR371" t="s">
        <v>3</v>
      </c>
      <c r="AS371" t="s">
        <v>3</v>
      </c>
      <c r="AT371" t="s">
        <v>3</v>
      </c>
      <c r="AU371" t="s">
        <v>3</v>
      </c>
      <c r="AV371" t="s">
        <v>3</v>
      </c>
      <c r="AW371" t="s">
        <v>3</v>
      </c>
      <c r="AX371">
        <v>0</v>
      </c>
      <c r="AY371">
        <v>1</v>
      </c>
      <c r="AZ371" t="s">
        <v>1</v>
      </c>
      <c r="BA371" t="s">
        <v>1</v>
      </c>
      <c r="BB371" t="s">
        <v>1</v>
      </c>
      <c r="BC371" s="21" t="s">
        <v>748</v>
      </c>
      <c r="BD371" s="21" t="s">
        <v>144</v>
      </c>
      <c r="BE371">
        <v>0</v>
      </c>
      <c r="BF371">
        <v>0</v>
      </c>
      <c r="BG371">
        <v>0</v>
      </c>
      <c r="BH371">
        <v>0</v>
      </c>
      <c r="BI371">
        <v>0</v>
      </c>
      <c r="BJ371" t="s">
        <v>749</v>
      </c>
      <c r="BK371">
        <v>0</v>
      </c>
      <c r="BL371" t="s">
        <v>132</v>
      </c>
      <c r="BM371">
        <v>0</v>
      </c>
      <c r="BN371">
        <v>1</v>
      </c>
      <c r="BO371">
        <v>0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</v>
      </c>
      <c r="BV371">
        <v>0</v>
      </c>
      <c r="BW371" t="s">
        <v>0</v>
      </c>
      <c r="BX371">
        <v>0</v>
      </c>
      <c r="BY371">
        <v>0</v>
      </c>
      <c r="BZ371">
        <v>0</v>
      </c>
      <c r="CA371">
        <v>0</v>
      </c>
      <c r="CB371" t="s">
        <v>145</v>
      </c>
      <c r="CD371" t="str" cm="1">
        <f t="array" aca="1" ref="CD371" ca="1">eConcatenar(A371:CB371,"|")</f>
        <v>74DNud6tOutqz5DC|MODIFVHS161|3|MODIF|MODIF|MODIF|MODIF|2022-01-01|1|0|0|0|0|0|0|0|0|0|0|0|0|0|0|0|0|0|0|x|x|x|x|x|x|x|x|x|x|x|x|x|x|x|x|x|x|x|x|x|x|0|1|X|X|X|2022-2-10|2022-02-23|0|0|0|0|0|QWYNRBIY9KVTQO|0|HOMBRE|0|1|0|0|0|0|0|0|0|0|CARDENAS|0|0|0|0|FINAL</v>
      </c>
    </row>
    <row r="372" spans="1:82" x14ac:dyDescent="0.25">
      <c r="A372" t="s">
        <v>912</v>
      </c>
      <c r="B372" t="s">
        <v>708</v>
      </c>
      <c r="C372">
        <v>3</v>
      </c>
      <c r="D372" t="s">
        <v>346</v>
      </c>
      <c r="E372" t="s">
        <v>346</v>
      </c>
      <c r="F372" t="s">
        <v>346</v>
      </c>
      <c r="G372" t="s">
        <v>346</v>
      </c>
      <c r="H372" s="21" t="s">
        <v>747</v>
      </c>
      <c r="I372">
        <v>1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 t="s">
        <v>3</v>
      </c>
      <c r="AC372" t="s">
        <v>3</v>
      </c>
      <c r="AD372" t="s">
        <v>3</v>
      </c>
      <c r="AE372" t="s">
        <v>3</v>
      </c>
      <c r="AF372" t="s">
        <v>3</v>
      </c>
      <c r="AG372" t="s">
        <v>3</v>
      </c>
      <c r="AH372" t="s">
        <v>3</v>
      </c>
      <c r="AI372" t="s">
        <v>3</v>
      </c>
      <c r="AJ372" t="s">
        <v>3</v>
      </c>
      <c r="AK372" t="s">
        <v>3</v>
      </c>
      <c r="AL372" t="s">
        <v>3</v>
      </c>
      <c r="AM372" t="s">
        <v>3</v>
      </c>
      <c r="AN372" t="s">
        <v>3</v>
      </c>
      <c r="AO372" t="s">
        <v>3</v>
      </c>
      <c r="AP372" t="s">
        <v>3</v>
      </c>
      <c r="AQ372" t="s">
        <v>3</v>
      </c>
      <c r="AR372" t="s">
        <v>3</v>
      </c>
      <c r="AS372" t="s">
        <v>3</v>
      </c>
      <c r="AT372" t="s">
        <v>3</v>
      </c>
      <c r="AU372" t="s">
        <v>3</v>
      </c>
      <c r="AV372" t="s">
        <v>3</v>
      </c>
      <c r="AW372" t="s">
        <v>3</v>
      </c>
      <c r="AX372">
        <v>0</v>
      </c>
      <c r="AY372">
        <v>1</v>
      </c>
      <c r="AZ372" t="s">
        <v>1</v>
      </c>
      <c r="BA372" t="s">
        <v>1</v>
      </c>
      <c r="BB372" t="s">
        <v>1</v>
      </c>
      <c r="BC372" s="21" t="s">
        <v>748</v>
      </c>
      <c r="BD372" s="21" t="s">
        <v>144</v>
      </c>
      <c r="BE372">
        <v>0</v>
      </c>
      <c r="BF372">
        <v>0</v>
      </c>
      <c r="BG372">
        <v>0</v>
      </c>
      <c r="BH372">
        <v>0</v>
      </c>
      <c r="BI372">
        <v>0</v>
      </c>
      <c r="BJ372" t="s">
        <v>749</v>
      </c>
      <c r="BK372">
        <v>0</v>
      </c>
      <c r="BL372" t="s">
        <v>132</v>
      </c>
      <c r="BM372">
        <v>0</v>
      </c>
      <c r="BN372">
        <v>1</v>
      </c>
      <c r="BO372">
        <v>0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</v>
      </c>
      <c r="BV372">
        <v>0</v>
      </c>
      <c r="BW372" t="s">
        <v>0</v>
      </c>
      <c r="BX372">
        <v>0</v>
      </c>
      <c r="BY372">
        <v>0</v>
      </c>
      <c r="BZ372">
        <v>0</v>
      </c>
      <c r="CA372">
        <v>0</v>
      </c>
      <c r="CB372" t="s">
        <v>145</v>
      </c>
      <c r="CD372" t="str" cm="1">
        <f t="array" aca="1" ref="CD372" ca="1">eConcatenar(A372:CB372,"|")</f>
        <v>Ujx5glFV2LAaZhE2|MODIFVHS162|3|MODIF|MODIF|MODIF|MODIF|2022-01-01|1|0|0|0|0|0|0|0|0|0|0|0|0|0|0|0|0|0|0|x|x|x|x|x|x|x|x|x|x|x|x|x|x|x|x|x|x|x|x|x|x|0|1|X|X|X|2022-2-10|2022-02-23|0|0|0|0|0|QWYNRBIY9KVTQO|0|HOMBRE|0|1|0|0|0|0|0|0|0|0|CARDENAS|0|0|0|0|FINAL</v>
      </c>
    </row>
    <row r="373" spans="1:82" x14ac:dyDescent="0.25">
      <c r="A373" t="s">
        <v>913</v>
      </c>
      <c r="B373" t="s">
        <v>709</v>
      </c>
      <c r="C373">
        <v>3</v>
      </c>
      <c r="D373" t="s">
        <v>346</v>
      </c>
      <c r="E373" t="s">
        <v>346</v>
      </c>
      <c r="F373" t="s">
        <v>346</v>
      </c>
      <c r="G373" t="s">
        <v>346</v>
      </c>
      <c r="H373" s="21" t="s">
        <v>747</v>
      </c>
      <c r="I373">
        <v>1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 t="s">
        <v>3</v>
      </c>
      <c r="AC373" t="s">
        <v>3</v>
      </c>
      <c r="AD373" t="s">
        <v>3</v>
      </c>
      <c r="AE373" t="s">
        <v>3</v>
      </c>
      <c r="AF373" t="s">
        <v>3</v>
      </c>
      <c r="AG373" t="s">
        <v>3</v>
      </c>
      <c r="AH373" t="s">
        <v>3</v>
      </c>
      <c r="AI373" t="s">
        <v>3</v>
      </c>
      <c r="AJ373" t="s">
        <v>3</v>
      </c>
      <c r="AK373" t="s">
        <v>3</v>
      </c>
      <c r="AL373" t="s">
        <v>3</v>
      </c>
      <c r="AM373" t="s">
        <v>3</v>
      </c>
      <c r="AN373" t="s">
        <v>3</v>
      </c>
      <c r="AO373" t="s">
        <v>3</v>
      </c>
      <c r="AP373" t="s">
        <v>3</v>
      </c>
      <c r="AQ373" t="s">
        <v>3</v>
      </c>
      <c r="AR373" t="s">
        <v>3</v>
      </c>
      <c r="AS373" t="s">
        <v>3</v>
      </c>
      <c r="AT373" t="s">
        <v>3</v>
      </c>
      <c r="AU373" t="s">
        <v>3</v>
      </c>
      <c r="AV373" t="s">
        <v>3</v>
      </c>
      <c r="AW373" t="s">
        <v>3</v>
      </c>
      <c r="AX373">
        <v>0</v>
      </c>
      <c r="AY373">
        <v>1</v>
      </c>
      <c r="AZ373" t="s">
        <v>1</v>
      </c>
      <c r="BA373" t="s">
        <v>1</v>
      </c>
      <c r="BB373" t="s">
        <v>1</v>
      </c>
      <c r="BC373" s="21" t="s">
        <v>748</v>
      </c>
      <c r="BD373" s="21" t="s">
        <v>144</v>
      </c>
      <c r="BE373">
        <v>0</v>
      </c>
      <c r="BF373">
        <v>0</v>
      </c>
      <c r="BG373">
        <v>0</v>
      </c>
      <c r="BH373">
        <v>0</v>
      </c>
      <c r="BI373">
        <v>0</v>
      </c>
      <c r="BJ373" t="s">
        <v>749</v>
      </c>
      <c r="BK373">
        <v>0</v>
      </c>
      <c r="BL373" t="s">
        <v>132</v>
      </c>
      <c r="BM373">
        <v>0</v>
      </c>
      <c r="BN373">
        <v>1</v>
      </c>
      <c r="BO373">
        <v>0</v>
      </c>
      <c r="BP373">
        <v>0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 t="s">
        <v>0</v>
      </c>
      <c r="BX373">
        <v>0</v>
      </c>
      <c r="BY373">
        <v>0</v>
      </c>
      <c r="BZ373">
        <v>0</v>
      </c>
      <c r="CA373">
        <v>0</v>
      </c>
      <c r="CB373" t="s">
        <v>145</v>
      </c>
      <c r="CD373" t="str" cm="1">
        <f t="array" aca="1" ref="CD373" ca="1">eConcatenar(A373:CB373,"|")</f>
        <v>pyY8UE9DxLiLDP8B|MODIFVHS163|3|MODIF|MODIF|MODIF|MODIF|2022-01-01|1|0|0|0|0|0|0|0|0|0|0|0|0|0|0|0|0|0|0|x|x|x|x|x|x|x|x|x|x|x|x|x|x|x|x|x|x|x|x|x|x|0|1|X|X|X|2022-2-10|2022-02-23|0|0|0|0|0|QWYNRBIY9KVTQO|0|HOMBRE|0|1|0|0|0|0|0|0|0|0|CARDENAS|0|0|0|0|FINAL</v>
      </c>
    </row>
    <row r="374" spans="1:82" x14ac:dyDescent="0.25">
      <c r="A374" t="s">
        <v>914</v>
      </c>
      <c r="B374" t="s">
        <v>710</v>
      </c>
      <c r="C374">
        <v>3</v>
      </c>
      <c r="D374" t="s">
        <v>346</v>
      </c>
      <c r="E374" t="s">
        <v>346</v>
      </c>
      <c r="F374" t="s">
        <v>346</v>
      </c>
      <c r="G374" t="s">
        <v>346</v>
      </c>
      <c r="H374" s="21" t="s">
        <v>747</v>
      </c>
      <c r="I374">
        <v>1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 t="s">
        <v>3</v>
      </c>
      <c r="AC374" t="s">
        <v>3</v>
      </c>
      <c r="AD374" t="s">
        <v>3</v>
      </c>
      <c r="AE374" t="s">
        <v>3</v>
      </c>
      <c r="AF374" t="s">
        <v>3</v>
      </c>
      <c r="AG374" t="s">
        <v>3</v>
      </c>
      <c r="AH374" t="s">
        <v>3</v>
      </c>
      <c r="AI374" t="s">
        <v>3</v>
      </c>
      <c r="AJ374" t="s">
        <v>3</v>
      </c>
      <c r="AK374" t="s">
        <v>3</v>
      </c>
      <c r="AL374" t="s">
        <v>3</v>
      </c>
      <c r="AM374" t="s">
        <v>3</v>
      </c>
      <c r="AN374" t="s">
        <v>3</v>
      </c>
      <c r="AO374" t="s">
        <v>3</v>
      </c>
      <c r="AP374" t="s">
        <v>3</v>
      </c>
      <c r="AQ374" t="s">
        <v>3</v>
      </c>
      <c r="AR374" t="s">
        <v>3</v>
      </c>
      <c r="AS374" t="s">
        <v>3</v>
      </c>
      <c r="AT374" t="s">
        <v>3</v>
      </c>
      <c r="AU374" t="s">
        <v>3</v>
      </c>
      <c r="AV374" t="s">
        <v>3</v>
      </c>
      <c r="AW374" t="s">
        <v>3</v>
      </c>
      <c r="AX374">
        <v>0</v>
      </c>
      <c r="AY374">
        <v>1</v>
      </c>
      <c r="AZ374" t="s">
        <v>1</v>
      </c>
      <c r="BA374" t="s">
        <v>1</v>
      </c>
      <c r="BB374" t="s">
        <v>1</v>
      </c>
      <c r="BC374" s="21" t="s">
        <v>748</v>
      </c>
      <c r="BD374" s="21" t="s">
        <v>144</v>
      </c>
      <c r="BE374">
        <v>0</v>
      </c>
      <c r="BF374">
        <v>0</v>
      </c>
      <c r="BG374">
        <v>0</v>
      </c>
      <c r="BH374">
        <v>0</v>
      </c>
      <c r="BI374">
        <v>0</v>
      </c>
      <c r="BJ374" t="s">
        <v>749</v>
      </c>
      <c r="BK374">
        <v>0</v>
      </c>
      <c r="BL374" t="s">
        <v>132</v>
      </c>
      <c r="BM374">
        <v>0</v>
      </c>
      <c r="BN374">
        <v>1</v>
      </c>
      <c r="BO374">
        <v>0</v>
      </c>
      <c r="BP374">
        <v>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 t="s">
        <v>0</v>
      </c>
      <c r="BX374">
        <v>0</v>
      </c>
      <c r="BY374">
        <v>0</v>
      </c>
      <c r="BZ374">
        <v>0</v>
      </c>
      <c r="CA374">
        <v>0</v>
      </c>
      <c r="CB374" t="s">
        <v>145</v>
      </c>
      <c r="CD374" t="str" cm="1">
        <f t="array" aca="1" ref="CD374" ca="1">eConcatenar(A374:CB374,"|")</f>
        <v>SulNfr3w3t1Ctrpe|MODIFVHS164|3|MODIF|MODIF|MODIF|MODIF|2022-01-01|1|0|0|0|0|0|0|0|0|0|0|0|0|0|0|0|0|0|0|x|x|x|x|x|x|x|x|x|x|x|x|x|x|x|x|x|x|x|x|x|x|0|1|X|X|X|2022-2-10|2022-02-23|0|0|0|0|0|QWYNRBIY9KVTQO|0|HOMBRE|0|1|0|0|0|0|0|0|0|0|CARDENAS|0|0|0|0|FINAL</v>
      </c>
    </row>
    <row r="375" spans="1:82" x14ac:dyDescent="0.25">
      <c r="A375" t="s">
        <v>915</v>
      </c>
      <c r="B375" t="s">
        <v>711</v>
      </c>
      <c r="C375">
        <v>3</v>
      </c>
      <c r="D375" t="s">
        <v>346</v>
      </c>
      <c r="E375" t="s">
        <v>346</v>
      </c>
      <c r="F375" t="s">
        <v>346</v>
      </c>
      <c r="G375" t="s">
        <v>346</v>
      </c>
      <c r="H375" s="21" t="s">
        <v>747</v>
      </c>
      <c r="I375">
        <v>1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 t="s">
        <v>3</v>
      </c>
      <c r="AC375" t="s">
        <v>3</v>
      </c>
      <c r="AD375" t="s">
        <v>3</v>
      </c>
      <c r="AE375" t="s">
        <v>3</v>
      </c>
      <c r="AF375" t="s">
        <v>3</v>
      </c>
      <c r="AG375" t="s">
        <v>3</v>
      </c>
      <c r="AH375" t="s">
        <v>3</v>
      </c>
      <c r="AI375" t="s">
        <v>3</v>
      </c>
      <c r="AJ375" t="s">
        <v>3</v>
      </c>
      <c r="AK375" t="s">
        <v>3</v>
      </c>
      <c r="AL375" t="s">
        <v>3</v>
      </c>
      <c r="AM375" t="s">
        <v>3</v>
      </c>
      <c r="AN375" t="s">
        <v>3</v>
      </c>
      <c r="AO375" t="s">
        <v>3</v>
      </c>
      <c r="AP375" t="s">
        <v>3</v>
      </c>
      <c r="AQ375" t="s">
        <v>3</v>
      </c>
      <c r="AR375" t="s">
        <v>3</v>
      </c>
      <c r="AS375" t="s">
        <v>3</v>
      </c>
      <c r="AT375" t="s">
        <v>3</v>
      </c>
      <c r="AU375" t="s">
        <v>3</v>
      </c>
      <c r="AV375" t="s">
        <v>3</v>
      </c>
      <c r="AW375" t="s">
        <v>3</v>
      </c>
      <c r="AX375">
        <v>0</v>
      </c>
      <c r="AY375">
        <v>1</v>
      </c>
      <c r="AZ375" t="s">
        <v>1</v>
      </c>
      <c r="BA375" t="s">
        <v>1</v>
      </c>
      <c r="BB375" t="s">
        <v>1</v>
      </c>
      <c r="BC375" s="21" t="s">
        <v>748</v>
      </c>
      <c r="BD375" s="21" t="s">
        <v>144</v>
      </c>
      <c r="BE375">
        <v>0</v>
      </c>
      <c r="BF375">
        <v>0</v>
      </c>
      <c r="BG375">
        <v>0</v>
      </c>
      <c r="BH375">
        <v>0</v>
      </c>
      <c r="BI375">
        <v>0</v>
      </c>
      <c r="BJ375" t="s">
        <v>749</v>
      </c>
      <c r="BK375">
        <v>0</v>
      </c>
      <c r="BL375" t="s">
        <v>132</v>
      </c>
      <c r="BM375">
        <v>0</v>
      </c>
      <c r="BN375">
        <v>1</v>
      </c>
      <c r="BO375">
        <v>0</v>
      </c>
      <c r="BP375">
        <v>0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  <c r="BW375" t="s">
        <v>0</v>
      </c>
      <c r="BX375">
        <v>0</v>
      </c>
      <c r="BY375">
        <v>0</v>
      </c>
      <c r="BZ375">
        <v>0</v>
      </c>
      <c r="CA375">
        <v>0</v>
      </c>
      <c r="CB375" t="s">
        <v>145</v>
      </c>
      <c r="CD375" t="str" cm="1">
        <f t="array" aca="1" ref="CD375" ca="1">eConcatenar(A375:CB375,"|")</f>
        <v>uBSvMXpqHkn5ZB08|MODIFVHS165|3|MODIF|MODIF|MODIF|MODIF|2022-01-01|1|0|0|0|0|0|0|0|0|0|0|0|0|0|0|0|0|0|0|x|x|x|x|x|x|x|x|x|x|x|x|x|x|x|x|x|x|x|x|x|x|0|1|X|X|X|2022-2-10|2022-02-23|0|0|0|0|0|QWYNRBIY9KVTQO|0|HOMBRE|0|1|0|0|0|0|0|0|0|0|CARDENAS|0|0|0|0|FINAL</v>
      </c>
    </row>
    <row r="376" spans="1:82" x14ac:dyDescent="0.25">
      <c r="A376" t="s">
        <v>916</v>
      </c>
      <c r="B376" t="s">
        <v>712</v>
      </c>
      <c r="C376">
        <v>3</v>
      </c>
      <c r="D376" t="s">
        <v>346</v>
      </c>
      <c r="E376" t="s">
        <v>346</v>
      </c>
      <c r="F376" t="s">
        <v>346</v>
      </c>
      <c r="G376" t="s">
        <v>346</v>
      </c>
      <c r="H376" s="21" t="s">
        <v>747</v>
      </c>
      <c r="I376">
        <v>1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 t="s">
        <v>3</v>
      </c>
      <c r="AC376" t="s">
        <v>3</v>
      </c>
      <c r="AD376" t="s">
        <v>3</v>
      </c>
      <c r="AE376" t="s">
        <v>3</v>
      </c>
      <c r="AF376" t="s">
        <v>3</v>
      </c>
      <c r="AG376" t="s">
        <v>3</v>
      </c>
      <c r="AH376" t="s">
        <v>3</v>
      </c>
      <c r="AI376" t="s">
        <v>3</v>
      </c>
      <c r="AJ376" t="s">
        <v>3</v>
      </c>
      <c r="AK376" t="s">
        <v>3</v>
      </c>
      <c r="AL376" t="s">
        <v>3</v>
      </c>
      <c r="AM376" t="s">
        <v>3</v>
      </c>
      <c r="AN376" t="s">
        <v>3</v>
      </c>
      <c r="AO376" t="s">
        <v>3</v>
      </c>
      <c r="AP376" t="s">
        <v>3</v>
      </c>
      <c r="AQ376" t="s">
        <v>3</v>
      </c>
      <c r="AR376" t="s">
        <v>3</v>
      </c>
      <c r="AS376" t="s">
        <v>3</v>
      </c>
      <c r="AT376" t="s">
        <v>3</v>
      </c>
      <c r="AU376" t="s">
        <v>3</v>
      </c>
      <c r="AV376" t="s">
        <v>3</v>
      </c>
      <c r="AW376" t="s">
        <v>3</v>
      </c>
      <c r="AX376">
        <v>0</v>
      </c>
      <c r="AY376">
        <v>1</v>
      </c>
      <c r="AZ376" t="s">
        <v>1</v>
      </c>
      <c r="BA376" t="s">
        <v>1</v>
      </c>
      <c r="BB376" t="s">
        <v>1</v>
      </c>
      <c r="BC376" s="21" t="s">
        <v>748</v>
      </c>
      <c r="BD376" s="21" t="s">
        <v>144</v>
      </c>
      <c r="BE376">
        <v>0</v>
      </c>
      <c r="BF376">
        <v>0</v>
      </c>
      <c r="BG376">
        <v>0</v>
      </c>
      <c r="BH376">
        <v>0</v>
      </c>
      <c r="BI376">
        <v>0</v>
      </c>
      <c r="BJ376" t="s">
        <v>749</v>
      </c>
      <c r="BK376">
        <v>0</v>
      </c>
      <c r="BL376" t="s">
        <v>132</v>
      </c>
      <c r="BM376">
        <v>0</v>
      </c>
      <c r="BN376">
        <v>1</v>
      </c>
      <c r="BO376">
        <v>0</v>
      </c>
      <c r="BP376">
        <v>0</v>
      </c>
      <c r="BQ376">
        <v>0</v>
      </c>
      <c r="BR376">
        <v>0</v>
      </c>
      <c r="BS376">
        <v>0</v>
      </c>
      <c r="BT376">
        <v>0</v>
      </c>
      <c r="BU376">
        <v>0</v>
      </c>
      <c r="BV376">
        <v>0</v>
      </c>
      <c r="BW376" t="s">
        <v>0</v>
      </c>
      <c r="BX376">
        <v>0</v>
      </c>
      <c r="BY376">
        <v>0</v>
      </c>
      <c r="BZ376">
        <v>0</v>
      </c>
      <c r="CA376">
        <v>0</v>
      </c>
      <c r="CB376" t="s">
        <v>145</v>
      </c>
      <c r="CD376" t="str" cm="1">
        <f t="array" aca="1" ref="CD376" ca="1">eConcatenar(A376:CB376,"|")</f>
        <v>sa54WGpjNFNB1HMV|MODIFVHS166|3|MODIF|MODIF|MODIF|MODIF|2022-01-01|1|0|0|0|0|0|0|0|0|0|0|0|0|0|0|0|0|0|0|x|x|x|x|x|x|x|x|x|x|x|x|x|x|x|x|x|x|x|x|x|x|0|1|X|X|X|2022-2-10|2022-02-23|0|0|0|0|0|QWYNRBIY9KVTQO|0|HOMBRE|0|1|0|0|0|0|0|0|0|0|CARDENAS|0|0|0|0|FINAL</v>
      </c>
    </row>
    <row r="377" spans="1:82" x14ac:dyDescent="0.25">
      <c r="A377" t="s">
        <v>917</v>
      </c>
      <c r="B377" t="s">
        <v>713</v>
      </c>
      <c r="C377">
        <v>3</v>
      </c>
      <c r="D377" t="s">
        <v>346</v>
      </c>
      <c r="E377" t="s">
        <v>346</v>
      </c>
      <c r="F377" t="s">
        <v>346</v>
      </c>
      <c r="G377" t="s">
        <v>346</v>
      </c>
      <c r="H377" s="21" t="s">
        <v>747</v>
      </c>
      <c r="I377">
        <v>1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 t="s">
        <v>3</v>
      </c>
      <c r="AC377" t="s">
        <v>3</v>
      </c>
      <c r="AD377" t="s">
        <v>3</v>
      </c>
      <c r="AE377" t="s">
        <v>3</v>
      </c>
      <c r="AF377" t="s">
        <v>3</v>
      </c>
      <c r="AG377" t="s">
        <v>3</v>
      </c>
      <c r="AH377" t="s">
        <v>3</v>
      </c>
      <c r="AI377" t="s">
        <v>3</v>
      </c>
      <c r="AJ377" t="s">
        <v>3</v>
      </c>
      <c r="AK377" t="s">
        <v>3</v>
      </c>
      <c r="AL377" t="s">
        <v>3</v>
      </c>
      <c r="AM377" t="s">
        <v>3</v>
      </c>
      <c r="AN377" t="s">
        <v>3</v>
      </c>
      <c r="AO377" t="s">
        <v>3</v>
      </c>
      <c r="AP377" t="s">
        <v>3</v>
      </c>
      <c r="AQ377" t="s">
        <v>3</v>
      </c>
      <c r="AR377" t="s">
        <v>3</v>
      </c>
      <c r="AS377" t="s">
        <v>3</v>
      </c>
      <c r="AT377" t="s">
        <v>3</v>
      </c>
      <c r="AU377" t="s">
        <v>3</v>
      </c>
      <c r="AV377" t="s">
        <v>3</v>
      </c>
      <c r="AW377" t="s">
        <v>3</v>
      </c>
      <c r="AX377">
        <v>0</v>
      </c>
      <c r="AY377">
        <v>1</v>
      </c>
      <c r="AZ377" t="s">
        <v>1</v>
      </c>
      <c r="BA377" t="s">
        <v>1</v>
      </c>
      <c r="BB377" t="s">
        <v>1</v>
      </c>
      <c r="BC377" s="21" t="s">
        <v>748</v>
      </c>
      <c r="BD377" s="21" t="s">
        <v>144</v>
      </c>
      <c r="BE377">
        <v>0</v>
      </c>
      <c r="BF377">
        <v>0</v>
      </c>
      <c r="BG377">
        <v>0</v>
      </c>
      <c r="BH377">
        <v>0</v>
      </c>
      <c r="BI377">
        <v>0</v>
      </c>
      <c r="BJ377" t="s">
        <v>749</v>
      </c>
      <c r="BK377">
        <v>0</v>
      </c>
      <c r="BL377" t="s">
        <v>132</v>
      </c>
      <c r="BM377">
        <v>0</v>
      </c>
      <c r="BN377">
        <v>1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0</v>
      </c>
      <c r="BU377">
        <v>0</v>
      </c>
      <c r="BV377">
        <v>0</v>
      </c>
      <c r="BW377" t="s">
        <v>0</v>
      </c>
      <c r="BX377">
        <v>0</v>
      </c>
      <c r="BY377">
        <v>0</v>
      </c>
      <c r="BZ377">
        <v>0</v>
      </c>
      <c r="CA377">
        <v>0</v>
      </c>
      <c r="CB377" t="s">
        <v>145</v>
      </c>
      <c r="CD377" t="str" cm="1">
        <f t="array" aca="1" ref="CD377" ca="1">eConcatenar(A377:CB377,"|")</f>
        <v>9qIMzV9IIKj1uyF5|MODIFVHS167|3|MODIF|MODIF|MODIF|MODIF|2022-01-01|1|0|0|0|0|0|0|0|0|0|0|0|0|0|0|0|0|0|0|x|x|x|x|x|x|x|x|x|x|x|x|x|x|x|x|x|x|x|x|x|x|0|1|X|X|X|2022-2-10|2022-02-23|0|0|0|0|0|QWYNRBIY9KVTQO|0|HOMBRE|0|1|0|0|0|0|0|0|0|0|CARDENAS|0|0|0|0|FINAL</v>
      </c>
    </row>
    <row r="378" spans="1:82" x14ac:dyDescent="0.25">
      <c r="A378" t="s">
        <v>918</v>
      </c>
      <c r="B378" t="s">
        <v>714</v>
      </c>
      <c r="C378">
        <v>3</v>
      </c>
      <c r="D378" t="s">
        <v>346</v>
      </c>
      <c r="E378" t="s">
        <v>346</v>
      </c>
      <c r="F378" t="s">
        <v>346</v>
      </c>
      <c r="G378" t="s">
        <v>346</v>
      </c>
      <c r="H378" s="21" t="s">
        <v>747</v>
      </c>
      <c r="I378">
        <v>1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 t="s">
        <v>3</v>
      </c>
      <c r="AC378" t="s">
        <v>3</v>
      </c>
      <c r="AD378" t="s">
        <v>3</v>
      </c>
      <c r="AE378" t="s">
        <v>3</v>
      </c>
      <c r="AF378" t="s">
        <v>3</v>
      </c>
      <c r="AG378" t="s">
        <v>3</v>
      </c>
      <c r="AH378" t="s">
        <v>3</v>
      </c>
      <c r="AI378" t="s">
        <v>3</v>
      </c>
      <c r="AJ378" t="s">
        <v>3</v>
      </c>
      <c r="AK378" t="s">
        <v>3</v>
      </c>
      <c r="AL378" t="s">
        <v>3</v>
      </c>
      <c r="AM378" t="s">
        <v>3</v>
      </c>
      <c r="AN378" t="s">
        <v>3</v>
      </c>
      <c r="AO378" t="s">
        <v>3</v>
      </c>
      <c r="AP378" t="s">
        <v>3</v>
      </c>
      <c r="AQ378" t="s">
        <v>3</v>
      </c>
      <c r="AR378" t="s">
        <v>3</v>
      </c>
      <c r="AS378" t="s">
        <v>3</v>
      </c>
      <c r="AT378" t="s">
        <v>3</v>
      </c>
      <c r="AU378" t="s">
        <v>3</v>
      </c>
      <c r="AV378" t="s">
        <v>3</v>
      </c>
      <c r="AW378" t="s">
        <v>3</v>
      </c>
      <c r="AX378">
        <v>0</v>
      </c>
      <c r="AY378">
        <v>1</v>
      </c>
      <c r="AZ378" t="s">
        <v>1</v>
      </c>
      <c r="BA378" t="s">
        <v>1</v>
      </c>
      <c r="BB378" t="s">
        <v>1</v>
      </c>
      <c r="BC378" s="21" t="s">
        <v>748</v>
      </c>
      <c r="BD378" s="21" t="s">
        <v>144</v>
      </c>
      <c r="BE378">
        <v>0</v>
      </c>
      <c r="BF378">
        <v>0</v>
      </c>
      <c r="BG378">
        <v>0</v>
      </c>
      <c r="BH378">
        <v>0</v>
      </c>
      <c r="BI378">
        <v>0</v>
      </c>
      <c r="BJ378" t="s">
        <v>749</v>
      </c>
      <c r="BK378">
        <v>0</v>
      </c>
      <c r="BL378" t="s">
        <v>132</v>
      </c>
      <c r="BM378">
        <v>0</v>
      </c>
      <c r="BN378">
        <v>1</v>
      </c>
      <c r="BO378">
        <v>0</v>
      </c>
      <c r="BP378">
        <v>0</v>
      </c>
      <c r="BQ378">
        <v>0</v>
      </c>
      <c r="BR378">
        <v>0</v>
      </c>
      <c r="BS378">
        <v>0</v>
      </c>
      <c r="BT378">
        <v>0</v>
      </c>
      <c r="BU378">
        <v>0</v>
      </c>
      <c r="BV378">
        <v>0</v>
      </c>
      <c r="BW378" t="s">
        <v>0</v>
      </c>
      <c r="BX378">
        <v>0</v>
      </c>
      <c r="BY378">
        <v>0</v>
      </c>
      <c r="BZ378">
        <v>0</v>
      </c>
      <c r="CA378">
        <v>0</v>
      </c>
      <c r="CB378" t="s">
        <v>145</v>
      </c>
      <c r="CD378" t="str" cm="1">
        <f t="array" aca="1" ref="CD378" ca="1">eConcatenar(A378:CB378,"|")</f>
        <v>aTcwg8YQZ70CGGV1|MODIFVHS168|3|MODIF|MODIF|MODIF|MODIF|2022-01-01|1|0|0|0|0|0|0|0|0|0|0|0|0|0|0|0|0|0|0|x|x|x|x|x|x|x|x|x|x|x|x|x|x|x|x|x|x|x|x|x|x|0|1|X|X|X|2022-2-10|2022-02-23|0|0|0|0|0|QWYNRBIY9KVTQO|0|HOMBRE|0|1|0|0|0|0|0|0|0|0|CARDENAS|0|0|0|0|FINAL</v>
      </c>
    </row>
    <row r="379" spans="1:82" x14ac:dyDescent="0.25">
      <c r="A379" t="s">
        <v>919</v>
      </c>
      <c r="B379" t="s">
        <v>715</v>
      </c>
      <c r="C379">
        <v>3</v>
      </c>
      <c r="D379" t="s">
        <v>346</v>
      </c>
      <c r="E379" t="s">
        <v>346</v>
      </c>
      <c r="F379" t="s">
        <v>346</v>
      </c>
      <c r="G379" t="s">
        <v>346</v>
      </c>
      <c r="H379" s="21" t="s">
        <v>747</v>
      </c>
      <c r="I379">
        <v>1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 t="s">
        <v>3</v>
      </c>
      <c r="AC379" t="s">
        <v>3</v>
      </c>
      <c r="AD379" t="s">
        <v>3</v>
      </c>
      <c r="AE379" t="s">
        <v>3</v>
      </c>
      <c r="AF379" t="s">
        <v>3</v>
      </c>
      <c r="AG379" t="s">
        <v>3</v>
      </c>
      <c r="AH379" t="s">
        <v>3</v>
      </c>
      <c r="AI379" t="s">
        <v>3</v>
      </c>
      <c r="AJ379" t="s">
        <v>3</v>
      </c>
      <c r="AK379" t="s">
        <v>3</v>
      </c>
      <c r="AL379" t="s">
        <v>3</v>
      </c>
      <c r="AM379" t="s">
        <v>3</v>
      </c>
      <c r="AN379" t="s">
        <v>3</v>
      </c>
      <c r="AO379" t="s">
        <v>3</v>
      </c>
      <c r="AP379" t="s">
        <v>3</v>
      </c>
      <c r="AQ379" t="s">
        <v>3</v>
      </c>
      <c r="AR379" t="s">
        <v>3</v>
      </c>
      <c r="AS379" t="s">
        <v>3</v>
      </c>
      <c r="AT379" t="s">
        <v>3</v>
      </c>
      <c r="AU379" t="s">
        <v>3</v>
      </c>
      <c r="AV379" t="s">
        <v>3</v>
      </c>
      <c r="AW379" t="s">
        <v>3</v>
      </c>
      <c r="AX379">
        <v>0</v>
      </c>
      <c r="AY379">
        <v>1</v>
      </c>
      <c r="AZ379" t="s">
        <v>1</v>
      </c>
      <c r="BA379" t="s">
        <v>1</v>
      </c>
      <c r="BB379" t="s">
        <v>1</v>
      </c>
      <c r="BC379" s="21" t="s">
        <v>748</v>
      </c>
      <c r="BD379" s="21" t="s">
        <v>144</v>
      </c>
      <c r="BE379">
        <v>0</v>
      </c>
      <c r="BF379">
        <v>0</v>
      </c>
      <c r="BG379">
        <v>0</v>
      </c>
      <c r="BH379">
        <v>0</v>
      </c>
      <c r="BI379">
        <v>0</v>
      </c>
      <c r="BJ379" t="s">
        <v>749</v>
      </c>
      <c r="BK379">
        <v>0</v>
      </c>
      <c r="BL379" t="s">
        <v>132</v>
      </c>
      <c r="BM379">
        <v>0</v>
      </c>
      <c r="BN379">
        <v>1</v>
      </c>
      <c r="BO379">
        <v>0</v>
      </c>
      <c r="BP379">
        <v>0</v>
      </c>
      <c r="BQ379">
        <v>0</v>
      </c>
      <c r="BR379">
        <v>0</v>
      </c>
      <c r="BS379">
        <v>0</v>
      </c>
      <c r="BT379">
        <v>0</v>
      </c>
      <c r="BU379">
        <v>0</v>
      </c>
      <c r="BV379">
        <v>0</v>
      </c>
      <c r="BW379" t="s">
        <v>0</v>
      </c>
      <c r="BX379">
        <v>0</v>
      </c>
      <c r="BY379">
        <v>0</v>
      </c>
      <c r="BZ379">
        <v>0</v>
      </c>
      <c r="CA379">
        <v>0</v>
      </c>
      <c r="CB379" t="s">
        <v>145</v>
      </c>
      <c r="CD379" t="str" cm="1">
        <f t="array" aca="1" ref="CD379" ca="1">eConcatenar(A379:CB379,"|")</f>
        <v>4SvNYD7RnxLkc53V|MODIFVHS169|3|MODIF|MODIF|MODIF|MODIF|2022-01-01|1|0|0|0|0|0|0|0|0|0|0|0|0|0|0|0|0|0|0|x|x|x|x|x|x|x|x|x|x|x|x|x|x|x|x|x|x|x|x|x|x|0|1|X|X|X|2022-2-10|2022-02-23|0|0|0|0|0|QWYNRBIY9KVTQO|0|HOMBRE|0|1|0|0|0|0|0|0|0|0|CARDENAS|0|0|0|0|FINAL</v>
      </c>
    </row>
    <row r="380" spans="1:82" x14ac:dyDescent="0.25">
      <c r="A380" t="s">
        <v>920</v>
      </c>
      <c r="B380" t="s">
        <v>716</v>
      </c>
      <c r="C380">
        <v>3</v>
      </c>
      <c r="D380" t="s">
        <v>346</v>
      </c>
      <c r="E380" t="s">
        <v>346</v>
      </c>
      <c r="F380" t="s">
        <v>346</v>
      </c>
      <c r="G380" t="s">
        <v>346</v>
      </c>
      <c r="H380" s="21" t="s">
        <v>747</v>
      </c>
      <c r="I380">
        <v>1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 t="s">
        <v>3</v>
      </c>
      <c r="AC380" t="s">
        <v>3</v>
      </c>
      <c r="AD380" t="s">
        <v>3</v>
      </c>
      <c r="AE380" t="s">
        <v>3</v>
      </c>
      <c r="AF380" t="s">
        <v>3</v>
      </c>
      <c r="AG380" t="s">
        <v>3</v>
      </c>
      <c r="AH380" t="s">
        <v>3</v>
      </c>
      <c r="AI380" t="s">
        <v>3</v>
      </c>
      <c r="AJ380" t="s">
        <v>3</v>
      </c>
      <c r="AK380" t="s">
        <v>3</v>
      </c>
      <c r="AL380" t="s">
        <v>3</v>
      </c>
      <c r="AM380" t="s">
        <v>3</v>
      </c>
      <c r="AN380" t="s">
        <v>3</v>
      </c>
      <c r="AO380" t="s">
        <v>3</v>
      </c>
      <c r="AP380" t="s">
        <v>3</v>
      </c>
      <c r="AQ380" t="s">
        <v>3</v>
      </c>
      <c r="AR380" t="s">
        <v>3</v>
      </c>
      <c r="AS380" t="s">
        <v>3</v>
      </c>
      <c r="AT380" t="s">
        <v>3</v>
      </c>
      <c r="AU380" t="s">
        <v>3</v>
      </c>
      <c r="AV380" t="s">
        <v>3</v>
      </c>
      <c r="AW380" t="s">
        <v>3</v>
      </c>
      <c r="AX380">
        <v>0</v>
      </c>
      <c r="AY380">
        <v>1</v>
      </c>
      <c r="AZ380" t="s">
        <v>1</v>
      </c>
      <c r="BA380" t="s">
        <v>1</v>
      </c>
      <c r="BB380" t="s">
        <v>1</v>
      </c>
      <c r="BC380" s="21" t="s">
        <v>748</v>
      </c>
      <c r="BD380" s="21" t="s">
        <v>144</v>
      </c>
      <c r="BE380">
        <v>0</v>
      </c>
      <c r="BF380">
        <v>0</v>
      </c>
      <c r="BG380">
        <v>0</v>
      </c>
      <c r="BH380">
        <v>0</v>
      </c>
      <c r="BI380">
        <v>0</v>
      </c>
      <c r="BJ380" t="s">
        <v>749</v>
      </c>
      <c r="BK380">
        <v>0</v>
      </c>
      <c r="BL380" t="s">
        <v>132</v>
      </c>
      <c r="BM380">
        <v>0</v>
      </c>
      <c r="BN380">
        <v>1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 t="s">
        <v>0</v>
      </c>
      <c r="BX380">
        <v>0</v>
      </c>
      <c r="BY380">
        <v>0</v>
      </c>
      <c r="BZ380">
        <v>0</v>
      </c>
      <c r="CA380">
        <v>0</v>
      </c>
      <c r="CB380" t="s">
        <v>145</v>
      </c>
      <c r="CD380" t="str" cm="1">
        <f t="array" aca="1" ref="CD380" ca="1">eConcatenar(A380:CB380,"|")</f>
        <v>lBEbgJLcARWIWGmo|MODIFVHS170|3|MODIF|MODIF|MODIF|MODIF|2022-01-01|1|0|0|0|0|0|0|0|0|0|0|0|0|0|0|0|0|0|0|x|x|x|x|x|x|x|x|x|x|x|x|x|x|x|x|x|x|x|x|x|x|0|1|X|X|X|2022-2-10|2022-02-23|0|0|0|0|0|QWYNRBIY9KVTQO|0|HOMBRE|0|1|0|0|0|0|0|0|0|0|CARDENAS|0|0|0|0|FINAL</v>
      </c>
    </row>
    <row r="381" spans="1:82" x14ac:dyDescent="0.25">
      <c r="A381" t="s">
        <v>921</v>
      </c>
      <c r="B381" t="s">
        <v>717</v>
      </c>
      <c r="C381">
        <v>3</v>
      </c>
      <c r="D381" t="s">
        <v>346</v>
      </c>
      <c r="E381" t="s">
        <v>346</v>
      </c>
      <c r="F381" t="s">
        <v>346</v>
      </c>
      <c r="G381" t="s">
        <v>346</v>
      </c>
      <c r="H381" s="21" t="s">
        <v>747</v>
      </c>
      <c r="I381">
        <v>1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 t="s">
        <v>3</v>
      </c>
      <c r="AC381" t="s">
        <v>3</v>
      </c>
      <c r="AD381" t="s">
        <v>3</v>
      </c>
      <c r="AE381" t="s">
        <v>3</v>
      </c>
      <c r="AF381" t="s">
        <v>3</v>
      </c>
      <c r="AG381" t="s">
        <v>3</v>
      </c>
      <c r="AH381" t="s">
        <v>3</v>
      </c>
      <c r="AI381" t="s">
        <v>3</v>
      </c>
      <c r="AJ381" t="s">
        <v>3</v>
      </c>
      <c r="AK381" t="s">
        <v>3</v>
      </c>
      <c r="AL381" t="s">
        <v>3</v>
      </c>
      <c r="AM381" t="s">
        <v>3</v>
      </c>
      <c r="AN381" t="s">
        <v>3</v>
      </c>
      <c r="AO381" t="s">
        <v>3</v>
      </c>
      <c r="AP381" t="s">
        <v>3</v>
      </c>
      <c r="AQ381" t="s">
        <v>3</v>
      </c>
      <c r="AR381" t="s">
        <v>3</v>
      </c>
      <c r="AS381" t="s">
        <v>3</v>
      </c>
      <c r="AT381" t="s">
        <v>3</v>
      </c>
      <c r="AU381" t="s">
        <v>3</v>
      </c>
      <c r="AV381" t="s">
        <v>3</v>
      </c>
      <c r="AW381" t="s">
        <v>3</v>
      </c>
      <c r="AX381">
        <v>0</v>
      </c>
      <c r="AY381">
        <v>1</v>
      </c>
      <c r="AZ381" t="s">
        <v>1</v>
      </c>
      <c r="BA381" t="s">
        <v>1</v>
      </c>
      <c r="BB381" t="s">
        <v>1</v>
      </c>
      <c r="BC381" s="21" t="s">
        <v>748</v>
      </c>
      <c r="BD381" s="21" t="s">
        <v>144</v>
      </c>
      <c r="BE381">
        <v>0</v>
      </c>
      <c r="BF381">
        <v>0</v>
      </c>
      <c r="BG381">
        <v>0</v>
      </c>
      <c r="BH381">
        <v>0</v>
      </c>
      <c r="BI381">
        <v>0</v>
      </c>
      <c r="BJ381" t="s">
        <v>749</v>
      </c>
      <c r="BK381">
        <v>0</v>
      </c>
      <c r="BL381" t="s">
        <v>132</v>
      </c>
      <c r="BM381">
        <v>0</v>
      </c>
      <c r="BN381">
        <v>1</v>
      </c>
      <c r="BO381">
        <v>0</v>
      </c>
      <c r="BP381">
        <v>0</v>
      </c>
      <c r="BQ381">
        <v>0</v>
      </c>
      <c r="BR381">
        <v>0</v>
      </c>
      <c r="BS381">
        <v>0</v>
      </c>
      <c r="BT381">
        <v>0</v>
      </c>
      <c r="BU381">
        <v>0</v>
      </c>
      <c r="BV381">
        <v>0</v>
      </c>
      <c r="BW381" t="s">
        <v>0</v>
      </c>
      <c r="BX381">
        <v>0</v>
      </c>
      <c r="BY381">
        <v>0</v>
      </c>
      <c r="BZ381">
        <v>0</v>
      </c>
      <c r="CA381">
        <v>0</v>
      </c>
      <c r="CB381" t="s">
        <v>145</v>
      </c>
      <c r="CD381" t="str" cm="1">
        <f t="array" aca="1" ref="CD381" ca="1">eConcatenar(A381:CB381,"|")</f>
        <v>8X7FvmIVtART5CJO|MODIFVHS171|3|MODIF|MODIF|MODIF|MODIF|2022-01-01|1|0|0|0|0|0|0|0|0|0|0|0|0|0|0|0|0|0|0|x|x|x|x|x|x|x|x|x|x|x|x|x|x|x|x|x|x|x|x|x|x|0|1|X|X|X|2022-2-10|2022-02-23|0|0|0|0|0|QWYNRBIY9KVTQO|0|HOMBRE|0|1|0|0|0|0|0|0|0|0|CARDENAS|0|0|0|0|FINAL</v>
      </c>
    </row>
    <row r="382" spans="1:82" x14ac:dyDescent="0.25">
      <c r="A382" t="s">
        <v>922</v>
      </c>
      <c r="B382" t="s">
        <v>718</v>
      </c>
      <c r="C382">
        <v>3</v>
      </c>
      <c r="D382" t="s">
        <v>346</v>
      </c>
      <c r="E382" t="s">
        <v>346</v>
      </c>
      <c r="F382" t="s">
        <v>346</v>
      </c>
      <c r="G382" t="s">
        <v>346</v>
      </c>
      <c r="H382" s="21" t="s">
        <v>747</v>
      </c>
      <c r="I382">
        <v>1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 t="s">
        <v>3</v>
      </c>
      <c r="AC382" t="s">
        <v>3</v>
      </c>
      <c r="AD382" t="s">
        <v>3</v>
      </c>
      <c r="AE382" t="s">
        <v>3</v>
      </c>
      <c r="AF382" t="s">
        <v>3</v>
      </c>
      <c r="AG382" t="s">
        <v>3</v>
      </c>
      <c r="AH382" t="s">
        <v>3</v>
      </c>
      <c r="AI382" t="s">
        <v>3</v>
      </c>
      <c r="AJ382" t="s">
        <v>3</v>
      </c>
      <c r="AK382" t="s">
        <v>3</v>
      </c>
      <c r="AL382" t="s">
        <v>3</v>
      </c>
      <c r="AM382" t="s">
        <v>3</v>
      </c>
      <c r="AN382" t="s">
        <v>3</v>
      </c>
      <c r="AO382" t="s">
        <v>3</v>
      </c>
      <c r="AP382" t="s">
        <v>3</v>
      </c>
      <c r="AQ382" t="s">
        <v>3</v>
      </c>
      <c r="AR382" t="s">
        <v>3</v>
      </c>
      <c r="AS382" t="s">
        <v>3</v>
      </c>
      <c r="AT382" t="s">
        <v>3</v>
      </c>
      <c r="AU382" t="s">
        <v>3</v>
      </c>
      <c r="AV382" t="s">
        <v>3</v>
      </c>
      <c r="AW382" t="s">
        <v>3</v>
      </c>
      <c r="AX382">
        <v>0</v>
      </c>
      <c r="AY382">
        <v>1</v>
      </c>
      <c r="AZ382" t="s">
        <v>1</v>
      </c>
      <c r="BA382" t="s">
        <v>1</v>
      </c>
      <c r="BB382" t="s">
        <v>1</v>
      </c>
      <c r="BC382" s="21" t="s">
        <v>748</v>
      </c>
      <c r="BD382" s="21" t="s">
        <v>144</v>
      </c>
      <c r="BE382">
        <v>0</v>
      </c>
      <c r="BF382">
        <v>0</v>
      </c>
      <c r="BG382">
        <v>0</v>
      </c>
      <c r="BH382">
        <v>0</v>
      </c>
      <c r="BI382">
        <v>0</v>
      </c>
      <c r="BJ382" t="s">
        <v>749</v>
      </c>
      <c r="BK382">
        <v>0</v>
      </c>
      <c r="BL382" t="s">
        <v>132</v>
      </c>
      <c r="BM382">
        <v>0</v>
      </c>
      <c r="BN382">
        <v>1</v>
      </c>
      <c r="BO382">
        <v>0</v>
      </c>
      <c r="BP382">
        <v>0</v>
      </c>
      <c r="BQ382">
        <v>0</v>
      </c>
      <c r="BR382">
        <v>0</v>
      </c>
      <c r="BS382">
        <v>0</v>
      </c>
      <c r="BT382">
        <v>0</v>
      </c>
      <c r="BU382">
        <v>0</v>
      </c>
      <c r="BV382">
        <v>0</v>
      </c>
      <c r="BW382" t="s">
        <v>0</v>
      </c>
      <c r="BX382">
        <v>0</v>
      </c>
      <c r="BY382">
        <v>0</v>
      </c>
      <c r="BZ382">
        <v>0</v>
      </c>
      <c r="CA382">
        <v>0</v>
      </c>
      <c r="CB382" t="s">
        <v>145</v>
      </c>
      <c r="CD382" t="str" cm="1">
        <f t="array" aca="1" ref="CD382" ca="1">eConcatenar(A382:CB382,"|")</f>
        <v>FuajsrzKzsdJYVpx|MODIFVHS172|3|MODIF|MODIF|MODIF|MODIF|2022-01-01|1|0|0|0|0|0|0|0|0|0|0|0|0|0|0|0|0|0|0|x|x|x|x|x|x|x|x|x|x|x|x|x|x|x|x|x|x|x|x|x|x|0|1|X|X|X|2022-2-10|2022-02-23|0|0|0|0|0|QWYNRBIY9KVTQO|0|HOMBRE|0|1|0|0|0|0|0|0|0|0|CARDENAS|0|0|0|0|FINAL</v>
      </c>
    </row>
    <row r="383" spans="1:82" x14ac:dyDescent="0.25">
      <c r="A383" t="s">
        <v>923</v>
      </c>
      <c r="B383" t="s">
        <v>719</v>
      </c>
      <c r="C383">
        <v>3</v>
      </c>
      <c r="D383" t="s">
        <v>346</v>
      </c>
      <c r="E383" t="s">
        <v>346</v>
      </c>
      <c r="F383" t="s">
        <v>346</v>
      </c>
      <c r="G383" t="s">
        <v>346</v>
      </c>
      <c r="H383" s="21" t="s">
        <v>747</v>
      </c>
      <c r="I383">
        <v>1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 t="s">
        <v>3</v>
      </c>
      <c r="AC383" t="s">
        <v>3</v>
      </c>
      <c r="AD383" t="s">
        <v>3</v>
      </c>
      <c r="AE383" t="s">
        <v>3</v>
      </c>
      <c r="AF383" t="s">
        <v>3</v>
      </c>
      <c r="AG383" t="s">
        <v>3</v>
      </c>
      <c r="AH383" t="s">
        <v>3</v>
      </c>
      <c r="AI383" t="s">
        <v>3</v>
      </c>
      <c r="AJ383" t="s">
        <v>3</v>
      </c>
      <c r="AK383" t="s">
        <v>3</v>
      </c>
      <c r="AL383" t="s">
        <v>3</v>
      </c>
      <c r="AM383" t="s">
        <v>3</v>
      </c>
      <c r="AN383" t="s">
        <v>3</v>
      </c>
      <c r="AO383" t="s">
        <v>3</v>
      </c>
      <c r="AP383" t="s">
        <v>3</v>
      </c>
      <c r="AQ383" t="s">
        <v>3</v>
      </c>
      <c r="AR383" t="s">
        <v>3</v>
      </c>
      <c r="AS383" t="s">
        <v>3</v>
      </c>
      <c r="AT383" t="s">
        <v>3</v>
      </c>
      <c r="AU383" t="s">
        <v>3</v>
      </c>
      <c r="AV383" t="s">
        <v>3</v>
      </c>
      <c r="AW383" t="s">
        <v>3</v>
      </c>
      <c r="AX383">
        <v>0</v>
      </c>
      <c r="AY383">
        <v>1</v>
      </c>
      <c r="AZ383" t="s">
        <v>1</v>
      </c>
      <c r="BA383" t="s">
        <v>1</v>
      </c>
      <c r="BB383" t="s">
        <v>1</v>
      </c>
      <c r="BC383" s="21" t="s">
        <v>748</v>
      </c>
      <c r="BD383" s="21" t="s">
        <v>144</v>
      </c>
      <c r="BE383">
        <v>0</v>
      </c>
      <c r="BF383">
        <v>0</v>
      </c>
      <c r="BG383">
        <v>0</v>
      </c>
      <c r="BH383">
        <v>0</v>
      </c>
      <c r="BI383">
        <v>0</v>
      </c>
      <c r="BJ383" t="s">
        <v>749</v>
      </c>
      <c r="BK383">
        <v>0</v>
      </c>
      <c r="BL383" t="s">
        <v>132</v>
      </c>
      <c r="BM383">
        <v>0</v>
      </c>
      <c r="BN383">
        <v>1</v>
      </c>
      <c r="BO383">
        <v>0</v>
      </c>
      <c r="BP383">
        <v>0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  <c r="BW383" t="s">
        <v>0</v>
      </c>
      <c r="BX383">
        <v>0</v>
      </c>
      <c r="BY383">
        <v>0</v>
      </c>
      <c r="BZ383">
        <v>0</v>
      </c>
      <c r="CA383">
        <v>0</v>
      </c>
      <c r="CB383" t="s">
        <v>145</v>
      </c>
      <c r="CD383" t="str" cm="1">
        <f t="array" aca="1" ref="CD383" ca="1">eConcatenar(A383:CB383,"|")</f>
        <v>8HQwv81acsZoZBXQ|MODIFVHS173|3|MODIF|MODIF|MODIF|MODIF|2022-01-01|1|0|0|0|0|0|0|0|0|0|0|0|0|0|0|0|0|0|0|x|x|x|x|x|x|x|x|x|x|x|x|x|x|x|x|x|x|x|x|x|x|0|1|X|X|X|2022-2-10|2022-02-23|0|0|0|0|0|QWYNRBIY9KVTQO|0|HOMBRE|0|1|0|0|0|0|0|0|0|0|CARDENAS|0|0|0|0|FINAL</v>
      </c>
    </row>
    <row r="384" spans="1:82" s="5" customFormat="1" x14ac:dyDescent="0.25">
      <c r="A384" t="s">
        <v>924</v>
      </c>
      <c r="B384" t="s">
        <v>720</v>
      </c>
      <c r="C384">
        <v>3</v>
      </c>
      <c r="D384" t="s">
        <v>346</v>
      </c>
      <c r="E384" t="s">
        <v>346</v>
      </c>
      <c r="F384" t="s">
        <v>346</v>
      </c>
      <c r="G384" t="s">
        <v>346</v>
      </c>
      <c r="H384" s="21" t="s">
        <v>747</v>
      </c>
      <c r="I384">
        <v>1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 t="s">
        <v>3</v>
      </c>
      <c r="AC384" t="s">
        <v>3</v>
      </c>
      <c r="AD384" t="s">
        <v>3</v>
      </c>
      <c r="AE384" t="s">
        <v>3</v>
      </c>
      <c r="AF384" t="s">
        <v>3</v>
      </c>
      <c r="AG384" t="s">
        <v>3</v>
      </c>
      <c r="AH384" t="s">
        <v>3</v>
      </c>
      <c r="AI384" t="s">
        <v>3</v>
      </c>
      <c r="AJ384" t="s">
        <v>3</v>
      </c>
      <c r="AK384" t="s">
        <v>3</v>
      </c>
      <c r="AL384" t="s">
        <v>3</v>
      </c>
      <c r="AM384" t="s">
        <v>3</v>
      </c>
      <c r="AN384" t="s">
        <v>3</v>
      </c>
      <c r="AO384" t="s">
        <v>3</v>
      </c>
      <c r="AP384" t="s">
        <v>3</v>
      </c>
      <c r="AQ384" t="s">
        <v>3</v>
      </c>
      <c r="AR384" t="s">
        <v>3</v>
      </c>
      <c r="AS384" t="s">
        <v>3</v>
      </c>
      <c r="AT384" t="s">
        <v>3</v>
      </c>
      <c r="AU384" t="s">
        <v>3</v>
      </c>
      <c r="AV384" t="s">
        <v>3</v>
      </c>
      <c r="AW384" t="s">
        <v>3</v>
      </c>
      <c r="AX384">
        <v>0</v>
      </c>
      <c r="AY384">
        <v>1</v>
      </c>
      <c r="AZ384" t="s">
        <v>1</v>
      </c>
      <c r="BA384" t="s">
        <v>1</v>
      </c>
      <c r="BB384" t="s">
        <v>1</v>
      </c>
      <c r="BC384" s="21" t="s">
        <v>748</v>
      </c>
      <c r="BD384" s="21" t="s">
        <v>144</v>
      </c>
      <c r="BE384">
        <v>0</v>
      </c>
      <c r="BF384">
        <v>0</v>
      </c>
      <c r="BG384">
        <v>0</v>
      </c>
      <c r="BH384">
        <v>0</v>
      </c>
      <c r="BI384">
        <v>0</v>
      </c>
      <c r="BJ384" t="s">
        <v>749</v>
      </c>
      <c r="BK384">
        <v>0</v>
      </c>
      <c r="BL384" t="s">
        <v>132</v>
      </c>
      <c r="BM384">
        <v>0</v>
      </c>
      <c r="BN384">
        <v>1</v>
      </c>
      <c r="BO384">
        <v>0</v>
      </c>
      <c r="BP384">
        <v>0</v>
      </c>
      <c r="BQ384">
        <v>0</v>
      </c>
      <c r="BR384">
        <v>0</v>
      </c>
      <c r="BS384">
        <v>0</v>
      </c>
      <c r="BT384">
        <v>0</v>
      </c>
      <c r="BU384">
        <v>0</v>
      </c>
      <c r="BV384">
        <v>0</v>
      </c>
      <c r="BW384" t="s">
        <v>0</v>
      </c>
      <c r="BX384">
        <v>0</v>
      </c>
      <c r="BY384">
        <v>0</v>
      </c>
      <c r="BZ384">
        <v>0</v>
      </c>
      <c r="CA384">
        <v>0</v>
      </c>
      <c r="CB384" t="s">
        <v>145</v>
      </c>
      <c r="CD384" s="5" t="str" cm="1">
        <f t="array" aca="1" ref="CD384" ca="1">eConcatenar(A384:CB384,"|")</f>
        <v>9UqehGWRD6B4BP60|MODIFVHS174|3|MODIF|MODIF|MODIF|MODIF|2022-01-01|1|0|0|0|0|0|0|0|0|0|0|0|0|0|0|0|0|0|0|x|x|x|x|x|x|x|x|x|x|x|x|x|x|x|x|x|x|x|x|x|x|0|1|X|X|X|2022-2-10|2022-02-23|0|0|0|0|0|QWYNRBIY9KVTQO|0|HOMBRE|0|1|0|0|0|0|0|0|0|0|CARDENAS|0|0|0|0|FINAL</v>
      </c>
    </row>
    <row r="385" spans="1:82" x14ac:dyDescent="0.25">
      <c r="A385" t="s">
        <v>925</v>
      </c>
      <c r="B385" t="s">
        <v>721</v>
      </c>
      <c r="C385">
        <v>3</v>
      </c>
      <c r="D385" t="s">
        <v>346</v>
      </c>
      <c r="E385" t="s">
        <v>346</v>
      </c>
      <c r="F385" t="s">
        <v>346</v>
      </c>
      <c r="G385" t="s">
        <v>346</v>
      </c>
      <c r="H385" s="21" t="s">
        <v>747</v>
      </c>
      <c r="I385">
        <v>1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 t="s">
        <v>3</v>
      </c>
      <c r="AC385" t="s">
        <v>3</v>
      </c>
      <c r="AD385" t="s">
        <v>3</v>
      </c>
      <c r="AE385" t="s">
        <v>3</v>
      </c>
      <c r="AF385" t="s">
        <v>3</v>
      </c>
      <c r="AG385" t="s">
        <v>3</v>
      </c>
      <c r="AH385" t="s">
        <v>3</v>
      </c>
      <c r="AI385" t="s">
        <v>3</v>
      </c>
      <c r="AJ385" t="s">
        <v>3</v>
      </c>
      <c r="AK385" t="s">
        <v>3</v>
      </c>
      <c r="AL385" t="s">
        <v>3</v>
      </c>
      <c r="AM385" t="s">
        <v>3</v>
      </c>
      <c r="AN385" t="s">
        <v>3</v>
      </c>
      <c r="AO385" t="s">
        <v>3</v>
      </c>
      <c r="AP385" t="s">
        <v>3</v>
      </c>
      <c r="AQ385" t="s">
        <v>3</v>
      </c>
      <c r="AR385" t="s">
        <v>3</v>
      </c>
      <c r="AS385" t="s">
        <v>3</v>
      </c>
      <c r="AT385" t="s">
        <v>3</v>
      </c>
      <c r="AU385" t="s">
        <v>3</v>
      </c>
      <c r="AV385" t="s">
        <v>3</v>
      </c>
      <c r="AW385" t="s">
        <v>3</v>
      </c>
      <c r="AX385">
        <v>0</v>
      </c>
      <c r="AY385">
        <v>1</v>
      </c>
      <c r="AZ385" t="s">
        <v>1</v>
      </c>
      <c r="BA385" t="s">
        <v>1</v>
      </c>
      <c r="BB385" t="s">
        <v>1</v>
      </c>
      <c r="BC385" s="21" t="s">
        <v>748</v>
      </c>
      <c r="BD385" s="21" t="s">
        <v>144</v>
      </c>
      <c r="BE385">
        <v>0</v>
      </c>
      <c r="BF385">
        <v>0</v>
      </c>
      <c r="BG385">
        <v>0</v>
      </c>
      <c r="BH385">
        <v>0</v>
      </c>
      <c r="BI385">
        <v>0</v>
      </c>
      <c r="BJ385" t="s">
        <v>749</v>
      </c>
      <c r="BK385">
        <v>0</v>
      </c>
      <c r="BL385" t="s">
        <v>132</v>
      </c>
      <c r="BM385">
        <v>0</v>
      </c>
      <c r="BN385">
        <v>1</v>
      </c>
      <c r="BO385">
        <v>0</v>
      </c>
      <c r="BP385">
        <v>0</v>
      </c>
      <c r="BQ385">
        <v>0</v>
      </c>
      <c r="BR385">
        <v>0</v>
      </c>
      <c r="BS385">
        <v>0</v>
      </c>
      <c r="BT385">
        <v>0</v>
      </c>
      <c r="BU385">
        <v>0</v>
      </c>
      <c r="BV385">
        <v>0</v>
      </c>
      <c r="BW385" t="s">
        <v>0</v>
      </c>
      <c r="BX385">
        <v>0</v>
      </c>
      <c r="BY385">
        <v>0</v>
      </c>
      <c r="BZ385">
        <v>0</v>
      </c>
      <c r="CA385">
        <v>0</v>
      </c>
      <c r="CB385" t="s">
        <v>145</v>
      </c>
      <c r="CD385" t="str" cm="1">
        <f t="array" aca="1" ref="CD385" ca="1">eConcatenar(A385:CB385,"|")</f>
        <v>bcU2eNhjhd4dVBJT|MODIFVHS175|3|MODIF|MODIF|MODIF|MODIF|2022-01-01|1|0|0|0|0|0|0|0|0|0|0|0|0|0|0|0|0|0|0|x|x|x|x|x|x|x|x|x|x|x|x|x|x|x|x|x|x|x|x|x|x|0|1|X|X|X|2022-2-10|2022-02-23|0|0|0|0|0|QWYNRBIY9KVTQO|0|HOMBRE|0|1|0|0|0|0|0|0|0|0|CARDENAS|0|0|0|0|FINAL</v>
      </c>
    </row>
    <row r="386" spans="1:82" x14ac:dyDescent="0.25">
      <c r="A386" t="s">
        <v>926</v>
      </c>
      <c r="B386" t="s">
        <v>722</v>
      </c>
      <c r="C386">
        <v>3</v>
      </c>
      <c r="D386" t="s">
        <v>346</v>
      </c>
      <c r="E386" t="s">
        <v>346</v>
      </c>
      <c r="F386" t="s">
        <v>346</v>
      </c>
      <c r="G386" t="s">
        <v>346</v>
      </c>
      <c r="H386" s="21" t="s">
        <v>747</v>
      </c>
      <c r="I386">
        <v>1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 t="s">
        <v>3</v>
      </c>
      <c r="AC386" t="s">
        <v>3</v>
      </c>
      <c r="AD386" t="s">
        <v>3</v>
      </c>
      <c r="AE386" t="s">
        <v>3</v>
      </c>
      <c r="AF386" t="s">
        <v>3</v>
      </c>
      <c r="AG386" t="s">
        <v>3</v>
      </c>
      <c r="AH386" t="s">
        <v>3</v>
      </c>
      <c r="AI386" t="s">
        <v>3</v>
      </c>
      <c r="AJ386" t="s">
        <v>3</v>
      </c>
      <c r="AK386" t="s">
        <v>3</v>
      </c>
      <c r="AL386" t="s">
        <v>3</v>
      </c>
      <c r="AM386" t="s">
        <v>3</v>
      </c>
      <c r="AN386" t="s">
        <v>3</v>
      </c>
      <c r="AO386" t="s">
        <v>3</v>
      </c>
      <c r="AP386" t="s">
        <v>3</v>
      </c>
      <c r="AQ386" t="s">
        <v>3</v>
      </c>
      <c r="AR386" t="s">
        <v>3</v>
      </c>
      <c r="AS386" t="s">
        <v>3</v>
      </c>
      <c r="AT386" t="s">
        <v>3</v>
      </c>
      <c r="AU386" t="s">
        <v>3</v>
      </c>
      <c r="AV386" t="s">
        <v>3</v>
      </c>
      <c r="AW386" t="s">
        <v>3</v>
      </c>
      <c r="AX386">
        <v>0</v>
      </c>
      <c r="AY386">
        <v>1</v>
      </c>
      <c r="AZ386" t="s">
        <v>1</v>
      </c>
      <c r="BA386" t="s">
        <v>1</v>
      </c>
      <c r="BB386" t="s">
        <v>1</v>
      </c>
      <c r="BC386" s="21" t="s">
        <v>748</v>
      </c>
      <c r="BD386" s="21" t="s">
        <v>144</v>
      </c>
      <c r="BE386">
        <v>0</v>
      </c>
      <c r="BF386">
        <v>0</v>
      </c>
      <c r="BG386">
        <v>0</v>
      </c>
      <c r="BH386">
        <v>0</v>
      </c>
      <c r="BI386">
        <v>0</v>
      </c>
      <c r="BJ386" t="s">
        <v>749</v>
      </c>
      <c r="BK386">
        <v>0</v>
      </c>
      <c r="BL386" t="s">
        <v>132</v>
      </c>
      <c r="BM386">
        <v>0</v>
      </c>
      <c r="BN386">
        <v>1</v>
      </c>
      <c r="BO386">
        <v>0</v>
      </c>
      <c r="BP386">
        <v>0</v>
      </c>
      <c r="BQ386">
        <v>0</v>
      </c>
      <c r="BR386">
        <v>0</v>
      </c>
      <c r="BS386">
        <v>0</v>
      </c>
      <c r="BT386">
        <v>0</v>
      </c>
      <c r="BU386">
        <v>0</v>
      </c>
      <c r="BV386">
        <v>0</v>
      </c>
      <c r="BW386" t="s">
        <v>0</v>
      </c>
      <c r="BX386">
        <v>0</v>
      </c>
      <c r="BY386">
        <v>0</v>
      </c>
      <c r="BZ386">
        <v>0</v>
      </c>
      <c r="CA386">
        <v>0</v>
      </c>
      <c r="CB386" t="s">
        <v>145</v>
      </c>
      <c r="CD386" t="str" cm="1">
        <f t="array" aca="1" ref="CD386" ca="1">eConcatenar(A386:CB386,"|")</f>
        <v>N2oF6IMCIJS58fwb|MODIFVHS176|3|MODIF|MODIF|MODIF|MODIF|2022-01-01|1|0|0|0|0|0|0|0|0|0|0|0|0|0|0|0|0|0|0|x|x|x|x|x|x|x|x|x|x|x|x|x|x|x|x|x|x|x|x|x|x|0|1|X|X|X|2022-2-10|2022-02-23|0|0|0|0|0|QWYNRBIY9KVTQO|0|HOMBRE|0|1|0|0|0|0|0|0|0|0|CARDENAS|0|0|0|0|FINAL</v>
      </c>
    </row>
    <row r="387" spans="1:82" x14ac:dyDescent="0.25">
      <c r="A387" t="s">
        <v>927</v>
      </c>
      <c r="B387" t="s">
        <v>723</v>
      </c>
      <c r="C387">
        <v>3</v>
      </c>
      <c r="D387" t="s">
        <v>346</v>
      </c>
      <c r="E387" t="s">
        <v>346</v>
      </c>
      <c r="F387" t="s">
        <v>346</v>
      </c>
      <c r="G387" t="s">
        <v>346</v>
      </c>
      <c r="H387" s="21" t="s">
        <v>747</v>
      </c>
      <c r="I387">
        <v>1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 t="s">
        <v>3</v>
      </c>
      <c r="AC387" t="s">
        <v>3</v>
      </c>
      <c r="AD387" t="s">
        <v>3</v>
      </c>
      <c r="AE387" t="s">
        <v>3</v>
      </c>
      <c r="AF387" t="s">
        <v>3</v>
      </c>
      <c r="AG387" t="s">
        <v>3</v>
      </c>
      <c r="AH387" t="s">
        <v>3</v>
      </c>
      <c r="AI387" t="s">
        <v>3</v>
      </c>
      <c r="AJ387" t="s">
        <v>3</v>
      </c>
      <c r="AK387" t="s">
        <v>3</v>
      </c>
      <c r="AL387" t="s">
        <v>3</v>
      </c>
      <c r="AM387" t="s">
        <v>3</v>
      </c>
      <c r="AN387" t="s">
        <v>3</v>
      </c>
      <c r="AO387" t="s">
        <v>3</v>
      </c>
      <c r="AP387" t="s">
        <v>3</v>
      </c>
      <c r="AQ387" t="s">
        <v>3</v>
      </c>
      <c r="AR387" t="s">
        <v>3</v>
      </c>
      <c r="AS387" t="s">
        <v>3</v>
      </c>
      <c r="AT387" t="s">
        <v>3</v>
      </c>
      <c r="AU387" t="s">
        <v>3</v>
      </c>
      <c r="AV387" t="s">
        <v>3</v>
      </c>
      <c r="AW387" t="s">
        <v>3</v>
      </c>
      <c r="AX387">
        <v>0</v>
      </c>
      <c r="AY387">
        <v>1</v>
      </c>
      <c r="AZ387" t="s">
        <v>1</v>
      </c>
      <c r="BA387" t="s">
        <v>1</v>
      </c>
      <c r="BB387" t="s">
        <v>1</v>
      </c>
      <c r="BC387" s="21" t="s">
        <v>748</v>
      </c>
      <c r="BD387" s="21" t="s">
        <v>144</v>
      </c>
      <c r="BE387">
        <v>0</v>
      </c>
      <c r="BF387">
        <v>0</v>
      </c>
      <c r="BG387">
        <v>0</v>
      </c>
      <c r="BH387">
        <v>0</v>
      </c>
      <c r="BI387">
        <v>0</v>
      </c>
      <c r="BJ387" t="s">
        <v>749</v>
      </c>
      <c r="BK387">
        <v>0</v>
      </c>
      <c r="BL387" t="s">
        <v>132</v>
      </c>
      <c r="BM387">
        <v>0</v>
      </c>
      <c r="BN387">
        <v>1</v>
      </c>
      <c r="BO387">
        <v>0</v>
      </c>
      <c r="BP387">
        <v>0</v>
      </c>
      <c r="BQ387">
        <v>0</v>
      </c>
      <c r="BR387">
        <v>0</v>
      </c>
      <c r="BS387">
        <v>0</v>
      </c>
      <c r="BT387">
        <v>0</v>
      </c>
      <c r="BU387">
        <v>0</v>
      </c>
      <c r="BV387">
        <v>0</v>
      </c>
      <c r="BW387" t="s">
        <v>0</v>
      </c>
      <c r="BX387">
        <v>0</v>
      </c>
      <c r="BY387">
        <v>0</v>
      </c>
      <c r="BZ387">
        <v>0</v>
      </c>
      <c r="CA387">
        <v>0</v>
      </c>
      <c r="CB387" t="s">
        <v>145</v>
      </c>
      <c r="CD387" t="str" cm="1">
        <f t="array" aca="1" ref="CD387" ca="1">eConcatenar(A387:CB387,"|")</f>
        <v>E1imoQeBICBiik0P|MODIFVHS177|3|MODIF|MODIF|MODIF|MODIF|2022-01-01|1|0|0|0|0|0|0|0|0|0|0|0|0|0|0|0|0|0|0|x|x|x|x|x|x|x|x|x|x|x|x|x|x|x|x|x|x|x|x|x|x|0|1|X|X|X|2022-2-10|2022-02-23|0|0|0|0|0|QWYNRBIY9KVTQO|0|HOMBRE|0|1|0|0|0|0|0|0|0|0|CARDENAS|0|0|0|0|FINAL</v>
      </c>
    </row>
    <row r="388" spans="1:82" x14ac:dyDescent="0.25">
      <c r="A388" t="s">
        <v>928</v>
      </c>
      <c r="B388" t="s">
        <v>724</v>
      </c>
      <c r="C388">
        <v>3</v>
      </c>
      <c r="D388" t="s">
        <v>346</v>
      </c>
      <c r="E388" t="s">
        <v>346</v>
      </c>
      <c r="F388" t="s">
        <v>346</v>
      </c>
      <c r="G388" t="s">
        <v>346</v>
      </c>
      <c r="H388" s="21" t="s">
        <v>747</v>
      </c>
      <c r="I388">
        <v>1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 t="s">
        <v>3</v>
      </c>
      <c r="AC388" t="s">
        <v>3</v>
      </c>
      <c r="AD388" t="s">
        <v>3</v>
      </c>
      <c r="AE388" t="s">
        <v>3</v>
      </c>
      <c r="AF388" t="s">
        <v>3</v>
      </c>
      <c r="AG388" t="s">
        <v>3</v>
      </c>
      <c r="AH388" t="s">
        <v>3</v>
      </c>
      <c r="AI388" t="s">
        <v>3</v>
      </c>
      <c r="AJ388" t="s">
        <v>3</v>
      </c>
      <c r="AK388" t="s">
        <v>3</v>
      </c>
      <c r="AL388" t="s">
        <v>3</v>
      </c>
      <c r="AM388" t="s">
        <v>3</v>
      </c>
      <c r="AN388" t="s">
        <v>3</v>
      </c>
      <c r="AO388" t="s">
        <v>3</v>
      </c>
      <c r="AP388" t="s">
        <v>3</v>
      </c>
      <c r="AQ388" t="s">
        <v>3</v>
      </c>
      <c r="AR388" t="s">
        <v>3</v>
      </c>
      <c r="AS388" t="s">
        <v>3</v>
      </c>
      <c r="AT388" t="s">
        <v>3</v>
      </c>
      <c r="AU388" t="s">
        <v>3</v>
      </c>
      <c r="AV388" t="s">
        <v>3</v>
      </c>
      <c r="AW388" t="s">
        <v>3</v>
      </c>
      <c r="AX388">
        <v>0</v>
      </c>
      <c r="AY388">
        <v>1</v>
      </c>
      <c r="AZ388" t="s">
        <v>1</v>
      </c>
      <c r="BA388" t="s">
        <v>1</v>
      </c>
      <c r="BB388" t="s">
        <v>1</v>
      </c>
      <c r="BC388" s="21" t="s">
        <v>748</v>
      </c>
      <c r="BD388" s="21" t="s">
        <v>144</v>
      </c>
      <c r="BE388">
        <v>0</v>
      </c>
      <c r="BF388">
        <v>0</v>
      </c>
      <c r="BG388">
        <v>0</v>
      </c>
      <c r="BH388">
        <v>0</v>
      </c>
      <c r="BI388">
        <v>0</v>
      </c>
      <c r="BJ388" t="s">
        <v>749</v>
      </c>
      <c r="BK388">
        <v>0</v>
      </c>
      <c r="BL388" t="s">
        <v>132</v>
      </c>
      <c r="BM388">
        <v>0</v>
      </c>
      <c r="BN388">
        <v>1</v>
      </c>
      <c r="BO388">
        <v>0</v>
      </c>
      <c r="BP388">
        <v>0</v>
      </c>
      <c r="BQ388">
        <v>0</v>
      </c>
      <c r="BR388">
        <v>0</v>
      </c>
      <c r="BS388">
        <v>0</v>
      </c>
      <c r="BT388">
        <v>0</v>
      </c>
      <c r="BU388">
        <v>0</v>
      </c>
      <c r="BV388">
        <v>0</v>
      </c>
      <c r="BW388" t="s">
        <v>0</v>
      </c>
      <c r="BX388">
        <v>0</v>
      </c>
      <c r="BY388">
        <v>0</v>
      </c>
      <c r="BZ388">
        <v>0</v>
      </c>
      <c r="CA388">
        <v>0</v>
      </c>
      <c r="CB388" t="s">
        <v>145</v>
      </c>
      <c r="CD388" t="str" cm="1">
        <f t="array" aca="1" ref="CD388" ca="1">eConcatenar(A388:CB388,"|")</f>
        <v>re3p22J8FmEHoapm|MODIFVHS178|3|MODIF|MODIF|MODIF|MODIF|2022-01-01|1|0|0|0|0|0|0|0|0|0|0|0|0|0|0|0|0|0|0|x|x|x|x|x|x|x|x|x|x|x|x|x|x|x|x|x|x|x|x|x|x|0|1|X|X|X|2022-2-10|2022-02-23|0|0|0|0|0|QWYNRBIY9KVTQO|0|HOMBRE|0|1|0|0|0|0|0|0|0|0|CARDENAS|0|0|0|0|FINAL</v>
      </c>
    </row>
    <row r="389" spans="1:82" x14ac:dyDescent="0.25">
      <c r="A389" t="s">
        <v>929</v>
      </c>
      <c r="B389" t="s">
        <v>725</v>
      </c>
      <c r="C389">
        <v>3</v>
      </c>
      <c r="D389" t="s">
        <v>346</v>
      </c>
      <c r="E389" t="s">
        <v>346</v>
      </c>
      <c r="F389" t="s">
        <v>346</v>
      </c>
      <c r="G389" t="s">
        <v>346</v>
      </c>
      <c r="H389" s="21" t="s">
        <v>747</v>
      </c>
      <c r="I389">
        <v>1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 t="s">
        <v>3</v>
      </c>
      <c r="AC389" t="s">
        <v>3</v>
      </c>
      <c r="AD389" t="s">
        <v>3</v>
      </c>
      <c r="AE389" t="s">
        <v>3</v>
      </c>
      <c r="AF389" t="s">
        <v>3</v>
      </c>
      <c r="AG389" t="s">
        <v>3</v>
      </c>
      <c r="AH389" t="s">
        <v>3</v>
      </c>
      <c r="AI389" t="s">
        <v>3</v>
      </c>
      <c r="AJ389" t="s">
        <v>3</v>
      </c>
      <c r="AK389" t="s">
        <v>3</v>
      </c>
      <c r="AL389" t="s">
        <v>3</v>
      </c>
      <c r="AM389" t="s">
        <v>3</v>
      </c>
      <c r="AN389" t="s">
        <v>3</v>
      </c>
      <c r="AO389" t="s">
        <v>3</v>
      </c>
      <c r="AP389" t="s">
        <v>3</v>
      </c>
      <c r="AQ389" t="s">
        <v>3</v>
      </c>
      <c r="AR389" t="s">
        <v>3</v>
      </c>
      <c r="AS389" t="s">
        <v>3</v>
      </c>
      <c r="AT389" t="s">
        <v>3</v>
      </c>
      <c r="AU389" t="s">
        <v>3</v>
      </c>
      <c r="AV389" t="s">
        <v>3</v>
      </c>
      <c r="AW389" t="s">
        <v>3</v>
      </c>
      <c r="AX389">
        <v>0</v>
      </c>
      <c r="AY389">
        <v>1</v>
      </c>
      <c r="AZ389" t="s">
        <v>1</v>
      </c>
      <c r="BA389" t="s">
        <v>1</v>
      </c>
      <c r="BB389" t="s">
        <v>1</v>
      </c>
      <c r="BC389" s="21" t="s">
        <v>748</v>
      </c>
      <c r="BD389" s="21" t="s">
        <v>144</v>
      </c>
      <c r="BE389">
        <v>0</v>
      </c>
      <c r="BF389">
        <v>0</v>
      </c>
      <c r="BG389">
        <v>0</v>
      </c>
      <c r="BH389">
        <v>0</v>
      </c>
      <c r="BI389">
        <v>0</v>
      </c>
      <c r="BJ389" t="s">
        <v>749</v>
      </c>
      <c r="BK389">
        <v>0</v>
      </c>
      <c r="BL389" t="s">
        <v>132</v>
      </c>
      <c r="BM389">
        <v>0</v>
      </c>
      <c r="BN389">
        <v>1</v>
      </c>
      <c r="BO389">
        <v>0</v>
      </c>
      <c r="BP389">
        <v>0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  <c r="BW389" t="s">
        <v>0</v>
      </c>
      <c r="BX389">
        <v>0</v>
      </c>
      <c r="BY389">
        <v>0</v>
      </c>
      <c r="BZ389">
        <v>0</v>
      </c>
      <c r="CA389">
        <v>0</v>
      </c>
      <c r="CB389" t="s">
        <v>145</v>
      </c>
      <c r="CD389" t="str" cm="1">
        <f t="array" aca="1" ref="CD389" ca="1">eConcatenar(A389:CB389,"|")</f>
        <v>qEzlb9cXynJHTG6T|MODIFVHS179|3|MODIF|MODIF|MODIF|MODIF|2022-01-01|1|0|0|0|0|0|0|0|0|0|0|0|0|0|0|0|0|0|0|x|x|x|x|x|x|x|x|x|x|x|x|x|x|x|x|x|x|x|x|x|x|0|1|X|X|X|2022-2-10|2022-02-23|0|0|0|0|0|QWYNRBIY9KVTQO|0|HOMBRE|0|1|0|0|0|0|0|0|0|0|CARDENAS|0|0|0|0|FINAL</v>
      </c>
    </row>
    <row r="390" spans="1:82" x14ac:dyDescent="0.25">
      <c r="A390" t="s">
        <v>930</v>
      </c>
      <c r="B390" t="s">
        <v>726</v>
      </c>
      <c r="C390">
        <v>3</v>
      </c>
      <c r="D390" t="s">
        <v>346</v>
      </c>
      <c r="E390" t="s">
        <v>346</v>
      </c>
      <c r="F390" t="s">
        <v>346</v>
      </c>
      <c r="G390" t="s">
        <v>346</v>
      </c>
      <c r="H390" s="21" t="s">
        <v>747</v>
      </c>
      <c r="I390">
        <v>1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 t="s">
        <v>3</v>
      </c>
      <c r="AC390" t="s">
        <v>3</v>
      </c>
      <c r="AD390" t="s">
        <v>3</v>
      </c>
      <c r="AE390" t="s">
        <v>3</v>
      </c>
      <c r="AF390" t="s">
        <v>3</v>
      </c>
      <c r="AG390" t="s">
        <v>3</v>
      </c>
      <c r="AH390" t="s">
        <v>3</v>
      </c>
      <c r="AI390" t="s">
        <v>3</v>
      </c>
      <c r="AJ390" t="s">
        <v>3</v>
      </c>
      <c r="AK390" t="s">
        <v>3</v>
      </c>
      <c r="AL390" t="s">
        <v>3</v>
      </c>
      <c r="AM390" t="s">
        <v>3</v>
      </c>
      <c r="AN390" t="s">
        <v>3</v>
      </c>
      <c r="AO390" t="s">
        <v>3</v>
      </c>
      <c r="AP390" t="s">
        <v>3</v>
      </c>
      <c r="AQ390" t="s">
        <v>3</v>
      </c>
      <c r="AR390" t="s">
        <v>3</v>
      </c>
      <c r="AS390" t="s">
        <v>3</v>
      </c>
      <c r="AT390" t="s">
        <v>3</v>
      </c>
      <c r="AU390" t="s">
        <v>3</v>
      </c>
      <c r="AV390" t="s">
        <v>3</v>
      </c>
      <c r="AW390" t="s">
        <v>3</v>
      </c>
      <c r="AX390">
        <v>0</v>
      </c>
      <c r="AY390">
        <v>1</v>
      </c>
      <c r="AZ390" t="s">
        <v>1</v>
      </c>
      <c r="BA390" t="s">
        <v>1</v>
      </c>
      <c r="BB390" t="s">
        <v>1</v>
      </c>
      <c r="BC390" s="21" t="s">
        <v>748</v>
      </c>
      <c r="BD390" s="21" t="s">
        <v>144</v>
      </c>
      <c r="BE390">
        <v>0</v>
      </c>
      <c r="BF390">
        <v>0</v>
      </c>
      <c r="BG390">
        <v>0</v>
      </c>
      <c r="BH390">
        <v>0</v>
      </c>
      <c r="BI390">
        <v>0</v>
      </c>
      <c r="BJ390" t="s">
        <v>749</v>
      </c>
      <c r="BK390">
        <v>0</v>
      </c>
      <c r="BL390" t="s">
        <v>132</v>
      </c>
      <c r="BM390">
        <v>0</v>
      </c>
      <c r="BN390">
        <v>1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 t="s">
        <v>0</v>
      </c>
      <c r="BX390">
        <v>0</v>
      </c>
      <c r="BY390">
        <v>0</v>
      </c>
      <c r="BZ390">
        <v>0</v>
      </c>
      <c r="CA390">
        <v>0</v>
      </c>
      <c r="CB390" t="s">
        <v>145</v>
      </c>
      <c r="CD390" t="str" cm="1">
        <f t="array" aca="1" ref="CD390" ca="1">eConcatenar(A390:CB390,"|")</f>
        <v>sVTVzyuy2ioAmdZa|MODIFVHS180|3|MODIF|MODIF|MODIF|MODIF|2022-01-01|1|0|0|0|0|0|0|0|0|0|0|0|0|0|0|0|0|0|0|x|x|x|x|x|x|x|x|x|x|x|x|x|x|x|x|x|x|x|x|x|x|0|1|X|X|X|2022-2-10|2022-02-23|0|0|0|0|0|QWYNRBIY9KVTQO|0|HOMBRE|0|1|0|0|0|0|0|0|0|0|CARDENAS|0|0|0|0|FINAL</v>
      </c>
    </row>
    <row r="391" spans="1:82" x14ac:dyDescent="0.25">
      <c r="A391" t="s">
        <v>931</v>
      </c>
      <c r="B391" t="s">
        <v>727</v>
      </c>
      <c r="C391">
        <v>3</v>
      </c>
      <c r="D391" t="s">
        <v>346</v>
      </c>
      <c r="E391" t="s">
        <v>346</v>
      </c>
      <c r="F391" t="s">
        <v>346</v>
      </c>
      <c r="G391" t="s">
        <v>346</v>
      </c>
      <c r="H391" s="21" t="s">
        <v>747</v>
      </c>
      <c r="I391">
        <v>1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 t="s">
        <v>3</v>
      </c>
      <c r="AC391" t="s">
        <v>3</v>
      </c>
      <c r="AD391" t="s">
        <v>3</v>
      </c>
      <c r="AE391" t="s">
        <v>3</v>
      </c>
      <c r="AF391" t="s">
        <v>3</v>
      </c>
      <c r="AG391" t="s">
        <v>3</v>
      </c>
      <c r="AH391" t="s">
        <v>3</v>
      </c>
      <c r="AI391" t="s">
        <v>3</v>
      </c>
      <c r="AJ391" t="s">
        <v>3</v>
      </c>
      <c r="AK391" t="s">
        <v>3</v>
      </c>
      <c r="AL391" t="s">
        <v>3</v>
      </c>
      <c r="AM391" t="s">
        <v>3</v>
      </c>
      <c r="AN391" t="s">
        <v>3</v>
      </c>
      <c r="AO391" t="s">
        <v>3</v>
      </c>
      <c r="AP391" t="s">
        <v>3</v>
      </c>
      <c r="AQ391" t="s">
        <v>3</v>
      </c>
      <c r="AR391" t="s">
        <v>3</v>
      </c>
      <c r="AS391" t="s">
        <v>3</v>
      </c>
      <c r="AT391" t="s">
        <v>3</v>
      </c>
      <c r="AU391" t="s">
        <v>3</v>
      </c>
      <c r="AV391" t="s">
        <v>3</v>
      </c>
      <c r="AW391" t="s">
        <v>3</v>
      </c>
      <c r="AX391">
        <v>0</v>
      </c>
      <c r="AY391">
        <v>1</v>
      </c>
      <c r="AZ391" t="s">
        <v>1</v>
      </c>
      <c r="BA391" t="s">
        <v>1</v>
      </c>
      <c r="BB391" t="s">
        <v>1</v>
      </c>
      <c r="BC391" s="21" t="s">
        <v>748</v>
      </c>
      <c r="BD391" s="21" t="s">
        <v>144</v>
      </c>
      <c r="BE391">
        <v>0</v>
      </c>
      <c r="BF391">
        <v>0</v>
      </c>
      <c r="BG391">
        <v>0</v>
      </c>
      <c r="BH391">
        <v>0</v>
      </c>
      <c r="BI391">
        <v>0</v>
      </c>
      <c r="BJ391" t="s">
        <v>749</v>
      </c>
      <c r="BK391">
        <v>0</v>
      </c>
      <c r="BL391" t="s">
        <v>132</v>
      </c>
      <c r="BM391">
        <v>0</v>
      </c>
      <c r="BN391">
        <v>1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W391" t="s">
        <v>0</v>
      </c>
      <c r="BX391">
        <v>0</v>
      </c>
      <c r="BY391">
        <v>0</v>
      </c>
      <c r="BZ391">
        <v>0</v>
      </c>
      <c r="CA391">
        <v>0</v>
      </c>
      <c r="CB391" t="s">
        <v>145</v>
      </c>
      <c r="CD391" t="str" cm="1">
        <f t="array" aca="1" ref="CD391" ca="1">eConcatenar(A391:CB391,"|")</f>
        <v>Xnhg4S55feHiykWf|MODIFVHS181|3|MODIF|MODIF|MODIF|MODIF|2022-01-01|1|0|0|0|0|0|0|0|0|0|0|0|0|0|0|0|0|0|0|x|x|x|x|x|x|x|x|x|x|x|x|x|x|x|x|x|x|x|x|x|x|0|1|X|X|X|2022-2-10|2022-02-23|0|0|0|0|0|QWYNRBIY9KVTQO|0|HOMBRE|0|1|0|0|0|0|0|0|0|0|CARDENAS|0|0|0|0|FINAL</v>
      </c>
    </row>
    <row r="392" spans="1:82" x14ac:dyDescent="0.25">
      <c r="A392" t="s">
        <v>932</v>
      </c>
      <c r="B392" t="s">
        <v>728</v>
      </c>
      <c r="C392">
        <v>3</v>
      </c>
      <c r="D392" t="s">
        <v>346</v>
      </c>
      <c r="E392" t="s">
        <v>346</v>
      </c>
      <c r="F392" t="s">
        <v>346</v>
      </c>
      <c r="G392" t="s">
        <v>346</v>
      </c>
      <c r="H392" s="21" t="s">
        <v>747</v>
      </c>
      <c r="I392">
        <v>1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 t="s">
        <v>3</v>
      </c>
      <c r="AC392" t="s">
        <v>3</v>
      </c>
      <c r="AD392" t="s">
        <v>3</v>
      </c>
      <c r="AE392" t="s">
        <v>3</v>
      </c>
      <c r="AF392" t="s">
        <v>3</v>
      </c>
      <c r="AG392" t="s">
        <v>3</v>
      </c>
      <c r="AH392" t="s">
        <v>3</v>
      </c>
      <c r="AI392" t="s">
        <v>3</v>
      </c>
      <c r="AJ392" t="s">
        <v>3</v>
      </c>
      <c r="AK392" t="s">
        <v>3</v>
      </c>
      <c r="AL392" t="s">
        <v>3</v>
      </c>
      <c r="AM392" t="s">
        <v>3</v>
      </c>
      <c r="AN392" t="s">
        <v>3</v>
      </c>
      <c r="AO392" t="s">
        <v>3</v>
      </c>
      <c r="AP392" t="s">
        <v>3</v>
      </c>
      <c r="AQ392" t="s">
        <v>3</v>
      </c>
      <c r="AR392" t="s">
        <v>3</v>
      </c>
      <c r="AS392" t="s">
        <v>3</v>
      </c>
      <c r="AT392" t="s">
        <v>3</v>
      </c>
      <c r="AU392" t="s">
        <v>3</v>
      </c>
      <c r="AV392" t="s">
        <v>3</v>
      </c>
      <c r="AW392" t="s">
        <v>3</v>
      </c>
      <c r="AX392">
        <v>0</v>
      </c>
      <c r="AY392">
        <v>1</v>
      </c>
      <c r="AZ392" t="s">
        <v>1</v>
      </c>
      <c r="BA392" t="s">
        <v>1</v>
      </c>
      <c r="BB392" t="s">
        <v>1</v>
      </c>
      <c r="BC392" s="21" t="s">
        <v>748</v>
      </c>
      <c r="BD392" s="21" t="s">
        <v>144</v>
      </c>
      <c r="BE392">
        <v>0</v>
      </c>
      <c r="BF392">
        <v>0</v>
      </c>
      <c r="BG392">
        <v>0</v>
      </c>
      <c r="BH392">
        <v>0</v>
      </c>
      <c r="BI392">
        <v>0</v>
      </c>
      <c r="BJ392" t="s">
        <v>749</v>
      </c>
      <c r="BK392">
        <v>0</v>
      </c>
      <c r="BL392" t="s">
        <v>132</v>
      </c>
      <c r="BM392">
        <v>0</v>
      </c>
      <c r="BN392">
        <v>1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0</v>
      </c>
      <c r="BV392">
        <v>0</v>
      </c>
      <c r="BW392" t="s">
        <v>0</v>
      </c>
      <c r="BX392">
        <v>0</v>
      </c>
      <c r="BY392">
        <v>0</v>
      </c>
      <c r="BZ392">
        <v>0</v>
      </c>
      <c r="CA392">
        <v>0</v>
      </c>
      <c r="CB392" t="s">
        <v>145</v>
      </c>
      <c r="CD392" t="str" cm="1">
        <f t="array" aca="1" ref="CD392" ca="1">eConcatenar(A392:CB392,"|")</f>
        <v>PgUdsltGEyLPslXq|MODIFVHS182|3|MODIF|MODIF|MODIF|MODIF|2022-01-01|1|0|0|0|0|0|0|0|0|0|0|0|0|0|0|0|0|0|0|x|x|x|x|x|x|x|x|x|x|x|x|x|x|x|x|x|x|x|x|x|x|0|1|X|X|X|2022-2-10|2022-02-23|0|0|0|0|0|QWYNRBIY9KVTQO|0|HOMBRE|0|1|0|0|0|0|0|0|0|0|CARDENAS|0|0|0|0|FINAL</v>
      </c>
    </row>
    <row r="393" spans="1:82" x14ac:dyDescent="0.25">
      <c r="A393" t="s">
        <v>933</v>
      </c>
      <c r="B393" t="s">
        <v>729</v>
      </c>
      <c r="C393">
        <v>3</v>
      </c>
      <c r="D393" t="s">
        <v>346</v>
      </c>
      <c r="E393" t="s">
        <v>346</v>
      </c>
      <c r="F393" t="s">
        <v>346</v>
      </c>
      <c r="G393" t="s">
        <v>346</v>
      </c>
      <c r="H393" s="21" t="s">
        <v>747</v>
      </c>
      <c r="I393">
        <v>1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 t="s">
        <v>3</v>
      </c>
      <c r="AC393" t="s">
        <v>3</v>
      </c>
      <c r="AD393" t="s">
        <v>3</v>
      </c>
      <c r="AE393" t="s">
        <v>3</v>
      </c>
      <c r="AF393" t="s">
        <v>3</v>
      </c>
      <c r="AG393" t="s">
        <v>3</v>
      </c>
      <c r="AH393" t="s">
        <v>3</v>
      </c>
      <c r="AI393" t="s">
        <v>3</v>
      </c>
      <c r="AJ393" t="s">
        <v>3</v>
      </c>
      <c r="AK393" t="s">
        <v>3</v>
      </c>
      <c r="AL393" t="s">
        <v>3</v>
      </c>
      <c r="AM393" t="s">
        <v>3</v>
      </c>
      <c r="AN393" t="s">
        <v>3</v>
      </c>
      <c r="AO393" t="s">
        <v>3</v>
      </c>
      <c r="AP393" t="s">
        <v>3</v>
      </c>
      <c r="AQ393" t="s">
        <v>3</v>
      </c>
      <c r="AR393" t="s">
        <v>3</v>
      </c>
      <c r="AS393" t="s">
        <v>3</v>
      </c>
      <c r="AT393" t="s">
        <v>3</v>
      </c>
      <c r="AU393" t="s">
        <v>3</v>
      </c>
      <c r="AV393" t="s">
        <v>3</v>
      </c>
      <c r="AW393" t="s">
        <v>3</v>
      </c>
      <c r="AX393">
        <v>0</v>
      </c>
      <c r="AY393">
        <v>1</v>
      </c>
      <c r="AZ393" t="s">
        <v>1</v>
      </c>
      <c r="BA393" t="s">
        <v>1</v>
      </c>
      <c r="BB393" t="s">
        <v>1</v>
      </c>
      <c r="BC393" s="21" t="s">
        <v>748</v>
      </c>
      <c r="BD393" s="21" t="s">
        <v>144</v>
      </c>
      <c r="BE393">
        <v>0</v>
      </c>
      <c r="BF393">
        <v>0</v>
      </c>
      <c r="BG393">
        <v>0</v>
      </c>
      <c r="BH393">
        <v>0</v>
      </c>
      <c r="BI393">
        <v>0</v>
      </c>
      <c r="BJ393" t="s">
        <v>749</v>
      </c>
      <c r="BK393">
        <v>0</v>
      </c>
      <c r="BL393" t="s">
        <v>132</v>
      </c>
      <c r="BM393">
        <v>0</v>
      </c>
      <c r="BN393">
        <v>1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 t="s">
        <v>0</v>
      </c>
      <c r="BX393">
        <v>0</v>
      </c>
      <c r="BY393">
        <v>0</v>
      </c>
      <c r="BZ393">
        <v>0</v>
      </c>
      <c r="CA393">
        <v>0</v>
      </c>
      <c r="CB393" t="s">
        <v>145</v>
      </c>
      <c r="CD393" t="str" cm="1">
        <f t="array" aca="1" ref="CD393" ca="1">eConcatenar(A393:CB393,"|")</f>
        <v>MEEKV0FO2rV3cfW0|MODIFVHS183|3|MODIF|MODIF|MODIF|MODIF|2022-01-01|1|0|0|0|0|0|0|0|0|0|0|0|0|0|0|0|0|0|0|x|x|x|x|x|x|x|x|x|x|x|x|x|x|x|x|x|x|x|x|x|x|0|1|X|X|X|2022-2-10|2022-02-23|0|0|0|0|0|QWYNRBIY9KVTQO|0|HOMBRE|0|1|0|0|0|0|0|0|0|0|CARDENAS|0|0|0|0|FINAL</v>
      </c>
    </row>
    <row r="394" spans="1:82" x14ac:dyDescent="0.25">
      <c r="A394" t="s">
        <v>934</v>
      </c>
      <c r="B394" t="s">
        <v>730</v>
      </c>
      <c r="C394">
        <v>3</v>
      </c>
      <c r="D394" t="s">
        <v>346</v>
      </c>
      <c r="E394" t="s">
        <v>346</v>
      </c>
      <c r="F394" t="s">
        <v>346</v>
      </c>
      <c r="G394" t="s">
        <v>346</v>
      </c>
      <c r="H394" s="21" t="s">
        <v>747</v>
      </c>
      <c r="I394">
        <v>1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 t="s">
        <v>3</v>
      </c>
      <c r="AC394" t="s">
        <v>3</v>
      </c>
      <c r="AD394" t="s">
        <v>3</v>
      </c>
      <c r="AE394" t="s">
        <v>3</v>
      </c>
      <c r="AF394" t="s">
        <v>3</v>
      </c>
      <c r="AG394" t="s">
        <v>3</v>
      </c>
      <c r="AH394" t="s">
        <v>3</v>
      </c>
      <c r="AI394" t="s">
        <v>3</v>
      </c>
      <c r="AJ394" t="s">
        <v>3</v>
      </c>
      <c r="AK394" t="s">
        <v>3</v>
      </c>
      <c r="AL394" t="s">
        <v>3</v>
      </c>
      <c r="AM394" t="s">
        <v>3</v>
      </c>
      <c r="AN394" t="s">
        <v>3</v>
      </c>
      <c r="AO394" t="s">
        <v>3</v>
      </c>
      <c r="AP394" t="s">
        <v>3</v>
      </c>
      <c r="AQ394" t="s">
        <v>3</v>
      </c>
      <c r="AR394" t="s">
        <v>3</v>
      </c>
      <c r="AS394" t="s">
        <v>3</v>
      </c>
      <c r="AT394" t="s">
        <v>3</v>
      </c>
      <c r="AU394" t="s">
        <v>3</v>
      </c>
      <c r="AV394" t="s">
        <v>3</v>
      </c>
      <c r="AW394" t="s">
        <v>3</v>
      </c>
      <c r="AX394">
        <v>0</v>
      </c>
      <c r="AY394">
        <v>1</v>
      </c>
      <c r="AZ394" t="s">
        <v>1</v>
      </c>
      <c r="BA394" t="s">
        <v>1</v>
      </c>
      <c r="BB394" t="s">
        <v>1</v>
      </c>
      <c r="BC394" s="21" t="s">
        <v>748</v>
      </c>
      <c r="BD394" s="21" t="s">
        <v>144</v>
      </c>
      <c r="BE394">
        <v>0</v>
      </c>
      <c r="BF394">
        <v>0</v>
      </c>
      <c r="BG394">
        <v>0</v>
      </c>
      <c r="BH394">
        <v>0</v>
      </c>
      <c r="BI394">
        <v>0</v>
      </c>
      <c r="BJ394" t="s">
        <v>749</v>
      </c>
      <c r="BK394">
        <v>0</v>
      </c>
      <c r="BL394" t="s">
        <v>132</v>
      </c>
      <c r="BM394">
        <v>0</v>
      </c>
      <c r="BN394">
        <v>1</v>
      </c>
      <c r="BO394">
        <v>0</v>
      </c>
      <c r="BP394">
        <v>0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0</v>
      </c>
      <c r="BW394" t="s">
        <v>0</v>
      </c>
      <c r="BX394">
        <v>0</v>
      </c>
      <c r="BY394">
        <v>0</v>
      </c>
      <c r="BZ394">
        <v>0</v>
      </c>
      <c r="CA394">
        <v>0</v>
      </c>
      <c r="CB394" t="s">
        <v>145</v>
      </c>
      <c r="CD394" t="str" cm="1">
        <f t="array" aca="1" ref="CD394" ca="1">eConcatenar(A394:CB394,"|")</f>
        <v>u57ZhvqWc8fpf9Ff|MODIFVHS184|3|MODIF|MODIF|MODIF|MODIF|2022-01-01|1|0|0|0|0|0|0|0|0|0|0|0|0|0|0|0|0|0|0|x|x|x|x|x|x|x|x|x|x|x|x|x|x|x|x|x|x|x|x|x|x|0|1|X|X|X|2022-2-10|2022-02-23|0|0|0|0|0|QWYNRBIY9KVTQO|0|HOMBRE|0|1|0|0|0|0|0|0|0|0|CARDENAS|0|0|0|0|FINAL</v>
      </c>
    </row>
    <row r="395" spans="1:82" x14ac:dyDescent="0.25">
      <c r="A395" t="s">
        <v>935</v>
      </c>
      <c r="B395" t="s">
        <v>731</v>
      </c>
      <c r="C395">
        <v>3</v>
      </c>
      <c r="D395" t="s">
        <v>346</v>
      </c>
      <c r="E395" t="s">
        <v>346</v>
      </c>
      <c r="F395" t="s">
        <v>346</v>
      </c>
      <c r="G395" t="s">
        <v>346</v>
      </c>
      <c r="H395" s="21" t="s">
        <v>747</v>
      </c>
      <c r="I395">
        <v>1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">
        <v>3</v>
      </c>
      <c r="AC395" t="s">
        <v>3</v>
      </c>
      <c r="AD395" t="s">
        <v>3</v>
      </c>
      <c r="AE395" t="s">
        <v>3</v>
      </c>
      <c r="AF395" t="s">
        <v>3</v>
      </c>
      <c r="AG395" t="s">
        <v>3</v>
      </c>
      <c r="AH395" t="s">
        <v>3</v>
      </c>
      <c r="AI395" t="s">
        <v>3</v>
      </c>
      <c r="AJ395" t="s">
        <v>3</v>
      </c>
      <c r="AK395" t="s">
        <v>3</v>
      </c>
      <c r="AL395" t="s">
        <v>3</v>
      </c>
      <c r="AM395" t="s">
        <v>3</v>
      </c>
      <c r="AN395" t="s">
        <v>3</v>
      </c>
      <c r="AO395" t="s">
        <v>3</v>
      </c>
      <c r="AP395" t="s">
        <v>3</v>
      </c>
      <c r="AQ395" t="s">
        <v>3</v>
      </c>
      <c r="AR395" t="s">
        <v>3</v>
      </c>
      <c r="AS395" t="s">
        <v>3</v>
      </c>
      <c r="AT395" t="s">
        <v>3</v>
      </c>
      <c r="AU395" t="s">
        <v>3</v>
      </c>
      <c r="AV395" t="s">
        <v>3</v>
      </c>
      <c r="AW395" t="s">
        <v>3</v>
      </c>
      <c r="AX395">
        <v>0</v>
      </c>
      <c r="AY395">
        <v>1</v>
      </c>
      <c r="AZ395" t="s">
        <v>1</v>
      </c>
      <c r="BA395" t="s">
        <v>1</v>
      </c>
      <c r="BB395" t="s">
        <v>1</v>
      </c>
      <c r="BC395" s="21" t="s">
        <v>748</v>
      </c>
      <c r="BD395" s="21" t="s">
        <v>144</v>
      </c>
      <c r="BE395">
        <v>0</v>
      </c>
      <c r="BF395">
        <v>0</v>
      </c>
      <c r="BG395">
        <v>0</v>
      </c>
      <c r="BH395">
        <v>0</v>
      </c>
      <c r="BI395">
        <v>0</v>
      </c>
      <c r="BJ395" t="s">
        <v>749</v>
      </c>
      <c r="BK395">
        <v>0</v>
      </c>
      <c r="BL395" t="s">
        <v>132</v>
      </c>
      <c r="BM395">
        <v>0</v>
      </c>
      <c r="BN395">
        <v>1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  <c r="BW395" t="s">
        <v>0</v>
      </c>
      <c r="BX395">
        <v>0</v>
      </c>
      <c r="BY395">
        <v>0</v>
      </c>
      <c r="BZ395">
        <v>0</v>
      </c>
      <c r="CA395">
        <v>0</v>
      </c>
      <c r="CB395" t="s">
        <v>145</v>
      </c>
      <c r="CD395" t="str" cm="1">
        <f t="array" aca="1" ref="CD395" ca="1">eConcatenar(A395:CB395,"|")</f>
        <v>6QkvI7emiSZ4Xvv6|MODIFVHS185|3|MODIF|MODIF|MODIF|MODIF|2022-01-01|1|0|0|0|0|0|0|0|0|0|0|0|0|0|0|0|0|0|0|x|x|x|x|x|x|x|x|x|x|x|x|x|x|x|x|x|x|x|x|x|x|0|1|X|X|X|2022-2-10|2022-02-23|0|0|0|0|0|QWYNRBIY9KVTQO|0|HOMBRE|0|1|0|0|0|0|0|0|0|0|CARDENAS|0|0|0|0|FINAL</v>
      </c>
    </row>
    <row r="396" spans="1:82" x14ac:dyDescent="0.25">
      <c r="A396" t="s">
        <v>936</v>
      </c>
      <c r="B396" t="s">
        <v>732</v>
      </c>
      <c r="C396">
        <v>3</v>
      </c>
      <c r="D396" t="s">
        <v>346</v>
      </c>
      <c r="E396" t="s">
        <v>346</v>
      </c>
      <c r="F396" t="s">
        <v>346</v>
      </c>
      <c r="G396" t="s">
        <v>346</v>
      </c>
      <c r="H396" s="21" t="s">
        <v>747</v>
      </c>
      <c r="I396">
        <v>1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 t="s">
        <v>3</v>
      </c>
      <c r="AC396" t="s">
        <v>3</v>
      </c>
      <c r="AD396" t="s">
        <v>3</v>
      </c>
      <c r="AE396" t="s">
        <v>3</v>
      </c>
      <c r="AF396" t="s">
        <v>3</v>
      </c>
      <c r="AG396" t="s">
        <v>3</v>
      </c>
      <c r="AH396" t="s">
        <v>3</v>
      </c>
      <c r="AI396" t="s">
        <v>3</v>
      </c>
      <c r="AJ396" t="s">
        <v>3</v>
      </c>
      <c r="AK396" t="s">
        <v>3</v>
      </c>
      <c r="AL396" t="s">
        <v>3</v>
      </c>
      <c r="AM396" t="s">
        <v>3</v>
      </c>
      <c r="AN396" t="s">
        <v>3</v>
      </c>
      <c r="AO396" t="s">
        <v>3</v>
      </c>
      <c r="AP396" t="s">
        <v>3</v>
      </c>
      <c r="AQ396" t="s">
        <v>3</v>
      </c>
      <c r="AR396" t="s">
        <v>3</v>
      </c>
      <c r="AS396" t="s">
        <v>3</v>
      </c>
      <c r="AT396" t="s">
        <v>3</v>
      </c>
      <c r="AU396" t="s">
        <v>3</v>
      </c>
      <c r="AV396" t="s">
        <v>3</v>
      </c>
      <c r="AW396" t="s">
        <v>3</v>
      </c>
      <c r="AX396">
        <v>0</v>
      </c>
      <c r="AY396">
        <v>1</v>
      </c>
      <c r="AZ396" t="s">
        <v>1</v>
      </c>
      <c r="BA396" t="s">
        <v>1</v>
      </c>
      <c r="BB396" t="s">
        <v>1</v>
      </c>
      <c r="BC396" s="21" t="s">
        <v>748</v>
      </c>
      <c r="BD396" s="21" t="s">
        <v>144</v>
      </c>
      <c r="BE396">
        <v>0</v>
      </c>
      <c r="BF396">
        <v>0</v>
      </c>
      <c r="BG396">
        <v>0</v>
      </c>
      <c r="BH396">
        <v>0</v>
      </c>
      <c r="BI396">
        <v>0</v>
      </c>
      <c r="BJ396" t="s">
        <v>749</v>
      </c>
      <c r="BK396">
        <v>0</v>
      </c>
      <c r="BL396" t="s">
        <v>132</v>
      </c>
      <c r="BM396">
        <v>0</v>
      </c>
      <c r="BN396">
        <v>1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 t="s">
        <v>0</v>
      </c>
      <c r="BX396">
        <v>0</v>
      </c>
      <c r="BY396">
        <v>0</v>
      </c>
      <c r="BZ396">
        <v>0</v>
      </c>
      <c r="CA396">
        <v>0</v>
      </c>
      <c r="CB396" t="s">
        <v>145</v>
      </c>
      <c r="CD396" t="str" cm="1">
        <f t="array" aca="1" ref="CD396" ca="1">eConcatenar(A396:CB396,"|")</f>
        <v>0nDjEO5YuGIEpNIr|MODIFVHS186|3|MODIF|MODIF|MODIF|MODIF|2022-01-01|1|0|0|0|0|0|0|0|0|0|0|0|0|0|0|0|0|0|0|x|x|x|x|x|x|x|x|x|x|x|x|x|x|x|x|x|x|x|x|x|x|0|1|X|X|X|2022-2-10|2022-02-23|0|0|0|0|0|QWYNRBIY9KVTQO|0|HOMBRE|0|1|0|0|0|0|0|0|0|0|CARDENAS|0|0|0|0|FINAL</v>
      </c>
    </row>
    <row r="397" spans="1:82" x14ac:dyDescent="0.25">
      <c r="A397" t="s">
        <v>937</v>
      </c>
      <c r="B397" t="s">
        <v>733</v>
      </c>
      <c r="C397">
        <v>3</v>
      </c>
      <c r="D397" t="s">
        <v>346</v>
      </c>
      <c r="E397" t="s">
        <v>346</v>
      </c>
      <c r="F397" t="s">
        <v>346</v>
      </c>
      <c r="G397" t="s">
        <v>346</v>
      </c>
      <c r="H397" s="21" t="s">
        <v>747</v>
      </c>
      <c r="I397">
        <v>1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 t="s">
        <v>3</v>
      </c>
      <c r="AC397" t="s">
        <v>3</v>
      </c>
      <c r="AD397" t="s">
        <v>3</v>
      </c>
      <c r="AE397" t="s">
        <v>3</v>
      </c>
      <c r="AF397" t="s">
        <v>3</v>
      </c>
      <c r="AG397" t="s">
        <v>3</v>
      </c>
      <c r="AH397" t="s">
        <v>3</v>
      </c>
      <c r="AI397" t="s">
        <v>3</v>
      </c>
      <c r="AJ397" t="s">
        <v>3</v>
      </c>
      <c r="AK397" t="s">
        <v>3</v>
      </c>
      <c r="AL397" t="s">
        <v>3</v>
      </c>
      <c r="AM397" t="s">
        <v>3</v>
      </c>
      <c r="AN397" t="s">
        <v>3</v>
      </c>
      <c r="AO397" t="s">
        <v>3</v>
      </c>
      <c r="AP397" t="s">
        <v>3</v>
      </c>
      <c r="AQ397" t="s">
        <v>3</v>
      </c>
      <c r="AR397" t="s">
        <v>3</v>
      </c>
      <c r="AS397" t="s">
        <v>3</v>
      </c>
      <c r="AT397" t="s">
        <v>3</v>
      </c>
      <c r="AU397" t="s">
        <v>3</v>
      </c>
      <c r="AV397" t="s">
        <v>3</v>
      </c>
      <c r="AW397" t="s">
        <v>3</v>
      </c>
      <c r="AX397">
        <v>0</v>
      </c>
      <c r="AY397">
        <v>1</v>
      </c>
      <c r="AZ397" t="s">
        <v>1</v>
      </c>
      <c r="BA397" t="s">
        <v>1</v>
      </c>
      <c r="BB397" t="s">
        <v>1</v>
      </c>
      <c r="BC397" s="21" t="s">
        <v>748</v>
      </c>
      <c r="BD397" s="21" t="s">
        <v>144</v>
      </c>
      <c r="BE397">
        <v>0</v>
      </c>
      <c r="BF397">
        <v>0</v>
      </c>
      <c r="BG397">
        <v>0</v>
      </c>
      <c r="BH397">
        <v>0</v>
      </c>
      <c r="BI397">
        <v>0</v>
      </c>
      <c r="BJ397" t="s">
        <v>749</v>
      </c>
      <c r="BK397">
        <v>0</v>
      </c>
      <c r="BL397" t="s">
        <v>132</v>
      </c>
      <c r="BM397">
        <v>0</v>
      </c>
      <c r="BN397">
        <v>1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 t="s">
        <v>0</v>
      </c>
      <c r="BX397">
        <v>0</v>
      </c>
      <c r="BY397">
        <v>0</v>
      </c>
      <c r="BZ397">
        <v>0</v>
      </c>
      <c r="CA397">
        <v>0</v>
      </c>
      <c r="CB397" t="s">
        <v>145</v>
      </c>
      <c r="CD397" t="str" cm="1">
        <f t="array" aca="1" ref="CD397" ca="1">eConcatenar(A397:CB397,"|")</f>
        <v>36cW19k5m2Uvmuya|MODIFVHS187|3|MODIF|MODIF|MODIF|MODIF|2022-01-01|1|0|0|0|0|0|0|0|0|0|0|0|0|0|0|0|0|0|0|x|x|x|x|x|x|x|x|x|x|x|x|x|x|x|x|x|x|x|x|x|x|0|1|X|X|X|2022-2-10|2022-02-23|0|0|0|0|0|QWYNRBIY9KVTQO|0|HOMBRE|0|1|0|0|0|0|0|0|0|0|CARDENAS|0|0|0|0|FINAL</v>
      </c>
    </row>
    <row r="398" spans="1:82" x14ac:dyDescent="0.25">
      <c r="A398" t="s">
        <v>938</v>
      </c>
      <c r="B398" t="s">
        <v>734</v>
      </c>
      <c r="C398">
        <v>3</v>
      </c>
      <c r="D398" t="s">
        <v>346</v>
      </c>
      <c r="E398" t="s">
        <v>346</v>
      </c>
      <c r="F398" t="s">
        <v>346</v>
      </c>
      <c r="G398" t="s">
        <v>346</v>
      </c>
      <c r="H398" s="21" t="s">
        <v>747</v>
      </c>
      <c r="I398">
        <v>1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 t="s">
        <v>3</v>
      </c>
      <c r="AC398" t="s">
        <v>3</v>
      </c>
      <c r="AD398" t="s">
        <v>3</v>
      </c>
      <c r="AE398" t="s">
        <v>3</v>
      </c>
      <c r="AF398" t="s">
        <v>3</v>
      </c>
      <c r="AG398" t="s">
        <v>3</v>
      </c>
      <c r="AH398" t="s">
        <v>3</v>
      </c>
      <c r="AI398" t="s">
        <v>3</v>
      </c>
      <c r="AJ398" t="s">
        <v>3</v>
      </c>
      <c r="AK398" t="s">
        <v>3</v>
      </c>
      <c r="AL398" t="s">
        <v>3</v>
      </c>
      <c r="AM398" t="s">
        <v>3</v>
      </c>
      <c r="AN398" t="s">
        <v>3</v>
      </c>
      <c r="AO398" t="s">
        <v>3</v>
      </c>
      <c r="AP398" t="s">
        <v>3</v>
      </c>
      <c r="AQ398" t="s">
        <v>3</v>
      </c>
      <c r="AR398" t="s">
        <v>3</v>
      </c>
      <c r="AS398" t="s">
        <v>3</v>
      </c>
      <c r="AT398" t="s">
        <v>3</v>
      </c>
      <c r="AU398" t="s">
        <v>3</v>
      </c>
      <c r="AV398" t="s">
        <v>3</v>
      </c>
      <c r="AW398" t="s">
        <v>3</v>
      </c>
      <c r="AX398">
        <v>0</v>
      </c>
      <c r="AY398">
        <v>1</v>
      </c>
      <c r="AZ398" t="s">
        <v>1</v>
      </c>
      <c r="BA398" t="s">
        <v>1</v>
      </c>
      <c r="BB398" t="s">
        <v>1</v>
      </c>
      <c r="BC398" s="21" t="s">
        <v>748</v>
      </c>
      <c r="BD398" s="21" t="s">
        <v>144</v>
      </c>
      <c r="BE398">
        <v>0</v>
      </c>
      <c r="BF398">
        <v>0</v>
      </c>
      <c r="BG398">
        <v>0</v>
      </c>
      <c r="BH398">
        <v>0</v>
      </c>
      <c r="BI398">
        <v>0</v>
      </c>
      <c r="BJ398" t="s">
        <v>749</v>
      </c>
      <c r="BK398">
        <v>0</v>
      </c>
      <c r="BL398" t="s">
        <v>132</v>
      </c>
      <c r="BM398">
        <v>0</v>
      </c>
      <c r="BN398">
        <v>1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 t="s">
        <v>0</v>
      </c>
      <c r="BX398">
        <v>0</v>
      </c>
      <c r="BY398">
        <v>0</v>
      </c>
      <c r="BZ398">
        <v>0</v>
      </c>
      <c r="CA398">
        <v>0</v>
      </c>
      <c r="CB398" t="s">
        <v>145</v>
      </c>
      <c r="CD398" t="str" cm="1">
        <f t="array" aca="1" ref="CD398" ca="1">eConcatenar(A398:CB398,"|")</f>
        <v>wizpq3P2NYLdIgaj|MODIFVHS188|3|MODIF|MODIF|MODIF|MODIF|2022-01-01|1|0|0|0|0|0|0|0|0|0|0|0|0|0|0|0|0|0|0|x|x|x|x|x|x|x|x|x|x|x|x|x|x|x|x|x|x|x|x|x|x|0|1|X|X|X|2022-2-10|2022-02-23|0|0|0|0|0|QWYNRBIY9KVTQO|0|HOMBRE|0|1|0|0|0|0|0|0|0|0|CARDENAS|0|0|0|0|FINAL</v>
      </c>
    </row>
    <row r="399" spans="1:82" x14ac:dyDescent="0.25">
      <c r="A399" t="s">
        <v>939</v>
      </c>
      <c r="B399" t="s">
        <v>735</v>
      </c>
      <c r="C399">
        <v>3</v>
      </c>
      <c r="D399" t="s">
        <v>346</v>
      </c>
      <c r="E399" t="s">
        <v>346</v>
      </c>
      <c r="F399" t="s">
        <v>346</v>
      </c>
      <c r="G399" t="s">
        <v>346</v>
      </c>
      <c r="H399" s="21" t="s">
        <v>747</v>
      </c>
      <c r="I399">
        <v>1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">
        <v>3</v>
      </c>
      <c r="AC399" t="s">
        <v>3</v>
      </c>
      <c r="AD399" t="s">
        <v>3</v>
      </c>
      <c r="AE399" t="s">
        <v>3</v>
      </c>
      <c r="AF399" t="s">
        <v>3</v>
      </c>
      <c r="AG399" t="s">
        <v>3</v>
      </c>
      <c r="AH399" t="s">
        <v>3</v>
      </c>
      <c r="AI399" t="s">
        <v>3</v>
      </c>
      <c r="AJ399" t="s">
        <v>3</v>
      </c>
      <c r="AK399" t="s">
        <v>3</v>
      </c>
      <c r="AL399" t="s">
        <v>3</v>
      </c>
      <c r="AM399" t="s">
        <v>3</v>
      </c>
      <c r="AN399" t="s">
        <v>3</v>
      </c>
      <c r="AO399" t="s">
        <v>3</v>
      </c>
      <c r="AP399" t="s">
        <v>3</v>
      </c>
      <c r="AQ399" t="s">
        <v>3</v>
      </c>
      <c r="AR399" t="s">
        <v>3</v>
      </c>
      <c r="AS399" t="s">
        <v>3</v>
      </c>
      <c r="AT399" t="s">
        <v>3</v>
      </c>
      <c r="AU399" t="s">
        <v>3</v>
      </c>
      <c r="AV399" t="s">
        <v>3</v>
      </c>
      <c r="AW399" t="s">
        <v>3</v>
      </c>
      <c r="AX399">
        <v>0</v>
      </c>
      <c r="AY399">
        <v>1</v>
      </c>
      <c r="AZ399" t="s">
        <v>1</v>
      </c>
      <c r="BA399" t="s">
        <v>1</v>
      </c>
      <c r="BB399" t="s">
        <v>1</v>
      </c>
      <c r="BC399" s="21" t="s">
        <v>748</v>
      </c>
      <c r="BD399" s="21" t="s">
        <v>144</v>
      </c>
      <c r="BE399">
        <v>0</v>
      </c>
      <c r="BF399">
        <v>0</v>
      </c>
      <c r="BG399">
        <v>0</v>
      </c>
      <c r="BH399">
        <v>0</v>
      </c>
      <c r="BI399">
        <v>0</v>
      </c>
      <c r="BJ399" t="s">
        <v>749</v>
      </c>
      <c r="BK399">
        <v>0</v>
      </c>
      <c r="BL399" t="s">
        <v>132</v>
      </c>
      <c r="BM399">
        <v>0</v>
      </c>
      <c r="BN399">
        <v>1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 t="s">
        <v>0</v>
      </c>
      <c r="BX399">
        <v>0</v>
      </c>
      <c r="BY399">
        <v>0</v>
      </c>
      <c r="BZ399">
        <v>0</v>
      </c>
      <c r="CA399">
        <v>0</v>
      </c>
      <c r="CB399" t="s">
        <v>145</v>
      </c>
      <c r="CD399" t="str" cm="1">
        <f t="array" aca="1" ref="CD399" ca="1">eConcatenar(A399:CB399,"|")</f>
        <v>9p1TUOvQbnYqtM03|MODIFVHS189|3|MODIF|MODIF|MODIF|MODIF|2022-01-01|1|0|0|0|0|0|0|0|0|0|0|0|0|0|0|0|0|0|0|x|x|x|x|x|x|x|x|x|x|x|x|x|x|x|x|x|x|x|x|x|x|0|1|X|X|X|2022-2-10|2022-02-23|0|0|0|0|0|QWYNRBIY9KVTQO|0|HOMBRE|0|1|0|0|0|0|0|0|0|0|CARDENAS|0|0|0|0|FINAL</v>
      </c>
    </row>
    <row r="400" spans="1:82" x14ac:dyDescent="0.25">
      <c r="A400" t="s">
        <v>940</v>
      </c>
      <c r="B400" t="s">
        <v>736</v>
      </c>
      <c r="C400">
        <v>3</v>
      </c>
      <c r="D400" t="s">
        <v>346</v>
      </c>
      <c r="E400" t="s">
        <v>346</v>
      </c>
      <c r="F400" t="s">
        <v>346</v>
      </c>
      <c r="G400" t="s">
        <v>346</v>
      </c>
      <c r="H400" s="21" t="s">
        <v>747</v>
      </c>
      <c r="I400">
        <v>1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 t="s">
        <v>3</v>
      </c>
      <c r="AC400" t="s">
        <v>3</v>
      </c>
      <c r="AD400" t="s">
        <v>3</v>
      </c>
      <c r="AE400" t="s">
        <v>3</v>
      </c>
      <c r="AF400" t="s">
        <v>3</v>
      </c>
      <c r="AG400" t="s">
        <v>3</v>
      </c>
      <c r="AH400" t="s">
        <v>3</v>
      </c>
      <c r="AI400" t="s">
        <v>3</v>
      </c>
      <c r="AJ400" t="s">
        <v>3</v>
      </c>
      <c r="AK400" t="s">
        <v>3</v>
      </c>
      <c r="AL400" t="s">
        <v>3</v>
      </c>
      <c r="AM400" t="s">
        <v>3</v>
      </c>
      <c r="AN400" t="s">
        <v>3</v>
      </c>
      <c r="AO400" t="s">
        <v>3</v>
      </c>
      <c r="AP400" t="s">
        <v>3</v>
      </c>
      <c r="AQ400" t="s">
        <v>3</v>
      </c>
      <c r="AR400" t="s">
        <v>3</v>
      </c>
      <c r="AS400" t="s">
        <v>3</v>
      </c>
      <c r="AT400" t="s">
        <v>3</v>
      </c>
      <c r="AU400" t="s">
        <v>3</v>
      </c>
      <c r="AV400" t="s">
        <v>3</v>
      </c>
      <c r="AW400" t="s">
        <v>3</v>
      </c>
      <c r="AX400">
        <v>0</v>
      </c>
      <c r="AY400">
        <v>1</v>
      </c>
      <c r="AZ400" t="s">
        <v>1</v>
      </c>
      <c r="BA400" t="s">
        <v>1</v>
      </c>
      <c r="BB400" t="s">
        <v>1</v>
      </c>
      <c r="BC400" s="21" t="s">
        <v>748</v>
      </c>
      <c r="BD400" s="21" t="s">
        <v>144</v>
      </c>
      <c r="BE400">
        <v>0</v>
      </c>
      <c r="BF400">
        <v>0</v>
      </c>
      <c r="BG400">
        <v>0</v>
      </c>
      <c r="BH400">
        <v>0</v>
      </c>
      <c r="BI400">
        <v>0</v>
      </c>
      <c r="BJ400" t="s">
        <v>749</v>
      </c>
      <c r="BK400">
        <v>0</v>
      </c>
      <c r="BL400" t="s">
        <v>132</v>
      </c>
      <c r="BM400">
        <v>0</v>
      </c>
      <c r="BN400">
        <v>1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 t="s">
        <v>0</v>
      </c>
      <c r="BX400">
        <v>0</v>
      </c>
      <c r="BY400">
        <v>0</v>
      </c>
      <c r="BZ400">
        <v>0</v>
      </c>
      <c r="CA400">
        <v>0</v>
      </c>
      <c r="CB400" t="s">
        <v>145</v>
      </c>
      <c r="CD400" t="str" cm="1">
        <f t="array" aca="1" ref="CD400" ca="1">eConcatenar(A400:CB400,"|")</f>
        <v>wKl7lhcDxKxlI1oT|MODIFVHS190|3|MODIF|MODIF|MODIF|MODIF|2022-01-01|1|0|0|0|0|0|0|0|0|0|0|0|0|0|0|0|0|0|0|x|x|x|x|x|x|x|x|x|x|x|x|x|x|x|x|x|x|x|x|x|x|0|1|X|X|X|2022-2-10|2022-02-23|0|0|0|0|0|QWYNRBIY9KVTQO|0|HOMBRE|0|1|0|0|0|0|0|0|0|0|CARDENAS|0|0|0|0|FINAL</v>
      </c>
    </row>
    <row r="401" spans="1:82" x14ac:dyDescent="0.25">
      <c r="A401" t="s">
        <v>941</v>
      </c>
      <c r="B401" t="s">
        <v>737</v>
      </c>
      <c r="C401">
        <v>3</v>
      </c>
      <c r="D401" t="s">
        <v>346</v>
      </c>
      <c r="E401" t="s">
        <v>346</v>
      </c>
      <c r="F401" t="s">
        <v>346</v>
      </c>
      <c r="G401" t="s">
        <v>346</v>
      </c>
      <c r="H401" s="21" t="s">
        <v>747</v>
      </c>
      <c r="I401">
        <v>1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 t="s">
        <v>3</v>
      </c>
      <c r="AC401" t="s">
        <v>3</v>
      </c>
      <c r="AD401" t="s">
        <v>3</v>
      </c>
      <c r="AE401" t="s">
        <v>3</v>
      </c>
      <c r="AF401" t="s">
        <v>3</v>
      </c>
      <c r="AG401" t="s">
        <v>3</v>
      </c>
      <c r="AH401" t="s">
        <v>3</v>
      </c>
      <c r="AI401" t="s">
        <v>3</v>
      </c>
      <c r="AJ401" t="s">
        <v>3</v>
      </c>
      <c r="AK401" t="s">
        <v>3</v>
      </c>
      <c r="AL401" t="s">
        <v>3</v>
      </c>
      <c r="AM401" t="s">
        <v>3</v>
      </c>
      <c r="AN401" t="s">
        <v>3</v>
      </c>
      <c r="AO401" t="s">
        <v>3</v>
      </c>
      <c r="AP401" t="s">
        <v>3</v>
      </c>
      <c r="AQ401" t="s">
        <v>3</v>
      </c>
      <c r="AR401" t="s">
        <v>3</v>
      </c>
      <c r="AS401" t="s">
        <v>3</v>
      </c>
      <c r="AT401" t="s">
        <v>3</v>
      </c>
      <c r="AU401" t="s">
        <v>3</v>
      </c>
      <c r="AV401" t="s">
        <v>3</v>
      </c>
      <c r="AW401" t="s">
        <v>3</v>
      </c>
      <c r="AX401">
        <v>0</v>
      </c>
      <c r="AY401">
        <v>1</v>
      </c>
      <c r="AZ401" t="s">
        <v>1</v>
      </c>
      <c r="BA401" t="s">
        <v>1</v>
      </c>
      <c r="BB401" t="s">
        <v>1</v>
      </c>
      <c r="BC401" s="21" t="s">
        <v>748</v>
      </c>
      <c r="BD401" s="21" t="s">
        <v>144</v>
      </c>
      <c r="BE401">
        <v>0</v>
      </c>
      <c r="BF401">
        <v>0</v>
      </c>
      <c r="BG401">
        <v>0</v>
      </c>
      <c r="BH401">
        <v>0</v>
      </c>
      <c r="BI401">
        <v>0</v>
      </c>
      <c r="BJ401" t="s">
        <v>749</v>
      </c>
      <c r="BK401">
        <v>0</v>
      </c>
      <c r="BL401" t="s">
        <v>132</v>
      </c>
      <c r="BM401">
        <v>0</v>
      </c>
      <c r="BN401">
        <v>1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 t="s">
        <v>0</v>
      </c>
      <c r="BX401">
        <v>0</v>
      </c>
      <c r="BY401">
        <v>0</v>
      </c>
      <c r="BZ401">
        <v>0</v>
      </c>
      <c r="CA401">
        <v>0</v>
      </c>
      <c r="CB401" t="s">
        <v>145</v>
      </c>
      <c r="CD401" t="str" cm="1">
        <f t="array" aca="1" ref="CD401" ca="1">eConcatenar(A401:CB401,"|")</f>
        <v>GHKQel8ENRQnTQ7s|MODIFVHS191|3|MODIF|MODIF|MODIF|MODIF|2022-01-01|1|0|0|0|0|0|0|0|0|0|0|0|0|0|0|0|0|0|0|x|x|x|x|x|x|x|x|x|x|x|x|x|x|x|x|x|x|x|x|x|x|0|1|X|X|X|2022-2-10|2022-02-23|0|0|0|0|0|QWYNRBIY9KVTQO|0|HOMBRE|0|1|0|0|0|0|0|0|0|0|CARDENAS|0|0|0|0|FINAL</v>
      </c>
    </row>
    <row r="402" spans="1:82" x14ac:dyDescent="0.25">
      <c r="A402" t="s">
        <v>942</v>
      </c>
      <c r="B402" t="s">
        <v>738</v>
      </c>
      <c r="C402">
        <v>3</v>
      </c>
      <c r="D402" t="s">
        <v>346</v>
      </c>
      <c r="E402" t="s">
        <v>346</v>
      </c>
      <c r="F402" t="s">
        <v>346</v>
      </c>
      <c r="G402" t="s">
        <v>346</v>
      </c>
      <c r="H402" s="21" t="s">
        <v>747</v>
      </c>
      <c r="I402">
        <v>1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 t="s">
        <v>3</v>
      </c>
      <c r="AC402" t="s">
        <v>3</v>
      </c>
      <c r="AD402" t="s">
        <v>3</v>
      </c>
      <c r="AE402" t="s">
        <v>3</v>
      </c>
      <c r="AF402" t="s">
        <v>3</v>
      </c>
      <c r="AG402" t="s">
        <v>3</v>
      </c>
      <c r="AH402" t="s">
        <v>3</v>
      </c>
      <c r="AI402" t="s">
        <v>3</v>
      </c>
      <c r="AJ402" t="s">
        <v>3</v>
      </c>
      <c r="AK402" t="s">
        <v>3</v>
      </c>
      <c r="AL402" t="s">
        <v>3</v>
      </c>
      <c r="AM402" t="s">
        <v>3</v>
      </c>
      <c r="AN402" t="s">
        <v>3</v>
      </c>
      <c r="AO402" t="s">
        <v>3</v>
      </c>
      <c r="AP402" t="s">
        <v>3</v>
      </c>
      <c r="AQ402" t="s">
        <v>3</v>
      </c>
      <c r="AR402" t="s">
        <v>3</v>
      </c>
      <c r="AS402" t="s">
        <v>3</v>
      </c>
      <c r="AT402" t="s">
        <v>3</v>
      </c>
      <c r="AU402" t="s">
        <v>3</v>
      </c>
      <c r="AV402" t="s">
        <v>3</v>
      </c>
      <c r="AW402" t="s">
        <v>3</v>
      </c>
      <c r="AX402">
        <v>0</v>
      </c>
      <c r="AY402">
        <v>1</v>
      </c>
      <c r="AZ402" t="s">
        <v>1</v>
      </c>
      <c r="BA402" t="s">
        <v>1</v>
      </c>
      <c r="BB402" t="s">
        <v>1</v>
      </c>
      <c r="BC402" s="21" t="s">
        <v>748</v>
      </c>
      <c r="BD402" s="21" t="s">
        <v>144</v>
      </c>
      <c r="BE402">
        <v>0</v>
      </c>
      <c r="BF402">
        <v>0</v>
      </c>
      <c r="BG402">
        <v>0</v>
      </c>
      <c r="BH402">
        <v>0</v>
      </c>
      <c r="BI402">
        <v>0</v>
      </c>
      <c r="BJ402" t="s">
        <v>749</v>
      </c>
      <c r="BK402">
        <v>0</v>
      </c>
      <c r="BL402" t="s">
        <v>132</v>
      </c>
      <c r="BM402">
        <v>0</v>
      </c>
      <c r="BN402">
        <v>1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 t="s">
        <v>0</v>
      </c>
      <c r="BX402">
        <v>0</v>
      </c>
      <c r="BY402">
        <v>0</v>
      </c>
      <c r="BZ402">
        <v>0</v>
      </c>
      <c r="CA402">
        <v>0</v>
      </c>
      <c r="CB402" t="s">
        <v>145</v>
      </c>
      <c r="CD402" t="str" cm="1">
        <f t="array" aca="1" ref="CD402" ca="1">eConcatenar(A402:CB402,"|")</f>
        <v>AkvarNhB68cRsV3e|MODIFVHS192|3|MODIF|MODIF|MODIF|MODIF|2022-01-01|1|0|0|0|0|0|0|0|0|0|0|0|0|0|0|0|0|0|0|x|x|x|x|x|x|x|x|x|x|x|x|x|x|x|x|x|x|x|x|x|x|0|1|X|X|X|2022-2-10|2022-02-23|0|0|0|0|0|QWYNRBIY9KVTQO|0|HOMBRE|0|1|0|0|0|0|0|0|0|0|CARDENAS|0|0|0|0|FINAL</v>
      </c>
    </row>
    <row r="403" spans="1:82" x14ac:dyDescent="0.25">
      <c r="A403" t="s">
        <v>943</v>
      </c>
      <c r="B403" t="s">
        <v>739</v>
      </c>
      <c r="C403">
        <v>3</v>
      </c>
      <c r="D403" t="s">
        <v>346</v>
      </c>
      <c r="E403" t="s">
        <v>346</v>
      </c>
      <c r="F403" t="s">
        <v>346</v>
      </c>
      <c r="G403" t="s">
        <v>346</v>
      </c>
      <c r="H403" s="21" t="s">
        <v>747</v>
      </c>
      <c r="I403">
        <v>1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 t="s">
        <v>3</v>
      </c>
      <c r="AC403" t="s">
        <v>3</v>
      </c>
      <c r="AD403" t="s">
        <v>3</v>
      </c>
      <c r="AE403" t="s">
        <v>3</v>
      </c>
      <c r="AF403" t="s">
        <v>3</v>
      </c>
      <c r="AG403" t="s">
        <v>3</v>
      </c>
      <c r="AH403" t="s">
        <v>3</v>
      </c>
      <c r="AI403" t="s">
        <v>3</v>
      </c>
      <c r="AJ403" t="s">
        <v>3</v>
      </c>
      <c r="AK403" t="s">
        <v>3</v>
      </c>
      <c r="AL403" t="s">
        <v>3</v>
      </c>
      <c r="AM403" t="s">
        <v>3</v>
      </c>
      <c r="AN403" t="s">
        <v>3</v>
      </c>
      <c r="AO403" t="s">
        <v>3</v>
      </c>
      <c r="AP403" t="s">
        <v>3</v>
      </c>
      <c r="AQ403" t="s">
        <v>3</v>
      </c>
      <c r="AR403" t="s">
        <v>3</v>
      </c>
      <c r="AS403" t="s">
        <v>3</v>
      </c>
      <c r="AT403" t="s">
        <v>3</v>
      </c>
      <c r="AU403" t="s">
        <v>3</v>
      </c>
      <c r="AV403" t="s">
        <v>3</v>
      </c>
      <c r="AW403" t="s">
        <v>3</v>
      </c>
      <c r="AX403">
        <v>0</v>
      </c>
      <c r="AY403">
        <v>1</v>
      </c>
      <c r="AZ403" t="s">
        <v>1</v>
      </c>
      <c r="BA403" t="s">
        <v>1</v>
      </c>
      <c r="BB403" t="s">
        <v>1</v>
      </c>
      <c r="BC403" s="21" t="s">
        <v>748</v>
      </c>
      <c r="BD403" s="21" t="s">
        <v>144</v>
      </c>
      <c r="BE403">
        <v>0</v>
      </c>
      <c r="BF403">
        <v>0</v>
      </c>
      <c r="BG403">
        <v>0</v>
      </c>
      <c r="BH403">
        <v>0</v>
      </c>
      <c r="BI403">
        <v>0</v>
      </c>
      <c r="BJ403" t="s">
        <v>749</v>
      </c>
      <c r="BK403">
        <v>0</v>
      </c>
      <c r="BL403" t="s">
        <v>132</v>
      </c>
      <c r="BM403">
        <v>0</v>
      </c>
      <c r="BN403">
        <v>1</v>
      </c>
      <c r="BO403">
        <v>0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 t="s">
        <v>0</v>
      </c>
      <c r="BX403">
        <v>0</v>
      </c>
      <c r="BY403">
        <v>0</v>
      </c>
      <c r="BZ403">
        <v>0</v>
      </c>
      <c r="CA403">
        <v>0</v>
      </c>
      <c r="CB403" t="s">
        <v>145</v>
      </c>
      <c r="CD403" t="str" cm="1">
        <f t="array" aca="1" ref="CD403" ca="1">eConcatenar(A403:CB403,"|")</f>
        <v>9RLacwJvGli0OXX3|MODIFVHS193|3|MODIF|MODIF|MODIF|MODIF|2022-01-01|1|0|0|0|0|0|0|0|0|0|0|0|0|0|0|0|0|0|0|x|x|x|x|x|x|x|x|x|x|x|x|x|x|x|x|x|x|x|x|x|x|0|1|X|X|X|2022-2-10|2022-02-23|0|0|0|0|0|QWYNRBIY9KVTQO|0|HOMBRE|0|1|0|0|0|0|0|0|0|0|CARDENAS|0|0|0|0|FINAL</v>
      </c>
    </row>
    <row r="404" spans="1:82" x14ac:dyDescent="0.25">
      <c r="A404" t="s">
        <v>944</v>
      </c>
      <c r="B404" t="s">
        <v>740</v>
      </c>
      <c r="C404">
        <v>3</v>
      </c>
      <c r="D404" t="s">
        <v>346</v>
      </c>
      <c r="E404" t="s">
        <v>346</v>
      </c>
      <c r="F404" t="s">
        <v>346</v>
      </c>
      <c r="G404" t="s">
        <v>346</v>
      </c>
      <c r="H404" s="21" t="s">
        <v>747</v>
      </c>
      <c r="I404">
        <v>1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 t="s">
        <v>3</v>
      </c>
      <c r="AC404" t="s">
        <v>3</v>
      </c>
      <c r="AD404" t="s">
        <v>3</v>
      </c>
      <c r="AE404" t="s">
        <v>3</v>
      </c>
      <c r="AF404" t="s">
        <v>3</v>
      </c>
      <c r="AG404" t="s">
        <v>3</v>
      </c>
      <c r="AH404" t="s">
        <v>3</v>
      </c>
      <c r="AI404" t="s">
        <v>3</v>
      </c>
      <c r="AJ404" t="s">
        <v>3</v>
      </c>
      <c r="AK404" t="s">
        <v>3</v>
      </c>
      <c r="AL404" t="s">
        <v>3</v>
      </c>
      <c r="AM404" t="s">
        <v>3</v>
      </c>
      <c r="AN404" t="s">
        <v>3</v>
      </c>
      <c r="AO404" t="s">
        <v>3</v>
      </c>
      <c r="AP404" t="s">
        <v>3</v>
      </c>
      <c r="AQ404" t="s">
        <v>3</v>
      </c>
      <c r="AR404" t="s">
        <v>3</v>
      </c>
      <c r="AS404" t="s">
        <v>3</v>
      </c>
      <c r="AT404" t="s">
        <v>3</v>
      </c>
      <c r="AU404" t="s">
        <v>3</v>
      </c>
      <c r="AV404" t="s">
        <v>3</v>
      </c>
      <c r="AW404" t="s">
        <v>3</v>
      </c>
      <c r="AX404">
        <v>0</v>
      </c>
      <c r="AY404">
        <v>1</v>
      </c>
      <c r="AZ404" t="s">
        <v>1</v>
      </c>
      <c r="BA404" t="s">
        <v>1</v>
      </c>
      <c r="BB404" t="s">
        <v>1</v>
      </c>
      <c r="BC404" s="21" t="s">
        <v>748</v>
      </c>
      <c r="BD404" s="21" t="s">
        <v>144</v>
      </c>
      <c r="BE404">
        <v>0</v>
      </c>
      <c r="BF404">
        <v>0</v>
      </c>
      <c r="BG404">
        <v>0</v>
      </c>
      <c r="BH404">
        <v>0</v>
      </c>
      <c r="BI404">
        <v>0</v>
      </c>
      <c r="BJ404" t="s">
        <v>749</v>
      </c>
      <c r="BK404">
        <v>0</v>
      </c>
      <c r="BL404" t="s">
        <v>132</v>
      </c>
      <c r="BM404">
        <v>0</v>
      </c>
      <c r="BN404">
        <v>1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 t="s">
        <v>0</v>
      </c>
      <c r="BX404">
        <v>0</v>
      </c>
      <c r="BY404">
        <v>0</v>
      </c>
      <c r="BZ404">
        <v>0</v>
      </c>
      <c r="CA404">
        <v>0</v>
      </c>
      <c r="CB404" t="s">
        <v>145</v>
      </c>
      <c r="CD404" t="str" cm="1">
        <f t="array" aca="1" ref="CD404" ca="1">eConcatenar(A404:CB404,"|")</f>
        <v>UJiH3Pz2uyygnGMb|MODIFVHS194|3|MODIF|MODIF|MODIF|MODIF|2022-01-01|1|0|0|0|0|0|0|0|0|0|0|0|0|0|0|0|0|0|0|x|x|x|x|x|x|x|x|x|x|x|x|x|x|x|x|x|x|x|x|x|x|0|1|X|X|X|2022-2-10|2022-02-23|0|0|0|0|0|QWYNRBIY9KVTQO|0|HOMBRE|0|1|0|0|0|0|0|0|0|0|CARDENAS|0|0|0|0|FINAL</v>
      </c>
    </row>
    <row r="405" spans="1:82" x14ac:dyDescent="0.25">
      <c r="A405" t="s">
        <v>945</v>
      </c>
      <c r="B405" t="s">
        <v>741</v>
      </c>
      <c r="C405">
        <v>3</v>
      </c>
      <c r="D405" t="s">
        <v>346</v>
      </c>
      <c r="E405" t="s">
        <v>346</v>
      </c>
      <c r="F405" t="s">
        <v>346</v>
      </c>
      <c r="G405" t="s">
        <v>346</v>
      </c>
      <c r="H405" s="21" t="s">
        <v>747</v>
      </c>
      <c r="I405">
        <v>1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 t="s">
        <v>3</v>
      </c>
      <c r="AC405" t="s">
        <v>3</v>
      </c>
      <c r="AD405" t="s">
        <v>3</v>
      </c>
      <c r="AE405" t="s">
        <v>3</v>
      </c>
      <c r="AF405" t="s">
        <v>3</v>
      </c>
      <c r="AG405" t="s">
        <v>3</v>
      </c>
      <c r="AH405" t="s">
        <v>3</v>
      </c>
      <c r="AI405" t="s">
        <v>3</v>
      </c>
      <c r="AJ405" t="s">
        <v>3</v>
      </c>
      <c r="AK405" t="s">
        <v>3</v>
      </c>
      <c r="AL405" t="s">
        <v>3</v>
      </c>
      <c r="AM405" t="s">
        <v>3</v>
      </c>
      <c r="AN405" t="s">
        <v>3</v>
      </c>
      <c r="AO405" t="s">
        <v>3</v>
      </c>
      <c r="AP405" t="s">
        <v>3</v>
      </c>
      <c r="AQ405" t="s">
        <v>3</v>
      </c>
      <c r="AR405" t="s">
        <v>3</v>
      </c>
      <c r="AS405" t="s">
        <v>3</v>
      </c>
      <c r="AT405" t="s">
        <v>3</v>
      </c>
      <c r="AU405" t="s">
        <v>3</v>
      </c>
      <c r="AV405" t="s">
        <v>3</v>
      </c>
      <c r="AW405" t="s">
        <v>3</v>
      </c>
      <c r="AX405">
        <v>0</v>
      </c>
      <c r="AY405">
        <v>1</v>
      </c>
      <c r="AZ405" t="s">
        <v>1</v>
      </c>
      <c r="BA405" t="s">
        <v>1</v>
      </c>
      <c r="BB405" t="s">
        <v>1</v>
      </c>
      <c r="BC405" s="21" t="s">
        <v>748</v>
      </c>
      <c r="BD405" s="21" t="s">
        <v>144</v>
      </c>
      <c r="BE405">
        <v>0</v>
      </c>
      <c r="BF405">
        <v>0</v>
      </c>
      <c r="BG405">
        <v>0</v>
      </c>
      <c r="BH405">
        <v>0</v>
      </c>
      <c r="BI405">
        <v>0</v>
      </c>
      <c r="BJ405" t="s">
        <v>749</v>
      </c>
      <c r="BK405">
        <v>0</v>
      </c>
      <c r="BL405" t="s">
        <v>132</v>
      </c>
      <c r="BM405">
        <v>0</v>
      </c>
      <c r="BN405">
        <v>1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 t="s">
        <v>0</v>
      </c>
      <c r="BX405">
        <v>0</v>
      </c>
      <c r="BY405">
        <v>0</v>
      </c>
      <c r="BZ405">
        <v>0</v>
      </c>
      <c r="CA405">
        <v>0</v>
      </c>
      <c r="CB405" t="s">
        <v>145</v>
      </c>
      <c r="CD405" t="str" cm="1">
        <f t="array" aca="1" ref="CD405" ca="1">eConcatenar(A405:CB405,"|")</f>
        <v>s25A9W0i5nMnGIuC|MODIFVHS195|3|MODIF|MODIF|MODIF|MODIF|2022-01-01|1|0|0|0|0|0|0|0|0|0|0|0|0|0|0|0|0|0|0|x|x|x|x|x|x|x|x|x|x|x|x|x|x|x|x|x|x|x|x|x|x|0|1|X|X|X|2022-2-10|2022-02-23|0|0|0|0|0|QWYNRBIY9KVTQO|0|HOMBRE|0|1|0|0|0|0|0|0|0|0|CARDENAS|0|0|0|0|FINAL</v>
      </c>
    </row>
    <row r="406" spans="1:82" x14ac:dyDescent="0.25">
      <c r="A406" t="s">
        <v>946</v>
      </c>
      <c r="B406" t="s">
        <v>742</v>
      </c>
      <c r="C406">
        <v>3</v>
      </c>
      <c r="D406" t="s">
        <v>346</v>
      </c>
      <c r="E406" t="s">
        <v>346</v>
      </c>
      <c r="F406" t="s">
        <v>346</v>
      </c>
      <c r="G406" t="s">
        <v>346</v>
      </c>
      <c r="H406" s="21" t="s">
        <v>747</v>
      </c>
      <c r="I406">
        <v>1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 t="s">
        <v>3</v>
      </c>
      <c r="AC406" t="s">
        <v>3</v>
      </c>
      <c r="AD406" t="s">
        <v>3</v>
      </c>
      <c r="AE406" t="s">
        <v>3</v>
      </c>
      <c r="AF406" t="s">
        <v>3</v>
      </c>
      <c r="AG406" t="s">
        <v>3</v>
      </c>
      <c r="AH406" t="s">
        <v>3</v>
      </c>
      <c r="AI406" t="s">
        <v>3</v>
      </c>
      <c r="AJ406" t="s">
        <v>3</v>
      </c>
      <c r="AK406" t="s">
        <v>3</v>
      </c>
      <c r="AL406" t="s">
        <v>3</v>
      </c>
      <c r="AM406" t="s">
        <v>3</v>
      </c>
      <c r="AN406" t="s">
        <v>3</v>
      </c>
      <c r="AO406" t="s">
        <v>3</v>
      </c>
      <c r="AP406" t="s">
        <v>3</v>
      </c>
      <c r="AQ406" t="s">
        <v>3</v>
      </c>
      <c r="AR406" t="s">
        <v>3</v>
      </c>
      <c r="AS406" t="s">
        <v>3</v>
      </c>
      <c r="AT406" t="s">
        <v>3</v>
      </c>
      <c r="AU406" t="s">
        <v>3</v>
      </c>
      <c r="AV406" t="s">
        <v>3</v>
      </c>
      <c r="AW406" t="s">
        <v>3</v>
      </c>
      <c r="AX406">
        <v>0</v>
      </c>
      <c r="AY406">
        <v>1</v>
      </c>
      <c r="AZ406" t="s">
        <v>1</v>
      </c>
      <c r="BA406" t="s">
        <v>1</v>
      </c>
      <c r="BB406" t="s">
        <v>1</v>
      </c>
      <c r="BC406" s="21" t="s">
        <v>748</v>
      </c>
      <c r="BD406" s="21" t="s">
        <v>144</v>
      </c>
      <c r="BE406">
        <v>0</v>
      </c>
      <c r="BF406">
        <v>0</v>
      </c>
      <c r="BG406">
        <v>0</v>
      </c>
      <c r="BH406">
        <v>0</v>
      </c>
      <c r="BI406">
        <v>0</v>
      </c>
      <c r="BJ406" t="s">
        <v>749</v>
      </c>
      <c r="BK406">
        <v>0</v>
      </c>
      <c r="BL406" t="s">
        <v>132</v>
      </c>
      <c r="BM406">
        <v>0</v>
      </c>
      <c r="BN406">
        <v>1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 t="s">
        <v>0</v>
      </c>
      <c r="BX406">
        <v>0</v>
      </c>
      <c r="BY406">
        <v>0</v>
      </c>
      <c r="BZ406">
        <v>0</v>
      </c>
      <c r="CA406">
        <v>0</v>
      </c>
      <c r="CB406" t="s">
        <v>145</v>
      </c>
      <c r="CD406" t="str" cm="1">
        <f t="array" aca="1" ref="CD406" ca="1">eConcatenar(A406:CB406,"|")</f>
        <v>pHi4c9Eav8fdqAn1|MODIFVHS196|3|MODIF|MODIF|MODIF|MODIF|2022-01-01|1|0|0|0|0|0|0|0|0|0|0|0|0|0|0|0|0|0|0|x|x|x|x|x|x|x|x|x|x|x|x|x|x|x|x|x|x|x|x|x|x|0|1|X|X|X|2022-2-10|2022-02-23|0|0|0|0|0|QWYNRBIY9KVTQO|0|HOMBRE|0|1|0|0|0|0|0|0|0|0|CARDENAS|0|0|0|0|FINAL</v>
      </c>
    </row>
    <row r="407" spans="1:82" x14ac:dyDescent="0.25">
      <c r="A407" t="s">
        <v>947</v>
      </c>
      <c r="B407" t="s">
        <v>743</v>
      </c>
      <c r="C407">
        <v>3</v>
      </c>
      <c r="D407" t="s">
        <v>346</v>
      </c>
      <c r="E407" t="s">
        <v>346</v>
      </c>
      <c r="F407" t="s">
        <v>346</v>
      </c>
      <c r="G407" t="s">
        <v>346</v>
      </c>
      <c r="H407" s="21" t="s">
        <v>747</v>
      </c>
      <c r="I407">
        <v>1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 t="s">
        <v>3</v>
      </c>
      <c r="AC407" t="s">
        <v>3</v>
      </c>
      <c r="AD407" t="s">
        <v>3</v>
      </c>
      <c r="AE407" t="s">
        <v>3</v>
      </c>
      <c r="AF407" t="s">
        <v>3</v>
      </c>
      <c r="AG407" t="s">
        <v>3</v>
      </c>
      <c r="AH407" t="s">
        <v>3</v>
      </c>
      <c r="AI407" t="s">
        <v>3</v>
      </c>
      <c r="AJ407" t="s">
        <v>3</v>
      </c>
      <c r="AK407" t="s">
        <v>3</v>
      </c>
      <c r="AL407" t="s">
        <v>3</v>
      </c>
      <c r="AM407" t="s">
        <v>3</v>
      </c>
      <c r="AN407" t="s">
        <v>3</v>
      </c>
      <c r="AO407" t="s">
        <v>3</v>
      </c>
      <c r="AP407" t="s">
        <v>3</v>
      </c>
      <c r="AQ407" t="s">
        <v>3</v>
      </c>
      <c r="AR407" t="s">
        <v>3</v>
      </c>
      <c r="AS407" t="s">
        <v>3</v>
      </c>
      <c r="AT407" t="s">
        <v>3</v>
      </c>
      <c r="AU407" t="s">
        <v>3</v>
      </c>
      <c r="AV407" t="s">
        <v>3</v>
      </c>
      <c r="AW407" t="s">
        <v>3</v>
      </c>
      <c r="AX407">
        <v>0</v>
      </c>
      <c r="AY407">
        <v>1</v>
      </c>
      <c r="AZ407" t="s">
        <v>1</v>
      </c>
      <c r="BA407" t="s">
        <v>1</v>
      </c>
      <c r="BB407" t="s">
        <v>1</v>
      </c>
      <c r="BC407" s="21" t="s">
        <v>748</v>
      </c>
      <c r="BD407" s="21" t="s">
        <v>144</v>
      </c>
      <c r="BE407">
        <v>0</v>
      </c>
      <c r="BF407">
        <v>0</v>
      </c>
      <c r="BG407">
        <v>0</v>
      </c>
      <c r="BH407">
        <v>0</v>
      </c>
      <c r="BI407">
        <v>0</v>
      </c>
      <c r="BJ407" t="s">
        <v>749</v>
      </c>
      <c r="BK407">
        <v>0</v>
      </c>
      <c r="BL407" t="s">
        <v>132</v>
      </c>
      <c r="BM407">
        <v>0</v>
      </c>
      <c r="BN407">
        <v>1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 t="s">
        <v>0</v>
      </c>
      <c r="BX407">
        <v>0</v>
      </c>
      <c r="BY407">
        <v>0</v>
      </c>
      <c r="BZ407">
        <v>0</v>
      </c>
      <c r="CA407">
        <v>0</v>
      </c>
      <c r="CB407" t="s">
        <v>145</v>
      </c>
      <c r="CD407" t="str" cm="1">
        <f t="array" aca="1" ref="CD407" ca="1">eConcatenar(A407:CB407,"|")</f>
        <v>0FMnyQBAYh3N4gOS|MODIFVHS197|3|MODIF|MODIF|MODIF|MODIF|2022-01-01|1|0|0|0|0|0|0|0|0|0|0|0|0|0|0|0|0|0|0|x|x|x|x|x|x|x|x|x|x|x|x|x|x|x|x|x|x|x|x|x|x|0|1|X|X|X|2022-2-10|2022-02-23|0|0|0|0|0|QWYNRBIY9KVTQO|0|HOMBRE|0|1|0|0|0|0|0|0|0|0|CARDENAS|0|0|0|0|FINAL</v>
      </c>
    </row>
    <row r="408" spans="1:82" x14ac:dyDescent="0.25">
      <c r="A408" t="s">
        <v>948</v>
      </c>
      <c r="B408" t="s">
        <v>744</v>
      </c>
      <c r="C408">
        <v>3</v>
      </c>
      <c r="D408" t="s">
        <v>346</v>
      </c>
      <c r="E408" t="s">
        <v>346</v>
      </c>
      <c r="F408" t="s">
        <v>346</v>
      </c>
      <c r="G408" t="s">
        <v>346</v>
      </c>
      <c r="H408" s="21" t="s">
        <v>747</v>
      </c>
      <c r="I408">
        <v>1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 t="s">
        <v>3</v>
      </c>
      <c r="AC408" t="s">
        <v>3</v>
      </c>
      <c r="AD408" t="s">
        <v>3</v>
      </c>
      <c r="AE408" t="s">
        <v>3</v>
      </c>
      <c r="AF408" t="s">
        <v>3</v>
      </c>
      <c r="AG408" t="s">
        <v>3</v>
      </c>
      <c r="AH408" t="s">
        <v>3</v>
      </c>
      <c r="AI408" t="s">
        <v>3</v>
      </c>
      <c r="AJ408" t="s">
        <v>3</v>
      </c>
      <c r="AK408" t="s">
        <v>3</v>
      </c>
      <c r="AL408" t="s">
        <v>3</v>
      </c>
      <c r="AM408" t="s">
        <v>3</v>
      </c>
      <c r="AN408" t="s">
        <v>3</v>
      </c>
      <c r="AO408" t="s">
        <v>3</v>
      </c>
      <c r="AP408" t="s">
        <v>3</v>
      </c>
      <c r="AQ408" t="s">
        <v>3</v>
      </c>
      <c r="AR408" t="s">
        <v>3</v>
      </c>
      <c r="AS408" t="s">
        <v>3</v>
      </c>
      <c r="AT408" t="s">
        <v>3</v>
      </c>
      <c r="AU408" t="s">
        <v>3</v>
      </c>
      <c r="AV408" t="s">
        <v>3</v>
      </c>
      <c r="AW408" t="s">
        <v>3</v>
      </c>
      <c r="AX408">
        <v>0</v>
      </c>
      <c r="AY408">
        <v>1</v>
      </c>
      <c r="AZ408" t="s">
        <v>1</v>
      </c>
      <c r="BA408" t="s">
        <v>1</v>
      </c>
      <c r="BB408" t="s">
        <v>1</v>
      </c>
      <c r="BC408" s="21" t="s">
        <v>748</v>
      </c>
      <c r="BD408" s="21" t="s">
        <v>144</v>
      </c>
      <c r="BE408">
        <v>0</v>
      </c>
      <c r="BF408">
        <v>0</v>
      </c>
      <c r="BG408">
        <v>0</v>
      </c>
      <c r="BH408">
        <v>0</v>
      </c>
      <c r="BI408">
        <v>0</v>
      </c>
      <c r="BJ408" t="s">
        <v>749</v>
      </c>
      <c r="BK408">
        <v>0</v>
      </c>
      <c r="BL408" t="s">
        <v>132</v>
      </c>
      <c r="BM408">
        <v>0</v>
      </c>
      <c r="BN408">
        <v>1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  <c r="BW408" t="s">
        <v>0</v>
      </c>
      <c r="BX408">
        <v>0</v>
      </c>
      <c r="BY408">
        <v>0</v>
      </c>
      <c r="BZ408">
        <v>0</v>
      </c>
      <c r="CA408">
        <v>0</v>
      </c>
      <c r="CB408" t="s">
        <v>145</v>
      </c>
      <c r="CD408" t="str" cm="1">
        <f t="array" aca="1" ref="CD408" ca="1">eConcatenar(A408:CB408,"|")</f>
        <v>YwVvPrBtDMYH8OCo|MODIFVHS198|3|MODIF|MODIF|MODIF|MODIF|2022-01-01|1|0|0|0|0|0|0|0|0|0|0|0|0|0|0|0|0|0|0|x|x|x|x|x|x|x|x|x|x|x|x|x|x|x|x|x|x|x|x|x|x|0|1|X|X|X|2022-2-10|2022-02-23|0|0|0|0|0|QWYNRBIY9KVTQO|0|HOMBRE|0|1|0|0|0|0|0|0|0|0|CARDENAS|0|0|0|0|FINAL</v>
      </c>
    </row>
    <row r="409" spans="1:82" x14ac:dyDescent="0.25">
      <c r="A409" t="s">
        <v>949</v>
      </c>
      <c r="B409" t="s">
        <v>745</v>
      </c>
      <c r="C409">
        <v>3</v>
      </c>
      <c r="D409" t="s">
        <v>346</v>
      </c>
      <c r="E409" t="s">
        <v>346</v>
      </c>
      <c r="F409" t="s">
        <v>346</v>
      </c>
      <c r="G409" t="s">
        <v>346</v>
      </c>
      <c r="H409" s="21" t="s">
        <v>747</v>
      </c>
      <c r="I409">
        <v>1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 t="s">
        <v>3</v>
      </c>
      <c r="AC409" t="s">
        <v>3</v>
      </c>
      <c r="AD409" t="s">
        <v>3</v>
      </c>
      <c r="AE409" t="s">
        <v>3</v>
      </c>
      <c r="AF409" t="s">
        <v>3</v>
      </c>
      <c r="AG409" t="s">
        <v>3</v>
      </c>
      <c r="AH409" t="s">
        <v>3</v>
      </c>
      <c r="AI409" t="s">
        <v>3</v>
      </c>
      <c r="AJ409" t="s">
        <v>3</v>
      </c>
      <c r="AK409" t="s">
        <v>3</v>
      </c>
      <c r="AL409" t="s">
        <v>3</v>
      </c>
      <c r="AM409" t="s">
        <v>3</v>
      </c>
      <c r="AN409" t="s">
        <v>3</v>
      </c>
      <c r="AO409" t="s">
        <v>3</v>
      </c>
      <c r="AP409" t="s">
        <v>3</v>
      </c>
      <c r="AQ409" t="s">
        <v>3</v>
      </c>
      <c r="AR409" t="s">
        <v>3</v>
      </c>
      <c r="AS409" t="s">
        <v>3</v>
      </c>
      <c r="AT409" t="s">
        <v>3</v>
      </c>
      <c r="AU409" t="s">
        <v>3</v>
      </c>
      <c r="AV409" t="s">
        <v>3</v>
      </c>
      <c r="AW409" t="s">
        <v>3</v>
      </c>
      <c r="AX409">
        <v>0</v>
      </c>
      <c r="AY409">
        <v>1</v>
      </c>
      <c r="AZ409" t="s">
        <v>1</v>
      </c>
      <c r="BA409" t="s">
        <v>1</v>
      </c>
      <c r="BB409" t="s">
        <v>1</v>
      </c>
      <c r="BC409" s="21" t="s">
        <v>748</v>
      </c>
      <c r="BD409" s="21" t="s">
        <v>144</v>
      </c>
      <c r="BE409">
        <v>0</v>
      </c>
      <c r="BF409">
        <v>0</v>
      </c>
      <c r="BG409">
        <v>0</v>
      </c>
      <c r="BH409">
        <v>0</v>
      </c>
      <c r="BI409">
        <v>0</v>
      </c>
      <c r="BJ409" t="s">
        <v>749</v>
      </c>
      <c r="BK409">
        <v>0</v>
      </c>
      <c r="BL409" t="s">
        <v>132</v>
      </c>
      <c r="BM409">
        <v>0</v>
      </c>
      <c r="BN409">
        <v>1</v>
      </c>
      <c r="BO409">
        <v>0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 t="s">
        <v>0</v>
      </c>
      <c r="BX409">
        <v>0</v>
      </c>
      <c r="BY409">
        <v>0</v>
      </c>
      <c r="BZ409">
        <v>0</v>
      </c>
      <c r="CA409">
        <v>0</v>
      </c>
      <c r="CB409" t="s">
        <v>145</v>
      </c>
      <c r="CD409" t="str" cm="1">
        <f t="array" aca="1" ref="CD409" ca="1">eConcatenar(A409:CB409,"|")</f>
        <v>vMjP0Ol4QXX3tpIs|MODIFVHS199|3|MODIF|MODIF|MODIF|MODIF|2022-01-01|1|0|0|0|0|0|0|0|0|0|0|0|0|0|0|0|0|0|0|x|x|x|x|x|x|x|x|x|x|x|x|x|x|x|x|x|x|x|x|x|x|0|1|X|X|X|2022-2-10|2022-02-23|0|0|0|0|0|QWYNRBIY9KVTQO|0|HOMBRE|0|1|0|0|0|0|0|0|0|0|CARDENAS|0|0|0|0|FINAL</v>
      </c>
    </row>
    <row r="410" spans="1:82" x14ac:dyDescent="0.25">
      <c r="A410" t="s">
        <v>950</v>
      </c>
      <c r="B410" t="s">
        <v>746</v>
      </c>
      <c r="C410">
        <v>3</v>
      </c>
      <c r="D410" t="s">
        <v>346</v>
      </c>
      <c r="E410" t="s">
        <v>346</v>
      </c>
      <c r="F410" t="s">
        <v>346</v>
      </c>
      <c r="G410" t="s">
        <v>346</v>
      </c>
      <c r="H410" s="21" t="s">
        <v>747</v>
      </c>
      <c r="I410">
        <v>1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t="s">
        <v>3</v>
      </c>
      <c r="AC410" t="s">
        <v>3</v>
      </c>
      <c r="AD410" t="s">
        <v>3</v>
      </c>
      <c r="AE410" t="s">
        <v>3</v>
      </c>
      <c r="AF410" t="s">
        <v>3</v>
      </c>
      <c r="AG410" t="s">
        <v>3</v>
      </c>
      <c r="AH410" t="s">
        <v>3</v>
      </c>
      <c r="AI410" t="s">
        <v>3</v>
      </c>
      <c r="AJ410" t="s">
        <v>3</v>
      </c>
      <c r="AK410" t="s">
        <v>3</v>
      </c>
      <c r="AL410" t="s">
        <v>3</v>
      </c>
      <c r="AM410" t="s">
        <v>3</v>
      </c>
      <c r="AN410" t="s">
        <v>3</v>
      </c>
      <c r="AO410" t="s">
        <v>3</v>
      </c>
      <c r="AP410" t="s">
        <v>3</v>
      </c>
      <c r="AQ410" t="s">
        <v>3</v>
      </c>
      <c r="AR410" t="s">
        <v>3</v>
      </c>
      <c r="AS410" t="s">
        <v>3</v>
      </c>
      <c r="AT410" t="s">
        <v>3</v>
      </c>
      <c r="AU410" t="s">
        <v>3</v>
      </c>
      <c r="AV410" t="s">
        <v>3</v>
      </c>
      <c r="AW410" t="s">
        <v>3</v>
      </c>
      <c r="AX410">
        <v>0</v>
      </c>
      <c r="AY410">
        <v>1</v>
      </c>
      <c r="AZ410" t="s">
        <v>1</v>
      </c>
      <c r="BA410" t="s">
        <v>1</v>
      </c>
      <c r="BB410" t="s">
        <v>1</v>
      </c>
      <c r="BC410" s="21" t="s">
        <v>748</v>
      </c>
      <c r="BD410" s="21" t="s">
        <v>144</v>
      </c>
      <c r="BE410">
        <v>0</v>
      </c>
      <c r="BF410">
        <v>0</v>
      </c>
      <c r="BG410">
        <v>0</v>
      </c>
      <c r="BH410">
        <v>0</v>
      </c>
      <c r="BI410">
        <v>0</v>
      </c>
      <c r="BJ410" t="s">
        <v>749</v>
      </c>
      <c r="BK410">
        <v>0</v>
      </c>
      <c r="BL410" t="s">
        <v>132</v>
      </c>
      <c r="BM410">
        <v>0</v>
      </c>
      <c r="BN410">
        <v>1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 t="s">
        <v>0</v>
      </c>
      <c r="BX410">
        <v>0</v>
      </c>
      <c r="BY410">
        <v>0</v>
      </c>
      <c r="BZ410">
        <v>0</v>
      </c>
      <c r="CA410">
        <v>0</v>
      </c>
      <c r="CB410" t="s">
        <v>145</v>
      </c>
      <c r="CC410" t="s">
        <v>750</v>
      </c>
      <c r="CD410" t="str" cm="1">
        <f t="array" aca="1" ref="CD410" ca="1">eConcatenar(A410:CB410,"|")</f>
        <v>9M3kfOjGXuT9VpTA|MODIFVHS200|3|MODIF|MODIF|MODIF|MODIF|2022-01-01|1|0|0|0|0|0|0|0|0|0|0|0|0|0|0|0|0|0|0|x|x|x|x|x|x|x|x|x|x|x|x|x|x|x|x|x|x|x|x|x|x|0|1|X|X|X|2022-2-10|2022-02-23|0|0|0|0|0|QWYNRBIY9KVTQO|0|HOMBRE|0|1|0|0|0|0|0|0|0|0|CARDENAS|0|0|0|0|FINAL</v>
      </c>
    </row>
    <row r="411" spans="1:82" x14ac:dyDescent="0.25">
      <c r="BO411">
        <v>0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 t="s">
        <v>0</v>
      </c>
      <c r="BX411">
        <v>0</v>
      </c>
      <c r="BY411">
        <v>0</v>
      </c>
      <c r="BZ411">
        <v>0</v>
      </c>
      <c r="CA411">
        <v>0</v>
      </c>
      <c r="CB411" t="s">
        <v>145</v>
      </c>
    </row>
    <row r="412" spans="1:82" x14ac:dyDescent="0.25">
      <c r="BO412">
        <v>0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 t="s">
        <v>0</v>
      </c>
      <c r="BX412">
        <v>0</v>
      </c>
      <c r="BY412">
        <v>0</v>
      </c>
      <c r="BZ412">
        <v>0</v>
      </c>
      <c r="CA412">
        <v>0</v>
      </c>
      <c r="CB412" t="s">
        <v>145</v>
      </c>
    </row>
    <row r="413" spans="1:82" x14ac:dyDescent="0.25"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 t="s">
        <v>0</v>
      </c>
      <c r="BX413">
        <v>0</v>
      </c>
      <c r="BY413">
        <v>0</v>
      </c>
      <c r="BZ413">
        <v>0</v>
      </c>
      <c r="CA413">
        <v>0</v>
      </c>
      <c r="CB413" t="s">
        <v>145</v>
      </c>
    </row>
    <row r="414" spans="1:82" x14ac:dyDescent="0.25">
      <c r="BO414">
        <v>0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 t="s">
        <v>0</v>
      </c>
      <c r="BX414">
        <v>0</v>
      </c>
      <c r="BY414">
        <v>0</v>
      </c>
      <c r="BZ414">
        <v>0</v>
      </c>
      <c r="CA414">
        <v>0</v>
      </c>
      <c r="CB414" t="s">
        <v>145</v>
      </c>
    </row>
    <row r="415" spans="1:82" x14ac:dyDescent="0.25">
      <c r="BO415">
        <v>0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 t="s">
        <v>0</v>
      </c>
      <c r="BX415">
        <v>0</v>
      </c>
      <c r="BY415">
        <v>0</v>
      </c>
      <c r="BZ415">
        <v>0</v>
      </c>
      <c r="CA415">
        <v>0</v>
      </c>
      <c r="CB415" t="s">
        <v>145</v>
      </c>
    </row>
    <row r="416" spans="1:82" x14ac:dyDescent="0.25">
      <c r="BO416">
        <v>0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 t="s">
        <v>0</v>
      </c>
      <c r="BX416">
        <v>0</v>
      </c>
      <c r="BY416">
        <v>0</v>
      </c>
      <c r="BZ416">
        <v>0</v>
      </c>
      <c r="CA416">
        <v>0</v>
      </c>
      <c r="CB416" t="s">
        <v>145</v>
      </c>
    </row>
    <row r="417" spans="67:80" x14ac:dyDescent="0.25"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 t="s">
        <v>0</v>
      </c>
      <c r="BX417">
        <v>0</v>
      </c>
      <c r="BY417">
        <v>0</v>
      </c>
      <c r="BZ417">
        <v>0</v>
      </c>
      <c r="CA417">
        <v>0</v>
      </c>
      <c r="CB417" t="s">
        <v>145</v>
      </c>
    </row>
    <row r="418" spans="67:80" x14ac:dyDescent="0.25">
      <c r="BO418">
        <v>0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 t="s">
        <v>0</v>
      </c>
      <c r="BX418">
        <v>0</v>
      </c>
      <c r="BY418">
        <v>0</v>
      </c>
      <c r="BZ418">
        <v>0</v>
      </c>
      <c r="CA418">
        <v>0</v>
      </c>
      <c r="CB418" t="s">
        <v>145</v>
      </c>
    </row>
    <row r="419" spans="67:80" x14ac:dyDescent="0.25">
      <c r="BO419">
        <v>0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 t="s">
        <v>0</v>
      </c>
      <c r="BX419">
        <v>0</v>
      </c>
      <c r="BY419">
        <v>0</v>
      </c>
      <c r="BZ419">
        <v>0</v>
      </c>
      <c r="CA419">
        <v>0</v>
      </c>
      <c r="CB419" t="s">
        <v>145</v>
      </c>
    </row>
    <row r="420" spans="67:80" x14ac:dyDescent="0.25">
      <c r="BO420">
        <v>0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 t="s">
        <v>0</v>
      </c>
      <c r="BX420">
        <v>0</v>
      </c>
      <c r="BY420">
        <v>0</v>
      </c>
      <c r="BZ420">
        <v>0</v>
      </c>
      <c r="CA420">
        <v>0</v>
      </c>
      <c r="CB420" t="s">
        <v>145</v>
      </c>
    </row>
    <row r="421" spans="67:80" x14ac:dyDescent="0.25">
      <c r="BO421">
        <v>0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 t="s">
        <v>0</v>
      </c>
      <c r="BX421">
        <v>0</v>
      </c>
      <c r="BY421">
        <v>0</v>
      </c>
      <c r="BZ421">
        <v>0</v>
      </c>
      <c r="CA421">
        <v>0</v>
      </c>
      <c r="CB421" t="s">
        <v>145</v>
      </c>
    </row>
    <row r="422" spans="67:80" x14ac:dyDescent="0.25"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 t="s">
        <v>0</v>
      </c>
      <c r="BX422">
        <v>0</v>
      </c>
      <c r="BY422">
        <v>0</v>
      </c>
      <c r="BZ422">
        <v>0</v>
      </c>
      <c r="CA422">
        <v>0</v>
      </c>
      <c r="CB422" t="s">
        <v>145</v>
      </c>
    </row>
    <row r="423" spans="67:80" x14ac:dyDescent="0.25">
      <c r="BO423">
        <v>0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 t="s">
        <v>0</v>
      </c>
      <c r="BX423">
        <v>0</v>
      </c>
      <c r="BY423">
        <v>0</v>
      </c>
      <c r="BZ423">
        <v>0</v>
      </c>
      <c r="CA423">
        <v>0</v>
      </c>
      <c r="CB423" t="s">
        <v>145</v>
      </c>
    </row>
    <row r="424" spans="67:80" x14ac:dyDescent="0.25"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 t="s">
        <v>0</v>
      </c>
      <c r="BX424">
        <v>0</v>
      </c>
      <c r="BY424">
        <v>0</v>
      </c>
      <c r="BZ424">
        <v>0</v>
      </c>
      <c r="CA424">
        <v>0</v>
      </c>
      <c r="CB424" t="s">
        <v>145</v>
      </c>
    </row>
    <row r="425" spans="67:80" x14ac:dyDescent="0.25"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 t="s">
        <v>0</v>
      </c>
      <c r="BX425">
        <v>0</v>
      </c>
      <c r="BY425">
        <v>0</v>
      </c>
      <c r="BZ425">
        <v>0</v>
      </c>
      <c r="CA425">
        <v>0</v>
      </c>
      <c r="CB425" t="s">
        <v>145</v>
      </c>
    </row>
    <row r="426" spans="67:80" x14ac:dyDescent="0.25">
      <c r="BO426">
        <v>0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 t="s">
        <v>0</v>
      </c>
      <c r="BX426">
        <v>0</v>
      </c>
      <c r="BY426">
        <v>0</v>
      </c>
      <c r="BZ426">
        <v>0</v>
      </c>
      <c r="CA426">
        <v>0</v>
      </c>
      <c r="CB426" t="s">
        <v>145</v>
      </c>
    </row>
    <row r="427" spans="67:80" x14ac:dyDescent="0.25">
      <c r="BO427">
        <v>0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 t="s">
        <v>0</v>
      </c>
      <c r="BX427">
        <v>0</v>
      </c>
      <c r="BY427">
        <v>0</v>
      </c>
      <c r="BZ427">
        <v>0</v>
      </c>
      <c r="CA427">
        <v>0</v>
      </c>
      <c r="CB427" t="s">
        <v>145</v>
      </c>
    </row>
    <row r="428" spans="67:80" x14ac:dyDescent="0.25"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 t="s">
        <v>0</v>
      </c>
      <c r="BX428">
        <v>0</v>
      </c>
      <c r="BY428">
        <v>0</v>
      </c>
      <c r="BZ428">
        <v>0</v>
      </c>
      <c r="CA428">
        <v>0</v>
      </c>
      <c r="CB428" t="s">
        <v>145</v>
      </c>
    </row>
    <row r="429" spans="67:80" x14ac:dyDescent="0.25"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 t="s">
        <v>0</v>
      </c>
      <c r="BX429">
        <v>0</v>
      </c>
      <c r="BY429">
        <v>0</v>
      </c>
      <c r="BZ429">
        <v>0</v>
      </c>
      <c r="CA429">
        <v>0</v>
      </c>
      <c r="CB429" t="s">
        <v>145</v>
      </c>
    </row>
    <row r="430" spans="67:80" x14ac:dyDescent="0.25">
      <c r="BO430">
        <v>0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 t="s">
        <v>0</v>
      </c>
      <c r="BX430">
        <v>0</v>
      </c>
      <c r="BY430">
        <v>0</v>
      </c>
      <c r="BZ430">
        <v>0</v>
      </c>
      <c r="CA430">
        <v>0</v>
      </c>
      <c r="CB430" t="s">
        <v>145</v>
      </c>
    </row>
    <row r="431" spans="67:80" x14ac:dyDescent="0.25">
      <c r="BO431">
        <v>0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 t="s">
        <v>0</v>
      </c>
      <c r="BX431">
        <v>0</v>
      </c>
      <c r="BY431">
        <v>0</v>
      </c>
      <c r="BZ431">
        <v>0</v>
      </c>
      <c r="CA431">
        <v>0</v>
      </c>
      <c r="CB431" t="s">
        <v>145</v>
      </c>
    </row>
    <row r="432" spans="67:80" x14ac:dyDescent="0.25"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 t="s">
        <v>0</v>
      </c>
      <c r="BX432">
        <v>0</v>
      </c>
      <c r="BY432">
        <v>0</v>
      </c>
      <c r="BZ432">
        <v>0</v>
      </c>
      <c r="CA432">
        <v>0</v>
      </c>
      <c r="CB432" t="s">
        <v>145</v>
      </c>
    </row>
    <row r="433" spans="67:80" x14ac:dyDescent="0.25">
      <c r="BO433">
        <v>0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 t="s">
        <v>0</v>
      </c>
      <c r="BX433">
        <v>0</v>
      </c>
      <c r="BY433">
        <v>0</v>
      </c>
      <c r="BZ433">
        <v>0</v>
      </c>
      <c r="CA433">
        <v>0</v>
      </c>
      <c r="CB433" t="s">
        <v>145</v>
      </c>
    </row>
    <row r="434" spans="67:80" x14ac:dyDescent="0.25">
      <c r="BO434">
        <v>0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 t="s">
        <v>0</v>
      </c>
      <c r="BX434">
        <v>0</v>
      </c>
      <c r="BY434">
        <v>0</v>
      </c>
      <c r="BZ434">
        <v>0</v>
      </c>
      <c r="CA434">
        <v>0</v>
      </c>
      <c r="CB434" t="s">
        <v>145</v>
      </c>
    </row>
    <row r="435" spans="67:80" x14ac:dyDescent="0.25"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 t="s">
        <v>0</v>
      </c>
      <c r="BX435">
        <v>0</v>
      </c>
      <c r="BY435">
        <v>0</v>
      </c>
      <c r="BZ435">
        <v>0</v>
      </c>
      <c r="CA435">
        <v>0</v>
      </c>
      <c r="CB435" t="s">
        <v>145</v>
      </c>
    </row>
    <row r="436" spans="67:80" x14ac:dyDescent="0.25">
      <c r="BO436">
        <v>0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 t="s">
        <v>0</v>
      </c>
      <c r="BX436">
        <v>0</v>
      </c>
      <c r="BY436">
        <v>0</v>
      </c>
      <c r="BZ436">
        <v>0</v>
      </c>
      <c r="CA436">
        <v>0</v>
      </c>
      <c r="CB436" t="s">
        <v>145</v>
      </c>
    </row>
    <row r="437" spans="67:80" x14ac:dyDescent="0.25"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 t="s">
        <v>0</v>
      </c>
      <c r="BX437">
        <v>0</v>
      </c>
      <c r="BY437">
        <v>0</v>
      </c>
      <c r="BZ437">
        <v>0</v>
      </c>
      <c r="CA437">
        <v>0</v>
      </c>
      <c r="CB437" t="s">
        <v>145</v>
      </c>
    </row>
    <row r="438" spans="67:80" x14ac:dyDescent="0.25">
      <c r="BO438">
        <v>0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 t="s">
        <v>0</v>
      </c>
      <c r="BX438">
        <v>0</v>
      </c>
      <c r="BY438">
        <v>0</v>
      </c>
      <c r="BZ438">
        <v>0</v>
      </c>
      <c r="CA438">
        <v>0</v>
      </c>
      <c r="CB438" t="s">
        <v>145</v>
      </c>
    </row>
    <row r="439" spans="67:80" x14ac:dyDescent="0.25"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 t="s">
        <v>0</v>
      </c>
      <c r="BX439">
        <v>0</v>
      </c>
      <c r="BY439">
        <v>0</v>
      </c>
      <c r="BZ439">
        <v>0</v>
      </c>
      <c r="CA439">
        <v>0</v>
      </c>
      <c r="CB439" t="s">
        <v>145</v>
      </c>
    </row>
    <row r="440" spans="67:80" x14ac:dyDescent="0.25">
      <c r="BO440">
        <v>0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 t="s">
        <v>0</v>
      </c>
      <c r="BX440">
        <v>0</v>
      </c>
      <c r="BY440">
        <v>0</v>
      </c>
      <c r="BZ440">
        <v>0</v>
      </c>
      <c r="CA440">
        <v>0</v>
      </c>
      <c r="CB440" t="s">
        <v>145</v>
      </c>
    </row>
    <row r="441" spans="67:80" x14ac:dyDescent="0.25">
      <c r="BO441">
        <v>0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 t="s">
        <v>0</v>
      </c>
      <c r="BX441">
        <v>0</v>
      </c>
      <c r="BY441">
        <v>0</v>
      </c>
      <c r="BZ441">
        <v>0</v>
      </c>
      <c r="CA441">
        <v>0</v>
      </c>
      <c r="CB441" t="s">
        <v>145</v>
      </c>
    </row>
    <row r="442" spans="67:80" x14ac:dyDescent="0.25">
      <c r="BO442">
        <v>0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 t="s">
        <v>0</v>
      </c>
      <c r="BX442">
        <v>0</v>
      </c>
      <c r="BY442">
        <v>0</v>
      </c>
      <c r="BZ442">
        <v>0</v>
      </c>
      <c r="CA442">
        <v>0</v>
      </c>
      <c r="CB442" t="s">
        <v>145</v>
      </c>
    </row>
    <row r="443" spans="67:80" x14ac:dyDescent="0.25"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 t="s">
        <v>0</v>
      </c>
      <c r="BX443">
        <v>0</v>
      </c>
      <c r="BY443">
        <v>0</v>
      </c>
      <c r="BZ443">
        <v>0</v>
      </c>
      <c r="CA443">
        <v>0</v>
      </c>
      <c r="CB443" t="s">
        <v>145</v>
      </c>
    </row>
    <row r="444" spans="67:80" x14ac:dyDescent="0.25"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 t="s">
        <v>0</v>
      </c>
      <c r="BX444">
        <v>0</v>
      </c>
      <c r="BY444">
        <v>0</v>
      </c>
      <c r="BZ444">
        <v>0</v>
      </c>
      <c r="CA444">
        <v>0</v>
      </c>
      <c r="CB444" t="s">
        <v>145</v>
      </c>
    </row>
    <row r="445" spans="67:80" x14ac:dyDescent="0.25">
      <c r="BO445">
        <v>0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 t="s">
        <v>0</v>
      </c>
      <c r="BX445">
        <v>0</v>
      </c>
      <c r="BY445">
        <v>0</v>
      </c>
      <c r="BZ445">
        <v>0</v>
      </c>
      <c r="CA445">
        <v>0</v>
      </c>
      <c r="CB445" t="s">
        <v>145</v>
      </c>
    </row>
    <row r="446" spans="67:80" x14ac:dyDescent="0.25"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 t="s">
        <v>0</v>
      </c>
      <c r="BX446">
        <v>0</v>
      </c>
      <c r="BY446">
        <v>0</v>
      </c>
      <c r="BZ446">
        <v>0</v>
      </c>
      <c r="CA446">
        <v>0</v>
      </c>
      <c r="CB446" t="s">
        <v>145</v>
      </c>
    </row>
    <row r="447" spans="67:80" x14ac:dyDescent="0.25">
      <c r="BO447">
        <v>0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 t="s">
        <v>0</v>
      </c>
      <c r="BX447">
        <v>0</v>
      </c>
      <c r="BY447">
        <v>0</v>
      </c>
      <c r="BZ447">
        <v>0</v>
      </c>
      <c r="CA447">
        <v>0</v>
      </c>
      <c r="CB447" t="s">
        <v>145</v>
      </c>
    </row>
    <row r="448" spans="67:80" x14ac:dyDescent="0.25"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 t="s">
        <v>0</v>
      </c>
      <c r="BX448">
        <v>0</v>
      </c>
      <c r="BY448">
        <v>0</v>
      </c>
      <c r="BZ448">
        <v>0</v>
      </c>
      <c r="CA448">
        <v>0</v>
      </c>
      <c r="CB448" t="s">
        <v>145</v>
      </c>
    </row>
    <row r="449" spans="67:80" x14ac:dyDescent="0.25"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 t="s">
        <v>0</v>
      </c>
      <c r="BX449">
        <v>0</v>
      </c>
      <c r="BY449">
        <v>0</v>
      </c>
      <c r="BZ449">
        <v>0</v>
      </c>
      <c r="CA449">
        <v>0</v>
      </c>
      <c r="CB449" t="s">
        <v>145</v>
      </c>
    </row>
    <row r="450" spans="67:80" x14ac:dyDescent="0.25">
      <c r="BO450">
        <v>0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 t="s">
        <v>0</v>
      </c>
      <c r="BX450">
        <v>0</v>
      </c>
      <c r="BY450">
        <v>0</v>
      </c>
      <c r="BZ450">
        <v>0</v>
      </c>
      <c r="CA450">
        <v>0</v>
      </c>
      <c r="CB450" t="s">
        <v>145</v>
      </c>
    </row>
    <row r="451" spans="67:80" x14ac:dyDescent="0.25">
      <c r="BO451">
        <v>0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 t="s">
        <v>0</v>
      </c>
      <c r="BX451">
        <v>0</v>
      </c>
      <c r="BY451">
        <v>0</v>
      </c>
      <c r="BZ451">
        <v>0</v>
      </c>
      <c r="CA451">
        <v>0</v>
      </c>
      <c r="CB451" t="s">
        <v>145</v>
      </c>
    </row>
    <row r="452" spans="67:80" x14ac:dyDescent="0.25">
      <c r="BO452">
        <v>0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 t="s">
        <v>0</v>
      </c>
      <c r="BX452">
        <v>0</v>
      </c>
      <c r="BY452">
        <v>0</v>
      </c>
      <c r="BZ452">
        <v>0</v>
      </c>
      <c r="CA452">
        <v>0</v>
      </c>
      <c r="CB452" t="s">
        <v>145</v>
      </c>
    </row>
    <row r="453" spans="67:80" x14ac:dyDescent="0.25"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 t="s">
        <v>0</v>
      </c>
      <c r="BX453">
        <v>0</v>
      </c>
      <c r="BY453">
        <v>0</v>
      </c>
      <c r="BZ453">
        <v>0</v>
      </c>
      <c r="CA453">
        <v>0</v>
      </c>
      <c r="CB453" t="s">
        <v>145</v>
      </c>
    </row>
    <row r="454" spans="67:80" x14ac:dyDescent="0.25">
      <c r="BO454">
        <v>0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 t="s">
        <v>0</v>
      </c>
      <c r="BX454">
        <v>0</v>
      </c>
      <c r="BY454">
        <v>0</v>
      </c>
      <c r="BZ454">
        <v>0</v>
      </c>
      <c r="CA454">
        <v>0</v>
      </c>
      <c r="CB454" t="s">
        <v>145</v>
      </c>
    </row>
    <row r="455" spans="67:80" x14ac:dyDescent="0.25">
      <c r="BO455">
        <v>0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 t="s">
        <v>0</v>
      </c>
      <c r="BX455">
        <v>0</v>
      </c>
      <c r="BY455">
        <v>0</v>
      </c>
      <c r="BZ455">
        <v>0</v>
      </c>
      <c r="CA455">
        <v>0</v>
      </c>
      <c r="CB455" t="s">
        <v>145</v>
      </c>
    </row>
    <row r="456" spans="67:80" x14ac:dyDescent="0.25">
      <c r="BO456">
        <v>0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 t="s">
        <v>0</v>
      </c>
      <c r="BX456">
        <v>0</v>
      </c>
      <c r="BY456">
        <v>0</v>
      </c>
      <c r="BZ456">
        <v>0</v>
      </c>
      <c r="CA456">
        <v>0</v>
      </c>
      <c r="CB456" t="s">
        <v>145</v>
      </c>
    </row>
    <row r="457" spans="67:80" x14ac:dyDescent="0.25">
      <c r="BO457">
        <v>0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 t="s">
        <v>0</v>
      </c>
      <c r="BX457">
        <v>0</v>
      </c>
      <c r="BY457">
        <v>0</v>
      </c>
      <c r="BZ457">
        <v>0</v>
      </c>
      <c r="CA457">
        <v>0</v>
      </c>
      <c r="CB457" t="s">
        <v>145</v>
      </c>
    </row>
    <row r="458" spans="67:80" x14ac:dyDescent="0.25">
      <c r="BO458">
        <v>0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 t="s">
        <v>0</v>
      </c>
      <c r="BX458">
        <v>0</v>
      </c>
      <c r="BY458">
        <v>0</v>
      </c>
      <c r="BZ458">
        <v>0</v>
      </c>
      <c r="CA458">
        <v>0</v>
      </c>
      <c r="CB458" t="s">
        <v>145</v>
      </c>
    </row>
    <row r="459" spans="67:80" x14ac:dyDescent="0.25"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 t="s">
        <v>0</v>
      </c>
      <c r="BX459">
        <v>0</v>
      </c>
      <c r="BY459">
        <v>0</v>
      </c>
      <c r="BZ459">
        <v>0</v>
      </c>
      <c r="CA459">
        <v>0</v>
      </c>
      <c r="CB459" t="s">
        <v>145</v>
      </c>
    </row>
    <row r="460" spans="67:80" x14ac:dyDescent="0.25"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 t="s">
        <v>0</v>
      </c>
      <c r="BX460">
        <v>0</v>
      </c>
      <c r="BY460">
        <v>0</v>
      </c>
      <c r="BZ460">
        <v>0</v>
      </c>
      <c r="CA460">
        <v>0</v>
      </c>
      <c r="CB460" t="s">
        <v>145</v>
      </c>
    </row>
    <row r="461" spans="67:80" x14ac:dyDescent="0.25"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 t="s">
        <v>0</v>
      </c>
      <c r="BX461">
        <v>0</v>
      </c>
      <c r="BY461">
        <v>0</v>
      </c>
      <c r="BZ461">
        <v>0</v>
      </c>
      <c r="CA461">
        <v>0</v>
      </c>
      <c r="CB461" t="s">
        <v>145</v>
      </c>
    </row>
    <row r="462" spans="67:80" x14ac:dyDescent="0.25">
      <c r="BO462">
        <v>0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 t="s">
        <v>0</v>
      </c>
      <c r="BX462">
        <v>0</v>
      </c>
      <c r="BY462">
        <v>0</v>
      </c>
      <c r="BZ462">
        <v>0</v>
      </c>
      <c r="CA462">
        <v>0</v>
      </c>
      <c r="CB462" t="s">
        <v>145</v>
      </c>
    </row>
    <row r="463" spans="67:80" x14ac:dyDescent="0.25"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 t="s">
        <v>0</v>
      </c>
      <c r="BX463">
        <v>0</v>
      </c>
      <c r="BY463">
        <v>0</v>
      </c>
      <c r="BZ463">
        <v>0</v>
      </c>
      <c r="CA463">
        <v>0</v>
      </c>
      <c r="CB463" t="s">
        <v>145</v>
      </c>
    </row>
    <row r="464" spans="67:80" x14ac:dyDescent="0.25">
      <c r="BO464">
        <v>0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 t="s">
        <v>0</v>
      </c>
      <c r="BX464">
        <v>0</v>
      </c>
      <c r="BY464">
        <v>0</v>
      </c>
      <c r="BZ464">
        <v>0</v>
      </c>
      <c r="CA464">
        <v>0</v>
      </c>
      <c r="CB464" t="s">
        <v>145</v>
      </c>
    </row>
    <row r="465" spans="67:80" x14ac:dyDescent="0.25">
      <c r="BO465">
        <v>0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 t="s">
        <v>0</v>
      </c>
      <c r="BX465">
        <v>0</v>
      </c>
      <c r="BY465">
        <v>0</v>
      </c>
      <c r="BZ465">
        <v>0</v>
      </c>
      <c r="CA465">
        <v>0</v>
      </c>
      <c r="CB465" t="s">
        <v>145</v>
      </c>
    </row>
    <row r="466" spans="67:80" x14ac:dyDescent="0.25">
      <c r="BO466">
        <v>0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 t="s">
        <v>0</v>
      </c>
      <c r="BX466">
        <v>0</v>
      </c>
      <c r="BY466">
        <v>0</v>
      </c>
      <c r="BZ466">
        <v>0</v>
      </c>
      <c r="CA466">
        <v>0</v>
      </c>
      <c r="CB466" t="s">
        <v>145</v>
      </c>
    </row>
    <row r="467" spans="67:80" x14ac:dyDescent="0.25">
      <c r="BO467">
        <v>0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 t="s">
        <v>0</v>
      </c>
      <c r="BX467">
        <v>0</v>
      </c>
      <c r="BY467">
        <v>0</v>
      </c>
      <c r="BZ467">
        <v>0</v>
      </c>
      <c r="CA467">
        <v>0</v>
      </c>
      <c r="CB467" t="s">
        <v>145</v>
      </c>
    </row>
    <row r="468" spans="67:80" x14ac:dyDescent="0.25"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 t="s">
        <v>0</v>
      </c>
      <c r="BX468">
        <v>0</v>
      </c>
      <c r="BY468">
        <v>0</v>
      </c>
      <c r="BZ468">
        <v>0</v>
      </c>
      <c r="CA468">
        <v>0</v>
      </c>
      <c r="CB468" t="s">
        <v>145</v>
      </c>
    </row>
    <row r="469" spans="67:80" x14ac:dyDescent="0.25"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 t="s">
        <v>0</v>
      </c>
      <c r="BX469">
        <v>0</v>
      </c>
      <c r="BY469">
        <v>0</v>
      </c>
      <c r="BZ469">
        <v>0</v>
      </c>
      <c r="CA469">
        <v>0</v>
      </c>
      <c r="CB469" t="s">
        <v>145</v>
      </c>
    </row>
    <row r="470" spans="67:80" x14ac:dyDescent="0.25"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 t="s">
        <v>0</v>
      </c>
      <c r="BX470">
        <v>0</v>
      </c>
      <c r="BY470">
        <v>0</v>
      </c>
      <c r="BZ470">
        <v>0</v>
      </c>
      <c r="CA470">
        <v>0</v>
      </c>
      <c r="CB470" t="s">
        <v>145</v>
      </c>
    </row>
    <row r="471" spans="67:80" x14ac:dyDescent="0.25">
      <c r="BO471">
        <v>0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 t="s">
        <v>0</v>
      </c>
      <c r="BX471">
        <v>0</v>
      </c>
      <c r="BY471">
        <v>0</v>
      </c>
      <c r="BZ471">
        <v>0</v>
      </c>
      <c r="CA471">
        <v>0</v>
      </c>
      <c r="CB471" t="s">
        <v>145</v>
      </c>
    </row>
    <row r="472" spans="67:80" x14ac:dyDescent="0.25"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 t="s">
        <v>0</v>
      </c>
      <c r="BX472">
        <v>0</v>
      </c>
      <c r="BY472">
        <v>0</v>
      </c>
      <c r="BZ472">
        <v>0</v>
      </c>
      <c r="CA472">
        <v>0</v>
      </c>
      <c r="CB472" t="s">
        <v>145</v>
      </c>
    </row>
    <row r="473" spans="67:80" x14ac:dyDescent="0.25"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 t="s">
        <v>0</v>
      </c>
      <c r="BX473">
        <v>0</v>
      </c>
      <c r="BY473">
        <v>0</v>
      </c>
      <c r="BZ473">
        <v>0</v>
      </c>
      <c r="CA473">
        <v>0</v>
      </c>
      <c r="CB473" t="s">
        <v>145</v>
      </c>
    </row>
    <row r="474" spans="67:80" x14ac:dyDescent="0.25">
      <c r="BO474">
        <v>0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 t="s">
        <v>0</v>
      </c>
      <c r="BX474">
        <v>0</v>
      </c>
      <c r="BY474">
        <v>0</v>
      </c>
      <c r="BZ474">
        <v>0</v>
      </c>
      <c r="CA474">
        <v>0</v>
      </c>
      <c r="CB474" t="s">
        <v>145</v>
      </c>
    </row>
    <row r="475" spans="67:80" x14ac:dyDescent="0.25"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  <c r="BW475" t="s">
        <v>0</v>
      </c>
      <c r="BX475">
        <v>0</v>
      </c>
      <c r="BY475">
        <v>0</v>
      </c>
      <c r="BZ475">
        <v>0</v>
      </c>
      <c r="CA475">
        <v>0</v>
      </c>
      <c r="CB475" t="s">
        <v>145</v>
      </c>
    </row>
    <row r="476" spans="67:80" x14ac:dyDescent="0.25">
      <c r="BO476">
        <v>0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 t="s">
        <v>0</v>
      </c>
      <c r="BX476">
        <v>0</v>
      </c>
      <c r="BY476">
        <v>0</v>
      </c>
      <c r="BZ476">
        <v>0</v>
      </c>
      <c r="CA476">
        <v>0</v>
      </c>
      <c r="CB476" t="s">
        <v>145</v>
      </c>
    </row>
    <row r="477" spans="67:80" x14ac:dyDescent="0.25"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  <c r="BW477" t="s">
        <v>0</v>
      </c>
      <c r="BX477">
        <v>0</v>
      </c>
      <c r="BY477">
        <v>0</v>
      </c>
      <c r="BZ477">
        <v>0</v>
      </c>
      <c r="CA477">
        <v>0</v>
      </c>
      <c r="CB477" t="s">
        <v>145</v>
      </c>
    </row>
    <row r="478" spans="67:80" x14ac:dyDescent="0.25"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 t="s">
        <v>0</v>
      </c>
      <c r="BX478">
        <v>0</v>
      </c>
      <c r="BY478">
        <v>0</v>
      </c>
      <c r="BZ478">
        <v>0</v>
      </c>
      <c r="CA478">
        <v>0</v>
      </c>
      <c r="CB478" t="s">
        <v>145</v>
      </c>
    </row>
    <row r="479" spans="67:80" x14ac:dyDescent="0.25">
      <c r="BO479">
        <v>0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 t="s">
        <v>0</v>
      </c>
      <c r="BX479">
        <v>0</v>
      </c>
      <c r="BY479">
        <v>0</v>
      </c>
      <c r="BZ479">
        <v>0</v>
      </c>
      <c r="CA479">
        <v>0</v>
      </c>
      <c r="CB479" t="s">
        <v>145</v>
      </c>
    </row>
    <row r="480" spans="67:80" x14ac:dyDescent="0.25">
      <c r="BO480">
        <v>0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 t="s">
        <v>0</v>
      </c>
      <c r="BX480">
        <v>0</v>
      </c>
      <c r="BY480">
        <v>0</v>
      </c>
      <c r="BZ480">
        <v>0</v>
      </c>
      <c r="CA480">
        <v>0</v>
      </c>
      <c r="CB480" t="s">
        <v>145</v>
      </c>
    </row>
    <row r="481" spans="67:80" x14ac:dyDescent="0.25"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 t="s">
        <v>0</v>
      </c>
      <c r="BX481">
        <v>0</v>
      </c>
      <c r="BY481">
        <v>0</v>
      </c>
      <c r="BZ481">
        <v>0</v>
      </c>
      <c r="CA481">
        <v>0</v>
      </c>
      <c r="CB481" t="s">
        <v>145</v>
      </c>
    </row>
    <row r="482" spans="67:80" x14ac:dyDescent="0.25">
      <c r="BO482">
        <v>0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 t="s">
        <v>0</v>
      </c>
      <c r="BX482">
        <v>0</v>
      </c>
      <c r="BY482">
        <v>0</v>
      </c>
      <c r="BZ482">
        <v>0</v>
      </c>
      <c r="CA482">
        <v>0</v>
      </c>
      <c r="CB482" t="s">
        <v>145</v>
      </c>
    </row>
    <row r="483" spans="67:80" x14ac:dyDescent="0.25"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</v>
      </c>
      <c r="BV483">
        <v>0</v>
      </c>
      <c r="BW483" t="s">
        <v>0</v>
      </c>
      <c r="BX483">
        <v>0</v>
      </c>
      <c r="BY483">
        <v>0</v>
      </c>
      <c r="BZ483">
        <v>0</v>
      </c>
      <c r="CA483">
        <v>0</v>
      </c>
      <c r="CB483" t="s">
        <v>145</v>
      </c>
    </row>
    <row r="484" spans="67:80" x14ac:dyDescent="0.25"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 t="s">
        <v>0</v>
      </c>
      <c r="BX484">
        <v>0</v>
      </c>
      <c r="BY484">
        <v>0</v>
      </c>
      <c r="BZ484">
        <v>0</v>
      </c>
      <c r="CA484">
        <v>0</v>
      </c>
      <c r="CB484" t="s">
        <v>145</v>
      </c>
    </row>
    <row r="485" spans="67:80" x14ac:dyDescent="0.25">
      <c r="BO485">
        <v>0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 t="s">
        <v>0</v>
      </c>
      <c r="BX485">
        <v>0</v>
      </c>
      <c r="BY485">
        <v>0</v>
      </c>
      <c r="BZ485">
        <v>0</v>
      </c>
      <c r="CA485">
        <v>0</v>
      </c>
      <c r="CB485" t="s">
        <v>145</v>
      </c>
    </row>
    <row r="486" spans="67:80" x14ac:dyDescent="0.25"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 t="s">
        <v>0</v>
      </c>
      <c r="BX486">
        <v>0</v>
      </c>
      <c r="BY486">
        <v>0</v>
      </c>
      <c r="BZ486">
        <v>0</v>
      </c>
      <c r="CA486">
        <v>0</v>
      </c>
      <c r="CB486" t="s">
        <v>145</v>
      </c>
    </row>
    <row r="487" spans="67:80" x14ac:dyDescent="0.25">
      <c r="BO487">
        <v>0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 t="s">
        <v>0</v>
      </c>
      <c r="BX487">
        <v>0</v>
      </c>
      <c r="BY487">
        <v>0</v>
      </c>
      <c r="BZ487">
        <v>0</v>
      </c>
      <c r="CA487">
        <v>0</v>
      </c>
      <c r="CB487" t="s">
        <v>145</v>
      </c>
    </row>
    <row r="488" spans="67:80" x14ac:dyDescent="0.25"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 t="s">
        <v>0</v>
      </c>
      <c r="BX488">
        <v>0</v>
      </c>
      <c r="BY488">
        <v>0</v>
      </c>
      <c r="BZ488">
        <v>0</v>
      </c>
      <c r="CA488">
        <v>0</v>
      </c>
      <c r="CB488" t="s">
        <v>145</v>
      </c>
    </row>
    <row r="489" spans="67:80" x14ac:dyDescent="0.25"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 t="s">
        <v>0</v>
      </c>
      <c r="BX489">
        <v>0</v>
      </c>
      <c r="BY489">
        <v>0</v>
      </c>
      <c r="BZ489">
        <v>0</v>
      </c>
      <c r="CA489">
        <v>0</v>
      </c>
      <c r="CB489" t="s">
        <v>145</v>
      </c>
    </row>
    <row r="490" spans="67:80" x14ac:dyDescent="0.25">
      <c r="BO490">
        <v>0</v>
      </c>
      <c r="BP490">
        <v>0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 t="s">
        <v>0</v>
      </c>
      <c r="BX490">
        <v>0</v>
      </c>
      <c r="BY490">
        <v>0</v>
      </c>
      <c r="BZ490">
        <v>0</v>
      </c>
      <c r="CA490">
        <v>0</v>
      </c>
      <c r="CB490" t="s">
        <v>145</v>
      </c>
    </row>
    <row r="491" spans="67:80" x14ac:dyDescent="0.25">
      <c r="BO491">
        <v>0</v>
      </c>
      <c r="BP491">
        <v>0</v>
      </c>
      <c r="BQ491">
        <v>0</v>
      </c>
      <c r="BR491">
        <v>0</v>
      </c>
      <c r="BS491">
        <v>0</v>
      </c>
      <c r="BT491">
        <v>0</v>
      </c>
      <c r="BU491">
        <v>0</v>
      </c>
      <c r="BV491">
        <v>0</v>
      </c>
      <c r="BW491" t="s">
        <v>0</v>
      </c>
      <c r="BX491">
        <v>0</v>
      </c>
      <c r="BY491">
        <v>0</v>
      </c>
      <c r="BZ491">
        <v>0</v>
      </c>
      <c r="CA491">
        <v>0</v>
      </c>
      <c r="CB491" t="s">
        <v>145</v>
      </c>
    </row>
    <row r="492" spans="67:80" x14ac:dyDescent="0.25"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 t="s">
        <v>0</v>
      </c>
      <c r="BX492">
        <v>0</v>
      </c>
      <c r="BY492">
        <v>0</v>
      </c>
      <c r="BZ492">
        <v>0</v>
      </c>
      <c r="CA492">
        <v>0</v>
      </c>
      <c r="CB492" t="s">
        <v>145</v>
      </c>
    </row>
    <row r="493" spans="67:80" x14ac:dyDescent="0.25"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 t="s">
        <v>0</v>
      </c>
      <c r="BX493">
        <v>0</v>
      </c>
      <c r="BY493">
        <v>0</v>
      </c>
      <c r="BZ493">
        <v>0</v>
      </c>
      <c r="CA493">
        <v>0</v>
      </c>
      <c r="CB493" t="s">
        <v>145</v>
      </c>
    </row>
    <row r="494" spans="67:80" x14ac:dyDescent="0.25">
      <c r="BO494">
        <v>0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 t="s">
        <v>0</v>
      </c>
      <c r="BX494">
        <v>0</v>
      </c>
      <c r="BY494">
        <v>0</v>
      </c>
      <c r="BZ494">
        <v>0</v>
      </c>
      <c r="CA494">
        <v>0</v>
      </c>
      <c r="CB494" t="s">
        <v>145</v>
      </c>
    </row>
    <row r="495" spans="67:80" x14ac:dyDescent="0.25">
      <c r="BO495">
        <v>0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 t="s">
        <v>0</v>
      </c>
      <c r="BX495">
        <v>0</v>
      </c>
      <c r="BY495">
        <v>0</v>
      </c>
      <c r="BZ495">
        <v>0</v>
      </c>
      <c r="CA495">
        <v>0</v>
      </c>
      <c r="CB495" t="s">
        <v>145</v>
      </c>
    </row>
    <row r="496" spans="67:80" x14ac:dyDescent="0.25">
      <c r="BO496">
        <v>0</v>
      </c>
      <c r="BP496">
        <v>0</v>
      </c>
      <c r="BQ496">
        <v>0</v>
      </c>
      <c r="BR496">
        <v>0</v>
      </c>
      <c r="BS496">
        <v>0</v>
      </c>
      <c r="BT496">
        <v>0</v>
      </c>
      <c r="BU496">
        <v>0</v>
      </c>
      <c r="BV496">
        <v>0</v>
      </c>
      <c r="BW496" t="s">
        <v>0</v>
      </c>
      <c r="BX496">
        <v>0</v>
      </c>
      <c r="BY496">
        <v>0</v>
      </c>
      <c r="BZ496">
        <v>0</v>
      </c>
      <c r="CA496">
        <v>0</v>
      </c>
      <c r="CB496" t="s">
        <v>145</v>
      </c>
    </row>
    <row r="497" spans="67:80" x14ac:dyDescent="0.25">
      <c r="BO497">
        <v>0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 t="s">
        <v>0</v>
      </c>
      <c r="BX497">
        <v>0</v>
      </c>
      <c r="BY497">
        <v>0</v>
      </c>
      <c r="BZ497">
        <v>0</v>
      </c>
      <c r="CA497">
        <v>0</v>
      </c>
      <c r="CB497" t="s">
        <v>145</v>
      </c>
    </row>
    <row r="498" spans="67:80" x14ac:dyDescent="0.25">
      <c r="BO498">
        <v>0</v>
      </c>
      <c r="BP498">
        <v>0</v>
      </c>
      <c r="BQ498">
        <v>0</v>
      </c>
      <c r="BR498">
        <v>0</v>
      </c>
      <c r="BS498">
        <v>0</v>
      </c>
      <c r="BT498">
        <v>0</v>
      </c>
      <c r="BU498">
        <v>0</v>
      </c>
      <c r="BV498">
        <v>0</v>
      </c>
      <c r="BW498" t="s">
        <v>0</v>
      </c>
      <c r="BX498">
        <v>0</v>
      </c>
      <c r="BY498">
        <v>0</v>
      </c>
      <c r="BZ498">
        <v>0</v>
      </c>
      <c r="CA498">
        <v>0</v>
      </c>
      <c r="CB498" t="s">
        <v>145</v>
      </c>
    </row>
    <row r="499" spans="67:80" x14ac:dyDescent="0.25">
      <c r="BO499">
        <v>0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0</v>
      </c>
      <c r="BV499">
        <v>0</v>
      </c>
      <c r="BW499" t="s">
        <v>0</v>
      </c>
      <c r="BX499">
        <v>0</v>
      </c>
      <c r="BY499">
        <v>0</v>
      </c>
      <c r="BZ499">
        <v>0</v>
      </c>
      <c r="CA499">
        <v>0</v>
      </c>
      <c r="CB499" t="s">
        <v>145</v>
      </c>
    </row>
    <row r="500" spans="67:80" x14ac:dyDescent="0.25">
      <c r="BO500">
        <v>0</v>
      </c>
      <c r="BP500">
        <v>0</v>
      </c>
      <c r="BQ500">
        <v>0</v>
      </c>
      <c r="BR500">
        <v>0</v>
      </c>
      <c r="BS500">
        <v>0</v>
      </c>
      <c r="BT500">
        <v>0</v>
      </c>
      <c r="BU500">
        <v>0</v>
      </c>
      <c r="BV500">
        <v>0</v>
      </c>
      <c r="BW500" t="s">
        <v>0</v>
      </c>
      <c r="BX500">
        <v>0</v>
      </c>
      <c r="BY500">
        <v>0</v>
      </c>
      <c r="BZ500">
        <v>0</v>
      </c>
      <c r="CA500">
        <v>0</v>
      </c>
      <c r="CB500" t="s">
        <v>145</v>
      </c>
    </row>
    <row r="501" spans="67:80" x14ac:dyDescent="0.25">
      <c r="BO501">
        <v>0</v>
      </c>
      <c r="BP501">
        <v>0</v>
      </c>
      <c r="BQ501">
        <v>0</v>
      </c>
      <c r="BR501">
        <v>0</v>
      </c>
      <c r="BS501">
        <v>0</v>
      </c>
      <c r="BT501">
        <v>0</v>
      </c>
      <c r="BU501">
        <v>0</v>
      </c>
      <c r="BV501">
        <v>0</v>
      </c>
      <c r="BW501" t="s">
        <v>0</v>
      </c>
      <c r="BX501">
        <v>0</v>
      </c>
      <c r="BY501">
        <v>0</v>
      </c>
      <c r="BZ501">
        <v>0</v>
      </c>
      <c r="CA501">
        <v>0</v>
      </c>
      <c r="CB501" t="s">
        <v>145</v>
      </c>
    </row>
    <row r="502" spans="67:80" x14ac:dyDescent="0.25">
      <c r="BO502">
        <v>0</v>
      </c>
      <c r="BP502">
        <v>0</v>
      </c>
      <c r="BQ502">
        <v>0</v>
      </c>
      <c r="BR502">
        <v>0</v>
      </c>
      <c r="BS502">
        <v>0</v>
      </c>
      <c r="BT502">
        <v>0</v>
      </c>
      <c r="BU502">
        <v>0</v>
      </c>
      <c r="BV502">
        <v>0</v>
      </c>
      <c r="BW502" t="s">
        <v>0</v>
      </c>
      <c r="BX502">
        <v>0</v>
      </c>
      <c r="BY502">
        <v>0</v>
      </c>
      <c r="BZ502">
        <v>0</v>
      </c>
      <c r="CA502">
        <v>0</v>
      </c>
      <c r="CB502" t="s">
        <v>145</v>
      </c>
    </row>
    <row r="503" spans="67:80" x14ac:dyDescent="0.25">
      <c r="BO503">
        <v>0</v>
      </c>
      <c r="BP503">
        <v>0</v>
      </c>
      <c r="BQ503">
        <v>0</v>
      </c>
      <c r="BR503">
        <v>0</v>
      </c>
      <c r="BS503">
        <v>0</v>
      </c>
      <c r="BT503">
        <v>0</v>
      </c>
      <c r="BU503">
        <v>0</v>
      </c>
      <c r="BV503">
        <v>0</v>
      </c>
      <c r="BW503" t="s">
        <v>0</v>
      </c>
      <c r="BX503">
        <v>0</v>
      </c>
      <c r="BY503">
        <v>0</v>
      </c>
      <c r="BZ503">
        <v>0</v>
      </c>
      <c r="CA503">
        <v>0</v>
      </c>
      <c r="CB503" t="s">
        <v>145</v>
      </c>
    </row>
    <row r="504" spans="67:80" x14ac:dyDescent="0.25">
      <c r="BO504">
        <v>0</v>
      </c>
      <c r="BP504">
        <v>0</v>
      </c>
      <c r="BQ504">
        <v>0</v>
      </c>
      <c r="BR504">
        <v>0</v>
      </c>
      <c r="BS504">
        <v>0</v>
      </c>
      <c r="BT504">
        <v>0</v>
      </c>
      <c r="BU504">
        <v>0</v>
      </c>
      <c r="BV504">
        <v>0</v>
      </c>
      <c r="BW504" t="s">
        <v>0</v>
      </c>
      <c r="BX504">
        <v>0</v>
      </c>
      <c r="BY504">
        <v>0</v>
      </c>
      <c r="BZ504">
        <v>0</v>
      </c>
      <c r="CA504">
        <v>0</v>
      </c>
      <c r="CB504" t="s">
        <v>145</v>
      </c>
    </row>
    <row r="505" spans="67:80" x14ac:dyDescent="0.25">
      <c r="BO505">
        <v>0</v>
      </c>
      <c r="BP505">
        <v>0</v>
      </c>
      <c r="BQ505">
        <v>0</v>
      </c>
      <c r="BR505">
        <v>0</v>
      </c>
      <c r="BS505">
        <v>0</v>
      </c>
      <c r="BT505">
        <v>0</v>
      </c>
      <c r="BU505">
        <v>0</v>
      </c>
      <c r="BV505">
        <v>0</v>
      </c>
      <c r="BW505" t="s">
        <v>0</v>
      </c>
      <c r="BX505">
        <v>0</v>
      </c>
      <c r="BY505">
        <v>0</v>
      </c>
      <c r="BZ505">
        <v>0</v>
      </c>
      <c r="CA505">
        <v>0</v>
      </c>
      <c r="CB505" t="s">
        <v>145</v>
      </c>
    </row>
    <row r="506" spans="67:80" x14ac:dyDescent="0.25"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0</v>
      </c>
      <c r="BV506">
        <v>0</v>
      </c>
      <c r="BW506" t="s">
        <v>0</v>
      </c>
      <c r="BX506">
        <v>0</v>
      </c>
      <c r="BY506">
        <v>0</v>
      </c>
      <c r="BZ506">
        <v>0</v>
      </c>
      <c r="CA506">
        <v>0</v>
      </c>
      <c r="CB506" t="s">
        <v>145</v>
      </c>
    </row>
    <row r="507" spans="67:80" x14ac:dyDescent="0.25">
      <c r="BO507">
        <v>0</v>
      </c>
      <c r="BP507">
        <v>0</v>
      </c>
      <c r="BQ507">
        <v>0</v>
      </c>
      <c r="BR507">
        <v>0</v>
      </c>
      <c r="BS507">
        <v>0</v>
      </c>
      <c r="BT507">
        <v>0</v>
      </c>
      <c r="BU507">
        <v>0</v>
      </c>
      <c r="BV507">
        <v>0</v>
      </c>
      <c r="BW507" t="s">
        <v>0</v>
      </c>
      <c r="BX507">
        <v>0</v>
      </c>
      <c r="BY507">
        <v>0</v>
      </c>
      <c r="BZ507">
        <v>0</v>
      </c>
      <c r="CA507">
        <v>0</v>
      </c>
      <c r="CB507" t="s">
        <v>145</v>
      </c>
    </row>
    <row r="508" spans="67:80" x14ac:dyDescent="0.25">
      <c r="BO508">
        <v>0</v>
      </c>
      <c r="BP508">
        <v>0</v>
      </c>
      <c r="BQ508">
        <v>0</v>
      </c>
      <c r="BR508">
        <v>0</v>
      </c>
      <c r="BS508">
        <v>0</v>
      </c>
      <c r="BT508">
        <v>0</v>
      </c>
      <c r="BU508">
        <v>0</v>
      </c>
      <c r="BV508">
        <v>0</v>
      </c>
      <c r="BW508" t="s">
        <v>0</v>
      </c>
      <c r="BX508">
        <v>0</v>
      </c>
      <c r="BY508">
        <v>0</v>
      </c>
      <c r="BZ508">
        <v>0</v>
      </c>
      <c r="CA508">
        <v>0</v>
      </c>
      <c r="CB508" t="s">
        <v>145</v>
      </c>
    </row>
    <row r="509" spans="67:80" x14ac:dyDescent="0.25">
      <c r="BO509">
        <v>0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 t="s">
        <v>0</v>
      </c>
      <c r="BX509">
        <v>0</v>
      </c>
      <c r="BY509">
        <v>0</v>
      </c>
      <c r="BZ509">
        <v>0</v>
      </c>
      <c r="CA509">
        <v>0</v>
      </c>
      <c r="CB509" t="s">
        <v>145</v>
      </c>
    </row>
    <row r="510" spans="67:80" x14ac:dyDescent="0.25">
      <c r="BO510">
        <v>0</v>
      </c>
      <c r="BP510">
        <v>0</v>
      </c>
      <c r="BQ510">
        <v>0</v>
      </c>
      <c r="BR510">
        <v>0</v>
      </c>
      <c r="BS510">
        <v>0</v>
      </c>
      <c r="BT510">
        <v>0</v>
      </c>
      <c r="BU510">
        <v>0</v>
      </c>
      <c r="BV510">
        <v>0</v>
      </c>
      <c r="BW510" t="s">
        <v>0</v>
      </c>
      <c r="BX510">
        <v>0</v>
      </c>
      <c r="BY510">
        <v>0</v>
      </c>
      <c r="BZ510">
        <v>0</v>
      </c>
      <c r="CA510">
        <v>0</v>
      </c>
      <c r="CB510" t="s">
        <v>145</v>
      </c>
    </row>
    <row r="511" spans="67:80" x14ac:dyDescent="0.25">
      <c r="BO511">
        <v>0</v>
      </c>
      <c r="BP511">
        <v>0</v>
      </c>
      <c r="BQ511">
        <v>0</v>
      </c>
      <c r="BR511">
        <v>0</v>
      </c>
      <c r="BS511">
        <v>0</v>
      </c>
      <c r="BT511">
        <v>0</v>
      </c>
      <c r="BU511">
        <v>0</v>
      </c>
      <c r="BV511">
        <v>0</v>
      </c>
      <c r="BW511" t="s">
        <v>0</v>
      </c>
      <c r="BX511">
        <v>0</v>
      </c>
      <c r="BY511">
        <v>0</v>
      </c>
      <c r="BZ511">
        <v>0</v>
      </c>
      <c r="CA511">
        <v>0</v>
      </c>
      <c r="CB511" t="s">
        <v>145</v>
      </c>
    </row>
    <row r="512" spans="67:80" x14ac:dyDescent="0.25">
      <c r="BO512">
        <v>0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 t="s">
        <v>0</v>
      </c>
      <c r="BX512">
        <v>0</v>
      </c>
      <c r="BY512">
        <v>0</v>
      </c>
      <c r="BZ512">
        <v>0</v>
      </c>
      <c r="CA512">
        <v>0</v>
      </c>
      <c r="CB512" t="s">
        <v>145</v>
      </c>
    </row>
    <row r="513" spans="67:80" x14ac:dyDescent="0.25">
      <c r="BO513">
        <v>0</v>
      </c>
      <c r="BP513">
        <v>0</v>
      </c>
      <c r="BQ513">
        <v>0</v>
      </c>
      <c r="BR513">
        <v>0</v>
      </c>
      <c r="BS513">
        <v>0</v>
      </c>
      <c r="BT513">
        <v>0</v>
      </c>
      <c r="BU513">
        <v>0</v>
      </c>
      <c r="BV513">
        <v>0</v>
      </c>
      <c r="BW513" t="s">
        <v>0</v>
      </c>
      <c r="BX513">
        <v>0</v>
      </c>
      <c r="BY513">
        <v>0</v>
      </c>
      <c r="BZ513">
        <v>0</v>
      </c>
      <c r="CA513">
        <v>0</v>
      </c>
      <c r="CB513" t="s">
        <v>145</v>
      </c>
    </row>
    <row r="514" spans="67:80" x14ac:dyDescent="0.25">
      <c r="BO514">
        <v>0</v>
      </c>
      <c r="BP514">
        <v>0</v>
      </c>
      <c r="BQ514">
        <v>0</v>
      </c>
      <c r="BR514">
        <v>0</v>
      </c>
      <c r="BS514">
        <v>0</v>
      </c>
      <c r="BT514">
        <v>0</v>
      </c>
      <c r="BU514">
        <v>0</v>
      </c>
      <c r="BV514">
        <v>0</v>
      </c>
      <c r="BW514" t="s">
        <v>0</v>
      </c>
      <c r="BX514">
        <v>0</v>
      </c>
      <c r="BY514">
        <v>0</v>
      </c>
      <c r="BZ514">
        <v>0</v>
      </c>
      <c r="CA514">
        <v>0</v>
      </c>
      <c r="CB514" t="s">
        <v>145</v>
      </c>
    </row>
    <row r="515" spans="67:80" x14ac:dyDescent="0.25">
      <c r="BO515">
        <v>0</v>
      </c>
      <c r="BP515">
        <v>0</v>
      </c>
      <c r="BQ515">
        <v>0</v>
      </c>
      <c r="BR515">
        <v>0</v>
      </c>
      <c r="BS515">
        <v>0</v>
      </c>
      <c r="BT515">
        <v>0</v>
      </c>
      <c r="BU515">
        <v>0</v>
      </c>
      <c r="BV515">
        <v>0</v>
      </c>
      <c r="BW515" t="s">
        <v>0</v>
      </c>
      <c r="BX515">
        <v>0</v>
      </c>
      <c r="BY515">
        <v>0</v>
      </c>
      <c r="BZ515">
        <v>0</v>
      </c>
      <c r="CA515">
        <v>0</v>
      </c>
      <c r="CB515" t="s">
        <v>145</v>
      </c>
    </row>
    <row r="516" spans="67:80" x14ac:dyDescent="0.25">
      <c r="BO516">
        <v>0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 t="s">
        <v>0</v>
      </c>
      <c r="BX516">
        <v>0</v>
      </c>
      <c r="BY516">
        <v>0</v>
      </c>
      <c r="BZ516">
        <v>0</v>
      </c>
      <c r="CA516">
        <v>0</v>
      </c>
      <c r="CB516" t="s">
        <v>145</v>
      </c>
    </row>
    <row r="517" spans="67:80" x14ac:dyDescent="0.25">
      <c r="BO517">
        <v>0</v>
      </c>
      <c r="BP517">
        <v>0</v>
      </c>
      <c r="BQ517">
        <v>0</v>
      </c>
      <c r="BR517">
        <v>0</v>
      </c>
      <c r="BS517">
        <v>0</v>
      </c>
      <c r="BT517">
        <v>0</v>
      </c>
      <c r="BU517">
        <v>0</v>
      </c>
      <c r="BV517">
        <v>0</v>
      </c>
      <c r="BW517" t="s">
        <v>0</v>
      </c>
      <c r="BX517">
        <v>0</v>
      </c>
      <c r="BY517">
        <v>0</v>
      </c>
      <c r="BZ517">
        <v>0</v>
      </c>
      <c r="CA517">
        <v>0</v>
      </c>
      <c r="CB517" t="s">
        <v>145</v>
      </c>
    </row>
    <row r="518" spans="67:80" x14ac:dyDescent="0.25">
      <c r="BO518">
        <v>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0</v>
      </c>
      <c r="BW518" t="s">
        <v>0</v>
      </c>
      <c r="BX518">
        <v>0</v>
      </c>
      <c r="BY518">
        <v>0</v>
      </c>
      <c r="BZ518">
        <v>0</v>
      </c>
      <c r="CA518">
        <v>0</v>
      </c>
      <c r="CB518" t="s">
        <v>145</v>
      </c>
    </row>
    <row r="519" spans="67:80" x14ac:dyDescent="0.25">
      <c r="BO519">
        <v>0</v>
      </c>
      <c r="BP519">
        <v>0</v>
      </c>
      <c r="BQ519">
        <v>0</v>
      </c>
      <c r="BR519">
        <v>0</v>
      </c>
      <c r="BS519">
        <v>0</v>
      </c>
      <c r="BT519">
        <v>0</v>
      </c>
      <c r="BU519">
        <v>0</v>
      </c>
      <c r="BV519">
        <v>0</v>
      </c>
      <c r="BW519" t="s">
        <v>0</v>
      </c>
      <c r="BX519">
        <v>0</v>
      </c>
      <c r="BY519">
        <v>0</v>
      </c>
      <c r="BZ519">
        <v>0</v>
      </c>
      <c r="CA519">
        <v>0</v>
      </c>
      <c r="CB519" t="s">
        <v>145</v>
      </c>
    </row>
    <row r="520" spans="67:80" x14ac:dyDescent="0.25">
      <c r="BO520">
        <v>0</v>
      </c>
      <c r="BP520">
        <v>0</v>
      </c>
      <c r="BQ520">
        <v>0</v>
      </c>
      <c r="BR520">
        <v>0</v>
      </c>
      <c r="BS520">
        <v>0</v>
      </c>
      <c r="BT520">
        <v>0</v>
      </c>
      <c r="BU520">
        <v>0</v>
      </c>
      <c r="BV520">
        <v>0</v>
      </c>
      <c r="BW520" t="s">
        <v>0</v>
      </c>
      <c r="BX520">
        <v>0</v>
      </c>
      <c r="BY520">
        <v>0</v>
      </c>
      <c r="BZ520">
        <v>0</v>
      </c>
      <c r="CA520">
        <v>0</v>
      </c>
      <c r="CB520" t="s">
        <v>145</v>
      </c>
    </row>
    <row r="521" spans="67:80" x14ac:dyDescent="0.25"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 t="s">
        <v>0</v>
      </c>
      <c r="BX521">
        <v>0</v>
      </c>
      <c r="BY521">
        <v>0</v>
      </c>
      <c r="BZ521">
        <v>0</v>
      </c>
      <c r="CA521">
        <v>0</v>
      </c>
      <c r="CB521" t="s">
        <v>145</v>
      </c>
    </row>
    <row r="522" spans="67:80" x14ac:dyDescent="0.25">
      <c r="BO522">
        <v>0</v>
      </c>
      <c r="BP522">
        <v>0</v>
      </c>
      <c r="BQ522">
        <v>0</v>
      </c>
      <c r="BR522">
        <v>0</v>
      </c>
      <c r="BS522">
        <v>0</v>
      </c>
      <c r="BT522">
        <v>0</v>
      </c>
      <c r="BU522">
        <v>0</v>
      </c>
      <c r="BV522">
        <v>0</v>
      </c>
      <c r="BW522" t="s">
        <v>0</v>
      </c>
      <c r="BX522">
        <v>0</v>
      </c>
      <c r="BY522">
        <v>0</v>
      </c>
      <c r="BZ522">
        <v>0</v>
      </c>
      <c r="CA522">
        <v>0</v>
      </c>
      <c r="CB522" t="s">
        <v>145</v>
      </c>
    </row>
    <row r="523" spans="67:80" x14ac:dyDescent="0.25">
      <c r="BO523">
        <v>0</v>
      </c>
      <c r="BP523">
        <v>0</v>
      </c>
      <c r="BQ523">
        <v>0</v>
      </c>
      <c r="BR523">
        <v>0</v>
      </c>
      <c r="BS523">
        <v>0</v>
      </c>
      <c r="BT523">
        <v>0</v>
      </c>
      <c r="BU523">
        <v>0</v>
      </c>
      <c r="BV523">
        <v>0</v>
      </c>
      <c r="BW523" t="s">
        <v>0</v>
      </c>
      <c r="BX523">
        <v>0</v>
      </c>
      <c r="BY523">
        <v>0</v>
      </c>
      <c r="BZ523">
        <v>0</v>
      </c>
      <c r="CA523">
        <v>0</v>
      </c>
      <c r="CB523" t="s">
        <v>145</v>
      </c>
    </row>
    <row r="524" spans="67:80" x14ac:dyDescent="0.25">
      <c r="BO524">
        <v>0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0</v>
      </c>
      <c r="BV524">
        <v>0</v>
      </c>
      <c r="BW524" t="s">
        <v>0</v>
      </c>
      <c r="BX524">
        <v>0</v>
      </c>
      <c r="BY524">
        <v>0</v>
      </c>
      <c r="BZ524">
        <v>0</v>
      </c>
      <c r="CA524">
        <v>0</v>
      </c>
      <c r="CB524" t="s">
        <v>145</v>
      </c>
    </row>
    <row r="525" spans="67:80" x14ac:dyDescent="0.25">
      <c r="BO525">
        <v>0</v>
      </c>
      <c r="BP525">
        <v>0</v>
      </c>
      <c r="BQ525">
        <v>0</v>
      </c>
      <c r="BR525">
        <v>0</v>
      </c>
      <c r="BS525">
        <v>0</v>
      </c>
      <c r="BT525">
        <v>0</v>
      </c>
      <c r="BU525">
        <v>0</v>
      </c>
      <c r="BV525">
        <v>0</v>
      </c>
      <c r="BW525" t="s">
        <v>0</v>
      </c>
      <c r="BX525">
        <v>0</v>
      </c>
      <c r="BY525">
        <v>0</v>
      </c>
      <c r="BZ525">
        <v>0</v>
      </c>
      <c r="CA525">
        <v>0</v>
      </c>
      <c r="CB525" t="s">
        <v>145</v>
      </c>
    </row>
    <row r="526" spans="67:80" x14ac:dyDescent="0.25">
      <c r="BO526">
        <v>0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 t="s">
        <v>0</v>
      </c>
      <c r="BX526">
        <v>0</v>
      </c>
      <c r="BY526">
        <v>0</v>
      </c>
      <c r="BZ526">
        <v>0</v>
      </c>
      <c r="CA526">
        <v>0</v>
      </c>
      <c r="CB526" t="s">
        <v>145</v>
      </c>
    </row>
    <row r="527" spans="67:80" x14ac:dyDescent="0.25">
      <c r="BO527">
        <v>0</v>
      </c>
      <c r="BP527">
        <v>0</v>
      </c>
      <c r="BQ527">
        <v>0</v>
      </c>
      <c r="BR527">
        <v>0</v>
      </c>
      <c r="BS527">
        <v>0</v>
      </c>
      <c r="BT527">
        <v>0</v>
      </c>
      <c r="BU527">
        <v>0</v>
      </c>
      <c r="BV527">
        <v>0</v>
      </c>
      <c r="BW527" t="s">
        <v>0</v>
      </c>
      <c r="BX527">
        <v>0</v>
      </c>
      <c r="BY527">
        <v>0</v>
      </c>
      <c r="BZ527">
        <v>0</v>
      </c>
      <c r="CA527">
        <v>0</v>
      </c>
      <c r="CB527" t="s">
        <v>145</v>
      </c>
    </row>
    <row r="528" spans="67:80" x14ac:dyDescent="0.25">
      <c r="BO528">
        <v>0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 t="s">
        <v>0</v>
      </c>
      <c r="BX528">
        <v>0</v>
      </c>
      <c r="BY528">
        <v>0</v>
      </c>
      <c r="BZ528">
        <v>0</v>
      </c>
      <c r="CA528">
        <v>0</v>
      </c>
      <c r="CB528" t="s">
        <v>145</v>
      </c>
    </row>
    <row r="529" spans="67:80" x14ac:dyDescent="0.25">
      <c r="BO529">
        <v>0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 t="s">
        <v>0</v>
      </c>
      <c r="BX529">
        <v>0</v>
      </c>
      <c r="BY529">
        <v>0</v>
      </c>
      <c r="BZ529">
        <v>0</v>
      </c>
      <c r="CA529">
        <v>0</v>
      </c>
      <c r="CB529" t="s">
        <v>145</v>
      </c>
    </row>
    <row r="530" spans="67:80" x14ac:dyDescent="0.25">
      <c r="BO530">
        <v>0</v>
      </c>
      <c r="BP530">
        <v>0</v>
      </c>
      <c r="BQ530">
        <v>0</v>
      </c>
      <c r="BR530">
        <v>0</v>
      </c>
      <c r="BS530">
        <v>0</v>
      </c>
      <c r="BT530">
        <v>0</v>
      </c>
      <c r="BU530">
        <v>0</v>
      </c>
      <c r="BV530">
        <v>0</v>
      </c>
      <c r="BW530" t="s">
        <v>0</v>
      </c>
      <c r="BX530">
        <v>0</v>
      </c>
      <c r="BY530">
        <v>0</v>
      </c>
      <c r="BZ530">
        <v>0</v>
      </c>
      <c r="CA530">
        <v>0</v>
      </c>
      <c r="CB530" t="s">
        <v>145</v>
      </c>
    </row>
    <row r="531" spans="67:80" x14ac:dyDescent="0.25">
      <c r="BO531">
        <v>0</v>
      </c>
      <c r="BP531">
        <v>0</v>
      </c>
      <c r="BQ531">
        <v>0</v>
      </c>
      <c r="BR531">
        <v>0</v>
      </c>
      <c r="BS531">
        <v>0</v>
      </c>
      <c r="BT531">
        <v>0</v>
      </c>
      <c r="BU531">
        <v>0</v>
      </c>
      <c r="BV531">
        <v>0</v>
      </c>
      <c r="BW531" t="s">
        <v>0</v>
      </c>
      <c r="BX531">
        <v>0</v>
      </c>
      <c r="BY531">
        <v>0</v>
      </c>
      <c r="BZ531">
        <v>0</v>
      </c>
      <c r="CA531">
        <v>0</v>
      </c>
      <c r="CB531" t="s">
        <v>145</v>
      </c>
    </row>
    <row r="532" spans="67:80" x14ac:dyDescent="0.25">
      <c r="BO532">
        <v>0</v>
      </c>
      <c r="BP532">
        <v>0</v>
      </c>
      <c r="BQ532">
        <v>0</v>
      </c>
      <c r="BR532">
        <v>0</v>
      </c>
      <c r="BS532">
        <v>0</v>
      </c>
      <c r="BT532">
        <v>0</v>
      </c>
      <c r="BU532">
        <v>0</v>
      </c>
      <c r="BV532">
        <v>0</v>
      </c>
      <c r="BW532" t="s">
        <v>0</v>
      </c>
      <c r="BX532">
        <v>0</v>
      </c>
      <c r="BY532">
        <v>0</v>
      </c>
      <c r="BZ532">
        <v>0</v>
      </c>
      <c r="CA532">
        <v>0</v>
      </c>
      <c r="CB532" t="s">
        <v>145</v>
      </c>
    </row>
    <row r="533" spans="67:80" x14ac:dyDescent="0.25">
      <c r="BO533">
        <v>0</v>
      </c>
      <c r="BP533">
        <v>0</v>
      </c>
      <c r="BQ533">
        <v>0</v>
      </c>
      <c r="BR533">
        <v>0</v>
      </c>
      <c r="BS533">
        <v>0</v>
      </c>
      <c r="BT533">
        <v>0</v>
      </c>
      <c r="BU533">
        <v>0</v>
      </c>
      <c r="BV533">
        <v>0</v>
      </c>
      <c r="BW533" t="s">
        <v>0</v>
      </c>
      <c r="BX533">
        <v>0</v>
      </c>
      <c r="BY533">
        <v>0</v>
      </c>
      <c r="BZ533">
        <v>0</v>
      </c>
      <c r="CA533">
        <v>0</v>
      </c>
      <c r="CB533" t="s">
        <v>145</v>
      </c>
    </row>
    <row r="534" spans="67:80" x14ac:dyDescent="0.25">
      <c r="BO534">
        <v>0</v>
      </c>
      <c r="BP534">
        <v>0</v>
      </c>
      <c r="BQ534">
        <v>0</v>
      </c>
      <c r="BR534">
        <v>0</v>
      </c>
      <c r="BS534">
        <v>0</v>
      </c>
      <c r="BT534">
        <v>0</v>
      </c>
      <c r="BU534">
        <v>0</v>
      </c>
      <c r="BV534">
        <v>0</v>
      </c>
      <c r="BW534" t="s">
        <v>0</v>
      </c>
      <c r="BX534">
        <v>0</v>
      </c>
      <c r="BY534">
        <v>0</v>
      </c>
      <c r="BZ534">
        <v>0</v>
      </c>
      <c r="CA534">
        <v>0</v>
      </c>
      <c r="CB534" t="s">
        <v>145</v>
      </c>
    </row>
    <row r="535" spans="67:80" x14ac:dyDescent="0.25">
      <c r="BO535">
        <v>0</v>
      </c>
      <c r="BP535">
        <v>0</v>
      </c>
      <c r="BQ535">
        <v>0</v>
      </c>
      <c r="BR535">
        <v>0</v>
      </c>
      <c r="BS535">
        <v>0</v>
      </c>
      <c r="BT535">
        <v>0</v>
      </c>
      <c r="BU535">
        <v>0</v>
      </c>
      <c r="BV535">
        <v>0</v>
      </c>
      <c r="BW535" t="s">
        <v>0</v>
      </c>
      <c r="BX535">
        <v>0</v>
      </c>
      <c r="BY535">
        <v>0</v>
      </c>
      <c r="BZ535">
        <v>0</v>
      </c>
      <c r="CA535">
        <v>0</v>
      </c>
      <c r="CB535" t="s">
        <v>145</v>
      </c>
    </row>
    <row r="536" spans="67:80" x14ac:dyDescent="0.25">
      <c r="BO536">
        <v>0</v>
      </c>
      <c r="BP536">
        <v>0</v>
      </c>
      <c r="BQ536">
        <v>0</v>
      </c>
      <c r="BR536">
        <v>0</v>
      </c>
      <c r="BS536">
        <v>0</v>
      </c>
      <c r="BT536">
        <v>0</v>
      </c>
      <c r="BU536">
        <v>0</v>
      </c>
      <c r="BV536">
        <v>0</v>
      </c>
      <c r="BW536" t="s">
        <v>0</v>
      </c>
      <c r="BX536">
        <v>0</v>
      </c>
      <c r="BY536">
        <v>0</v>
      </c>
      <c r="BZ536">
        <v>0</v>
      </c>
      <c r="CA536">
        <v>0</v>
      </c>
      <c r="CB536" t="s">
        <v>145</v>
      </c>
    </row>
    <row r="537" spans="67:80" x14ac:dyDescent="0.25">
      <c r="BO537">
        <v>0</v>
      </c>
      <c r="BP537">
        <v>0</v>
      </c>
      <c r="BQ537">
        <v>0</v>
      </c>
      <c r="BR537">
        <v>0</v>
      </c>
      <c r="BS537">
        <v>0</v>
      </c>
      <c r="BT537">
        <v>0</v>
      </c>
      <c r="BU537">
        <v>0</v>
      </c>
      <c r="BV537">
        <v>0</v>
      </c>
      <c r="BW537" t="s">
        <v>0</v>
      </c>
      <c r="BX537">
        <v>0</v>
      </c>
      <c r="BY537">
        <v>0</v>
      </c>
      <c r="BZ537">
        <v>0</v>
      </c>
      <c r="CA537">
        <v>0</v>
      </c>
      <c r="CB537" t="s">
        <v>145</v>
      </c>
    </row>
    <row r="538" spans="67:80" x14ac:dyDescent="0.25">
      <c r="BO538">
        <v>0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 t="s">
        <v>0</v>
      </c>
      <c r="BX538">
        <v>0</v>
      </c>
      <c r="BY538">
        <v>0</v>
      </c>
      <c r="BZ538">
        <v>0</v>
      </c>
      <c r="CA538">
        <v>0</v>
      </c>
      <c r="CB538" t="s">
        <v>145</v>
      </c>
    </row>
    <row r="539" spans="67:80" x14ac:dyDescent="0.25">
      <c r="BO539">
        <v>0</v>
      </c>
      <c r="BP539">
        <v>0</v>
      </c>
      <c r="BQ539">
        <v>0</v>
      </c>
      <c r="BR539">
        <v>0</v>
      </c>
      <c r="BS539">
        <v>0</v>
      </c>
      <c r="BT539">
        <v>0</v>
      </c>
      <c r="BU539">
        <v>0</v>
      </c>
      <c r="BV539">
        <v>0</v>
      </c>
      <c r="BW539" t="s">
        <v>0</v>
      </c>
      <c r="BX539">
        <v>0</v>
      </c>
      <c r="BY539">
        <v>0</v>
      </c>
      <c r="BZ539">
        <v>0</v>
      </c>
      <c r="CA539">
        <v>0</v>
      </c>
      <c r="CB539" t="s">
        <v>145</v>
      </c>
    </row>
    <row r="540" spans="67:80" x14ac:dyDescent="0.25">
      <c r="BO540">
        <v>0</v>
      </c>
      <c r="BP540">
        <v>0</v>
      </c>
      <c r="BQ540">
        <v>0</v>
      </c>
      <c r="BR540">
        <v>0</v>
      </c>
      <c r="BS540">
        <v>0</v>
      </c>
      <c r="BT540">
        <v>0</v>
      </c>
      <c r="BU540">
        <v>0</v>
      </c>
      <c r="BV540">
        <v>0</v>
      </c>
      <c r="BW540" t="s">
        <v>0</v>
      </c>
      <c r="BX540">
        <v>0</v>
      </c>
      <c r="BY540">
        <v>0</v>
      </c>
      <c r="BZ540">
        <v>0</v>
      </c>
      <c r="CA540">
        <v>0</v>
      </c>
      <c r="CB540" t="s">
        <v>145</v>
      </c>
    </row>
    <row r="541" spans="67:80" x14ac:dyDescent="0.25">
      <c r="BO541">
        <v>0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 t="s">
        <v>0</v>
      </c>
      <c r="BX541">
        <v>0</v>
      </c>
      <c r="BY541">
        <v>0</v>
      </c>
      <c r="BZ541">
        <v>0</v>
      </c>
      <c r="CA541">
        <v>0</v>
      </c>
      <c r="CB541" t="s">
        <v>145</v>
      </c>
    </row>
    <row r="542" spans="67:80" x14ac:dyDescent="0.25">
      <c r="BO542">
        <v>0</v>
      </c>
      <c r="BP542">
        <v>0</v>
      </c>
      <c r="BQ542">
        <v>0</v>
      </c>
      <c r="BR542">
        <v>0</v>
      </c>
      <c r="BS542">
        <v>0</v>
      </c>
      <c r="BT542">
        <v>0</v>
      </c>
      <c r="BU542">
        <v>0</v>
      </c>
      <c r="BV542">
        <v>0</v>
      </c>
      <c r="BW542" t="s">
        <v>0</v>
      </c>
      <c r="BX542">
        <v>0</v>
      </c>
      <c r="BY542">
        <v>0</v>
      </c>
      <c r="BZ542">
        <v>0</v>
      </c>
      <c r="CA542">
        <v>0</v>
      </c>
      <c r="CB542" t="s">
        <v>145</v>
      </c>
    </row>
    <row r="543" spans="67:80" x14ac:dyDescent="0.25"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0</v>
      </c>
      <c r="BV543">
        <v>0</v>
      </c>
      <c r="BW543" t="s">
        <v>0</v>
      </c>
      <c r="BX543">
        <v>0</v>
      </c>
      <c r="BY543">
        <v>0</v>
      </c>
      <c r="BZ543">
        <v>0</v>
      </c>
      <c r="CA543">
        <v>0</v>
      </c>
      <c r="CB543" t="s">
        <v>145</v>
      </c>
    </row>
    <row r="544" spans="67:80" x14ac:dyDescent="0.25">
      <c r="BO544">
        <v>0</v>
      </c>
      <c r="BP544">
        <v>0</v>
      </c>
      <c r="BQ544">
        <v>0</v>
      </c>
      <c r="BR544">
        <v>0</v>
      </c>
      <c r="BS544">
        <v>0</v>
      </c>
      <c r="BT544">
        <v>0</v>
      </c>
      <c r="BU544">
        <v>0</v>
      </c>
      <c r="BV544">
        <v>0</v>
      </c>
      <c r="BW544" t="s">
        <v>0</v>
      </c>
      <c r="BX544">
        <v>0</v>
      </c>
      <c r="BY544">
        <v>0</v>
      </c>
      <c r="BZ544">
        <v>0</v>
      </c>
      <c r="CA544">
        <v>0</v>
      </c>
      <c r="CB544" t="s">
        <v>145</v>
      </c>
    </row>
    <row r="545" spans="67:80" x14ac:dyDescent="0.25">
      <c r="BO545">
        <v>0</v>
      </c>
      <c r="BP545">
        <v>0</v>
      </c>
      <c r="BQ545">
        <v>0</v>
      </c>
      <c r="BR545">
        <v>0</v>
      </c>
      <c r="BS545">
        <v>0</v>
      </c>
      <c r="BT545">
        <v>0</v>
      </c>
      <c r="BU545">
        <v>0</v>
      </c>
      <c r="BV545">
        <v>0</v>
      </c>
      <c r="BW545" t="s">
        <v>0</v>
      </c>
      <c r="BX545">
        <v>0</v>
      </c>
      <c r="BY545">
        <v>0</v>
      </c>
      <c r="BZ545">
        <v>0</v>
      </c>
      <c r="CA545">
        <v>0</v>
      </c>
      <c r="CB545" t="s">
        <v>145</v>
      </c>
    </row>
    <row r="546" spans="67:80" x14ac:dyDescent="0.25">
      <c r="BO546">
        <v>0</v>
      </c>
      <c r="BP546">
        <v>0</v>
      </c>
      <c r="BQ546">
        <v>0</v>
      </c>
      <c r="BR546">
        <v>0</v>
      </c>
      <c r="BS546">
        <v>0</v>
      </c>
      <c r="BT546">
        <v>0</v>
      </c>
      <c r="BU546">
        <v>0</v>
      </c>
      <c r="BV546">
        <v>0</v>
      </c>
      <c r="BW546" t="s">
        <v>0</v>
      </c>
      <c r="BX546">
        <v>0</v>
      </c>
      <c r="BY546">
        <v>0</v>
      </c>
      <c r="BZ546">
        <v>0</v>
      </c>
      <c r="CA546">
        <v>0</v>
      </c>
      <c r="CB546" t="s">
        <v>145</v>
      </c>
    </row>
    <row r="547" spans="67:80" x14ac:dyDescent="0.25"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0</v>
      </c>
      <c r="BV547">
        <v>0</v>
      </c>
      <c r="BW547" t="s">
        <v>0</v>
      </c>
      <c r="BX547">
        <v>0</v>
      </c>
      <c r="BY547">
        <v>0</v>
      </c>
      <c r="BZ547">
        <v>0</v>
      </c>
      <c r="CA547">
        <v>0</v>
      </c>
      <c r="CB547" t="s">
        <v>145</v>
      </c>
    </row>
    <row r="548" spans="67:80" x14ac:dyDescent="0.25">
      <c r="BO548">
        <v>0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0</v>
      </c>
      <c r="BW548" t="s">
        <v>0</v>
      </c>
      <c r="BX548">
        <v>0</v>
      </c>
      <c r="BY548">
        <v>0</v>
      </c>
      <c r="BZ548">
        <v>0</v>
      </c>
      <c r="CA548">
        <v>0</v>
      </c>
      <c r="CB548" t="s">
        <v>145</v>
      </c>
    </row>
    <row r="549" spans="67:80" x14ac:dyDescent="0.25">
      <c r="BO549">
        <v>0</v>
      </c>
      <c r="BP549">
        <v>0</v>
      </c>
      <c r="BQ549">
        <v>0</v>
      </c>
      <c r="BR549">
        <v>0</v>
      </c>
      <c r="BS549">
        <v>0</v>
      </c>
      <c r="BT549">
        <v>0</v>
      </c>
      <c r="BU549">
        <v>0</v>
      </c>
      <c r="BV549">
        <v>0</v>
      </c>
      <c r="BW549" t="s">
        <v>0</v>
      </c>
      <c r="BX549">
        <v>0</v>
      </c>
      <c r="BY549">
        <v>0</v>
      </c>
      <c r="BZ549">
        <v>0</v>
      </c>
      <c r="CA549">
        <v>0</v>
      </c>
      <c r="CB549" t="s">
        <v>145</v>
      </c>
    </row>
    <row r="550" spans="67:80" x14ac:dyDescent="0.25">
      <c r="BO550">
        <v>0</v>
      </c>
      <c r="BP550">
        <v>0</v>
      </c>
      <c r="BQ550">
        <v>0</v>
      </c>
      <c r="BR550">
        <v>0</v>
      </c>
      <c r="BS550">
        <v>0</v>
      </c>
      <c r="BT550">
        <v>0</v>
      </c>
      <c r="BU550">
        <v>0</v>
      </c>
      <c r="BV550">
        <v>0</v>
      </c>
      <c r="BW550" t="s">
        <v>0</v>
      </c>
      <c r="BX550">
        <v>0</v>
      </c>
      <c r="BY550">
        <v>0</v>
      </c>
      <c r="BZ550">
        <v>0</v>
      </c>
      <c r="CA550">
        <v>0</v>
      </c>
      <c r="CB550" t="s">
        <v>145</v>
      </c>
    </row>
    <row r="551" spans="67:80" x14ac:dyDescent="0.25">
      <c r="BO551">
        <v>0</v>
      </c>
      <c r="BP551">
        <v>0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0</v>
      </c>
      <c r="BW551" t="s">
        <v>0</v>
      </c>
      <c r="BX551">
        <v>0</v>
      </c>
      <c r="BY551">
        <v>0</v>
      </c>
      <c r="BZ551">
        <v>0</v>
      </c>
      <c r="CA551">
        <v>0</v>
      </c>
      <c r="CB551" t="s">
        <v>145</v>
      </c>
    </row>
    <row r="552" spans="67:80" x14ac:dyDescent="0.25">
      <c r="BO552">
        <v>0</v>
      </c>
      <c r="BP552">
        <v>0</v>
      </c>
      <c r="BQ552">
        <v>0</v>
      </c>
      <c r="BR552">
        <v>0</v>
      </c>
      <c r="BS552">
        <v>0</v>
      </c>
      <c r="BT552">
        <v>0</v>
      </c>
      <c r="BU552">
        <v>0</v>
      </c>
      <c r="BV552">
        <v>0</v>
      </c>
      <c r="BW552" t="s">
        <v>0</v>
      </c>
      <c r="BX552">
        <v>0</v>
      </c>
      <c r="BY552">
        <v>0</v>
      </c>
      <c r="BZ552">
        <v>0</v>
      </c>
      <c r="CA552">
        <v>0</v>
      </c>
      <c r="CB552" t="s">
        <v>145</v>
      </c>
    </row>
    <row r="553" spans="67:80" x14ac:dyDescent="0.25">
      <c r="BO553">
        <v>0</v>
      </c>
      <c r="BP553">
        <v>0</v>
      </c>
      <c r="BQ553">
        <v>0</v>
      </c>
      <c r="BR553">
        <v>0</v>
      </c>
      <c r="BS553">
        <v>0</v>
      </c>
      <c r="BT553">
        <v>0</v>
      </c>
      <c r="BU553">
        <v>0</v>
      </c>
      <c r="BV553">
        <v>0</v>
      </c>
      <c r="BW553" t="s">
        <v>0</v>
      </c>
      <c r="BX553">
        <v>0</v>
      </c>
      <c r="BY553">
        <v>0</v>
      </c>
      <c r="BZ553">
        <v>0</v>
      </c>
      <c r="CA553">
        <v>0</v>
      </c>
      <c r="CB553" t="s">
        <v>145</v>
      </c>
    </row>
    <row r="554" spans="67:80" x14ac:dyDescent="0.25">
      <c r="BO554">
        <v>0</v>
      </c>
      <c r="BP554">
        <v>0</v>
      </c>
      <c r="BQ554">
        <v>0</v>
      </c>
      <c r="BR554">
        <v>0</v>
      </c>
      <c r="BS554">
        <v>0</v>
      </c>
      <c r="BT554">
        <v>0</v>
      </c>
      <c r="BU554">
        <v>0</v>
      </c>
      <c r="BV554">
        <v>0</v>
      </c>
      <c r="BW554" t="s">
        <v>0</v>
      </c>
      <c r="BX554">
        <v>0</v>
      </c>
      <c r="BY554">
        <v>0</v>
      </c>
      <c r="BZ554">
        <v>0</v>
      </c>
      <c r="CA554">
        <v>0</v>
      </c>
      <c r="CB554" t="s">
        <v>145</v>
      </c>
    </row>
    <row r="555" spans="67:80" x14ac:dyDescent="0.25">
      <c r="BO555">
        <v>0</v>
      </c>
      <c r="BP555">
        <v>0</v>
      </c>
      <c r="BQ555">
        <v>0</v>
      </c>
      <c r="BR555">
        <v>0</v>
      </c>
      <c r="BS555">
        <v>0</v>
      </c>
      <c r="BT555">
        <v>0</v>
      </c>
      <c r="BU555">
        <v>0</v>
      </c>
      <c r="BV555">
        <v>0</v>
      </c>
      <c r="BW555" t="s">
        <v>0</v>
      </c>
      <c r="BX555">
        <v>0</v>
      </c>
      <c r="BY555">
        <v>0</v>
      </c>
      <c r="BZ555">
        <v>0</v>
      </c>
      <c r="CA555">
        <v>0</v>
      </c>
      <c r="CB555" t="s">
        <v>145</v>
      </c>
    </row>
    <row r="556" spans="67:80" x14ac:dyDescent="0.25">
      <c r="BO556">
        <v>0</v>
      </c>
      <c r="BP556">
        <v>0</v>
      </c>
      <c r="BQ556">
        <v>0</v>
      </c>
      <c r="BR556">
        <v>0</v>
      </c>
      <c r="BS556">
        <v>0</v>
      </c>
      <c r="BT556">
        <v>0</v>
      </c>
      <c r="BU556">
        <v>0</v>
      </c>
      <c r="BV556">
        <v>0</v>
      </c>
      <c r="BW556" t="s">
        <v>0</v>
      </c>
      <c r="BX556">
        <v>0</v>
      </c>
      <c r="BY556">
        <v>0</v>
      </c>
      <c r="BZ556">
        <v>0</v>
      </c>
      <c r="CA556">
        <v>0</v>
      </c>
      <c r="CB556" t="s">
        <v>145</v>
      </c>
    </row>
    <row r="557" spans="67:80" x14ac:dyDescent="0.25"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0</v>
      </c>
      <c r="BW557" t="s">
        <v>0</v>
      </c>
      <c r="BX557">
        <v>0</v>
      </c>
      <c r="BY557">
        <v>0</v>
      </c>
      <c r="BZ557">
        <v>0</v>
      </c>
      <c r="CA557">
        <v>0</v>
      </c>
      <c r="CB557" t="s">
        <v>145</v>
      </c>
    </row>
    <row r="558" spans="67:80" x14ac:dyDescent="0.25">
      <c r="BO558">
        <v>0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 t="s">
        <v>0</v>
      </c>
      <c r="BX558">
        <v>0</v>
      </c>
      <c r="BY558">
        <v>0</v>
      </c>
      <c r="BZ558">
        <v>0</v>
      </c>
      <c r="CA558">
        <v>0</v>
      </c>
      <c r="CB558" t="s">
        <v>145</v>
      </c>
    </row>
    <row r="559" spans="67:80" x14ac:dyDescent="0.25">
      <c r="BO559">
        <v>0</v>
      </c>
      <c r="BP559">
        <v>0</v>
      </c>
      <c r="BQ559">
        <v>0</v>
      </c>
      <c r="BR559">
        <v>0</v>
      </c>
      <c r="BS559">
        <v>0</v>
      </c>
      <c r="BT559">
        <v>0</v>
      </c>
      <c r="BU559">
        <v>0</v>
      </c>
      <c r="BV559">
        <v>0</v>
      </c>
      <c r="BW559" t="s">
        <v>0</v>
      </c>
      <c r="BX559">
        <v>0</v>
      </c>
      <c r="BY559">
        <v>0</v>
      </c>
      <c r="BZ559">
        <v>0</v>
      </c>
      <c r="CA559">
        <v>0</v>
      </c>
      <c r="CB559" t="s">
        <v>145</v>
      </c>
    </row>
    <row r="560" spans="67:80" x14ac:dyDescent="0.25">
      <c r="BO560">
        <v>0</v>
      </c>
      <c r="BP560">
        <v>0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 t="s">
        <v>0</v>
      </c>
      <c r="BX560">
        <v>0</v>
      </c>
      <c r="BY560">
        <v>0</v>
      </c>
      <c r="BZ560">
        <v>0</v>
      </c>
      <c r="CA560">
        <v>0</v>
      </c>
      <c r="CB560" t="s">
        <v>145</v>
      </c>
    </row>
    <row r="561" spans="67:80" x14ac:dyDescent="0.25">
      <c r="BO561">
        <v>0</v>
      </c>
      <c r="BP561">
        <v>0</v>
      </c>
      <c r="BQ561">
        <v>0</v>
      </c>
      <c r="BR561">
        <v>0</v>
      </c>
      <c r="BS561">
        <v>0</v>
      </c>
      <c r="BT561">
        <v>0</v>
      </c>
      <c r="BU561">
        <v>0</v>
      </c>
      <c r="BV561">
        <v>0</v>
      </c>
      <c r="BW561" t="s">
        <v>0</v>
      </c>
      <c r="BX561">
        <v>0</v>
      </c>
      <c r="BY561">
        <v>0</v>
      </c>
      <c r="BZ561">
        <v>0</v>
      </c>
      <c r="CA561">
        <v>0</v>
      </c>
      <c r="CB561" t="s">
        <v>145</v>
      </c>
    </row>
    <row r="562" spans="67:80" x14ac:dyDescent="0.25">
      <c r="BO562">
        <v>0</v>
      </c>
      <c r="BP562">
        <v>0</v>
      </c>
      <c r="BQ562">
        <v>0</v>
      </c>
      <c r="BR562">
        <v>0</v>
      </c>
      <c r="BS562">
        <v>0</v>
      </c>
      <c r="BT562">
        <v>0</v>
      </c>
      <c r="BU562">
        <v>0</v>
      </c>
      <c r="BV562">
        <v>0</v>
      </c>
      <c r="BW562" t="s">
        <v>0</v>
      </c>
      <c r="BX562">
        <v>0</v>
      </c>
      <c r="BY562">
        <v>0</v>
      </c>
      <c r="BZ562">
        <v>0</v>
      </c>
      <c r="CA562">
        <v>0</v>
      </c>
      <c r="CB562" t="s">
        <v>145</v>
      </c>
    </row>
    <row r="563" spans="67:80" x14ac:dyDescent="0.25">
      <c r="BO563">
        <v>0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 t="s">
        <v>0</v>
      </c>
      <c r="BX563">
        <v>0</v>
      </c>
      <c r="BY563">
        <v>0</v>
      </c>
      <c r="BZ563">
        <v>0</v>
      </c>
      <c r="CA563">
        <v>0</v>
      </c>
      <c r="CB563" t="s">
        <v>145</v>
      </c>
    </row>
    <row r="564" spans="67:80" x14ac:dyDescent="0.25">
      <c r="BO564">
        <v>0</v>
      </c>
      <c r="BP564">
        <v>0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 t="s">
        <v>0</v>
      </c>
      <c r="BX564">
        <v>0</v>
      </c>
      <c r="BY564">
        <v>0</v>
      </c>
      <c r="BZ564">
        <v>0</v>
      </c>
      <c r="CA564">
        <v>0</v>
      </c>
      <c r="CB564" t="s">
        <v>145</v>
      </c>
    </row>
    <row r="565" spans="67:80" x14ac:dyDescent="0.25">
      <c r="BO565">
        <v>0</v>
      </c>
      <c r="BP565">
        <v>0</v>
      </c>
      <c r="BQ565">
        <v>0</v>
      </c>
      <c r="BR565">
        <v>0</v>
      </c>
      <c r="BS565">
        <v>0</v>
      </c>
      <c r="BT565">
        <v>0</v>
      </c>
      <c r="BU565">
        <v>0</v>
      </c>
      <c r="BV565">
        <v>0</v>
      </c>
      <c r="BW565" t="s">
        <v>0</v>
      </c>
      <c r="BX565">
        <v>0</v>
      </c>
      <c r="BY565">
        <v>0</v>
      </c>
      <c r="BZ565">
        <v>0</v>
      </c>
      <c r="CA565">
        <v>0</v>
      </c>
      <c r="CB565" t="s">
        <v>145</v>
      </c>
    </row>
    <row r="566" spans="67:80" x14ac:dyDescent="0.25">
      <c r="BO566">
        <v>0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  <c r="BW566" t="s">
        <v>0</v>
      </c>
      <c r="BX566">
        <v>0</v>
      </c>
      <c r="BY566">
        <v>0</v>
      </c>
      <c r="BZ566">
        <v>0</v>
      </c>
      <c r="CA566">
        <v>0</v>
      </c>
      <c r="CB566" t="s">
        <v>145</v>
      </c>
    </row>
    <row r="567" spans="67:80" x14ac:dyDescent="0.25">
      <c r="BO567">
        <v>0</v>
      </c>
      <c r="BP567">
        <v>0</v>
      </c>
      <c r="BQ567">
        <v>0</v>
      </c>
      <c r="BR567">
        <v>0</v>
      </c>
      <c r="BS567">
        <v>0</v>
      </c>
      <c r="BT567">
        <v>0</v>
      </c>
      <c r="BU567">
        <v>0</v>
      </c>
      <c r="BV567">
        <v>0</v>
      </c>
      <c r="BW567" t="s">
        <v>0</v>
      </c>
      <c r="BX567">
        <v>0</v>
      </c>
      <c r="BY567">
        <v>0</v>
      </c>
      <c r="BZ567">
        <v>0</v>
      </c>
      <c r="CA567">
        <v>0</v>
      </c>
      <c r="CB567" t="s">
        <v>145</v>
      </c>
    </row>
    <row r="568" spans="67:80" x14ac:dyDescent="0.25">
      <c r="BO568">
        <v>0</v>
      </c>
      <c r="BP568">
        <v>0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0</v>
      </c>
      <c r="BW568" t="s">
        <v>0</v>
      </c>
      <c r="BX568">
        <v>0</v>
      </c>
      <c r="BY568">
        <v>0</v>
      </c>
      <c r="BZ568">
        <v>0</v>
      </c>
      <c r="CA568">
        <v>0</v>
      </c>
      <c r="CB568" t="s">
        <v>145</v>
      </c>
    </row>
    <row r="569" spans="67:80" x14ac:dyDescent="0.25"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0</v>
      </c>
      <c r="BV569">
        <v>0</v>
      </c>
      <c r="BW569" t="s">
        <v>0</v>
      </c>
      <c r="BX569">
        <v>0</v>
      </c>
      <c r="BY569">
        <v>0</v>
      </c>
      <c r="BZ569">
        <v>0</v>
      </c>
      <c r="CA569">
        <v>0</v>
      </c>
      <c r="CB569" t="s">
        <v>145</v>
      </c>
    </row>
    <row r="570" spans="67:80" x14ac:dyDescent="0.25">
      <c r="BO570">
        <v>0</v>
      </c>
      <c r="BP570">
        <v>0</v>
      </c>
      <c r="BQ570">
        <v>0</v>
      </c>
      <c r="BR570">
        <v>0</v>
      </c>
      <c r="BS570">
        <v>0</v>
      </c>
      <c r="BT570">
        <v>0</v>
      </c>
      <c r="BU570">
        <v>0</v>
      </c>
      <c r="BV570">
        <v>0</v>
      </c>
      <c r="BW570" t="s">
        <v>0</v>
      </c>
      <c r="BX570">
        <v>0</v>
      </c>
      <c r="BY570">
        <v>0</v>
      </c>
      <c r="BZ570">
        <v>0</v>
      </c>
      <c r="CA570">
        <v>0</v>
      </c>
      <c r="CB570" t="s">
        <v>145</v>
      </c>
    </row>
    <row r="571" spans="67:80" x14ac:dyDescent="0.25">
      <c r="BO571">
        <v>0</v>
      </c>
      <c r="BP571">
        <v>0</v>
      </c>
      <c r="BQ571">
        <v>0</v>
      </c>
      <c r="BR571">
        <v>0</v>
      </c>
      <c r="BS571">
        <v>0</v>
      </c>
      <c r="BT571">
        <v>0</v>
      </c>
      <c r="BU571">
        <v>0</v>
      </c>
      <c r="BV571">
        <v>0</v>
      </c>
      <c r="BW571" t="s">
        <v>0</v>
      </c>
      <c r="BX571">
        <v>0</v>
      </c>
      <c r="BY571">
        <v>0</v>
      </c>
      <c r="BZ571">
        <v>0</v>
      </c>
      <c r="CA571">
        <v>0</v>
      </c>
      <c r="CB571" t="s">
        <v>145</v>
      </c>
    </row>
    <row r="572" spans="67:80" x14ac:dyDescent="0.25">
      <c r="BO572">
        <v>0</v>
      </c>
      <c r="BP572">
        <v>0</v>
      </c>
      <c r="BQ572">
        <v>0</v>
      </c>
      <c r="BR572">
        <v>0</v>
      </c>
      <c r="BS572">
        <v>0</v>
      </c>
      <c r="BT572">
        <v>0</v>
      </c>
      <c r="BU572">
        <v>0</v>
      </c>
      <c r="BV572">
        <v>0</v>
      </c>
      <c r="BW572" t="s">
        <v>0</v>
      </c>
      <c r="BX572">
        <v>0</v>
      </c>
      <c r="BY572">
        <v>0</v>
      </c>
      <c r="BZ572">
        <v>0</v>
      </c>
      <c r="CA572">
        <v>0</v>
      </c>
      <c r="CB572" t="s">
        <v>145</v>
      </c>
    </row>
    <row r="573" spans="67:80" x14ac:dyDescent="0.25">
      <c r="BO573">
        <v>0</v>
      </c>
      <c r="BP573">
        <v>0</v>
      </c>
      <c r="BQ573">
        <v>0</v>
      </c>
      <c r="BR573">
        <v>0</v>
      </c>
      <c r="BS573">
        <v>0</v>
      </c>
      <c r="BT573">
        <v>0</v>
      </c>
      <c r="BU573">
        <v>0</v>
      </c>
      <c r="BV573">
        <v>0</v>
      </c>
      <c r="BW573" t="s">
        <v>0</v>
      </c>
      <c r="BX573">
        <v>0</v>
      </c>
      <c r="BY573">
        <v>0</v>
      </c>
      <c r="BZ573">
        <v>0</v>
      </c>
      <c r="CA573">
        <v>0</v>
      </c>
      <c r="CB573" t="s">
        <v>145</v>
      </c>
    </row>
    <row r="574" spans="67:80" x14ac:dyDescent="0.25">
      <c r="BO574">
        <v>0</v>
      </c>
      <c r="BP574">
        <v>0</v>
      </c>
      <c r="BQ574">
        <v>0</v>
      </c>
      <c r="BR574">
        <v>0</v>
      </c>
      <c r="BS574">
        <v>0</v>
      </c>
      <c r="BT574">
        <v>0</v>
      </c>
      <c r="BU574">
        <v>0</v>
      </c>
      <c r="BV574">
        <v>0</v>
      </c>
      <c r="BW574" t="s">
        <v>0</v>
      </c>
      <c r="BX574">
        <v>0</v>
      </c>
      <c r="BY574">
        <v>0</v>
      </c>
      <c r="BZ574">
        <v>0</v>
      </c>
      <c r="CA574">
        <v>0</v>
      </c>
      <c r="CB574" t="s">
        <v>145</v>
      </c>
    </row>
    <row r="575" spans="67:80" x14ac:dyDescent="0.25">
      <c r="BO575">
        <v>0</v>
      </c>
      <c r="BP575">
        <v>0</v>
      </c>
      <c r="BQ575">
        <v>0</v>
      </c>
      <c r="BR575">
        <v>0</v>
      </c>
      <c r="BS575">
        <v>0</v>
      </c>
      <c r="BT575">
        <v>0</v>
      </c>
      <c r="BU575">
        <v>0</v>
      </c>
      <c r="BV575">
        <v>0</v>
      </c>
      <c r="BW575" t="s">
        <v>0</v>
      </c>
      <c r="BX575">
        <v>0</v>
      </c>
      <c r="BY575">
        <v>0</v>
      </c>
      <c r="BZ575">
        <v>0</v>
      </c>
      <c r="CA575">
        <v>0</v>
      </c>
      <c r="CB575" t="s">
        <v>145</v>
      </c>
    </row>
    <row r="576" spans="67:80" x14ac:dyDescent="0.25"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 t="s">
        <v>0</v>
      </c>
      <c r="BX576">
        <v>0</v>
      </c>
      <c r="BY576">
        <v>0</v>
      </c>
      <c r="BZ576">
        <v>0</v>
      </c>
      <c r="CA576">
        <v>0</v>
      </c>
      <c r="CB576" t="s">
        <v>145</v>
      </c>
    </row>
    <row r="577" spans="67:80" x14ac:dyDescent="0.25">
      <c r="BO577">
        <v>0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 t="s">
        <v>0</v>
      </c>
      <c r="BX577">
        <v>0</v>
      </c>
      <c r="BY577">
        <v>0</v>
      </c>
      <c r="BZ577">
        <v>0</v>
      </c>
      <c r="CA577">
        <v>0</v>
      </c>
      <c r="CB577" t="s">
        <v>145</v>
      </c>
    </row>
    <row r="578" spans="67:80" x14ac:dyDescent="0.25">
      <c r="BO578">
        <v>0</v>
      </c>
      <c r="BP578">
        <v>0</v>
      </c>
      <c r="BQ578">
        <v>0</v>
      </c>
      <c r="BR578">
        <v>0</v>
      </c>
      <c r="BS578">
        <v>0</v>
      </c>
      <c r="BT578">
        <v>0</v>
      </c>
      <c r="BU578">
        <v>0</v>
      </c>
      <c r="BV578">
        <v>0</v>
      </c>
      <c r="BW578" t="s">
        <v>0</v>
      </c>
      <c r="BX578">
        <v>0</v>
      </c>
      <c r="BY578">
        <v>0</v>
      </c>
      <c r="BZ578">
        <v>0</v>
      </c>
      <c r="CA578">
        <v>0</v>
      </c>
      <c r="CB578" t="s">
        <v>145</v>
      </c>
    </row>
    <row r="579" spans="67:80" x14ac:dyDescent="0.25">
      <c r="BO579">
        <v>0</v>
      </c>
      <c r="BP579">
        <v>0</v>
      </c>
      <c r="BQ579">
        <v>0</v>
      </c>
      <c r="BR579">
        <v>0</v>
      </c>
      <c r="BS579">
        <v>0</v>
      </c>
      <c r="BT579">
        <v>0</v>
      </c>
      <c r="BU579">
        <v>0</v>
      </c>
      <c r="BV579">
        <v>0</v>
      </c>
      <c r="BW579" t="s">
        <v>0</v>
      </c>
      <c r="BX579">
        <v>0</v>
      </c>
      <c r="BY579">
        <v>0</v>
      </c>
      <c r="BZ579">
        <v>0</v>
      </c>
      <c r="CA579">
        <v>0</v>
      </c>
      <c r="CB579" t="s">
        <v>145</v>
      </c>
    </row>
    <row r="580" spans="67:80" x14ac:dyDescent="0.25">
      <c r="BO580">
        <v>0</v>
      </c>
      <c r="BP580">
        <v>0</v>
      </c>
      <c r="BQ580">
        <v>0</v>
      </c>
      <c r="BR580">
        <v>0</v>
      </c>
      <c r="BS580">
        <v>0</v>
      </c>
      <c r="BT580">
        <v>0</v>
      </c>
      <c r="BU580">
        <v>0</v>
      </c>
      <c r="BV580">
        <v>0</v>
      </c>
      <c r="BW580" t="s">
        <v>0</v>
      </c>
      <c r="BX580">
        <v>0</v>
      </c>
      <c r="BY580">
        <v>0</v>
      </c>
      <c r="BZ580">
        <v>0</v>
      </c>
      <c r="CA580">
        <v>0</v>
      </c>
      <c r="CB580" t="s">
        <v>145</v>
      </c>
    </row>
    <row r="581" spans="67:80" x14ac:dyDescent="0.25"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 t="s">
        <v>0</v>
      </c>
      <c r="BX581">
        <v>0</v>
      </c>
      <c r="BY581">
        <v>0</v>
      </c>
      <c r="BZ581">
        <v>0</v>
      </c>
      <c r="CA581">
        <v>0</v>
      </c>
      <c r="CB581" t="s">
        <v>145</v>
      </c>
    </row>
    <row r="582" spans="67:80" x14ac:dyDescent="0.25">
      <c r="BO582">
        <v>0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 t="s">
        <v>0</v>
      </c>
      <c r="BX582">
        <v>0</v>
      </c>
      <c r="BY582">
        <v>0</v>
      </c>
      <c r="BZ582">
        <v>0</v>
      </c>
      <c r="CA582">
        <v>0</v>
      </c>
      <c r="CB582" t="s">
        <v>145</v>
      </c>
    </row>
    <row r="583" spans="67:80" x14ac:dyDescent="0.25">
      <c r="BO583">
        <v>0</v>
      </c>
      <c r="BP583">
        <v>0</v>
      </c>
      <c r="BQ583">
        <v>0</v>
      </c>
      <c r="BR583">
        <v>0</v>
      </c>
      <c r="BS583">
        <v>0</v>
      </c>
      <c r="BT583">
        <v>0</v>
      </c>
      <c r="BU583">
        <v>0</v>
      </c>
      <c r="BV583">
        <v>0</v>
      </c>
      <c r="BW583" t="s">
        <v>0</v>
      </c>
      <c r="BX583">
        <v>0</v>
      </c>
      <c r="BY583">
        <v>0</v>
      </c>
      <c r="BZ583">
        <v>0</v>
      </c>
      <c r="CA583">
        <v>0</v>
      </c>
      <c r="CB583" t="s">
        <v>145</v>
      </c>
    </row>
    <row r="584" spans="67:80" x14ac:dyDescent="0.25">
      <c r="BO584">
        <v>0</v>
      </c>
      <c r="BP584">
        <v>0</v>
      </c>
      <c r="BQ584">
        <v>0</v>
      </c>
      <c r="BR584">
        <v>0</v>
      </c>
      <c r="BS584">
        <v>0</v>
      </c>
      <c r="BT584">
        <v>0</v>
      </c>
      <c r="BU584">
        <v>0</v>
      </c>
      <c r="BV584">
        <v>0</v>
      </c>
      <c r="BW584" t="s">
        <v>0</v>
      </c>
      <c r="BX584">
        <v>0</v>
      </c>
      <c r="BY584">
        <v>0</v>
      </c>
      <c r="BZ584">
        <v>0</v>
      </c>
      <c r="CA584">
        <v>0</v>
      </c>
      <c r="CB584" t="s">
        <v>145</v>
      </c>
    </row>
    <row r="585" spans="67:80" x14ac:dyDescent="0.25">
      <c r="BO585">
        <v>0</v>
      </c>
      <c r="BP585">
        <v>0</v>
      </c>
      <c r="BQ585">
        <v>0</v>
      </c>
      <c r="BR585">
        <v>0</v>
      </c>
      <c r="BS585">
        <v>0</v>
      </c>
      <c r="BT585">
        <v>0</v>
      </c>
      <c r="BU585">
        <v>0</v>
      </c>
      <c r="BV585">
        <v>0</v>
      </c>
      <c r="BW585" t="s">
        <v>0</v>
      </c>
      <c r="BX585">
        <v>0</v>
      </c>
      <c r="BY585">
        <v>0</v>
      </c>
      <c r="BZ585">
        <v>0</v>
      </c>
      <c r="CA585">
        <v>0</v>
      </c>
      <c r="CB585" t="s">
        <v>145</v>
      </c>
    </row>
    <row r="586" spans="67:80" x14ac:dyDescent="0.25">
      <c r="BO586">
        <v>0</v>
      </c>
      <c r="BP586">
        <v>0</v>
      </c>
      <c r="BQ586">
        <v>0</v>
      </c>
      <c r="BR586">
        <v>0</v>
      </c>
      <c r="BS586">
        <v>0</v>
      </c>
      <c r="BT586">
        <v>0</v>
      </c>
      <c r="BU586">
        <v>0</v>
      </c>
      <c r="BV586">
        <v>0</v>
      </c>
      <c r="BW586" t="s">
        <v>0</v>
      </c>
      <c r="BX586">
        <v>0</v>
      </c>
      <c r="BY586">
        <v>0</v>
      </c>
      <c r="BZ586">
        <v>0</v>
      </c>
      <c r="CA586">
        <v>0</v>
      </c>
      <c r="CB586" t="s">
        <v>145</v>
      </c>
    </row>
    <row r="587" spans="67:80" x14ac:dyDescent="0.25">
      <c r="BO587">
        <v>0</v>
      </c>
      <c r="BP587">
        <v>0</v>
      </c>
      <c r="BQ587">
        <v>0</v>
      </c>
      <c r="BR587">
        <v>0</v>
      </c>
      <c r="BS587">
        <v>0</v>
      </c>
      <c r="BT587">
        <v>0</v>
      </c>
      <c r="BU587">
        <v>0</v>
      </c>
      <c r="BV587">
        <v>0</v>
      </c>
      <c r="BW587" t="s">
        <v>0</v>
      </c>
      <c r="BX587">
        <v>0</v>
      </c>
      <c r="BY587">
        <v>0</v>
      </c>
      <c r="BZ587">
        <v>0</v>
      </c>
      <c r="CA587">
        <v>0</v>
      </c>
      <c r="CB587" t="s">
        <v>145</v>
      </c>
    </row>
    <row r="588" spans="67:80" x14ac:dyDescent="0.25">
      <c r="BO588">
        <v>0</v>
      </c>
      <c r="BP588">
        <v>0</v>
      </c>
      <c r="BQ588">
        <v>0</v>
      </c>
      <c r="BR588">
        <v>0</v>
      </c>
      <c r="BS588">
        <v>0</v>
      </c>
      <c r="BT588">
        <v>0</v>
      </c>
      <c r="BU588">
        <v>0</v>
      </c>
      <c r="BV588">
        <v>0</v>
      </c>
      <c r="BW588" t="s">
        <v>0</v>
      </c>
      <c r="BX588">
        <v>0</v>
      </c>
      <c r="BY588">
        <v>0</v>
      </c>
      <c r="BZ588">
        <v>0</v>
      </c>
      <c r="CA588">
        <v>0</v>
      </c>
      <c r="CB588" t="s">
        <v>145</v>
      </c>
    </row>
    <row r="589" spans="67:80" x14ac:dyDescent="0.25">
      <c r="BO589">
        <v>0</v>
      </c>
      <c r="BP589">
        <v>0</v>
      </c>
      <c r="BQ589">
        <v>0</v>
      </c>
      <c r="BR589">
        <v>0</v>
      </c>
      <c r="BS589">
        <v>0</v>
      </c>
      <c r="BT589">
        <v>0</v>
      </c>
      <c r="BU589">
        <v>0</v>
      </c>
      <c r="BV589">
        <v>0</v>
      </c>
      <c r="BW589" t="s">
        <v>0</v>
      </c>
      <c r="BX589">
        <v>0</v>
      </c>
      <c r="BY589">
        <v>0</v>
      </c>
      <c r="BZ589">
        <v>0</v>
      </c>
      <c r="CA589">
        <v>0</v>
      </c>
      <c r="CB589" t="s">
        <v>145</v>
      </c>
    </row>
    <row r="590" spans="67:80" x14ac:dyDescent="0.25">
      <c r="BO590">
        <v>0</v>
      </c>
      <c r="BP590">
        <v>0</v>
      </c>
      <c r="BQ590">
        <v>0</v>
      </c>
      <c r="BR590">
        <v>0</v>
      </c>
      <c r="BS590">
        <v>0</v>
      </c>
      <c r="BT590">
        <v>0</v>
      </c>
      <c r="BU590">
        <v>0</v>
      </c>
      <c r="BV590">
        <v>0</v>
      </c>
      <c r="BW590" t="s">
        <v>0</v>
      </c>
      <c r="BX590">
        <v>0</v>
      </c>
      <c r="BY590">
        <v>0</v>
      </c>
      <c r="BZ590">
        <v>0</v>
      </c>
      <c r="CA590">
        <v>0</v>
      </c>
      <c r="CB590" t="s">
        <v>145</v>
      </c>
    </row>
    <row r="591" spans="67:80" x14ac:dyDescent="0.25">
      <c r="BO591">
        <v>0</v>
      </c>
      <c r="BP591">
        <v>0</v>
      </c>
      <c r="BQ591">
        <v>0</v>
      </c>
      <c r="BR591">
        <v>0</v>
      </c>
      <c r="BS591">
        <v>0</v>
      </c>
      <c r="BT591">
        <v>0</v>
      </c>
      <c r="BU591">
        <v>0</v>
      </c>
      <c r="BV591">
        <v>0</v>
      </c>
      <c r="BW591" t="s">
        <v>0</v>
      </c>
      <c r="BX591">
        <v>0</v>
      </c>
      <c r="BY591">
        <v>0</v>
      </c>
      <c r="BZ591">
        <v>0</v>
      </c>
      <c r="CA591">
        <v>0</v>
      </c>
      <c r="CB591" t="s">
        <v>145</v>
      </c>
    </row>
    <row r="592" spans="67:80" x14ac:dyDescent="0.25">
      <c r="BO592">
        <v>0</v>
      </c>
      <c r="BP592">
        <v>0</v>
      </c>
      <c r="BQ592">
        <v>0</v>
      </c>
      <c r="BR592">
        <v>0</v>
      </c>
      <c r="BS592">
        <v>0</v>
      </c>
      <c r="BT592">
        <v>0</v>
      </c>
      <c r="BU592">
        <v>0</v>
      </c>
      <c r="BV592">
        <v>0</v>
      </c>
      <c r="BW592" t="s">
        <v>0</v>
      </c>
      <c r="BX592">
        <v>0</v>
      </c>
      <c r="BY592">
        <v>0</v>
      </c>
      <c r="BZ592">
        <v>0</v>
      </c>
      <c r="CA592">
        <v>0</v>
      </c>
      <c r="CB592" t="s">
        <v>145</v>
      </c>
    </row>
    <row r="593" spans="67:80" x14ac:dyDescent="0.25">
      <c r="BO593">
        <v>0</v>
      </c>
      <c r="BP593">
        <v>0</v>
      </c>
      <c r="BQ593">
        <v>0</v>
      </c>
      <c r="BR593">
        <v>0</v>
      </c>
      <c r="BS593">
        <v>0</v>
      </c>
      <c r="BT593">
        <v>0</v>
      </c>
      <c r="BU593">
        <v>0</v>
      </c>
      <c r="BV593">
        <v>0</v>
      </c>
      <c r="BW593" t="s">
        <v>0</v>
      </c>
      <c r="BX593">
        <v>0</v>
      </c>
      <c r="BY593">
        <v>0</v>
      </c>
      <c r="BZ593">
        <v>0</v>
      </c>
      <c r="CA593">
        <v>0</v>
      </c>
      <c r="CB593" t="s">
        <v>145</v>
      </c>
    </row>
    <row r="594" spans="67:80" x14ac:dyDescent="0.25">
      <c r="BO594">
        <v>0</v>
      </c>
      <c r="BP594">
        <v>0</v>
      </c>
      <c r="BQ594">
        <v>0</v>
      </c>
      <c r="BR594">
        <v>0</v>
      </c>
      <c r="BS594">
        <v>0</v>
      </c>
      <c r="BT594">
        <v>0</v>
      </c>
      <c r="BU594">
        <v>0</v>
      </c>
      <c r="BV594">
        <v>0</v>
      </c>
      <c r="BW594" t="s">
        <v>0</v>
      </c>
      <c r="BX594">
        <v>0</v>
      </c>
      <c r="BY594">
        <v>0</v>
      </c>
      <c r="BZ594">
        <v>0</v>
      </c>
      <c r="CA594">
        <v>0</v>
      </c>
      <c r="CB594" t="s">
        <v>145</v>
      </c>
    </row>
    <row r="595" spans="67:80" x14ac:dyDescent="0.25">
      <c r="BO595">
        <v>0</v>
      </c>
      <c r="BP595">
        <v>0</v>
      </c>
      <c r="BQ595">
        <v>0</v>
      </c>
      <c r="BR595">
        <v>0</v>
      </c>
      <c r="BS595">
        <v>0</v>
      </c>
      <c r="BT595">
        <v>0</v>
      </c>
      <c r="BU595">
        <v>0</v>
      </c>
      <c r="BV595">
        <v>0</v>
      </c>
      <c r="BW595" t="s">
        <v>0</v>
      </c>
      <c r="BX595">
        <v>0</v>
      </c>
      <c r="BY595">
        <v>0</v>
      </c>
      <c r="BZ595">
        <v>0</v>
      </c>
      <c r="CA595">
        <v>0</v>
      </c>
      <c r="CB595" t="s">
        <v>145</v>
      </c>
    </row>
    <row r="596" spans="67:80" x14ac:dyDescent="0.25">
      <c r="BO596">
        <v>0</v>
      </c>
      <c r="BP596">
        <v>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 t="s">
        <v>0</v>
      </c>
      <c r="BX596">
        <v>0</v>
      </c>
      <c r="BY596">
        <v>0</v>
      </c>
      <c r="BZ596">
        <v>0</v>
      </c>
      <c r="CA596">
        <v>0</v>
      </c>
      <c r="CB596" t="s">
        <v>145</v>
      </c>
    </row>
    <row r="597" spans="67:80" x14ac:dyDescent="0.25">
      <c r="BO597">
        <v>0</v>
      </c>
      <c r="BP597">
        <v>0</v>
      </c>
      <c r="BQ597">
        <v>0</v>
      </c>
      <c r="BR597">
        <v>0</v>
      </c>
      <c r="BS597">
        <v>0</v>
      </c>
      <c r="BT597">
        <v>0</v>
      </c>
      <c r="BU597">
        <v>0</v>
      </c>
      <c r="BV597">
        <v>0</v>
      </c>
      <c r="BW597" t="s">
        <v>0</v>
      </c>
      <c r="BX597">
        <v>0</v>
      </c>
      <c r="BY597">
        <v>0</v>
      </c>
      <c r="BZ597">
        <v>0</v>
      </c>
      <c r="CA597">
        <v>0</v>
      </c>
      <c r="CB597" t="s">
        <v>145</v>
      </c>
    </row>
    <row r="598" spans="67:80" x14ac:dyDescent="0.25">
      <c r="BO598">
        <v>0</v>
      </c>
      <c r="BP598">
        <v>0</v>
      </c>
      <c r="BQ598">
        <v>0</v>
      </c>
      <c r="BR598">
        <v>0</v>
      </c>
      <c r="BS598">
        <v>0</v>
      </c>
      <c r="BT598">
        <v>0</v>
      </c>
      <c r="BU598">
        <v>0</v>
      </c>
      <c r="BV598">
        <v>0</v>
      </c>
      <c r="BW598" t="s">
        <v>0</v>
      </c>
      <c r="BX598">
        <v>0</v>
      </c>
      <c r="BY598">
        <v>0</v>
      </c>
      <c r="BZ598">
        <v>0</v>
      </c>
      <c r="CA598">
        <v>0</v>
      </c>
      <c r="CB598" t="s">
        <v>145</v>
      </c>
    </row>
    <row r="599" spans="67:80" x14ac:dyDescent="0.25">
      <c r="BO599">
        <v>0</v>
      </c>
      <c r="BP599">
        <v>0</v>
      </c>
      <c r="BQ599">
        <v>0</v>
      </c>
      <c r="BR599">
        <v>0</v>
      </c>
      <c r="BS599">
        <v>0</v>
      </c>
      <c r="BT599">
        <v>0</v>
      </c>
      <c r="BU599">
        <v>0</v>
      </c>
      <c r="BV599">
        <v>0</v>
      </c>
      <c r="BW599" t="s">
        <v>0</v>
      </c>
      <c r="BX599">
        <v>0</v>
      </c>
      <c r="BY599">
        <v>0</v>
      </c>
      <c r="BZ599">
        <v>0</v>
      </c>
      <c r="CA599">
        <v>0</v>
      </c>
      <c r="CB599" t="s">
        <v>145</v>
      </c>
    </row>
    <row r="600" spans="67:80" x14ac:dyDescent="0.25"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0</v>
      </c>
      <c r="BW600" t="s">
        <v>0</v>
      </c>
      <c r="BX600">
        <v>0</v>
      </c>
      <c r="BY600">
        <v>0</v>
      </c>
      <c r="BZ600">
        <v>0</v>
      </c>
      <c r="CA600">
        <v>0</v>
      </c>
      <c r="CB600" t="s">
        <v>145</v>
      </c>
    </row>
    <row r="601" spans="67:80" x14ac:dyDescent="0.25">
      <c r="BO601">
        <v>0</v>
      </c>
      <c r="BP601">
        <v>0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 t="s">
        <v>0</v>
      </c>
      <c r="BX601">
        <v>0</v>
      </c>
      <c r="BY601">
        <v>0</v>
      </c>
      <c r="BZ601">
        <v>0</v>
      </c>
      <c r="CA601">
        <v>0</v>
      </c>
      <c r="CB601" t="s">
        <v>145</v>
      </c>
    </row>
    <row r="602" spans="67:80" x14ac:dyDescent="0.25">
      <c r="BO602">
        <v>0</v>
      </c>
      <c r="BP602">
        <v>0</v>
      </c>
      <c r="BQ602">
        <v>0</v>
      </c>
      <c r="BR602">
        <v>0</v>
      </c>
      <c r="BS602">
        <v>0</v>
      </c>
      <c r="BT602">
        <v>0</v>
      </c>
      <c r="BU602">
        <v>0</v>
      </c>
      <c r="BV602">
        <v>0</v>
      </c>
      <c r="BW602" t="s">
        <v>0</v>
      </c>
      <c r="BX602">
        <v>0</v>
      </c>
      <c r="BY602">
        <v>0</v>
      </c>
      <c r="BZ602">
        <v>0</v>
      </c>
      <c r="CA602">
        <v>0</v>
      </c>
      <c r="CB602" t="s">
        <v>145</v>
      </c>
    </row>
    <row r="603" spans="67:80" x14ac:dyDescent="0.25">
      <c r="BO603">
        <v>0</v>
      </c>
      <c r="BP603">
        <v>0</v>
      </c>
      <c r="BQ603">
        <v>0</v>
      </c>
      <c r="BR603">
        <v>0</v>
      </c>
      <c r="BS603">
        <v>0</v>
      </c>
      <c r="BT603">
        <v>0</v>
      </c>
      <c r="BU603">
        <v>0</v>
      </c>
      <c r="BV603">
        <v>0</v>
      </c>
      <c r="BW603" t="s">
        <v>0</v>
      </c>
      <c r="BX603">
        <v>0</v>
      </c>
      <c r="BY603">
        <v>0</v>
      </c>
      <c r="BZ603">
        <v>0</v>
      </c>
      <c r="CA603">
        <v>0</v>
      </c>
      <c r="CB603" t="s">
        <v>145</v>
      </c>
    </row>
    <row r="604" spans="67:80" x14ac:dyDescent="0.25">
      <c r="BO604">
        <v>0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0</v>
      </c>
      <c r="BW604" t="s">
        <v>0</v>
      </c>
      <c r="BX604">
        <v>0</v>
      </c>
      <c r="BY604">
        <v>0</v>
      </c>
      <c r="BZ604">
        <v>0</v>
      </c>
      <c r="CA604">
        <v>0</v>
      </c>
      <c r="CB604" t="s">
        <v>145</v>
      </c>
    </row>
    <row r="605" spans="67:80" x14ac:dyDescent="0.25">
      <c r="BO605">
        <v>0</v>
      </c>
      <c r="BP605">
        <v>0</v>
      </c>
      <c r="BQ605">
        <v>0</v>
      </c>
      <c r="BR605">
        <v>0</v>
      </c>
      <c r="BS605">
        <v>0</v>
      </c>
      <c r="BT605">
        <v>0</v>
      </c>
      <c r="BU605">
        <v>0</v>
      </c>
      <c r="BV605">
        <v>0</v>
      </c>
      <c r="BW605" t="s">
        <v>0</v>
      </c>
      <c r="BX605">
        <v>0</v>
      </c>
      <c r="BY605">
        <v>0</v>
      </c>
      <c r="BZ605">
        <v>0</v>
      </c>
      <c r="CA605">
        <v>0</v>
      </c>
      <c r="CB605" t="s">
        <v>145</v>
      </c>
    </row>
    <row r="606" spans="67:80" x14ac:dyDescent="0.25">
      <c r="BO606">
        <v>0</v>
      </c>
      <c r="BP606">
        <v>0</v>
      </c>
      <c r="BQ606">
        <v>0</v>
      </c>
      <c r="BR606">
        <v>0</v>
      </c>
      <c r="BS606">
        <v>0</v>
      </c>
      <c r="BT606">
        <v>0</v>
      </c>
      <c r="BU606">
        <v>0</v>
      </c>
      <c r="BV606">
        <v>0</v>
      </c>
      <c r="BW606" t="s">
        <v>0</v>
      </c>
      <c r="BX606">
        <v>0</v>
      </c>
      <c r="BY606">
        <v>0</v>
      </c>
      <c r="BZ606">
        <v>0</v>
      </c>
      <c r="CA606">
        <v>0</v>
      </c>
      <c r="CB606" t="s">
        <v>145</v>
      </c>
    </row>
    <row r="607" spans="67:80" x14ac:dyDescent="0.25">
      <c r="BO607">
        <v>0</v>
      </c>
      <c r="BP607">
        <v>0</v>
      </c>
      <c r="BQ607">
        <v>0</v>
      </c>
      <c r="BR607">
        <v>0</v>
      </c>
      <c r="BS607">
        <v>0</v>
      </c>
      <c r="BT607">
        <v>0</v>
      </c>
      <c r="BU607">
        <v>0</v>
      </c>
      <c r="BV607">
        <v>0</v>
      </c>
      <c r="BW607" t="s">
        <v>0</v>
      </c>
      <c r="BX607">
        <v>0</v>
      </c>
      <c r="BY607">
        <v>0</v>
      </c>
      <c r="BZ607">
        <v>0</v>
      </c>
      <c r="CA607">
        <v>0</v>
      </c>
      <c r="CB607" t="s">
        <v>145</v>
      </c>
    </row>
    <row r="608" spans="67:80" x14ac:dyDescent="0.25">
      <c r="BO608">
        <v>0</v>
      </c>
      <c r="BP608">
        <v>0</v>
      </c>
      <c r="BQ608">
        <v>0</v>
      </c>
      <c r="BR608">
        <v>0</v>
      </c>
      <c r="BS608">
        <v>0</v>
      </c>
      <c r="BT608">
        <v>0</v>
      </c>
      <c r="BU608">
        <v>0</v>
      </c>
      <c r="BV608">
        <v>0</v>
      </c>
      <c r="BW608" t="s">
        <v>0</v>
      </c>
      <c r="BX608">
        <v>0</v>
      </c>
      <c r="BY608">
        <v>0</v>
      </c>
      <c r="BZ608">
        <v>0</v>
      </c>
      <c r="CA608">
        <v>0</v>
      </c>
      <c r="CB608" t="s">
        <v>145</v>
      </c>
    </row>
    <row r="609" spans="67:80" x14ac:dyDescent="0.25">
      <c r="BO609">
        <v>0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 t="s">
        <v>0</v>
      </c>
      <c r="BX609">
        <v>0</v>
      </c>
      <c r="BY609">
        <v>0</v>
      </c>
      <c r="BZ609">
        <v>0</v>
      </c>
      <c r="CA609">
        <v>0</v>
      </c>
      <c r="CB609" t="s">
        <v>145</v>
      </c>
    </row>
    <row r="610" spans="67:80" x14ac:dyDescent="0.25">
      <c r="BO610">
        <v>0</v>
      </c>
      <c r="BP610">
        <v>0</v>
      </c>
      <c r="BQ610">
        <v>0</v>
      </c>
      <c r="BR610">
        <v>0</v>
      </c>
      <c r="BS610">
        <v>0</v>
      </c>
      <c r="BT610">
        <v>0</v>
      </c>
      <c r="BU610">
        <v>0</v>
      </c>
      <c r="BV610">
        <v>0</v>
      </c>
      <c r="BW610" t="s">
        <v>0</v>
      </c>
      <c r="BX610">
        <v>0</v>
      </c>
      <c r="BY610">
        <v>0</v>
      </c>
      <c r="BZ610">
        <v>0</v>
      </c>
      <c r="CA610">
        <v>0</v>
      </c>
      <c r="CB610" t="s">
        <v>145</v>
      </c>
    </row>
    <row r="611" spans="67:80" x14ac:dyDescent="0.25">
      <c r="BO611">
        <v>0</v>
      </c>
      <c r="BP611">
        <v>0</v>
      </c>
      <c r="BQ611">
        <v>0</v>
      </c>
      <c r="BR611">
        <v>0</v>
      </c>
      <c r="BS611">
        <v>0</v>
      </c>
      <c r="BT611">
        <v>0</v>
      </c>
      <c r="BU611">
        <v>0</v>
      </c>
      <c r="BV611">
        <v>0</v>
      </c>
      <c r="BW611" t="s">
        <v>0</v>
      </c>
      <c r="BX611">
        <v>0</v>
      </c>
      <c r="BY611">
        <v>0</v>
      </c>
      <c r="BZ611">
        <v>0</v>
      </c>
      <c r="CA611">
        <v>0</v>
      </c>
      <c r="CB611" t="s">
        <v>145</v>
      </c>
    </row>
    <row r="612" spans="67:80" x14ac:dyDescent="0.25">
      <c r="BO612">
        <v>0</v>
      </c>
      <c r="BP612">
        <v>0</v>
      </c>
      <c r="BQ612">
        <v>0</v>
      </c>
      <c r="BR612">
        <v>0</v>
      </c>
      <c r="BS612">
        <v>0</v>
      </c>
      <c r="BT612">
        <v>0</v>
      </c>
      <c r="BU612">
        <v>0</v>
      </c>
      <c r="BV612">
        <v>0</v>
      </c>
      <c r="BW612" t="s">
        <v>0</v>
      </c>
      <c r="BX612">
        <v>0</v>
      </c>
      <c r="BY612">
        <v>0</v>
      </c>
      <c r="BZ612">
        <v>0</v>
      </c>
      <c r="CA612">
        <v>0</v>
      </c>
      <c r="CB612" t="s">
        <v>145</v>
      </c>
    </row>
    <row r="613" spans="67:80" x14ac:dyDescent="0.25">
      <c r="BO613">
        <v>0</v>
      </c>
      <c r="BP613">
        <v>0</v>
      </c>
      <c r="BQ613">
        <v>0</v>
      </c>
      <c r="BR613">
        <v>0</v>
      </c>
      <c r="BS613">
        <v>0</v>
      </c>
      <c r="BT613">
        <v>0</v>
      </c>
      <c r="BU613">
        <v>0</v>
      </c>
      <c r="BV613">
        <v>0</v>
      </c>
      <c r="BW613" t="s">
        <v>0</v>
      </c>
      <c r="BX613">
        <v>0</v>
      </c>
      <c r="BY613">
        <v>0</v>
      </c>
      <c r="BZ613">
        <v>0</v>
      </c>
      <c r="CA613">
        <v>0</v>
      </c>
      <c r="CB613" t="s">
        <v>145</v>
      </c>
    </row>
    <row r="614" spans="67:80" x14ac:dyDescent="0.25"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 t="s">
        <v>0</v>
      </c>
      <c r="BX614">
        <v>0</v>
      </c>
      <c r="BY614">
        <v>0</v>
      </c>
      <c r="BZ614">
        <v>0</v>
      </c>
      <c r="CA614">
        <v>0</v>
      </c>
      <c r="CB614" t="s">
        <v>145</v>
      </c>
    </row>
    <row r="615" spans="67:80" x14ac:dyDescent="0.25"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0</v>
      </c>
      <c r="BV615">
        <v>0</v>
      </c>
      <c r="BW615" t="s">
        <v>0</v>
      </c>
      <c r="BX615">
        <v>0</v>
      </c>
      <c r="BY615">
        <v>0</v>
      </c>
      <c r="BZ615">
        <v>0</v>
      </c>
      <c r="CA615">
        <v>0</v>
      </c>
      <c r="CB615" t="s">
        <v>145</v>
      </c>
    </row>
    <row r="616" spans="67:80" x14ac:dyDescent="0.25">
      <c r="BO616">
        <v>0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 t="s">
        <v>0</v>
      </c>
      <c r="BX616">
        <v>0</v>
      </c>
      <c r="BY616">
        <v>0</v>
      </c>
      <c r="BZ616">
        <v>0</v>
      </c>
      <c r="CA616">
        <v>0</v>
      </c>
      <c r="CB616" t="s">
        <v>145</v>
      </c>
    </row>
    <row r="617" spans="67:80" x14ac:dyDescent="0.25">
      <c r="BO617">
        <v>0</v>
      </c>
      <c r="BP617">
        <v>0</v>
      </c>
      <c r="BQ617">
        <v>0</v>
      </c>
      <c r="BR617">
        <v>0</v>
      </c>
      <c r="BS617">
        <v>0</v>
      </c>
      <c r="BT617">
        <v>0</v>
      </c>
      <c r="BU617">
        <v>0</v>
      </c>
      <c r="BV617">
        <v>0</v>
      </c>
      <c r="BW617" t="s">
        <v>0</v>
      </c>
      <c r="BX617">
        <v>0</v>
      </c>
      <c r="BY617">
        <v>0</v>
      </c>
      <c r="BZ617">
        <v>0</v>
      </c>
      <c r="CA617">
        <v>0</v>
      </c>
      <c r="CB617" t="s">
        <v>145</v>
      </c>
    </row>
    <row r="618" spans="67:80" x14ac:dyDescent="0.25">
      <c r="BO618">
        <v>0</v>
      </c>
      <c r="BP618">
        <v>0</v>
      </c>
      <c r="BQ618">
        <v>0</v>
      </c>
      <c r="BR618">
        <v>0</v>
      </c>
      <c r="BS618">
        <v>0</v>
      </c>
      <c r="BT618">
        <v>0</v>
      </c>
      <c r="BU618">
        <v>0</v>
      </c>
      <c r="BV618">
        <v>0</v>
      </c>
      <c r="BW618" t="s">
        <v>0</v>
      </c>
      <c r="BX618">
        <v>0</v>
      </c>
      <c r="BY618">
        <v>0</v>
      </c>
      <c r="BZ618">
        <v>0</v>
      </c>
      <c r="CA618">
        <v>0</v>
      </c>
      <c r="CB618" t="s">
        <v>145</v>
      </c>
    </row>
    <row r="619" spans="67:80" x14ac:dyDescent="0.25">
      <c r="BO619">
        <v>0</v>
      </c>
      <c r="BP619">
        <v>0</v>
      </c>
      <c r="BQ619">
        <v>0</v>
      </c>
      <c r="BR619">
        <v>0</v>
      </c>
      <c r="BS619">
        <v>0</v>
      </c>
      <c r="BT619">
        <v>0</v>
      </c>
      <c r="BU619">
        <v>0</v>
      </c>
      <c r="BV619">
        <v>0</v>
      </c>
      <c r="BW619" t="s">
        <v>0</v>
      </c>
      <c r="BX619">
        <v>0</v>
      </c>
      <c r="BY619">
        <v>0</v>
      </c>
      <c r="BZ619">
        <v>0</v>
      </c>
      <c r="CA619">
        <v>0</v>
      </c>
      <c r="CB619" t="s">
        <v>145</v>
      </c>
    </row>
    <row r="620" spans="67:80" x14ac:dyDescent="0.25"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0</v>
      </c>
      <c r="BV620">
        <v>0</v>
      </c>
      <c r="BW620" t="s">
        <v>0</v>
      </c>
      <c r="BX620">
        <v>0</v>
      </c>
      <c r="BY620">
        <v>0</v>
      </c>
      <c r="BZ620">
        <v>0</v>
      </c>
      <c r="CA620">
        <v>0</v>
      </c>
      <c r="CB620" t="s">
        <v>145</v>
      </c>
    </row>
    <row r="621" spans="67:80" x14ac:dyDescent="0.25"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0</v>
      </c>
      <c r="BV621">
        <v>0</v>
      </c>
      <c r="BW621" t="s">
        <v>0</v>
      </c>
      <c r="BX621">
        <v>0</v>
      </c>
      <c r="BY621">
        <v>0</v>
      </c>
      <c r="BZ621">
        <v>0</v>
      </c>
      <c r="CA621">
        <v>0</v>
      </c>
      <c r="CB621" t="s">
        <v>145</v>
      </c>
    </row>
    <row r="622" spans="67:80" x14ac:dyDescent="0.25">
      <c r="BO622">
        <v>0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0</v>
      </c>
      <c r="BV622">
        <v>0</v>
      </c>
      <c r="BW622" t="s">
        <v>0</v>
      </c>
      <c r="BX622">
        <v>0</v>
      </c>
      <c r="BY622">
        <v>0</v>
      </c>
      <c r="BZ622">
        <v>0</v>
      </c>
      <c r="CA622">
        <v>0</v>
      </c>
      <c r="CB622" t="s">
        <v>145</v>
      </c>
    </row>
    <row r="623" spans="67:80" x14ac:dyDescent="0.25">
      <c r="BO623">
        <v>0</v>
      </c>
      <c r="BP623">
        <v>0</v>
      </c>
      <c r="BQ623">
        <v>0</v>
      </c>
      <c r="BR623">
        <v>0</v>
      </c>
      <c r="BS623">
        <v>0</v>
      </c>
      <c r="BT623">
        <v>0</v>
      </c>
      <c r="BU623">
        <v>0</v>
      </c>
      <c r="BV623">
        <v>0</v>
      </c>
      <c r="BW623" t="s">
        <v>0</v>
      </c>
      <c r="BX623">
        <v>0</v>
      </c>
      <c r="BY623">
        <v>0</v>
      </c>
      <c r="BZ623">
        <v>0</v>
      </c>
      <c r="CA623">
        <v>0</v>
      </c>
      <c r="CB623" t="s">
        <v>145</v>
      </c>
    </row>
    <row r="624" spans="67:80" x14ac:dyDescent="0.25">
      <c r="BO624">
        <v>0</v>
      </c>
      <c r="BP624">
        <v>0</v>
      </c>
      <c r="BQ624">
        <v>0</v>
      </c>
      <c r="BR624">
        <v>0</v>
      </c>
      <c r="BS624">
        <v>0</v>
      </c>
      <c r="BT624">
        <v>0</v>
      </c>
      <c r="BU624">
        <v>0</v>
      </c>
      <c r="BV624">
        <v>0</v>
      </c>
      <c r="BW624" t="s">
        <v>0</v>
      </c>
      <c r="BX624">
        <v>0</v>
      </c>
      <c r="BY624">
        <v>0</v>
      </c>
      <c r="BZ624">
        <v>0</v>
      </c>
      <c r="CA624">
        <v>0</v>
      </c>
      <c r="CB624" t="s">
        <v>145</v>
      </c>
    </row>
    <row r="625" spans="67:80" x14ac:dyDescent="0.25">
      <c r="BO625">
        <v>0</v>
      </c>
      <c r="BP625">
        <v>0</v>
      </c>
      <c r="BQ625">
        <v>0</v>
      </c>
      <c r="BR625">
        <v>0</v>
      </c>
      <c r="BS625">
        <v>0</v>
      </c>
      <c r="BT625">
        <v>0</v>
      </c>
      <c r="BU625">
        <v>0</v>
      </c>
      <c r="BV625">
        <v>0</v>
      </c>
      <c r="BW625" t="s">
        <v>0</v>
      </c>
      <c r="BX625">
        <v>0</v>
      </c>
      <c r="BY625">
        <v>0</v>
      </c>
      <c r="BZ625">
        <v>0</v>
      </c>
      <c r="CA625">
        <v>0</v>
      </c>
      <c r="CB625" t="s">
        <v>145</v>
      </c>
    </row>
    <row r="626" spans="67:80" x14ac:dyDescent="0.25">
      <c r="BO626">
        <v>0</v>
      </c>
      <c r="BP626">
        <v>0</v>
      </c>
      <c r="BQ626">
        <v>0</v>
      </c>
      <c r="BR626">
        <v>0</v>
      </c>
      <c r="BS626">
        <v>0</v>
      </c>
      <c r="BT626">
        <v>0</v>
      </c>
      <c r="BU626">
        <v>0</v>
      </c>
      <c r="BV626">
        <v>0</v>
      </c>
      <c r="BW626" t="s">
        <v>0</v>
      </c>
      <c r="BX626">
        <v>0</v>
      </c>
      <c r="BY626">
        <v>0</v>
      </c>
      <c r="BZ626">
        <v>0</v>
      </c>
      <c r="CA626">
        <v>0</v>
      </c>
      <c r="CB626" t="s">
        <v>145</v>
      </c>
    </row>
    <row r="627" spans="67:80" x14ac:dyDescent="0.25"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 t="s">
        <v>0</v>
      </c>
      <c r="BX627">
        <v>0</v>
      </c>
      <c r="BY627">
        <v>0</v>
      </c>
      <c r="BZ627">
        <v>0</v>
      </c>
      <c r="CA627">
        <v>0</v>
      </c>
      <c r="CB627" t="s">
        <v>145</v>
      </c>
    </row>
    <row r="628" spans="67:80" x14ac:dyDescent="0.25">
      <c r="BO628">
        <v>0</v>
      </c>
      <c r="BP628">
        <v>0</v>
      </c>
      <c r="BQ628">
        <v>0</v>
      </c>
      <c r="BR628">
        <v>0</v>
      </c>
      <c r="BS628">
        <v>0</v>
      </c>
      <c r="BT628">
        <v>0</v>
      </c>
      <c r="BU628">
        <v>0</v>
      </c>
      <c r="BV628">
        <v>0</v>
      </c>
      <c r="BW628" t="s">
        <v>0</v>
      </c>
      <c r="BX628">
        <v>0</v>
      </c>
      <c r="BY628">
        <v>0</v>
      </c>
      <c r="BZ628">
        <v>0</v>
      </c>
      <c r="CA628">
        <v>0</v>
      </c>
      <c r="CB628" t="s">
        <v>145</v>
      </c>
    </row>
    <row r="629" spans="67:80" x14ac:dyDescent="0.25">
      <c r="BO629">
        <v>0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 t="s">
        <v>0</v>
      </c>
      <c r="BX629">
        <v>0</v>
      </c>
      <c r="BY629">
        <v>0</v>
      </c>
      <c r="BZ629">
        <v>0</v>
      </c>
      <c r="CA629">
        <v>0</v>
      </c>
      <c r="CB629" t="s">
        <v>145</v>
      </c>
    </row>
    <row r="630" spans="67:80" x14ac:dyDescent="0.25">
      <c r="BO630">
        <v>0</v>
      </c>
      <c r="BP630">
        <v>0</v>
      </c>
      <c r="BQ630">
        <v>0</v>
      </c>
      <c r="BR630">
        <v>0</v>
      </c>
      <c r="BS630">
        <v>0</v>
      </c>
      <c r="BT630">
        <v>0</v>
      </c>
      <c r="BU630">
        <v>0</v>
      </c>
      <c r="BV630">
        <v>0</v>
      </c>
      <c r="BW630" t="s">
        <v>0</v>
      </c>
      <c r="BX630">
        <v>0</v>
      </c>
      <c r="BY630">
        <v>0</v>
      </c>
      <c r="BZ630">
        <v>0</v>
      </c>
      <c r="CA630">
        <v>0</v>
      </c>
      <c r="CB630" t="s">
        <v>145</v>
      </c>
    </row>
    <row r="631" spans="67:80" x14ac:dyDescent="0.25">
      <c r="BO631">
        <v>0</v>
      </c>
      <c r="BP631">
        <v>0</v>
      </c>
      <c r="BQ631">
        <v>0</v>
      </c>
      <c r="BR631">
        <v>0</v>
      </c>
      <c r="BS631">
        <v>0</v>
      </c>
      <c r="BT631">
        <v>0</v>
      </c>
      <c r="BU631">
        <v>0</v>
      </c>
      <c r="BV631">
        <v>0</v>
      </c>
      <c r="BW631" t="s">
        <v>0</v>
      </c>
      <c r="BX631">
        <v>0</v>
      </c>
      <c r="BY631">
        <v>0</v>
      </c>
      <c r="BZ631">
        <v>0</v>
      </c>
      <c r="CA631">
        <v>0</v>
      </c>
      <c r="CB631" t="s">
        <v>145</v>
      </c>
    </row>
    <row r="632" spans="67:80" x14ac:dyDescent="0.25"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0</v>
      </c>
      <c r="BV632">
        <v>0</v>
      </c>
      <c r="BW632" t="s">
        <v>0</v>
      </c>
      <c r="BX632">
        <v>0</v>
      </c>
      <c r="BY632">
        <v>0</v>
      </c>
      <c r="BZ632">
        <v>0</v>
      </c>
      <c r="CA632">
        <v>0</v>
      </c>
      <c r="CB632" t="s">
        <v>145</v>
      </c>
    </row>
    <row r="633" spans="67:80" x14ac:dyDescent="0.25">
      <c r="BO633">
        <v>0</v>
      </c>
      <c r="BP633">
        <v>0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0</v>
      </c>
      <c r="BW633" t="s">
        <v>0</v>
      </c>
      <c r="BX633">
        <v>0</v>
      </c>
      <c r="BY633">
        <v>0</v>
      </c>
      <c r="BZ633">
        <v>0</v>
      </c>
      <c r="CA633">
        <v>0</v>
      </c>
      <c r="CB633" t="s">
        <v>145</v>
      </c>
    </row>
    <row r="634" spans="67:80" x14ac:dyDescent="0.25">
      <c r="BO634">
        <v>0</v>
      </c>
      <c r="BP634">
        <v>0</v>
      </c>
      <c r="BQ634">
        <v>0</v>
      </c>
      <c r="BR634">
        <v>0</v>
      </c>
      <c r="BS634">
        <v>0</v>
      </c>
      <c r="BT634">
        <v>0</v>
      </c>
      <c r="BU634">
        <v>0</v>
      </c>
      <c r="BV634">
        <v>0</v>
      </c>
      <c r="BW634" t="s">
        <v>0</v>
      </c>
      <c r="BX634">
        <v>0</v>
      </c>
      <c r="BY634">
        <v>0</v>
      </c>
      <c r="BZ634">
        <v>0</v>
      </c>
      <c r="CA634">
        <v>0</v>
      </c>
      <c r="CB634" t="s">
        <v>145</v>
      </c>
    </row>
    <row r="635" spans="67:80" x14ac:dyDescent="0.25">
      <c r="BO635">
        <v>0</v>
      </c>
      <c r="BP635">
        <v>0</v>
      </c>
      <c r="BQ635">
        <v>0</v>
      </c>
      <c r="BR635">
        <v>0</v>
      </c>
      <c r="BS635">
        <v>0</v>
      </c>
      <c r="BT635">
        <v>0</v>
      </c>
      <c r="BU635">
        <v>0</v>
      </c>
      <c r="BV635">
        <v>0</v>
      </c>
      <c r="BW635" t="s">
        <v>0</v>
      </c>
      <c r="BX635">
        <v>0</v>
      </c>
      <c r="BY635">
        <v>0</v>
      </c>
      <c r="BZ635">
        <v>0</v>
      </c>
      <c r="CA635">
        <v>0</v>
      </c>
      <c r="CB635" t="s">
        <v>145</v>
      </c>
    </row>
    <row r="636" spans="67:80" x14ac:dyDescent="0.25">
      <c r="BO636">
        <v>0</v>
      </c>
      <c r="BP636">
        <v>0</v>
      </c>
      <c r="BQ636">
        <v>0</v>
      </c>
      <c r="BR636">
        <v>0</v>
      </c>
      <c r="BS636">
        <v>0</v>
      </c>
      <c r="BT636">
        <v>0</v>
      </c>
      <c r="BU636">
        <v>0</v>
      </c>
      <c r="BV636">
        <v>0</v>
      </c>
      <c r="BW636" t="s">
        <v>0</v>
      </c>
      <c r="BX636">
        <v>0</v>
      </c>
      <c r="BY636">
        <v>0</v>
      </c>
      <c r="BZ636">
        <v>0</v>
      </c>
      <c r="CA636">
        <v>0</v>
      </c>
      <c r="CB636" t="s">
        <v>145</v>
      </c>
    </row>
    <row r="637" spans="67:80" x14ac:dyDescent="0.25">
      <c r="BO637">
        <v>0</v>
      </c>
      <c r="BP637">
        <v>0</v>
      </c>
      <c r="BQ637">
        <v>0</v>
      </c>
      <c r="BR637">
        <v>0</v>
      </c>
      <c r="BS637">
        <v>0</v>
      </c>
      <c r="BT637">
        <v>0</v>
      </c>
      <c r="BU637">
        <v>0</v>
      </c>
      <c r="BV637">
        <v>0</v>
      </c>
      <c r="BW637" t="s">
        <v>0</v>
      </c>
      <c r="BX637">
        <v>0</v>
      </c>
      <c r="BY637">
        <v>0</v>
      </c>
      <c r="BZ637">
        <v>0</v>
      </c>
      <c r="CA637">
        <v>0</v>
      </c>
      <c r="CB637" t="s">
        <v>145</v>
      </c>
    </row>
    <row r="638" spans="67:80" x14ac:dyDescent="0.25"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 t="s">
        <v>0</v>
      </c>
      <c r="BX638">
        <v>0</v>
      </c>
      <c r="BY638">
        <v>0</v>
      </c>
      <c r="BZ638">
        <v>0</v>
      </c>
      <c r="CA638">
        <v>0</v>
      </c>
      <c r="CB638" t="s">
        <v>145</v>
      </c>
    </row>
    <row r="639" spans="67:80" x14ac:dyDescent="0.25"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0</v>
      </c>
      <c r="BW639" t="s">
        <v>0</v>
      </c>
      <c r="BX639">
        <v>0</v>
      </c>
      <c r="BY639">
        <v>0</v>
      </c>
      <c r="BZ639">
        <v>0</v>
      </c>
      <c r="CA639">
        <v>0</v>
      </c>
      <c r="CB639" t="s">
        <v>145</v>
      </c>
    </row>
    <row r="640" spans="67:80" x14ac:dyDescent="0.25"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0</v>
      </c>
      <c r="BW640" t="s">
        <v>0</v>
      </c>
      <c r="BX640">
        <v>0</v>
      </c>
      <c r="BY640">
        <v>0</v>
      </c>
      <c r="BZ640">
        <v>0</v>
      </c>
      <c r="CA640">
        <v>0</v>
      </c>
      <c r="CB640" t="s">
        <v>145</v>
      </c>
    </row>
    <row r="641" spans="67:80" x14ac:dyDescent="0.25">
      <c r="BO641">
        <v>0</v>
      </c>
      <c r="BP641">
        <v>0</v>
      </c>
      <c r="BQ641">
        <v>0</v>
      </c>
      <c r="BR641">
        <v>0</v>
      </c>
      <c r="BS641">
        <v>0</v>
      </c>
      <c r="BT641">
        <v>0</v>
      </c>
      <c r="BU641">
        <v>0</v>
      </c>
      <c r="BV641">
        <v>0</v>
      </c>
      <c r="BW641" t="s">
        <v>0</v>
      </c>
      <c r="BX641">
        <v>0</v>
      </c>
      <c r="BY641">
        <v>0</v>
      </c>
      <c r="BZ641">
        <v>0</v>
      </c>
      <c r="CA641">
        <v>0</v>
      </c>
      <c r="CB641" t="s">
        <v>145</v>
      </c>
    </row>
    <row r="642" spans="67:80" x14ac:dyDescent="0.25">
      <c r="BO642">
        <v>0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 t="s">
        <v>0</v>
      </c>
      <c r="BX642">
        <v>0</v>
      </c>
      <c r="BY642">
        <v>0</v>
      </c>
      <c r="BZ642">
        <v>0</v>
      </c>
      <c r="CA642">
        <v>0</v>
      </c>
      <c r="CB642" t="s">
        <v>145</v>
      </c>
    </row>
    <row r="643" spans="67:80" x14ac:dyDescent="0.25">
      <c r="BO643">
        <v>0</v>
      </c>
      <c r="BP643">
        <v>0</v>
      </c>
      <c r="BQ643">
        <v>0</v>
      </c>
      <c r="BR643">
        <v>0</v>
      </c>
      <c r="BS643">
        <v>0</v>
      </c>
      <c r="BT643">
        <v>0</v>
      </c>
      <c r="BU643">
        <v>0</v>
      </c>
      <c r="BV643">
        <v>0</v>
      </c>
      <c r="BW643" t="s">
        <v>0</v>
      </c>
      <c r="BX643">
        <v>0</v>
      </c>
      <c r="BY643">
        <v>0</v>
      </c>
      <c r="BZ643">
        <v>0</v>
      </c>
      <c r="CA643">
        <v>0</v>
      </c>
      <c r="CB643" t="s">
        <v>145</v>
      </c>
    </row>
    <row r="644" spans="67:80" x14ac:dyDescent="0.25"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 t="s">
        <v>0</v>
      </c>
      <c r="BX644">
        <v>0</v>
      </c>
      <c r="BY644">
        <v>0</v>
      </c>
      <c r="BZ644">
        <v>0</v>
      </c>
      <c r="CA644">
        <v>0</v>
      </c>
      <c r="CB644" t="s">
        <v>145</v>
      </c>
    </row>
    <row r="645" spans="67:80" x14ac:dyDescent="0.25">
      <c r="BO645">
        <v>0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0</v>
      </c>
      <c r="BW645" t="s">
        <v>0</v>
      </c>
      <c r="BX645">
        <v>0</v>
      </c>
      <c r="BY645">
        <v>0</v>
      </c>
      <c r="BZ645">
        <v>0</v>
      </c>
      <c r="CA645">
        <v>0</v>
      </c>
      <c r="CB645" t="s">
        <v>145</v>
      </c>
    </row>
    <row r="646" spans="67:80" x14ac:dyDescent="0.25">
      <c r="BO646">
        <v>0</v>
      </c>
      <c r="BP646">
        <v>0</v>
      </c>
      <c r="BQ646">
        <v>0</v>
      </c>
      <c r="BR646">
        <v>0</v>
      </c>
      <c r="BS646">
        <v>0</v>
      </c>
      <c r="BT646">
        <v>0</v>
      </c>
      <c r="BU646">
        <v>0</v>
      </c>
      <c r="BV646">
        <v>0</v>
      </c>
      <c r="BW646" t="s">
        <v>0</v>
      </c>
      <c r="BX646">
        <v>0</v>
      </c>
      <c r="BY646">
        <v>0</v>
      </c>
      <c r="BZ646">
        <v>0</v>
      </c>
      <c r="CA646">
        <v>0</v>
      </c>
      <c r="CB646" t="s">
        <v>145</v>
      </c>
    </row>
    <row r="647" spans="67:80" x14ac:dyDescent="0.25">
      <c r="BO647">
        <v>0</v>
      </c>
      <c r="BP647">
        <v>0</v>
      </c>
      <c r="BQ647">
        <v>0</v>
      </c>
      <c r="BR647">
        <v>0</v>
      </c>
      <c r="BS647">
        <v>0</v>
      </c>
      <c r="BT647">
        <v>0</v>
      </c>
      <c r="BU647">
        <v>0</v>
      </c>
      <c r="BV647">
        <v>0</v>
      </c>
      <c r="BW647" t="s">
        <v>0</v>
      </c>
      <c r="BX647">
        <v>0</v>
      </c>
      <c r="BY647">
        <v>0</v>
      </c>
      <c r="BZ647">
        <v>0</v>
      </c>
      <c r="CA647">
        <v>0</v>
      </c>
      <c r="CB647" t="s">
        <v>145</v>
      </c>
    </row>
    <row r="648" spans="67:80" x14ac:dyDescent="0.25">
      <c r="BO648">
        <v>0</v>
      </c>
      <c r="BP648">
        <v>0</v>
      </c>
      <c r="BQ648">
        <v>0</v>
      </c>
      <c r="BR648">
        <v>0</v>
      </c>
      <c r="BS648">
        <v>0</v>
      </c>
      <c r="BT648">
        <v>0</v>
      </c>
      <c r="BU648">
        <v>0</v>
      </c>
      <c r="BV648">
        <v>0</v>
      </c>
      <c r="BW648" t="s">
        <v>0</v>
      </c>
      <c r="BX648">
        <v>0</v>
      </c>
      <c r="BY648">
        <v>0</v>
      </c>
      <c r="BZ648">
        <v>0</v>
      </c>
      <c r="CA648">
        <v>0</v>
      </c>
      <c r="CB648" t="s">
        <v>145</v>
      </c>
    </row>
    <row r="649" spans="67:80" x14ac:dyDescent="0.25">
      <c r="BO649">
        <v>0</v>
      </c>
      <c r="BP649">
        <v>0</v>
      </c>
      <c r="BQ649">
        <v>0</v>
      </c>
      <c r="BR649">
        <v>0</v>
      </c>
      <c r="BS649">
        <v>0</v>
      </c>
      <c r="BT649">
        <v>0</v>
      </c>
      <c r="BU649">
        <v>0</v>
      </c>
      <c r="BV649">
        <v>0</v>
      </c>
      <c r="BW649" t="s">
        <v>0</v>
      </c>
      <c r="BX649">
        <v>0</v>
      </c>
      <c r="BY649">
        <v>0</v>
      </c>
      <c r="BZ649">
        <v>0</v>
      </c>
      <c r="CA649">
        <v>0</v>
      </c>
      <c r="CB649" t="s">
        <v>145</v>
      </c>
    </row>
    <row r="650" spans="67:80" x14ac:dyDescent="0.25">
      <c r="BO650">
        <v>0</v>
      </c>
      <c r="BP650">
        <v>0</v>
      </c>
      <c r="BQ650">
        <v>0</v>
      </c>
      <c r="BR650">
        <v>0</v>
      </c>
      <c r="BS650">
        <v>0</v>
      </c>
      <c r="BT650">
        <v>0</v>
      </c>
      <c r="BU650">
        <v>0</v>
      </c>
      <c r="BV650">
        <v>0</v>
      </c>
      <c r="BW650" t="s">
        <v>0</v>
      </c>
      <c r="BX650">
        <v>0</v>
      </c>
      <c r="BY650">
        <v>0</v>
      </c>
      <c r="BZ650">
        <v>0</v>
      </c>
      <c r="CA650">
        <v>0</v>
      </c>
      <c r="CB650" t="s">
        <v>145</v>
      </c>
    </row>
    <row r="651" spans="67:80" x14ac:dyDescent="0.25"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 t="s">
        <v>0</v>
      </c>
      <c r="BX651">
        <v>0</v>
      </c>
      <c r="BY651">
        <v>0</v>
      </c>
      <c r="BZ651">
        <v>0</v>
      </c>
      <c r="CA651">
        <v>0</v>
      </c>
      <c r="CB651" t="s">
        <v>145</v>
      </c>
    </row>
    <row r="652" spans="67:80" x14ac:dyDescent="0.25">
      <c r="BO652">
        <v>0</v>
      </c>
      <c r="BP652">
        <v>0</v>
      </c>
      <c r="BQ652">
        <v>0</v>
      </c>
      <c r="BR652">
        <v>0</v>
      </c>
      <c r="BS652">
        <v>0</v>
      </c>
      <c r="BT652">
        <v>0</v>
      </c>
      <c r="BU652">
        <v>0</v>
      </c>
      <c r="BV652">
        <v>0</v>
      </c>
      <c r="BW652" t="s">
        <v>0</v>
      </c>
      <c r="BX652">
        <v>0</v>
      </c>
      <c r="BY652">
        <v>0</v>
      </c>
      <c r="BZ652">
        <v>0</v>
      </c>
      <c r="CA652">
        <v>0</v>
      </c>
      <c r="CB652" t="s">
        <v>145</v>
      </c>
    </row>
    <row r="653" spans="67:80" x14ac:dyDescent="0.25"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 t="s">
        <v>0</v>
      </c>
      <c r="BX653">
        <v>0</v>
      </c>
      <c r="BY653">
        <v>0</v>
      </c>
      <c r="BZ653">
        <v>0</v>
      </c>
      <c r="CA653">
        <v>0</v>
      </c>
      <c r="CB653" t="s">
        <v>145</v>
      </c>
    </row>
    <row r="654" spans="67:80" x14ac:dyDescent="0.25">
      <c r="BO654">
        <v>0</v>
      </c>
      <c r="BP654">
        <v>0</v>
      </c>
      <c r="BQ654">
        <v>0</v>
      </c>
      <c r="BR654">
        <v>0</v>
      </c>
      <c r="BS654">
        <v>0</v>
      </c>
      <c r="BT654">
        <v>0</v>
      </c>
      <c r="BU654">
        <v>0</v>
      </c>
      <c r="BV654">
        <v>0</v>
      </c>
      <c r="BW654" t="s">
        <v>0</v>
      </c>
      <c r="BX654">
        <v>0</v>
      </c>
      <c r="BY654">
        <v>0</v>
      </c>
      <c r="BZ654">
        <v>0</v>
      </c>
      <c r="CA654">
        <v>0</v>
      </c>
      <c r="CB654" t="s">
        <v>145</v>
      </c>
    </row>
    <row r="655" spans="67:80" x14ac:dyDescent="0.25">
      <c r="BO655">
        <v>0</v>
      </c>
      <c r="BP655">
        <v>0</v>
      </c>
      <c r="BQ655">
        <v>0</v>
      </c>
      <c r="BR655">
        <v>0</v>
      </c>
      <c r="BS655">
        <v>0</v>
      </c>
      <c r="BT655">
        <v>0</v>
      </c>
      <c r="BU655">
        <v>0</v>
      </c>
      <c r="BV655">
        <v>0</v>
      </c>
      <c r="BW655" t="s">
        <v>0</v>
      </c>
      <c r="BX655">
        <v>0</v>
      </c>
      <c r="BY655">
        <v>0</v>
      </c>
      <c r="BZ655">
        <v>0</v>
      </c>
      <c r="CA655">
        <v>0</v>
      </c>
      <c r="CB655" t="s">
        <v>145</v>
      </c>
    </row>
    <row r="656" spans="67:80" x14ac:dyDescent="0.25">
      <c r="BO656">
        <v>0</v>
      </c>
      <c r="BP656">
        <v>0</v>
      </c>
      <c r="BQ656">
        <v>0</v>
      </c>
      <c r="BR656">
        <v>0</v>
      </c>
      <c r="BS656">
        <v>0</v>
      </c>
      <c r="BT656">
        <v>0</v>
      </c>
      <c r="BU656">
        <v>0</v>
      </c>
      <c r="BV656">
        <v>0</v>
      </c>
      <c r="BW656" t="s">
        <v>0</v>
      </c>
      <c r="BX656">
        <v>0</v>
      </c>
      <c r="BY656">
        <v>0</v>
      </c>
      <c r="BZ656">
        <v>0</v>
      </c>
      <c r="CA656">
        <v>0</v>
      </c>
      <c r="CB656" t="s">
        <v>145</v>
      </c>
    </row>
    <row r="657" spans="67:80" x14ac:dyDescent="0.25">
      <c r="BO657">
        <v>0</v>
      </c>
      <c r="BP657">
        <v>0</v>
      </c>
      <c r="BQ657">
        <v>0</v>
      </c>
      <c r="BR657">
        <v>0</v>
      </c>
      <c r="BS657">
        <v>0</v>
      </c>
      <c r="BT657">
        <v>0</v>
      </c>
      <c r="BU657">
        <v>0</v>
      </c>
      <c r="BV657">
        <v>0</v>
      </c>
      <c r="BW657" t="s">
        <v>0</v>
      </c>
      <c r="BX657">
        <v>0</v>
      </c>
      <c r="BY657">
        <v>0</v>
      </c>
      <c r="BZ657">
        <v>0</v>
      </c>
      <c r="CA657">
        <v>0</v>
      </c>
      <c r="CB657" t="s">
        <v>145</v>
      </c>
    </row>
    <row r="658" spans="67:80" x14ac:dyDescent="0.25">
      <c r="BO658">
        <v>0</v>
      </c>
      <c r="BP658">
        <v>0</v>
      </c>
      <c r="BQ658">
        <v>0</v>
      </c>
      <c r="BR658">
        <v>0</v>
      </c>
      <c r="BS658">
        <v>0</v>
      </c>
      <c r="BT658">
        <v>0</v>
      </c>
      <c r="BU658">
        <v>0</v>
      </c>
      <c r="BV658">
        <v>0</v>
      </c>
      <c r="BW658" t="s">
        <v>0</v>
      </c>
      <c r="BX658">
        <v>0</v>
      </c>
      <c r="BY658">
        <v>0</v>
      </c>
      <c r="BZ658">
        <v>0</v>
      </c>
      <c r="CA658">
        <v>0</v>
      </c>
      <c r="CB658" t="s">
        <v>145</v>
      </c>
    </row>
    <row r="659" spans="67:80" x14ac:dyDescent="0.25">
      <c r="BO659">
        <v>0</v>
      </c>
      <c r="BP659">
        <v>0</v>
      </c>
      <c r="BQ659">
        <v>0</v>
      </c>
      <c r="BR659">
        <v>0</v>
      </c>
      <c r="BS659">
        <v>0</v>
      </c>
      <c r="BT659">
        <v>0</v>
      </c>
      <c r="BU659">
        <v>0</v>
      </c>
      <c r="BV659">
        <v>0</v>
      </c>
      <c r="BW659" t="s">
        <v>0</v>
      </c>
      <c r="BX659">
        <v>0</v>
      </c>
      <c r="BY659">
        <v>0</v>
      </c>
      <c r="BZ659">
        <v>0</v>
      </c>
      <c r="CA659">
        <v>0</v>
      </c>
      <c r="CB659" t="s">
        <v>145</v>
      </c>
    </row>
    <row r="660" spans="67:80" x14ac:dyDescent="0.25">
      <c r="BO660">
        <v>0</v>
      </c>
      <c r="BP660">
        <v>0</v>
      </c>
      <c r="BQ660">
        <v>0</v>
      </c>
      <c r="BR660">
        <v>0</v>
      </c>
      <c r="BS660">
        <v>0</v>
      </c>
      <c r="BT660">
        <v>0</v>
      </c>
      <c r="BU660">
        <v>0</v>
      </c>
      <c r="BV660">
        <v>0</v>
      </c>
      <c r="BW660" t="s">
        <v>0</v>
      </c>
      <c r="BX660">
        <v>0</v>
      </c>
      <c r="BY660">
        <v>0</v>
      </c>
      <c r="BZ660">
        <v>0</v>
      </c>
      <c r="CA660">
        <v>0</v>
      </c>
      <c r="CB660" t="s">
        <v>145</v>
      </c>
    </row>
    <row r="661" spans="67:80" x14ac:dyDescent="0.25">
      <c r="BO661">
        <v>0</v>
      </c>
      <c r="BP661">
        <v>0</v>
      </c>
      <c r="BQ661">
        <v>0</v>
      </c>
      <c r="BR661">
        <v>0</v>
      </c>
      <c r="BS661">
        <v>0</v>
      </c>
      <c r="BT661">
        <v>0</v>
      </c>
      <c r="BU661">
        <v>0</v>
      </c>
      <c r="BV661">
        <v>0</v>
      </c>
      <c r="BW661" t="s">
        <v>0</v>
      </c>
      <c r="BX661">
        <v>0</v>
      </c>
      <c r="BY661">
        <v>0</v>
      </c>
      <c r="BZ661">
        <v>0</v>
      </c>
      <c r="CA661">
        <v>0</v>
      </c>
      <c r="CB661" t="s">
        <v>145</v>
      </c>
    </row>
    <row r="662" spans="67:80" x14ac:dyDescent="0.25">
      <c r="BO662">
        <v>0</v>
      </c>
      <c r="BP662">
        <v>0</v>
      </c>
      <c r="BQ662">
        <v>0</v>
      </c>
      <c r="BR662">
        <v>0</v>
      </c>
      <c r="BS662">
        <v>0</v>
      </c>
      <c r="BT662">
        <v>0</v>
      </c>
      <c r="BU662">
        <v>0</v>
      </c>
      <c r="BV662">
        <v>0</v>
      </c>
      <c r="BW662" t="s">
        <v>0</v>
      </c>
      <c r="BX662">
        <v>0</v>
      </c>
      <c r="BY662">
        <v>0</v>
      </c>
      <c r="BZ662">
        <v>0</v>
      </c>
      <c r="CA662">
        <v>0</v>
      </c>
      <c r="CB662" t="s">
        <v>145</v>
      </c>
    </row>
    <row r="663" spans="67:80" x14ac:dyDescent="0.25">
      <c r="BO663">
        <v>0</v>
      </c>
      <c r="BP663">
        <v>0</v>
      </c>
      <c r="BQ663">
        <v>0</v>
      </c>
      <c r="BR663">
        <v>0</v>
      </c>
      <c r="BS663">
        <v>0</v>
      </c>
      <c r="BT663">
        <v>0</v>
      </c>
      <c r="BU663">
        <v>0</v>
      </c>
      <c r="BV663">
        <v>0</v>
      </c>
      <c r="BW663" t="s">
        <v>0</v>
      </c>
      <c r="BX663">
        <v>0</v>
      </c>
      <c r="BY663">
        <v>0</v>
      </c>
      <c r="BZ663">
        <v>0</v>
      </c>
      <c r="CA663">
        <v>0</v>
      </c>
      <c r="CB663" t="s">
        <v>145</v>
      </c>
    </row>
    <row r="664" spans="67:80" x14ac:dyDescent="0.25">
      <c r="BO664">
        <v>0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0</v>
      </c>
      <c r="BV664">
        <v>0</v>
      </c>
      <c r="BW664" t="s">
        <v>0</v>
      </c>
      <c r="BX664">
        <v>0</v>
      </c>
      <c r="BY664">
        <v>0</v>
      </c>
      <c r="BZ664">
        <v>0</v>
      </c>
      <c r="CA664">
        <v>0</v>
      </c>
      <c r="CB664" t="s">
        <v>145</v>
      </c>
    </row>
    <row r="665" spans="67:80" x14ac:dyDescent="0.25">
      <c r="BO665">
        <v>0</v>
      </c>
      <c r="BP665">
        <v>0</v>
      </c>
      <c r="BQ665">
        <v>0</v>
      </c>
      <c r="BR665">
        <v>0</v>
      </c>
      <c r="BS665">
        <v>0</v>
      </c>
      <c r="BT665">
        <v>0</v>
      </c>
      <c r="BU665">
        <v>0</v>
      </c>
      <c r="BV665">
        <v>0</v>
      </c>
      <c r="BW665" t="s">
        <v>0</v>
      </c>
      <c r="BX665">
        <v>0</v>
      </c>
      <c r="BY665">
        <v>0</v>
      </c>
      <c r="BZ665">
        <v>0</v>
      </c>
      <c r="CA665">
        <v>0</v>
      </c>
      <c r="CB665" t="s">
        <v>145</v>
      </c>
    </row>
    <row r="666" spans="67:80" x14ac:dyDescent="0.25">
      <c r="BO666">
        <v>0</v>
      </c>
      <c r="BP666">
        <v>0</v>
      </c>
      <c r="BQ666">
        <v>0</v>
      </c>
      <c r="BR666">
        <v>0</v>
      </c>
      <c r="BS666">
        <v>0</v>
      </c>
      <c r="BT666">
        <v>0</v>
      </c>
      <c r="BU666">
        <v>0</v>
      </c>
      <c r="BV666">
        <v>0</v>
      </c>
      <c r="BW666" t="s">
        <v>0</v>
      </c>
      <c r="BX666">
        <v>0</v>
      </c>
      <c r="BY666">
        <v>0</v>
      </c>
      <c r="BZ666">
        <v>0</v>
      </c>
      <c r="CA666">
        <v>0</v>
      </c>
      <c r="CB666" t="s">
        <v>145</v>
      </c>
    </row>
    <row r="667" spans="67:80" x14ac:dyDescent="0.25">
      <c r="BO667">
        <v>0</v>
      </c>
      <c r="BP667">
        <v>0</v>
      </c>
      <c r="BQ667">
        <v>0</v>
      </c>
      <c r="BR667">
        <v>0</v>
      </c>
      <c r="BS667">
        <v>0</v>
      </c>
      <c r="BT667">
        <v>0</v>
      </c>
      <c r="BU667">
        <v>0</v>
      </c>
      <c r="BV667">
        <v>0</v>
      </c>
      <c r="BW667" t="s">
        <v>0</v>
      </c>
      <c r="BX667">
        <v>0</v>
      </c>
      <c r="BY667">
        <v>0</v>
      </c>
      <c r="BZ667">
        <v>0</v>
      </c>
      <c r="CA667">
        <v>0</v>
      </c>
      <c r="CB667" t="s">
        <v>145</v>
      </c>
    </row>
    <row r="668" spans="67:80" x14ac:dyDescent="0.25">
      <c r="BO668">
        <v>0</v>
      </c>
      <c r="BP668">
        <v>0</v>
      </c>
      <c r="BQ668">
        <v>0</v>
      </c>
      <c r="BR668">
        <v>0</v>
      </c>
      <c r="BS668">
        <v>0</v>
      </c>
      <c r="BT668">
        <v>0</v>
      </c>
      <c r="BU668">
        <v>0</v>
      </c>
      <c r="BV668">
        <v>0</v>
      </c>
      <c r="BW668" t="s">
        <v>0</v>
      </c>
      <c r="BX668">
        <v>0</v>
      </c>
      <c r="BY668">
        <v>0</v>
      </c>
      <c r="BZ668">
        <v>0</v>
      </c>
      <c r="CA668">
        <v>0</v>
      </c>
      <c r="CB668" t="s">
        <v>145</v>
      </c>
    </row>
    <row r="669" spans="67:80" x14ac:dyDescent="0.25">
      <c r="BO669">
        <v>0</v>
      </c>
      <c r="BP669">
        <v>0</v>
      </c>
      <c r="BQ669">
        <v>0</v>
      </c>
      <c r="BR669">
        <v>0</v>
      </c>
      <c r="BS669">
        <v>0</v>
      </c>
      <c r="BT669">
        <v>0</v>
      </c>
      <c r="BU669">
        <v>0</v>
      </c>
      <c r="BV669">
        <v>0</v>
      </c>
      <c r="BW669" t="s">
        <v>0</v>
      </c>
      <c r="BX669">
        <v>0</v>
      </c>
      <c r="BY669">
        <v>0</v>
      </c>
      <c r="BZ669">
        <v>0</v>
      </c>
      <c r="CA669">
        <v>0</v>
      </c>
      <c r="CB669" t="s">
        <v>145</v>
      </c>
    </row>
    <row r="670" spans="67:80" x14ac:dyDescent="0.25">
      <c r="BO670">
        <v>0</v>
      </c>
      <c r="BP670">
        <v>0</v>
      </c>
      <c r="BQ670">
        <v>0</v>
      </c>
      <c r="BR670">
        <v>0</v>
      </c>
      <c r="BS670">
        <v>0</v>
      </c>
      <c r="BT670">
        <v>0</v>
      </c>
      <c r="BU670">
        <v>0</v>
      </c>
      <c r="BV670">
        <v>0</v>
      </c>
      <c r="BW670" t="s">
        <v>0</v>
      </c>
      <c r="BX670">
        <v>0</v>
      </c>
      <c r="BY670">
        <v>0</v>
      </c>
      <c r="BZ670">
        <v>0</v>
      </c>
      <c r="CA670">
        <v>0</v>
      </c>
      <c r="CB670" t="s">
        <v>145</v>
      </c>
    </row>
    <row r="671" spans="67:80" x14ac:dyDescent="0.25">
      <c r="BO671">
        <v>0</v>
      </c>
      <c r="BP671">
        <v>0</v>
      </c>
      <c r="BQ671">
        <v>0</v>
      </c>
      <c r="BR671">
        <v>0</v>
      </c>
      <c r="BS671">
        <v>0</v>
      </c>
      <c r="BT671">
        <v>0</v>
      </c>
      <c r="BU671">
        <v>0</v>
      </c>
      <c r="BV671">
        <v>0</v>
      </c>
      <c r="BW671" t="s">
        <v>0</v>
      </c>
      <c r="BX671">
        <v>0</v>
      </c>
      <c r="BY671">
        <v>0</v>
      </c>
      <c r="BZ671">
        <v>0</v>
      </c>
      <c r="CA671">
        <v>0</v>
      </c>
      <c r="CB671" t="s">
        <v>145</v>
      </c>
    </row>
    <row r="672" spans="67:80" x14ac:dyDescent="0.25">
      <c r="BO672">
        <v>0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0</v>
      </c>
      <c r="BW672" t="s">
        <v>0</v>
      </c>
      <c r="BX672">
        <v>0</v>
      </c>
      <c r="BY672">
        <v>0</v>
      </c>
      <c r="BZ672">
        <v>0</v>
      </c>
      <c r="CA672">
        <v>0</v>
      </c>
      <c r="CB672" t="s">
        <v>145</v>
      </c>
    </row>
    <row r="673" spans="67:80" x14ac:dyDescent="0.25">
      <c r="BO673">
        <v>0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0</v>
      </c>
      <c r="BV673">
        <v>0</v>
      </c>
      <c r="BW673" t="s">
        <v>0</v>
      </c>
      <c r="BX673">
        <v>0</v>
      </c>
      <c r="BY673">
        <v>0</v>
      </c>
      <c r="BZ673">
        <v>0</v>
      </c>
      <c r="CA673">
        <v>0</v>
      </c>
      <c r="CB673" t="s">
        <v>145</v>
      </c>
    </row>
    <row r="674" spans="67:80" x14ac:dyDescent="0.25">
      <c r="BO674">
        <v>0</v>
      </c>
      <c r="BP674">
        <v>0</v>
      </c>
      <c r="BQ674">
        <v>0</v>
      </c>
      <c r="BR674">
        <v>0</v>
      </c>
      <c r="BS674">
        <v>0</v>
      </c>
      <c r="BT674">
        <v>0</v>
      </c>
      <c r="BU674">
        <v>0</v>
      </c>
      <c r="BV674">
        <v>0</v>
      </c>
      <c r="BW674" t="s">
        <v>0</v>
      </c>
      <c r="BX674">
        <v>0</v>
      </c>
      <c r="BY674">
        <v>0</v>
      </c>
      <c r="BZ674">
        <v>0</v>
      </c>
      <c r="CA674">
        <v>0</v>
      </c>
      <c r="CB674" t="s">
        <v>145</v>
      </c>
    </row>
    <row r="675" spans="67:80" x14ac:dyDescent="0.25">
      <c r="BO675">
        <v>0</v>
      </c>
      <c r="BP675">
        <v>0</v>
      </c>
      <c r="BQ675">
        <v>0</v>
      </c>
      <c r="BR675">
        <v>0</v>
      </c>
      <c r="BS675">
        <v>0</v>
      </c>
      <c r="BT675">
        <v>0</v>
      </c>
      <c r="BU675">
        <v>0</v>
      </c>
      <c r="BV675">
        <v>0</v>
      </c>
      <c r="BW675" t="s">
        <v>0</v>
      </c>
      <c r="BX675">
        <v>0</v>
      </c>
      <c r="BY675">
        <v>0</v>
      </c>
      <c r="BZ675">
        <v>0</v>
      </c>
      <c r="CA675">
        <v>0</v>
      </c>
      <c r="CB675" t="s">
        <v>145</v>
      </c>
    </row>
    <row r="676" spans="67:80" x14ac:dyDescent="0.25">
      <c r="BO676">
        <v>0</v>
      </c>
      <c r="BP676">
        <v>0</v>
      </c>
      <c r="BQ676">
        <v>0</v>
      </c>
      <c r="BR676">
        <v>0</v>
      </c>
      <c r="BS676">
        <v>0</v>
      </c>
      <c r="BT676">
        <v>0</v>
      </c>
      <c r="BU676">
        <v>0</v>
      </c>
      <c r="BV676">
        <v>0</v>
      </c>
      <c r="BW676" t="s">
        <v>0</v>
      </c>
      <c r="BX676">
        <v>0</v>
      </c>
      <c r="BY676">
        <v>0</v>
      </c>
      <c r="BZ676">
        <v>0</v>
      </c>
      <c r="CA676">
        <v>0</v>
      </c>
      <c r="CB676" t="s">
        <v>145</v>
      </c>
    </row>
    <row r="677" spans="67:80" x14ac:dyDescent="0.25">
      <c r="BO677">
        <v>0</v>
      </c>
      <c r="BP677">
        <v>0</v>
      </c>
      <c r="BQ677">
        <v>0</v>
      </c>
      <c r="BR677">
        <v>0</v>
      </c>
      <c r="BS677">
        <v>0</v>
      </c>
      <c r="BT677">
        <v>0</v>
      </c>
      <c r="BU677">
        <v>0</v>
      </c>
      <c r="BV677">
        <v>0</v>
      </c>
      <c r="BW677" t="s">
        <v>0</v>
      </c>
      <c r="BX677">
        <v>0</v>
      </c>
      <c r="BY677">
        <v>0</v>
      </c>
      <c r="BZ677">
        <v>0</v>
      </c>
      <c r="CA677">
        <v>0</v>
      </c>
      <c r="CB677" t="s">
        <v>145</v>
      </c>
    </row>
    <row r="678" spans="67:80" x14ac:dyDescent="0.25">
      <c r="BO678">
        <v>0</v>
      </c>
      <c r="BP678">
        <v>0</v>
      </c>
      <c r="BQ678">
        <v>0</v>
      </c>
      <c r="BR678">
        <v>0</v>
      </c>
      <c r="BS678">
        <v>0</v>
      </c>
      <c r="BT678">
        <v>0</v>
      </c>
      <c r="BU678">
        <v>0</v>
      </c>
      <c r="BV678">
        <v>0</v>
      </c>
      <c r="BW678" t="s">
        <v>0</v>
      </c>
      <c r="BX678">
        <v>0</v>
      </c>
      <c r="BY678">
        <v>0</v>
      </c>
      <c r="BZ678">
        <v>0</v>
      </c>
      <c r="CA678">
        <v>0</v>
      </c>
      <c r="CB678" t="s">
        <v>145</v>
      </c>
    </row>
    <row r="679" spans="67:80" x14ac:dyDescent="0.25">
      <c r="BO679">
        <v>0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0</v>
      </c>
      <c r="BV679">
        <v>0</v>
      </c>
      <c r="BW679" t="s">
        <v>0</v>
      </c>
      <c r="BX679">
        <v>0</v>
      </c>
      <c r="BY679">
        <v>0</v>
      </c>
      <c r="BZ679">
        <v>0</v>
      </c>
      <c r="CA679">
        <v>0</v>
      </c>
      <c r="CB679" t="s">
        <v>145</v>
      </c>
    </row>
    <row r="680" spans="67:80" x14ac:dyDescent="0.25">
      <c r="BO680">
        <v>0</v>
      </c>
      <c r="BP680">
        <v>0</v>
      </c>
      <c r="BQ680">
        <v>0</v>
      </c>
      <c r="BR680">
        <v>0</v>
      </c>
      <c r="BS680">
        <v>0</v>
      </c>
      <c r="BT680">
        <v>0</v>
      </c>
      <c r="BU680">
        <v>0</v>
      </c>
      <c r="BV680">
        <v>0</v>
      </c>
      <c r="BW680" t="s">
        <v>0</v>
      </c>
      <c r="BX680">
        <v>0</v>
      </c>
      <c r="BY680">
        <v>0</v>
      </c>
      <c r="BZ680">
        <v>0</v>
      </c>
      <c r="CA680">
        <v>0</v>
      </c>
      <c r="CB680" t="s">
        <v>145</v>
      </c>
    </row>
    <row r="681" spans="67:80" x14ac:dyDescent="0.25">
      <c r="BO681">
        <v>0</v>
      </c>
      <c r="BP681">
        <v>0</v>
      </c>
      <c r="BQ681">
        <v>0</v>
      </c>
      <c r="BR681">
        <v>0</v>
      </c>
      <c r="BS681">
        <v>0</v>
      </c>
      <c r="BT681">
        <v>0</v>
      </c>
      <c r="BU681">
        <v>0</v>
      </c>
      <c r="BV681">
        <v>0</v>
      </c>
      <c r="BW681" t="s">
        <v>0</v>
      </c>
      <c r="BX681">
        <v>0</v>
      </c>
      <c r="BY681">
        <v>0</v>
      </c>
      <c r="BZ681">
        <v>0</v>
      </c>
      <c r="CA681">
        <v>0</v>
      </c>
      <c r="CB681" t="s">
        <v>145</v>
      </c>
    </row>
    <row r="682" spans="67:80" x14ac:dyDescent="0.25">
      <c r="BO682">
        <v>0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0</v>
      </c>
      <c r="BV682">
        <v>0</v>
      </c>
      <c r="BW682" t="s">
        <v>0</v>
      </c>
      <c r="BX682">
        <v>0</v>
      </c>
      <c r="BY682">
        <v>0</v>
      </c>
      <c r="BZ682">
        <v>0</v>
      </c>
      <c r="CA682">
        <v>0</v>
      </c>
      <c r="CB682" t="s">
        <v>145</v>
      </c>
    </row>
    <row r="683" spans="67:80" x14ac:dyDescent="0.25">
      <c r="BO683">
        <v>0</v>
      </c>
      <c r="BP683">
        <v>0</v>
      </c>
      <c r="BQ683">
        <v>0</v>
      </c>
      <c r="BR683">
        <v>0</v>
      </c>
      <c r="BS683">
        <v>0</v>
      </c>
      <c r="BT683">
        <v>0</v>
      </c>
      <c r="BU683">
        <v>0</v>
      </c>
      <c r="BV683">
        <v>0</v>
      </c>
      <c r="BW683" t="s">
        <v>0</v>
      </c>
      <c r="BX683">
        <v>0</v>
      </c>
      <c r="BY683">
        <v>0</v>
      </c>
      <c r="BZ683">
        <v>0</v>
      </c>
      <c r="CA683">
        <v>0</v>
      </c>
      <c r="CB683" t="s">
        <v>145</v>
      </c>
    </row>
    <row r="684" spans="67:80" x14ac:dyDescent="0.25">
      <c r="BO684">
        <v>0</v>
      </c>
      <c r="BP684">
        <v>0</v>
      </c>
      <c r="BQ684">
        <v>0</v>
      </c>
      <c r="BR684">
        <v>0</v>
      </c>
      <c r="BS684">
        <v>0</v>
      </c>
      <c r="BT684">
        <v>0</v>
      </c>
      <c r="BU684">
        <v>0</v>
      </c>
      <c r="BV684">
        <v>0</v>
      </c>
      <c r="BW684" t="s">
        <v>0</v>
      </c>
      <c r="BX684">
        <v>0</v>
      </c>
      <c r="BY684">
        <v>0</v>
      </c>
      <c r="BZ684">
        <v>0</v>
      </c>
      <c r="CA684">
        <v>0</v>
      </c>
      <c r="CB684" t="s">
        <v>145</v>
      </c>
    </row>
    <row r="685" spans="67:80" x14ac:dyDescent="0.25">
      <c r="BO685">
        <v>0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 t="s">
        <v>0</v>
      </c>
      <c r="BX685">
        <v>0</v>
      </c>
      <c r="BY685">
        <v>0</v>
      </c>
      <c r="BZ685">
        <v>0</v>
      </c>
      <c r="CA685">
        <v>0</v>
      </c>
      <c r="CB685" t="s">
        <v>145</v>
      </c>
    </row>
    <row r="686" spans="67:80" x14ac:dyDescent="0.25"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 t="s">
        <v>0</v>
      </c>
      <c r="BX686">
        <v>0</v>
      </c>
      <c r="BY686">
        <v>0</v>
      </c>
      <c r="BZ686">
        <v>0</v>
      </c>
      <c r="CA686">
        <v>0</v>
      </c>
      <c r="CB686" t="s">
        <v>145</v>
      </c>
    </row>
    <row r="687" spans="67:80" x14ac:dyDescent="0.25">
      <c r="BO687">
        <v>0</v>
      </c>
      <c r="BP687">
        <v>0</v>
      </c>
      <c r="BQ687">
        <v>0</v>
      </c>
      <c r="BR687">
        <v>0</v>
      </c>
      <c r="BS687">
        <v>0</v>
      </c>
      <c r="BT687">
        <v>0</v>
      </c>
      <c r="BU687">
        <v>0</v>
      </c>
      <c r="BV687">
        <v>0</v>
      </c>
      <c r="BW687" t="s">
        <v>0</v>
      </c>
      <c r="BX687">
        <v>0</v>
      </c>
      <c r="BY687">
        <v>0</v>
      </c>
      <c r="BZ687">
        <v>0</v>
      </c>
      <c r="CA687">
        <v>0</v>
      </c>
      <c r="CB687" t="s">
        <v>145</v>
      </c>
    </row>
    <row r="688" spans="67:80" x14ac:dyDescent="0.25"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0</v>
      </c>
      <c r="BV688">
        <v>0</v>
      </c>
      <c r="BW688" t="s">
        <v>0</v>
      </c>
      <c r="BX688">
        <v>0</v>
      </c>
      <c r="BY688">
        <v>0</v>
      </c>
      <c r="BZ688">
        <v>0</v>
      </c>
      <c r="CA688">
        <v>0</v>
      </c>
      <c r="CB688" t="s">
        <v>145</v>
      </c>
    </row>
    <row r="689" spans="67:80" x14ac:dyDescent="0.25">
      <c r="BO689">
        <v>0</v>
      </c>
      <c r="BP689">
        <v>0</v>
      </c>
      <c r="BQ689">
        <v>0</v>
      </c>
      <c r="BR689">
        <v>0</v>
      </c>
      <c r="BS689">
        <v>0</v>
      </c>
      <c r="BT689">
        <v>0</v>
      </c>
      <c r="BU689">
        <v>0</v>
      </c>
      <c r="BV689">
        <v>0</v>
      </c>
      <c r="BW689" t="s">
        <v>0</v>
      </c>
      <c r="BX689">
        <v>0</v>
      </c>
      <c r="BY689">
        <v>0</v>
      </c>
      <c r="BZ689">
        <v>0</v>
      </c>
      <c r="CA689">
        <v>0</v>
      </c>
      <c r="CB689" t="s">
        <v>145</v>
      </c>
    </row>
    <row r="690" spans="67:80" x14ac:dyDescent="0.25">
      <c r="BO690">
        <v>0</v>
      </c>
      <c r="BP690">
        <v>0</v>
      </c>
      <c r="BQ690">
        <v>0</v>
      </c>
      <c r="BR690">
        <v>0</v>
      </c>
      <c r="BS690">
        <v>0</v>
      </c>
      <c r="BT690">
        <v>0</v>
      </c>
      <c r="BU690">
        <v>0</v>
      </c>
      <c r="BV690">
        <v>0</v>
      </c>
      <c r="BW690" t="s">
        <v>0</v>
      </c>
      <c r="BX690">
        <v>0</v>
      </c>
      <c r="BY690">
        <v>0</v>
      </c>
      <c r="BZ690">
        <v>0</v>
      </c>
      <c r="CA690">
        <v>0</v>
      </c>
      <c r="CB690" t="s">
        <v>145</v>
      </c>
    </row>
    <row r="691" spans="67:80" x14ac:dyDescent="0.25">
      <c r="BO691">
        <v>0</v>
      </c>
      <c r="BP691">
        <v>0</v>
      </c>
      <c r="BQ691">
        <v>0</v>
      </c>
      <c r="BR691">
        <v>0</v>
      </c>
      <c r="BS691">
        <v>0</v>
      </c>
      <c r="BT691">
        <v>0</v>
      </c>
      <c r="BU691">
        <v>0</v>
      </c>
      <c r="BV691">
        <v>0</v>
      </c>
      <c r="BW691" t="s">
        <v>0</v>
      </c>
      <c r="BX691">
        <v>0</v>
      </c>
      <c r="BY691">
        <v>0</v>
      </c>
      <c r="BZ691">
        <v>0</v>
      </c>
      <c r="CA691">
        <v>0</v>
      </c>
      <c r="CB691" t="s">
        <v>145</v>
      </c>
    </row>
    <row r="692" spans="67:80" x14ac:dyDescent="0.25">
      <c r="BO692">
        <v>0</v>
      </c>
      <c r="BP692">
        <v>0</v>
      </c>
      <c r="BQ692">
        <v>0</v>
      </c>
      <c r="BR692">
        <v>0</v>
      </c>
      <c r="BS692">
        <v>0</v>
      </c>
      <c r="BT692">
        <v>0</v>
      </c>
      <c r="BU692">
        <v>0</v>
      </c>
      <c r="BV692">
        <v>0</v>
      </c>
      <c r="BW692" t="s">
        <v>0</v>
      </c>
      <c r="BX692">
        <v>0</v>
      </c>
      <c r="BY692">
        <v>0</v>
      </c>
      <c r="BZ692">
        <v>0</v>
      </c>
      <c r="CA692">
        <v>0</v>
      </c>
      <c r="CB692" t="s">
        <v>145</v>
      </c>
    </row>
    <row r="693" spans="67:80" x14ac:dyDescent="0.25">
      <c r="BO693">
        <v>0</v>
      </c>
      <c r="BP693">
        <v>0</v>
      </c>
      <c r="BQ693">
        <v>0</v>
      </c>
      <c r="BR693">
        <v>0</v>
      </c>
      <c r="BS693">
        <v>0</v>
      </c>
      <c r="BT693">
        <v>0</v>
      </c>
      <c r="BU693">
        <v>0</v>
      </c>
      <c r="BV693">
        <v>0</v>
      </c>
      <c r="BW693" t="s">
        <v>0</v>
      </c>
      <c r="BX693">
        <v>0</v>
      </c>
      <c r="BY693">
        <v>0</v>
      </c>
      <c r="BZ693">
        <v>0</v>
      </c>
      <c r="CA693">
        <v>0</v>
      </c>
      <c r="CB693" t="s">
        <v>145</v>
      </c>
    </row>
    <row r="694" spans="67:80" x14ac:dyDescent="0.25">
      <c r="BO694">
        <v>0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 t="s">
        <v>0</v>
      </c>
      <c r="BX694">
        <v>0</v>
      </c>
      <c r="BY694">
        <v>0</v>
      </c>
      <c r="BZ694">
        <v>0</v>
      </c>
      <c r="CA694">
        <v>0</v>
      </c>
      <c r="CB694" t="s">
        <v>145</v>
      </c>
    </row>
    <row r="695" spans="67:80" x14ac:dyDescent="0.25">
      <c r="BO695">
        <v>0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  <c r="BW695" t="s">
        <v>0</v>
      </c>
      <c r="BX695">
        <v>0</v>
      </c>
      <c r="BY695">
        <v>0</v>
      </c>
      <c r="BZ695">
        <v>0</v>
      </c>
      <c r="CA695">
        <v>0</v>
      </c>
      <c r="CB695" t="s">
        <v>145</v>
      </c>
    </row>
    <row r="696" spans="67:80" x14ac:dyDescent="0.25">
      <c r="BO696">
        <v>0</v>
      </c>
      <c r="BP696">
        <v>0</v>
      </c>
      <c r="BQ696">
        <v>0</v>
      </c>
      <c r="BR696">
        <v>0</v>
      </c>
      <c r="BS696">
        <v>0</v>
      </c>
      <c r="BT696">
        <v>0</v>
      </c>
      <c r="BU696">
        <v>0</v>
      </c>
      <c r="BV696">
        <v>0</v>
      </c>
      <c r="BW696" t="s">
        <v>0</v>
      </c>
      <c r="BX696">
        <v>0</v>
      </c>
      <c r="BY696">
        <v>0</v>
      </c>
      <c r="BZ696">
        <v>0</v>
      </c>
      <c r="CA696">
        <v>0</v>
      </c>
      <c r="CB696" t="s">
        <v>145</v>
      </c>
    </row>
    <row r="697" spans="67:80" x14ac:dyDescent="0.25"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 t="s">
        <v>0</v>
      </c>
      <c r="BX697">
        <v>0</v>
      </c>
      <c r="BY697">
        <v>0</v>
      </c>
      <c r="BZ697">
        <v>0</v>
      </c>
      <c r="CA697">
        <v>0</v>
      </c>
      <c r="CB697" t="s">
        <v>145</v>
      </c>
    </row>
    <row r="698" spans="67:80" x14ac:dyDescent="0.25">
      <c r="BO698">
        <v>0</v>
      </c>
      <c r="BP698">
        <v>0</v>
      </c>
      <c r="BQ698">
        <v>0</v>
      </c>
      <c r="BR698">
        <v>0</v>
      </c>
      <c r="BS698">
        <v>0</v>
      </c>
      <c r="BT698">
        <v>0</v>
      </c>
      <c r="BU698">
        <v>0</v>
      </c>
      <c r="BV698">
        <v>0</v>
      </c>
      <c r="BW698" t="s">
        <v>0</v>
      </c>
      <c r="BX698">
        <v>0</v>
      </c>
      <c r="BY698">
        <v>0</v>
      </c>
      <c r="BZ698">
        <v>0</v>
      </c>
      <c r="CA698">
        <v>0</v>
      </c>
      <c r="CB698" t="s">
        <v>145</v>
      </c>
    </row>
    <row r="699" spans="67:80" x14ac:dyDescent="0.25">
      <c r="BO699">
        <v>0</v>
      </c>
      <c r="BP699">
        <v>0</v>
      </c>
      <c r="BQ699">
        <v>0</v>
      </c>
      <c r="BR699">
        <v>0</v>
      </c>
      <c r="BS699">
        <v>0</v>
      </c>
      <c r="BT699">
        <v>0</v>
      </c>
      <c r="BU699">
        <v>0</v>
      </c>
      <c r="BV699">
        <v>0</v>
      </c>
      <c r="BW699" t="s">
        <v>0</v>
      </c>
      <c r="BX699">
        <v>0</v>
      </c>
      <c r="BY699">
        <v>0</v>
      </c>
      <c r="BZ699">
        <v>0</v>
      </c>
      <c r="CA699">
        <v>0</v>
      </c>
      <c r="CB699" t="s">
        <v>145</v>
      </c>
    </row>
    <row r="700" spans="67:80" x14ac:dyDescent="0.25">
      <c r="BO700">
        <v>0</v>
      </c>
      <c r="BP700">
        <v>0</v>
      </c>
      <c r="BQ700">
        <v>0</v>
      </c>
      <c r="BR700">
        <v>0</v>
      </c>
      <c r="BS700">
        <v>0</v>
      </c>
      <c r="BT700">
        <v>0</v>
      </c>
      <c r="BU700">
        <v>0</v>
      </c>
      <c r="BV700">
        <v>0</v>
      </c>
      <c r="BW700" t="s">
        <v>0</v>
      </c>
      <c r="BX700">
        <v>0</v>
      </c>
      <c r="BY700">
        <v>0</v>
      </c>
      <c r="BZ700">
        <v>0</v>
      </c>
      <c r="CA700">
        <v>0</v>
      </c>
      <c r="CB700" t="s">
        <v>145</v>
      </c>
    </row>
    <row r="701" spans="67:80" x14ac:dyDescent="0.25">
      <c r="BO701">
        <v>0</v>
      </c>
      <c r="BP701">
        <v>0</v>
      </c>
      <c r="BQ701">
        <v>0</v>
      </c>
      <c r="BR701">
        <v>0</v>
      </c>
      <c r="BS701">
        <v>0</v>
      </c>
      <c r="BT701">
        <v>0</v>
      </c>
      <c r="BU701">
        <v>0</v>
      </c>
      <c r="BV701">
        <v>0</v>
      </c>
      <c r="BW701" t="s">
        <v>0</v>
      </c>
      <c r="BX701">
        <v>0</v>
      </c>
      <c r="BY701">
        <v>0</v>
      </c>
      <c r="BZ701">
        <v>0</v>
      </c>
      <c r="CA701">
        <v>0</v>
      </c>
      <c r="CB701" t="s">
        <v>145</v>
      </c>
    </row>
    <row r="702" spans="67:80" x14ac:dyDescent="0.25">
      <c r="BO702">
        <v>0</v>
      </c>
      <c r="BP702">
        <v>0</v>
      </c>
      <c r="BQ702">
        <v>0</v>
      </c>
      <c r="BR702">
        <v>0</v>
      </c>
      <c r="BS702">
        <v>0</v>
      </c>
      <c r="BT702">
        <v>0</v>
      </c>
      <c r="BU702">
        <v>0</v>
      </c>
      <c r="BV702">
        <v>0</v>
      </c>
      <c r="BW702" t="s">
        <v>0</v>
      </c>
      <c r="BX702">
        <v>0</v>
      </c>
      <c r="BY702">
        <v>0</v>
      </c>
      <c r="BZ702">
        <v>0</v>
      </c>
      <c r="CA702">
        <v>0</v>
      </c>
      <c r="CB702" t="s">
        <v>145</v>
      </c>
    </row>
    <row r="703" spans="67:80" x14ac:dyDescent="0.25">
      <c r="BO703">
        <v>0</v>
      </c>
      <c r="BP703">
        <v>0</v>
      </c>
      <c r="BQ703">
        <v>0</v>
      </c>
      <c r="BR703">
        <v>0</v>
      </c>
      <c r="BS703">
        <v>0</v>
      </c>
      <c r="BT703">
        <v>0</v>
      </c>
      <c r="BU703">
        <v>0</v>
      </c>
      <c r="BV703">
        <v>0</v>
      </c>
      <c r="BW703" t="s">
        <v>0</v>
      </c>
      <c r="BX703">
        <v>0</v>
      </c>
      <c r="BY703">
        <v>0</v>
      </c>
      <c r="BZ703">
        <v>0</v>
      </c>
      <c r="CA703">
        <v>0</v>
      </c>
      <c r="CB703" t="s">
        <v>145</v>
      </c>
    </row>
    <row r="704" spans="67:80" x14ac:dyDescent="0.25">
      <c r="BO704">
        <v>0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0</v>
      </c>
      <c r="BV704">
        <v>0</v>
      </c>
      <c r="BW704" t="s">
        <v>0</v>
      </c>
      <c r="BX704">
        <v>0</v>
      </c>
      <c r="BY704">
        <v>0</v>
      </c>
      <c r="BZ704">
        <v>0</v>
      </c>
      <c r="CA704">
        <v>0</v>
      </c>
      <c r="CB704" t="s">
        <v>145</v>
      </c>
    </row>
    <row r="705" spans="67:80" x14ac:dyDescent="0.25">
      <c r="BO705">
        <v>0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0</v>
      </c>
      <c r="BW705" t="s">
        <v>0</v>
      </c>
      <c r="BX705">
        <v>0</v>
      </c>
      <c r="BY705">
        <v>0</v>
      </c>
      <c r="BZ705">
        <v>0</v>
      </c>
      <c r="CA705">
        <v>0</v>
      </c>
      <c r="CB705" t="s">
        <v>145</v>
      </c>
    </row>
    <row r="706" spans="67:80" x14ac:dyDescent="0.25">
      <c r="BO706">
        <v>0</v>
      </c>
      <c r="BP706">
        <v>0</v>
      </c>
      <c r="BQ706">
        <v>0</v>
      </c>
      <c r="BR706">
        <v>0</v>
      </c>
      <c r="BS706">
        <v>0</v>
      </c>
      <c r="BT706">
        <v>0</v>
      </c>
      <c r="BU706">
        <v>0</v>
      </c>
      <c r="BV706">
        <v>0</v>
      </c>
      <c r="BW706" t="s">
        <v>0</v>
      </c>
      <c r="BX706">
        <v>0</v>
      </c>
      <c r="BY706">
        <v>0</v>
      </c>
      <c r="BZ706">
        <v>0</v>
      </c>
      <c r="CA706">
        <v>0</v>
      </c>
      <c r="CB706" t="s">
        <v>145</v>
      </c>
    </row>
    <row r="707" spans="67:80" x14ac:dyDescent="0.25">
      <c r="BO707">
        <v>0</v>
      </c>
      <c r="BP707">
        <v>0</v>
      </c>
      <c r="BQ707">
        <v>0</v>
      </c>
      <c r="BR707">
        <v>0</v>
      </c>
      <c r="BS707">
        <v>0</v>
      </c>
      <c r="BT707">
        <v>0</v>
      </c>
      <c r="BU707">
        <v>0</v>
      </c>
      <c r="BV707">
        <v>0</v>
      </c>
      <c r="BW707" t="s">
        <v>0</v>
      </c>
      <c r="BX707">
        <v>0</v>
      </c>
      <c r="BY707">
        <v>0</v>
      </c>
      <c r="BZ707">
        <v>0</v>
      </c>
      <c r="CA707">
        <v>0</v>
      </c>
      <c r="CB707" t="s">
        <v>145</v>
      </c>
    </row>
    <row r="708" spans="67:80" x14ac:dyDescent="0.25">
      <c r="BO708">
        <v>0</v>
      </c>
      <c r="BP708">
        <v>0</v>
      </c>
      <c r="BQ708">
        <v>0</v>
      </c>
      <c r="BR708">
        <v>0</v>
      </c>
      <c r="BS708">
        <v>0</v>
      </c>
      <c r="BT708">
        <v>0</v>
      </c>
      <c r="BU708">
        <v>0</v>
      </c>
      <c r="BV708">
        <v>0</v>
      </c>
      <c r="BW708" t="s">
        <v>0</v>
      </c>
      <c r="BX708">
        <v>0</v>
      </c>
      <c r="BY708">
        <v>0</v>
      </c>
      <c r="BZ708">
        <v>0</v>
      </c>
      <c r="CA708">
        <v>0</v>
      </c>
      <c r="CB708" t="s">
        <v>145</v>
      </c>
    </row>
    <row r="709" spans="67:80" x14ac:dyDescent="0.25">
      <c r="BO709">
        <v>0</v>
      </c>
      <c r="BP709">
        <v>0</v>
      </c>
      <c r="BQ709">
        <v>0</v>
      </c>
      <c r="BR709">
        <v>0</v>
      </c>
      <c r="BS709">
        <v>0</v>
      </c>
      <c r="BT709">
        <v>0</v>
      </c>
      <c r="BU709">
        <v>0</v>
      </c>
      <c r="BV709">
        <v>0</v>
      </c>
      <c r="BW709" t="s">
        <v>0</v>
      </c>
      <c r="BX709">
        <v>0</v>
      </c>
      <c r="BY709">
        <v>0</v>
      </c>
      <c r="BZ709">
        <v>0</v>
      </c>
      <c r="CA709">
        <v>0</v>
      </c>
      <c r="CB709" t="s">
        <v>145</v>
      </c>
    </row>
    <row r="710" spans="67:80" x14ac:dyDescent="0.25">
      <c r="BO710">
        <v>0</v>
      </c>
      <c r="BP710">
        <v>0</v>
      </c>
      <c r="BQ710">
        <v>0</v>
      </c>
      <c r="BR710">
        <v>0</v>
      </c>
      <c r="BS710">
        <v>0</v>
      </c>
      <c r="BT710">
        <v>0</v>
      </c>
      <c r="BU710">
        <v>0</v>
      </c>
      <c r="BV710">
        <v>0</v>
      </c>
      <c r="BW710" t="s">
        <v>0</v>
      </c>
      <c r="BX710">
        <v>0</v>
      </c>
      <c r="BY710">
        <v>0</v>
      </c>
      <c r="BZ710">
        <v>0</v>
      </c>
      <c r="CA710">
        <v>0</v>
      </c>
      <c r="CB710" t="s">
        <v>145</v>
      </c>
    </row>
    <row r="711" spans="67:80" x14ac:dyDescent="0.25">
      <c r="BO711">
        <v>0</v>
      </c>
      <c r="BP711">
        <v>0</v>
      </c>
      <c r="BQ711">
        <v>0</v>
      </c>
      <c r="BR711">
        <v>0</v>
      </c>
      <c r="BS711">
        <v>0</v>
      </c>
      <c r="BT711">
        <v>0</v>
      </c>
      <c r="BU711">
        <v>0</v>
      </c>
      <c r="BV711">
        <v>0</v>
      </c>
      <c r="BW711" t="s">
        <v>0</v>
      </c>
      <c r="BX711">
        <v>0</v>
      </c>
      <c r="BY711">
        <v>0</v>
      </c>
      <c r="BZ711">
        <v>0</v>
      </c>
      <c r="CA711">
        <v>0</v>
      </c>
      <c r="CB711" t="s">
        <v>145</v>
      </c>
    </row>
    <row r="712" spans="67:80" x14ac:dyDescent="0.25"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 t="s">
        <v>0</v>
      </c>
      <c r="BX712">
        <v>0</v>
      </c>
      <c r="BY712">
        <v>0</v>
      </c>
      <c r="BZ712">
        <v>0</v>
      </c>
      <c r="CA712">
        <v>0</v>
      </c>
      <c r="CB712" t="s">
        <v>145</v>
      </c>
    </row>
    <row r="713" spans="67:80" x14ac:dyDescent="0.25">
      <c r="BO713">
        <v>0</v>
      </c>
      <c r="BP713">
        <v>0</v>
      </c>
      <c r="BQ713">
        <v>0</v>
      </c>
      <c r="BR713">
        <v>0</v>
      </c>
      <c r="BS713">
        <v>0</v>
      </c>
      <c r="BT713">
        <v>0</v>
      </c>
      <c r="BU713">
        <v>0</v>
      </c>
      <c r="BV713">
        <v>0</v>
      </c>
      <c r="BW713" t="s">
        <v>0</v>
      </c>
      <c r="BX713">
        <v>0</v>
      </c>
      <c r="BY713">
        <v>0</v>
      </c>
      <c r="BZ713">
        <v>0</v>
      </c>
      <c r="CA713">
        <v>0</v>
      </c>
      <c r="CB713" t="s">
        <v>145</v>
      </c>
    </row>
    <row r="714" spans="67:80" x14ac:dyDescent="0.25">
      <c r="BO714">
        <v>0</v>
      </c>
      <c r="BP714">
        <v>0</v>
      </c>
      <c r="BQ714">
        <v>0</v>
      </c>
      <c r="BR714">
        <v>0</v>
      </c>
      <c r="BS714">
        <v>0</v>
      </c>
      <c r="BT714">
        <v>0</v>
      </c>
      <c r="BU714">
        <v>0</v>
      </c>
      <c r="BV714">
        <v>0</v>
      </c>
      <c r="BW714" t="s">
        <v>0</v>
      </c>
      <c r="BX714">
        <v>0</v>
      </c>
      <c r="BY714">
        <v>0</v>
      </c>
      <c r="BZ714">
        <v>0</v>
      </c>
      <c r="CA714">
        <v>0</v>
      </c>
      <c r="CB714" t="s">
        <v>145</v>
      </c>
    </row>
    <row r="715" spans="67:80" x14ac:dyDescent="0.25">
      <c r="BO715">
        <v>0</v>
      </c>
      <c r="BP715">
        <v>0</v>
      </c>
      <c r="BQ715">
        <v>0</v>
      </c>
      <c r="BR715">
        <v>0</v>
      </c>
      <c r="BS715">
        <v>0</v>
      </c>
      <c r="BT715">
        <v>0</v>
      </c>
      <c r="BU715">
        <v>0</v>
      </c>
      <c r="BV715">
        <v>0</v>
      </c>
      <c r="BW715" t="s">
        <v>0</v>
      </c>
      <c r="BX715">
        <v>0</v>
      </c>
      <c r="BY715">
        <v>0</v>
      </c>
      <c r="BZ715">
        <v>0</v>
      </c>
      <c r="CA715">
        <v>0</v>
      </c>
      <c r="CB715" t="s">
        <v>145</v>
      </c>
    </row>
    <row r="716" spans="67:80" x14ac:dyDescent="0.25">
      <c r="BO716">
        <v>0</v>
      </c>
      <c r="BP716">
        <v>0</v>
      </c>
      <c r="BQ716">
        <v>0</v>
      </c>
      <c r="BR716">
        <v>0</v>
      </c>
      <c r="BS716">
        <v>0</v>
      </c>
      <c r="BT716">
        <v>0</v>
      </c>
      <c r="BU716">
        <v>0</v>
      </c>
      <c r="BV716">
        <v>0</v>
      </c>
      <c r="BW716" t="s">
        <v>0</v>
      </c>
      <c r="BX716">
        <v>0</v>
      </c>
      <c r="BY716">
        <v>0</v>
      </c>
      <c r="BZ716">
        <v>0</v>
      </c>
      <c r="CA716">
        <v>0</v>
      </c>
      <c r="CB716" t="s">
        <v>145</v>
      </c>
    </row>
    <row r="717" spans="67:80" x14ac:dyDescent="0.25">
      <c r="BO717">
        <v>0</v>
      </c>
      <c r="BP717">
        <v>0</v>
      </c>
      <c r="BQ717">
        <v>0</v>
      </c>
      <c r="BR717">
        <v>0</v>
      </c>
      <c r="BS717">
        <v>0</v>
      </c>
      <c r="BT717">
        <v>0</v>
      </c>
      <c r="BU717">
        <v>0</v>
      </c>
      <c r="BV717">
        <v>0</v>
      </c>
      <c r="BW717" t="s">
        <v>0</v>
      </c>
      <c r="BX717">
        <v>0</v>
      </c>
      <c r="BY717">
        <v>0</v>
      </c>
      <c r="BZ717">
        <v>0</v>
      </c>
      <c r="CA717">
        <v>0</v>
      </c>
      <c r="CB717" t="s">
        <v>145</v>
      </c>
    </row>
    <row r="718" spans="67:80" x14ac:dyDescent="0.25">
      <c r="BO718">
        <v>0</v>
      </c>
      <c r="BP718">
        <v>0</v>
      </c>
      <c r="BQ718">
        <v>0</v>
      </c>
      <c r="BR718">
        <v>0</v>
      </c>
      <c r="BS718">
        <v>0</v>
      </c>
      <c r="BT718">
        <v>0</v>
      </c>
      <c r="BU718">
        <v>0</v>
      </c>
      <c r="BV718">
        <v>0</v>
      </c>
      <c r="BW718" t="s">
        <v>0</v>
      </c>
      <c r="BX718">
        <v>0</v>
      </c>
      <c r="BY718">
        <v>0</v>
      </c>
      <c r="BZ718">
        <v>0</v>
      </c>
      <c r="CA718">
        <v>0</v>
      </c>
      <c r="CB718" t="s">
        <v>145</v>
      </c>
    </row>
    <row r="719" spans="67:80" x14ac:dyDescent="0.25">
      <c r="BO719">
        <v>0</v>
      </c>
      <c r="BP719">
        <v>0</v>
      </c>
      <c r="BQ719">
        <v>0</v>
      </c>
      <c r="BR719">
        <v>0</v>
      </c>
      <c r="BS719">
        <v>0</v>
      </c>
      <c r="BT719">
        <v>0</v>
      </c>
      <c r="BU719">
        <v>0</v>
      </c>
      <c r="BV719">
        <v>0</v>
      </c>
      <c r="BW719" t="s">
        <v>0</v>
      </c>
      <c r="BX719">
        <v>0</v>
      </c>
      <c r="BY719">
        <v>0</v>
      </c>
      <c r="BZ719">
        <v>0</v>
      </c>
      <c r="CA719">
        <v>0</v>
      </c>
      <c r="CB719" t="s">
        <v>145</v>
      </c>
    </row>
    <row r="720" spans="67:80" x14ac:dyDescent="0.25">
      <c r="BO720">
        <v>0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0</v>
      </c>
      <c r="BV720">
        <v>0</v>
      </c>
      <c r="BW720" t="s">
        <v>0</v>
      </c>
      <c r="BX720">
        <v>0</v>
      </c>
      <c r="BY720">
        <v>0</v>
      </c>
      <c r="BZ720">
        <v>0</v>
      </c>
      <c r="CA720">
        <v>0</v>
      </c>
      <c r="CB720" t="s">
        <v>145</v>
      </c>
    </row>
    <row r="721" spans="67:80" x14ac:dyDescent="0.25">
      <c r="BO721">
        <v>0</v>
      </c>
      <c r="BP721">
        <v>0</v>
      </c>
      <c r="BQ721">
        <v>0</v>
      </c>
      <c r="BR721">
        <v>0</v>
      </c>
      <c r="BS721">
        <v>0</v>
      </c>
      <c r="BT721">
        <v>0</v>
      </c>
      <c r="BU721">
        <v>0</v>
      </c>
      <c r="BV721">
        <v>0</v>
      </c>
      <c r="BW721" t="s">
        <v>0</v>
      </c>
      <c r="BX721">
        <v>0</v>
      </c>
      <c r="BY721">
        <v>0</v>
      </c>
      <c r="BZ721">
        <v>0</v>
      </c>
      <c r="CA721">
        <v>0</v>
      </c>
      <c r="CB721" t="s">
        <v>145</v>
      </c>
    </row>
    <row r="722" spans="67:80" x14ac:dyDescent="0.25">
      <c r="BO722">
        <v>0</v>
      </c>
      <c r="BP722">
        <v>0</v>
      </c>
      <c r="BQ722">
        <v>0</v>
      </c>
      <c r="BR722">
        <v>0</v>
      </c>
      <c r="BS722">
        <v>0</v>
      </c>
      <c r="BT722">
        <v>0</v>
      </c>
      <c r="BU722">
        <v>0</v>
      </c>
      <c r="BV722">
        <v>0</v>
      </c>
      <c r="BW722" t="s">
        <v>0</v>
      </c>
      <c r="BX722">
        <v>0</v>
      </c>
      <c r="BY722">
        <v>0</v>
      </c>
      <c r="BZ722">
        <v>0</v>
      </c>
      <c r="CA722">
        <v>0</v>
      </c>
      <c r="CB722" t="s">
        <v>145</v>
      </c>
    </row>
    <row r="723" spans="67:80" x14ac:dyDescent="0.25">
      <c r="BO723">
        <v>0</v>
      </c>
      <c r="BP723">
        <v>0</v>
      </c>
      <c r="BQ723">
        <v>0</v>
      </c>
      <c r="BR723">
        <v>0</v>
      </c>
      <c r="BS723">
        <v>0</v>
      </c>
      <c r="BT723">
        <v>0</v>
      </c>
      <c r="BU723">
        <v>0</v>
      </c>
      <c r="BV723">
        <v>0</v>
      </c>
      <c r="BW723" t="s">
        <v>0</v>
      </c>
      <c r="BX723">
        <v>0</v>
      </c>
      <c r="BY723">
        <v>0</v>
      </c>
      <c r="BZ723">
        <v>0</v>
      </c>
      <c r="CA723">
        <v>0</v>
      </c>
      <c r="CB723" t="s">
        <v>145</v>
      </c>
    </row>
    <row r="724" spans="67:80" x14ac:dyDescent="0.25">
      <c r="BO724">
        <v>0</v>
      </c>
      <c r="BP724">
        <v>0</v>
      </c>
      <c r="BQ724">
        <v>0</v>
      </c>
      <c r="BR724">
        <v>0</v>
      </c>
      <c r="BS724">
        <v>0</v>
      </c>
      <c r="BT724">
        <v>0</v>
      </c>
      <c r="BU724">
        <v>0</v>
      </c>
      <c r="BV724">
        <v>0</v>
      </c>
      <c r="BW724" t="s">
        <v>0</v>
      </c>
      <c r="BX724">
        <v>0</v>
      </c>
      <c r="BY724">
        <v>0</v>
      </c>
      <c r="BZ724">
        <v>0</v>
      </c>
      <c r="CA724">
        <v>0</v>
      </c>
      <c r="CB724" t="s">
        <v>145</v>
      </c>
    </row>
    <row r="725" spans="67:80" x14ac:dyDescent="0.25"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 t="s">
        <v>0</v>
      </c>
      <c r="BX725">
        <v>0</v>
      </c>
      <c r="BY725">
        <v>0</v>
      </c>
      <c r="BZ725">
        <v>0</v>
      </c>
      <c r="CA725">
        <v>0</v>
      </c>
      <c r="CB725" t="s">
        <v>145</v>
      </c>
    </row>
    <row r="726" spans="67:80" x14ac:dyDescent="0.25">
      <c r="BO726">
        <v>0</v>
      </c>
      <c r="BP726">
        <v>0</v>
      </c>
      <c r="BQ726">
        <v>0</v>
      </c>
      <c r="BR726">
        <v>0</v>
      </c>
      <c r="BS726">
        <v>0</v>
      </c>
      <c r="BT726">
        <v>0</v>
      </c>
      <c r="BU726">
        <v>0</v>
      </c>
      <c r="BV726">
        <v>0</v>
      </c>
      <c r="BW726" t="s">
        <v>0</v>
      </c>
      <c r="BX726">
        <v>0</v>
      </c>
      <c r="BY726">
        <v>0</v>
      </c>
      <c r="BZ726">
        <v>0</v>
      </c>
      <c r="CA726">
        <v>0</v>
      </c>
      <c r="CB726" t="s">
        <v>145</v>
      </c>
    </row>
    <row r="727" spans="67:80" x14ac:dyDescent="0.25">
      <c r="BO727">
        <v>0</v>
      </c>
      <c r="BP727">
        <v>0</v>
      </c>
      <c r="BQ727">
        <v>0</v>
      </c>
      <c r="BR727">
        <v>0</v>
      </c>
      <c r="BS727">
        <v>0</v>
      </c>
      <c r="BT727">
        <v>0</v>
      </c>
      <c r="BU727">
        <v>0</v>
      </c>
      <c r="BV727">
        <v>0</v>
      </c>
      <c r="BW727" t="s">
        <v>0</v>
      </c>
      <c r="BX727">
        <v>0</v>
      </c>
      <c r="BY727">
        <v>0</v>
      </c>
      <c r="BZ727">
        <v>0</v>
      </c>
      <c r="CA727">
        <v>0</v>
      </c>
      <c r="CB727" t="s">
        <v>145</v>
      </c>
    </row>
    <row r="728" spans="67:80" x14ac:dyDescent="0.25">
      <c r="BO728">
        <v>0</v>
      </c>
      <c r="BP728">
        <v>0</v>
      </c>
      <c r="BQ728">
        <v>0</v>
      </c>
      <c r="BR728">
        <v>0</v>
      </c>
      <c r="BS728">
        <v>0</v>
      </c>
      <c r="BT728">
        <v>0</v>
      </c>
      <c r="BU728">
        <v>0</v>
      </c>
      <c r="BV728">
        <v>0</v>
      </c>
      <c r="BW728" t="s">
        <v>0</v>
      </c>
      <c r="BX728">
        <v>0</v>
      </c>
      <c r="BY728">
        <v>0</v>
      </c>
      <c r="BZ728">
        <v>0</v>
      </c>
      <c r="CA728">
        <v>0</v>
      </c>
      <c r="CB728" t="s">
        <v>145</v>
      </c>
    </row>
    <row r="729" spans="67:80" x14ac:dyDescent="0.25">
      <c r="BO729">
        <v>0</v>
      </c>
      <c r="BP729">
        <v>0</v>
      </c>
      <c r="BQ729">
        <v>0</v>
      </c>
      <c r="BR729">
        <v>0</v>
      </c>
      <c r="BS729">
        <v>0</v>
      </c>
      <c r="BT729">
        <v>0</v>
      </c>
      <c r="BU729">
        <v>0</v>
      </c>
      <c r="BV729">
        <v>0</v>
      </c>
      <c r="BW729" t="s">
        <v>0</v>
      </c>
      <c r="BX729">
        <v>0</v>
      </c>
      <c r="BY729">
        <v>0</v>
      </c>
      <c r="BZ729">
        <v>0</v>
      </c>
      <c r="CA729">
        <v>0</v>
      </c>
      <c r="CB729" t="s">
        <v>145</v>
      </c>
    </row>
    <row r="730" spans="67:80" x14ac:dyDescent="0.25">
      <c r="BO730">
        <v>0</v>
      </c>
      <c r="BP730">
        <v>0</v>
      </c>
      <c r="BQ730">
        <v>0</v>
      </c>
      <c r="BR730">
        <v>0</v>
      </c>
      <c r="BS730">
        <v>0</v>
      </c>
      <c r="BT730">
        <v>0</v>
      </c>
      <c r="BU730">
        <v>0</v>
      </c>
      <c r="BV730">
        <v>0</v>
      </c>
      <c r="BW730" t="s">
        <v>0</v>
      </c>
      <c r="BX730">
        <v>0</v>
      </c>
      <c r="BY730">
        <v>0</v>
      </c>
      <c r="BZ730">
        <v>0</v>
      </c>
      <c r="CA730">
        <v>0</v>
      </c>
      <c r="CB730" t="s">
        <v>145</v>
      </c>
    </row>
    <row r="731" spans="67:80" x14ac:dyDescent="0.25">
      <c r="BO731">
        <v>0</v>
      </c>
      <c r="BP731">
        <v>0</v>
      </c>
      <c r="BQ731">
        <v>0</v>
      </c>
      <c r="BR731">
        <v>0</v>
      </c>
      <c r="BS731">
        <v>0</v>
      </c>
      <c r="BT731">
        <v>0</v>
      </c>
      <c r="BU731">
        <v>0</v>
      </c>
      <c r="BV731">
        <v>0</v>
      </c>
      <c r="BW731" t="s">
        <v>0</v>
      </c>
      <c r="BX731">
        <v>0</v>
      </c>
      <c r="BY731">
        <v>0</v>
      </c>
      <c r="BZ731">
        <v>0</v>
      </c>
      <c r="CA731">
        <v>0</v>
      </c>
      <c r="CB731" t="s">
        <v>145</v>
      </c>
    </row>
    <row r="732" spans="67:80" x14ac:dyDescent="0.25">
      <c r="BO732">
        <v>0</v>
      </c>
      <c r="BP732">
        <v>0</v>
      </c>
      <c r="BQ732">
        <v>0</v>
      </c>
      <c r="BR732">
        <v>0</v>
      </c>
      <c r="BS732">
        <v>0</v>
      </c>
      <c r="BT732">
        <v>0</v>
      </c>
      <c r="BU732">
        <v>0</v>
      </c>
      <c r="BV732">
        <v>0</v>
      </c>
      <c r="BW732" t="s">
        <v>0</v>
      </c>
      <c r="BX732">
        <v>0</v>
      </c>
      <c r="BY732">
        <v>0</v>
      </c>
      <c r="BZ732">
        <v>0</v>
      </c>
      <c r="CA732">
        <v>0</v>
      </c>
      <c r="CB732" t="s">
        <v>145</v>
      </c>
    </row>
    <row r="733" spans="67:80" x14ac:dyDescent="0.25">
      <c r="BO733">
        <v>0</v>
      </c>
      <c r="BP733">
        <v>0</v>
      </c>
      <c r="BQ733">
        <v>0</v>
      </c>
      <c r="BR733">
        <v>0</v>
      </c>
      <c r="BS733">
        <v>0</v>
      </c>
      <c r="BT733">
        <v>0</v>
      </c>
      <c r="BU733">
        <v>0</v>
      </c>
      <c r="BV733">
        <v>0</v>
      </c>
      <c r="BW733" t="s">
        <v>0</v>
      </c>
      <c r="BX733">
        <v>0</v>
      </c>
      <c r="BY733">
        <v>0</v>
      </c>
      <c r="BZ733">
        <v>0</v>
      </c>
      <c r="CA733">
        <v>0</v>
      </c>
      <c r="CB733" t="s">
        <v>145</v>
      </c>
    </row>
    <row r="734" spans="67:80" x14ac:dyDescent="0.25">
      <c r="BO734">
        <v>0</v>
      </c>
      <c r="BP734">
        <v>0</v>
      </c>
      <c r="BQ734">
        <v>0</v>
      </c>
      <c r="BR734">
        <v>0</v>
      </c>
      <c r="BS734">
        <v>0</v>
      </c>
      <c r="BT734">
        <v>0</v>
      </c>
      <c r="BU734">
        <v>0</v>
      </c>
      <c r="BV734">
        <v>0</v>
      </c>
      <c r="BW734" t="s">
        <v>0</v>
      </c>
      <c r="BX734">
        <v>0</v>
      </c>
      <c r="BY734">
        <v>0</v>
      </c>
      <c r="BZ734">
        <v>0</v>
      </c>
      <c r="CA734">
        <v>0</v>
      </c>
      <c r="CB734" t="s">
        <v>145</v>
      </c>
    </row>
    <row r="735" spans="67:80" x14ac:dyDescent="0.25">
      <c r="BO735">
        <v>0</v>
      </c>
      <c r="BP735">
        <v>0</v>
      </c>
      <c r="BQ735">
        <v>0</v>
      </c>
      <c r="BR735">
        <v>0</v>
      </c>
      <c r="BS735">
        <v>0</v>
      </c>
      <c r="BT735">
        <v>0</v>
      </c>
      <c r="BU735">
        <v>0</v>
      </c>
      <c r="BV735">
        <v>0</v>
      </c>
      <c r="BW735" t="s">
        <v>0</v>
      </c>
      <c r="BX735">
        <v>0</v>
      </c>
      <c r="BY735">
        <v>0</v>
      </c>
      <c r="BZ735">
        <v>0</v>
      </c>
      <c r="CA735">
        <v>0</v>
      </c>
      <c r="CB735" t="s">
        <v>145</v>
      </c>
    </row>
    <row r="736" spans="67:80" x14ac:dyDescent="0.25">
      <c r="BO736">
        <v>0</v>
      </c>
      <c r="BP736">
        <v>0</v>
      </c>
      <c r="BQ736">
        <v>0</v>
      </c>
      <c r="BR736">
        <v>0</v>
      </c>
      <c r="BS736">
        <v>0</v>
      </c>
      <c r="BT736">
        <v>0</v>
      </c>
      <c r="BU736">
        <v>0</v>
      </c>
      <c r="BV736">
        <v>0</v>
      </c>
      <c r="BW736" t="s">
        <v>0</v>
      </c>
      <c r="BX736">
        <v>0</v>
      </c>
      <c r="BY736">
        <v>0</v>
      </c>
      <c r="BZ736">
        <v>0</v>
      </c>
      <c r="CA736">
        <v>0</v>
      </c>
      <c r="CB736" t="s">
        <v>145</v>
      </c>
    </row>
    <row r="737" spans="67:80" x14ac:dyDescent="0.25">
      <c r="BO737">
        <v>0</v>
      </c>
      <c r="BP737">
        <v>0</v>
      </c>
      <c r="BQ737">
        <v>0</v>
      </c>
      <c r="BR737">
        <v>0</v>
      </c>
      <c r="BS737">
        <v>0</v>
      </c>
      <c r="BT737">
        <v>0</v>
      </c>
      <c r="BU737">
        <v>0</v>
      </c>
      <c r="BV737">
        <v>0</v>
      </c>
      <c r="BW737" t="s">
        <v>0</v>
      </c>
      <c r="BX737">
        <v>0</v>
      </c>
      <c r="BY737">
        <v>0</v>
      </c>
      <c r="BZ737">
        <v>0</v>
      </c>
      <c r="CA737">
        <v>0</v>
      </c>
      <c r="CB737" t="s">
        <v>145</v>
      </c>
    </row>
    <row r="738" spans="67:80" x14ac:dyDescent="0.25">
      <c r="BO738">
        <v>0</v>
      </c>
      <c r="BP738">
        <v>0</v>
      </c>
      <c r="BQ738">
        <v>0</v>
      </c>
      <c r="BR738">
        <v>0</v>
      </c>
      <c r="BS738">
        <v>0</v>
      </c>
      <c r="BT738">
        <v>0</v>
      </c>
      <c r="BU738">
        <v>0</v>
      </c>
      <c r="BV738">
        <v>0</v>
      </c>
      <c r="BW738" t="s">
        <v>0</v>
      </c>
      <c r="BX738">
        <v>0</v>
      </c>
      <c r="BY738">
        <v>0</v>
      </c>
      <c r="BZ738">
        <v>0</v>
      </c>
      <c r="CA738">
        <v>0</v>
      </c>
      <c r="CB738" t="s">
        <v>145</v>
      </c>
    </row>
    <row r="739" spans="67:80" x14ac:dyDescent="0.25">
      <c r="BO739">
        <v>0</v>
      </c>
      <c r="BP739">
        <v>0</v>
      </c>
      <c r="BQ739">
        <v>0</v>
      </c>
      <c r="BR739">
        <v>0</v>
      </c>
      <c r="BS739">
        <v>0</v>
      </c>
      <c r="BT739">
        <v>0</v>
      </c>
      <c r="BU739">
        <v>0</v>
      </c>
      <c r="BV739">
        <v>0</v>
      </c>
      <c r="BW739" t="s">
        <v>0</v>
      </c>
      <c r="BX739">
        <v>0</v>
      </c>
      <c r="BY739">
        <v>0</v>
      </c>
      <c r="BZ739">
        <v>0</v>
      </c>
      <c r="CA739">
        <v>0</v>
      </c>
      <c r="CB739" t="s">
        <v>145</v>
      </c>
    </row>
    <row r="740" spans="67:80" x14ac:dyDescent="0.25">
      <c r="BO740">
        <v>0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0</v>
      </c>
      <c r="BW740" t="s">
        <v>0</v>
      </c>
      <c r="BX740">
        <v>0</v>
      </c>
      <c r="BY740">
        <v>0</v>
      </c>
      <c r="BZ740">
        <v>0</v>
      </c>
      <c r="CA740">
        <v>0</v>
      </c>
      <c r="CB740" t="s">
        <v>145</v>
      </c>
    </row>
    <row r="741" spans="67:80" x14ac:dyDescent="0.25">
      <c r="BO741">
        <v>0</v>
      </c>
      <c r="BP741">
        <v>0</v>
      </c>
      <c r="BQ741">
        <v>0</v>
      </c>
      <c r="BR741">
        <v>0</v>
      </c>
      <c r="BS741">
        <v>0</v>
      </c>
      <c r="BT741">
        <v>0</v>
      </c>
      <c r="BU741">
        <v>0</v>
      </c>
      <c r="BV741">
        <v>0</v>
      </c>
      <c r="BW741" t="s">
        <v>0</v>
      </c>
      <c r="BX741">
        <v>0</v>
      </c>
      <c r="BY741">
        <v>0</v>
      </c>
      <c r="BZ741">
        <v>0</v>
      </c>
      <c r="CA741">
        <v>0</v>
      </c>
      <c r="CB741" t="s">
        <v>145</v>
      </c>
    </row>
    <row r="742" spans="67:80" x14ac:dyDescent="0.25">
      <c r="BO742">
        <v>0</v>
      </c>
      <c r="BP742">
        <v>0</v>
      </c>
      <c r="BQ742">
        <v>0</v>
      </c>
      <c r="BR742">
        <v>0</v>
      </c>
      <c r="BS742">
        <v>0</v>
      </c>
      <c r="BT742">
        <v>0</v>
      </c>
      <c r="BU742">
        <v>0</v>
      </c>
      <c r="BV742">
        <v>0</v>
      </c>
      <c r="BW742" t="s">
        <v>0</v>
      </c>
      <c r="BX742">
        <v>0</v>
      </c>
      <c r="BY742">
        <v>0</v>
      </c>
      <c r="BZ742">
        <v>0</v>
      </c>
      <c r="CA742">
        <v>0</v>
      </c>
      <c r="CB742" t="s">
        <v>145</v>
      </c>
    </row>
    <row r="743" spans="67:80" x14ac:dyDescent="0.25">
      <c r="BO743">
        <v>0</v>
      </c>
      <c r="BP743">
        <v>0</v>
      </c>
      <c r="BQ743">
        <v>0</v>
      </c>
      <c r="BR743">
        <v>0</v>
      </c>
      <c r="BS743">
        <v>0</v>
      </c>
      <c r="BT743">
        <v>0</v>
      </c>
      <c r="BU743">
        <v>0</v>
      </c>
      <c r="BV743">
        <v>0</v>
      </c>
      <c r="BW743" t="s">
        <v>0</v>
      </c>
      <c r="BX743">
        <v>0</v>
      </c>
      <c r="BY743">
        <v>0</v>
      </c>
      <c r="BZ743">
        <v>0</v>
      </c>
      <c r="CA743">
        <v>0</v>
      </c>
      <c r="CB743" t="s">
        <v>145</v>
      </c>
    </row>
    <row r="744" spans="67:80" x14ac:dyDescent="0.25">
      <c r="BO744">
        <v>0</v>
      </c>
      <c r="BP744">
        <v>0</v>
      </c>
      <c r="BQ744">
        <v>0</v>
      </c>
      <c r="BR744">
        <v>0</v>
      </c>
      <c r="BS744">
        <v>0</v>
      </c>
      <c r="BT744">
        <v>0</v>
      </c>
      <c r="BU744">
        <v>0</v>
      </c>
      <c r="BV744">
        <v>0</v>
      </c>
      <c r="BW744" t="s">
        <v>0</v>
      </c>
      <c r="BX744">
        <v>0</v>
      </c>
      <c r="BY744">
        <v>0</v>
      </c>
      <c r="BZ744">
        <v>0</v>
      </c>
      <c r="CA744">
        <v>0</v>
      </c>
      <c r="CB744" t="s">
        <v>145</v>
      </c>
    </row>
    <row r="745" spans="67:80" x14ac:dyDescent="0.25">
      <c r="BO745">
        <v>0</v>
      </c>
      <c r="BP745">
        <v>0</v>
      </c>
      <c r="BQ745">
        <v>0</v>
      </c>
      <c r="BR745">
        <v>0</v>
      </c>
      <c r="BS745">
        <v>0</v>
      </c>
      <c r="BT745">
        <v>0</v>
      </c>
      <c r="BU745">
        <v>0</v>
      </c>
      <c r="BV745">
        <v>0</v>
      </c>
      <c r="BW745" t="s">
        <v>0</v>
      </c>
      <c r="BX745">
        <v>0</v>
      </c>
      <c r="BY745">
        <v>0</v>
      </c>
      <c r="BZ745">
        <v>0</v>
      </c>
      <c r="CA745">
        <v>0</v>
      </c>
      <c r="CB745" t="s">
        <v>145</v>
      </c>
    </row>
    <row r="746" spans="67:80" x14ac:dyDescent="0.25">
      <c r="BO746">
        <v>0</v>
      </c>
      <c r="BP746">
        <v>0</v>
      </c>
      <c r="BQ746">
        <v>0</v>
      </c>
      <c r="BR746">
        <v>0</v>
      </c>
      <c r="BS746">
        <v>0</v>
      </c>
      <c r="BT746">
        <v>0</v>
      </c>
      <c r="BU746">
        <v>0</v>
      </c>
      <c r="BV746">
        <v>0</v>
      </c>
      <c r="BW746" t="s">
        <v>0</v>
      </c>
      <c r="BX746">
        <v>0</v>
      </c>
      <c r="BY746">
        <v>0</v>
      </c>
      <c r="BZ746">
        <v>0</v>
      </c>
      <c r="CA746">
        <v>0</v>
      </c>
      <c r="CB746" t="s">
        <v>145</v>
      </c>
    </row>
    <row r="747" spans="67:80" x14ac:dyDescent="0.25">
      <c r="BO747">
        <v>0</v>
      </c>
      <c r="BP747">
        <v>0</v>
      </c>
      <c r="BQ747">
        <v>0</v>
      </c>
      <c r="BR747">
        <v>0</v>
      </c>
      <c r="BS747">
        <v>0</v>
      </c>
      <c r="BT747">
        <v>0</v>
      </c>
      <c r="BU747">
        <v>0</v>
      </c>
      <c r="BV747">
        <v>0</v>
      </c>
      <c r="BW747" t="s">
        <v>0</v>
      </c>
      <c r="BX747">
        <v>0</v>
      </c>
      <c r="BY747">
        <v>0</v>
      </c>
      <c r="BZ747">
        <v>0</v>
      </c>
      <c r="CA747">
        <v>0</v>
      </c>
      <c r="CB747" t="s">
        <v>145</v>
      </c>
    </row>
    <row r="748" spans="67:80" x14ac:dyDescent="0.25">
      <c r="BO748">
        <v>0</v>
      </c>
      <c r="BP748">
        <v>0</v>
      </c>
      <c r="BQ748">
        <v>0</v>
      </c>
      <c r="BR748">
        <v>0</v>
      </c>
      <c r="BS748">
        <v>0</v>
      </c>
      <c r="BT748">
        <v>0</v>
      </c>
      <c r="BU748">
        <v>0</v>
      </c>
      <c r="BV748">
        <v>0</v>
      </c>
      <c r="BW748" t="s">
        <v>0</v>
      </c>
      <c r="BX748">
        <v>0</v>
      </c>
      <c r="BY748">
        <v>0</v>
      </c>
      <c r="BZ748">
        <v>0</v>
      </c>
      <c r="CA748">
        <v>0</v>
      </c>
      <c r="CB748" t="s">
        <v>145</v>
      </c>
    </row>
    <row r="749" spans="67:80" x14ac:dyDescent="0.25">
      <c r="BO749">
        <v>0</v>
      </c>
      <c r="BP749">
        <v>0</v>
      </c>
      <c r="BQ749">
        <v>0</v>
      </c>
      <c r="BR749">
        <v>0</v>
      </c>
      <c r="BS749">
        <v>0</v>
      </c>
      <c r="BT749">
        <v>0</v>
      </c>
      <c r="BU749">
        <v>0</v>
      </c>
      <c r="BV749">
        <v>0</v>
      </c>
      <c r="BW749" t="s">
        <v>0</v>
      </c>
      <c r="BX749">
        <v>0</v>
      </c>
      <c r="BY749">
        <v>0</v>
      </c>
      <c r="BZ749">
        <v>0</v>
      </c>
      <c r="CA749">
        <v>0</v>
      </c>
      <c r="CB749" t="s">
        <v>145</v>
      </c>
    </row>
    <row r="750" spans="67:80" x14ac:dyDescent="0.25">
      <c r="BO750">
        <v>0</v>
      </c>
      <c r="BP750">
        <v>0</v>
      </c>
      <c r="BQ750">
        <v>0</v>
      </c>
      <c r="BR750">
        <v>0</v>
      </c>
      <c r="BS750">
        <v>0</v>
      </c>
      <c r="BT750">
        <v>0</v>
      </c>
      <c r="BU750">
        <v>0</v>
      </c>
      <c r="BV750">
        <v>0</v>
      </c>
      <c r="BW750" t="s">
        <v>0</v>
      </c>
      <c r="BX750">
        <v>0</v>
      </c>
      <c r="BY750">
        <v>0</v>
      </c>
      <c r="BZ750">
        <v>0</v>
      </c>
      <c r="CA750">
        <v>0</v>
      </c>
      <c r="CB750" t="s">
        <v>145</v>
      </c>
    </row>
    <row r="751" spans="67:80" x14ac:dyDescent="0.25">
      <c r="BO751">
        <v>0</v>
      </c>
      <c r="BP751">
        <v>0</v>
      </c>
      <c r="BQ751">
        <v>0</v>
      </c>
      <c r="BR751">
        <v>0</v>
      </c>
      <c r="BS751">
        <v>0</v>
      </c>
      <c r="BT751">
        <v>0</v>
      </c>
      <c r="BU751">
        <v>0</v>
      </c>
      <c r="BV751">
        <v>0</v>
      </c>
      <c r="BW751" t="s">
        <v>0</v>
      </c>
      <c r="BX751">
        <v>0</v>
      </c>
      <c r="BY751">
        <v>0</v>
      </c>
      <c r="BZ751">
        <v>0</v>
      </c>
      <c r="CA751">
        <v>0</v>
      </c>
      <c r="CB751" t="s">
        <v>145</v>
      </c>
    </row>
    <row r="752" spans="67:80" x14ac:dyDescent="0.25">
      <c r="BO752">
        <v>0</v>
      </c>
      <c r="BP752">
        <v>0</v>
      </c>
      <c r="BQ752">
        <v>0</v>
      </c>
      <c r="BR752">
        <v>0</v>
      </c>
      <c r="BS752">
        <v>0</v>
      </c>
      <c r="BT752">
        <v>0</v>
      </c>
      <c r="BU752">
        <v>0</v>
      </c>
      <c r="BV752">
        <v>0</v>
      </c>
      <c r="BW752" t="s">
        <v>0</v>
      </c>
      <c r="BX752">
        <v>0</v>
      </c>
      <c r="BY752">
        <v>0</v>
      </c>
      <c r="BZ752">
        <v>0</v>
      </c>
      <c r="CA752">
        <v>0</v>
      </c>
      <c r="CB752" t="s">
        <v>145</v>
      </c>
    </row>
    <row r="753" spans="67:80" x14ac:dyDescent="0.25">
      <c r="BO753">
        <v>0</v>
      </c>
      <c r="BP753">
        <v>0</v>
      </c>
      <c r="BQ753">
        <v>0</v>
      </c>
      <c r="BR753">
        <v>0</v>
      </c>
      <c r="BS753">
        <v>0</v>
      </c>
      <c r="BT753">
        <v>0</v>
      </c>
      <c r="BU753">
        <v>0</v>
      </c>
      <c r="BV753">
        <v>0</v>
      </c>
      <c r="BW753" t="s">
        <v>0</v>
      </c>
      <c r="BX753">
        <v>0</v>
      </c>
      <c r="BY753">
        <v>0</v>
      </c>
      <c r="BZ753">
        <v>0</v>
      </c>
      <c r="CA753">
        <v>0</v>
      </c>
      <c r="CB753" t="s">
        <v>145</v>
      </c>
    </row>
    <row r="754" spans="67:80" x14ac:dyDescent="0.25">
      <c r="BO754">
        <v>0</v>
      </c>
      <c r="BP754">
        <v>0</v>
      </c>
      <c r="BQ754">
        <v>0</v>
      </c>
      <c r="BR754">
        <v>0</v>
      </c>
      <c r="BS754">
        <v>0</v>
      </c>
      <c r="BT754">
        <v>0</v>
      </c>
      <c r="BU754">
        <v>0</v>
      </c>
      <c r="BV754">
        <v>0</v>
      </c>
      <c r="BW754" t="s">
        <v>0</v>
      </c>
      <c r="BX754">
        <v>0</v>
      </c>
      <c r="BY754">
        <v>0</v>
      </c>
      <c r="BZ754">
        <v>0</v>
      </c>
      <c r="CA754">
        <v>0</v>
      </c>
      <c r="CB754" t="s">
        <v>145</v>
      </c>
    </row>
    <row r="755" spans="67:80" x14ac:dyDescent="0.25">
      <c r="BO755">
        <v>0</v>
      </c>
      <c r="BP755">
        <v>0</v>
      </c>
      <c r="BQ755">
        <v>0</v>
      </c>
      <c r="BR755">
        <v>0</v>
      </c>
      <c r="BS755">
        <v>0</v>
      </c>
      <c r="BT755">
        <v>0</v>
      </c>
      <c r="BU755">
        <v>0</v>
      </c>
      <c r="BV755">
        <v>0</v>
      </c>
      <c r="BW755" t="s">
        <v>0</v>
      </c>
      <c r="BX755">
        <v>0</v>
      </c>
      <c r="BY755">
        <v>0</v>
      </c>
      <c r="BZ755">
        <v>0</v>
      </c>
      <c r="CA755">
        <v>0</v>
      </c>
      <c r="CB755" t="s">
        <v>145</v>
      </c>
    </row>
    <row r="756" spans="67:80" x14ac:dyDescent="0.25">
      <c r="BO756">
        <v>0</v>
      </c>
      <c r="BP756">
        <v>0</v>
      </c>
      <c r="BQ756">
        <v>0</v>
      </c>
      <c r="BR756">
        <v>0</v>
      </c>
      <c r="BS756">
        <v>0</v>
      </c>
      <c r="BT756">
        <v>0</v>
      </c>
      <c r="BU756">
        <v>0</v>
      </c>
      <c r="BV756">
        <v>0</v>
      </c>
      <c r="BW756" t="s">
        <v>0</v>
      </c>
      <c r="BX756">
        <v>0</v>
      </c>
      <c r="BY756">
        <v>0</v>
      </c>
      <c r="BZ756">
        <v>0</v>
      </c>
      <c r="CA756">
        <v>0</v>
      </c>
      <c r="CB756" t="s">
        <v>145</v>
      </c>
    </row>
    <row r="757" spans="67:80" x14ac:dyDescent="0.25">
      <c r="BO757">
        <v>0</v>
      </c>
      <c r="BP757">
        <v>0</v>
      </c>
      <c r="BQ757">
        <v>0</v>
      </c>
      <c r="BR757">
        <v>0</v>
      </c>
      <c r="BS757">
        <v>0</v>
      </c>
      <c r="BT757">
        <v>0</v>
      </c>
      <c r="BU757">
        <v>0</v>
      </c>
      <c r="BV757">
        <v>0</v>
      </c>
      <c r="BW757" t="s">
        <v>0</v>
      </c>
      <c r="BX757">
        <v>0</v>
      </c>
      <c r="BY757">
        <v>0</v>
      </c>
      <c r="BZ757">
        <v>0</v>
      </c>
      <c r="CA757">
        <v>0</v>
      </c>
      <c r="CB757" t="s">
        <v>145</v>
      </c>
    </row>
    <row r="758" spans="67:80" x14ac:dyDescent="0.25">
      <c r="BO758">
        <v>0</v>
      </c>
      <c r="BP758">
        <v>0</v>
      </c>
      <c r="BQ758">
        <v>0</v>
      </c>
      <c r="BR758">
        <v>0</v>
      </c>
      <c r="BS758">
        <v>0</v>
      </c>
      <c r="BT758">
        <v>0</v>
      </c>
      <c r="BU758">
        <v>0</v>
      </c>
      <c r="BV758">
        <v>0</v>
      </c>
      <c r="BW758" t="s">
        <v>0</v>
      </c>
      <c r="BX758">
        <v>0</v>
      </c>
      <c r="BY758">
        <v>0</v>
      </c>
      <c r="BZ758">
        <v>0</v>
      </c>
      <c r="CA758">
        <v>0</v>
      </c>
      <c r="CB758" t="s">
        <v>145</v>
      </c>
    </row>
    <row r="759" spans="67:80" x14ac:dyDescent="0.25">
      <c r="BO759">
        <v>0</v>
      </c>
      <c r="BP759">
        <v>0</v>
      </c>
      <c r="BQ759">
        <v>0</v>
      </c>
      <c r="BR759">
        <v>0</v>
      </c>
      <c r="BS759">
        <v>0</v>
      </c>
      <c r="BT759">
        <v>0</v>
      </c>
      <c r="BU759">
        <v>0</v>
      </c>
      <c r="BV759">
        <v>0</v>
      </c>
      <c r="BW759" t="s">
        <v>0</v>
      </c>
      <c r="BX759">
        <v>0</v>
      </c>
      <c r="BY759">
        <v>0</v>
      </c>
      <c r="BZ759">
        <v>0</v>
      </c>
      <c r="CA759">
        <v>0</v>
      </c>
      <c r="CB759" t="s">
        <v>145</v>
      </c>
    </row>
    <row r="760" spans="67:80" x14ac:dyDescent="0.25">
      <c r="BO760">
        <v>0</v>
      </c>
      <c r="BP760">
        <v>0</v>
      </c>
      <c r="BQ760">
        <v>0</v>
      </c>
      <c r="BR760">
        <v>0</v>
      </c>
      <c r="BS760">
        <v>0</v>
      </c>
      <c r="BT760">
        <v>0</v>
      </c>
      <c r="BU760">
        <v>0</v>
      </c>
      <c r="BV760">
        <v>0</v>
      </c>
      <c r="BW760" t="s">
        <v>0</v>
      </c>
      <c r="BX760">
        <v>0</v>
      </c>
      <c r="BY760">
        <v>0</v>
      </c>
      <c r="BZ760">
        <v>0</v>
      </c>
      <c r="CA760">
        <v>0</v>
      </c>
      <c r="CB760" t="s">
        <v>145</v>
      </c>
    </row>
    <row r="761" spans="67:80" x14ac:dyDescent="0.25">
      <c r="BO761">
        <v>0</v>
      </c>
      <c r="BP761">
        <v>0</v>
      </c>
      <c r="BQ761">
        <v>0</v>
      </c>
      <c r="BR761">
        <v>0</v>
      </c>
      <c r="BS761">
        <v>0</v>
      </c>
      <c r="BT761">
        <v>0</v>
      </c>
      <c r="BU761">
        <v>0</v>
      </c>
      <c r="BV761">
        <v>0</v>
      </c>
      <c r="BW761" t="s">
        <v>0</v>
      </c>
      <c r="BX761">
        <v>0</v>
      </c>
      <c r="BY761">
        <v>0</v>
      </c>
      <c r="BZ761">
        <v>0</v>
      </c>
      <c r="CA761">
        <v>0</v>
      </c>
      <c r="CB761" t="s">
        <v>145</v>
      </c>
    </row>
    <row r="762" spans="67:80" x14ac:dyDescent="0.25">
      <c r="BO762">
        <v>0</v>
      </c>
      <c r="BP762">
        <v>0</v>
      </c>
      <c r="BQ762">
        <v>0</v>
      </c>
      <c r="BR762">
        <v>0</v>
      </c>
      <c r="BS762">
        <v>0</v>
      </c>
      <c r="BT762">
        <v>0</v>
      </c>
      <c r="BU762">
        <v>0</v>
      </c>
      <c r="BV762">
        <v>0</v>
      </c>
      <c r="BW762" t="s">
        <v>0</v>
      </c>
      <c r="BX762">
        <v>0</v>
      </c>
      <c r="BY762">
        <v>0</v>
      </c>
      <c r="BZ762">
        <v>0</v>
      </c>
      <c r="CA762">
        <v>0</v>
      </c>
      <c r="CB762" t="s">
        <v>145</v>
      </c>
    </row>
    <row r="763" spans="67:80" x14ac:dyDescent="0.25"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0</v>
      </c>
      <c r="BV763">
        <v>0</v>
      </c>
      <c r="BW763" t="s">
        <v>0</v>
      </c>
      <c r="BX763">
        <v>0</v>
      </c>
      <c r="BY763">
        <v>0</v>
      </c>
      <c r="BZ763">
        <v>0</v>
      </c>
      <c r="CA763">
        <v>0</v>
      </c>
      <c r="CB763" t="s">
        <v>145</v>
      </c>
    </row>
    <row r="764" spans="67:80" x14ac:dyDescent="0.25">
      <c r="BO764">
        <v>0</v>
      </c>
      <c r="BP764">
        <v>0</v>
      </c>
      <c r="BQ764">
        <v>0</v>
      </c>
      <c r="BR764">
        <v>0</v>
      </c>
      <c r="BS764">
        <v>0</v>
      </c>
      <c r="BT764">
        <v>0</v>
      </c>
      <c r="BU764">
        <v>0</v>
      </c>
      <c r="BV764">
        <v>0</v>
      </c>
      <c r="BW764" t="s">
        <v>0</v>
      </c>
      <c r="BX764">
        <v>0</v>
      </c>
      <c r="BY764">
        <v>0</v>
      </c>
      <c r="BZ764">
        <v>0</v>
      </c>
      <c r="CA764">
        <v>0</v>
      </c>
      <c r="CB764" t="s">
        <v>145</v>
      </c>
    </row>
    <row r="765" spans="67:80" x14ac:dyDescent="0.25">
      <c r="BO765">
        <v>0</v>
      </c>
      <c r="BP765">
        <v>0</v>
      </c>
      <c r="BQ765">
        <v>0</v>
      </c>
      <c r="BR765">
        <v>0</v>
      </c>
      <c r="BS765">
        <v>0</v>
      </c>
      <c r="BT765">
        <v>0</v>
      </c>
      <c r="BU765">
        <v>0</v>
      </c>
      <c r="BV765">
        <v>0</v>
      </c>
      <c r="BW765" t="s">
        <v>0</v>
      </c>
      <c r="BX765">
        <v>0</v>
      </c>
      <c r="BY765">
        <v>0</v>
      </c>
      <c r="BZ765">
        <v>0</v>
      </c>
      <c r="CA765">
        <v>0</v>
      </c>
      <c r="CB765" t="s">
        <v>145</v>
      </c>
    </row>
    <row r="766" spans="67:80" x14ac:dyDescent="0.25">
      <c r="BO766">
        <v>0</v>
      </c>
      <c r="BP766">
        <v>0</v>
      </c>
      <c r="BQ766">
        <v>0</v>
      </c>
      <c r="BR766">
        <v>0</v>
      </c>
      <c r="BS766">
        <v>0</v>
      </c>
      <c r="BT766">
        <v>0</v>
      </c>
      <c r="BU766">
        <v>0</v>
      </c>
      <c r="BV766">
        <v>0</v>
      </c>
      <c r="BW766" t="s">
        <v>0</v>
      </c>
      <c r="BX766">
        <v>0</v>
      </c>
      <c r="BY766">
        <v>0</v>
      </c>
      <c r="BZ766">
        <v>0</v>
      </c>
      <c r="CA766">
        <v>0</v>
      </c>
      <c r="CB766" t="s">
        <v>145</v>
      </c>
    </row>
    <row r="767" spans="67:80" x14ac:dyDescent="0.25">
      <c r="BO767">
        <v>0</v>
      </c>
      <c r="BP767">
        <v>0</v>
      </c>
      <c r="BQ767">
        <v>0</v>
      </c>
      <c r="BR767">
        <v>0</v>
      </c>
      <c r="BS767">
        <v>0</v>
      </c>
      <c r="BT767">
        <v>0</v>
      </c>
      <c r="BU767">
        <v>0</v>
      </c>
      <c r="BV767">
        <v>0</v>
      </c>
      <c r="BW767" t="s">
        <v>0</v>
      </c>
      <c r="BX767">
        <v>0</v>
      </c>
      <c r="BY767">
        <v>0</v>
      </c>
      <c r="BZ767">
        <v>0</v>
      </c>
      <c r="CA767">
        <v>0</v>
      </c>
      <c r="CB767" t="s">
        <v>145</v>
      </c>
    </row>
    <row r="768" spans="67:80" x14ac:dyDescent="0.25">
      <c r="BO768">
        <v>0</v>
      </c>
      <c r="BP768">
        <v>0</v>
      </c>
      <c r="BQ768">
        <v>0</v>
      </c>
      <c r="BR768">
        <v>0</v>
      </c>
      <c r="BS768">
        <v>0</v>
      </c>
      <c r="BT768">
        <v>0</v>
      </c>
      <c r="BU768">
        <v>0</v>
      </c>
      <c r="BV768">
        <v>0</v>
      </c>
      <c r="BW768" t="s">
        <v>0</v>
      </c>
      <c r="BX768">
        <v>0</v>
      </c>
      <c r="BY768">
        <v>0</v>
      </c>
      <c r="BZ768">
        <v>0</v>
      </c>
      <c r="CA768">
        <v>0</v>
      </c>
      <c r="CB768" t="s">
        <v>145</v>
      </c>
    </row>
    <row r="769" spans="67:80" x14ac:dyDescent="0.25">
      <c r="BO769">
        <v>0</v>
      </c>
      <c r="BP769">
        <v>0</v>
      </c>
      <c r="BQ769">
        <v>0</v>
      </c>
      <c r="BR769">
        <v>0</v>
      </c>
      <c r="BS769">
        <v>0</v>
      </c>
      <c r="BT769">
        <v>0</v>
      </c>
      <c r="BU769">
        <v>0</v>
      </c>
      <c r="BV769">
        <v>0</v>
      </c>
      <c r="BW769" t="s">
        <v>0</v>
      </c>
      <c r="BX769">
        <v>0</v>
      </c>
      <c r="BY769">
        <v>0</v>
      </c>
      <c r="BZ769">
        <v>0</v>
      </c>
      <c r="CA769">
        <v>0</v>
      </c>
      <c r="CB769" t="s">
        <v>145</v>
      </c>
    </row>
    <row r="770" spans="67:80" x14ac:dyDescent="0.25">
      <c r="BO770">
        <v>0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  <c r="BW770" t="s">
        <v>0</v>
      </c>
      <c r="BX770">
        <v>0</v>
      </c>
      <c r="BY770">
        <v>0</v>
      </c>
      <c r="BZ770">
        <v>0</v>
      </c>
      <c r="CA770">
        <v>0</v>
      </c>
      <c r="CB770" t="s">
        <v>145</v>
      </c>
    </row>
    <row r="771" spans="67:80" x14ac:dyDescent="0.25">
      <c r="BO771">
        <v>0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0</v>
      </c>
      <c r="BV771">
        <v>0</v>
      </c>
      <c r="BW771" t="s">
        <v>0</v>
      </c>
      <c r="BX771">
        <v>0</v>
      </c>
      <c r="BY771">
        <v>0</v>
      </c>
      <c r="BZ771">
        <v>0</v>
      </c>
      <c r="CA771">
        <v>0</v>
      </c>
      <c r="CB771" t="s">
        <v>145</v>
      </c>
    </row>
    <row r="772" spans="67:80" x14ac:dyDescent="0.25">
      <c r="BO772">
        <v>0</v>
      </c>
      <c r="BP772">
        <v>0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0</v>
      </c>
      <c r="BW772" t="s">
        <v>0</v>
      </c>
      <c r="BX772">
        <v>0</v>
      </c>
      <c r="BY772">
        <v>0</v>
      </c>
      <c r="BZ772">
        <v>0</v>
      </c>
      <c r="CA772">
        <v>0</v>
      </c>
      <c r="CB772" t="s">
        <v>145</v>
      </c>
    </row>
    <row r="773" spans="67:80" x14ac:dyDescent="0.25">
      <c r="BO773">
        <v>0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0</v>
      </c>
      <c r="BV773">
        <v>0</v>
      </c>
      <c r="BW773" t="s">
        <v>0</v>
      </c>
      <c r="BX773">
        <v>0</v>
      </c>
      <c r="BY773">
        <v>0</v>
      </c>
      <c r="BZ773">
        <v>0</v>
      </c>
      <c r="CA773">
        <v>0</v>
      </c>
      <c r="CB773" t="s">
        <v>145</v>
      </c>
    </row>
    <row r="774" spans="67:80" x14ac:dyDescent="0.25">
      <c r="BO774">
        <v>0</v>
      </c>
      <c r="BP774">
        <v>0</v>
      </c>
      <c r="BQ774">
        <v>0</v>
      </c>
      <c r="BR774">
        <v>0</v>
      </c>
      <c r="BS774">
        <v>0</v>
      </c>
      <c r="BT774">
        <v>0</v>
      </c>
      <c r="BU774">
        <v>0</v>
      </c>
      <c r="BV774">
        <v>0</v>
      </c>
      <c r="BW774" t="s">
        <v>0</v>
      </c>
      <c r="BX774">
        <v>0</v>
      </c>
      <c r="BY774">
        <v>0</v>
      </c>
      <c r="BZ774">
        <v>0</v>
      </c>
      <c r="CA774">
        <v>0</v>
      </c>
      <c r="CB774" t="s">
        <v>145</v>
      </c>
    </row>
    <row r="775" spans="67:80" x14ac:dyDescent="0.25">
      <c r="BO775">
        <v>0</v>
      </c>
      <c r="BP775">
        <v>0</v>
      </c>
      <c r="BQ775">
        <v>0</v>
      </c>
      <c r="BR775">
        <v>0</v>
      </c>
      <c r="BS775">
        <v>0</v>
      </c>
      <c r="BT775">
        <v>0</v>
      </c>
      <c r="BU775">
        <v>0</v>
      </c>
      <c r="BV775">
        <v>0</v>
      </c>
      <c r="BW775" t="s">
        <v>0</v>
      </c>
      <c r="BX775">
        <v>0</v>
      </c>
      <c r="BY775">
        <v>0</v>
      </c>
      <c r="BZ775">
        <v>0</v>
      </c>
      <c r="CA775">
        <v>0</v>
      </c>
      <c r="CB775" t="s">
        <v>145</v>
      </c>
    </row>
    <row r="776" spans="67:80" x14ac:dyDescent="0.25">
      <c r="BO776">
        <v>0</v>
      </c>
      <c r="BP776">
        <v>0</v>
      </c>
      <c r="BQ776">
        <v>0</v>
      </c>
      <c r="BR776">
        <v>0</v>
      </c>
      <c r="BS776">
        <v>0</v>
      </c>
      <c r="BT776">
        <v>0</v>
      </c>
      <c r="BU776">
        <v>0</v>
      </c>
      <c r="BV776">
        <v>0</v>
      </c>
      <c r="BW776" t="s">
        <v>0</v>
      </c>
      <c r="BX776">
        <v>0</v>
      </c>
      <c r="BY776">
        <v>0</v>
      </c>
      <c r="BZ776">
        <v>0</v>
      </c>
      <c r="CA776">
        <v>0</v>
      </c>
      <c r="CB776" t="s">
        <v>145</v>
      </c>
    </row>
    <row r="777" spans="67:80" x14ac:dyDescent="0.25">
      <c r="BO777">
        <v>0</v>
      </c>
      <c r="BP777">
        <v>0</v>
      </c>
      <c r="BQ777">
        <v>0</v>
      </c>
      <c r="BR777">
        <v>0</v>
      </c>
      <c r="BS777">
        <v>0</v>
      </c>
      <c r="BT777">
        <v>0</v>
      </c>
      <c r="BU777">
        <v>0</v>
      </c>
      <c r="BV777">
        <v>0</v>
      </c>
      <c r="BW777" t="s">
        <v>0</v>
      </c>
      <c r="BX777">
        <v>0</v>
      </c>
      <c r="BY777">
        <v>0</v>
      </c>
      <c r="BZ777">
        <v>0</v>
      </c>
      <c r="CA777">
        <v>0</v>
      </c>
      <c r="CB777" t="s">
        <v>145</v>
      </c>
    </row>
    <row r="778" spans="67:80" x14ac:dyDescent="0.25">
      <c r="BO778">
        <v>0</v>
      </c>
      <c r="BP778">
        <v>0</v>
      </c>
      <c r="BQ778">
        <v>0</v>
      </c>
      <c r="BR778">
        <v>0</v>
      </c>
      <c r="BS778">
        <v>0</v>
      </c>
      <c r="BT778">
        <v>0</v>
      </c>
      <c r="BU778">
        <v>0</v>
      </c>
      <c r="BV778">
        <v>0</v>
      </c>
      <c r="BW778" t="s">
        <v>0</v>
      </c>
      <c r="BX778">
        <v>0</v>
      </c>
      <c r="BY778">
        <v>0</v>
      </c>
      <c r="BZ778">
        <v>0</v>
      </c>
      <c r="CA778">
        <v>0</v>
      </c>
      <c r="CB778" t="s">
        <v>145</v>
      </c>
    </row>
    <row r="779" spans="67:80" x14ac:dyDescent="0.25">
      <c r="BO779">
        <v>0</v>
      </c>
      <c r="BP779">
        <v>0</v>
      </c>
      <c r="BQ779">
        <v>0</v>
      </c>
      <c r="BR779">
        <v>0</v>
      </c>
      <c r="BS779">
        <v>0</v>
      </c>
      <c r="BT779">
        <v>0</v>
      </c>
      <c r="BU779">
        <v>0</v>
      </c>
      <c r="BV779">
        <v>0</v>
      </c>
      <c r="BW779" t="s">
        <v>0</v>
      </c>
      <c r="BX779">
        <v>0</v>
      </c>
      <c r="BY779">
        <v>0</v>
      </c>
      <c r="BZ779">
        <v>0</v>
      </c>
      <c r="CA779">
        <v>0</v>
      </c>
      <c r="CB779" t="s">
        <v>145</v>
      </c>
    </row>
    <row r="780" spans="67:80" x14ac:dyDescent="0.25">
      <c r="BO780">
        <v>0</v>
      </c>
      <c r="BP780">
        <v>0</v>
      </c>
      <c r="BQ780">
        <v>0</v>
      </c>
      <c r="BR780">
        <v>0</v>
      </c>
      <c r="BS780">
        <v>0</v>
      </c>
      <c r="BT780">
        <v>0</v>
      </c>
      <c r="BU780">
        <v>0</v>
      </c>
      <c r="BV780">
        <v>0</v>
      </c>
      <c r="BW780" t="s">
        <v>0</v>
      </c>
      <c r="BX780">
        <v>0</v>
      </c>
      <c r="BY780">
        <v>0</v>
      </c>
      <c r="BZ780">
        <v>0</v>
      </c>
      <c r="CA780">
        <v>0</v>
      </c>
      <c r="CB780" t="s">
        <v>145</v>
      </c>
    </row>
    <row r="781" spans="67:80" x14ac:dyDescent="0.25">
      <c r="BO781">
        <v>0</v>
      </c>
      <c r="BP781">
        <v>0</v>
      </c>
      <c r="BQ781">
        <v>0</v>
      </c>
      <c r="BR781">
        <v>0</v>
      </c>
      <c r="BS781">
        <v>0</v>
      </c>
      <c r="BT781">
        <v>0</v>
      </c>
      <c r="BU781">
        <v>0</v>
      </c>
      <c r="BV781">
        <v>0</v>
      </c>
      <c r="BW781" t="s">
        <v>0</v>
      </c>
      <c r="BX781">
        <v>0</v>
      </c>
      <c r="BY781">
        <v>0</v>
      </c>
      <c r="BZ781">
        <v>0</v>
      </c>
      <c r="CA781">
        <v>0</v>
      </c>
      <c r="CB781" t="s">
        <v>145</v>
      </c>
    </row>
    <row r="782" spans="67:80" x14ac:dyDescent="0.25">
      <c r="BO782">
        <v>0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0</v>
      </c>
      <c r="BV782">
        <v>0</v>
      </c>
      <c r="BW782" t="s">
        <v>0</v>
      </c>
      <c r="BX782">
        <v>0</v>
      </c>
      <c r="BY782">
        <v>0</v>
      </c>
      <c r="BZ782">
        <v>0</v>
      </c>
      <c r="CA782">
        <v>0</v>
      </c>
      <c r="CB782" t="s">
        <v>145</v>
      </c>
    </row>
    <row r="783" spans="67:80" x14ac:dyDescent="0.25">
      <c r="BO783">
        <v>0</v>
      </c>
      <c r="BP783">
        <v>0</v>
      </c>
      <c r="BQ783">
        <v>0</v>
      </c>
      <c r="BR783">
        <v>0</v>
      </c>
      <c r="BS783">
        <v>0</v>
      </c>
      <c r="BT783">
        <v>0</v>
      </c>
      <c r="BU783">
        <v>0</v>
      </c>
      <c r="BV783">
        <v>0</v>
      </c>
      <c r="BW783" t="s">
        <v>0</v>
      </c>
      <c r="BX783">
        <v>0</v>
      </c>
      <c r="BY783">
        <v>0</v>
      </c>
      <c r="BZ783">
        <v>0</v>
      </c>
      <c r="CA783">
        <v>0</v>
      </c>
      <c r="CB783" t="s">
        <v>145</v>
      </c>
    </row>
    <row r="784" spans="67:80" x14ac:dyDescent="0.25">
      <c r="BO784">
        <v>0</v>
      </c>
      <c r="BP784">
        <v>0</v>
      </c>
      <c r="BQ784">
        <v>0</v>
      </c>
      <c r="BR784">
        <v>0</v>
      </c>
      <c r="BS784">
        <v>0</v>
      </c>
      <c r="BT784">
        <v>0</v>
      </c>
      <c r="BU784">
        <v>0</v>
      </c>
      <c r="BV784">
        <v>0</v>
      </c>
      <c r="BW784" t="s">
        <v>0</v>
      </c>
      <c r="BX784">
        <v>0</v>
      </c>
      <c r="BY784">
        <v>0</v>
      </c>
      <c r="BZ784">
        <v>0</v>
      </c>
      <c r="CA784">
        <v>0</v>
      </c>
      <c r="CB784" t="s">
        <v>145</v>
      </c>
    </row>
    <row r="785" spans="67:80" x14ac:dyDescent="0.25">
      <c r="BO785">
        <v>0</v>
      </c>
      <c r="BP785">
        <v>0</v>
      </c>
      <c r="BQ785">
        <v>0</v>
      </c>
      <c r="BR785">
        <v>0</v>
      </c>
      <c r="BS785">
        <v>0</v>
      </c>
      <c r="BT785">
        <v>0</v>
      </c>
      <c r="BU785">
        <v>0</v>
      </c>
      <c r="BV785">
        <v>0</v>
      </c>
      <c r="BW785" t="s">
        <v>0</v>
      </c>
      <c r="BX785">
        <v>0</v>
      </c>
      <c r="BY785">
        <v>0</v>
      </c>
      <c r="BZ785">
        <v>0</v>
      </c>
      <c r="CA785">
        <v>0</v>
      </c>
      <c r="CB785" t="s">
        <v>145</v>
      </c>
    </row>
    <row r="786" spans="67:80" x14ac:dyDescent="0.25">
      <c r="BO786">
        <v>0</v>
      </c>
      <c r="BP786">
        <v>0</v>
      </c>
      <c r="BQ786">
        <v>0</v>
      </c>
      <c r="BR786">
        <v>0</v>
      </c>
      <c r="BS786">
        <v>0</v>
      </c>
      <c r="BT786">
        <v>0</v>
      </c>
      <c r="BU786">
        <v>0</v>
      </c>
      <c r="BV786">
        <v>0</v>
      </c>
      <c r="BW786" t="s">
        <v>0</v>
      </c>
      <c r="BX786">
        <v>0</v>
      </c>
      <c r="BY786">
        <v>0</v>
      </c>
      <c r="BZ786">
        <v>0</v>
      </c>
      <c r="CA786">
        <v>0</v>
      </c>
      <c r="CB786" t="s">
        <v>145</v>
      </c>
    </row>
    <row r="787" spans="67:80" x14ac:dyDescent="0.25">
      <c r="BO787">
        <v>0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0</v>
      </c>
      <c r="BV787">
        <v>0</v>
      </c>
      <c r="BW787" t="s">
        <v>0</v>
      </c>
      <c r="BX787">
        <v>0</v>
      </c>
      <c r="BY787">
        <v>0</v>
      </c>
      <c r="BZ787">
        <v>0</v>
      </c>
      <c r="CA787">
        <v>0</v>
      </c>
      <c r="CB787" t="s">
        <v>145</v>
      </c>
    </row>
    <row r="788" spans="67:80" x14ac:dyDescent="0.25">
      <c r="BO788">
        <v>0</v>
      </c>
      <c r="BP788">
        <v>0</v>
      </c>
      <c r="BQ788">
        <v>0</v>
      </c>
      <c r="BR788">
        <v>0</v>
      </c>
      <c r="BS788">
        <v>0</v>
      </c>
      <c r="BT788">
        <v>0</v>
      </c>
      <c r="BU788">
        <v>0</v>
      </c>
      <c r="BV788">
        <v>0</v>
      </c>
      <c r="BW788" t="s">
        <v>0</v>
      </c>
      <c r="BX788">
        <v>0</v>
      </c>
      <c r="BY788">
        <v>0</v>
      </c>
      <c r="BZ788">
        <v>0</v>
      </c>
      <c r="CA788">
        <v>0</v>
      </c>
      <c r="CB788" t="s">
        <v>145</v>
      </c>
    </row>
    <row r="789" spans="67:80" x14ac:dyDescent="0.25">
      <c r="BO789">
        <v>0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0</v>
      </c>
      <c r="BW789" t="s">
        <v>0</v>
      </c>
      <c r="BX789">
        <v>0</v>
      </c>
      <c r="BY789">
        <v>0</v>
      </c>
      <c r="BZ789">
        <v>0</v>
      </c>
      <c r="CA789">
        <v>0</v>
      </c>
      <c r="CB789" t="s">
        <v>145</v>
      </c>
    </row>
    <row r="790" spans="67:80" x14ac:dyDescent="0.25">
      <c r="BO790">
        <v>0</v>
      </c>
      <c r="BP790">
        <v>0</v>
      </c>
      <c r="BQ790">
        <v>0</v>
      </c>
      <c r="BR790">
        <v>0</v>
      </c>
      <c r="BS790">
        <v>0</v>
      </c>
      <c r="BT790">
        <v>0</v>
      </c>
      <c r="BU790">
        <v>0</v>
      </c>
      <c r="BV790">
        <v>0</v>
      </c>
      <c r="BW790" t="s">
        <v>0</v>
      </c>
      <c r="BX790">
        <v>0</v>
      </c>
      <c r="BY790">
        <v>0</v>
      </c>
      <c r="BZ790">
        <v>0</v>
      </c>
      <c r="CA790">
        <v>0</v>
      </c>
      <c r="CB790" t="s">
        <v>145</v>
      </c>
    </row>
    <row r="791" spans="67:80" x14ac:dyDescent="0.25">
      <c r="BO791">
        <v>0</v>
      </c>
      <c r="BP791">
        <v>0</v>
      </c>
      <c r="BQ791">
        <v>0</v>
      </c>
      <c r="BR791">
        <v>0</v>
      </c>
      <c r="BS791">
        <v>0</v>
      </c>
      <c r="BT791">
        <v>0</v>
      </c>
      <c r="BU791">
        <v>0</v>
      </c>
      <c r="BV791">
        <v>0</v>
      </c>
      <c r="BW791" t="s">
        <v>0</v>
      </c>
      <c r="BX791">
        <v>0</v>
      </c>
      <c r="BY791">
        <v>0</v>
      </c>
      <c r="BZ791">
        <v>0</v>
      </c>
      <c r="CA791">
        <v>0</v>
      </c>
      <c r="CB791" t="s">
        <v>145</v>
      </c>
    </row>
    <row r="792" spans="67:80" x14ac:dyDescent="0.25">
      <c r="BO792">
        <v>0</v>
      </c>
      <c r="BP792">
        <v>0</v>
      </c>
      <c r="BQ792">
        <v>0</v>
      </c>
      <c r="BR792">
        <v>0</v>
      </c>
      <c r="BS792">
        <v>0</v>
      </c>
      <c r="BT792">
        <v>0</v>
      </c>
      <c r="BU792">
        <v>0</v>
      </c>
      <c r="BV792">
        <v>0</v>
      </c>
      <c r="BW792" t="s">
        <v>0</v>
      </c>
      <c r="BX792">
        <v>0</v>
      </c>
      <c r="BY792">
        <v>0</v>
      </c>
      <c r="BZ792">
        <v>0</v>
      </c>
      <c r="CA792">
        <v>0</v>
      </c>
      <c r="CB792" t="s">
        <v>145</v>
      </c>
    </row>
    <row r="793" spans="67:80" x14ac:dyDescent="0.25">
      <c r="BO793">
        <v>0</v>
      </c>
      <c r="BP793">
        <v>0</v>
      </c>
      <c r="BQ793">
        <v>0</v>
      </c>
      <c r="BR793">
        <v>0</v>
      </c>
      <c r="BS793">
        <v>0</v>
      </c>
      <c r="BT793">
        <v>0</v>
      </c>
      <c r="BU793">
        <v>0</v>
      </c>
      <c r="BV793">
        <v>0</v>
      </c>
      <c r="BW793" t="s">
        <v>0</v>
      </c>
      <c r="BX793">
        <v>0</v>
      </c>
      <c r="BY793">
        <v>0</v>
      </c>
      <c r="BZ793">
        <v>0</v>
      </c>
      <c r="CA793">
        <v>0</v>
      </c>
      <c r="CB793" t="s">
        <v>145</v>
      </c>
    </row>
    <row r="794" spans="67:80" x14ac:dyDescent="0.25">
      <c r="BO794">
        <v>0</v>
      </c>
      <c r="BP794">
        <v>0</v>
      </c>
      <c r="BQ794">
        <v>0</v>
      </c>
      <c r="BR794">
        <v>0</v>
      </c>
      <c r="BS794">
        <v>0</v>
      </c>
      <c r="BT794">
        <v>0</v>
      </c>
      <c r="BU794">
        <v>0</v>
      </c>
      <c r="BV794">
        <v>0</v>
      </c>
      <c r="BW794" t="s">
        <v>0</v>
      </c>
      <c r="BX794">
        <v>0</v>
      </c>
      <c r="BY794">
        <v>0</v>
      </c>
      <c r="BZ794">
        <v>0</v>
      </c>
      <c r="CA794">
        <v>0</v>
      </c>
      <c r="CB794" t="s">
        <v>145</v>
      </c>
    </row>
    <row r="795" spans="67:80" x14ac:dyDescent="0.25">
      <c r="BO795">
        <v>0</v>
      </c>
      <c r="BP795">
        <v>0</v>
      </c>
      <c r="BQ795">
        <v>0</v>
      </c>
      <c r="BR795">
        <v>0</v>
      </c>
      <c r="BS795">
        <v>0</v>
      </c>
      <c r="BT795">
        <v>0</v>
      </c>
      <c r="BU795">
        <v>0</v>
      </c>
      <c r="BV795">
        <v>0</v>
      </c>
      <c r="BW795" t="s">
        <v>0</v>
      </c>
      <c r="BX795">
        <v>0</v>
      </c>
      <c r="BY795">
        <v>0</v>
      </c>
      <c r="BZ795">
        <v>0</v>
      </c>
      <c r="CA795">
        <v>0</v>
      </c>
      <c r="CB795" t="s">
        <v>145</v>
      </c>
    </row>
    <row r="796" spans="67:80" x14ac:dyDescent="0.25">
      <c r="BO796">
        <v>0</v>
      </c>
      <c r="BP796">
        <v>0</v>
      </c>
      <c r="BQ796">
        <v>0</v>
      </c>
      <c r="BR796">
        <v>0</v>
      </c>
      <c r="BS796">
        <v>0</v>
      </c>
      <c r="BT796">
        <v>0</v>
      </c>
      <c r="BU796">
        <v>0</v>
      </c>
      <c r="BV796">
        <v>0</v>
      </c>
      <c r="BW796" t="s">
        <v>0</v>
      </c>
      <c r="BX796">
        <v>0</v>
      </c>
      <c r="BY796">
        <v>0</v>
      </c>
      <c r="BZ796">
        <v>0</v>
      </c>
      <c r="CA796">
        <v>0</v>
      </c>
      <c r="CB796" t="s">
        <v>145</v>
      </c>
    </row>
    <row r="797" spans="67:80" x14ac:dyDescent="0.25">
      <c r="BO797">
        <v>0</v>
      </c>
      <c r="BP797">
        <v>0</v>
      </c>
      <c r="BQ797">
        <v>0</v>
      </c>
      <c r="BR797">
        <v>0</v>
      </c>
      <c r="BS797">
        <v>0</v>
      </c>
      <c r="BT797">
        <v>0</v>
      </c>
      <c r="BU797">
        <v>0</v>
      </c>
      <c r="BV797">
        <v>0</v>
      </c>
      <c r="BW797" t="s">
        <v>0</v>
      </c>
      <c r="BX797">
        <v>0</v>
      </c>
      <c r="BY797">
        <v>0</v>
      </c>
      <c r="BZ797">
        <v>0</v>
      </c>
      <c r="CA797">
        <v>0</v>
      </c>
      <c r="CB797" t="s">
        <v>145</v>
      </c>
    </row>
    <row r="798" spans="67:80" x14ac:dyDescent="0.25">
      <c r="BO798">
        <v>0</v>
      </c>
      <c r="BP798">
        <v>0</v>
      </c>
      <c r="BQ798">
        <v>0</v>
      </c>
      <c r="BR798">
        <v>0</v>
      </c>
      <c r="BS798">
        <v>0</v>
      </c>
      <c r="BT798">
        <v>0</v>
      </c>
      <c r="BU798">
        <v>0</v>
      </c>
      <c r="BV798">
        <v>0</v>
      </c>
      <c r="BW798" t="s">
        <v>0</v>
      </c>
      <c r="BX798">
        <v>0</v>
      </c>
      <c r="BY798">
        <v>0</v>
      </c>
      <c r="BZ798">
        <v>0</v>
      </c>
      <c r="CA798">
        <v>0</v>
      </c>
      <c r="CB798" t="s">
        <v>145</v>
      </c>
    </row>
    <row r="799" spans="67:80" x14ac:dyDescent="0.25">
      <c r="BO799">
        <v>0</v>
      </c>
      <c r="BP799">
        <v>0</v>
      </c>
      <c r="BQ799">
        <v>0</v>
      </c>
      <c r="BR799">
        <v>0</v>
      </c>
      <c r="BS799">
        <v>0</v>
      </c>
      <c r="BT799">
        <v>0</v>
      </c>
      <c r="BU799">
        <v>0</v>
      </c>
      <c r="BV799">
        <v>0</v>
      </c>
      <c r="BW799" t="s">
        <v>0</v>
      </c>
      <c r="BX799">
        <v>0</v>
      </c>
      <c r="BY799">
        <v>0</v>
      </c>
      <c r="BZ799">
        <v>0</v>
      </c>
      <c r="CA799">
        <v>0</v>
      </c>
      <c r="CB799" t="s">
        <v>145</v>
      </c>
    </row>
    <row r="800" spans="67:80" x14ac:dyDescent="0.25">
      <c r="BO800">
        <v>0</v>
      </c>
      <c r="BP800">
        <v>0</v>
      </c>
      <c r="BQ800">
        <v>0</v>
      </c>
      <c r="BR800">
        <v>0</v>
      </c>
      <c r="BS800">
        <v>0</v>
      </c>
      <c r="BT800">
        <v>0</v>
      </c>
      <c r="BU800">
        <v>0</v>
      </c>
      <c r="BV800">
        <v>0</v>
      </c>
      <c r="BW800" t="s">
        <v>0</v>
      </c>
      <c r="BX800">
        <v>0</v>
      </c>
      <c r="BY800">
        <v>0</v>
      </c>
      <c r="BZ800">
        <v>0</v>
      </c>
      <c r="CA800">
        <v>0</v>
      </c>
      <c r="CB800" t="s">
        <v>145</v>
      </c>
    </row>
    <row r="801" spans="67:80" x14ac:dyDescent="0.25">
      <c r="BO801">
        <v>0</v>
      </c>
      <c r="BP801">
        <v>0</v>
      </c>
      <c r="BQ801">
        <v>0</v>
      </c>
      <c r="BR801">
        <v>0</v>
      </c>
      <c r="BS801">
        <v>0</v>
      </c>
      <c r="BT801">
        <v>0</v>
      </c>
      <c r="BU801">
        <v>0</v>
      </c>
      <c r="BV801">
        <v>0</v>
      </c>
      <c r="BW801" t="s">
        <v>0</v>
      </c>
      <c r="BX801">
        <v>0</v>
      </c>
      <c r="BY801">
        <v>0</v>
      </c>
      <c r="BZ801">
        <v>0</v>
      </c>
      <c r="CA801">
        <v>0</v>
      </c>
      <c r="CB801" t="s">
        <v>145</v>
      </c>
    </row>
    <row r="802" spans="67:80" x14ac:dyDescent="0.25">
      <c r="BO802">
        <v>0</v>
      </c>
      <c r="BP802">
        <v>0</v>
      </c>
      <c r="BQ802">
        <v>0</v>
      </c>
      <c r="BR802">
        <v>0</v>
      </c>
      <c r="BS802">
        <v>0</v>
      </c>
      <c r="BT802">
        <v>0</v>
      </c>
      <c r="BU802">
        <v>0</v>
      </c>
      <c r="BV802">
        <v>0</v>
      </c>
      <c r="BW802" t="s">
        <v>0</v>
      </c>
      <c r="BX802">
        <v>0</v>
      </c>
      <c r="BY802">
        <v>0</v>
      </c>
      <c r="BZ802">
        <v>0</v>
      </c>
      <c r="CA802">
        <v>0</v>
      </c>
      <c r="CB802" t="s">
        <v>145</v>
      </c>
    </row>
    <row r="803" spans="67:80" x14ac:dyDescent="0.25">
      <c r="BO803">
        <v>0</v>
      </c>
      <c r="BP803">
        <v>0</v>
      </c>
      <c r="BQ803">
        <v>0</v>
      </c>
      <c r="BR803">
        <v>0</v>
      </c>
      <c r="BS803">
        <v>0</v>
      </c>
      <c r="BT803">
        <v>0</v>
      </c>
      <c r="BU803">
        <v>0</v>
      </c>
      <c r="BV803">
        <v>0</v>
      </c>
      <c r="BW803" t="s">
        <v>0</v>
      </c>
      <c r="BX803">
        <v>0</v>
      </c>
      <c r="BY803">
        <v>0</v>
      </c>
      <c r="BZ803">
        <v>0</v>
      </c>
      <c r="CA803">
        <v>0</v>
      </c>
      <c r="CB803" t="s">
        <v>145</v>
      </c>
    </row>
    <row r="804" spans="67:80" x14ac:dyDescent="0.25">
      <c r="BO804">
        <v>0</v>
      </c>
      <c r="BP804">
        <v>0</v>
      </c>
      <c r="BQ804">
        <v>0</v>
      </c>
      <c r="BR804">
        <v>0</v>
      </c>
      <c r="BS804">
        <v>0</v>
      </c>
      <c r="BT804">
        <v>0</v>
      </c>
      <c r="BU804">
        <v>0</v>
      </c>
      <c r="BV804">
        <v>0</v>
      </c>
      <c r="BW804" t="s">
        <v>0</v>
      </c>
      <c r="BX804">
        <v>0</v>
      </c>
      <c r="BY804">
        <v>0</v>
      </c>
      <c r="BZ804">
        <v>0</v>
      </c>
      <c r="CA804">
        <v>0</v>
      </c>
      <c r="CB804" t="s">
        <v>145</v>
      </c>
    </row>
    <row r="805" spans="67:80" x14ac:dyDescent="0.25">
      <c r="BO805">
        <v>0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 t="s">
        <v>0</v>
      </c>
      <c r="BX805">
        <v>0</v>
      </c>
      <c r="BY805">
        <v>0</v>
      </c>
      <c r="BZ805">
        <v>0</v>
      </c>
      <c r="CA805">
        <v>0</v>
      </c>
      <c r="CB805" t="s">
        <v>145</v>
      </c>
    </row>
    <row r="806" spans="67:80" x14ac:dyDescent="0.25">
      <c r="BO806">
        <v>0</v>
      </c>
      <c r="BP806">
        <v>0</v>
      </c>
      <c r="BQ806">
        <v>0</v>
      </c>
      <c r="BR806">
        <v>0</v>
      </c>
      <c r="BS806">
        <v>0</v>
      </c>
      <c r="BT806">
        <v>0</v>
      </c>
      <c r="BU806">
        <v>0</v>
      </c>
      <c r="BV806">
        <v>0</v>
      </c>
      <c r="BW806" t="s">
        <v>0</v>
      </c>
      <c r="BX806">
        <v>0</v>
      </c>
      <c r="BY806">
        <v>0</v>
      </c>
      <c r="BZ806">
        <v>0</v>
      </c>
      <c r="CA806">
        <v>0</v>
      </c>
      <c r="CB806" t="s">
        <v>145</v>
      </c>
    </row>
    <row r="807" spans="67:80" x14ac:dyDescent="0.25"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0</v>
      </c>
      <c r="BW807" t="s">
        <v>0</v>
      </c>
      <c r="BX807">
        <v>0</v>
      </c>
      <c r="BY807">
        <v>0</v>
      </c>
      <c r="BZ807">
        <v>0</v>
      </c>
      <c r="CA807">
        <v>0</v>
      </c>
      <c r="CB807" t="s">
        <v>145</v>
      </c>
    </row>
    <row r="808" spans="67:80" x14ac:dyDescent="0.25">
      <c r="BO808">
        <v>0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0</v>
      </c>
      <c r="BV808">
        <v>0</v>
      </c>
      <c r="BW808" t="s">
        <v>0</v>
      </c>
      <c r="BX808">
        <v>0</v>
      </c>
      <c r="BY808">
        <v>0</v>
      </c>
      <c r="BZ808">
        <v>0</v>
      </c>
      <c r="CA808">
        <v>0</v>
      </c>
      <c r="CB808" t="s">
        <v>145</v>
      </c>
    </row>
    <row r="809" spans="67:80" x14ac:dyDescent="0.25">
      <c r="BO809">
        <v>0</v>
      </c>
      <c r="BP809">
        <v>0</v>
      </c>
      <c r="BQ809">
        <v>0</v>
      </c>
      <c r="BR809">
        <v>0</v>
      </c>
      <c r="BS809">
        <v>0</v>
      </c>
      <c r="BT809">
        <v>0</v>
      </c>
      <c r="BU809">
        <v>0</v>
      </c>
      <c r="BV809">
        <v>0</v>
      </c>
      <c r="BW809" t="s">
        <v>0</v>
      </c>
      <c r="BX809">
        <v>0</v>
      </c>
      <c r="BY809">
        <v>0</v>
      </c>
      <c r="BZ809">
        <v>0</v>
      </c>
      <c r="CA809">
        <v>0</v>
      </c>
      <c r="CB809" t="s">
        <v>145</v>
      </c>
    </row>
    <row r="810" spans="67:80" x14ac:dyDescent="0.25">
      <c r="BO810">
        <v>0</v>
      </c>
      <c r="BP810">
        <v>0</v>
      </c>
      <c r="BQ810">
        <v>0</v>
      </c>
      <c r="BR810">
        <v>0</v>
      </c>
      <c r="BS810">
        <v>0</v>
      </c>
      <c r="BT810">
        <v>0</v>
      </c>
      <c r="BU810">
        <v>0</v>
      </c>
      <c r="BV810">
        <v>0</v>
      </c>
      <c r="BW810" t="s">
        <v>0</v>
      </c>
      <c r="BX810">
        <v>0</v>
      </c>
      <c r="BY810">
        <v>0</v>
      </c>
      <c r="BZ810">
        <v>0</v>
      </c>
      <c r="CA810">
        <v>0</v>
      </c>
      <c r="CB810" t="s">
        <v>145</v>
      </c>
    </row>
    <row r="811" spans="67:80" x14ac:dyDescent="0.25">
      <c r="BO811">
        <v>0</v>
      </c>
      <c r="BP811">
        <v>0</v>
      </c>
      <c r="BQ811">
        <v>0</v>
      </c>
      <c r="BR811">
        <v>0</v>
      </c>
      <c r="BS811">
        <v>0</v>
      </c>
      <c r="BT811">
        <v>0</v>
      </c>
      <c r="BU811">
        <v>0</v>
      </c>
      <c r="BV811">
        <v>0</v>
      </c>
      <c r="BW811" t="s">
        <v>0</v>
      </c>
      <c r="BX811">
        <v>0</v>
      </c>
      <c r="BY811">
        <v>0</v>
      </c>
      <c r="BZ811">
        <v>0</v>
      </c>
      <c r="CA811">
        <v>0</v>
      </c>
      <c r="CB811" t="s">
        <v>145</v>
      </c>
    </row>
    <row r="812" spans="67:80" x14ac:dyDescent="0.25">
      <c r="BO812">
        <v>0</v>
      </c>
      <c r="BP812">
        <v>0</v>
      </c>
      <c r="BQ812">
        <v>0</v>
      </c>
      <c r="BR812">
        <v>0</v>
      </c>
      <c r="BS812">
        <v>0</v>
      </c>
      <c r="BT812">
        <v>0</v>
      </c>
      <c r="BU812">
        <v>0</v>
      </c>
      <c r="BV812">
        <v>0</v>
      </c>
      <c r="BW812" t="s">
        <v>0</v>
      </c>
      <c r="BX812">
        <v>0</v>
      </c>
      <c r="BY812">
        <v>0</v>
      </c>
      <c r="BZ812">
        <v>0</v>
      </c>
      <c r="CA812">
        <v>0</v>
      </c>
      <c r="CB812" t="s">
        <v>145</v>
      </c>
    </row>
    <row r="813" spans="67:80" x14ac:dyDescent="0.25">
      <c r="BO813">
        <v>0</v>
      </c>
      <c r="BP813">
        <v>0</v>
      </c>
      <c r="BQ813">
        <v>0</v>
      </c>
      <c r="BR813">
        <v>0</v>
      </c>
      <c r="BS813">
        <v>0</v>
      </c>
      <c r="BT813">
        <v>0</v>
      </c>
      <c r="BU813">
        <v>0</v>
      </c>
      <c r="BV813">
        <v>0</v>
      </c>
      <c r="BW813" t="s">
        <v>0</v>
      </c>
      <c r="BX813">
        <v>0</v>
      </c>
      <c r="BY813">
        <v>0</v>
      </c>
      <c r="BZ813">
        <v>0</v>
      </c>
      <c r="CA813">
        <v>0</v>
      </c>
      <c r="CB813" t="s">
        <v>145</v>
      </c>
    </row>
    <row r="814" spans="67:80" x14ac:dyDescent="0.25">
      <c r="BO814">
        <v>0</v>
      </c>
      <c r="BP814">
        <v>0</v>
      </c>
      <c r="BQ814">
        <v>0</v>
      </c>
      <c r="BR814">
        <v>0</v>
      </c>
      <c r="BS814">
        <v>0</v>
      </c>
      <c r="BT814">
        <v>0</v>
      </c>
      <c r="BU814">
        <v>0</v>
      </c>
      <c r="BV814">
        <v>0</v>
      </c>
      <c r="BW814" t="s">
        <v>0</v>
      </c>
      <c r="BX814">
        <v>0</v>
      </c>
      <c r="BY814">
        <v>0</v>
      </c>
      <c r="BZ814">
        <v>0</v>
      </c>
      <c r="CA814">
        <v>0</v>
      </c>
      <c r="CB814" t="s">
        <v>145</v>
      </c>
    </row>
    <row r="815" spans="67:80" x14ac:dyDescent="0.25">
      <c r="BO815">
        <v>0</v>
      </c>
      <c r="BP815">
        <v>0</v>
      </c>
      <c r="BQ815">
        <v>0</v>
      </c>
      <c r="BR815">
        <v>0</v>
      </c>
      <c r="BS815">
        <v>0</v>
      </c>
      <c r="BT815">
        <v>0</v>
      </c>
      <c r="BU815">
        <v>0</v>
      </c>
      <c r="BV815">
        <v>0</v>
      </c>
      <c r="BW815" t="s">
        <v>0</v>
      </c>
      <c r="BX815">
        <v>0</v>
      </c>
      <c r="BY815">
        <v>0</v>
      </c>
      <c r="BZ815">
        <v>0</v>
      </c>
      <c r="CA815">
        <v>0</v>
      </c>
      <c r="CB815" t="s">
        <v>145</v>
      </c>
    </row>
    <row r="816" spans="67:80" x14ac:dyDescent="0.25">
      <c r="BO816">
        <v>0</v>
      </c>
      <c r="BP816">
        <v>0</v>
      </c>
      <c r="BQ816">
        <v>0</v>
      </c>
      <c r="BR816">
        <v>0</v>
      </c>
      <c r="BS816">
        <v>0</v>
      </c>
      <c r="BT816">
        <v>0</v>
      </c>
      <c r="BU816">
        <v>0</v>
      </c>
      <c r="BV816">
        <v>0</v>
      </c>
      <c r="BW816" t="s">
        <v>0</v>
      </c>
      <c r="BX816">
        <v>0</v>
      </c>
      <c r="BY816">
        <v>0</v>
      </c>
      <c r="BZ816">
        <v>0</v>
      </c>
      <c r="CA816">
        <v>0</v>
      </c>
      <c r="CB816" t="s">
        <v>145</v>
      </c>
    </row>
    <row r="817" spans="67:80" x14ac:dyDescent="0.25"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0</v>
      </c>
      <c r="BW817" t="s">
        <v>0</v>
      </c>
      <c r="BX817">
        <v>0</v>
      </c>
      <c r="BY817">
        <v>0</v>
      </c>
      <c r="BZ817">
        <v>0</v>
      </c>
      <c r="CA817">
        <v>0</v>
      </c>
      <c r="CB817" t="s">
        <v>145</v>
      </c>
    </row>
    <row r="818" spans="67:80" x14ac:dyDescent="0.25"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0</v>
      </c>
      <c r="BW818" t="s">
        <v>0</v>
      </c>
      <c r="BX818">
        <v>0</v>
      </c>
      <c r="BY818">
        <v>0</v>
      </c>
      <c r="BZ818">
        <v>0</v>
      </c>
      <c r="CA818">
        <v>0</v>
      </c>
      <c r="CB818" t="s">
        <v>145</v>
      </c>
    </row>
    <row r="819" spans="67:80" x14ac:dyDescent="0.25">
      <c r="BO819">
        <v>0</v>
      </c>
      <c r="BP819">
        <v>0</v>
      </c>
      <c r="BQ819">
        <v>0</v>
      </c>
      <c r="BR819">
        <v>0</v>
      </c>
      <c r="BS819">
        <v>0</v>
      </c>
      <c r="BT819">
        <v>0</v>
      </c>
      <c r="BU819">
        <v>0</v>
      </c>
      <c r="BV819">
        <v>0</v>
      </c>
      <c r="BW819" t="s">
        <v>0</v>
      </c>
      <c r="BX819">
        <v>0</v>
      </c>
      <c r="BY819">
        <v>0</v>
      </c>
      <c r="BZ819">
        <v>0</v>
      </c>
      <c r="CA819">
        <v>0</v>
      </c>
      <c r="CB819" t="s">
        <v>145</v>
      </c>
    </row>
    <row r="820" spans="67:80" x14ac:dyDescent="0.25">
      <c r="BO820">
        <v>0</v>
      </c>
      <c r="BP820">
        <v>0</v>
      </c>
      <c r="BQ820">
        <v>0</v>
      </c>
      <c r="BR820">
        <v>0</v>
      </c>
      <c r="BS820">
        <v>0</v>
      </c>
      <c r="BT820">
        <v>0</v>
      </c>
      <c r="BU820">
        <v>0</v>
      </c>
      <c r="BV820">
        <v>0</v>
      </c>
      <c r="BW820" t="s">
        <v>0</v>
      </c>
      <c r="BX820">
        <v>0</v>
      </c>
      <c r="BY820">
        <v>0</v>
      </c>
      <c r="BZ820">
        <v>0</v>
      </c>
      <c r="CA820">
        <v>0</v>
      </c>
      <c r="CB820" t="s">
        <v>145</v>
      </c>
    </row>
    <row r="821" spans="67:80" x14ac:dyDescent="0.25">
      <c r="BO821">
        <v>0</v>
      </c>
      <c r="BP821">
        <v>0</v>
      </c>
      <c r="BQ821">
        <v>0</v>
      </c>
      <c r="BR821">
        <v>0</v>
      </c>
      <c r="BS821">
        <v>0</v>
      </c>
      <c r="BT821">
        <v>0</v>
      </c>
      <c r="BU821">
        <v>0</v>
      </c>
      <c r="BV821">
        <v>0</v>
      </c>
      <c r="BW821" t="s">
        <v>0</v>
      </c>
      <c r="BX821">
        <v>0</v>
      </c>
      <c r="BY821">
        <v>0</v>
      </c>
      <c r="BZ821">
        <v>0</v>
      </c>
      <c r="CA821">
        <v>0</v>
      </c>
      <c r="CB821" t="s">
        <v>145</v>
      </c>
    </row>
    <row r="822" spans="67:80" x14ac:dyDescent="0.25">
      <c r="BO822">
        <v>0</v>
      </c>
      <c r="BP822">
        <v>0</v>
      </c>
      <c r="BQ822">
        <v>0</v>
      </c>
      <c r="BR822">
        <v>0</v>
      </c>
      <c r="BS822">
        <v>0</v>
      </c>
      <c r="BT822">
        <v>0</v>
      </c>
      <c r="BU822">
        <v>0</v>
      </c>
      <c r="BV822">
        <v>0</v>
      </c>
      <c r="BW822" t="s">
        <v>0</v>
      </c>
      <c r="BX822">
        <v>0</v>
      </c>
      <c r="BY822">
        <v>0</v>
      </c>
      <c r="BZ822">
        <v>0</v>
      </c>
      <c r="CA822">
        <v>0</v>
      </c>
      <c r="CB822" t="s">
        <v>145</v>
      </c>
    </row>
    <row r="823" spans="67:80" x14ac:dyDescent="0.25">
      <c r="BO823">
        <v>0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0</v>
      </c>
      <c r="BV823">
        <v>0</v>
      </c>
      <c r="BW823" t="s">
        <v>0</v>
      </c>
      <c r="BX823">
        <v>0</v>
      </c>
      <c r="BY823">
        <v>0</v>
      </c>
      <c r="BZ823">
        <v>0</v>
      </c>
      <c r="CA823">
        <v>0</v>
      </c>
      <c r="CB823" t="s">
        <v>145</v>
      </c>
    </row>
    <row r="824" spans="67:80" x14ac:dyDescent="0.25">
      <c r="BO824">
        <v>0</v>
      </c>
      <c r="BP824">
        <v>0</v>
      </c>
      <c r="BQ824">
        <v>0</v>
      </c>
      <c r="BR824">
        <v>0</v>
      </c>
      <c r="BS824">
        <v>0</v>
      </c>
      <c r="BT824">
        <v>0</v>
      </c>
      <c r="BU824">
        <v>0</v>
      </c>
      <c r="BV824">
        <v>0</v>
      </c>
      <c r="BW824" t="s">
        <v>0</v>
      </c>
      <c r="BX824">
        <v>0</v>
      </c>
      <c r="BY824">
        <v>0</v>
      </c>
      <c r="BZ824">
        <v>0</v>
      </c>
      <c r="CA824">
        <v>0</v>
      </c>
      <c r="CB824" t="s">
        <v>145</v>
      </c>
    </row>
    <row r="825" spans="67:80" x14ac:dyDescent="0.25">
      <c r="BO825">
        <v>0</v>
      </c>
      <c r="BP825">
        <v>0</v>
      </c>
      <c r="BQ825">
        <v>0</v>
      </c>
      <c r="BR825">
        <v>0</v>
      </c>
      <c r="BS825">
        <v>0</v>
      </c>
      <c r="BT825">
        <v>0</v>
      </c>
      <c r="BU825">
        <v>0</v>
      </c>
      <c r="BV825">
        <v>0</v>
      </c>
      <c r="BW825" t="s">
        <v>0</v>
      </c>
      <c r="BX825">
        <v>0</v>
      </c>
      <c r="BY825">
        <v>0</v>
      </c>
      <c r="BZ825">
        <v>0</v>
      </c>
      <c r="CA825">
        <v>0</v>
      </c>
      <c r="CB825" t="s">
        <v>145</v>
      </c>
    </row>
    <row r="826" spans="67:80" x14ac:dyDescent="0.25">
      <c r="BO826">
        <v>0</v>
      </c>
      <c r="BP826">
        <v>0</v>
      </c>
      <c r="BQ826">
        <v>0</v>
      </c>
      <c r="BR826">
        <v>0</v>
      </c>
      <c r="BS826">
        <v>0</v>
      </c>
      <c r="BT826">
        <v>0</v>
      </c>
      <c r="BU826">
        <v>0</v>
      </c>
      <c r="BV826">
        <v>0</v>
      </c>
      <c r="BW826" t="s">
        <v>0</v>
      </c>
      <c r="BX826">
        <v>0</v>
      </c>
      <c r="BY826">
        <v>0</v>
      </c>
      <c r="BZ826">
        <v>0</v>
      </c>
      <c r="CA826">
        <v>0</v>
      </c>
      <c r="CB826" t="s">
        <v>145</v>
      </c>
    </row>
    <row r="827" spans="67:80" x14ac:dyDescent="0.25">
      <c r="BO827">
        <v>0</v>
      </c>
      <c r="BP827">
        <v>0</v>
      </c>
      <c r="BQ827">
        <v>0</v>
      </c>
      <c r="BR827">
        <v>0</v>
      </c>
      <c r="BS827">
        <v>0</v>
      </c>
      <c r="BT827">
        <v>0</v>
      </c>
      <c r="BU827">
        <v>0</v>
      </c>
      <c r="BV827">
        <v>0</v>
      </c>
      <c r="BW827" t="s">
        <v>0</v>
      </c>
      <c r="BX827">
        <v>0</v>
      </c>
      <c r="BY827">
        <v>0</v>
      </c>
      <c r="BZ827">
        <v>0</v>
      </c>
      <c r="CA827">
        <v>0</v>
      </c>
      <c r="CB827" t="s">
        <v>145</v>
      </c>
    </row>
    <row r="828" spans="67:80" x14ac:dyDescent="0.25">
      <c r="BO828">
        <v>0</v>
      </c>
      <c r="BP828">
        <v>0</v>
      </c>
      <c r="BQ828">
        <v>0</v>
      </c>
      <c r="BR828">
        <v>0</v>
      </c>
      <c r="BS828">
        <v>0</v>
      </c>
      <c r="BT828">
        <v>0</v>
      </c>
      <c r="BU828">
        <v>0</v>
      </c>
      <c r="BV828">
        <v>0</v>
      </c>
      <c r="BW828" t="s">
        <v>0</v>
      </c>
      <c r="BX828">
        <v>0</v>
      </c>
      <c r="BY828">
        <v>0</v>
      </c>
      <c r="BZ828">
        <v>0</v>
      </c>
      <c r="CA828">
        <v>0</v>
      </c>
      <c r="CB828" t="s">
        <v>145</v>
      </c>
    </row>
    <row r="829" spans="67:80" x14ac:dyDescent="0.25">
      <c r="BO829">
        <v>0</v>
      </c>
      <c r="BP829">
        <v>0</v>
      </c>
      <c r="BQ829">
        <v>0</v>
      </c>
      <c r="BR829">
        <v>0</v>
      </c>
      <c r="BS829">
        <v>0</v>
      </c>
      <c r="BT829">
        <v>0</v>
      </c>
      <c r="BU829">
        <v>0</v>
      </c>
      <c r="BV829">
        <v>0</v>
      </c>
      <c r="BW829" t="s">
        <v>0</v>
      </c>
      <c r="BX829">
        <v>0</v>
      </c>
      <c r="BY829">
        <v>0</v>
      </c>
      <c r="BZ829">
        <v>0</v>
      </c>
      <c r="CA829">
        <v>0</v>
      </c>
      <c r="CB829" t="s">
        <v>145</v>
      </c>
    </row>
    <row r="830" spans="67:80" x14ac:dyDescent="0.25">
      <c r="BO830">
        <v>0</v>
      </c>
      <c r="BP830">
        <v>0</v>
      </c>
      <c r="BQ830">
        <v>0</v>
      </c>
      <c r="BR830">
        <v>0</v>
      </c>
      <c r="BS830">
        <v>0</v>
      </c>
      <c r="BT830">
        <v>0</v>
      </c>
      <c r="BU830">
        <v>0</v>
      </c>
      <c r="BV830">
        <v>0</v>
      </c>
      <c r="BW830" t="s">
        <v>0</v>
      </c>
      <c r="BX830">
        <v>0</v>
      </c>
      <c r="BY830">
        <v>0</v>
      </c>
      <c r="BZ830">
        <v>0</v>
      </c>
      <c r="CA830">
        <v>0</v>
      </c>
      <c r="CB830" t="s">
        <v>145</v>
      </c>
    </row>
    <row r="831" spans="67:80" x14ac:dyDescent="0.25">
      <c r="BO831">
        <v>0</v>
      </c>
      <c r="BP831">
        <v>0</v>
      </c>
      <c r="BQ831">
        <v>0</v>
      </c>
      <c r="BR831">
        <v>0</v>
      </c>
      <c r="BS831">
        <v>0</v>
      </c>
      <c r="BT831">
        <v>0</v>
      </c>
      <c r="BU831">
        <v>0</v>
      </c>
      <c r="BV831">
        <v>0</v>
      </c>
      <c r="BW831" t="s">
        <v>0</v>
      </c>
      <c r="BX831">
        <v>0</v>
      </c>
      <c r="BY831">
        <v>0</v>
      </c>
      <c r="BZ831">
        <v>0</v>
      </c>
      <c r="CA831">
        <v>0</v>
      </c>
      <c r="CB831" t="s">
        <v>145</v>
      </c>
    </row>
    <row r="832" spans="67:80" x14ac:dyDescent="0.25">
      <c r="BO832">
        <v>0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0</v>
      </c>
      <c r="BW832" t="s">
        <v>0</v>
      </c>
      <c r="BX832">
        <v>0</v>
      </c>
      <c r="BY832">
        <v>0</v>
      </c>
      <c r="BZ832">
        <v>0</v>
      </c>
      <c r="CA832">
        <v>0</v>
      </c>
      <c r="CB832" t="s">
        <v>145</v>
      </c>
    </row>
    <row r="833" spans="67:80" x14ac:dyDescent="0.25">
      <c r="BO833">
        <v>0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0</v>
      </c>
      <c r="BV833">
        <v>0</v>
      </c>
      <c r="BW833" t="s">
        <v>0</v>
      </c>
      <c r="BX833">
        <v>0</v>
      </c>
      <c r="BY833">
        <v>0</v>
      </c>
      <c r="BZ833">
        <v>0</v>
      </c>
      <c r="CA833">
        <v>0</v>
      </c>
      <c r="CB833" t="s">
        <v>145</v>
      </c>
    </row>
    <row r="834" spans="67:80" x14ac:dyDescent="0.25">
      <c r="BO834">
        <v>0</v>
      </c>
      <c r="BP834">
        <v>0</v>
      </c>
      <c r="BQ834">
        <v>0</v>
      </c>
      <c r="BR834">
        <v>0</v>
      </c>
      <c r="BS834">
        <v>0</v>
      </c>
      <c r="BT834">
        <v>0</v>
      </c>
      <c r="BU834">
        <v>0</v>
      </c>
      <c r="BV834">
        <v>0</v>
      </c>
      <c r="BW834" t="s">
        <v>0</v>
      </c>
      <c r="BX834">
        <v>0</v>
      </c>
      <c r="BY834">
        <v>0</v>
      </c>
      <c r="BZ834">
        <v>0</v>
      </c>
      <c r="CA834">
        <v>0</v>
      </c>
      <c r="CB834" t="s">
        <v>145</v>
      </c>
    </row>
    <row r="835" spans="67:80" x14ac:dyDescent="0.25">
      <c r="BO835">
        <v>0</v>
      </c>
      <c r="BP835">
        <v>0</v>
      </c>
      <c r="BQ835">
        <v>0</v>
      </c>
      <c r="BR835">
        <v>0</v>
      </c>
      <c r="BS835">
        <v>0</v>
      </c>
      <c r="BT835">
        <v>0</v>
      </c>
      <c r="BU835">
        <v>0</v>
      </c>
      <c r="BV835">
        <v>0</v>
      </c>
      <c r="BW835" t="s">
        <v>0</v>
      </c>
      <c r="BX835">
        <v>0</v>
      </c>
      <c r="BY835">
        <v>0</v>
      </c>
      <c r="BZ835">
        <v>0</v>
      </c>
      <c r="CA835">
        <v>0</v>
      </c>
      <c r="CB835" t="s">
        <v>145</v>
      </c>
    </row>
    <row r="836" spans="67:80" x14ac:dyDescent="0.25">
      <c r="BO836">
        <v>0</v>
      </c>
      <c r="BP836">
        <v>0</v>
      </c>
      <c r="BQ836">
        <v>0</v>
      </c>
      <c r="BR836">
        <v>0</v>
      </c>
      <c r="BS836">
        <v>0</v>
      </c>
      <c r="BT836">
        <v>0</v>
      </c>
      <c r="BU836">
        <v>0</v>
      </c>
      <c r="BV836">
        <v>0</v>
      </c>
      <c r="BW836" t="s">
        <v>0</v>
      </c>
      <c r="BX836">
        <v>0</v>
      </c>
      <c r="BY836">
        <v>0</v>
      </c>
      <c r="BZ836">
        <v>0</v>
      </c>
      <c r="CA836">
        <v>0</v>
      </c>
      <c r="CB836" t="s">
        <v>145</v>
      </c>
    </row>
    <row r="837" spans="67:80" x14ac:dyDescent="0.25">
      <c r="BO837">
        <v>0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0</v>
      </c>
      <c r="BV837">
        <v>0</v>
      </c>
      <c r="BW837" t="s">
        <v>0</v>
      </c>
      <c r="BX837">
        <v>0</v>
      </c>
      <c r="BY837">
        <v>0</v>
      </c>
      <c r="BZ837">
        <v>0</v>
      </c>
      <c r="CA837">
        <v>0</v>
      </c>
      <c r="CB837" t="s">
        <v>145</v>
      </c>
    </row>
    <row r="838" spans="67:80" x14ac:dyDescent="0.25">
      <c r="BO838">
        <v>0</v>
      </c>
      <c r="BP838">
        <v>0</v>
      </c>
      <c r="BQ838">
        <v>0</v>
      </c>
      <c r="BR838">
        <v>0</v>
      </c>
      <c r="BS838">
        <v>0</v>
      </c>
      <c r="BT838">
        <v>0</v>
      </c>
      <c r="BU838">
        <v>0</v>
      </c>
      <c r="BV838">
        <v>0</v>
      </c>
      <c r="BW838" t="s">
        <v>0</v>
      </c>
      <c r="BX838">
        <v>0</v>
      </c>
      <c r="BY838">
        <v>0</v>
      </c>
      <c r="BZ838">
        <v>0</v>
      </c>
      <c r="CA838">
        <v>0</v>
      </c>
      <c r="CB838" t="s">
        <v>145</v>
      </c>
    </row>
    <row r="839" spans="67:80" x14ac:dyDescent="0.25">
      <c r="BO839">
        <v>0</v>
      </c>
      <c r="BP839">
        <v>0</v>
      </c>
      <c r="BQ839">
        <v>0</v>
      </c>
      <c r="BR839">
        <v>0</v>
      </c>
      <c r="BS839">
        <v>0</v>
      </c>
      <c r="BT839">
        <v>0</v>
      </c>
      <c r="BU839">
        <v>0</v>
      </c>
      <c r="BV839">
        <v>0</v>
      </c>
      <c r="BW839" t="s">
        <v>0</v>
      </c>
      <c r="BX839">
        <v>0</v>
      </c>
      <c r="BY839">
        <v>0</v>
      </c>
      <c r="BZ839">
        <v>0</v>
      </c>
      <c r="CA839">
        <v>0</v>
      </c>
      <c r="CB839" t="s">
        <v>145</v>
      </c>
    </row>
    <row r="840" spans="67:80" x14ac:dyDescent="0.25">
      <c r="BO840">
        <v>0</v>
      </c>
      <c r="BP840">
        <v>0</v>
      </c>
      <c r="BQ840">
        <v>0</v>
      </c>
      <c r="BR840">
        <v>0</v>
      </c>
      <c r="BS840">
        <v>0</v>
      </c>
      <c r="BT840">
        <v>0</v>
      </c>
      <c r="BU840">
        <v>0</v>
      </c>
      <c r="BV840">
        <v>0</v>
      </c>
      <c r="BW840" t="s">
        <v>0</v>
      </c>
      <c r="BX840">
        <v>0</v>
      </c>
      <c r="BY840">
        <v>0</v>
      </c>
      <c r="BZ840">
        <v>0</v>
      </c>
      <c r="CA840">
        <v>0</v>
      </c>
      <c r="CB840" t="s">
        <v>145</v>
      </c>
    </row>
    <row r="841" spans="67:80" x14ac:dyDescent="0.25"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0</v>
      </c>
      <c r="BW841" t="s">
        <v>0</v>
      </c>
      <c r="BX841">
        <v>0</v>
      </c>
      <c r="BY841">
        <v>0</v>
      </c>
      <c r="BZ841">
        <v>0</v>
      </c>
      <c r="CA841">
        <v>0</v>
      </c>
      <c r="CB841" t="s">
        <v>145</v>
      </c>
    </row>
    <row r="842" spans="67:80" x14ac:dyDescent="0.25">
      <c r="BO842">
        <v>0</v>
      </c>
      <c r="BP842">
        <v>0</v>
      </c>
      <c r="BQ842">
        <v>0</v>
      </c>
      <c r="BR842">
        <v>0</v>
      </c>
      <c r="BS842">
        <v>0</v>
      </c>
      <c r="BT842">
        <v>0</v>
      </c>
      <c r="BU842">
        <v>0</v>
      </c>
      <c r="BV842">
        <v>0</v>
      </c>
      <c r="BW842" t="s">
        <v>0</v>
      </c>
      <c r="BX842">
        <v>0</v>
      </c>
      <c r="BY842">
        <v>0</v>
      </c>
      <c r="BZ842">
        <v>0</v>
      </c>
      <c r="CA842">
        <v>0</v>
      </c>
      <c r="CB842" t="s">
        <v>145</v>
      </c>
    </row>
    <row r="843" spans="67:80" x14ac:dyDescent="0.25"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 t="s">
        <v>0</v>
      </c>
      <c r="BX843">
        <v>0</v>
      </c>
      <c r="BY843">
        <v>0</v>
      </c>
      <c r="BZ843">
        <v>0</v>
      </c>
      <c r="CA843">
        <v>0</v>
      </c>
      <c r="CB843" t="s">
        <v>145</v>
      </c>
    </row>
    <row r="844" spans="67:80" x14ac:dyDescent="0.25">
      <c r="BO844">
        <v>0</v>
      </c>
      <c r="BP844">
        <v>0</v>
      </c>
      <c r="BQ844">
        <v>0</v>
      </c>
      <c r="BR844">
        <v>0</v>
      </c>
      <c r="BS844">
        <v>0</v>
      </c>
      <c r="BT844">
        <v>0</v>
      </c>
      <c r="BU844">
        <v>0</v>
      </c>
      <c r="BV844">
        <v>0</v>
      </c>
      <c r="BW844" t="s">
        <v>0</v>
      </c>
      <c r="BX844">
        <v>0</v>
      </c>
      <c r="BY844">
        <v>0</v>
      </c>
      <c r="BZ844">
        <v>0</v>
      </c>
      <c r="CA844">
        <v>0</v>
      </c>
      <c r="CB844" t="s">
        <v>145</v>
      </c>
    </row>
    <row r="845" spans="67:80" x14ac:dyDescent="0.25">
      <c r="BO845">
        <v>0</v>
      </c>
      <c r="BP845">
        <v>0</v>
      </c>
      <c r="BQ845">
        <v>0</v>
      </c>
      <c r="BR845">
        <v>0</v>
      </c>
      <c r="BS845">
        <v>0</v>
      </c>
      <c r="BT845">
        <v>0</v>
      </c>
      <c r="BU845">
        <v>0</v>
      </c>
      <c r="BV845">
        <v>0</v>
      </c>
      <c r="BW845" t="s">
        <v>0</v>
      </c>
      <c r="BX845">
        <v>0</v>
      </c>
      <c r="BY845">
        <v>0</v>
      </c>
      <c r="BZ845">
        <v>0</v>
      </c>
      <c r="CA845">
        <v>0</v>
      </c>
      <c r="CB845" t="s">
        <v>145</v>
      </c>
    </row>
    <row r="846" spans="67:80" x14ac:dyDescent="0.25">
      <c r="BO846">
        <v>0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0</v>
      </c>
      <c r="BV846">
        <v>0</v>
      </c>
      <c r="BW846" t="s">
        <v>0</v>
      </c>
      <c r="BX846">
        <v>0</v>
      </c>
      <c r="BY846">
        <v>0</v>
      </c>
      <c r="BZ846">
        <v>0</v>
      </c>
      <c r="CA846">
        <v>0</v>
      </c>
      <c r="CB846" t="s">
        <v>145</v>
      </c>
    </row>
    <row r="847" spans="67:80" x14ac:dyDescent="0.25"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0</v>
      </c>
      <c r="BV847">
        <v>0</v>
      </c>
      <c r="BW847" t="s">
        <v>0</v>
      </c>
      <c r="BX847">
        <v>0</v>
      </c>
      <c r="BY847">
        <v>0</v>
      </c>
      <c r="BZ847">
        <v>0</v>
      </c>
      <c r="CA847">
        <v>0</v>
      </c>
      <c r="CB847" t="s">
        <v>145</v>
      </c>
    </row>
    <row r="848" spans="67:80" x14ac:dyDescent="0.25">
      <c r="BO848">
        <v>0</v>
      </c>
      <c r="BP848">
        <v>0</v>
      </c>
      <c r="BQ848">
        <v>0</v>
      </c>
      <c r="BR848">
        <v>0</v>
      </c>
      <c r="BS848">
        <v>0</v>
      </c>
      <c r="BT848">
        <v>0</v>
      </c>
      <c r="BU848">
        <v>0</v>
      </c>
      <c r="BV848">
        <v>0</v>
      </c>
      <c r="BW848" t="s">
        <v>0</v>
      </c>
      <c r="BX848">
        <v>0</v>
      </c>
      <c r="BY848">
        <v>0</v>
      </c>
      <c r="BZ848">
        <v>0</v>
      </c>
      <c r="CA848">
        <v>0</v>
      </c>
      <c r="CB848" t="s">
        <v>145</v>
      </c>
    </row>
    <row r="849" spans="67:80" x14ac:dyDescent="0.25"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0</v>
      </c>
      <c r="BV849">
        <v>0</v>
      </c>
      <c r="BW849" t="s">
        <v>0</v>
      </c>
      <c r="BX849">
        <v>0</v>
      </c>
      <c r="BY849">
        <v>0</v>
      </c>
      <c r="BZ849">
        <v>0</v>
      </c>
      <c r="CA849">
        <v>0</v>
      </c>
      <c r="CB849" t="s">
        <v>145</v>
      </c>
    </row>
    <row r="850" spans="67:80" x14ac:dyDescent="0.25">
      <c r="BO850">
        <v>0</v>
      </c>
      <c r="BP850">
        <v>0</v>
      </c>
      <c r="BQ850">
        <v>0</v>
      </c>
      <c r="BR850">
        <v>0</v>
      </c>
      <c r="BS850">
        <v>0</v>
      </c>
      <c r="BT850">
        <v>0</v>
      </c>
      <c r="BU850">
        <v>0</v>
      </c>
      <c r="BV850">
        <v>0</v>
      </c>
      <c r="BW850" t="s">
        <v>0</v>
      </c>
      <c r="BX850">
        <v>0</v>
      </c>
      <c r="BY850">
        <v>0</v>
      </c>
      <c r="BZ850">
        <v>0</v>
      </c>
      <c r="CA850">
        <v>0</v>
      </c>
      <c r="CB850" t="s">
        <v>145</v>
      </c>
    </row>
    <row r="851" spans="67:80" x14ac:dyDescent="0.25">
      <c r="BO851">
        <v>0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0</v>
      </c>
      <c r="BV851">
        <v>0</v>
      </c>
      <c r="BW851" t="s">
        <v>0</v>
      </c>
      <c r="BX851">
        <v>0</v>
      </c>
      <c r="BY851">
        <v>0</v>
      </c>
      <c r="BZ851">
        <v>0</v>
      </c>
      <c r="CA851">
        <v>0</v>
      </c>
      <c r="CB851" t="s">
        <v>145</v>
      </c>
    </row>
    <row r="852" spans="67:80" x14ac:dyDescent="0.25">
      <c r="BO852">
        <v>0</v>
      </c>
      <c r="BP852">
        <v>0</v>
      </c>
      <c r="BQ852">
        <v>0</v>
      </c>
      <c r="BR852">
        <v>0</v>
      </c>
      <c r="BS852">
        <v>0</v>
      </c>
      <c r="BT852">
        <v>0</v>
      </c>
      <c r="BU852">
        <v>0</v>
      </c>
      <c r="BV852">
        <v>0</v>
      </c>
      <c r="BW852" t="s">
        <v>0</v>
      </c>
      <c r="BX852">
        <v>0</v>
      </c>
      <c r="BY852">
        <v>0</v>
      </c>
      <c r="BZ852">
        <v>0</v>
      </c>
      <c r="CA852">
        <v>0</v>
      </c>
      <c r="CB852" t="s">
        <v>145</v>
      </c>
    </row>
    <row r="853" spans="67:80" x14ac:dyDescent="0.25">
      <c r="BO853">
        <v>0</v>
      </c>
      <c r="BP853">
        <v>0</v>
      </c>
      <c r="BQ853">
        <v>0</v>
      </c>
      <c r="BR853">
        <v>0</v>
      </c>
      <c r="BS853">
        <v>0</v>
      </c>
      <c r="BT853">
        <v>0</v>
      </c>
      <c r="BU853">
        <v>0</v>
      </c>
      <c r="BV853">
        <v>0</v>
      </c>
      <c r="BW853" t="s">
        <v>0</v>
      </c>
      <c r="BX853">
        <v>0</v>
      </c>
      <c r="BY853">
        <v>0</v>
      </c>
      <c r="BZ853">
        <v>0</v>
      </c>
      <c r="CA853">
        <v>0</v>
      </c>
      <c r="CB853" t="s">
        <v>145</v>
      </c>
    </row>
    <row r="854" spans="67:80" x14ac:dyDescent="0.25">
      <c r="BO854">
        <v>0</v>
      </c>
      <c r="BP854">
        <v>0</v>
      </c>
      <c r="BQ854">
        <v>0</v>
      </c>
      <c r="BR854">
        <v>0</v>
      </c>
      <c r="BS854">
        <v>0</v>
      </c>
      <c r="BT854">
        <v>0</v>
      </c>
      <c r="BU854">
        <v>0</v>
      </c>
      <c r="BV854">
        <v>0</v>
      </c>
      <c r="BW854" t="s">
        <v>0</v>
      </c>
      <c r="BX854">
        <v>0</v>
      </c>
      <c r="BY854">
        <v>0</v>
      </c>
      <c r="BZ854">
        <v>0</v>
      </c>
      <c r="CA854">
        <v>0</v>
      </c>
      <c r="CB854" t="s">
        <v>145</v>
      </c>
    </row>
    <row r="855" spans="67:80" x14ac:dyDescent="0.25">
      <c r="BO855">
        <v>0</v>
      </c>
      <c r="BP855">
        <v>0</v>
      </c>
      <c r="BQ855">
        <v>0</v>
      </c>
      <c r="BR855">
        <v>0</v>
      </c>
      <c r="BS855">
        <v>0</v>
      </c>
      <c r="BT855">
        <v>0</v>
      </c>
      <c r="BU855">
        <v>0</v>
      </c>
      <c r="BV855">
        <v>0</v>
      </c>
      <c r="BW855" t="s">
        <v>0</v>
      </c>
      <c r="BX855">
        <v>0</v>
      </c>
      <c r="BY855">
        <v>0</v>
      </c>
      <c r="BZ855">
        <v>0</v>
      </c>
      <c r="CA855">
        <v>0</v>
      </c>
      <c r="CB855" t="s">
        <v>145</v>
      </c>
    </row>
    <row r="856" spans="67:80" x14ac:dyDescent="0.25">
      <c r="BO856">
        <v>0</v>
      </c>
      <c r="BP856">
        <v>0</v>
      </c>
      <c r="BQ856">
        <v>0</v>
      </c>
      <c r="BR856">
        <v>0</v>
      </c>
      <c r="BS856">
        <v>0</v>
      </c>
      <c r="BT856">
        <v>0</v>
      </c>
      <c r="BU856">
        <v>0</v>
      </c>
      <c r="BV856">
        <v>0</v>
      </c>
      <c r="BW856" t="s">
        <v>0</v>
      </c>
      <c r="BX856">
        <v>0</v>
      </c>
      <c r="BY856">
        <v>0</v>
      </c>
      <c r="BZ856">
        <v>0</v>
      </c>
      <c r="CA856">
        <v>0</v>
      </c>
      <c r="CB856" t="s">
        <v>145</v>
      </c>
    </row>
    <row r="857" spans="67:80" x14ac:dyDescent="0.25">
      <c r="BO857">
        <v>0</v>
      </c>
      <c r="BP857">
        <v>0</v>
      </c>
      <c r="BQ857">
        <v>0</v>
      </c>
      <c r="BR857">
        <v>0</v>
      </c>
      <c r="BS857">
        <v>0</v>
      </c>
      <c r="BT857">
        <v>0</v>
      </c>
      <c r="BU857">
        <v>0</v>
      </c>
      <c r="BV857">
        <v>0</v>
      </c>
      <c r="BW857" t="s">
        <v>0</v>
      </c>
      <c r="BX857">
        <v>0</v>
      </c>
      <c r="BY857">
        <v>0</v>
      </c>
      <c r="BZ857">
        <v>0</v>
      </c>
      <c r="CA857">
        <v>0</v>
      </c>
      <c r="CB857" t="s">
        <v>145</v>
      </c>
    </row>
    <row r="858" spans="67:80" x14ac:dyDescent="0.25">
      <c r="BO858">
        <v>0</v>
      </c>
      <c r="BP858">
        <v>0</v>
      </c>
      <c r="BQ858">
        <v>0</v>
      </c>
      <c r="BR858">
        <v>0</v>
      </c>
      <c r="BS858">
        <v>0</v>
      </c>
      <c r="BT858">
        <v>0</v>
      </c>
      <c r="BU858">
        <v>0</v>
      </c>
      <c r="BV858">
        <v>0</v>
      </c>
      <c r="BW858" t="s">
        <v>0</v>
      </c>
      <c r="BX858">
        <v>0</v>
      </c>
      <c r="BY858">
        <v>0</v>
      </c>
      <c r="BZ858">
        <v>0</v>
      </c>
      <c r="CA858">
        <v>0</v>
      </c>
      <c r="CB858" t="s">
        <v>145</v>
      </c>
    </row>
    <row r="859" spans="67:80" x14ac:dyDescent="0.25">
      <c r="BO859">
        <v>0</v>
      </c>
      <c r="BP859">
        <v>0</v>
      </c>
      <c r="BQ859">
        <v>0</v>
      </c>
      <c r="BR859">
        <v>0</v>
      </c>
      <c r="BS859">
        <v>0</v>
      </c>
      <c r="BT859">
        <v>0</v>
      </c>
      <c r="BU859">
        <v>0</v>
      </c>
      <c r="BV859">
        <v>0</v>
      </c>
      <c r="BW859" t="s">
        <v>0</v>
      </c>
      <c r="BX859">
        <v>0</v>
      </c>
      <c r="BY859">
        <v>0</v>
      </c>
      <c r="BZ859">
        <v>0</v>
      </c>
      <c r="CA859">
        <v>0</v>
      </c>
      <c r="CB859" t="s">
        <v>145</v>
      </c>
    </row>
    <row r="860" spans="67:80" x14ac:dyDescent="0.25">
      <c r="BO860">
        <v>0</v>
      </c>
      <c r="BP860">
        <v>0</v>
      </c>
      <c r="BQ860">
        <v>0</v>
      </c>
      <c r="BR860">
        <v>0</v>
      </c>
      <c r="BS860">
        <v>0</v>
      </c>
      <c r="BT860">
        <v>0</v>
      </c>
      <c r="BU860">
        <v>0</v>
      </c>
      <c r="BV860">
        <v>0</v>
      </c>
      <c r="BW860" t="s">
        <v>0</v>
      </c>
      <c r="BX860">
        <v>0</v>
      </c>
      <c r="BY860">
        <v>0</v>
      </c>
      <c r="BZ860">
        <v>0</v>
      </c>
      <c r="CA860">
        <v>0</v>
      </c>
      <c r="CB860" t="s">
        <v>145</v>
      </c>
    </row>
    <row r="861" spans="67:80" x14ac:dyDescent="0.25">
      <c r="BO861">
        <v>0</v>
      </c>
      <c r="BP861">
        <v>0</v>
      </c>
      <c r="BQ861">
        <v>0</v>
      </c>
      <c r="BR861">
        <v>0</v>
      </c>
      <c r="BS861">
        <v>0</v>
      </c>
      <c r="BT861">
        <v>0</v>
      </c>
      <c r="BU861">
        <v>0</v>
      </c>
      <c r="BV861">
        <v>0</v>
      </c>
      <c r="BW861" t="s">
        <v>0</v>
      </c>
      <c r="BX861">
        <v>0</v>
      </c>
      <c r="BY861">
        <v>0</v>
      </c>
      <c r="BZ861">
        <v>0</v>
      </c>
      <c r="CA861">
        <v>0</v>
      </c>
      <c r="CB861" t="s">
        <v>145</v>
      </c>
    </row>
    <row r="862" spans="67:80" x14ac:dyDescent="0.25">
      <c r="BO862">
        <v>0</v>
      </c>
      <c r="BP862">
        <v>0</v>
      </c>
      <c r="BQ862">
        <v>0</v>
      </c>
      <c r="BR862">
        <v>0</v>
      </c>
      <c r="BS862">
        <v>0</v>
      </c>
      <c r="BT862">
        <v>0</v>
      </c>
      <c r="BU862">
        <v>0</v>
      </c>
      <c r="BV862">
        <v>0</v>
      </c>
      <c r="BW862" t="s">
        <v>0</v>
      </c>
      <c r="BX862">
        <v>0</v>
      </c>
      <c r="BY862">
        <v>0</v>
      </c>
      <c r="BZ862">
        <v>0</v>
      </c>
      <c r="CA862">
        <v>0</v>
      </c>
      <c r="CB862" t="s">
        <v>145</v>
      </c>
    </row>
    <row r="863" spans="67:80" x14ac:dyDescent="0.25">
      <c r="BO863">
        <v>0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0</v>
      </c>
      <c r="BW863" t="s">
        <v>0</v>
      </c>
      <c r="BX863">
        <v>0</v>
      </c>
      <c r="BY863">
        <v>0</v>
      </c>
      <c r="BZ863">
        <v>0</v>
      </c>
      <c r="CA863">
        <v>0</v>
      </c>
      <c r="CB863" t="s">
        <v>145</v>
      </c>
    </row>
    <row r="864" spans="67:80" x14ac:dyDescent="0.25">
      <c r="BO864">
        <v>0</v>
      </c>
      <c r="BP864">
        <v>0</v>
      </c>
      <c r="BQ864">
        <v>0</v>
      </c>
      <c r="BR864">
        <v>0</v>
      </c>
      <c r="BS864">
        <v>0</v>
      </c>
      <c r="BT864">
        <v>0</v>
      </c>
      <c r="BU864">
        <v>0</v>
      </c>
      <c r="BV864">
        <v>0</v>
      </c>
      <c r="BW864" t="s">
        <v>0</v>
      </c>
      <c r="BX864">
        <v>0</v>
      </c>
      <c r="BY864">
        <v>0</v>
      </c>
      <c r="BZ864">
        <v>0</v>
      </c>
      <c r="CA864">
        <v>0</v>
      </c>
      <c r="CB864" t="s">
        <v>145</v>
      </c>
    </row>
    <row r="865" spans="67:80" x14ac:dyDescent="0.25">
      <c r="BO865">
        <v>0</v>
      </c>
      <c r="BP865">
        <v>0</v>
      </c>
      <c r="BQ865">
        <v>0</v>
      </c>
      <c r="BR865">
        <v>0</v>
      </c>
      <c r="BS865">
        <v>0</v>
      </c>
      <c r="BT865">
        <v>0</v>
      </c>
      <c r="BU865">
        <v>0</v>
      </c>
      <c r="BV865">
        <v>0</v>
      </c>
      <c r="BW865" t="s">
        <v>0</v>
      </c>
      <c r="BX865">
        <v>0</v>
      </c>
      <c r="BY865">
        <v>0</v>
      </c>
      <c r="BZ865">
        <v>0</v>
      </c>
      <c r="CA865">
        <v>0</v>
      </c>
      <c r="CB865" t="s">
        <v>145</v>
      </c>
    </row>
    <row r="866" spans="67:80" x14ac:dyDescent="0.25">
      <c r="BO866">
        <v>0</v>
      </c>
      <c r="BP866">
        <v>0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 t="s">
        <v>0</v>
      </c>
      <c r="BX866">
        <v>0</v>
      </c>
      <c r="BY866">
        <v>0</v>
      </c>
      <c r="BZ866">
        <v>0</v>
      </c>
      <c r="CA866">
        <v>0</v>
      </c>
      <c r="CB866" t="s">
        <v>145</v>
      </c>
    </row>
    <row r="867" spans="67:80" x14ac:dyDescent="0.25">
      <c r="BO867">
        <v>0</v>
      </c>
      <c r="BP867">
        <v>0</v>
      </c>
      <c r="BQ867">
        <v>0</v>
      </c>
      <c r="BR867">
        <v>0</v>
      </c>
      <c r="BS867">
        <v>0</v>
      </c>
      <c r="BT867">
        <v>0</v>
      </c>
      <c r="BU867">
        <v>0</v>
      </c>
      <c r="BV867">
        <v>0</v>
      </c>
      <c r="BW867" t="s">
        <v>0</v>
      </c>
      <c r="BX867">
        <v>0</v>
      </c>
      <c r="BY867">
        <v>0</v>
      </c>
      <c r="BZ867">
        <v>0</v>
      </c>
      <c r="CA867">
        <v>0</v>
      </c>
      <c r="CB867" t="s">
        <v>145</v>
      </c>
    </row>
    <row r="868" spans="67:80" x14ac:dyDescent="0.25">
      <c r="BO868">
        <v>0</v>
      </c>
      <c r="BP868">
        <v>0</v>
      </c>
      <c r="BQ868">
        <v>0</v>
      </c>
      <c r="BR868">
        <v>0</v>
      </c>
      <c r="BS868">
        <v>0</v>
      </c>
      <c r="BT868">
        <v>0</v>
      </c>
      <c r="BU868">
        <v>0</v>
      </c>
      <c r="BV868">
        <v>0</v>
      </c>
      <c r="BW868" t="s">
        <v>0</v>
      </c>
      <c r="BX868">
        <v>0</v>
      </c>
      <c r="BY868">
        <v>0</v>
      </c>
      <c r="BZ868">
        <v>0</v>
      </c>
      <c r="CA868">
        <v>0</v>
      </c>
      <c r="CB868" t="s">
        <v>145</v>
      </c>
    </row>
    <row r="869" spans="67:80" x14ac:dyDescent="0.25">
      <c r="BO869">
        <v>0</v>
      </c>
      <c r="BP869">
        <v>0</v>
      </c>
      <c r="BQ869">
        <v>0</v>
      </c>
      <c r="BR869">
        <v>0</v>
      </c>
      <c r="BS869">
        <v>0</v>
      </c>
      <c r="BT869">
        <v>0</v>
      </c>
      <c r="BU869">
        <v>0</v>
      </c>
      <c r="BV869">
        <v>0</v>
      </c>
      <c r="BW869" t="s">
        <v>0</v>
      </c>
      <c r="BX869">
        <v>0</v>
      </c>
      <c r="BY869">
        <v>0</v>
      </c>
      <c r="BZ869">
        <v>0</v>
      </c>
      <c r="CA869">
        <v>0</v>
      </c>
      <c r="CB869" t="s">
        <v>145</v>
      </c>
    </row>
    <row r="870" spans="67:80" x14ac:dyDescent="0.25">
      <c r="BO870">
        <v>0</v>
      </c>
      <c r="BP870">
        <v>0</v>
      </c>
      <c r="BQ870">
        <v>0</v>
      </c>
      <c r="BR870">
        <v>0</v>
      </c>
      <c r="BS870">
        <v>0</v>
      </c>
      <c r="BT870">
        <v>0</v>
      </c>
      <c r="BU870">
        <v>0</v>
      </c>
      <c r="BV870">
        <v>0</v>
      </c>
      <c r="BW870" t="s">
        <v>0</v>
      </c>
      <c r="BX870">
        <v>0</v>
      </c>
      <c r="BY870">
        <v>0</v>
      </c>
      <c r="BZ870">
        <v>0</v>
      </c>
      <c r="CA870">
        <v>0</v>
      </c>
      <c r="CB870" t="s">
        <v>145</v>
      </c>
    </row>
    <row r="871" spans="67:80" x14ac:dyDescent="0.25">
      <c r="BO871">
        <v>0</v>
      </c>
      <c r="BP871">
        <v>0</v>
      </c>
      <c r="BQ871">
        <v>0</v>
      </c>
      <c r="BR871">
        <v>0</v>
      </c>
      <c r="BS871">
        <v>0</v>
      </c>
      <c r="BT871">
        <v>0</v>
      </c>
      <c r="BU871">
        <v>0</v>
      </c>
      <c r="BV871">
        <v>0</v>
      </c>
      <c r="BW871" t="s">
        <v>0</v>
      </c>
      <c r="BX871">
        <v>0</v>
      </c>
      <c r="BY871">
        <v>0</v>
      </c>
      <c r="BZ871">
        <v>0</v>
      </c>
      <c r="CA871">
        <v>0</v>
      </c>
      <c r="CB871" t="s">
        <v>145</v>
      </c>
    </row>
    <row r="872" spans="67:80" x14ac:dyDescent="0.25">
      <c r="BO872">
        <v>0</v>
      </c>
      <c r="BP872">
        <v>0</v>
      </c>
      <c r="BQ872">
        <v>0</v>
      </c>
      <c r="BR872">
        <v>0</v>
      </c>
      <c r="BS872">
        <v>0</v>
      </c>
      <c r="BT872">
        <v>0</v>
      </c>
      <c r="BU872">
        <v>0</v>
      </c>
      <c r="BV872">
        <v>0</v>
      </c>
      <c r="BW872" t="s">
        <v>0</v>
      </c>
      <c r="BX872">
        <v>0</v>
      </c>
      <c r="BY872">
        <v>0</v>
      </c>
      <c r="BZ872">
        <v>0</v>
      </c>
      <c r="CA872">
        <v>0</v>
      </c>
      <c r="CB872" t="s">
        <v>145</v>
      </c>
    </row>
    <row r="873" spans="67:80" x14ac:dyDescent="0.25">
      <c r="BO873">
        <v>0</v>
      </c>
      <c r="BP873">
        <v>0</v>
      </c>
      <c r="BQ873">
        <v>0</v>
      </c>
      <c r="BR873">
        <v>0</v>
      </c>
      <c r="BS873">
        <v>0</v>
      </c>
      <c r="BT873">
        <v>0</v>
      </c>
      <c r="BU873">
        <v>0</v>
      </c>
      <c r="BV873">
        <v>0</v>
      </c>
      <c r="BW873" t="s">
        <v>0</v>
      </c>
      <c r="BX873">
        <v>0</v>
      </c>
      <c r="BY873">
        <v>0</v>
      </c>
      <c r="BZ873">
        <v>0</v>
      </c>
      <c r="CA873">
        <v>0</v>
      </c>
      <c r="CB873" t="s">
        <v>145</v>
      </c>
    </row>
    <row r="874" spans="67:80" x14ac:dyDescent="0.25">
      <c r="BO874">
        <v>0</v>
      </c>
      <c r="BP874">
        <v>0</v>
      </c>
      <c r="BQ874">
        <v>0</v>
      </c>
      <c r="BR874">
        <v>0</v>
      </c>
      <c r="BS874">
        <v>0</v>
      </c>
      <c r="BT874">
        <v>0</v>
      </c>
      <c r="BU874">
        <v>0</v>
      </c>
      <c r="BV874">
        <v>0</v>
      </c>
      <c r="BW874" t="s">
        <v>0</v>
      </c>
      <c r="BX874">
        <v>0</v>
      </c>
      <c r="BY874">
        <v>0</v>
      </c>
      <c r="BZ874">
        <v>0</v>
      </c>
      <c r="CA874">
        <v>0</v>
      </c>
      <c r="CB874" t="s">
        <v>145</v>
      </c>
    </row>
    <row r="875" spans="67:80" x14ac:dyDescent="0.25">
      <c r="BO875">
        <v>0</v>
      </c>
      <c r="BP875">
        <v>0</v>
      </c>
      <c r="BQ875">
        <v>0</v>
      </c>
      <c r="BR875">
        <v>0</v>
      </c>
      <c r="BS875">
        <v>0</v>
      </c>
      <c r="BT875">
        <v>0</v>
      </c>
      <c r="BU875">
        <v>0</v>
      </c>
      <c r="BV875">
        <v>0</v>
      </c>
      <c r="BW875" t="s">
        <v>0</v>
      </c>
      <c r="BX875">
        <v>0</v>
      </c>
      <c r="BY875">
        <v>0</v>
      </c>
      <c r="BZ875">
        <v>0</v>
      </c>
      <c r="CA875">
        <v>0</v>
      </c>
      <c r="CB875" t="s">
        <v>145</v>
      </c>
    </row>
    <row r="876" spans="67:80" x14ac:dyDescent="0.25">
      <c r="BO876">
        <v>0</v>
      </c>
      <c r="BP876">
        <v>0</v>
      </c>
      <c r="BQ876">
        <v>0</v>
      </c>
      <c r="BR876">
        <v>0</v>
      </c>
      <c r="BS876">
        <v>0</v>
      </c>
      <c r="BT876">
        <v>0</v>
      </c>
      <c r="BU876">
        <v>0</v>
      </c>
      <c r="BV876">
        <v>0</v>
      </c>
      <c r="BW876" t="s">
        <v>0</v>
      </c>
      <c r="BX876">
        <v>0</v>
      </c>
      <c r="BY876">
        <v>0</v>
      </c>
      <c r="BZ876">
        <v>0</v>
      </c>
      <c r="CA876">
        <v>0</v>
      </c>
      <c r="CB876" t="s">
        <v>145</v>
      </c>
    </row>
    <row r="877" spans="67:80" x14ac:dyDescent="0.25">
      <c r="BO877">
        <v>0</v>
      </c>
      <c r="BP877">
        <v>0</v>
      </c>
      <c r="BQ877">
        <v>0</v>
      </c>
      <c r="BR877">
        <v>0</v>
      </c>
      <c r="BS877">
        <v>0</v>
      </c>
      <c r="BT877">
        <v>0</v>
      </c>
      <c r="BU877">
        <v>0</v>
      </c>
      <c r="BV877">
        <v>0</v>
      </c>
      <c r="BW877" t="s">
        <v>0</v>
      </c>
      <c r="BX877">
        <v>0</v>
      </c>
      <c r="BY877">
        <v>0</v>
      </c>
      <c r="BZ877">
        <v>0</v>
      </c>
      <c r="CA877">
        <v>0</v>
      </c>
      <c r="CB877" t="s">
        <v>145</v>
      </c>
    </row>
    <row r="878" spans="67:80" x14ac:dyDescent="0.25">
      <c r="BO878">
        <v>0</v>
      </c>
      <c r="BP878">
        <v>0</v>
      </c>
      <c r="BQ878">
        <v>0</v>
      </c>
      <c r="BR878">
        <v>0</v>
      </c>
      <c r="BS878">
        <v>0</v>
      </c>
      <c r="BT878">
        <v>0</v>
      </c>
      <c r="BU878">
        <v>0</v>
      </c>
      <c r="BV878">
        <v>0</v>
      </c>
      <c r="BW878" t="s">
        <v>0</v>
      </c>
      <c r="BX878">
        <v>0</v>
      </c>
      <c r="BY878">
        <v>0</v>
      </c>
      <c r="BZ878">
        <v>0</v>
      </c>
      <c r="CA878">
        <v>0</v>
      </c>
      <c r="CB878" t="s">
        <v>145</v>
      </c>
    </row>
    <row r="879" spans="67:80" x14ac:dyDescent="0.25">
      <c r="BO879">
        <v>0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0</v>
      </c>
      <c r="BV879">
        <v>0</v>
      </c>
      <c r="BW879" t="s">
        <v>0</v>
      </c>
      <c r="BX879">
        <v>0</v>
      </c>
      <c r="BY879">
        <v>0</v>
      </c>
      <c r="BZ879">
        <v>0</v>
      </c>
      <c r="CA879">
        <v>0</v>
      </c>
      <c r="CB879" t="s">
        <v>145</v>
      </c>
    </row>
    <row r="880" spans="67:80" x14ac:dyDescent="0.25">
      <c r="BO880">
        <v>0</v>
      </c>
      <c r="BP880">
        <v>0</v>
      </c>
      <c r="BQ880">
        <v>0</v>
      </c>
      <c r="BR880">
        <v>0</v>
      </c>
      <c r="BS880">
        <v>0</v>
      </c>
      <c r="BT880">
        <v>0</v>
      </c>
      <c r="BU880">
        <v>0</v>
      </c>
      <c r="BV880">
        <v>0</v>
      </c>
      <c r="BW880" t="s">
        <v>0</v>
      </c>
      <c r="BX880">
        <v>0</v>
      </c>
      <c r="BY880">
        <v>0</v>
      </c>
      <c r="BZ880">
        <v>0</v>
      </c>
      <c r="CA880">
        <v>0</v>
      </c>
      <c r="CB880" t="s">
        <v>145</v>
      </c>
    </row>
    <row r="881" spans="1:80" x14ac:dyDescent="0.25">
      <c r="BO881">
        <v>0</v>
      </c>
      <c r="BP881">
        <v>0</v>
      </c>
      <c r="BQ881">
        <v>0</v>
      </c>
      <c r="BR881">
        <v>0</v>
      </c>
      <c r="BS881">
        <v>0</v>
      </c>
      <c r="BT881">
        <v>0</v>
      </c>
      <c r="BU881">
        <v>0</v>
      </c>
      <c r="BV881">
        <v>0</v>
      </c>
      <c r="BW881" t="s">
        <v>0</v>
      </c>
      <c r="BX881">
        <v>0</v>
      </c>
      <c r="BY881">
        <v>0</v>
      </c>
      <c r="BZ881">
        <v>0</v>
      </c>
      <c r="CA881">
        <v>0</v>
      </c>
      <c r="CB881" t="s">
        <v>145</v>
      </c>
    </row>
    <row r="882" spans="1:80" x14ac:dyDescent="0.25">
      <c r="BO882">
        <v>0</v>
      </c>
      <c r="BP882">
        <v>0</v>
      </c>
      <c r="BQ882">
        <v>0</v>
      </c>
      <c r="BR882">
        <v>0</v>
      </c>
      <c r="BS882">
        <v>0</v>
      </c>
      <c r="BT882">
        <v>0</v>
      </c>
      <c r="BU882">
        <v>0</v>
      </c>
      <c r="BV882">
        <v>0</v>
      </c>
      <c r="BW882" t="s">
        <v>0</v>
      </c>
      <c r="BX882">
        <v>0</v>
      </c>
      <c r="BY882">
        <v>0</v>
      </c>
      <c r="BZ882">
        <v>0</v>
      </c>
      <c r="CA882">
        <v>0</v>
      </c>
      <c r="CB882" t="s">
        <v>145</v>
      </c>
    </row>
    <row r="883" spans="1:80" x14ac:dyDescent="0.25">
      <c r="BO883">
        <v>0</v>
      </c>
      <c r="BP883">
        <v>0</v>
      </c>
      <c r="BQ883">
        <v>0</v>
      </c>
      <c r="BR883">
        <v>0</v>
      </c>
      <c r="BS883">
        <v>0</v>
      </c>
      <c r="BT883">
        <v>0</v>
      </c>
      <c r="BU883">
        <v>0</v>
      </c>
      <c r="BV883">
        <v>0</v>
      </c>
      <c r="BW883" t="s">
        <v>0</v>
      </c>
      <c r="BX883">
        <v>0</v>
      </c>
      <c r="BY883">
        <v>0</v>
      </c>
      <c r="BZ883">
        <v>0</v>
      </c>
      <c r="CA883">
        <v>0</v>
      </c>
      <c r="CB883" t="s">
        <v>145</v>
      </c>
    </row>
    <row r="884" spans="1:80" x14ac:dyDescent="0.25">
      <c r="BO884">
        <v>0</v>
      </c>
      <c r="BP884">
        <v>0</v>
      </c>
      <c r="BQ884">
        <v>0</v>
      </c>
      <c r="BR884">
        <v>0</v>
      </c>
      <c r="BS884">
        <v>0</v>
      </c>
      <c r="BT884">
        <v>0</v>
      </c>
      <c r="BU884">
        <v>0</v>
      </c>
      <c r="BV884">
        <v>0</v>
      </c>
      <c r="BW884" t="s">
        <v>0</v>
      </c>
      <c r="BX884">
        <v>0</v>
      </c>
      <c r="BY884">
        <v>0</v>
      </c>
      <c r="BZ884">
        <v>0</v>
      </c>
      <c r="CA884">
        <v>0</v>
      </c>
      <c r="CB884" t="s">
        <v>145</v>
      </c>
    </row>
    <row r="885" spans="1:80" x14ac:dyDescent="0.25">
      <c r="BO885">
        <v>0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</v>
      </c>
      <c r="BV885">
        <v>0</v>
      </c>
      <c r="BW885" t="s">
        <v>0</v>
      </c>
      <c r="BX885">
        <v>0</v>
      </c>
      <c r="BY885">
        <v>0</v>
      </c>
      <c r="BZ885">
        <v>0</v>
      </c>
      <c r="CA885">
        <v>0</v>
      </c>
      <c r="CB885" t="s">
        <v>145</v>
      </c>
    </row>
    <row r="886" spans="1:80" x14ac:dyDescent="0.25">
      <c r="BO886">
        <v>0</v>
      </c>
      <c r="BP886">
        <v>0</v>
      </c>
      <c r="BQ886">
        <v>0</v>
      </c>
      <c r="BR886">
        <v>0</v>
      </c>
      <c r="BS886">
        <v>0</v>
      </c>
      <c r="BT886">
        <v>0</v>
      </c>
      <c r="BU886">
        <v>0</v>
      </c>
      <c r="BV886">
        <v>0</v>
      </c>
      <c r="BW886" t="s">
        <v>0</v>
      </c>
      <c r="BX886">
        <v>0</v>
      </c>
      <c r="BY886">
        <v>0</v>
      </c>
      <c r="BZ886">
        <v>0</v>
      </c>
      <c r="CA886">
        <v>0</v>
      </c>
      <c r="CB886" t="s">
        <v>145</v>
      </c>
    </row>
    <row r="887" spans="1:80" s="5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>
        <v>0</v>
      </c>
      <c r="BP887">
        <v>0</v>
      </c>
      <c r="BQ887">
        <v>0</v>
      </c>
      <c r="BR887">
        <v>0</v>
      </c>
      <c r="BS887">
        <v>0</v>
      </c>
      <c r="BT887">
        <v>0</v>
      </c>
      <c r="BU887">
        <v>0</v>
      </c>
      <c r="BV887">
        <v>0</v>
      </c>
      <c r="BW887" t="s">
        <v>0</v>
      </c>
      <c r="BX887">
        <v>0</v>
      </c>
      <c r="BY887">
        <v>0</v>
      </c>
      <c r="BZ887">
        <v>0</v>
      </c>
      <c r="CA887">
        <v>0</v>
      </c>
      <c r="CB887" t="s">
        <v>145</v>
      </c>
    </row>
    <row r="888" spans="1:80" x14ac:dyDescent="0.25">
      <c r="BO888">
        <v>0</v>
      </c>
      <c r="BP888">
        <v>0</v>
      </c>
      <c r="BQ888">
        <v>0</v>
      </c>
      <c r="BR888">
        <v>0</v>
      </c>
      <c r="BS888">
        <v>0</v>
      </c>
      <c r="BT888">
        <v>0</v>
      </c>
      <c r="BU888">
        <v>0</v>
      </c>
      <c r="BV888">
        <v>0</v>
      </c>
      <c r="BW888" t="s">
        <v>0</v>
      </c>
      <c r="BX888">
        <v>0</v>
      </c>
      <c r="BY888">
        <v>0</v>
      </c>
      <c r="BZ888">
        <v>0</v>
      </c>
      <c r="CA888">
        <v>0</v>
      </c>
      <c r="CB888" t="s">
        <v>145</v>
      </c>
    </row>
    <row r="889" spans="1:80" x14ac:dyDescent="0.25">
      <c r="BO889">
        <v>0</v>
      </c>
      <c r="BP889">
        <v>0</v>
      </c>
      <c r="BQ889">
        <v>0</v>
      </c>
      <c r="BR889">
        <v>0</v>
      </c>
      <c r="BS889">
        <v>0</v>
      </c>
      <c r="BT889">
        <v>0</v>
      </c>
      <c r="BU889">
        <v>0</v>
      </c>
      <c r="BV889">
        <v>0</v>
      </c>
      <c r="BW889" t="s">
        <v>0</v>
      </c>
      <c r="BX889">
        <v>0</v>
      </c>
      <c r="BY889">
        <v>0</v>
      </c>
      <c r="BZ889">
        <v>0</v>
      </c>
      <c r="CA889">
        <v>0</v>
      </c>
      <c r="CB889" t="s">
        <v>145</v>
      </c>
    </row>
    <row r="890" spans="1:80" x14ac:dyDescent="0.25">
      <c r="BO890">
        <v>0</v>
      </c>
      <c r="BP890">
        <v>0</v>
      </c>
      <c r="BQ890">
        <v>0</v>
      </c>
      <c r="BR890">
        <v>0</v>
      </c>
      <c r="BS890">
        <v>0</v>
      </c>
      <c r="BT890">
        <v>0</v>
      </c>
      <c r="BU890">
        <v>0</v>
      </c>
      <c r="BV890">
        <v>0</v>
      </c>
      <c r="BW890" t="s">
        <v>0</v>
      </c>
      <c r="BX890">
        <v>0</v>
      </c>
      <c r="BY890">
        <v>0</v>
      </c>
      <c r="BZ890">
        <v>0</v>
      </c>
      <c r="CA890">
        <v>0</v>
      </c>
      <c r="CB890" t="s">
        <v>145</v>
      </c>
    </row>
    <row r="891" spans="1:80" x14ac:dyDescent="0.25">
      <c r="BO891">
        <v>0</v>
      </c>
      <c r="BP891">
        <v>0</v>
      </c>
      <c r="BQ891">
        <v>0</v>
      </c>
      <c r="BR891">
        <v>0</v>
      </c>
      <c r="BS891">
        <v>0</v>
      </c>
      <c r="BT891">
        <v>0</v>
      </c>
      <c r="BU891">
        <v>0</v>
      </c>
      <c r="BV891">
        <v>0</v>
      </c>
      <c r="BW891" t="s">
        <v>0</v>
      </c>
      <c r="BX891">
        <v>0</v>
      </c>
      <c r="BY891">
        <v>0</v>
      </c>
      <c r="BZ891">
        <v>0</v>
      </c>
      <c r="CA891">
        <v>0</v>
      </c>
      <c r="CB891" t="s">
        <v>145</v>
      </c>
    </row>
    <row r="892" spans="1:80" x14ac:dyDescent="0.25">
      <c r="BO892">
        <v>0</v>
      </c>
      <c r="BP892">
        <v>0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0</v>
      </c>
      <c r="BW892" t="s">
        <v>0</v>
      </c>
      <c r="BX892">
        <v>0</v>
      </c>
      <c r="BY892">
        <v>0</v>
      </c>
      <c r="BZ892">
        <v>0</v>
      </c>
      <c r="CA892">
        <v>0</v>
      </c>
      <c r="CB892" t="s">
        <v>145</v>
      </c>
    </row>
    <row r="893" spans="1:80" x14ac:dyDescent="0.25">
      <c r="BO893">
        <v>0</v>
      </c>
      <c r="BP893">
        <v>0</v>
      </c>
      <c r="BQ893">
        <v>0</v>
      </c>
      <c r="BR893">
        <v>0</v>
      </c>
      <c r="BS893">
        <v>0</v>
      </c>
      <c r="BT893">
        <v>0</v>
      </c>
      <c r="BU893">
        <v>0</v>
      </c>
      <c r="BV893">
        <v>0</v>
      </c>
      <c r="BW893" t="s">
        <v>0</v>
      </c>
      <c r="BX893">
        <v>0</v>
      </c>
      <c r="BY893">
        <v>0</v>
      </c>
      <c r="BZ893">
        <v>0</v>
      </c>
      <c r="CA893">
        <v>0</v>
      </c>
      <c r="CB893" t="s">
        <v>145</v>
      </c>
    </row>
    <row r="894" spans="1:80" x14ac:dyDescent="0.25">
      <c r="BO894">
        <v>0</v>
      </c>
      <c r="BP894">
        <v>0</v>
      </c>
      <c r="BQ894">
        <v>0</v>
      </c>
      <c r="BR894">
        <v>0</v>
      </c>
      <c r="BS894">
        <v>0</v>
      </c>
      <c r="BT894">
        <v>0</v>
      </c>
      <c r="BU894">
        <v>0</v>
      </c>
      <c r="BV894">
        <v>0</v>
      </c>
      <c r="BW894" t="s">
        <v>0</v>
      </c>
      <c r="BX894">
        <v>0</v>
      </c>
      <c r="BY894">
        <v>0</v>
      </c>
      <c r="BZ894">
        <v>0</v>
      </c>
      <c r="CA894">
        <v>0</v>
      </c>
      <c r="CB894" t="s">
        <v>145</v>
      </c>
    </row>
    <row r="895" spans="1:80" x14ac:dyDescent="0.25">
      <c r="BO895">
        <v>0</v>
      </c>
      <c r="BP895">
        <v>0</v>
      </c>
      <c r="BQ895">
        <v>0</v>
      </c>
      <c r="BR895">
        <v>0</v>
      </c>
      <c r="BS895">
        <v>0</v>
      </c>
      <c r="BT895">
        <v>0</v>
      </c>
      <c r="BU895">
        <v>0</v>
      </c>
      <c r="BV895">
        <v>0</v>
      </c>
      <c r="BW895" t="s">
        <v>0</v>
      </c>
      <c r="BX895">
        <v>0</v>
      </c>
      <c r="BY895">
        <v>0</v>
      </c>
      <c r="BZ895">
        <v>0</v>
      </c>
      <c r="CA895">
        <v>0</v>
      </c>
      <c r="CB895" t="s">
        <v>145</v>
      </c>
    </row>
    <row r="896" spans="1:80" x14ac:dyDescent="0.25">
      <c r="BO896">
        <v>0</v>
      </c>
      <c r="BP896">
        <v>0</v>
      </c>
      <c r="BQ896">
        <v>0</v>
      </c>
      <c r="BR896">
        <v>0</v>
      </c>
      <c r="BS896">
        <v>0</v>
      </c>
      <c r="BT896">
        <v>0</v>
      </c>
      <c r="BU896">
        <v>0</v>
      </c>
      <c r="BV896">
        <v>0</v>
      </c>
      <c r="BW896" t="s">
        <v>0</v>
      </c>
      <c r="BX896">
        <v>0</v>
      </c>
      <c r="BY896">
        <v>0</v>
      </c>
      <c r="BZ896">
        <v>0</v>
      </c>
      <c r="CA896">
        <v>0</v>
      </c>
      <c r="CB896" t="s">
        <v>145</v>
      </c>
    </row>
    <row r="897" spans="67:80" x14ac:dyDescent="0.25">
      <c r="BO897">
        <v>0</v>
      </c>
      <c r="BP897">
        <v>0</v>
      </c>
      <c r="BQ897">
        <v>0</v>
      </c>
      <c r="BR897">
        <v>0</v>
      </c>
      <c r="BS897">
        <v>0</v>
      </c>
      <c r="BT897">
        <v>0</v>
      </c>
      <c r="BU897">
        <v>0</v>
      </c>
      <c r="BV897">
        <v>0</v>
      </c>
      <c r="BW897" t="s">
        <v>0</v>
      </c>
      <c r="BX897">
        <v>0</v>
      </c>
      <c r="BY897">
        <v>0</v>
      </c>
      <c r="BZ897">
        <v>0</v>
      </c>
      <c r="CA897">
        <v>0</v>
      </c>
      <c r="CB897" t="s">
        <v>145</v>
      </c>
    </row>
    <row r="898" spans="67:80" x14ac:dyDescent="0.25">
      <c r="BO898">
        <v>0</v>
      </c>
      <c r="BP898">
        <v>0</v>
      </c>
      <c r="BQ898">
        <v>0</v>
      </c>
      <c r="BR898">
        <v>0</v>
      </c>
      <c r="BS898">
        <v>0</v>
      </c>
      <c r="BT898">
        <v>0</v>
      </c>
      <c r="BU898">
        <v>0</v>
      </c>
      <c r="BV898">
        <v>0</v>
      </c>
      <c r="BW898" t="s">
        <v>0</v>
      </c>
      <c r="BX898">
        <v>0</v>
      </c>
      <c r="BY898">
        <v>0</v>
      </c>
      <c r="BZ898">
        <v>0</v>
      </c>
      <c r="CA898">
        <v>0</v>
      </c>
      <c r="CB898" t="s">
        <v>145</v>
      </c>
    </row>
    <row r="899" spans="67:80" x14ac:dyDescent="0.25">
      <c r="BO899">
        <v>0</v>
      </c>
      <c r="BP899">
        <v>0</v>
      </c>
      <c r="BQ899">
        <v>0</v>
      </c>
      <c r="BR899">
        <v>0</v>
      </c>
      <c r="BS899">
        <v>0</v>
      </c>
      <c r="BT899">
        <v>0</v>
      </c>
      <c r="BU899">
        <v>0</v>
      </c>
      <c r="BV899">
        <v>0</v>
      </c>
      <c r="BW899" t="s">
        <v>0</v>
      </c>
      <c r="BX899">
        <v>0</v>
      </c>
      <c r="BY899">
        <v>0</v>
      </c>
      <c r="BZ899">
        <v>0</v>
      </c>
      <c r="CA899">
        <v>0</v>
      </c>
      <c r="CB899" t="s">
        <v>145</v>
      </c>
    </row>
    <row r="900" spans="67:80" x14ac:dyDescent="0.25">
      <c r="BO900">
        <v>0</v>
      </c>
      <c r="BP900">
        <v>0</v>
      </c>
      <c r="BQ900">
        <v>0</v>
      </c>
      <c r="BR900">
        <v>0</v>
      </c>
      <c r="BS900">
        <v>0</v>
      </c>
      <c r="BT900">
        <v>0</v>
      </c>
      <c r="BU900">
        <v>0</v>
      </c>
      <c r="BV900">
        <v>0</v>
      </c>
      <c r="BW900" t="s">
        <v>0</v>
      </c>
      <c r="BX900">
        <v>0</v>
      </c>
      <c r="BY900">
        <v>0</v>
      </c>
      <c r="BZ900">
        <v>0</v>
      </c>
      <c r="CA900">
        <v>0</v>
      </c>
      <c r="CB900" t="s">
        <v>145</v>
      </c>
    </row>
    <row r="901" spans="67:80" x14ac:dyDescent="0.25">
      <c r="BO901">
        <v>0</v>
      </c>
      <c r="BP901">
        <v>0</v>
      </c>
      <c r="BQ901">
        <v>0</v>
      </c>
      <c r="BR901">
        <v>0</v>
      </c>
      <c r="BS901">
        <v>0</v>
      </c>
      <c r="BT901">
        <v>0</v>
      </c>
      <c r="BU901">
        <v>0</v>
      </c>
      <c r="BV901">
        <v>0</v>
      </c>
      <c r="BW901" t="s">
        <v>0</v>
      </c>
      <c r="BX901">
        <v>0</v>
      </c>
      <c r="BY901">
        <v>0</v>
      </c>
      <c r="BZ901">
        <v>0</v>
      </c>
      <c r="CA901">
        <v>0</v>
      </c>
      <c r="CB901" t="s">
        <v>145</v>
      </c>
    </row>
    <row r="902" spans="67:80" x14ac:dyDescent="0.25">
      <c r="BO902">
        <v>0</v>
      </c>
      <c r="BP902">
        <v>0</v>
      </c>
      <c r="BQ902">
        <v>0</v>
      </c>
      <c r="BR902">
        <v>0</v>
      </c>
      <c r="BS902">
        <v>0</v>
      </c>
      <c r="BT902">
        <v>0</v>
      </c>
      <c r="BU902">
        <v>0</v>
      </c>
      <c r="BV902">
        <v>0</v>
      </c>
      <c r="BW902" t="s">
        <v>0</v>
      </c>
      <c r="BX902">
        <v>0</v>
      </c>
      <c r="BY902">
        <v>0</v>
      </c>
      <c r="BZ902">
        <v>0</v>
      </c>
      <c r="CA902">
        <v>0</v>
      </c>
      <c r="CB902" t="s">
        <v>145</v>
      </c>
    </row>
    <row r="903" spans="67:80" x14ac:dyDescent="0.25"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0</v>
      </c>
      <c r="BW903" t="s">
        <v>0</v>
      </c>
      <c r="BX903">
        <v>0</v>
      </c>
      <c r="BY903">
        <v>0</v>
      </c>
      <c r="BZ903">
        <v>0</v>
      </c>
      <c r="CA903">
        <v>0</v>
      </c>
      <c r="CB903" t="s">
        <v>145</v>
      </c>
    </row>
    <row r="904" spans="67:80" x14ac:dyDescent="0.25">
      <c r="BO904">
        <v>0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0</v>
      </c>
      <c r="BV904">
        <v>0</v>
      </c>
      <c r="BW904" t="s">
        <v>0</v>
      </c>
      <c r="BX904">
        <v>0</v>
      </c>
      <c r="BY904">
        <v>0</v>
      </c>
      <c r="BZ904">
        <v>0</v>
      </c>
      <c r="CA904">
        <v>0</v>
      </c>
      <c r="CB904" t="s">
        <v>145</v>
      </c>
    </row>
    <row r="905" spans="67:80" x14ac:dyDescent="0.25">
      <c r="BO905">
        <v>0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  <c r="BW905" t="s">
        <v>0</v>
      </c>
      <c r="BX905">
        <v>0</v>
      </c>
      <c r="BY905">
        <v>0</v>
      </c>
      <c r="BZ905">
        <v>0</v>
      </c>
      <c r="CA905">
        <v>0</v>
      </c>
      <c r="CB905" t="s">
        <v>145</v>
      </c>
    </row>
    <row r="906" spans="67:80" x14ac:dyDescent="0.25">
      <c r="BO906">
        <v>0</v>
      </c>
      <c r="BP906">
        <v>0</v>
      </c>
      <c r="BQ906">
        <v>0</v>
      </c>
      <c r="BR906">
        <v>0</v>
      </c>
      <c r="BS906">
        <v>0</v>
      </c>
      <c r="BT906">
        <v>0</v>
      </c>
      <c r="BU906">
        <v>0</v>
      </c>
      <c r="BV906">
        <v>0</v>
      </c>
      <c r="BW906" t="s">
        <v>0</v>
      </c>
      <c r="BX906">
        <v>0</v>
      </c>
      <c r="BY906">
        <v>0</v>
      </c>
      <c r="BZ906">
        <v>0</v>
      </c>
      <c r="CA906">
        <v>0</v>
      </c>
      <c r="CB906" t="s">
        <v>145</v>
      </c>
    </row>
    <row r="907" spans="67:80" x14ac:dyDescent="0.25">
      <c r="BO907">
        <v>0</v>
      </c>
      <c r="BP907">
        <v>0</v>
      </c>
      <c r="BQ907">
        <v>0</v>
      </c>
      <c r="BR907">
        <v>0</v>
      </c>
      <c r="BS907">
        <v>0</v>
      </c>
      <c r="BT907">
        <v>0</v>
      </c>
      <c r="BU907">
        <v>0</v>
      </c>
      <c r="BV907">
        <v>0</v>
      </c>
      <c r="BW907" t="s">
        <v>0</v>
      </c>
      <c r="BX907">
        <v>0</v>
      </c>
      <c r="BY907">
        <v>0</v>
      </c>
      <c r="BZ907">
        <v>0</v>
      </c>
      <c r="CA907">
        <v>0</v>
      </c>
      <c r="CB907" t="s">
        <v>145</v>
      </c>
    </row>
    <row r="908" spans="67:80" x14ac:dyDescent="0.25">
      <c r="BO908">
        <v>0</v>
      </c>
      <c r="BP908">
        <v>0</v>
      </c>
      <c r="BQ908">
        <v>0</v>
      </c>
      <c r="BR908">
        <v>0</v>
      </c>
      <c r="BS908">
        <v>0</v>
      </c>
      <c r="BT908">
        <v>0</v>
      </c>
      <c r="BU908">
        <v>0</v>
      </c>
      <c r="BV908">
        <v>0</v>
      </c>
      <c r="BW908" t="s">
        <v>0</v>
      </c>
      <c r="BX908">
        <v>0</v>
      </c>
      <c r="BY908">
        <v>0</v>
      </c>
      <c r="BZ908">
        <v>0</v>
      </c>
      <c r="CA908">
        <v>0</v>
      </c>
      <c r="CB908" t="s">
        <v>145</v>
      </c>
    </row>
    <row r="909" spans="67:80" x14ac:dyDescent="0.25">
      <c r="BO909">
        <v>0</v>
      </c>
      <c r="BP909">
        <v>0</v>
      </c>
      <c r="BQ909">
        <v>0</v>
      </c>
      <c r="BR909">
        <v>0</v>
      </c>
      <c r="BS909">
        <v>0</v>
      </c>
      <c r="BT909">
        <v>0</v>
      </c>
      <c r="BU909">
        <v>0</v>
      </c>
      <c r="BV909">
        <v>0</v>
      </c>
      <c r="BW909" t="s">
        <v>0</v>
      </c>
      <c r="BX909">
        <v>0</v>
      </c>
      <c r="BY909">
        <v>0</v>
      </c>
      <c r="BZ909">
        <v>0</v>
      </c>
      <c r="CA909">
        <v>0</v>
      </c>
      <c r="CB909" t="s">
        <v>145</v>
      </c>
    </row>
    <row r="910" spans="67:80" x14ac:dyDescent="0.25">
      <c r="BO910">
        <v>0</v>
      </c>
      <c r="BP910">
        <v>0</v>
      </c>
      <c r="BQ910">
        <v>0</v>
      </c>
      <c r="BR910">
        <v>0</v>
      </c>
      <c r="BS910">
        <v>0</v>
      </c>
      <c r="BT910">
        <v>0</v>
      </c>
      <c r="BU910">
        <v>0</v>
      </c>
      <c r="BV910">
        <v>0</v>
      </c>
      <c r="BW910" t="s">
        <v>0</v>
      </c>
      <c r="BX910">
        <v>0</v>
      </c>
      <c r="BY910">
        <v>0</v>
      </c>
      <c r="BZ910">
        <v>0</v>
      </c>
      <c r="CA910">
        <v>0</v>
      </c>
      <c r="CB910" t="s">
        <v>145</v>
      </c>
    </row>
    <row r="911" spans="67:80" x14ac:dyDescent="0.25">
      <c r="BO911">
        <v>0</v>
      </c>
      <c r="BP911">
        <v>0</v>
      </c>
      <c r="BQ911">
        <v>0</v>
      </c>
      <c r="BR911">
        <v>0</v>
      </c>
      <c r="BS911">
        <v>0</v>
      </c>
      <c r="BT911">
        <v>0</v>
      </c>
      <c r="BU911">
        <v>0</v>
      </c>
      <c r="BV911">
        <v>0</v>
      </c>
      <c r="BW911" t="s">
        <v>0</v>
      </c>
      <c r="BX911">
        <v>0</v>
      </c>
      <c r="BY911">
        <v>0</v>
      </c>
      <c r="BZ911">
        <v>0</v>
      </c>
      <c r="CA911">
        <v>0</v>
      </c>
      <c r="CB911" t="s">
        <v>145</v>
      </c>
    </row>
    <row r="912" spans="67:80" x14ac:dyDescent="0.25">
      <c r="BO912">
        <v>0</v>
      </c>
      <c r="BP912">
        <v>0</v>
      </c>
      <c r="BQ912">
        <v>0</v>
      </c>
      <c r="BR912">
        <v>0</v>
      </c>
      <c r="BS912">
        <v>0</v>
      </c>
      <c r="BT912">
        <v>0</v>
      </c>
      <c r="BU912">
        <v>0</v>
      </c>
      <c r="BV912">
        <v>0</v>
      </c>
      <c r="BW912" t="s">
        <v>0</v>
      </c>
      <c r="BX912">
        <v>0</v>
      </c>
      <c r="BY912">
        <v>0</v>
      </c>
      <c r="BZ912">
        <v>0</v>
      </c>
      <c r="CA912">
        <v>0</v>
      </c>
      <c r="CB912" t="s">
        <v>145</v>
      </c>
    </row>
    <row r="913" spans="67:80" x14ac:dyDescent="0.25">
      <c r="BO913">
        <v>0</v>
      </c>
      <c r="BP913">
        <v>0</v>
      </c>
      <c r="BQ913">
        <v>0</v>
      </c>
      <c r="BR913">
        <v>0</v>
      </c>
      <c r="BS913">
        <v>0</v>
      </c>
      <c r="BT913">
        <v>0</v>
      </c>
      <c r="BU913">
        <v>0</v>
      </c>
      <c r="BV913">
        <v>0</v>
      </c>
      <c r="BW913" t="s">
        <v>0</v>
      </c>
      <c r="BX913">
        <v>0</v>
      </c>
      <c r="BY913">
        <v>0</v>
      </c>
      <c r="BZ913">
        <v>0</v>
      </c>
      <c r="CA913">
        <v>0</v>
      </c>
      <c r="CB913" t="s">
        <v>145</v>
      </c>
    </row>
    <row r="914" spans="67:80" x14ac:dyDescent="0.25">
      <c r="BO914">
        <v>0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  <c r="BW914" t="s">
        <v>0</v>
      </c>
      <c r="BX914">
        <v>0</v>
      </c>
      <c r="BY914">
        <v>0</v>
      </c>
      <c r="BZ914">
        <v>0</v>
      </c>
      <c r="CA914">
        <v>0</v>
      </c>
      <c r="CB914" t="s">
        <v>145</v>
      </c>
    </row>
    <row r="915" spans="67:80" x14ac:dyDescent="0.25">
      <c r="BO915">
        <v>0</v>
      </c>
      <c r="BP915">
        <v>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  <c r="BW915" t="s">
        <v>0</v>
      </c>
      <c r="BX915">
        <v>0</v>
      </c>
      <c r="BY915">
        <v>0</v>
      </c>
      <c r="BZ915">
        <v>0</v>
      </c>
      <c r="CA915">
        <v>0</v>
      </c>
      <c r="CB915" t="s">
        <v>145</v>
      </c>
    </row>
    <row r="916" spans="67:80" x14ac:dyDescent="0.25">
      <c r="BO916">
        <v>0</v>
      </c>
      <c r="BP916">
        <v>0</v>
      </c>
      <c r="BQ916">
        <v>0</v>
      </c>
      <c r="BR916">
        <v>0</v>
      </c>
      <c r="BS916">
        <v>0</v>
      </c>
      <c r="BT916">
        <v>0</v>
      </c>
      <c r="BU916">
        <v>0</v>
      </c>
      <c r="BV916">
        <v>0</v>
      </c>
      <c r="BW916" t="s">
        <v>0</v>
      </c>
      <c r="BX916">
        <v>0</v>
      </c>
      <c r="BY916">
        <v>0</v>
      </c>
      <c r="BZ916">
        <v>0</v>
      </c>
      <c r="CA916">
        <v>0</v>
      </c>
      <c r="CB916" t="s">
        <v>145</v>
      </c>
    </row>
    <row r="917" spans="67:80" x14ac:dyDescent="0.25">
      <c r="BO917">
        <v>0</v>
      </c>
      <c r="BP917">
        <v>0</v>
      </c>
      <c r="BQ917">
        <v>0</v>
      </c>
      <c r="BR917">
        <v>0</v>
      </c>
      <c r="BS917">
        <v>0</v>
      </c>
      <c r="BT917">
        <v>0</v>
      </c>
      <c r="BU917">
        <v>0</v>
      </c>
      <c r="BV917">
        <v>0</v>
      </c>
      <c r="BW917" t="s">
        <v>0</v>
      </c>
      <c r="BX917">
        <v>0</v>
      </c>
      <c r="BY917">
        <v>0</v>
      </c>
      <c r="BZ917">
        <v>0</v>
      </c>
      <c r="CA917">
        <v>0</v>
      </c>
      <c r="CB917" t="s">
        <v>145</v>
      </c>
    </row>
    <row r="918" spans="67:80" x14ac:dyDescent="0.25">
      <c r="BO918">
        <v>0</v>
      </c>
      <c r="BP918">
        <v>0</v>
      </c>
      <c r="BQ918">
        <v>0</v>
      </c>
      <c r="BR918">
        <v>0</v>
      </c>
      <c r="BS918">
        <v>0</v>
      </c>
      <c r="BT918">
        <v>0</v>
      </c>
      <c r="BU918">
        <v>0</v>
      </c>
      <c r="BV918">
        <v>0</v>
      </c>
      <c r="BW918" t="s">
        <v>0</v>
      </c>
      <c r="BX918">
        <v>0</v>
      </c>
      <c r="BY918">
        <v>0</v>
      </c>
      <c r="BZ918">
        <v>0</v>
      </c>
      <c r="CA918">
        <v>0</v>
      </c>
      <c r="CB918" t="s">
        <v>145</v>
      </c>
    </row>
    <row r="919" spans="67:80" x14ac:dyDescent="0.25">
      <c r="BO919">
        <v>0</v>
      </c>
      <c r="BP919">
        <v>0</v>
      </c>
      <c r="BQ919">
        <v>0</v>
      </c>
      <c r="BR919">
        <v>0</v>
      </c>
      <c r="BS919">
        <v>0</v>
      </c>
      <c r="BT919">
        <v>0</v>
      </c>
      <c r="BU919">
        <v>0</v>
      </c>
      <c r="BV919">
        <v>0</v>
      </c>
      <c r="BW919" t="s">
        <v>0</v>
      </c>
      <c r="BX919">
        <v>0</v>
      </c>
      <c r="BY919">
        <v>0</v>
      </c>
      <c r="BZ919">
        <v>0</v>
      </c>
      <c r="CA919">
        <v>0</v>
      </c>
      <c r="CB919" t="s">
        <v>145</v>
      </c>
    </row>
    <row r="920" spans="67:80" x14ac:dyDescent="0.25">
      <c r="BO920">
        <v>0</v>
      </c>
      <c r="BP920">
        <v>0</v>
      </c>
      <c r="BQ920">
        <v>0</v>
      </c>
      <c r="BR920">
        <v>0</v>
      </c>
      <c r="BS920">
        <v>0</v>
      </c>
      <c r="BT920">
        <v>0</v>
      </c>
      <c r="BU920">
        <v>0</v>
      </c>
      <c r="BV920">
        <v>0</v>
      </c>
      <c r="BW920" t="s">
        <v>0</v>
      </c>
      <c r="BX920">
        <v>0</v>
      </c>
      <c r="BY920">
        <v>0</v>
      </c>
      <c r="BZ920">
        <v>0</v>
      </c>
      <c r="CA920">
        <v>0</v>
      </c>
      <c r="CB920" t="s">
        <v>145</v>
      </c>
    </row>
    <row r="921" spans="67:80" x14ac:dyDescent="0.25">
      <c r="BO921">
        <v>0</v>
      </c>
      <c r="BP921">
        <v>0</v>
      </c>
      <c r="BQ921">
        <v>0</v>
      </c>
      <c r="BR921">
        <v>0</v>
      </c>
      <c r="BS921">
        <v>0</v>
      </c>
      <c r="BT921">
        <v>0</v>
      </c>
      <c r="BU921">
        <v>0</v>
      </c>
      <c r="BV921">
        <v>0</v>
      </c>
      <c r="BW921" t="s">
        <v>0</v>
      </c>
      <c r="BX921">
        <v>0</v>
      </c>
      <c r="BY921">
        <v>0</v>
      </c>
      <c r="BZ921">
        <v>0</v>
      </c>
      <c r="CA921">
        <v>0</v>
      </c>
      <c r="CB921" t="s">
        <v>145</v>
      </c>
    </row>
    <row r="922" spans="67:80" x14ac:dyDescent="0.25">
      <c r="BO922">
        <v>0</v>
      </c>
      <c r="BP922">
        <v>0</v>
      </c>
      <c r="BQ922">
        <v>0</v>
      </c>
      <c r="BR922">
        <v>0</v>
      </c>
      <c r="BS922">
        <v>0</v>
      </c>
      <c r="BT922">
        <v>0</v>
      </c>
      <c r="BU922">
        <v>0</v>
      </c>
      <c r="BV922">
        <v>0</v>
      </c>
      <c r="BW922" t="s">
        <v>0</v>
      </c>
      <c r="BX922">
        <v>0</v>
      </c>
      <c r="BY922">
        <v>0</v>
      </c>
      <c r="BZ922">
        <v>0</v>
      </c>
      <c r="CA922">
        <v>0</v>
      </c>
      <c r="CB922" t="s">
        <v>145</v>
      </c>
    </row>
    <row r="923" spans="67:80" x14ac:dyDescent="0.25">
      <c r="BO923">
        <v>0</v>
      </c>
      <c r="BP923">
        <v>0</v>
      </c>
      <c r="BQ923">
        <v>0</v>
      </c>
      <c r="BR923">
        <v>0</v>
      </c>
      <c r="BS923">
        <v>0</v>
      </c>
      <c r="BT923">
        <v>0</v>
      </c>
      <c r="BU923">
        <v>0</v>
      </c>
      <c r="BV923">
        <v>0</v>
      </c>
      <c r="BW923" t="s">
        <v>0</v>
      </c>
      <c r="BX923">
        <v>0</v>
      </c>
      <c r="BY923">
        <v>0</v>
      </c>
      <c r="BZ923">
        <v>0</v>
      </c>
      <c r="CA923">
        <v>0</v>
      </c>
      <c r="CB923" t="s">
        <v>145</v>
      </c>
    </row>
    <row r="924" spans="67:80" x14ac:dyDescent="0.25">
      <c r="BO924">
        <v>0</v>
      </c>
      <c r="BP924">
        <v>0</v>
      </c>
      <c r="BQ924">
        <v>0</v>
      </c>
      <c r="BR924">
        <v>0</v>
      </c>
      <c r="BS924">
        <v>0</v>
      </c>
      <c r="BT924">
        <v>0</v>
      </c>
      <c r="BU924">
        <v>0</v>
      </c>
      <c r="BV924">
        <v>0</v>
      </c>
      <c r="BW924" t="s">
        <v>0</v>
      </c>
      <c r="BX924">
        <v>0</v>
      </c>
      <c r="BY924">
        <v>0</v>
      </c>
      <c r="BZ924">
        <v>0</v>
      </c>
      <c r="CA924">
        <v>0</v>
      </c>
      <c r="CB924" t="s">
        <v>145</v>
      </c>
    </row>
    <row r="925" spans="67:80" x14ac:dyDescent="0.25">
      <c r="BO925">
        <v>0</v>
      </c>
      <c r="BP925">
        <v>0</v>
      </c>
      <c r="BQ925">
        <v>0</v>
      </c>
      <c r="BR925">
        <v>0</v>
      </c>
      <c r="BS925">
        <v>0</v>
      </c>
      <c r="BT925">
        <v>0</v>
      </c>
      <c r="BU925">
        <v>0</v>
      </c>
      <c r="BV925">
        <v>0</v>
      </c>
      <c r="BW925" t="s">
        <v>0</v>
      </c>
      <c r="BX925">
        <v>0</v>
      </c>
      <c r="BY925">
        <v>0</v>
      </c>
      <c r="BZ925">
        <v>0</v>
      </c>
      <c r="CA925">
        <v>0</v>
      </c>
      <c r="CB925" t="s">
        <v>145</v>
      </c>
    </row>
    <row r="926" spans="67:80" x14ac:dyDescent="0.25">
      <c r="BO926">
        <v>0</v>
      </c>
      <c r="BP926">
        <v>0</v>
      </c>
      <c r="BQ926">
        <v>0</v>
      </c>
      <c r="BR926">
        <v>0</v>
      </c>
      <c r="BS926">
        <v>0</v>
      </c>
      <c r="BT926">
        <v>0</v>
      </c>
      <c r="BU926">
        <v>0</v>
      </c>
      <c r="BV926">
        <v>0</v>
      </c>
      <c r="BW926" t="s">
        <v>0</v>
      </c>
      <c r="BX926">
        <v>0</v>
      </c>
      <c r="BY926">
        <v>0</v>
      </c>
      <c r="BZ926">
        <v>0</v>
      </c>
      <c r="CA926">
        <v>0</v>
      </c>
      <c r="CB926" t="s">
        <v>145</v>
      </c>
    </row>
    <row r="927" spans="67:80" x14ac:dyDescent="0.25">
      <c r="BO927">
        <v>0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</v>
      </c>
      <c r="BV927">
        <v>0</v>
      </c>
      <c r="BW927" t="s">
        <v>0</v>
      </c>
      <c r="BX927">
        <v>0</v>
      </c>
      <c r="BY927">
        <v>0</v>
      </c>
      <c r="BZ927">
        <v>0</v>
      </c>
      <c r="CA927">
        <v>0</v>
      </c>
      <c r="CB927" t="s">
        <v>145</v>
      </c>
    </row>
    <row r="928" spans="67:80" x14ac:dyDescent="0.25">
      <c r="BO928">
        <v>0</v>
      </c>
      <c r="BP928">
        <v>0</v>
      </c>
      <c r="BQ928">
        <v>0</v>
      </c>
      <c r="BR928">
        <v>0</v>
      </c>
      <c r="BS928">
        <v>0</v>
      </c>
      <c r="BT928">
        <v>0</v>
      </c>
      <c r="BU928">
        <v>0</v>
      </c>
      <c r="BV928">
        <v>0</v>
      </c>
      <c r="BW928" t="s">
        <v>0</v>
      </c>
      <c r="BX928">
        <v>0</v>
      </c>
      <c r="BY928">
        <v>0</v>
      </c>
      <c r="BZ928">
        <v>0</v>
      </c>
      <c r="CA928">
        <v>0</v>
      </c>
      <c r="CB928" t="s">
        <v>145</v>
      </c>
    </row>
    <row r="929" spans="67:80" x14ac:dyDescent="0.25">
      <c r="BO929">
        <v>0</v>
      </c>
      <c r="BP929">
        <v>0</v>
      </c>
      <c r="BQ929">
        <v>0</v>
      </c>
      <c r="BR929">
        <v>0</v>
      </c>
      <c r="BS929">
        <v>0</v>
      </c>
      <c r="BT929">
        <v>0</v>
      </c>
      <c r="BU929">
        <v>0</v>
      </c>
      <c r="BV929">
        <v>0</v>
      </c>
      <c r="BW929" t="s">
        <v>0</v>
      </c>
      <c r="BX929">
        <v>0</v>
      </c>
      <c r="BY929">
        <v>0</v>
      </c>
      <c r="BZ929">
        <v>0</v>
      </c>
      <c r="CA929">
        <v>0</v>
      </c>
      <c r="CB929" t="s">
        <v>145</v>
      </c>
    </row>
    <row r="930" spans="67:80" x14ac:dyDescent="0.25">
      <c r="BO930">
        <v>0</v>
      </c>
      <c r="BP930">
        <v>0</v>
      </c>
      <c r="BQ930">
        <v>0</v>
      </c>
      <c r="BR930">
        <v>0</v>
      </c>
      <c r="BS930">
        <v>0</v>
      </c>
      <c r="BT930">
        <v>0</v>
      </c>
      <c r="BU930">
        <v>0</v>
      </c>
      <c r="BV930">
        <v>0</v>
      </c>
      <c r="BW930" t="s">
        <v>0</v>
      </c>
      <c r="BX930">
        <v>0</v>
      </c>
      <c r="BY930">
        <v>0</v>
      </c>
      <c r="BZ930">
        <v>0</v>
      </c>
      <c r="CA930">
        <v>0</v>
      </c>
      <c r="CB930" t="s">
        <v>145</v>
      </c>
    </row>
    <row r="931" spans="67:80" x14ac:dyDescent="0.25">
      <c r="BO931">
        <v>0</v>
      </c>
      <c r="BP931">
        <v>0</v>
      </c>
      <c r="BQ931">
        <v>0</v>
      </c>
      <c r="BR931">
        <v>0</v>
      </c>
      <c r="BS931">
        <v>0</v>
      </c>
      <c r="BT931">
        <v>0</v>
      </c>
      <c r="BU931">
        <v>0</v>
      </c>
      <c r="BV931">
        <v>0</v>
      </c>
      <c r="BW931" t="s">
        <v>0</v>
      </c>
      <c r="BX931">
        <v>0</v>
      </c>
      <c r="BY931">
        <v>0</v>
      </c>
      <c r="BZ931">
        <v>0</v>
      </c>
      <c r="CA931">
        <v>0</v>
      </c>
      <c r="CB931" t="s">
        <v>145</v>
      </c>
    </row>
    <row r="932" spans="67:80" x14ac:dyDescent="0.25">
      <c r="BO932">
        <v>0</v>
      </c>
      <c r="BP932">
        <v>0</v>
      </c>
      <c r="BQ932">
        <v>0</v>
      </c>
      <c r="BR932">
        <v>0</v>
      </c>
      <c r="BS932">
        <v>0</v>
      </c>
      <c r="BT932">
        <v>0</v>
      </c>
      <c r="BU932">
        <v>0</v>
      </c>
      <c r="BV932">
        <v>0</v>
      </c>
      <c r="BW932" t="s">
        <v>0</v>
      </c>
      <c r="BX932">
        <v>0</v>
      </c>
      <c r="BY932">
        <v>0</v>
      </c>
      <c r="BZ932">
        <v>0</v>
      </c>
      <c r="CA932">
        <v>0</v>
      </c>
      <c r="CB932" t="s">
        <v>145</v>
      </c>
    </row>
    <row r="933" spans="67:80" x14ac:dyDescent="0.25">
      <c r="BO933">
        <v>0</v>
      </c>
      <c r="BP933">
        <v>0</v>
      </c>
      <c r="BQ933">
        <v>0</v>
      </c>
      <c r="BR933">
        <v>0</v>
      </c>
      <c r="BS933">
        <v>0</v>
      </c>
      <c r="BT933">
        <v>0</v>
      </c>
      <c r="BU933">
        <v>0</v>
      </c>
      <c r="BV933">
        <v>0</v>
      </c>
      <c r="BW933" t="s">
        <v>0</v>
      </c>
      <c r="BX933">
        <v>0</v>
      </c>
      <c r="BY933">
        <v>0</v>
      </c>
      <c r="BZ933">
        <v>0</v>
      </c>
      <c r="CA933">
        <v>0</v>
      </c>
      <c r="CB933" t="s">
        <v>145</v>
      </c>
    </row>
    <row r="934" spans="67:80" x14ac:dyDescent="0.25">
      <c r="BO934">
        <v>0</v>
      </c>
      <c r="BP934">
        <v>0</v>
      </c>
      <c r="BQ934">
        <v>0</v>
      </c>
      <c r="BR934">
        <v>0</v>
      </c>
      <c r="BS934">
        <v>0</v>
      </c>
      <c r="BT934">
        <v>0</v>
      </c>
      <c r="BU934">
        <v>0</v>
      </c>
      <c r="BV934">
        <v>0</v>
      </c>
      <c r="BW934" t="s">
        <v>0</v>
      </c>
      <c r="BX934">
        <v>0</v>
      </c>
      <c r="BY934">
        <v>0</v>
      </c>
      <c r="BZ934">
        <v>0</v>
      </c>
      <c r="CA934">
        <v>0</v>
      </c>
      <c r="CB934" t="s">
        <v>145</v>
      </c>
    </row>
    <row r="935" spans="67:80" x14ac:dyDescent="0.25">
      <c r="BO935">
        <v>0</v>
      </c>
      <c r="BP935">
        <v>0</v>
      </c>
      <c r="BQ935">
        <v>0</v>
      </c>
      <c r="BR935">
        <v>0</v>
      </c>
      <c r="BS935">
        <v>0</v>
      </c>
      <c r="BT935">
        <v>0</v>
      </c>
      <c r="BU935">
        <v>0</v>
      </c>
      <c r="BV935">
        <v>0</v>
      </c>
      <c r="BW935" t="s">
        <v>0</v>
      </c>
      <c r="BX935">
        <v>0</v>
      </c>
      <c r="BY935">
        <v>0</v>
      </c>
      <c r="BZ935">
        <v>0</v>
      </c>
      <c r="CA935">
        <v>0</v>
      </c>
      <c r="CB935" t="s">
        <v>145</v>
      </c>
    </row>
    <row r="936" spans="67:80" x14ac:dyDescent="0.25">
      <c r="BO936">
        <v>0</v>
      </c>
      <c r="BP936">
        <v>0</v>
      </c>
      <c r="BQ936">
        <v>0</v>
      </c>
      <c r="BR936">
        <v>0</v>
      </c>
      <c r="BS936">
        <v>0</v>
      </c>
      <c r="BT936">
        <v>0</v>
      </c>
      <c r="BU936">
        <v>0</v>
      </c>
      <c r="BV936">
        <v>0</v>
      </c>
      <c r="BW936" t="s">
        <v>0</v>
      </c>
      <c r="BX936">
        <v>0</v>
      </c>
      <c r="BY936">
        <v>0</v>
      </c>
      <c r="BZ936">
        <v>0</v>
      </c>
      <c r="CA936">
        <v>0</v>
      </c>
      <c r="CB936" t="s">
        <v>145</v>
      </c>
    </row>
    <row r="937" spans="67:80" x14ac:dyDescent="0.25">
      <c r="BO937">
        <v>0</v>
      </c>
      <c r="BP937">
        <v>0</v>
      </c>
      <c r="BQ937">
        <v>0</v>
      </c>
      <c r="BR937">
        <v>0</v>
      </c>
      <c r="BS937">
        <v>0</v>
      </c>
      <c r="BT937">
        <v>0</v>
      </c>
      <c r="BU937">
        <v>0</v>
      </c>
      <c r="BV937">
        <v>0</v>
      </c>
      <c r="BW937" t="s">
        <v>0</v>
      </c>
      <c r="BX937">
        <v>0</v>
      </c>
      <c r="BY937">
        <v>0</v>
      </c>
      <c r="BZ937">
        <v>0</v>
      </c>
      <c r="CA937">
        <v>0</v>
      </c>
      <c r="CB937" t="s">
        <v>145</v>
      </c>
    </row>
    <row r="938" spans="67:80" x14ac:dyDescent="0.25">
      <c r="BO938">
        <v>0</v>
      </c>
      <c r="BP938">
        <v>0</v>
      </c>
      <c r="BQ938">
        <v>0</v>
      </c>
      <c r="BR938">
        <v>0</v>
      </c>
      <c r="BS938">
        <v>0</v>
      </c>
      <c r="BT938">
        <v>0</v>
      </c>
      <c r="BU938">
        <v>0</v>
      </c>
      <c r="BV938">
        <v>0</v>
      </c>
      <c r="BW938" t="s">
        <v>0</v>
      </c>
      <c r="BX938">
        <v>0</v>
      </c>
      <c r="BY938">
        <v>0</v>
      </c>
      <c r="BZ938">
        <v>0</v>
      </c>
      <c r="CA938">
        <v>0</v>
      </c>
      <c r="CB938" t="s">
        <v>145</v>
      </c>
    </row>
    <row r="939" spans="67:80" x14ac:dyDescent="0.25">
      <c r="BO939">
        <v>0</v>
      </c>
      <c r="BP939">
        <v>0</v>
      </c>
      <c r="BQ939">
        <v>0</v>
      </c>
      <c r="BR939">
        <v>0</v>
      </c>
      <c r="BS939">
        <v>0</v>
      </c>
      <c r="BT939">
        <v>0</v>
      </c>
      <c r="BU939">
        <v>0</v>
      </c>
      <c r="BV939">
        <v>0</v>
      </c>
      <c r="BW939" t="s">
        <v>0</v>
      </c>
      <c r="BX939">
        <v>0</v>
      </c>
      <c r="BY939">
        <v>0</v>
      </c>
      <c r="BZ939">
        <v>0</v>
      </c>
      <c r="CA939">
        <v>0</v>
      </c>
      <c r="CB939" t="s">
        <v>145</v>
      </c>
    </row>
    <row r="940" spans="67:80" x14ac:dyDescent="0.25">
      <c r="BO940">
        <v>0</v>
      </c>
      <c r="BP940">
        <v>0</v>
      </c>
      <c r="BQ940">
        <v>0</v>
      </c>
      <c r="BR940">
        <v>0</v>
      </c>
      <c r="BS940">
        <v>0</v>
      </c>
      <c r="BT940">
        <v>0</v>
      </c>
      <c r="BU940">
        <v>0</v>
      </c>
      <c r="BV940">
        <v>0</v>
      </c>
      <c r="BW940" t="s">
        <v>0</v>
      </c>
      <c r="BX940">
        <v>0</v>
      </c>
      <c r="BY940">
        <v>0</v>
      </c>
      <c r="BZ940">
        <v>0</v>
      </c>
      <c r="CA940">
        <v>0</v>
      </c>
      <c r="CB940" t="s">
        <v>145</v>
      </c>
    </row>
    <row r="941" spans="67:80" x14ac:dyDescent="0.25">
      <c r="BO941">
        <v>0</v>
      </c>
      <c r="BP941">
        <v>0</v>
      </c>
      <c r="BQ941">
        <v>0</v>
      </c>
      <c r="BR941">
        <v>0</v>
      </c>
      <c r="BS941">
        <v>0</v>
      </c>
      <c r="BT941">
        <v>0</v>
      </c>
      <c r="BU941">
        <v>0</v>
      </c>
      <c r="BV941">
        <v>0</v>
      </c>
      <c r="BW941" t="s">
        <v>0</v>
      </c>
      <c r="BX941">
        <v>0</v>
      </c>
      <c r="BY941">
        <v>0</v>
      </c>
      <c r="BZ941">
        <v>0</v>
      </c>
      <c r="CA941">
        <v>0</v>
      </c>
      <c r="CB941" t="s">
        <v>145</v>
      </c>
    </row>
    <row r="942" spans="67:80" x14ac:dyDescent="0.25">
      <c r="BO942">
        <v>0</v>
      </c>
      <c r="BP942">
        <v>0</v>
      </c>
      <c r="BQ942">
        <v>0</v>
      </c>
      <c r="BR942">
        <v>0</v>
      </c>
      <c r="BS942">
        <v>0</v>
      </c>
      <c r="BT942">
        <v>0</v>
      </c>
      <c r="BU942">
        <v>0</v>
      </c>
      <c r="BV942">
        <v>0</v>
      </c>
      <c r="BW942" t="s">
        <v>0</v>
      </c>
      <c r="BX942">
        <v>0</v>
      </c>
      <c r="BY942">
        <v>0</v>
      </c>
      <c r="BZ942">
        <v>0</v>
      </c>
      <c r="CA942">
        <v>0</v>
      </c>
      <c r="CB942" t="s">
        <v>145</v>
      </c>
    </row>
    <row r="943" spans="67:80" x14ac:dyDescent="0.25">
      <c r="BO943">
        <v>0</v>
      </c>
      <c r="BP943">
        <v>0</v>
      </c>
      <c r="BQ943">
        <v>0</v>
      </c>
      <c r="BR943">
        <v>0</v>
      </c>
      <c r="BS943">
        <v>0</v>
      </c>
      <c r="BT943">
        <v>0</v>
      </c>
      <c r="BU943">
        <v>0</v>
      </c>
      <c r="BV943">
        <v>0</v>
      </c>
      <c r="BW943" t="s">
        <v>0</v>
      </c>
      <c r="BX943">
        <v>0</v>
      </c>
      <c r="BY943">
        <v>0</v>
      </c>
      <c r="BZ943">
        <v>0</v>
      </c>
      <c r="CA943">
        <v>0</v>
      </c>
      <c r="CB943" t="s">
        <v>145</v>
      </c>
    </row>
    <row r="944" spans="67:80" x14ac:dyDescent="0.25">
      <c r="BO944">
        <v>0</v>
      </c>
      <c r="BP944">
        <v>0</v>
      </c>
      <c r="BQ944">
        <v>0</v>
      </c>
      <c r="BR944">
        <v>0</v>
      </c>
      <c r="BS944">
        <v>0</v>
      </c>
      <c r="BT944">
        <v>0</v>
      </c>
      <c r="BU944">
        <v>0</v>
      </c>
      <c r="BV944">
        <v>0</v>
      </c>
      <c r="BW944" t="s">
        <v>0</v>
      </c>
      <c r="BX944">
        <v>0</v>
      </c>
      <c r="BY944">
        <v>0</v>
      </c>
      <c r="BZ944">
        <v>0</v>
      </c>
      <c r="CA944">
        <v>0</v>
      </c>
      <c r="CB944" t="s">
        <v>145</v>
      </c>
    </row>
    <row r="945" spans="67:80" x14ac:dyDescent="0.25">
      <c r="BO945">
        <v>0</v>
      </c>
      <c r="BP945">
        <v>0</v>
      </c>
      <c r="BQ945">
        <v>0</v>
      </c>
      <c r="BR945">
        <v>0</v>
      </c>
      <c r="BS945">
        <v>0</v>
      </c>
      <c r="BT945">
        <v>0</v>
      </c>
      <c r="BU945">
        <v>0</v>
      </c>
      <c r="BV945">
        <v>0</v>
      </c>
      <c r="BW945" t="s">
        <v>0</v>
      </c>
      <c r="BX945">
        <v>0</v>
      </c>
      <c r="BY945">
        <v>0</v>
      </c>
      <c r="BZ945">
        <v>0</v>
      </c>
      <c r="CA945">
        <v>0</v>
      </c>
      <c r="CB945" t="s">
        <v>145</v>
      </c>
    </row>
    <row r="946" spans="67:80" x14ac:dyDescent="0.25">
      <c r="BO946">
        <v>0</v>
      </c>
      <c r="BP946">
        <v>0</v>
      </c>
      <c r="BQ946">
        <v>0</v>
      </c>
      <c r="BR946">
        <v>0</v>
      </c>
      <c r="BS946">
        <v>0</v>
      </c>
      <c r="BT946">
        <v>0</v>
      </c>
      <c r="BU946">
        <v>0</v>
      </c>
      <c r="BV946">
        <v>0</v>
      </c>
      <c r="BW946" t="s">
        <v>0</v>
      </c>
      <c r="BX946">
        <v>0</v>
      </c>
      <c r="BY946">
        <v>0</v>
      </c>
      <c r="BZ946">
        <v>0</v>
      </c>
      <c r="CA946">
        <v>0</v>
      </c>
      <c r="CB946" t="s">
        <v>145</v>
      </c>
    </row>
    <row r="947" spans="67:80" x14ac:dyDescent="0.25">
      <c r="BO947">
        <v>0</v>
      </c>
      <c r="BP947">
        <v>0</v>
      </c>
      <c r="BQ947">
        <v>0</v>
      </c>
      <c r="BR947">
        <v>0</v>
      </c>
      <c r="BS947">
        <v>0</v>
      </c>
      <c r="BT947">
        <v>0</v>
      </c>
      <c r="BU947">
        <v>0</v>
      </c>
      <c r="BV947">
        <v>0</v>
      </c>
      <c r="BW947" t="s">
        <v>0</v>
      </c>
      <c r="BX947">
        <v>0</v>
      </c>
      <c r="BY947">
        <v>0</v>
      </c>
      <c r="BZ947">
        <v>0</v>
      </c>
      <c r="CA947">
        <v>0</v>
      </c>
      <c r="CB947" t="s">
        <v>145</v>
      </c>
    </row>
    <row r="948" spans="67:80" x14ac:dyDescent="0.25">
      <c r="BO948">
        <v>0</v>
      </c>
      <c r="BP948">
        <v>0</v>
      </c>
      <c r="BQ948">
        <v>0</v>
      </c>
      <c r="BR948">
        <v>0</v>
      </c>
      <c r="BS948">
        <v>0</v>
      </c>
      <c r="BT948">
        <v>0</v>
      </c>
      <c r="BU948">
        <v>0</v>
      </c>
      <c r="BV948">
        <v>0</v>
      </c>
      <c r="BW948" t="s">
        <v>0</v>
      </c>
      <c r="BX948">
        <v>0</v>
      </c>
      <c r="BY948">
        <v>0</v>
      </c>
      <c r="BZ948">
        <v>0</v>
      </c>
      <c r="CA948">
        <v>0</v>
      </c>
      <c r="CB948" t="s">
        <v>145</v>
      </c>
    </row>
    <row r="949" spans="67:80" x14ac:dyDescent="0.25">
      <c r="BO949">
        <v>0</v>
      </c>
      <c r="BP949">
        <v>0</v>
      </c>
      <c r="BQ949">
        <v>0</v>
      </c>
      <c r="BR949">
        <v>0</v>
      </c>
      <c r="BS949">
        <v>0</v>
      </c>
      <c r="BT949">
        <v>0</v>
      </c>
      <c r="BU949">
        <v>0</v>
      </c>
      <c r="BV949">
        <v>0</v>
      </c>
      <c r="BW949" t="s">
        <v>0</v>
      </c>
      <c r="BX949">
        <v>0</v>
      </c>
      <c r="BY949">
        <v>0</v>
      </c>
      <c r="BZ949">
        <v>0</v>
      </c>
      <c r="CA949">
        <v>0</v>
      </c>
      <c r="CB949" t="s">
        <v>145</v>
      </c>
    </row>
    <row r="950" spans="67:80" x14ac:dyDescent="0.25">
      <c r="BO950">
        <v>0</v>
      </c>
      <c r="BP950">
        <v>0</v>
      </c>
      <c r="BQ950">
        <v>0</v>
      </c>
      <c r="BR950">
        <v>0</v>
      </c>
      <c r="BS950">
        <v>0</v>
      </c>
      <c r="BT950">
        <v>0</v>
      </c>
      <c r="BU950">
        <v>0</v>
      </c>
      <c r="BV950">
        <v>0</v>
      </c>
      <c r="BW950" t="s">
        <v>0</v>
      </c>
      <c r="BX950">
        <v>0</v>
      </c>
      <c r="BY950">
        <v>0</v>
      </c>
      <c r="BZ950">
        <v>0</v>
      </c>
      <c r="CA950">
        <v>0</v>
      </c>
      <c r="CB950" t="s">
        <v>145</v>
      </c>
    </row>
    <row r="951" spans="67:80" x14ac:dyDescent="0.25">
      <c r="BO951">
        <v>0</v>
      </c>
      <c r="BP951">
        <v>0</v>
      </c>
      <c r="BQ951">
        <v>0</v>
      </c>
      <c r="BR951">
        <v>0</v>
      </c>
      <c r="BS951">
        <v>0</v>
      </c>
      <c r="BT951">
        <v>0</v>
      </c>
      <c r="BU951">
        <v>0</v>
      </c>
      <c r="BV951">
        <v>0</v>
      </c>
      <c r="BW951" t="s">
        <v>0</v>
      </c>
      <c r="BX951">
        <v>0</v>
      </c>
      <c r="BY951">
        <v>0</v>
      </c>
      <c r="BZ951">
        <v>0</v>
      </c>
      <c r="CA951">
        <v>0</v>
      </c>
      <c r="CB951" t="s">
        <v>145</v>
      </c>
    </row>
    <row r="952" spans="67:80" x14ac:dyDescent="0.25">
      <c r="BO952">
        <v>0</v>
      </c>
      <c r="BP952">
        <v>0</v>
      </c>
      <c r="BQ952">
        <v>0</v>
      </c>
      <c r="BR952">
        <v>0</v>
      </c>
      <c r="BS952">
        <v>0</v>
      </c>
      <c r="BT952">
        <v>0</v>
      </c>
      <c r="BU952">
        <v>0</v>
      </c>
      <c r="BV952">
        <v>0</v>
      </c>
      <c r="BW952" t="s">
        <v>0</v>
      </c>
      <c r="BX952">
        <v>0</v>
      </c>
      <c r="BY952">
        <v>0</v>
      </c>
      <c r="BZ952">
        <v>0</v>
      </c>
      <c r="CA952">
        <v>0</v>
      </c>
      <c r="CB952" t="s">
        <v>145</v>
      </c>
    </row>
    <row r="953" spans="67:80" x14ac:dyDescent="0.25">
      <c r="BO953">
        <v>0</v>
      </c>
      <c r="BP953">
        <v>0</v>
      </c>
      <c r="BQ953">
        <v>0</v>
      </c>
      <c r="BR953">
        <v>0</v>
      </c>
      <c r="BS953">
        <v>0</v>
      </c>
      <c r="BT953">
        <v>0</v>
      </c>
      <c r="BU953">
        <v>0</v>
      </c>
      <c r="BV953">
        <v>0</v>
      </c>
      <c r="BW953" t="s">
        <v>0</v>
      </c>
      <c r="BX953">
        <v>0</v>
      </c>
      <c r="BY953">
        <v>0</v>
      </c>
      <c r="BZ953">
        <v>0</v>
      </c>
      <c r="CA953">
        <v>0</v>
      </c>
      <c r="CB953" t="s">
        <v>145</v>
      </c>
    </row>
    <row r="954" spans="67:80" x14ac:dyDescent="0.25">
      <c r="BO954">
        <v>0</v>
      </c>
      <c r="BP954">
        <v>0</v>
      </c>
      <c r="BQ954">
        <v>0</v>
      </c>
      <c r="BR954">
        <v>0</v>
      </c>
      <c r="BS954">
        <v>0</v>
      </c>
      <c r="BT954">
        <v>0</v>
      </c>
      <c r="BU954">
        <v>0</v>
      </c>
      <c r="BV954">
        <v>0</v>
      </c>
      <c r="BW954" t="s">
        <v>0</v>
      </c>
      <c r="BX954">
        <v>0</v>
      </c>
      <c r="BY954">
        <v>0</v>
      </c>
      <c r="BZ954">
        <v>0</v>
      </c>
      <c r="CA954">
        <v>0</v>
      </c>
      <c r="CB954" t="s">
        <v>145</v>
      </c>
    </row>
    <row r="955" spans="67:80" x14ac:dyDescent="0.25">
      <c r="BO955">
        <v>0</v>
      </c>
      <c r="BP955">
        <v>0</v>
      </c>
      <c r="BQ955">
        <v>0</v>
      </c>
      <c r="BR955">
        <v>0</v>
      </c>
      <c r="BS955">
        <v>0</v>
      </c>
      <c r="BT955">
        <v>0</v>
      </c>
      <c r="BU955">
        <v>0</v>
      </c>
      <c r="BV955">
        <v>0</v>
      </c>
      <c r="BW955" t="s">
        <v>0</v>
      </c>
      <c r="BX955">
        <v>0</v>
      </c>
      <c r="BY955">
        <v>0</v>
      </c>
      <c r="BZ955">
        <v>0</v>
      </c>
      <c r="CA955">
        <v>0</v>
      </c>
      <c r="CB955" t="s">
        <v>145</v>
      </c>
    </row>
    <row r="956" spans="67:80" x14ac:dyDescent="0.25">
      <c r="BO956">
        <v>0</v>
      </c>
      <c r="BP956">
        <v>0</v>
      </c>
      <c r="BQ956">
        <v>0</v>
      </c>
      <c r="BR956">
        <v>0</v>
      </c>
      <c r="BS956">
        <v>0</v>
      </c>
      <c r="BT956">
        <v>0</v>
      </c>
      <c r="BU956">
        <v>0</v>
      </c>
      <c r="BV956">
        <v>0</v>
      </c>
      <c r="BW956" t="s">
        <v>0</v>
      </c>
      <c r="BX956">
        <v>0</v>
      </c>
      <c r="BY956">
        <v>0</v>
      </c>
      <c r="BZ956">
        <v>0</v>
      </c>
      <c r="CA956">
        <v>0</v>
      </c>
      <c r="CB956" t="s">
        <v>145</v>
      </c>
    </row>
    <row r="957" spans="67:80" x14ac:dyDescent="0.25">
      <c r="BO957">
        <v>0</v>
      </c>
      <c r="BP957">
        <v>0</v>
      </c>
      <c r="BQ957">
        <v>0</v>
      </c>
      <c r="BR957">
        <v>0</v>
      </c>
      <c r="BS957">
        <v>0</v>
      </c>
      <c r="BT957">
        <v>0</v>
      </c>
      <c r="BU957">
        <v>0</v>
      </c>
      <c r="BV957">
        <v>0</v>
      </c>
      <c r="BW957" t="s">
        <v>0</v>
      </c>
      <c r="BX957">
        <v>0</v>
      </c>
      <c r="BY957">
        <v>0</v>
      </c>
      <c r="BZ957">
        <v>0</v>
      </c>
      <c r="CA957">
        <v>0</v>
      </c>
      <c r="CB957" t="s">
        <v>145</v>
      </c>
    </row>
    <row r="958" spans="67:80" x14ac:dyDescent="0.25">
      <c r="BO958">
        <v>0</v>
      </c>
      <c r="BP958">
        <v>0</v>
      </c>
      <c r="BQ958">
        <v>0</v>
      </c>
      <c r="BR958">
        <v>0</v>
      </c>
      <c r="BS958">
        <v>0</v>
      </c>
      <c r="BT958">
        <v>0</v>
      </c>
      <c r="BU958">
        <v>0</v>
      </c>
      <c r="BV958">
        <v>0</v>
      </c>
      <c r="BW958" t="s">
        <v>0</v>
      </c>
      <c r="BX958">
        <v>0</v>
      </c>
      <c r="BY958">
        <v>0</v>
      </c>
      <c r="BZ958">
        <v>0</v>
      </c>
      <c r="CA958">
        <v>0</v>
      </c>
      <c r="CB958" t="s">
        <v>145</v>
      </c>
    </row>
    <row r="959" spans="67:80" x14ac:dyDescent="0.25">
      <c r="BO959">
        <v>0</v>
      </c>
      <c r="BP959">
        <v>0</v>
      </c>
      <c r="BQ959">
        <v>0</v>
      </c>
      <c r="BR959">
        <v>0</v>
      </c>
      <c r="BS959">
        <v>0</v>
      </c>
      <c r="BT959">
        <v>0</v>
      </c>
      <c r="BU959">
        <v>0</v>
      </c>
      <c r="BV959">
        <v>0</v>
      </c>
      <c r="BW959" t="s">
        <v>0</v>
      </c>
      <c r="BX959">
        <v>0</v>
      </c>
      <c r="BY959">
        <v>0</v>
      </c>
      <c r="BZ959">
        <v>0</v>
      </c>
      <c r="CA959">
        <v>0</v>
      </c>
      <c r="CB959" t="s">
        <v>145</v>
      </c>
    </row>
    <row r="960" spans="67:80" x14ac:dyDescent="0.25">
      <c r="BO960">
        <v>0</v>
      </c>
      <c r="BP960">
        <v>0</v>
      </c>
      <c r="BQ960">
        <v>0</v>
      </c>
      <c r="BR960">
        <v>0</v>
      </c>
      <c r="BS960">
        <v>0</v>
      </c>
      <c r="BT960">
        <v>0</v>
      </c>
      <c r="BU960">
        <v>0</v>
      </c>
      <c r="BV960">
        <v>0</v>
      </c>
      <c r="BW960" t="s">
        <v>0</v>
      </c>
      <c r="BX960">
        <v>0</v>
      </c>
      <c r="BY960">
        <v>0</v>
      </c>
      <c r="BZ960">
        <v>0</v>
      </c>
      <c r="CA960">
        <v>0</v>
      </c>
      <c r="CB960" t="s">
        <v>145</v>
      </c>
    </row>
    <row r="961" spans="67:80" x14ac:dyDescent="0.25">
      <c r="BO961">
        <v>0</v>
      </c>
      <c r="BP961">
        <v>0</v>
      </c>
      <c r="BQ961">
        <v>0</v>
      </c>
      <c r="BR961">
        <v>0</v>
      </c>
      <c r="BS961">
        <v>0</v>
      </c>
      <c r="BT961">
        <v>0</v>
      </c>
      <c r="BU961">
        <v>0</v>
      </c>
      <c r="BV961">
        <v>0</v>
      </c>
      <c r="BW961" t="s">
        <v>0</v>
      </c>
      <c r="BX961">
        <v>0</v>
      </c>
      <c r="BY961">
        <v>0</v>
      </c>
      <c r="BZ961">
        <v>0</v>
      </c>
      <c r="CA961">
        <v>0</v>
      </c>
      <c r="CB961" t="s">
        <v>145</v>
      </c>
    </row>
    <row r="962" spans="67:80" x14ac:dyDescent="0.25">
      <c r="BO962">
        <v>0</v>
      </c>
      <c r="BP962">
        <v>0</v>
      </c>
      <c r="BQ962">
        <v>0</v>
      </c>
      <c r="BR962">
        <v>0</v>
      </c>
      <c r="BS962">
        <v>0</v>
      </c>
      <c r="BT962">
        <v>0</v>
      </c>
      <c r="BU962">
        <v>0</v>
      </c>
      <c r="BV962">
        <v>0</v>
      </c>
      <c r="BW962" t="s">
        <v>0</v>
      </c>
      <c r="BX962">
        <v>0</v>
      </c>
      <c r="BY962">
        <v>0</v>
      </c>
      <c r="BZ962">
        <v>0</v>
      </c>
      <c r="CA962">
        <v>0</v>
      </c>
      <c r="CB962" t="s">
        <v>145</v>
      </c>
    </row>
    <row r="963" spans="67:80" x14ac:dyDescent="0.25">
      <c r="BO963">
        <v>0</v>
      </c>
      <c r="BP963">
        <v>0</v>
      </c>
      <c r="BQ963">
        <v>0</v>
      </c>
      <c r="BR963">
        <v>0</v>
      </c>
      <c r="BS963">
        <v>0</v>
      </c>
      <c r="BT963">
        <v>0</v>
      </c>
      <c r="BU963">
        <v>0</v>
      </c>
      <c r="BV963">
        <v>0</v>
      </c>
      <c r="BW963" t="s">
        <v>0</v>
      </c>
      <c r="BX963">
        <v>0</v>
      </c>
      <c r="BY963">
        <v>0</v>
      </c>
      <c r="BZ963">
        <v>0</v>
      </c>
      <c r="CA963">
        <v>0</v>
      </c>
      <c r="CB963" t="s">
        <v>145</v>
      </c>
    </row>
    <row r="964" spans="67:80" x14ac:dyDescent="0.25">
      <c r="BO964">
        <v>0</v>
      </c>
      <c r="BP964">
        <v>0</v>
      </c>
      <c r="BQ964">
        <v>0</v>
      </c>
      <c r="BR964">
        <v>0</v>
      </c>
      <c r="BS964">
        <v>0</v>
      </c>
      <c r="BT964">
        <v>0</v>
      </c>
      <c r="BU964">
        <v>0</v>
      </c>
      <c r="BV964">
        <v>0</v>
      </c>
      <c r="BW964" t="s">
        <v>0</v>
      </c>
      <c r="BX964">
        <v>0</v>
      </c>
      <c r="BY964">
        <v>0</v>
      </c>
      <c r="BZ964">
        <v>0</v>
      </c>
      <c r="CA964">
        <v>0</v>
      </c>
      <c r="CB964" t="s">
        <v>145</v>
      </c>
    </row>
    <row r="965" spans="67:80" x14ac:dyDescent="0.25">
      <c r="BO965">
        <v>0</v>
      </c>
      <c r="BP965">
        <v>0</v>
      </c>
      <c r="BQ965">
        <v>0</v>
      </c>
      <c r="BR965">
        <v>0</v>
      </c>
      <c r="BS965">
        <v>0</v>
      </c>
      <c r="BT965">
        <v>0</v>
      </c>
      <c r="BU965">
        <v>0</v>
      </c>
      <c r="BV965">
        <v>0</v>
      </c>
      <c r="BW965" t="s">
        <v>0</v>
      </c>
      <c r="BX965">
        <v>0</v>
      </c>
      <c r="BY965">
        <v>0</v>
      </c>
      <c r="BZ965">
        <v>0</v>
      </c>
      <c r="CA965">
        <v>0</v>
      </c>
      <c r="CB965" t="s">
        <v>145</v>
      </c>
    </row>
    <row r="966" spans="67:80" x14ac:dyDescent="0.25">
      <c r="BO966">
        <v>0</v>
      </c>
      <c r="BP966">
        <v>0</v>
      </c>
      <c r="BQ966">
        <v>0</v>
      </c>
      <c r="BR966">
        <v>0</v>
      </c>
      <c r="BS966">
        <v>0</v>
      </c>
      <c r="BT966">
        <v>0</v>
      </c>
      <c r="BU966">
        <v>0</v>
      </c>
      <c r="BV966">
        <v>0</v>
      </c>
      <c r="BW966" t="s">
        <v>0</v>
      </c>
      <c r="BX966">
        <v>0</v>
      </c>
      <c r="BY966">
        <v>0</v>
      </c>
      <c r="BZ966">
        <v>0</v>
      </c>
      <c r="CA966">
        <v>0</v>
      </c>
      <c r="CB966" t="s">
        <v>145</v>
      </c>
    </row>
    <row r="967" spans="67:80" x14ac:dyDescent="0.25">
      <c r="BO967">
        <v>0</v>
      </c>
      <c r="BP967">
        <v>0</v>
      </c>
      <c r="BQ967">
        <v>0</v>
      </c>
      <c r="BR967">
        <v>0</v>
      </c>
      <c r="BS967">
        <v>0</v>
      </c>
      <c r="BT967">
        <v>0</v>
      </c>
      <c r="BU967">
        <v>0</v>
      </c>
      <c r="BV967">
        <v>0</v>
      </c>
      <c r="BW967" t="s">
        <v>0</v>
      </c>
      <c r="BX967">
        <v>0</v>
      </c>
      <c r="BY967">
        <v>0</v>
      </c>
      <c r="BZ967">
        <v>0</v>
      </c>
      <c r="CA967">
        <v>0</v>
      </c>
      <c r="CB967" t="s">
        <v>145</v>
      </c>
    </row>
    <row r="968" spans="67:80" x14ac:dyDescent="0.25">
      <c r="BO968">
        <v>0</v>
      </c>
      <c r="BP968">
        <v>0</v>
      </c>
      <c r="BQ968">
        <v>0</v>
      </c>
      <c r="BR968">
        <v>0</v>
      </c>
      <c r="BS968">
        <v>0</v>
      </c>
      <c r="BT968">
        <v>0</v>
      </c>
      <c r="BU968">
        <v>0</v>
      </c>
      <c r="BV968">
        <v>0</v>
      </c>
      <c r="BW968" t="s">
        <v>0</v>
      </c>
      <c r="BX968">
        <v>0</v>
      </c>
      <c r="BY968">
        <v>0</v>
      </c>
      <c r="BZ968">
        <v>0</v>
      </c>
      <c r="CA968">
        <v>0</v>
      </c>
      <c r="CB968" t="s">
        <v>145</v>
      </c>
    </row>
    <row r="969" spans="67:80" x14ac:dyDescent="0.25">
      <c r="BO969">
        <v>0</v>
      </c>
      <c r="BP969">
        <v>0</v>
      </c>
      <c r="BQ969">
        <v>0</v>
      </c>
      <c r="BR969">
        <v>0</v>
      </c>
      <c r="BS969">
        <v>0</v>
      </c>
      <c r="BT969">
        <v>0</v>
      </c>
      <c r="BU969">
        <v>0</v>
      </c>
      <c r="BV969">
        <v>0</v>
      </c>
      <c r="BW969" t="s">
        <v>0</v>
      </c>
      <c r="BX969">
        <v>0</v>
      </c>
      <c r="BY969">
        <v>0</v>
      </c>
      <c r="BZ969">
        <v>0</v>
      </c>
      <c r="CA969">
        <v>0</v>
      </c>
      <c r="CB969" t="s">
        <v>145</v>
      </c>
    </row>
    <row r="970" spans="67:80" x14ac:dyDescent="0.25">
      <c r="BO970">
        <v>0</v>
      </c>
      <c r="BP970">
        <v>0</v>
      </c>
      <c r="BQ970">
        <v>0</v>
      </c>
      <c r="BR970">
        <v>0</v>
      </c>
      <c r="BS970">
        <v>0</v>
      </c>
      <c r="BT970">
        <v>0</v>
      </c>
      <c r="BU970">
        <v>0</v>
      </c>
      <c r="BV970">
        <v>0</v>
      </c>
      <c r="BW970" t="s">
        <v>0</v>
      </c>
      <c r="BX970">
        <v>0</v>
      </c>
      <c r="BY970">
        <v>0</v>
      </c>
      <c r="BZ970">
        <v>0</v>
      </c>
      <c r="CA970">
        <v>0</v>
      </c>
      <c r="CB970" t="s">
        <v>145</v>
      </c>
    </row>
    <row r="971" spans="67:80" x14ac:dyDescent="0.25">
      <c r="BO971">
        <v>0</v>
      </c>
      <c r="BP971">
        <v>0</v>
      </c>
      <c r="BQ971">
        <v>0</v>
      </c>
      <c r="BR971">
        <v>0</v>
      </c>
      <c r="BS971">
        <v>0</v>
      </c>
      <c r="BT971">
        <v>0</v>
      </c>
      <c r="BU971">
        <v>0</v>
      </c>
      <c r="BV971">
        <v>0</v>
      </c>
      <c r="BW971" t="s">
        <v>0</v>
      </c>
      <c r="BX971">
        <v>0</v>
      </c>
      <c r="BY971">
        <v>0</v>
      </c>
      <c r="BZ971">
        <v>0</v>
      </c>
      <c r="CA971">
        <v>0</v>
      </c>
      <c r="CB971" t="s">
        <v>145</v>
      </c>
    </row>
    <row r="972" spans="67:80" x14ac:dyDescent="0.25">
      <c r="BO972">
        <v>0</v>
      </c>
      <c r="BP972">
        <v>0</v>
      </c>
      <c r="BQ972">
        <v>0</v>
      </c>
      <c r="BR972">
        <v>0</v>
      </c>
      <c r="BS972">
        <v>0</v>
      </c>
      <c r="BT972">
        <v>0</v>
      </c>
      <c r="BU972">
        <v>0</v>
      </c>
      <c r="BV972">
        <v>0</v>
      </c>
      <c r="BW972" t="s">
        <v>0</v>
      </c>
      <c r="BX972">
        <v>0</v>
      </c>
      <c r="BY972">
        <v>0</v>
      </c>
      <c r="BZ972">
        <v>0</v>
      </c>
      <c r="CA972">
        <v>0</v>
      </c>
      <c r="CB972" t="s">
        <v>145</v>
      </c>
    </row>
    <row r="973" spans="67:80" x14ac:dyDescent="0.25">
      <c r="BO973">
        <v>0</v>
      </c>
      <c r="BP973">
        <v>0</v>
      </c>
      <c r="BQ973">
        <v>0</v>
      </c>
      <c r="BR973">
        <v>0</v>
      </c>
      <c r="BS973">
        <v>0</v>
      </c>
      <c r="BT973">
        <v>0</v>
      </c>
      <c r="BU973">
        <v>0</v>
      </c>
      <c r="BV973">
        <v>0</v>
      </c>
      <c r="BW973" t="s">
        <v>0</v>
      </c>
      <c r="BX973">
        <v>0</v>
      </c>
      <c r="BY973">
        <v>0</v>
      </c>
      <c r="BZ973">
        <v>0</v>
      </c>
      <c r="CA973">
        <v>0</v>
      </c>
      <c r="CB973" t="s">
        <v>145</v>
      </c>
    </row>
    <row r="974" spans="67:80" x14ac:dyDescent="0.25">
      <c r="BO974">
        <v>0</v>
      </c>
      <c r="BP974">
        <v>0</v>
      </c>
      <c r="BQ974">
        <v>0</v>
      </c>
      <c r="BR974">
        <v>0</v>
      </c>
      <c r="BS974">
        <v>0</v>
      </c>
      <c r="BT974">
        <v>0</v>
      </c>
      <c r="BU974">
        <v>0</v>
      </c>
      <c r="BV974">
        <v>0</v>
      </c>
      <c r="BW974" t="s">
        <v>0</v>
      </c>
      <c r="BX974">
        <v>0</v>
      </c>
      <c r="BY974">
        <v>0</v>
      </c>
      <c r="BZ974">
        <v>0</v>
      </c>
      <c r="CA974">
        <v>0</v>
      </c>
      <c r="CB974" t="s">
        <v>145</v>
      </c>
    </row>
    <row r="975" spans="67:80" x14ac:dyDescent="0.25">
      <c r="BO975">
        <v>0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0</v>
      </c>
      <c r="BW975" t="s">
        <v>0</v>
      </c>
      <c r="BX975">
        <v>0</v>
      </c>
      <c r="BY975">
        <v>0</v>
      </c>
      <c r="BZ975">
        <v>0</v>
      </c>
      <c r="CA975">
        <v>0</v>
      </c>
      <c r="CB975" t="s">
        <v>145</v>
      </c>
    </row>
    <row r="976" spans="67:80" x14ac:dyDescent="0.25">
      <c r="BO976">
        <v>0</v>
      </c>
      <c r="BP976">
        <v>0</v>
      </c>
      <c r="BQ976">
        <v>0</v>
      </c>
      <c r="BR976">
        <v>0</v>
      </c>
      <c r="BS976">
        <v>0</v>
      </c>
      <c r="BT976">
        <v>0</v>
      </c>
      <c r="BU976">
        <v>0</v>
      </c>
      <c r="BV976">
        <v>0</v>
      </c>
      <c r="BW976" t="s">
        <v>0</v>
      </c>
      <c r="BX976">
        <v>0</v>
      </c>
      <c r="BY976">
        <v>0</v>
      </c>
      <c r="BZ976">
        <v>0</v>
      </c>
      <c r="CA976">
        <v>0</v>
      </c>
      <c r="CB976" t="s">
        <v>145</v>
      </c>
    </row>
    <row r="977" spans="67:80" x14ac:dyDescent="0.25"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>
        <v>0</v>
      </c>
      <c r="BV977">
        <v>0</v>
      </c>
      <c r="BW977" t="s">
        <v>0</v>
      </c>
      <c r="BX977">
        <v>0</v>
      </c>
      <c r="BY977">
        <v>0</v>
      </c>
      <c r="BZ977">
        <v>0</v>
      </c>
      <c r="CA977">
        <v>0</v>
      </c>
      <c r="CB977" t="s">
        <v>145</v>
      </c>
    </row>
    <row r="978" spans="67:80" x14ac:dyDescent="0.25">
      <c r="BO978">
        <v>0</v>
      </c>
      <c r="BP978">
        <v>0</v>
      </c>
      <c r="BQ978">
        <v>0</v>
      </c>
      <c r="BR978">
        <v>0</v>
      </c>
      <c r="BS978">
        <v>0</v>
      </c>
      <c r="BT978">
        <v>0</v>
      </c>
      <c r="BU978">
        <v>0</v>
      </c>
      <c r="BV978">
        <v>0</v>
      </c>
      <c r="BW978" t="s">
        <v>0</v>
      </c>
      <c r="BX978">
        <v>0</v>
      </c>
      <c r="BY978">
        <v>0</v>
      </c>
      <c r="BZ978">
        <v>0</v>
      </c>
      <c r="CA978">
        <v>0</v>
      </c>
      <c r="CB978" t="s">
        <v>145</v>
      </c>
    </row>
    <row r="979" spans="67:80" x14ac:dyDescent="0.25">
      <c r="BO979">
        <v>0</v>
      </c>
      <c r="BP979">
        <v>0</v>
      </c>
      <c r="BQ979">
        <v>0</v>
      </c>
      <c r="BR979">
        <v>0</v>
      </c>
      <c r="BS979">
        <v>0</v>
      </c>
      <c r="BT979">
        <v>0</v>
      </c>
      <c r="BU979">
        <v>0</v>
      </c>
      <c r="BV979">
        <v>0</v>
      </c>
      <c r="BW979" t="s">
        <v>0</v>
      </c>
      <c r="BX979">
        <v>0</v>
      </c>
      <c r="BY979">
        <v>0</v>
      </c>
      <c r="BZ979">
        <v>0</v>
      </c>
      <c r="CA979">
        <v>0</v>
      </c>
      <c r="CB979" t="s">
        <v>145</v>
      </c>
    </row>
    <row r="980" spans="67:80" x14ac:dyDescent="0.25">
      <c r="BO980">
        <v>0</v>
      </c>
      <c r="BP980">
        <v>0</v>
      </c>
      <c r="BQ980">
        <v>0</v>
      </c>
      <c r="BR980">
        <v>0</v>
      </c>
      <c r="BS980">
        <v>0</v>
      </c>
      <c r="BT980">
        <v>0</v>
      </c>
      <c r="BU980">
        <v>0</v>
      </c>
      <c r="BV980">
        <v>0</v>
      </c>
      <c r="BW980" t="s">
        <v>0</v>
      </c>
      <c r="BX980">
        <v>0</v>
      </c>
      <c r="BY980">
        <v>0</v>
      </c>
      <c r="BZ980">
        <v>0</v>
      </c>
      <c r="CA980">
        <v>0</v>
      </c>
      <c r="CB980" t="s">
        <v>145</v>
      </c>
    </row>
    <row r="981" spans="67:80" x14ac:dyDescent="0.25">
      <c r="BO981">
        <v>0</v>
      </c>
      <c r="BP981">
        <v>0</v>
      </c>
      <c r="BQ981">
        <v>0</v>
      </c>
      <c r="BR981">
        <v>0</v>
      </c>
      <c r="BS981">
        <v>0</v>
      </c>
      <c r="BT981">
        <v>0</v>
      </c>
      <c r="BU981">
        <v>0</v>
      </c>
      <c r="BV981">
        <v>0</v>
      </c>
      <c r="BW981" t="s">
        <v>0</v>
      </c>
      <c r="BX981">
        <v>0</v>
      </c>
      <c r="BY981">
        <v>0</v>
      </c>
      <c r="BZ981">
        <v>0</v>
      </c>
      <c r="CA981">
        <v>0</v>
      </c>
      <c r="CB981" t="s">
        <v>145</v>
      </c>
    </row>
    <row r="982" spans="67:80" x14ac:dyDescent="0.25">
      <c r="BO982">
        <v>0</v>
      </c>
      <c r="BP982">
        <v>0</v>
      </c>
      <c r="BQ982">
        <v>0</v>
      </c>
      <c r="BR982">
        <v>0</v>
      </c>
      <c r="BS982">
        <v>0</v>
      </c>
      <c r="BT982">
        <v>0</v>
      </c>
      <c r="BU982">
        <v>0</v>
      </c>
      <c r="BV982">
        <v>0</v>
      </c>
      <c r="BW982" t="s">
        <v>0</v>
      </c>
      <c r="BX982">
        <v>0</v>
      </c>
      <c r="BY982">
        <v>0</v>
      </c>
      <c r="BZ982">
        <v>0</v>
      </c>
      <c r="CA982">
        <v>0</v>
      </c>
      <c r="CB982" t="s">
        <v>145</v>
      </c>
    </row>
    <row r="983" spans="67:80" x14ac:dyDescent="0.25">
      <c r="BO983">
        <v>0</v>
      </c>
      <c r="BP983">
        <v>0</v>
      </c>
      <c r="BQ983">
        <v>0</v>
      </c>
      <c r="BR983">
        <v>0</v>
      </c>
      <c r="BS983">
        <v>0</v>
      </c>
      <c r="BT983">
        <v>0</v>
      </c>
      <c r="BU983">
        <v>0</v>
      </c>
      <c r="BV983">
        <v>0</v>
      </c>
      <c r="BW983" t="s">
        <v>0</v>
      </c>
      <c r="BX983">
        <v>0</v>
      </c>
      <c r="BY983">
        <v>0</v>
      </c>
      <c r="BZ983">
        <v>0</v>
      </c>
      <c r="CA983">
        <v>0</v>
      </c>
      <c r="CB983" t="s">
        <v>145</v>
      </c>
    </row>
    <row r="984" spans="67:80" x14ac:dyDescent="0.25">
      <c r="BO984">
        <v>0</v>
      </c>
      <c r="BP984">
        <v>0</v>
      </c>
      <c r="BQ984">
        <v>0</v>
      </c>
      <c r="BR984">
        <v>0</v>
      </c>
      <c r="BS984">
        <v>0</v>
      </c>
      <c r="BT984">
        <v>0</v>
      </c>
      <c r="BU984">
        <v>0</v>
      </c>
      <c r="BV984">
        <v>0</v>
      </c>
      <c r="BW984" t="s">
        <v>0</v>
      </c>
      <c r="BX984">
        <v>0</v>
      </c>
      <c r="BY984">
        <v>0</v>
      </c>
      <c r="BZ984">
        <v>0</v>
      </c>
      <c r="CA984">
        <v>0</v>
      </c>
      <c r="CB984" t="s">
        <v>145</v>
      </c>
    </row>
    <row r="985" spans="67:80" x14ac:dyDescent="0.25">
      <c r="BO985">
        <v>0</v>
      </c>
      <c r="BP985">
        <v>0</v>
      </c>
      <c r="BQ985">
        <v>0</v>
      </c>
      <c r="BR985">
        <v>0</v>
      </c>
      <c r="BS985">
        <v>0</v>
      </c>
      <c r="BT985">
        <v>0</v>
      </c>
      <c r="BU985">
        <v>0</v>
      </c>
      <c r="BV985">
        <v>0</v>
      </c>
      <c r="BW985" t="s">
        <v>0</v>
      </c>
      <c r="BX985">
        <v>0</v>
      </c>
      <c r="BY985">
        <v>0</v>
      </c>
      <c r="BZ985">
        <v>0</v>
      </c>
      <c r="CA985">
        <v>0</v>
      </c>
      <c r="CB985" t="s">
        <v>145</v>
      </c>
    </row>
    <row r="986" spans="67:80" x14ac:dyDescent="0.25">
      <c r="BO986">
        <v>0</v>
      </c>
      <c r="BP986">
        <v>0</v>
      </c>
      <c r="BQ986">
        <v>0</v>
      </c>
      <c r="BR986">
        <v>0</v>
      </c>
      <c r="BS986">
        <v>0</v>
      </c>
      <c r="BT986">
        <v>0</v>
      </c>
      <c r="BU986">
        <v>0</v>
      </c>
      <c r="BV986">
        <v>0</v>
      </c>
      <c r="BW986" t="s">
        <v>0</v>
      </c>
      <c r="BX986">
        <v>0</v>
      </c>
      <c r="BY986">
        <v>0</v>
      </c>
      <c r="BZ986">
        <v>0</v>
      </c>
      <c r="CA986">
        <v>0</v>
      </c>
      <c r="CB986" t="s">
        <v>145</v>
      </c>
    </row>
    <row r="987" spans="67:80" x14ac:dyDescent="0.25">
      <c r="BO987">
        <v>0</v>
      </c>
      <c r="BP987">
        <v>0</v>
      </c>
      <c r="BQ987">
        <v>0</v>
      </c>
      <c r="BR987">
        <v>0</v>
      </c>
      <c r="BS987">
        <v>0</v>
      </c>
      <c r="BT987">
        <v>0</v>
      </c>
      <c r="BU987">
        <v>0</v>
      </c>
      <c r="BV987">
        <v>0</v>
      </c>
      <c r="BW987" t="s">
        <v>0</v>
      </c>
      <c r="BX987">
        <v>0</v>
      </c>
      <c r="BY987">
        <v>0</v>
      </c>
      <c r="BZ987">
        <v>0</v>
      </c>
      <c r="CA987">
        <v>0</v>
      </c>
      <c r="CB987" t="s">
        <v>145</v>
      </c>
    </row>
    <row r="988" spans="67:80" x14ac:dyDescent="0.25">
      <c r="BO988">
        <v>0</v>
      </c>
      <c r="BP988">
        <v>0</v>
      </c>
      <c r="BQ988">
        <v>0</v>
      </c>
      <c r="BR988">
        <v>0</v>
      </c>
      <c r="BS988">
        <v>0</v>
      </c>
      <c r="BT988">
        <v>0</v>
      </c>
      <c r="BU988">
        <v>0</v>
      </c>
      <c r="BV988">
        <v>0</v>
      </c>
      <c r="BW988" t="s">
        <v>0</v>
      </c>
      <c r="BX988">
        <v>0</v>
      </c>
      <c r="BY988">
        <v>0</v>
      </c>
      <c r="BZ988">
        <v>0</v>
      </c>
      <c r="CA988">
        <v>0</v>
      </c>
      <c r="CB988" t="s">
        <v>145</v>
      </c>
    </row>
    <row r="989" spans="67:80" x14ac:dyDescent="0.25">
      <c r="BO989">
        <v>0</v>
      </c>
      <c r="BP989">
        <v>0</v>
      </c>
      <c r="BQ989">
        <v>0</v>
      </c>
      <c r="BR989">
        <v>0</v>
      </c>
      <c r="BS989">
        <v>0</v>
      </c>
      <c r="BT989">
        <v>0</v>
      </c>
      <c r="BU989">
        <v>0</v>
      </c>
      <c r="BV989">
        <v>0</v>
      </c>
      <c r="BW989" t="s">
        <v>0</v>
      </c>
      <c r="BX989">
        <v>0</v>
      </c>
      <c r="BY989">
        <v>0</v>
      </c>
      <c r="BZ989">
        <v>0</v>
      </c>
      <c r="CA989">
        <v>0</v>
      </c>
      <c r="CB989" t="s">
        <v>145</v>
      </c>
    </row>
    <row r="990" spans="67:80" x14ac:dyDescent="0.25">
      <c r="BO990">
        <v>0</v>
      </c>
      <c r="BP990">
        <v>0</v>
      </c>
      <c r="BQ990">
        <v>0</v>
      </c>
      <c r="BR990">
        <v>0</v>
      </c>
      <c r="BS990">
        <v>0</v>
      </c>
      <c r="BT990">
        <v>0</v>
      </c>
      <c r="BU990">
        <v>0</v>
      </c>
      <c r="BV990">
        <v>0</v>
      </c>
      <c r="BW990" t="s">
        <v>0</v>
      </c>
      <c r="BX990">
        <v>0</v>
      </c>
      <c r="BY990">
        <v>0</v>
      </c>
      <c r="BZ990">
        <v>0</v>
      </c>
      <c r="CA990">
        <v>0</v>
      </c>
      <c r="CB990" t="s">
        <v>145</v>
      </c>
    </row>
    <row r="991" spans="67:80" x14ac:dyDescent="0.25">
      <c r="BO991">
        <v>0</v>
      </c>
      <c r="BP991">
        <v>0</v>
      </c>
      <c r="BQ991">
        <v>0</v>
      </c>
      <c r="BR991">
        <v>0</v>
      </c>
      <c r="BS991">
        <v>0</v>
      </c>
      <c r="BT991">
        <v>0</v>
      </c>
      <c r="BU991">
        <v>0</v>
      </c>
      <c r="BV991">
        <v>0</v>
      </c>
      <c r="BW991" t="s">
        <v>0</v>
      </c>
      <c r="BX991">
        <v>0</v>
      </c>
      <c r="BY991">
        <v>0</v>
      </c>
      <c r="BZ991">
        <v>0</v>
      </c>
      <c r="CA991">
        <v>0</v>
      </c>
      <c r="CB991" t="s">
        <v>145</v>
      </c>
    </row>
    <row r="992" spans="67:80" x14ac:dyDescent="0.25">
      <c r="BO992">
        <v>0</v>
      </c>
      <c r="BP992">
        <v>0</v>
      </c>
      <c r="BQ992">
        <v>0</v>
      </c>
      <c r="BR992">
        <v>0</v>
      </c>
      <c r="BS992">
        <v>0</v>
      </c>
      <c r="BT992">
        <v>0</v>
      </c>
      <c r="BU992">
        <v>0</v>
      </c>
      <c r="BV992">
        <v>0</v>
      </c>
      <c r="BW992" t="s">
        <v>0</v>
      </c>
      <c r="BX992">
        <v>0</v>
      </c>
      <c r="BY992">
        <v>0</v>
      </c>
      <c r="BZ992">
        <v>0</v>
      </c>
      <c r="CA992">
        <v>0</v>
      </c>
      <c r="CB992" t="s">
        <v>145</v>
      </c>
    </row>
    <row r="993" spans="67:80" x14ac:dyDescent="0.25">
      <c r="BO993">
        <v>0</v>
      </c>
      <c r="BP993">
        <v>0</v>
      </c>
      <c r="BQ993">
        <v>0</v>
      </c>
      <c r="BR993">
        <v>0</v>
      </c>
      <c r="BS993">
        <v>0</v>
      </c>
      <c r="BT993">
        <v>0</v>
      </c>
      <c r="BU993">
        <v>0</v>
      </c>
      <c r="BV993">
        <v>0</v>
      </c>
      <c r="BW993" t="s">
        <v>0</v>
      </c>
      <c r="BX993">
        <v>0</v>
      </c>
      <c r="BY993">
        <v>0</v>
      </c>
      <c r="BZ993">
        <v>0</v>
      </c>
      <c r="CA993">
        <v>0</v>
      </c>
      <c r="CB993" t="s">
        <v>145</v>
      </c>
    </row>
    <row r="994" spans="67:80" x14ac:dyDescent="0.25">
      <c r="BO994">
        <v>0</v>
      </c>
      <c r="BP994">
        <v>0</v>
      </c>
      <c r="BQ994">
        <v>0</v>
      </c>
      <c r="BR994">
        <v>0</v>
      </c>
      <c r="BS994">
        <v>0</v>
      </c>
      <c r="BT994">
        <v>0</v>
      </c>
      <c r="BU994">
        <v>0</v>
      </c>
      <c r="BV994">
        <v>0</v>
      </c>
      <c r="BW994" t="s">
        <v>0</v>
      </c>
      <c r="BX994">
        <v>0</v>
      </c>
      <c r="BY994">
        <v>0</v>
      </c>
      <c r="BZ994">
        <v>0</v>
      </c>
      <c r="CA994">
        <v>0</v>
      </c>
      <c r="CB994" t="s">
        <v>145</v>
      </c>
    </row>
    <row r="995" spans="67:80" x14ac:dyDescent="0.25">
      <c r="BO995">
        <v>0</v>
      </c>
      <c r="BP995">
        <v>0</v>
      </c>
      <c r="BQ995">
        <v>0</v>
      </c>
      <c r="BR995">
        <v>0</v>
      </c>
      <c r="BS995">
        <v>0</v>
      </c>
      <c r="BT995">
        <v>0</v>
      </c>
      <c r="BU995">
        <v>0</v>
      </c>
      <c r="BV995">
        <v>0</v>
      </c>
      <c r="BW995" t="s">
        <v>0</v>
      </c>
      <c r="BX995">
        <v>0</v>
      </c>
      <c r="BY995">
        <v>0</v>
      </c>
      <c r="BZ995">
        <v>0</v>
      </c>
      <c r="CA995">
        <v>0</v>
      </c>
      <c r="CB995" t="s">
        <v>145</v>
      </c>
    </row>
    <row r="996" spans="67:80" x14ac:dyDescent="0.25">
      <c r="BO996">
        <v>0</v>
      </c>
      <c r="BP996">
        <v>0</v>
      </c>
      <c r="BQ996">
        <v>0</v>
      </c>
      <c r="BR996">
        <v>0</v>
      </c>
      <c r="BS996">
        <v>0</v>
      </c>
      <c r="BT996">
        <v>0</v>
      </c>
      <c r="BU996">
        <v>0</v>
      </c>
      <c r="BV996">
        <v>0</v>
      </c>
      <c r="BW996" t="s">
        <v>0</v>
      </c>
      <c r="BX996">
        <v>0</v>
      </c>
      <c r="BY996">
        <v>0</v>
      </c>
      <c r="BZ996">
        <v>0</v>
      </c>
      <c r="CA996">
        <v>0</v>
      </c>
      <c r="CB996" t="s">
        <v>145</v>
      </c>
    </row>
    <row r="997" spans="67:80" x14ac:dyDescent="0.25">
      <c r="BO997">
        <v>0</v>
      </c>
      <c r="BP997">
        <v>0</v>
      </c>
      <c r="BQ997">
        <v>0</v>
      </c>
      <c r="BR997">
        <v>0</v>
      </c>
      <c r="BS997">
        <v>0</v>
      </c>
      <c r="BT997">
        <v>0</v>
      </c>
      <c r="BU997">
        <v>0</v>
      </c>
      <c r="BV997">
        <v>0</v>
      </c>
      <c r="BW997" t="s">
        <v>0</v>
      </c>
      <c r="BX997">
        <v>0</v>
      </c>
      <c r="BY997">
        <v>0</v>
      </c>
      <c r="BZ997">
        <v>0</v>
      </c>
      <c r="CA997">
        <v>0</v>
      </c>
      <c r="CB997" t="s">
        <v>145</v>
      </c>
    </row>
    <row r="998" spans="67:80" x14ac:dyDescent="0.25"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0</v>
      </c>
      <c r="BW998" t="s">
        <v>0</v>
      </c>
      <c r="BX998">
        <v>0</v>
      </c>
      <c r="BY998">
        <v>0</v>
      </c>
      <c r="BZ998">
        <v>0</v>
      </c>
      <c r="CA998">
        <v>0</v>
      </c>
      <c r="CB998" t="s">
        <v>145</v>
      </c>
    </row>
    <row r="999" spans="67:80" x14ac:dyDescent="0.25">
      <c r="BO999">
        <v>0</v>
      </c>
      <c r="BP999">
        <v>0</v>
      </c>
      <c r="BQ999">
        <v>0</v>
      </c>
      <c r="BR999">
        <v>0</v>
      </c>
      <c r="BS999">
        <v>0</v>
      </c>
      <c r="BT999">
        <v>0</v>
      </c>
      <c r="BU999">
        <v>0</v>
      </c>
      <c r="BV999">
        <v>0</v>
      </c>
      <c r="BW999" t="s">
        <v>0</v>
      </c>
      <c r="BX999">
        <v>0</v>
      </c>
      <c r="BY999">
        <v>0</v>
      </c>
      <c r="BZ999">
        <v>0</v>
      </c>
      <c r="CA999">
        <v>0</v>
      </c>
      <c r="CB999" t="s">
        <v>145</v>
      </c>
    </row>
    <row r="1000" spans="67:80" x14ac:dyDescent="0.25">
      <c r="BO1000">
        <v>0</v>
      </c>
      <c r="BP1000">
        <v>0</v>
      </c>
      <c r="BQ1000">
        <v>0</v>
      </c>
      <c r="BR1000">
        <v>0</v>
      </c>
      <c r="BS1000">
        <v>0</v>
      </c>
      <c r="BT1000">
        <v>0</v>
      </c>
      <c r="BU1000">
        <v>0</v>
      </c>
      <c r="BV1000">
        <v>0</v>
      </c>
      <c r="BW1000" t="s">
        <v>0</v>
      </c>
      <c r="BX1000">
        <v>0</v>
      </c>
      <c r="BY1000">
        <v>0</v>
      </c>
      <c r="BZ1000">
        <v>0</v>
      </c>
      <c r="CA1000">
        <v>0</v>
      </c>
      <c r="CB1000" t="s">
        <v>145</v>
      </c>
    </row>
    <row r="1001" spans="67:80" x14ac:dyDescent="0.25">
      <c r="BO1001">
        <v>0</v>
      </c>
      <c r="BP1001">
        <v>0</v>
      </c>
      <c r="BQ1001">
        <v>0</v>
      </c>
      <c r="BR1001">
        <v>0</v>
      </c>
      <c r="BS1001">
        <v>0</v>
      </c>
      <c r="BT1001">
        <v>0</v>
      </c>
      <c r="BU1001">
        <v>0</v>
      </c>
      <c r="BV1001">
        <v>0</v>
      </c>
      <c r="BW1001" t="s">
        <v>0</v>
      </c>
      <c r="BX1001">
        <v>0</v>
      </c>
      <c r="BY1001">
        <v>0</v>
      </c>
      <c r="BZ1001">
        <v>0</v>
      </c>
      <c r="CA1001">
        <v>0</v>
      </c>
      <c r="CB1001" t="s">
        <v>145</v>
      </c>
    </row>
    <row r="1002" spans="67:80" x14ac:dyDescent="0.25">
      <c r="BO1002">
        <v>0</v>
      </c>
      <c r="BP1002">
        <v>0</v>
      </c>
      <c r="BQ1002">
        <v>0</v>
      </c>
      <c r="BR1002">
        <v>0</v>
      </c>
      <c r="BS1002">
        <v>0</v>
      </c>
      <c r="BT1002">
        <v>0</v>
      </c>
      <c r="BU1002">
        <v>0</v>
      </c>
      <c r="BV1002">
        <v>0</v>
      </c>
      <c r="BW1002" t="s">
        <v>0</v>
      </c>
      <c r="BX1002">
        <v>0</v>
      </c>
      <c r="BY1002">
        <v>0</v>
      </c>
      <c r="BZ1002">
        <v>0</v>
      </c>
      <c r="CA1002">
        <v>0</v>
      </c>
      <c r="CB1002" t="s">
        <v>145</v>
      </c>
    </row>
    <row r="1003" spans="67:80" x14ac:dyDescent="0.25">
      <c r="BO1003">
        <v>0</v>
      </c>
      <c r="BP1003">
        <v>0</v>
      </c>
      <c r="BQ1003">
        <v>0</v>
      </c>
      <c r="BR1003">
        <v>0</v>
      </c>
      <c r="BS1003">
        <v>0</v>
      </c>
      <c r="BT1003">
        <v>0</v>
      </c>
      <c r="BU1003">
        <v>0</v>
      </c>
      <c r="BV1003">
        <v>0</v>
      </c>
      <c r="BW1003" t="s">
        <v>0</v>
      </c>
      <c r="BX1003">
        <v>0</v>
      </c>
      <c r="BY1003">
        <v>0</v>
      </c>
      <c r="BZ1003">
        <v>0</v>
      </c>
      <c r="CA1003">
        <v>0</v>
      </c>
      <c r="CB1003" t="s">
        <v>145</v>
      </c>
    </row>
    <row r="1004" spans="67:80" x14ac:dyDescent="0.25">
      <c r="BO1004">
        <v>0</v>
      </c>
      <c r="BP1004">
        <v>0</v>
      </c>
      <c r="BQ1004">
        <v>0</v>
      </c>
      <c r="BR1004">
        <v>0</v>
      </c>
      <c r="BS1004">
        <v>0</v>
      </c>
      <c r="BT1004">
        <v>0</v>
      </c>
      <c r="BU1004">
        <v>0</v>
      </c>
      <c r="BV1004">
        <v>0</v>
      </c>
      <c r="BW1004" t="s">
        <v>0</v>
      </c>
      <c r="BX1004">
        <v>0</v>
      </c>
      <c r="BY1004">
        <v>0</v>
      </c>
      <c r="BZ1004">
        <v>0</v>
      </c>
      <c r="CA1004">
        <v>0</v>
      </c>
      <c r="CB1004" t="s">
        <v>145</v>
      </c>
    </row>
    <row r="1005" spans="67:80" x14ac:dyDescent="0.25">
      <c r="BO1005">
        <v>0</v>
      </c>
      <c r="BP1005">
        <v>0</v>
      </c>
      <c r="BQ1005">
        <v>0</v>
      </c>
      <c r="BR1005">
        <v>0</v>
      </c>
      <c r="BS1005">
        <v>0</v>
      </c>
      <c r="BT1005">
        <v>0</v>
      </c>
      <c r="BU1005">
        <v>0</v>
      </c>
      <c r="BV1005">
        <v>0</v>
      </c>
      <c r="BW1005" t="s">
        <v>0</v>
      </c>
      <c r="BX1005">
        <v>0</v>
      </c>
      <c r="BY1005">
        <v>0</v>
      </c>
      <c r="BZ1005">
        <v>0</v>
      </c>
      <c r="CA1005">
        <v>0</v>
      </c>
      <c r="CB1005" t="s">
        <v>145</v>
      </c>
    </row>
    <row r="1006" spans="67:80" x14ac:dyDescent="0.25">
      <c r="BO1006">
        <v>0</v>
      </c>
      <c r="BP1006">
        <v>0</v>
      </c>
      <c r="BQ1006">
        <v>0</v>
      </c>
      <c r="BR1006">
        <v>0</v>
      </c>
      <c r="BS1006">
        <v>0</v>
      </c>
      <c r="BT1006">
        <v>0</v>
      </c>
      <c r="BU1006">
        <v>0</v>
      </c>
      <c r="BV1006">
        <v>0</v>
      </c>
      <c r="BW1006" t="s">
        <v>0</v>
      </c>
      <c r="BX1006">
        <v>0</v>
      </c>
      <c r="BY1006">
        <v>0</v>
      </c>
      <c r="BZ1006">
        <v>0</v>
      </c>
      <c r="CA1006">
        <v>0</v>
      </c>
      <c r="CB1006" t="s">
        <v>145</v>
      </c>
    </row>
    <row r="1007" spans="67:80" x14ac:dyDescent="0.25">
      <c r="BO1007">
        <v>0</v>
      </c>
      <c r="BP1007">
        <v>0</v>
      </c>
      <c r="BQ1007">
        <v>0</v>
      </c>
      <c r="BR1007">
        <v>0</v>
      </c>
      <c r="BS1007">
        <v>0</v>
      </c>
      <c r="BT1007">
        <v>0</v>
      </c>
      <c r="BU1007">
        <v>0</v>
      </c>
      <c r="BV1007">
        <v>0</v>
      </c>
      <c r="BW1007" t="s">
        <v>0</v>
      </c>
      <c r="BX1007">
        <v>0</v>
      </c>
      <c r="BY1007">
        <v>0</v>
      </c>
      <c r="BZ1007">
        <v>0</v>
      </c>
      <c r="CA1007">
        <v>0</v>
      </c>
      <c r="CB1007" t="s">
        <v>145</v>
      </c>
    </row>
    <row r="1008" spans="67:80" x14ac:dyDescent="0.25">
      <c r="BO1008">
        <v>0</v>
      </c>
      <c r="BP1008">
        <v>0</v>
      </c>
      <c r="BQ1008">
        <v>0</v>
      </c>
      <c r="BR1008">
        <v>0</v>
      </c>
      <c r="BS1008">
        <v>0</v>
      </c>
      <c r="BT1008">
        <v>0</v>
      </c>
      <c r="BU1008">
        <v>0</v>
      </c>
      <c r="BV1008">
        <v>0</v>
      </c>
      <c r="BW1008" t="s">
        <v>0</v>
      </c>
      <c r="BX1008">
        <v>0</v>
      </c>
      <c r="BY1008">
        <v>0</v>
      </c>
      <c r="BZ1008">
        <v>0</v>
      </c>
      <c r="CA1008">
        <v>0</v>
      </c>
      <c r="CB1008" t="s">
        <v>145</v>
      </c>
    </row>
    <row r="1009" spans="67:80" x14ac:dyDescent="0.25">
      <c r="BO1009">
        <v>0</v>
      </c>
      <c r="BP1009">
        <v>0</v>
      </c>
      <c r="BQ1009">
        <v>0</v>
      </c>
      <c r="BR1009">
        <v>0</v>
      </c>
      <c r="BS1009">
        <v>0</v>
      </c>
      <c r="BT1009">
        <v>0</v>
      </c>
      <c r="BU1009">
        <v>0</v>
      </c>
      <c r="BV1009">
        <v>0</v>
      </c>
      <c r="BW1009" t="s">
        <v>0</v>
      </c>
      <c r="BX1009">
        <v>0</v>
      </c>
      <c r="BY1009">
        <v>0</v>
      </c>
      <c r="BZ1009">
        <v>0</v>
      </c>
      <c r="CA1009">
        <v>0</v>
      </c>
      <c r="CB1009" t="s">
        <v>145</v>
      </c>
    </row>
    <row r="1010" spans="67:80" x14ac:dyDescent="0.25">
      <c r="BO1010">
        <v>0</v>
      </c>
      <c r="BP1010">
        <v>0</v>
      </c>
      <c r="BQ1010">
        <v>0</v>
      </c>
      <c r="BR1010">
        <v>0</v>
      </c>
      <c r="BS1010">
        <v>0</v>
      </c>
      <c r="BT1010">
        <v>0</v>
      </c>
      <c r="BU1010">
        <v>0</v>
      </c>
      <c r="BV1010">
        <v>0</v>
      </c>
      <c r="BW1010" t="s">
        <v>0</v>
      </c>
      <c r="BX1010">
        <v>0</v>
      </c>
      <c r="BY1010">
        <v>0</v>
      </c>
      <c r="BZ1010">
        <v>0</v>
      </c>
      <c r="CA1010">
        <v>0</v>
      </c>
      <c r="CB1010" t="s">
        <v>145</v>
      </c>
    </row>
    <row r="1011" spans="67:80" x14ac:dyDescent="0.25">
      <c r="BO1011">
        <v>0</v>
      </c>
      <c r="BP1011">
        <v>0</v>
      </c>
      <c r="BQ1011">
        <v>0</v>
      </c>
      <c r="BR1011">
        <v>0</v>
      </c>
      <c r="BS1011">
        <v>0</v>
      </c>
      <c r="BT1011">
        <v>0</v>
      </c>
      <c r="BU1011">
        <v>0</v>
      </c>
      <c r="BV1011">
        <v>0</v>
      </c>
      <c r="BW1011" t="s">
        <v>0</v>
      </c>
      <c r="BX1011">
        <v>0</v>
      </c>
      <c r="BY1011">
        <v>0</v>
      </c>
      <c r="BZ1011">
        <v>0</v>
      </c>
      <c r="CA1011">
        <v>0</v>
      </c>
      <c r="CB1011" t="s">
        <v>145</v>
      </c>
    </row>
    <row r="1012" spans="67:80" x14ac:dyDescent="0.25">
      <c r="BO1012">
        <v>0</v>
      </c>
      <c r="BP1012">
        <v>0</v>
      </c>
      <c r="BQ1012">
        <v>0</v>
      </c>
      <c r="BR1012">
        <v>0</v>
      </c>
      <c r="BS1012">
        <v>0</v>
      </c>
      <c r="BT1012">
        <v>0</v>
      </c>
      <c r="BU1012">
        <v>0</v>
      </c>
      <c r="BV1012">
        <v>0</v>
      </c>
      <c r="BW1012" t="s">
        <v>0</v>
      </c>
      <c r="BX1012">
        <v>0</v>
      </c>
      <c r="BY1012">
        <v>0</v>
      </c>
      <c r="BZ1012">
        <v>0</v>
      </c>
      <c r="CA1012">
        <v>0</v>
      </c>
      <c r="CB1012" t="s">
        <v>145</v>
      </c>
    </row>
    <row r="1013" spans="67:80" x14ac:dyDescent="0.25">
      <c r="BO1013">
        <v>0</v>
      </c>
      <c r="BP1013">
        <v>0</v>
      </c>
      <c r="BQ1013">
        <v>0</v>
      </c>
      <c r="BR1013">
        <v>0</v>
      </c>
      <c r="BS1013">
        <v>0</v>
      </c>
      <c r="BT1013">
        <v>0</v>
      </c>
      <c r="BU1013">
        <v>0</v>
      </c>
      <c r="BV1013">
        <v>0</v>
      </c>
      <c r="BW1013" t="s">
        <v>0</v>
      </c>
      <c r="BX1013">
        <v>0</v>
      </c>
      <c r="BY1013">
        <v>0</v>
      </c>
      <c r="BZ1013">
        <v>0</v>
      </c>
      <c r="CA1013">
        <v>0</v>
      </c>
      <c r="CB1013" t="s">
        <v>145</v>
      </c>
    </row>
    <row r="1014" spans="67:80" x14ac:dyDescent="0.25">
      <c r="BO1014">
        <v>0</v>
      </c>
      <c r="BP1014">
        <v>0</v>
      </c>
      <c r="BQ1014">
        <v>0</v>
      </c>
      <c r="BR1014">
        <v>0</v>
      </c>
      <c r="BS1014">
        <v>0</v>
      </c>
      <c r="BT1014">
        <v>0</v>
      </c>
      <c r="BU1014">
        <v>0</v>
      </c>
      <c r="BV1014">
        <v>0</v>
      </c>
      <c r="BW1014" t="s">
        <v>0</v>
      </c>
      <c r="BX1014">
        <v>0</v>
      </c>
      <c r="BY1014">
        <v>0</v>
      </c>
      <c r="BZ1014">
        <v>0</v>
      </c>
      <c r="CA1014">
        <v>0</v>
      </c>
      <c r="CB1014" t="s">
        <v>145</v>
      </c>
    </row>
    <row r="1015" spans="67:80" x14ac:dyDescent="0.25">
      <c r="BO1015">
        <v>0</v>
      </c>
      <c r="BP1015">
        <v>0</v>
      </c>
      <c r="BQ1015">
        <v>0</v>
      </c>
      <c r="BR1015">
        <v>0</v>
      </c>
      <c r="BS1015">
        <v>0</v>
      </c>
      <c r="BT1015">
        <v>0</v>
      </c>
      <c r="BU1015">
        <v>0</v>
      </c>
      <c r="BV1015">
        <v>0</v>
      </c>
      <c r="BW1015" t="s">
        <v>0</v>
      </c>
      <c r="BX1015">
        <v>0</v>
      </c>
      <c r="BY1015">
        <v>0</v>
      </c>
      <c r="BZ1015">
        <v>0</v>
      </c>
      <c r="CA1015">
        <v>0</v>
      </c>
      <c r="CB1015" t="s">
        <v>145</v>
      </c>
    </row>
    <row r="1016" spans="67:80" x14ac:dyDescent="0.25">
      <c r="BO1016">
        <v>0</v>
      </c>
      <c r="BP1016">
        <v>0</v>
      </c>
      <c r="BQ1016">
        <v>0</v>
      </c>
      <c r="BR1016">
        <v>0</v>
      </c>
      <c r="BS1016">
        <v>0</v>
      </c>
      <c r="BT1016">
        <v>0</v>
      </c>
      <c r="BU1016">
        <v>0</v>
      </c>
      <c r="BV1016">
        <v>0</v>
      </c>
      <c r="BW1016" t="s">
        <v>0</v>
      </c>
      <c r="BX1016">
        <v>0</v>
      </c>
      <c r="BY1016">
        <v>0</v>
      </c>
      <c r="BZ1016">
        <v>0</v>
      </c>
      <c r="CA1016">
        <v>0</v>
      </c>
      <c r="CB1016" t="s">
        <v>145</v>
      </c>
    </row>
    <row r="1017" spans="67:80" x14ac:dyDescent="0.25">
      <c r="BO1017">
        <v>0</v>
      </c>
      <c r="BP1017">
        <v>0</v>
      </c>
      <c r="BQ1017">
        <v>0</v>
      </c>
      <c r="BR1017">
        <v>0</v>
      </c>
      <c r="BS1017">
        <v>0</v>
      </c>
      <c r="BT1017">
        <v>0</v>
      </c>
      <c r="BU1017">
        <v>0</v>
      </c>
      <c r="BV1017">
        <v>0</v>
      </c>
      <c r="BW1017" t="s">
        <v>0</v>
      </c>
      <c r="BX1017">
        <v>0</v>
      </c>
      <c r="BY1017">
        <v>0</v>
      </c>
      <c r="BZ1017">
        <v>0</v>
      </c>
      <c r="CA1017">
        <v>0</v>
      </c>
      <c r="CB1017" t="s">
        <v>145</v>
      </c>
    </row>
    <row r="1018" spans="67:80" x14ac:dyDescent="0.25">
      <c r="BO1018">
        <v>0</v>
      </c>
      <c r="BP1018">
        <v>0</v>
      </c>
      <c r="BQ1018">
        <v>0</v>
      </c>
      <c r="BR1018">
        <v>0</v>
      </c>
      <c r="BS1018">
        <v>0</v>
      </c>
      <c r="BT1018">
        <v>0</v>
      </c>
      <c r="BU1018">
        <v>0</v>
      </c>
      <c r="BV1018">
        <v>0</v>
      </c>
      <c r="BW1018" t="s">
        <v>0</v>
      </c>
      <c r="BX1018">
        <v>0</v>
      </c>
      <c r="BY1018">
        <v>0</v>
      </c>
      <c r="BZ1018">
        <v>0</v>
      </c>
      <c r="CA1018">
        <v>0</v>
      </c>
      <c r="CB1018" t="s">
        <v>145</v>
      </c>
    </row>
    <row r="1019" spans="67:80" x14ac:dyDescent="0.25">
      <c r="BO1019">
        <v>0</v>
      </c>
      <c r="BP1019">
        <v>0</v>
      </c>
      <c r="BQ1019">
        <v>0</v>
      </c>
      <c r="BR1019">
        <v>0</v>
      </c>
      <c r="BS1019">
        <v>0</v>
      </c>
      <c r="BT1019">
        <v>0</v>
      </c>
      <c r="BU1019">
        <v>0</v>
      </c>
      <c r="BV1019">
        <v>0</v>
      </c>
      <c r="BW1019" t="s">
        <v>0</v>
      </c>
      <c r="BX1019">
        <v>0</v>
      </c>
      <c r="BY1019">
        <v>0</v>
      </c>
      <c r="BZ1019">
        <v>0</v>
      </c>
      <c r="CA1019">
        <v>0</v>
      </c>
      <c r="CB1019" t="s">
        <v>145</v>
      </c>
    </row>
    <row r="1020" spans="67:80" x14ac:dyDescent="0.25">
      <c r="BO1020">
        <v>0</v>
      </c>
      <c r="BP1020">
        <v>0</v>
      </c>
      <c r="BQ1020">
        <v>0</v>
      </c>
      <c r="BR1020">
        <v>0</v>
      </c>
      <c r="BS1020">
        <v>0</v>
      </c>
      <c r="BT1020">
        <v>0</v>
      </c>
      <c r="BU1020">
        <v>0</v>
      </c>
      <c r="BV1020">
        <v>0</v>
      </c>
      <c r="BW1020" t="s">
        <v>0</v>
      </c>
      <c r="BX1020">
        <v>0</v>
      </c>
      <c r="BY1020">
        <v>0</v>
      </c>
      <c r="BZ1020">
        <v>0</v>
      </c>
      <c r="CA1020">
        <v>0</v>
      </c>
      <c r="CB1020" t="s">
        <v>145</v>
      </c>
    </row>
    <row r="1021" spans="67:80" x14ac:dyDescent="0.25">
      <c r="BO1021">
        <v>0</v>
      </c>
      <c r="BP1021">
        <v>0</v>
      </c>
      <c r="BQ1021">
        <v>0</v>
      </c>
      <c r="BR1021">
        <v>0</v>
      </c>
      <c r="BS1021">
        <v>0</v>
      </c>
      <c r="BT1021">
        <v>0</v>
      </c>
      <c r="BU1021">
        <v>0</v>
      </c>
      <c r="BV1021">
        <v>0</v>
      </c>
      <c r="BW1021" t="s">
        <v>0</v>
      </c>
      <c r="BX1021">
        <v>0</v>
      </c>
      <c r="BY1021">
        <v>0</v>
      </c>
      <c r="BZ1021">
        <v>0</v>
      </c>
      <c r="CA1021">
        <v>0</v>
      </c>
      <c r="CB1021" t="s">
        <v>145</v>
      </c>
    </row>
    <row r="1022" spans="67:80" x14ac:dyDescent="0.25">
      <c r="BO1022">
        <v>0</v>
      </c>
      <c r="BP1022">
        <v>0</v>
      </c>
      <c r="BQ1022">
        <v>0</v>
      </c>
      <c r="BR1022">
        <v>0</v>
      </c>
      <c r="BS1022">
        <v>0</v>
      </c>
      <c r="BT1022">
        <v>0</v>
      </c>
      <c r="BU1022">
        <v>0</v>
      </c>
      <c r="BV1022">
        <v>0</v>
      </c>
      <c r="BW1022" t="s">
        <v>0</v>
      </c>
      <c r="BX1022">
        <v>0</v>
      </c>
      <c r="BY1022">
        <v>0</v>
      </c>
      <c r="BZ1022">
        <v>0</v>
      </c>
      <c r="CA1022">
        <v>0</v>
      </c>
      <c r="CB1022" t="s">
        <v>145</v>
      </c>
    </row>
    <row r="1023" spans="67:80" x14ac:dyDescent="0.25">
      <c r="BO1023">
        <v>0</v>
      </c>
      <c r="BP1023">
        <v>0</v>
      </c>
      <c r="BQ1023">
        <v>0</v>
      </c>
      <c r="BR1023">
        <v>0</v>
      </c>
      <c r="BS1023">
        <v>0</v>
      </c>
      <c r="BT1023">
        <v>0</v>
      </c>
      <c r="BU1023">
        <v>0</v>
      </c>
      <c r="BV1023">
        <v>0</v>
      </c>
      <c r="BW1023" t="s">
        <v>0</v>
      </c>
      <c r="BX1023">
        <v>0</v>
      </c>
      <c r="BY1023">
        <v>0</v>
      </c>
      <c r="BZ1023">
        <v>0</v>
      </c>
      <c r="CA1023">
        <v>0</v>
      </c>
      <c r="CB1023" t="s">
        <v>145</v>
      </c>
    </row>
    <row r="1024" spans="67:80" x14ac:dyDescent="0.25">
      <c r="BO1024">
        <v>0</v>
      </c>
      <c r="BP1024">
        <v>0</v>
      </c>
      <c r="BQ1024">
        <v>0</v>
      </c>
      <c r="BR1024">
        <v>0</v>
      </c>
      <c r="BS1024">
        <v>0</v>
      </c>
      <c r="BT1024">
        <v>0</v>
      </c>
      <c r="BU1024">
        <v>0</v>
      </c>
      <c r="BV1024">
        <v>0</v>
      </c>
      <c r="BW1024" t="s">
        <v>0</v>
      </c>
      <c r="BX1024">
        <v>0</v>
      </c>
      <c r="BY1024">
        <v>0</v>
      </c>
      <c r="BZ1024">
        <v>0</v>
      </c>
      <c r="CA1024">
        <v>0</v>
      </c>
      <c r="CB1024" t="s">
        <v>145</v>
      </c>
    </row>
    <row r="1025" spans="67:80" x14ac:dyDescent="0.25">
      <c r="BO1025">
        <v>0</v>
      </c>
      <c r="BP1025">
        <v>0</v>
      </c>
      <c r="BQ1025">
        <v>0</v>
      </c>
      <c r="BR1025">
        <v>0</v>
      </c>
      <c r="BS1025">
        <v>0</v>
      </c>
      <c r="BT1025">
        <v>0</v>
      </c>
      <c r="BU1025">
        <v>0</v>
      </c>
      <c r="BV1025">
        <v>0</v>
      </c>
      <c r="BW1025" t="s">
        <v>0</v>
      </c>
      <c r="BX1025">
        <v>0</v>
      </c>
      <c r="BY1025">
        <v>0</v>
      </c>
      <c r="BZ1025">
        <v>0</v>
      </c>
      <c r="CA1025">
        <v>0</v>
      </c>
      <c r="CB1025" t="s">
        <v>145</v>
      </c>
    </row>
    <row r="1026" spans="67:80" x14ac:dyDescent="0.25">
      <c r="BO1026">
        <v>0</v>
      </c>
      <c r="BP1026">
        <v>0</v>
      </c>
      <c r="BQ1026">
        <v>0</v>
      </c>
      <c r="BR1026">
        <v>0</v>
      </c>
      <c r="BS1026">
        <v>0</v>
      </c>
      <c r="BT1026">
        <v>0</v>
      </c>
      <c r="BU1026">
        <v>0</v>
      </c>
      <c r="BV1026">
        <v>0</v>
      </c>
      <c r="BW1026" t="s">
        <v>0</v>
      </c>
      <c r="BX1026">
        <v>0</v>
      </c>
      <c r="BY1026">
        <v>0</v>
      </c>
      <c r="BZ1026">
        <v>0</v>
      </c>
      <c r="CA1026">
        <v>0</v>
      </c>
      <c r="CB1026" t="s">
        <v>145</v>
      </c>
    </row>
    <row r="1027" spans="67:80" x14ac:dyDescent="0.25">
      <c r="BO1027">
        <v>0</v>
      </c>
      <c r="BP1027">
        <v>0</v>
      </c>
      <c r="BQ1027">
        <v>0</v>
      </c>
      <c r="BR1027">
        <v>0</v>
      </c>
      <c r="BS1027">
        <v>0</v>
      </c>
      <c r="BT1027">
        <v>0</v>
      </c>
      <c r="BU1027">
        <v>0</v>
      </c>
      <c r="BV1027">
        <v>0</v>
      </c>
      <c r="BW1027" t="s">
        <v>0</v>
      </c>
      <c r="BX1027">
        <v>0</v>
      </c>
      <c r="BY1027">
        <v>0</v>
      </c>
      <c r="BZ1027">
        <v>0</v>
      </c>
      <c r="CA1027">
        <v>0</v>
      </c>
      <c r="CB1027" t="s">
        <v>145</v>
      </c>
    </row>
    <row r="1028" spans="67:80" x14ac:dyDescent="0.25">
      <c r="BO1028">
        <v>0</v>
      </c>
      <c r="BP1028">
        <v>0</v>
      </c>
      <c r="BQ1028">
        <v>0</v>
      </c>
      <c r="BR1028">
        <v>0</v>
      </c>
      <c r="BS1028">
        <v>0</v>
      </c>
      <c r="BT1028">
        <v>0</v>
      </c>
      <c r="BU1028">
        <v>0</v>
      </c>
      <c r="BV1028">
        <v>0</v>
      </c>
      <c r="BW1028" t="s">
        <v>0</v>
      </c>
      <c r="BX1028">
        <v>0</v>
      </c>
      <c r="BY1028">
        <v>0</v>
      </c>
      <c r="BZ1028">
        <v>0</v>
      </c>
      <c r="CA1028">
        <v>0</v>
      </c>
      <c r="CB1028" t="s">
        <v>145</v>
      </c>
    </row>
    <row r="1029" spans="67:80" x14ac:dyDescent="0.25">
      <c r="BO1029">
        <v>0</v>
      </c>
      <c r="BP1029">
        <v>0</v>
      </c>
      <c r="BQ1029">
        <v>0</v>
      </c>
      <c r="BR1029">
        <v>0</v>
      </c>
      <c r="BS1029">
        <v>0</v>
      </c>
      <c r="BT1029">
        <v>0</v>
      </c>
      <c r="BU1029">
        <v>0</v>
      </c>
      <c r="BV1029">
        <v>0</v>
      </c>
      <c r="BW1029" t="s">
        <v>0</v>
      </c>
      <c r="BX1029">
        <v>0</v>
      </c>
      <c r="BY1029">
        <v>0</v>
      </c>
      <c r="BZ1029">
        <v>0</v>
      </c>
      <c r="CA1029">
        <v>0</v>
      </c>
      <c r="CB1029" t="s">
        <v>145</v>
      </c>
    </row>
    <row r="1030" spans="67:80" x14ac:dyDescent="0.25">
      <c r="BO1030">
        <v>0</v>
      </c>
      <c r="BP1030">
        <v>0</v>
      </c>
      <c r="BQ1030">
        <v>0</v>
      </c>
      <c r="BR1030">
        <v>0</v>
      </c>
      <c r="BS1030">
        <v>0</v>
      </c>
      <c r="BT1030">
        <v>0</v>
      </c>
      <c r="BU1030">
        <v>0</v>
      </c>
      <c r="BV1030">
        <v>0</v>
      </c>
      <c r="BW1030" t="s">
        <v>0</v>
      </c>
      <c r="BX1030">
        <v>0</v>
      </c>
      <c r="BY1030">
        <v>0</v>
      </c>
      <c r="BZ1030">
        <v>0</v>
      </c>
      <c r="CA1030">
        <v>0</v>
      </c>
      <c r="CB1030" t="s">
        <v>145</v>
      </c>
    </row>
    <row r="1031" spans="67:80" x14ac:dyDescent="0.25">
      <c r="BO1031">
        <v>0</v>
      </c>
      <c r="BP1031">
        <v>0</v>
      </c>
      <c r="BQ1031">
        <v>0</v>
      </c>
      <c r="BR1031">
        <v>0</v>
      </c>
      <c r="BS1031">
        <v>0</v>
      </c>
      <c r="BT1031">
        <v>0</v>
      </c>
      <c r="BU1031">
        <v>0</v>
      </c>
      <c r="BV1031">
        <v>0</v>
      </c>
      <c r="BW1031" t="s">
        <v>0</v>
      </c>
      <c r="BX1031">
        <v>0</v>
      </c>
      <c r="BY1031">
        <v>0</v>
      </c>
      <c r="BZ1031">
        <v>0</v>
      </c>
      <c r="CA1031">
        <v>0</v>
      </c>
      <c r="CB1031" t="s">
        <v>145</v>
      </c>
    </row>
    <row r="1032" spans="67:80" x14ac:dyDescent="0.25">
      <c r="BO1032">
        <v>0</v>
      </c>
      <c r="BP1032">
        <v>0</v>
      </c>
      <c r="BQ1032">
        <v>0</v>
      </c>
      <c r="BR1032">
        <v>0</v>
      </c>
      <c r="BS1032">
        <v>0</v>
      </c>
      <c r="BT1032">
        <v>0</v>
      </c>
      <c r="BU1032">
        <v>0</v>
      </c>
      <c r="BV1032">
        <v>0</v>
      </c>
      <c r="BW1032" t="s">
        <v>0</v>
      </c>
      <c r="BX1032">
        <v>0</v>
      </c>
      <c r="BY1032">
        <v>0</v>
      </c>
      <c r="BZ1032">
        <v>0</v>
      </c>
      <c r="CA1032">
        <v>0</v>
      </c>
      <c r="CB1032" t="s">
        <v>145</v>
      </c>
    </row>
    <row r="1033" spans="67:80" x14ac:dyDescent="0.25">
      <c r="BO1033">
        <v>0</v>
      </c>
      <c r="BP1033">
        <v>0</v>
      </c>
      <c r="BQ1033">
        <v>0</v>
      </c>
      <c r="BR1033">
        <v>0</v>
      </c>
      <c r="BS1033">
        <v>0</v>
      </c>
      <c r="BT1033">
        <v>0</v>
      </c>
      <c r="BU1033">
        <v>0</v>
      </c>
      <c r="BV1033">
        <v>0</v>
      </c>
      <c r="BW1033" t="s">
        <v>0</v>
      </c>
      <c r="BX1033">
        <v>0</v>
      </c>
      <c r="BY1033">
        <v>0</v>
      </c>
      <c r="BZ1033">
        <v>0</v>
      </c>
      <c r="CA1033">
        <v>0</v>
      </c>
      <c r="CB1033" t="s">
        <v>145</v>
      </c>
    </row>
    <row r="1034" spans="67:80" x14ac:dyDescent="0.25">
      <c r="BO1034">
        <v>0</v>
      </c>
      <c r="BP1034">
        <v>0</v>
      </c>
      <c r="BQ1034">
        <v>0</v>
      </c>
      <c r="BR1034">
        <v>0</v>
      </c>
      <c r="BS1034">
        <v>0</v>
      </c>
      <c r="BT1034">
        <v>0</v>
      </c>
      <c r="BU1034">
        <v>0</v>
      </c>
      <c r="BV1034">
        <v>0</v>
      </c>
      <c r="BW1034" t="s">
        <v>0</v>
      </c>
      <c r="BX1034">
        <v>0</v>
      </c>
      <c r="BY1034">
        <v>0</v>
      </c>
      <c r="BZ1034">
        <v>0</v>
      </c>
      <c r="CA1034">
        <v>0</v>
      </c>
      <c r="CB1034" t="s">
        <v>145</v>
      </c>
    </row>
    <row r="1035" spans="67:80" x14ac:dyDescent="0.25">
      <c r="BO1035">
        <v>0</v>
      </c>
      <c r="BP1035">
        <v>0</v>
      </c>
      <c r="BQ1035">
        <v>0</v>
      </c>
      <c r="BR1035">
        <v>0</v>
      </c>
      <c r="BS1035">
        <v>0</v>
      </c>
      <c r="BT1035">
        <v>0</v>
      </c>
      <c r="BU1035">
        <v>0</v>
      </c>
      <c r="BV1035">
        <v>0</v>
      </c>
      <c r="BW1035" t="s">
        <v>0</v>
      </c>
      <c r="BX1035">
        <v>0</v>
      </c>
      <c r="BY1035">
        <v>0</v>
      </c>
      <c r="BZ1035">
        <v>0</v>
      </c>
      <c r="CA1035">
        <v>0</v>
      </c>
      <c r="CB1035" t="s">
        <v>145</v>
      </c>
    </row>
    <row r="1036" spans="67:80" x14ac:dyDescent="0.25">
      <c r="BO1036">
        <v>0</v>
      </c>
      <c r="BP1036">
        <v>0</v>
      </c>
      <c r="BQ1036">
        <v>0</v>
      </c>
      <c r="BR1036">
        <v>0</v>
      </c>
      <c r="BS1036">
        <v>0</v>
      </c>
      <c r="BT1036">
        <v>0</v>
      </c>
      <c r="BU1036">
        <v>0</v>
      </c>
      <c r="BV1036">
        <v>0</v>
      </c>
      <c r="BW1036" t="s">
        <v>0</v>
      </c>
      <c r="BX1036">
        <v>0</v>
      </c>
      <c r="BY1036">
        <v>0</v>
      </c>
      <c r="BZ1036">
        <v>0</v>
      </c>
      <c r="CA1036">
        <v>0</v>
      </c>
      <c r="CB1036" t="s">
        <v>145</v>
      </c>
    </row>
    <row r="1037" spans="67:80" x14ac:dyDescent="0.25">
      <c r="BO1037">
        <v>0</v>
      </c>
      <c r="BP1037">
        <v>0</v>
      </c>
      <c r="BQ1037">
        <v>0</v>
      </c>
      <c r="BR1037">
        <v>0</v>
      </c>
      <c r="BS1037">
        <v>0</v>
      </c>
      <c r="BT1037">
        <v>0</v>
      </c>
      <c r="BU1037">
        <v>0</v>
      </c>
      <c r="BV1037">
        <v>0</v>
      </c>
      <c r="BW1037" t="s">
        <v>0</v>
      </c>
      <c r="BX1037">
        <v>0</v>
      </c>
      <c r="BY1037">
        <v>0</v>
      </c>
      <c r="BZ1037">
        <v>0</v>
      </c>
      <c r="CA1037">
        <v>0</v>
      </c>
      <c r="CB1037" t="s">
        <v>145</v>
      </c>
    </row>
    <row r="1038" spans="67:80" x14ac:dyDescent="0.25">
      <c r="BO1038">
        <v>0</v>
      </c>
      <c r="BP1038">
        <v>0</v>
      </c>
      <c r="BQ1038">
        <v>0</v>
      </c>
      <c r="BR1038">
        <v>0</v>
      </c>
      <c r="BS1038">
        <v>0</v>
      </c>
      <c r="BT1038">
        <v>0</v>
      </c>
      <c r="BU1038">
        <v>0</v>
      </c>
      <c r="BV1038">
        <v>0</v>
      </c>
      <c r="BW1038" t="s">
        <v>0</v>
      </c>
      <c r="BX1038">
        <v>0</v>
      </c>
      <c r="BY1038">
        <v>0</v>
      </c>
      <c r="BZ1038">
        <v>0</v>
      </c>
      <c r="CA1038">
        <v>0</v>
      </c>
      <c r="CB1038" t="s">
        <v>145</v>
      </c>
    </row>
    <row r="1039" spans="67:80" x14ac:dyDescent="0.25">
      <c r="BO1039">
        <v>0</v>
      </c>
      <c r="BP1039">
        <v>0</v>
      </c>
      <c r="BQ1039">
        <v>0</v>
      </c>
      <c r="BR1039">
        <v>0</v>
      </c>
      <c r="BS1039">
        <v>0</v>
      </c>
      <c r="BT1039">
        <v>0</v>
      </c>
      <c r="BU1039">
        <v>0</v>
      </c>
      <c r="BV1039">
        <v>0</v>
      </c>
      <c r="BW1039" t="s">
        <v>0</v>
      </c>
      <c r="BX1039">
        <v>0</v>
      </c>
      <c r="BY1039">
        <v>0</v>
      </c>
      <c r="BZ1039">
        <v>0</v>
      </c>
      <c r="CA1039">
        <v>0</v>
      </c>
      <c r="CB1039" t="s">
        <v>145</v>
      </c>
    </row>
    <row r="1040" spans="67:80" x14ac:dyDescent="0.25">
      <c r="BO1040">
        <v>0</v>
      </c>
      <c r="BP1040">
        <v>0</v>
      </c>
      <c r="BQ1040">
        <v>0</v>
      </c>
      <c r="BR1040">
        <v>0</v>
      </c>
      <c r="BS1040">
        <v>0</v>
      </c>
      <c r="BT1040">
        <v>0</v>
      </c>
      <c r="BU1040">
        <v>0</v>
      </c>
      <c r="BV1040">
        <v>0</v>
      </c>
      <c r="BW1040" t="s">
        <v>0</v>
      </c>
      <c r="BX1040">
        <v>0</v>
      </c>
      <c r="BY1040">
        <v>0</v>
      </c>
      <c r="BZ1040">
        <v>0</v>
      </c>
      <c r="CA1040">
        <v>0</v>
      </c>
      <c r="CB1040" t="s">
        <v>145</v>
      </c>
    </row>
    <row r="1041" spans="67:80" x14ac:dyDescent="0.25">
      <c r="BO1041">
        <v>0</v>
      </c>
      <c r="BP1041">
        <v>0</v>
      </c>
      <c r="BQ1041">
        <v>0</v>
      </c>
      <c r="BR1041">
        <v>0</v>
      </c>
      <c r="BS1041">
        <v>0</v>
      </c>
      <c r="BT1041">
        <v>0</v>
      </c>
      <c r="BU1041">
        <v>0</v>
      </c>
      <c r="BV1041">
        <v>0</v>
      </c>
      <c r="BW1041" t="s">
        <v>0</v>
      </c>
      <c r="BX1041">
        <v>0</v>
      </c>
      <c r="BY1041">
        <v>0</v>
      </c>
      <c r="BZ1041">
        <v>0</v>
      </c>
      <c r="CA1041">
        <v>0</v>
      </c>
      <c r="CB1041" t="s">
        <v>145</v>
      </c>
    </row>
    <row r="1042" spans="67:80" x14ac:dyDescent="0.25">
      <c r="BO1042">
        <v>0</v>
      </c>
      <c r="BP1042">
        <v>0</v>
      </c>
      <c r="BQ1042">
        <v>0</v>
      </c>
      <c r="BR1042">
        <v>0</v>
      </c>
      <c r="BS1042">
        <v>0</v>
      </c>
      <c r="BT1042">
        <v>0</v>
      </c>
      <c r="BU1042">
        <v>0</v>
      </c>
      <c r="BV1042">
        <v>0</v>
      </c>
      <c r="BW1042" t="s">
        <v>0</v>
      </c>
      <c r="BX1042">
        <v>0</v>
      </c>
      <c r="BY1042">
        <v>0</v>
      </c>
      <c r="BZ1042">
        <v>0</v>
      </c>
      <c r="CA1042">
        <v>0</v>
      </c>
      <c r="CB1042" t="s">
        <v>145</v>
      </c>
    </row>
    <row r="1043" spans="67:80" x14ac:dyDescent="0.25">
      <c r="BO1043">
        <v>0</v>
      </c>
      <c r="BP1043">
        <v>0</v>
      </c>
      <c r="BQ1043">
        <v>0</v>
      </c>
      <c r="BR1043">
        <v>0</v>
      </c>
      <c r="BS1043">
        <v>0</v>
      </c>
      <c r="BT1043">
        <v>0</v>
      </c>
      <c r="BU1043">
        <v>0</v>
      </c>
      <c r="BV1043">
        <v>0</v>
      </c>
      <c r="BW1043" t="s">
        <v>0</v>
      </c>
      <c r="BX1043">
        <v>0</v>
      </c>
      <c r="BY1043">
        <v>0</v>
      </c>
      <c r="BZ1043">
        <v>0</v>
      </c>
      <c r="CA1043">
        <v>0</v>
      </c>
      <c r="CB1043" t="s">
        <v>145</v>
      </c>
    </row>
    <row r="1044" spans="67:80" x14ac:dyDescent="0.25">
      <c r="BO1044">
        <v>0</v>
      </c>
      <c r="BP1044">
        <v>0</v>
      </c>
      <c r="BQ1044">
        <v>0</v>
      </c>
      <c r="BR1044">
        <v>0</v>
      </c>
      <c r="BS1044">
        <v>0</v>
      </c>
      <c r="BT1044">
        <v>0</v>
      </c>
      <c r="BU1044">
        <v>0</v>
      </c>
      <c r="BV1044">
        <v>0</v>
      </c>
      <c r="BW1044" t="s">
        <v>0</v>
      </c>
      <c r="BX1044">
        <v>0</v>
      </c>
      <c r="BY1044">
        <v>0</v>
      </c>
      <c r="BZ1044">
        <v>0</v>
      </c>
      <c r="CA1044">
        <v>0</v>
      </c>
      <c r="CB1044" t="s">
        <v>145</v>
      </c>
    </row>
    <row r="1045" spans="67:80" x14ac:dyDescent="0.25">
      <c r="BO1045">
        <v>0</v>
      </c>
      <c r="BP1045">
        <v>0</v>
      </c>
      <c r="BQ1045">
        <v>0</v>
      </c>
      <c r="BR1045">
        <v>0</v>
      </c>
      <c r="BS1045">
        <v>0</v>
      </c>
      <c r="BT1045">
        <v>0</v>
      </c>
      <c r="BU1045">
        <v>0</v>
      </c>
      <c r="BV1045">
        <v>0</v>
      </c>
      <c r="BW1045" t="s">
        <v>0</v>
      </c>
      <c r="BX1045">
        <v>0</v>
      </c>
      <c r="BY1045">
        <v>0</v>
      </c>
      <c r="BZ1045">
        <v>0</v>
      </c>
      <c r="CA1045">
        <v>0</v>
      </c>
      <c r="CB1045" t="s">
        <v>145</v>
      </c>
    </row>
    <row r="1046" spans="67:80" x14ac:dyDescent="0.25">
      <c r="BO1046">
        <v>0</v>
      </c>
      <c r="BP1046">
        <v>0</v>
      </c>
      <c r="BQ1046">
        <v>0</v>
      </c>
      <c r="BR1046">
        <v>0</v>
      </c>
      <c r="BS1046">
        <v>0</v>
      </c>
      <c r="BT1046">
        <v>0</v>
      </c>
      <c r="BU1046">
        <v>0</v>
      </c>
      <c r="BV1046">
        <v>0</v>
      </c>
      <c r="BW1046" t="s">
        <v>0</v>
      </c>
      <c r="BX1046">
        <v>0</v>
      </c>
      <c r="BY1046">
        <v>0</v>
      </c>
      <c r="BZ1046">
        <v>0</v>
      </c>
      <c r="CA1046">
        <v>0</v>
      </c>
      <c r="CB1046" t="s">
        <v>145</v>
      </c>
    </row>
    <row r="1047" spans="67:80" x14ac:dyDescent="0.25">
      <c r="BO1047">
        <v>0</v>
      </c>
      <c r="BP1047">
        <v>0</v>
      </c>
      <c r="BQ1047">
        <v>0</v>
      </c>
      <c r="BR1047">
        <v>0</v>
      </c>
      <c r="BS1047">
        <v>0</v>
      </c>
      <c r="BT1047">
        <v>0</v>
      </c>
      <c r="BU1047">
        <v>0</v>
      </c>
      <c r="BV1047">
        <v>0</v>
      </c>
      <c r="BW1047" t="s">
        <v>0</v>
      </c>
      <c r="BX1047">
        <v>0</v>
      </c>
      <c r="BY1047">
        <v>0</v>
      </c>
      <c r="BZ1047">
        <v>0</v>
      </c>
      <c r="CA1047">
        <v>0</v>
      </c>
      <c r="CB1047" t="s">
        <v>145</v>
      </c>
    </row>
    <row r="1048" spans="67:80" x14ac:dyDescent="0.25">
      <c r="BO1048">
        <v>0</v>
      </c>
      <c r="BP1048">
        <v>0</v>
      </c>
      <c r="BQ1048">
        <v>0</v>
      </c>
      <c r="BR1048">
        <v>0</v>
      </c>
      <c r="BS1048">
        <v>0</v>
      </c>
      <c r="BT1048">
        <v>0</v>
      </c>
      <c r="BU1048">
        <v>0</v>
      </c>
      <c r="BV1048">
        <v>0</v>
      </c>
      <c r="BW1048" t="s">
        <v>0</v>
      </c>
      <c r="BX1048">
        <v>0</v>
      </c>
      <c r="BY1048">
        <v>0</v>
      </c>
      <c r="BZ1048">
        <v>0</v>
      </c>
      <c r="CA1048">
        <v>0</v>
      </c>
      <c r="CB1048" t="s">
        <v>145</v>
      </c>
    </row>
    <row r="1049" spans="67:80" x14ac:dyDescent="0.25">
      <c r="BO1049">
        <v>0</v>
      </c>
      <c r="BP1049">
        <v>0</v>
      </c>
      <c r="BQ1049">
        <v>0</v>
      </c>
      <c r="BR1049">
        <v>0</v>
      </c>
      <c r="BS1049">
        <v>0</v>
      </c>
      <c r="BT1049">
        <v>0</v>
      </c>
      <c r="BU1049">
        <v>0</v>
      </c>
      <c r="BV1049">
        <v>0</v>
      </c>
      <c r="BW1049" t="s">
        <v>0</v>
      </c>
      <c r="BX1049">
        <v>0</v>
      </c>
      <c r="BY1049">
        <v>0</v>
      </c>
      <c r="BZ1049">
        <v>0</v>
      </c>
      <c r="CA1049">
        <v>0</v>
      </c>
      <c r="CB1049" t="s">
        <v>145</v>
      </c>
    </row>
    <row r="1050" spans="67:80" x14ac:dyDescent="0.25">
      <c r="BO1050">
        <v>0</v>
      </c>
      <c r="BP1050">
        <v>0</v>
      </c>
      <c r="BQ1050">
        <v>0</v>
      </c>
      <c r="BR1050">
        <v>0</v>
      </c>
      <c r="BS1050">
        <v>0</v>
      </c>
      <c r="BT1050">
        <v>0</v>
      </c>
      <c r="BU1050">
        <v>0</v>
      </c>
      <c r="BV1050">
        <v>0</v>
      </c>
      <c r="BW1050" t="s">
        <v>0</v>
      </c>
      <c r="BX1050">
        <v>0</v>
      </c>
      <c r="BY1050">
        <v>0</v>
      </c>
      <c r="BZ1050">
        <v>0</v>
      </c>
      <c r="CA1050">
        <v>0</v>
      </c>
      <c r="CB1050" t="s">
        <v>145</v>
      </c>
    </row>
    <row r="1051" spans="67:80" x14ac:dyDescent="0.25">
      <c r="BO1051">
        <v>0</v>
      </c>
      <c r="BP1051">
        <v>0</v>
      </c>
      <c r="BQ1051">
        <v>0</v>
      </c>
      <c r="BR1051">
        <v>0</v>
      </c>
      <c r="BS1051">
        <v>0</v>
      </c>
      <c r="BT1051">
        <v>0</v>
      </c>
      <c r="BU1051">
        <v>0</v>
      </c>
      <c r="BV1051">
        <v>0</v>
      </c>
      <c r="BW1051" t="s">
        <v>0</v>
      </c>
      <c r="BX1051">
        <v>0</v>
      </c>
      <c r="BY1051">
        <v>0</v>
      </c>
      <c r="BZ1051">
        <v>0</v>
      </c>
      <c r="CA1051">
        <v>0</v>
      </c>
      <c r="CB1051" t="s">
        <v>145</v>
      </c>
    </row>
    <row r="1052" spans="67:80" x14ac:dyDescent="0.25">
      <c r="BO1052">
        <v>0</v>
      </c>
      <c r="BP1052">
        <v>0</v>
      </c>
      <c r="BQ1052">
        <v>0</v>
      </c>
      <c r="BR1052">
        <v>0</v>
      </c>
      <c r="BS1052">
        <v>0</v>
      </c>
      <c r="BT1052">
        <v>0</v>
      </c>
      <c r="BU1052">
        <v>0</v>
      </c>
      <c r="BV1052">
        <v>0</v>
      </c>
      <c r="BW1052" t="s">
        <v>0</v>
      </c>
      <c r="BX1052">
        <v>0</v>
      </c>
      <c r="BY1052">
        <v>0</v>
      </c>
      <c r="BZ1052">
        <v>0</v>
      </c>
      <c r="CA1052">
        <v>0</v>
      </c>
      <c r="CB1052" t="s">
        <v>145</v>
      </c>
    </row>
    <row r="1053" spans="67:80" x14ac:dyDescent="0.25">
      <c r="BO1053">
        <v>0</v>
      </c>
      <c r="BP1053">
        <v>0</v>
      </c>
      <c r="BQ1053">
        <v>0</v>
      </c>
      <c r="BR1053">
        <v>0</v>
      </c>
      <c r="BS1053">
        <v>0</v>
      </c>
      <c r="BT1053">
        <v>0</v>
      </c>
      <c r="BU1053">
        <v>0</v>
      </c>
      <c r="BV1053">
        <v>0</v>
      </c>
      <c r="BW1053" t="s">
        <v>0</v>
      </c>
      <c r="BX1053">
        <v>0</v>
      </c>
      <c r="BY1053">
        <v>0</v>
      </c>
      <c r="BZ1053">
        <v>0</v>
      </c>
      <c r="CA1053">
        <v>0</v>
      </c>
      <c r="CB1053" t="s">
        <v>145</v>
      </c>
    </row>
    <row r="1054" spans="67:80" x14ac:dyDescent="0.25">
      <c r="BO1054">
        <v>0</v>
      </c>
      <c r="BP1054">
        <v>0</v>
      </c>
      <c r="BQ1054">
        <v>0</v>
      </c>
      <c r="BR1054">
        <v>0</v>
      </c>
      <c r="BS1054">
        <v>0</v>
      </c>
      <c r="BT1054">
        <v>0</v>
      </c>
      <c r="BU1054">
        <v>0</v>
      </c>
      <c r="BV1054">
        <v>0</v>
      </c>
      <c r="BW1054" t="s">
        <v>0</v>
      </c>
      <c r="BX1054">
        <v>0</v>
      </c>
      <c r="BY1054">
        <v>0</v>
      </c>
      <c r="BZ1054">
        <v>0</v>
      </c>
      <c r="CA1054">
        <v>0</v>
      </c>
      <c r="CB1054" t="s">
        <v>145</v>
      </c>
    </row>
    <row r="1055" spans="67:80" x14ac:dyDescent="0.25">
      <c r="BO1055">
        <v>0</v>
      </c>
      <c r="BP1055">
        <v>0</v>
      </c>
      <c r="BQ1055">
        <v>0</v>
      </c>
      <c r="BR1055">
        <v>0</v>
      </c>
      <c r="BS1055">
        <v>0</v>
      </c>
      <c r="BT1055">
        <v>0</v>
      </c>
      <c r="BU1055">
        <v>0</v>
      </c>
      <c r="BV1055">
        <v>0</v>
      </c>
      <c r="BW1055" t="s">
        <v>0</v>
      </c>
      <c r="BX1055">
        <v>0</v>
      </c>
      <c r="BY1055">
        <v>0</v>
      </c>
      <c r="BZ1055">
        <v>0</v>
      </c>
      <c r="CA1055">
        <v>0</v>
      </c>
      <c r="CB1055" t="s">
        <v>145</v>
      </c>
    </row>
    <row r="1056" spans="67:80" x14ac:dyDescent="0.25">
      <c r="BO1056">
        <v>0</v>
      </c>
      <c r="BP1056">
        <v>0</v>
      </c>
      <c r="BQ1056">
        <v>0</v>
      </c>
      <c r="BR1056">
        <v>0</v>
      </c>
      <c r="BS1056">
        <v>0</v>
      </c>
      <c r="BT1056">
        <v>0</v>
      </c>
      <c r="BU1056">
        <v>0</v>
      </c>
      <c r="BV1056">
        <v>0</v>
      </c>
      <c r="BW1056" t="s">
        <v>0</v>
      </c>
      <c r="BX1056">
        <v>0</v>
      </c>
      <c r="BY1056">
        <v>0</v>
      </c>
      <c r="BZ1056">
        <v>0</v>
      </c>
      <c r="CA1056">
        <v>0</v>
      </c>
      <c r="CB1056" t="s">
        <v>145</v>
      </c>
    </row>
    <row r="1057" spans="67:80" x14ac:dyDescent="0.25">
      <c r="BO1057">
        <v>0</v>
      </c>
      <c r="BP1057">
        <v>0</v>
      </c>
      <c r="BQ1057">
        <v>0</v>
      </c>
      <c r="BR1057">
        <v>0</v>
      </c>
      <c r="BS1057">
        <v>0</v>
      </c>
      <c r="BT1057">
        <v>0</v>
      </c>
      <c r="BU1057">
        <v>0</v>
      </c>
      <c r="BV1057">
        <v>0</v>
      </c>
      <c r="BW1057" t="s">
        <v>0</v>
      </c>
      <c r="BX1057">
        <v>0</v>
      </c>
      <c r="BY1057">
        <v>0</v>
      </c>
      <c r="BZ1057">
        <v>0</v>
      </c>
      <c r="CA1057">
        <v>0</v>
      </c>
      <c r="CB1057" t="s">
        <v>145</v>
      </c>
    </row>
    <row r="1058" spans="67:80" x14ac:dyDescent="0.25">
      <c r="BO1058">
        <v>0</v>
      </c>
      <c r="BP1058">
        <v>0</v>
      </c>
      <c r="BQ1058">
        <v>0</v>
      </c>
      <c r="BR1058">
        <v>0</v>
      </c>
      <c r="BS1058">
        <v>0</v>
      </c>
      <c r="BT1058">
        <v>0</v>
      </c>
      <c r="BU1058">
        <v>0</v>
      </c>
      <c r="BV1058">
        <v>0</v>
      </c>
      <c r="BW1058" t="s">
        <v>0</v>
      </c>
      <c r="BX1058">
        <v>0</v>
      </c>
      <c r="BY1058">
        <v>0</v>
      </c>
      <c r="BZ1058">
        <v>0</v>
      </c>
      <c r="CA1058">
        <v>0</v>
      </c>
      <c r="CB1058" t="s">
        <v>145</v>
      </c>
    </row>
    <row r="1059" spans="67:80" x14ac:dyDescent="0.25">
      <c r="BO1059">
        <v>0</v>
      </c>
      <c r="BP1059">
        <v>0</v>
      </c>
      <c r="BQ1059">
        <v>0</v>
      </c>
      <c r="BR1059">
        <v>0</v>
      </c>
      <c r="BS1059">
        <v>0</v>
      </c>
      <c r="BT1059">
        <v>0</v>
      </c>
      <c r="BU1059">
        <v>0</v>
      </c>
      <c r="BV1059">
        <v>0</v>
      </c>
      <c r="BW1059" t="s">
        <v>0</v>
      </c>
      <c r="BX1059">
        <v>0</v>
      </c>
      <c r="BY1059">
        <v>0</v>
      </c>
      <c r="BZ1059">
        <v>0</v>
      </c>
      <c r="CA1059">
        <v>0</v>
      </c>
      <c r="CB1059" t="s">
        <v>145</v>
      </c>
    </row>
    <row r="1060" spans="67:80" x14ac:dyDescent="0.25">
      <c r="BO1060">
        <v>0</v>
      </c>
      <c r="BP1060">
        <v>0</v>
      </c>
      <c r="BQ1060">
        <v>0</v>
      </c>
      <c r="BR1060">
        <v>0</v>
      </c>
      <c r="BS1060">
        <v>0</v>
      </c>
      <c r="BT1060">
        <v>0</v>
      </c>
      <c r="BU1060">
        <v>0</v>
      </c>
      <c r="BV1060">
        <v>0</v>
      </c>
      <c r="BW1060" t="s">
        <v>0</v>
      </c>
      <c r="BX1060">
        <v>0</v>
      </c>
      <c r="BY1060">
        <v>0</v>
      </c>
      <c r="BZ1060">
        <v>0</v>
      </c>
      <c r="CA1060">
        <v>0</v>
      </c>
      <c r="CB1060" t="s">
        <v>145</v>
      </c>
    </row>
    <row r="1061" spans="67:80" x14ac:dyDescent="0.25">
      <c r="BO1061">
        <v>0</v>
      </c>
      <c r="BP1061">
        <v>0</v>
      </c>
      <c r="BQ1061">
        <v>0</v>
      </c>
      <c r="BR1061">
        <v>0</v>
      </c>
      <c r="BS1061">
        <v>0</v>
      </c>
      <c r="BT1061">
        <v>0</v>
      </c>
      <c r="BU1061">
        <v>0</v>
      </c>
      <c r="BV1061">
        <v>0</v>
      </c>
      <c r="BW1061" t="s">
        <v>0</v>
      </c>
      <c r="BX1061">
        <v>0</v>
      </c>
      <c r="BY1061">
        <v>0</v>
      </c>
      <c r="BZ1061">
        <v>0</v>
      </c>
      <c r="CA1061">
        <v>0</v>
      </c>
      <c r="CB1061" t="s">
        <v>145</v>
      </c>
    </row>
    <row r="1062" spans="67:80" x14ac:dyDescent="0.25">
      <c r="BO1062">
        <v>0</v>
      </c>
      <c r="BP1062">
        <v>0</v>
      </c>
      <c r="BQ1062">
        <v>0</v>
      </c>
      <c r="BR1062">
        <v>0</v>
      </c>
      <c r="BS1062">
        <v>0</v>
      </c>
      <c r="BT1062">
        <v>0</v>
      </c>
      <c r="BU1062">
        <v>0</v>
      </c>
      <c r="BV1062">
        <v>0</v>
      </c>
      <c r="BW1062" t="s">
        <v>0</v>
      </c>
      <c r="BX1062">
        <v>0</v>
      </c>
      <c r="BY1062">
        <v>0</v>
      </c>
      <c r="BZ1062">
        <v>0</v>
      </c>
      <c r="CA1062">
        <v>0</v>
      </c>
      <c r="CB1062" t="s">
        <v>145</v>
      </c>
    </row>
    <row r="1063" spans="67:80" x14ac:dyDescent="0.25">
      <c r="BO1063">
        <v>0</v>
      </c>
      <c r="BP1063">
        <v>0</v>
      </c>
      <c r="BQ1063">
        <v>0</v>
      </c>
      <c r="BR1063">
        <v>0</v>
      </c>
      <c r="BS1063">
        <v>0</v>
      </c>
      <c r="BT1063">
        <v>0</v>
      </c>
      <c r="BU1063">
        <v>0</v>
      </c>
      <c r="BV1063">
        <v>0</v>
      </c>
      <c r="BW1063" t="s">
        <v>0</v>
      </c>
      <c r="BX1063">
        <v>0</v>
      </c>
      <c r="BY1063">
        <v>0</v>
      </c>
      <c r="BZ1063">
        <v>0</v>
      </c>
      <c r="CA1063">
        <v>0</v>
      </c>
      <c r="CB1063" t="s">
        <v>145</v>
      </c>
    </row>
    <row r="1064" spans="67:80" x14ac:dyDescent="0.25">
      <c r="BO1064">
        <v>0</v>
      </c>
      <c r="BP1064">
        <v>0</v>
      </c>
      <c r="BQ1064">
        <v>0</v>
      </c>
      <c r="BR1064">
        <v>0</v>
      </c>
      <c r="BS1064">
        <v>0</v>
      </c>
      <c r="BT1064">
        <v>0</v>
      </c>
      <c r="BU1064">
        <v>0</v>
      </c>
      <c r="BV1064">
        <v>0</v>
      </c>
      <c r="BW1064" t="s">
        <v>0</v>
      </c>
      <c r="BX1064">
        <v>0</v>
      </c>
      <c r="BY1064">
        <v>0</v>
      </c>
      <c r="BZ1064">
        <v>0</v>
      </c>
      <c r="CA1064">
        <v>0</v>
      </c>
      <c r="CB1064" t="s">
        <v>145</v>
      </c>
    </row>
    <row r="1065" spans="67:80" x14ac:dyDescent="0.25">
      <c r="BO1065">
        <v>0</v>
      </c>
      <c r="BP1065">
        <v>0</v>
      </c>
      <c r="BQ1065">
        <v>0</v>
      </c>
      <c r="BR1065">
        <v>0</v>
      </c>
      <c r="BS1065">
        <v>0</v>
      </c>
      <c r="BT1065">
        <v>0</v>
      </c>
      <c r="BU1065">
        <v>0</v>
      </c>
      <c r="BV1065">
        <v>0</v>
      </c>
      <c r="BW1065" t="s">
        <v>0</v>
      </c>
      <c r="BX1065">
        <v>0</v>
      </c>
      <c r="BY1065">
        <v>0</v>
      </c>
      <c r="BZ1065">
        <v>0</v>
      </c>
      <c r="CA1065">
        <v>0</v>
      </c>
      <c r="CB1065" t="s">
        <v>145</v>
      </c>
    </row>
    <row r="1066" spans="67:80" x14ac:dyDescent="0.25">
      <c r="BO1066">
        <v>0</v>
      </c>
      <c r="BP1066">
        <v>0</v>
      </c>
      <c r="BQ1066">
        <v>0</v>
      </c>
      <c r="BR1066">
        <v>0</v>
      </c>
      <c r="BS1066">
        <v>0</v>
      </c>
      <c r="BT1066">
        <v>0</v>
      </c>
      <c r="BU1066">
        <v>0</v>
      </c>
      <c r="BV1066">
        <v>0</v>
      </c>
      <c r="BW1066" t="s">
        <v>0</v>
      </c>
      <c r="BX1066">
        <v>0</v>
      </c>
      <c r="BY1066">
        <v>0</v>
      </c>
      <c r="BZ1066">
        <v>0</v>
      </c>
      <c r="CA1066">
        <v>0</v>
      </c>
      <c r="CB1066" t="s">
        <v>145</v>
      </c>
    </row>
    <row r="1067" spans="67:80" x14ac:dyDescent="0.25">
      <c r="BO1067">
        <v>0</v>
      </c>
      <c r="BP1067">
        <v>0</v>
      </c>
      <c r="BQ1067">
        <v>0</v>
      </c>
      <c r="BR1067">
        <v>0</v>
      </c>
      <c r="BS1067">
        <v>0</v>
      </c>
      <c r="BT1067">
        <v>0</v>
      </c>
      <c r="BU1067">
        <v>0</v>
      </c>
      <c r="BV1067">
        <v>0</v>
      </c>
      <c r="BW1067" t="s">
        <v>0</v>
      </c>
      <c r="BX1067">
        <v>0</v>
      </c>
      <c r="BY1067">
        <v>0</v>
      </c>
      <c r="BZ1067">
        <v>0</v>
      </c>
      <c r="CA1067">
        <v>0</v>
      </c>
      <c r="CB1067" t="s">
        <v>145</v>
      </c>
    </row>
    <row r="1068" spans="67:80" x14ac:dyDescent="0.25">
      <c r="BO1068">
        <v>0</v>
      </c>
      <c r="BP1068">
        <v>0</v>
      </c>
      <c r="BQ1068">
        <v>0</v>
      </c>
      <c r="BR1068">
        <v>0</v>
      </c>
      <c r="BS1068">
        <v>0</v>
      </c>
      <c r="BT1068">
        <v>0</v>
      </c>
      <c r="BU1068">
        <v>0</v>
      </c>
      <c r="BV1068">
        <v>0</v>
      </c>
      <c r="BW1068" t="s">
        <v>0</v>
      </c>
      <c r="BX1068">
        <v>0</v>
      </c>
      <c r="BY1068">
        <v>0</v>
      </c>
      <c r="BZ1068">
        <v>0</v>
      </c>
      <c r="CA1068">
        <v>0</v>
      </c>
      <c r="CB1068" t="s">
        <v>145</v>
      </c>
    </row>
    <row r="1069" spans="67:80" x14ac:dyDescent="0.25">
      <c r="BO1069">
        <v>0</v>
      </c>
      <c r="BP1069">
        <v>0</v>
      </c>
      <c r="BQ1069">
        <v>0</v>
      </c>
      <c r="BR1069">
        <v>0</v>
      </c>
      <c r="BS1069">
        <v>0</v>
      </c>
      <c r="BT1069">
        <v>0</v>
      </c>
      <c r="BU1069">
        <v>0</v>
      </c>
      <c r="BV1069">
        <v>0</v>
      </c>
      <c r="BW1069" t="s">
        <v>0</v>
      </c>
      <c r="BX1069">
        <v>0</v>
      </c>
      <c r="BY1069">
        <v>0</v>
      </c>
      <c r="BZ1069">
        <v>0</v>
      </c>
      <c r="CA1069">
        <v>0</v>
      </c>
      <c r="CB1069" t="s">
        <v>145</v>
      </c>
    </row>
    <row r="1070" spans="67:80" x14ac:dyDescent="0.25">
      <c r="BO1070">
        <v>0</v>
      </c>
      <c r="BP1070">
        <v>0</v>
      </c>
      <c r="BQ1070">
        <v>0</v>
      </c>
      <c r="BR1070">
        <v>0</v>
      </c>
      <c r="BS1070">
        <v>0</v>
      </c>
      <c r="BT1070">
        <v>0</v>
      </c>
      <c r="BU1070">
        <v>0</v>
      </c>
      <c r="BV1070">
        <v>0</v>
      </c>
      <c r="BW1070" t="s">
        <v>0</v>
      </c>
      <c r="BX1070">
        <v>0</v>
      </c>
      <c r="BY1070">
        <v>0</v>
      </c>
      <c r="BZ1070">
        <v>0</v>
      </c>
      <c r="CA1070">
        <v>0</v>
      </c>
      <c r="CB1070" t="s">
        <v>145</v>
      </c>
    </row>
    <row r="1071" spans="67:80" x14ac:dyDescent="0.25">
      <c r="BO1071">
        <v>0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>
        <v>0</v>
      </c>
      <c r="BV1071">
        <v>0</v>
      </c>
      <c r="BW1071" t="s">
        <v>0</v>
      </c>
      <c r="BX1071">
        <v>0</v>
      </c>
      <c r="BY1071">
        <v>0</v>
      </c>
      <c r="BZ1071">
        <v>0</v>
      </c>
      <c r="CA1071">
        <v>0</v>
      </c>
      <c r="CB1071" t="s">
        <v>145</v>
      </c>
    </row>
    <row r="1072" spans="67:80" x14ac:dyDescent="0.25">
      <c r="BO1072">
        <v>0</v>
      </c>
      <c r="BP1072">
        <v>0</v>
      </c>
      <c r="BQ1072">
        <v>0</v>
      </c>
      <c r="BR1072">
        <v>0</v>
      </c>
      <c r="BS1072">
        <v>0</v>
      </c>
      <c r="BT1072">
        <v>0</v>
      </c>
      <c r="BU1072">
        <v>0</v>
      </c>
      <c r="BV1072">
        <v>0</v>
      </c>
      <c r="BW1072" t="s">
        <v>0</v>
      </c>
      <c r="BX1072">
        <v>0</v>
      </c>
      <c r="BY1072">
        <v>0</v>
      </c>
      <c r="BZ1072">
        <v>0</v>
      </c>
      <c r="CA1072">
        <v>0</v>
      </c>
      <c r="CB1072" t="s">
        <v>145</v>
      </c>
    </row>
    <row r="1073" spans="67:80" x14ac:dyDescent="0.25">
      <c r="BO1073">
        <v>0</v>
      </c>
      <c r="BP1073">
        <v>0</v>
      </c>
      <c r="BQ1073">
        <v>0</v>
      </c>
      <c r="BR1073">
        <v>0</v>
      </c>
      <c r="BS1073">
        <v>0</v>
      </c>
      <c r="BT1073">
        <v>0</v>
      </c>
      <c r="BU1073">
        <v>0</v>
      </c>
      <c r="BV1073">
        <v>0</v>
      </c>
      <c r="BW1073" t="s">
        <v>0</v>
      </c>
      <c r="BX1073">
        <v>0</v>
      </c>
      <c r="BY1073">
        <v>0</v>
      </c>
      <c r="BZ1073">
        <v>0</v>
      </c>
      <c r="CA1073">
        <v>0</v>
      </c>
      <c r="CB1073" t="s">
        <v>145</v>
      </c>
    </row>
    <row r="1074" spans="67:80" x14ac:dyDescent="0.25">
      <c r="BO1074">
        <v>0</v>
      </c>
      <c r="BP1074">
        <v>0</v>
      </c>
      <c r="BQ1074">
        <v>0</v>
      </c>
      <c r="BR1074">
        <v>0</v>
      </c>
      <c r="BS1074">
        <v>0</v>
      </c>
      <c r="BT1074">
        <v>0</v>
      </c>
      <c r="BU1074">
        <v>0</v>
      </c>
      <c r="BV1074">
        <v>0</v>
      </c>
      <c r="BW1074" t="s">
        <v>0</v>
      </c>
      <c r="BX1074">
        <v>0</v>
      </c>
      <c r="BY1074">
        <v>0</v>
      </c>
      <c r="BZ1074">
        <v>0</v>
      </c>
      <c r="CA1074">
        <v>0</v>
      </c>
      <c r="CB1074" t="s">
        <v>145</v>
      </c>
    </row>
    <row r="1075" spans="67:80" x14ac:dyDescent="0.25">
      <c r="BO1075">
        <v>0</v>
      </c>
      <c r="BP1075">
        <v>0</v>
      </c>
      <c r="BQ1075">
        <v>0</v>
      </c>
      <c r="BR1075">
        <v>0</v>
      </c>
      <c r="BS1075">
        <v>0</v>
      </c>
      <c r="BT1075">
        <v>0</v>
      </c>
      <c r="BU1075">
        <v>0</v>
      </c>
      <c r="BV1075">
        <v>0</v>
      </c>
      <c r="BW1075" t="s">
        <v>0</v>
      </c>
      <c r="BX1075">
        <v>0</v>
      </c>
      <c r="BY1075">
        <v>0</v>
      </c>
      <c r="BZ1075">
        <v>0</v>
      </c>
      <c r="CA1075">
        <v>0</v>
      </c>
      <c r="CB1075" t="s">
        <v>145</v>
      </c>
    </row>
    <row r="1076" spans="67:80" x14ac:dyDescent="0.25">
      <c r="BO1076">
        <v>0</v>
      </c>
      <c r="BP1076">
        <v>0</v>
      </c>
      <c r="BQ1076">
        <v>0</v>
      </c>
      <c r="BR1076">
        <v>0</v>
      </c>
      <c r="BS1076">
        <v>0</v>
      </c>
      <c r="BT1076">
        <v>0</v>
      </c>
      <c r="BU1076">
        <v>0</v>
      </c>
      <c r="BV1076">
        <v>0</v>
      </c>
      <c r="BW1076" t="s">
        <v>0</v>
      </c>
      <c r="BX1076">
        <v>0</v>
      </c>
      <c r="BY1076">
        <v>0</v>
      </c>
      <c r="BZ1076">
        <v>0</v>
      </c>
      <c r="CA1076">
        <v>0</v>
      </c>
      <c r="CB1076" t="s">
        <v>145</v>
      </c>
    </row>
    <row r="1077" spans="67:80" x14ac:dyDescent="0.25">
      <c r="BO1077">
        <v>0</v>
      </c>
      <c r="BP1077">
        <v>0</v>
      </c>
      <c r="BQ1077">
        <v>0</v>
      </c>
      <c r="BR1077">
        <v>0</v>
      </c>
      <c r="BS1077">
        <v>0</v>
      </c>
      <c r="BT1077">
        <v>0</v>
      </c>
      <c r="BU1077">
        <v>0</v>
      </c>
      <c r="BV1077">
        <v>0</v>
      </c>
      <c r="BW1077" t="s">
        <v>0</v>
      </c>
      <c r="BX1077">
        <v>0</v>
      </c>
      <c r="BY1077">
        <v>0</v>
      </c>
      <c r="BZ1077">
        <v>0</v>
      </c>
      <c r="CA1077">
        <v>0</v>
      </c>
      <c r="CB1077" t="s">
        <v>145</v>
      </c>
    </row>
    <row r="1078" spans="67:80" x14ac:dyDescent="0.25">
      <c r="BO1078">
        <v>0</v>
      </c>
      <c r="BP1078">
        <v>0</v>
      </c>
      <c r="BQ1078">
        <v>0</v>
      </c>
      <c r="BR1078">
        <v>0</v>
      </c>
      <c r="BS1078">
        <v>0</v>
      </c>
      <c r="BT1078">
        <v>0</v>
      </c>
      <c r="BU1078">
        <v>0</v>
      </c>
      <c r="BV1078">
        <v>0</v>
      </c>
      <c r="BW1078" t="s">
        <v>0</v>
      </c>
      <c r="BX1078">
        <v>0</v>
      </c>
      <c r="BY1078">
        <v>0</v>
      </c>
      <c r="BZ1078">
        <v>0</v>
      </c>
      <c r="CA1078">
        <v>0</v>
      </c>
      <c r="CB1078" t="s">
        <v>145</v>
      </c>
    </row>
    <row r="1079" spans="67:80" x14ac:dyDescent="0.25">
      <c r="BO1079">
        <v>0</v>
      </c>
      <c r="BP1079">
        <v>0</v>
      </c>
      <c r="BQ1079">
        <v>0</v>
      </c>
      <c r="BR1079">
        <v>0</v>
      </c>
      <c r="BS1079">
        <v>0</v>
      </c>
      <c r="BT1079">
        <v>0</v>
      </c>
      <c r="BU1079">
        <v>0</v>
      </c>
      <c r="BV1079">
        <v>0</v>
      </c>
      <c r="BW1079" t="s">
        <v>0</v>
      </c>
      <c r="BX1079">
        <v>0</v>
      </c>
      <c r="BY1079">
        <v>0</v>
      </c>
      <c r="BZ1079">
        <v>0</v>
      </c>
      <c r="CA1079">
        <v>0</v>
      </c>
      <c r="CB1079" t="s">
        <v>145</v>
      </c>
    </row>
    <row r="1080" spans="67:80" x14ac:dyDescent="0.25">
      <c r="BO1080">
        <v>0</v>
      </c>
      <c r="BP1080">
        <v>0</v>
      </c>
      <c r="BQ1080">
        <v>0</v>
      </c>
      <c r="BR1080">
        <v>0</v>
      </c>
      <c r="BS1080">
        <v>0</v>
      </c>
      <c r="BT1080">
        <v>0</v>
      </c>
      <c r="BU1080">
        <v>0</v>
      </c>
      <c r="BV1080">
        <v>0</v>
      </c>
      <c r="BW1080" t="s">
        <v>0</v>
      </c>
      <c r="BX1080">
        <v>0</v>
      </c>
      <c r="BY1080">
        <v>0</v>
      </c>
      <c r="BZ1080">
        <v>0</v>
      </c>
      <c r="CA1080">
        <v>0</v>
      </c>
      <c r="CB1080" t="s">
        <v>145</v>
      </c>
    </row>
    <row r="1081" spans="67:80" x14ac:dyDescent="0.25">
      <c r="BO1081">
        <v>0</v>
      </c>
      <c r="BP1081">
        <v>0</v>
      </c>
      <c r="BQ1081">
        <v>0</v>
      </c>
      <c r="BR1081">
        <v>0</v>
      </c>
      <c r="BS1081">
        <v>0</v>
      </c>
      <c r="BT1081">
        <v>0</v>
      </c>
      <c r="BU1081">
        <v>0</v>
      </c>
      <c r="BV1081">
        <v>0</v>
      </c>
      <c r="BW1081" t="s">
        <v>0</v>
      </c>
      <c r="BX1081">
        <v>0</v>
      </c>
      <c r="BY1081">
        <v>0</v>
      </c>
      <c r="BZ1081">
        <v>0</v>
      </c>
      <c r="CA1081">
        <v>0</v>
      </c>
      <c r="CB1081" t="s">
        <v>145</v>
      </c>
    </row>
    <row r="1082" spans="67:80" x14ac:dyDescent="0.25">
      <c r="BO1082">
        <v>0</v>
      </c>
      <c r="BP1082">
        <v>0</v>
      </c>
      <c r="BQ1082">
        <v>0</v>
      </c>
      <c r="BR1082">
        <v>0</v>
      </c>
      <c r="BS1082">
        <v>0</v>
      </c>
      <c r="BT1082">
        <v>0</v>
      </c>
      <c r="BU1082">
        <v>0</v>
      </c>
      <c r="BV1082">
        <v>0</v>
      </c>
      <c r="BW1082" t="s">
        <v>0</v>
      </c>
      <c r="BX1082">
        <v>0</v>
      </c>
      <c r="BY1082">
        <v>0</v>
      </c>
      <c r="BZ1082">
        <v>0</v>
      </c>
      <c r="CA1082">
        <v>0</v>
      </c>
      <c r="CB1082" t="s">
        <v>145</v>
      </c>
    </row>
    <row r="1083" spans="67:80" x14ac:dyDescent="0.25">
      <c r="BO1083">
        <v>0</v>
      </c>
      <c r="BP1083">
        <v>0</v>
      </c>
      <c r="BQ1083">
        <v>0</v>
      </c>
      <c r="BR1083">
        <v>0</v>
      </c>
      <c r="BS1083">
        <v>0</v>
      </c>
      <c r="BT1083">
        <v>0</v>
      </c>
      <c r="BU1083">
        <v>0</v>
      </c>
      <c r="BV1083">
        <v>0</v>
      </c>
      <c r="BW1083" t="s">
        <v>0</v>
      </c>
      <c r="BX1083">
        <v>0</v>
      </c>
      <c r="BY1083">
        <v>0</v>
      </c>
      <c r="BZ1083">
        <v>0</v>
      </c>
      <c r="CA1083">
        <v>0</v>
      </c>
      <c r="CB1083" t="s">
        <v>145</v>
      </c>
    </row>
    <row r="1084" spans="67:80" x14ac:dyDescent="0.25">
      <c r="BO1084">
        <v>0</v>
      </c>
      <c r="BP1084">
        <v>0</v>
      </c>
      <c r="BQ1084">
        <v>0</v>
      </c>
      <c r="BR1084">
        <v>0</v>
      </c>
      <c r="BS1084">
        <v>0</v>
      </c>
      <c r="BT1084">
        <v>0</v>
      </c>
      <c r="BU1084">
        <v>0</v>
      </c>
      <c r="BV1084">
        <v>0</v>
      </c>
      <c r="BW1084" t="s">
        <v>0</v>
      </c>
      <c r="BX1084">
        <v>0</v>
      </c>
      <c r="BY1084">
        <v>0</v>
      </c>
      <c r="BZ1084">
        <v>0</v>
      </c>
      <c r="CA1084">
        <v>0</v>
      </c>
      <c r="CB1084" t="s">
        <v>145</v>
      </c>
    </row>
    <row r="1085" spans="67:80" x14ac:dyDescent="0.25">
      <c r="BO1085">
        <v>0</v>
      </c>
      <c r="BP1085">
        <v>0</v>
      </c>
      <c r="BQ1085">
        <v>0</v>
      </c>
      <c r="BR1085">
        <v>0</v>
      </c>
      <c r="BS1085">
        <v>0</v>
      </c>
      <c r="BT1085">
        <v>0</v>
      </c>
      <c r="BU1085">
        <v>0</v>
      </c>
      <c r="BV1085">
        <v>0</v>
      </c>
      <c r="BW1085" t="s">
        <v>0</v>
      </c>
      <c r="BX1085">
        <v>0</v>
      </c>
      <c r="BY1085">
        <v>0</v>
      </c>
      <c r="BZ1085">
        <v>0</v>
      </c>
      <c r="CA1085">
        <v>0</v>
      </c>
      <c r="CB1085" t="s">
        <v>145</v>
      </c>
    </row>
    <row r="1086" spans="67:80" x14ac:dyDescent="0.25">
      <c r="BO1086">
        <v>0</v>
      </c>
      <c r="BP1086">
        <v>0</v>
      </c>
      <c r="BQ1086">
        <v>0</v>
      </c>
      <c r="BR1086">
        <v>0</v>
      </c>
      <c r="BS1086">
        <v>0</v>
      </c>
      <c r="BT1086">
        <v>0</v>
      </c>
      <c r="BU1086">
        <v>0</v>
      </c>
      <c r="BV1086">
        <v>0</v>
      </c>
      <c r="BW1086" t="s">
        <v>0</v>
      </c>
      <c r="BX1086">
        <v>0</v>
      </c>
      <c r="BY1086">
        <v>0</v>
      </c>
      <c r="BZ1086">
        <v>0</v>
      </c>
      <c r="CA1086">
        <v>0</v>
      </c>
      <c r="CB1086" t="s">
        <v>145</v>
      </c>
    </row>
    <row r="1087" spans="67:80" x14ac:dyDescent="0.25">
      <c r="BO1087">
        <v>0</v>
      </c>
      <c r="BP1087">
        <v>0</v>
      </c>
      <c r="BQ1087">
        <v>0</v>
      </c>
      <c r="BR1087">
        <v>0</v>
      </c>
      <c r="BS1087">
        <v>0</v>
      </c>
      <c r="BT1087">
        <v>0</v>
      </c>
      <c r="BU1087">
        <v>0</v>
      </c>
      <c r="BV1087">
        <v>0</v>
      </c>
      <c r="BW1087" t="s">
        <v>0</v>
      </c>
      <c r="BX1087">
        <v>0</v>
      </c>
      <c r="BY1087">
        <v>0</v>
      </c>
      <c r="BZ1087">
        <v>0</v>
      </c>
      <c r="CA1087">
        <v>0</v>
      </c>
      <c r="CB1087" t="s">
        <v>145</v>
      </c>
    </row>
    <row r="1088" spans="67:80" x14ac:dyDescent="0.25">
      <c r="BO1088">
        <v>0</v>
      </c>
      <c r="BP1088">
        <v>0</v>
      </c>
      <c r="BQ1088">
        <v>0</v>
      </c>
      <c r="BR1088">
        <v>0</v>
      </c>
      <c r="BS1088">
        <v>0</v>
      </c>
      <c r="BT1088">
        <v>0</v>
      </c>
      <c r="BU1088">
        <v>0</v>
      </c>
      <c r="BV1088">
        <v>0</v>
      </c>
      <c r="BW1088" t="s">
        <v>0</v>
      </c>
      <c r="BX1088">
        <v>0</v>
      </c>
      <c r="BY1088">
        <v>0</v>
      </c>
      <c r="BZ1088">
        <v>0</v>
      </c>
      <c r="CA1088">
        <v>0</v>
      </c>
      <c r="CB1088" t="s">
        <v>145</v>
      </c>
    </row>
    <row r="1089" spans="67:80" x14ac:dyDescent="0.25">
      <c r="BO1089">
        <v>0</v>
      </c>
      <c r="BP1089">
        <v>0</v>
      </c>
      <c r="BQ1089">
        <v>0</v>
      </c>
      <c r="BR1089">
        <v>0</v>
      </c>
      <c r="BS1089">
        <v>0</v>
      </c>
      <c r="BT1089">
        <v>0</v>
      </c>
      <c r="BU1089">
        <v>0</v>
      </c>
      <c r="BV1089">
        <v>0</v>
      </c>
      <c r="BW1089" t="s">
        <v>0</v>
      </c>
      <c r="BX1089">
        <v>0</v>
      </c>
      <c r="BY1089">
        <v>0</v>
      </c>
      <c r="BZ1089">
        <v>0</v>
      </c>
      <c r="CA1089">
        <v>0</v>
      </c>
      <c r="CB1089" t="s">
        <v>145</v>
      </c>
    </row>
    <row r="1090" spans="67:80" x14ac:dyDescent="0.25">
      <c r="BO1090">
        <v>0</v>
      </c>
      <c r="BP1090">
        <v>0</v>
      </c>
      <c r="BQ1090">
        <v>0</v>
      </c>
      <c r="BR1090">
        <v>0</v>
      </c>
      <c r="BS1090">
        <v>0</v>
      </c>
      <c r="BT1090">
        <v>0</v>
      </c>
      <c r="BU1090">
        <v>0</v>
      </c>
      <c r="BV1090">
        <v>0</v>
      </c>
      <c r="BW1090" t="s">
        <v>0</v>
      </c>
      <c r="BX1090">
        <v>0</v>
      </c>
      <c r="BY1090">
        <v>0</v>
      </c>
      <c r="BZ1090">
        <v>0</v>
      </c>
      <c r="CA1090">
        <v>0</v>
      </c>
      <c r="CB1090" t="s">
        <v>145</v>
      </c>
    </row>
    <row r="1091" spans="67:80" x14ac:dyDescent="0.25">
      <c r="BO1091">
        <v>0</v>
      </c>
      <c r="BP1091">
        <v>0</v>
      </c>
      <c r="BQ1091">
        <v>0</v>
      </c>
      <c r="BR1091">
        <v>0</v>
      </c>
      <c r="BS1091">
        <v>0</v>
      </c>
      <c r="BT1091">
        <v>0</v>
      </c>
      <c r="BU1091">
        <v>0</v>
      </c>
      <c r="BV1091">
        <v>0</v>
      </c>
      <c r="BW1091" t="s">
        <v>0</v>
      </c>
      <c r="BX1091">
        <v>0</v>
      </c>
      <c r="BY1091">
        <v>0</v>
      </c>
      <c r="BZ1091">
        <v>0</v>
      </c>
      <c r="CA1091">
        <v>0</v>
      </c>
      <c r="CB1091" t="s">
        <v>145</v>
      </c>
    </row>
    <row r="1092" spans="67:80" x14ac:dyDescent="0.25">
      <c r="BO1092">
        <v>0</v>
      </c>
      <c r="BP1092">
        <v>0</v>
      </c>
      <c r="BQ1092">
        <v>0</v>
      </c>
      <c r="BR1092">
        <v>0</v>
      </c>
      <c r="BS1092">
        <v>0</v>
      </c>
      <c r="BT1092">
        <v>0</v>
      </c>
      <c r="BU1092">
        <v>0</v>
      </c>
      <c r="BV1092">
        <v>0</v>
      </c>
      <c r="BW1092" t="s">
        <v>0</v>
      </c>
      <c r="BX1092">
        <v>0</v>
      </c>
      <c r="BY1092">
        <v>0</v>
      </c>
      <c r="BZ1092">
        <v>0</v>
      </c>
      <c r="CA1092">
        <v>0</v>
      </c>
      <c r="CB1092" t="s">
        <v>145</v>
      </c>
    </row>
    <row r="1093" spans="67:80" x14ac:dyDescent="0.25">
      <c r="BO1093">
        <v>0</v>
      </c>
      <c r="BP1093">
        <v>0</v>
      </c>
      <c r="BQ1093">
        <v>0</v>
      </c>
      <c r="BR1093">
        <v>0</v>
      </c>
      <c r="BS1093">
        <v>0</v>
      </c>
      <c r="BT1093">
        <v>0</v>
      </c>
      <c r="BU1093">
        <v>0</v>
      </c>
      <c r="BV1093">
        <v>0</v>
      </c>
      <c r="BW1093" t="s">
        <v>0</v>
      </c>
      <c r="BX1093">
        <v>0</v>
      </c>
      <c r="BY1093">
        <v>0</v>
      </c>
      <c r="BZ1093">
        <v>0</v>
      </c>
      <c r="CA1093">
        <v>0</v>
      </c>
      <c r="CB1093" t="s">
        <v>145</v>
      </c>
    </row>
    <row r="1094" spans="67:80" x14ac:dyDescent="0.25">
      <c r="BO1094">
        <v>0</v>
      </c>
      <c r="BP1094">
        <v>0</v>
      </c>
      <c r="BQ1094">
        <v>0</v>
      </c>
      <c r="BR1094">
        <v>0</v>
      </c>
      <c r="BS1094">
        <v>0</v>
      </c>
      <c r="BT1094">
        <v>0</v>
      </c>
      <c r="BU1094">
        <v>0</v>
      </c>
      <c r="BV1094">
        <v>0</v>
      </c>
      <c r="BW1094" t="s">
        <v>0</v>
      </c>
      <c r="BX1094">
        <v>0</v>
      </c>
      <c r="BY1094">
        <v>0</v>
      </c>
      <c r="BZ1094">
        <v>0</v>
      </c>
      <c r="CA1094">
        <v>0</v>
      </c>
      <c r="CB1094" t="s">
        <v>145</v>
      </c>
    </row>
    <row r="1095" spans="67:80" x14ac:dyDescent="0.25">
      <c r="BO1095">
        <v>0</v>
      </c>
      <c r="BP1095">
        <v>0</v>
      </c>
      <c r="BQ1095">
        <v>0</v>
      </c>
      <c r="BR1095">
        <v>0</v>
      </c>
      <c r="BS1095">
        <v>0</v>
      </c>
      <c r="BT1095">
        <v>0</v>
      </c>
      <c r="BU1095">
        <v>0</v>
      </c>
      <c r="BV1095">
        <v>0</v>
      </c>
      <c r="BW1095" t="s">
        <v>0</v>
      </c>
      <c r="BX1095">
        <v>0</v>
      </c>
      <c r="BY1095">
        <v>0</v>
      </c>
      <c r="BZ1095">
        <v>0</v>
      </c>
      <c r="CA1095">
        <v>0</v>
      </c>
      <c r="CB1095" t="s">
        <v>145</v>
      </c>
    </row>
    <row r="1096" spans="67:80" x14ac:dyDescent="0.25">
      <c r="BO1096">
        <v>0</v>
      </c>
      <c r="BP1096">
        <v>0</v>
      </c>
      <c r="BQ1096">
        <v>0</v>
      </c>
      <c r="BR1096">
        <v>0</v>
      </c>
      <c r="BS1096">
        <v>0</v>
      </c>
      <c r="BT1096">
        <v>0</v>
      </c>
      <c r="BU1096">
        <v>0</v>
      </c>
      <c r="BV1096">
        <v>0</v>
      </c>
      <c r="BW1096" t="s">
        <v>0</v>
      </c>
      <c r="BX1096">
        <v>0</v>
      </c>
      <c r="BY1096">
        <v>0</v>
      </c>
      <c r="BZ1096">
        <v>0</v>
      </c>
      <c r="CA1096">
        <v>0</v>
      </c>
      <c r="CB1096" t="s">
        <v>145</v>
      </c>
    </row>
    <row r="1097" spans="67:80" x14ac:dyDescent="0.25">
      <c r="BO1097">
        <v>0</v>
      </c>
      <c r="BP1097">
        <v>0</v>
      </c>
      <c r="BQ1097">
        <v>0</v>
      </c>
      <c r="BR1097">
        <v>0</v>
      </c>
      <c r="BS1097">
        <v>0</v>
      </c>
      <c r="BT1097">
        <v>0</v>
      </c>
      <c r="BU1097">
        <v>0</v>
      </c>
      <c r="BV1097">
        <v>0</v>
      </c>
      <c r="BW1097" t="s">
        <v>0</v>
      </c>
      <c r="BX1097">
        <v>0</v>
      </c>
      <c r="BY1097">
        <v>0</v>
      </c>
      <c r="BZ1097">
        <v>0</v>
      </c>
      <c r="CA1097">
        <v>0</v>
      </c>
      <c r="CB1097" t="s">
        <v>145</v>
      </c>
    </row>
    <row r="1098" spans="67:80" x14ac:dyDescent="0.25">
      <c r="BO1098">
        <v>0</v>
      </c>
      <c r="BP1098">
        <v>0</v>
      </c>
      <c r="BQ1098">
        <v>0</v>
      </c>
      <c r="BR1098">
        <v>0</v>
      </c>
      <c r="BS1098">
        <v>0</v>
      </c>
      <c r="BT1098">
        <v>0</v>
      </c>
      <c r="BU1098">
        <v>0</v>
      </c>
      <c r="BV1098">
        <v>0</v>
      </c>
      <c r="BW1098" t="s">
        <v>0</v>
      </c>
      <c r="BX1098">
        <v>0</v>
      </c>
      <c r="BY1098">
        <v>0</v>
      </c>
      <c r="BZ1098">
        <v>0</v>
      </c>
      <c r="CA1098">
        <v>0</v>
      </c>
      <c r="CB1098" t="s">
        <v>145</v>
      </c>
    </row>
    <row r="1099" spans="67:80" x14ac:dyDescent="0.25">
      <c r="BO1099">
        <v>0</v>
      </c>
      <c r="BP1099">
        <v>0</v>
      </c>
      <c r="BQ1099">
        <v>0</v>
      </c>
      <c r="BR1099">
        <v>0</v>
      </c>
      <c r="BS1099">
        <v>0</v>
      </c>
      <c r="BT1099">
        <v>0</v>
      </c>
      <c r="BU1099">
        <v>0</v>
      </c>
      <c r="BV1099">
        <v>0</v>
      </c>
      <c r="BW1099" t="s">
        <v>0</v>
      </c>
      <c r="BX1099">
        <v>0</v>
      </c>
      <c r="BY1099">
        <v>0</v>
      </c>
      <c r="BZ1099">
        <v>0</v>
      </c>
      <c r="CA1099">
        <v>0</v>
      </c>
      <c r="CB1099" t="s">
        <v>145</v>
      </c>
    </row>
    <row r="1100" spans="67:80" x14ac:dyDescent="0.25">
      <c r="BO1100">
        <v>0</v>
      </c>
      <c r="BP1100">
        <v>0</v>
      </c>
      <c r="BQ1100">
        <v>0</v>
      </c>
      <c r="BR1100">
        <v>0</v>
      </c>
      <c r="BS1100">
        <v>0</v>
      </c>
      <c r="BT1100">
        <v>0</v>
      </c>
      <c r="BU1100">
        <v>0</v>
      </c>
      <c r="BV1100">
        <v>0</v>
      </c>
      <c r="BW1100" t="s">
        <v>0</v>
      </c>
      <c r="BX1100">
        <v>0</v>
      </c>
      <c r="BY1100">
        <v>0</v>
      </c>
      <c r="BZ1100">
        <v>0</v>
      </c>
      <c r="CA1100">
        <v>0</v>
      </c>
      <c r="CB1100" t="s">
        <v>145</v>
      </c>
    </row>
    <row r="1101" spans="67:80" x14ac:dyDescent="0.25">
      <c r="BO1101">
        <v>0</v>
      </c>
      <c r="BP1101">
        <v>0</v>
      </c>
      <c r="BQ1101">
        <v>0</v>
      </c>
      <c r="BR1101">
        <v>0</v>
      </c>
      <c r="BS1101">
        <v>0</v>
      </c>
      <c r="BT1101">
        <v>0</v>
      </c>
      <c r="BU1101">
        <v>0</v>
      </c>
      <c r="BV1101">
        <v>0</v>
      </c>
      <c r="BW1101" t="s">
        <v>0</v>
      </c>
      <c r="BX1101">
        <v>0</v>
      </c>
      <c r="BY1101">
        <v>0</v>
      </c>
      <c r="BZ1101">
        <v>0</v>
      </c>
      <c r="CA1101">
        <v>0</v>
      </c>
      <c r="CB1101" t="s">
        <v>145</v>
      </c>
    </row>
    <row r="1102" spans="67:80" x14ac:dyDescent="0.25">
      <c r="BO1102">
        <v>0</v>
      </c>
      <c r="BP1102">
        <v>0</v>
      </c>
      <c r="BQ1102">
        <v>0</v>
      </c>
      <c r="BR1102">
        <v>0</v>
      </c>
      <c r="BS1102">
        <v>0</v>
      </c>
      <c r="BT1102">
        <v>0</v>
      </c>
      <c r="BU1102">
        <v>0</v>
      </c>
      <c r="BV1102">
        <v>0</v>
      </c>
      <c r="BW1102" t="s">
        <v>0</v>
      </c>
      <c r="BX1102">
        <v>0</v>
      </c>
      <c r="BY1102">
        <v>0</v>
      </c>
      <c r="BZ1102">
        <v>0</v>
      </c>
      <c r="CA1102">
        <v>0</v>
      </c>
      <c r="CB1102" t="s">
        <v>145</v>
      </c>
    </row>
    <row r="1103" spans="67:80" x14ac:dyDescent="0.25">
      <c r="BO1103">
        <v>0</v>
      </c>
      <c r="BP1103">
        <v>0</v>
      </c>
      <c r="BQ1103">
        <v>0</v>
      </c>
      <c r="BR1103">
        <v>0</v>
      </c>
      <c r="BS1103">
        <v>0</v>
      </c>
      <c r="BT1103">
        <v>0</v>
      </c>
      <c r="BU1103">
        <v>0</v>
      </c>
      <c r="BV1103">
        <v>0</v>
      </c>
      <c r="BW1103" t="s">
        <v>0</v>
      </c>
      <c r="BX1103">
        <v>0</v>
      </c>
      <c r="BY1103">
        <v>0</v>
      </c>
      <c r="BZ1103">
        <v>0</v>
      </c>
      <c r="CA1103">
        <v>0</v>
      </c>
      <c r="CB1103" t="s">
        <v>145</v>
      </c>
    </row>
    <row r="1104" spans="67:80" x14ac:dyDescent="0.25">
      <c r="BO1104">
        <v>0</v>
      </c>
      <c r="BP1104">
        <v>0</v>
      </c>
      <c r="BQ1104">
        <v>0</v>
      </c>
      <c r="BR1104">
        <v>0</v>
      </c>
      <c r="BS1104">
        <v>0</v>
      </c>
      <c r="BT1104">
        <v>0</v>
      </c>
      <c r="BU1104">
        <v>0</v>
      </c>
      <c r="BV1104">
        <v>0</v>
      </c>
      <c r="BW1104" t="s">
        <v>0</v>
      </c>
      <c r="BX1104">
        <v>0</v>
      </c>
      <c r="BY1104">
        <v>0</v>
      </c>
      <c r="BZ1104">
        <v>0</v>
      </c>
      <c r="CA1104">
        <v>0</v>
      </c>
      <c r="CB1104" t="s">
        <v>145</v>
      </c>
    </row>
    <row r="1105" spans="11:80" x14ac:dyDescent="0.25">
      <c r="BO1105">
        <v>0</v>
      </c>
      <c r="BP1105">
        <v>0</v>
      </c>
      <c r="BQ1105">
        <v>0</v>
      </c>
      <c r="BR1105">
        <v>0</v>
      </c>
      <c r="BS1105">
        <v>0</v>
      </c>
      <c r="BT1105">
        <v>0</v>
      </c>
      <c r="BU1105">
        <v>0</v>
      </c>
      <c r="BV1105">
        <v>0</v>
      </c>
      <c r="BW1105" t="s">
        <v>0</v>
      </c>
      <c r="BX1105">
        <v>0</v>
      </c>
      <c r="BY1105">
        <v>0</v>
      </c>
      <c r="BZ1105">
        <v>0</v>
      </c>
      <c r="CA1105">
        <v>0</v>
      </c>
      <c r="CB1105" t="s">
        <v>145</v>
      </c>
    </row>
    <row r="1106" spans="11:80" x14ac:dyDescent="0.25">
      <c r="BO1106">
        <v>0</v>
      </c>
      <c r="BP1106">
        <v>0</v>
      </c>
      <c r="BQ1106">
        <v>0</v>
      </c>
      <c r="BR1106">
        <v>0</v>
      </c>
      <c r="BS1106">
        <v>0</v>
      </c>
      <c r="BT1106">
        <v>0</v>
      </c>
      <c r="BU1106">
        <v>0</v>
      </c>
      <c r="BV1106">
        <v>0</v>
      </c>
      <c r="BW1106" t="s">
        <v>0</v>
      </c>
      <c r="BX1106">
        <v>0</v>
      </c>
      <c r="BY1106">
        <v>0</v>
      </c>
      <c r="BZ1106">
        <v>0</v>
      </c>
      <c r="CA1106">
        <v>0</v>
      </c>
      <c r="CB1106" t="s">
        <v>145</v>
      </c>
    </row>
    <row r="1107" spans="11:80" x14ac:dyDescent="0.25">
      <c r="BO1107">
        <v>0</v>
      </c>
      <c r="BP1107">
        <v>0</v>
      </c>
      <c r="BQ1107">
        <v>0</v>
      </c>
      <c r="BR1107">
        <v>0</v>
      </c>
      <c r="BS1107">
        <v>0</v>
      </c>
      <c r="BT1107">
        <v>0</v>
      </c>
      <c r="BU1107">
        <v>0</v>
      </c>
      <c r="BV1107">
        <v>0</v>
      </c>
      <c r="BW1107" t="s">
        <v>0</v>
      </c>
      <c r="BX1107">
        <v>0</v>
      </c>
      <c r="BY1107">
        <v>0</v>
      </c>
      <c r="BZ1107">
        <v>0</v>
      </c>
      <c r="CA1107">
        <v>0</v>
      </c>
      <c r="CB1107" t="s">
        <v>145</v>
      </c>
    </row>
    <row r="1108" spans="11:80" x14ac:dyDescent="0.25">
      <c r="BO1108">
        <v>0</v>
      </c>
      <c r="BP1108">
        <v>0</v>
      </c>
      <c r="BQ1108">
        <v>0</v>
      </c>
      <c r="BR1108">
        <v>0</v>
      </c>
      <c r="BS1108">
        <v>0</v>
      </c>
      <c r="BT1108">
        <v>0</v>
      </c>
      <c r="BU1108">
        <v>0</v>
      </c>
      <c r="BV1108">
        <v>0</v>
      </c>
      <c r="BW1108" t="s">
        <v>0</v>
      </c>
      <c r="BX1108">
        <v>0</v>
      </c>
      <c r="BY1108">
        <v>0</v>
      </c>
      <c r="BZ1108">
        <v>0</v>
      </c>
      <c r="CA1108">
        <v>0</v>
      </c>
      <c r="CB1108" t="s">
        <v>145</v>
      </c>
    </row>
    <row r="1109" spans="11:80" x14ac:dyDescent="0.25">
      <c r="BO1109">
        <v>0</v>
      </c>
      <c r="BP1109">
        <v>0</v>
      </c>
      <c r="BQ1109">
        <v>0</v>
      </c>
      <c r="BR1109">
        <v>0</v>
      </c>
      <c r="BS1109">
        <v>0</v>
      </c>
      <c r="BT1109">
        <v>0</v>
      </c>
      <c r="BU1109">
        <v>0</v>
      </c>
      <c r="BV1109">
        <v>0</v>
      </c>
      <c r="BW1109" t="s">
        <v>0</v>
      </c>
      <c r="BX1109">
        <v>0</v>
      </c>
      <c r="BY1109">
        <v>0</v>
      </c>
      <c r="BZ1109">
        <v>0</v>
      </c>
      <c r="CA1109">
        <v>0</v>
      </c>
      <c r="CB1109" t="s">
        <v>145</v>
      </c>
    </row>
    <row r="1110" spans="11:80" x14ac:dyDescent="0.25">
      <c r="AF1110" s="1"/>
      <c r="BE1110" s="1"/>
      <c r="BG1110" s="1"/>
      <c r="BM1110" s="2"/>
      <c r="BO1110">
        <v>0</v>
      </c>
      <c r="BP1110">
        <v>0</v>
      </c>
      <c r="BQ1110">
        <v>0</v>
      </c>
      <c r="BR1110">
        <v>0</v>
      </c>
      <c r="BS1110">
        <v>0</v>
      </c>
      <c r="BT1110">
        <v>0</v>
      </c>
      <c r="BU1110">
        <v>0</v>
      </c>
      <c r="BV1110">
        <v>0</v>
      </c>
      <c r="BW1110" t="s">
        <v>0</v>
      </c>
      <c r="BX1110">
        <v>0</v>
      </c>
      <c r="BY1110">
        <v>0</v>
      </c>
      <c r="BZ1110">
        <v>0</v>
      </c>
      <c r="CA1110">
        <v>0</v>
      </c>
      <c r="CB1110" t="s">
        <v>145</v>
      </c>
    </row>
    <row r="1111" spans="11:80" x14ac:dyDescent="0.25">
      <c r="BE1111" s="1"/>
      <c r="BO1111">
        <v>0</v>
      </c>
      <c r="BP1111">
        <v>0</v>
      </c>
      <c r="BQ1111">
        <v>0</v>
      </c>
      <c r="BR1111">
        <v>0</v>
      </c>
      <c r="BS1111">
        <v>0</v>
      </c>
      <c r="BT1111">
        <v>0</v>
      </c>
      <c r="BU1111">
        <v>0</v>
      </c>
      <c r="BV1111">
        <v>0</v>
      </c>
      <c r="BW1111" t="s">
        <v>0</v>
      </c>
      <c r="BX1111">
        <v>0</v>
      </c>
      <c r="BY1111">
        <v>0</v>
      </c>
      <c r="BZ1111">
        <v>0</v>
      </c>
      <c r="CA1111">
        <v>0</v>
      </c>
      <c r="CB1111" t="s">
        <v>145</v>
      </c>
    </row>
    <row r="1112" spans="11:80" x14ac:dyDescent="0.25">
      <c r="K1112" s="3"/>
      <c r="BE1112" s="1"/>
      <c r="BO1112">
        <v>0</v>
      </c>
      <c r="BP1112">
        <v>0</v>
      </c>
      <c r="BQ1112">
        <v>0</v>
      </c>
      <c r="BR1112">
        <v>0</v>
      </c>
      <c r="BS1112">
        <v>0</v>
      </c>
      <c r="BT1112">
        <v>0</v>
      </c>
      <c r="BU1112">
        <v>0</v>
      </c>
      <c r="BV1112">
        <v>0</v>
      </c>
      <c r="BW1112" t="s">
        <v>0</v>
      </c>
      <c r="BX1112">
        <v>0</v>
      </c>
      <c r="BY1112">
        <v>0</v>
      </c>
      <c r="BZ1112">
        <v>0</v>
      </c>
      <c r="CA1112">
        <v>0</v>
      </c>
      <c r="CB1112" t="s">
        <v>145</v>
      </c>
    </row>
    <row r="1113" spans="11:80" x14ac:dyDescent="0.25">
      <c r="K1113" s="3"/>
      <c r="BE1113" s="1"/>
      <c r="BO1113">
        <v>0</v>
      </c>
      <c r="BP1113">
        <v>0</v>
      </c>
      <c r="BQ1113">
        <v>0</v>
      </c>
      <c r="BR1113">
        <v>0</v>
      </c>
      <c r="BS1113">
        <v>0</v>
      </c>
      <c r="BT1113">
        <v>0</v>
      </c>
      <c r="BU1113">
        <v>0</v>
      </c>
      <c r="BV1113">
        <v>0</v>
      </c>
      <c r="BW1113" t="s">
        <v>0</v>
      </c>
      <c r="BX1113">
        <v>0</v>
      </c>
      <c r="BY1113">
        <v>0</v>
      </c>
      <c r="BZ1113">
        <v>0</v>
      </c>
      <c r="CA1113">
        <v>0</v>
      </c>
      <c r="CB1113" t="s">
        <v>145</v>
      </c>
    </row>
    <row r="1114" spans="11:80" x14ac:dyDescent="0.25">
      <c r="K1114" s="3"/>
      <c r="BE1114" s="1"/>
      <c r="BO1114">
        <v>0</v>
      </c>
      <c r="BP1114">
        <v>0</v>
      </c>
      <c r="BQ1114">
        <v>0</v>
      </c>
      <c r="BR1114">
        <v>0</v>
      </c>
      <c r="BS1114">
        <v>0</v>
      </c>
      <c r="BT1114">
        <v>0</v>
      </c>
      <c r="BU1114">
        <v>0</v>
      </c>
      <c r="BV1114">
        <v>0</v>
      </c>
      <c r="BW1114" t="s">
        <v>0</v>
      </c>
      <c r="BX1114">
        <v>0</v>
      </c>
      <c r="BY1114">
        <v>0</v>
      </c>
      <c r="BZ1114">
        <v>0</v>
      </c>
      <c r="CA1114">
        <v>0</v>
      </c>
      <c r="CB1114" t="s">
        <v>145</v>
      </c>
    </row>
    <row r="1115" spans="11:80" x14ac:dyDescent="0.25">
      <c r="K1115" s="3"/>
      <c r="BE1115" s="1"/>
      <c r="BO1115">
        <v>0</v>
      </c>
      <c r="BP1115">
        <v>0</v>
      </c>
      <c r="BQ1115">
        <v>0</v>
      </c>
      <c r="BR1115">
        <v>0</v>
      </c>
      <c r="BS1115">
        <v>0</v>
      </c>
      <c r="BT1115">
        <v>0</v>
      </c>
      <c r="BU1115">
        <v>0</v>
      </c>
      <c r="BV1115">
        <v>0</v>
      </c>
      <c r="BW1115" t="s">
        <v>0</v>
      </c>
      <c r="BX1115">
        <v>0</v>
      </c>
      <c r="BY1115">
        <v>0</v>
      </c>
      <c r="BZ1115">
        <v>0</v>
      </c>
      <c r="CA1115">
        <v>0</v>
      </c>
      <c r="CB1115" t="s">
        <v>145</v>
      </c>
    </row>
    <row r="1116" spans="11:80" x14ac:dyDescent="0.25">
      <c r="K1116" s="3"/>
      <c r="BE1116" s="1"/>
      <c r="BO1116">
        <v>0</v>
      </c>
      <c r="BP1116">
        <v>0</v>
      </c>
      <c r="BQ1116">
        <v>0</v>
      </c>
      <c r="BR1116">
        <v>0</v>
      </c>
      <c r="BS1116">
        <v>0</v>
      </c>
      <c r="BT1116">
        <v>0</v>
      </c>
      <c r="BU1116">
        <v>0</v>
      </c>
      <c r="BV1116">
        <v>0</v>
      </c>
      <c r="BW1116" t="s">
        <v>0</v>
      </c>
      <c r="BX1116">
        <v>0</v>
      </c>
      <c r="BY1116">
        <v>0</v>
      </c>
      <c r="BZ1116">
        <v>0</v>
      </c>
      <c r="CA1116">
        <v>0</v>
      </c>
      <c r="CB1116" t="s">
        <v>145</v>
      </c>
    </row>
    <row r="1117" spans="11:80" x14ac:dyDescent="0.25">
      <c r="K1117" s="3"/>
      <c r="BE1117" s="1"/>
      <c r="BO1117">
        <v>0</v>
      </c>
      <c r="BP1117">
        <v>0</v>
      </c>
      <c r="BQ1117">
        <v>0</v>
      </c>
      <c r="BR1117">
        <v>0</v>
      </c>
      <c r="BS1117">
        <v>0</v>
      </c>
      <c r="BT1117">
        <v>0</v>
      </c>
      <c r="BU1117">
        <v>0</v>
      </c>
      <c r="BV1117">
        <v>0</v>
      </c>
      <c r="BW1117" t="s">
        <v>0</v>
      </c>
      <c r="BX1117">
        <v>0</v>
      </c>
      <c r="BY1117">
        <v>0</v>
      </c>
      <c r="BZ1117">
        <v>0</v>
      </c>
      <c r="CA1117">
        <v>0</v>
      </c>
      <c r="CB1117" t="s">
        <v>145</v>
      </c>
    </row>
    <row r="1118" spans="11:80" x14ac:dyDescent="0.25">
      <c r="K1118" s="3"/>
      <c r="BE1118" s="1"/>
      <c r="BO1118">
        <v>0</v>
      </c>
      <c r="BP1118">
        <v>0</v>
      </c>
      <c r="BQ1118">
        <v>0</v>
      </c>
      <c r="BR1118">
        <v>0</v>
      </c>
      <c r="BS1118">
        <v>0</v>
      </c>
      <c r="BT1118">
        <v>0</v>
      </c>
      <c r="BU1118">
        <v>0</v>
      </c>
      <c r="BV1118">
        <v>0</v>
      </c>
      <c r="BW1118" t="s">
        <v>0</v>
      </c>
      <c r="BX1118">
        <v>0</v>
      </c>
      <c r="BY1118">
        <v>0</v>
      </c>
      <c r="BZ1118">
        <v>0</v>
      </c>
      <c r="CA1118">
        <v>0</v>
      </c>
      <c r="CB1118" t="s">
        <v>145</v>
      </c>
    </row>
    <row r="1119" spans="11:80" x14ac:dyDescent="0.25">
      <c r="K1119" s="3"/>
      <c r="BE1119" s="1"/>
      <c r="BO1119">
        <v>0</v>
      </c>
      <c r="BP1119">
        <v>0</v>
      </c>
      <c r="BQ1119">
        <v>0</v>
      </c>
      <c r="BR1119">
        <v>0</v>
      </c>
      <c r="BS1119">
        <v>0</v>
      </c>
      <c r="BT1119">
        <v>0</v>
      </c>
      <c r="BU1119">
        <v>0</v>
      </c>
      <c r="BV1119">
        <v>0</v>
      </c>
      <c r="BW1119" t="s">
        <v>0</v>
      </c>
      <c r="BX1119">
        <v>0</v>
      </c>
      <c r="BY1119">
        <v>0</v>
      </c>
      <c r="BZ1119">
        <v>0</v>
      </c>
      <c r="CA1119">
        <v>0</v>
      </c>
      <c r="CB1119" t="s">
        <v>145</v>
      </c>
    </row>
    <row r="1120" spans="11:80" x14ac:dyDescent="0.25">
      <c r="K1120" s="3"/>
      <c r="BE1120" s="1"/>
      <c r="BO1120">
        <v>0</v>
      </c>
      <c r="BP1120">
        <v>0</v>
      </c>
      <c r="BQ1120">
        <v>0</v>
      </c>
      <c r="BR1120">
        <v>0</v>
      </c>
      <c r="BS1120">
        <v>0</v>
      </c>
      <c r="BT1120">
        <v>0</v>
      </c>
      <c r="BU1120">
        <v>0</v>
      </c>
      <c r="BV1120">
        <v>0</v>
      </c>
      <c r="BW1120" t="s">
        <v>0</v>
      </c>
      <c r="BX1120">
        <v>0</v>
      </c>
      <c r="BY1120">
        <v>0</v>
      </c>
      <c r="BZ1120">
        <v>0</v>
      </c>
      <c r="CA1120">
        <v>0</v>
      </c>
      <c r="CB1120" t="s">
        <v>145</v>
      </c>
    </row>
    <row r="1121" spans="11:80" x14ac:dyDescent="0.25">
      <c r="K1121" s="3"/>
      <c r="BE1121" s="1"/>
      <c r="BO1121">
        <v>0</v>
      </c>
      <c r="BP1121">
        <v>0</v>
      </c>
      <c r="BQ1121">
        <v>0</v>
      </c>
      <c r="BR1121">
        <v>0</v>
      </c>
      <c r="BS1121">
        <v>0</v>
      </c>
      <c r="BT1121">
        <v>0</v>
      </c>
      <c r="BU1121">
        <v>0</v>
      </c>
      <c r="BV1121">
        <v>0</v>
      </c>
      <c r="BW1121" t="s">
        <v>0</v>
      </c>
      <c r="BX1121">
        <v>0</v>
      </c>
      <c r="BY1121">
        <v>0</v>
      </c>
      <c r="BZ1121">
        <v>0</v>
      </c>
      <c r="CA1121">
        <v>0</v>
      </c>
      <c r="CB1121" t="s">
        <v>145</v>
      </c>
    </row>
    <row r="1122" spans="11:80" x14ac:dyDescent="0.25">
      <c r="K1122" s="3"/>
      <c r="BE1122" s="1"/>
      <c r="BO1122">
        <v>0</v>
      </c>
      <c r="BP1122">
        <v>0</v>
      </c>
      <c r="BQ1122">
        <v>0</v>
      </c>
      <c r="BR1122">
        <v>0</v>
      </c>
      <c r="BS1122">
        <v>0</v>
      </c>
      <c r="BT1122">
        <v>0</v>
      </c>
      <c r="BU1122">
        <v>0</v>
      </c>
      <c r="BV1122">
        <v>0</v>
      </c>
      <c r="BW1122" t="s">
        <v>0</v>
      </c>
      <c r="BX1122">
        <v>0</v>
      </c>
      <c r="BY1122">
        <v>0</v>
      </c>
      <c r="BZ1122">
        <v>0</v>
      </c>
      <c r="CA1122">
        <v>0</v>
      </c>
      <c r="CB1122" t="s">
        <v>145</v>
      </c>
    </row>
    <row r="1123" spans="11:80" x14ac:dyDescent="0.25">
      <c r="K1123" s="3"/>
      <c r="AF1123" s="1"/>
      <c r="BE1123" s="1"/>
      <c r="BO1123">
        <v>0</v>
      </c>
      <c r="BP1123">
        <v>0</v>
      </c>
      <c r="BQ1123">
        <v>0</v>
      </c>
      <c r="BR1123">
        <v>0</v>
      </c>
      <c r="BS1123">
        <v>0</v>
      </c>
      <c r="BT1123">
        <v>0</v>
      </c>
      <c r="BU1123">
        <v>0</v>
      </c>
      <c r="BV1123">
        <v>0</v>
      </c>
      <c r="BW1123" t="s">
        <v>0</v>
      </c>
      <c r="BX1123">
        <v>0</v>
      </c>
      <c r="BY1123">
        <v>0</v>
      </c>
      <c r="BZ1123">
        <v>0</v>
      </c>
      <c r="CA1123">
        <v>0</v>
      </c>
      <c r="CB1123" t="s">
        <v>145</v>
      </c>
    </row>
    <row r="1124" spans="11:80" x14ac:dyDescent="0.25">
      <c r="K1124" s="3"/>
      <c r="BB1124" s="1"/>
      <c r="BE1124" s="1"/>
      <c r="BO1124">
        <v>0</v>
      </c>
      <c r="BP1124">
        <v>0</v>
      </c>
      <c r="BQ1124">
        <v>0</v>
      </c>
      <c r="BR1124">
        <v>0</v>
      </c>
      <c r="BS1124">
        <v>0</v>
      </c>
      <c r="BT1124">
        <v>0</v>
      </c>
      <c r="BU1124">
        <v>0</v>
      </c>
      <c r="BV1124">
        <v>0</v>
      </c>
      <c r="BW1124" t="s">
        <v>0</v>
      </c>
      <c r="BX1124">
        <v>0</v>
      </c>
      <c r="BY1124">
        <v>0</v>
      </c>
      <c r="BZ1124">
        <v>0</v>
      </c>
      <c r="CA1124">
        <v>0</v>
      </c>
      <c r="CB1124" t="s">
        <v>145</v>
      </c>
    </row>
    <row r="1125" spans="11:80" x14ac:dyDescent="0.25">
      <c r="K1125" s="3"/>
      <c r="BE1125" s="1"/>
      <c r="BO1125">
        <v>0</v>
      </c>
      <c r="BP1125">
        <v>0</v>
      </c>
      <c r="BQ1125">
        <v>0</v>
      </c>
      <c r="BR1125">
        <v>0</v>
      </c>
      <c r="BS1125">
        <v>0</v>
      </c>
      <c r="BT1125">
        <v>0</v>
      </c>
      <c r="BU1125">
        <v>0</v>
      </c>
      <c r="BV1125">
        <v>0</v>
      </c>
      <c r="BW1125" t="s">
        <v>0</v>
      </c>
      <c r="BX1125">
        <v>0</v>
      </c>
      <c r="BY1125">
        <v>0</v>
      </c>
      <c r="BZ1125">
        <v>0</v>
      </c>
      <c r="CA1125">
        <v>0</v>
      </c>
      <c r="CB1125" t="s">
        <v>145</v>
      </c>
    </row>
    <row r="1126" spans="11:80" x14ac:dyDescent="0.25">
      <c r="K1126" s="3"/>
      <c r="BE1126" s="1"/>
      <c r="BO1126">
        <v>0</v>
      </c>
      <c r="BP1126">
        <v>0</v>
      </c>
      <c r="BQ1126">
        <v>0</v>
      </c>
      <c r="BR1126">
        <v>0</v>
      </c>
      <c r="BS1126">
        <v>0</v>
      </c>
      <c r="BT1126">
        <v>0</v>
      </c>
      <c r="BU1126">
        <v>0</v>
      </c>
      <c r="BV1126">
        <v>0</v>
      </c>
      <c r="BW1126" t="s">
        <v>0</v>
      </c>
      <c r="BX1126">
        <v>0</v>
      </c>
      <c r="BY1126">
        <v>0</v>
      </c>
      <c r="BZ1126">
        <v>0</v>
      </c>
      <c r="CA1126">
        <v>0</v>
      </c>
      <c r="CB1126" t="s">
        <v>145</v>
      </c>
    </row>
    <row r="1127" spans="11:80" x14ac:dyDescent="0.25">
      <c r="K1127" s="3"/>
      <c r="BE1127" s="1"/>
      <c r="BO1127">
        <v>0</v>
      </c>
      <c r="BP1127">
        <v>0</v>
      </c>
      <c r="BQ1127">
        <v>0</v>
      </c>
      <c r="BR1127">
        <v>0</v>
      </c>
      <c r="BS1127">
        <v>0</v>
      </c>
      <c r="BT1127">
        <v>0</v>
      </c>
      <c r="BU1127">
        <v>0</v>
      </c>
      <c r="BV1127">
        <v>0</v>
      </c>
      <c r="BW1127" t="s">
        <v>0</v>
      </c>
      <c r="BX1127">
        <v>0</v>
      </c>
      <c r="BY1127">
        <v>0</v>
      </c>
      <c r="BZ1127">
        <v>0</v>
      </c>
      <c r="CA1127">
        <v>0</v>
      </c>
      <c r="CB1127" t="s">
        <v>145</v>
      </c>
    </row>
    <row r="1128" spans="11:80" x14ac:dyDescent="0.25">
      <c r="K1128" s="3"/>
      <c r="BE1128" s="1"/>
      <c r="BO1128">
        <v>0</v>
      </c>
      <c r="BP1128">
        <v>0</v>
      </c>
      <c r="BQ1128">
        <v>0</v>
      </c>
      <c r="BR1128">
        <v>0</v>
      </c>
      <c r="BS1128">
        <v>0</v>
      </c>
      <c r="BT1128">
        <v>0</v>
      </c>
      <c r="BU1128">
        <v>0</v>
      </c>
      <c r="BV1128">
        <v>0</v>
      </c>
      <c r="BW1128" t="s">
        <v>0</v>
      </c>
      <c r="BX1128">
        <v>0</v>
      </c>
      <c r="BY1128">
        <v>0</v>
      </c>
      <c r="BZ1128">
        <v>0</v>
      </c>
      <c r="CA1128">
        <v>0</v>
      </c>
      <c r="CB1128" t="s">
        <v>145</v>
      </c>
    </row>
    <row r="1129" spans="11:80" x14ac:dyDescent="0.25">
      <c r="K1129" s="3"/>
      <c r="BE1129" s="1"/>
      <c r="BO1129">
        <v>0</v>
      </c>
      <c r="BP1129">
        <v>0</v>
      </c>
      <c r="BQ1129">
        <v>0</v>
      </c>
      <c r="BR1129">
        <v>0</v>
      </c>
      <c r="BS1129">
        <v>0</v>
      </c>
      <c r="BT1129">
        <v>0</v>
      </c>
      <c r="BU1129">
        <v>0</v>
      </c>
      <c r="BV1129">
        <v>0</v>
      </c>
      <c r="BW1129" t="s">
        <v>0</v>
      </c>
      <c r="BX1129">
        <v>0</v>
      </c>
      <c r="BY1129">
        <v>0</v>
      </c>
      <c r="BZ1129">
        <v>0</v>
      </c>
      <c r="CA1129">
        <v>0</v>
      </c>
      <c r="CB1129" t="s">
        <v>145</v>
      </c>
    </row>
    <row r="1130" spans="11:80" x14ac:dyDescent="0.25">
      <c r="K1130" s="3"/>
      <c r="BE1130" s="1"/>
      <c r="BO1130">
        <v>0</v>
      </c>
      <c r="BP1130">
        <v>0</v>
      </c>
      <c r="BQ1130">
        <v>0</v>
      </c>
      <c r="BR1130">
        <v>0</v>
      </c>
      <c r="BS1130">
        <v>0</v>
      </c>
      <c r="BT1130">
        <v>0</v>
      </c>
      <c r="BU1130">
        <v>0</v>
      </c>
      <c r="BV1130">
        <v>0</v>
      </c>
      <c r="BW1130" t="s">
        <v>0</v>
      </c>
      <c r="BX1130">
        <v>0</v>
      </c>
      <c r="BY1130">
        <v>0</v>
      </c>
      <c r="BZ1130">
        <v>0</v>
      </c>
      <c r="CA1130">
        <v>0</v>
      </c>
      <c r="CB1130" t="s">
        <v>145</v>
      </c>
    </row>
    <row r="1131" spans="11:80" x14ac:dyDescent="0.25">
      <c r="K1131" s="3"/>
      <c r="BE1131" s="1"/>
      <c r="BO1131">
        <v>0</v>
      </c>
      <c r="BP1131">
        <v>0</v>
      </c>
      <c r="BQ1131">
        <v>0</v>
      </c>
      <c r="BR1131">
        <v>0</v>
      </c>
      <c r="BS1131">
        <v>0</v>
      </c>
      <c r="BT1131">
        <v>0</v>
      </c>
      <c r="BU1131">
        <v>0</v>
      </c>
      <c r="BV1131">
        <v>0</v>
      </c>
      <c r="BW1131" t="s">
        <v>0</v>
      </c>
      <c r="BX1131">
        <v>0</v>
      </c>
      <c r="BY1131">
        <v>0</v>
      </c>
      <c r="BZ1131">
        <v>0</v>
      </c>
      <c r="CA1131">
        <v>0</v>
      </c>
      <c r="CB1131" t="s">
        <v>145</v>
      </c>
    </row>
    <row r="1132" spans="11:80" x14ac:dyDescent="0.25">
      <c r="K1132" s="3"/>
      <c r="BE1132" s="1"/>
      <c r="BO1132">
        <v>0</v>
      </c>
      <c r="BP1132">
        <v>0</v>
      </c>
      <c r="BQ1132">
        <v>0</v>
      </c>
      <c r="BR1132">
        <v>0</v>
      </c>
      <c r="BS1132">
        <v>0</v>
      </c>
      <c r="BT1132">
        <v>0</v>
      </c>
      <c r="BU1132">
        <v>0</v>
      </c>
      <c r="BV1132">
        <v>0</v>
      </c>
      <c r="BW1132" t="s">
        <v>0</v>
      </c>
      <c r="BX1132">
        <v>0</v>
      </c>
      <c r="BY1132">
        <v>0</v>
      </c>
      <c r="BZ1132">
        <v>0</v>
      </c>
      <c r="CA1132">
        <v>0</v>
      </c>
      <c r="CB1132" t="s">
        <v>145</v>
      </c>
    </row>
    <row r="1133" spans="11:80" x14ac:dyDescent="0.25">
      <c r="K1133" s="3"/>
      <c r="BE1133" s="1"/>
      <c r="BO1133">
        <v>0</v>
      </c>
      <c r="BP1133">
        <v>0</v>
      </c>
      <c r="BQ1133">
        <v>0</v>
      </c>
      <c r="BR1133">
        <v>0</v>
      </c>
      <c r="BS1133">
        <v>0</v>
      </c>
      <c r="BT1133">
        <v>0</v>
      </c>
      <c r="BU1133">
        <v>0</v>
      </c>
      <c r="BV1133">
        <v>0</v>
      </c>
      <c r="BW1133" t="s">
        <v>0</v>
      </c>
      <c r="BX1133">
        <v>0</v>
      </c>
      <c r="BY1133">
        <v>0</v>
      </c>
      <c r="BZ1133">
        <v>0</v>
      </c>
      <c r="CA1133">
        <v>0</v>
      </c>
      <c r="CB1133" t="s">
        <v>145</v>
      </c>
    </row>
    <row r="1134" spans="11:80" x14ac:dyDescent="0.25">
      <c r="K1134" s="3"/>
      <c r="BE1134" s="1"/>
      <c r="BO1134">
        <v>0</v>
      </c>
      <c r="BP1134">
        <v>0</v>
      </c>
      <c r="BQ1134">
        <v>0</v>
      </c>
      <c r="BR1134">
        <v>0</v>
      </c>
      <c r="BS1134">
        <v>0</v>
      </c>
      <c r="BT1134">
        <v>0</v>
      </c>
      <c r="BU1134">
        <v>0</v>
      </c>
      <c r="BV1134">
        <v>0</v>
      </c>
      <c r="BW1134" t="s">
        <v>0</v>
      </c>
      <c r="BX1134">
        <v>0</v>
      </c>
      <c r="BY1134">
        <v>0</v>
      </c>
      <c r="BZ1134">
        <v>0</v>
      </c>
      <c r="CA1134">
        <v>0</v>
      </c>
      <c r="CB1134" t="s">
        <v>145</v>
      </c>
    </row>
    <row r="1135" spans="11:80" x14ac:dyDescent="0.25">
      <c r="K1135" s="3"/>
      <c r="BE1135" s="1"/>
      <c r="BO1135">
        <v>0</v>
      </c>
      <c r="BP1135">
        <v>0</v>
      </c>
      <c r="BQ1135">
        <v>0</v>
      </c>
      <c r="BR1135">
        <v>0</v>
      </c>
      <c r="BS1135">
        <v>0</v>
      </c>
      <c r="BT1135">
        <v>0</v>
      </c>
      <c r="BU1135">
        <v>0</v>
      </c>
      <c r="BV1135">
        <v>0</v>
      </c>
      <c r="BW1135" t="s">
        <v>0</v>
      </c>
      <c r="BX1135">
        <v>0</v>
      </c>
      <c r="BY1135">
        <v>0</v>
      </c>
      <c r="BZ1135">
        <v>0</v>
      </c>
      <c r="CA1135">
        <v>0</v>
      </c>
      <c r="CB1135" t="s">
        <v>145</v>
      </c>
    </row>
    <row r="1136" spans="11:80" x14ac:dyDescent="0.25">
      <c r="K1136" s="3"/>
      <c r="BE1136" s="1"/>
      <c r="BO1136">
        <v>0</v>
      </c>
      <c r="BP1136">
        <v>0</v>
      </c>
      <c r="BQ1136">
        <v>0</v>
      </c>
      <c r="BR1136">
        <v>0</v>
      </c>
      <c r="BS1136">
        <v>0</v>
      </c>
      <c r="BT1136">
        <v>0</v>
      </c>
      <c r="BU1136">
        <v>0</v>
      </c>
      <c r="BV1136">
        <v>0</v>
      </c>
      <c r="BW1136" t="s">
        <v>0</v>
      </c>
      <c r="BX1136">
        <v>0</v>
      </c>
      <c r="BY1136">
        <v>0</v>
      </c>
      <c r="BZ1136">
        <v>0</v>
      </c>
      <c r="CA1136">
        <v>0</v>
      </c>
      <c r="CB1136" t="s">
        <v>145</v>
      </c>
    </row>
    <row r="1137" spans="11:80" x14ac:dyDescent="0.25">
      <c r="K1137" s="3"/>
      <c r="BE1137" s="1"/>
      <c r="BO1137">
        <v>0</v>
      </c>
      <c r="BP1137">
        <v>0</v>
      </c>
      <c r="BQ1137">
        <v>0</v>
      </c>
      <c r="BR1137">
        <v>0</v>
      </c>
      <c r="BS1137">
        <v>0</v>
      </c>
      <c r="BT1137">
        <v>0</v>
      </c>
      <c r="BU1137">
        <v>0</v>
      </c>
      <c r="BV1137">
        <v>0</v>
      </c>
      <c r="BW1137" t="s">
        <v>0</v>
      </c>
      <c r="BX1137">
        <v>0</v>
      </c>
      <c r="BY1137">
        <v>0</v>
      </c>
      <c r="BZ1137">
        <v>0</v>
      </c>
      <c r="CA1137">
        <v>0</v>
      </c>
      <c r="CB1137" t="s">
        <v>145</v>
      </c>
    </row>
    <row r="1138" spans="11:80" x14ac:dyDescent="0.25">
      <c r="K1138" s="3"/>
      <c r="BE1138" s="1"/>
      <c r="BO1138">
        <v>0</v>
      </c>
      <c r="BP1138">
        <v>0</v>
      </c>
      <c r="BQ1138">
        <v>0</v>
      </c>
      <c r="BR1138">
        <v>0</v>
      </c>
      <c r="BS1138">
        <v>0</v>
      </c>
      <c r="BT1138">
        <v>0</v>
      </c>
      <c r="BU1138">
        <v>0</v>
      </c>
      <c r="BV1138">
        <v>0</v>
      </c>
      <c r="BW1138" t="s">
        <v>0</v>
      </c>
      <c r="BX1138">
        <v>0</v>
      </c>
      <c r="BY1138">
        <v>0</v>
      </c>
      <c r="BZ1138">
        <v>0</v>
      </c>
      <c r="CA1138">
        <v>0</v>
      </c>
      <c r="CB1138" t="s">
        <v>145</v>
      </c>
    </row>
    <row r="1139" spans="11:80" x14ac:dyDescent="0.25">
      <c r="K1139" s="3"/>
      <c r="BE1139" s="1"/>
      <c r="BO1139">
        <v>0</v>
      </c>
      <c r="BP1139">
        <v>0</v>
      </c>
      <c r="BQ1139">
        <v>0</v>
      </c>
      <c r="BR1139">
        <v>0</v>
      </c>
      <c r="BS1139">
        <v>0</v>
      </c>
      <c r="BT1139">
        <v>0</v>
      </c>
      <c r="BU1139">
        <v>0</v>
      </c>
      <c r="BV1139">
        <v>0</v>
      </c>
      <c r="BW1139" t="s">
        <v>0</v>
      </c>
      <c r="BX1139">
        <v>0</v>
      </c>
      <c r="BY1139">
        <v>0</v>
      </c>
      <c r="BZ1139">
        <v>0</v>
      </c>
      <c r="CA1139">
        <v>0</v>
      </c>
      <c r="CB1139" t="s">
        <v>145</v>
      </c>
    </row>
    <row r="1140" spans="11:80" x14ac:dyDescent="0.25">
      <c r="K1140" s="3"/>
      <c r="BE1140" s="1"/>
      <c r="BO1140">
        <v>0</v>
      </c>
      <c r="BP1140">
        <v>0</v>
      </c>
      <c r="BQ1140">
        <v>0</v>
      </c>
      <c r="BR1140">
        <v>0</v>
      </c>
      <c r="BS1140">
        <v>0</v>
      </c>
      <c r="BT1140">
        <v>0</v>
      </c>
      <c r="BU1140">
        <v>0</v>
      </c>
      <c r="BV1140">
        <v>0</v>
      </c>
      <c r="BW1140" t="s">
        <v>0</v>
      </c>
      <c r="BX1140">
        <v>0</v>
      </c>
      <c r="BY1140">
        <v>0</v>
      </c>
      <c r="BZ1140">
        <v>0</v>
      </c>
      <c r="CA1140">
        <v>0</v>
      </c>
      <c r="CB1140" t="s">
        <v>145</v>
      </c>
    </row>
    <row r="1141" spans="11:80" x14ac:dyDescent="0.25">
      <c r="K1141" s="3"/>
      <c r="BE1141" s="1"/>
      <c r="BO1141">
        <v>0</v>
      </c>
      <c r="BP1141">
        <v>0</v>
      </c>
      <c r="BQ1141">
        <v>0</v>
      </c>
      <c r="BR1141">
        <v>0</v>
      </c>
      <c r="BS1141">
        <v>0</v>
      </c>
      <c r="BT1141">
        <v>0</v>
      </c>
      <c r="BU1141">
        <v>0</v>
      </c>
      <c r="BV1141">
        <v>0</v>
      </c>
      <c r="BW1141" t="s">
        <v>0</v>
      </c>
      <c r="BX1141">
        <v>0</v>
      </c>
      <c r="BY1141">
        <v>0</v>
      </c>
      <c r="BZ1141">
        <v>0</v>
      </c>
      <c r="CA1141">
        <v>0</v>
      </c>
      <c r="CB1141" t="s">
        <v>145</v>
      </c>
    </row>
    <row r="1142" spans="11:80" x14ac:dyDescent="0.25">
      <c r="K1142" s="3"/>
      <c r="BE1142" s="1"/>
      <c r="BO1142">
        <v>0</v>
      </c>
      <c r="BP1142">
        <v>0</v>
      </c>
      <c r="BQ1142">
        <v>0</v>
      </c>
      <c r="BR1142">
        <v>0</v>
      </c>
      <c r="BS1142">
        <v>0</v>
      </c>
      <c r="BT1142">
        <v>0</v>
      </c>
      <c r="BU1142">
        <v>0</v>
      </c>
      <c r="BV1142">
        <v>0</v>
      </c>
      <c r="BW1142" t="s">
        <v>0</v>
      </c>
      <c r="BX1142">
        <v>0</v>
      </c>
      <c r="BY1142">
        <v>0</v>
      </c>
      <c r="BZ1142">
        <v>0</v>
      </c>
      <c r="CA1142">
        <v>0</v>
      </c>
      <c r="CB1142" t="s">
        <v>145</v>
      </c>
    </row>
    <row r="1143" spans="11:80" x14ac:dyDescent="0.25">
      <c r="K1143" s="3"/>
      <c r="BE1143" s="1"/>
      <c r="BO1143">
        <v>0</v>
      </c>
      <c r="BP1143">
        <v>0</v>
      </c>
      <c r="BQ1143">
        <v>0</v>
      </c>
      <c r="BR1143">
        <v>0</v>
      </c>
      <c r="BS1143">
        <v>0</v>
      </c>
      <c r="BT1143">
        <v>0</v>
      </c>
      <c r="BU1143">
        <v>0</v>
      </c>
      <c r="BV1143">
        <v>0</v>
      </c>
      <c r="BW1143" t="s">
        <v>0</v>
      </c>
      <c r="BX1143">
        <v>0</v>
      </c>
      <c r="BY1143">
        <v>0</v>
      </c>
      <c r="BZ1143">
        <v>0</v>
      </c>
      <c r="CA1143">
        <v>0</v>
      </c>
      <c r="CB1143" t="s">
        <v>145</v>
      </c>
    </row>
    <row r="1144" spans="11:80" x14ac:dyDescent="0.25">
      <c r="K1144" s="3"/>
      <c r="BE1144" s="1"/>
      <c r="BO1144">
        <v>0</v>
      </c>
      <c r="BP1144">
        <v>0</v>
      </c>
      <c r="BQ1144">
        <v>0</v>
      </c>
      <c r="BR1144">
        <v>0</v>
      </c>
      <c r="BS1144">
        <v>0</v>
      </c>
      <c r="BT1144">
        <v>0</v>
      </c>
      <c r="BU1144">
        <v>0</v>
      </c>
      <c r="BV1144">
        <v>0</v>
      </c>
      <c r="BW1144" t="s">
        <v>0</v>
      </c>
      <c r="BX1144">
        <v>0</v>
      </c>
      <c r="BY1144">
        <v>0</v>
      </c>
      <c r="BZ1144">
        <v>0</v>
      </c>
      <c r="CA1144">
        <v>0</v>
      </c>
      <c r="CB1144" t="s">
        <v>145</v>
      </c>
    </row>
    <row r="1145" spans="11:80" x14ac:dyDescent="0.25">
      <c r="K1145" s="3"/>
      <c r="BE1145" s="1"/>
      <c r="BO1145">
        <v>0</v>
      </c>
      <c r="BP1145">
        <v>0</v>
      </c>
      <c r="BQ1145">
        <v>0</v>
      </c>
      <c r="BR1145">
        <v>0</v>
      </c>
      <c r="BS1145">
        <v>0</v>
      </c>
      <c r="BT1145">
        <v>0</v>
      </c>
      <c r="BU1145">
        <v>0</v>
      </c>
      <c r="BV1145">
        <v>0</v>
      </c>
      <c r="BW1145" t="s">
        <v>0</v>
      </c>
      <c r="BX1145">
        <v>0</v>
      </c>
      <c r="BY1145">
        <v>0</v>
      </c>
      <c r="BZ1145">
        <v>0</v>
      </c>
      <c r="CA1145">
        <v>0</v>
      </c>
      <c r="CB1145" t="s">
        <v>145</v>
      </c>
    </row>
    <row r="1146" spans="11:80" x14ac:dyDescent="0.25">
      <c r="K1146" s="3"/>
      <c r="BE1146" s="1"/>
      <c r="BO1146">
        <v>0</v>
      </c>
      <c r="BP1146">
        <v>0</v>
      </c>
      <c r="BQ1146">
        <v>0</v>
      </c>
      <c r="BR1146">
        <v>0</v>
      </c>
      <c r="BS1146">
        <v>0</v>
      </c>
      <c r="BT1146">
        <v>0</v>
      </c>
      <c r="BU1146">
        <v>0</v>
      </c>
      <c r="BV1146">
        <v>0</v>
      </c>
      <c r="BW1146" t="s">
        <v>0</v>
      </c>
      <c r="BX1146">
        <v>0</v>
      </c>
      <c r="BY1146">
        <v>0</v>
      </c>
      <c r="BZ1146">
        <v>0</v>
      </c>
      <c r="CA1146">
        <v>0</v>
      </c>
      <c r="CB1146" t="s">
        <v>145</v>
      </c>
    </row>
    <row r="1147" spans="11:80" x14ac:dyDescent="0.25">
      <c r="K1147" s="3"/>
      <c r="BE1147" s="1"/>
      <c r="BO1147">
        <v>0</v>
      </c>
      <c r="BP1147">
        <v>0</v>
      </c>
      <c r="BQ1147">
        <v>0</v>
      </c>
      <c r="BR1147">
        <v>0</v>
      </c>
      <c r="BS1147">
        <v>0</v>
      </c>
      <c r="BT1147">
        <v>0</v>
      </c>
      <c r="BU1147">
        <v>0</v>
      </c>
      <c r="BV1147">
        <v>0</v>
      </c>
      <c r="BW1147" t="s">
        <v>0</v>
      </c>
      <c r="BX1147">
        <v>0</v>
      </c>
      <c r="BY1147">
        <v>0</v>
      </c>
      <c r="BZ1147">
        <v>0</v>
      </c>
      <c r="CA1147">
        <v>0</v>
      </c>
      <c r="CB1147" t="s">
        <v>145</v>
      </c>
    </row>
    <row r="1148" spans="11:80" x14ac:dyDescent="0.25">
      <c r="K1148" s="3"/>
      <c r="BE1148" s="1"/>
      <c r="BO1148">
        <v>0</v>
      </c>
      <c r="BP1148">
        <v>0</v>
      </c>
      <c r="BQ1148">
        <v>0</v>
      </c>
      <c r="BR1148">
        <v>0</v>
      </c>
      <c r="BS1148">
        <v>0</v>
      </c>
      <c r="BT1148">
        <v>0</v>
      </c>
      <c r="BU1148">
        <v>0</v>
      </c>
      <c r="BV1148">
        <v>0</v>
      </c>
      <c r="BW1148" t="s">
        <v>0</v>
      </c>
      <c r="BX1148">
        <v>0</v>
      </c>
      <c r="BY1148">
        <v>0</v>
      </c>
      <c r="BZ1148">
        <v>0</v>
      </c>
      <c r="CA1148">
        <v>0</v>
      </c>
      <c r="CB1148" t="s">
        <v>145</v>
      </c>
    </row>
    <row r="1149" spans="11:80" x14ac:dyDescent="0.25">
      <c r="K1149" s="3"/>
      <c r="BE1149" s="1"/>
      <c r="BO1149">
        <v>0</v>
      </c>
      <c r="BP1149">
        <v>0</v>
      </c>
      <c r="BQ1149">
        <v>0</v>
      </c>
      <c r="BR1149">
        <v>0</v>
      </c>
      <c r="BS1149">
        <v>0</v>
      </c>
      <c r="BT1149">
        <v>0</v>
      </c>
      <c r="BU1149">
        <v>0</v>
      </c>
      <c r="BV1149">
        <v>0</v>
      </c>
      <c r="BW1149" t="s">
        <v>0</v>
      </c>
      <c r="BX1149">
        <v>0</v>
      </c>
      <c r="BY1149">
        <v>0</v>
      </c>
      <c r="BZ1149">
        <v>0</v>
      </c>
      <c r="CA1149">
        <v>0</v>
      </c>
      <c r="CB1149" t="s">
        <v>145</v>
      </c>
    </row>
    <row r="1150" spans="11:80" x14ac:dyDescent="0.25">
      <c r="K1150" s="3"/>
      <c r="BE1150" s="1"/>
      <c r="BO1150">
        <v>0</v>
      </c>
      <c r="BP1150">
        <v>0</v>
      </c>
      <c r="BQ1150">
        <v>0</v>
      </c>
      <c r="BR1150">
        <v>0</v>
      </c>
      <c r="BS1150">
        <v>0</v>
      </c>
      <c r="BT1150">
        <v>0</v>
      </c>
      <c r="BU1150">
        <v>0</v>
      </c>
      <c r="BV1150">
        <v>0</v>
      </c>
      <c r="BW1150" t="s">
        <v>0</v>
      </c>
      <c r="BX1150">
        <v>0</v>
      </c>
      <c r="BY1150">
        <v>0</v>
      </c>
      <c r="BZ1150">
        <v>0</v>
      </c>
      <c r="CA1150">
        <v>0</v>
      </c>
      <c r="CB1150" t="s">
        <v>145</v>
      </c>
    </row>
    <row r="1151" spans="11:80" x14ac:dyDescent="0.25">
      <c r="K1151" s="3"/>
      <c r="BB1151" s="1"/>
      <c r="BE1151" s="1"/>
      <c r="BO1151">
        <v>0</v>
      </c>
      <c r="BP1151">
        <v>0</v>
      </c>
      <c r="BQ1151">
        <v>0</v>
      </c>
      <c r="BR1151">
        <v>0</v>
      </c>
      <c r="BS1151">
        <v>0</v>
      </c>
      <c r="BT1151">
        <v>0</v>
      </c>
      <c r="BU1151">
        <v>0</v>
      </c>
      <c r="BV1151">
        <v>0</v>
      </c>
      <c r="BW1151" t="s">
        <v>0</v>
      </c>
      <c r="BX1151">
        <v>0</v>
      </c>
      <c r="BY1151">
        <v>0</v>
      </c>
      <c r="BZ1151">
        <v>0</v>
      </c>
      <c r="CA1151">
        <v>0</v>
      </c>
      <c r="CB1151" t="s">
        <v>145</v>
      </c>
    </row>
    <row r="1152" spans="11:80" x14ac:dyDescent="0.25">
      <c r="K1152" s="3"/>
      <c r="BE1152" s="1"/>
      <c r="BO1152">
        <v>0</v>
      </c>
      <c r="BP1152">
        <v>0</v>
      </c>
      <c r="BQ1152">
        <v>0</v>
      </c>
      <c r="BR1152">
        <v>0</v>
      </c>
      <c r="BS1152">
        <v>0</v>
      </c>
      <c r="BT1152">
        <v>0</v>
      </c>
      <c r="BU1152">
        <v>0</v>
      </c>
      <c r="BV1152">
        <v>0</v>
      </c>
      <c r="BW1152" t="s">
        <v>0</v>
      </c>
      <c r="BX1152">
        <v>0</v>
      </c>
      <c r="BY1152">
        <v>0</v>
      </c>
      <c r="BZ1152">
        <v>0</v>
      </c>
      <c r="CA1152">
        <v>0</v>
      </c>
      <c r="CB1152" t="s">
        <v>145</v>
      </c>
    </row>
    <row r="1153" spans="11:80" x14ac:dyDescent="0.25">
      <c r="K1153" s="3"/>
      <c r="BE1153" s="1"/>
      <c r="BO1153">
        <v>0</v>
      </c>
      <c r="BP1153">
        <v>0</v>
      </c>
      <c r="BQ1153">
        <v>0</v>
      </c>
      <c r="BR1153">
        <v>0</v>
      </c>
      <c r="BS1153">
        <v>0</v>
      </c>
      <c r="BT1153">
        <v>0</v>
      </c>
      <c r="BU1153">
        <v>0</v>
      </c>
      <c r="BV1153">
        <v>0</v>
      </c>
      <c r="BW1153" t="s">
        <v>0</v>
      </c>
      <c r="BX1153">
        <v>0</v>
      </c>
      <c r="BY1153">
        <v>0</v>
      </c>
      <c r="BZ1153">
        <v>0</v>
      </c>
      <c r="CA1153">
        <v>0</v>
      </c>
      <c r="CB1153" t="s">
        <v>145</v>
      </c>
    </row>
    <row r="1154" spans="11:80" x14ac:dyDescent="0.25">
      <c r="K1154" s="3"/>
      <c r="BE1154" s="1"/>
      <c r="BO1154">
        <v>0</v>
      </c>
      <c r="BP1154">
        <v>0</v>
      </c>
      <c r="BQ1154">
        <v>0</v>
      </c>
      <c r="BR1154">
        <v>0</v>
      </c>
      <c r="BS1154">
        <v>0</v>
      </c>
      <c r="BT1154">
        <v>0</v>
      </c>
      <c r="BU1154">
        <v>0</v>
      </c>
      <c r="BV1154">
        <v>0</v>
      </c>
      <c r="BW1154" t="s">
        <v>0</v>
      </c>
      <c r="BX1154">
        <v>0</v>
      </c>
      <c r="BY1154">
        <v>0</v>
      </c>
      <c r="BZ1154">
        <v>0</v>
      </c>
      <c r="CA1154">
        <v>0</v>
      </c>
      <c r="CB1154" t="s">
        <v>145</v>
      </c>
    </row>
    <row r="1155" spans="11:80" x14ac:dyDescent="0.25">
      <c r="K1155" s="3"/>
      <c r="BE1155" s="1"/>
      <c r="BO1155">
        <v>0</v>
      </c>
      <c r="BP1155">
        <v>0</v>
      </c>
      <c r="BQ1155">
        <v>0</v>
      </c>
      <c r="BR1155">
        <v>0</v>
      </c>
      <c r="BS1155">
        <v>0</v>
      </c>
      <c r="BT1155">
        <v>0</v>
      </c>
      <c r="BU1155">
        <v>0</v>
      </c>
      <c r="BV1155">
        <v>0</v>
      </c>
      <c r="BW1155" t="s">
        <v>0</v>
      </c>
      <c r="BX1155">
        <v>0</v>
      </c>
      <c r="BY1155">
        <v>0</v>
      </c>
      <c r="BZ1155">
        <v>0</v>
      </c>
      <c r="CA1155">
        <v>0</v>
      </c>
      <c r="CB1155" t="s">
        <v>145</v>
      </c>
    </row>
    <row r="1156" spans="11:80" x14ac:dyDescent="0.25">
      <c r="K1156" s="3"/>
      <c r="BE1156" s="1"/>
      <c r="BO1156">
        <v>0</v>
      </c>
      <c r="BP1156">
        <v>0</v>
      </c>
      <c r="BQ1156">
        <v>0</v>
      </c>
      <c r="BR1156">
        <v>0</v>
      </c>
      <c r="BS1156">
        <v>0</v>
      </c>
      <c r="BT1156">
        <v>0</v>
      </c>
      <c r="BU1156">
        <v>0</v>
      </c>
      <c r="BV1156">
        <v>0</v>
      </c>
      <c r="BW1156" t="s">
        <v>0</v>
      </c>
      <c r="BX1156">
        <v>0</v>
      </c>
      <c r="BY1156">
        <v>0</v>
      </c>
      <c r="BZ1156">
        <v>0</v>
      </c>
      <c r="CA1156">
        <v>0</v>
      </c>
      <c r="CB1156" t="s">
        <v>145</v>
      </c>
    </row>
    <row r="1157" spans="11:80" x14ac:dyDescent="0.25">
      <c r="K1157" s="3"/>
      <c r="BE1157" s="1"/>
      <c r="BO1157">
        <v>0</v>
      </c>
      <c r="BP1157">
        <v>0</v>
      </c>
      <c r="BQ1157">
        <v>0</v>
      </c>
      <c r="BR1157">
        <v>0</v>
      </c>
      <c r="BS1157">
        <v>0</v>
      </c>
      <c r="BT1157">
        <v>0</v>
      </c>
      <c r="BU1157">
        <v>0</v>
      </c>
      <c r="BV1157">
        <v>0</v>
      </c>
      <c r="BW1157" t="s">
        <v>0</v>
      </c>
      <c r="BX1157">
        <v>0</v>
      </c>
      <c r="BY1157">
        <v>0</v>
      </c>
      <c r="BZ1157">
        <v>0</v>
      </c>
      <c r="CA1157">
        <v>0</v>
      </c>
      <c r="CB1157" t="s">
        <v>145</v>
      </c>
    </row>
    <row r="1158" spans="11:80" x14ac:dyDescent="0.25">
      <c r="K1158" s="3"/>
      <c r="BE1158" s="1"/>
      <c r="BO1158">
        <v>0</v>
      </c>
      <c r="BP1158">
        <v>0</v>
      </c>
      <c r="BQ1158">
        <v>0</v>
      </c>
      <c r="BR1158">
        <v>0</v>
      </c>
      <c r="BS1158">
        <v>0</v>
      </c>
      <c r="BT1158">
        <v>0</v>
      </c>
      <c r="BU1158">
        <v>0</v>
      </c>
      <c r="BV1158">
        <v>0</v>
      </c>
      <c r="BW1158" t="s">
        <v>0</v>
      </c>
      <c r="BX1158">
        <v>0</v>
      </c>
      <c r="BY1158">
        <v>0</v>
      </c>
      <c r="BZ1158">
        <v>0</v>
      </c>
      <c r="CA1158">
        <v>0</v>
      </c>
      <c r="CB1158" t="s">
        <v>145</v>
      </c>
    </row>
    <row r="1159" spans="11:80" x14ac:dyDescent="0.25">
      <c r="K1159" s="3"/>
      <c r="BE1159" s="1"/>
      <c r="BO1159">
        <v>0</v>
      </c>
      <c r="BP1159">
        <v>0</v>
      </c>
      <c r="BQ1159">
        <v>0</v>
      </c>
      <c r="BR1159">
        <v>0</v>
      </c>
      <c r="BS1159">
        <v>0</v>
      </c>
      <c r="BT1159">
        <v>0</v>
      </c>
      <c r="BU1159">
        <v>0</v>
      </c>
      <c r="BV1159">
        <v>0</v>
      </c>
      <c r="BW1159" t="s">
        <v>0</v>
      </c>
      <c r="BX1159">
        <v>0</v>
      </c>
      <c r="BY1159">
        <v>0</v>
      </c>
      <c r="BZ1159">
        <v>0</v>
      </c>
      <c r="CA1159">
        <v>0</v>
      </c>
      <c r="CB1159" t="s">
        <v>145</v>
      </c>
    </row>
    <row r="1160" spans="11:80" x14ac:dyDescent="0.25">
      <c r="K1160" s="3"/>
      <c r="BE1160" s="1"/>
      <c r="BO1160">
        <v>0</v>
      </c>
      <c r="BP1160">
        <v>0</v>
      </c>
      <c r="BQ1160">
        <v>0</v>
      </c>
      <c r="BR1160">
        <v>0</v>
      </c>
      <c r="BS1160">
        <v>0</v>
      </c>
      <c r="BT1160">
        <v>0</v>
      </c>
      <c r="BU1160">
        <v>0</v>
      </c>
      <c r="BV1160">
        <v>0</v>
      </c>
      <c r="BW1160" t="s">
        <v>0</v>
      </c>
      <c r="BX1160">
        <v>0</v>
      </c>
      <c r="BY1160">
        <v>0</v>
      </c>
      <c r="BZ1160">
        <v>0</v>
      </c>
      <c r="CA1160">
        <v>0</v>
      </c>
      <c r="CB1160" t="s">
        <v>145</v>
      </c>
    </row>
    <row r="1161" spans="11:80" x14ac:dyDescent="0.25">
      <c r="K1161" s="3"/>
      <c r="BE1161" s="1"/>
      <c r="BO1161">
        <v>0</v>
      </c>
      <c r="BP1161">
        <v>0</v>
      </c>
      <c r="BQ1161">
        <v>0</v>
      </c>
      <c r="BR1161">
        <v>0</v>
      </c>
      <c r="BS1161">
        <v>0</v>
      </c>
      <c r="BT1161">
        <v>0</v>
      </c>
      <c r="BU1161">
        <v>0</v>
      </c>
      <c r="BV1161">
        <v>0</v>
      </c>
      <c r="BW1161" t="s">
        <v>0</v>
      </c>
      <c r="BX1161">
        <v>0</v>
      </c>
      <c r="BY1161">
        <v>0</v>
      </c>
      <c r="BZ1161">
        <v>0</v>
      </c>
      <c r="CA1161">
        <v>0</v>
      </c>
      <c r="CB1161" t="s">
        <v>145</v>
      </c>
    </row>
    <row r="1162" spans="11:80" x14ac:dyDescent="0.25">
      <c r="K1162" s="3"/>
      <c r="BE1162" s="1"/>
      <c r="BO1162">
        <v>0</v>
      </c>
      <c r="BP1162">
        <v>0</v>
      </c>
      <c r="BQ1162">
        <v>0</v>
      </c>
      <c r="BR1162">
        <v>0</v>
      </c>
      <c r="BS1162">
        <v>0</v>
      </c>
      <c r="BT1162">
        <v>0</v>
      </c>
      <c r="BU1162">
        <v>0</v>
      </c>
      <c r="BV1162">
        <v>0</v>
      </c>
      <c r="BW1162" t="s">
        <v>0</v>
      </c>
      <c r="BX1162">
        <v>0</v>
      </c>
      <c r="BY1162">
        <v>0</v>
      </c>
      <c r="BZ1162">
        <v>0</v>
      </c>
      <c r="CA1162">
        <v>0</v>
      </c>
      <c r="CB1162" t="s">
        <v>145</v>
      </c>
    </row>
    <row r="1163" spans="11:80" x14ac:dyDescent="0.25">
      <c r="K1163" s="3"/>
      <c r="BE1163" s="1"/>
      <c r="BO1163">
        <v>0</v>
      </c>
      <c r="BP1163">
        <v>0</v>
      </c>
      <c r="BQ1163">
        <v>0</v>
      </c>
      <c r="BR1163">
        <v>0</v>
      </c>
      <c r="BS1163">
        <v>0</v>
      </c>
      <c r="BT1163">
        <v>0</v>
      </c>
      <c r="BU1163">
        <v>0</v>
      </c>
      <c r="BV1163">
        <v>0</v>
      </c>
      <c r="BW1163" t="s">
        <v>0</v>
      </c>
      <c r="BX1163">
        <v>0</v>
      </c>
      <c r="BY1163">
        <v>0</v>
      </c>
      <c r="BZ1163">
        <v>0</v>
      </c>
      <c r="CA1163">
        <v>0</v>
      </c>
      <c r="CB1163" t="s">
        <v>145</v>
      </c>
    </row>
    <row r="1164" spans="11:80" x14ac:dyDescent="0.25">
      <c r="K1164" s="3"/>
      <c r="BE1164" s="1"/>
      <c r="BO1164">
        <v>0</v>
      </c>
      <c r="BP1164">
        <v>0</v>
      </c>
      <c r="BQ1164">
        <v>0</v>
      </c>
      <c r="BR1164">
        <v>0</v>
      </c>
      <c r="BS1164">
        <v>0</v>
      </c>
      <c r="BT1164">
        <v>0</v>
      </c>
      <c r="BU1164">
        <v>0</v>
      </c>
      <c r="BV1164">
        <v>0</v>
      </c>
      <c r="BW1164" t="s">
        <v>0</v>
      </c>
      <c r="BX1164">
        <v>0</v>
      </c>
      <c r="BY1164">
        <v>0</v>
      </c>
      <c r="BZ1164">
        <v>0</v>
      </c>
      <c r="CA1164">
        <v>0</v>
      </c>
      <c r="CB1164" t="s">
        <v>145</v>
      </c>
    </row>
    <row r="1165" spans="11:80" x14ac:dyDescent="0.25">
      <c r="K1165" s="3"/>
      <c r="BE1165" s="1"/>
      <c r="BO1165">
        <v>0</v>
      </c>
      <c r="BP1165">
        <v>0</v>
      </c>
      <c r="BQ1165">
        <v>0</v>
      </c>
      <c r="BR1165">
        <v>0</v>
      </c>
      <c r="BS1165">
        <v>0</v>
      </c>
      <c r="BT1165">
        <v>0</v>
      </c>
      <c r="BU1165">
        <v>0</v>
      </c>
      <c r="BV1165">
        <v>0</v>
      </c>
      <c r="BW1165" t="s">
        <v>0</v>
      </c>
      <c r="BX1165">
        <v>0</v>
      </c>
      <c r="BY1165">
        <v>0</v>
      </c>
      <c r="BZ1165">
        <v>0</v>
      </c>
      <c r="CA1165">
        <v>0</v>
      </c>
      <c r="CB1165" t="s">
        <v>145</v>
      </c>
    </row>
    <row r="1166" spans="11:80" x14ac:dyDescent="0.25">
      <c r="K1166" s="3"/>
      <c r="BE1166" s="1"/>
      <c r="BO1166">
        <v>0</v>
      </c>
      <c r="BP1166">
        <v>0</v>
      </c>
      <c r="BQ1166">
        <v>0</v>
      </c>
      <c r="BR1166">
        <v>0</v>
      </c>
      <c r="BS1166">
        <v>0</v>
      </c>
      <c r="BT1166">
        <v>0</v>
      </c>
      <c r="BU1166">
        <v>0</v>
      </c>
      <c r="BV1166">
        <v>0</v>
      </c>
      <c r="BW1166" t="s">
        <v>0</v>
      </c>
      <c r="BX1166">
        <v>0</v>
      </c>
      <c r="BY1166">
        <v>0</v>
      </c>
      <c r="BZ1166">
        <v>0</v>
      </c>
      <c r="CA1166">
        <v>0</v>
      </c>
      <c r="CB1166" t="s">
        <v>145</v>
      </c>
    </row>
    <row r="1167" spans="11:80" x14ac:dyDescent="0.25">
      <c r="K1167" s="3"/>
      <c r="BE1167" s="1"/>
      <c r="BO1167">
        <v>0</v>
      </c>
      <c r="BP1167">
        <v>0</v>
      </c>
      <c r="BQ1167">
        <v>0</v>
      </c>
      <c r="BR1167">
        <v>0</v>
      </c>
      <c r="BS1167">
        <v>0</v>
      </c>
      <c r="BT1167">
        <v>0</v>
      </c>
      <c r="BU1167">
        <v>0</v>
      </c>
      <c r="BV1167">
        <v>0</v>
      </c>
      <c r="BW1167" t="s">
        <v>0</v>
      </c>
      <c r="BX1167">
        <v>0</v>
      </c>
      <c r="BY1167">
        <v>0</v>
      </c>
      <c r="BZ1167">
        <v>0</v>
      </c>
      <c r="CA1167">
        <v>0</v>
      </c>
      <c r="CB1167" t="s">
        <v>145</v>
      </c>
    </row>
    <row r="1168" spans="11:80" x14ac:dyDescent="0.25">
      <c r="K1168" s="3"/>
      <c r="BE1168" s="1"/>
      <c r="BO1168">
        <v>0</v>
      </c>
      <c r="BP1168">
        <v>0</v>
      </c>
      <c r="BQ1168">
        <v>0</v>
      </c>
      <c r="BR1168">
        <v>0</v>
      </c>
      <c r="BS1168">
        <v>0</v>
      </c>
      <c r="BT1168">
        <v>0</v>
      </c>
      <c r="BU1168">
        <v>0</v>
      </c>
      <c r="BV1168">
        <v>0</v>
      </c>
      <c r="BW1168" t="s">
        <v>0</v>
      </c>
      <c r="BX1168">
        <v>0</v>
      </c>
      <c r="BY1168">
        <v>0</v>
      </c>
      <c r="BZ1168">
        <v>0</v>
      </c>
      <c r="CA1168">
        <v>0</v>
      </c>
      <c r="CB1168" t="s">
        <v>145</v>
      </c>
    </row>
    <row r="1169" spans="11:80" x14ac:dyDescent="0.25">
      <c r="K1169" s="3"/>
      <c r="BE1169" s="1"/>
      <c r="BO1169">
        <v>0</v>
      </c>
      <c r="BP1169">
        <v>0</v>
      </c>
      <c r="BQ1169">
        <v>0</v>
      </c>
      <c r="BR1169">
        <v>0</v>
      </c>
      <c r="BS1169">
        <v>0</v>
      </c>
      <c r="BT1169">
        <v>0</v>
      </c>
      <c r="BU1169">
        <v>0</v>
      </c>
      <c r="BV1169">
        <v>0</v>
      </c>
      <c r="BW1169" t="s">
        <v>0</v>
      </c>
      <c r="BX1169">
        <v>0</v>
      </c>
      <c r="BY1169">
        <v>0</v>
      </c>
      <c r="BZ1169">
        <v>0</v>
      </c>
      <c r="CA1169">
        <v>0</v>
      </c>
      <c r="CB1169" t="s">
        <v>145</v>
      </c>
    </row>
    <row r="1170" spans="11:80" x14ac:dyDescent="0.25">
      <c r="K1170" s="3"/>
      <c r="BE1170" s="1"/>
      <c r="BO1170">
        <v>0</v>
      </c>
      <c r="BP1170">
        <v>0</v>
      </c>
      <c r="BQ1170">
        <v>0</v>
      </c>
      <c r="BR1170">
        <v>0</v>
      </c>
      <c r="BS1170">
        <v>0</v>
      </c>
      <c r="BT1170">
        <v>0</v>
      </c>
      <c r="BU1170">
        <v>0</v>
      </c>
      <c r="BV1170">
        <v>0</v>
      </c>
      <c r="BW1170" t="s">
        <v>0</v>
      </c>
      <c r="BX1170">
        <v>0</v>
      </c>
      <c r="BY1170">
        <v>0</v>
      </c>
      <c r="BZ1170">
        <v>0</v>
      </c>
      <c r="CA1170">
        <v>0</v>
      </c>
      <c r="CB1170" t="s">
        <v>145</v>
      </c>
    </row>
    <row r="1171" spans="11:80" x14ac:dyDescent="0.25">
      <c r="K1171" s="3"/>
      <c r="BE1171" s="1"/>
      <c r="BO1171">
        <v>0</v>
      </c>
      <c r="BP1171">
        <v>0</v>
      </c>
      <c r="BQ1171">
        <v>0</v>
      </c>
      <c r="BR1171">
        <v>0</v>
      </c>
      <c r="BS1171">
        <v>0</v>
      </c>
      <c r="BT1171">
        <v>0</v>
      </c>
      <c r="BU1171">
        <v>0</v>
      </c>
      <c r="BV1171">
        <v>0</v>
      </c>
      <c r="BW1171" t="s">
        <v>0</v>
      </c>
      <c r="BX1171">
        <v>0</v>
      </c>
      <c r="BY1171">
        <v>0</v>
      </c>
      <c r="BZ1171">
        <v>0</v>
      </c>
      <c r="CA1171">
        <v>0</v>
      </c>
      <c r="CB1171" t="s">
        <v>145</v>
      </c>
    </row>
    <row r="1172" spans="11:80" x14ac:dyDescent="0.25">
      <c r="K1172" s="3"/>
      <c r="BE1172" s="1"/>
      <c r="BO1172">
        <v>0</v>
      </c>
      <c r="BP1172">
        <v>0</v>
      </c>
      <c r="BQ1172">
        <v>0</v>
      </c>
      <c r="BR1172">
        <v>0</v>
      </c>
      <c r="BS1172">
        <v>0</v>
      </c>
      <c r="BT1172">
        <v>0</v>
      </c>
      <c r="BU1172">
        <v>0</v>
      </c>
      <c r="BV1172">
        <v>0</v>
      </c>
      <c r="BW1172" t="s">
        <v>0</v>
      </c>
      <c r="BX1172">
        <v>0</v>
      </c>
      <c r="BY1172">
        <v>0</v>
      </c>
      <c r="BZ1172">
        <v>0</v>
      </c>
      <c r="CA1172">
        <v>0</v>
      </c>
      <c r="CB1172" t="s">
        <v>145</v>
      </c>
    </row>
    <row r="1173" spans="11:80" x14ac:dyDescent="0.25">
      <c r="K1173" s="3"/>
      <c r="BE1173" s="1"/>
      <c r="BO1173">
        <v>0</v>
      </c>
      <c r="BP1173">
        <v>0</v>
      </c>
      <c r="BQ1173">
        <v>0</v>
      </c>
      <c r="BR1173">
        <v>0</v>
      </c>
      <c r="BS1173">
        <v>0</v>
      </c>
      <c r="BT1173">
        <v>0</v>
      </c>
      <c r="BU1173">
        <v>0</v>
      </c>
      <c r="BV1173">
        <v>0</v>
      </c>
      <c r="BW1173" t="s">
        <v>0</v>
      </c>
      <c r="BX1173">
        <v>0</v>
      </c>
      <c r="BY1173">
        <v>0</v>
      </c>
      <c r="BZ1173">
        <v>0</v>
      </c>
      <c r="CA1173">
        <v>0</v>
      </c>
      <c r="CB1173" t="s">
        <v>145</v>
      </c>
    </row>
    <row r="1174" spans="11:80" x14ac:dyDescent="0.25">
      <c r="K1174" s="3"/>
      <c r="BE1174" s="1"/>
      <c r="BO1174">
        <v>0</v>
      </c>
      <c r="BP1174">
        <v>0</v>
      </c>
      <c r="BQ1174">
        <v>0</v>
      </c>
      <c r="BR1174">
        <v>0</v>
      </c>
      <c r="BS1174">
        <v>0</v>
      </c>
      <c r="BT1174">
        <v>0</v>
      </c>
      <c r="BU1174">
        <v>0</v>
      </c>
      <c r="BV1174">
        <v>0</v>
      </c>
      <c r="BW1174" t="s">
        <v>0</v>
      </c>
      <c r="BX1174">
        <v>0</v>
      </c>
      <c r="BY1174">
        <v>0</v>
      </c>
      <c r="BZ1174">
        <v>0</v>
      </c>
      <c r="CA1174">
        <v>0</v>
      </c>
      <c r="CB1174" t="s">
        <v>145</v>
      </c>
    </row>
    <row r="1175" spans="11:80" x14ac:dyDescent="0.25">
      <c r="K1175" s="3"/>
      <c r="BE1175" s="1"/>
      <c r="BO1175">
        <v>0</v>
      </c>
      <c r="BP1175">
        <v>0</v>
      </c>
      <c r="BQ1175">
        <v>0</v>
      </c>
      <c r="BR1175">
        <v>0</v>
      </c>
      <c r="BS1175">
        <v>0</v>
      </c>
      <c r="BT1175">
        <v>0</v>
      </c>
      <c r="BU1175">
        <v>0</v>
      </c>
      <c r="BV1175">
        <v>0</v>
      </c>
      <c r="BW1175" t="s">
        <v>0</v>
      </c>
      <c r="BX1175">
        <v>0</v>
      </c>
      <c r="BY1175">
        <v>0</v>
      </c>
      <c r="BZ1175">
        <v>0</v>
      </c>
      <c r="CA1175">
        <v>0</v>
      </c>
      <c r="CB1175" t="s">
        <v>145</v>
      </c>
    </row>
    <row r="1176" spans="11:80" x14ac:dyDescent="0.25">
      <c r="K1176" s="3"/>
      <c r="BE1176" s="1"/>
      <c r="BO1176">
        <v>0</v>
      </c>
      <c r="BP1176">
        <v>0</v>
      </c>
      <c r="BQ1176">
        <v>0</v>
      </c>
      <c r="BR1176">
        <v>0</v>
      </c>
      <c r="BS1176">
        <v>0</v>
      </c>
      <c r="BT1176">
        <v>0</v>
      </c>
      <c r="BU1176">
        <v>0</v>
      </c>
      <c r="BV1176">
        <v>0</v>
      </c>
      <c r="BW1176" t="s">
        <v>0</v>
      </c>
      <c r="BX1176">
        <v>0</v>
      </c>
      <c r="BY1176">
        <v>0</v>
      </c>
      <c r="BZ1176">
        <v>0</v>
      </c>
      <c r="CA1176">
        <v>0</v>
      </c>
      <c r="CB1176" t="s">
        <v>145</v>
      </c>
    </row>
    <row r="1177" spans="11:80" x14ac:dyDescent="0.25">
      <c r="K1177" s="3"/>
      <c r="BE1177" s="1"/>
      <c r="BO1177">
        <v>0</v>
      </c>
      <c r="BP1177">
        <v>0</v>
      </c>
      <c r="BQ1177">
        <v>0</v>
      </c>
      <c r="BR1177">
        <v>0</v>
      </c>
      <c r="BS1177">
        <v>0</v>
      </c>
      <c r="BT1177">
        <v>0</v>
      </c>
      <c r="BU1177">
        <v>0</v>
      </c>
      <c r="BV1177">
        <v>0</v>
      </c>
      <c r="BW1177" t="s">
        <v>0</v>
      </c>
      <c r="BX1177">
        <v>0</v>
      </c>
      <c r="BY1177">
        <v>0</v>
      </c>
      <c r="BZ1177">
        <v>0</v>
      </c>
      <c r="CA1177">
        <v>0</v>
      </c>
      <c r="CB1177" t="s">
        <v>145</v>
      </c>
    </row>
    <row r="1178" spans="11:80" x14ac:dyDescent="0.25">
      <c r="K1178" s="3"/>
      <c r="BE1178" s="1"/>
      <c r="BO1178">
        <v>0</v>
      </c>
      <c r="BP1178">
        <v>0</v>
      </c>
      <c r="BQ1178">
        <v>0</v>
      </c>
      <c r="BR1178">
        <v>0</v>
      </c>
      <c r="BS1178">
        <v>0</v>
      </c>
      <c r="BT1178">
        <v>0</v>
      </c>
      <c r="BU1178">
        <v>0</v>
      </c>
      <c r="BV1178">
        <v>0</v>
      </c>
      <c r="BW1178" t="s">
        <v>0</v>
      </c>
      <c r="BX1178">
        <v>0</v>
      </c>
      <c r="BY1178">
        <v>0</v>
      </c>
      <c r="BZ1178">
        <v>0</v>
      </c>
      <c r="CA1178">
        <v>0</v>
      </c>
      <c r="CB1178" t="s">
        <v>145</v>
      </c>
    </row>
    <row r="1179" spans="11:80" x14ac:dyDescent="0.25">
      <c r="K1179" s="3"/>
      <c r="BB1179" s="1"/>
      <c r="BE1179" s="1"/>
      <c r="BO1179">
        <v>0</v>
      </c>
      <c r="BP1179">
        <v>0</v>
      </c>
      <c r="BQ1179">
        <v>0</v>
      </c>
      <c r="BR1179">
        <v>0</v>
      </c>
      <c r="BS1179">
        <v>0</v>
      </c>
      <c r="BT1179">
        <v>0</v>
      </c>
      <c r="BU1179">
        <v>0</v>
      </c>
      <c r="BV1179">
        <v>0</v>
      </c>
      <c r="BW1179" t="s">
        <v>0</v>
      </c>
      <c r="BX1179">
        <v>0</v>
      </c>
      <c r="BY1179">
        <v>0</v>
      </c>
      <c r="BZ1179">
        <v>0</v>
      </c>
      <c r="CA1179">
        <v>0</v>
      </c>
      <c r="CB1179" t="s">
        <v>145</v>
      </c>
    </row>
    <row r="1180" spans="11:80" x14ac:dyDescent="0.25">
      <c r="K1180" s="3"/>
      <c r="BE1180" s="1"/>
      <c r="BO1180">
        <v>0</v>
      </c>
      <c r="BP1180">
        <v>0</v>
      </c>
      <c r="BQ1180">
        <v>0</v>
      </c>
      <c r="BR1180">
        <v>0</v>
      </c>
      <c r="BS1180">
        <v>0</v>
      </c>
      <c r="BT1180">
        <v>0</v>
      </c>
      <c r="BU1180">
        <v>0</v>
      </c>
      <c r="BV1180">
        <v>0</v>
      </c>
      <c r="BW1180" t="s">
        <v>0</v>
      </c>
      <c r="BX1180">
        <v>0</v>
      </c>
      <c r="BY1180">
        <v>0</v>
      </c>
      <c r="BZ1180">
        <v>0</v>
      </c>
      <c r="CA1180">
        <v>0</v>
      </c>
      <c r="CB1180" t="s">
        <v>145</v>
      </c>
    </row>
    <row r="1181" spans="11:80" x14ac:dyDescent="0.25">
      <c r="K1181" s="3"/>
      <c r="BE1181" s="1"/>
      <c r="BO1181">
        <v>0</v>
      </c>
      <c r="BP1181">
        <v>0</v>
      </c>
      <c r="BQ1181">
        <v>0</v>
      </c>
      <c r="BR1181">
        <v>0</v>
      </c>
      <c r="BS1181">
        <v>0</v>
      </c>
      <c r="BT1181">
        <v>0</v>
      </c>
      <c r="BU1181">
        <v>0</v>
      </c>
      <c r="BV1181">
        <v>0</v>
      </c>
      <c r="BW1181" t="s">
        <v>0</v>
      </c>
      <c r="BX1181">
        <v>0</v>
      </c>
      <c r="BY1181">
        <v>0</v>
      </c>
      <c r="BZ1181">
        <v>0</v>
      </c>
      <c r="CA1181">
        <v>0</v>
      </c>
      <c r="CB1181" t="s">
        <v>145</v>
      </c>
    </row>
    <row r="1182" spans="11:80" x14ac:dyDescent="0.25">
      <c r="K1182" s="3"/>
      <c r="BE1182" s="1"/>
      <c r="BO1182">
        <v>0</v>
      </c>
      <c r="BP1182">
        <v>0</v>
      </c>
      <c r="BQ1182">
        <v>0</v>
      </c>
      <c r="BR1182">
        <v>0</v>
      </c>
      <c r="BS1182">
        <v>0</v>
      </c>
      <c r="BT1182">
        <v>0</v>
      </c>
      <c r="BU1182">
        <v>0</v>
      </c>
      <c r="BV1182">
        <v>0</v>
      </c>
      <c r="BW1182" t="s">
        <v>0</v>
      </c>
      <c r="BX1182">
        <v>0</v>
      </c>
      <c r="BY1182">
        <v>0</v>
      </c>
      <c r="BZ1182">
        <v>0</v>
      </c>
      <c r="CA1182">
        <v>0</v>
      </c>
      <c r="CB1182" t="s">
        <v>145</v>
      </c>
    </row>
    <row r="1183" spans="11:80" x14ac:dyDescent="0.25">
      <c r="K1183" s="3"/>
      <c r="BE1183" s="1"/>
      <c r="BO1183">
        <v>0</v>
      </c>
      <c r="BP1183">
        <v>0</v>
      </c>
      <c r="BQ1183">
        <v>0</v>
      </c>
      <c r="BR1183">
        <v>0</v>
      </c>
      <c r="BS1183">
        <v>0</v>
      </c>
      <c r="BT1183">
        <v>0</v>
      </c>
      <c r="BU1183">
        <v>0</v>
      </c>
      <c r="BV1183">
        <v>0</v>
      </c>
      <c r="BW1183" t="s">
        <v>0</v>
      </c>
      <c r="BX1183">
        <v>0</v>
      </c>
      <c r="BY1183">
        <v>0</v>
      </c>
      <c r="BZ1183">
        <v>0</v>
      </c>
      <c r="CA1183">
        <v>0</v>
      </c>
      <c r="CB1183" t="s">
        <v>145</v>
      </c>
    </row>
    <row r="1184" spans="11:80" x14ac:dyDescent="0.25">
      <c r="K1184" s="3"/>
      <c r="BE1184" s="1"/>
      <c r="BO1184">
        <v>0</v>
      </c>
      <c r="BP1184">
        <v>0</v>
      </c>
      <c r="BQ1184">
        <v>0</v>
      </c>
      <c r="BR1184">
        <v>0</v>
      </c>
      <c r="BS1184">
        <v>0</v>
      </c>
      <c r="BT1184">
        <v>0</v>
      </c>
      <c r="BU1184">
        <v>0</v>
      </c>
      <c r="BV1184">
        <v>0</v>
      </c>
      <c r="BW1184" t="s">
        <v>0</v>
      </c>
      <c r="BX1184">
        <v>0</v>
      </c>
      <c r="BY1184">
        <v>0</v>
      </c>
      <c r="BZ1184">
        <v>0</v>
      </c>
      <c r="CA1184">
        <v>0</v>
      </c>
      <c r="CB1184" t="s">
        <v>145</v>
      </c>
    </row>
    <row r="1185" spans="11:80" x14ac:dyDescent="0.25">
      <c r="K1185" s="3"/>
      <c r="BE1185" s="1"/>
      <c r="BO1185">
        <v>0</v>
      </c>
      <c r="BP1185">
        <v>0</v>
      </c>
      <c r="BQ1185">
        <v>0</v>
      </c>
      <c r="BR1185">
        <v>0</v>
      </c>
      <c r="BS1185">
        <v>0</v>
      </c>
      <c r="BT1185">
        <v>0</v>
      </c>
      <c r="BU1185">
        <v>0</v>
      </c>
      <c r="BV1185">
        <v>0</v>
      </c>
      <c r="BW1185" t="s">
        <v>0</v>
      </c>
      <c r="BX1185">
        <v>0</v>
      </c>
      <c r="BY1185">
        <v>0</v>
      </c>
      <c r="BZ1185">
        <v>0</v>
      </c>
      <c r="CA1185">
        <v>0</v>
      </c>
      <c r="CB1185" t="s">
        <v>145</v>
      </c>
    </row>
    <row r="1186" spans="11:80" x14ac:dyDescent="0.25">
      <c r="K1186" s="3"/>
      <c r="BE1186" s="1"/>
      <c r="BO1186">
        <v>0</v>
      </c>
      <c r="BP1186">
        <v>0</v>
      </c>
      <c r="BQ1186">
        <v>0</v>
      </c>
      <c r="BR1186">
        <v>0</v>
      </c>
      <c r="BS1186">
        <v>0</v>
      </c>
      <c r="BT1186">
        <v>0</v>
      </c>
      <c r="BU1186">
        <v>0</v>
      </c>
      <c r="BV1186">
        <v>0</v>
      </c>
      <c r="BW1186" t="s">
        <v>0</v>
      </c>
      <c r="BX1186">
        <v>0</v>
      </c>
      <c r="BY1186">
        <v>0</v>
      </c>
      <c r="BZ1186">
        <v>0</v>
      </c>
      <c r="CA1186">
        <v>0</v>
      </c>
      <c r="CB1186" t="s">
        <v>145</v>
      </c>
    </row>
    <row r="1187" spans="11:80" x14ac:dyDescent="0.25">
      <c r="K1187" s="3"/>
      <c r="BE1187" s="1"/>
      <c r="BO1187">
        <v>0</v>
      </c>
      <c r="BP1187">
        <v>0</v>
      </c>
      <c r="BQ1187">
        <v>0</v>
      </c>
      <c r="BR1187">
        <v>0</v>
      </c>
      <c r="BS1187">
        <v>0</v>
      </c>
      <c r="BT1187">
        <v>0</v>
      </c>
      <c r="BU1187">
        <v>0</v>
      </c>
      <c r="BV1187">
        <v>0</v>
      </c>
      <c r="BW1187" t="s">
        <v>0</v>
      </c>
      <c r="BX1187">
        <v>0</v>
      </c>
      <c r="BY1187">
        <v>0</v>
      </c>
      <c r="BZ1187">
        <v>0</v>
      </c>
      <c r="CA1187">
        <v>0</v>
      </c>
      <c r="CB1187" t="s">
        <v>145</v>
      </c>
    </row>
    <row r="1188" spans="11:80" x14ac:dyDescent="0.25">
      <c r="K1188" s="3"/>
      <c r="BE1188" s="1"/>
      <c r="BO1188">
        <v>0</v>
      </c>
      <c r="BP1188">
        <v>0</v>
      </c>
      <c r="BQ1188">
        <v>0</v>
      </c>
      <c r="BR1188">
        <v>0</v>
      </c>
      <c r="BS1188">
        <v>0</v>
      </c>
      <c r="BT1188">
        <v>0</v>
      </c>
      <c r="BU1188">
        <v>0</v>
      </c>
      <c r="BV1188">
        <v>0</v>
      </c>
      <c r="BW1188" t="s">
        <v>0</v>
      </c>
      <c r="BX1188">
        <v>0</v>
      </c>
      <c r="BY1188">
        <v>0</v>
      </c>
      <c r="BZ1188">
        <v>0</v>
      </c>
      <c r="CA1188">
        <v>0</v>
      </c>
      <c r="CB1188" t="s">
        <v>145</v>
      </c>
    </row>
    <row r="1189" spans="11:80" x14ac:dyDescent="0.25">
      <c r="K1189" s="3"/>
      <c r="BE1189" s="1"/>
      <c r="BO1189">
        <v>0</v>
      </c>
      <c r="BP1189">
        <v>0</v>
      </c>
      <c r="BQ1189">
        <v>0</v>
      </c>
      <c r="BR1189">
        <v>0</v>
      </c>
      <c r="BS1189">
        <v>0</v>
      </c>
      <c r="BT1189">
        <v>0</v>
      </c>
      <c r="BU1189">
        <v>0</v>
      </c>
      <c r="BV1189">
        <v>0</v>
      </c>
      <c r="BW1189" t="s">
        <v>0</v>
      </c>
      <c r="BX1189">
        <v>0</v>
      </c>
      <c r="BY1189">
        <v>0</v>
      </c>
      <c r="BZ1189">
        <v>0</v>
      </c>
      <c r="CA1189">
        <v>0</v>
      </c>
      <c r="CB1189" t="s">
        <v>145</v>
      </c>
    </row>
    <row r="1190" spans="11:80" x14ac:dyDescent="0.25">
      <c r="K1190" s="3"/>
      <c r="BE1190" s="1"/>
      <c r="BO1190">
        <v>0</v>
      </c>
      <c r="BP1190">
        <v>0</v>
      </c>
      <c r="BQ1190">
        <v>0</v>
      </c>
      <c r="BR1190">
        <v>0</v>
      </c>
      <c r="BS1190">
        <v>0</v>
      </c>
      <c r="BT1190">
        <v>0</v>
      </c>
      <c r="BU1190">
        <v>0</v>
      </c>
      <c r="BV1190">
        <v>0</v>
      </c>
      <c r="BW1190" t="s">
        <v>0</v>
      </c>
      <c r="BX1190">
        <v>0</v>
      </c>
      <c r="BY1190">
        <v>0</v>
      </c>
      <c r="BZ1190">
        <v>0</v>
      </c>
      <c r="CA1190">
        <v>0</v>
      </c>
      <c r="CB1190" t="s">
        <v>145</v>
      </c>
    </row>
    <row r="1191" spans="11:80" x14ac:dyDescent="0.25">
      <c r="K1191" s="3"/>
      <c r="BE1191" s="1"/>
      <c r="BO1191">
        <v>0</v>
      </c>
      <c r="BP1191">
        <v>0</v>
      </c>
      <c r="BQ1191">
        <v>0</v>
      </c>
      <c r="BR1191">
        <v>0</v>
      </c>
      <c r="BS1191">
        <v>0</v>
      </c>
      <c r="BT1191">
        <v>0</v>
      </c>
      <c r="BU1191">
        <v>0</v>
      </c>
      <c r="BV1191">
        <v>0</v>
      </c>
      <c r="BW1191" t="s">
        <v>0</v>
      </c>
      <c r="BX1191">
        <v>0</v>
      </c>
      <c r="BY1191">
        <v>0</v>
      </c>
      <c r="BZ1191">
        <v>0</v>
      </c>
      <c r="CA1191">
        <v>0</v>
      </c>
      <c r="CB1191" t="s">
        <v>145</v>
      </c>
    </row>
    <row r="1192" spans="11:80" x14ac:dyDescent="0.25">
      <c r="K1192" s="3"/>
      <c r="BE1192" s="1"/>
      <c r="BO1192">
        <v>0</v>
      </c>
      <c r="BP1192">
        <v>0</v>
      </c>
      <c r="BQ1192">
        <v>0</v>
      </c>
      <c r="BR1192">
        <v>0</v>
      </c>
      <c r="BS1192">
        <v>0</v>
      </c>
      <c r="BT1192">
        <v>0</v>
      </c>
      <c r="BU1192">
        <v>0</v>
      </c>
      <c r="BV1192">
        <v>0</v>
      </c>
      <c r="BW1192" t="s">
        <v>0</v>
      </c>
      <c r="BX1192">
        <v>0</v>
      </c>
      <c r="BY1192">
        <v>0</v>
      </c>
      <c r="BZ1192">
        <v>0</v>
      </c>
      <c r="CA1192">
        <v>0</v>
      </c>
      <c r="CB1192" t="s">
        <v>145</v>
      </c>
    </row>
    <row r="1193" spans="11:80" x14ac:dyDescent="0.25">
      <c r="K1193" s="3"/>
      <c r="BE1193" s="1"/>
      <c r="BO1193">
        <v>0</v>
      </c>
      <c r="BP1193">
        <v>0</v>
      </c>
      <c r="BQ1193">
        <v>0</v>
      </c>
      <c r="BR1193">
        <v>0</v>
      </c>
      <c r="BS1193">
        <v>0</v>
      </c>
      <c r="BT1193">
        <v>0</v>
      </c>
      <c r="BU1193">
        <v>0</v>
      </c>
      <c r="BV1193">
        <v>0</v>
      </c>
      <c r="BW1193" t="s">
        <v>0</v>
      </c>
      <c r="BX1193">
        <v>0</v>
      </c>
      <c r="BY1193">
        <v>0</v>
      </c>
      <c r="BZ1193">
        <v>0</v>
      </c>
      <c r="CA1193">
        <v>0</v>
      </c>
      <c r="CB1193" t="s">
        <v>145</v>
      </c>
    </row>
    <row r="1194" spans="11:80" x14ac:dyDescent="0.25">
      <c r="K1194" s="3"/>
      <c r="BE1194" s="1"/>
      <c r="BO1194">
        <v>0</v>
      </c>
      <c r="BP1194">
        <v>0</v>
      </c>
      <c r="BQ1194">
        <v>0</v>
      </c>
      <c r="BR1194">
        <v>0</v>
      </c>
      <c r="BS1194">
        <v>0</v>
      </c>
      <c r="BT1194">
        <v>0</v>
      </c>
      <c r="BU1194">
        <v>0</v>
      </c>
      <c r="BV1194">
        <v>0</v>
      </c>
      <c r="BW1194" t="s">
        <v>0</v>
      </c>
      <c r="BX1194">
        <v>0</v>
      </c>
      <c r="BY1194">
        <v>0</v>
      </c>
      <c r="BZ1194">
        <v>0</v>
      </c>
      <c r="CA1194">
        <v>0</v>
      </c>
      <c r="CB1194" t="s">
        <v>145</v>
      </c>
    </row>
    <row r="1195" spans="11:80" x14ac:dyDescent="0.25">
      <c r="K1195" s="3"/>
      <c r="BE1195" s="1"/>
      <c r="BO1195">
        <v>0</v>
      </c>
      <c r="BP1195">
        <v>0</v>
      </c>
      <c r="BQ1195">
        <v>0</v>
      </c>
      <c r="BR1195">
        <v>0</v>
      </c>
      <c r="BS1195">
        <v>0</v>
      </c>
      <c r="BT1195">
        <v>0</v>
      </c>
      <c r="BU1195">
        <v>0</v>
      </c>
      <c r="BV1195">
        <v>0</v>
      </c>
      <c r="BW1195" t="s">
        <v>0</v>
      </c>
      <c r="BX1195">
        <v>0</v>
      </c>
      <c r="BY1195">
        <v>0</v>
      </c>
      <c r="BZ1195">
        <v>0</v>
      </c>
      <c r="CA1195">
        <v>0</v>
      </c>
      <c r="CB1195" t="s">
        <v>145</v>
      </c>
    </row>
    <row r="1196" spans="11:80" x14ac:dyDescent="0.25">
      <c r="K1196" s="3"/>
      <c r="BE1196" s="1"/>
      <c r="BO1196">
        <v>0</v>
      </c>
      <c r="BP1196">
        <v>0</v>
      </c>
      <c r="BQ1196">
        <v>0</v>
      </c>
      <c r="BR1196">
        <v>0</v>
      </c>
      <c r="BS1196">
        <v>0</v>
      </c>
      <c r="BT1196">
        <v>0</v>
      </c>
      <c r="BU1196">
        <v>0</v>
      </c>
      <c r="BV1196">
        <v>0</v>
      </c>
      <c r="BW1196" t="s">
        <v>0</v>
      </c>
      <c r="BX1196">
        <v>0</v>
      </c>
      <c r="BY1196">
        <v>0</v>
      </c>
      <c r="BZ1196">
        <v>0</v>
      </c>
      <c r="CA1196">
        <v>0</v>
      </c>
      <c r="CB1196" t="s">
        <v>145</v>
      </c>
    </row>
    <row r="1197" spans="11:80" x14ac:dyDescent="0.25">
      <c r="K1197" s="3"/>
      <c r="BE1197" s="1"/>
      <c r="BO1197">
        <v>0</v>
      </c>
      <c r="BP1197">
        <v>0</v>
      </c>
      <c r="BQ1197">
        <v>0</v>
      </c>
      <c r="BR1197">
        <v>0</v>
      </c>
      <c r="BS1197">
        <v>0</v>
      </c>
      <c r="BT1197">
        <v>0</v>
      </c>
      <c r="BU1197">
        <v>0</v>
      </c>
      <c r="BV1197">
        <v>0</v>
      </c>
      <c r="BW1197" t="s">
        <v>0</v>
      </c>
      <c r="BX1197">
        <v>0</v>
      </c>
      <c r="BY1197">
        <v>0</v>
      </c>
      <c r="BZ1197">
        <v>0</v>
      </c>
      <c r="CA1197">
        <v>0</v>
      </c>
      <c r="CB1197" t="s">
        <v>145</v>
      </c>
    </row>
    <row r="1198" spans="11:80" x14ac:dyDescent="0.25">
      <c r="K1198" s="3"/>
      <c r="BE1198" s="1"/>
      <c r="BO1198">
        <v>0</v>
      </c>
      <c r="BP1198">
        <v>0</v>
      </c>
      <c r="BQ1198">
        <v>0</v>
      </c>
      <c r="BR1198">
        <v>0</v>
      </c>
      <c r="BS1198">
        <v>0</v>
      </c>
      <c r="BT1198">
        <v>0</v>
      </c>
      <c r="BU1198">
        <v>0</v>
      </c>
      <c r="BV1198">
        <v>0</v>
      </c>
      <c r="BW1198" t="s">
        <v>0</v>
      </c>
      <c r="BX1198">
        <v>0</v>
      </c>
      <c r="BY1198">
        <v>0</v>
      </c>
      <c r="BZ1198">
        <v>0</v>
      </c>
      <c r="CA1198">
        <v>0</v>
      </c>
      <c r="CB1198" t="s">
        <v>145</v>
      </c>
    </row>
    <row r="1199" spans="11:80" x14ac:dyDescent="0.25">
      <c r="K1199" s="3"/>
      <c r="BE1199" s="1"/>
      <c r="BO1199">
        <v>0</v>
      </c>
      <c r="BP1199">
        <v>0</v>
      </c>
      <c r="BQ1199">
        <v>0</v>
      </c>
      <c r="BR1199">
        <v>0</v>
      </c>
      <c r="BS1199">
        <v>0</v>
      </c>
      <c r="BT1199">
        <v>0</v>
      </c>
      <c r="BU1199">
        <v>0</v>
      </c>
      <c r="BV1199">
        <v>0</v>
      </c>
      <c r="BW1199" t="s">
        <v>0</v>
      </c>
      <c r="BX1199">
        <v>0</v>
      </c>
      <c r="BY1199">
        <v>0</v>
      </c>
      <c r="BZ1199">
        <v>0</v>
      </c>
      <c r="CA1199">
        <v>0</v>
      </c>
      <c r="CB1199" t="s">
        <v>145</v>
      </c>
    </row>
    <row r="1200" spans="11:80" x14ac:dyDescent="0.25">
      <c r="BO1200">
        <v>0</v>
      </c>
      <c r="BP1200">
        <v>0</v>
      </c>
      <c r="BQ1200">
        <v>0</v>
      </c>
      <c r="BR1200">
        <v>0</v>
      </c>
      <c r="BS1200">
        <v>0</v>
      </c>
      <c r="BT1200">
        <v>0</v>
      </c>
      <c r="BU1200">
        <v>0</v>
      </c>
      <c r="BV1200">
        <v>0</v>
      </c>
      <c r="BW1200" t="s">
        <v>0</v>
      </c>
      <c r="BX1200">
        <v>0</v>
      </c>
      <c r="BY1200">
        <v>0</v>
      </c>
      <c r="BZ1200">
        <v>0</v>
      </c>
      <c r="CA1200">
        <v>0</v>
      </c>
      <c r="CB1200" t="s">
        <v>145</v>
      </c>
    </row>
    <row r="1201" spans="67:80" x14ac:dyDescent="0.25">
      <c r="BO1201">
        <v>0</v>
      </c>
      <c r="BP1201">
        <v>0</v>
      </c>
      <c r="BQ1201">
        <v>0</v>
      </c>
      <c r="BR1201">
        <v>0</v>
      </c>
      <c r="BS1201">
        <v>0</v>
      </c>
      <c r="BT1201">
        <v>0</v>
      </c>
      <c r="BU1201">
        <v>0</v>
      </c>
      <c r="BV1201">
        <v>0</v>
      </c>
      <c r="BW1201" t="s">
        <v>0</v>
      </c>
      <c r="BX1201">
        <v>0</v>
      </c>
      <c r="BY1201">
        <v>0</v>
      </c>
      <c r="BZ1201">
        <v>0</v>
      </c>
      <c r="CA1201">
        <v>0</v>
      </c>
      <c r="CB1201" t="s">
        <v>145</v>
      </c>
    </row>
    <row r="1202" spans="67:80" x14ac:dyDescent="0.25">
      <c r="BO1202">
        <v>0</v>
      </c>
      <c r="BP1202">
        <v>0</v>
      </c>
      <c r="BQ1202">
        <v>0</v>
      </c>
      <c r="BR1202">
        <v>0</v>
      </c>
      <c r="BS1202">
        <v>0</v>
      </c>
      <c r="BT1202">
        <v>0</v>
      </c>
      <c r="BU1202">
        <v>0</v>
      </c>
      <c r="BV1202">
        <v>0</v>
      </c>
      <c r="BW1202" t="s">
        <v>0</v>
      </c>
      <c r="BX1202">
        <v>0</v>
      </c>
      <c r="BY1202">
        <v>0</v>
      </c>
      <c r="BZ1202">
        <v>0</v>
      </c>
      <c r="CA1202">
        <v>0</v>
      </c>
      <c r="CB1202" t="s">
        <v>145</v>
      </c>
    </row>
    <row r="1203" spans="67:80" x14ac:dyDescent="0.25">
      <c r="BO1203">
        <v>0</v>
      </c>
      <c r="BP1203">
        <v>0</v>
      </c>
      <c r="BQ1203">
        <v>0</v>
      </c>
      <c r="BR1203">
        <v>0</v>
      </c>
      <c r="BS1203">
        <v>0</v>
      </c>
      <c r="BT1203">
        <v>0</v>
      </c>
      <c r="BU1203">
        <v>0</v>
      </c>
      <c r="BV1203">
        <v>0</v>
      </c>
      <c r="BW1203" t="s">
        <v>0</v>
      </c>
      <c r="BX1203">
        <v>0</v>
      </c>
      <c r="BY1203">
        <v>0</v>
      </c>
      <c r="BZ1203">
        <v>0</v>
      </c>
      <c r="CA1203">
        <v>0</v>
      </c>
      <c r="CB1203" t="s">
        <v>145</v>
      </c>
    </row>
    <row r="1204" spans="67:80" x14ac:dyDescent="0.25">
      <c r="BO1204">
        <v>0</v>
      </c>
      <c r="BP1204">
        <v>0</v>
      </c>
      <c r="BQ1204">
        <v>0</v>
      </c>
      <c r="BR1204">
        <v>0</v>
      </c>
      <c r="BS1204">
        <v>0</v>
      </c>
      <c r="BT1204">
        <v>0</v>
      </c>
      <c r="BU1204">
        <v>0</v>
      </c>
      <c r="BV1204">
        <v>0</v>
      </c>
      <c r="BW1204" t="s">
        <v>0</v>
      </c>
      <c r="BX1204">
        <v>0</v>
      </c>
      <c r="BY1204">
        <v>0</v>
      </c>
      <c r="BZ1204">
        <v>0</v>
      </c>
      <c r="CA1204">
        <v>0</v>
      </c>
      <c r="CB1204" t="s">
        <v>145</v>
      </c>
    </row>
    <row r="1205" spans="67:80" x14ac:dyDescent="0.25">
      <c r="BO1205">
        <v>0</v>
      </c>
      <c r="BP1205">
        <v>0</v>
      </c>
      <c r="BQ1205">
        <v>0</v>
      </c>
      <c r="BR1205">
        <v>0</v>
      </c>
      <c r="BS1205">
        <v>0</v>
      </c>
      <c r="BT1205">
        <v>0</v>
      </c>
      <c r="BU1205">
        <v>0</v>
      </c>
      <c r="BV1205">
        <v>0</v>
      </c>
      <c r="BW1205" t="s">
        <v>0</v>
      </c>
      <c r="BX1205">
        <v>0</v>
      </c>
      <c r="BY1205">
        <v>0</v>
      </c>
      <c r="BZ1205">
        <v>0</v>
      </c>
      <c r="CA1205">
        <v>0</v>
      </c>
      <c r="CB1205" t="s">
        <v>145</v>
      </c>
    </row>
    <row r="1206" spans="67:80" x14ac:dyDescent="0.25">
      <c r="BO1206">
        <v>0</v>
      </c>
      <c r="BP1206">
        <v>0</v>
      </c>
      <c r="BQ1206">
        <v>0</v>
      </c>
      <c r="BR1206">
        <v>0</v>
      </c>
      <c r="BS1206">
        <v>0</v>
      </c>
      <c r="BT1206">
        <v>0</v>
      </c>
      <c r="BU1206">
        <v>0</v>
      </c>
      <c r="BV1206">
        <v>0</v>
      </c>
      <c r="BW1206" t="s">
        <v>0</v>
      </c>
      <c r="BX1206">
        <v>0</v>
      </c>
      <c r="BY1206">
        <v>0</v>
      </c>
      <c r="BZ1206">
        <v>0</v>
      </c>
      <c r="CA1206">
        <v>0</v>
      </c>
      <c r="CB1206" t="s">
        <v>145</v>
      </c>
    </row>
    <row r="1207" spans="67:80" x14ac:dyDescent="0.25">
      <c r="BO1207">
        <v>0</v>
      </c>
      <c r="BP1207">
        <v>0</v>
      </c>
      <c r="BQ1207">
        <v>0</v>
      </c>
      <c r="BR1207">
        <v>0</v>
      </c>
      <c r="BS1207">
        <v>0</v>
      </c>
      <c r="BT1207">
        <v>0</v>
      </c>
      <c r="BU1207">
        <v>0</v>
      </c>
      <c r="BV1207">
        <v>0</v>
      </c>
      <c r="BW1207" t="s">
        <v>0</v>
      </c>
      <c r="BX1207">
        <v>0</v>
      </c>
      <c r="BY1207">
        <v>0</v>
      </c>
      <c r="BZ1207">
        <v>0</v>
      </c>
      <c r="CA1207">
        <v>0</v>
      </c>
      <c r="CB1207" t="s">
        <v>145</v>
      </c>
    </row>
    <row r="1208" spans="67:80" x14ac:dyDescent="0.25">
      <c r="BO1208">
        <v>0</v>
      </c>
      <c r="BP1208">
        <v>0</v>
      </c>
      <c r="BQ1208">
        <v>0</v>
      </c>
      <c r="BR1208">
        <v>0</v>
      </c>
      <c r="BS1208">
        <v>0</v>
      </c>
      <c r="BT1208">
        <v>0</v>
      </c>
      <c r="BU1208">
        <v>0</v>
      </c>
      <c r="BV1208">
        <v>0</v>
      </c>
      <c r="BW1208" t="s">
        <v>0</v>
      </c>
      <c r="BX1208">
        <v>0</v>
      </c>
      <c r="BY1208">
        <v>0</v>
      </c>
      <c r="BZ1208">
        <v>0</v>
      </c>
      <c r="CA1208">
        <v>0</v>
      </c>
      <c r="CB1208" t="s">
        <v>145</v>
      </c>
    </row>
    <row r="1209" spans="67:80" x14ac:dyDescent="0.25">
      <c r="BO1209">
        <v>0</v>
      </c>
      <c r="BP1209">
        <v>0</v>
      </c>
      <c r="BQ1209">
        <v>0</v>
      </c>
      <c r="BR1209">
        <v>0</v>
      </c>
      <c r="BS1209">
        <v>0</v>
      </c>
      <c r="BT1209">
        <v>0</v>
      </c>
      <c r="BU1209">
        <v>0</v>
      </c>
      <c r="BV1209">
        <v>0</v>
      </c>
      <c r="BW1209" t="s">
        <v>0</v>
      </c>
      <c r="BX1209">
        <v>0</v>
      </c>
      <c r="BY1209">
        <v>0</v>
      </c>
      <c r="BZ1209">
        <v>0</v>
      </c>
      <c r="CA1209">
        <v>0</v>
      </c>
      <c r="CB1209" t="s">
        <v>145</v>
      </c>
    </row>
    <row r="1210" spans="67:80" x14ac:dyDescent="0.25">
      <c r="BO1210">
        <v>0</v>
      </c>
      <c r="BP1210">
        <v>0</v>
      </c>
      <c r="BQ1210">
        <v>0</v>
      </c>
      <c r="BR1210">
        <v>0</v>
      </c>
      <c r="BS1210">
        <v>0</v>
      </c>
      <c r="BT1210">
        <v>0</v>
      </c>
      <c r="BU1210">
        <v>0</v>
      </c>
      <c r="BV1210">
        <v>0</v>
      </c>
      <c r="BW1210" t="s">
        <v>0</v>
      </c>
      <c r="BX1210">
        <v>0</v>
      </c>
      <c r="BY1210">
        <v>0</v>
      </c>
      <c r="BZ1210">
        <v>0</v>
      </c>
      <c r="CA1210">
        <v>0</v>
      </c>
      <c r="CB1210" t="s">
        <v>145</v>
      </c>
    </row>
    <row r="1211" spans="67:80" x14ac:dyDescent="0.25">
      <c r="BO1211">
        <v>0</v>
      </c>
      <c r="BP1211">
        <v>0</v>
      </c>
      <c r="BQ1211">
        <v>0</v>
      </c>
      <c r="BR1211">
        <v>0</v>
      </c>
      <c r="BS1211">
        <v>0</v>
      </c>
      <c r="BT1211">
        <v>0</v>
      </c>
      <c r="BU1211">
        <v>0</v>
      </c>
      <c r="BV1211">
        <v>0</v>
      </c>
      <c r="BW1211" t="s">
        <v>0</v>
      </c>
      <c r="BX1211">
        <v>0</v>
      </c>
      <c r="BY1211">
        <v>0</v>
      </c>
      <c r="BZ1211">
        <v>0</v>
      </c>
      <c r="CA1211">
        <v>0</v>
      </c>
      <c r="CB1211" t="s">
        <v>145</v>
      </c>
    </row>
    <row r="1212" spans="67:80" x14ac:dyDescent="0.25">
      <c r="BO1212">
        <v>0</v>
      </c>
      <c r="BP1212">
        <v>0</v>
      </c>
      <c r="BQ1212">
        <v>0</v>
      </c>
      <c r="BR1212">
        <v>0</v>
      </c>
      <c r="BS1212">
        <v>0</v>
      </c>
      <c r="BT1212">
        <v>0</v>
      </c>
      <c r="BU1212">
        <v>0</v>
      </c>
      <c r="BV1212">
        <v>0</v>
      </c>
      <c r="BW1212" t="s">
        <v>0</v>
      </c>
      <c r="BX1212">
        <v>0</v>
      </c>
      <c r="BY1212">
        <v>0</v>
      </c>
      <c r="BZ1212">
        <v>0</v>
      </c>
      <c r="CA1212">
        <v>0</v>
      </c>
      <c r="CB1212" t="s">
        <v>145</v>
      </c>
    </row>
    <row r="1213" spans="67:80" x14ac:dyDescent="0.25">
      <c r="BO1213">
        <v>0</v>
      </c>
      <c r="BP1213">
        <v>0</v>
      </c>
      <c r="BQ1213">
        <v>0</v>
      </c>
      <c r="BR1213">
        <v>0</v>
      </c>
      <c r="BS1213">
        <v>0</v>
      </c>
      <c r="BT1213">
        <v>0</v>
      </c>
      <c r="BU1213">
        <v>0</v>
      </c>
      <c r="BV1213">
        <v>0</v>
      </c>
      <c r="BW1213" t="s">
        <v>0</v>
      </c>
      <c r="BX1213">
        <v>0</v>
      </c>
      <c r="BY1213">
        <v>0</v>
      </c>
      <c r="BZ1213">
        <v>0</v>
      </c>
      <c r="CA1213">
        <v>0</v>
      </c>
      <c r="CB1213" t="s">
        <v>145</v>
      </c>
    </row>
    <row r="1214" spans="67:80" x14ac:dyDescent="0.25">
      <c r="BO1214">
        <v>0</v>
      </c>
      <c r="BP1214">
        <v>0</v>
      </c>
      <c r="BQ1214">
        <v>0</v>
      </c>
      <c r="BR1214">
        <v>0</v>
      </c>
      <c r="BS1214">
        <v>0</v>
      </c>
      <c r="BT1214">
        <v>0</v>
      </c>
      <c r="BU1214">
        <v>0</v>
      </c>
      <c r="BV1214">
        <v>0</v>
      </c>
      <c r="BW1214" t="s">
        <v>0</v>
      </c>
      <c r="BX1214">
        <v>0</v>
      </c>
      <c r="BY1214">
        <v>0</v>
      </c>
      <c r="BZ1214">
        <v>0</v>
      </c>
      <c r="CA1214">
        <v>0</v>
      </c>
      <c r="CB1214" t="s">
        <v>145</v>
      </c>
    </row>
    <row r="1215" spans="67:80" x14ac:dyDescent="0.25">
      <c r="BO1215">
        <v>0</v>
      </c>
      <c r="BP1215">
        <v>0</v>
      </c>
      <c r="BQ1215">
        <v>0</v>
      </c>
      <c r="BR1215">
        <v>0</v>
      </c>
      <c r="BS1215">
        <v>0</v>
      </c>
      <c r="BT1215">
        <v>0</v>
      </c>
      <c r="BU1215">
        <v>0</v>
      </c>
      <c r="BV1215">
        <v>0</v>
      </c>
      <c r="BW1215" t="s">
        <v>0</v>
      </c>
      <c r="BX1215">
        <v>0</v>
      </c>
      <c r="BY1215">
        <v>0</v>
      </c>
      <c r="BZ1215">
        <v>0</v>
      </c>
      <c r="CA1215">
        <v>0</v>
      </c>
      <c r="CB1215" t="s">
        <v>145</v>
      </c>
    </row>
    <row r="1216" spans="67:80" x14ac:dyDescent="0.25">
      <c r="BO1216">
        <v>0</v>
      </c>
      <c r="BP1216">
        <v>0</v>
      </c>
      <c r="BQ1216">
        <v>0</v>
      </c>
      <c r="BR1216">
        <v>0</v>
      </c>
      <c r="BS1216">
        <v>0</v>
      </c>
      <c r="BT1216">
        <v>0</v>
      </c>
      <c r="BU1216">
        <v>0</v>
      </c>
      <c r="BV1216">
        <v>0</v>
      </c>
      <c r="BW1216" t="s">
        <v>0</v>
      </c>
      <c r="BX1216">
        <v>0</v>
      </c>
      <c r="BY1216">
        <v>0</v>
      </c>
      <c r="BZ1216">
        <v>0</v>
      </c>
      <c r="CA1216">
        <v>0</v>
      </c>
      <c r="CB1216" t="s">
        <v>145</v>
      </c>
    </row>
    <row r="1217" spans="67:80" x14ac:dyDescent="0.25">
      <c r="BO1217">
        <v>0</v>
      </c>
      <c r="BP1217">
        <v>0</v>
      </c>
      <c r="BQ1217">
        <v>0</v>
      </c>
      <c r="BR1217">
        <v>0</v>
      </c>
      <c r="BS1217">
        <v>0</v>
      </c>
      <c r="BT1217">
        <v>0</v>
      </c>
      <c r="BU1217">
        <v>0</v>
      </c>
      <c r="BV1217">
        <v>0</v>
      </c>
      <c r="BW1217" t="s">
        <v>0</v>
      </c>
      <c r="BX1217">
        <v>0</v>
      </c>
      <c r="BY1217">
        <v>0</v>
      </c>
      <c r="BZ1217">
        <v>0</v>
      </c>
      <c r="CA1217">
        <v>0</v>
      </c>
      <c r="CB1217" t="s">
        <v>145</v>
      </c>
    </row>
    <row r="1218" spans="67:80" x14ac:dyDescent="0.25">
      <c r="BO1218">
        <v>0</v>
      </c>
      <c r="BP1218">
        <v>0</v>
      </c>
      <c r="BQ1218">
        <v>0</v>
      </c>
      <c r="BR1218">
        <v>0</v>
      </c>
      <c r="BS1218">
        <v>0</v>
      </c>
      <c r="BT1218">
        <v>0</v>
      </c>
      <c r="BU1218">
        <v>0</v>
      </c>
      <c r="BV1218">
        <v>0</v>
      </c>
      <c r="BW1218" t="s">
        <v>0</v>
      </c>
      <c r="BX1218">
        <v>0</v>
      </c>
      <c r="BY1218">
        <v>0</v>
      </c>
      <c r="BZ1218">
        <v>0</v>
      </c>
      <c r="CA1218">
        <v>0</v>
      </c>
      <c r="CB1218" t="s">
        <v>145</v>
      </c>
    </row>
    <row r="1219" spans="67:80" x14ac:dyDescent="0.25">
      <c r="BO1219">
        <v>0</v>
      </c>
      <c r="BP1219">
        <v>0</v>
      </c>
      <c r="BQ1219">
        <v>0</v>
      </c>
      <c r="BR1219">
        <v>0</v>
      </c>
      <c r="BS1219">
        <v>0</v>
      </c>
      <c r="BT1219">
        <v>0</v>
      </c>
      <c r="BU1219">
        <v>0</v>
      </c>
      <c r="BV1219">
        <v>0</v>
      </c>
      <c r="BW1219" t="s">
        <v>0</v>
      </c>
      <c r="BX1219">
        <v>0</v>
      </c>
      <c r="BY1219">
        <v>0</v>
      </c>
      <c r="BZ1219">
        <v>0</v>
      </c>
      <c r="CA1219">
        <v>0</v>
      </c>
      <c r="CB1219" t="s">
        <v>145</v>
      </c>
    </row>
    <row r="1220" spans="67:80" x14ac:dyDescent="0.25">
      <c r="BO1220">
        <v>0</v>
      </c>
      <c r="BP1220">
        <v>0</v>
      </c>
      <c r="BQ1220">
        <v>0</v>
      </c>
      <c r="BR1220">
        <v>0</v>
      </c>
      <c r="BS1220">
        <v>0</v>
      </c>
      <c r="BT1220">
        <v>0</v>
      </c>
      <c r="BU1220">
        <v>0</v>
      </c>
      <c r="BV1220">
        <v>0</v>
      </c>
      <c r="BW1220" t="s">
        <v>0</v>
      </c>
      <c r="BX1220">
        <v>0</v>
      </c>
      <c r="BY1220">
        <v>0</v>
      </c>
      <c r="BZ1220">
        <v>0</v>
      </c>
      <c r="CA1220">
        <v>0</v>
      </c>
      <c r="CB1220" t="s">
        <v>145</v>
      </c>
    </row>
    <row r="1221" spans="67:80" x14ac:dyDescent="0.25">
      <c r="BO1221">
        <v>0</v>
      </c>
      <c r="BP1221">
        <v>0</v>
      </c>
      <c r="BQ1221">
        <v>0</v>
      </c>
      <c r="BR1221">
        <v>0</v>
      </c>
      <c r="BS1221">
        <v>0</v>
      </c>
      <c r="BT1221">
        <v>0</v>
      </c>
      <c r="BU1221">
        <v>0</v>
      </c>
      <c r="BV1221">
        <v>0</v>
      </c>
      <c r="BW1221" t="s">
        <v>0</v>
      </c>
      <c r="BX1221">
        <v>0</v>
      </c>
      <c r="BY1221">
        <v>0</v>
      </c>
      <c r="BZ1221">
        <v>0</v>
      </c>
      <c r="CA1221">
        <v>0</v>
      </c>
      <c r="CB1221" t="s">
        <v>145</v>
      </c>
    </row>
    <row r="1222" spans="67:80" x14ac:dyDescent="0.25">
      <c r="BO1222">
        <v>0</v>
      </c>
      <c r="BP1222">
        <v>0</v>
      </c>
      <c r="BQ1222">
        <v>0</v>
      </c>
      <c r="BR1222">
        <v>0</v>
      </c>
      <c r="BS1222">
        <v>0</v>
      </c>
      <c r="BT1222">
        <v>0</v>
      </c>
      <c r="BU1222">
        <v>0</v>
      </c>
      <c r="BV1222">
        <v>0</v>
      </c>
      <c r="BW1222" t="s">
        <v>0</v>
      </c>
      <c r="BX1222">
        <v>0</v>
      </c>
      <c r="BY1222">
        <v>0</v>
      </c>
      <c r="BZ1222">
        <v>0</v>
      </c>
      <c r="CA1222">
        <v>0</v>
      </c>
      <c r="CB1222" t="s">
        <v>145</v>
      </c>
    </row>
    <row r="1223" spans="67:80" x14ac:dyDescent="0.25">
      <c r="BO1223">
        <v>0</v>
      </c>
      <c r="BP1223">
        <v>0</v>
      </c>
      <c r="BQ1223">
        <v>0</v>
      </c>
      <c r="BR1223">
        <v>0</v>
      </c>
      <c r="BS1223">
        <v>0</v>
      </c>
      <c r="BT1223">
        <v>0</v>
      </c>
      <c r="BU1223">
        <v>0</v>
      </c>
      <c r="BV1223">
        <v>0</v>
      </c>
      <c r="BW1223" t="s">
        <v>0</v>
      </c>
      <c r="BX1223">
        <v>0</v>
      </c>
      <c r="BY1223">
        <v>0</v>
      </c>
      <c r="BZ1223">
        <v>0</v>
      </c>
      <c r="CA1223">
        <v>0</v>
      </c>
      <c r="CB1223" t="s">
        <v>145</v>
      </c>
    </row>
    <row r="1224" spans="67:80" x14ac:dyDescent="0.25">
      <c r="BO1224">
        <v>0</v>
      </c>
      <c r="BP1224">
        <v>0</v>
      </c>
      <c r="BQ1224">
        <v>0</v>
      </c>
      <c r="BR1224">
        <v>0</v>
      </c>
      <c r="BS1224">
        <v>0</v>
      </c>
      <c r="BT1224">
        <v>0</v>
      </c>
      <c r="BU1224">
        <v>0</v>
      </c>
      <c r="BV1224">
        <v>0</v>
      </c>
      <c r="BW1224" t="s">
        <v>0</v>
      </c>
      <c r="BX1224">
        <v>0</v>
      </c>
      <c r="BY1224">
        <v>0</v>
      </c>
      <c r="BZ1224">
        <v>0</v>
      </c>
      <c r="CA1224">
        <v>0</v>
      </c>
      <c r="CB1224" t="s">
        <v>145</v>
      </c>
    </row>
    <row r="1225" spans="67:80" x14ac:dyDescent="0.25">
      <c r="BO1225">
        <v>0</v>
      </c>
      <c r="BP1225">
        <v>0</v>
      </c>
      <c r="BQ1225">
        <v>0</v>
      </c>
      <c r="BR1225">
        <v>0</v>
      </c>
      <c r="BS1225">
        <v>0</v>
      </c>
      <c r="BT1225">
        <v>0</v>
      </c>
      <c r="BU1225">
        <v>0</v>
      </c>
      <c r="BV1225">
        <v>0</v>
      </c>
      <c r="BW1225" t="s">
        <v>0</v>
      </c>
      <c r="BX1225">
        <v>0</v>
      </c>
      <c r="BY1225">
        <v>0</v>
      </c>
      <c r="BZ1225">
        <v>0</v>
      </c>
      <c r="CA1225">
        <v>0</v>
      </c>
      <c r="CB1225" t="s">
        <v>145</v>
      </c>
    </row>
    <row r="1226" spans="67:80" x14ac:dyDescent="0.25">
      <c r="BO1226">
        <v>0</v>
      </c>
      <c r="BP1226">
        <v>0</v>
      </c>
      <c r="BQ1226">
        <v>0</v>
      </c>
      <c r="BR1226">
        <v>0</v>
      </c>
      <c r="BS1226">
        <v>0</v>
      </c>
      <c r="BT1226">
        <v>0</v>
      </c>
      <c r="BU1226">
        <v>0</v>
      </c>
      <c r="BV1226">
        <v>0</v>
      </c>
      <c r="BW1226" t="s">
        <v>0</v>
      </c>
      <c r="BX1226">
        <v>0</v>
      </c>
      <c r="BY1226">
        <v>0</v>
      </c>
      <c r="BZ1226">
        <v>0</v>
      </c>
      <c r="CA1226">
        <v>0</v>
      </c>
      <c r="CB1226" t="s">
        <v>145</v>
      </c>
    </row>
    <row r="1227" spans="67:80" x14ac:dyDescent="0.25">
      <c r="BO1227">
        <v>0</v>
      </c>
      <c r="BP1227">
        <v>0</v>
      </c>
      <c r="BQ1227">
        <v>0</v>
      </c>
      <c r="BR1227">
        <v>0</v>
      </c>
      <c r="BS1227">
        <v>0</v>
      </c>
      <c r="BT1227">
        <v>0</v>
      </c>
      <c r="BU1227">
        <v>0</v>
      </c>
      <c r="BV1227">
        <v>0</v>
      </c>
      <c r="BW1227" t="s">
        <v>0</v>
      </c>
      <c r="BX1227">
        <v>0</v>
      </c>
      <c r="BY1227">
        <v>0</v>
      </c>
      <c r="BZ1227">
        <v>0</v>
      </c>
      <c r="CA1227">
        <v>0</v>
      </c>
      <c r="CB1227" t="s">
        <v>145</v>
      </c>
    </row>
    <row r="1228" spans="67:80" x14ac:dyDescent="0.25">
      <c r="BO1228">
        <v>0</v>
      </c>
      <c r="BP1228">
        <v>0</v>
      </c>
      <c r="BQ1228">
        <v>0</v>
      </c>
      <c r="BR1228">
        <v>0</v>
      </c>
      <c r="BS1228">
        <v>0</v>
      </c>
      <c r="BT1228">
        <v>0</v>
      </c>
      <c r="BU1228">
        <v>0</v>
      </c>
      <c r="BV1228">
        <v>0</v>
      </c>
      <c r="BW1228" t="s">
        <v>0</v>
      </c>
      <c r="BX1228">
        <v>0</v>
      </c>
      <c r="BY1228">
        <v>0</v>
      </c>
      <c r="BZ1228">
        <v>0</v>
      </c>
      <c r="CA1228">
        <v>0</v>
      </c>
      <c r="CB1228" t="s">
        <v>145</v>
      </c>
    </row>
    <row r="1229" spans="67:80" x14ac:dyDescent="0.25">
      <c r="BO1229">
        <v>0</v>
      </c>
      <c r="BP1229">
        <v>0</v>
      </c>
      <c r="BQ1229">
        <v>0</v>
      </c>
      <c r="BR1229">
        <v>0</v>
      </c>
      <c r="BS1229">
        <v>0</v>
      </c>
      <c r="BT1229">
        <v>0</v>
      </c>
      <c r="BU1229">
        <v>0</v>
      </c>
      <c r="BV1229">
        <v>0</v>
      </c>
      <c r="BW1229" t="s">
        <v>0</v>
      </c>
      <c r="BX1229">
        <v>0</v>
      </c>
      <c r="BY1229">
        <v>0</v>
      </c>
      <c r="BZ1229">
        <v>0</v>
      </c>
      <c r="CA1229">
        <v>0</v>
      </c>
      <c r="CB1229" t="s">
        <v>145</v>
      </c>
    </row>
    <row r="1230" spans="67:80" x14ac:dyDescent="0.25">
      <c r="BO1230">
        <v>0</v>
      </c>
      <c r="BP1230">
        <v>0</v>
      </c>
      <c r="BQ1230">
        <v>0</v>
      </c>
      <c r="BR1230">
        <v>0</v>
      </c>
      <c r="BS1230">
        <v>0</v>
      </c>
      <c r="BT1230">
        <v>0</v>
      </c>
      <c r="BU1230">
        <v>0</v>
      </c>
      <c r="BV1230">
        <v>0</v>
      </c>
      <c r="BW1230" t="s">
        <v>0</v>
      </c>
      <c r="BX1230">
        <v>0</v>
      </c>
      <c r="BY1230">
        <v>0</v>
      </c>
      <c r="BZ1230">
        <v>0</v>
      </c>
      <c r="CA1230">
        <v>0</v>
      </c>
      <c r="CB1230" t="s">
        <v>145</v>
      </c>
    </row>
    <row r="1231" spans="67:80" x14ac:dyDescent="0.25">
      <c r="BO1231">
        <v>0</v>
      </c>
      <c r="BP1231">
        <v>0</v>
      </c>
      <c r="BQ1231">
        <v>0</v>
      </c>
      <c r="BR1231">
        <v>0</v>
      </c>
      <c r="BS1231">
        <v>0</v>
      </c>
      <c r="BT1231">
        <v>0</v>
      </c>
      <c r="BU1231">
        <v>0</v>
      </c>
      <c r="BV1231">
        <v>0</v>
      </c>
      <c r="BW1231" t="s">
        <v>0</v>
      </c>
      <c r="BX1231">
        <v>0</v>
      </c>
      <c r="BY1231">
        <v>0</v>
      </c>
      <c r="BZ1231">
        <v>0</v>
      </c>
      <c r="CA1231">
        <v>0</v>
      </c>
      <c r="CB1231" t="s">
        <v>145</v>
      </c>
    </row>
    <row r="1232" spans="67:80" x14ac:dyDescent="0.25">
      <c r="BO1232">
        <v>0</v>
      </c>
      <c r="BP1232">
        <v>0</v>
      </c>
      <c r="BQ1232">
        <v>0</v>
      </c>
      <c r="BR1232">
        <v>0</v>
      </c>
      <c r="BS1232">
        <v>0</v>
      </c>
      <c r="BT1232">
        <v>0</v>
      </c>
      <c r="BU1232">
        <v>0</v>
      </c>
      <c r="BV1232">
        <v>0</v>
      </c>
      <c r="BW1232" t="s">
        <v>0</v>
      </c>
      <c r="BX1232">
        <v>0</v>
      </c>
      <c r="BY1232">
        <v>0</v>
      </c>
      <c r="BZ1232">
        <v>0</v>
      </c>
      <c r="CA1232">
        <v>0</v>
      </c>
      <c r="CB1232" t="s">
        <v>145</v>
      </c>
    </row>
    <row r="1233" spans="67:80" x14ac:dyDescent="0.25">
      <c r="BO1233">
        <v>0</v>
      </c>
      <c r="BP1233">
        <v>0</v>
      </c>
      <c r="BQ1233">
        <v>0</v>
      </c>
      <c r="BR1233">
        <v>0</v>
      </c>
      <c r="BS1233">
        <v>0</v>
      </c>
      <c r="BT1233">
        <v>0</v>
      </c>
      <c r="BU1233">
        <v>0</v>
      </c>
      <c r="BV1233">
        <v>0</v>
      </c>
      <c r="BW1233" t="s">
        <v>0</v>
      </c>
      <c r="BX1233">
        <v>0</v>
      </c>
      <c r="BY1233">
        <v>0</v>
      </c>
      <c r="BZ1233">
        <v>0</v>
      </c>
      <c r="CA1233">
        <v>0</v>
      </c>
      <c r="CB1233" t="s">
        <v>145</v>
      </c>
    </row>
    <row r="1234" spans="67:80" x14ac:dyDescent="0.25">
      <c r="BO1234">
        <v>0</v>
      </c>
      <c r="BP1234">
        <v>0</v>
      </c>
      <c r="BQ1234">
        <v>0</v>
      </c>
      <c r="BR1234">
        <v>0</v>
      </c>
      <c r="BS1234">
        <v>0</v>
      </c>
      <c r="BT1234">
        <v>0</v>
      </c>
      <c r="BU1234">
        <v>0</v>
      </c>
      <c r="BV1234">
        <v>0</v>
      </c>
      <c r="BW1234" t="s">
        <v>0</v>
      </c>
      <c r="BX1234">
        <v>0</v>
      </c>
      <c r="BY1234">
        <v>0</v>
      </c>
      <c r="BZ1234">
        <v>0</v>
      </c>
      <c r="CA1234">
        <v>0</v>
      </c>
      <c r="CB1234" t="s">
        <v>145</v>
      </c>
    </row>
    <row r="1235" spans="67:80" x14ac:dyDescent="0.25">
      <c r="BO1235">
        <v>0</v>
      </c>
      <c r="BP1235">
        <v>0</v>
      </c>
      <c r="BQ1235">
        <v>0</v>
      </c>
      <c r="BR1235">
        <v>0</v>
      </c>
      <c r="BS1235">
        <v>0</v>
      </c>
      <c r="BT1235">
        <v>0</v>
      </c>
      <c r="BU1235">
        <v>0</v>
      </c>
      <c r="BV1235">
        <v>0</v>
      </c>
      <c r="BW1235" t="s">
        <v>0</v>
      </c>
      <c r="BX1235">
        <v>0</v>
      </c>
      <c r="BY1235">
        <v>0</v>
      </c>
      <c r="BZ1235">
        <v>0</v>
      </c>
      <c r="CA1235">
        <v>0</v>
      </c>
      <c r="CB1235" t="s">
        <v>145</v>
      </c>
    </row>
    <row r="1236" spans="67:80" x14ac:dyDescent="0.25">
      <c r="BO1236">
        <v>0</v>
      </c>
      <c r="BP1236">
        <v>0</v>
      </c>
      <c r="BQ1236">
        <v>0</v>
      </c>
      <c r="BR1236">
        <v>0</v>
      </c>
      <c r="BS1236">
        <v>0</v>
      </c>
      <c r="BT1236">
        <v>0</v>
      </c>
      <c r="BU1236">
        <v>0</v>
      </c>
      <c r="BV1236">
        <v>0</v>
      </c>
      <c r="BW1236" t="s">
        <v>0</v>
      </c>
      <c r="BX1236">
        <v>0</v>
      </c>
      <c r="BY1236">
        <v>0</v>
      </c>
      <c r="BZ1236">
        <v>0</v>
      </c>
      <c r="CA1236">
        <v>0</v>
      </c>
      <c r="CB1236" t="s">
        <v>145</v>
      </c>
    </row>
    <row r="1237" spans="67:80" x14ac:dyDescent="0.25">
      <c r="BO1237">
        <v>0</v>
      </c>
      <c r="BP1237">
        <v>0</v>
      </c>
      <c r="BQ1237">
        <v>0</v>
      </c>
      <c r="BR1237">
        <v>0</v>
      </c>
      <c r="BS1237">
        <v>0</v>
      </c>
      <c r="BT1237">
        <v>0</v>
      </c>
      <c r="BU1237">
        <v>0</v>
      </c>
      <c r="BV1237">
        <v>0</v>
      </c>
      <c r="BW1237" t="s">
        <v>0</v>
      </c>
      <c r="BX1237">
        <v>0</v>
      </c>
      <c r="BY1237">
        <v>0</v>
      </c>
      <c r="BZ1237">
        <v>0</v>
      </c>
      <c r="CA1237">
        <v>0</v>
      </c>
      <c r="CB1237" t="s">
        <v>145</v>
      </c>
    </row>
    <row r="1238" spans="67:80" x14ac:dyDescent="0.25">
      <c r="BO1238">
        <v>0</v>
      </c>
      <c r="BP1238">
        <v>0</v>
      </c>
      <c r="BQ1238">
        <v>0</v>
      </c>
      <c r="BR1238">
        <v>0</v>
      </c>
      <c r="BS1238">
        <v>0</v>
      </c>
      <c r="BT1238">
        <v>0</v>
      </c>
      <c r="BU1238">
        <v>0</v>
      </c>
      <c r="BV1238">
        <v>0</v>
      </c>
      <c r="BW1238" t="s">
        <v>0</v>
      </c>
      <c r="BX1238">
        <v>0</v>
      </c>
      <c r="BY1238">
        <v>0</v>
      </c>
      <c r="BZ1238">
        <v>0</v>
      </c>
      <c r="CA1238">
        <v>0</v>
      </c>
      <c r="CB1238" t="s">
        <v>145</v>
      </c>
    </row>
    <row r="1239" spans="67:80" x14ac:dyDescent="0.25">
      <c r="BO1239">
        <v>0</v>
      </c>
      <c r="BP1239">
        <v>0</v>
      </c>
      <c r="BQ1239">
        <v>0</v>
      </c>
      <c r="BR1239">
        <v>0</v>
      </c>
      <c r="BS1239">
        <v>0</v>
      </c>
      <c r="BT1239">
        <v>0</v>
      </c>
      <c r="BU1239">
        <v>0</v>
      </c>
      <c r="BV1239">
        <v>0</v>
      </c>
      <c r="BW1239" t="s">
        <v>0</v>
      </c>
      <c r="BX1239">
        <v>0</v>
      </c>
      <c r="BY1239">
        <v>0</v>
      </c>
      <c r="BZ1239">
        <v>0</v>
      </c>
      <c r="CA1239">
        <v>0</v>
      </c>
      <c r="CB1239" t="s">
        <v>145</v>
      </c>
    </row>
    <row r="1240" spans="67:80" x14ac:dyDescent="0.25">
      <c r="BO1240">
        <v>0</v>
      </c>
      <c r="BP1240">
        <v>0</v>
      </c>
      <c r="BQ1240">
        <v>0</v>
      </c>
      <c r="BR1240">
        <v>0</v>
      </c>
      <c r="BS1240">
        <v>0</v>
      </c>
      <c r="BT1240">
        <v>0</v>
      </c>
      <c r="BU1240">
        <v>0</v>
      </c>
      <c r="BV1240">
        <v>0</v>
      </c>
      <c r="BW1240" t="s">
        <v>0</v>
      </c>
      <c r="BX1240">
        <v>0</v>
      </c>
      <c r="BY1240">
        <v>0</v>
      </c>
      <c r="BZ1240">
        <v>0</v>
      </c>
      <c r="CA1240">
        <v>0</v>
      </c>
      <c r="CB1240" t="s">
        <v>145</v>
      </c>
    </row>
    <row r="1241" spans="67:80" x14ac:dyDescent="0.25">
      <c r="BO1241">
        <v>0</v>
      </c>
      <c r="BP1241">
        <v>0</v>
      </c>
      <c r="BQ1241">
        <v>0</v>
      </c>
      <c r="BR1241">
        <v>0</v>
      </c>
      <c r="BS1241">
        <v>0</v>
      </c>
      <c r="BT1241">
        <v>0</v>
      </c>
      <c r="BU1241">
        <v>0</v>
      </c>
      <c r="BV1241">
        <v>0</v>
      </c>
      <c r="BW1241" t="s">
        <v>0</v>
      </c>
      <c r="BX1241">
        <v>0</v>
      </c>
      <c r="BY1241">
        <v>0</v>
      </c>
      <c r="BZ1241">
        <v>0</v>
      </c>
      <c r="CA1241">
        <v>0</v>
      </c>
      <c r="CB1241" t="s">
        <v>145</v>
      </c>
    </row>
    <row r="1242" spans="67:80" x14ac:dyDescent="0.25">
      <c r="BO1242">
        <v>0</v>
      </c>
      <c r="BP1242">
        <v>0</v>
      </c>
      <c r="BQ1242">
        <v>0</v>
      </c>
      <c r="BR1242">
        <v>0</v>
      </c>
      <c r="BS1242">
        <v>0</v>
      </c>
      <c r="BT1242">
        <v>0</v>
      </c>
      <c r="BU1242">
        <v>0</v>
      </c>
      <c r="BV1242">
        <v>0</v>
      </c>
      <c r="BW1242" t="s">
        <v>0</v>
      </c>
      <c r="BX1242">
        <v>0</v>
      </c>
      <c r="BY1242">
        <v>0</v>
      </c>
      <c r="BZ1242">
        <v>0</v>
      </c>
      <c r="CA1242">
        <v>0</v>
      </c>
      <c r="CB1242" t="s">
        <v>145</v>
      </c>
    </row>
    <row r="1243" spans="67:80" x14ac:dyDescent="0.25">
      <c r="BO1243">
        <v>0</v>
      </c>
      <c r="BP1243">
        <v>0</v>
      </c>
      <c r="BQ1243">
        <v>0</v>
      </c>
      <c r="BR1243">
        <v>0</v>
      </c>
      <c r="BS1243">
        <v>0</v>
      </c>
      <c r="BT1243">
        <v>0</v>
      </c>
      <c r="BU1243">
        <v>0</v>
      </c>
      <c r="BV1243">
        <v>0</v>
      </c>
      <c r="BW1243" t="s">
        <v>0</v>
      </c>
      <c r="BX1243">
        <v>0</v>
      </c>
      <c r="BY1243">
        <v>0</v>
      </c>
      <c r="BZ1243">
        <v>0</v>
      </c>
      <c r="CA1243">
        <v>0</v>
      </c>
      <c r="CB1243" t="s">
        <v>145</v>
      </c>
    </row>
    <row r="1244" spans="67:80" x14ac:dyDescent="0.25">
      <c r="BO1244">
        <v>0</v>
      </c>
      <c r="BP1244">
        <v>0</v>
      </c>
      <c r="BQ1244">
        <v>0</v>
      </c>
      <c r="BR1244">
        <v>0</v>
      </c>
      <c r="BS1244">
        <v>0</v>
      </c>
      <c r="BT1244">
        <v>0</v>
      </c>
      <c r="BU1244">
        <v>0</v>
      </c>
      <c r="BV1244">
        <v>0</v>
      </c>
      <c r="BW1244" t="s">
        <v>0</v>
      </c>
      <c r="BX1244">
        <v>0</v>
      </c>
      <c r="BY1244">
        <v>0</v>
      </c>
      <c r="BZ1244">
        <v>0</v>
      </c>
      <c r="CA1244">
        <v>0</v>
      </c>
      <c r="CB1244" t="s">
        <v>145</v>
      </c>
    </row>
    <row r="1245" spans="67:80" x14ac:dyDescent="0.25">
      <c r="BO1245">
        <v>0</v>
      </c>
      <c r="BP1245">
        <v>0</v>
      </c>
      <c r="BQ1245">
        <v>0</v>
      </c>
      <c r="BR1245">
        <v>0</v>
      </c>
      <c r="BS1245">
        <v>0</v>
      </c>
      <c r="BT1245">
        <v>0</v>
      </c>
      <c r="BU1245">
        <v>0</v>
      </c>
      <c r="BV1245">
        <v>0</v>
      </c>
      <c r="BW1245" t="s">
        <v>0</v>
      </c>
      <c r="BX1245">
        <v>0</v>
      </c>
      <c r="BY1245">
        <v>0</v>
      </c>
      <c r="BZ1245">
        <v>0</v>
      </c>
      <c r="CA1245">
        <v>0</v>
      </c>
      <c r="CB1245" t="s">
        <v>145</v>
      </c>
    </row>
    <row r="1246" spans="67:80" x14ac:dyDescent="0.25">
      <c r="BO1246">
        <v>0</v>
      </c>
      <c r="BP1246">
        <v>0</v>
      </c>
      <c r="BQ1246">
        <v>0</v>
      </c>
      <c r="BR1246">
        <v>0</v>
      </c>
      <c r="BS1246">
        <v>0</v>
      </c>
      <c r="BT1246">
        <v>0</v>
      </c>
      <c r="BU1246">
        <v>0</v>
      </c>
      <c r="BV1246">
        <v>0</v>
      </c>
      <c r="BW1246" t="s">
        <v>0</v>
      </c>
      <c r="BX1246">
        <v>0</v>
      </c>
      <c r="BY1246">
        <v>0</v>
      </c>
      <c r="BZ1246">
        <v>0</v>
      </c>
      <c r="CA1246">
        <v>0</v>
      </c>
      <c r="CB1246" t="s">
        <v>145</v>
      </c>
    </row>
    <row r="1247" spans="67:80" x14ac:dyDescent="0.25">
      <c r="BO1247">
        <v>0</v>
      </c>
      <c r="BP1247">
        <v>0</v>
      </c>
      <c r="BQ1247">
        <v>0</v>
      </c>
      <c r="BR1247">
        <v>0</v>
      </c>
      <c r="BS1247">
        <v>0</v>
      </c>
      <c r="BT1247">
        <v>0</v>
      </c>
      <c r="BU1247">
        <v>0</v>
      </c>
      <c r="BV1247">
        <v>0</v>
      </c>
      <c r="BW1247" t="s">
        <v>0</v>
      </c>
      <c r="BX1247">
        <v>0</v>
      </c>
      <c r="BY1247">
        <v>0</v>
      </c>
      <c r="BZ1247">
        <v>0</v>
      </c>
      <c r="CA1247">
        <v>0</v>
      </c>
      <c r="CB1247" t="s">
        <v>145</v>
      </c>
    </row>
    <row r="1248" spans="67:80" x14ac:dyDescent="0.25">
      <c r="BO1248">
        <v>0</v>
      </c>
      <c r="BP1248">
        <v>0</v>
      </c>
      <c r="BQ1248">
        <v>0</v>
      </c>
      <c r="BR1248">
        <v>0</v>
      </c>
      <c r="BS1248">
        <v>0</v>
      </c>
      <c r="BT1248">
        <v>0</v>
      </c>
      <c r="BU1248">
        <v>0</v>
      </c>
      <c r="BV1248">
        <v>0</v>
      </c>
      <c r="BW1248" t="s">
        <v>0</v>
      </c>
      <c r="BX1248">
        <v>0</v>
      </c>
      <c r="BY1248">
        <v>0</v>
      </c>
      <c r="BZ1248">
        <v>0</v>
      </c>
      <c r="CA1248">
        <v>0</v>
      </c>
      <c r="CB1248" t="s">
        <v>145</v>
      </c>
    </row>
    <row r="1249" spans="67:80" x14ac:dyDescent="0.25">
      <c r="BO1249">
        <v>0</v>
      </c>
      <c r="BP1249">
        <v>0</v>
      </c>
      <c r="BQ1249">
        <v>0</v>
      </c>
      <c r="BR1249">
        <v>0</v>
      </c>
      <c r="BS1249">
        <v>0</v>
      </c>
      <c r="BT1249">
        <v>0</v>
      </c>
      <c r="BU1249">
        <v>0</v>
      </c>
      <c r="BV1249">
        <v>0</v>
      </c>
      <c r="BW1249" t="s">
        <v>0</v>
      </c>
      <c r="BX1249">
        <v>0</v>
      </c>
      <c r="BY1249">
        <v>0</v>
      </c>
      <c r="BZ1249">
        <v>0</v>
      </c>
      <c r="CA1249">
        <v>0</v>
      </c>
      <c r="CB1249" t="s">
        <v>145</v>
      </c>
    </row>
    <row r="1250" spans="67:80" x14ac:dyDescent="0.25">
      <c r="BO1250">
        <v>0</v>
      </c>
      <c r="BP1250">
        <v>0</v>
      </c>
      <c r="BQ1250">
        <v>0</v>
      </c>
      <c r="BR1250">
        <v>0</v>
      </c>
      <c r="BS1250">
        <v>0</v>
      </c>
      <c r="BT1250">
        <v>0</v>
      </c>
      <c r="BU1250">
        <v>0</v>
      </c>
      <c r="BV1250">
        <v>0</v>
      </c>
      <c r="BW1250" t="s">
        <v>0</v>
      </c>
      <c r="BX1250">
        <v>0</v>
      </c>
      <c r="BY1250">
        <v>0</v>
      </c>
      <c r="BZ1250">
        <v>0</v>
      </c>
      <c r="CA1250">
        <v>0</v>
      </c>
      <c r="CB1250" t="s">
        <v>145</v>
      </c>
    </row>
    <row r="1251" spans="67:80" x14ac:dyDescent="0.25">
      <c r="BO1251">
        <v>0</v>
      </c>
      <c r="BP1251">
        <v>0</v>
      </c>
      <c r="BQ1251">
        <v>0</v>
      </c>
      <c r="BR1251">
        <v>0</v>
      </c>
      <c r="BS1251">
        <v>0</v>
      </c>
      <c r="BT1251">
        <v>0</v>
      </c>
      <c r="BU1251">
        <v>0</v>
      </c>
      <c r="BV1251">
        <v>0</v>
      </c>
      <c r="BW1251" t="s">
        <v>0</v>
      </c>
      <c r="BX1251">
        <v>0</v>
      </c>
      <c r="BY1251">
        <v>0</v>
      </c>
      <c r="BZ1251">
        <v>0</v>
      </c>
      <c r="CA1251">
        <v>0</v>
      </c>
      <c r="CB1251" t="s">
        <v>145</v>
      </c>
    </row>
    <row r="1252" spans="67:80" x14ac:dyDescent="0.25">
      <c r="BO1252">
        <v>0</v>
      </c>
      <c r="BP1252">
        <v>0</v>
      </c>
      <c r="BQ1252">
        <v>0</v>
      </c>
      <c r="BR1252">
        <v>0</v>
      </c>
      <c r="BS1252">
        <v>0</v>
      </c>
      <c r="BT1252">
        <v>0</v>
      </c>
      <c r="BU1252">
        <v>0</v>
      </c>
      <c r="BV1252">
        <v>0</v>
      </c>
      <c r="BW1252" t="s">
        <v>0</v>
      </c>
      <c r="BX1252">
        <v>0</v>
      </c>
      <c r="BY1252">
        <v>0</v>
      </c>
      <c r="BZ1252">
        <v>0</v>
      </c>
      <c r="CA1252">
        <v>0</v>
      </c>
      <c r="CB1252" t="s">
        <v>145</v>
      </c>
    </row>
    <row r="1253" spans="67:80" x14ac:dyDescent="0.25">
      <c r="BO1253">
        <v>0</v>
      </c>
      <c r="BP1253">
        <v>0</v>
      </c>
      <c r="BQ1253">
        <v>0</v>
      </c>
      <c r="BR1253">
        <v>0</v>
      </c>
      <c r="BS1253">
        <v>0</v>
      </c>
      <c r="BT1253">
        <v>0</v>
      </c>
      <c r="BU1253">
        <v>0</v>
      </c>
      <c r="BV1253">
        <v>0</v>
      </c>
      <c r="BW1253" t="s">
        <v>0</v>
      </c>
      <c r="BX1253">
        <v>0</v>
      </c>
      <c r="BY1253">
        <v>0</v>
      </c>
      <c r="BZ1253">
        <v>0</v>
      </c>
      <c r="CA1253">
        <v>0</v>
      </c>
      <c r="CB1253" t="s">
        <v>145</v>
      </c>
    </row>
    <row r="1254" spans="67:80" x14ac:dyDescent="0.25">
      <c r="BO1254">
        <v>0</v>
      </c>
      <c r="BP1254">
        <v>0</v>
      </c>
      <c r="BQ1254">
        <v>0</v>
      </c>
      <c r="BR1254">
        <v>0</v>
      </c>
      <c r="BS1254">
        <v>0</v>
      </c>
      <c r="BT1254">
        <v>0</v>
      </c>
      <c r="BU1254">
        <v>0</v>
      </c>
      <c r="BV1254">
        <v>0</v>
      </c>
      <c r="BW1254" t="s">
        <v>0</v>
      </c>
      <c r="BX1254">
        <v>0</v>
      </c>
      <c r="BY1254">
        <v>0</v>
      </c>
      <c r="BZ1254">
        <v>0</v>
      </c>
      <c r="CA1254">
        <v>0</v>
      </c>
      <c r="CB1254" t="s">
        <v>145</v>
      </c>
    </row>
    <row r="1255" spans="67:80" x14ac:dyDescent="0.25">
      <c r="BO1255">
        <v>0</v>
      </c>
      <c r="BP1255">
        <v>0</v>
      </c>
      <c r="BQ1255">
        <v>0</v>
      </c>
      <c r="BR1255">
        <v>0</v>
      </c>
      <c r="BS1255">
        <v>0</v>
      </c>
      <c r="BT1255">
        <v>0</v>
      </c>
      <c r="BU1255">
        <v>0</v>
      </c>
      <c r="BV1255">
        <v>0</v>
      </c>
      <c r="BW1255" t="s">
        <v>0</v>
      </c>
      <c r="BX1255">
        <v>0</v>
      </c>
      <c r="BY1255">
        <v>0</v>
      </c>
      <c r="BZ1255">
        <v>0</v>
      </c>
      <c r="CA1255">
        <v>0</v>
      </c>
      <c r="CB1255" t="s">
        <v>145</v>
      </c>
    </row>
    <row r="1256" spans="67:80" x14ac:dyDescent="0.25">
      <c r="BO1256">
        <v>0</v>
      </c>
      <c r="BP1256">
        <v>0</v>
      </c>
      <c r="BQ1256">
        <v>0</v>
      </c>
      <c r="BR1256">
        <v>0</v>
      </c>
      <c r="BS1256">
        <v>0</v>
      </c>
      <c r="BT1256">
        <v>0</v>
      </c>
      <c r="BU1256">
        <v>0</v>
      </c>
      <c r="BV1256">
        <v>0</v>
      </c>
      <c r="BW1256" t="s">
        <v>0</v>
      </c>
      <c r="BX1256">
        <v>0</v>
      </c>
      <c r="BY1256">
        <v>0</v>
      </c>
      <c r="BZ1256">
        <v>0</v>
      </c>
      <c r="CA1256">
        <v>0</v>
      </c>
      <c r="CB1256" t="s">
        <v>145</v>
      </c>
    </row>
    <row r="1257" spans="67:80" x14ac:dyDescent="0.25">
      <c r="BO1257">
        <v>0</v>
      </c>
      <c r="BP1257">
        <v>0</v>
      </c>
      <c r="BQ1257">
        <v>0</v>
      </c>
      <c r="BR1257">
        <v>0</v>
      </c>
      <c r="BS1257">
        <v>0</v>
      </c>
      <c r="BT1257">
        <v>0</v>
      </c>
      <c r="BU1257">
        <v>0</v>
      </c>
      <c r="BV1257">
        <v>0</v>
      </c>
      <c r="BW1257" t="s">
        <v>0</v>
      </c>
      <c r="BX1257">
        <v>0</v>
      </c>
      <c r="BY1257">
        <v>0</v>
      </c>
      <c r="BZ1257">
        <v>0</v>
      </c>
      <c r="CA1257">
        <v>0</v>
      </c>
      <c r="CB1257" t="s">
        <v>145</v>
      </c>
    </row>
    <row r="1258" spans="67:80" x14ac:dyDescent="0.25">
      <c r="BO1258">
        <v>0</v>
      </c>
      <c r="BP1258">
        <v>0</v>
      </c>
      <c r="BQ1258">
        <v>0</v>
      </c>
      <c r="BR1258">
        <v>0</v>
      </c>
      <c r="BS1258">
        <v>0</v>
      </c>
      <c r="BT1258">
        <v>0</v>
      </c>
      <c r="BU1258">
        <v>0</v>
      </c>
      <c r="BV1258">
        <v>0</v>
      </c>
      <c r="BW1258" t="s">
        <v>0</v>
      </c>
      <c r="BX1258">
        <v>0</v>
      </c>
      <c r="BY1258">
        <v>0</v>
      </c>
      <c r="BZ1258">
        <v>0</v>
      </c>
      <c r="CA1258">
        <v>0</v>
      </c>
      <c r="CB1258" t="s">
        <v>145</v>
      </c>
    </row>
    <row r="1259" spans="67:80" x14ac:dyDescent="0.25">
      <c r="BO1259">
        <v>0</v>
      </c>
      <c r="BP1259">
        <v>0</v>
      </c>
      <c r="BQ1259">
        <v>0</v>
      </c>
      <c r="BR1259">
        <v>0</v>
      </c>
      <c r="BS1259">
        <v>0</v>
      </c>
      <c r="BT1259">
        <v>0</v>
      </c>
      <c r="BU1259">
        <v>0</v>
      </c>
      <c r="BV1259">
        <v>0</v>
      </c>
      <c r="BW1259" t="s">
        <v>0</v>
      </c>
      <c r="BX1259">
        <v>0</v>
      </c>
      <c r="BY1259">
        <v>0</v>
      </c>
      <c r="BZ1259">
        <v>0</v>
      </c>
      <c r="CA1259">
        <v>0</v>
      </c>
      <c r="CB1259" t="s">
        <v>145</v>
      </c>
    </row>
    <row r="1260" spans="67:80" x14ac:dyDescent="0.25">
      <c r="BO1260">
        <v>0</v>
      </c>
      <c r="BP1260">
        <v>0</v>
      </c>
      <c r="BQ1260">
        <v>0</v>
      </c>
      <c r="BR1260">
        <v>0</v>
      </c>
      <c r="BS1260">
        <v>0</v>
      </c>
      <c r="BT1260">
        <v>0</v>
      </c>
      <c r="BU1260">
        <v>0</v>
      </c>
      <c r="BV1260">
        <v>0</v>
      </c>
      <c r="BW1260" t="s">
        <v>0</v>
      </c>
      <c r="BX1260">
        <v>0</v>
      </c>
      <c r="BY1260">
        <v>0</v>
      </c>
      <c r="BZ1260">
        <v>0</v>
      </c>
      <c r="CA1260">
        <v>0</v>
      </c>
      <c r="CB1260" t="s">
        <v>145</v>
      </c>
    </row>
    <row r="1261" spans="67:80" x14ac:dyDescent="0.25">
      <c r="BO1261">
        <v>0</v>
      </c>
      <c r="BP1261">
        <v>0</v>
      </c>
      <c r="BQ1261">
        <v>0</v>
      </c>
      <c r="BR1261">
        <v>0</v>
      </c>
      <c r="BS1261">
        <v>0</v>
      </c>
      <c r="BT1261">
        <v>0</v>
      </c>
      <c r="BU1261">
        <v>0</v>
      </c>
      <c r="BV1261">
        <v>0</v>
      </c>
      <c r="BW1261" t="s">
        <v>0</v>
      </c>
      <c r="BX1261">
        <v>0</v>
      </c>
      <c r="BY1261">
        <v>0</v>
      </c>
      <c r="BZ1261">
        <v>0</v>
      </c>
      <c r="CA1261">
        <v>0</v>
      </c>
      <c r="CB1261" t="s">
        <v>145</v>
      </c>
    </row>
    <row r="1262" spans="67:80" x14ac:dyDescent="0.25">
      <c r="BO1262">
        <v>0</v>
      </c>
      <c r="BP1262">
        <v>0</v>
      </c>
      <c r="BQ1262">
        <v>0</v>
      </c>
      <c r="BR1262">
        <v>0</v>
      </c>
      <c r="BS1262">
        <v>0</v>
      </c>
      <c r="BT1262">
        <v>0</v>
      </c>
      <c r="BU1262">
        <v>0</v>
      </c>
      <c r="BV1262">
        <v>0</v>
      </c>
      <c r="BW1262" t="s">
        <v>0</v>
      </c>
      <c r="BX1262">
        <v>0</v>
      </c>
      <c r="BY1262">
        <v>0</v>
      </c>
      <c r="BZ1262">
        <v>0</v>
      </c>
      <c r="CA1262">
        <v>0</v>
      </c>
      <c r="CB1262" t="s">
        <v>145</v>
      </c>
    </row>
    <row r="1263" spans="67:80" x14ac:dyDescent="0.25">
      <c r="BO1263">
        <v>0</v>
      </c>
      <c r="BP1263">
        <v>0</v>
      </c>
      <c r="BQ1263">
        <v>0</v>
      </c>
      <c r="BR1263">
        <v>0</v>
      </c>
      <c r="BS1263">
        <v>0</v>
      </c>
      <c r="BT1263">
        <v>0</v>
      </c>
      <c r="BU1263">
        <v>0</v>
      </c>
      <c r="BV1263">
        <v>0</v>
      </c>
      <c r="BW1263" t="s">
        <v>0</v>
      </c>
      <c r="BX1263">
        <v>0</v>
      </c>
      <c r="BY1263">
        <v>0</v>
      </c>
      <c r="BZ1263">
        <v>0</v>
      </c>
      <c r="CA1263">
        <v>0</v>
      </c>
      <c r="CB1263" t="s">
        <v>145</v>
      </c>
    </row>
    <row r="1264" spans="67:80" x14ac:dyDescent="0.25">
      <c r="BO1264">
        <v>0</v>
      </c>
      <c r="BP1264">
        <v>0</v>
      </c>
      <c r="BQ1264">
        <v>0</v>
      </c>
      <c r="BR1264">
        <v>0</v>
      </c>
      <c r="BS1264">
        <v>0</v>
      </c>
      <c r="BT1264">
        <v>0</v>
      </c>
      <c r="BU1264">
        <v>0</v>
      </c>
      <c r="BV1264">
        <v>0</v>
      </c>
      <c r="BW1264" t="s">
        <v>0</v>
      </c>
      <c r="BX1264">
        <v>0</v>
      </c>
      <c r="BY1264">
        <v>0</v>
      </c>
      <c r="BZ1264">
        <v>0</v>
      </c>
      <c r="CA1264">
        <v>0</v>
      </c>
      <c r="CB1264" t="s">
        <v>145</v>
      </c>
    </row>
    <row r="1265" spans="32:80" x14ac:dyDescent="0.25">
      <c r="BO1265">
        <v>0</v>
      </c>
      <c r="BP1265">
        <v>0</v>
      </c>
      <c r="BQ1265">
        <v>0</v>
      </c>
      <c r="BR1265">
        <v>0</v>
      </c>
      <c r="BS1265">
        <v>0</v>
      </c>
      <c r="BT1265">
        <v>0</v>
      </c>
      <c r="BU1265">
        <v>0</v>
      </c>
      <c r="BV1265">
        <v>0</v>
      </c>
      <c r="BW1265" t="s">
        <v>0</v>
      </c>
      <c r="BX1265">
        <v>0</v>
      </c>
      <c r="BY1265">
        <v>0</v>
      </c>
      <c r="BZ1265">
        <v>0</v>
      </c>
      <c r="CA1265">
        <v>0</v>
      </c>
      <c r="CB1265" t="s">
        <v>145</v>
      </c>
    </row>
    <row r="1266" spans="32:80" x14ac:dyDescent="0.25">
      <c r="AF1266" s="1"/>
      <c r="BE1266" s="1"/>
      <c r="BM1266" s="2"/>
      <c r="BO1266">
        <v>0</v>
      </c>
      <c r="BP1266">
        <v>0</v>
      </c>
      <c r="BQ1266">
        <v>0</v>
      </c>
      <c r="BR1266">
        <v>0</v>
      </c>
      <c r="BS1266">
        <v>0</v>
      </c>
      <c r="BT1266">
        <v>0</v>
      </c>
      <c r="BU1266">
        <v>0</v>
      </c>
      <c r="BV1266">
        <v>0</v>
      </c>
      <c r="BW1266" t="s">
        <v>0</v>
      </c>
      <c r="BX1266">
        <v>0</v>
      </c>
      <c r="BY1266">
        <v>0</v>
      </c>
      <c r="BZ1266">
        <v>0</v>
      </c>
      <c r="CA1266">
        <v>0</v>
      </c>
      <c r="CB1266" t="s">
        <v>145</v>
      </c>
    </row>
    <row r="1267" spans="32:80" x14ac:dyDescent="0.25">
      <c r="BO1267">
        <v>0</v>
      </c>
      <c r="BP1267">
        <v>0</v>
      </c>
      <c r="BQ1267">
        <v>0</v>
      </c>
      <c r="BR1267">
        <v>0</v>
      </c>
      <c r="BS1267">
        <v>0</v>
      </c>
      <c r="BT1267">
        <v>0</v>
      </c>
      <c r="BU1267">
        <v>0</v>
      </c>
      <c r="BV1267">
        <v>0</v>
      </c>
      <c r="BW1267" t="s">
        <v>0</v>
      </c>
      <c r="BX1267">
        <v>0</v>
      </c>
      <c r="BY1267">
        <v>0</v>
      </c>
      <c r="BZ1267">
        <v>0</v>
      </c>
      <c r="CA1267">
        <v>0</v>
      </c>
      <c r="CB1267" t="s">
        <v>145</v>
      </c>
    </row>
    <row r="1268" spans="32:80" x14ac:dyDescent="0.25">
      <c r="BO1268">
        <v>0</v>
      </c>
      <c r="BP1268">
        <v>0</v>
      </c>
      <c r="BQ1268">
        <v>0</v>
      </c>
      <c r="BR1268">
        <v>0</v>
      </c>
      <c r="BS1268">
        <v>0</v>
      </c>
      <c r="BT1268">
        <v>0</v>
      </c>
      <c r="BU1268">
        <v>0</v>
      </c>
      <c r="BV1268">
        <v>0</v>
      </c>
      <c r="BW1268" t="s">
        <v>0</v>
      </c>
      <c r="BX1268">
        <v>0</v>
      </c>
      <c r="BY1268">
        <v>0</v>
      </c>
      <c r="BZ1268">
        <v>0</v>
      </c>
      <c r="CA1268">
        <v>0</v>
      </c>
      <c r="CB1268" t="s">
        <v>145</v>
      </c>
    </row>
    <row r="1269" spans="32:80" x14ac:dyDescent="0.25">
      <c r="BO1269">
        <v>0</v>
      </c>
      <c r="BP1269">
        <v>0</v>
      </c>
      <c r="BQ1269">
        <v>0</v>
      </c>
      <c r="BR1269">
        <v>0</v>
      </c>
      <c r="BS1269">
        <v>0</v>
      </c>
      <c r="BT1269">
        <v>0</v>
      </c>
      <c r="BU1269">
        <v>0</v>
      </c>
      <c r="BV1269">
        <v>0</v>
      </c>
      <c r="BW1269" t="s">
        <v>0</v>
      </c>
      <c r="BX1269">
        <v>0</v>
      </c>
      <c r="BY1269">
        <v>0</v>
      </c>
      <c r="BZ1269">
        <v>0</v>
      </c>
      <c r="CA1269">
        <v>0</v>
      </c>
      <c r="CB1269" t="s">
        <v>145</v>
      </c>
    </row>
    <row r="1270" spans="32:80" x14ac:dyDescent="0.25">
      <c r="BO1270">
        <v>0</v>
      </c>
      <c r="BP1270">
        <v>0</v>
      </c>
      <c r="BQ1270">
        <v>0</v>
      </c>
      <c r="BR1270">
        <v>0</v>
      </c>
      <c r="BS1270">
        <v>0</v>
      </c>
      <c r="BT1270">
        <v>0</v>
      </c>
      <c r="BU1270">
        <v>0</v>
      </c>
      <c r="BV1270">
        <v>0</v>
      </c>
      <c r="BW1270" t="s">
        <v>0</v>
      </c>
      <c r="BX1270">
        <v>0</v>
      </c>
      <c r="BY1270">
        <v>0</v>
      </c>
      <c r="BZ1270">
        <v>0</v>
      </c>
      <c r="CA1270">
        <v>0</v>
      </c>
      <c r="CB1270" t="s">
        <v>145</v>
      </c>
    </row>
    <row r="1271" spans="32:80" x14ac:dyDescent="0.25">
      <c r="BO1271">
        <v>0</v>
      </c>
      <c r="BP1271">
        <v>0</v>
      </c>
      <c r="BQ1271">
        <v>0</v>
      </c>
      <c r="BR1271">
        <v>0</v>
      </c>
      <c r="BS1271">
        <v>0</v>
      </c>
      <c r="BT1271">
        <v>0</v>
      </c>
      <c r="BU1271">
        <v>0</v>
      </c>
      <c r="BV1271">
        <v>0</v>
      </c>
      <c r="BW1271" t="s">
        <v>0</v>
      </c>
      <c r="BX1271">
        <v>0</v>
      </c>
      <c r="BY1271">
        <v>0</v>
      </c>
      <c r="BZ1271">
        <v>0</v>
      </c>
      <c r="CA1271">
        <v>0</v>
      </c>
      <c r="CB1271" t="s">
        <v>145</v>
      </c>
    </row>
    <row r="1272" spans="32:80" x14ac:dyDescent="0.25">
      <c r="BO1272">
        <v>0</v>
      </c>
      <c r="BP1272">
        <v>0</v>
      </c>
      <c r="BQ1272">
        <v>0</v>
      </c>
      <c r="BR1272">
        <v>0</v>
      </c>
      <c r="BS1272">
        <v>0</v>
      </c>
      <c r="BT1272">
        <v>0</v>
      </c>
      <c r="BU1272">
        <v>0</v>
      </c>
      <c r="BV1272">
        <v>0</v>
      </c>
      <c r="BW1272" t="s">
        <v>0</v>
      </c>
      <c r="BX1272">
        <v>0</v>
      </c>
      <c r="BY1272">
        <v>0</v>
      </c>
      <c r="BZ1272">
        <v>0</v>
      </c>
      <c r="CA1272">
        <v>0</v>
      </c>
      <c r="CB1272" t="s">
        <v>145</v>
      </c>
    </row>
    <row r="1273" spans="32:80" x14ac:dyDescent="0.25">
      <c r="BO1273">
        <v>0</v>
      </c>
      <c r="BP1273">
        <v>0</v>
      </c>
      <c r="BQ1273">
        <v>0</v>
      </c>
      <c r="BR1273">
        <v>0</v>
      </c>
      <c r="BS1273">
        <v>0</v>
      </c>
      <c r="BT1273">
        <v>0</v>
      </c>
      <c r="BU1273">
        <v>0</v>
      </c>
      <c r="BV1273">
        <v>0</v>
      </c>
      <c r="BW1273" t="s">
        <v>0</v>
      </c>
      <c r="BX1273">
        <v>0</v>
      </c>
      <c r="BY1273">
        <v>0</v>
      </c>
      <c r="BZ1273">
        <v>0</v>
      </c>
      <c r="CA1273">
        <v>0</v>
      </c>
      <c r="CB1273" t="s">
        <v>145</v>
      </c>
    </row>
    <row r="1274" spans="32:80" x14ac:dyDescent="0.25">
      <c r="BO1274">
        <v>0</v>
      </c>
      <c r="BP1274">
        <v>0</v>
      </c>
      <c r="BQ1274">
        <v>0</v>
      </c>
      <c r="BR1274">
        <v>0</v>
      </c>
      <c r="BS1274">
        <v>0</v>
      </c>
      <c r="BT1274">
        <v>0</v>
      </c>
      <c r="BU1274">
        <v>0</v>
      </c>
      <c r="BV1274">
        <v>0</v>
      </c>
      <c r="BW1274" t="s">
        <v>0</v>
      </c>
      <c r="BX1274">
        <v>0</v>
      </c>
      <c r="BY1274">
        <v>0</v>
      </c>
      <c r="BZ1274">
        <v>0</v>
      </c>
      <c r="CA1274">
        <v>0</v>
      </c>
      <c r="CB1274" t="s">
        <v>145</v>
      </c>
    </row>
    <row r="1275" spans="32:80" x14ac:dyDescent="0.25">
      <c r="BO1275">
        <v>0</v>
      </c>
      <c r="BP1275">
        <v>0</v>
      </c>
      <c r="BQ1275">
        <v>0</v>
      </c>
      <c r="BR1275">
        <v>0</v>
      </c>
      <c r="BS1275">
        <v>0</v>
      </c>
      <c r="BT1275">
        <v>0</v>
      </c>
      <c r="BU1275">
        <v>0</v>
      </c>
      <c r="BV1275">
        <v>0</v>
      </c>
      <c r="BW1275" t="s">
        <v>0</v>
      </c>
      <c r="BX1275">
        <v>0</v>
      </c>
      <c r="BY1275">
        <v>0</v>
      </c>
      <c r="BZ1275">
        <v>0</v>
      </c>
      <c r="CA1275">
        <v>0</v>
      </c>
      <c r="CB1275" t="s">
        <v>145</v>
      </c>
    </row>
    <row r="1276" spans="32:80" x14ac:dyDescent="0.25">
      <c r="BO1276">
        <v>0</v>
      </c>
      <c r="BP1276">
        <v>0</v>
      </c>
      <c r="BQ1276">
        <v>0</v>
      </c>
      <c r="BR1276">
        <v>0</v>
      </c>
      <c r="BS1276">
        <v>0</v>
      </c>
      <c r="BT1276">
        <v>0</v>
      </c>
      <c r="BU1276">
        <v>0</v>
      </c>
      <c r="BV1276">
        <v>0</v>
      </c>
      <c r="BW1276" t="s">
        <v>0</v>
      </c>
      <c r="BX1276">
        <v>0</v>
      </c>
      <c r="BY1276">
        <v>0</v>
      </c>
      <c r="BZ1276">
        <v>0</v>
      </c>
      <c r="CA1276">
        <v>0</v>
      </c>
      <c r="CB1276" t="s">
        <v>145</v>
      </c>
    </row>
    <row r="1277" spans="32:80" x14ac:dyDescent="0.25">
      <c r="BO1277">
        <v>0</v>
      </c>
      <c r="BP1277">
        <v>0</v>
      </c>
      <c r="BQ1277">
        <v>0</v>
      </c>
      <c r="BR1277">
        <v>0</v>
      </c>
      <c r="BS1277">
        <v>0</v>
      </c>
      <c r="BT1277">
        <v>0</v>
      </c>
      <c r="BU1277">
        <v>0</v>
      </c>
      <c r="BV1277">
        <v>0</v>
      </c>
      <c r="BW1277" t="s">
        <v>0</v>
      </c>
      <c r="BX1277">
        <v>0</v>
      </c>
      <c r="BY1277">
        <v>0</v>
      </c>
      <c r="BZ1277">
        <v>0</v>
      </c>
      <c r="CA1277">
        <v>0</v>
      </c>
      <c r="CB1277" t="s">
        <v>145</v>
      </c>
    </row>
    <row r="1278" spans="32:80" x14ac:dyDescent="0.25">
      <c r="BO1278">
        <v>0</v>
      </c>
      <c r="BP1278">
        <v>0</v>
      </c>
      <c r="BQ1278">
        <v>0</v>
      </c>
      <c r="BR1278">
        <v>0</v>
      </c>
      <c r="BS1278">
        <v>0</v>
      </c>
      <c r="BT1278">
        <v>0</v>
      </c>
      <c r="BU1278">
        <v>0</v>
      </c>
      <c r="BV1278">
        <v>0</v>
      </c>
      <c r="BW1278" t="s">
        <v>0</v>
      </c>
      <c r="BX1278">
        <v>0</v>
      </c>
      <c r="BY1278">
        <v>0</v>
      </c>
      <c r="BZ1278">
        <v>0</v>
      </c>
      <c r="CA1278">
        <v>0</v>
      </c>
      <c r="CB1278" t="s">
        <v>145</v>
      </c>
    </row>
    <row r="1279" spans="32:80" x14ac:dyDescent="0.25">
      <c r="BO1279">
        <v>0</v>
      </c>
      <c r="BP1279">
        <v>0</v>
      </c>
      <c r="BQ1279">
        <v>0</v>
      </c>
      <c r="BR1279">
        <v>0</v>
      </c>
      <c r="BS1279">
        <v>0</v>
      </c>
      <c r="BT1279">
        <v>0</v>
      </c>
      <c r="BU1279">
        <v>0</v>
      </c>
      <c r="BV1279">
        <v>0</v>
      </c>
      <c r="BW1279" t="s">
        <v>0</v>
      </c>
      <c r="BX1279">
        <v>0</v>
      </c>
      <c r="BY1279">
        <v>0</v>
      </c>
      <c r="BZ1279">
        <v>0</v>
      </c>
      <c r="CA1279">
        <v>0</v>
      </c>
      <c r="CB1279" t="s">
        <v>145</v>
      </c>
    </row>
    <row r="1280" spans="32:80" x14ac:dyDescent="0.25">
      <c r="BO1280">
        <v>0</v>
      </c>
      <c r="BP1280">
        <v>0</v>
      </c>
      <c r="BQ1280">
        <v>0</v>
      </c>
      <c r="BR1280">
        <v>0</v>
      </c>
      <c r="BS1280">
        <v>0</v>
      </c>
      <c r="BT1280">
        <v>0</v>
      </c>
      <c r="BU1280">
        <v>0</v>
      </c>
      <c r="BV1280">
        <v>0</v>
      </c>
      <c r="BW1280" t="s">
        <v>0</v>
      </c>
      <c r="BX1280">
        <v>0</v>
      </c>
      <c r="BY1280">
        <v>0</v>
      </c>
      <c r="BZ1280">
        <v>0</v>
      </c>
      <c r="CA1280">
        <v>0</v>
      </c>
      <c r="CB1280" t="s">
        <v>145</v>
      </c>
    </row>
    <row r="1281" spans="67:80" x14ac:dyDescent="0.25">
      <c r="BO1281">
        <v>0</v>
      </c>
      <c r="BP1281">
        <v>0</v>
      </c>
      <c r="BQ1281">
        <v>0</v>
      </c>
      <c r="BR1281">
        <v>0</v>
      </c>
      <c r="BS1281">
        <v>0</v>
      </c>
      <c r="BT1281">
        <v>0</v>
      </c>
      <c r="BU1281">
        <v>0</v>
      </c>
      <c r="BV1281">
        <v>0</v>
      </c>
      <c r="BW1281" t="s">
        <v>0</v>
      </c>
      <c r="BX1281">
        <v>0</v>
      </c>
      <c r="BY1281">
        <v>0</v>
      </c>
      <c r="BZ1281">
        <v>0</v>
      </c>
      <c r="CA1281">
        <v>0</v>
      </c>
      <c r="CB1281" t="s">
        <v>145</v>
      </c>
    </row>
    <row r="1282" spans="67:80" x14ac:dyDescent="0.25">
      <c r="BO1282">
        <v>0</v>
      </c>
      <c r="BP1282">
        <v>0</v>
      </c>
      <c r="BQ1282">
        <v>0</v>
      </c>
      <c r="BR1282">
        <v>0</v>
      </c>
      <c r="BS1282">
        <v>0</v>
      </c>
      <c r="BT1282">
        <v>0</v>
      </c>
      <c r="BU1282">
        <v>0</v>
      </c>
      <c r="BV1282">
        <v>0</v>
      </c>
      <c r="BW1282" t="s">
        <v>0</v>
      </c>
      <c r="BX1282">
        <v>0</v>
      </c>
      <c r="BY1282">
        <v>0</v>
      </c>
      <c r="BZ1282">
        <v>0</v>
      </c>
      <c r="CA1282">
        <v>0</v>
      </c>
      <c r="CB1282" t="s">
        <v>145</v>
      </c>
    </row>
    <row r="1283" spans="67:80" x14ac:dyDescent="0.25">
      <c r="BO1283">
        <v>0</v>
      </c>
      <c r="BP1283">
        <v>0</v>
      </c>
      <c r="BQ1283">
        <v>0</v>
      </c>
      <c r="BR1283">
        <v>0</v>
      </c>
      <c r="BS1283">
        <v>0</v>
      </c>
      <c r="BT1283">
        <v>0</v>
      </c>
      <c r="BU1283">
        <v>0</v>
      </c>
      <c r="BV1283">
        <v>0</v>
      </c>
      <c r="BW1283" t="s">
        <v>0</v>
      </c>
      <c r="BX1283">
        <v>0</v>
      </c>
      <c r="BY1283">
        <v>0</v>
      </c>
      <c r="BZ1283">
        <v>0</v>
      </c>
      <c r="CA1283">
        <v>0</v>
      </c>
      <c r="CB1283" t="s">
        <v>145</v>
      </c>
    </row>
    <row r="1284" spans="67:80" x14ac:dyDescent="0.25"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0</v>
      </c>
      <c r="BV1284">
        <v>0</v>
      </c>
      <c r="BW1284" t="s">
        <v>0</v>
      </c>
      <c r="BX1284">
        <v>0</v>
      </c>
      <c r="BY1284">
        <v>0</v>
      </c>
      <c r="BZ1284">
        <v>0</v>
      </c>
      <c r="CA1284">
        <v>0</v>
      </c>
      <c r="CB1284" t="s">
        <v>145</v>
      </c>
    </row>
    <row r="1285" spans="67:80" x14ac:dyDescent="0.25">
      <c r="BO1285">
        <v>0</v>
      </c>
      <c r="BP1285">
        <v>0</v>
      </c>
      <c r="BQ1285">
        <v>0</v>
      </c>
      <c r="BR1285">
        <v>0</v>
      </c>
      <c r="BS1285">
        <v>0</v>
      </c>
      <c r="BT1285">
        <v>0</v>
      </c>
      <c r="BU1285">
        <v>0</v>
      </c>
      <c r="BV1285">
        <v>0</v>
      </c>
      <c r="BW1285" t="s">
        <v>0</v>
      </c>
      <c r="BX1285">
        <v>0</v>
      </c>
      <c r="BY1285">
        <v>0</v>
      </c>
      <c r="BZ1285">
        <v>0</v>
      </c>
      <c r="CA1285">
        <v>0</v>
      </c>
      <c r="CB1285" t="s">
        <v>145</v>
      </c>
    </row>
    <row r="1286" spans="67:80" x14ac:dyDescent="0.25">
      <c r="BO1286">
        <v>0</v>
      </c>
      <c r="BP1286">
        <v>0</v>
      </c>
      <c r="BQ1286">
        <v>0</v>
      </c>
      <c r="BR1286">
        <v>0</v>
      </c>
      <c r="BS1286">
        <v>0</v>
      </c>
      <c r="BT1286">
        <v>0</v>
      </c>
      <c r="BU1286">
        <v>0</v>
      </c>
      <c r="BV1286">
        <v>0</v>
      </c>
      <c r="BW1286" t="s">
        <v>0</v>
      </c>
      <c r="BX1286">
        <v>0</v>
      </c>
      <c r="BY1286">
        <v>0</v>
      </c>
      <c r="BZ1286">
        <v>0</v>
      </c>
      <c r="CA1286">
        <v>0</v>
      </c>
      <c r="CB1286" t="s">
        <v>145</v>
      </c>
    </row>
    <row r="1287" spans="67:80" x14ac:dyDescent="0.25">
      <c r="BO1287">
        <v>0</v>
      </c>
      <c r="BP1287">
        <v>0</v>
      </c>
      <c r="BQ1287">
        <v>0</v>
      </c>
      <c r="BR1287">
        <v>0</v>
      </c>
      <c r="BS1287">
        <v>0</v>
      </c>
      <c r="BT1287">
        <v>0</v>
      </c>
      <c r="BU1287">
        <v>0</v>
      </c>
      <c r="BV1287">
        <v>0</v>
      </c>
      <c r="BW1287" t="s">
        <v>0</v>
      </c>
      <c r="BX1287">
        <v>0</v>
      </c>
      <c r="BY1287">
        <v>0</v>
      </c>
      <c r="BZ1287">
        <v>0</v>
      </c>
      <c r="CA1287">
        <v>0</v>
      </c>
      <c r="CB1287" t="s">
        <v>145</v>
      </c>
    </row>
    <row r="1288" spans="67:80" x14ac:dyDescent="0.25">
      <c r="BO1288">
        <v>0</v>
      </c>
      <c r="BP1288">
        <v>0</v>
      </c>
      <c r="BQ1288">
        <v>0</v>
      </c>
      <c r="BR1288">
        <v>0</v>
      </c>
      <c r="BS1288">
        <v>0</v>
      </c>
      <c r="BT1288">
        <v>0</v>
      </c>
      <c r="BU1288">
        <v>0</v>
      </c>
      <c r="BV1288">
        <v>0</v>
      </c>
      <c r="BW1288" t="s">
        <v>0</v>
      </c>
      <c r="BX1288">
        <v>0</v>
      </c>
      <c r="BY1288">
        <v>0</v>
      </c>
      <c r="BZ1288">
        <v>0</v>
      </c>
      <c r="CA1288">
        <v>0</v>
      </c>
      <c r="CB1288" t="s">
        <v>145</v>
      </c>
    </row>
    <row r="1289" spans="67:80" x14ac:dyDescent="0.25">
      <c r="BO1289">
        <v>0</v>
      </c>
      <c r="BP1289">
        <v>0</v>
      </c>
      <c r="BQ1289">
        <v>0</v>
      </c>
      <c r="BR1289">
        <v>0</v>
      </c>
      <c r="BS1289">
        <v>0</v>
      </c>
      <c r="BT1289">
        <v>0</v>
      </c>
      <c r="BU1289">
        <v>0</v>
      </c>
      <c r="BV1289">
        <v>0</v>
      </c>
      <c r="BW1289" t="s">
        <v>0</v>
      </c>
      <c r="BX1289">
        <v>0</v>
      </c>
      <c r="BY1289">
        <v>0</v>
      </c>
      <c r="BZ1289">
        <v>0</v>
      </c>
      <c r="CA1289">
        <v>0</v>
      </c>
      <c r="CB1289" t="s">
        <v>145</v>
      </c>
    </row>
    <row r="1290" spans="67:80" x14ac:dyDescent="0.25">
      <c r="BO1290">
        <v>0</v>
      </c>
      <c r="BP1290">
        <v>0</v>
      </c>
      <c r="BQ1290">
        <v>0</v>
      </c>
      <c r="BR1290">
        <v>0</v>
      </c>
      <c r="BS1290">
        <v>0</v>
      </c>
      <c r="BT1290">
        <v>0</v>
      </c>
      <c r="BU1290">
        <v>0</v>
      </c>
      <c r="BV1290">
        <v>0</v>
      </c>
      <c r="BW1290" t="s">
        <v>0</v>
      </c>
      <c r="BX1290">
        <v>0</v>
      </c>
      <c r="BY1290">
        <v>0</v>
      </c>
      <c r="BZ1290">
        <v>0</v>
      </c>
      <c r="CA1290">
        <v>0</v>
      </c>
      <c r="CB1290" t="s">
        <v>145</v>
      </c>
    </row>
    <row r="1291" spans="67:80" x14ac:dyDescent="0.25">
      <c r="BO1291">
        <v>0</v>
      </c>
      <c r="BP1291">
        <v>0</v>
      </c>
      <c r="BQ1291">
        <v>0</v>
      </c>
      <c r="BR1291">
        <v>0</v>
      </c>
      <c r="BS1291">
        <v>0</v>
      </c>
      <c r="BT1291">
        <v>0</v>
      </c>
      <c r="BU1291">
        <v>0</v>
      </c>
      <c r="BV1291">
        <v>0</v>
      </c>
      <c r="BW1291" t="s">
        <v>0</v>
      </c>
      <c r="BX1291">
        <v>0</v>
      </c>
      <c r="BY1291">
        <v>0</v>
      </c>
      <c r="BZ1291">
        <v>0</v>
      </c>
      <c r="CA1291">
        <v>0</v>
      </c>
      <c r="CB1291" t="s">
        <v>145</v>
      </c>
    </row>
    <row r="1292" spans="67:80" x14ac:dyDescent="0.25">
      <c r="BO1292">
        <v>0</v>
      </c>
      <c r="BP1292">
        <v>0</v>
      </c>
      <c r="BQ1292">
        <v>0</v>
      </c>
      <c r="BR1292">
        <v>0</v>
      </c>
      <c r="BS1292">
        <v>0</v>
      </c>
      <c r="BT1292">
        <v>0</v>
      </c>
      <c r="BU1292">
        <v>0</v>
      </c>
      <c r="BV1292">
        <v>0</v>
      </c>
      <c r="BW1292" t="s">
        <v>0</v>
      </c>
      <c r="BX1292">
        <v>0</v>
      </c>
      <c r="BY1292">
        <v>0</v>
      </c>
      <c r="BZ1292">
        <v>0</v>
      </c>
      <c r="CA1292">
        <v>0</v>
      </c>
      <c r="CB1292" t="s">
        <v>145</v>
      </c>
    </row>
    <row r="1293" spans="67:80" x14ac:dyDescent="0.25">
      <c r="BO1293">
        <v>0</v>
      </c>
      <c r="BP1293">
        <v>0</v>
      </c>
      <c r="BQ1293">
        <v>0</v>
      </c>
      <c r="BR1293">
        <v>0</v>
      </c>
      <c r="BS1293">
        <v>0</v>
      </c>
      <c r="BT1293">
        <v>0</v>
      </c>
      <c r="BU1293">
        <v>0</v>
      </c>
      <c r="BV1293">
        <v>0</v>
      </c>
      <c r="BW1293" t="s">
        <v>0</v>
      </c>
      <c r="BX1293">
        <v>0</v>
      </c>
      <c r="BY1293">
        <v>0</v>
      </c>
      <c r="BZ1293">
        <v>0</v>
      </c>
      <c r="CA1293">
        <v>0</v>
      </c>
      <c r="CB1293" t="s">
        <v>145</v>
      </c>
    </row>
    <row r="1294" spans="67:80" x14ac:dyDescent="0.25">
      <c r="BO1294">
        <v>0</v>
      </c>
      <c r="BP1294">
        <v>0</v>
      </c>
      <c r="BQ1294">
        <v>0</v>
      </c>
      <c r="BR1294">
        <v>0</v>
      </c>
      <c r="BS1294">
        <v>0</v>
      </c>
      <c r="BT1294">
        <v>0</v>
      </c>
      <c r="BU1294">
        <v>0</v>
      </c>
      <c r="BV1294">
        <v>0</v>
      </c>
      <c r="BW1294" t="s">
        <v>0</v>
      </c>
      <c r="BX1294">
        <v>0</v>
      </c>
      <c r="BY1294">
        <v>0</v>
      </c>
      <c r="BZ1294">
        <v>0</v>
      </c>
      <c r="CA1294">
        <v>0</v>
      </c>
      <c r="CB1294" t="s">
        <v>145</v>
      </c>
    </row>
    <row r="1295" spans="67:80" x14ac:dyDescent="0.25">
      <c r="BO1295">
        <v>0</v>
      </c>
      <c r="BP1295">
        <v>0</v>
      </c>
      <c r="BQ1295">
        <v>0</v>
      </c>
      <c r="BR1295">
        <v>0</v>
      </c>
      <c r="BS1295">
        <v>0</v>
      </c>
      <c r="BT1295">
        <v>0</v>
      </c>
      <c r="BU1295">
        <v>0</v>
      </c>
      <c r="BV1295">
        <v>0</v>
      </c>
      <c r="BW1295" t="s">
        <v>0</v>
      </c>
      <c r="BX1295">
        <v>0</v>
      </c>
      <c r="BY1295">
        <v>0</v>
      </c>
      <c r="BZ1295">
        <v>0</v>
      </c>
      <c r="CA1295">
        <v>0</v>
      </c>
      <c r="CB1295" t="s">
        <v>145</v>
      </c>
    </row>
    <row r="1296" spans="67:80" x14ac:dyDescent="0.25">
      <c r="BO1296">
        <v>0</v>
      </c>
      <c r="BP1296">
        <v>0</v>
      </c>
      <c r="BQ1296">
        <v>0</v>
      </c>
      <c r="BR1296">
        <v>0</v>
      </c>
      <c r="BS1296">
        <v>0</v>
      </c>
      <c r="BT1296">
        <v>0</v>
      </c>
      <c r="BU1296">
        <v>0</v>
      </c>
      <c r="BV1296">
        <v>0</v>
      </c>
      <c r="BW1296" t="s">
        <v>0</v>
      </c>
      <c r="BX1296">
        <v>0</v>
      </c>
      <c r="BY1296">
        <v>0</v>
      </c>
      <c r="BZ1296">
        <v>0</v>
      </c>
      <c r="CA1296">
        <v>0</v>
      </c>
      <c r="CB1296" t="s">
        <v>145</v>
      </c>
    </row>
    <row r="1297" spans="67:80" x14ac:dyDescent="0.25">
      <c r="BO1297">
        <v>0</v>
      </c>
      <c r="BP1297">
        <v>0</v>
      </c>
      <c r="BQ1297">
        <v>0</v>
      </c>
      <c r="BR1297">
        <v>0</v>
      </c>
      <c r="BS1297">
        <v>0</v>
      </c>
      <c r="BT1297">
        <v>0</v>
      </c>
      <c r="BU1297">
        <v>0</v>
      </c>
      <c r="BV1297">
        <v>0</v>
      </c>
      <c r="BW1297" t="s">
        <v>0</v>
      </c>
      <c r="BX1297">
        <v>0</v>
      </c>
      <c r="BY1297">
        <v>0</v>
      </c>
      <c r="BZ1297">
        <v>0</v>
      </c>
      <c r="CA1297">
        <v>0</v>
      </c>
      <c r="CB1297" t="s">
        <v>145</v>
      </c>
    </row>
    <row r="1298" spans="67:80" x14ac:dyDescent="0.25">
      <c r="BO1298">
        <v>0</v>
      </c>
      <c r="BP1298">
        <v>0</v>
      </c>
      <c r="BQ1298">
        <v>0</v>
      </c>
      <c r="BR1298">
        <v>0</v>
      </c>
      <c r="BS1298">
        <v>0</v>
      </c>
      <c r="BT1298">
        <v>0</v>
      </c>
      <c r="BU1298">
        <v>0</v>
      </c>
      <c r="BV1298">
        <v>0</v>
      </c>
      <c r="BW1298" t="s">
        <v>0</v>
      </c>
      <c r="BX1298">
        <v>0</v>
      </c>
      <c r="BY1298">
        <v>0</v>
      </c>
      <c r="BZ1298">
        <v>0</v>
      </c>
      <c r="CA1298">
        <v>0</v>
      </c>
      <c r="CB1298" t="s">
        <v>145</v>
      </c>
    </row>
    <row r="1299" spans="67:80" x14ac:dyDescent="0.25">
      <c r="BO1299">
        <v>0</v>
      </c>
      <c r="BP1299">
        <v>0</v>
      </c>
      <c r="BQ1299">
        <v>0</v>
      </c>
      <c r="BR1299">
        <v>0</v>
      </c>
      <c r="BS1299">
        <v>0</v>
      </c>
      <c r="BT1299">
        <v>0</v>
      </c>
      <c r="BU1299">
        <v>0</v>
      </c>
      <c r="BV1299">
        <v>0</v>
      </c>
      <c r="BW1299" t="s">
        <v>0</v>
      </c>
      <c r="BX1299">
        <v>0</v>
      </c>
      <c r="BY1299">
        <v>0</v>
      </c>
      <c r="BZ1299">
        <v>0</v>
      </c>
      <c r="CA1299">
        <v>0</v>
      </c>
      <c r="CB1299" t="s">
        <v>145</v>
      </c>
    </row>
    <row r="1300" spans="67:80" x14ac:dyDescent="0.25">
      <c r="BO1300">
        <v>0</v>
      </c>
      <c r="BP1300">
        <v>0</v>
      </c>
      <c r="BQ1300">
        <v>0</v>
      </c>
      <c r="BR1300">
        <v>0</v>
      </c>
      <c r="BS1300">
        <v>0</v>
      </c>
      <c r="BT1300">
        <v>0</v>
      </c>
      <c r="BU1300">
        <v>0</v>
      </c>
      <c r="BV1300">
        <v>0</v>
      </c>
      <c r="BW1300" t="s">
        <v>0</v>
      </c>
      <c r="BX1300">
        <v>0</v>
      </c>
      <c r="BY1300">
        <v>0</v>
      </c>
      <c r="BZ1300">
        <v>0</v>
      </c>
      <c r="CA1300">
        <v>0</v>
      </c>
      <c r="CB1300" t="s">
        <v>145</v>
      </c>
    </row>
    <row r="1301" spans="67:80" x14ac:dyDescent="0.25">
      <c r="BO1301">
        <v>0</v>
      </c>
      <c r="BP1301">
        <v>0</v>
      </c>
      <c r="BQ1301">
        <v>0</v>
      </c>
      <c r="BR1301">
        <v>0</v>
      </c>
      <c r="BS1301">
        <v>0</v>
      </c>
      <c r="BT1301">
        <v>0</v>
      </c>
      <c r="BU1301">
        <v>0</v>
      </c>
      <c r="BV1301">
        <v>0</v>
      </c>
      <c r="BW1301" t="s">
        <v>0</v>
      </c>
      <c r="BX1301">
        <v>0</v>
      </c>
      <c r="BY1301">
        <v>0</v>
      </c>
      <c r="BZ1301">
        <v>0</v>
      </c>
      <c r="CA1301">
        <v>0</v>
      </c>
      <c r="CB1301" t="s">
        <v>145</v>
      </c>
    </row>
    <row r="1302" spans="67:80" x14ac:dyDescent="0.25">
      <c r="BO1302">
        <v>0</v>
      </c>
      <c r="BP1302">
        <v>0</v>
      </c>
      <c r="BQ1302">
        <v>0</v>
      </c>
      <c r="BR1302">
        <v>0</v>
      </c>
      <c r="BS1302">
        <v>0</v>
      </c>
      <c r="BT1302">
        <v>0</v>
      </c>
      <c r="BU1302">
        <v>0</v>
      </c>
      <c r="BV1302">
        <v>0</v>
      </c>
      <c r="BW1302" t="s">
        <v>0</v>
      </c>
      <c r="BX1302">
        <v>0</v>
      </c>
      <c r="BY1302">
        <v>0</v>
      </c>
      <c r="BZ1302">
        <v>0</v>
      </c>
      <c r="CA1302">
        <v>0</v>
      </c>
      <c r="CB1302" t="s">
        <v>145</v>
      </c>
    </row>
    <row r="1303" spans="67:80" x14ac:dyDescent="0.25">
      <c r="BO1303">
        <v>0</v>
      </c>
      <c r="BP1303">
        <v>0</v>
      </c>
      <c r="BQ1303">
        <v>0</v>
      </c>
      <c r="BR1303">
        <v>0</v>
      </c>
      <c r="BS1303">
        <v>0</v>
      </c>
      <c r="BT1303">
        <v>0</v>
      </c>
      <c r="BU1303">
        <v>0</v>
      </c>
      <c r="BV1303">
        <v>0</v>
      </c>
      <c r="BW1303" t="s">
        <v>0</v>
      </c>
      <c r="BX1303">
        <v>0</v>
      </c>
      <c r="BY1303">
        <v>0</v>
      </c>
      <c r="BZ1303">
        <v>0</v>
      </c>
      <c r="CA1303">
        <v>0</v>
      </c>
      <c r="CB1303" t="s">
        <v>145</v>
      </c>
    </row>
    <row r="1304" spans="67:80" x14ac:dyDescent="0.25">
      <c r="BO1304">
        <v>0</v>
      </c>
      <c r="BP1304">
        <v>0</v>
      </c>
      <c r="BQ1304">
        <v>0</v>
      </c>
      <c r="BR1304">
        <v>0</v>
      </c>
      <c r="BS1304">
        <v>0</v>
      </c>
      <c r="BT1304">
        <v>0</v>
      </c>
      <c r="BU1304">
        <v>0</v>
      </c>
      <c r="BV1304">
        <v>0</v>
      </c>
      <c r="BW1304" t="s">
        <v>0</v>
      </c>
      <c r="BX1304">
        <v>0</v>
      </c>
      <c r="BY1304">
        <v>0</v>
      </c>
      <c r="BZ1304">
        <v>0</v>
      </c>
      <c r="CA1304">
        <v>0</v>
      </c>
      <c r="CB1304" t="s">
        <v>145</v>
      </c>
    </row>
    <row r="1305" spans="67:80" x14ac:dyDescent="0.25">
      <c r="BO1305">
        <v>0</v>
      </c>
      <c r="BP1305">
        <v>0</v>
      </c>
      <c r="BQ1305">
        <v>0</v>
      </c>
      <c r="BR1305">
        <v>0</v>
      </c>
      <c r="BS1305">
        <v>0</v>
      </c>
      <c r="BT1305">
        <v>0</v>
      </c>
      <c r="BU1305">
        <v>0</v>
      </c>
      <c r="BV1305">
        <v>0</v>
      </c>
      <c r="BW1305" t="s">
        <v>0</v>
      </c>
      <c r="BX1305">
        <v>0</v>
      </c>
      <c r="BY1305">
        <v>0</v>
      </c>
      <c r="BZ1305">
        <v>0</v>
      </c>
      <c r="CA1305">
        <v>0</v>
      </c>
      <c r="CB1305" t="s">
        <v>145</v>
      </c>
    </row>
    <row r="1306" spans="67:80" x14ac:dyDescent="0.25">
      <c r="BO1306">
        <v>0</v>
      </c>
      <c r="BP1306">
        <v>0</v>
      </c>
      <c r="BQ1306">
        <v>0</v>
      </c>
      <c r="BR1306">
        <v>0</v>
      </c>
      <c r="BS1306">
        <v>0</v>
      </c>
      <c r="BT1306">
        <v>0</v>
      </c>
      <c r="BU1306">
        <v>0</v>
      </c>
      <c r="BV1306">
        <v>0</v>
      </c>
      <c r="BW1306" t="s">
        <v>0</v>
      </c>
      <c r="BX1306">
        <v>0</v>
      </c>
      <c r="BY1306">
        <v>0</v>
      </c>
      <c r="BZ1306">
        <v>0</v>
      </c>
      <c r="CA1306">
        <v>0</v>
      </c>
      <c r="CB1306" t="s">
        <v>145</v>
      </c>
    </row>
    <row r="1307" spans="67:80" x14ac:dyDescent="0.25">
      <c r="BO1307">
        <v>0</v>
      </c>
      <c r="BP1307">
        <v>0</v>
      </c>
      <c r="BQ1307">
        <v>0</v>
      </c>
      <c r="BR1307">
        <v>0</v>
      </c>
      <c r="BS1307">
        <v>0</v>
      </c>
      <c r="BT1307">
        <v>0</v>
      </c>
      <c r="BU1307">
        <v>0</v>
      </c>
      <c r="BV1307">
        <v>0</v>
      </c>
      <c r="BW1307" t="s">
        <v>0</v>
      </c>
      <c r="BX1307">
        <v>0</v>
      </c>
      <c r="BY1307">
        <v>0</v>
      </c>
      <c r="BZ1307">
        <v>0</v>
      </c>
      <c r="CA1307">
        <v>0</v>
      </c>
      <c r="CB1307" t="s">
        <v>145</v>
      </c>
    </row>
    <row r="1308" spans="67:80" x14ac:dyDescent="0.25">
      <c r="BO1308">
        <v>0</v>
      </c>
      <c r="BP1308">
        <v>0</v>
      </c>
      <c r="BQ1308">
        <v>0</v>
      </c>
      <c r="BR1308">
        <v>0</v>
      </c>
      <c r="BS1308">
        <v>0</v>
      </c>
      <c r="BT1308">
        <v>0</v>
      </c>
      <c r="BU1308">
        <v>0</v>
      </c>
      <c r="BV1308">
        <v>0</v>
      </c>
      <c r="BW1308" t="s">
        <v>0</v>
      </c>
      <c r="BX1308">
        <v>0</v>
      </c>
      <c r="BY1308">
        <v>0</v>
      </c>
      <c r="BZ1308">
        <v>0</v>
      </c>
      <c r="CA1308">
        <v>0</v>
      </c>
      <c r="CB1308" t="s">
        <v>145</v>
      </c>
    </row>
    <row r="1309" spans="67:80" x14ac:dyDescent="0.25">
      <c r="BO1309">
        <v>0</v>
      </c>
      <c r="BP1309">
        <v>0</v>
      </c>
      <c r="BQ1309">
        <v>0</v>
      </c>
      <c r="BR1309">
        <v>0</v>
      </c>
      <c r="BS1309">
        <v>0</v>
      </c>
      <c r="BT1309">
        <v>0</v>
      </c>
      <c r="BU1309">
        <v>0</v>
      </c>
      <c r="BV1309">
        <v>0</v>
      </c>
      <c r="BW1309" t="s">
        <v>0</v>
      </c>
      <c r="BX1309">
        <v>0</v>
      </c>
      <c r="BY1309">
        <v>0</v>
      </c>
      <c r="BZ1309">
        <v>0</v>
      </c>
      <c r="CA1309">
        <v>0</v>
      </c>
      <c r="CB1309" t="s">
        <v>145</v>
      </c>
    </row>
    <row r="1310" spans="67:80" x14ac:dyDescent="0.25">
      <c r="BO1310">
        <v>0</v>
      </c>
      <c r="BP1310">
        <v>0</v>
      </c>
      <c r="BQ1310">
        <v>0</v>
      </c>
      <c r="BR1310">
        <v>0</v>
      </c>
      <c r="BS1310">
        <v>0</v>
      </c>
      <c r="BT1310">
        <v>0</v>
      </c>
      <c r="BU1310">
        <v>0</v>
      </c>
      <c r="BV1310">
        <v>0</v>
      </c>
      <c r="BW1310" t="s">
        <v>0</v>
      </c>
      <c r="BX1310">
        <v>0</v>
      </c>
      <c r="BY1310">
        <v>0</v>
      </c>
      <c r="BZ1310">
        <v>0</v>
      </c>
      <c r="CA1310">
        <v>0</v>
      </c>
      <c r="CB1310" t="s">
        <v>145</v>
      </c>
    </row>
    <row r="1311" spans="67:80" x14ac:dyDescent="0.25">
      <c r="BO1311">
        <v>0</v>
      </c>
      <c r="BP1311">
        <v>0</v>
      </c>
      <c r="BQ1311">
        <v>0</v>
      </c>
      <c r="BR1311">
        <v>0</v>
      </c>
      <c r="BS1311">
        <v>0</v>
      </c>
      <c r="BT1311">
        <v>0</v>
      </c>
      <c r="BU1311">
        <v>0</v>
      </c>
      <c r="BV1311">
        <v>0</v>
      </c>
      <c r="BW1311" t="s">
        <v>0</v>
      </c>
      <c r="BX1311">
        <v>0</v>
      </c>
      <c r="BY1311">
        <v>0</v>
      </c>
      <c r="BZ1311">
        <v>0</v>
      </c>
      <c r="CA1311">
        <v>0</v>
      </c>
      <c r="CB1311" t="s">
        <v>145</v>
      </c>
    </row>
    <row r="1312" spans="67:80" x14ac:dyDescent="0.25">
      <c r="BO1312">
        <v>0</v>
      </c>
      <c r="BP1312">
        <v>0</v>
      </c>
      <c r="BQ1312">
        <v>0</v>
      </c>
      <c r="BR1312">
        <v>0</v>
      </c>
      <c r="BS1312">
        <v>0</v>
      </c>
      <c r="BT1312">
        <v>0</v>
      </c>
      <c r="BU1312">
        <v>0</v>
      </c>
      <c r="BV1312">
        <v>0</v>
      </c>
      <c r="BW1312" t="s">
        <v>0</v>
      </c>
      <c r="BX1312">
        <v>0</v>
      </c>
      <c r="BY1312">
        <v>0</v>
      </c>
      <c r="BZ1312">
        <v>0</v>
      </c>
      <c r="CA1312">
        <v>0</v>
      </c>
      <c r="CB1312" t="s">
        <v>145</v>
      </c>
    </row>
    <row r="1313" spans="67:80" x14ac:dyDescent="0.25">
      <c r="BO1313">
        <v>0</v>
      </c>
      <c r="BP1313">
        <v>0</v>
      </c>
      <c r="BQ1313">
        <v>0</v>
      </c>
      <c r="BR1313">
        <v>0</v>
      </c>
      <c r="BS1313">
        <v>0</v>
      </c>
      <c r="BT1313">
        <v>0</v>
      </c>
      <c r="BU1313">
        <v>0</v>
      </c>
      <c r="BV1313">
        <v>0</v>
      </c>
      <c r="BW1313" t="s">
        <v>0</v>
      </c>
      <c r="BX1313">
        <v>0</v>
      </c>
      <c r="BY1313">
        <v>0</v>
      </c>
      <c r="BZ1313">
        <v>0</v>
      </c>
      <c r="CA1313">
        <v>0</v>
      </c>
      <c r="CB1313" t="s">
        <v>145</v>
      </c>
    </row>
    <row r="1314" spans="67:80" x14ac:dyDescent="0.25">
      <c r="BO1314">
        <v>0</v>
      </c>
      <c r="BP1314">
        <v>0</v>
      </c>
      <c r="BQ1314">
        <v>0</v>
      </c>
      <c r="BR1314">
        <v>0</v>
      </c>
      <c r="BS1314">
        <v>0</v>
      </c>
      <c r="BT1314">
        <v>0</v>
      </c>
      <c r="BU1314">
        <v>0</v>
      </c>
      <c r="BV1314">
        <v>0</v>
      </c>
      <c r="BW1314" t="s">
        <v>0</v>
      </c>
      <c r="BX1314">
        <v>0</v>
      </c>
      <c r="BY1314">
        <v>0</v>
      </c>
      <c r="BZ1314">
        <v>0</v>
      </c>
      <c r="CA1314">
        <v>0</v>
      </c>
      <c r="CB1314" t="s">
        <v>145</v>
      </c>
    </row>
    <row r="1315" spans="67:80" x14ac:dyDescent="0.25">
      <c r="BO1315">
        <v>0</v>
      </c>
      <c r="BP1315">
        <v>0</v>
      </c>
      <c r="BQ1315">
        <v>0</v>
      </c>
      <c r="BR1315">
        <v>0</v>
      </c>
      <c r="BS1315">
        <v>0</v>
      </c>
      <c r="BT1315">
        <v>0</v>
      </c>
      <c r="BU1315">
        <v>0</v>
      </c>
      <c r="BV1315">
        <v>0</v>
      </c>
      <c r="BW1315" t="s">
        <v>0</v>
      </c>
      <c r="BX1315">
        <v>0</v>
      </c>
      <c r="BY1315">
        <v>0</v>
      </c>
      <c r="BZ1315">
        <v>0</v>
      </c>
      <c r="CA1315">
        <v>0</v>
      </c>
      <c r="CB1315" t="s">
        <v>145</v>
      </c>
    </row>
    <row r="1316" spans="67:80" x14ac:dyDescent="0.25">
      <c r="BO1316">
        <v>0</v>
      </c>
      <c r="BP1316">
        <v>0</v>
      </c>
      <c r="BQ1316">
        <v>0</v>
      </c>
      <c r="BR1316">
        <v>0</v>
      </c>
      <c r="BS1316">
        <v>0</v>
      </c>
      <c r="BT1316">
        <v>0</v>
      </c>
      <c r="BU1316">
        <v>0</v>
      </c>
      <c r="BV1316">
        <v>0</v>
      </c>
      <c r="BW1316" t="s">
        <v>0</v>
      </c>
      <c r="BX1316">
        <v>0</v>
      </c>
      <c r="BY1316">
        <v>0</v>
      </c>
      <c r="BZ1316">
        <v>0</v>
      </c>
      <c r="CA1316">
        <v>0</v>
      </c>
      <c r="CB1316" t="s">
        <v>145</v>
      </c>
    </row>
    <row r="1317" spans="67:80" x14ac:dyDescent="0.25">
      <c r="BO1317">
        <v>0</v>
      </c>
      <c r="BP1317">
        <v>0</v>
      </c>
      <c r="BQ1317">
        <v>0</v>
      </c>
      <c r="BR1317">
        <v>0</v>
      </c>
      <c r="BS1317">
        <v>0</v>
      </c>
      <c r="BT1317">
        <v>0</v>
      </c>
      <c r="BU1317">
        <v>0</v>
      </c>
      <c r="BV1317">
        <v>0</v>
      </c>
      <c r="BW1317" t="s">
        <v>0</v>
      </c>
      <c r="BX1317">
        <v>0</v>
      </c>
      <c r="BY1317">
        <v>0</v>
      </c>
      <c r="BZ1317">
        <v>0</v>
      </c>
      <c r="CA1317">
        <v>0</v>
      </c>
      <c r="CB1317" t="s">
        <v>145</v>
      </c>
    </row>
    <row r="1318" spans="67:80" x14ac:dyDescent="0.25">
      <c r="BO1318">
        <v>0</v>
      </c>
      <c r="BP1318">
        <v>0</v>
      </c>
      <c r="BQ1318">
        <v>0</v>
      </c>
      <c r="BR1318">
        <v>0</v>
      </c>
      <c r="BS1318">
        <v>0</v>
      </c>
      <c r="BT1318">
        <v>0</v>
      </c>
      <c r="BU1318">
        <v>0</v>
      </c>
      <c r="BV1318">
        <v>0</v>
      </c>
      <c r="BW1318" t="s">
        <v>0</v>
      </c>
      <c r="BX1318">
        <v>0</v>
      </c>
      <c r="BY1318">
        <v>0</v>
      </c>
      <c r="BZ1318">
        <v>0</v>
      </c>
      <c r="CA1318">
        <v>0</v>
      </c>
      <c r="CB1318" t="s">
        <v>145</v>
      </c>
    </row>
    <row r="1319" spans="67:80" x14ac:dyDescent="0.25">
      <c r="BO1319">
        <v>0</v>
      </c>
      <c r="BP1319">
        <v>0</v>
      </c>
      <c r="BQ1319">
        <v>0</v>
      </c>
      <c r="BR1319">
        <v>0</v>
      </c>
      <c r="BS1319">
        <v>0</v>
      </c>
      <c r="BT1319">
        <v>0</v>
      </c>
      <c r="BU1319">
        <v>0</v>
      </c>
      <c r="BV1319">
        <v>0</v>
      </c>
      <c r="BW1319" t="s">
        <v>0</v>
      </c>
      <c r="BX1319">
        <v>0</v>
      </c>
      <c r="BY1319">
        <v>0</v>
      </c>
      <c r="BZ1319">
        <v>0</v>
      </c>
      <c r="CA1319">
        <v>0</v>
      </c>
      <c r="CB1319" t="s">
        <v>145</v>
      </c>
    </row>
    <row r="1320" spans="67:80" x14ac:dyDescent="0.25">
      <c r="BO1320">
        <v>0</v>
      </c>
      <c r="BP1320">
        <v>0</v>
      </c>
      <c r="BQ1320">
        <v>0</v>
      </c>
      <c r="BR1320">
        <v>0</v>
      </c>
      <c r="BS1320">
        <v>0</v>
      </c>
      <c r="BT1320">
        <v>0</v>
      </c>
      <c r="BU1320">
        <v>0</v>
      </c>
      <c r="BV1320">
        <v>0</v>
      </c>
      <c r="BW1320" t="s">
        <v>0</v>
      </c>
      <c r="BX1320">
        <v>0</v>
      </c>
      <c r="BY1320">
        <v>0</v>
      </c>
      <c r="BZ1320">
        <v>0</v>
      </c>
      <c r="CA1320">
        <v>0</v>
      </c>
      <c r="CB1320" t="s">
        <v>145</v>
      </c>
    </row>
    <row r="1321" spans="67:80" x14ac:dyDescent="0.25">
      <c r="BO1321">
        <v>0</v>
      </c>
      <c r="BP1321">
        <v>0</v>
      </c>
      <c r="BQ1321">
        <v>0</v>
      </c>
      <c r="BR1321">
        <v>0</v>
      </c>
      <c r="BS1321">
        <v>0</v>
      </c>
      <c r="BT1321">
        <v>0</v>
      </c>
      <c r="BU1321">
        <v>0</v>
      </c>
      <c r="BV1321">
        <v>0</v>
      </c>
      <c r="BW1321" t="s">
        <v>0</v>
      </c>
      <c r="BX1321">
        <v>0</v>
      </c>
      <c r="BY1321">
        <v>0</v>
      </c>
      <c r="BZ1321">
        <v>0</v>
      </c>
      <c r="CA1321">
        <v>0</v>
      </c>
      <c r="CB1321" t="s">
        <v>145</v>
      </c>
    </row>
    <row r="1322" spans="67:80" x14ac:dyDescent="0.25">
      <c r="BO1322">
        <v>0</v>
      </c>
      <c r="BP1322">
        <v>0</v>
      </c>
      <c r="BQ1322">
        <v>0</v>
      </c>
      <c r="BR1322">
        <v>0</v>
      </c>
      <c r="BS1322">
        <v>0</v>
      </c>
      <c r="BT1322">
        <v>0</v>
      </c>
      <c r="BU1322">
        <v>0</v>
      </c>
      <c r="BV1322">
        <v>0</v>
      </c>
      <c r="BW1322" t="s">
        <v>0</v>
      </c>
      <c r="BX1322">
        <v>0</v>
      </c>
      <c r="BY1322">
        <v>0</v>
      </c>
      <c r="BZ1322">
        <v>0</v>
      </c>
      <c r="CA1322">
        <v>0</v>
      </c>
      <c r="CB1322" t="s">
        <v>145</v>
      </c>
    </row>
    <row r="1323" spans="67:80" x14ac:dyDescent="0.25">
      <c r="BO1323">
        <v>0</v>
      </c>
      <c r="BP1323">
        <v>0</v>
      </c>
      <c r="BQ1323">
        <v>0</v>
      </c>
      <c r="BR1323">
        <v>0</v>
      </c>
      <c r="BS1323">
        <v>0</v>
      </c>
      <c r="BT1323">
        <v>0</v>
      </c>
      <c r="BU1323">
        <v>0</v>
      </c>
      <c r="BV1323">
        <v>0</v>
      </c>
      <c r="BW1323" t="s">
        <v>0</v>
      </c>
      <c r="BX1323">
        <v>0</v>
      </c>
      <c r="BY1323">
        <v>0</v>
      </c>
      <c r="BZ1323">
        <v>0</v>
      </c>
      <c r="CA1323">
        <v>0</v>
      </c>
      <c r="CB1323" t="s">
        <v>145</v>
      </c>
    </row>
    <row r="1324" spans="67:80" x14ac:dyDescent="0.25">
      <c r="BO1324">
        <v>0</v>
      </c>
      <c r="BP1324">
        <v>0</v>
      </c>
      <c r="BQ1324">
        <v>0</v>
      </c>
      <c r="BR1324">
        <v>0</v>
      </c>
      <c r="BS1324">
        <v>0</v>
      </c>
      <c r="BT1324">
        <v>0</v>
      </c>
      <c r="BU1324">
        <v>0</v>
      </c>
      <c r="BV1324">
        <v>0</v>
      </c>
      <c r="BW1324" t="s">
        <v>0</v>
      </c>
      <c r="BX1324">
        <v>0</v>
      </c>
      <c r="BY1324">
        <v>0</v>
      </c>
      <c r="BZ1324">
        <v>0</v>
      </c>
      <c r="CA1324">
        <v>0</v>
      </c>
      <c r="CB1324" t="s">
        <v>145</v>
      </c>
    </row>
    <row r="1325" spans="67:80" x14ac:dyDescent="0.25">
      <c r="BO1325">
        <v>0</v>
      </c>
      <c r="BP1325">
        <v>0</v>
      </c>
      <c r="BQ1325">
        <v>0</v>
      </c>
      <c r="BR1325">
        <v>0</v>
      </c>
      <c r="BS1325">
        <v>0</v>
      </c>
      <c r="BT1325">
        <v>0</v>
      </c>
      <c r="BU1325">
        <v>0</v>
      </c>
      <c r="BV1325">
        <v>0</v>
      </c>
      <c r="BW1325" t="s">
        <v>0</v>
      </c>
      <c r="BX1325">
        <v>0</v>
      </c>
      <c r="BY1325">
        <v>0</v>
      </c>
      <c r="BZ1325">
        <v>0</v>
      </c>
      <c r="CA1325">
        <v>0</v>
      </c>
      <c r="CB1325" t="s">
        <v>145</v>
      </c>
    </row>
    <row r="1326" spans="67:80" x14ac:dyDescent="0.25">
      <c r="BO1326">
        <v>0</v>
      </c>
      <c r="BP1326">
        <v>0</v>
      </c>
      <c r="BQ1326">
        <v>0</v>
      </c>
      <c r="BR1326">
        <v>0</v>
      </c>
      <c r="BS1326">
        <v>0</v>
      </c>
      <c r="BT1326">
        <v>0</v>
      </c>
      <c r="BU1326">
        <v>0</v>
      </c>
      <c r="BV1326">
        <v>0</v>
      </c>
      <c r="BW1326" t="s">
        <v>0</v>
      </c>
      <c r="BX1326">
        <v>0</v>
      </c>
      <c r="BY1326">
        <v>0</v>
      </c>
      <c r="BZ1326">
        <v>0</v>
      </c>
      <c r="CA1326">
        <v>0</v>
      </c>
      <c r="CB1326" t="s">
        <v>145</v>
      </c>
    </row>
    <row r="1327" spans="67:80" x14ac:dyDescent="0.25">
      <c r="BO1327">
        <v>0</v>
      </c>
      <c r="BP1327">
        <v>0</v>
      </c>
      <c r="BQ1327">
        <v>0</v>
      </c>
      <c r="BR1327">
        <v>0</v>
      </c>
      <c r="BS1327">
        <v>0</v>
      </c>
      <c r="BT1327">
        <v>0</v>
      </c>
      <c r="BU1327">
        <v>0</v>
      </c>
      <c r="BV1327">
        <v>0</v>
      </c>
      <c r="BW1327" t="s">
        <v>0</v>
      </c>
      <c r="BX1327">
        <v>0</v>
      </c>
      <c r="BY1327">
        <v>0</v>
      </c>
      <c r="BZ1327">
        <v>0</v>
      </c>
      <c r="CA1327">
        <v>0</v>
      </c>
      <c r="CB1327" t="s">
        <v>145</v>
      </c>
    </row>
    <row r="1328" spans="67:80" x14ac:dyDescent="0.25">
      <c r="BO1328">
        <v>0</v>
      </c>
      <c r="BP1328">
        <v>0</v>
      </c>
      <c r="BQ1328">
        <v>0</v>
      </c>
      <c r="BR1328">
        <v>0</v>
      </c>
      <c r="BS1328">
        <v>0</v>
      </c>
      <c r="BT1328">
        <v>0</v>
      </c>
      <c r="BU1328">
        <v>0</v>
      </c>
      <c r="BV1328">
        <v>0</v>
      </c>
      <c r="BW1328" t="s">
        <v>0</v>
      </c>
      <c r="BX1328">
        <v>0</v>
      </c>
      <c r="BY1328">
        <v>0</v>
      </c>
      <c r="BZ1328">
        <v>0</v>
      </c>
      <c r="CA1328">
        <v>0</v>
      </c>
      <c r="CB1328" t="s">
        <v>145</v>
      </c>
    </row>
    <row r="1329" spans="67:80" x14ac:dyDescent="0.25">
      <c r="BO1329">
        <v>0</v>
      </c>
      <c r="BP1329">
        <v>0</v>
      </c>
      <c r="BQ1329">
        <v>0</v>
      </c>
      <c r="BR1329">
        <v>0</v>
      </c>
      <c r="BS1329">
        <v>0</v>
      </c>
      <c r="BT1329">
        <v>0</v>
      </c>
      <c r="BU1329">
        <v>0</v>
      </c>
      <c r="BV1329">
        <v>0</v>
      </c>
      <c r="BW1329" t="s">
        <v>0</v>
      </c>
      <c r="BX1329">
        <v>0</v>
      </c>
      <c r="BY1329">
        <v>0</v>
      </c>
      <c r="BZ1329">
        <v>0</v>
      </c>
      <c r="CA1329">
        <v>0</v>
      </c>
      <c r="CB1329" t="s">
        <v>145</v>
      </c>
    </row>
    <row r="1330" spans="67:80" x14ac:dyDescent="0.25">
      <c r="BO1330">
        <v>0</v>
      </c>
      <c r="BP1330">
        <v>0</v>
      </c>
      <c r="BQ1330">
        <v>0</v>
      </c>
      <c r="BR1330">
        <v>0</v>
      </c>
      <c r="BS1330">
        <v>0</v>
      </c>
      <c r="BT1330">
        <v>0</v>
      </c>
      <c r="BU1330">
        <v>0</v>
      </c>
      <c r="BV1330">
        <v>0</v>
      </c>
      <c r="BW1330" t="s">
        <v>0</v>
      </c>
      <c r="BX1330">
        <v>0</v>
      </c>
      <c r="BY1330">
        <v>0</v>
      </c>
      <c r="BZ1330">
        <v>0</v>
      </c>
      <c r="CA1330">
        <v>0</v>
      </c>
      <c r="CB1330" t="s">
        <v>145</v>
      </c>
    </row>
    <row r="1331" spans="67:80" x14ac:dyDescent="0.25">
      <c r="BO1331">
        <v>0</v>
      </c>
      <c r="BP1331">
        <v>0</v>
      </c>
      <c r="BQ1331">
        <v>0</v>
      </c>
      <c r="BR1331">
        <v>0</v>
      </c>
      <c r="BS1331">
        <v>0</v>
      </c>
      <c r="BT1331">
        <v>0</v>
      </c>
      <c r="BU1331">
        <v>0</v>
      </c>
      <c r="BV1331">
        <v>0</v>
      </c>
      <c r="BW1331" t="s">
        <v>0</v>
      </c>
      <c r="BX1331">
        <v>0</v>
      </c>
      <c r="BY1331">
        <v>0</v>
      </c>
      <c r="BZ1331">
        <v>0</v>
      </c>
      <c r="CA1331">
        <v>0</v>
      </c>
      <c r="CB1331" t="s">
        <v>145</v>
      </c>
    </row>
    <row r="1332" spans="67:80" x14ac:dyDescent="0.25">
      <c r="BO1332">
        <v>0</v>
      </c>
      <c r="BP1332">
        <v>0</v>
      </c>
      <c r="BQ1332">
        <v>0</v>
      </c>
      <c r="BR1332">
        <v>0</v>
      </c>
      <c r="BS1332">
        <v>0</v>
      </c>
      <c r="BT1332">
        <v>0</v>
      </c>
      <c r="BU1332">
        <v>0</v>
      </c>
      <c r="BV1332">
        <v>0</v>
      </c>
      <c r="BW1332" t="s">
        <v>0</v>
      </c>
      <c r="BX1332">
        <v>0</v>
      </c>
      <c r="BY1332">
        <v>0</v>
      </c>
      <c r="BZ1332">
        <v>0</v>
      </c>
      <c r="CA1332">
        <v>0</v>
      </c>
      <c r="CB1332" t="s">
        <v>145</v>
      </c>
    </row>
    <row r="1333" spans="67:80" x14ac:dyDescent="0.25">
      <c r="BO1333">
        <v>0</v>
      </c>
      <c r="BP1333">
        <v>0</v>
      </c>
      <c r="BQ1333">
        <v>0</v>
      </c>
      <c r="BR1333">
        <v>0</v>
      </c>
      <c r="BS1333">
        <v>0</v>
      </c>
      <c r="BT1333">
        <v>0</v>
      </c>
      <c r="BU1333">
        <v>0</v>
      </c>
      <c r="BV1333">
        <v>0</v>
      </c>
      <c r="BW1333" t="s">
        <v>0</v>
      </c>
      <c r="BX1333">
        <v>0</v>
      </c>
      <c r="BY1333">
        <v>0</v>
      </c>
      <c r="BZ1333">
        <v>0</v>
      </c>
      <c r="CA1333">
        <v>0</v>
      </c>
      <c r="CB1333" t="s">
        <v>145</v>
      </c>
    </row>
    <row r="1334" spans="67:80" x14ac:dyDescent="0.25">
      <c r="BO1334">
        <v>0</v>
      </c>
      <c r="BP1334">
        <v>0</v>
      </c>
      <c r="BQ1334">
        <v>0</v>
      </c>
      <c r="BR1334">
        <v>0</v>
      </c>
      <c r="BS1334">
        <v>0</v>
      </c>
      <c r="BT1334">
        <v>0</v>
      </c>
      <c r="BU1334">
        <v>0</v>
      </c>
      <c r="BV1334">
        <v>0</v>
      </c>
      <c r="BW1334" t="s">
        <v>0</v>
      </c>
      <c r="BX1334">
        <v>0</v>
      </c>
      <c r="BY1334">
        <v>0</v>
      </c>
      <c r="BZ1334">
        <v>0</v>
      </c>
      <c r="CA1334">
        <v>0</v>
      </c>
      <c r="CB1334" t="s">
        <v>145</v>
      </c>
    </row>
    <row r="1335" spans="67:80" x14ac:dyDescent="0.25">
      <c r="BO1335">
        <v>0</v>
      </c>
      <c r="BP1335">
        <v>0</v>
      </c>
      <c r="BQ1335">
        <v>0</v>
      </c>
      <c r="BR1335">
        <v>0</v>
      </c>
      <c r="BS1335">
        <v>0</v>
      </c>
      <c r="BT1335">
        <v>0</v>
      </c>
      <c r="BU1335">
        <v>0</v>
      </c>
      <c r="BV1335">
        <v>0</v>
      </c>
      <c r="BW1335" t="s">
        <v>0</v>
      </c>
      <c r="BX1335">
        <v>0</v>
      </c>
      <c r="BY1335">
        <v>0</v>
      </c>
      <c r="BZ1335">
        <v>0</v>
      </c>
      <c r="CA1335">
        <v>0</v>
      </c>
      <c r="CB1335" t="s">
        <v>145</v>
      </c>
    </row>
    <row r="1336" spans="67:80" x14ac:dyDescent="0.25">
      <c r="BO1336">
        <v>0</v>
      </c>
      <c r="BP1336">
        <v>0</v>
      </c>
      <c r="BQ1336">
        <v>0</v>
      </c>
      <c r="BR1336">
        <v>0</v>
      </c>
      <c r="BS1336">
        <v>0</v>
      </c>
      <c r="BT1336">
        <v>0</v>
      </c>
      <c r="BU1336">
        <v>0</v>
      </c>
      <c r="BV1336">
        <v>0</v>
      </c>
      <c r="BW1336" t="s">
        <v>0</v>
      </c>
      <c r="BX1336">
        <v>0</v>
      </c>
      <c r="BY1336">
        <v>0</v>
      </c>
      <c r="BZ1336">
        <v>0</v>
      </c>
      <c r="CA1336">
        <v>0</v>
      </c>
      <c r="CB1336" t="s">
        <v>145</v>
      </c>
    </row>
    <row r="1337" spans="67:80" x14ac:dyDescent="0.25">
      <c r="BO1337">
        <v>0</v>
      </c>
      <c r="BP1337">
        <v>0</v>
      </c>
      <c r="BQ1337">
        <v>0</v>
      </c>
      <c r="BR1337">
        <v>0</v>
      </c>
      <c r="BS1337">
        <v>0</v>
      </c>
      <c r="BT1337">
        <v>0</v>
      </c>
      <c r="BU1337">
        <v>0</v>
      </c>
      <c r="BV1337">
        <v>0</v>
      </c>
      <c r="BW1337" t="s">
        <v>0</v>
      </c>
      <c r="BX1337">
        <v>0</v>
      </c>
      <c r="BY1337">
        <v>0</v>
      </c>
      <c r="BZ1337">
        <v>0</v>
      </c>
      <c r="CA1337">
        <v>0</v>
      </c>
      <c r="CB1337" t="s">
        <v>145</v>
      </c>
    </row>
    <row r="1338" spans="67:80" x14ac:dyDescent="0.25">
      <c r="BO1338">
        <v>0</v>
      </c>
      <c r="BP1338">
        <v>0</v>
      </c>
      <c r="BQ1338">
        <v>0</v>
      </c>
      <c r="BR1338">
        <v>0</v>
      </c>
      <c r="BS1338">
        <v>0</v>
      </c>
      <c r="BT1338">
        <v>0</v>
      </c>
      <c r="BU1338">
        <v>0</v>
      </c>
      <c r="BV1338">
        <v>0</v>
      </c>
      <c r="BW1338" t="s">
        <v>0</v>
      </c>
      <c r="BX1338">
        <v>0</v>
      </c>
      <c r="BY1338">
        <v>0</v>
      </c>
      <c r="BZ1338">
        <v>0</v>
      </c>
      <c r="CA1338">
        <v>0</v>
      </c>
      <c r="CB1338" t="s">
        <v>145</v>
      </c>
    </row>
    <row r="1339" spans="67:80" x14ac:dyDescent="0.25">
      <c r="BO1339">
        <v>0</v>
      </c>
      <c r="BP1339">
        <v>0</v>
      </c>
      <c r="BQ1339">
        <v>0</v>
      </c>
      <c r="BR1339">
        <v>0</v>
      </c>
      <c r="BS1339">
        <v>0</v>
      </c>
      <c r="BT1339">
        <v>0</v>
      </c>
      <c r="BU1339">
        <v>0</v>
      </c>
      <c r="BV1339">
        <v>0</v>
      </c>
      <c r="BW1339" t="s">
        <v>0</v>
      </c>
      <c r="BX1339">
        <v>0</v>
      </c>
      <c r="BY1339">
        <v>0</v>
      </c>
      <c r="BZ1339">
        <v>0</v>
      </c>
      <c r="CA1339">
        <v>0</v>
      </c>
      <c r="CB1339" t="s">
        <v>145</v>
      </c>
    </row>
    <row r="1340" spans="67:80" x14ac:dyDescent="0.25">
      <c r="BO1340">
        <v>0</v>
      </c>
      <c r="BP1340">
        <v>0</v>
      </c>
      <c r="BQ1340">
        <v>0</v>
      </c>
      <c r="BR1340">
        <v>0</v>
      </c>
      <c r="BS1340">
        <v>0</v>
      </c>
      <c r="BT1340">
        <v>0</v>
      </c>
      <c r="BU1340">
        <v>0</v>
      </c>
      <c r="BV1340">
        <v>0</v>
      </c>
      <c r="BW1340" t="s">
        <v>0</v>
      </c>
      <c r="BX1340">
        <v>0</v>
      </c>
      <c r="BY1340">
        <v>0</v>
      </c>
      <c r="BZ1340">
        <v>0</v>
      </c>
      <c r="CA1340">
        <v>0</v>
      </c>
      <c r="CB1340" t="s">
        <v>145</v>
      </c>
    </row>
    <row r="1341" spans="67:80" x14ac:dyDescent="0.25">
      <c r="BO1341">
        <v>0</v>
      </c>
      <c r="BP1341">
        <v>0</v>
      </c>
      <c r="BQ1341">
        <v>0</v>
      </c>
      <c r="BR1341">
        <v>0</v>
      </c>
      <c r="BS1341">
        <v>0</v>
      </c>
      <c r="BT1341">
        <v>0</v>
      </c>
      <c r="BU1341">
        <v>0</v>
      </c>
      <c r="BV1341">
        <v>0</v>
      </c>
      <c r="BW1341" t="s">
        <v>0</v>
      </c>
      <c r="BX1341">
        <v>0</v>
      </c>
      <c r="BY1341">
        <v>0</v>
      </c>
      <c r="BZ1341">
        <v>0</v>
      </c>
      <c r="CA1341">
        <v>0</v>
      </c>
      <c r="CB1341" t="s">
        <v>145</v>
      </c>
    </row>
    <row r="1342" spans="67:80" x14ac:dyDescent="0.25">
      <c r="BO1342">
        <v>0</v>
      </c>
      <c r="BP1342">
        <v>0</v>
      </c>
      <c r="BQ1342">
        <v>0</v>
      </c>
      <c r="BR1342">
        <v>0</v>
      </c>
      <c r="BS1342">
        <v>0</v>
      </c>
      <c r="BT1342">
        <v>0</v>
      </c>
      <c r="BU1342">
        <v>0</v>
      </c>
      <c r="BV1342">
        <v>0</v>
      </c>
      <c r="BW1342" t="s">
        <v>0</v>
      </c>
      <c r="BX1342">
        <v>0</v>
      </c>
      <c r="BY1342">
        <v>0</v>
      </c>
      <c r="BZ1342">
        <v>0</v>
      </c>
      <c r="CA1342">
        <v>0</v>
      </c>
      <c r="CB1342" t="s">
        <v>145</v>
      </c>
    </row>
    <row r="1343" spans="67:80" x14ac:dyDescent="0.25">
      <c r="BO1343">
        <v>0</v>
      </c>
      <c r="BP1343">
        <v>0</v>
      </c>
      <c r="BQ1343">
        <v>0</v>
      </c>
      <c r="BR1343">
        <v>0</v>
      </c>
      <c r="BS1343">
        <v>0</v>
      </c>
      <c r="BT1343">
        <v>0</v>
      </c>
      <c r="BU1343">
        <v>0</v>
      </c>
      <c r="BV1343">
        <v>0</v>
      </c>
      <c r="BW1343" t="s">
        <v>0</v>
      </c>
      <c r="BX1343">
        <v>0</v>
      </c>
      <c r="BY1343">
        <v>0</v>
      </c>
      <c r="BZ1343">
        <v>0</v>
      </c>
      <c r="CA1343">
        <v>0</v>
      </c>
      <c r="CB1343" t="s">
        <v>145</v>
      </c>
    </row>
    <row r="1344" spans="67:80" x14ac:dyDescent="0.25">
      <c r="BO1344">
        <v>0</v>
      </c>
      <c r="BP1344">
        <v>0</v>
      </c>
      <c r="BQ1344">
        <v>0</v>
      </c>
      <c r="BR1344">
        <v>0</v>
      </c>
      <c r="BS1344">
        <v>0</v>
      </c>
      <c r="BT1344">
        <v>0</v>
      </c>
      <c r="BU1344">
        <v>0</v>
      </c>
      <c r="BV1344">
        <v>0</v>
      </c>
      <c r="BW1344" t="s">
        <v>0</v>
      </c>
      <c r="BX1344">
        <v>0</v>
      </c>
      <c r="BY1344">
        <v>0</v>
      </c>
      <c r="BZ1344">
        <v>0</v>
      </c>
      <c r="CA1344">
        <v>0</v>
      </c>
      <c r="CB1344" t="s">
        <v>145</v>
      </c>
    </row>
    <row r="1345" spans="51:80" x14ac:dyDescent="0.25">
      <c r="BO1345">
        <v>0</v>
      </c>
      <c r="BP1345">
        <v>0</v>
      </c>
      <c r="BQ1345">
        <v>0</v>
      </c>
      <c r="BR1345">
        <v>0</v>
      </c>
      <c r="BS1345">
        <v>0</v>
      </c>
      <c r="BT1345">
        <v>0</v>
      </c>
      <c r="BU1345">
        <v>0</v>
      </c>
      <c r="BV1345">
        <v>0</v>
      </c>
      <c r="BW1345" t="s">
        <v>0</v>
      </c>
      <c r="BX1345">
        <v>0</v>
      </c>
      <c r="BY1345">
        <v>0</v>
      </c>
      <c r="BZ1345">
        <v>0</v>
      </c>
      <c r="CA1345">
        <v>0</v>
      </c>
      <c r="CB1345" t="s">
        <v>145</v>
      </c>
    </row>
    <row r="1346" spans="51:80" x14ac:dyDescent="0.25">
      <c r="BO1346">
        <v>0</v>
      </c>
      <c r="BP1346">
        <v>0</v>
      </c>
      <c r="BQ1346">
        <v>0</v>
      </c>
      <c r="BR1346">
        <v>0</v>
      </c>
      <c r="BS1346">
        <v>0</v>
      </c>
      <c r="BT1346">
        <v>0</v>
      </c>
      <c r="BU1346">
        <v>0</v>
      </c>
      <c r="BV1346">
        <v>0</v>
      </c>
      <c r="BW1346" t="s">
        <v>0</v>
      </c>
      <c r="BX1346">
        <v>0</v>
      </c>
      <c r="BY1346">
        <v>0</v>
      </c>
      <c r="BZ1346">
        <v>0</v>
      </c>
      <c r="CA1346">
        <v>0</v>
      </c>
      <c r="CB1346" t="s">
        <v>145</v>
      </c>
    </row>
    <row r="1347" spans="51:80" x14ac:dyDescent="0.25">
      <c r="BO1347">
        <v>0</v>
      </c>
      <c r="BP1347">
        <v>0</v>
      </c>
      <c r="BQ1347">
        <v>0</v>
      </c>
      <c r="BR1347">
        <v>0</v>
      </c>
      <c r="BS1347">
        <v>0</v>
      </c>
      <c r="BT1347">
        <v>0</v>
      </c>
      <c r="BU1347">
        <v>0</v>
      </c>
      <c r="BV1347">
        <v>0</v>
      </c>
      <c r="BW1347" t="s">
        <v>0</v>
      </c>
      <c r="BX1347">
        <v>0</v>
      </c>
      <c r="BY1347">
        <v>0</v>
      </c>
      <c r="BZ1347">
        <v>0</v>
      </c>
      <c r="CA1347">
        <v>0</v>
      </c>
      <c r="CB1347" t="s">
        <v>145</v>
      </c>
    </row>
    <row r="1348" spans="51:80" x14ac:dyDescent="0.25">
      <c r="BO1348">
        <v>0</v>
      </c>
      <c r="BP1348">
        <v>0</v>
      </c>
      <c r="BQ1348">
        <v>0</v>
      </c>
      <c r="BR1348">
        <v>0</v>
      </c>
      <c r="BS1348">
        <v>0</v>
      </c>
      <c r="BT1348">
        <v>0</v>
      </c>
      <c r="BU1348">
        <v>0</v>
      </c>
      <c r="BV1348">
        <v>0</v>
      </c>
      <c r="BW1348" t="s">
        <v>0</v>
      </c>
      <c r="BX1348">
        <v>0</v>
      </c>
      <c r="BY1348">
        <v>0</v>
      </c>
      <c r="BZ1348">
        <v>0</v>
      </c>
      <c r="CA1348">
        <v>0</v>
      </c>
      <c r="CB1348" t="s">
        <v>145</v>
      </c>
    </row>
    <row r="1349" spans="51:80" x14ac:dyDescent="0.25">
      <c r="BO1349">
        <v>0</v>
      </c>
      <c r="BP1349">
        <v>0</v>
      </c>
      <c r="BQ1349">
        <v>0</v>
      </c>
      <c r="BR1349">
        <v>0</v>
      </c>
      <c r="BS1349">
        <v>0</v>
      </c>
      <c r="BT1349">
        <v>0</v>
      </c>
      <c r="BU1349">
        <v>0</v>
      </c>
      <c r="BV1349">
        <v>0</v>
      </c>
      <c r="BW1349" t="s">
        <v>0</v>
      </c>
      <c r="BX1349">
        <v>0</v>
      </c>
      <c r="BY1349">
        <v>0</v>
      </c>
      <c r="BZ1349">
        <v>0</v>
      </c>
      <c r="CA1349">
        <v>0</v>
      </c>
      <c r="CB1349" t="s">
        <v>145</v>
      </c>
    </row>
    <row r="1350" spans="51:80" x14ac:dyDescent="0.25">
      <c r="BO1350">
        <v>0</v>
      </c>
      <c r="BP1350">
        <v>0</v>
      </c>
      <c r="BQ1350">
        <v>0</v>
      </c>
      <c r="BR1350">
        <v>0</v>
      </c>
      <c r="BS1350">
        <v>0</v>
      </c>
      <c r="BT1350">
        <v>0</v>
      </c>
      <c r="BU1350">
        <v>0</v>
      </c>
      <c r="BV1350">
        <v>0</v>
      </c>
      <c r="BW1350" t="s">
        <v>0</v>
      </c>
      <c r="BX1350">
        <v>0</v>
      </c>
      <c r="BY1350">
        <v>0</v>
      </c>
      <c r="BZ1350">
        <v>0</v>
      </c>
      <c r="CA1350">
        <v>0</v>
      </c>
      <c r="CB1350" t="s">
        <v>145</v>
      </c>
    </row>
    <row r="1351" spans="51:80" x14ac:dyDescent="0.25">
      <c r="BO1351">
        <v>0</v>
      </c>
      <c r="BP1351">
        <v>0</v>
      </c>
      <c r="BQ1351">
        <v>0</v>
      </c>
      <c r="BR1351">
        <v>0</v>
      </c>
      <c r="BS1351">
        <v>0</v>
      </c>
      <c r="BT1351">
        <v>0</v>
      </c>
      <c r="BU1351">
        <v>0</v>
      </c>
      <c r="BV1351">
        <v>0</v>
      </c>
      <c r="BW1351" t="s">
        <v>0</v>
      </c>
      <c r="BX1351">
        <v>0</v>
      </c>
      <c r="BY1351">
        <v>0</v>
      </c>
      <c r="BZ1351">
        <v>0</v>
      </c>
      <c r="CA1351">
        <v>0</v>
      </c>
      <c r="CB1351" t="s">
        <v>145</v>
      </c>
    </row>
    <row r="1352" spans="51:80" x14ac:dyDescent="0.25">
      <c r="BO1352">
        <v>0</v>
      </c>
      <c r="BP1352">
        <v>0</v>
      </c>
      <c r="BQ1352">
        <v>0</v>
      </c>
      <c r="BR1352">
        <v>0</v>
      </c>
      <c r="BS1352">
        <v>0</v>
      </c>
      <c r="BT1352">
        <v>0</v>
      </c>
      <c r="BU1352">
        <v>0</v>
      </c>
      <c r="BV1352">
        <v>0</v>
      </c>
      <c r="BW1352" t="s">
        <v>0</v>
      </c>
      <c r="BX1352">
        <v>0</v>
      </c>
      <c r="BY1352">
        <v>0</v>
      </c>
      <c r="BZ1352">
        <v>0</v>
      </c>
      <c r="CA1352">
        <v>0</v>
      </c>
      <c r="CB1352" t="s">
        <v>145</v>
      </c>
    </row>
    <row r="1353" spans="51:80" x14ac:dyDescent="0.25">
      <c r="BO1353">
        <v>0</v>
      </c>
      <c r="BP1353">
        <v>0</v>
      </c>
      <c r="BQ1353">
        <v>0</v>
      </c>
      <c r="BR1353">
        <v>0</v>
      </c>
      <c r="BS1353">
        <v>0</v>
      </c>
      <c r="BT1353">
        <v>0</v>
      </c>
      <c r="BU1353">
        <v>0</v>
      </c>
      <c r="BV1353">
        <v>0</v>
      </c>
      <c r="BW1353" t="s">
        <v>0</v>
      </c>
      <c r="BX1353">
        <v>0</v>
      </c>
      <c r="BY1353">
        <v>0</v>
      </c>
      <c r="BZ1353">
        <v>0</v>
      </c>
      <c r="CA1353">
        <v>0</v>
      </c>
      <c r="CB1353" t="s">
        <v>145</v>
      </c>
    </row>
    <row r="1354" spans="51:80" x14ac:dyDescent="0.25">
      <c r="BO1354">
        <v>0</v>
      </c>
      <c r="BP1354">
        <v>0</v>
      </c>
      <c r="BQ1354">
        <v>0</v>
      </c>
      <c r="BR1354">
        <v>0</v>
      </c>
      <c r="BS1354">
        <v>0</v>
      </c>
      <c r="BT1354">
        <v>0</v>
      </c>
      <c r="BU1354">
        <v>0</v>
      </c>
      <c r="BV1354">
        <v>0</v>
      </c>
      <c r="BW1354" t="s">
        <v>0</v>
      </c>
      <c r="BX1354">
        <v>0</v>
      </c>
      <c r="BY1354">
        <v>0</v>
      </c>
      <c r="BZ1354">
        <v>0</v>
      </c>
      <c r="CA1354">
        <v>0</v>
      </c>
      <c r="CB1354" t="s">
        <v>145</v>
      </c>
    </row>
    <row r="1355" spans="51:80" x14ac:dyDescent="0.25">
      <c r="BO1355">
        <v>0</v>
      </c>
      <c r="BP1355">
        <v>0</v>
      </c>
      <c r="BQ1355">
        <v>0</v>
      </c>
      <c r="BR1355">
        <v>0</v>
      </c>
      <c r="BS1355">
        <v>0</v>
      </c>
      <c r="BT1355">
        <v>0</v>
      </c>
      <c r="BU1355">
        <v>0</v>
      </c>
      <c r="BV1355">
        <v>0</v>
      </c>
      <c r="BW1355" t="s">
        <v>0</v>
      </c>
      <c r="BX1355">
        <v>0</v>
      </c>
      <c r="BY1355">
        <v>0</v>
      </c>
      <c r="BZ1355">
        <v>0</v>
      </c>
      <c r="CA1355">
        <v>0</v>
      </c>
      <c r="CB1355" t="s">
        <v>145</v>
      </c>
    </row>
    <row r="1356" spans="51:80" x14ac:dyDescent="0.25">
      <c r="BO1356">
        <v>0</v>
      </c>
      <c r="BP1356">
        <v>0</v>
      </c>
      <c r="BQ1356">
        <v>0</v>
      </c>
      <c r="BR1356">
        <v>0</v>
      </c>
      <c r="BS1356">
        <v>0</v>
      </c>
      <c r="BT1356">
        <v>0</v>
      </c>
      <c r="BU1356">
        <v>0</v>
      </c>
      <c r="BV1356">
        <v>0</v>
      </c>
      <c r="BW1356" t="s">
        <v>0</v>
      </c>
      <c r="BX1356">
        <v>0</v>
      </c>
      <c r="BY1356">
        <v>0</v>
      </c>
      <c r="BZ1356">
        <v>0</v>
      </c>
      <c r="CA1356">
        <v>0</v>
      </c>
      <c r="CB1356" t="s">
        <v>145</v>
      </c>
    </row>
    <row r="1357" spans="51:80" x14ac:dyDescent="0.25">
      <c r="BO1357">
        <v>0</v>
      </c>
      <c r="BP1357">
        <v>0</v>
      </c>
      <c r="BQ1357">
        <v>0</v>
      </c>
      <c r="BR1357">
        <v>0</v>
      </c>
      <c r="BS1357">
        <v>0</v>
      </c>
      <c r="BT1357">
        <v>0</v>
      </c>
      <c r="BU1357">
        <v>0</v>
      </c>
      <c r="BV1357">
        <v>0</v>
      </c>
      <c r="BW1357" t="s">
        <v>0</v>
      </c>
      <c r="BX1357">
        <v>0</v>
      </c>
      <c r="BY1357">
        <v>0</v>
      </c>
      <c r="BZ1357">
        <v>0</v>
      </c>
      <c r="CA1357">
        <v>0</v>
      </c>
      <c r="CB1357" t="s">
        <v>145</v>
      </c>
    </row>
    <row r="1358" spans="51:80" x14ac:dyDescent="0.25">
      <c r="BO1358">
        <v>0</v>
      </c>
      <c r="BP1358">
        <v>0</v>
      </c>
      <c r="BQ1358">
        <v>0</v>
      </c>
      <c r="BR1358">
        <v>0</v>
      </c>
      <c r="BS1358">
        <v>0</v>
      </c>
      <c r="BT1358">
        <v>0</v>
      </c>
      <c r="BU1358">
        <v>0</v>
      </c>
      <c r="BV1358">
        <v>0</v>
      </c>
      <c r="BW1358" t="s">
        <v>0</v>
      </c>
      <c r="BX1358">
        <v>0</v>
      </c>
      <c r="BY1358">
        <v>0</v>
      </c>
      <c r="BZ1358">
        <v>0</v>
      </c>
      <c r="CA1358">
        <v>0</v>
      </c>
      <c r="CB1358" t="s">
        <v>145</v>
      </c>
    </row>
    <row r="1359" spans="51:80" x14ac:dyDescent="0.25">
      <c r="AY1359" s="8"/>
      <c r="BO1359">
        <v>0</v>
      </c>
      <c r="BP1359">
        <v>0</v>
      </c>
      <c r="BQ1359">
        <v>0</v>
      </c>
      <c r="BR1359">
        <v>0</v>
      </c>
      <c r="BS1359">
        <v>0</v>
      </c>
      <c r="BT1359">
        <v>0</v>
      </c>
      <c r="BU1359">
        <v>0</v>
      </c>
      <c r="BV1359">
        <v>0</v>
      </c>
      <c r="BW1359" t="s">
        <v>0</v>
      </c>
      <c r="BX1359">
        <v>0</v>
      </c>
      <c r="BY1359">
        <v>0</v>
      </c>
      <c r="BZ1359">
        <v>0</v>
      </c>
      <c r="CA1359">
        <v>0</v>
      </c>
      <c r="CB1359" t="s">
        <v>145</v>
      </c>
    </row>
    <row r="1360" spans="51:80" x14ac:dyDescent="0.25">
      <c r="BO1360">
        <v>0</v>
      </c>
      <c r="BP1360">
        <v>0</v>
      </c>
      <c r="BQ1360">
        <v>0</v>
      </c>
      <c r="BR1360">
        <v>0</v>
      </c>
      <c r="BS1360">
        <v>0</v>
      </c>
      <c r="BT1360">
        <v>0</v>
      </c>
      <c r="BU1360">
        <v>0</v>
      </c>
      <c r="BV1360">
        <v>0</v>
      </c>
      <c r="BW1360" t="s">
        <v>0</v>
      </c>
      <c r="BX1360">
        <v>0</v>
      </c>
      <c r="BY1360">
        <v>0</v>
      </c>
      <c r="BZ1360">
        <v>0</v>
      </c>
      <c r="CA1360">
        <v>0</v>
      </c>
      <c r="CB1360" t="s">
        <v>145</v>
      </c>
    </row>
    <row r="1361" spans="32:80" x14ac:dyDescent="0.25">
      <c r="BO1361">
        <v>0</v>
      </c>
      <c r="BP1361">
        <v>0</v>
      </c>
      <c r="BQ1361">
        <v>0</v>
      </c>
      <c r="BR1361">
        <v>0</v>
      </c>
      <c r="BS1361">
        <v>0</v>
      </c>
      <c r="BT1361">
        <v>0</v>
      </c>
      <c r="BU1361">
        <v>0</v>
      </c>
      <c r="BV1361">
        <v>0</v>
      </c>
      <c r="BW1361" t="s">
        <v>0</v>
      </c>
      <c r="BX1361">
        <v>0</v>
      </c>
      <c r="BY1361">
        <v>0</v>
      </c>
      <c r="BZ1361">
        <v>0</v>
      </c>
      <c r="CA1361">
        <v>0</v>
      </c>
      <c r="CB1361" t="s">
        <v>145</v>
      </c>
    </row>
    <row r="1362" spans="32:80" x14ac:dyDescent="0.25">
      <c r="BO1362">
        <v>0</v>
      </c>
      <c r="BP1362">
        <v>0</v>
      </c>
      <c r="BQ1362">
        <v>0</v>
      </c>
      <c r="BR1362">
        <v>0</v>
      </c>
      <c r="BS1362">
        <v>0</v>
      </c>
      <c r="BT1362">
        <v>0</v>
      </c>
      <c r="BU1362">
        <v>0</v>
      </c>
      <c r="BV1362">
        <v>0</v>
      </c>
      <c r="BW1362" t="s">
        <v>0</v>
      </c>
      <c r="BX1362">
        <v>0</v>
      </c>
      <c r="BY1362">
        <v>0</v>
      </c>
      <c r="BZ1362">
        <v>0</v>
      </c>
      <c r="CA1362">
        <v>0</v>
      </c>
      <c r="CB1362" t="s">
        <v>145</v>
      </c>
    </row>
    <row r="1363" spans="32:80" x14ac:dyDescent="0.25">
      <c r="BO1363">
        <v>0</v>
      </c>
      <c r="BP1363">
        <v>0</v>
      </c>
      <c r="BQ1363">
        <v>0</v>
      </c>
      <c r="BR1363">
        <v>0</v>
      </c>
      <c r="BS1363">
        <v>0</v>
      </c>
      <c r="BT1363">
        <v>0</v>
      </c>
      <c r="BU1363">
        <v>0</v>
      </c>
      <c r="BV1363">
        <v>0</v>
      </c>
      <c r="BW1363" t="s">
        <v>0</v>
      </c>
      <c r="BX1363">
        <v>0</v>
      </c>
      <c r="BY1363">
        <v>0</v>
      </c>
      <c r="BZ1363">
        <v>0</v>
      </c>
      <c r="CA1363">
        <v>0</v>
      </c>
      <c r="CB1363" t="s">
        <v>145</v>
      </c>
    </row>
    <row r="1364" spans="32:80" x14ac:dyDescent="0.25">
      <c r="BO1364">
        <v>0</v>
      </c>
      <c r="BP1364">
        <v>0</v>
      </c>
      <c r="BQ1364">
        <v>0</v>
      </c>
      <c r="BR1364">
        <v>0</v>
      </c>
      <c r="BS1364">
        <v>0</v>
      </c>
      <c r="BT1364">
        <v>0</v>
      </c>
      <c r="BU1364">
        <v>0</v>
      </c>
      <c r="BV1364">
        <v>0</v>
      </c>
      <c r="BW1364" t="s">
        <v>0</v>
      </c>
      <c r="BX1364">
        <v>0</v>
      </c>
      <c r="BY1364">
        <v>0</v>
      </c>
      <c r="BZ1364">
        <v>0</v>
      </c>
      <c r="CA1364">
        <v>0</v>
      </c>
      <c r="CB1364" t="s">
        <v>145</v>
      </c>
    </row>
    <row r="1365" spans="32:80" x14ac:dyDescent="0.25">
      <c r="BO1365">
        <v>0</v>
      </c>
      <c r="BP1365">
        <v>0</v>
      </c>
      <c r="BQ1365">
        <v>0</v>
      </c>
      <c r="BR1365">
        <v>0</v>
      </c>
      <c r="BS1365">
        <v>0</v>
      </c>
      <c r="BT1365">
        <v>0</v>
      </c>
      <c r="BU1365">
        <v>0</v>
      </c>
      <c r="BV1365">
        <v>0</v>
      </c>
      <c r="BW1365" t="s">
        <v>0</v>
      </c>
      <c r="BX1365">
        <v>0</v>
      </c>
      <c r="BY1365">
        <v>0</v>
      </c>
      <c r="BZ1365">
        <v>0</v>
      </c>
      <c r="CA1365">
        <v>0</v>
      </c>
      <c r="CB1365" t="s">
        <v>145</v>
      </c>
    </row>
    <row r="1366" spans="32:80" x14ac:dyDescent="0.25">
      <c r="BO1366">
        <v>0</v>
      </c>
      <c r="BP1366">
        <v>0</v>
      </c>
      <c r="BQ1366">
        <v>0</v>
      </c>
      <c r="BR1366">
        <v>0</v>
      </c>
      <c r="BS1366">
        <v>0</v>
      </c>
      <c r="BT1366">
        <v>0</v>
      </c>
      <c r="BU1366">
        <v>0</v>
      </c>
      <c r="BV1366">
        <v>0</v>
      </c>
      <c r="BW1366" t="s">
        <v>0</v>
      </c>
      <c r="BX1366">
        <v>0</v>
      </c>
      <c r="BY1366">
        <v>0</v>
      </c>
      <c r="BZ1366">
        <v>0</v>
      </c>
      <c r="CA1366">
        <v>0</v>
      </c>
      <c r="CB1366" t="s">
        <v>145</v>
      </c>
    </row>
    <row r="1367" spans="32:80" x14ac:dyDescent="0.25">
      <c r="AF1367" s="1"/>
      <c r="BE1367" s="1"/>
      <c r="BM1367" s="2"/>
      <c r="BO1367">
        <v>0</v>
      </c>
      <c r="BP1367">
        <v>0</v>
      </c>
      <c r="BQ1367">
        <v>0</v>
      </c>
      <c r="BR1367">
        <v>0</v>
      </c>
      <c r="BS1367">
        <v>0</v>
      </c>
      <c r="BT1367">
        <v>0</v>
      </c>
      <c r="BU1367">
        <v>0</v>
      </c>
      <c r="BV1367">
        <v>0</v>
      </c>
      <c r="BW1367" t="s">
        <v>0</v>
      </c>
      <c r="BX1367">
        <v>0</v>
      </c>
      <c r="BY1367">
        <v>0</v>
      </c>
      <c r="BZ1367">
        <v>0</v>
      </c>
      <c r="CA1367">
        <v>0</v>
      </c>
      <c r="CB1367" t="s">
        <v>145</v>
      </c>
    </row>
    <row r="1368" spans="32:80" x14ac:dyDescent="0.25">
      <c r="BO1368">
        <v>0</v>
      </c>
      <c r="BP1368">
        <v>0</v>
      </c>
      <c r="BQ1368">
        <v>0</v>
      </c>
      <c r="BR1368">
        <v>0</v>
      </c>
      <c r="BS1368">
        <v>0</v>
      </c>
      <c r="BT1368">
        <v>0</v>
      </c>
      <c r="BU1368">
        <v>0</v>
      </c>
      <c r="BV1368">
        <v>0</v>
      </c>
      <c r="BW1368" t="s">
        <v>0</v>
      </c>
      <c r="BX1368">
        <v>0</v>
      </c>
      <c r="BY1368">
        <v>0</v>
      </c>
      <c r="BZ1368">
        <v>0</v>
      </c>
      <c r="CA1368">
        <v>0</v>
      </c>
      <c r="CB1368" t="s">
        <v>145</v>
      </c>
    </row>
    <row r="1369" spans="32:80" x14ac:dyDescent="0.25">
      <c r="BO1369">
        <v>0</v>
      </c>
      <c r="BP1369">
        <v>0</v>
      </c>
      <c r="BQ1369">
        <v>0</v>
      </c>
      <c r="BR1369">
        <v>0</v>
      </c>
      <c r="BS1369">
        <v>0</v>
      </c>
      <c r="BT1369">
        <v>0</v>
      </c>
      <c r="BU1369">
        <v>0</v>
      </c>
      <c r="BV1369">
        <v>0</v>
      </c>
      <c r="BW1369" t="s">
        <v>0</v>
      </c>
      <c r="BX1369">
        <v>0</v>
      </c>
      <c r="BY1369">
        <v>0</v>
      </c>
      <c r="BZ1369">
        <v>0</v>
      </c>
      <c r="CA1369">
        <v>0</v>
      </c>
      <c r="CB1369" t="s">
        <v>145</v>
      </c>
    </row>
    <row r="1370" spans="32:80" x14ac:dyDescent="0.25">
      <c r="BO1370">
        <v>0</v>
      </c>
      <c r="BP1370">
        <v>0</v>
      </c>
      <c r="BQ1370">
        <v>0</v>
      </c>
      <c r="BR1370">
        <v>0</v>
      </c>
      <c r="BS1370">
        <v>0</v>
      </c>
      <c r="BT1370">
        <v>0</v>
      </c>
      <c r="BU1370">
        <v>0</v>
      </c>
      <c r="BV1370">
        <v>0</v>
      </c>
      <c r="BW1370" t="s">
        <v>0</v>
      </c>
      <c r="BX1370">
        <v>0</v>
      </c>
      <c r="BY1370">
        <v>0</v>
      </c>
      <c r="BZ1370">
        <v>0</v>
      </c>
      <c r="CA1370">
        <v>0</v>
      </c>
      <c r="CB1370" t="s">
        <v>145</v>
      </c>
    </row>
    <row r="1371" spans="32:80" x14ac:dyDescent="0.25">
      <c r="BO1371">
        <v>0</v>
      </c>
      <c r="BP1371">
        <v>0</v>
      </c>
      <c r="BQ1371">
        <v>0</v>
      </c>
      <c r="BR1371">
        <v>0</v>
      </c>
      <c r="BS1371">
        <v>0</v>
      </c>
      <c r="BT1371">
        <v>0</v>
      </c>
      <c r="BU1371">
        <v>0</v>
      </c>
      <c r="BV1371">
        <v>0</v>
      </c>
      <c r="BW1371" t="s">
        <v>0</v>
      </c>
      <c r="BX1371">
        <v>0</v>
      </c>
      <c r="BY1371">
        <v>0</v>
      </c>
      <c r="BZ1371">
        <v>0</v>
      </c>
      <c r="CA1371">
        <v>0</v>
      </c>
      <c r="CB1371" t="s">
        <v>145</v>
      </c>
    </row>
    <row r="1372" spans="32:80" x14ac:dyDescent="0.25">
      <c r="BO1372">
        <v>0</v>
      </c>
      <c r="BP1372">
        <v>0</v>
      </c>
      <c r="BQ1372">
        <v>0</v>
      </c>
      <c r="BR1372">
        <v>0</v>
      </c>
      <c r="BS1372">
        <v>0</v>
      </c>
      <c r="BT1372">
        <v>0</v>
      </c>
      <c r="BU1372">
        <v>0</v>
      </c>
      <c r="BV1372">
        <v>0</v>
      </c>
      <c r="BW1372" t="s">
        <v>0</v>
      </c>
      <c r="BX1372">
        <v>0</v>
      </c>
      <c r="BY1372">
        <v>0</v>
      </c>
      <c r="BZ1372">
        <v>0</v>
      </c>
      <c r="CA1372">
        <v>0</v>
      </c>
      <c r="CB1372" t="s">
        <v>145</v>
      </c>
    </row>
    <row r="1373" spans="32:80" x14ac:dyDescent="0.25">
      <c r="BO1373">
        <v>0</v>
      </c>
      <c r="BP1373">
        <v>0</v>
      </c>
      <c r="BQ1373">
        <v>0</v>
      </c>
      <c r="BR1373">
        <v>0</v>
      </c>
      <c r="BS1373">
        <v>0</v>
      </c>
      <c r="BT1373">
        <v>0</v>
      </c>
      <c r="BU1373">
        <v>0</v>
      </c>
      <c r="BV1373">
        <v>0</v>
      </c>
      <c r="BW1373" t="s">
        <v>0</v>
      </c>
      <c r="BX1373">
        <v>0</v>
      </c>
      <c r="BY1373">
        <v>0</v>
      </c>
      <c r="BZ1373">
        <v>0</v>
      </c>
      <c r="CA1373">
        <v>0</v>
      </c>
      <c r="CB1373" t="s">
        <v>145</v>
      </c>
    </row>
    <row r="1374" spans="32:80" x14ac:dyDescent="0.25">
      <c r="BO1374">
        <v>0</v>
      </c>
      <c r="BP1374">
        <v>0</v>
      </c>
      <c r="BQ1374">
        <v>0</v>
      </c>
      <c r="BR1374">
        <v>0</v>
      </c>
      <c r="BS1374">
        <v>0</v>
      </c>
      <c r="BT1374">
        <v>0</v>
      </c>
      <c r="BU1374">
        <v>0</v>
      </c>
      <c r="BV1374">
        <v>0</v>
      </c>
      <c r="BW1374" t="s">
        <v>0</v>
      </c>
      <c r="BX1374">
        <v>0</v>
      </c>
      <c r="BY1374">
        <v>0</v>
      </c>
      <c r="BZ1374">
        <v>0</v>
      </c>
      <c r="CA1374">
        <v>0</v>
      </c>
      <c r="CB1374" t="s">
        <v>145</v>
      </c>
    </row>
    <row r="1375" spans="32:80" x14ac:dyDescent="0.25">
      <c r="BO1375">
        <v>0</v>
      </c>
      <c r="BP1375">
        <v>0</v>
      </c>
      <c r="BQ1375">
        <v>0</v>
      </c>
      <c r="BR1375">
        <v>0</v>
      </c>
      <c r="BS1375">
        <v>0</v>
      </c>
      <c r="BT1375">
        <v>0</v>
      </c>
      <c r="BU1375">
        <v>0</v>
      </c>
      <c r="BV1375">
        <v>0</v>
      </c>
      <c r="BW1375" t="s">
        <v>0</v>
      </c>
      <c r="BX1375">
        <v>0</v>
      </c>
      <c r="BY1375">
        <v>0</v>
      </c>
      <c r="BZ1375">
        <v>0</v>
      </c>
      <c r="CA1375">
        <v>0</v>
      </c>
      <c r="CB1375" t="s">
        <v>145</v>
      </c>
    </row>
    <row r="1376" spans="32:80" x14ac:dyDescent="0.25">
      <c r="BO1376">
        <v>0</v>
      </c>
      <c r="BP1376">
        <v>0</v>
      </c>
      <c r="BQ1376">
        <v>0</v>
      </c>
      <c r="BR1376">
        <v>0</v>
      </c>
      <c r="BS1376">
        <v>0</v>
      </c>
      <c r="BT1376">
        <v>0</v>
      </c>
      <c r="BU1376">
        <v>0</v>
      </c>
      <c r="BV1376">
        <v>0</v>
      </c>
      <c r="BW1376" t="s">
        <v>0</v>
      </c>
      <c r="BX1376">
        <v>0</v>
      </c>
      <c r="BY1376">
        <v>0</v>
      </c>
      <c r="BZ1376">
        <v>0</v>
      </c>
      <c r="CA1376">
        <v>0</v>
      </c>
      <c r="CB1376" t="s">
        <v>145</v>
      </c>
    </row>
    <row r="1377" spans="67:80" x14ac:dyDescent="0.25">
      <c r="BO1377">
        <v>0</v>
      </c>
      <c r="BP1377">
        <v>0</v>
      </c>
      <c r="BQ1377">
        <v>0</v>
      </c>
      <c r="BR1377">
        <v>0</v>
      </c>
      <c r="BS1377">
        <v>0</v>
      </c>
      <c r="BT1377">
        <v>0</v>
      </c>
      <c r="BU1377">
        <v>0</v>
      </c>
      <c r="BV1377">
        <v>0</v>
      </c>
      <c r="BW1377" t="s">
        <v>0</v>
      </c>
      <c r="BX1377">
        <v>0</v>
      </c>
      <c r="BY1377">
        <v>0</v>
      </c>
      <c r="BZ1377">
        <v>0</v>
      </c>
      <c r="CA1377">
        <v>0</v>
      </c>
      <c r="CB1377" t="s">
        <v>145</v>
      </c>
    </row>
    <row r="1378" spans="67:80" x14ac:dyDescent="0.25">
      <c r="BO1378">
        <v>0</v>
      </c>
      <c r="BP1378">
        <v>0</v>
      </c>
      <c r="BQ1378">
        <v>0</v>
      </c>
      <c r="BR1378">
        <v>0</v>
      </c>
      <c r="BS1378">
        <v>0</v>
      </c>
      <c r="BT1378">
        <v>0</v>
      </c>
      <c r="BU1378">
        <v>0</v>
      </c>
      <c r="BV1378">
        <v>0</v>
      </c>
      <c r="BW1378" t="s">
        <v>0</v>
      </c>
      <c r="BX1378">
        <v>0</v>
      </c>
      <c r="BY1378">
        <v>0</v>
      </c>
      <c r="BZ1378">
        <v>0</v>
      </c>
      <c r="CA1378">
        <v>0</v>
      </c>
      <c r="CB1378" t="s">
        <v>145</v>
      </c>
    </row>
    <row r="1379" spans="67:80" x14ac:dyDescent="0.25">
      <c r="BO1379">
        <v>0</v>
      </c>
      <c r="BP1379">
        <v>0</v>
      </c>
      <c r="BQ1379">
        <v>0</v>
      </c>
      <c r="BR1379">
        <v>0</v>
      </c>
      <c r="BS1379">
        <v>0</v>
      </c>
      <c r="BT1379">
        <v>0</v>
      </c>
      <c r="BU1379">
        <v>0</v>
      </c>
      <c r="BV1379">
        <v>0</v>
      </c>
      <c r="BW1379" t="s">
        <v>0</v>
      </c>
      <c r="BX1379">
        <v>0</v>
      </c>
      <c r="BY1379">
        <v>0</v>
      </c>
      <c r="BZ1379">
        <v>0</v>
      </c>
      <c r="CA1379">
        <v>0</v>
      </c>
      <c r="CB1379" t="s">
        <v>145</v>
      </c>
    </row>
    <row r="1380" spans="67:80" x14ac:dyDescent="0.25">
      <c r="BO1380">
        <v>0</v>
      </c>
      <c r="BP1380">
        <v>0</v>
      </c>
      <c r="BQ1380">
        <v>0</v>
      </c>
      <c r="BR1380">
        <v>0</v>
      </c>
      <c r="BS1380">
        <v>0</v>
      </c>
      <c r="BT1380">
        <v>0</v>
      </c>
      <c r="BU1380">
        <v>0</v>
      </c>
      <c r="BV1380">
        <v>0</v>
      </c>
      <c r="BW1380" t="s">
        <v>0</v>
      </c>
      <c r="BX1380">
        <v>0</v>
      </c>
      <c r="BY1380">
        <v>0</v>
      </c>
      <c r="BZ1380">
        <v>0</v>
      </c>
      <c r="CA1380">
        <v>0</v>
      </c>
      <c r="CB1380" t="s">
        <v>145</v>
      </c>
    </row>
    <row r="1381" spans="67:80" x14ac:dyDescent="0.25">
      <c r="BO1381">
        <v>0</v>
      </c>
      <c r="BP1381">
        <v>0</v>
      </c>
      <c r="BQ1381">
        <v>0</v>
      </c>
      <c r="BR1381">
        <v>0</v>
      </c>
      <c r="BS1381">
        <v>0</v>
      </c>
      <c r="BT1381">
        <v>0</v>
      </c>
      <c r="BU1381">
        <v>0</v>
      </c>
      <c r="BV1381">
        <v>0</v>
      </c>
      <c r="BW1381" t="s">
        <v>0</v>
      </c>
      <c r="BX1381">
        <v>0</v>
      </c>
      <c r="BY1381">
        <v>0</v>
      </c>
      <c r="BZ1381">
        <v>0</v>
      </c>
      <c r="CA1381">
        <v>0</v>
      </c>
      <c r="CB1381" t="s">
        <v>145</v>
      </c>
    </row>
    <row r="1382" spans="67:80" x14ac:dyDescent="0.25">
      <c r="BO1382">
        <v>0</v>
      </c>
      <c r="BP1382">
        <v>0</v>
      </c>
      <c r="BQ1382">
        <v>0</v>
      </c>
      <c r="BR1382">
        <v>0</v>
      </c>
      <c r="BS1382">
        <v>0</v>
      </c>
      <c r="BT1382">
        <v>0</v>
      </c>
      <c r="BU1382">
        <v>0</v>
      </c>
      <c r="BV1382">
        <v>0</v>
      </c>
      <c r="BW1382" t="s">
        <v>0</v>
      </c>
      <c r="BX1382">
        <v>0</v>
      </c>
      <c r="BY1382">
        <v>0</v>
      </c>
      <c r="BZ1382">
        <v>0</v>
      </c>
      <c r="CA1382">
        <v>0</v>
      </c>
      <c r="CB1382" t="s">
        <v>145</v>
      </c>
    </row>
    <row r="1383" spans="67:80" x14ac:dyDescent="0.25">
      <c r="BO1383">
        <v>0</v>
      </c>
      <c r="BP1383">
        <v>0</v>
      </c>
      <c r="BQ1383">
        <v>0</v>
      </c>
      <c r="BR1383">
        <v>0</v>
      </c>
      <c r="BS1383">
        <v>0</v>
      </c>
      <c r="BT1383">
        <v>0</v>
      </c>
      <c r="BU1383">
        <v>0</v>
      </c>
      <c r="BV1383">
        <v>0</v>
      </c>
      <c r="BW1383" t="s">
        <v>0</v>
      </c>
      <c r="BX1383">
        <v>0</v>
      </c>
      <c r="BY1383">
        <v>0</v>
      </c>
      <c r="BZ1383">
        <v>0</v>
      </c>
      <c r="CA1383">
        <v>0</v>
      </c>
      <c r="CB1383" t="s">
        <v>145</v>
      </c>
    </row>
    <row r="1384" spans="67:80" x14ac:dyDescent="0.25">
      <c r="BO1384">
        <v>0</v>
      </c>
      <c r="BP1384">
        <v>0</v>
      </c>
      <c r="BQ1384">
        <v>0</v>
      </c>
      <c r="BR1384">
        <v>0</v>
      </c>
      <c r="BS1384">
        <v>0</v>
      </c>
      <c r="BT1384">
        <v>0</v>
      </c>
      <c r="BU1384">
        <v>0</v>
      </c>
      <c r="BV1384">
        <v>0</v>
      </c>
      <c r="BW1384" t="s">
        <v>0</v>
      </c>
      <c r="BX1384">
        <v>0</v>
      </c>
      <c r="BY1384">
        <v>0</v>
      </c>
      <c r="BZ1384">
        <v>0</v>
      </c>
      <c r="CA1384">
        <v>0</v>
      </c>
      <c r="CB1384" t="s">
        <v>145</v>
      </c>
    </row>
    <row r="1385" spans="67:80" x14ac:dyDescent="0.25">
      <c r="BO1385">
        <v>0</v>
      </c>
      <c r="BP1385">
        <v>0</v>
      </c>
      <c r="BQ1385">
        <v>0</v>
      </c>
      <c r="BR1385">
        <v>0</v>
      </c>
      <c r="BS1385">
        <v>0</v>
      </c>
      <c r="BT1385">
        <v>0</v>
      </c>
      <c r="BU1385">
        <v>0</v>
      </c>
      <c r="BV1385">
        <v>0</v>
      </c>
      <c r="BW1385" t="s">
        <v>0</v>
      </c>
      <c r="BX1385">
        <v>0</v>
      </c>
      <c r="BY1385">
        <v>0</v>
      </c>
      <c r="BZ1385">
        <v>0</v>
      </c>
      <c r="CA1385">
        <v>0</v>
      </c>
      <c r="CB1385" t="s">
        <v>145</v>
      </c>
    </row>
    <row r="1386" spans="67:80" x14ac:dyDescent="0.25">
      <c r="BO1386">
        <v>0</v>
      </c>
      <c r="BP1386">
        <v>0</v>
      </c>
      <c r="BQ1386">
        <v>0</v>
      </c>
      <c r="BR1386">
        <v>0</v>
      </c>
      <c r="BS1386">
        <v>0</v>
      </c>
      <c r="BT1386">
        <v>0</v>
      </c>
      <c r="BU1386">
        <v>0</v>
      </c>
      <c r="BV1386">
        <v>0</v>
      </c>
      <c r="BW1386" t="s">
        <v>0</v>
      </c>
      <c r="BX1386">
        <v>0</v>
      </c>
      <c r="BY1386">
        <v>0</v>
      </c>
      <c r="BZ1386">
        <v>0</v>
      </c>
      <c r="CA1386">
        <v>0</v>
      </c>
      <c r="CB1386" t="s">
        <v>145</v>
      </c>
    </row>
    <row r="1387" spans="67:80" x14ac:dyDescent="0.25">
      <c r="BO1387">
        <v>0</v>
      </c>
      <c r="BP1387">
        <v>0</v>
      </c>
      <c r="BQ1387">
        <v>0</v>
      </c>
      <c r="BR1387">
        <v>0</v>
      </c>
      <c r="BS1387">
        <v>0</v>
      </c>
      <c r="BT1387">
        <v>0</v>
      </c>
      <c r="BU1387">
        <v>0</v>
      </c>
      <c r="BV1387">
        <v>0</v>
      </c>
      <c r="BW1387" t="s">
        <v>0</v>
      </c>
      <c r="BX1387">
        <v>0</v>
      </c>
      <c r="BY1387">
        <v>0</v>
      </c>
      <c r="BZ1387">
        <v>0</v>
      </c>
      <c r="CA1387">
        <v>0</v>
      </c>
      <c r="CB1387" t="s">
        <v>145</v>
      </c>
    </row>
    <row r="1388" spans="67:80" x14ac:dyDescent="0.25">
      <c r="BO1388">
        <v>0</v>
      </c>
      <c r="BP1388">
        <v>0</v>
      </c>
      <c r="BQ1388">
        <v>0</v>
      </c>
      <c r="BR1388">
        <v>0</v>
      </c>
      <c r="BS1388">
        <v>0</v>
      </c>
      <c r="BT1388">
        <v>0</v>
      </c>
      <c r="BU1388">
        <v>0</v>
      </c>
      <c r="BV1388">
        <v>0</v>
      </c>
      <c r="BW1388" t="s">
        <v>0</v>
      </c>
      <c r="BX1388">
        <v>0</v>
      </c>
      <c r="BY1388">
        <v>0</v>
      </c>
      <c r="BZ1388">
        <v>0</v>
      </c>
      <c r="CA1388">
        <v>0</v>
      </c>
      <c r="CB1388" t="s">
        <v>145</v>
      </c>
    </row>
    <row r="1389" spans="67:80" x14ac:dyDescent="0.25">
      <c r="BO1389">
        <v>0</v>
      </c>
      <c r="BP1389">
        <v>0</v>
      </c>
      <c r="BQ1389">
        <v>0</v>
      </c>
      <c r="BR1389">
        <v>0</v>
      </c>
      <c r="BS1389">
        <v>0</v>
      </c>
      <c r="BT1389">
        <v>0</v>
      </c>
      <c r="BU1389">
        <v>0</v>
      </c>
      <c r="BV1389">
        <v>0</v>
      </c>
      <c r="BW1389" t="s">
        <v>0</v>
      </c>
      <c r="BX1389">
        <v>0</v>
      </c>
      <c r="BY1389">
        <v>0</v>
      </c>
      <c r="BZ1389">
        <v>0</v>
      </c>
      <c r="CA1389">
        <v>0</v>
      </c>
      <c r="CB1389" t="s">
        <v>145</v>
      </c>
    </row>
    <row r="1390" spans="67:80" x14ac:dyDescent="0.25">
      <c r="BO1390">
        <v>0</v>
      </c>
      <c r="BP1390">
        <v>0</v>
      </c>
      <c r="BQ1390">
        <v>0</v>
      </c>
      <c r="BR1390">
        <v>0</v>
      </c>
      <c r="BS1390">
        <v>0</v>
      </c>
      <c r="BT1390">
        <v>0</v>
      </c>
      <c r="BU1390">
        <v>0</v>
      </c>
      <c r="BV1390">
        <v>0</v>
      </c>
      <c r="BW1390" t="s">
        <v>0</v>
      </c>
      <c r="BX1390">
        <v>0</v>
      </c>
      <c r="BY1390">
        <v>0</v>
      </c>
      <c r="BZ1390">
        <v>0</v>
      </c>
      <c r="CA1390">
        <v>0</v>
      </c>
      <c r="CB1390" t="s">
        <v>145</v>
      </c>
    </row>
    <row r="1391" spans="67:80" x14ac:dyDescent="0.25">
      <c r="BO1391">
        <v>0</v>
      </c>
      <c r="BP1391">
        <v>0</v>
      </c>
      <c r="BQ1391">
        <v>0</v>
      </c>
      <c r="BR1391">
        <v>0</v>
      </c>
      <c r="BS1391">
        <v>0</v>
      </c>
      <c r="BT1391">
        <v>0</v>
      </c>
      <c r="BU1391">
        <v>0</v>
      </c>
      <c r="BV1391">
        <v>0</v>
      </c>
      <c r="BW1391" t="s">
        <v>0</v>
      </c>
      <c r="BX1391">
        <v>0</v>
      </c>
      <c r="BY1391">
        <v>0</v>
      </c>
      <c r="BZ1391">
        <v>0</v>
      </c>
      <c r="CA1391">
        <v>0</v>
      </c>
      <c r="CB1391" t="s">
        <v>145</v>
      </c>
    </row>
    <row r="1392" spans="67:80" x14ac:dyDescent="0.25">
      <c r="BO1392">
        <v>0</v>
      </c>
      <c r="BP1392">
        <v>0</v>
      </c>
      <c r="BQ1392">
        <v>0</v>
      </c>
      <c r="BR1392">
        <v>0</v>
      </c>
      <c r="BS1392">
        <v>0</v>
      </c>
      <c r="BT1392">
        <v>0</v>
      </c>
      <c r="BU1392">
        <v>0</v>
      </c>
      <c r="BV1392">
        <v>0</v>
      </c>
      <c r="BW1392" t="s">
        <v>0</v>
      </c>
      <c r="BX1392">
        <v>0</v>
      </c>
      <c r="BY1392">
        <v>0</v>
      </c>
      <c r="BZ1392">
        <v>0</v>
      </c>
      <c r="CA1392">
        <v>0</v>
      </c>
      <c r="CB1392" t="s">
        <v>145</v>
      </c>
    </row>
    <row r="1393" spans="67:80" x14ac:dyDescent="0.25">
      <c r="BO1393">
        <v>0</v>
      </c>
      <c r="BP1393">
        <v>0</v>
      </c>
      <c r="BQ1393">
        <v>0</v>
      </c>
      <c r="BR1393">
        <v>0</v>
      </c>
      <c r="BS1393">
        <v>0</v>
      </c>
      <c r="BT1393">
        <v>0</v>
      </c>
      <c r="BU1393">
        <v>0</v>
      </c>
      <c r="BV1393">
        <v>0</v>
      </c>
      <c r="BW1393" t="s">
        <v>0</v>
      </c>
      <c r="BX1393">
        <v>0</v>
      </c>
      <c r="BY1393">
        <v>0</v>
      </c>
      <c r="BZ1393">
        <v>0</v>
      </c>
      <c r="CA1393">
        <v>0</v>
      </c>
      <c r="CB1393" t="s">
        <v>145</v>
      </c>
    </row>
    <row r="1394" spans="67:80" x14ac:dyDescent="0.25">
      <c r="BO1394">
        <v>0</v>
      </c>
      <c r="BP1394">
        <v>0</v>
      </c>
      <c r="BQ1394">
        <v>0</v>
      </c>
      <c r="BR1394">
        <v>0</v>
      </c>
      <c r="BS1394">
        <v>0</v>
      </c>
      <c r="BT1394">
        <v>0</v>
      </c>
      <c r="BU1394">
        <v>0</v>
      </c>
      <c r="BV1394">
        <v>0</v>
      </c>
      <c r="BW1394" t="s">
        <v>0</v>
      </c>
      <c r="BX1394">
        <v>0</v>
      </c>
      <c r="BY1394">
        <v>0</v>
      </c>
      <c r="BZ1394">
        <v>0</v>
      </c>
      <c r="CA1394">
        <v>0</v>
      </c>
      <c r="CB1394" t="s">
        <v>145</v>
      </c>
    </row>
    <row r="1395" spans="67:80" x14ac:dyDescent="0.25">
      <c r="BO1395">
        <v>0</v>
      </c>
      <c r="BP1395">
        <v>0</v>
      </c>
      <c r="BQ1395">
        <v>0</v>
      </c>
      <c r="BR1395">
        <v>0</v>
      </c>
      <c r="BS1395">
        <v>0</v>
      </c>
      <c r="BT1395">
        <v>0</v>
      </c>
      <c r="BU1395">
        <v>0</v>
      </c>
      <c r="BV1395">
        <v>0</v>
      </c>
      <c r="BW1395" t="s">
        <v>0</v>
      </c>
      <c r="BX1395">
        <v>0</v>
      </c>
      <c r="BY1395">
        <v>0</v>
      </c>
      <c r="BZ1395">
        <v>0</v>
      </c>
      <c r="CA1395">
        <v>0</v>
      </c>
      <c r="CB1395" t="s">
        <v>145</v>
      </c>
    </row>
    <row r="1396" spans="67:80" x14ac:dyDescent="0.25">
      <c r="BO1396">
        <v>0</v>
      </c>
      <c r="BP1396">
        <v>0</v>
      </c>
      <c r="BQ1396">
        <v>0</v>
      </c>
      <c r="BR1396">
        <v>0</v>
      </c>
      <c r="BS1396">
        <v>0</v>
      </c>
      <c r="BT1396">
        <v>0</v>
      </c>
      <c r="BU1396">
        <v>0</v>
      </c>
      <c r="BV1396">
        <v>0</v>
      </c>
      <c r="BW1396" t="s">
        <v>0</v>
      </c>
      <c r="BX1396">
        <v>0</v>
      </c>
      <c r="BY1396">
        <v>0</v>
      </c>
      <c r="BZ1396">
        <v>0</v>
      </c>
      <c r="CA1396">
        <v>0</v>
      </c>
      <c r="CB1396" t="s">
        <v>145</v>
      </c>
    </row>
    <row r="1397" spans="67:80" x14ac:dyDescent="0.25">
      <c r="BO1397">
        <v>0</v>
      </c>
      <c r="BP1397">
        <v>0</v>
      </c>
      <c r="BQ1397">
        <v>0</v>
      </c>
      <c r="BR1397">
        <v>0</v>
      </c>
      <c r="BS1397">
        <v>0</v>
      </c>
      <c r="BT1397">
        <v>0</v>
      </c>
      <c r="BU1397">
        <v>0</v>
      </c>
      <c r="BV1397">
        <v>0</v>
      </c>
      <c r="BW1397" t="s">
        <v>0</v>
      </c>
      <c r="BX1397">
        <v>0</v>
      </c>
      <c r="BY1397">
        <v>0</v>
      </c>
      <c r="BZ1397">
        <v>0</v>
      </c>
      <c r="CA1397">
        <v>0</v>
      </c>
      <c r="CB1397" t="s">
        <v>145</v>
      </c>
    </row>
    <row r="1398" spans="67:80" x14ac:dyDescent="0.25">
      <c r="BO1398">
        <v>0</v>
      </c>
      <c r="BP1398">
        <v>0</v>
      </c>
      <c r="BQ1398">
        <v>0</v>
      </c>
      <c r="BR1398">
        <v>0</v>
      </c>
      <c r="BS1398">
        <v>0</v>
      </c>
      <c r="BT1398">
        <v>0</v>
      </c>
      <c r="BU1398">
        <v>0</v>
      </c>
      <c r="BV1398">
        <v>0</v>
      </c>
      <c r="BW1398" t="s">
        <v>0</v>
      </c>
      <c r="BX1398">
        <v>0</v>
      </c>
      <c r="BY1398">
        <v>0</v>
      </c>
      <c r="BZ1398">
        <v>0</v>
      </c>
      <c r="CA1398">
        <v>0</v>
      </c>
      <c r="CB1398" t="s">
        <v>145</v>
      </c>
    </row>
    <row r="1399" spans="67:80" x14ac:dyDescent="0.25">
      <c r="BO1399">
        <v>0</v>
      </c>
      <c r="BP1399">
        <v>0</v>
      </c>
      <c r="BQ1399">
        <v>0</v>
      </c>
      <c r="BR1399">
        <v>0</v>
      </c>
      <c r="BS1399">
        <v>0</v>
      </c>
      <c r="BT1399">
        <v>0</v>
      </c>
      <c r="BU1399">
        <v>0</v>
      </c>
      <c r="BV1399">
        <v>0</v>
      </c>
      <c r="BW1399" t="s">
        <v>0</v>
      </c>
      <c r="BX1399">
        <v>0</v>
      </c>
      <c r="BY1399">
        <v>0</v>
      </c>
      <c r="BZ1399">
        <v>0</v>
      </c>
      <c r="CA1399">
        <v>0</v>
      </c>
      <c r="CB1399" t="s">
        <v>145</v>
      </c>
    </row>
    <row r="1400" spans="67:80" x14ac:dyDescent="0.25">
      <c r="BO1400">
        <v>0</v>
      </c>
      <c r="BP1400">
        <v>0</v>
      </c>
      <c r="BQ1400">
        <v>0</v>
      </c>
      <c r="BR1400">
        <v>0</v>
      </c>
      <c r="BS1400">
        <v>0</v>
      </c>
      <c r="BT1400">
        <v>0</v>
      </c>
      <c r="BU1400">
        <v>0</v>
      </c>
      <c r="BV1400">
        <v>0</v>
      </c>
      <c r="BW1400" t="s">
        <v>0</v>
      </c>
      <c r="BX1400">
        <v>0</v>
      </c>
      <c r="BY1400">
        <v>0</v>
      </c>
      <c r="BZ1400">
        <v>0</v>
      </c>
      <c r="CA1400">
        <v>0</v>
      </c>
      <c r="CB1400" t="s">
        <v>145</v>
      </c>
    </row>
    <row r="1401" spans="67:80" x14ac:dyDescent="0.25">
      <c r="BO1401">
        <v>0</v>
      </c>
      <c r="BP1401">
        <v>0</v>
      </c>
      <c r="BQ1401">
        <v>0</v>
      </c>
      <c r="BR1401">
        <v>0</v>
      </c>
      <c r="BS1401">
        <v>0</v>
      </c>
      <c r="BT1401">
        <v>0</v>
      </c>
      <c r="BU1401">
        <v>0</v>
      </c>
      <c r="BV1401">
        <v>0</v>
      </c>
      <c r="BW1401" t="s">
        <v>0</v>
      </c>
      <c r="BX1401">
        <v>0</v>
      </c>
      <c r="BY1401">
        <v>0</v>
      </c>
      <c r="BZ1401">
        <v>0</v>
      </c>
      <c r="CA1401">
        <v>0</v>
      </c>
      <c r="CB1401" t="s">
        <v>145</v>
      </c>
    </row>
    <row r="1402" spans="67:80" x14ac:dyDescent="0.25">
      <c r="BO1402">
        <v>0</v>
      </c>
      <c r="BP1402">
        <v>0</v>
      </c>
      <c r="BQ1402">
        <v>0</v>
      </c>
      <c r="BR1402">
        <v>0</v>
      </c>
      <c r="BS1402">
        <v>0</v>
      </c>
      <c r="BT1402">
        <v>0</v>
      </c>
      <c r="BU1402">
        <v>0</v>
      </c>
      <c r="BV1402">
        <v>0</v>
      </c>
      <c r="BW1402" t="s">
        <v>0</v>
      </c>
      <c r="BX1402">
        <v>0</v>
      </c>
      <c r="BY1402">
        <v>0</v>
      </c>
      <c r="BZ1402">
        <v>0</v>
      </c>
      <c r="CA1402">
        <v>0</v>
      </c>
      <c r="CB1402" t="s">
        <v>145</v>
      </c>
    </row>
    <row r="1403" spans="67:80" x14ac:dyDescent="0.25">
      <c r="BO1403">
        <v>0</v>
      </c>
      <c r="BP1403">
        <v>0</v>
      </c>
      <c r="BQ1403">
        <v>0</v>
      </c>
      <c r="BR1403">
        <v>0</v>
      </c>
      <c r="BS1403">
        <v>0</v>
      </c>
      <c r="BT1403">
        <v>0</v>
      </c>
      <c r="BU1403">
        <v>0</v>
      </c>
      <c r="BV1403">
        <v>0</v>
      </c>
      <c r="BW1403" t="s">
        <v>0</v>
      </c>
      <c r="BX1403">
        <v>0</v>
      </c>
      <c r="BY1403">
        <v>0</v>
      </c>
      <c r="BZ1403">
        <v>0</v>
      </c>
      <c r="CA1403">
        <v>0</v>
      </c>
      <c r="CB1403" t="s">
        <v>145</v>
      </c>
    </row>
    <row r="1404" spans="67:80" x14ac:dyDescent="0.25">
      <c r="BO1404">
        <v>0</v>
      </c>
      <c r="BP1404">
        <v>0</v>
      </c>
      <c r="BQ1404">
        <v>0</v>
      </c>
      <c r="BR1404">
        <v>0</v>
      </c>
      <c r="BS1404">
        <v>0</v>
      </c>
      <c r="BT1404">
        <v>0</v>
      </c>
      <c r="BU1404">
        <v>0</v>
      </c>
      <c r="BV1404">
        <v>0</v>
      </c>
      <c r="BW1404" t="s">
        <v>0</v>
      </c>
      <c r="BX1404">
        <v>0</v>
      </c>
      <c r="BY1404">
        <v>0</v>
      </c>
      <c r="BZ1404">
        <v>0</v>
      </c>
      <c r="CA1404">
        <v>0</v>
      </c>
      <c r="CB1404" t="s">
        <v>145</v>
      </c>
    </row>
    <row r="1405" spans="67:80" x14ac:dyDescent="0.25">
      <c r="BO1405">
        <v>0</v>
      </c>
      <c r="BP1405">
        <v>0</v>
      </c>
      <c r="BQ1405">
        <v>0</v>
      </c>
      <c r="BR1405">
        <v>0</v>
      </c>
      <c r="BS1405">
        <v>0</v>
      </c>
      <c r="BT1405">
        <v>0</v>
      </c>
      <c r="BU1405">
        <v>0</v>
      </c>
      <c r="BV1405">
        <v>0</v>
      </c>
      <c r="BW1405" t="s">
        <v>0</v>
      </c>
      <c r="BX1405">
        <v>0</v>
      </c>
      <c r="BY1405">
        <v>0</v>
      </c>
      <c r="BZ1405">
        <v>0</v>
      </c>
      <c r="CA1405">
        <v>0</v>
      </c>
      <c r="CB1405" t="s">
        <v>145</v>
      </c>
    </row>
    <row r="1406" spans="67:80" x14ac:dyDescent="0.25">
      <c r="BO1406">
        <v>0</v>
      </c>
      <c r="BP1406">
        <v>0</v>
      </c>
      <c r="BQ1406">
        <v>0</v>
      </c>
      <c r="BR1406">
        <v>0</v>
      </c>
      <c r="BS1406">
        <v>0</v>
      </c>
      <c r="BT1406">
        <v>0</v>
      </c>
      <c r="BU1406">
        <v>0</v>
      </c>
      <c r="BV1406">
        <v>0</v>
      </c>
      <c r="BW1406" t="s">
        <v>0</v>
      </c>
      <c r="BX1406">
        <v>0</v>
      </c>
      <c r="BY1406">
        <v>0</v>
      </c>
      <c r="BZ1406">
        <v>0</v>
      </c>
      <c r="CA1406">
        <v>0</v>
      </c>
      <c r="CB1406" t="s">
        <v>145</v>
      </c>
    </row>
    <row r="1407" spans="67:80" x14ac:dyDescent="0.25">
      <c r="BO1407">
        <v>0</v>
      </c>
      <c r="BP1407">
        <v>0</v>
      </c>
      <c r="BQ1407">
        <v>0</v>
      </c>
      <c r="BR1407">
        <v>0</v>
      </c>
      <c r="BS1407">
        <v>0</v>
      </c>
      <c r="BT1407">
        <v>0</v>
      </c>
      <c r="BU1407">
        <v>0</v>
      </c>
      <c r="BV1407">
        <v>0</v>
      </c>
      <c r="BW1407" t="s">
        <v>0</v>
      </c>
      <c r="BX1407">
        <v>0</v>
      </c>
      <c r="BY1407">
        <v>0</v>
      </c>
      <c r="BZ1407">
        <v>0</v>
      </c>
      <c r="CA1407">
        <v>0</v>
      </c>
      <c r="CB1407" t="s">
        <v>145</v>
      </c>
    </row>
    <row r="1408" spans="67:80" x14ac:dyDescent="0.25">
      <c r="BO1408">
        <v>0</v>
      </c>
      <c r="BP1408">
        <v>0</v>
      </c>
      <c r="BQ1408">
        <v>0</v>
      </c>
      <c r="BR1408">
        <v>0</v>
      </c>
      <c r="BS1408">
        <v>0</v>
      </c>
      <c r="BT1408">
        <v>0</v>
      </c>
      <c r="BU1408">
        <v>0</v>
      </c>
      <c r="BV1408">
        <v>0</v>
      </c>
      <c r="BW1408" t="s">
        <v>0</v>
      </c>
      <c r="BX1408">
        <v>0</v>
      </c>
      <c r="BY1408">
        <v>0</v>
      </c>
      <c r="BZ1408">
        <v>0</v>
      </c>
      <c r="CA1408">
        <v>0</v>
      </c>
      <c r="CB1408" t="s">
        <v>145</v>
      </c>
    </row>
    <row r="1409" spans="67:80" x14ac:dyDescent="0.25">
      <c r="BO1409">
        <v>0</v>
      </c>
      <c r="BP1409">
        <v>0</v>
      </c>
      <c r="BQ1409">
        <v>0</v>
      </c>
      <c r="BR1409">
        <v>0</v>
      </c>
      <c r="BS1409">
        <v>0</v>
      </c>
      <c r="BT1409">
        <v>0</v>
      </c>
      <c r="BU1409">
        <v>0</v>
      </c>
      <c r="BV1409">
        <v>0</v>
      </c>
      <c r="BW1409" t="s">
        <v>0</v>
      </c>
      <c r="BX1409">
        <v>0</v>
      </c>
      <c r="BY1409">
        <v>0</v>
      </c>
      <c r="BZ1409">
        <v>0</v>
      </c>
      <c r="CA1409">
        <v>0</v>
      </c>
      <c r="CB1409" t="s">
        <v>145</v>
      </c>
    </row>
    <row r="1410" spans="67:80" x14ac:dyDescent="0.25">
      <c r="BO1410">
        <v>0</v>
      </c>
      <c r="BP1410">
        <v>0</v>
      </c>
      <c r="BQ1410">
        <v>0</v>
      </c>
      <c r="BR1410">
        <v>0</v>
      </c>
      <c r="BS1410">
        <v>0</v>
      </c>
      <c r="BT1410">
        <v>0</v>
      </c>
      <c r="BU1410">
        <v>0</v>
      </c>
      <c r="BV1410">
        <v>0</v>
      </c>
      <c r="BW1410" t="s">
        <v>0</v>
      </c>
      <c r="BX1410">
        <v>0</v>
      </c>
      <c r="BY1410">
        <v>0</v>
      </c>
      <c r="BZ1410">
        <v>0</v>
      </c>
      <c r="CA1410">
        <v>0</v>
      </c>
      <c r="CB1410" t="s">
        <v>145</v>
      </c>
    </row>
    <row r="1411" spans="67:80" x14ac:dyDescent="0.25">
      <c r="BO1411">
        <v>0</v>
      </c>
      <c r="BP1411">
        <v>0</v>
      </c>
      <c r="BQ1411">
        <v>0</v>
      </c>
      <c r="BR1411">
        <v>0</v>
      </c>
      <c r="BS1411">
        <v>0</v>
      </c>
      <c r="BT1411">
        <v>0</v>
      </c>
      <c r="BU1411">
        <v>0</v>
      </c>
      <c r="BV1411">
        <v>0</v>
      </c>
      <c r="BW1411" t="s">
        <v>0</v>
      </c>
      <c r="BX1411">
        <v>0</v>
      </c>
      <c r="BY1411">
        <v>0</v>
      </c>
      <c r="BZ1411">
        <v>0</v>
      </c>
      <c r="CA1411">
        <v>0</v>
      </c>
      <c r="CB1411" t="s">
        <v>145</v>
      </c>
    </row>
    <row r="1412" spans="67:80" x14ac:dyDescent="0.25">
      <c r="BO1412">
        <v>0</v>
      </c>
      <c r="BP1412">
        <v>0</v>
      </c>
      <c r="BQ1412">
        <v>0</v>
      </c>
      <c r="BR1412">
        <v>0</v>
      </c>
      <c r="BS1412">
        <v>0</v>
      </c>
      <c r="BT1412">
        <v>0</v>
      </c>
      <c r="BU1412">
        <v>0</v>
      </c>
      <c r="BV1412">
        <v>0</v>
      </c>
      <c r="BW1412" t="s">
        <v>0</v>
      </c>
      <c r="BX1412">
        <v>0</v>
      </c>
      <c r="BY1412">
        <v>0</v>
      </c>
      <c r="BZ1412">
        <v>0</v>
      </c>
      <c r="CA1412">
        <v>0</v>
      </c>
      <c r="CB1412" t="s">
        <v>145</v>
      </c>
    </row>
    <row r="1413" spans="67:80" x14ac:dyDescent="0.25">
      <c r="BO1413">
        <v>0</v>
      </c>
      <c r="BP1413">
        <v>0</v>
      </c>
      <c r="BQ1413">
        <v>0</v>
      </c>
      <c r="BR1413">
        <v>0</v>
      </c>
      <c r="BS1413">
        <v>0</v>
      </c>
      <c r="BT1413">
        <v>0</v>
      </c>
      <c r="BU1413">
        <v>0</v>
      </c>
      <c r="BV1413">
        <v>0</v>
      </c>
      <c r="BW1413" t="s">
        <v>0</v>
      </c>
      <c r="BX1413">
        <v>0</v>
      </c>
      <c r="BY1413">
        <v>0</v>
      </c>
      <c r="BZ1413">
        <v>0</v>
      </c>
      <c r="CA1413">
        <v>0</v>
      </c>
      <c r="CB1413" t="s">
        <v>145</v>
      </c>
    </row>
    <row r="1414" spans="67:80" x14ac:dyDescent="0.25">
      <c r="BO1414">
        <v>0</v>
      </c>
      <c r="BP1414">
        <v>0</v>
      </c>
      <c r="BQ1414">
        <v>0</v>
      </c>
      <c r="BR1414">
        <v>0</v>
      </c>
      <c r="BS1414">
        <v>0</v>
      </c>
      <c r="BT1414">
        <v>0</v>
      </c>
      <c r="BU1414">
        <v>0</v>
      </c>
      <c r="BV1414">
        <v>0</v>
      </c>
      <c r="BW1414" t="s">
        <v>0</v>
      </c>
      <c r="BX1414">
        <v>0</v>
      </c>
      <c r="BY1414">
        <v>0</v>
      </c>
      <c r="BZ1414">
        <v>0</v>
      </c>
      <c r="CA1414">
        <v>0</v>
      </c>
      <c r="CB1414" t="s">
        <v>145</v>
      </c>
    </row>
    <row r="1415" spans="67:80" x14ac:dyDescent="0.25">
      <c r="BO1415">
        <v>0</v>
      </c>
      <c r="BP1415">
        <v>0</v>
      </c>
      <c r="BQ1415">
        <v>0</v>
      </c>
      <c r="BR1415">
        <v>0</v>
      </c>
      <c r="BS1415">
        <v>0</v>
      </c>
      <c r="BT1415">
        <v>0</v>
      </c>
      <c r="BU1415">
        <v>0</v>
      </c>
      <c r="BV1415">
        <v>0</v>
      </c>
      <c r="BW1415" t="s">
        <v>0</v>
      </c>
      <c r="BX1415">
        <v>0</v>
      </c>
      <c r="BY1415">
        <v>0</v>
      </c>
      <c r="BZ1415">
        <v>0</v>
      </c>
      <c r="CA1415">
        <v>0</v>
      </c>
      <c r="CB1415" t="s">
        <v>145</v>
      </c>
    </row>
    <row r="1416" spans="67:80" x14ac:dyDescent="0.25">
      <c r="BO1416">
        <v>0</v>
      </c>
      <c r="BP1416">
        <v>0</v>
      </c>
      <c r="BQ1416">
        <v>0</v>
      </c>
      <c r="BR1416">
        <v>0</v>
      </c>
      <c r="BS1416">
        <v>0</v>
      </c>
      <c r="BT1416">
        <v>0</v>
      </c>
      <c r="BU1416">
        <v>0</v>
      </c>
      <c r="BV1416">
        <v>0</v>
      </c>
      <c r="BW1416" t="s">
        <v>0</v>
      </c>
      <c r="BX1416">
        <v>0</v>
      </c>
      <c r="BY1416">
        <v>0</v>
      </c>
      <c r="BZ1416">
        <v>0</v>
      </c>
      <c r="CA1416">
        <v>0</v>
      </c>
      <c r="CB1416" t="s">
        <v>145</v>
      </c>
    </row>
    <row r="1417" spans="67:80" x14ac:dyDescent="0.25">
      <c r="BO1417">
        <v>0</v>
      </c>
      <c r="BP1417">
        <v>0</v>
      </c>
      <c r="BQ1417">
        <v>0</v>
      </c>
      <c r="BR1417">
        <v>0</v>
      </c>
      <c r="BS1417">
        <v>0</v>
      </c>
      <c r="BT1417">
        <v>0</v>
      </c>
      <c r="BU1417">
        <v>0</v>
      </c>
      <c r="BV1417">
        <v>0</v>
      </c>
      <c r="BW1417" t="s">
        <v>0</v>
      </c>
      <c r="BX1417">
        <v>0</v>
      </c>
      <c r="BY1417">
        <v>0</v>
      </c>
      <c r="BZ1417">
        <v>0</v>
      </c>
      <c r="CA1417">
        <v>0</v>
      </c>
      <c r="CB1417" t="s">
        <v>145</v>
      </c>
    </row>
    <row r="1418" spans="67:80" x14ac:dyDescent="0.25">
      <c r="BO1418">
        <v>0</v>
      </c>
      <c r="BP1418">
        <v>0</v>
      </c>
      <c r="BQ1418">
        <v>0</v>
      </c>
      <c r="BR1418">
        <v>0</v>
      </c>
      <c r="BS1418">
        <v>0</v>
      </c>
      <c r="BT1418">
        <v>0</v>
      </c>
      <c r="BU1418">
        <v>0</v>
      </c>
      <c r="BV1418">
        <v>0</v>
      </c>
      <c r="BW1418" t="s">
        <v>0</v>
      </c>
      <c r="BX1418">
        <v>0</v>
      </c>
      <c r="BY1418">
        <v>0</v>
      </c>
      <c r="BZ1418">
        <v>0</v>
      </c>
      <c r="CA1418">
        <v>0</v>
      </c>
      <c r="CB1418" t="s">
        <v>145</v>
      </c>
    </row>
    <row r="1419" spans="67:80" x14ac:dyDescent="0.25">
      <c r="BO1419">
        <v>0</v>
      </c>
      <c r="BP1419">
        <v>0</v>
      </c>
      <c r="BQ1419">
        <v>0</v>
      </c>
      <c r="BR1419">
        <v>0</v>
      </c>
      <c r="BS1419">
        <v>0</v>
      </c>
      <c r="BT1419">
        <v>0</v>
      </c>
      <c r="BU1419">
        <v>0</v>
      </c>
      <c r="BV1419">
        <v>0</v>
      </c>
      <c r="BW1419" t="s">
        <v>0</v>
      </c>
      <c r="BX1419">
        <v>0</v>
      </c>
      <c r="BY1419">
        <v>0</v>
      </c>
      <c r="BZ1419">
        <v>0</v>
      </c>
      <c r="CA1419">
        <v>0</v>
      </c>
      <c r="CB1419" t="s">
        <v>145</v>
      </c>
    </row>
    <row r="1420" spans="67:80" x14ac:dyDescent="0.25">
      <c r="BO1420">
        <v>0</v>
      </c>
      <c r="BP1420">
        <v>0</v>
      </c>
      <c r="BQ1420">
        <v>0</v>
      </c>
      <c r="BR1420">
        <v>0</v>
      </c>
      <c r="BS1420">
        <v>0</v>
      </c>
      <c r="BT1420">
        <v>0</v>
      </c>
      <c r="BU1420">
        <v>0</v>
      </c>
      <c r="BV1420">
        <v>0</v>
      </c>
      <c r="BW1420" t="s">
        <v>0</v>
      </c>
      <c r="BX1420">
        <v>0</v>
      </c>
      <c r="BY1420">
        <v>0</v>
      </c>
      <c r="BZ1420">
        <v>0</v>
      </c>
      <c r="CA1420">
        <v>0</v>
      </c>
      <c r="CB1420" t="s">
        <v>145</v>
      </c>
    </row>
    <row r="1421" spans="67:80" x14ac:dyDescent="0.25">
      <c r="BO1421">
        <v>0</v>
      </c>
      <c r="BP1421">
        <v>0</v>
      </c>
      <c r="BQ1421">
        <v>0</v>
      </c>
      <c r="BR1421">
        <v>0</v>
      </c>
      <c r="BS1421">
        <v>0</v>
      </c>
      <c r="BT1421">
        <v>0</v>
      </c>
      <c r="BU1421">
        <v>0</v>
      </c>
      <c r="BV1421">
        <v>0</v>
      </c>
      <c r="BW1421" t="s">
        <v>0</v>
      </c>
      <c r="BX1421">
        <v>0</v>
      </c>
      <c r="BY1421">
        <v>0</v>
      </c>
      <c r="BZ1421">
        <v>0</v>
      </c>
      <c r="CA1421">
        <v>0</v>
      </c>
      <c r="CB1421" t="s">
        <v>145</v>
      </c>
    </row>
    <row r="1422" spans="67:80" x14ac:dyDescent="0.25">
      <c r="BO1422">
        <v>0</v>
      </c>
      <c r="BP1422">
        <v>0</v>
      </c>
      <c r="BQ1422">
        <v>0</v>
      </c>
      <c r="BR1422">
        <v>0</v>
      </c>
      <c r="BS1422">
        <v>0</v>
      </c>
      <c r="BT1422">
        <v>0</v>
      </c>
      <c r="BU1422">
        <v>0</v>
      </c>
      <c r="BV1422">
        <v>0</v>
      </c>
      <c r="BW1422" t="s">
        <v>0</v>
      </c>
      <c r="BX1422">
        <v>0</v>
      </c>
      <c r="BY1422">
        <v>0</v>
      </c>
      <c r="BZ1422">
        <v>0</v>
      </c>
      <c r="CA1422">
        <v>0</v>
      </c>
      <c r="CB1422" t="s">
        <v>145</v>
      </c>
    </row>
    <row r="1423" spans="67:80" x14ac:dyDescent="0.25">
      <c r="BO1423">
        <v>0</v>
      </c>
      <c r="BP1423">
        <v>0</v>
      </c>
      <c r="BQ1423">
        <v>0</v>
      </c>
      <c r="BR1423">
        <v>0</v>
      </c>
      <c r="BS1423">
        <v>0</v>
      </c>
      <c r="BT1423">
        <v>0</v>
      </c>
      <c r="BU1423">
        <v>0</v>
      </c>
      <c r="BV1423">
        <v>0</v>
      </c>
      <c r="BW1423" t="s">
        <v>0</v>
      </c>
      <c r="BX1423">
        <v>0</v>
      </c>
      <c r="BY1423">
        <v>0</v>
      </c>
      <c r="BZ1423">
        <v>0</v>
      </c>
      <c r="CA1423">
        <v>0</v>
      </c>
      <c r="CB1423" t="s">
        <v>145</v>
      </c>
    </row>
    <row r="1424" spans="67:80" x14ac:dyDescent="0.25">
      <c r="BO1424">
        <v>0</v>
      </c>
      <c r="BP1424">
        <v>0</v>
      </c>
      <c r="BQ1424">
        <v>0</v>
      </c>
      <c r="BR1424">
        <v>0</v>
      </c>
      <c r="BS1424">
        <v>0</v>
      </c>
      <c r="BT1424">
        <v>0</v>
      </c>
      <c r="BU1424">
        <v>0</v>
      </c>
      <c r="BV1424">
        <v>0</v>
      </c>
      <c r="BW1424" t="s">
        <v>0</v>
      </c>
      <c r="BX1424">
        <v>0</v>
      </c>
      <c r="BY1424">
        <v>0</v>
      </c>
      <c r="BZ1424">
        <v>0</v>
      </c>
      <c r="CA1424">
        <v>0</v>
      </c>
      <c r="CB1424" t="s">
        <v>145</v>
      </c>
    </row>
    <row r="1425" spans="54:80" x14ac:dyDescent="0.25">
      <c r="BO1425">
        <v>0</v>
      </c>
      <c r="BP1425">
        <v>0</v>
      </c>
      <c r="BQ1425">
        <v>0</v>
      </c>
      <c r="BR1425">
        <v>0</v>
      </c>
      <c r="BS1425">
        <v>0</v>
      </c>
      <c r="BT1425">
        <v>0</v>
      </c>
      <c r="BU1425">
        <v>0</v>
      </c>
      <c r="BV1425">
        <v>0</v>
      </c>
      <c r="BW1425" t="s">
        <v>0</v>
      </c>
      <c r="BX1425">
        <v>0</v>
      </c>
      <c r="BY1425">
        <v>0</v>
      </c>
      <c r="BZ1425">
        <v>0</v>
      </c>
      <c r="CA1425">
        <v>0</v>
      </c>
      <c r="CB1425" t="s">
        <v>145</v>
      </c>
    </row>
    <row r="1426" spans="54:80" x14ac:dyDescent="0.25">
      <c r="BO1426">
        <v>0</v>
      </c>
      <c r="BP1426">
        <v>0</v>
      </c>
      <c r="BQ1426">
        <v>0</v>
      </c>
      <c r="BR1426">
        <v>0</v>
      </c>
      <c r="BS1426">
        <v>0</v>
      </c>
      <c r="BT1426">
        <v>0</v>
      </c>
      <c r="BU1426">
        <v>0</v>
      </c>
      <c r="BV1426">
        <v>0</v>
      </c>
      <c r="BW1426" t="s">
        <v>0</v>
      </c>
      <c r="BX1426">
        <v>0</v>
      </c>
      <c r="BY1426">
        <v>0</v>
      </c>
      <c r="BZ1426">
        <v>0</v>
      </c>
      <c r="CA1426">
        <v>0</v>
      </c>
      <c r="CB1426" t="s">
        <v>145</v>
      </c>
    </row>
    <row r="1427" spans="54:80" x14ac:dyDescent="0.25">
      <c r="BO1427">
        <v>0</v>
      </c>
      <c r="BP1427">
        <v>0</v>
      </c>
      <c r="BQ1427">
        <v>0</v>
      </c>
      <c r="BR1427">
        <v>0</v>
      </c>
      <c r="BS1427">
        <v>0</v>
      </c>
      <c r="BT1427">
        <v>0</v>
      </c>
      <c r="BU1427">
        <v>0</v>
      </c>
      <c r="BV1427">
        <v>0</v>
      </c>
      <c r="BW1427" t="s">
        <v>0</v>
      </c>
      <c r="BX1427">
        <v>0</v>
      </c>
      <c r="BY1427">
        <v>0</v>
      </c>
      <c r="BZ1427">
        <v>0</v>
      </c>
      <c r="CA1427">
        <v>0</v>
      </c>
      <c r="CB1427" t="s">
        <v>145</v>
      </c>
    </row>
    <row r="1428" spans="54:80" x14ac:dyDescent="0.25">
      <c r="BO1428">
        <v>0</v>
      </c>
      <c r="BP1428">
        <v>0</v>
      </c>
      <c r="BQ1428">
        <v>0</v>
      </c>
      <c r="BR1428">
        <v>0</v>
      </c>
      <c r="BS1428">
        <v>0</v>
      </c>
      <c r="BT1428">
        <v>0</v>
      </c>
      <c r="BU1428">
        <v>0</v>
      </c>
      <c r="BV1428">
        <v>0</v>
      </c>
      <c r="BW1428" t="s">
        <v>0</v>
      </c>
      <c r="BX1428">
        <v>0</v>
      </c>
      <c r="BY1428">
        <v>0</v>
      </c>
      <c r="BZ1428">
        <v>0</v>
      </c>
      <c r="CA1428">
        <v>0</v>
      </c>
      <c r="CB1428" t="s">
        <v>145</v>
      </c>
    </row>
    <row r="1429" spans="54:80" x14ac:dyDescent="0.25">
      <c r="BO1429">
        <v>0</v>
      </c>
      <c r="BP1429">
        <v>0</v>
      </c>
      <c r="BQ1429">
        <v>0</v>
      </c>
      <c r="BR1429">
        <v>0</v>
      </c>
      <c r="BS1429">
        <v>0</v>
      </c>
      <c r="BT1429">
        <v>0</v>
      </c>
      <c r="BU1429">
        <v>0</v>
      </c>
      <c r="BV1429">
        <v>0</v>
      </c>
      <c r="BW1429" t="s">
        <v>0</v>
      </c>
      <c r="BX1429">
        <v>0</v>
      </c>
      <c r="BY1429">
        <v>0</v>
      </c>
      <c r="BZ1429">
        <v>0</v>
      </c>
      <c r="CA1429">
        <v>0</v>
      </c>
      <c r="CB1429" t="s">
        <v>145</v>
      </c>
    </row>
    <row r="1430" spans="54:80" x14ac:dyDescent="0.25">
      <c r="BO1430">
        <v>0</v>
      </c>
      <c r="BP1430">
        <v>0</v>
      </c>
      <c r="BQ1430">
        <v>0</v>
      </c>
      <c r="BR1430">
        <v>0</v>
      </c>
      <c r="BS1430">
        <v>0</v>
      </c>
      <c r="BT1430">
        <v>0</v>
      </c>
      <c r="BU1430">
        <v>0</v>
      </c>
      <c r="BV1430">
        <v>0</v>
      </c>
      <c r="BW1430" t="s">
        <v>0</v>
      </c>
      <c r="BX1430">
        <v>0</v>
      </c>
      <c r="BY1430">
        <v>0</v>
      </c>
      <c r="BZ1430">
        <v>0</v>
      </c>
      <c r="CA1430">
        <v>0</v>
      </c>
      <c r="CB1430" t="s">
        <v>145</v>
      </c>
    </row>
    <row r="1431" spans="54:80" x14ac:dyDescent="0.25">
      <c r="BO1431">
        <v>0</v>
      </c>
      <c r="BP1431">
        <v>0</v>
      </c>
      <c r="BQ1431">
        <v>0</v>
      </c>
      <c r="BR1431">
        <v>0</v>
      </c>
      <c r="BS1431">
        <v>0</v>
      </c>
      <c r="BT1431">
        <v>0</v>
      </c>
      <c r="BU1431">
        <v>0</v>
      </c>
      <c r="BV1431">
        <v>0</v>
      </c>
      <c r="BW1431" t="s">
        <v>0</v>
      </c>
      <c r="BX1431">
        <v>0</v>
      </c>
      <c r="BY1431">
        <v>0</v>
      </c>
      <c r="BZ1431">
        <v>0</v>
      </c>
      <c r="CA1431">
        <v>0</v>
      </c>
      <c r="CB1431" t="s">
        <v>145</v>
      </c>
    </row>
    <row r="1432" spans="54:80" x14ac:dyDescent="0.25">
      <c r="BO1432">
        <v>0</v>
      </c>
      <c r="BP1432">
        <v>0</v>
      </c>
      <c r="BQ1432">
        <v>0</v>
      </c>
      <c r="BR1432">
        <v>0</v>
      </c>
      <c r="BS1432">
        <v>0</v>
      </c>
      <c r="BT1432">
        <v>0</v>
      </c>
      <c r="BU1432">
        <v>0</v>
      </c>
      <c r="BV1432">
        <v>0</v>
      </c>
      <c r="BW1432" t="s">
        <v>0</v>
      </c>
      <c r="BX1432">
        <v>0</v>
      </c>
      <c r="BY1432">
        <v>0</v>
      </c>
      <c r="BZ1432">
        <v>0</v>
      </c>
      <c r="CA1432">
        <v>0</v>
      </c>
      <c r="CB1432" t="s">
        <v>145</v>
      </c>
    </row>
    <row r="1433" spans="54:80" x14ac:dyDescent="0.25">
      <c r="BO1433">
        <v>0</v>
      </c>
      <c r="BP1433">
        <v>0</v>
      </c>
      <c r="BQ1433">
        <v>0</v>
      </c>
      <c r="BR1433">
        <v>0</v>
      </c>
      <c r="BS1433">
        <v>0</v>
      </c>
      <c r="BT1433">
        <v>0</v>
      </c>
      <c r="BU1433">
        <v>0</v>
      </c>
      <c r="BV1433">
        <v>0</v>
      </c>
      <c r="BW1433" t="s">
        <v>0</v>
      </c>
      <c r="BX1433">
        <v>0</v>
      </c>
      <c r="BY1433">
        <v>0</v>
      </c>
      <c r="BZ1433">
        <v>0</v>
      </c>
      <c r="CA1433">
        <v>0</v>
      </c>
      <c r="CB1433" t="s">
        <v>145</v>
      </c>
    </row>
    <row r="1434" spans="54:80" x14ac:dyDescent="0.25">
      <c r="BB1434" s="1"/>
      <c r="BO1434">
        <v>0</v>
      </c>
      <c r="BP1434">
        <v>0</v>
      </c>
      <c r="BQ1434">
        <v>0</v>
      </c>
      <c r="BR1434">
        <v>0</v>
      </c>
      <c r="BS1434">
        <v>0</v>
      </c>
      <c r="BT1434">
        <v>0</v>
      </c>
      <c r="BU1434">
        <v>0</v>
      </c>
      <c r="BV1434">
        <v>0</v>
      </c>
      <c r="BW1434" t="s">
        <v>0</v>
      </c>
      <c r="BX1434">
        <v>0</v>
      </c>
      <c r="BY1434">
        <v>0</v>
      </c>
      <c r="BZ1434">
        <v>0</v>
      </c>
      <c r="CA1434">
        <v>0</v>
      </c>
      <c r="CB1434" t="s">
        <v>145</v>
      </c>
    </row>
    <row r="1435" spans="54:80" x14ac:dyDescent="0.25">
      <c r="BO1435">
        <v>0</v>
      </c>
      <c r="BP1435">
        <v>0</v>
      </c>
      <c r="BQ1435">
        <v>0</v>
      </c>
      <c r="BR1435">
        <v>0</v>
      </c>
      <c r="BS1435">
        <v>0</v>
      </c>
      <c r="BT1435">
        <v>0</v>
      </c>
      <c r="BU1435">
        <v>0</v>
      </c>
      <c r="BV1435">
        <v>0</v>
      </c>
      <c r="BW1435" t="s">
        <v>0</v>
      </c>
      <c r="BX1435">
        <v>0</v>
      </c>
      <c r="BY1435">
        <v>0</v>
      </c>
      <c r="BZ1435">
        <v>0</v>
      </c>
      <c r="CA1435">
        <v>0</v>
      </c>
      <c r="CB1435" t="s">
        <v>145</v>
      </c>
    </row>
    <row r="1436" spans="54:80" x14ac:dyDescent="0.25">
      <c r="BO1436">
        <v>0</v>
      </c>
      <c r="BP1436">
        <v>0</v>
      </c>
      <c r="BQ1436">
        <v>0</v>
      </c>
      <c r="BR1436">
        <v>0</v>
      </c>
      <c r="BS1436">
        <v>0</v>
      </c>
      <c r="BT1436">
        <v>0</v>
      </c>
      <c r="BU1436">
        <v>0</v>
      </c>
      <c r="BV1436">
        <v>0</v>
      </c>
      <c r="BW1436" t="s">
        <v>0</v>
      </c>
      <c r="BX1436">
        <v>0</v>
      </c>
      <c r="BY1436">
        <v>0</v>
      </c>
      <c r="BZ1436">
        <v>0</v>
      </c>
      <c r="CA1436">
        <v>0</v>
      </c>
      <c r="CB1436" t="s">
        <v>145</v>
      </c>
    </row>
    <row r="1437" spans="54:80" x14ac:dyDescent="0.25">
      <c r="BO1437">
        <v>0</v>
      </c>
      <c r="BP1437">
        <v>0</v>
      </c>
      <c r="BQ1437">
        <v>0</v>
      </c>
      <c r="BR1437">
        <v>0</v>
      </c>
      <c r="BS1437">
        <v>0</v>
      </c>
      <c r="BT1437">
        <v>0</v>
      </c>
      <c r="BU1437">
        <v>0</v>
      </c>
      <c r="BV1437">
        <v>0</v>
      </c>
      <c r="BW1437" t="s">
        <v>0</v>
      </c>
      <c r="BX1437">
        <v>0</v>
      </c>
      <c r="BY1437">
        <v>0</v>
      </c>
      <c r="BZ1437">
        <v>0</v>
      </c>
      <c r="CA1437">
        <v>0</v>
      </c>
      <c r="CB1437" t="s">
        <v>145</v>
      </c>
    </row>
    <row r="1438" spans="54:80" x14ac:dyDescent="0.25">
      <c r="BO1438">
        <v>0</v>
      </c>
      <c r="BP1438">
        <v>0</v>
      </c>
      <c r="BQ1438">
        <v>0</v>
      </c>
      <c r="BR1438">
        <v>0</v>
      </c>
      <c r="BS1438">
        <v>0</v>
      </c>
      <c r="BT1438">
        <v>0</v>
      </c>
      <c r="BU1438">
        <v>0</v>
      </c>
      <c r="BV1438">
        <v>0</v>
      </c>
      <c r="BW1438" t="s">
        <v>0</v>
      </c>
      <c r="BX1438">
        <v>0</v>
      </c>
      <c r="BY1438">
        <v>0</v>
      </c>
      <c r="BZ1438">
        <v>0</v>
      </c>
      <c r="CA1438">
        <v>0</v>
      </c>
      <c r="CB1438" t="s">
        <v>145</v>
      </c>
    </row>
    <row r="1439" spans="54:80" x14ac:dyDescent="0.25">
      <c r="BO1439">
        <v>0</v>
      </c>
      <c r="BP1439">
        <v>0</v>
      </c>
      <c r="BQ1439">
        <v>0</v>
      </c>
      <c r="BR1439">
        <v>0</v>
      </c>
      <c r="BS1439">
        <v>0</v>
      </c>
      <c r="BT1439">
        <v>0</v>
      </c>
      <c r="BU1439">
        <v>0</v>
      </c>
      <c r="BV1439">
        <v>0</v>
      </c>
      <c r="BW1439" t="s">
        <v>0</v>
      </c>
      <c r="BX1439">
        <v>0</v>
      </c>
      <c r="BY1439">
        <v>0</v>
      </c>
      <c r="BZ1439">
        <v>0</v>
      </c>
      <c r="CA1439">
        <v>0</v>
      </c>
      <c r="CB1439" t="s">
        <v>145</v>
      </c>
    </row>
    <row r="1440" spans="54:80" x14ac:dyDescent="0.25">
      <c r="BO1440">
        <v>0</v>
      </c>
      <c r="BP1440">
        <v>0</v>
      </c>
      <c r="BQ1440">
        <v>0</v>
      </c>
      <c r="BR1440">
        <v>0</v>
      </c>
      <c r="BS1440">
        <v>0</v>
      </c>
      <c r="BT1440">
        <v>0</v>
      </c>
      <c r="BU1440">
        <v>0</v>
      </c>
      <c r="BV1440">
        <v>0</v>
      </c>
      <c r="BW1440" t="s">
        <v>0</v>
      </c>
      <c r="BX1440">
        <v>0</v>
      </c>
      <c r="BY1440">
        <v>0</v>
      </c>
      <c r="BZ1440">
        <v>0</v>
      </c>
      <c r="CA1440">
        <v>0</v>
      </c>
      <c r="CB1440" t="s">
        <v>145</v>
      </c>
    </row>
    <row r="1441" spans="67:80" x14ac:dyDescent="0.25">
      <c r="BO1441">
        <v>0</v>
      </c>
      <c r="BP1441">
        <v>0</v>
      </c>
      <c r="BQ1441">
        <v>0</v>
      </c>
      <c r="BR1441">
        <v>0</v>
      </c>
      <c r="BS1441">
        <v>0</v>
      </c>
      <c r="BT1441">
        <v>0</v>
      </c>
      <c r="BU1441">
        <v>0</v>
      </c>
      <c r="BV1441">
        <v>0</v>
      </c>
      <c r="BW1441" t="s">
        <v>0</v>
      </c>
      <c r="BX1441">
        <v>0</v>
      </c>
      <c r="BY1441">
        <v>0</v>
      </c>
      <c r="BZ1441">
        <v>0</v>
      </c>
      <c r="CA1441">
        <v>0</v>
      </c>
      <c r="CB1441" t="s">
        <v>145</v>
      </c>
    </row>
    <row r="1442" spans="67:80" x14ac:dyDescent="0.25">
      <c r="BO1442">
        <v>0</v>
      </c>
      <c r="BP1442">
        <v>0</v>
      </c>
      <c r="BQ1442">
        <v>0</v>
      </c>
      <c r="BR1442">
        <v>0</v>
      </c>
      <c r="BS1442">
        <v>0</v>
      </c>
      <c r="BT1442">
        <v>0</v>
      </c>
      <c r="BU1442">
        <v>0</v>
      </c>
      <c r="BV1442">
        <v>0</v>
      </c>
      <c r="BW1442" t="s">
        <v>0</v>
      </c>
      <c r="BX1442">
        <v>0</v>
      </c>
      <c r="BY1442">
        <v>0</v>
      </c>
      <c r="BZ1442">
        <v>0</v>
      </c>
      <c r="CA1442">
        <v>0</v>
      </c>
      <c r="CB1442" t="s">
        <v>145</v>
      </c>
    </row>
    <row r="1443" spans="67:80" x14ac:dyDescent="0.25">
      <c r="BO1443">
        <v>0</v>
      </c>
      <c r="BP1443">
        <v>0</v>
      </c>
      <c r="BQ1443">
        <v>0</v>
      </c>
      <c r="BR1443">
        <v>0</v>
      </c>
      <c r="BS1443">
        <v>0</v>
      </c>
      <c r="BT1443">
        <v>0</v>
      </c>
      <c r="BU1443">
        <v>0</v>
      </c>
      <c r="BV1443">
        <v>0</v>
      </c>
      <c r="BW1443" t="s">
        <v>0</v>
      </c>
      <c r="BX1443">
        <v>0</v>
      </c>
      <c r="BY1443">
        <v>0</v>
      </c>
      <c r="BZ1443">
        <v>0</v>
      </c>
      <c r="CA1443">
        <v>0</v>
      </c>
      <c r="CB1443" t="s">
        <v>145</v>
      </c>
    </row>
    <row r="1444" spans="67:80" x14ac:dyDescent="0.25">
      <c r="BO1444">
        <v>0</v>
      </c>
      <c r="BP1444">
        <v>0</v>
      </c>
      <c r="BQ1444">
        <v>0</v>
      </c>
      <c r="BR1444">
        <v>0</v>
      </c>
      <c r="BS1444">
        <v>0</v>
      </c>
      <c r="BT1444">
        <v>0</v>
      </c>
      <c r="BU1444">
        <v>0</v>
      </c>
      <c r="BV1444">
        <v>0</v>
      </c>
      <c r="BW1444" t="s">
        <v>0</v>
      </c>
      <c r="BX1444">
        <v>0</v>
      </c>
      <c r="BY1444">
        <v>0</v>
      </c>
      <c r="BZ1444">
        <v>0</v>
      </c>
      <c r="CA1444">
        <v>0</v>
      </c>
      <c r="CB1444" t="s">
        <v>145</v>
      </c>
    </row>
    <row r="1445" spans="67:80" x14ac:dyDescent="0.25">
      <c r="BO1445">
        <v>0</v>
      </c>
      <c r="BP1445">
        <v>0</v>
      </c>
      <c r="BQ1445">
        <v>0</v>
      </c>
      <c r="BR1445">
        <v>0</v>
      </c>
      <c r="BS1445">
        <v>0</v>
      </c>
      <c r="BT1445">
        <v>0</v>
      </c>
      <c r="BU1445">
        <v>0</v>
      </c>
      <c r="BV1445">
        <v>0</v>
      </c>
      <c r="BW1445" t="s">
        <v>0</v>
      </c>
      <c r="BX1445">
        <v>0</v>
      </c>
      <c r="BY1445">
        <v>0</v>
      </c>
      <c r="BZ1445">
        <v>0</v>
      </c>
      <c r="CA1445">
        <v>0</v>
      </c>
      <c r="CB1445" t="s">
        <v>145</v>
      </c>
    </row>
    <row r="1446" spans="67:80" x14ac:dyDescent="0.25">
      <c r="BO1446">
        <v>0</v>
      </c>
      <c r="BP1446">
        <v>0</v>
      </c>
      <c r="BQ1446">
        <v>0</v>
      </c>
      <c r="BR1446">
        <v>0</v>
      </c>
      <c r="BS1446">
        <v>0</v>
      </c>
      <c r="BT1446">
        <v>0</v>
      </c>
      <c r="BU1446">
        <v>0</v>
      </c>
      <c r="BV1446">
        <v>0</v>
      </c>
      <c r="BW1446" t="s">
        <v>0</v>
      </c>
      <c r="BX1446">
        <v>0</v>
      </c>
      <c r="BY1446">
        <v>0</v>
      </c>
      <c r="BZ1446">
        <v>0</v>
      </c>
      <c r="CA1446">
        <v>0</v>
      </c>
      <c r="CB1446" t="s">
        <v>145</v>
      </c>
    </row>
    <row r="1447" spans="67:80" x14ac:dyDescent="0.25">
      <c r="BO1447">
        <v>0</v>
      </c>
      <c r="BP1447">
        <v>0</v>
      </c>
      <c r="BQ1447">
        <v>0</v>
      </c>
      <c r="BR1447">
        <v>0</v>
      </c>
      <c r="BS1447">
        <v>0</v>
      </c>
      <c r="BT1447">
        <v>0</v>
      </c>
      <c r="BU1447">
        <v>0</v>
      </c>
      <c r="BV1447">
        <v>0</v>
      </c>
      <c r="BW1447" t="s">
        <v>0</v>
      </c>
      <c r="BX1447">
        <v>0</v>
      </c>
      <c r="BY1447">
        <v>0</v>
      </c>
      <c r="BZ1447">
        <v>0</v>
      </c>
      <c r="CA1447">
        <v>0</v>
      </c>
      <c r="CB1447" t="s">
        <v>145</v>
      </c>
    </row>
    <row r="1448" spans="67:80" x14ac:dyDescent="0.25">
      <c r="BO1448">
        <v>0</v>
      </c>
      <c r="BP1448">
        <v>0</v>
      </c>
      <c r="BQ1448">
        <v>0</v>
      </c>
      <c r="BR1448">
        <v>0</v>
      </c>
      <c r="BS1448">
        <v>0</v>
      </c>
      <c r="BT1448">
        <v>0</v>
      </c>
      <c r="BU1448">
        <v>0</v>
      </c>
      <c r="BV1448">
        <v>0</v>
      </c>
      <c r="BW1448" t="s">
        <v>0</v>
      </c>
      <c r="BX1448">
        <v>0</v>
      </c>
      <c r="BY1448">
        <v>0</v>
      </c>
      <c r="BZ1448">
        <v>0</v>
      </c>
      <c r="CA1448">
        <v>0</v>
      </c>
      <c r="CB1448" t="s">
        <v>145</v>
      </c>
    </row>
    <row r="1449" spans="67:80" x14ac:dyDescent="0.25">
      <c r="BO1449">
        <v>0</v>
      </c>
      <c r="BP1449">
        <v>0</v>
      </c>
      <c r="BQ1449">
        <v>0</v>
      </c>
      <c r="BR1449">
        <v>0</v>
      </c>
      <c r="BS1449">
        <v>0</v>
      </c>
      <c r="BT1449">
        <v>0</v>
      </c>
      <c r="BU1449">
        <v>0</v>
      </c>
      <c r="BV1449">
        <v>0</v>
      </c>
      <c r="BW1449" t="s">
        <v>0</v>
      </c>
      <c r="BX1449">
        <v>0</v>
      </c>
      <c r="BY1449">
        <v>0</v>
      </c>
      <c r="BZ1449">
        <v>0</v>
      </c>
      <c r="CA1449">
        <v>0</v>
      </c>
      <c r="CB1449" t="s">
        <v>145</v>
      </c>
    </row>
    <row r="1450" spans="67:80" x14ac:dyDescent="0.25">
      <c r="BO1450">
        <v>0</v>
      </c>
      <c r="BP1450">
        <v>0</v>
      </c>
      <c r="BQ1450">
        <v>0</v>
      </c>
      <c r="BR1450">
        <v>0</v>
      </c>
      <c r="BS1450">
        <v>0</v>
      </c>
      <c r="BT1450">
        <v>0</v>
      </c>
      <c r="BU1450">
        <v>0</v>
      </c>
      <c r="BV1450">
        <v>0</v>
      </c>
      <c r="BW1450" t="s">
        <v>0</v>
      </c>
      <c r="BX1450">
        <v>0</v>
      </c>
      <c r="BY1450">
        <v>0</v>
      </c>
      <c r="BZ1450">
        <v>0</v>
      </c>
      <c r="CA1450">
        <v>0</v>
      </c>
      <c r="CB1450" t="s">
        <v>145</v>
      </c>
    </row>
    <row r="1451" spans="67:80" x14ac:dyDescent="0.25">
      <c r="BO1451">
        <v>0</v>
      </c>
      <c r="BP1451">
        <v>0</v>
      </c>
      <c r="BQ1451">
        <v>0</v>
      </c>
      <c r="BR1451">
        <v>0</v>
      </c>
      <c r="BS1451">
        <v>0</v>
      </c>
      <c r="BT1451">
        <v>0</v>
      </c>
      <c r="BU1451">
        <v>0</v>
      </c>
      <c r="BV1451">
        <v>0</v>
      </c>
      <c r="BW1451" t="s">
        <v>0</v>
      </c>
      <c r="BX1451">
        <v>0</v>
      </c>
      <c r="BY1451">
        <v>0</v>
      </c>
      <c r="BZ1451">
        <v>0</v>
      </c>
      <c r="CA1451">
        <v>0</v>
      </c>
      <c r="CB1451" t="s">
        <v>145</v>
      </c>
    </row>
    <row r="1452" spans="67:80" x14ac:dyDescent="0.25">
      <c r="BO1452">
        <v>0</v>
      </c>
      <c r="BP1452">
        <v>0</v>
      </c>
      <c r="BQ1452">
        <v>0</v>
      </c>
      <c r="BR1452">
        <v>0</v>
      </c>
      <c r="BS1452">
        <v>0</v>
      </c>
      <c r="BT1452">
        <v>0</v>
      </c>
      <c r="BU1452">
        <v>0</v>
      </c>
      <c r="BV1452">
        <v>0</v>
      </c>
      <c r="BW1452" t="s">
        <v>0</v>
      </c>
      <c r="BX1452">
        <v>0</v>
      </c>
      <c r="BY1452">
        <v>0</v>
      </c>
      <c r="BZ1452">
        <v>0</v>
      </c>
      <c r="CA1452">
        <v>0</v>
      </c>
      <c r="CB1452" t="s">
        <v>145</v>
      </c>
    </row>
    <row r="1453" spans="67:80" x14ac:dyDescent="0.25">
      <c r="BO1453">
        <v>0</v>
      </c>
      <c r="BP1453">
        <v>0</v>
      </c>
      <c r="BQ1453">
        <v>0</v>
      </c>
      <c r="BR1453">
        <v>0</v>
      </c>
      <c r="BS1453">
        <v>0</v>
      </c>
      <c r="BT1453">
        <v>0</v>
      </c>
      <c r="BU1453">
        <v>0</v>
      </c>
      <c r="BV1453">
        <v>0</v>
      </c>
      <c r="BW1453" t="s">
        <v>0</v>
      </c>
      <c r="BX1453">
        <v>0</v>
      </c>
      <c r="BY1453">
        <v>0</v>
      </c>
      <c r="BZ1453">
        <v>0</v>
      </c>
      <c r="CA1453">
        <v>0</v>
      </c>
      <c r="CB1453" t="s">
        <v>145</v>
      </c>
    </row>
    <row r="1454" spans="67:80" x14ac:dyDescent="0.25">
      <c r="BO1454">
        <v>0</v>
      </c>
      <c r="BP1454">
        <v>0</v>
      </c>
      <c r="BQ1454">
        <v>0</v>
      </c>
      <c r="BR1454">
        <v>0</v>
      </c>
      <c r="BS1454">
        <v>0</v>
      </c>
      <c r="BT1454">
        <v>0</v>
      </c>
      <c r="BU1454">
        <v>0</v>
      </c>
      <c r="BV1454">
        <v>0</v>
      </c>
      <c r="BW1454" t="s">
        <v>0</v>
      </c>
      <c r="BX1454">
        <v>0</v>
      </c>
      <c r="BY1454">
        <v>0</v>
      </c>
      <c r="BZ1454">
        <v>0</v>
      </c>
      <c r="CA1454">
        <v>0</v>
      </c>
      <c r="CB1454" t="s">
        <v>145</v>
      </c>
    </row>
    <row r="1455" spans="67:80" x14ac:dyDescent="0.25">
      <c r="BO1455">
        <v>0</v>
      </c>
      <c r="BP1455">
        <v>0</v>
      </c>
      <c r="BQ1455">
        <v>0</v>
      </c>
      <c r="BR1455">
        <v>0</v>
      </c>
      <c r="BS1455">
        <v>0</v>
      </c>
      <c r="BT1455">
        <v>0</v>
      </c>
      <c r="BU1455">
        <v>0</v>
      </c>
      <c r="BV1455">
        <v>0</v>
      </c>
      <c r="BW1455" t="s">
        <v>0</v>
      </c>
      <c r="BX1455">
        <v>0</v>
      </c>
      <c r="BY1455">
        <v>0</v>
      </c>
      <c r="BZ1455">
        <v>0</v>
      </c>
      <c r="CA1455">
        <v>0</v>
      </c>
      <c r="CB1455" t="s">
        <v>145</v>
      </c>
    </row>
    <row r="1456" spans="67:80" x14ac:dyDescent="0.25">
      <c r="BO1456">
        <v>0</v>
      </c>
      <c r="BP1456">
        <v>0</v>
      </c>
      <c r="BQ1456">
        <v>0</v>
      </c>
      <c r="BR1456">
        <v>0</v>
      </c>
      <c r="BS1456">
        <v>0</v>
      </c>
      <c r="BT1456">
        <v>0</v>
      </c>
      <c r="BU1456">
        <v>0</v>
      </c>
      <c r="BV1456">
        <v>0</v>
      </c>
      <c r="BW1456" t="s">
        <v>0</v>
      </c>
      <c r="BX1456">
        <v>0</v>
      </c>
      <c r="BY1456">
        <v>0</v>
      </c>
      <c r="BZ1456">
        <v>0</v>
      </c>
      <c r="CA1456">
        <v>0</v>
      </c>
      <c r="CB1456" t="s">
        <v>145</v>
      </c>
    </row>
    <row r="1457" spans="32:80" x14ac:dyDescent="0.25">
      <c r="BO1457">
        <v>0</v>
      </c>
      <c r="BP1457">
        <v>0</v>
      </c>
      <c r="BQ1457">
        <v>0</v>
      </c>
      <c r="BR1457">
        <v>0</v>
      </c>
      <c r="BS1457">
        <v>0</v>
      </c>
      <c r="BT1457">
        <v>0</v>
      </c>
      <c r="BU1457">
        <v>0</v>
      </c>
      <c r="BV1457">
        <v>0</v>
      </c>
      <c r="BW1457" t="s">
        <v>0</v>
      </c>
      <c r="BX1457">
        <v>0</v>
      </c>
      <c r="BY1457">
        <v>0</v>
      </c>
      <c r="BZ1457">
        <v>0</v>
      </c>
      <c r="CA1457">
        <v>0</v>
      </c>
      <c r="CB1457" t="s">
        <v>145</v>
      </c>
    </row>
    <row r="1458" spans="32:80" x14ac:dyDescent="0.25">
      <c r="BO1458">
        <v>0</v>
      </c>
      <c r="BP1458">
        <v>0</v>
      </c>
      <c r="BQ1458">
        <v>0</v>
      </c>
      <c r="BR1458">
        <v>0</v>
      </c>
      <c r="BS1458">
        <v>0</v>
      </c>
      <c r="BT1458">
        <v>0</v>
      </c>
      <c r="BU1458">
        <v>0</v>
      </c>
      <c r="BV1458">
        <v>0</v>
      </c>
      <c r="BW1458" t="s">
        <v>0</v>
      </c>
      <c r="BX1458">
        <v>0</v>
      </c>
      <c r="BY1458">
        <v>0</v>
      </c>
      <c r="BZ1458">
        <v>0</v>
      </c>
      <c r="CA1458">
        <v>0</v>
      </c>
      <c r="CB1458" t="s">
        <v>145</v>
      </c>
    </row>
    <row r="1459" spans="32:80" x14ac:dyDescent="0.25">
      <c r="BO1459">
        <v>0</v>
      </c>
      <c r="BP1459">
        <v>0</v>
      </c>
      <c r="BQ1459">
        <v>0</v>
      </c>
      <c r="BR1459">
        <v>0</v>
      </c>
      <c r="BS1459">
        <v>0</v>
      </c>
      <c r="BT1459">
        <v>0</v>
      </c>
      <c r="BU1459">
        <v>0</v>
      </c>
      <c r="BV1459">
        <v>0</v>
      </c>
      <c r="BW1459" t="s">
        <v>0</v>
      </c>
      <c r="BX1459">
        <v>0</v>
      </c>
      <c r="BY1459">
        <v>0</v>
      </c>
      <c r="BZ1459">
        <v>0</v>
      </c>
      <c r="CA1459">
        <v>0</v>
      </c>
      <c r="CB1459" t="s">
        <v>145</v>
      </c>
    </row>
    <row r="1460" spans="32:80" x14ac:dyDescent="0.25">
      <c r="BO1460">
        <v>0</v>
      </c>
      <c r="BP1460">
        <v>0</v>
      </c>
      <c r="BQ1460">
        <v>0</v>
      </c>
      <c r="BR1460">
        <v>0</v>
      </c>
      <c r="BS1460">
        <v>0</v>
      </c>
      <c r="BT1460">
        <v>0</v>
      </c>
      <c r="BU1460">
        <v>0</v>
      </c>
      <c r="BV1460">
        <v>0</v>
      </c>
      <c r="BW1460" t="s">
        <v>0</v>
      </c>
      <c r="BX1460">
        <v>0</v>
      </c>
      <c r="BY1460">
        <v>0</v>
      </c>
      <c r="BZ1460">
        <v>0</v>
      </c>
      <c r="CA1460">
        <v>0</v>
      </c>
      <c r="CB1460" t="s">
        <v>145</v>
      </c>
    </row>
    <row r="1461" spans="32:80" x14ac:dyDescent="0.25">
      <c r="BO1461">
        <v>0</v>
      </c>
      <c r="BP1461">
        <v>0</v>
      </c>
      <c r="BQ1461">
        <v>0</v>
      </c>
      <c r="BR1461">
        <v>0</v>
      </c>
      <c r="BS1461">
        <v>0</v>
      </c>
      <c r="BT1461">
        <v>0</v>
      </c>
      <c r="BU1461">
        <v>0</v>
      </c>
      <c r="BV1461">
        <v>0</v>
      </c>
      <c r="BW1461" t="s">
        <v>0</v>
      </c>
      <c r="BX1461">
        <v>0</v>
      </c>
      <c r="BY1461">
        <v>0</v>
      </c>
      <c r="BZ1461">
        <v>0</v>
      </c>
      <c r="CA1461">
        <v>0</v>
      </c>
      <c r="CB1461" t="s">
        <v>145</v>
      </c>
    </row>
    <row r="1462" spans="32:80" x14ac:dyDescent="0.25">
      <c r="BO1462">
        <v>0</v>
      </c>
      <c r="BP1462">
        <v>0</v>
      </c>
      <c r="BQ1462">
        <v>0</v>
      </c>
      <c r="BR1462">
        <v>0</v>
      </c>
      <c r="BS1462">
        <v>0</v>
      </c>
      <c r="BT1462">
        <v>0</v>
      </c>
      <c r="BU1462">
        <v>0</v>
      </c>
      <c r="BV1462">
        <v>0</v>
      </c>
      <c r="BW1462" t="s">
        <v>0</v>
      </c>
      <c r="BX1462">
        <v>0</v>
      </c>
      <c r="BY1462">
        <v>0</v>
      </c>
      <c r="BZ1462">
        <v>0</v>
      </c>
      <c r="CA1462">
        <v>0</v>
      </c>
      <c r="CB1462" t="s">
        <v>145</v>
      </c>
    </row>
    <row r="1463" spans="32:80" x14ac:dyDescent="0.25">
      <c r="BO1463">
        <v>0</v>
      </c>
      <c r="BP1463">
        <v>0</v>
      </c>
      <c r="BQ1463">
        <v>0</v>
      </c>
      <c r="BR1463">
        <v>0</v>
      </c>
      <c r="BS1463">
        <v>0</v>
      </c>
      <c r="BT1463">
        <v>0</v>
      </c>
      <c r="BU1463">
        <v>0</v>
      </c>
      <c r="BV1463">
        <v>0</v>
      </c>
      <c r="BW1463" t="s">
        <v>0</v>
      </c>
      <c r="BX1463">
        <v>0</v>
      </c>
      <c r="BY1463">
        <v>0</v>
      </c>
      <c r="BZ1463">
        <v>0</v>
      </c>
      <c r="CA1463">
        <v>0</v>
      </c>
      <c r="CB1463" t="s">
        <v>145</v>
      </c>
    </row>
    <row r="1464" spans="32:80" x14ac:dyDescent="0.25">
      <c r="AF1464" s="1"/>
      <c r="BE1464" s="1"/>
      <c r="BM1464" s="2"/>
      <c r="BO1464">
        <v>0</v>
      </c>
      <c r="BP1464">
        <v>0</v>
      </c>
      <c r="BQ1464">
        <v>0</v>
      </c>
      <c r="BR1464">
        <v>0</v>
      </c>
      <c r="BS1464">
        <v>0</v>
      </c>
      <c r="BT1464">
        <v>0</v>
      </c>
      <c r="BU1464">
        <v>0</v>
      </c>
      <c r="BV1464">
        <v>0</v>
      </c>
      <c r="BW1464" t="s">
        <v>0</v>
      </c>
      <c r="BX1464">
        <v>0</v>
      </c>
      <c r="BY1464">
        <v>0</v>
      </c>
      <c r="BZ1464">
        <v>0</v>
      </c>
      <c r="CA1464">
        <v>0</v>
      </c>
      <c r="CB1464" t="s">
        <v>145</v>
      </c>
    </row>
    <row r="1465" spans="32:80" x14ac:dyDescent="0.25">
      <c r="BO1465">
        <v>0</v>
      </c>
      <c r="BP1465">
        <v>0</v>
      </c>
      <c r="BQ1465">
        <v>0</v>
      </c>
      <c r="BR1465">
        <v>0</v>
      </c>
      <c r="BS1465">
        <v>0</v>
      </c>
      <c r="BT1465">
        <v>0</v>
      </c>
      <c r="BU1465">
        <v>0</v>
      </c>
      <c r="BV1465">
        <v>0</v>
      </c>
      <c r="BW1465" t="s">
        <v>0</v>
      </c>
      <c r="BX1465">
        <v>0</v>
      </c>
      <c r="BY1465">
        <v>0</v>
      </c>
      <c r="BZ1465">
        <v>0</v>
      </c>
      <c r="CA1465">
        <v>0</v>
      </c>
      <c r="CB1465" t="s">
        <v>145</v>
      </c>
    </row>
    <row r="1466" spans="32:80" x14ac:dyDescent="0.25">
      <c r="BO1466">
        <v>0</v>
      </c>
      <c r="BP1466">
        <v>0</v>
      </c>
      <c r="BQ1466">
        <v>0</v>
      </c>
      <c r="BR1466">
        <v>0</v>
      </c>
      <c r="BS1466">
        <v>0</v>
      </c>
      <c r="BT1466">
        <v>0</v>
      </c>
      <c r="BU1466">
        <v>0</v>
      </c>
      <c r="BV1466">
        <v>0</v>
      </c>
      <c r="BW1466" t="s">
        <v>0</v>
      </c>
      <c r="BX1466">
        <v>0</v>
      </c>
      <c r="BY1466">
        <v>0</v>
      </c>
      <c r="BZ1466">
        <v>0</v>
      </c>
      <c r="CA1466">
        <v>0</v>
      </c>
      <c r="CB1466" t="s">
        <v>145</v>
      </c>
    </row>
    <row r="1467" spans="32:80" x14ac:dyDescent="0.25">
      <c r="BO1467">
        <v>0</v>
      </c>
      <c r="BP1467">
        <v>0</v>
      </c>
      <c r="BQ1467">
        <v>0</v>
      </c>
      <c r="BR1467">
        <v>0</v>
      </c>
      <c r="BS1467">
        <v>0</v>
      </c>
      <c r="BT1467">
        <v>0</v>
      </c>
      <c r="BU1467">
        <v>0</v>
      </c>
      <c r="BV1467">
        <v>0</v>
      </c>
      <c r="BW1467" t="s">
        <v>0</v>
      </c>
      <c r="BX1467">
        <v>0</v>
      </c>
      <c r="BY1467">
        <v>0</v>
      </c>
      <c r="BZ1467">
        <v>0</v>
      </c>
      <c r="CA1467">
        <v>0</v>
      </c>
      <c r="CB1467" t="s">
        <v>145</v>
      </c>
    </row>
    <row r="1468" spans="32:80" x14ac:dyDescent="0.25">
      <c r="BO1468">
        <v>0</v>
      </c>
      <c r="BP1468">
        <v>0</v>
      </c>
      <c r="BQ1468">
        <v>0</v>
      </c>
      <c r="BR1468">
        <v>0</v>
      </c>
      <c r="BS1468">
        <v>0</v>
      </c>
      <c r="BT1468">
        <v>0</v>
      </c>
      <c r="BU1468">
        <v>0</v>
      </c>
      <c r="BV1468">
        <v>0</v>
      </c>
      <c r="BW1468" t="s">
        <v>0</v>
      </c>
      <c r="BX1468">
        <v>0</v>
      </c>
      <c r="BY1468">
        <v>0</v>
      </c>
      <c r="BZ1468">
        <v>0</v>
      </c>
      <c r="CA1468">
        <v>0</v>
      </c>
      <c r="CB1468" t="s">
        <v>145</v>
      </c>
    </row>
    <row r="1469" spans="32:80" x14ac:dyDescent="0.25">
      <c r="BO1469">
        <v>0</v>
      </c>
      <c r="BP1469">
        <v>0</v>
      </c>
      <c r="BQ1469">
        <v>0</v>
      </c>
      <c r="BR1469">
        <v>0</v>
      </c>
      <c r="BS1469">
        <v>0</v>
      </c>
      <c r="BT1469">
        <v>0</v>
      </c>
      <c r="BU1469">
        <v>0</v>
      </c>
      <c r="BV1469">
        <v>0</v>
      </c>
      <c r="BW1469" t="s">
        <v>0</v>
      </c>
      <c r="BX1469">
        <v>0</v>
      </c>
      <c r="BY1469">
        <v>0</v>
      </c>
      <c r="BZ1469">
        <v>0</v>
      </c>
      <c r="CA1469">
        <v>0</v>
      </c>
      <c r="CB1469" t="s">
        <v>145</v>
      </c>
    </row>
    <row r="1470" spans="32:80" x14ac:dyDescent="0.25">
      <c r="BO1470">
        <v>0</v>
      </c>
      <c r="BP1470">
        <v>0</v>
      </c>
      <c r="BQ1470">
        <v>0</v>
      </c>
      <c r="BR1470">
        <v>0</v>
      </c>
      <c r="BS1470">
        <v>0</v>
      </c>
      <c r="BT1470">
        <v>0</v>
      </c>
      <c r="BU1470">
        <v>0</v>
      </c>
      <c r="BV1470">
        <v>0</v>
      </c>
      <c r="BW1470" t="s">
        <v>0</v>
      </c>
      <c r="BX1470">
        <v>0</v>
      </c>
      <c r="BY1470">
        <v>0</v>
      </c>
      <c r="BZ1470">
        <v>0</v>
      </c>
      <c r="CA1470">
        <v>0</v>
      </c>
      <c r="CB1470" t="s">
        <v>145</v>
      </c>
    </row>
    <row r="1471" spans="32:80" x14ac:dyDescent="0.25">
      <c r="BO1471">
        <v>0</v>
      </c>
      <c r="BP1471">
        <v>0</v>
      </c>
      <c r="BQ1471">
        <v>0</v>
      </c>
      <c r="BR1471">
        <v>0</v>
      </c>
      <c r="BS1471">
        <v>0</v>
      </c>
      <c r="BT1471">
        <v>0</v>
      </c>
      <c r="BU1471">
        <v>0</v>
      </c>
      <c r="BV1471">
        <v>0</v>
      </c>
      <c r="BW1471" t="s">
        <v>0</v>
      </c>
      <c r="BX1471">
        <v>0</v>
      </c>
      <c r="BY1471">
        <v>0</v>
      </c>
      <c r="BZ1471">
        <v>0</v>
      </c>
      <c r="CA1471">
        <v>0</v>
      </c>
      <c r="CB1471" t="s">
        <v>145</v>
      </c>
    </row>
    <row r="1472" spans="32:80" x14ac:dyDescent="0.25">
      <c r="BO1472">
        <v>0</v>
      </c>
      <c r="BP1472">
        <v>0</v>
      </c>
      <c r="BQ1472">
        <v>0</v>
      </c>
      <c r="BR1472">
        <v>0</v>
      </c>
      <c r="BS1472">
        <v>0</v>
      </c>
      <c r="BT1472">
        <v>0</v>
      </c>
      <c r="BU1472">
        <v>0</v>
      </c>
      <c r="BV1472">
        <v>0</v>
      </c>
      <c r="BW1472" t="s">
        <v>0</v>
      </c>
      <c r="BX1472">
        <v>0</v>
      </c>
      <c r="BY1472">
        <v>0</v>
      </c>
      <c r="BZ1472">
        <v>0</v>
      </c>
      <c r="CA1472">
        <v>0</v>
      </c>
      <c r="CB1472" t="s">
        <v>145</v>
      </c>
    </row>
    <row r="1473" spans="67:80" x14ac:dyDescent="0.25">
      <c r="BO1473">
        <v>0</v>
      </c>
      <c r="BP1473">
        <v>0</v>
      </c>
      <c r="BQ1473">
        <v>0</v>
      </c>
      <c r="BR1473">
        <v>0</v>
      </c>
      <c r="BS1473">
        <v>0</v>
      </c>
      <c r="BT1473">
        <v>0</v>
      </c>
      <c r="BU1473">
        <v>0</v>
      </c>
      <c r="BV1473">
        <v>0</v>
      </c>
      <c r="BW1473" t="s">
        <v>0</v>
      </c>
      <c r="BX1473">
        <v>0</v>
      </c>
      <c r="BY1473">
        <v>0</v>
      </c>
      <c r="BZ1473">
        <v>0</v>
      </c>
      <c r="CA1473">
        <v>0</v>
      </c>
      <c r="CB1473" t="s">
        <v>145</v>
      </c>
    </row>
    <row r="1474" spans="67:80" x14ac:dyDescent="0.25">
      <c r="BO1474">
        <v>0</v>
      </c>
      <c r="BP1474">
        <v>0</v>
      </c>
      <c r="BQ1474">
        <v>0</v>
      </c>
      <c r="BR1474">
        <v>0</v>
      </c>
      <c r="BS1474">
        <v>0</v>
      </c>
      <c r="BT1474">
        <v>0</v>
      </c>
      <c r="BU1474">
        <v>0</v>
      </c>
      <c r="BV1474">
        <v>0</v>
      </c>
      <c r="BW1474" t="s">
        <v>0</v>
      </c>
      <c r="BX1474">
        <v>0</v>
      </c>
      <c r="BY1474">
        <v>0</v>
      </c>
      <c r="BZ1474">
        <v>0</v>
      </c>
      <c r="CA1474">
        <v>0</v>
      </c>
      <c r="CB1474" t="s">
        <v>145</v>
      </c>
    </row>
    <row r="1475" spans="67:80" x14ac:dyDescent="0.25">
      <c r="BO1475">
        <v>0</v>
      </c>
      <c r="BP1475">
        <v>0</v>
      </c>
      <c r="BQ1475">
        <v>0</v>
      </c>
      <c r="BR1475">
        <v>0</v>
      </c>
      <c r="BS1475">
        <v>0</v>
      </c>
      <c r="BT1475">
        <v>0</v>
      </c>
      <c r="BU1475">
        <v>0</v>
      </c>
      <c r="BV1475">
        <v>0</v>
      </c>
      <c r="BW1475" t="s">
        <v>0</v>
      </c>
      <c r="BX1475">
        <v>0</v>
      </c>
      <c r="BY1475">
        <v>0</v>
      </c>
      <c r="BZ1475">
        <v>0</v>
      </c>
      <c r="CA1475">
        <v>0</v>
      </c>
      <c r="CB1475" t="s">
        <v>145</v>
      </c>
    </row>
    <row r="1476" spans="67:80" x14ac:dyDescent="0.25">
      <c r="BO1476">
        <v>0</v>
      </c>
      <c r="BP1476">
        <v>0</v>
      </c>
      <c r="BQ1476">
        <v>0</v>
      </c>
      <c r="BR1476">
        <v>0</v>
      </c>
      <c r="BS1476">
        <v>0</v>
      </c>
      <c r="BT1476">
        <v>0</v>
      </c>
      <c r="BU1476">
        <v>0</v>
      </c>
      <c r="BV1476">
        <v>0</v>
      </c>
      <c r="BW1476" t="s">
        <v>0</v>
      </c>
      <c r="BX1476">
        <v>0</v>
      </c>
      <c r="BY1476">
        <v>0</v>
      </c>
      <c r="BZ1476">
        <v>0</v>
      </c>
      <c r="CA1476">
        <v>0</v>
      </c>
      <c r="CB1476" t="s">
        <v>145</v>
      </c>
    </row>
    <row r="1477" spans="67:80" x14ac:dyDescent="0.25">
      <c r="BO1477">
        <v>0</v>
      </c>
      <c r="BP1477">
        <v>0</v>
      </c>
      <c r="BQ1477">
        <v>0</v>
      </c>
      <c r="BR1477">
        <v>0</v>
      </c>
      <c r="BS1477">
        <v>0</v>
      </c>
      <c r="BT1477">
        <v>0</v>
      </c>
      <c r="BU1477">
        <v>0</v>
      </c>
      <c r="BV1477">
        <v>0</v>
      </c>
      <c r="BW1477" t="s">
        <v>0</v>
      </c>
      <c r="BX1477">
        <v>0</v>
      </c>
      <c r="BY1477">
        <v>0</v>
      </c>
      <c r="BZ1477">
        <v>0</v>
      </c>
      <c r="CA1477">
        <v>0</v>
      </c>
      <c r="CB1477" t="s">
        <v>145</v>
      </c>
    </row>
    <row r="1478" spans="67:80" x14ac:dyDescent="0.25">
      <c r="BO1478">
        <v>0</v>
      </c>
      <c r="BP1478">
        <v>0</v>
      </c>
      <c r="BQ1478">
        <v>0</v>
      </c>
      <c r="BR1478">
        <v>0</v>
      </c>
      <c r="BS1478">
        <v>0</v>
      </c>
      <c r="BT1478">
        <v>0</v>
      </c>
      <c r="BU1478">
        <v>0</v>
      </c>
      <c r="BV1478">
        <v>0</v>
      </c>
      <c r="BW1478" t="s">
        <v>0</v>
      </c>
      <c r="BX1478">
        <v>0</v>
      </c>
      <c r="BY1478">
        <v>0</v>
      </c>
      <c r="BZ1478">
        <v>0</v>
      </c>
      <c r="CA1478">
        <v>0</v>
      </c>
      <c r="CB1478" t="s">
        <v>145</v>
      </c>
    </row>
    <row r="1479" spans="67:80" x14ac:dyDescent="0.25">
      <c r="BO1479">
        <v>0</v>
      </c>
      <c r="BP1479">
        <v>0</v>
      </c>
      <c r="BQ1479">
        <v>0</v>
      </c>
      <c r="BR1479">
        <v>0</v>
      </c>
      <c r="BS1479">
        <v>0</v>
      </c>
      <c r="BT1479">
        <v>0</v>
      </c>
      <c r="BU1479">
        <v>0</v>
      </c>
      <c r="BV1479">
        <v>0</v>
      </c>
      <c r="BW1479" t="s">
        <v>0</v>
      </c>
      <c r="BX1479">
        <v>0</v>
      </c>
      <c r="BY1479">
        <v>0</v>
      </c>
      <c r="BZ1479">
        <v>0</v>
      </c>
      <c r="CA1479">
        <v>0</v>
      </c>
      <c r="CB1479" t="s">
        <v>145</v>
      </c>
    </row>
    <row r="1480" spans="67:80" x14ac:dyDescent="0.25">
      <c r="BO1480">
        <v>0</v>
      </c>
      <c r="BP1480">
        <v>0</v>
      </c>
      <c r="BQ1480">
        <v>0</v>
      </c>
      <c r="BR1480">
        <v>0</v>
      </c>
      <c r="BS1480">
        <v>0</v>
      </c>
      <c r="BT1480">
        <v>0</v>
      </c>
      <c r="BU1480">
        <v>0</v>
      </c>
      <c r="BV1480">
        <v>0</v>
      </c>
      <c r="BW1480" t="s">
        <v>0</v>
      </c>
      <c r="BX1480">
        <v>0</v>
      </c>
      <c r="BY1480">
        <v>0</v>
      </c>
      <c r="BZ1480">
        <v>0</v>
      </c>
      <c r="CA1480">
        <v>0</v>
      </c>
      <c r="CB1480" t="s">
        <v>145</v>
      </c>
    </row>
    <row r="1481" spans="67:80" x14ac:dyDescent="0.25">
      <c r="BO1481">
        <v>0</v>
      </c>
      <c r="BP1481">
        <v>0</v>
      </c>
      <c r="BQ1481">
        <v>0</v>
      </c>
      <c r="BR1481">
        <v>0</v>
      </c>
      <c r="BS1481">
        <v>0</v>
      </c>
      <c r="BT1481">
        <v>0</v>
      </c>
      <c r="BU1481">
        <v>0</v>
      </c>
      <c r="BV1481">
        <v>0</v>
      </c>
      <c r="BW1481" t="s">
        <v>0</v>
      </c>
      <c r="BX1481">
        <v>0</v>
      </c>
      <c r="BY1481">
        <v>0</v>
      </c>
      <c r="BZ1481">
        <v>0</v>
      </c>
      <c r="CA1481">
        <v>0</v>
      </c>
      <c r="CB1481" t="s">
        <v>145</v>
      </c>
    </row>
    <row r="1482" spans="67:80" x14ac:dyDescent="0.25">
      <c r="BO1482">
        <v>0</v>
      </c>
      <c r="BP1482">
        <v>0</v>
      </c>
      <c r="BQ1482">
        <v>0</v>
      </c>
      <c r="BR1482">
        <v>0</v>
      </c>
      <c r="BS1482">
        <v>0</v>
      </c>
      <c r="BT1482">
        <v>0</v>
      </c>
      <c r="BU1482">
        <v>0</v>
      </c>
      <c r="BV1482">
        <v>0</v>
      </c>
      <c r="BW1482" t="s">
        <v>0</v>
      </c>
      <c r="BX1482">
        <v>0</v>
      </c>
      <c r="BY1482">
        <v>0</v>
      </c>
      <c r="BZ1482">
        <v>0</v>
      </c>
      <c r="CA1482">
        <v>0</v>
      </c>
      <c r="CB1482" t="s">
        <v>145</v>
      </c>
    </row>
    <row r="1483" spans="67:80" x14ac:dyDescent="0.25">
      <c r="BO1483">
        <v>0</v>
      </c>
      <c r="BP1483">
        <v>0</v>
      </c>
      <c r="BQ1483">
        <v>0</v>
      </c>
      <c r="BR1483">
        <v>0</v>
      </c>
      <c r="BS1483">
        <v>0</v>
      </c>
      <c r="BT1483">
        <v>0</v>
      </c>
      <c r="BU1483">
        <v>0</v>
      </c>
      <c r="BV1483">
        <v>0</v>
      </c>
      <c r="BW1483" t="s">
        <v>0</v>
      </c>
      <c r="BX1483">
        <v>0</v>
      </c>
      <c r="BY1483">
        <v>0</v>
      </c>
      <c r="BZ1483">
        <v>0</v>
      </c>
      <c r="CA1483">
        <v>0</v>
      </c>
      <c r="CB1483" t="s">
        <v>145</v>
      </c>
    </row>
    <row r="1484" spans="67:80" x14ac:dyDescent="0.25">
      <c r="BO1484">
        <v>0</v>
      </c>
      <c r="BP1484">
        <v>0</v>
      </c>
      <c r="BQ1484">
        <v>0</v>
      </c>
      <c r="BR1484">
        <v>0</v>
      </c>
      <c r="BS1484">
        <v>0</v>
      </c>
      <c r="BT1484">
        <v>0</v>
      </c>
      <c r="BU1484">
        <v>0</v>
      </c>
      <c r="BV1484">
        <v>0</v>
      </c>
      <c r="BW1484" t="s">
        <v>0</v>
      </c>
      <c r="BX1484">
        <v>0</v>
      </c>
      <c r="BY1484">
        <v>0</v>
      </c>
      <c r="BZ1484">
        <v>0</v>
      </c>
      <c r="CA1484">
        <v>0</v>
      </c>
      <c r="CB1484" t="s">
        <v>145</v>
      </c>
    </row>
    <row r="1485" spans="67:80" x14ac:dyDescent="0.25">
      <c r="BO1485">
        <v>0</v>
      </c>
      <c r="BP1485">
        <v>0</v>
      </c>
      <c r="BQ1485">
        <v>0</v>
      </c>
      <c r="BR1485">
        <v>0</v>
      </c>
      <c r="BS1485">
        <v>0</v>
      </c>
      <c r="BT1485">
        <v>0</v>
      </c>
      <c r="BU1485">
        <v>0</v>
      </c>
      <c r="BV1485">
        <v>0</v>
      </c>
      <c r="BW1485" t="s">
        <v>0</v>
      </c>
      <c r="BX1485">
        <v>0</v>
      </c>
      <c r="BY1485">
        <v>0</v>
      </c>
      <c r="BZ1485">
        <v>0</v>
      </c>
      <c r="CA1485">
        <v>0</v>
      </c>
      <c r="CB1485" t="s">
        <v>145</v>
      </c>
    </row>
    <row r="1486" spans="67:80" x14ac:dyDescent="0.25">
      <c r="BO1486">
        <v>0</v>
      </c>
      <c r="BP1486">
        <v>0</v>
      </c>
      <c r="BQ1486">
        <v>0</v>
      </c>
      <c r="BR1486">
        <v>0</v>
      </c>
      <c r="BS1486">
        <v>0</v>
      </c>
      <c r="BT1486">
        <v>0</v>
      </c>
      <c r="BU1486">
        <v>0</v>
      </c>
      <c r="BV1486">
        <v>0</v>
      </c>
      <c r="BW1486" t="s">
        <v>0</v>
      </c>
      <c r="BX1486">
        <v>0</v>
      </c>
      <c r="BY1486">
        <v>0</v>
      </c>
      <c r="BZ1486">
        <v>0</v>
      </c>
      <c r="CA1486">
        <v>0</v>
      </c>
      <c r="CB1486" t="s">
        <v>145</v>
      </c>
    </row>
    <row r="1487" spans="67:80" x14ac:dyDescent="0.25">
      <c r="BO1487">
        <v>0</v>
      </c>
      <c r="BP1487">
        <v>0</v>
      </c>
      <c r="BQ1487">
        <v>0</v>
      </c>
      <c r="BR1487">
        <v>0</v>
      </c>
      <c r="BS1487">
        <v>0</v>
      </c>
      <c r="BT1487">
        <v>0</v>
      </c>
      <c r="BU1487">
        <v>0</v>
      </c>
      <c r="BV1487">
        <v>0</v>
      </c>
      <c r="BW1487" t="s">
        <v>0</v>
      </c>
      <c r="BX1487">
        <v>0</v>
      </c>
      <c r="BY1487">
        <v>0</v>
      </c>
      <c r="BZ1487">
        <v>0</v>
      </c>
      <c r="CA1487">
        <v>0</v>
      </c>
      <c r="CB1487" t="s">
        <v>145</v>
      </c>
    </row>
    <row r="1488" spans="67:80" x14ac:dyDescent="0.25">
      <c r="BO1488">
        <v>0</v>
      </c>
      <c r="BP1488">
        <v>0</v>
      </c>
      <c r="BQ1488">
        <v>0</v>
      </c>
      <c r="BR1488">
        <v>0</v>
      </c>
      <c r="BS1488">
        <v>0</v>
      </c>
      <c r="BT1488">
        <v>0</v>
      </c>
      <c r="BU1488">
        <v>0</v>
      </c>
      <c r="BV1488">
        <v>0</v>
      </c>
      <c r="BW1488" t="s">
        <v>0</v>
      </c>
      <c r="BX1488">
        <v>0</v>
      </c>
      <c r="BY1488">
        <v>0</v>
      </c>
      <c r="BZ1488">
        <v>0</v>
      </c>
      <c r="CA1488">
        <v>0</v>
      </c>
      <c r="CB1488" t="s">
        <v>145</v>
      </c>
    </row>
    <row r="1489" spans="67:80" x14ac:dyDescent="0.25">
      <c r="BO1489">
        <v>0</v>
      </c>
      <c r="BP1489">
        <v>0</v>
      </c>
      <c r="BQ1489">
        <v>0</v>
      </c>
      <c r="BR1489">
        <v>0</v>
      </c>
      <c r="BS1489">
        <v>0</v>
      </c>
      <c r="BT1489">
        <v>0</v>
      </c>
      <c r="BU1489">
        <v>0</v>
      </c>
      <c r="BV1489">
        <v>0</v>
      </c>
      <c r="BW1489" t="s">
        <v>0</v>
      </c>
      <c r="BX1489">
        <v>0</v>
      </c>
      <c r="BY1489">
        <v>0</v>
      </c>
      <c r="BZ1489">
        <v>0</v>
      </c>
      <c r="CA1489">
        <v>0</v>
      </c>
      <c r="CB1489" t="s">
        <v>145</v>
      </c>
    </row>
    <row r="1490" spans="67:80" x14ac:dyDescent="0.25">
      <c r="BO1490">
        <v>0</v>
      </c>
      <c r="BP1490">
        <v>0</v>
      </c>
      <c r="BQ1490">
        <v>0</v>
      </c>
      <c r="BR1490">
        <v>0</v>
      </c>
      <c r="BS1490">
        <v>0</v>
      </c>
      <c r="BT1490">
        <v>0</v>
      </c>
      <c r="BU1490">
        <v>0</v>
      </c>
      <c r="BV1490">
        <v>0</v>
      </c>
      <c r="BW1490" t="s">
        <v>0</v>
      </c>
      <c r="BX1490">
        <v>0</v>
      </c>
      <c r="BY1490">
        <v>0</v>
      </c>
      <c r="BZ1490">
        <v>0</v>
      </c>
      <c r="CA1490">
        <v>0</v>
      </c>
      <c r="CB1490" t="s">
        <v>145</v>
      </c>
    </row>
    <row r="1491" spans="67:80" x14ac:dyDescent="0.25">
      <c r="BO1491">
        <v>0</v>
      </c>
      <c r="BP1491">
        <v>0</v>
      </c>
      <c r="BQ1491">
        <v>0</v>
      </c>
      <c r="BR1491">
        <v>0</v>
      </c>
      <c r="BS1491">
        <v>0</v>
      </c>
      <c r="BT1491">
        <v>0</v>
      </c>
      <c r="BU1491">
        <v>0</v>
      </c>
      <c r="BV1491">
        <v>0</v>
      </c>
      <c r="BW1491" t="s">
        <v>0</v>
      </c>
      <c r="BX1491">
        <v>0</v>
      </c>
      <c r="BY1491">
        <v>0</v>
      </c>
      <c r="BZ1491">
        <v>0</v>
      </c>
      <c r="CA1491">
        <v>0</v>
      </c>
      <c r="CB1491" t="s">
        <v>145</v>
      </c>
    </row>
    <row r="1492" spans="67:80" x14ac:dyDescent="0.25">
      <c r="BO1492">
        <v>0</v>
      </c>
      <c r="BP1492">
        <v>0</v>
      </c>
      <c r="BQ1492">
        <v>0</v>
      </c>
      <c r="BR1492">
        <v>0</v>
      </c>
      <c r="BS1492">
        <v>0</v>
      </c>
      <c r="BT1492">
        <v>0</v>
      </c>
      <c r="BU1492">
        <v>0</v>
      </c>
      <c r="BV1492">
        <v>0</v>
      </c>
      <c r="BW1492" t="s">
        <v>0</v>
      </c>
      <c r="BX1492">
        <v>0</v>
      </c>
      <c r="BY1492">
        <v>0</v>
      </c>
      <c r="BZ1492">
        <v>0</v>
      </c>
      <c r="CA1492">
        <v>0</v>
      </c>
      <c r="CB1492" t="s">
        <v>145</v>
      </c>
    </row>
    <row r="1493" spans="67:80" x14ac:dyDescent="0.25">
      <c r="BO1493">
        <v>0</v>
      </c>
      <c r="BP1493">
        <v>0</v>
      </c>
      <c r="BQ1493">
        <v>0</v>
      </c>
      <c r="BR1493">
        <v>0</v>
      </c>
      <c r="BS1493">
        <v>0</v>
      </c>
      <c r="BT1493">
        <v>0</v>
      </c>
      <c r="BU1493">
        <v>0</v>
      </c>
      <c r="BV1493">
        <v>0</v>
      </c>
      <c r="BW1493" t="s">
        <v>0</v>
      </c>
      <c r="BX1493">
        <v>0</v>
      </c>
      <c r="BY1493">
        <v>0</v>
      </c>
      <c r="BZ1493">
        <v>0</v>
      </c>
      <c r="CA1493">
        <v>0</v>
      </c>
      <c r="CB1493" t="s">
        <v>145</v>
      </c>
    </row>
    <row r="1494" spans="67:80" x14ac:dyDescent="0.25">
      <c r="BO1494">
        <v>0</v>
      </c>
      <c r="BP1494">
        <v>0</v>
      </c>
      <c r="BQ1494">
        <v>0</v>
      </c>
      <c r="BR1494">
        <v>0</v>
      </c>
      <c r="BS1494">
        <v>0</v>
      </c>
      <c r="BT1494">
        <v>0</v>
      </c>
      <c r="BU1494">
        <v>0</v>
      </c>
      <c r="BV1494">
        <v>0</v>
      </c>
      <c r="BW1494" t="s">
        <v>0</v>
      </c>
      <c r="BX1494">
        <v>0</v>
      </c>
      <c r="BY1494">
        <v>0</v>
      </c>
      <c r="BZ1494">
        <v>0</v>
      </c>
      <c r="CA1494">
        <v>0</v>
      </c>
      <c r="CB1494" t="s">
        <v>145</v>
      </c>
    </row>
    <row r="1495" spans="67:80" x14ac:dyDescent="0.25">
      <c r="BO1495">
        <v>0</v>
      </c>
      <c r="BP1495">
        <v>0</v>
      </c>
      <c r="BQ1495">
        <v>0</v>
      </c>
      <c r="BR1495">
        <v>0</v>
      </c>
      <c r="BS1495">
        <v>0</v>
      </c>
      <c r="BT1495">
        <v>0</v>
      </c>
      <c r="BU1495">
        <v>0</v>
      </c>
      <c r="BV1495">
        <v>0</v>
      </c>
      <c r="BW1495" t="s">
        <v>0</v>
      </c>
      <c r="BX1495">
        <v>0</v>
      </c>
      <c r="BY1495">
        <v>0</v>
      </c>
      <c r="BZ1495">
        <v>0</v>
      </c>
      <c r="CA1495">
        <v>0</v>
      </c>
      <c r="CB1495" t="s">
        <v>145</v>
      </c>
    </row>
    <row r="1496" spans="67:80" x14ac:dyDescent="0.25">
      <c r="BO1496">
        <v>0</v>
      </c>
      <c r="BP1496">
        <v>0</v>
      </c>
      <c r="BQ1496">
        <v>0</v>
      </c>
      <c r="BR1496">
        <v>0</v>
      </c>
      <c r="BS1496">
        <v>0</v>
      </c>
      <c r="BT1496">
        <v>0</v>
      </c>
      <c r="BU1496">
        <v>0</v>
      </c>
      <c r="BV1496">
        <v>0</v>
      </c>
      <c r="BW1496" t="s">
        <v>0</v>
      </c>
      <c r="BX1496">
        <v>0</v>
      </c>
      <c r="BY1496">
        <v>0</v>
      </c>
      <c r="BZ1496">
        <v>0</v>
      </c>
      <c r="CA1496">
        <v>0</v>
      </c>
      <c r="CB1496" t="s">
        <v>145</v>
      </c>
    </row>
    <row r="1497" spans="67:80" x14ac:dyDescent="0.25">
      <c r="BO1497">
        <v>0</v>
      </c>
      <c r="BP1497">
        <v>0</v>
      </c>
      <c r="BQ1497">
        <v>0</v>
      </c>
      <c r="BR1497">
        <v>0</v>
      </c>
      <c r="BS1497">
        <v>0</v>
      </c>
      <c r="BT1497">
        <v>0</v>
      </c>
      <c r="BU1497">
        <v>0</v>
      </c>
      <c r="BV1497">
        <v>0</v>
      </c>
      <c r="BW1497" t="s">
        <v>0</v>
      </c>
      <c r="BX1497">
        <v>0</v>
      </c>
      <c r="BY1497">
        <v>0</v>
      </c>
      <c r="BZ1497">
        <v>0</v>
      </c>
      <c r="CA1497">
        <v>0</v>
      </c>
      <c r="CB1497" t="s">
        <v>145</v>
      </c>
    </row>
    <row r="1498" spans="67:80" x14ac:dyDescent="0.25">
      <c r="BO1498">
        <v>0</v>
      </c>
      <c r="BP1498">
        <v>0</v>
      </c>
      <c r="BQ1498">
        <v>0</v>
      </c>
      <c r="BR1498">
        <v>0</v>
      </c>
      <c r="BS1498">
        <v>0</v>
      </c>
      <c r="BT1498">
        <v>0</v>
      </c>
      <c r="BU1498">
        <v>0</v>
      </c>
      <c r="BV1498">
        <v>0</v>
      </c>
      <c r="BW1498" t="s">
        <v>0</v>
      </c>
      <c r="BX1498">
        <v>0</v>
      </c>
      <c r="BY1498">
        <v>0</v>
      </c>
      <c r="BZ1498">
        <v>0</v>
      </c>
      <c r="CA1498">
        <v>0</v>
      </c>
      <c r="CB1498" t="s">
        <v>145</v>
      </c>
    </row>
    <row r="1499" spans="67:80" x14ac:dyDescent="0.25">
      <c r="BO1499">
        <v>0</v>
      </c>
      <c r="BP1499">
        <v>0</v>
      </c>
      <c r="BQ1499">
        <v>0</v>
      </c>
      <c r="BR1499">
        <v>0</v>
      </c>
      <c r="BS1499">
        <v>0</v>
      </c>
      <c r="BT1499">
        <v>0</v>
      </c>
      <c r="BU1499">
        <v>0</v>
      </c>
      <c r="BV1499">
        <v>0</v>
      </c>
      <c r="BW1499" t="s">
        <v>0</v>
      </c>
      <c r="BX1499">
        <v>0</v>
      </c>
      <c r="BY1499">
        <v>0</v>
      </c>
      <c r="BZ1499">
        <v>0</v>
      </c>
      <c r="CA1499">
        <v>0</v>
      </c>
      <c r="CB1499" t="s">
        <v>145</v>
      </c>
    </row>
    <row r="1500" spans="67:80" x14ac:dyDescent="0.25">
      <c r="BO1500">
        <v>0</v>
      </c>
      <c r="BP1500">
        <v>0</v>
      </c>
      <c r="BQ1500">
        <v>0</v>
      </c>
      <c r="BR1500">
        <v>0</v>
      </c>
      <c r="BS1500">
        <v>0</v>
      </c>
      <c r="BT1500">
        <v>0</v>
      </c>
      <c r="BU1500">
        <v>0</v>
      </c>
      <c r="BV1500">
        <v>0</v>
      </c>
      <c r="BW1500" t="s">
        <v>0</v>
      </c>
      <c r="BX1500">
        <v>0</v>
      </c>
      <c r="BY1500">
        <v>0</v>
      </c>
      <c r="BZ1500">
        <v>0</v>
      </c>
      <c r="CA1500">
        <v>0</v>
      </c>
      <c r="CB1500" t="s">
        <v>145</v>
      </c>
    </row>
    <row r="1501" spans="67:80" x14ac:dyDescent="0.25">
      <c r="BO1501">
        <v>0</v>
      </c>
      <c r="BP1501">
        <v>0</v>
      </c>
      <c r="BQ1501">
        <v>0</v>
      </c>
      <c r="BR1501">
        <v>0</v>
      </c>
      <c r="BS1501">
        <v>0</v>
      </c>
      <c r="BT1501">
        <v>0</v>
      </c>
      <c r="BU1501">
        <v>0</v>
      </c>
      <c r="BV1501">
        <v>0</v>
      </c>
      <c r="BW1501" t="s">
        <v>0</v>
      </c>
      <c r="BX1501">
        <v>0</v>
      </c>
      <c r="BY1501">
        <v>0</v>
      </c>
      <c r="BZ1501">
        <v>0</v>
      </c>
      <c r="CA1501">
        <v>0</v>
      </c>
      <c r="CB1501" t="s">
        <v>145</v>
      </c>
    </row>
    <row r="1502" spans="67:80" x14ac:dyDescent="0.25">
      <c r="BO1502">
        <v>0</v>
      </c>
      <c r="BP1502">
        <v>0</v>
      </c>
      <c r="BQ1502">
        <v>0</v>
      </c>
      <c r="BR1502">
        <v>0</v>
      </c>
      <c r="BS1502">
        <v>0</v>
      </c>
      <c r="BT1502">
        <v>0</v>
      </c>
      <c r="BU1502">
        <v>0</v>
      </c>
      <c r="BV1502">
        <v>0</v>
      </c>
      <c r="BW1502" t="s">
        <v>0</v>
      </c>
      <c r="BX1502">
        <v>0</v>
      </c>
      <c r="BY1502">
        <v>0</v>
      </c>
      <c r="BZ1502">
        <v>0</v>
      </c>
      <c r="CA1502">
        <v>0</v>
      </c>
      <c r="CB1502" t="s">
        <v>145</v>
      </c>
    </row>
    <row r="1503" spans="67:80" x14ac:dyDescent="0.25">
      <c r="BO1503">
        <v>0</v>
      </c>
      <c r="BP1503">
        <v>0</v>
      </c>
      <c r="BQ1503">
        <v>0</v>
      </c>
      <c r="BR1503">
        <v>0</v>
      </c>
      <c r="BS1503">
        <v>0</v>
      </c>
      <c r="BT1503">
        <v>0</v>
      </c>
      <c r="BU1503">
        <v>0</v>
      </c>
      <c r="BV1503">
        <v>0</v>
      </c>
      <c r="BW1503" t="s">
        <v>0</v>
      </c>
      <c r="BX1503">
        <v>0</v>
      </c>
      <c r="BY1503">
        <v>0</v>
      </c>
      <c r="BZ1503">
        <v>0</v>
      </c>
      <c r="CA1503">
        <v>0</v>
      </c>
      <c r="CB1503" t="s">
        <v>145</v>
      </c>
    </row>
    <row r="1504" spans="67:80" x14ac:dyDescent="0.25">
      <c r="BO1504">
        <v>0</v>
      </c>
      <c r="BP1504">
        <v>0</v>
      </c>
      <c r="BQ1504">
        <v>0</v>
      </c>
      <c r="BR1504">
        <v>0</v>
      </c>
      <c r="BS1504">
        <v>0</v>
      </c>
      <c r="BT1504">
        <v>0</v>
      </c>
      <c r="BU1504">
        <v>0</v>
      </c>
      <c r="BV1504">
        <v>0</v>
      </c>
      <c r="BW1504" t="s">
        <v>0</v>
      </c>
      <c r="BX1504">
        <v>0</v>
      </c>
      <c r="BY1504">
        <v>0</v>
      </c>
      <c r="BZ1504">
        <v>0</v>
      </c>
      <c r="CA1504">
        <v>0</v>
      </c>
      <c r="CB1504" t="s">
        <v>145</v>
      </c>
    </row>
    <row r="1505" spans="67:80" x14ac:dyDescent="0.25">
      <c r="BO1505">
        <v>0</v>
      </c>
      <c r="BP1505">
        <v>0</v>
      </c>
      <c r="BQ1505">
        <v>0</v>
      </c>
      <c r="BR1505">
        <v>0</v>
      </c>
      <c r="BS1505">
        <v>0</v>
      </c>
      <c r="BT1505">
        <v>0</v>
      </c>
      <c r="BU1505">
        <v>0</v>
      </c>
      <c r="BV1505">
        <v>0</v>
      </c>
      <c r="BW1505" t="s">
        <v>0</v>
      </c>
      <c r="BX1505">
        <v>0</v>
      </c>
      <c r="BY1505">
        <v>0</v>
      </c>
      <c r="BZ1505">
        <v>0</v>
      </c>
      <c r="CA1505">
        <v>0</v>
      </c>
      <c r="CB1505" t="s">
        <v>145</v>
      </c>
    </row>
    <row r="1506" spans="67:80" x14ac:dyDescent="0.25">
      <c r="BO1506">
        <v>0</v>
      </c>
      <c r="BP1506">
        <v>0</v>
      </c>
      <c r="BQ1506">
        <v>0</v>
      </c>
      <c r="BR1506">
        <v>0</v>
      </c>
      <c r="BS1506">
        <v>0</v>
      </c>
      <c r="BT1506">
        <v>0</v>
      </c>
      <c r="BU1506">
        <v>0</v>
      </c>
      <c r="BV1506">
        <v>0</v>
      </c>
      <c r="BW1506" t="s">
        <v>0</v>
      </c>
      <c r="BX1506">
        <v>0</v>
      </c>
      <c r="BY1506">
        <v>0</v>
      </c>
      <c r="BZ1506">
        <v>0</v>
      </c>
      <c r="CA1506">
        <v>0</v>
      </c>
      <c r="CB1506" t="s">
        <v>145</v>
      </c>
    </row>
    <row r="1507" spans="67:80" x14ac:dyDescent="0.25">
      <c r="BO1507">
        <v>0</v>
      </c>
      <c r="BP1507">
        <v>0</v>
      </c>
      <c r="BQ1507">
        <v>0</v>
      </c>
      <c r="BR1507">
        <v>0</v>
      </c>
      <c r="BS1507">
        <v>0</v>
      </c>
      <c r="BT1507">
        <v>0</v>
      </c>
      <c r="BU1507">
        <v>0</v>
      </c>
      <c r="BV1507">
        <v>0</v>
      </c>
      <c r="BW1507" t="s">
        <v>0</v>
      </c>
      <c r="BX1507">
        <v>0</v>
      </c>
      <c r="BY1507">
        <v>0</v>
      </c>
      <c r="BZ1507">
        <v>0</v>
      </c>
      <c r="CA1507">
        <v>0</v>
      </c>
      <c r="CB1507" t="s">
        <v>145</v>
      </c>
    </row>
    <row r="1508" spans="67:80" x14ac:dyDescent="0.25">
      <c r="BO1508">
        <v>0</v>
      </c>
      <c r="BP1508">
        <v>0</v>
      </c>
      <c r="BQ1508">
        <v>0</v>
      </c>
      <c r="BR1508">
        <v>0</v>
      </c>
      <c r="BS1508">
        <v>0</v>
      </c>
      <c r="BT1508">
        <v>0</v>
      </c>
      <c r="BU1508">
        <v>0</v>
      </c>
      <c r="BV1508">
        <v>0</v>
      </c>
      <c r="BW1508" t="s">
        <v>0</v>
      </c>
      <c r="BX1508">
        <v>0</v>
      </c>
      <c r="BY1508">
        <v>0</v>
      </c>
      <c r="BZ1508">
        <v>0</v>
      </c>
      <c r="CA1508">
        <v>0</v>
      </c>
      <c r="CB1508" t="s">
        <v>145</v>
      </c>
    </row>
    <row r="1509" spans="67:80" x14ac:dyDescent="0.25">
      <c r="BO1509">
        <v>0</v>
      </c>
      <c r="BP1509">
        <v>0</v>
      </c>
      <c r="BQ1509">
        <v>0</v>
      </c>
      <c r="BR1509">
        <v>0</v>
      </c>
      <c r="BS1509">
        <v>0</v>
      </c>
      <c r="BT1509">
        <v>0</v>
      </c>
      <c r="BU1509">
        <v>0</v>
      </c>
      <c r="BV1509">
        <v>0</v>
      </c>
      <c r="BW1509" t="s">
        <v>0</v>
      </c>
      <c r="BX1509">
        <v>0</v>
      </c>
      <c r="BY1509">
        <v>0</v>
      </c>
      <c r="BZ1509">
        <v>0</v>
      </c>
      <c r="CA1509">
        <v>0</v>
      </c>
      <c r="CB1509" t="s">
        <v>145</v>
      </c>
    </row>
    <row r="1510" spans="67:80" x14ac:dyDescent="0.25">
      <c r="BO1510">
        <v>0</v>
      </c>
      <c r="BP1510">
        <v>0</v>
      </c>
      <c r="BQ1510">
        <v>0</v>
      </c>
      <c r="BR1510">
        <v>0</v>
      </c>
      <c r="BS1510">
        <v>0</v>
      </c>
      <c r="BT1510">
        <v>0</v>
      </c>
      <c r="BU1510">
        <v>0</v>
      </c>
      <c r="BV1510">
        <v>0</v>
      </c>
      <c r="BW1510" t="s">
        <v>0</v>
      </c>
      <c r="BX1510">
        <v>0</v>
      </c>
      <c r="BY1510">
        <v>0</v>
      </c>
      <c r="BZ1510">
        <v>0</v>
      </c>
      <c r="CA1510">
        <v>0</v>
      </c>
      <c r="CB1510" t="s">
        <v>145</v>
      </c>
    </row>
    <row r="1511" spans="67:80" x14ac:dyDescent="0.25">
      <c r="BO1511">
        <v>0</v>
      </c>
      <c r="BP1511">
        <v>0</v>
      </c>
      <c r="BQ1511">
        <v>0</v>
      </c>
      <c r="BR1511">
        <v>0</v>
      </c>
      <c r="BS1511">
        <v>0</v>
      </c>
      <c r="BT1511">
        <v>0</v>
      </c>
      <c r="BU1511">
        <v>0</v>
      </c>
      <c r="BV1511">
        <v>0</v>
      </c>
      <c r="BW1511" t="s">
        <v>0</v>
      </c>
      <c r="BX1511">
        <v>0</v>
      </c>
      <c r="BY1511">
        <v>0</v>
      </c>
      <c r="BZ1511">
        <v>0</v>
      </c>
      <c r="CA1511">
        <v>0</v>
      </c>
      <c r="CB1511" t="s">
        <v>145</v>
      </c>
    </row>
    <row r="1512" spans="67:80" x14ac:dyDescent="0.25">
      <c r="BO1512">
        <v>0</v>
      </c>
      <c r="BP1512">
        <v>0</v>
      </c>
      <c r="BQ1512">
        <v>0</v>
      </c>
      <c r="BR1512">
        <v>0</v>
      </c>
      <c r="BS1512">
        <v>0</v>
      </c>
      <c r="BT1512">
        <v>0</v>
      </c>
      <c r="BU1512">
        <v>0</v>
      </c>
      <c r="BV1512">
        <v>0</v>
      </c>
      <c r="BW1512" t="s">
        <v>0</v>
      </c>
      <c r="BX1512">
        <v>0</v>
      </c>
      <c r="BY1512">
        <v>0</v>
      </c>
      <c r="BZ1512">
        <v>0</v>
      </c>
      <c r="CA1512">
        <v>0</v>
      </c>
      <c r="CB1512" t="s">
        <v>145</v>
      </c>
    </row>
    <row r="1513" spans="67:80" x14ac:dyDescent="0.25">
      <c r="BO1513">
        <v>0</v>
      </c>
      <c r="BP1513">
        <v>0</v>
      </c>
      <c r="BQ1513">
        <v>0</v>
      </c>
      <c r="BR1513">
        <v>0</v>
      </c>
      <c r="BS1513">
        <v>0</v>
      </c>
      <c r="BT1513">
        <v>0</v>
      </c>
      <c r="BU1513">
        <v>0</v>
      </c>
      <c r="BV1513">
        <v>0</v>
      </c>
      <c r="BW1513" t="s">
        <v>0</v>
      </c>
      <c r="BX1513">
        <v>0</v>
      </c>
      <c r="BY1513">
        <v>0</v>
      </c>
      <c r="BZ1513">
        <v>0</v>
      </c>
      <c r="CA1513">
        <v>0</v>
      </c>
      <c r="CB1513" t="s">
        <v>145</v>
      </c>
    </row>
    <row r="1514" spans="67:80" x14ac:dyDescent="0.25">
      <c r="BO1514">
        <v>0</v>
      </c>
      <c r="BP1514">
        <v>0</v>
      </c>
      <c r="BQ1514">
        <v>0</v>
      </c>
      <c r="BR1514">
        <v>0</v>
      </c>
      <c r="BS1514">
        <v>0</v>
      </c>
      <c r="BT1514">
        <v>0</v>
      </c>
      <c r="BU1514">
        <v>0</v>
      </c>
      <c r="BV1514">
        <v>0</v>
      </c>
      <c r="BW1514" t="s">
        <v>0</v>
      </c>
      <c r="BX1514">
        <v>0</v>
      </c>
      <c r="BY1514">
        <v>0</v>
      </c>
      <c r="BZ1514">
        <v>0</v>
      </c>
      <c r="CA1514">
        <v>0</v>
      </c>
      <c r="CB1514" t="s">
        <v>145</v>
      </c>
    </row>
    <row r="1515" spans="67:80" x14ac:dyDescent="0.25">
      <c r="BO1515">
        <v>0</v>
      </c>
      <c r="BP1515">
        <v>0</v>
      </c>
      <c r="BQ1515">
        <v>0</v>
      </c>
      <c r="BR1515">
        <v>0</v>
      </c>
      <c r="BS1515">
        <v>0</v>
      </c>
      <c r="BT1515">
        <v>0</v>
      </c>
      <c r="BU1515">
        <v>0</v>
      </c>
      <c r="BV1515">
        <v>0</v>
      </c>
      <c r="BW1515" t="s">
        <v>0</v>
      </c>
      <c r="BX1515">
        <v>0</v>
      </c>
      <c r="BY1515">
        <v>0</v>
      </c>
      <c r="BZ1515">
        <v>0</v>
      </c>
      <c r="CA1515">
        <v>0</v>
      </c>
      <c r="CB1515" t="s">
        <v>145</v>
      </c>
    </row>
    <row r="1516" spans="67:80" x14ac:dyDescent="0.25">
      <c r="BO1516">
        <v>0</v>
      </c>
      <c r="BP1516">
        <v>0</v>
      </c>
      <c r="BQ1516">
        <v>0</v>
      </c>
      <c r="BR1516">
        <v>0</v>
      </c>
      <c r="BS1516">
        <v>0</v>
      </c>
      <c r="BT1516">
        <v>0</v>
      </c>
      <c r="BU1516">
        <v>0</v>
      </c>
      <c r="BV1516">
        <v>0</v>
      </c>
      <c r="BW1516" t="s">
        <v>0</v>
      </c>
      <c r="BX1516">
        <v>0</v>
      </c>
      <c r="BY1516">
        <v>0</v>
      </c>
      <c r="BZ1516">
        <v>0</v>
      </c>
      <c r="CA1516">
        <v>0</v>
      </c>
      <c r="CB1516" t="s">
        <v>145</v>
      </c>
    </row>
    <row r="1517" spans="67:80" x14ac:dyDescent="0.25">
      <c r="BO1517">
        <v>0</v>
      </c>
      <c r="BP1517">
        <v>0</v>
      </c>
      <c r="BQ1517">
        <v>0</v>
      </c>
      <c r="BR1517">
        <v>0</v>
      </c>
      <c r="BS1517">
        <v>0</v>
      </c>
      <c r="BT1517">
        <v>0</v>
      </c>
      <c r="BU1517">
        <v>0</v>
      </c>
      <c r="BV1517">
        <v>0</v>
      </c>
      <c r="BW1517" t="s">
        <v>0</v>
      </c>
      <c r="BX1517">
        <v>0</v>
      </c>
      <c r="BY1517">
        <v>0</v>
      </c>
      <c r="BZ1517">
        <v>0</v>
      </c>
      <c r="CA1517">
        <v>0</v>
      </c>
      <c r="CB1517" t="s">
        <v>145</v>
      </c>
    </row>
    <row r="1518" spans="67:80" x14ac:dyDescent="0.25">
      <c r="BO1518">
        <v>0</v>
      </c>
      <c r="BP1518">
        <v>0</v>
      </c>
      <c r="BQ1518">
        <v>0</v>
      </c>
      <c r="BR1518">
        <v>0</v>
      </c>
      <c r="BS1518">
        <v>0</v>
      </c>
      <c r="BT1518">
        <v>0</v>
      </c>
      <c r="BU1518">
        <v>0</v>
      </c>
      <c r="BV1518">
        <v>0</v>
      </c>
      <c r="BW1518" t="s">
        <v>0</v>
      </c>
      <c r="BX1518">
        <v>0</v>
      </c>
      <c r="BY1518">
        <v>0</v>
      </c>
      <c r="BZ1518">
        <v>0</v>
      </c>
      <c r="CA1518">
        <v>0</v>
      </c>
      <c r="CB1518" t="s">
        <v>145</v>
      </c>
    </row>
    <row r="1519" spans="67:80" x14ac:dyDescent="0.25">
      <c r="BO1519">
        <v>0</v>
      </c>
      <c r="BP1519">
        <v>0</v>
      </c>
      <c r="BQ1519">
        <v>0</v>
      </c>
      <c r="BR1519">
        <v>0</v>
      </c>
      <c r="BS1519">
        <v>0</v>
      </c>
      <c r="BT1519">
        <v>0</v>
      </c>
      <c r="BU1519">
        <v>0</v>
      </c>
      <c r="BV1519">
        <v>0</v>
      </c>
      <c r="BW1519" t="s">
        <v>0</v>
      </c>
      <c r="BX1519">
        <v>0</v>
      </c>
      <c r="BY1519">
        <v>0</v>
      </c>
      <c r="BZ1519">
        <v>0</v>
      </c>
      <c r="CA1519">
        <v>0</v>
      </c>
      <c r="CB1519" t="s">
        <v>145</v>
      </c>
    </row>
    <row r="1520" spans="67:80" x14ac:dyDescent="0.25">
      <c r="BO1520">
        <v>0</v>
      </c>
      <c r="BP1520">
        <v>0</v>
      </c>
      <c r="BQ1520">
        <v>0</v>
      </c>
      <c r="BR1520">
        <v>0</v>
      </c>
      <c r="BS1520">
        <v>0</v>
      </c>
      <c r="BT1520">
        <v>0</v>
      </c>
      <c r="BU1520">
        <v>0</v>
      </c>
      <c r="BV1520">
        <v>0</v>
      </c>
      <c r="BW1520" t="s">
        <v>0</v>
      </c>
      <c r="BX1520">
        <v>0</v>
      </c>
      <c r="BY1520">
        <v>0</v>
      </c>
      <c r="BZ1520">
        <v>0</v>
      </c>
      <c r="CA1520">
        <v>0</v>
      </c>
      <c r="CB1520" t="s">
        <v>145</v>
      </c>
    </row>
    <row r="1521" spans="32:80" x14ac:dyDescent="0.25">
      <c r="BO1521">
        <v>0</v>
      </c>
      <c r="BP1521">
        <v>0</v>
      </c>
      <c r="BQ1521">
        <v>0</v>
      </c>
      <c r="BR1521">
        <v>0</v>
      </c>
      <c r="BS1521">
        <v>0</v>
      </c>
      <c r="BT1521">
        <v>0</v>
      </c>
      <c r="BU1521">
        <v>0</v>
      </c>
      <c r="BV1521">
        <v>0</v>
      </c>
      <c r="BW1521" t="s">
        <v>0</v>
      </c>
      <c r="BX1521">
        <v>0</v>
      </c>
      <c r="BY1521">
        <v>0</v>
      </c>
      <c r="BZ1521">
        <v>0</v>
      </c>
      <c r="CA1521">
        <v>0</v>
      </c>
      <c r="CB1521" t="s">
        <v>145</v>
      </c>
    </row>
    <row r="1522" spans="32:80" x14ac:dyDescent="0.25">
      <c r="BO1522">
        <v>0</v>
      </c>
      <c r="BP1522">
        <v>0</v>
      </c>
      <c r="BQ1522">
        <v>0</v>
      </c>
      <c r="BR1522">
        <v>0</v>
      </c>
      <c r="BS1522">
        <v>0</v>
      </c>
      <c r="BT1522">
        <v>0</v>
      </c>
      <c r="BU1522">
        <v>0</v>
      </c>
      <c r="BV1522">
        <v>0</v>
      </c>
      <c r="BW1522" t="s">
        <v>0</v>
      </c>
      <c r="BX1522">
        <v>0</v>
      </c>
      <c r="BY1522">
        <v>0</v>
      </c>
      <c r="BZ1522">
        <v>0</v>
      </c>
      <c r="CA1522">
        <v>0</v>
      </c>
      <c r="CB1522" t="s">
        <v>145</v>
      </c>
    </row>
    <row r="1523" spans="32:80" x14ac:dyDescent="0.25">
      <c r="BO1523">
        <v>0</v>
      </c>
      <c r="BP1523">
        <v>0</v>
      </c>
      <c r="BQ1523">
        <v>0</v>
      </c>
      <c r="BR1523">
        <v>0</v>
      </c>
      <c r="BS1523">
        <v>0</v>
      </c>
      <c r="BT1523">
        <v>0</v>
      </c>
      <c r="BU1523">
        <v>0</v>
      </c>
      <c r="BV1523">
        <v>0</v>
      </c>
      <c r="BW1523" t="s">
        <v>0</v>
      </c>
      <c r="BX1523">
        <v>0</v>
      </c>
      <c r="BY1523">
        <v>0</v>
      </c>
      <c r="BZ1523">
        <v>0</v>
      </c>
      <c r="CA1523">
        <v>0</v>
      </c>
      <c r="CB1523" t="s">
        <v>145</v>
      </c>
    </row>
    <row r="1524" spans="32:80" x14ac:dyDescent="0.25">
      <c r="BO1524">
        <v>0</v>
      </c>
      <c r="BP1524">
        <v>0</v>
      </c>
      <c r="BQ1524">
        <v>0</v>
      </c>
      <c r="BR1524">
        <v>0</v>
      </c>
      <c r="BS1524">
        <v>0</v>
      </c>
      <c r="BT1524">
        <v>0</v>
      </c>
      <c r="BU1524">
        <v>0</v>
      </c>
      <c r="BV1524">
        <v>0</v>
      </c>
      <c r="BW1524" t="s">
        <v>0</v>
      </c>
      <c r="BX1524">
        <v>0</v>
      </c>
      <c r="BY1524">
        <v>0</v>
      </c>
      <c r="BZ1524">
        <v>0</v>
      </c>
      <c r="CA1524">
        <v>0</v>
      </c>
      <c r="CB1524" t="s">
        <v>145</v>
      </c>
    </row>
    <row r="1525" spans="32:80" x14ac:dyDescent="0.25">
      <c r="BO1525">
        <v>0</v>
      </c>
      <c r="BP1525">
        <v>0</v>
      </c>
      <c r="BQ1525">
        <v>0</v>
      </c>
      <c r="BR1525">
        <v>0</v>
      </c>
      <c r="BS1525">
        <v>0</v>
      </c>
      <c r="BT1525">
        <v>0</v>
      </c>
      <c r="BU1525">
        <v>0</v>
      </c>
      <c r="BV1525">
        <v>0</v>
      </c>
      <c r="BW1525" t="s">
        <v>0</v>
      </c>
      <c r="BX1525">
        <v>0</v>
      </c>
      <c r="BY1525">
        <v>0</v>
      </c>
      <c r="BZ1525">
        <v>0</v>
      </c>
      <c r="CA1525">
        <v>0</v>
      </c>
      <c r="CB1525" t="s">
        <v>145</v>
      </c>
    </row>
    <row r="1526" spans="32:80" x14ac:dyDescent="0.25">
      <c r="BO1526">
        <v>0</v>
      </c>
      <c r="BP1526">
        <v>0</v>
      </c>
      <c r="BQ1526">
        <v>0</v>
      </c>
      <c r="BR1526">
        <v>0</v>
      </c>
      <c r="BS1526">
        <v>0</v>
      </c>
      <c r="BT1526">
        <v>0</v>
      </c>
      <c r="BU1526">
        <v>0</v>
      </c>
      <c r="BV1526">
        <v>0</v>
      </c>
      <c r="BW1526" t="s">
        <v>0</v>
      </c>
      <c r="BX1526">
        <v>0</v>
      </c>
      <c r="BY1526">
        <v>0</v>
      </c>
      <c r="BZ1526">
        <v>0</v>
      </c>
      <c r="CA1526">
        <v>0</v>
      </c>
      <c r="CB1526" t="s">
        <v>145</v>
      </c>
    </row>
    <row r="1527" spans="32:80" x14ac:dyDescent="0.25">
      <c r="BO1527">
        <v>0</v>
      </c>
      <c r="BP1527">
        <v>0</v>
      </c>
      <c r="BQ1527">
        <v>0</v>
      </c>
      <c r="BR1527">
        <v>0</v>
      </c>
      <c r="BS1527">
        <v>0</v>
      </c>
      <c r="BT1527">
        <v>0</v>
      </c>
      <c r="BU1527">
        <v>0</v>
      </c>
      <c r="BV1527">
        <v>0</v>
      </c>
      <c r="BW1527" t="s">
        <v>0</v>
      </c>
      <c r="BX1527">
        <v>0</v>
      </c>
      <c r="BY1527">
        <v>0</v>
      </c>
      <c r="BZ1527">
        <v>0</v>
      </c>
      <c r="CA1527">
        <v>0</v>
      </c>
      <c r="CB1527" t="s">
        <v>145</v>
      </c>
    </row>
    <row r="1528" spans="32:80" x14ac:dyDescent="0.25">
      <c r="BO1528">
        <v>0</v>
      </c>
      <c r="BP1528">
        <v>0</v>
      </c>
      <c r="BQ1528">
        <v>0</v>
      </c>
      <c r="BR1528">
        <v>0</v>
      </c>
      <c r="BS1528">
        <v>0</v>
      </c>
      <c r="BT1528">
        <v>0</v>
      </c>
      <c r="BU1528">
        <v>0</v>
      </c>
      <c r="BV1528">
        <v>0</v>
      </c>
      <c r="BW1528" t="s">
        <v>0</v>
      </c>
      <c r="BX1528">
        <v>0</v>
      </c>
      <c r="BY1528">
        <v>0</v>
      </c>
      <c r="BZ1528">
        <v>0</v>
      </c>
      <c r="CA1528">
        <v>0</v>
      </c>
      <c r="CB1528" t="s">
        <v>145</v>
      </c>
    </row>
    <row r="1529" spans="32:80" x14ac:dyDescent="0.25">
      <c r="AF1529" s="1"/>
      <c r="BE1529" s="1"/>
      <c r="BM1529" s="2"/>
      <c r="BO1529">
        <v>0</v>
      </c>
      <c r="BP1529">
        <v>0</v>
      </c>
      <c r="BQ1529">
        <v>0</v>
      </c>
      <c r="BR1529">
        <v>0</v>
      </c>
      <c r="BS1529">
        <v>0</v>
      </c>
      <c r="BT1529">
        <v>0</v>
      </c>
      <c r="BU1529">
        <v>0</v>
      </c>
      <c r="BV1529">
        <v>0</v>
      </c>
      <c r="BW1529" t="s">
        <v>0</v>
      </c>
      <c r="BX1529">
        <v>0</v>
      </c>
      <c r="BY1529">
        <v>0</v>
      </c>
      <c r="BZ1529">
        <v>0</v>
      </c>
      <c r="CA1529">
        <v>0</v>
      </c>
      <c r="CB1529" t="s">
        <v>145</v>
      </c>
    </row>
    <row r="1530" spans="32:80" x14ac:dyDescent="0.25">
      <c r="BO1530">
        <v>0</v>
      </c>
      <c r="BP1530">
        <v>0</v>
      </c>
      <c r="BQ1530">
        <v>0</v>
      </c>
      <c r="BR1530">
        <v>0</v>
      </c>
      <c r="BS1530">
        <v>0</v>
      </c>
      <c r="BT1530">
        <v>0</v>
      </c>
      <c r="BU1530">
        <v>0</v>
      </c>
      <c r="BV1530">
        <v>0</v>
      </c>
      <c r="BW1530" t="s">
        <v>0</v>
      </c>
      <c r="BX1530">
        <v>0</v>
      </c>
      <c r="BY1530">
        <v>0</v>
      </c>
      <c r="BZ1530">
        <v>0</v>
      </c>
      <c r="CA1530">
        <v>0</v>
      </c>
      <c r="CB1530" t="s">
        <v>145</v>
      </c>
    </row>
    <row r="1531" spans="32:80" x14ac:dyDescent="0.25">
      <c r="BO1531">
        <v>0</v>
      </c>
      <c r="BP1531">
        <v>0</v>
      </c>
      <c r="BQ1531">
        <v>0</v>
      </c>
      <c r="BR1531">
        <v>0</v>
      </c>
      <c r="BS1531">
        <v>0</v>
      </c>
      <c r="BT1531">
        <v>0</v>
      </c>
      <c r="BU1531">
        <v>0</v>
      </c>
      <c r="BV1531">
        <v>0</v>
      </c>
      <c r="BW1531" t="s">
        <v>0</v>
      </c>
      <c r="BX1531">
        <v>0</v>
      </c>
      <c r="BY1531">
        <v>0</v>
      </c>
      <c r="BZ1531">
        <v>0</v>
      </c>
      <c r="CA1531">
        <v>0</v>
      </c>
      <c r="CB1531" t="s">
        <v>145</v>
      </c>
    </row>
    <row r="1532" spans="32:80" x14ac:dyDescent="0.25">
      <c r="BO1532">
        <v>0</v>
      </c>
      <c r="BP1532">
        <v>0</v>
      </c>
      <c r="BQ1532">
        <v>0</v>
      </c>
      <c r="BR1532">
        <v>0</v>
      </c>
      <c r="BS1532">
        <v>0</v>
      </c>
      <c r="BT1532">
        <v>0</v>
      </c>
      <c r="BU1532">
        <v>0</v>
      </c>
      <c r="BV1532">
        <v>0</v>
      </c>
      <c r="BW1532" t="s">
        <v>0</v>
      </c>
      <c r="BX1532">
        <v>0</v>
      </c>
      <c r="BY1532">
        <v>0</v>
      </c>
      <c r="BZ1532">
        <v>0</v>
      </c>
      <c r="CA1532">
        <v>0</v>
      </c>
      <c r="CB1532" t="s">
        <v>145</v>
      </c>
    </row>
    <row r="1533" spans="32:80" x14ac:dyDescent="0.25">
      <c r="BO1533">
        <v>0</v>
      </c>
      <c r="BP1533">
        <v>0</v>
      </c>
      <c r="BQ1533">
        <v>0</v>
      </c>
      <c r="BR1533">
        <v>0</v>
      </c>
      <c r="BS1533">
        <v>0</v>
      </c>
      <c r="BT1533">
        <v>0</v>
      </c>
      <c r="BU1533">
        <v>0</v>
      </c>
      <c r="BV1533">
        <v>0</v>
      </c>
      <c r="BW1533" t="s">
        <v>0</v>
      </c>
      <c r="BX1533">
        <v>0</v>
      </c>
      <c r="BY1533">
        <v>0</v>
      </c>
      <c r="BZ1533">
        <v>0</v>
      </c>
      <c r="CA1533">
        <v>0</v>
      </c>
      <c r="CB1533" t="s">
        <v>145</v>
      </c>
    </row>
    <row r="1534" spans="32:80" x14ac:dyDescent="0.25">
      <c r="BO1534">
        <v>0</v>
      </c>
      <c r="BP1534">
        <v>0</v>
      </c>
      <c r="BQ1534">
        <v>0</v>
      </c>
      <c r="BR1534">
        <v>0</v>
      </c>
      <c r="BS1534">
        <v>0</v>
      </c>
      <c r="BT1534">
        <v>0</v>
      </c>
      <c r="BU1534">
        <v>0</v>
      </c>
      <c r="BV1534">
        <v>0</v>
      </c>
      <c r="BW1534" t="s">
        <v>0</v>
      </c>
      <c r="BX1534">
        <v>0</v>
      </c>
      <c r="BY1534">
        <v>0</v>
      </c>
      <c r="BZ1534">
        <v>0</v>
      </c>
      <c r="CA1534">
        <v>0</v>
      </c>
      <c r="CB1534" t="s">
        <v>145</v>
      </c>
    </row>
    <row r="1535" spans="32:80" x14ac:dyDescent="0.25">
      <c r="BO1535">
        <v>0</v>
      </c>
      <c r="BP1535">
        <v>0</v>
      </c>
      <c r="BQ1535">
        <v>0</v>
      </c>
      <c r="BR1535">
        <v>0</v>
      </c>
      <c r="BS1535">
        <v>0</v>
      </c>
      <c r="BT1535">
        <v>0</v>
      </c>
      <c r="BU1535">
        <v>0</v>
      </c>
      <c r="BV1535">
        <v>0</v>
      </c>
      <c r="BW1535" t="s">
        <v>0</v>
      </c>
      <c r="BX1535">
        <v>0</v>
      </c>
      <c r="BY1535">
        <v>0</v>
      </c>
      <c r="BZ1535">
        <v>0</v>
      </c>
      <c r="CA1535">
        <v>0</v>
      </c>
      <c r="CB1535" t="s">
        <v>145</v>
      </c>
    </row>
    <row r="1536" spans="32:80" x14ac:dyDescent="0.25">
      <c r="BO1536">
        <v>0</v>
      </c>
      <c r="BP1536">
        <v>0</v>
      </c>
      <c r="BQ1536">
        <v>0</v>
      </c>
      <c r="BR1536">
        <v>0</v>
      </c>
      <c r="BS1536">
        <v>0</v>
      </c>
      <c r="BT1536">
        <v>0</v>
      </c>
      <c r="BU1536">
        <v>0</v>
      </c>
      <c r="BV1536">
        <v>0</v>
      </c>
      <c r="BW1536" t="s">
        <v>0</v>
      </c>
      <c r="BX1536">
        <v>0</v>
      </c>
      <c r="BY1536">
        <v>0</v>
      </c>
      <c r="BZ1536">
        <v>0</v>
      </c>
      <c r="CA1536">
        <v>0</v>
      </c>
      <c r="CB1536" t="s">
        <v>145</v>
      </c>
    </row>
    <row r="1537" spans="67:80" x14ac:dyDescent="0.25">
      <c r="BO1537">
        <v>0</v>
      </c>
      <c r="BP1537">
        <v>0</v>
      </c>
      <c r="BQ1537">
        <v>0</v>
      </c>
      <c r="BR1537">
        <v>0</v>
      </c>
      <c r="BS1537">
        <v>0</v>
      </c>
      <c r="BT1537">
        <v>0</v>
      </c>
      <c r="BU1537">
        <v>0</v>
      </c>
      <c r="BV1537">
        <v>0</v>
      </c>
      <c r="BW1537" t="s">
        <v>0</v>
      </c>
      <c r="BX1537">
        <v>0</v>
      </c>
      <c r="BY1537">
        <v>0</v>
      </c>
      <c r="BZ1537">
        <v>0</v>
      </c>
      <c r="CA1537">
        <v>0</v>
      </c>
      <c r="CB1537" t="s">
        <v>145</v>
      </c>
    </row>
    <row r="1538" spans="67:80" x14ac:dyDescent="0.25">
      <c r="BO1538">
        <v>0</v>
      </c>
      <c r="BP1538">
        <v>0</v>
      </c>
      <c r="BQ1538">
        <v>0</v>
      </c>
      <c r="BR1538">
        <v>0</v>
      </c>
      <c r="BS1538">
        <v>0</v>
      </c>
      <c r="BT1538">
        <v>0</v>
      </c>
      <c r="BU1538">
        <v>0</v>
      </c>
      <c r="BV1538">
        <v>0</v>
      </c>
      <c r="BW1538" t="s">
        <v>0</v>
      </c>
      <c r="BX1538">
        <v>0</v>
      </c>
      <c r="BY1538">
        <v>0</v>
      </c>
      <c r="BZ1538">
        <v>0</v>
      </c>
      <c r="CA1538">
        <v>0</v>
      </c>
      <c r="CB1538" t="s">
        <v>145</v>
      </c>
    </row>
    <row r="1539" spans="67:80" x14ac:dyDescent="0.25">
      <c r="BO1539">
        <v>0</v>
      </c>
      <c r="BP1539">
        <v>0</v>
      </c>
      <c r="BQ1539">
        <v>0</v>
      </c>
      <c r="BR1539">
        <v>0</v>
      </c>
      <c r="BS1539">
        <v>0</v>
      </c>
      <c r="BT1539">
        <v>0</v>
      </c>
      <c r="BU1539">
        <v>0</v>
      </c>
      <c r="BV1539">
        <v>0</v>
      </c>
      <c r="BW1539" t="s">
        <v>0</v>
      </c>
      <c r="BX1539">
        <v>0</v>
      </c>
      <c r="BY1539">
        <v>0</v>
      </c>
      <c r="BZ1539">
        <v>0</v>
      </c>
      <c r="CA1539">
        <v>0</v>
      </c>
      <c r="CB1539" t="s">
        <v>145</v>
      </c>
    </row>
    <row r="1540" spans="67:80" x14ac:dyDescent="0.25">
      <c r="BO1540">
        <v>0</v>
      </c>
      <c r="BP1540">
        <v>0</v>
      </c>
      <c r="BQ1540">
        <v>0</v>
      </c>
      <c r="BR1540">
        <v>0</v>
      </c>
      <c r="BS1540">
        <v>0</v>
      </c>
      <c r="BT1540">
        <v>0</v>
      </c>
      <c r="BU1540">
        <v>0</v>
      </c>
      <c r="BV1540">
        <v>0</v>
      </c>
      <c r="BW1540" t="s">
        <v>0</v>
      </c>
      <c r="BX1540">
        <v>0</v>
      </c>
      <c r="BY1540">
        <v>0</v>
      </c>
      <c r="BZ1540">
        <v>0</v>
      </c>
      <c r="CA1540">
        <v>0</v>
      </c>
      <c r="CB1540" t="s">
        <v>145</v>
      </c>
    </row>
    <row r="1541" spans="67:80" x14ac:dyDescent="0.25">
      <c r="BO1541">
        <v>0</v>
      </c>
      <c r="BP1541">
        <v>0</v>
      </c>
      <c r="BQ1541">
        <v>0</v>
      </c>
      <c r="BR1541">
        <v>0</v>
      </c>
      <c r="BS1541">
        <v>0</v>
      </c>
      <c r="BT1541">
        <v>0</v>
      </c>
      <c r="BU1541">
        <v>0</v>
      </c>
      <c r="BV1541">
        <v>0</v>
      </c>
      <c r="BW1541" t="s">
        <v>0</v>
      </c>
      <c r="BX1541">
        <v>0</v>
      </c>
      <c r="BY1541">
        <v>0</v>
      </c>
      <c r="BZ1541">
        <v>0</v>
      </c>
      <c r="CA1541">
        <v>0</v>
      </c>
      <c r="CB1541" t="s">
        <v>145</v>
      </c>
    </row>
    <row r="1542" spans="67:80" x14ac:dyDescent="0.25">
      <c r="BO1542">
        <v>0</v>
      </c>
      <c r="BP1542">
        <v>0</v>
      </c>
      <c r="BQ1542">
        <v>0</v>
      </c>
      <c r="BR1542">
        <v>0</v>
      </c>
      <c r="BS1542">
        <v>0</v>
      </c>
      <c r="BT1542">
        <v>0</v>
      </c>
      <c r="BU1542">
        <v>0</v>
      </c>
      <c r="BV1542">
        <v>0</v>
      </c>
      <c r="BW1542" t="s">
        <v>0</v>
      </c>
      <c r="BX1542">
        <v>0</v>
      </c>
      <c r="BY1542">
        <v>0</v>
      </c>
      <c r="BZ1542">
        <v>0</v>
      </c>
      <c r="CA1542">
        <v>0</v>
      </c>
      <c r="CB1542" t="s">
        <v>145</v>
      </c>
    </row>
    <row r="1543" spans="67:80" x14ac:dyDescent="0.25">
      <c r="BO1543">
        <v>0</v>
      </c>
      <c r="BP1543">
        <v>0</v>
      </c>
      <c r="BQ1543">
        <v>0</v>
      </c>
      <c r="BR1543">
        <v>0</v>
      </c>
      <c r="BS1543">
        <v>0</v>
      </c>
      <c r="BT1543">
        <v>0</v>
      </c>
      <c r="BU1543">
        <v>0</v>
      </c>
      <c r="BV1543">
        <v>0</v>
      </c>
      <c r="BW1543" t="s">
        <v>0</v>
      </c>
      <c r="BX1543">
        <v>0</v>
      </c>
      <c r="BY1543">
        <v>0</v>
      </c>
      <c r="BZ1543">
        <v>0</v>
      </c>
      <c r="CA1543">
        <v>0</v>
      </c>
      <c r="CB1543" t="s">
        <v>145</v>
      </c>
    </row>
    <row r="1544" spans="67:80" x14ac:dyDescent="0.25">
      <c r="BO1544">
        <v>0</v>
      </c>
      <c r="BP1544">
        <v>0</v>
      </c>
      <c r="BQ1544">
        <v>0</v>
      </c>
      <c r="BR1544">
        <v>0</v>
      </c>
      <c r="BS1544">
        <v>0</v>
      </c>
      <c r="BT1544">
        <v>0</v>
      </c>
      <c r="BU1544">
        <v>0</v>
      </c>
      <c r="BV1544">
        <v>0</v>
      </c>
      <c r="BW1544" t="s">
        <v>0</v>
      </c>
      <c r="BX1544">
        <v>0</v>
      </c>
      <c r="BY1544">
        <v>0</v>
      </c>
      <c r="BZ1544">
        <v>0</v>
      </c>
      <c r="CA1544">
        <v>0</v>
      </c>
      <c r="CB1544" t="s">
        <v>145</v>
      </c>
    </row>
    <row r="1545" spans="67:80" x14ac:dyDescent="0.25">
      <c r="BO1545">
        <v>0</v>
      </c>
      <c r="BP1545">
        <v>0</v>
      </c>
      <c r="BQ1545">
        <v>0</v>
      </c>
      <c r="BR1545">
        <v>0</v>
      </c>
      <c r="BS1545">
        <v>0</v>
      </c>
      <c r="BT1545">
        <v>0</v>
      </c>
      <c r="BU1545">
        <v>0</v>
      </c>
      <c r="BV1545">
        <v>0</v>
      </c>
      <c r="BW1545" t="s">
        <v>0</v>
      </c>
      <c r="BX1545">
        <v>0</v>
      </c>
      <c r="BY1545">
        <v>0</v>
      </c>
      <c r="BZ1545">
        <v>0</v>
      </c>
      <c r="CA1545">
        <v>0</v>
      </c>
      <c r="CB1545" t="s">
        <v>145</v>
      </c>
    </row>
    <row r="1546" spans="67:80" x14ac:dyDescent="0.25">
      <c r="BO1546">
        <v>0</v>
      </c>
      <c r="BP1546">
        <v>0</v>
      </c>
      <c r="BQ1546">
        <v>0</v>
      </c>
      <c r="BR1546">
        <v>0</v>
      </c>
      <c r="BS1546">
        <v>0</v>
      </c>
      <c r="BT1546">
        <v>0</v>
      </c>
      <c r="BU1546">
        <v>0</v>
      </c>
      <c r="BV1546">
        <v>0</v>
      </c>
      <c r="BW1546" t="s">
        <v>0</v>
      </c>
      <c r="BX1546">
        <v>0</v>
      </c>
      <c r="BY1546">
        <v>0</v>
      </c>
      <c r="BZ1546">
        <v>0</v>
      </c>
      <c r="CA1546">
        <v>0</v>
      </c>
      <c r="CB1546" t="s">
        <v>145</v>
      </c>
    </row>
    <row r="1547" spans="67:80" x14ac:dyDescent="0.25">
      <c r="BO1547">
        <v>0</v>
      </c>
      <c r="BP1547">
        <v>0</v>
      </c>
      <c r="BQ1547">
        <v>0</v>
      </c>
      <c r="BR1547">
        <v>0</v>
      </c>
      <c r="BS1547">
        <v>0</v>
      </c>
      <c r="BT1547">
        <v>0</v>
      </c>
      <c r="BU1547">
        <v>0</v>
      </c>
      <c r="BV1547">
        <v>0</v>
      </c>
      <c r="BW1547" t="s">
        <v>0</v>
      </c>
      <c r="BX1547">
        <v>0</v>
      </c>
      <c r="BY1547">
        <v>0</v>
      </c>
      <c r="BZ1547">
        <v>0</v>
      </c>
      <c r="CA1547">
        <v>0</v>
      </c>
      <c r="CB1547" t="s">
        <v>145</v>
      </c>
    </row>
    <row r="1548" spans="67:80" x14ac:dyDescent="0.25">
      <c r="BO1548">
        <v>0</v>
      </c>
      <c r="BP1548">
        <v>0</v>
      </c>
      <c r="BQ1548">
        <v>0</v>
      </c>
      <c r="BR1548">
        <v>0</v>
      </c>
      <c r="BS1548">
        <v>0</v>
      </c>
      <c r="BT1548">
        <v>0</v>
      </c>
      <c r="BU1548">
        <v>0</v>
      </c>
      <c r="BV1548">
        <v>0</v>
      </c>
      <c r="BW1548" t="s">
        <v>0</v>
      </c>
      <c r="BX1548">
        <v>0</v>
      </c>
      <c r="BY1548">
        <v>0</v>
      </c>
      <c r="BZ1548">
        <v>0</v>
      </c>
      <c r="CA1548">
        <v>0</v>
      </c>
      <c r="CB1548" t="s">
        <v>145</v>
      </c>
    </row>
    <row r="1549" spans="67:80" x14ac:dyDescent="0.25">
      <c r="BO1549">
        <v>0</v>
      </c>
      <c r="BP1549">
        <v>0</v>
      </c>
      <c r="BQ1549">
        <v>0</v>
      </c>
      <c r="BR1549">
        <v>0</v>
      </c>
      <c r="BS1549">
        <v>0</v>
      </c>
      <c r="BT1549">
        <v>0</v>
      </c>
      <c r="BU1549">
        <v>0</v>
      </c>
      <c r="BV1549">
        <v>0</v>
      </c>
      <c r="BW1549" t="s">
        <v>0</v>
      </c>
      <c r="BX1549">
        <v>0</v>
      </c>
      <c r="BY1549">
        <v>0</v>
      </c>
      <c r="BZ1549">
        <v>0</v>
      </c>
      <c r="CA1549">
        <v>0</v>
      </c>
      <c r="CB1549" t="s">
        <v>145</v>
      </c>
    </row>
    <row r="1550" spans="67:80" x14ac:dyDescent="0.25">
      <c r="BO1550">
        <v>0</v>
      </c>
      <c r="BP1550">
        <v>0</v>
      </c>
      <c r="BQ1550">
        <v>0</v>
      </c>
      <c r="BR1550">
        <v>0</v>
      </c>
      <c r="BS1550">
        <v>0</v>
      </c>
      <c r="BT1550">
        <v>0</v>
      </c>
      <c r="BU1550">
        <v>0</v>
      </c>
      <c r="BV1550">
        <v>0</v>
      </c>
      <c r="BW1550" t="s">
        <v>0</v>
      </c>
      <c r="BX1550">
        <v>0</v>
      </c>
      <c r="BY1550">
        <v>0</v>
      </c>
      <c r="BZ1550">
        <v>0</v>
      </c>
      <c r="CA1550">
        <v>0</v>
      </c>
      <c r="CB1550" t="s">
        <v>145</v>
      </c>
    </row>
    <row r="1551" spans="67:80" x14ac:dyDescent="0.25">
      <c r="BO1551">
        <v>0</v>
      </c>
      <c r="BP1551">
        <v>0</v>
      </c>
      <c r="BQ1551">
        <v>0</v>
      </c>
      <c r="BR1551">
        <v>0</v>
      </c>
      <c r="BS1551">
        <v>0</v>
      </c>
      <c r="BT1551">
        <v>0</v>
      </c>
      <c r="BU1551">
        <v>0</v>
      </c>
      <c r="BV1551">
        <v>0</v>
      </c>
      <c r="BW1551" t="s">
        <v>0</v>
      </c>
      <c r="BX1551">
        <v>0</v>
      </c>
      <c r="BY1551">
        <v>0</v>
      </c>
      <c r="BZ1551">
        <v>0</v>
      </c>
      <c r="CA1551">
        <v>0</v>
      </c>
      <c r="CB1551" t="s">
        <v>145</v>
      </c>
    </row>
    <row r="1552" spans="67:80" x14ac:dyDescent="0.25">
      <c r="BO1552">
        <v>0</v>
      </c>
      <c r="BP1552">
        <v>0</v>
      </c>
      <c r="BQ1552">
        <v>0</v>
      </c>
      <c r="BR1552">
        <v>0</v>
      </c>
      <c r="BS1552">
        <v>0</v>
      </c>
      <c r="BT1552">
        <v>0</v>
      </c>
      <c r="BU1552">
        <v>0</v>
      </c>
      <c r="BV1552">
        <v>0</v>
      </c>
      <c r="BW1552" t="s">
        <v>0</v>
      </c>
      <c r="BX1552">
        <v>0</v>
      </c>
      <c r="BY1552">
        <v>0</v>
      </c>
      <c r="BZ1552">
        <v>0</v>
      </c>
      <c r="CA1552">
        <v>0</v>
      </c>
      <c r="CB1552" t="s">
        <v>145</v>
      </c>
    </row>
    <row r="1553" spans="67:80" x14ac:dyDescent="0.25">
      <c r="BO1553">
        <v>0</v>
      </c>
      <c r="BP1553">
        <v>0</v>
      </c>
      <c r="BQ1553">
        <v>0</v>
      </c>
      <c r="BR1553">
        <v>0</v>
      </c>
      <c r="BS1553">
        <v>0</v>
      </c>
      <c r="BT1553">
        <v>0</v>
      </c>
      <c r="BU1553">
        <v>0</v>
      </c>
      <c r="BV1553">
        <v>0</v>
      </c>
      <c r="BW1553" t="s">
        <v>0</v>
      </c>
      <c r="BX1553">
        <v>0</v>
      </c>
      <c r="BY1553">
        <v>0</v>
      </c>
      <c r="BZ1553">
        <v>0</v>
      </c>
      <c r="CA1553">
        <v>0</v>
      </c>
      <c r="CB1553" t="s">
        <v>145</v>
      </c>
    </row>
    <row r="1554" spans="67:80" x14ac:dyDescent="0.25">
      <c r="BO1554">
        <v>0</v>
      </c>
      <c r="BP1554">
        <v>0</v>
      </c>
      <c r="BQ1554">
        <v>0</v>
      </c>
      <c r="BR1554">
        <v>0</v>
      </c>
      <c r="BS1554">
        <v>0</v>
      </c>
      <c r="BT1554">
        <v>0</v>
      </c>
      <c r="BU1554">
        <v>0</v>
      </c>
      <c r="BV1554">
        <v>0</v>
      </c>
      <c r="BW1554" t="s">
        <v>0</v>
      </c>
      <c r="BX1554">
        <v>0</v>
      </c>
      <c r="BY1554">
        <v>0</v>
      </c>
      <c r="BZ1554">
        <v>0</v>
      </c>
      <c r="CA1554">
        <v>0</v>
      </c>
      <c r="CB1554" t="s">
        <v>145</v>
      </c>
    </row>
    <row r="1555" spans="67:80" x14ac:dyDescent="0.25">
      <c r="BO1555">
        <v>0</v>
      </c>
      <c r="BP1555">
        <v>0</v>
      </c>
      <c r="BQ1555">
        <v>0</v>
      </c>
      <c r="BR1555">
        <v>0</v>
      </c>
      <c r="BS1555">
        <v>0</v>
      </c>
      <c r="BT1555">
        <v>0</v>
      </c>
      <c r="BU1555">
        <v>0</v>
      </c>
      <c r="BV1555">
        <v>0</v>
      </c>
      <c r="BW1555" t="s">
        <v>0</v>
      </c>
      <c r="BX1555">
        <v>0</v>
      </c>
      <c r="BY1555">
        <v>0</v>
      </c>
      <c r="BZ1555">
        <v>0</v>
      </c>
      <c r="CA1555">
        <v>0</v>
      </c>
      <c r="CB1555" t="s">
        <v>145</v>
      </c>
    </row>
    <row r="1556" spans="67:80" x14ac:dyDescent="0.25">
      <c r="BO1556">
        <v>0</v>
      </c>
      <c r="BP1556">
        <v>0</v>
      </c>
      <c r="BQ1556">
        <v>0</v>
      </c>
      <c r="BR1556">
        <v>0</v>
      </c>
      <c r="BS1556">
        <v>0</v>
      </c>
      <c r="BT1556">
        <v>0</v>
      </c>
      <c r="BU1556">
        <v>0</v>
      </c>
      <c r="BV1556">
        <v>0</v>
      </c>
      <c r="BW1556" t="s">
        <v>0</v>
      </c>
      <c r="BX1556">
        <v>0</v>
      </c>
      <c r="BY1556">
        <v>0</v>
      </c>
      <c r="BZ1556">
        <v>0</v>
      </c>
      <c r="CA1556">
        <v>0</v>
      </c>
      <c r="CB1556" t="s">
        <v>145</v>
      </c>
    </row>
    <row r="1557" spans="67:80" x14ac:dyDescent="0.25">
      <c r="BO1557">
        <v>0</v>
      </c>
      <c r="BP1557">
        <v>0</v>
      </c>
      <c r="BQ1557">
        <v>0</v>
      </c>
      <c r="BR1557">
        <v>0</v>
      </c>
      <c r="BS1557">
        <v>0</v>
      </c>
      <c r="BT1557">
        <v>0</v>
      </c>
      <c r="BU1557">
        <v>0</v>
      </c>
      <c r="BV1557">
        <v>0</v>
      </c>
      <c r="BW1557" t="s">
        <v>0</v>
      </c>
      <c r="BX1557">
        <v>0</v>
      </c>
      <c r="BY1557">
        <v>0</v>
      </c>
      <c r="BZ1557">
        <v>0</v>
      </c>
      <c r="CA1557">
        <v>0</v>
      </c>
      <c r="CB1557" t="s">
        <v>145</v>
      </c>
    </row>
    <row r="1558" spans="67:80" x14ac:dyDescent="0.25">
      <c r="BO1558">
        <v>0</v>
      </c>
      <c r="BP1558">
        <v>0</v>
      </c>
      <c r="BQ1558">
        <v>0</v>
      </c>
      <c r="BR1558">
        <v>0</v>
      </c>
      <c r="BS1558">
        <v>0</v>
      </c>
      <c r="BT1558">
        <v>0</v>
      </c>
      <c r="BU1558">
        <v>0</v>
      </c>
      <c r="BV1558">
        <v>0</v>
      </c>
      <c r="BW1558" t="s">
        <v>0</v>
      </c>
      <c r="BX1558">
        <v>0</v>
      </c>
      <c r="BY1558">
        <v>0</v>
      </c>
      <c r="BZ1558">
        <v>0</v>
      </c>
      <c r="CA1558">
        <v>0</v>
      </c>
      <c r="CB1558" t="s">
        <v>145</v>
      </c>
    </row>
    <row r="1559" spans="67:80" x14ac:dyDescent="0.25">
      <c r="BO1559">
        <v>0</v>
      </c>
      <c r="BP1559">
        <v>0</v>
      </c>
      <c r="BQ1559">
        <v>0</v>
      </c>
      <c r="BR1559">
        <v>0</v>
      </c>
      <c r="BS1559">
        <v>0</v>
      </c>
      <c r="BT1559">
        <v>0</v>
      </c>
      <c r="BU1559">
        <v>0</v>
      </c>
      <c r="BV1559">
        <v>0</v>
      </c>
      <c r="BW1559" t="s">
        <v>0</v>
      </c>
      <c r="BX1559">
        <v>0</v>
      </c>
      <c r="BY1559">
        <v>0</v>
      </c>
      <c r="BZ1559">
        <v>0</v>
      </c>
      <c r="CA1559">
        <v>0</v>
      </c>
      <c r="CB1559" t="s">
        <v>145</v>
      </c>
    </row>
    <row r="1560" spans="67:80" x14ac:dyDescent="0.25">
      <c r="BO1560">
        <v>0</v>
      </c>
      <c r="BP1560">
        <v>0</v>
      </c>
      <c r="BQ1560">
        <v>0</v>
      </c>
      <c r="BR1560">
        <v>0</v>
      </c>
      <c r="BS1560">
        <v>0</v>
      </c>
      <c r="BT1560">
        <v>0</v>
      </c>
      <c r="BU1560">
        <v>0</v>
      </c>
      <c r="BV1560">
        <v>0</v>
      </c>
      <c r="BW1560" t="s">
        <v>0</v>
      </c>
      <c r="BX1560">
        <v>0</v>
      </c>
      <c r="BY1560">
        <v>0</v>
      </c>
      <c r="BZ1560">
        <v>0</v>
      </c>
      <c r="CA1560">
        <v>0</v>
      </c>
      <c r="CB1560" t="s">
        <v>145</v>
      </c>
    </row>
    <row r="1561" spans="67:80" x14ac:dyDescent="0.25">
      <c r="BO1561">
        <v>0</v>
      </c>
      <c r="BP1561">
        <v>0</v>
      </c>
      <c r="BQ1561">
        <v>0</v>
      </c>
      <c r="BR1561">
        <v>0</v>
      </c>
      <c r="BS1561">
        <v>0</v>
      </c>
      <c r="BT1561">
        <v>0</v>
      </c>
      <c r="BU1561">
        <v>0</v>
      </c>
      <c r="BV1561">
        <v>0</v>
      </c>
      <c r="BW1561" t="s">
        <v>0</v>
      </c>
      <c r="BX1561">
        <v>0</v>
      </c>
      <c r="BY1561">
        <v>0</v>
      </c>
      <c r="BZ1561">
        <v>0</v>
      </c>
      <c r="CA1561">
        <v>0</v>
      </c>
      <c r="CB1561" t="s">
        <v>145</v>
      </c>
    </row>
    <row r="1562" spans="67:80" x14ac:dyDescent="0.25">
      <c r="BO1562">
        <v>0</v>
      </c>
      <c r="BP1562">
        <v>0</v>
      </c>
      <c r="BQ1562">
        <v>0</v>
      </c>
      <c r="BR1562">
        <v>0</v>
      </c>
      <c r="BS1562">
        <v>0</v>
      </c>
      <c r="BT1562">
        <v>0</v>
      </c>
      <c r="BU1562">
        <v>0</v>
      </c>
      <c r="BV1562">
        <v>0</v>
      </c>
      <c r="BW1562" t="s">
        <v>0</v>
      </c>
      <c r="BX1562">
        <v>0</v>
      </c>
      <c r="BY1562">
        <v>0</v>
      </c>
      <c r="BZ1562">
        <v>0</v>
      </c>
      <c r="CA1562">
        <v>0</v>
      </c>
      <c r="CB1562" t="s">
        <v>145</v>
      </c>
    </row>
    <row r="1563" spans="67:80" x14ac:dyDescent="0.25">
      <c r="BO1563">
        <v>0</v>
      </c>
      <c r="BP1563">
        <v>0</v>
      </c>
      <c r="BQ1563">
        <v>0</v>
      </c>
      <c r="BR1563">
        <v>0</v>
      </c>
      <c r="BS1563">
        <v>0</v>
      </c>
      <c r="BT1563">
        <v>0</v>
      </c>
      <c r="BU1563">
        <v>0</v>
      </c>
      <c r="BV1563">
        <v>0</v>
      </c>
      <c r="BW1563" t="s">
        <v>0</v>
      </c>
      <c r="BX1563">
        <v>0</v>
      </c>
      <c r="BY1563">
        <v>0</v>
      </c>
      <c r="BZ1563">
        <v>0</v>
      </c>
      <c r="CA1563">
        <v>0</v>
      </c>
      <c r="CB1563" t="s">
        <v>145</v>
      </c>
    </row>
    <row r="1564" spans="67:80" x14ac:dyDescent="0.25">
      <c r="BO1564">
        <v>0</v>
      </c>
      <c r="BP1564">
        <v>0</v>
      </c>
      <c r="BQ1564">
        <v>0</v>
      </c>
      <c r="BR1564">
        <v>0</v>
      </c>
      <c r="BS1564">
        <v>0</v>
      </c>
      <c r="BT1564">
        <v>0</v>
      </c>
      <c r="BU1564">
        <v>0</v>
      </c>
      <c r="BV1564">
        <v>0</v>
      </c>
      <c r="BW1564" t="s">
        <v>0</v>
      </c>
      <c r="BX1564">
        <v>0</v>
      </c>
      <c r="BY1564">
        <v>0</v>
      </c>
      <c r="BZ1564">
        <v>0</v>
      </c>
      <c r="CA1564">
        <v>0</v>
      </c>
      <c r="CB1564" t="s">
        <v>145</v>
      </c>
    </row>
    <row r="1565" spans="67:80" x14ac:dyDescent="0.25">
      <c r="BO1565">
        <v>0</v>
      </c>
      <c r="BP1565">
        <v>0</v>
      </c>
      <c r="BQ1565">
        <v>0</v>
      </c>
      <c r="BR1565">
        <v>0</v>
      </c>
      <c r="BS1565">
        <v>0</v>
      </c>
      <c r="BT1565">
        <v>0</v>
      </c>
      <c r="BU1565">
        <v>0</v>
      </c>
      <c r="BV1565">
        <v>0</v>
      </c>
      <c r="BW1565" t="s">
        <v>0</v>
      </c>
      <c r="BX1565">
        <v>0</v>
      </c>
      <c r="BY1565">
        <v>0</v>
      </c>
      <c r="BZ1565">
        <v>0</v>
      </c>
      <c r="CA1565">
        <v>0</v>
      </c>
      <c r="CB1565" t="s">
        <v>145</v>
      </c>
    </row>
    <row r="1566" spans="67:80" x14ac:dyDescent="0.25">
      <c r="BO1566">
        <v>0</v>
      </c>
      <c r="BP1566">
        <v>0</v>
      </c>
      <c r="BQ1566">
        <v>0</v>
      </c>
      <c r="BR1566">
        <v>0</v>
      </c>
      <c r="BS1566">
        <v>0</v>
      </c>
      <c r="BT1566">
        <v>0</v>
      </c>
      <c r="BU1566">
        <v>0</v>
      </c>
      <c r="BV1566">
        <v>0</v>
      </c>
      <c r="BW1566" t="s">
        <v>0</v>
      </c>
      <c r="BX1566">
        <v>0</v>
      </c>
      <c r="BY1566">
        <v>0</v>
      </c>
      <c r="BZ1566">
        <v>0</v>
      </c>
      <c r="CA1566">
        <v>0</v>
      </c>
      <c r="CB1566" t="s">
        <v>145</v>
      </c>
    </row>
    <row r="1567" spans="67:80" x14ac:dyDescent="0.25">
      <c r="BO1567">
        <v>0</v>
      </c>
      <c r="BP1567">
        <v>0</v>
      </c>
      <c r="BQ1567">
        <v>0</v>
      </c>
      <c r="BR1567">
        <v>0</v>
      </c>
      <c r="BS1567">
        <v>0</v>
      </c>
      <c r="BT1567">
        <v>0</v>
      </c>
      <c r="BU1567">
        <v>0</v>
      </c>
      <c r="BV1567">
        <v>0</v>
      </c>
      <c r="BW1567" t="s">
        <v>0</v>
      </c>
      <c r="BX1567">
        <v>0</v>
      </c>
      <c r="BY1567">
        <v>0</v>
      </c>
      <c r="BZ1567">
        <v>0</v>
      </c>
      <c r="CA1567">
        <v>0</v>
      </c>
      <c r="CB1567" t="s">
        <v>145</v>
      </c>
    </row>
    <row r="1568" spans="67:80" x14ac:dyDescent="0.25">
      <c r="BO1568">
        <v>0</v>
      </c>
      <c r="BP1568">
        <v>0</v>
      </c>
      <c r="BQ1568">
        <v>0</v>
      </c>
      <c r="BR1568">
        <v>0</v>
      </c>
      <c r="BS1568">
        <v>0</v>
      </c>
      <c r="BT1568">
        <v>0</v>
      </c>
      <c r="BU1568">
        <v>0</v>
      </c>
      <c r="BV1568">
        <v>0</v>
      </c>
      <c r="BW1568" t="s">
        <v>0</v>
      </c>
      <c r="BX1568">
        <v>0</v>
      </c>
      <c r="BY1568">
        <v>0</v>
      </c>
      <c r="BZ1568">
        <v>0</v>
      </c>
      <c r="CA1568">
        <v>0</v>
      </c>
      <c r="CB1568" t="s">
        <v>145</v>
      </c>
    </row>
    <row r="1569" spans="67:80" x14ac:dyDescent="0.25">
      <c r="BO1569">
        <v>0</v>
      </c>
      <c r="BP1569">
        <v>0</v>
      </c>
      <c r="BQ1569">
        <v>0</v>
      </c>
      <c r="BR1569">
        <v>0</v>
      </c>
      <c r="BS1569">
        <v>0</v>
      </c>
      <c r="BT1569">
        <v>0</v>
      </c>
      <c r="BU1569">
        <v>0</v>
      </c>
      <c r="BV1569">
        <v>0</v>
      </c>
      <c r="BW1569" t="s">
        <v>0</v>
      </c>
      <c r="BX1569">
        <v>0</v>
      </c>
      <c r="BY1569">
        <v>0</v>
      </c>
      <c r="BZ1569">
        <v>0</v>
      </c>
      <c r="CA1569">
        <v>0</v>
      </c>
      <c r="CB1569" t="s">
        <v>145</v>
      </c>
    </row>
    <row r="1570" spans="67:80" x14ac:dyDescent="0.25">
      <c r="BO1570">
        <v>0</v>
      </c>
      <c r="BP1570">
        <v>0</v>
      </c>
      <c r="BQ1570">
        <v>0</v>
      </c>
      <c r="BR1570">
        <v>0</v>
      </c>
      <c r="BS1570">
        <v>0</v>
      </c>
      <c r="BT1570">
        <v>0</v>
      </c>
      <c r="BU1570">
        <v>0</v>
      </c>
      <c r="BV1570">
        <v>0</v>
      </c>
      <c r="BW1570" t="s">
        <v>0</v>
      </c>
      <c r="BX1570">
        <v>0</v>
      </c>
      <c r="BY1570">
        <v>0</v>
      </c>
      <c r="BZ1570">
        <v>0</v>
      </c>
      <c r="CA1570">
        <v>0</v>
      </c>
      <c r="CB1570" t="s">
        <v>145</v>
      </c>
    </row>
    <row r="1571" spans="67:80" x14ac:dyDescent="0.25">
      <c r="BO1571">
        <v>0</v>
      </c>
      <c r="BP1571">
        <v>0</v>
      </c>
      <c r="BQ1571">
        <v>0</v>
      </c>
      <c r="BR1571">
        <v>0</v>
      </c>
      <c r="BS1571">
        <v>0</v>
      </c>
      <c r="BT1571">
        <v>0</v>
      </c>
      <c r="BU1571">
        <v>0</v>
      </c>
      <c r="BV1571">
        <v>0</v>
      </c>
      <c r="BW1571" t="s">
        <v>0</v>
      </c>
      <c r="BX1571">
        <v>0</v>
      </c>
      <c r="BY1571">
        <v>0</v>
      </c>
      <c r="BZ1571">
        <v>0</v>
      </c>
      <c r="CA1571">
        <v>0</v>
      </c>
      <c r="CB1571" t="s">
        <v>145</v>
      </c>
    </row>
    <row r="1572" spans="67:80" x14ac:dyDescent="0.25">
      <c r="BO1572">
        <v>0</v>
      </c>
      <c r="BP1572">
        <v>0</v>
      </c>
      <c r="BQ1572">
        <v>0</v>
      </c>
      <c r="BR1572">
        <v>0</v>
      </c>
      <c r="BS1572">
        <v>0</v>
      </c>
      <c r="BT1572">
        <v>0</v>
      </c>
      <c r="BU1572">
        <v>0</v>
      </c>
      <c r="BV1572">
        <v>0</v>
      </c>
      <c r="BW1572" t="s">
        <v>0</v>
      </c>
      <c r="BX1572">
        <v>0</v>
      </c>
      <c r="BY1572">
        <v>0</v>
      </c>
      <c r="BZ1572">
        <v>0</v>
      </c>
      <c r="CA1572">
        <v>0</v>
      </c>
      <c r="CB1572" t="s">
        <v>145</v>
      </c>
    </row>
    <row r="1573" spans="67:80" x14ac:dyDescent="0.25">
      <c r="BO1573">
        <v>0</v>
      </c>
      <c r="BP1573">
        <v>0</v>
      </c>
      <c r="BQ1573">
        <v>0</v>
      </c>
      <c r="BR1573">
        <v>0</v>
      </c>
      <c r="BS1573">
        <v>0</v>
      </c>
      <c r="BT1573">
        <v>0</v>
      </c>
      <c r="BU1573">
        <v>0</v>
      </c>
      <c r="BV1573">
        <v>0</v>
      </c>
      <c r="BW1573" t="s">
        <v>0</v>
      </c>
      <c r="BX1573">
        <v>0</v>
      </c>
      <c r="BY1573">
        <v>0</v>
      </c>
      <c r="BZ1573">
        <v>0</v>
      </c>
      <c r="CA1573">
        <v>0</v>
      </c>
      <c r="CB1573" t="s">
        <v>145</v>
      </c>
    </row>
    <row r="1574" spans="67:80" x14ac:dyDescent="0.25">
      <c r="BO1574">
        <v>0</v>
      </c>
      <c r="BP1574">
        <v>0</v>
      </c>
      <c r="BQ1574">
        <v>0</v>
      </c>
      <c r="BR1574">
        <v>0</v>
      </c>
      <c r="BS1574">
        <v>0</v>
      </c>
      <c r="BT1574">
        <v>0</v>
      </c>
      <c r="BU1574">
        <v>0</v>
      </c>
      <c r="BV1574">
        <v>0</v>
      </c>
      <c r="BW1574" t="s">
        <v>0</v>
      </c>
      <c r="BX1574">
        <v>0</v>
      </c>
      <c r="BY1574">
        <v>0</v>
      </c>
      <c r="BZ1574">
        <v>0</v>
      </c>
      <c r="CA1574">
        <v>0</v>
      </c>
      <c r="CB1574" t="s">
        <v>145</v>
      </c>
    </row>
    <row r="1575" spans="67:80" x14ac:dyDescent="0.25">
      <c r="BO1575">
        <v>0</v>
      </c>
      <c r="BP1575">
        <v>0</v>
      </c>
      <c r="BQ1575">
        <v>0</v>
      </c>
      <c r="BR1575">
        <v>0</v>
      </c>
      <c r="BS1575">
        <v>0</v>
      </c>
      <c r="BT1575">
        <v>0</v>
      </c>
      <c r="BU1575">
        <v>0</v>
      </c>
      <c r="BV1575">
        <v>0</v>
      </c>
      <c r="BW1575" t="s">
        <v>0</v>
      </c>
      <c r="BX1575">
        <v>0</v>
      </c>
      <c r="BY1575">
        <v>0</v>
      </c>
      <c r="BZ1575">
        <v>0</v>
      </c>
      <c r="CA1575">
        <v>0</v>
      </c>
      <c r="CB1575" t="s">
        <v>145</v>
      </c>
    </row>
    <row r="1576" spans="67:80" x14ac:dyDescent="0.25">
      <c r="BO1576">
        <v>0</v>
      </c>
      <c r="BP1576">
        <v>0</v>
      </c>
      <c r="BQ1576">
        <v>0</v>
      </c>
      <c r="BR1576">
        <v>0</v>
      </c>
      <c r="BS1576">
        <v>0</v>
      </c>
      <c r="BT1576">
        <v>0</v>
      </c>
      <c r="BU1576">
        <v>0</v>
      </c>
      <c r="BV1576">
        <v>0</v>
      </c>
      <c r="BW1576" t="s">
        <v>0</v>
      </c>
      <c r="BX1576">
        <v>0</v>
      </c>
      <c r="BY1576">
        <v>0</v>
      </c>
      <c r="BZ1576">
        <v>0</v>
      </c>
      <c r="CA1576">
        <v>0</v>
      </c>
      <c r="CB1576" t="s">
        <v>145</v>
      </c>
    </row>
    <row r="1577" spans="67:80" x14ac:dyDescent="0.25">
      <c r="BO1577">
        <v>0</v>
      </c>
      <c r="BP1577">
        <v>0</v>
      </c>
      <c r="BQ1577">
        <v>0</v>
      </c>
      <c r="BR1577">
        <v>0</v>
      </c>
      <c r="BS1577">
        <v>0</v>
      </c>
      <c r="BT1577">
        <v>0</v>
      </c>
      <c r="BU1577">
        <v>0</v>
      </c>
      <c r="BV1577">
        <v>0</v>
      </c>
      <c r="BW1577" t="s">
        <v>0</v>
      </c>
      <c r="BX1577">
        <v>0</v>
      </c>
      <c r="BY1577">
        <v>0</v>
      </c>
      <c r="BZ1577">
        <v>0</v>
      </c>
      <c r="CA1577">
        <v>0</v>
      </c>
      <c r="CB1577" t="s">
        <v>145</v>
      </c>
    </row>
    <row r="1578" spans="67:80" x14ac:dyDescent="0.25">
      <c r="BO1578">
        <v>0</v>
      </c>
      <c r="BP1578">
        <v>0</v>
      </c>
      <c r="BQ1578">
        <v>0</v>
      </c>
      <c r="BR1578">
        <v>0</v>
      </c>
      <c r="BS1578">
        <v>0</v>
      </c>
      <c r="BT1578">
        <v>0</v>
      </c>
      <c r="BU1578">
        <v>0</v>
      </c>
      <c r="BV1578">
        <v>0</v>
      </c>
      <c r="BW1578" t="s">
        <v>0</v>
      </c>
      <c r="BX1578">
        <v>0</v>
      </c>
      <c r="BY1578">
        <v>0</v>
      </c>
      <c r="BZ1578">
        <v>0</v>
      </c>
      <c r="CA1578">
        <v>0</v>
      </c>
      <c r="CB1578" t="s">
        <v>145</v>
      </c>
    </row>
    <row r="1579" spans="67:80" x14ac:dyDescent="0.25">
      <c r="BO1579">
        <v>0</v>
      </c>
      <c r="BP1579">
        <v>0</v>
      </c>
      <c r="BQ1579">
        <v>0</v>
      </c>
      <c r="BR1579">
        <v>0</v>
      </c>
      <c r="BS1579">
        <v>0</v>
      </c>
      <c r="BT1579">
        <v>0</v>
      </c>
      <c r="BU1579">
        <v>0</v>
      </c>
      <c r="BV1579">
        <v>0</v>
      </c>
      <c r="BW1579" t="s">
        <v>0</v>
      </c>
      <c r="BX1579">
        <v>0</v>
      </c>
      <c r="BY1579">
        <v>0</v>
      </c>
      <c r="BZ1579">
        <v>0</v>
      </c>
      <c r="CA1579">
        <v>0</v>
      </c>
      <c r="CB1579" t="s">
        <v>145</v>
      </c>
    </row>
    <row r="1580" spans="67:80" x14ac:dyDescent="0.25">
      <c r="BO1580">
        <v>0</v>
      </c>
      <c r="BP1580">
        <v>0</v>
      </c>
      <c r="BQ1580">
        <v>0</v>
      </c>
      <c r="BR1580">
        <v>0</v>
      </c>
      <c r="BS1580">
        <v>0</v>
      </c>
      <c r="BT1580">
        <v>0</v>
      </c>
      <c r="BU1580">
        <v>0</v>
      </c>
      <c r="BV1580">
        <v>0</v>
      </c>
      <c r="BW1580" t="s">
        <v>0</v>
      </c>
      <c r="BX1580">
        <v>0</v>
      </c>
      <c r="BY1580">
        <v>0</v>
      </c>
      <c r="BZ1580">
        <v>0</v>
      </c>
      <c r="CA1580">
        <v>0</v>
      </c>
      <c r="CB1580" t="s">
        <v>145</v>
      </c>
    </row>
    <row r="1581" spans="67:80" x14ac:dyDescent="0.25">
      <c r="BO1581">
        <v>0</v>
      </c>
      <c r="BP1581">
        <v>0</v>
      </c>
      <c r="BQ1581">
        <v>0</v>
      </c>
      <c r="BR1581">
        <v>0</v>
      </c>
      <c r="BS1581">
        <v>0</v>
      </c>
      <c r="BT1581">
        <v>0</v>
      </c>
      <c r="BU1581">
        <v>0</v>
      </c>
      <c r="BV1581">
        <v>0</v>
      </c>
      <c r="BW1581" t="s">
        <v>0</v>
      </c>
      <c r="BX1581">
        <v>0</v>
      </c>
      <c r="BY1581">
        <v>0</v>
      </c>
      <c r="BZ1581">
        <v>0</v>
      </c>
      <c r="CA1581">
        <v>0</v>
      </c>
      <c r="CB1581" t="s">
        <v>145</v>
      </c>
    </row>
    <row r="1582" spans="67:80" x14ac:dyDescent="0.25">
      <c r="BO1582">
        <v>0</v>
      </c>
      <c r="BP1582">
        <v>0</v>
      </c>
      <c r="BQ1582">
        <v>0</v>
      </c>
      <c r="BR1582">
        <v>0</v>
      </c>
      <c r="BS1582">
        <v>0</v>
      </c>
      <c r="BT1582">
        <v>0</v>
      </c>
      <c r="BU1582">
        <v>0</v>
      </c>
      <c r="BV1582">
        <v>0</v>
      </c>
      <c r="BW1582" t="s">
        <v>0</v>
      </c>
      <c r="BX1582">
        <v>0</v>
      </c>
      <c r="BY1582">
        <v>0</v>
      </c>
      <c r="BZ1582">
        <v>0</v>
      </c>
      <c r="CA1582">
        <v>0</v>
      </c>
      <c r="CB1582" t="s">
        <v>145</v>
      </c>
    </row>
    <row r="1583" spans="67:80" x14ac:dyDescent="0.25">
      <c r="BO1583">
        <v>0</v>
      </c>
      <c r="BP1583">
        <v>0</v>
      </c>
      <c r="BQ1583">
        <v>0</v>
      </c>
      <c r="BR1583">
        <v>0</v>
      </c>
      <c r="BS1583">
        <v>0</v>
      </c>
      <c r="BT1583">
        <v>0</v>
      </c>
      <c r="BU1583">
        <v>0</v>
      </c>
      <c r="BV1583">
        <v>0</v>
      </c>
      <c r="BW1583" t="s">
        <v>0</v>
      </c>
      <c r="BX1583">
        <v>0</v>
      </c>
      <c r="BY1583">
        <v>0</v>
      </c>
      <c r="BZ1583">
        <v>0</v>
      </c>
      <c r="CA1583">
        <v>0</v>
      </c>
      <c r="CB1583" t="s">
        <v>145</v>
      </c>
    </row>
    <row r="1584" spans="67:80" x14ac:dyDescent="0.25">
      <c r="BO1584">
        <v>0</v>
      </c>
      <c r="BP1584">
        <v>0</v>
      </c>
      <c r="BQ1584">
        <v>0</v>
      </c>
      <c r="BR1584">
        <v>0</v>
      </c>
      <c r="BS1584">
        <v>0</v>
      </c>
      <c r="BT1584">
        <v>0</v>
      </c>
      <c r="BU1584">
        <v>0</v>
      </c>
      <c r="BV1584">
        <v>0</v>
      </c>
      <c r="BW1584" t="s">
        <v>0</v>
      </c>
      <c r="BX1584">
        <v>0</v>
      </c>
      <c r="BY1584">
        <v>0</v>
      </c>
      <c r="BZ1584">
        <v>0</v>
      </c>
      <c r="CA1584">
        <v>0</v>
      </c>
      <c r="CB1584" t="s">
        <v>145</v>
      </c>
    </row>
    <row r="1585" spans="67:80" x14ac:dyDescent="0.25">
      <c r="BO1585">
        <v>0</v>
      </c>
      <c r="BP1585">
        <v>0</v>
      </c>
      <c r="BQ1585">
        <v>0</v>
      </c>
      <c r="BR1585">
        <v>0</v>
      </c>
      <c r="BS1585">
        <v>0</v>
      </c>
      <c r="BT1585">
        <v>0</v>
      </c>
      <c r="BU1585">
        <v>0</v>
      </c>
      <c r="BV1585">
        <v>0</v>
      </c>
      <c r="BW1585" t="s">
        <v>0</v>
      </c>
      <c r="BX1585">
        <v>0</v>
      </c>
      <c r="BY1585">
        <v>0</v>
      </c>
      <c r="BZ1585">
        <v>0</v>
      </c>
      <c r="CA1585">
        <v>0</v>
      </c>
      <c r="CB1585" t="s">
        <v>145</v>
      </c>
    </row>
    <row r="1586" spans="67:80" x14ac:dyDescent="0.25">
      <c r="BO1586">
        <v>0</v>
      </c>
      <c r="BP1586">
        <v>0</v>
      </c>
      <c r="BQ1586">
        <v>0</v>
      </c>
      <c r="BR1586">
        <v>0</v>
      </c>
      <c r="BS1586">
        <v>0</v>
      </c>
      <c r="BT1586">
        <v>0</v>
      </c>
      <c r="BU1586">
        <v>0</v>
      </c>
      <c r="BV1586">
        <v>0</v>
      </c>
      <c r="BW1586" t="s">
        <v>0</v>
      </c>
      <c r="BX1586">
        <v>0</v>
      </c>
      <c r="BY1586">
        <v>0</v>
      </c>
      <c r="BZ1586">
        <v>0</v>
      </c>
      <c r="CA1586">
        <v>0</v>
      </c>
      <c r="CB1586" t="s">
        <v>145</v>
      </c>
    </row>
    <row r="1587" spans="67:80" x14ac:dyDescent="0.25">
      <c r="BO1587">
        <v>0</v>
      </c>
      <c r="BP1587">
        <v>0</v>
      </c>
      <c r="BQ1587">
        <v>0</v>
      </c>
      <c r="BR1587">
        <v>0</v>
      </c>
      <c r="BS1587">
        <v>0</v>
      </c>
      <c r="BT1587">
        <v>0</v>
      </c>
      <c r="BU1587">
        <v>0</v>
      </c>
      <c r="BV1587">
        <v>0</v>
      </c>
      <c r="BW1587" t="s">
        <v>0</v>
      </c>
      <c r="BX1587">
        <v>0</v>
      </c>
      <c r="BY1587">
        <v>0</v>
      </c>
      <c r="BZ1587">
        <v>0</v>
      </c>
      <c r="CA1587">
        <v>0</v>
      </c>
      <c r="CB1587" t="s">
        <v>145</v>
      </c>
    </row>
    <row r="1588" spans="67:80" x14ac:dyDescent="0.25">
      <c r="BO1588">
        <v>0</v>
      </c>
      <c r="BP1588">
        <v>0</v>
      </c>
      <c r="BQ1588">
        <v>0</v>
      </c>
      <c r="BR1588">
        <v>0</v>
      </c>
      <c r="BS1588">
        <v>0</v>
      </c>
      <c r="BT1588">
        <v>0</v>
      </c>
      <c r="BU1588">
        <v>0</v>
      </c>
      <c r="BV1588">
        <v>0</v>
      </c>
      <c r="BW1588" t="s">
        <v>0</v>
      </c>
      <c r="BX1588">
        <v>0</v>
      </c>
      <c r="BY1588">
        <v>0</v>
      </c>
      <c r="BZ1588">
        <v>0</v>
      </c>
      <c r="CA1588">
        <v>0</v>
      </c>
      <c r="CB1588" t="s">
        <v>145</v>
      </c>
    </row>
    <row r="1589" spans="67:80" x14ac:dyDescent="0.25">
      <c r="BO1589">
        <v>0</v>
      </c>
      <c r="BP1589">
        <v>0</v>
      </c>
      <c r="BQ1589">
        <v>0</v>
      </c>
      <c r="BR1589">
        <v>0</v>
      </c>
      <c r="BS1589">
        <v>0</v>
      </c>
      <c r="BT1589">
        <v>0</v>
      </c>
      <c r="BU1589">
        <v>0</v>
      </c>
      <c r="BV1589">
        <v>0</v>
      </c>
      <c r="BW1589" t="s">
        <v>0</v>
      </c>
      <c r="BX1589">
        <v>0</v>
      </c>
      <c r="BY1589">
        <v>0</v>
      </c>
      <c r="BZ1589">
        <v>0</v>
      </c>
      <c r="CA1589">
        <v>0</v>
      </c>
      <c r="CB1589" t="s">
        <v>145</v>
      </c>
    </row>
    <row r="1590" spans="67:80" x14ac:dyDescent="0.25">
      <c r="BO1590">
        <v>0</v>
      </c>
      <c r="BP1590">
        <v>0</v>
      </c>
      <c r="BQ1590">
        <v>0</v>
      </c>
      <c r="BR1590">
        <v>0</v>
      </c>
      <c r="BS1590">
        <v>0</v>
      </c>
      <c r="BT1590">
        <v>0</v>
      </c>
      <c r="BU1590">
        <v>0</v>
      </c>
      <c r="BV1590">
        <v>0</v>
      </c>
      <c r="BW1590" t="s">
        <v>0</v>
      </c>
      <c r="BX1590">
        <v>0</v>
      </c>
      <c r="BY1590">
        <v>0</v>
      </c>
      <c r="BZ1590">
        <v>0</v>
      </c>
      <c r="CA1590">
        <v>0</v>
      </c>
      <c r="CB1590" t="s">
        <v>145</v>
      </c>
    </row>
    <row r="1591" spans="67:80" x14ac:dyDescent="0.25">
      <c r="BO1591">
        <v>0</v>
      </c>
      <c r="BP1591">
        <v>0</v>
      </c>
      <c r="BQ1591">
        <v>0</v>
      </c>
      <c r="BR1591">
        <v>0</v>
      </c>
      <c r="BS1591">
        <v>0</v>
      </c>
      <c r="BT1591">
        <v>0</v>
      </c>
      <c r="BU1591">
        <v>0</v>
      </c>
      <c r="BV1591">
        <v>0</v>
      </c>
      <c r="BW1591" t="s">
        <v>0</v>
      </c>
      <c r="BX1591">
        <v>0</v>
      </c>
      <c r="BY1591">
        <v>0</v>
      </c>
      <c r="BZ1591">
        <v>0</v>
      </c>
      <c r="CA1591">
        <v>0</v>
      </c>
      <c r="CB1591" t="s">
        <v>145</v>
      </c>
    </row>
    <row r="1592" spans="67:80" x14ac:dyDescent="0.25">
      <c r="BO1592">
        <v>0</v>
      </c>
      <c r="BP1592">
        <v>0</v>
      </c>
      <c r="BQ1592">
        <v>0</v>
      </c>
      <c r="BR1592">
        <v>0</v>
      </c>
      <c r="BS1592">
        <v>0</v>
      </c>
      <c r="BT1592">
        <v>0</v>
      </c>
      <c r="BU1592">
        <v>0</v>
      </c>
      <c r="BV1592">
        <v>0</v>
      </c>
      <c r="BW1592" t="s">
        <v>0</v>
      </c>
      <c r="BX1592">
        <v>0</v>
      </c>
      <c r="BY1592">
        <v>0</v>
      </c>
      <c r="BZ1592">
        <v>0</v>
      </c>
      <c r="CA1592">
        <v>0</v>
      </c>
      <c r="CB1592" t="s">
        <v>145</v>
      </c>
    </row>
    <row r="1593" spans="67:80" x14ac:dyDescent="0.25">
      <c r="BO1593">
        <v>0</v>
      </c>
      <c r="BP1593">
        <v>0</v>
      </c>
      <c r="BQ1593">
        <v>0</v>
      </c>
      <c r="BR1593">
        <v>0</v>
      </c>
      <c r="BS1593">
        <v>0</v>
      </c>
      <c r="BT1593">
        <v>0</v>
      </c>
      <c r="BU1593">
        <v>0</v>
      </c>
      <c r="BV1593">
        <v>0</v>
      </c>
      <c r="BW1593" t="s">
        <v>0</v>
      </c>
      <c r="BX1593">
        <v>0</v>
      </c>
      <c r="BY1593">
        <v>0</v>
      </c>
      <c r="BZ1593">
        <v>0</v>
      </c>
      <c r="CA1593">
        <v>0</v>
      </c>
      <c r="CB1593" t="s">
        <v>145</v>
      </c>
    </row>
    <row r="1594" spans="67:80" x14ac:dyDescent="0.25">
      <c r="BO1594">
        <v>0</v>
      </c>
      <c r="BP1594">
        <v>0</v>
      </c>
      <c r="BQ1594">
        <v>0</v>
      </c>
      <c r="BR1594">
        <v>0</v>
      </c>
      <c r="BS1594">
        <v>0</v>
      </c>
      <c r="BT1594">
        <v>0</v>
      </c>
      <c r="BU1594">
        <v>0</v>
      </c>
      <c r="BV1594">
        <v>0</v>
      </c>
      <c r="BW1594" t="s">
        <v>0</v>
      </c>
      <c r="BX1594">
        <v>0</v>
      </c>
      <c r="BY1594">
        <v>0</v>
      </c>
      <c r="BZ1594">
        <v>0</v>
      </c>
      <c r="CA1594">
        <v>0</v>
      </c>
      <c r="CB1594" t="s">
        <v>145</v>
      </c>
    </row>
    <row r="1595" spans="67:80" x14ac:dyDescent="0.25">
      <c r="BO1595">
        <v>0</v>
      </c>
      <c r="BP1595">
        <v>0</v>
      </c>
      <c r="BQ1595">
        <v>0</v>
      </c>
      <c r="BR1595">
        <v>0</v>
      </c>
      <c r="BS1595">
        <v>0</v>
      </c>
      <c r="BT1595">
        <v>0</v>
      </c>
      <c r="BU1595">
        <v>0</v>
      </c>
      <c r="BV1595">
        <v>0</v>
      </c>
      <c r="BW1595" t="s">
        <v>0</v>
      </c>
      <c r="BX1595">
        <v>0</v>
      </c>
      <c r="BY1595">
        <v>0</v>
      </c>
      <c r="BZ1595">
        <v>0</v>
      </c>
      <c r="CA1595">
        <v>0</v>
      </c>
      <c r="CB1595" t="s">
        <v>145</v>
      </c>
    </row>
    <row r="1596" spans="67:80" x14ac:dyDescent="0.25">
      <c r="BO1596">
        <v>0</v>
      </c>
      <c r="BP1596">
        <v>0</v>
      </c>
      <c r="BQ1596">
        <v>0</v>
      </c>
      <c r="BR1596">
        <v>0</v>
      </c>
      <c r="BS1596">
        <v>0</v>
      </c>
      <c r="BT1596">
        <v>0</v>
      </c>
      <c r="BU1596">
        <v>0</v>
      </c>
      <c r="BV1596">
        <v>0</v>
      </c>
      <c r="BW1596" t="s">
        <v>0</v>
      </c>
      <c r="BX1596">
        <v>0</v>
      </c>
      <c r="BY1596">
        <v>0</v>
      </c>
      <c r="BZ1596">
        <v>0</v>
      </c>
      <c r="CA1596">
        <v>0</v>
      </c>
      <c r="CB1596" t="s">
        <v>145</v>
      </c>
    </row>
    <row r="1597" spans="67:80" x14ac:dyDescent="0.25">
      <c r="BO1597">
        <v>0</v>
      </c>
      <c r="BP1597">
        <v>0</v>
      </c>
      <c r="BQ1597">
        <v>0</v>
      </c>
      <c r="BR1597">
        <v>0</v>
      </c>
      <c r="BS1597">
        <v>0</v>
      </c>
      <c r="BT1597">
        <v>0</v>
      </c>
      <c r="BU1597">
        <v>0</v>
      </c>
      <c r="BV1597">
        <v>0</v>
      </c>
      <c r="BW1597" t="s">
        <v>0</v>
      </c>
      <c r="BX1597">
        <v>0</v>
      </c>
      <c r="BY1597">
        <v>0</v>
      </c>
      <c r="BZ1597">
        <v>0</v>
      </c>
      <c r="CA1597">
        <v>0</v>
      </c>
      <c r="CB1597" t="s">
        <v>145</v>
      </c>
    </row>
    <row r="1598" spans="67:80" x14ac:dyDescent="0.25">
      <c r="BO1598">
        <v>0</v>
      </c>
      <c r="BP1598">
        <v>0</v>
      </c>
      <c r="BQ1598">
        <v>0</v>
      </c>
      <c r="BR1598">
        <v>0</v>
      </c>
      <c r="BS1598">
        <v>0</v>
      </c>
      <c r="BT1598">
        <v>0</v>
      </c>
      <c r="BU1598">
        <v>0</v>
      </c>
      <c r="BV1598">
        <v>0</v>
      </c>
      <c r="BW1598" t="s">
        <v>0</v>
      </c>
      <c r="BX1598">
        <v>0</v>
      </c>
      <c r="BY1598">
        <v>0</v>
      </c>
      <c r="BZ1598">
        <v>0</v>
      </c>
      <c r="CA1598">
        <v>0</v>
      </c>
      <c r="CB1598" t="s">
        <v>145</v>
      </c>
    </row>
    <row r="1599" spans="67:80" x14ac:dyDescent="0.25">
      <c r="BO1599">
        <v>0</v>
      </c>
      <c r="BP1599">
        <v>0</v>
      </c>
      <c r="BQ1599">
        <v>0</v>
      </c>
      <c r="BR1599">
        <v>0</v>
      </c>
      <c r="BS1599">
        <v>0</v>
      </c>
      <c r="BT1599">
        <v>0</v>
      </c>
      <c r="BU1599">
        <v>0</v>
      </c>
      <c r="BV1599">
        <v>0</v>
      </c>
      <c r="BW1599" t="s">
        <v>0</v>
      </c>
      <c r="BX1599">
        <v>0</v>
      </c>
      <c r="BY1599">
        <v>0</v>
      </c>
      <c r="BZ1599">
        <v>0</v>
      </c>
      <c r="CA1599">
        <v>0</v>
      </c>
      <c r="CB1599" t="s">
        <v>145</v>
      </c>
    </row>
    <row r="1600" spans="67:80" x14ac:dyDescent="0.25">
      <c r="BO1600">
        <v>0</v>
      </c>
      <c r="BP1600">
        <v>0</v>
      </c>
      <c r="BQ1600">
        <v>0</v>
      </c>
      <c r="BR1600">
        <v>0</v>
      </c>
      <c r="BS1600">
        <v>0</v>
      </c>
      <c r="BT1600">
        <v>0</v>
      </c>
      <c r="BU1600">
        <v>0</v>
      </c>
      <c r="BV1600">
        <v>0</v>
      </c>
      <c r="BW1600" t="s">
        <v>0</v>
      </c>
      <c r="BX1600">
        <v>0</v>
      </c>
      <c r="BY1600">
        <v>0</v>
      </c>
      <c r="BZ1600">
        <v>0</v>
      </c>
      <c r="CA1600">
        <v>0</v>
      </c>
      <c r="CB1600" t="s">
        <v>145</v>
      </c>
    </row>
    <row r="1601" spans="67:80" x14ac:dyDescent="0.25">
      <c r="BO1601">
        <v>0</v>
      </c>
      <c r="BP1601">
        <v>0</v>
      </c>
      <c r="BQ1601">
        <v>0</v>
      </c>
      <c r="BR1601">
        <v>0</v>
      </c>
      <c r="BS1601">
        <v>0</v>
      </c>
      <c r="BT1601">
        <v>0</v>
      </c>
      <c r="BU1601">
        <v>0</v>
      </c>
      <c r="BV1601">
        <v>0</v>
      </c>
      <c r="BW1601" t="s">
        <v>0</v>
      </c>
      <c r="BX1601">
        <v>0</v>
      </c>
      <c r="BY1601">
        <v>0</v>
      </c>
      <c r="BZ1601">
        <v>0</v>
      </c>
      <c r="CA1601">
        <v>0</v>
      </c>
      <c r="CB1601" t="s">
        <v>145</v>
      </c>
    </row>
    <row r="1602" spans="67:80" x14ac:dyDescent="0.25">
      <c r="BO1602">
        <v>0</v>
      </c>
      <c r="BP1602">
        <v>0</v>
      </c>
      <c r="BQ1602">
        <v>0</v>
      </c>
      <c r="BR1602">
        <v>0</v>
      </c>
      <c r="BS1602">
        <v>0</v>
      </c>
      <c r="BT1602">
        <v>0</v>
      </c>
      <c r="BU1602">
        <v>0</v>
      </c>
      <c r="BV1602">
        <v>0</v>
      </c>
      <c r="BW1602" t="s">
        <v>0</v>
      </c>
      <c r="BX1602">
        <v>0</v>
      </c>
      <c r="BY1602">
        <v>0</v>
      </c>
      <c r="BZ1602">
        <v>0</v>
      </c>
      <c r="CA1602">
        <v>0</v>
      </c>
      <c r="CB1602" t="s">
        <v>145</v>
      </c>
    </row>
    <row r="1603" spans="67:80" x14ac:dyDescent="0.25">
      <c r="BO1603">
        <v>0</v>
      </c>
      <c r="BP1603">
        <v>0</v>
      </c>
      <c r="BQ1603">
        <v>0</v>
      </c>
      <c r="BR1603">
        <v>0</v>
      </c>
      <c r="BS1603">
        <v>0</v>
      </c>
      <c r="BT1603">
        <v>0</v>
      </c>
      <c r="BU1603">
        <v>0</v>
      </c>
      <c r="BV1603">
        <v>0</v>
      </c>
      <c r="BW1603" t="s">
        <v>0</v>
      </c>
      <c r="BX1603">
        <v>0</v>
      </c>
      <c r="BY1603">
        <v>0</v>
      </c>
      <c r="BZ1603">
        <v>0</v>
      </c>
      <c r="CA1603">
        <v>0</v>
      </c>
      <c r="CB1603" t="s">
        <v>145</v>
      </c>
    </row>
    <row r="1604" spans="67:80" x14ac:dyDescent="0.25">
      <c r="BO1604">
        <v>0</v>
      </c>
      <c r="BP1604">
        <v>0</v>
      </c>
      <c r="BQ1604">
        <v>0</v>
      </c>
      <c r="BR1604">
        <v>0</v>
      </c>
      <c r="BS1604">
        <v>0</v>
      </c>
      <c r="BT1604">
        <v>0</v>
      </c>
      <c r="BU1604">
        <v>0</v>
      </c>
      <c r="BV1604">
        <v>0</v>
      </c>
      <c r="BW1604" t="s">
        <v>0</v>
      </c>
      <c r="BX1604">
        <v>0</v>
      </c>
      <c r="BY1604">
        <v>0</v>
      </c>
      <c r="BZ1604">
        <v>0</v>
      </c>
      <c r="CA1604">
        <v>0</v>
      </c>
      <c r="CB1604" t="s">
        <v>145</v>
      </c>
    </row>
    <row r="1605" spans="67:80" x14ac:dyDescent="0.25">
      <c r="BO1605">
        <v>0</v>
      </c>
      <c r="BP1605">
        <v>0</v>
      </c>
      <c r="BQ1605">
        <v>0</v>
      </c>
      <c r="BR1605">
        <v>0</v>
      </c>
      <c r="BS1605">
        <v>0</v>
      </c>
      <c r="BT1605">
        <v>0</v>
      </c>
      <c r="BU1605">
        <v>0</v>
      </c>
      <c r="BV1605">
        <v>0</v>
      </c>
      <c r="BW1605" t="s">
        <v>0</v>
      </c>
      <c r="BX1605">
        <v>0</v>
      </c>
      <c r="BY1605">
        <v>0</v>
      </c>
      <c r="BZ1605">
        <v>0</v>
      </c>
      <c r="CA1605">
        <v>0</v>
      </c>
      <c r="CB1605" t="s">
        <v>145</v>
      </c>
    </row>
    <row r="1606" spans="67:80" x14ac:dyDescent="0.25">
      <c r="BO1606">
        <v>0</v>
      </c>
      <c r="BP1606">
        <v>0</v>
      </c>
      <c r="BQ1606">
        <v>0</v>
      </c>
      <c r="BR1606">
        <v>0</v>
      </c>
      <c r="BS1606">
        <v>0</v>
      </c>
      <c r="BT1606">
        <v>0</v>
      </c>
      <c r="BU1606">
        <v>0</v>
      </c>
      <c r="BV1606">
        <v>0</v>
      </c>
      <c r="BW1606" t="s">
        <v>0</v>
      </c>
      <c r="BX1606">
        <v>0</v>
      </c>
      <c r="BY1606">
        <v>0</v>
      </c>
      <c r="BZ1606">
        <v>0</v>
      </c>
      <c r="CA1606">
        <v>0</v>
      </c>
      <c r="CB1606" t="s">
        <v>145</v>
      </c>
    </row>
    <row r="1607" spans="67:80" x14ac:dyDescent="0.25">
      <c r="BO1607">
        <v>0</v>
      </c>
      <c r="BP1607">
        <v>0</v>
      </c>
      <c r="BQ1607">
        <v>0</v>
      </c>
      <c r="BR1607">
        <v>0</v>
      </c>
      <c r="BS1607">
        <v>0</v>
      </c>
      <c r="BT1607">
        <v>0</v>
      </c>
      <c r="BU1607">
        <v>0</v>
      </c>
      <c r="BV1607">
        <v>0</v>
      </c>
      <c r="BW1607" t="s">
        <v>0</v>
      </c>
      <c r="BX1607">
        <v>0</v>
      </c>
      <c r="BY1607">
        <v>0</v>
      </c>
      <c r="BZ1607">
        <v>0</v>
      </c>
      <c r="CA1607">
        <v>0</v>
      </c>
      <c r="CB1607" t="s">
        <v>145</v>
      </c>
    </row>
    <row r="1608" spans="67:80" x14ac:dyDescent="0.25">
      <c r="BO1608">
        <v>0</v>
      </c>
      <c r="BP1608">
        <v>0</v>
      </c>
      <c r="BQ1608">
        <v>0</v>
      </c>
      <c r="BR1608">
        <v>0</v>
      </c>
      <c r="BS1608">
        <v>0</v>
      </c>
      <c r="BT1608">
        <v>0</v>
      </c>
      <c r="BU1608">
        <v>0</v>
      </c>
      <c r="BV1608">
        <v>0</v>
      </c>
      <c r="BW1608" t="s">
        <v>0</v>
      </c>
      <c r="BX1608">
        <v>0</v>
      </c>
      <c r="BY1608">
        <v>0</v>
      </c>
      <c r="BZ1608">
        <v>0</v>
      </c>
      <c r="CA1608">
        <v>0</v>
      </c>
      <c r="CB1608" t="s">
        <v>145</v>
      </c>
    </row>
    <row r="1609" spans="67:80" x14ac:dyDescent="0.25">
      <c r="BO1609">
        <v>0</v>
      </c>
      <c r="BP1609">
        <v>0</v>
      </c>
      <c r="BQ1609">
        <v>0</v>
      </c>
      <c r="BR1609">
        <v>0</v>
      </c>
      <c r="BS1609">
        <v>0</v>
      </c>
      <c r="BT1609">
        <v>0</v>
      </c>
      <c r="BU1609">
        <v>0</v>
      </c>
      <c r="BV1609">
        <v>0</v>
      </c>
      <c r="BW1609" t="s">
        <v>0</v>
      </c>
      <c r="BX1609">
        <v>0</v>
      </c>
      <c r="BY1609">
        <v>0</v>
      </c>
      <c r="BZ1609">
        <v>0</v>
      </c>
      <c r="CA1609">
        <v>0</v>
      </c>
      <c r="CB1609" t="s">
        <v>145</v>
      </c>
    </row>
    <row r="1610" spans="67:80" x14ac:dyDescent="0.25">
      <c r="BO1610">
        <v>0</v>
      </c>
      <c r="BP1610">
        <v>0</v>
      </c>
      <c r="BQ1610">
        <v>0</v>
      </c>
      <c r="BR1610">
        <v>0</v>
      </c>
      <c r="BS1610">
        <v>0</v>
      </c>
      <c r="BT1610">
        <v>0</v>
      </c>
      <c r="BU1610">
        <v>0</v>
      </c>
      <c r="BV1610">
        <v>0</v>
      </c>
      <c r="BW1610" t="s">
        <v>0</v>
      </c>
      <c r="BX1610">
        <v>0</v>
      </c>
      <c r="BY1610">
        <v>0</v>
      </c>
      <c r="BZ1610">
        <v>0</v>
      </c>
      <c r="CA1610">
        <v>0</v>
      </c>
      <c r="CB1610" t="s">
        <v>145</v>
      </c>
    </row>
    <row r="1611" spans="67:80" x14ac:dyDescent="0.25">
      <c r="BO1611">
        <v>0</v>
      </c>
      <c r="BP1611">
        <v>0</v>
      </c>
      <c r="BQ1611">
        <v>0</v>
      </c>
      <c r="BR1611">
        <v>0</v>
      </c>
      <c r="BS1611">
        <v>0</v>
      </c>
      <c r="BT1611">
        <v>0</v>
      </c>
      <c r="BU1611">
        <v>0</v>
      </c>
      <c r="BV1611">
        <v>0</v>
      </c>
      <c r="BW1611" t="s">
        <v>0</v>
      </c>
      <c r="BX1611">
        <v>0</v>
      </c>
      <c r="BY1611">
        <v>0</v>
      </c>
      <c r="BZ1611">
        <v>0</v>
      </c>
      <c r="CA1611">
        <v>0</v>
      </c>
      <c r="CB1611" t="s">
        <v>145</v>
      </c>
    </row>
    <row r="1612" spans="67:80" x14ac:dyDescent="0.25">
      <c r="BO1612">
        <v>0</v>
      </c>
      <c r="BP1612">
        <v>0</v>
      </c>
      <c r="BQ1612">
        <v>0</v>
      </c>
      <c r="BR1612">
        <v>0</v>
      </c>
      <c r="BS1612">
        <v>0</v>
      </c>
      <c r="BT1612">
        <v>0</v>
      </c>
      <c r="BU1612">
        <v>0</v>
      </c>
      <c r="BV1612">
        <v>0</v>
      </c>
      <c r="BW1612" t="s">
        <v>0</v>
      </c>
      <c r="BX1612">
        <v>0</v>
      </c>
      <c r="BY1612">
        <v>0</v>
      </c>
      <c r="BZ1612">
        <v>0</v>
      </c>
      <c r="CA1612">
        <v>0</v>
      </c>
      <c r="CB1612" t="s">
        <v>145</v>
      </c>
    </row>
    <row r="1613" spans="67:80" x14ac:dyDescent="0.25">
      <c r="BO1613">
        <v>0</v>
      </c>
      <c r="BP1613">
        <v>0</v>
      </c>
      <c r="BQ1613">
        <v>0</v>
      </c>
      <c r="BR1613">
        <v>0</v>
      </c>
      <c r="BS1613">
        <v>0</v>
      </c>
      <c r="BT1613">
        <v>0</v>
      </c>
      <c r="BU1613">
        <v>0</v>
      </c>
      <c r="BV1613">
        <v>0</v>
      </c>
      <c r="BW1613" t="s">
        <v>0</v>
      </c>
      <c r="BX1613">
        <v>0</v>
      </c>
      <c r="BY1613">
        <v>0</v>
      </c>
      <c r="BZ1613">
        <v>0</v>
      </c>
      <c r="CA1613">
        <v>0</v>
      </c>
      <c r="CB1613" t="s">
        <v>145</v>
      </c>
    </row>
    <row r="1614" spans="67:80" x14ac:dyDescent="0.25">
      <c r="BO1614">
        <v>0</v>
      </c>
      <c r="BP1614">
        <v>0</v>
      </c>
      <c r="BQ1614">
        <v>0</v>
      </c>
      <c r="BR1614">
        <v>0</v>
      </c>
      <c r="BS1614">
        <v>0</v>
      </c>
      <c r="BT1614">
        <v>0</v>
      </c>
      <c r="BU1614">
        <v>0</v>
      </c>
      <c r="BV1614">
        <v>0</v>
      </c>
      <c r="BW1614" t="s">
        <v>0</v>
      </c>
      <c r="BX1614">
        <v>0</v>
      </c>
      <c r="BY1614">
        <v>0</v>
      </c>
      <c r="BZ1614">
        <v>0</v>
      </c>
      <c r="CA1614">
        <v>0</v>
      </c>
      <c r="CB1614" t="s">
        <v>145</v>
      </c>
    </row>
    <row r="1615" spans="67:80" x14ac:dyDescent="0.25">
      <c r="BO1615">
        <v>0</v>
      </c>
      <c r="BP1615">
        <v>0</v>
      </c>
      <c r="BQ1615">
        <v>0</v>
      </c>
      <c r="BR1615">
        <v>0</v>
      </c>
      <c r="BS1615">
        <v>0</v>
      </c>
      <c r="BT1615">
        <v>0</v>
      </c>
      <c r="BU1615">
        <v>0</v>
      </c>
      <c r="BV1615">
        <v>0</v>
      </c>
      <c r="BW1615" t="s">
        <v>0</v>
      </c>
      <c r="BX1615">
        <v>0</v>
      </c>
      <c r="BY1615">
        <v>0</v>
      </c>
      <c r="BZ1615">
        <v>0</v>
      </c>
      <c r="CA1615">
        <v>0</v>
      </c>
      <c r="CB1615" t="s">
        <v>145</v>
      </c>
    </row>
    <row r="1616" spans="67:80" x14ac:dyDescent="0.25">
      <c r="BO1616">
        <v>0</v>
      </c>
      <c r="BP1616">
        <v>0</v>
      </c>
      <c r="BQ1616">
        <v>0</v>
      </c>
      <c r="BR1616">
        <v>0</v>
      </c>
      <c r="BS1616">
        <v>0</v>
      </c>
      <c r="BT1616">
        <v>0</v>
      </c>
      <c r="BU1616">
        <v>0</v>
      </c>
      <c r="BV1616">
        <v>0</v>
      </c>
      <c r="BW1616" t="s">
        <v>0</v>
      </c>
      <c r="BX1616">
        <v>0</v>
      </c>
      <c r="BY1616">
        <v>0</v>
      </c>
      <c r="BZ1616">
        <v>0</v>
      </c>
      <c r="CA1616">
        <v>0</v>
      </c>
      <c r="CB1616" t="s">
        <v>145</v>
      </c>
    </row>
    <row r="1617" spans="67:80" x14ac:dyDescent="0.25">
      <c r="BO1617">
        <v>0</v>
      </c>
      <c r="BP1617">
        <v>0</v>
      </c>
      <c r="BQ1617">
        <v>0</v>
      </c>
      <c r="BR1617">
        <v>0</v>
      </c>
      <c r="BS1617">
        <v>0</v>
      </c>
      <c r="BT1617">
        <v>0</v>
      </c>
      <c r="BU1617">
        <v>0</v>
      </c>
      <c r="BV1617">
        <v>0</v>
      </c>
      <c r="BW1617" t="s">
        <v>0</v>
      </c>
      <c r="BX1617">
        <v>0</v>
      </c>
      <c r="BY1617">
        <v>0</v>
      </c>
      <c r="BZ1617">
        <v>0</v>
      </c>
      <c r="CA1617">
        <v>0</v>
      </c>
      <c r="CB1617" t="s">
        <v>145</v>
      </c>
    </row>
    <row r="1618" spans="67:80" x14ac:dyDescent="0.25">
      <c r="BO1618">
        <v>0</v>
      </c>
      <c r="BP1618">
        <v>0</v>
      </c>
      <c r="BQ1618">
        <v>0</v>
      </c>
      <c r="BR1618">
        <v>0</v>
      </c>
      <c r="BS1618">
        <v>0</v>
      </c>
      <c r="BT1618">
        <v>0</v>
      </c>
      <c r="BU1618">
        <v>0</v>
      </c>
      <c r="BV1618">
        <v>0</v>
      </c>
      <c r="BW1618" t="s">
        <v>0</v>
      </c>
      <c r="BX1618">
        <v>0</v>
      </c>
      <c r="BY1618">
        <v>0</v>
      </c>
      <c r="BZ1618">
        <v>0</v>
      </c>
      <c r="CA1618">
        <v>0</v>
      </c>
      <c r="CB1618" t="s">
        <v>145</v>
      </c>
    </row>
    <row r="1619" spans="67:80" x14ac:dyDescent="0.25">
      <c r="BO1619">
        <v>0</v>
      </c>
      <c r="BP1619">
        <v>0</v>
      </c>
      <c r="BQ1619">
        <v>0</v>
      </c>
      <c r="BR1619">
        <v>0</v>
      </c>
      <c r="BS1619">
        <v>0</v>
      </c>
      <c r="BT1619">
        <v>0</v>
      </c>
      <c r="BU1619">
        <v>0</v>
      </c>
      <c r="BV1619">
        <v>0</v>
      </c>
      <c r="BW1619" t="s">
        <v>0</v>
      </c>
      <c r="BX1619">
        <v>0</v>
      </c>
      <c r="BY1619">
        <v>0</v>
      </c>
      <c r="BZ1619">
        <v>0</v>
      </c>
      <c r="CA1619">
        <v>0</v>
      </c>
      <c r="CB1619" t="s">
        <v>145</v>
      </c>
    </row>
    <row r="1620" spans="67:80" x14ac:dyDescent="0.25">
      <c r="BO1620">
        <v>0</v>
      </c>
      <c r="BP1620">
        <v>0</v>
      </c>
      <c r="BQ1620">
        <v>0</v>
      </c>
      <c r="BR1620">
        <v>0</v>
      </c>
      <c r="BS1620">
        <v>0</v>
      </c>
      <c r="BT1620">
        <v>0</v>
      </c>
      <c r="BU1620">
        <v>0</v>
      </c>
      <c r="BV1620">
        <v>0</v>
      </c>
      <c r="BW1620" t="s">
        <v>0</v>
      </c>
      <c r="BX1620">
        <v>0</v>
      </c>
      <c r="BY1620">
        <v>0</v>
      </c>
      <c r="BZ1620">
        <v>0</v>
      </c>
      <c r="CA1620">
        <v>0</v>
      </c>
      <c r="CB1620" t="s">
        <v>145</v>
      </c>
    </row>
    <row r="1621" spans="67:80" x14ac:dyDescent="0.25">
      <c r="BO1621">
        <v>0</v>
      </c>
      <c r="BP1621">
        <v>0</v>
      </c>
      <c r="BQ1621">
        <v>0</v>
      </c>
      <c r="BR1621">
        <v>0</v>
      </c>
      <c r="BS1621">
        <v>0</v>
      </c>
      <c r="BT1621">
        <v>0</v>
      </c>
      <c r="BU1621">
        <v>0</v>
      </c>
      <c r="BV1621">
        <v>0</v>
      </c>
      <c r="BW1621" t="s">
        <v>0</v>
      </c>
      <c r="BX1621">
        <v>0</v>
      </c>
      <c r="BY1621">
        <v>0</v>
      </c>
      <c r="BZ1621">
        <v>0</v>
      </c>
      <c r="CA1621">
        <v>0</v>
      </c>
      <c r="CB1621" t="s">
        <v>145</v>
      </c>
    </row>
    <row r="1622" spans="67:80" x14ac:dyDescent="0.25">
      <c r="BO1622">
        <v>0</v>
      </c>
      <c r="BP1622">
        <v>0</v>
      </c>
      <c r="BQ1622">
        <v>0</v>
      </c>
      <c r="BR1622">
        <v>0</v>
      </c>
      <c r="BS1622">
        <v>0</v>
      </c>
      <c r="BT1622">
        <v>0</v>
      </c>
      <c r="BU1622">
        <v>0</v>
      </c>
      <c r="BV1622">
        <v>0</v>
      </c>
      <c r="BW1622" t="s">
        <v>0</v>
      </c>
      <c r="BX1622">
        <v>0</v>
      </c>
      <c r="BY1622">
        <v>0</v>
      </c>
      <c r="BZ1622">
        <v>0</v>
      </c>
      <c r="CA1622">
        <v>0</v>
      </c>
      <c r="CB1622" t="s">
        <v>145</v>
      </c>
    </row>
    <row r="1623" spans="67:80" x14ac:dyDescent="0.25">
      <c r="BO1623">
        <v>0</v>
      </c>
      <c r="BP1623">
        <v>0</v>
      </c>
      <c r="BQ1623">
        <v>0</v>
      </c>
      <c r="BR1623">
        <v>0</v>
      </c>
      <c r="BS1623">
        <v>0</v>
      </c>
      <c r="BT1623">
        <v>0</v>
      </c>
      <c r="BU1623">
        <v>0</v>
      </c>
      <c r="BV1623">
        <v>0</v>
      </c>
      <c r="BW1623" t="s">
        <v>0</v>
      </c>
      <c r="BX1623">
        <v>0</v>
      </c>
      <c r="BY1623">
        <v>0</v>
      </c>
      <c r="BZ1623">
        <v>0</v>
      </c>
      <c r="CA1623">
        <v>0</v>
      </c>
      <c r="CB1623" t="s">
        <v>145</v>
      </c>
    </row>
    <row r="1624" spans="67:80" x14ac:dyDescent="0.25">
      <c r="BO1624">
        <v>0</v>
      </c>
      <c r="BP1624">
        <v>0</v>
      </c>
      <c r="BQ1624">
        <v>0</v>
      </c>
      <c r="BR1624">
        <v>0</v>
      </c>
      <c r="BS1624">
        <v>0</v>
      </c>
      <c r="BT1624">
        <v>0</v>
      </c>
      <c r="BU1624">
        <v>0</v>
      </c>
      <c r="BV1624">
        <v>0</v>
      </c>
      <c r="BW1624" t="s">
        <v>0</v>
      </c>
      <c r="BX1624">
        <v>0</v>
      </c>
      <c r="BY1624">
        <v>0</v>
      </c>
      <c r="BZ1624">
        <v>0</v>
      </c>
      <c r="CA1624">
        <v>0</v>
      </c>
      <c r="CB1624" t="s">
        <v>145</v>
      </c>
    </row>
    <row r="1625" spans="67:80" x14ac:dyDescent="0.25">
      <c r="BO1625">
        <v>0</v>
      </c>
      <c r="BP1625">
        <v>0</v>
      </c>
      <c r="BQ1625">
        <v>0</v>
      </c>
      <c r="BR1625">
        <v>0</v>
      </c>
      <c r="BS1625">
        <v>0</v>
      </c>
      <c r="BT1625">
        <v>0</v>
      </c>
      <c r="BU1625">
        <v>0</v>
      </c>
      <c r="BV1625">
        <v>0</v>
      </c>
      <c r="BW1625" t="s">
        <v>0</v>
      </c>
      <c r="BX1625">
        <v>0</v>
      </c>
      <c r="BY1625">
        <v>0</v>
      </c>
      <c r="BZ1625">
        <v>0</v>
      </c>
      <c r="CA1625">
        <v>0</v>
      </c>
      <c r="CB1625" t="s">
        <v>145</v>
      </c>
    </row>
    <row r="1626" spans="67:80" x14ac:dyDescent="0.25">
      <c r="BO1626">
        <v>0</v>
      </c>
      <c r="BP1626">
        <v>0</v>
      </c>
      <c r="BQ1626">
        <v>0</v>
      </c>
      <c r="BR1626">
        <v>0</v>
      </c>
      <c r="BS1626">
        <v>0</v>
      </c>
      <c r="BT1626">
        <v>0</v>
      </c>
      <c r="BU1626">
        <v>0</v>
      </c>
      <c r="BV1626">
        <v>0</v>
      </c>
      <c r="BW1626" t="s">
        <v>0</v>
      </c>
      <c r="BX1626">
        <v>0</v>
      </c>
      <c r="BY1626">
        <v>0</v>
      </c>
      <c r="BZ1626">
        <v>0</v>
      </c>
      <c r="CA1626">
        <v>0</v>
      </c>
      <c r="CB1626" t="s">
        <v>145</v>
      </c>
    </row>
    <row r="1627" spans="67:80" x14ac:dyDescent="0.25">
      <c r="BO1627">
        <v>0</v>
      </c>
      <c r="BP1627">
        <v>0</v>
      </c>
      <c r="BQ1627">
        <v>0</v>
      </c>
      <c r="BR1627">
        <v>0</v>
      </c>
      <c r="BS1627">
        <v>0</v>
      </c>
      <c r="BT1627">
        <v>0</v>
      </c>
      <c r="BU1627">
        <v>0</v>
      </c>
      <c r="BV1627">
        <v>0</v>
      </c>
      <c r="BW1627" t="s">
        <v>0</v>
      </c>
      <c r="BX1627">
        <v>0</v>
      </c>
      <c r="BY1627">
        <v>0</v>
      </c>
      <c r="BZ1627">
        <v>0</v>
      </c>
      <c r="CA1627">
        <v>0</v>
      </c>
      <c r="CB1627" t="s">
        <v>145</v>
      </c>
    </row>
    <row r="1628" spans="67:80" x14ac:dyDescent="0.25">
      <c r="BO1628">
        <v>0</v>
      </c>
      <c r="BP1628">
        <v>0</v>
      </c>
      <c r="BQ1628">
        <v>0</v>
      </c>
      <c r="BR1628">
        <v>0</v>
      </c>
      <c r="BS1628">
        <v>0</v>
      </c>
      <c r="BT1628">
        <v>0</v>
      </c>
      <c r="BU1628">
        <v>0</v>
      </c>
      <c r="BV1628">
        <v>0</v>
      </c>
      <c r="BW1628" t="s">
        <v>0</v>
      </c>
      <c r="BX1628">
        <v>0</v>
      </c>
      <c r="BY1628">
        <v>0</v>
      </c>
      <c r="BZ1628">
        <v>0</v>
      </c>
      <c r="CA1628">
        <v>0</v>
      </c>
      <c r="CB1628" t="s">
        <v>145</v>
      </c>
    </row>
    <row r="1629" spans="67:80" x14ac:dyDescent="0.25">
      <c r="BO1629">
        <v>0</v>
      </c>
      <c r="BP1629">
        <v>0</v>
      </c>
      <c r="BQ1629">
        <v>0</v>
      </c>
      <c r="BR1629">
        <v>0</v>
      </c>
      <c r="BS1629">
        <v>0</v>
      </c>
      <c r="BT1629">
        <v>0</v>
      </c>
      <c r="BU1629">
        <v>0</v>
      </c>
      <c r="BV1629">
        <v>0</v>
      </c>
      <c r="BW1629" t="s">
        <v>0</v>
      </c>
      <c r="BX1629">
        <v>0</v>
      </c>
      <c r="BY1629">
        <v>0</v>
      </c>
      <c r="BZ1629">
        <v>0</v>
      </c>
      <c r="CA1629">
        <v>0</v>
      </c>
      <c r="CB1629" t="s">
        <v>145</v>
      </c>
    </row>
    <row r="1630" spans="67:80" x14ac:dyDescent="0.25">
      <c r="BO1630">
        <v>0</v>
      </c>
      <c r="BP1630">
        <v>0</v>
      </c>
      <c r="BQ1630">
        <v>0</v>
      </c>
      <c r="BR1630">
        <v>0</v>
      </c>
      <c r="BS1630">
        <v>0</v>
      </c>
      <c r="BT1630">
        <v>0</v>
      </c>
      <c r="BU1630">
        <v>0</v>
      </c>
      <c r="BV1630">
        <v>0</v>
      </c>
      <c r="BW1630" t="s">
        <v>0</v>
      </c>
      <c r="BX1630">
        <v>0</v>
      </c>
      <c r="BY1630">
        <v>0</v>
      </c>
      <c r="BZ1630">
        <v>0</v>
      </c>
      <c r="CA1630">
        <v>0</v>
      </c>
      <c r="CB1630" t="s">
        <v>145</v>
      </c>
    </row>
    <row r="1631" spans="67:80" x14ac:dyDescent="0.25">
      <c r="BO1631">
        <v>0</v>
      </c>
      <c r="BP1631">
        <v>0</v>
      </c>
      <c r="BQ1631">
        <v>0</v>
      </c>
      <c r="BR1631">
        <v>0</v>
      </c>
      <c r="BS1631">
        <v>0</v>
      </c>
      <c r="BT1631">
        <v>0</v>
      </c>
      <c r="BU1631">
        <v>0</v>
      </c>
      <c r="BV1631">
        <v>0</v>
      </c>
      <c r="BW1631" t="s">
        <v>0</v>
      </c>
      <c r="BX1631">
        <v>0</v>
      </c>
      <c r="BY1631">
        <v>0</v>
      </c>
      <c r="BZ1631">
        <v>0</v>
      </c>
      <c r="CA1631">
        <v>0</v>
      </c>
      <c r="CB1631" t="s">
        <v>145</v>
      </c>
    </row>
    <row r="1632" spans="67:80" x14ac:dyDescent="0.25">
      <c r="BO1632">
        <v>0</v>
      </c>
      <c r="BP1632">
        <v>0</v>
      </c>
      <c r="BQ1632">
        <v>0</v>
      </c>
      <c r="BR1632">
        <v>0</v>
      </c>
      <c r="BS1632">
        <v>0</v>
      </c>
      <c r="BT1632">
        <v>0</v>
      </c>
      <c r="BU1632">
        <v>0</v>
      </c>
      <c r="BV1632">
        <v>0</v>
      </c>
      <c r="BW1632" t="s">
        <v>0</v>
      </c>
      <c r="BX1632">
        <v>0</v>
      </c>
      <c r="BY1632">
        <v>0</v>
      </c>
      <c r="BZ1632">
        <v>0</v>
      </c>
      <c r="CA1632">
        <v>0</v>
      </c>
      <c r="CB1632" t="s">
        <v>145</v>
      </c>
    </row>
    <row r="1633" spans="67:80" x14ac:dyDescent="0.25">
      <c r="BO1633">
        <v>0</v>
      </c>
      <c r="BP1633">
        <v>0</v>
      </c>
      <c r="BQ1633">
        <v>0</v>
      </c>
      <c r="BR1633">
        <v>0</v>
      </c>
      <c r="BS1633">
        <v>0</v>
      </c>
      <c r="BT1633">
        <v>0</v>
      </c>
      <c r="BU1633">
        <v>0</v>
      </c>
      <c r="BV1633">
        <v>0</v>
      </c>
      <c r="BW1633" t="s">
        <v>0</v>
      </c>
      <c r="BX1633">
        <v>0</v>
      </c>
      <c r="BY1633">
        <v>0</v>
      </c>
      <c r="BZ1633">
        <v>0</v>
      </c>
      <c r="CA1633">
        <v>0</v>
      </c>
      <c r="CB1633" t="s">
        <v>145</v>
      </c>
    </row>
    <row r="1634" spans="67:80" x14ac:dyDescent="0.25">
      <c r="BO1634">
        <v>0</v>
      </c>
      <c r="BP1634">
        <v>0</v>
      </c>
      <c r="BQ1634">
        <v>0</v>
      </c>
      <c r="BR1634">
        <v>0</v>
      </c>
      <c r="BS1634">
        <v>0</v>
      </c>
      <c r="BT1634">
        <v>0</v>
      </c>
      <c r="BU1634">
        <v>0</v>
      </c>
      <c r="BV1634">
        <v>0</v>
      </c>
      <c r="BW1634" t="s">
        <v>0</v>
      </c>
      <c r="BX1634">
        <v>0</v>
      </c>
      <c r="BY1634">
        <v>0</v>
      </c>
      <c r="BZ1634">
        <v>0</v>
      </c>
      <c r="CA1634">
        <v>0</v>
      </c>
      <c r="CB1634" t="s">
        <v>145</v>
      </c>
    </row>
    <row r="1635" spans="67:80" x14ac:dyDescent="0.25">
      <c r="BO1635">
        <v>0</v>
      </c>
      <c r="BP1635">
        <v>0</v>
      </c>
      <c r="BQ1635">
        <v>0</v>
      </c>
      <c r="BR1635">
        <v>0</v>
      </c>
      <c r="BS1635">
        <v>0</v>
      </c>
      <c r="BT1635">
        <v>0</v>
      </c>
      <c r="BU1635">
        <v>0</v>
      </c>
      <c r="BV1635">
        <v>0</v>
      </c>
      <c r="BW1635" t="s">
        <v>0</v>
      </c>
      <c r="BX1635">
        <v>0</v>
      </c>
      <c r="BY1635">
        <v>0</v>
      </c>
      <c r="BZ1635">
        <v>0</v>
      </c>
      <c r="CA1635">
        <v>0</v>
      </c>
      <c r="CB1635" t="s">
        <v>145</v>
      </c>
    </row>
    <row r="1636" spans="67:80" x14ac:dyDescent="0.25">
      <c r="BO1636">
        <v>0</v>
      </c>
      <c r="BP1636">
        <v>0</v>
      </c>
      <c r="BQ1636">
        <v>0</v>
      </c>
      <c r="BR1636">
        <v>0</v>
      </c>
      <c r="BS1636">
        <v>0</v>
      </c>
      <c r="BT1636">
        <v>0</v>
      </c>
      <c r="BU1636">
        <v>0</v>
      </c>
      <c r="BV1636">
        <v>0</v>
      </c>
      <c r="BW1636" t="s">
        <v>0</v>
      </c>
      <c r="BX1636">
        <v>0</v>
      </c>
      <c r="BY1636">
        <v>0</v>
      </c>
      <c r="BZ1636">
        <v>0</v>
      </c>
      <c r="CA1636">
        <v>0</v>
      </c>
      <c r="CB1636" t="s">
        <v>145</v>
      </c>
    </row>
    <row r="1637" spans="67:80" x14ac:dyDescent="0.25">
      <c r="BO1637">
        <v>0</v>
      </c>
      <c r="BP1637">
        <v>0</v>
      </c>
      <c r="BQ1637">
        <v>0</v>
      </c>
      <c r="BR1637">
        <v>0</v>
      </c>
      <c r="BS1637">
        <v>0</v>
      </c>
      <c r="BT1637">
        <v>0</v>
      </c>
      <c r="BU1637">
        <v>0</v>
      </c>
      <c r="BV1637">
        <v>0</v>
      </c>
      <c r="BW1637" t="s">
        <v>0</v>
      </c>
      <c r="BX1637">
        <v>0</v>
      </c>
      <c r="BY1637">
        <v>0</v>
      </c>
      <c r="BZ1637">
        <v>0</v>
      </c>
      <c r="CA1637">
        <v>0</v>
      </c>
      <c r="CB1637" t="s">
        <v>145</v>
      </c>
    </row>
    <row r="1638" spans="67:80" x14ac:dyDescent="0.25">
      <c r="BO1638">
        <v>0</v>
      </c>
      <c r="BP1638">
        <v>0</v>
      </c>
      <c r="BQ1638">
        <v>0</v>
      </c>
      <c r="BR1638">
        <v>0</v>
      </c>
      <c r="BS1638">
        <v>0</v>
      </c>
      <c r="BT1638">
        <v>0</v>
      </c>
      <c r="BU1638">
        <v>0</v>
      </c>
      <c r="BV1638">
        <v>0</v>
      </c>
      <c r="BW1638" t="s">
        <v>0</v>
      </c>
      <c r="BX1638">
        <v>0</v>
      </c>
      <c r="BY1638">
        <v>0</v>
      </c>
      <c r="BZ1638">
        <v>0</v>
      </c>
      <c r="CA1638">
        <v>0</v>
      </c>
      <c r="CB1638" t="s">
        <v>145</v>
      </c>
    </row>
    <row r="1639" spans="67:80" x14ac:dyDescent="0.25">
      <c r="BO1639">
        <v>0</v>
      </c>
      <c r="BP1639">
        <v>0</v>
      </c>
      <c r="BQ1639">
        <v>0</v>
      </c>
      <c r="BR1639">
        <v>0</v>
      </c>
      <c r="BS1639">
        <v>0</v>
      </c>
      <c r="BT1639">
        <v>0</v>
      </c>
      <c r="BU1639">
        <v>0</v>
      </c>
      <c r="BV1639">
        <v>0</v>
      </c>
      <c r="BW1639" t="s">
        <v>0</v>
      </c>
      <c r="BX1639">
        <v>0</v>
      </c>
      <c r="BY1639">
        <v>0</v>
      </c>
      <c r="BZ1639">
        <v>0</v>
      </c>
      <c r="CA1639">
        <v>0</v>
      </c>
      <c r="CB1639" t="s">
        <v>145</v>
      </c>
    </row>
    <row r="1640" spans="67:80" x14ac:dyDescent="0.25">
      <c r="BO1640">
        <v>0</v>
      </c>
      <c r="BP1640">
        <v>0</v>
      </c>
      <c r="BQ1640">
        <v>0</v>
      </c>
      <c r="BR1640">
        <v>0</v>
      </c>
      <c r="BS1640">
        <v>0</v>
      </c>
      <c r="BT1640">
        <v>0</v>
      </c>
      <c r="BU1640">
        <v>0</v>
      </c>
      <c r="BV1640">
        <v>0</v>
      </c>
      <c r="BW1640" t="s">
        <v>0</v>
      </c>
      <c r="BX1640">
        <v>0</v>
      </c>
      <c r="BY1640">
        <v>0</v>
      </c>
      <c r="BZ1640">
        <v>0</v>
      </c>
      <c r="CA1640">
        <v>0</v>
      </c>
      <c r="CB1640" t="s">
        <v>145</v>
      </c>
    </row>
    <row r="1641" spans="67:80" x14ac:dyDescent="0.25">
      <c r="BO1641">
        <v>0</v>
      </c>
      <c r="BP1641">
        <v>0</v>
      </c>
      <c r="BQ1641">
        <v>0</v>
      </c>
      <c r="BR1641">
        <v>0</v>
      </c>
      <c r="BS1641">
        <v>0</v>
      </c>
      <c r="BT1641">
        <v>0</v>
      </c>
      <c r="BU1641">
        <v>0</v>
      </c>
      <c r="BV1641">
        <v>0</v>
      </c>
      <c r="BW1641" t="s">
        <v>0</v>
      </c>
      <c r="BX1641">
        <v>0</v>
      </c>
      <c r="BY1641">
        <v>0</v>
      </c>
      <c r="BZ1641">
        <v>0</v>
      </c>
      <c r="CA1641">
        <v>0</v>
      </c>
      <c r="CB1641" t="s">
        <v>145</v>
      </c>
    </row>
    <row r="1642" spans="67:80" x14ac:dyDescent="0.25">
      <c r="BO1642">
        <v>0</v>
      </c>
      <c r="BP1642">
        <v>0</v>
      </c>
      <c r="BQ1642">
        <v>0</v>
      </c>
      <c r="BR1642">
        <v>0</v>
      </c>
      <c r="BS1642">
        <v>0</v>
      </c>
      <c r="BT1642">
        <v>0</v>
      </c>
      <c r="BU1642">
        <v>0</v>
      </c>
      <c r="BV1642">
        <v>0</v>
      </c>
      <c r="BW1642" t="s">
        <v>0</v>
      </c>
      <c r="BX1642">
        <v>0</v>
      </c>
      <c r="BY1642">
        <v>0</v>
      </c>
      <c r="BZ1642">
        <v>0</v>
      </c>
      <c r="CA1642">
        <v>0</v>
      </c>
      <c r="CB1642" t="s">
        <v>145</v>
      </c>
    </row>
    <row r="1643" spans="67:80" x14ac:dyDescent="0.25">
      <c r="BO1643">
        <v>0</v>
      </c>
      <c r="BP1643">
        <v>0</v>
      </c>
      <c r="BQ1643">
        <v>0</v>
      </c>
      <c r="BR1643">
        <v>0</v>
      </c>
      <c r="BS1643">
        <v>0</v>
      </c>
      <c r="BT1643">
        <v>0</v>
      </c>
      <c r="BU1643">
        <v>0</v>
      </c>
      <c r="BV1643">
        <v>0</v>
      </c>
      <c r="BW1643" t="s">
        <v>0</v>
      </c>
      <c r="BX1643">
        <v>0</v>
      </c>
      <c r="BY1643">
        <v>0</v>
      </c>
      <c r="BZ1643">
        <v>0</v>
      </c>
      <c r="CA1643">
        <v>0</v>
      </c>
      <c r="CB1643" t="s">
        <v>145</v>
      </c>
    </row>
    <row r="1644" spans="67:80" x14ac:dyDescent="0.25">
      <c r="BO1644">
        <v>0</v>
      </c>
      <c r="BP1644">
        <v>0</v>
      </c>
      <c r="BQ1644">
        <v>0</v>
      </c>
      <c r="BR1644">
        <v>0</v>
      </c>
      <c r="BS1644">
        <v>0</v>
      </c>
      <c r="BT1644">
        <v>0</v>
      </c>
      <c r="BU1644">
        <v>0</v>
      </c>
      <c r="BV1644">
        <v>0</v>
      </c>
      <c r="BW1644" t="s">
        <v>0</v>
      </c>
      <c r="BX1644">
        <v>0</v>
      </c>
      <c r="BY1644">
        <v>0</v>
      </c>
      <c r="BZ1644">
        <v>0</v>
      </c>
      <c r="CA1644">
        <v>0</v>
      </c>
      <c r="CB1644" t="s">
        <v>145</v>
      </c>
    </row>
    <row r="1645" spans="67:80" x14ac:dyDescent="0.25">
      <c r="BO1645">
        <v>0</v>
      </c>
      <c r="BP1645">
        <v>0</v>
      </c>
      <c r="BQ1645">
        <v>0</v>
      </c>
      <c r="BR1645">
        <v>0</v>
      </c>
      <c r="BS1645">
        <v>0</v>
      </c>
      <c r="BT1645">
        <v>0</v>
      </c>
      <c r="BU1645">
        <v>0</v>
      </c>
      <c r="BV1645">
        <v>0</v>
      </c>
      <c r="BW1645" t="s">
        <v>0</v>
      </c>
      <c r="BX1645">
        <v>0</v>
      </c>
      <c r="BY1645">
        <v>0</v>
      </c>
      <c r="BZ1645">
        <v>0</v>
      </c>
      <c r="CA1645">
        <v>0</v>
      </c>
      <c r="CB1645" t="s">
        <v>145</v>
      </c>
    </row>
    <row r="1646" spans="67:80" x14ac:dyDescent="0.25">
      <c r="BO1646">
        <v>0</v>
      </c>
      <c r="BP1646">
        <v>0</v>
      </c>
      <c r="BQ1646">
        <v>0</v>
      </c>
      <c r="BR1646">
        <v>0</v>
      </c>
      <c r="BS1646">
        <v>0</v>
      </c>
      <c r="BT1646">
        <v>0</v>
      </c>
      <c r="BU1646">
        <v>0</v>
      </c>
      <c r="BV1646">
        <v>0</v>
      </c>
      <c r="BW1646" t="s">
        <v>0</v>
      </c>
      <c r="BX1646">
        <v>0</v>
      </c>
      <c r="BY1646">
        <v>0</v>
      </c>
      <c r="BZ1646">
        <v>0</v>
      </c>
      <c r="CA1646">
        <v>0</v>
      </c>
      <c r="CB1646" t="s">
        <v>145</v>
      </c>
    </row>
    <row r="1647" spans="67:80" x14ac:dyDescent="0.25">
      <c r="BO1647">
        <v>0</v>
      </c>
      <c r="BP1647">
        <v>0</v>
      </c>
      <c r="BQ1647">
        <v>0</v>
      </c>
      <c r="BR1647">
        <v>0</v>
      </c>
      <c r="BS1647">
        <v>0</v>
      </c>
      <c r="BT1647">
        <v>0</v>
      </c>
      <c r="BU1647">
        <v>0</v>
      </c>
      <c r="BV1647">
        <v>0</v>
      </c>
      <c r="BW1647" t="s">
        <v>0</v>
      </c>
      <c r="BX1647">
        <v>0</v>
      </c>
      <c r="BY1647">
        <v>0</v>
      </c>
      <c r="BZ1647">
        <v>0</v>
      </c>
      <c r="CA1647">
        <v>0</v>
      </c>
      <c r="CB1647" t="s">
        <v>145</v>
      </c>
    </row>
    <row r="1648" spans="67:80" x14ac:dyDescent="0.25">
      <c r="BO1648">
        <v>0</v>
      </c>
      <c r="BP1648">
        <v>0</v>
      </c>
      <c r="BQ1648">
        <v>0</v>
      </c>
      <c r="BR1648">
        <v>0</v>
      </c>
      <c r="BS1648">
        <v>0</v>
      </c>
      <c r="BT1648">
        <v>0</v>
      </c>
      <c r="BU1648">
        <v>0</v>
      </c>
      <c r="BV1648">
        <v>0</v>
      </c>
      <c r="BW1648" t="s">
        <v>0</v>
      </c>
      <c r="BX1648">
        <v>0</v>
      </c>
      <c r="BY1648">
        <v>0</v>
      </c>
      <c r="BZ1648">
        <v>0</v>
      </c>
      <c r="CA1648">
        <v>0</v>
      </c>
      <c r="CB1648" t="s">
        <v>145</v>
      </c>
    </row>
    <row r="1649" spans="37:80" x14ac:dyDescent="0.25">
      <c r="BO1649">
        <v>0</v>
      </c>
      <c r="BP1649">
        <v>0</v>
      </c>
      <c r="BQ1649">
        <v>0</v>
      </c>
      <c r="BR1649">
        <v>0</v>
      </c>
      <c r="BS1649">
        <v>0</v>
      </c>
      <c r="BT1649">
        <v>0</v>
      </c>
      <c r="BU1649">
        <v>0</v>
      </c>
      <c r="BV1649">
        <v>0</v>
      </c>
      <c r="BW1649" t="s">
        <v>0</v>
      </c>
      <c r="BX1649">
        <v>0</v>
      </c>
      <c r="BY1649">
        <v>0</v>
      </c>
      <c r="BZ1649">
        <v>0</v>
      </c>
      <c r="CA1649">
        <v>0</v>
      </c>
      <c r="CB1649" t="s">
        <v>145</v>
      </c>
    </row>
    <row r="1650" spans="37:80" x14ac:dyDescent="0.25">
      <c r="BO1650">
        <v>0</v>
      </c>
      <c r="BP1650">
        <v>0</v>
      </c>
      <c r="BQ1650">
        <v>0</v>
      </c>
      <c r="BR1650">
        <v>0</v>
      </c>
      <c r="BS1650">
        <v>0</v>
      </c>
      <c r="BT1650">
        <v>0</v>
      </c>
      <c r="BU1650">
        <v>0</v>
      </c>
      <c r="BV1650">
        <v>0</v>
      </c>
      <c r="BW1650" t="s">
        <v>0</v>
      </c>
      <c r="BX1650">
        <v>0</v>
      </c>
      <c r="BY1650">
        <v>0</v>
      </c>
      <c r="BZ1650">
        <v>0</v>
      </c>
      <c r="CA1650">
        <v>0</v>
      </c>
      <c r="CB1650" t="s">
        <v>145</v>
      </c>
    </row>
    <row r="1651" spans="37:80" x14ac:dyDescent="0.25">
      <c r="AK1651" s="11"/>
      <c r="BO1651">
        <v>0</v>
      </c>
      <c r="BP1651">
        <v>0</v>
      </c>
      <c r="BQ1651">
        <v>0</v>
      </c>
      <c r="BR1651">
        <v>0</v>
      </c>
      <c r="BS1651">
        <v>0</v>
      </c>
      <c r="BT1651">
        <v>0</v>
      </c>
      <c r="BU1651">
        <v>0</v>
      </c>
      <c r="BV1651">
        <v>0</v>
      </c>
      <c r="BW1651" t="s">
        <v>0</v>
      </c>
      <c r="BX1651">
        <v>0</v>
      </c>
      <c r="BY1651">
        <v>0</v>
      </c>
      <c r="BZ1651">
        <v>0</v>
      </c>
      <c r="CA1651">
        <v>0</v>
      </c>
      <c r="CB1651" t="s">
        <v>145</v>
      </c>
    </row>
    <row r="1652" spans="37:80" x14ac:dyDescent="0.25">
      <c r="AY1652" s="8"/>
      <c r="BO1652">
        <v>0</v>
      </c>
      <c r="BP1652">
        <v>0</v>
      </c>
      <c r="BQ1652">
        <v>0</v>
      </c>
      <c r="BR1652">
        <v>0</v>
      </c>
      <c r="BS1652">
        <v>0</v>
      </c>
      <c r="BT1652">
        <v>0</v>
      </c>
      <c r="BU1652">
        <v>0</v>
      </c>
      <c r="BV1652">
        <v>0</v>
      </c>
      <c r="BW1652" t="s">
        <v>0</v>
      </c>
      <c r="BX1652">
        <v>0</v>
      </c>
      <c r="BY1652">
        <v>0</v>
      </c>
      <c r="BZ1652">
        <v>0</v>
      </c>
      <c r="CA1652">
        <v>0</v>
      </c>
      <c r="CB1652" t="s">
        <v>145</v>
      </c>
    </row>
    <row r="1653" spans="37:80" x14ac:dyDescent="0.25">
      <c r="BO1653">
        <v>0</v>
      </c>
      <c r="BP1653">
        <v>0</v>
      </c>
      <c r="BQ1653">
        <v>0</v>
      </c>
      <c r="BR1653">
        <v>0</v>
      </c>
      <c r="BS1653">
        <v>0</v>
      </c>
      <c r="BT1653">
        <v>0</v>
      </c>
      <c r="BU1653">
        <v>0</v>
      </c>
      <c r="BV1653">
        <v>0</v>
      </c>
      <c r="BW1653" t="s">
        <v>0</v>
      </c>
      <c r="BX1653">
        <v>0</v>
      </c>
      <c r="BY1653">
        <v>0</v>
      </c>
      <c r="BZ1653">
        <v>0</v>
      </c>
      <c r="CA1653">
        <v>0</v>
      </c>
      <c r="CB1653" t="s">
        <v>145</v>
      </c>
    </row>
    <row r="1654" spans="37:80" x14ac:dyDescent="0.25">
      <c r="BO1654">
        <v>0</v>
      </c>
      <c r="BP1654">
        <v>0</v>
      </c>
      <c r="BQ1654">
        <v>0</v>
      </c>
      <c r="BR1654">
        <v>0</v>
      </c>
      <c r="BS1654">
        <v>0</v>
      </c>
      <c r="BT1654">
        <v>0</v>
      </c>
      <c r="BU1654">
        <v>0</v>
      </c>
      <c r="BV1654">
        <v>0</v>
      </c>
      <c r="BW1654" t="s">
        <v>0</v>
      </c>
      <c r="BX1654">
        <v>0</v>
      </c>
      <c r="BY1654">
        <v>0</v>
      </c>
      <c r="BZ1654">
        <v>0</v>
      </c>
      <c r="CA1654">
        <v>0</v>
      </c>
      <c r="CB1654" t="s">
        <v>145</v>
      </c>
    </row>
    <row r="1655" spans="37:80" x14ac:dyDescent="0.25">
      <c r="BO1655">
        <v>0</v>
      </c>
      <c r="BP1655">
        <v>0</v>
      </c>
      <c r="BQ1655">
        <v>0</v>
      </c>
      <c r="BR1655">
        <v>0</v>
      </c>
      <c r="BS1655">
        <v>0</v>
      </c>
      <c r="BT1655">
        <v>0</v>
      </c>
      <c r="BU1655">
        <v>0</v>
      </c>
      <c r="BV1655">
        <v>0</v>
      </c>
      <c r="BW1655" t="s">
        <v>0</v>
      </c>
      <c r="BX1655">
        <v>0</v>
      </c>
      <c r="BY1655">
        <v>0</v>
      </c>
      <c r="BZ1655">
        <v>0</v>
      </c>
      <c r="CA1655">
        <v>0</v>
      </c>
      <c r="CB1655" t="s">
        <v>145</v>
      </c>
    </row>
    <row r="1656" spans="37:80" x14ac:dyDescent="0.25">
      <c r="BO1656">
        <v>0</v>
      </c>
      <c r="BP1656">
        <v>0</v>
      </c>
      <c r="BQ1656">
        <v>0</v>
      </c>
      <c r="BR1656">
        <v>0</v>
      </c>
      <c r="BS1656">
        <v>0</v>
      </c>
      <c r="BT1656">
        <v>0</v>
      </c>
      <c r="BU1656">
        <v>0</v>
      </c>
      <c r="BV1656">
        <v>0</v>
      </c>
      <c r="BW1656" t="s">
        <v>0</v>
      </c>
      <c r="BX1656">
        <v>0</v>
      </c>
      <c r="BY1656">
        <v>0</v>
      </c>
      <c r="BZ1656">
        <v>0</v>
      </c>
      <c r="CA1656">
        <v>0</v>
      </c>
      <c r="CB1656" t="s">
        <v>145</v>
      </c>
    </row>
    <row r="1657" spans="37:80" x14ac:dyDescent="0.25">
      <c r="BO1657">
        <v>0</v>
      </c>
      <c r="BP1657">
        <v>0</v>
      </c>
      <c r="BQ1657">
        <v>0</v>
      </c>
      <c r="BR1657">
        <v>0</v>
      </c>
      <c r="BS1657">
        <v>0</v>
      </c>
      <c r="BT1657">
        <v>0</v>
      </c>
      <c r="BU1657">
        <v>0</v>
      </c>
      <c r="BV1657">
        <v>0</v>
      </c>
      <c r="BW1657" t="s">
        <v>0</v>
      </c>
      <c r="BX1657">
        <v>0</v>
      </c>
      <c r="BY1657">
        <v>0</v>
      </c>
      <c r="BZ1657">
        <v>0</v>
      </c>
      <c r="CA1657">
        <v>0</v>
      </c>
      <c r="CB1657" t="s">
        <v>145</v>
      </c>
    </row>
    <row r="1658" spans="37:80" x14ac:dyDescent="0.25">
      <c r="BO1658">
        <v>0</v>
      </c>
      <c r="BP1658">
        <v>0</v>
      </c>
      <c r="BQ1658">
        <v>0</v>
      </c>
      <c r="BR1658">
        <v>0</v>
      </c>
      <c r="BS1658">
        <v>0</v>
      </c>
      <c r="BT1658">
        <v>0</v>
      </c>
      <c r="BU1658">
        <v>0</v>
      </c>
      <c r="BV1658">
        <v>0</v>
      </c>
      <c r="BW1658" t="s">
        <v>0</v>
      </c>
      <c r="BX1658">
        <v>0</v>
      </c>
      <c r="BY1658">
        <v>0</v>
      </c>
      <c r="BZ1658">
        <v>0</v>
      </c>
      <c r="CA1658">
        <v>0</v>
      </c>
      <c r="CB1658" t="s">
        <v>145</v>
      </c>
    </row>
    <row r="1659" spans="37:80" x14ac:dyDescent="0.25">
      <c r="BO1659">
        <v>0</v>
      </c>
      <c r="BP1659">
        <v>0</v>
      </c>
      <c r="BQ1659">
        <v>0</v>
      </c>
      <c r="BR1659">
        <v>0</v>
      </c>
      <c r="BS1659">
        <v>0</v>
      </c>
      <c r="BT1659">
        <v>0</v>
      </c>
      <c r="BU1659">
        <v>0</v>
      </c>
      <c r="BV1659">
        <v>0</v>
      </c>
      <c r="BW1659" t="s">
        <v>0</v>
      </c>
      <c r="BX1659">
        <v>0</v>
      </c>
      <c r="BY1659">
        <v>0</v>
      </c>
      <c r="BZ1659">
        <v>0</v>
      </c>
      <c r="CA1659">
        <v>0</v>
      </c>
      <c r="CB1659" t="s">
        <v>145</v>
      </c>
    </row>
    <row r="1660" spans="37:80" x14ac:dyDescent="0.25">
      <c r="BO1660">
        <v>0</v>
      </c>
      <c r="BP1660">
        <v>0</v>
      </c>
      <c r="BQ1660">
        <v>0</v>
      </c>
      <c r="BR1660">
        <v>0</v>
      </c>
      <c r="BS1660">
        <v>0</v>
      </c>
      <c r="BT1660">
        <v>0</v>
      </c>
      <c r="BU1660">
        <v>0</v>
      </c>
      <c r="BV1660">
        <v>0</v>
      </c>
      <c r="BW1660" t="s">
        <v>0</v>
      </c>
      <c r="BX1660">
        <v>0</v>
      </c>
      <c r="BY1660">
        <v>0</v>
      </c>
      <c r="BZ1660">
        <v>0</v>
      </c>
      <c r="CA1660">
        <v>0</v>
      </c>
      <c r="CB1660" t="s">
        <v>145</v>
      </c>
    </row>
    <row r="1661" spans="37:80" x14ac:dyDescent="0.25">
      <c r="BO1661">
        <v>0</v>
      </c>
      <c r="BP1661">
        <v>0</v>
      </c>
      <c r="BQ1661">
        <v>0</v>
      </c>
      <c r="BR1661">
        <v>0</v>
      </c>
      <c r="BS1661">
        <v>0</v>
      </c>
      <c r="BT1661">
        <v>0</v>
      </c>
      <c r="BU1661">
        <v>0</v>
      </c>
      <c r="BV1661">
        <v>0</v>
      </c>
      <c r="BW1661" t="s">
        <v>0</v>
      </c>
      <c r="BX1661">
        <v>0</v>
      </c>
      <c r="BY1661">
        <v>0</v>
      </c>
      <c r="BZ1661">
        <v>0</v>
      </c>
      <c r="CA1661">
        <v>0</v>
      </c>
      <c r="CB1661" t="s">
        <v>145</v>
      </c>
    </row>
    <row r="1662" spans="37:80" x14ac:dyDescent="0.25">
      <c r="BO1662">
        <v>0</v>
      </c>
      <c r="BP1662">
        <v>0</v>
      </c>
      <c r="BQ1662">
        <v>0</v>
      </c>
      <c r="BR1662">
        <v>0</v>
      </c>
      <c r="BS1662">
        <v>0</v>
      </c>
      <c r="BT1662">
        <v>0</v>
      </c>
      <c r="BU1662">
        <v>0</v>
      </c>
      <c r="BV1662">
        <v>0</v>
      </c>
      <c r="BW1662" t="s">
        <v>0</v>
      </c>
      <c r="BX1662">
        <v>0</v>
      </c>
      <c r="BY1662">
        <v>0</v>
      </c>
      <c r="BZ1662">
        <v>0</v>
      </c>
      <c r="CA1662">
        <v>0</v>
      </c>
      <c r="CB1662" t="s">
        <v>145</v>
      </c>
    </row>
    <row r="1663" spans="37:80" x14ac:dyDescent="0.25">
      <c r="BO1663">
        <v>0</v>
      </c>
      <c r="BP1663">
        <v>0</v>
      </c>
      <c r="BQ1663">
        <v>0</v>
      </c>
      <c r="BR1663">
        <v>0</v>
      </c>
      <c r="BS1663">
        <v>0</v>
      </c>
      <c r="BT1663">
        <v>0</v>
      </c>
      <c r="BU1663">
        <v>0</v>
      </c>
      <c r="BV1663">
        <v>0</v>
      </c>
      <c r="BW1663" t="s">
        <v>0</v>
      </c>
      <c r="BX1663">
        <v>0</v>
      </c>
      <c r="BY1663">
        <v>0</v>
      </c>
      <c r="BZ1663">
        <v>0</v>
      </c>
      <c r="CA1663">
        <v>0</v>
      </c>
      <c r="CB1663" t="s">
        <v>145</v>
      </c>
    </row>
    <row r="1664" spans="37:80" x14ac:dyDescent="0.25">
      <c r="BO1664">
        <v>0</v>
      </c>
      <c r="BP1664">
        <v>0</v>
      </c>
      <c r="BQ1664">
        <v>0</v>
      </c>
      <c r="BR1664">
        <v>0</v>
      </c>
      <c r="BS1664">
        <v>0</v>
      </c>
      <c r="BT1664">
        <v>0</v>
      </c>
      <c r="BU1664">
        <v>0</v>
      </c>
      <c r="BV1664">
        <v>0</v>
      </c>
      <c r="BW1664" t="s">
        <v>0</v>
      </c>
      <c r="BX1664">
        <v>0</v>
      </c>
      <c r="BY1664">
        <v>0</v>
      </c>
      <c r="BZ1664">
        <v>0</v>
      </c>
      <c r="CA1664">
        <v>0</v>
      </c>
      <c r="CB1664" t="s">
        <v>145</v>
      </c>
    </row>
    <row r="1665" spans="9:80" x14ac:dyDescent="0.25">
      <c r="I1665" s="8"/>
      <c r="BO1665">
        <v>0</v>
      </c>
      <c r="BP1665">
        <v>0</v>
      </c>
      <c r="BQ1665">
        <v>0</v>
      </c>
      <c r="BR1665">
        <v>0</v>
      </c>
      <c r="BS1665">
        <v>0</v>
      </c>
      <c r="BT1665">
        <v>0</v>
      </c>
      <c r="BU1665">
        <v>0</v>
      </c>
      <c r="BV1665">
        <v>0</v>
      </c>
      <c r="BW1665" t="s">
        <v>0</v>
      </c>
      <c r="BX1665">
        <v>0</v>
      </c>
      <c r="BY1665">
        <v>0</v>
      </c>
      <c r="BZ1665">
        <v>0</v>
      </c>
      <c r="CA1665">
        <v>0</v>
      </c>
      <c r="CB1665" t="s">
        <v>145</v>
      </c>
    </row>
    <row r="1666" spans="9:80" x14ac:dyDescent="0.25">
      <c r="BO1666">
        <v>0</v>
      </c>
      <c r="BP1666">
        <v>0</v>
      </c>
      <c r="BQ1666">
        <v>0</v>
      </c>
      <c r="BR1666">
        <v>0</v>
      </c>
      <c r="BS1666">
        <v>0</v>
      </c>
      <c r="BT1666">
        <v>0</v>
      </c>
      <c r="BU1666">
        <v>0</v>
      </c>
      <c r="BV1666">
        <v>0</v>
      </c>
      <c r="BW1666" t="s">
        <v>0</v>
      </c>
      <c r="BX1666">
        <v>0</v>
      </c>
      <c r="BY1666">
        <v>0</v>
      </c>
      <c r="BZ1666">
        <v>0</v>
      </c>
      <c r="CA1666">
        <v>0</v>
      </c>
      <c r="CB1666" t="s">
        <v>145</v>
      </c>
    </row>
    <row r="1667" spans="9:80" x14ac:dyDescent="0.25">
      <c r="BO1667">
        <v>0</v>
      </c>
      <c r="BP1667">
        <v>0</v>
      </c>
      <c r="BQ1667">
        <v>0</v>
      </c>
      <c r="BR1667">
        <v>0</v>
      </c>
      <c r="BS1667">
        <v>0</v>
      </c>
      <c r="BT1667">
        <v>0</v>
      </c>
      <c r="BU1667">
        <v>0</v>
      </c>
      <c r="BV1667">
        <v>0</v>
      </c>
      <c r="BW1667" t="s">
        <v>0</v>
      </c>
      <c r="BX1667">
        <v>0</v>
      </c>
      <c r="BY1667">
        <v>0</v>
      </c>
      <c r="BZ1667">
        <v>0</v>
      </c>
      <c r="CA1667">
        <v>0</v>
      </c>
      <c r="CB1667" t="s">
        <v>145</v>
      </c>
    </row>
    <row r="1668" spans="9:80" x14ac:dyDescent="0.25">
      <c r="BO1668">
        <v>0</v>
      </c>
      <c r="BP1668">
        <v>0</v>
      </c>
      <c r="BQ1668">
        <v>0</v>
      </c>
      <c r="BR1668">
        <v>0</v>
      </c>
      <c r="BS1668">
        <v>0</v>
      </c>
      <c r="BT1668">
        <v>0</v>
      </c>
      <c r="BU1668">
        <v>0</v>
      </c>
      <c r="BV1668">
        <v>0</v>
      </c>
      <c r="BW1668" t="s">
        <v>0</v>
      </c>
      <c r="BX1668">
        <v>0</v>
      </c>
      <c r="BY1668">
        <v>0</v>
      </c>
      <c r="BZ1668">
        <v>0</v>
      </c>
      <c r="CA1668">
        <v>0</v>
      </c>
      <c r="CB1668" t="s">
        <v>145</v>
      </c>
    </row>
    <row r="1669" spans="9:80" x14ac:dyDescent="0.25">
      <c r="BO1669">
        <v>0</v>
      </c>
      <c r="BP1669">
        <v>0</v>
      </c>
      <c r="BQ1669">
        <v>0</v>
      </c>
      <c r="BR1669">
        <v>0</v>
      </c>
      <c r="BS1669">
        <v>0</v>
      </c>
      <c r="BT1669">
        <v>0</v>
      </c>
      <c r="BU1669">
        <v>0</v>
      </c>
      <c r="BV1669">
        <v>0</v>
      </c>
      <c r="BW1669" t="s">
        <v>0</v>
      </c>
      <c r="BX1669">
        <v>0</v>
      </c>
      <c r="BY1669">
        <v>0</v>
      </c>
      <c r="BZ1669">
        <v>0</v>
      </c>
      <c r="CA1669">
        <v>0</v>
      </c>
      <c r="CB1669" t="s">
        <v>145</v>
      </c>
    </row>
    <row r="1670" spans="9:80" x14ac:dyDescent="0.25">
      <c r="BO1670">
        <v>0</v>
      </c>
      <c r="BP1670">
        <v>0</v>
      </c>
      <c r="BQ1670">
        <v>0</v>
      </c>
      <c r="BR1670">
        <v>0</v>
      </c>
      <c r="BS1670">
        <v>0</v>
      </c>
      <c r="BT1670">
        <v>0</v>
      </c>
      <c r="BU1670">
        <v>0</v>
      </c>
      <c r="BV1670">
        <v>0</v>
      </c>
      <c r="BW1670" t="s">
        <v>0</v>
      </c>
      <c r="BX1670">
        <v>0</v>
      </c>
      <c r="BY1670">
        <v>0</v>
      </c>
      <c r="BZ1670">
        <v>0</v>
      </c>
      <c r="CA1670">
        <v>0</v>
      </c>
      <c r="CB1670" t="s">
        <v>145</v>
      </c>
    </row>
    <row r="1671" spans="9:80" x14ac:dyDescent="0.25">
      <c r="BO1671">
        <v>0</v>
      </c>
      <c r="BP1671">
        <v>0</v>
      </c>
      <c r="BQ1671">
        <v>0</v>
      </c>
      <c r="BR1671">
        <v>0</v>
      </c>
      <c r="BS1671">
        <v>0</v>
      </c>
      <c r="BT1671">
        <v>0</v>
      </c>
      <c r="BU1671">
        <v>0</v>
      </c>
      <c r="BV1671">
        <v>0</v>
      </c>
      <c r="BW1671" t="s">
        <v>0</v>
      </c>
      <c r="BX1671">
        <v>0</v>
      </c>
      <c r="BY1671">
        <v>0</v>
      </c>
      <c r="BZ1671">
        <v>0</v>
      </c>
      <c r="CA1671">
        <v>0</v>
      </c>
      <c r="CB1671" t="s">
        <v>145</v>
      </c>
    </row>
    <row r="1672" spans="9:80" x14ac:dyDescent="0.25">
      <c r="BO1672">
        <v>0</v>
      </c>
      <c r="BP1672">
        <v>0</v>
      </c>
      <c r="BQ1672">
        <v>0</v>
      </c>
      <c r="BR1672">
        <v>0</v>
      </c>
      <c r="BS1672">
        <v>0</v>
      </c>
      <c r="BT1672">
        <v>0</v>
      </c>
      <c r="BU1672">
        <v>0</v>
      </c>
      <c r="BV1672">
        <v>0</v>
      </c>
      <c r="BW1672" t="s">
        <v>0</v>
      </c>
      <c r="BX1672">
        <v>0</v>
      </c>
      <c r="BY1672">
        <v>0</v>
      </c>
      <c r="BZ1672">
        <v>0</v>
      </c>
      <c r="CA1672">
        <v>0</v>
      </c>
      <c r="CB1672" t="s">
        <v>145</v>
      </c>
    </row>
    <row r="1673" spans="9:80" x14ac:dyDescent="0.25">
      <c r="BO1673">
        <v>0</v>
      </c>
      <c r="BP1673">
        <v>0</v>
      </c>
      <c r="BQ1673">
        <v>0</v>
      </c>
      <c r="BR1673">
        <v>0</v>
      </c>
      <c r="BS1673">
        <v>0</v>
      </c>
      <c r="BT1673">
        <v>0</v>
      </c>
      <c r="BU1673">
        <v>0</v>
      </c>
      <c r="BV1673">
        <v>0</v>
      </c>
      <c r="BW1673" t="s">
        <v>0</v>
      </c>
      <c r="BX1673">
        <v>0</v>
      </c>
      <c r="BY1673">
        <v>0</v>
      </c>
      <c r="BZ1673">
        <v>0</v>
      </c>
      <c r="CA1673">
        <v>0</v>
      </c>
      <c r="CB1673" t="s">
        <v>145</v>
      </c>
    </row>
    <row r="1674" spans="9:80" x14ac:dyDescent="0.25">
      <c r="BO1674">
        <v>0</v>
      </c>
      <c r="BP1674">
        <v>0</v>
      </c>
      <c r="BQ1674">
        <v>0</v>
      </c>
      <c r="BR1674">
        <v>0</v>
      </c>
      <c r="BS1674">
        <v>0</v>
      </c>
      <c r="BT1674">
        <v>0</v>
      </c>
      <c r="BU1674">
        <v>0</v>
      </c>
      <c r="BV1674">
        <v>0</v>
      </c>
      <c r="BW1674" t="s">
        <v>0</v>
      </c>
      <c r="BX1674">
        <v>0</v>
      </c>
      <c r="BY1674">
        <v>0</v>
      </c>
      <c r="BZ1674">
        <v>0</v>
      </c>
      <c r="CA1674">
        <v>0</v>
      </c>
      <c r="CB1674" t="s">
        <v>145</v>
      </c>
    </row>
    <row r="1675" spans="9:80" x14ac:dyDescent="0.25">
      <c r="BO1675">
        <v>0</v>
      </c>
      <c r="BP1675">
        <v>0</v>
      </c>
      <c r="BQ1675">
        <v>0</v>
      </c>
      <c r="BR1675">
        <v>0</v>
      </c>
      <c r="BS1675">
        <v>0</v>
      </c>
      <c r="BT1675">
        <v>0</v>
      </c>
      <c r="BU1675">
        <v>0</v>
      </c>
      <c r="BV1675">
        <v>0</v>
      </c>
      <c r="BW1675" t="s">
        <v>0</v>
      </c>
      <c r="BX1675">
        <v>0</v>
      </c>
      <c r="BY1675">
        <v>0</v>
      </c>
      <c r="BZ1675">
        <v>0</v>
      </c>
      <c r="CA1675">
        <v>0</v>
      </c>
      <c r="CB1675" t="s">
        <v>145</v>
      </c>
    </row>
    <row r="1676" spans="9:80" x14ac:dyDescent="0.25">
      <c r="BO1676">
        <v>0</v>
      </c>
      <c r="BP1676">
        <v>0</v>
      </c>
      <c r="BQ1676">
        <v>0</v>
      </c>
      <c r="BR1676">
        <v>0</v>
      </c>
      <c r="BS1676">
        <v>0</v>
      </c>
      <c r="BT1676">
        <v>0</v>
      </c>
      <c r="BU1676">
        <v>0</v>
      </c>
      <c r="BV1676">
        <v>0</v>
      </c>
      <c r="BW1676" t="s">
        <v>0</v>
      </c>
      <c r="BX1676">
        <v>0</v>
      </c>
      <c r="BY1676">
        <v>0</v>
      </c>
      <c r="BZ1676">
        <v>0</v>
      </c>
      <c r="CA1676">
        <v>0</v>
      </c>
      <c r="CB1676" t="s">
        <v>145</v>
      </c>
    </row>
    <row r="1677" spans="9:80" x14ac:dyDescent="0.25">
      <c r="BO1677">
        <v>0</v>
      </c>
      <c r="BP1677">
        <v>0</v>
      </c>
      <c r="BQ1677">
        <v>0</v>
      </c>
      <c r="BR1677">
        <v>0</v>
      </c>
      <c r="BS1677">
        <v>0</v>
      </c>
      <c r="BT1677">
        <v>0</v>
      </c>
      <c r="BU1677">
        <v>0</v>
      </c>
      <c r="BV1677">
        <v>0</v>
      </c>
      <c r="BW1677" t="s">
        <v>0</v>
      </c>
      <c r="BX1677">
        <v>0</v>
      </c>
      <c r="BY1677">
        <v>0</v>
      </c>
      <c r="BZ1677">
        <v>0</v>
      </c>
      <c r="CA1677">
        <v>0</v>
      </c>
      <c r="CB1677" t="s">
        <v>145</v>
      </c>
    </row>
    <row r="1678" spans="9:80" x14ac:dyDescent="0.25">
      <c r="BO1678">
        <v>0</v>
      </c>
      <c r="BP1678">
        <v>0</v>
      </c>
      <c r="BQ1678">
        <v>0</v>
      </c>
      <c r="BR1678">
        <v>0</v>
      </c>
      <c r="BS1678">
        <v>0</v>
      </c>
      <c r="BT1678">
        <v>0</v>
      </c>
      <c r="BU1678">
        <v>0</v>
      </c>
      <c r="BV1678">
        <v>0</v>
      </c>
      <c r="BW1678" t="s">
        <v>0</v>
      </c>
      <c r="BX1678">
        <v>0</v>
      </c>
      <c r="BY1678">
        <v>0</v>
      </c>
      <c r="BZ1678">
        <v>0</v>
      </c>
      <c r="CA1678">
        <v>0</v>
      </c>
      <c r="CB1678" t="s">
        <v>145</v>
      </c>
    </row>
    <row r="1679" spans="9:80" x14ac:dyDescent="0.25">
      <c r="BO1679">
        <v>0</v>
      </c>
      <c r="BP1679">
        <v>0</v>
      </c>
      <c r="BQ1679">
        <v>0</v>
      </c>
      <c r="BR1679">
        <v>0</v>
      </c>
      <c r="BS1679">
        <v>0</v>
      </c>
      <c r="BT1679">
        <v>0</v>
      </c>
      <c r="BU1679">
        <v>0</v>
      </c>
      <c r="BV1679">
        <v>0</v>
      </c>
      <c r="BW1679" t="s">
        <v>0</v>
      </c>
      <c r="BX1679">
        <v>0</v>
      </c>
      <c r="BY1679">
        <v>0</v>
      </c>
      <c r="BZ1679">
        <v>0</v>
      </c>
      <c r="CA1679">
        <v>0</v>
      </c>
      <c r="CB1679" t="s">
        <v>145</v>
      </c>
    </row>
    <row r="1680" spans="9:80" x14ac:dyDescent="0.25">
      <c r="BO1680">
        <v>0</v>
      </c>
      <c r="BP1680">
        <v>0</v>
      </c>
      <c r="BQ1680">
        <v>0</v>
      </c>
      <c r="BR1680">
        <v>0</v>
      </c>
      <c r="BS1680">
        <v>0</v>
      </c>
      <c r="BT1680">
        <v>0</v>
      </c>
      <c r="BU1680">
        <v>0</v>
      </c>
      <c r="BV1680">
        <v>0</v>
      </c>
      <c r="BW1680" t="s">
        <v>0</v>
      </c>
      <c r="BX1680">
        <v>0</v>
      </c>
      <c r="BY1680">
        <v>0</v>
      </c>
      <c r="BZ1680">
        <v>0</v>
      </c>
      <c r="CA1680">
        <v>0</v>
      </c>
      <c r="CB1680" t="s">
        <v>145</v>
      </c>
    </row>
    <row r="1681" spans="67:80" x14ac:dyDescent="0.25">
      <c r="BO1681">
        <v>0</v>
      </c>
      <c r="BP1681">
        <v>0</v>
      </c>
      <c r="BQ1681">
        <v>0</v>
      </c>
      <c r="BR1681">
        <v>0</v>
      </c>
      <c r="BS1681">
        <v>0</v>
      </c>
      <c r="BT1681">
        <v>0</v>
      </c>
      <c r="BU1681">
        <v>0</v>
      </c>
      <c r="BV1681">
        <v>0</v>
      </c>
      <c r="BW1681" t="s">
        <v>0</v>
      </c>
      <c r="BX1681">
        <v>0</v>
      </c>
      <c r="BY1681">
        <v>0</v>
      </c>
      <c r="BZ1681">
        <v>0</v>
      </c>
      <c r="CA1681">
        <v>0</v>
      </c>
      <c r="CB1681" t="s">
        <v>145</v>
      </c>
    </row>
    <row r="1682" spans="67:80" x14ac:dyDescent="0.25">
      <c r="BO1682">
        <v>0</v>
      </c>
      <c r="BP1682">
        <v>0</v>
      </c>
      <c r="BQ1682">
        <v>0</v>
      </c>
      <c r="BR1682">
        <v>0</v>
      </c>
      <c r="BS1682">
        <v>0</v>
      </c>
      <c r="BT1682">
        <v>0</v>
      </c>
      <c r="BU1682">
        <v>0</v>
      </c>
      <c r="BV1682">
        <v>0</v>
      </c>
      <c r="BW1682" t="s">
        <v>0</v>
      </c>
      <c r="BX1682">
        <v>0</v>
      </c>
      <c r="BY1682">
        <v>0</v>
      </c>
      <c r="BZ1682">
        <v>0</v>
      </c>
      <c r="CA1682">
        <v>0</v>
      </c>
      <c r="CB1682" t="s">
        <v>145</v>
      </c>
    </row>
    <row r="1683" spans="67:80" x14ac:dyDescent="0.25">
      <c r="BO1683">
        <v>0</v>
      </c>
      <c r="BP1683">
        <v>0</v>
      </c>
      <c r="BQ1683">
        <v>0</v>
      </c>
      <c r="BR1683">
        <v>0</v>
      </c>
      <c r="BS1683">
        <v>0</v>
      </c>
      <c r="BT1683">
        <v>0</v>
      </c>
      <c r="BU1683">
        <v>0</v>
      </c>
      <c r="BV1683">
        <v>0</v>
      </c>
      <c r="BW1683" t="s">
        <v>0</v>
      </c>
      <c r="BX1683">
        <v>0</v>
      </c>
      <c r="BY1683">
        <v>0</v>
      </c>
      <c r="BZ1683">
        <v>0</v>
      </c>
      <c r="CA1683">
        <v>0</v>
      </c>
      <c r="CB1683" t="s">
        <v>145</v>
      </c>
    </row>
    <row r="1684" spans="67:80" x14ac:dyDescent="0.25">
      <c r="BO1684">
        <v>0</v>
      </c>
      <c r="BP1684">
        <v>0</v>
      </c>
      <c r="BQ1684">
        <v>0</v>
      </c>
      <c r="BR1684">
        <v>0</v>
      </c>
      <c r="BS1684">
        <v>0</v>
      </c>
      <c r="BT1684">
        <v>0</v>
      </c>
      <c r="BU1684">
        <v>0</v>
      </c>
      <c r="BV1684">
        <v>0</v>
      </c>
      <c r="BW1684" t="s">
        <v>0</v>
      </c>
      <c r="BX1684">
        <v>0</v>
      </c>
      <c r="BY1684">
        <v>0</v>
      </c>
      <c r="BZ1684">
        <v>0</v>
      </c>
      <c r="CA1684">
        <v>0</v>
      </c>
      <c r="CB1684" t="s">
        <v>145</v>
      </c>
    </row>
    <row r="1685" spans="67:80" x14ac:dyDescent="0.25">
      <c r="BO1685">
        <v>0</v>
      </c>
      <c r="BP1685">
        <v>0</v>
      </c>
      <c r="BQ1685">
        <v>0</v>
      </c>
      <c r="BR1685">
        <v>0</v>
      </c>
      <c r="BS1685">
        <v>0</v>
      </c>
      <c r="BT1685">
        <v>0</v>
      </c>
      <c r="BU1685">
        <v>0</v>
      </c>
      <c r="BV1685">
        <v>0</v>
      </c>
      <c r="BW1685" t="s">
        <v>0</v>
      </c>
      <c r="BX1685">
        <v>0</v>
      </c>
      <c r="BY1685">
        <v>0</v>
      </c>
      <c r="BZ1685">
        <v>0</v>
      </c>
      <c r="CA1685">
        <v>0</v>
      </c>
      <c r="CB1685" t="s">
        <v>145</v>
      </c>
    </row>
    <row r="1686" spans="67:80" x14ac:dyDescent="0.25">
      <c r="BO1686">
        <v>0</v>
      </c>
      <c r="BP1686">
        <v>0</v>
      </c>
      <c r="BQ1686">
        <v>0</v>
      </c>
      <c r="BR1686">
        <v>0</v>
      </c>
      <c r="BS1686">
        <v>0</v>
      </c>
      <c r="BT1686">
        <v>0</v>
      </c>
      <c r="BU1686">
        <v>0</v>
      </c>
      <c r="BV1686">
        <v>0</v>
      </c>
      <c r="BW1686" t="s">
        <v>0</v>
      </c>
      <c r="BX1686">
        <v>0</v>
      </c>
      <c r="BY1686">
        <v>0</v>
      </c>
      <c r="BZ1686">
        <v>0</v>
      </c>
      <c r="CA1686">
        <v>0</v>
      </c>
      <c r="CB1686" t="s">
        <v>145</v>
      </c>
    </row>
    <row r="1687" spans="67:80" x14ac:dyDescent="0.25">
      <c r="BO1687">
        <v>0</v>
      </c>
      <c r="BP1687">
        <v>0</v>
      </c>
      <c r="BQ1687">
        <v>0</v>
      </c>
      <c r="BR1687">
        <v>0</v>
      </c>
      <c r="BS1687">
        <v>0</v>
      </c>
      <c r="BT1687">
        <v>0</v>
      </c>
      <c r="BU1687">
        <v>0</v>
      </c>
      <c r="BV1687">
        <v>0</v>
      </c>
      <c r="BW1687" t="s">
        <v>0</v>
      </c>
      <c r="BX1687">
        <v>0</v>
      </c>
      <c r="BY1687">
        <v>0</v>
      </c>
      <c r="BZ1687">
        <v>0</v>
      </c>
      <c r="CA1687">
        <v>0</v>
      </c>
      <c r="CB1687" t="s">
        <v>145</v>
      </c>
    </row>
    <row r="1688" spans="67:80" x14ac:dyDescent="0.25">
      <c r="BO1688">
        <v>0</v>
      </c>
      <c r="BP1688">
        <v>0</v>
      </c>
      <c r="BQ1688">
        <v>0</v>
      </c>
      <c r="BR1688">
        <v>0</v>
      </c>
      <c r="BS1688">
        <v>0</v>
      </c>
      <c r="BT1688">
        <v>0</v>
      </c>
      <c r="BU1688">
        <v>0</v>
      </c>
      <c r="BV1688">
        <v>0</v>
      </c>
      <c r="BW1688" t="s">
        <v>0</v>
      </c>
      <c r="BX1688">
        <v>0</v>
      </c>
      <c r="BY1688">
        <v>0</v>
      </c>
      <c r="BZ1688">
        <v>0</v>
      </c>
      <c r="CA1688">
        <v>0</v>
      </c>
      <c r="CB1688" t="s">
        <v>145</v>
      </c>
    </row>
    <row r="1689" spans="67:80" x14ac:dyDescent="0.25">
      <c r="BO1689">
        <v>0</v>
      </c>
      <c r="BP1689">
        <v>0</v>
      </c>
      <c r="BQ1689">
        <v>0</v>
      </c>
      <c r="BR1689">
        <v>0</v>
      </c>
      <c r="BS1689">
        <v>0</v>
      </c>
      <c r="BT1689">
        <v>0</v>
      </c>
      <c r="BU1689">
        <v>0</v>
      </c>
      <c r="BV1689">
        <v>0</v>
      </c>
      <c r="BW1689" t="s">
        <v>0</v>
      </c>
      <c r="BX1689">
        <v>0</v>
      </c>
      <c r="BY1689">
        <v>0</v>
      </c>
      <c r="BZ1689">
        <v>0</v>
      </c>
      <c r="CA1689">
        <v>0</v>
      </c>
      <c r="CB1689" t="s">
        <v>145</v>
      </c>
    </row>
    <row r="1690" spans="67:80" x14ac:dyDescent="0.25">
      <c r="BO1690">
        <v>0</v>
      </c>
      <c r="BP1690">
        <v>0</v>
      </c>
      <c r="BQ1690">
        <v>0</v>
      </c>
      <c r="BR1690">
        <v>0</v>
      </c>
      <c r="BS1690">
        <v>0</v>
      </c>
      <c r="BT1690">
        <v>0</v>
      </c>
      <c r="BU1690">
        <v>0</v>
      </c>
      <c r="BV1690">
        <v>0</v>
      </c>
      <c r="BW1690" t="s">
        <v>0</v>
      </c>
      <c r="BX1690">
        <v>0</v>
      </c>
      <c r="BY1690">
        <v>0</v>
      </c>
      <c r="BZ1690">
        <v>0</v>
      </c>
      <c r="CA1690">
        <v>0</v>
      </c>
      <c r="CB1690" t="s">
        <v>145</v>
      </c>
    </row>
    <row r="1691" spans="67:80" x14ac:dyDescent="0.25">
      <c r="BO1691">
        <v>0</v>
      </c>
      <c r="BP1691">
        <v>0</v>
      </c>
      <c r="BQ1691">
        <v>0</v>
      </c>
      <c r="BR1691">
        <v>0</v>
      </c>
      <c r="BS1691">
        <v>0</v>
      </c>
      <c r="BT1691">
        <v>0</v>
      </c>
      <c r="BU1691">
        <v>0</v>
      </c>
      <c r="BV1691">
        <v>0</v>
      </c>
      <c r="BW1691" t="s">
        <v>0</v>
      </c>
      <c r="BX1691">
        <v>0</v>
      </c>
      <c r="BY1691">
        <v>0</v>
      </c>
      <c r="BZ1691">
        <v>0</v>
      </c>
      <c r="CA1691">
        <v>0</v>
      </c>
      <c r="CB1691" t="s">
        <v>145</v>
      </c>
    </row>
    <row r="1692" spans="67:80" x14ac:dyDescent="0.25">
      <c r="BO1692">
        <v>0</v>
      </c>
      <c r="BP1692">
        <v>0</v>
      </c>
      <c r="BQ1692">
        <v>0</v>
      </c>
      <c r="BR1692">
        <v>0</v>
      </c>
      <c r="BS1692">
        <v>0</v>
      </c>
      <c r="BT1692">
        <v>0</v>
      </c>
      <c r="BU1692">
        <v>0</v>
      </c>
      <c r="BV1692">
        <v>0</v>
      </c>
      <c r="BW1692" t="s">
        <v>0</v>
      </c>
      <c r="BX1692">
        <v>0</v>
      </c>
      <c r="BY1692">
        <v>0</v>
      </c>
      <c r="BZ1692">
        <v>0</v>
      </c>
      <c r="CA1692">
        <v>0</v>
      </c>
      <c r="CB1692" t="s">
        <v>145</v>
      </c>
    </row>
    <row r="1693" spans="67:80" x14ac:dyDescent="0.25">
      <c r="BO1693">
        <v>0</v>
      </c>
      <c r="BP1693">
        <v>0</v>
      </c>
      <c r="BQ1693">
        <v>0</v>
      </c>
      <c r="BR1693">
        <v>0</v>
      </c>
      <c r="BS1693">
        <v>0</v>
      </c>
      <c r="BT1693">
        <v>0</v>
      </c>
      <c r="BU1693">
        <v>0</v>
      </c>
      <c r="BV1693">
        <v>0</v>
      </c>
      <c r="BW1693" t="s">
        <v>0</v>
      </c>
      <c r="BX1693">
        <v>0</v>
      </c>
      <c r="BY1693">
        <v>0</v>
      </c>
      <c r="BZ1693">
        <v>0</v>
      </c>
      <c r="CA1693">
        <v>0</v>
      </c>
      <c r="CB1693" t="s">
        <v>145</v>
      </c>
    </row>
    <row r="1694" spans="67:80" x14ac:dyDescent="0.25">
      <c r="BO1694">
        <v>0</v>
      </c>
      <c r="BP1694">
        <v>0</v>
      </c>
      <c r="BQ1694">
        <v>0</v>
      </c>
      <c r="BR1694">
        <v>0</v>
      </c>
      <c r="BS1694">
        <v>0</v>
      </c>
      <c r="BT1694">
        <v>0</v>
      </c>
      <c r="BU1694">
        <v>0</v>
      </c>
      <c r="BV1694">
        <v>0</v>
      </c>
      <c r="BW1694" t="s">
        <v>0</v>
      </c>
      <c r="BX1694">
        <v>0</v>
      </c>
      <c r="BY1694">
        <v>0</v>
      </c>
      <c r="BZ1694">
        <v>0</v>
      </c>
      <c r="CA1694">
        <v>0</v>
      </c>
      <c r="CB1694" t="s">
        <v>145</v>
      </c>
    </row>
    <row r="1695" spans="67:80" x14ac:dyDescent="0.25">
      <c r="BO1695">
        <v>0</v>
      </c>
      <c r="BP1695">
        <v>0</v>
      </c>
      <c r="BQ1695">
        <v>0</v>
      </c>
      <c r="BR1695">
        <v>0</v>
      </c>
      <c r="BS1695">
        <v>0</v>
      </c>
      <c r="BT1695">
        <v>0</v>
      </c>
      <c r="BU1695">
        <v>0</v>
      </c>
      <c r="BV1695">
        <v>0</v>
      </c>
      <c r="BW1695" t="s">
        <v>0</v>
      </c>
      <c r="BX1695">
        <v>0</v>
      </c>
      <c r="BY1695">
        <v>0</v>
      </c>
      <c r="BZ1695">
        <v>0</v>
      </c>
      <c r="CA1695">
        <v>0</v>
      </c>
      <c r="CB1695" t="s">
        <v>145</v>
      </c>
    </row>
    <row r="1696" spans="67:80" x14ac:dyDescent="0.25">
      <c r="BO1696">
        <v>0</v>
      </c>
      <c r="BP1696">
        <v>0</v>
      </c>
      <c r="BQ1696">
        <v>0</v>
      </c>
      <c r="BR1696">
        <v>0</v>
      </c>
      <c r="BS1696">
        <v>0</v>
      </c>
      <c r="BT1696">
        <v>0</v>
      </c>
      <c r="BU1696">
        <v>0</v>
      </c>
      <c r="BV1696">
        <v>0</v>
      </c>
      <c r="BW1696" t="s">
        <v>0</v>
      </c>
      <c r="BX1696">
        <v>0</v>
      </c>
      <c r="BY1696">
        <v>0</v>
      </c>
      <c r="BZ1696">
        <v>0</v>
      </c>
      <c r="CA1696">
        <v>0</v>
      </c>
      <c r="CB1696" t="s">
        <v>145</v>
      </c>
    </row>
    <row r="1697" spans="41:80" x14ac:dyDescent="0.25">
      <c r="BO1697">
        <v>0</v>
      </c>
      <c r="BP1697">
        <v>0</v>
      </c>
      <c r="BQ1697">
        <v>0</v>
      </c>
      <c r="BR1697">
        <v>0</v>
      </c>
      <c r="BS1697">
        <v>0</v>
      </c>
      <c r="BT1697">
        <v>0</v>
      </c>
      <c r="BU1697">
        <v>0</v>
      </c>
      <c r="BV1697">
        <v>0</v>
      </c>
      <c r="BW1697" t="s">
        <v>0</v>
      </c>
      <c r="BX1697">
        <v>0</v>
      </c>
      <c r="BY1697">
        <v>0</v>
      </c>
      <c r="BZ1697">
        <v>0</v>
      </c>
      <c r="CA1697">
        <v>0</v>
      </c>
      <c r="CB1697" t="s">
        <v>145</v>
      </c>
    </row>
    <row r="1698" spans="41:80" x14ac:dyDescent="0.25">
      <c r="BO1698">
        <v>0</v>
      </c>
      <c r="BP1698">
        <v>0</v>
      </c>
      <c r="BQ1698">
        <v>0</v>
      </c>
      <c r="BR1698">
        <v>0</v>
      </c>
      <c r="BS1698">
        <v>0</v>
      </c>
      <c r="BT1698">
        <v>0</v>
      </c>
      <c r="BU1698">
        <v>0</v>
      </c>
      <c r="BV1698">
        <v>0</v>
      </c>
      <c r="BW1698" t="s">
        <v>0</v>
      </c>
      <c r="BX1698">
        <v>0</v>
      </c>
      <c r="BY1698">
        <v>0</v>
      </c>
      <c r="BZ1698">
        <v>0</v>
      </c>
      <c r="CA1698">
        <v>0</v>
      </c>
      <c r="CB1698" t="s">
        <v>145</v>
      </c>
    </row>
    <row r="1699" spans="41:80" x14ac:dyDescent="0.25">
      <c r="BO1699">
        <v>0</v>
      </c>
      <c r="BP1699">
        <v>0</v>
      </c>
      <c r="BQ1699">
        <v>0</v>
      </c>
      <c r="BR1699">
        <v>0</v>
      </c>
      <c r="BS1699">
        <v>0</v>
      </c>
      <c r="BT1699">
        <v>0</v>
      </c>
      <c r="BU1699">
        <v>0</v>
      </c>
      <c r="BV1699">
        <v>0</v>
      </c>
      <c r="BW1699" t="s">
        <v>0</v>
      </c>
      <c r="BX1699">
        <v>0</v>
      </c>
      <c r="BY1699">
        <v>0</v>
      </c>
      <c r="BZ1699">
        <v>0</v>
      </c>
      <c r="CA1699">
        <v>0</v>
      </c>
      <c r="CB1699" t="s">
        <v>145</v>
      </c>
    </row>
    <row r="1700" spans="41:80" x14ac:dyDescent="0.25">
      <c r="BO1700">
        <v>0</v>
      </c>
      <c r="BP1700">
        <v>0</v>
      </c>
      <c r="BQ1700">
        <v>0</v>
      </c>
      <c r="BR1700">
        <v>0</v>
      </c>
      <c r="BS1700">
        <v>0</v>
      </c>
      <c r="BT1700">
        <v>0</v>
      </c>
      <c r="BU1700">
        <v>0</v>
      </c>
      <c r="BV1700">
        <v>0</v>
      </c>
      <c r="BW1700" t="s">
        <v>0</v>
      </c>
      <c r="BX1700">
        <v>0</v>
      </c>
      <c r="BY1700">
        <v>0</v>
      </c>
      <c r="BZ1700">
        <v>0</v>
      </c>
      <c r="CA1700">
        <v>0</v>
      </c>
      <c r="CB1700" t="s">
        <v>145</v>
      </c>
    </row>
    <row r="1701" spans="41:80" x14ac:dyDescent="0.25">
      <c r="BO1701">
        <v>0</v>
      </c>
      <c r="BP1701">
        <v>0</v>
      </c>
      <c r="BQ1701">
        <v>0</v>
      </c>
      <c r="BR1701">
        <v>0</v>
      </c>
      <c r="BS1701">
        <v>0</v>
      </c>
      <c r="BT1701">
        <v>0</v>
      </c>
      <c r="BU1701">
        <v>0</v>
      </c>
      <c r="BV1701">
        <v>0</v>
      </c>
      <c r="BW1701" t="s">
        <v>0</v>
      </c>
      <c r="BX1701">
        <v>0</v>
      </c>
      <c r="BY1701">
        <v>0</v>
      </c>
      <c r="BZ1701">
        <v>0</v>
      </c>
      <c r="CA1701">
        <v>0</v>
      </c>
      <c r="CB1701" t="s">
        <v>145</v>
      </c>
    </row>
    <row r="1702" spans="41:80" x14ac:dyDescent="0.25">
      <c r="BO1702">
        <v>0</v>
      </c>
      <c r="BP1702">
        <v>0</v>
      </c>
      <c r="BQ1702">
        <v>0</v>
      </c>
      <c r="BR1702">
        <v>0</v>
      </c>
      <c r="BS1702">
        <v>0</v>
      </c>
      <c r="BT1702">
        <v>0</v>
      </c>
      <c r="BU1702">
        <v>0</v>
      </c>
      <c r="BV1702">
        <v>0</v>
      </c>
      <c r="BW1702" t="s">
        <v>0</v>
      </c>
      <c r="BX1702">
        <v>0</v>
      </c>
      <c r="BY1702">
        <v>0</v>
      </c>
      <c r="BZ1702">
        <v>0</v>
      </c>
      <c r="CA1702">
        <v>0</v>
      </c>
      <c r="CB1702" t="s">
        <v>145</v>
      </c>
    </row>
    <row r="1703" spans="41:80" x14ac:dyDescent="0.25">
      <c r="BO1703">
        <v>0</v>
      </c>
      <c r="BP1703">
        <v>0</v>
      </c>
      <c r="BQ1703">
        <v>0</v>
      </c>
      <c r="BR1703">
        <v>0</v>
      </c>
      <c r="BS1703">
        <v>0</v>
      </c>
      <c r="BT1703">
        <v>0</v>
      </c>
      <c r="BU1703">
        <v>0</v>
      </c>
      <c r="BV1703">
        <v>0</v>
      </c>
      <c r="BW1703" t="s">
        <v>0</v>
      </c>
      <c r="BX1703">
        <v>0</v>
      </c>
      <c r="BY1703">
        <v>0</v>
      </c>
      <c r="BZ1703">
        <v>0</v>
      </c>
      <c r="CA1703">
        <v>0</v>
      </c>
      <c r="CB1703" t="s">
        <v>145</v>
      </c>
    </row>
    <row r="1704" spans="41:80" x14ac:dyDescent="0.25">
      <c r="BO1704">
        <v>0</v>
      </c>
      <c r="BP1704">
        <v>0</v>
      </c>
      <c r="BQ1704">
        <v>0</v>
      </c>
      <c r="BR1704">
        <v>0</v>
      </c>
      <c r="BS1704">
        <v>0</v>
      </c>
      <c r="BT1704">
        <v>0</v>
      </c>
      <c r="BU1704">
        <v>0</v>
      </c>
      <c r="BV1704">
        <v>0</v>
      </c>
      <c r="BW1704" t="s">
        <v>0</v>
      </c>
      <c r="BX1704">
        <v>0</v>
      </c>
      <c r="BY1704">
        <v>0</v>
      </c>
      <c r="BZ1704">
        <v>0</v>
      </c>
      <c r="CA1704">
        <v>0</v>
      </c>
      <c r="CB1704" t="s">
        <v>145</v>
      </c>
    </row>
    <row r="1705" spans="41:80" x14ac:dyDescent="0.25">
      <c r="BO1705">
        <v>0</v>
      </c>
      <c r="BP1705">
        <v>0</v>
      </c>
      <c r="BQ1705">
        <v>0</v>
      </c>
      <c r="BR1705">
        <v>0</v>
      </c>
      <c r="BS1705">
        <v>0</v>
      </c>
      <c r="BT1705">
        <v>0</v>
      </c>
      <c r="BU1705">
        <v>0</v>
      </c>
      <c r="BV1705">
        <v>0</v>
      </c>
      <c r="BW1705" t="s">
        <v>0</v>
      </c>
      <c r="BX1705">
        <v>0</v>
      </c>
      <c r="BY1705">
        <v>0</v>
      </c>
      <c r="BZ1705">
        <v>0</v>
      </c>
      <c r="CA1705">
        <v>0</v>
      </c>
      <c r="CB1705" t="s">
        <v>145</v>
      </c>
    </row>
    <row r="1706" spans="41:80" x14ac:dyDescent="0.25">
      <c r="BO1706">
        <v>0</v>
      </c>
      <c r="BP1706">
        <v>0</v>
      </c>
      <c r="BQ1706">
        <v>0</v>
      </c>
      <c r="BR1706">
        <v>0</v>
      </c>
      <c r="BS1706">
        <v>0</v>
      </c>
      <c r="BT1706">
        <v>0</v>
      </c>
      <c r="BU1706">
        <v>0</v>
      </c>
      <c r="BV1706">
        <v>0</v>
      </c>
      <c r="BW1706" t="s">
        <v>0</v>
      </c>
      <c r="BX1706">
        <v>0</v>
      </c>
      <c r="BY1706">
        <v>0</v>
      </c>
      <c r="BZ1706">
        <v>0</v>
      </c>
      <c r="CA1706">
        <v>0</v>
      </c>
      <c r="CB1706" t="s">
        <v>145</v>
      </c>
    </row>
    <row r="1707" spans="41:80" x14ac:dyDescent="0.25">
      <c r="BO1707">
        <v>0</v>
      </c>
      <c r="BP1707">
        <v>0</v>
      </c>
      <c r="BQ1707">
        <v>0</v>
      </c>
      <c r="BR1707">
        <v>0</v>
      </c>
      <c r="BS1707">
        <v>0</v>
      </c>
      <c r="BT1707">
        <v>0</v>
      </c>
      <c r="BU1707">
        <v>0</v>
      </c>
      <c r="BV1707">
        <v>0</v>
      </c>
      <c r="BW1707" t="s">
        <v>0</v>
      </c>
      <c r="BX1707">
        <v>0</v>
      </c>
      <c r="BY1707">
        <v>0</v>
      </c>
      <c r="BZ1707">
        <v>0</v>
      </c>
      <c r="CA1707">
        <v>0</v>
      </c>
      <c r="CB1707" t="s">
        <v>145</v>
      </c>
    </row>
    <row r="1708" spans="41:80" x14ac:dyDescent="0.25">
      <c r="BO1708">
        <v>0</v>
      </c>
      <c r="BP1708">
        <v>0</v>
      </c>
      <c r="BQ1708">
        <v>0</v>
      </c>
      <c r="BR1708">
        <v>0</v>
      </c>
      <c r="BS1708">
        <v>0</v>
      </c>
      <c r="BT1708">
        <v>0</v>
      </c>
      <c r="BU1708">
        <v>0</v>
      </c>
      <c r="BV1708">
        <v>0</v>
      </c>
      <c r="BW1708" t="s">
        <v>0</v>
      </c>
      <c r="BX1708">
        <v>0</v>
      </c>
      <c r="BY1708">
        <v>0</v>
      </c>
      <c r="BZ1708">
        <v>0</v>
      </c>
      <c r="CA1708">
        <v>0</v>
      </c>
      <c r="CB1708" t="s">
        <v>145</v>
      </c>
    </row>
    <row r="1709" spans="41:80" x14ac:dyDescent="0.25">
      <c r="BO1709">
        <v>0</v>
      </c>
      <c r="BP1709">
        <v>0</v>
      </c>
      <c r="BQ1709">
        <v>0</v>
      </c>
      <c r="BR1709">
        <v>0</v>
      </c>
      <c r="BS1709">
        <v>0</v>
      </c>
      <c r="BT1709">
        <v>0</v>
      </c>
      <c r="BU1709">
        <v>0</v>
      </c>
      <c r="BV1709">
        <v>0</v>
      </c>
      <c r="BW1709" t="s">
        <v>0</v>
      </c>
      <c r="BX1709">
        <v>0</v>
      </c>
      <c r="BY1709">
        <v>0</v>
      </c>
      <c r="BZ1709">
        <v>0</v>
      </c>
      <c r="CA1709">
        <v>0</v>
      </c>
      <c r="CB1709" t="s">
        <v>145</v>
      </c>
    </row>
    <row r="1710" spans="41:80" x14ac:dyDescent="0.25">
      <c r="AO1710" s="12"/>
      <c r="AX1710" s="12"/>
      <c r="AY1710" s="12"/>
      <c r="AZ1710" s="12"/>
      <c r="BA1710" s="12"/>
      <c r="BB1710" s="12"/>
      <c r="BE1710" s="12"/>
      <c r="BF1710" s="12"/>
      <c r="BG1710" s="12"/>
      <c r="BH1710" s="12"/>
      <c r="BI1710" s="12"/>
      <c r="BK1710" s="12"/>
      <c r="BL1710" s="12"/>
      <c r="BM1710" s="12"/>
      <c r="BN1710" s="7"/>
      <c r="BO1710">
        <v>0</v>
      </c>
      <c r="BP1710">
        <v>0</v>
      </c>
      <c r="BQ1710">
        <v>0</v>
      </c>
      <c r="BR1710">
        <v>0</v>
      </c>
      <c r="BS1710">
        <v>0</v>
      </c>
      <c r="BT1710">
        <v>0</v>
      </c>
      <c r="BU1710">
        <v>0</v>
      </c>
      <c r="BV1710">
        <v>0</v>
      </c>
      <c r="BW1710" t="s">
        <v>0</v>
      </c>
      <c r="BX1710">
        <v>0</v>
      </c>
      <c r="BY1710">
        <v>0</v>
      </c>
      <c r="BZ1710">
        <v>0</v>
      </c>
      <c r="CA1710">
        <v>0</v>
      </c>
      <c r="CB1710" t="s">
        <v>145</v>
      </c>
    </row>
    <row r="1711" spans="41:80" x14ac:dyDescent="0.25">
      <c r="AO1711" s="12"/>
      <c r="AX1711" s="12"/>
      <c r="AY1711" s="12"/>
      <c r="AZ1711" s="12"/>
      <c r="BA1711" s="12"/>
      <c r="BB1711" s="12"/>
      <c r="BE1711" s="12"/>
      <c r="BF1711" s="12"/>
      <c r="BG1711" s="12"/>
      <c r="BH1711" s="12"/>
      <c r="BI1711" s="12"/>
      <c r="BK1711" s="12"/>
      <c r="BL1711" s="12"/>
      <c r="BM1711" s="12"/>
      <c r="BN1711" s="7"/>
      <c r="BO1711">
        <v>0</v>
      </c>
      <c r="BP1711">
        <v>0</v>
      </c>
      <c r="BQ1711">
        <v>0</v>
      </c>
      <c r="BR1711">
        <v>0</v>
      </c>
      <c r="BS1711">
        <v>0</v>
      </c>
      <c r="BT1711">
        <v>0</v>
      </c>
      <c r="BU1711">
        <v>0</v>
      </c>
      <c r="BV1711">
        <v>0</v>
      </c>
      <c r="BW1711" t="s">
        <v>0</v>
      </c>
      <c r="BX1711">
        <v>0</v>
      </c>
      <c r="BY1711">
        <v>0</v>
      </c>
      <c r="BZ1711">
        <v>0</v>
      </c>
      <c r="CA1711">
        <v>0</v>
      </c>
      <c r="CB1711" t="s">
        <v>145</v>
      </c>
    </row>
    <row r="1712" spans="41:80" x14ac:dyDescent="0.25">
      <c r="AO1712" s="12"/>
      <c r="AX1712" s="12"/>
      <c r="AY1712" s="12"/>
      <c r="AZ1712" s="12"/>
      <c r="BA1712" s="12"/>
      <c r="BB1712" s="12"/>
      <c r="BE1712" s="12"/>
      <c r="BF1712" s="12"/>
      <c r="BG1712" s="12"/>
      <c r="BH1712" s="12"/>
      <c r="BI1712" s="12"/>
      <c r="BK1712" s="12"/>
      <c r="BL1712" s="12"/>
      <c r="BM1712" s="12"/>
      <c r="BN1712" s="7"/>
      <c r="BO1712">
        <v>0</v>
      </c>
      <c r="BP1712">
        <v>0</v>
      </c>
      <c r="BQ1712">
        <v>0</v>
      </c>
      <c r="BR1712">
        <v>0</v>
      </c>
      <c r="BS1712">
        <v>0</v>
      </c>
      <c r="BT1712">
        <v>0</v>
      </c>
      <c r="BU1712">
        <v>0</v>
      </c>
      <c r="BV1712">
        <v>0</v>
      </c>
      <c r="BW1712" t="s">
        <v>0</v>
      </c>
      <c r="BX1712">
        <v>0</v>
      </c>
      <c r="BY1712">
        <v>0</v>
      </c>
      <c r="BZ1712">
        <v>0</v>
      </c>
      <c r="CA1712">
        <v>0</v>
      </c>
      <c r="CB1712" t="s">
        <v>145</v>
      </c>
    </row>
    <row r="1713" spans="41:80" x14ac:dyDescent="0.25">
      <c r="AO1713" s="12"/>
      <c r="AX1713" s="12"/>
      <c r="AY1713" s="12"/>
      <c r="AZ1713" s="12"/>
      <c r="BA1713" s="12"/>
      <c r="BB1713" s="12"/>
      <c r="BE1713" s="12"/>
      <c r="BF1713" s="12"/>
      <c r="BG1713" s="12"/>
      <c r="BH1713" s="12"/>
      <c r="BI1713" s="12"/>
      <c r="BK1713" s="12"/>
      <c r="BL1713" s="12"/>
      <c r="BM1713" s="12"/>
      <c r="BN1713" s="7"/>
      <c r="BO1713">
        <v>0</v>
      </c>
      <c r="BP1713">
        <v>0</v>
      </c>
      <c r="BQ1713">
        <v>0</v>
      </c>
      <c r="BR1713">
        <v>0</v>
      </c>
      <c r="BS1713">
        <v>0</v>
      </c>
      <c r="BT1713">
        <v>0</v>
      </c>
      <c r="BU1713">
        <v>0</v>
      </c>
      <c r="BV1713">
        <v>0</v>
      </c>
      <c r="BW1713" t="s">
        <v>0</v>
      </c>
      <c r="BX1713">
        <v>0</v>
      </c>
      <c r="BY1713">
        <v>0</v>
      </c>
      <c r="BZ1713">
        <v>0</v>
      </c>
      <c r="CA1713">
        <v>0</v>
      </c>
      <c r="CB1713" t="s">
        <v>145</v>
      </c>
    </row>
    <row r="1714" spans="41:80" x14ac:dyDescent="0.25">
      <c r="AO1714" s="12"/>
      <c r="AX1714" s="12"/>
      <c r="AY1714" s="12"/>
      <c r="AZ1714" s="12"/>
      <c r="BA1714" s="12"/>
      <c r="BB1714" s="12"/>
      <c r="BE1714" s="12"/>
      <c r="BF1714" s="12"/>
      <c r="BG1714" s="12"/>
      <c r="BH1714" s="12"/>
      <c r="BI1714" s="12"/>
      <c r="BK1714" s="12"/>
      <c r="BL1714" s="12"/>
      <c r="BM1714" s="12"/>
      <c r="BN1714" s="7"/>
      <c r="BO1714">
        <v>0</v>
      </c>
      <c r="BP1714">
        <v>0</v>
      </c>
      <c r="BQ1714">
        <v>0</v>
      </c>
      <c r="BR1714">
        <v>0</v>
      </c>
      <c r="BS1714">
        <v>0</v>
      </c>
      <c r="BT1714">
        <v>0</v>
      </c>
      <c r="BU1714">
        <v>0</v>
      </c>
      <c r="BV1714">
        <v>0</v>
      </c>
      <c r="BW1714" t="s">
        <v>0</v>
      </c>
      <c r="BX1714">
        <v>0</v>
      </c>
      <c r="BY1714">
        <v>0</v>
      </c>
      <c r="BZ1714">
        <v>0</v>
      </c>
      <c r="CA1714">
        <v>0</v>
      </c>
      <c r="CB1714" t="s">
        <v>145</v>
      </c>
    </row>
    <row r="1715" spans="41:80" x14ac:dyDescent="0.25">
      <c r="AO1715" s="12"/>
      <c r="AX1715" s="12"/>
      <c r="AY1715" s="12"/>
      <c r="AZ1715" s="12"/>
      <c r="BA1715" s="12"/>
      <c r="BB1715" s="12"/>
      <c r="BE1715" s="12"/>
      <c r="BF1715" s="12"/>
      <c r="BG1715" s="12"/>
      <c r="BH1715" s="12"/>
      <c r="BI1715" s="12"/>
      <c r="BK1715" s="12"/>
      <c r="BL1715" s="12"/>
      <c r="BM1715" s="12"/>
      <c r="BN1715" s="7"/>
      <c r="BO1715">
        <v>0</v>
      </c>
      <c r="BP1715">
        <v>0</v>
      </c>
      <c r="BQ1715">
        <v>0</v>
      </c>
      <c r="BR1715">
        <v>0</v>
      </c>
      <c r="BS1715">
        <v>0</v>
      </c>
      <c r="BT1715">
        <v>0</v>
      </c>
      <c r="BU1715">
        <v>0</v>
      </c>
      <c r="BV1715">
        <v>0</v>
      </c>
      <c r="BW1715" t="s">
        <v>0</v>
      </c>
      <c r="BX1715">
        <v>0</v>
      </c>
      <c r="BY1715">
        <v>0</v>
      </c>
      <c r="BZ1715">
        <v>0</v>
      </c>
      <c r="CA1715">
        <v>0</v>
      </c>
      <c r="CB1715" t="s">
        <v>145</v>
      </c>
    </row>
    <row r="1716" spans="41:80" x14ac:dyDescent="0.25">
      <c r="AO1716" s="12"/>
      <c r="AX1716" s="12"/>
      <c r="AY1716" s="12"/>
      <c r="AZ1716" s="12"/>
      <c r="BA1716" s="12"/>
      <c r="BB1716" s="12"/>
      <c r="BE1716" s="12"/>
      <c r="BF1716" s="12"/>
      <c r="BG1716" s="12"/>
      <c r="BH1716" s="12"/>
      <c r="BI1716" s="12"/>
      <c r="BK1716" s="12"/>
      <c r="BL1716" s="12"/>
      <c r="BM1716" s="12"/>
      <c r="BN1716" s="7"/>
      <c r="BO1716">
        <v>0</v>
      </c>
      <c r="BP1716">
        <v>0</v>
      </c>
      <c r="BQ1716">
        <v>0</v>
      </c>
      <c r="BR1716">
        <v>0</v>
      </c>
      <c r="BS1716">
        <v>0</v>
      </c>
      <c r="BT1716">
        <v>0</v>
      </c>
      <c r="BU1716">
        <v>0</v>
      </c>
      <c r="BV1716">
        <v>0</v>
      </c>
      <c r="BW1716" t="s">
        <v>0</v>
      </c>
      <c r="BX1716">
        <v>0</v>
      </c>
      <c r="BY1716">
        <v>0</v>
      </c>
      <c r="BZ1716">
        <v>0</v>
      </c>
      <c r="CA1716">
        <v>0</v>
      </c>
      <c r="CB1716" t="s">
        <v>145</v>
      </c>
    </row>
    <row r="1717" spans="41:80" x14ac:dyDescent="0.25">
      <c r="AO1717" s="12"/>
      <c r="AX1717" s="12"/>
      <c r="AY1717" s="12"/>
      <c r="AZ1717" s="12"/>
      <c r="BA1717" s="12"/>
      <c r="BB1717" s="12"/>
      <c r="BE1717" s="12"/>
      <c r="BF1717" s="12"/>
      <c r="BG1717" s="12"/>
      <c r="BH1717" s="12"/>
      <c r="BI1717" s="12"/>
      <c r="BK1717" s="12"/>
      <c r="BL1717" s="12"/>
      <c r="BM1717" s="12"/>
      <c r="BN1717" s="7"/>
      <c r="BO1717">
        <v>0</v>
      </c>
      <c r="BP1717">
        <v>0</v>
      </c>
      <c r="BQ1717">
        <v>0</v>
      </c>
      <c r="BR1717">
        <v>0</v>
      </c>
      <c r="BS1717">
        <v>0</v>
      </c>
      <c r="BT1717">
        <v>0</v>
      </c>
      <c r="BU1717">
        <v>0</v>
      </c>
      <c r="BV1717">
        <v>0</v>
      </c>
      <c r="BW1717" t="s">
        <v>0</v>
      </c>
      <c r="BX1717">
        <v>0</v>
      </c>
      <c r="BY1717">
        <v>0</v>
      </c>
      <c r="BZ1717">
        <v>0</v>
      </c>
      <c r="CA1717">
        <v>0</v>
      </c>
      <c r="CB1717" t="s">
        <v>145</v>
      </c>
    </row>
    <row r="1718" spans="41:80" x14ac:dyDescent="0.25">
      <c r="AO1718" s="12"/>
      <c r="AX1718" s="12"/>
      <c r="AY1718" s="12"/>
      <c r="AZ1718" s="12"/>
      <c r="BA1718" s="12"/>
      <c r="BB1718" s="12"/>
      <c r="BE1718" s="12"/>
      <c r="BF1718" s="12"/>
      <c r="BG1718" s="12"/>
      <c r="BH1718" s="12"/>
      <c r="BI1718" s="12"/>
      <c r="BK1718" s="12"/>
      <c r="BL1718" s="12"/>
      <c r="BM1718" s="12"/>
      <c r="BN1718" s="7"/>
      <c r="BO1718">
        <v>0</v>
      </c>
      <c r="BP1718">
        <v>0</v>
      </c>
      <c r="BQ1718">
        <v>0</v>
      </c>
      <c r="BR1718">
        <v>0</v>
      </c>
      <c r="BS1718">
        <v>0</v>
      </c>
      <c r="BT1718">
        <v>0</v>
      </c>
      <c r="BU1718">
        <v>0</v>
      </c>
      <c r="BV1718">
        <v>0</v>
      </c>
      <c r="BW1718" t="s">
        <v>0</v>
      </c>
      <c r="BX1718">
        <v>0</v>
      </c>
      <c r="BY1718">
        <v>0</v>
      </c>
      <c r="BZ1718">
        <v>0</v>
      </c>
      <c r="CA1718">
        <v>0</v>
      </c>
      <c r="CB1718" t="s">
        <v>145</v>
      </c>
    </row>
    <row r="1719" spans="41:80" x14ac:dyDescent="0.25">
      <c r="AO1719" s="12"/>
      <c r="AX1719" s="12"/>
      <c r="AY1719" s="12"/>
      <c r="AZ1719" s="12"/>
      <c r="BA1719" s="12"/>
      <c r="BB1719" s="12"/>
      <c r="BE1719" s="12"/>
      <c r="BF1719" s="12"/>
      <c r="BG1719" s="12"/>
      <c r="BH1719" s="12"/>
      <c r="BI1719" s="12"/>
      <c r="BK1719" s="12"/>
      <c r="BL1719" s="12"/>
      <c r="BM1719" s="12"/>
      <c r="BN1719" s="7"/>
      <c r="BO1719">
        <v>0</v>
      </c>
      <c r="BP1719">
        <v>0</v>
      </c>
      <c r="BQ1719">
        <v>0</v>
      </c>
      <c r="BR1719">
        <v>0</v>
      </c>
      <c r="BS1719">
        <v>0</v>
      </c>
      <c r="BT1719">
        <v>0</v>
      </c>
      <c r="BU1719">
        <v>0</v>
      </c>
      <c r="BV1719">
        <v>0</v>
      </c>
      <c r="BW1719" t="s">
        <v>0</v>
      </c>
      <c r="BX1719">
        <v>0</v>
      </c>
      <c r="BY1719">
        <v>0</v>
      </c>
      <c r="BZ1719">
        <v>0</v>
      </c>
      <c r="CA1719">
        <v>0</v>
      </c>
      <c r="CB1719" t="s">
        <v>145</v>
      </c>
    </row>
    <row r="1720" spans="41:80" x14ac:dyDescent="0.25">
      <c r="AO1720" s="12"/>
      <c r="AX1720" s="12"/>
      <c r="AY1720" s="12"/>
      <c r="AZ1720" s="12"/>
      <c r="BA1720" s="12"/>
      <c r="BB1720" s="12"/>
      <c r="BE1720" s="12"/>
      <c r="BF1720" s="12"/>
      <c r="BG1720" s="12"/>
      <c r="BH1720" s="12"/>
      <c r="BI1720" s="12"/>
      <c r="BK1720" s="12"/>
      <c r="BL1720" s="12"/>
      <c r="BM1720" s="12"/>
      <c r="BN1720" s="7"/>
      <c r="BO1720">
        <v>0</v>
      </c>
      <c r="BP1720">
        <v>0</v>
      </c>
      <c r="BQ1720">
        <v>0</v>
      </c>
      <c r="BR1720">
        <v>0</v>
      </c>
      <c r="BS1720">
        <v>0</v>
      </c>
      <c r="BT1720">
        <v>0</v>
      </c>
      <c r="BU1720">
        <v>0</v>
      </c>
      <c r="BV1720">
        <v>0</v>
      </c>
      <c r="BW1720" t="s">
        <v>0</v>
      </c>
      <c r="BX1720">
        <v>0</v>
      </c>
      <c r="BY1720">
        <v>0</v>
      </c>
      <c r="BZ1720">
        <v>0</v>
      </c>
      <c r="CA1720">
        <v>0</v>
      </c>
      <c r="CB1720" t="s">
        <v>145</v>
      </c>
    </row>
    <row r="1721" spans="41:80" x14ac:dyDescent="0.25">
      <c r="AO1721" s="12"/>
      <c r="AX1721" s="12"/>
      <c r="AY1721" s="12"/>
      <c r="AZ1721" s="12"/>
      <c r="BA1721" s="12"/>
      <c r="BB1721" s="12"/>
      <c r="BE1721" s="12"/>
      <c r="BF1721" s="12"/>
      <c r="BG1721" s="12"/>
      <c r="BH1721" s="12"/>
      <c r="BI1721" s="12"/>
      <c r="BK1721" s="12"/>
      <c r="BL1721" s="12"/>
      <c r="BM1721" s="12"/>
      <c r="BN1721" s="7"/>
      <c r="BO1721">
        <v>0</v>
      </c>
      <c r="BP1721">
        <v>0</v>
      </c>
      <c r="BQ1721">
        <v>0</v>
      </c>
      <c r="BR1721">
        <v>0</v>
      </c>
      <c r="BS1721">
        <v>0</v>
      </c>
      <c r="BT1721">
        <v>0</v>
      </c>
      <c r="BU1721">
        <v>0</v>
      </c>
      <c r="BV1721">
        <v>0</v>
      </c>
      <c r="BW1721" t="s">
        <v>0</v>
      </c>
      <c r="BX1721">
        <v>0</v>
      </c>
      <c r="BY1721">
        <v>0</v>
      </c>
      <c r="BZ1721">
        <v>0</v>
      </c>
      <c r="CA1721">
        <v>0</v>
      </c>
      <c r="CB1721" t="s">
        <v>145</v>
      </c>
    </row>
    <row r="1722" spans="41:80" x14ac:dyDescent="0.25">
      <c r="AO1722" s="12"/>
      <c r="AX1722" s="12"/>
      <c r="AY1722" s="12"/>
      <c r="AZ1722" s="12"/>
      <c r="BA1722" s="12"/>
      <c r="BB1722" s="12"/>
      <c r="BE1722" s="12"/>
      <c r="BF1722" s="12"/>
      <c r="BG1722" s="12"/>
      <c r="BH1722" s="12"/>
      <c r="BI1722" s="12"/>
      <c r="BK1722" s="12"/>
      <c r="BL1722" s="12"/>
      <c r="BM1722" s="12"/>
      <c r="BN1722" s="7"/>
      <c r="BO1722">
        <v>0</v>
      </c>
      <c r="BP1722">
        <v>0</v>
      </c>
      <c r="BQ1722">
        <v>0</v>
      </c>
      <c r="BR1722">
        <v>0</v>
      </c>
      <c r="BS1722">
        <v>0</v>
      </c>
      <c r="BT1722">
        <v>0</v>
      </c>
      <c r="BU1722">
        <v>0</v>
      </c>
      <c r="BV1722">
        <v>0</v>
      </c>
      <c r="BW1722" t="s">
        <v>0</v>
      </c>
      <c r="BX1722">
        <v>0</v>
      </c>
      <c r="BY1722">
        <v>0</v>
      </c>
      <c r="BZ1722">
        <v>0</v>
      </c>
      <c r="CA1722">
        <v>0</v>
      </c>
      <c r="CB1722" t="s">
        <v>145</v>
      </c>
    </row>
    <row r="1723" spans="41:80" x14ac:dyDescent="0.25">
      <c r="AO1723" s="12"/>
      <c r="AX1723" s="12"/>
      <c r="AY1723" s="12"/>
      <c r="AZ1723" s="12"/>
      <c r="BA1723" s="12"/>
      <c r="BB1723" s="12"/>
      <c r="BE1723" s="12"/>
      <c r="BF1723" s="12"/>
      <c r="BG1723" s="12"/>
      <c r="BH1723" s="12"/>
      <c r="BI1723" s="12"/>
      <c r="BK1723" s="12"/>
      <c r="BL1723" s="12"/>
      <c r="BM1723" s="12"/>
      <c r="BN1723" s="7"/>
      <c r="BO1723">
        <v>0</v>
      </c>
      <c r="BP1723">
        <v>0</v>
      </c>
      <c r="BQ1723">
        <v>0</v>
      </c>
      <c r="BR1723">
        <v>0</v>
      </c>
      <c r="BS1723">
        <v>0</v>
      </c>
      <c r="BT1723">
        <v>0</v>
      </c>
      <c r="BU1723">
        <v>0</v>
      </c>
      <c r="BV1723">
        <v>0</v>
      </c>
      <c r="BW1723" t="s">
        <v>0</v>
      </c>
      <c r="BX1723">
        <v>0</v>
      </c>
      <c r="BY1723">
        <v>0</v>
      </c>
      <c r="BZ1723">
        <v>0</v>
      </c>
      <c r="CA1723">
        <v>0</v>
      </c>
      <c r="CB1723" t="s">
        <v>145</v>
      </c>
    </row>
    <row r="1724" spans="41:80" x14ac:dyDescent="0.25">
      <c r="AO1724" s="12"/>
      <c r="AX1724" s="12"/>
      <c r="AY1724" s="12"/>
      <c r="AZ1724" s="12"/>
      <c r="BA1724" s="12"/>
      <c r="BB1724" s="12"/>
      <c r="BE1724" s="12"/>
      <c r="BF1724" s="12"/>
      <c r="BG1724" s="12"/>
      <c r="BH1724" s="12"/>
      <c r="BI1724" s="12"/>
      <c r="BK1724" s="12"/>
      <c r="BL1724" s="12"/>
      <c r="BM1724" s="12"/>
      <c r="BN1724" s="7"/>
      <c r="BO1724">
        <v>0</v>
      </c>
      <c r="BP1724">
        <v>0</v>
      </c>
      <c r="BQ1724">
        <v>0</v>
      </c>
      <c r="BR1724">
        <v>0</v>
      </c>
      <c r="BS1724">
        <v>0</v>
      </c>
      <c r="BT1724">
        <v>0</v>
      </c>
      <c r="BU1724">
        <v>0</v>
      </c>
      <c r="BV1724">
        <v>0</v>
      </c>
      <c r="BW1724" t="s">
        <v>0</v>
      </c>
      <c r="BX1724">
        <v>0</v>
      </c>
      <c r="BY1724">
        <v>0</v>
      </c>
      <c r="BZ1724">
        <v>0</v>
      </c>
      <c r="CA1724">
        <v>0</v>
      </c>
      <c r="CB1724" t="s">
        <v>145</v>
      </c>
    </row>
    <row r="1725" spans="41:80" x14ac:dyDescent="0.25">
      <c r="AO1725" s="12"/>
      <c r="AX1725" s="12"/>
      <c r="AY1725" s="12"/>
      <c r="AZ1725" s="12"/>
      <c r="BA1725" s="12"/>
      <c r="BB1725" s="12"/>
      <c r="BE1725" s="12"/>
      <c r="BF1725" s="12"/>
      <c r="BG1725" s="12"/>
      <c r="BH1725" s="12"/>
      <c r="BI1725" s="12"/>
      <c r="BK1725" s="12"/>
      <c r="BL1725" s="12"/>
      <c r="BM1725" s="12"/>
      <c r="BN1725" s="7"/>
      <c r="BO1725">
        <v>0</v>
      </c>
      <c r="BP1725">
        <v>0</v>
      </c>
      <c r="BQ1725">
        <v>0</v>
      </c>
      <c r="BR1725">
        <v>0</v>
      </c>
      <c r="BS1725">
        <v>0</v>
      </c>
      <c r="BT1725">
        <v>0</v>
      </c>
      <c r="BU1725">
        <v>0</v>
      </c>
      <c r="BV1725">
        <v>0</v>
      </c>
      <c r="BW1725" t="s">
        <v>0</v>
      </c>
      <c r="BX1725">
        <v>0</v>
      </c>
      <c r="BY1725">
        <v>0</v>
      </c>
      <c r="BZ1725">
        <v>0</v>
      </c>
      <c r="CA1725">
        <v>0</v>
      </c>
      <c r="CB1725" t="s">
        <v>145</v>
      </c>
    </row>
    <row r="1726" spans="41:80" x14ac:dyDescent="0.25">
      <c r="AO1726" s="12"/>
      <c r="AX1726" s="12"/>
      <c r="AY1726" s="12"/>
      <c r="AZ1726" s="12"/>
      <c r="BA1726" s="12"/>
      <c r="BB1726" s="12"/>
      <c r="BE1726" s="12"/>
      <c r="BF1726" s="12"/>
      <c r="BG1726" s="12"/>
      <c r="BH1726" s="12"/>
      <c r="BI1726" s="12"/>
      <c r="BK1726" s="12"/>
      <c r="BL1726" s="12"/>
      <c r="BM1726" s="12"/>
      <c r="BN1726" s="7"/>
      <c r="BO1726">
        <v>0</v>
      </c>
      <c r="BP1726">
        <v>0</v>
      </c>
      <c r="BQ1726">
        <v>0</v>
      </c>
      <c r="BR1726">
        <v>0</v>
      </c>
      <c r="BS1726">
        <v>0</v>
      </c>
      <c r="BT1726">
        <v>0</v>
      </c>
      <c r="BU1726">
        <v>0</v>
      </c>
      <c r="BV1726">
        <v>0</v>
      </c>
      <c r="BW1726" t="s">
        <v>0</v>
      </c>
      <c r="BX1726">
        <v>0</v>
      </c>
      <c r="BY1726">
        <v>0</v>
      </c>
      <c r="BZ1726">
        <v>0</v>
      </c>
      <c r="CA1726">
        <v>0</v>
      </c>
      <c r="CB1726" t="s">
        <v>145</v>
      </c>
    </row>
    <row r="1727" spans="41:80" x14ac:dyDescent="0.25">
      <c r="AO1727" s="12"/>
      <c r="AX1727" s="12"/>
      <c r="AY1727" s="12"/>
      <c r="AZ1727" s="12"/>
      <c r="BA1727" s="12"/>
      <c r="BB1727" s="12"/>
      <c r="BE1727" s="12"/>
      <c r="BF1727" s="12"/>
      <c r="BG1727" s="12"/>
      <c r="BH1727" s="12"/>
      <c r="BI1727" s="12"/>
      <c r="BK1727" s="12"/>
      <c r="BL1727" s="12"/>
      <c r="BM1727" s="12"/>
      <c r="BN1727" s="7"/>
      <c r="BO1727">
        <v>0</v>
      </c>
      <c r="BP1727">
        <v>0</v>
      </c>
      <c r="BQ1727">
        <v>0</v>
      </c>
      <c r="BR1727">
        <v>0</v>
      </c>
      <c r="BS1727">
        <v>0</v>
      </c>
      <c r="BT1727">
        <v>0</v>
      </c>
      <c r="BU1727">
        <v>0</v>
      </c>
      <c r="BV1727">
        <v>0</v>
      </c>
      <c r="BW1727" t="s">
        <v>0</v>
      </c>
      <c r="BX1727">
        <v>0</v>
      </c>
      <c r="BY1727">
        <v>0</v>
      </c>
      <c r="BZ1727">
        <v>0</v>
      </c>
      <c r="CA1727">
        <v>0</v>
      </c>
      <c r="CB1727" t="s">
        <v>145</v>
      </c>
    </row>
    <row r="1728" spans="41:80" x14ac:dyDescent="0.25">
      <c r="AO1728" s="12"/>
      <c r="AX1728" s="12"/>
      <c r="AY1728" s="12"/>
      <c r="AZ1728" s="12"/>
      <c r="BA1728" s="12"/>
      <c r="BB1728" s="12"/>
      <c r="BE1728" s="12"/>
      <c r="BF1728" s="12"/>
      <c r="BG1728" s="12"/>
      <c r="BH1728" s="12"/>
      <c r="BI1728" s="12"/>
      <c r="BK1728" s="12"/>
      <c r="BL1728" s="12"/>
      <c r="BM1728" s="12"/>
      <c r="BN1728" s="7"/>
      <c r="BO1728">
        <v>0</v>
      </c>
      <c r="BP1728">
        <v>0</v>
      </c>
      <c r="BQ1728">
        <v>0</v>
      </c>
      <c r="BR1728">
        <v>0</v>
      </c>
      <c r="BS1728">
        <v>0</v>
      </c>
      <c r="BT1728">
        <v>0</v>
      </c>
      <c r="BU1728">
        <v>0</v>
      </c>
      <c r="BV1728">
        <v>0</v>
      </c>
      <c r="BW1728" t="s">
        <v>0</v>
      </c>
      <c r="BX1728">
        <v>0</v>
      </c>
      <c r="BY1728">
        <v>0</v>
      </c>
      <c r="BZ1728">
        <v>0</v>
      </c>
      <c r="CA1728">
        <v>0</v>
      </c>
      <c r="CB1728" t="s">
        <v>145</v>
      </c>
    </row>
    <row r="1729" spans="1:80" x14ac:dyDescent="0.25">
      <c r="AO1729" s="12"/>
      <c r="AX1729" s="12"/>
      <c r="AY1729" s="12"/>
      <c r="AZ1729" s="12"/>
      <c r="BA1729" s="12"/>
      <c r="BB1729" s="12"/>
      <c r="BE1729" s="12"/>
      <c r="BF1729" s="12"/>
      <c r="BG1729" s="12"/>
      <c r="BH1729" s="12"/>
      <c r="BI1729" s="12"/>
      <c r="BK1729" s="12"/>
      <c r="BL1729" s="12"/>
      <c r="BM1729" s="12"/>
      <c r="BN1729" s="7"/>
      <c r="BO1729">
        <v>0</v>
      </c>
      <c r="BP1729">
        <v>0</v>
      </c>
      <c r="BQ1729">
        <v>0</v>
      </c>
      <c r="BR1729">
        <v>0</v>
      </c>
      <c r="BS1729">
        <v>0</v>
      </c>
      <c r="BT1729">
        <v>0</v>
      </c>
      <c r="BU1729">
        <v>0</v>
      </c>
      <c r="BV1729">
        <v>0</v>
      </c>
      <c r="BW1729" t="s">
        <v>0</v>
      </c>
      <c r="BX1729">
        <v>0</v>
      </c>
      <c r="BY1729">
        <v>0</v>
      </c>
      <c r="BZ1729">
        <v>0</v>
      </c>
      <c r="CA1729">
        <v>0</v>
      </c>
      <c r="CB1729" t="s">
        <v>145</v>
      </c>
    </row>
    <row r="1730" spans="1:80" x14ac:dyDescent="0.25">
      <c r="AO1730" s="12"/>
      <c r="AX1730" s="12"/>
      <c r="AY1730" s="12"/>
      <c r="AZ1730" s="12"/>
      <c r="BA1730" s="12"/>
      <c r="BB1730" s="12"/>
      <c r="BE1730" s="12"/>
      <c r="BF1730" s="12"/>
      <c r="BG1730" s="12"/>
      <c r="BH1730" s="12"/>
      <c r="BI1730" s="12"/>
      <c r="BK1730" s="12"/>
      <c r="BL1730" s="12"/>
      <c r="BM1730" s="12"/>
      <c r="BN1730" s="7"/>
      <c r="BO1730">
        <v>0</v>
      </c>
      <c r="BP1730">
        <v>0</v>
      </c>
      <c r="BQ1730">
        <v>0</v>
      </c>
      <c r="BR1730">
        <v>0</v>
      </c>
      <c r="BS1730">
        <v>0</v>
      </c>
      <c r="BT1730">
        <v>0</v>
      </c>
      <c r="BU1730">
        <v>0</v>
      </c>
      <c r="BV1730">
        <v>0</v>
      </c>
      <c r="BW1730" t="s">
        <v>0</v>
      </c>
      <c r="BX1730">
        <v>0</v>
      </c>
      <c r="BY1730">
        <v>0</v>
      </c>
      <c r="BZ1730">
        <v>0</v>
      </c>
      <c r="CA1730">
        <v>0</v>
      </c>
      <c r="CB1730" t="s">
        <v>145</v>
      </c>
    </row>
    <row r="1731" spans="1:80" x14ac:dyDescent="0.25">
      <c r="AO1731" s="12"/>
      <c r="AX1731" s="12"/>
      <c r="AY1731" s="12"/>
      <c r="AZ1731" s="12"/>
      <c r="BA1731" s="12"/>
      <c r="BB1731" s="12"/>
      <c r="BE1731" s="12"/>
      <c r="BF1731" s="12"/>
      <c r="BG1731" s="12"/>
      <c r="BH1731" s="12"/>
      <c r="BI1731" s="12"/>
      <c r="BK1731" s="12"/>
      <c r="BL1731" s="12"/>
      <c r="BM1731" s="12"/>
      <c r="BN1731" s="7"/>
      <c r="BO1731">
        <v>0</v>
      </c>
      <c r="BP1731">
        <v>0</v>
      </c>
      <c r="BQ1731">
        <v>0</v>
      </c>
      <c r="BR1731">
        <v>0</v>
      </c>
      <c r="BS1731">
        <v>0</v>
      </c>
      <c r="BT1731">
        <v>0</v>
      </c>
      <c r="BU1731">
        <v>0</v>
      </c>
      <c r="BV1731">
        <v>0</v>
      </c>
      <c r="BW1731" t="s">
        <v>0</v>
      </c>
      <c r="BX1731">
        <v>0</v>
      </c>
      <c r="BY1731">
        <v>0</v>
      </c>
      <c r="BZ1731">
        <v>0</v>
      </c>
      <c r="CA1731">
        <v>0</v>
      </c>
      <c r="CB1731" t="s">
        <v>145</v>
      </c>
    </row>
    <row r="1732" spans="1:80" x14ac:dyDescent="0.25">
      <c r="AO1732" s="12"/>
      <c r="AX1732" s="12"/>
      <c r="AY1732" s="12"/>
      <c r="AZ1732" s="12"/>
      <c r="BA1732" s="12"/>
      <c r="BB1732" s="12"/>
      <c r="BE1732" s="12"/>
      <c r="BF1732" s="12"/>
      <c r="BG1732" s="12"/>
      <c r="BH1732" s="12"/>
      <c r="BI1732" s="12"/>
      <c r="BK1732" s="12"/>
      <c r="BL1732" s="12"/>
      <c r="BM1732" s="12"/>
      <c r="BN1732" s="7"/>
      <c r="BO1732">
        <v>0</v>
      </c>
      <c r="BP1732">
        <v>0</v>
      </c>
      <c r="BQ1732">
        <v>0</v>
      </c>
      <c r="BR1732">
        <v>0</v>
      </c>
      <c r="BS1732">
        <v>0</v>
      </c>
      <c r="BT1732">
        <v>0</v>
      </c>
      <c r="BU1732">
        <v>0</v>
      </c>
      <c r="BV1732">
        <v>0</v>
      </c>
      <c r="BW1732" t="s">
        <v>0</v>
      </c>
      <c r="BX1732">
        <v>0</v>
      </c>
      <c r="BY1732">
        <v>0</v>
      </c>
      <c r="BZ1732">
        <v>0</v>
      </c>
      <c r="CA1732">
        <v>0</v>
      </c>
      <c r="CB1732" t="s">
        <v>145</v>
      </c>
    </row>
    <row r="1733" spans="1:80" x14ac:dyDescent="0.25">
      <c r="AO1733" s="12"/>
      <c r="AX1733" s="12"/>
      <c r="AY1733" s="12"/>
      <c r="AZ1733" s="12"/>
      <c r="BA1733" s="12"/>
      <c r="BB1733" s="12"/>
      <c r="BE1733" s="12"/>
      <c r="BF1733" s="12"/>
      <c r="BG1733" s="12"/>
      <c r="BH1733" s="12"/>
      <c r="BI1733" s="12"/>
      <c r="BK1733" s="12"/>
      <c r="BL1733" s="12"/>
      <c r="BM1733" s="12"/>
      <c r="BN1733" s="7"/>
      <c r="BO1733">
        <v>0</v>
      </c>
      <c r="BP1733">
        <v>0</v>
      </c>
      <c r="BQ1733">
        <v>0</v>
      </c>
      <c r="BR1733">
        <v>0</v>
      </c>
      <c r="BS1733">
        <v>0</v>
      </c>
      <c r="BT1733">
        <v>0</v>
      </c>
      <c r="BU1733">
        <v>0</v>
      </c>
      <c r="BV1733">
        <v>0</v>
      </c>
      <c r="BW1733" t="s">
        <v>0</v>
      </c>
      <c r="BX1733">
        <v>0</v>
      </c>
      <c r="BY1733">
        <v>0</v>
      </c>
      <c r="BZ1733">
        <v>0</v>
      </c>
      <c r="CA1733">
        <v>0</v>
      </c>
      <c r="CB1733" t="s">
        <v>145</v>
      </c>
    </row>
    <row r="1734" spans="1:80" x14ac:dyDescent="0.25">
      <c r="AO1734" s="12"/>
      <c r="AX1734" s="12"/>
      <c r="AY1734" s="12"/>
      <c r="AZ1734" s="12"/>
      <c r="BA1734" s="12"/>
      <c r="BB1734" s="12"/>
      <c r="BE1734" s="12"/>
      <c r="BF1734" s="12"/>
      <c r="BG1734" s="12"/>
      <c r="BH1734" s="12"/>
      <c r="BI1734" s="12"/>
      <c r="BK1734" s="12"/>
      <c r="BL1734" s="12"/>
      <c r="BM1734" s="12"/>
      <c r="BN1734" s="7"/>
      <c r="BO1734">
        <v>0</v>
      </c>
      <c r="BP1734">
        <v>0</v>
      </c>
      <c r="BQ1734">
        <v>0</v>
      </c>
      <c r="BR1734">
        <v>0</v>
      </c>
      <c r="BS1734">
        <v>0</v>
      </c>
      <c r="BT1734">
        <v>0</v>
      </c>
      <c r="BU1734">
        <v>0</v>
      </c>
      <c r="BV1734">
        <v>0</v>
      </c>
      <c r="BW1734" t="s">
        <v>0</v>
      </c>
      <c r="BX1734">
        <v>0</v>
      </c>
      <c r="BY1734">
        <v>0</v>
      </c>
      <c r="BZ1734">
        <v>0</v>
      </c>
      <c r="CA1734">
        <v>0</v>
      </c>
      <c r="CB1734" t="s">
        <v>145</v>
      </c>
    </row>
    <row r="1735" spans="1:80" x14ac:dyDescent="0.25">
      <c r="AO1735" s="12"/>
      <c r="AX1735" s="12"/>
      <c r="AY1735" s="12"/>
      <c r="AZ1735" s="12"/>
      <c r="BA1735" s="12"/>
      <c r="BB1735" s="12"/>
      <c r="BE1735" s="12"/>
      <c r="BF1735" s="12"/>
      <c r="BG1735" s="12"/>
      <c r="BH1735" s="12"/>
      <c r="BI1735" s="12"/>
      <c r="BK1735" s="12"/>
      <c r="BL1735" s="12"/>
      <c r="BM1735" s="12"/>
      <c r="BN1735" s="7"/>
      <c r="BO1735">
        <v>0</v>
      </c>
      <c r="BP1735">
        <v>0</v>
      </c>
      <c r="BQ1735">
        <v>0</v>
      </c>
      <c r="BR1735">
        <v>0</v>
      </c>
      <c r="BS1735">
        <v>0</v>
      </c>
      <c r="BT1735">
        <v>0</v>
      </c>
      <c r="BU1735">
        <v>0</v>
      </c>
      <c r="BV1735">
        <v>0</v>
      </c>
      <c r="BW1735" t="s">
        <v>0</v>
      </c>
      <c r="BX1735">
        <v>0</v>
      </c>
      <c r="BY1735">
        <v>0</v>
      </c>
      <c r="BZ1735">
        <v>0</v>
      </c>
      <c r="CA1735">
        <v>0</v>
      </c>
      <c r="CB1735" t="s">
        <v>145</v>
      </c>
    </row>
    <row r="1736" spans="1:80" x14ac:dyDescent="0.25">
      <c r="AO1736" s="12"/>
      <c r="AX1736" s="12"/>
      <c r="AY1736" s="12"/>
      <c r="AZ1736" s="12"/>
      <c r="BA1736" s="12"/>
      <c r="BB1736" s="12"/>
      <c r="BE1736" s="12"/>
      <c r="BF1736" s="12"/>
      <c r="BG1736" s="12"/>
      <c r="BH1736" s="12"/>
      <c r="BI1736" s="12"/>
      <c r="BK1736" s="12"/>
      <c r="BL1736" s="12"/>
      <c r="BM1736" s="12"/>
      <c r="BN1736" s="7"/>
      <c r="BO1736">
        <v>0</v>
      </c>
      <c r="BP1736">
        <v>0</v>
      </c>
      <c r="BQ1736">
        <v>0</v>
      </c>
      <c r="BR1736">
        <v>0</v>
      </c>
      <c r="BS1736">
        <v>0</v>
      </c>
      <c r="BT1736">
        <v>0</v>
      </c>
      <c r="BU1736">
        <v>0</v>
      </c>
      <c r="BV1736">
        <v>0</v>
      </c>
      <c r="BW1736" t="s">
        <v>0</v>
      </c>
      <c r="BX1736">
        <v>0</v>
      </c>
      <c r="BY1736">
        <v>0</v>
      </c>
      <c r="BZ1736">
        <v>0</v>
      </c>
      <c r="CA1736">
        <v>0</v>
      </c>
      <c r="CB1736" t="s">
        <v>145</v>
      </c>
    </row>
    <row r="1737" spans="1:80" x14ac:dyDescent="0.25">
      <c r="AO1737" s="12"/>
      <c r="AX1737" s="12"/>
      <c r="AY1737" s="12"/>
      <c r="AZ1737" s="12"/>
      <c r="BA1737" s="12"/>
      <c r="BB1737" s="12"/>
      <c r="BE1737" s="12"/>
      <c r="BF1737" s="12"/>
      <c r="BG1737" s="12"/>
      <c r="BH1737" s="12"/>
      <c r="BI1737" s="12"/>
      <c r="BK1737" s="12"/>
      <c r="BL1737" s="12"/>
      <c r="BM1737" s="12"/>
      <c r="BN1737" s="7"/>
      <c r="BO1737">
        <v>0</v>
      </c>
      <c r="BP1737">
        <v>0</v>
      </c>
      <c r="BQ1737">
        <v>0</v>
      </c>
      <c r="BR1737">
        <v>0</v>
      </c>
      <c r="BS1737">
        <v>0</v>
      </c>
      <c r="BT1737">
        <v>0</v>
      </c>
      <c r="BU1737">
        <v>0</v>
      </c>
      <c r="BV1737">
        <v>0</v>
      </c>
      <c r="BW1737" t="s">
        <v>0</v>
      </c>
      <c r="BX1737">
        <v>0</v>
      </c>
      <c r="BY1737">
        <v>0</v>
      </c>
      <c r="BZ1737">
        <v>0</v>
      </c>
      <c r="CA1737">
        <v>0</v>
      </c>
      <c r="CB1737" t="s">
        <v>145</v>
      </c>
    </row>
    <row r="1738" spans="1:80" x14ac:dyDescent="0.25">
      <c r="AO1738" s="12"/>
      <c r="AX1738" s="12"/>
      <c r="AY1738" s="12"/>
      <c r="AZ1738" s="12"/>
      <c r="BA1738" s="12"/>
      <c r="BB1738" s="12"/>
      <c r="BE1738" s="12"/>
      <c r="BF1738" s="12"/>
      <c r="BG1738" s="12"/>
      <c r="BH1738" s="12"/>
      <c r="BI1738" s="12"/>
      <c r="BK1738" s="12"/>
      <c r="BL1738" s="12"/>
      <c r="BM1738" s="12"/>
      <c r="BN1738" s="7"/>
      <c r="BO1738">
        <v>0</v>
      </c>
      <c r="BP1738">
        <v>0</v>
      </c>
      <c r="BQ1738">
        <v>0</v>
      </c>
      <c r="BR1738">
        <v>0</v>
      </c>
      <c r="BS1738">
        <v>0</v>
      </c>
      <c r="BT1738">
        <v>0</v>
      </c>
      <c r="BU1738">
        <v>0</v>
      </c>
      <c r="BV1738">
        <v>0</v>
      </c>
      <c r="BW1738" t="s">
        <v>0</v>
      </c>
      <c r="BX1738">
        <v>0</v>
      </c>
      <c r="BY1738">
        <v>0</v>
      </c>
      <c r="BZ1738">
        <v>0</v>
      </c>
      <c r="CA1738">
        <v>0</v>
      </c>
      <c r="CB1738" t="s">
        <v>145</v>
      </c>
    </row>
    <row r="1739" spans="1:80" x14ac:dyDescent="0.25">
      <c r="AO1739" s="12"/>
      <c r="AX1739" s="12"/>
      <c r="AY1739" s="12"/>
      <c r="AZ1739" s="12"/>
      <c r="BA1739" s="12"/>
      <c r="BB1739" s="12"/>
      <c r="BE1739" s="12"/>
      <c r="BF1739" s="12"/>
      <c r="BG1739" s="12"/>
      <c r="BH1739" s="12"/>
      <c r="BI1739" s="12"/>
      <c r="BK1739" s="12"/>
      <c r="BL1739" s="12"/>
      <c r="BM1739" s="12"/>
      <c r="BN1739" s="7"/>
      <c r="BO1739">
        <v>0</v>
      </c>
      <c r="BP1739">
        <v>0</v>
      </c>
      <c r="BQ1739">
        <v>0</v>
      </c>
      <c r="BR1739">
        <v>0</v>
      </c>
      <c r="BS1739">
        <v>0</v>
      </c>
      <c r="BT1739">
        <v>0</v>
      </c>
      <c r="BU1739">
        <v>0</v>
      </c>
      <c r="BV1739">
        <v>0</v>
      </c>
      <c r="BW1739" t="s">
        <v>0</v>
      </c>
      <c r="BX1739">
        <v>0</v>
      </c>
      <c r="BY1739">
        <v>0</v>
      </c>
      <c r="BZ1739">
        <v>0</v>
      </c>
      <c r="CA1739">
        <v>0</v>
      </c>
      <c r="CB1739" t="s">
        <v>145</v>
      </c>
    </row>
    <row r="1740" spans="1:80" x14ac:dyDescent="0.25">
      <c r="A1740" s="13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4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4"/>
      <c r="BF1740" s="13"/>
      <c r="BG1740" s="13"/>
      <c r="BH1740" s="13"/>
      <c r="BI1740" s="13"/>
      <c r="BK1740" s="13"/>
      <c r="BL1740" s="13"/>
      <c r="BM1740" s="15"/>
      <c r="BN1740" s="13"/>
      <c r="BO1740" s="13">
        <v>0</v>
      </c>
      <c r="BP1740" s="13">
        <v>0</v>
      </c>
      <c r="BQ1740" s="13">
        <v>0</v>
      </c>
      <c r="BR1740" s="13">
        <v>0</v>
      </c>
      <c r="BS1740" s="13">
        <v>0</v>
      </c>
      <c r="BT1740" s="13">
        <v>0</v>
      </c>
      <c r="BU1740" s="13">
        <v>0</v>
      </c>
      <c r="BV1740" s="13">
        <v>0</v>
      </c>
      <c r="BW1740" s="13" t="s">
        <v>0</v>
      </c>
      <c r="BX1740" s="13">
        <v>0</v>
      </c>
      <c r="BY1740" s="13">
        <v>0</v>
      </c>
      <c r="BZ1740" s="13">
        <v>0</v>
      </c>
      <c r="CA1740" s="13">
        <v>0</v>
      </c>
      <c r="CB1740" s="13" t="s">
        <v>145</v>
      </c>
    </row>
    <row r="1741" spans="1:80" x14ac:dyDescent="0.25">
      <c r="BO1741">
        <v>0</v>
      </c>
      <c r="BP1741">
        <v>0</v>
      </c>
      <c r="BQ1741">
        <v>0</v>
      </c>
      <c r="BR1741">
        <v>0</v>
      </c>
      <c r="BS1741">
        <v>0</v>
      </c>
      <c r="BT1741">
        <v>0</v>
      </c>
      <c r="BU1741">
        <v>0</v>
      </c>
      <c r="BV1741">
        <v>0</v>
      </c>
      <c r="BW1741" t="s">
        <v>0</v>
      </c>
      <c r="BX1741">
        <v>0</v>
      </c>
      <c r="BY1741">
        <v>0</v>
      </c>
      <c r="BZ1741">
        <v>0</v>
      </c>
      <c r="CA1741">
        <v>0</v>
      </c>
      <c r="CB1741" t="s">
        <v>145</v>
      </c>
    </row>
    <row r="1742" spans="1:80" x14ac:dyDescent="0.25">
      <c r="BO1742">
        <v>0</v>
      </c>
      <c r="BP1742">
        <v>0</v>
      </c>
      <c r="BQ1742">
        <v>0</v>
      </c>
      <c r="BR1742">
        <v>0</v>
      </c>
      <c r="BS1742">
        <v>0</v>
      </c>
      <c r="BT1742">
        <v>0</v>
      </c>
      <c r="BU1742">
        <v>0</v>
      </c>
      <c r="BV1742">
        <v>0</v>
      </c>
      <c r="BW1742" t="s">
        <v>0</v>
      </c>
      <c r="BX1742">
        <v>0</v>
      </c>
      <c r="BY1742">
        <v>0</v>
      </c>
      <c r="BZ1742">
        <v>0</v>
      </c>
      <c r="CA1742">
        <v>0</v>
      </c>
      <c r="CB1742" t="s">
        <v>145</v>
      </c>
    </row>
    <row r="1743" spans="1:80" x14ac:dyDescent="0.25">
      <c r="BO1743">
        <v>0</v>
      </c>
      <c r="BP1743">
        <v>0</v>
      </c>
      <c r="BQ1743">
        <v>0</v>
      </c>
      <c r="BR1743">
        <v>0</v>
      </c>
      <c r="BS1743">
        <v>0</v>
      </c>
      <c r="BT1743">
        <v>0</v>
      </c>
      <c r="BU1743">
        <v>0</v>
      </c>
      <c r="BV1743">
        <v>0</v>
      </c>
      <c r="BW1743" t="s">
        <v>0</v>
      </c>
      <c r="BX1743">
        <v>0</v>
      </c>
      <c r="BY1743">
        <v>0</v>
      </c>
      <c r="BZ1743">
        <v>0</v>
      </c>
      <c r="CA1743">
        <v>0</v>
      </c>
      <c r="CB1743" t="s">
        <v>145</v>
      </c>
    </row>
    <row r="1744" spans="1:80" x14ac:dyDescent="0.25">
      <c r="BO1744">
        <v>0</v>
      </c>
      <c r="BP1744">
        <v>0</v>
      </c>
      <c r="BQ1744">
        <v>0</v>
      </c>
      <c r="BR1744">
        <v>0</v>
      </c>
      <c r="BS1744">
        <v>0</v>
      </c>
      <c r="BT1744">
        <v>0</v>
      </c>
      <c r="BU1744">
        <v>0</v>
      </c>
      <c r="BV1744">
        <v>0</v>
      </c>
      <c r="BW1744" t="s">
        <v>0</v>
      </c>
      <c r="BX1744">
        <v>0</v>
      </c>
      <c r="BY1744">
        <v>0</v>
      </c>
      <c r="BZ1744">
        <v>0</v>
      </c>
      <c r="CA1744">
        <v>0</v>
      </c>
      <c r="CB1744" t="s">
        <v>145</v>
      </c>
    </row>
    <row r="1745" spans="67:80" x14ac:dyDescent="0.25">
      <c r="BO1745">
        <v>0</v>
      </c>
      <c r="BP1745">
        <v>0</v>
      </c>
      <c r="BQ1745">
        <v>0</v>
      </c>
      <c r="BR1745">
        <v>0</v>
      </c>
      <c r="BS1745">
        <v>0</v>
      </c>
      <c r="BT1745">
        <v>0</v>
      </c>
      <c r="BU1745">
        <v>0</v>
      </c>
      <c r="BV1745">
        <v>0</v>
      </c>
      <c r="BW1745" t="s">
        <v>0</v>
      </c>
      <c r="BX1745">
        <v>0</v>
      </c>
      <c r="BY1745">
        <v>0</v>
      </c>
      <c r="BZ1745">
        <v>0</v>
      </c>
      <c r="CA1745">
        <v>0</v>
      </c>
      <c r="CB1745" t="s">
        <v>145</v>
      </c>
    </row>
    <row r="1746" spans="67:80" x14ac:dyDescent="0.25">
      <c r="BO1746">
        <v>0</v>
      </c>
      <c r="BP1746">
        <v>0</v>
      </c>
      <c r="BQ1746">
        <v>0</v>
      </c>
      <c r="BR1746">
        <v>0</v>
      </c>
      <c r="BS1746">
        <v>0</v>
      </c>
      <c r="BT1746">
        <v>0</v>
      </c>
      <c r="BU1746">
        <v>0</v>
      </c>
      <c r="BV1746">
        <v>0</v>
      </c>
      <c r="BW1746" t="s">
        <v>0</v>
      </c>
      <c r="BX1746">
        <v>0</v>
      </c>
      <c r="BY1746">
        <v>0</v>
      </c>
      <c r="BZ1746">
        <v>0</v>
      </c>
      <c r="CA1746">
        <v>0</v>
      </c>
      <c r="CB1746" t="s">
        <v>145</v>
      </c>
    </row>
    <row r="1747" spans="67:80" x14ac:dyDescent="0.25">
      <c r="BO1747">
        <v>0</v>
      </c>
      <c r="BP1747">
        <v>0</v>
      </c>
      <c r="BQ1747">
        <v>0</v>
      </c>
      <c r="BR1747">
        <v>0</v>
      </c>
      <c r="BS1747">
        <v>0</v>
      </c>
      <c r="BT1747">
        <v>0</v>
      </c>
      <c r="BU1747">
        <v>0</v>
      </c>
      <c r="BV1747">
        <v>0</v>
      </c>
      <c r="BW1747" t="s">
        <v>0</v>
      </c>
      <c r="BX1747">
        <v>0</v>
      </c>
      <c r="BY1747">
        <v>0</v>
      </c>
      <c r="BZ1747">
        <v>0</v>
      </c>
      <c r="CA1747">
        <v>0</v>
      </c>
      <c r="CB1747" t="s">
        <v>145</v>
      </c>
    </row>
    <row r="1748" spans="67:80" x14ac:dyDescent="0.25">
      <c r="BO1748">
        <v>0</v>
      </c>
      <c r="BP1748">
        <v>0</v>
      </c>
      <c r="BQ1748">
        <v>0</v>
      </c>
      <c r="BR1748">
        <v>0</v>
      </c>
      <c r="BS1748">
        <v>0</v>
      </c>
      <c r="BT1748">
        <v>0</v>
      </c>
      <c r="BU1748">
        <v>0</v>
      </c>
      <c r="BV1748">
        <v>0</v>
      </c>
      <c r="BW1748" t="s">
        <v>0</v>
      </c>
      <c r="BX1748">
        <v>0</v>
      </c>
      <c r="BY1748">
        <v>0</v>
      </c>
      <c r="BZ1748">
        <v>0</v>
      </c>
      <c r="CA1748">
        <v>0</v>
      </c>
      <c r="CB1748" t="s">
        <v>145</v>
      </c>
    </row>
    <row r="1749" spans="67:80" x14ac:dyDescent="0.25">
      <c r="BO1749">
        <v>0</v>
      </c>
      <c r="BP1749">
        <v>0</v>
      </c>
      <c r="BQ1749">
        <v>0</v>
      </c>
      <c r="BR1749">
        <v>0</v>
      </c>
      <c r="BS1749">
        <v>0</v>
      </c>
      <c r="BT1749">
        <v>0</v>
      </c>
      <c r="BU1749">
        <v>0</v>
      </c>
      <c r="BV1749">
        <v>0</v>
      </c>
      <c r="BW1749" t="s">
        <v>0</v>
      </c>
      <c r="BX1749">
        <v>0</v>
      </c>
      <c r="BY1749">
        <v>0</v>
      </c>
      <c r="BZ1749">
        <v>0</v>
      </c>
      <c r="CA1749">
        <v>0</v>
      </c>
      <c r="CB1749" t="s">
        <v>145</v>
      </c>
    </row>
    <row r="1750" spans="67:80" x14ac:dyDescent="0.25">
      <c r="BO1750">
        <v>0</v>
      </c>
      <c r="BP1750">
        <v>0</v>
      </c>
      <c r="BQ1750">
        <v>0</v>
      </c>
      <c r="BR1750">
        <v>0</v>
      </c>
      <c r="BS1750">
        <v>0</v>
      </c>
      <c r="BT1750">
        <v>0</v>
      </c>
      <c r="BU1750">
        <v>0</v>
      </c>
      <c r="BV1750">
        <v>0</v>
      </c>
      <c r="BW1750" t="s">
        <v>0</v>
      </c>
      <c r="BX1750">
        <v>0</v>
      </c>
      <c r="BY1750">
        <v>0</v>
      </c>
      <c r="BZ1750">
        <v>0</v>
      </c>
      <c r="CA1750">
        <v>0</v>
      </c>
      <c r="CB1750" t="s">
        <v>145</v>
      </c>
    </row>
    <row r="1751" spans="67:80" x14ac:dyDescent="0.25">
      <c r="BO1751">
        <v>0</v>
      </c>
      <c r="BP1751">
        <v>0</v>
      </c>
      <c r="BQ1751">
        <v>0</v>
      </c>
      <c r="BR1751">
        <v>0</v>
      </c>
      <c r="BS1751">
        <v>0</v>
      </c>
      <c r="BT1751">
        <v>0</v>
      </c>
      <c r="BU1751">
        <v>0</v>
      </c>
      <c r="BV1751">
        <v>0</v>
      </c>
      <c r="BW1751" t="s">
        <v>0</v>
      </c>
      <c r="BX1751">
        <v>0</v>
      </c>
      <c r="BY1751">
        <v>0</v>
      </c>
      <c r="BZ1751">
        <v>0</v>
      </c>
      <c r="CA1751">
        <v>0</v>
      </c>
      <c r="CB1751" t="s">
        <v>145</v>
      </c>
    </row>
    <row r="1752" spans="67:80" x14ac:dyDescent="0.25">
      <c r="BO1752">
        <v>0</v>
      </c>
      <c r="BP1752">
        <v>0</v>
      </c>
      <c r="BQ1752">
        <v>0</v>
      </c>
      <c r="BR1752">
        <v>0</v>
      </c>
      <c r="BS1752">
        <v>0</v>
      </c>
      <c r="BT1752">
        <v>0</v>
      </c>
      <c r="BU1752">
        <v>0</v>
      </c>
      <c r="BV1752">
        <v>0</v>
      </c>
      <c r="BW1752" t="s">
        <v>0</v>
      </c>
      <c r="BX1752">
        <v>0</v>
      </c>
      <c r="BY1752">
        <v>0</v>
      </c>
      <c r="BZ1752">
        <v>0</v>
      </c>
      <c r="CA1752">
        <v>0</v>
      </c>
      <c r="CB1752" t="s">
        <v>145</v>
      </c>
    </row>
    <row r="1753" spans="67:80" x14ac:dyDescent="0.25">
      <c r="BO1753">
        <v>0</v>
      </c>
      <c r="BP1753">
        <v>0</v>
      </c>
      <c r="BQ1753">
        <v>0</v>
      </c>
      <c r="BR1753">
        <v>0</v>
      </c>
      <c r="BS1753">
        <v>0</v>
      </c>
      <c r="BT1753">
        <v>0</v>
      </c>
      <c r="BU1753">
        <v>0</v>
      </c>
      <c r="BV1753">
        <v>0</v>
      </c>
      <c r="BW1753" t="s">
        <v>0</v>
      </c>
      <c r="BX1753">
        <v>0</v>
      </c>
      <c r="BY1753">
        <v>0</v>
      </c>
      <c r="BZ1753">
        <v>0</v>
      </c>
      <c r="CA1753">
        <v>0</v>
      </c>
      <c r="CB1753" t="s">
        <v>145</v>
      </c>
    </row>
    <row r="1754" spans="67:80" x14ac:dyDescent="0.25">
      <c r="BO1754">
        <v>0</v>
      </c>
      <c r="BP1754">
        <v>0</v>
      </c>
      <c r="BQ1754">
        <v>0</v>
      </c>
      <c r="BR1754">
        <v>0</v>
      </c>
      <c r="BS1754">
        <v>0</v>
      </c>
      <c r="BT1754">
        <v>0</v>
      </c>
      <c r="BU1754">
        <v>0</v>
      </c>
      <c r="BV1754">
        <v>0</v>
      </c>
      <c r="BW1754" t="s">
        <v>0</v>
      </c>
      <c r="BX1754">
        <v>0</v>
      </c>
      <c r="BY1754">
        <v>0</v>
      </c>
      <c r="BZ1754">
        <v>0</v>
      </c>
      <c r="CA1754">
        <v>0</v>
      </c>
      <c r="CB1754" t="s">
        <v>145</v>
      </c>
    </row>
    <row r="1755" spans="67:80" x14ac:dyDescent="0.25">
      <c r="BO1755">
        <v>0</v>
      </c>
      <c r="BP1755">
        <v>0</v>
      </c>
      <c r="BQ1755">
        <v>0</v>
      </c>
      <c r="BR1755">
        <v>0</v>
      </c>
      <c r="BS1755">
        <v>0</v>
      </c>
      <c r="BT1755">
        <v>0</v>
      </c>
      <c r="BU1755">
        <v>0</v>
      </c>
      <c r="BV1755">
        <v>0</v>
      </c>
      <c r="BW1755" t="s">
        <v>0</v>
      </c>
      <c r="BX1755">
        <v>0</v>
      </c>
      <c r="BY1755">
        <v>0</v>
      </c>
      <c r="BZ1755">
        <v>0</v>
      </c>
      <c r="CA1755">
        <v>0</v>
      </c>
      <c r="CB1755" t="s">
        <v>145</v>
      </c>
    </row>
    <row r="1756" spans="67:80" x14ac:dyDescent="0.25">
      <c r="BO1756">
        <v>0</v>
      </c>
      <c r="BP1756">
        <v>0</v>
      </c>
      <c r="BQ1756">
        <v>0</v>
      </c>
      <c r="BR1756">
        <v>0</v>
      </c>
      <c r="BS1756">
        <v>0</v>
      </c>
      <c r="BT1756">
        <v>0</v>
      </c>
      <c r="BU1756">
        <v>0</v>
      </c>
      <c r="BV1756">
        <v>0</v>
      </c>
      <c r="BW1756" t="s">
        <v>0</v>
      </c>
      <c r="BX1756">
        <v>0</v>
      </c>
      <c r="BY1756">
        <v>0</v>
      </c>
      <c r="BZ1756">
        <v>0</v>
      </c>
      <c r="CA1756">
        <v>0</v>
      </c>
      <c r="CB1756" t="s">
        <v>145</v>
      </c>
    </row>
    <row r="1757" spans="67:80" x14ac:dyDescent="0.25">
      <c r="BO1757">
        <v>0</v>
      </c>
      <c r="BP1757">
        <v>0</v>
      </c>
      <c r="BQ1757">
        <v>0</v>
      </c>
      <c r="BR1757">
        <v>0</v>
      </c>
      <c r="BS1757">
        <v>0</v>
      </c>
      <c r="BT1757">
        <v>0</v>
      </c>
      <c r="BU1757">
        <v>0</v>
      </c>
      <c r="BV1757">
        <v>0</v>
      </c>
      <c r="BW1757" t="s">
        <v>0</v>
      </c>
      <c r="BX1757">
        <v>0</v>
      </c>
      <c r="BY1757">
        <v>0</v>
      </c>
      <c r="BZ1757">
        <v>0</v>
      </c>
      <c r="CA1757">
        <v>0</v>
      </c>
      <c r="CB1757" t="s">
        <v>145</v>
      </c>
    </row>
    <row r="1758" spans="67:80" x14ac:dyDescent="0.25">
      <c r="BO1758">
        <v>0</v>
      </c>
      <c r="BP1758">
        <v>0</v>
      </c>
      <c r="BQ1758">
        <v>0</v>
      </c>
      <c r="BR1758">
        <v>0</v>
      </c>
      <c r="BS1758">
        <v>0</v>
      </c>
      <c r="BT1758">
        <v>0</v>
      </c>
      <c r="BU1758">
        <v>0</v>
      </c>
      <c r="BV1758">
        <v>0</v>
      </c>
      <c r="BW1758" t="s">
        <v>0</v>
      </c>
      <c r="BX1758">
        <v>0</v>
      </c>
      <c r="BY1758">
        <v>0</v>
      </c>
      <c r="BZ1758">
        <v>0</v>
      </c>
      <c r="CA1758">
        <v>0</v>
      </c>
      <c r="CB1758" t="s">
        <v>145</v>
      </c>
    </row>
    <row r="1759" spans="67:80" x14ac:dyDescent="0.25">
      <c r="BO1759">
        <v>0</v>
      </c>
      <c r="BP1759">
        <v>0</v>
      </c>
      <c r="BQ1759">
        <v>0</v>
      </c>
      <c r="BR1759">
        <v>0</v>
      </c>
      <c r="BS1759">
        <v>0</v>
      </c>
      <c r="BT1759">
        <v>0</v>
      </c>
      <c r="BU1759">
        <v>0</v>
      </c>
      <c r="BV1759">
        <v>0</v>
      </c>
      <c r="BW1759" t="s">
        <v>0</v>
      </c>
      <c r="BX1759">
        <v>0</v>
      </c>
      <c r="BY1759">
        <v>0</v>
      </c>
      <c r="BZ1759">
        <v>0</v>
      </c>
      <c r="CA1759">
        <v>0</v>
      </c>
      <c r="CB1759" t="s">
        <v>145</v>
      </c>
    </row>
    <row r="1760" spans="67:80" x14ac:dyDescent="0.25">
      <c r="BO1760">
        <v>0</v>
      </c>
      <c r="BP1760">
        <v>0</v>
      </c>
      <c r="BQ1760">
        <v>0</v>
      </c>
      <c r="BR1760">
        <v>0</v>
      </c>
      <c r="BS1760">
        <v>0</v>
      </c>
      <c r="BT1760">
        <v>0</v>
      </c>
      <c r="BU1760">
        <v>0</v>
      </c>
      <c r="BV1760">
        <v>0</v>
      </c>
      <c r="BW1760" t="s">
        <v>0</v>
      </c>
      <c r="BX1760">
        <v>0</v>
      </c>
      <c r="BY1760">
        <v>0</v>
      </c>
      <c r="BZ1760">
        <v>0</v>
      </c>
      <c r="CA1760">
        <v>0</v>
      </c>
      <c r="CB1760" t="s">
        <v>145</v>
      </c>
    </row>
    <row r="1761" spans="67:80" x14ac:dyDescent="0.25">
      <c r="BO1761">
        <v>0</v>
      </c>
      <c r="BP1761">
        <v>0</v>
      </c>
      <c r="BQ1761">
        <v>0</v>
      </c>
      <c r="BR1761">
        <v>0</v>
      </c>
      <c r="BS1761">
        <v>0</v>
      </c>
      <c r="BT1761">
        <v>0</v>
      </c>
      <c r="BU1761">
        <v>0</v>
      </c>
      <c r="BV1761">
        <v>0</v>
      </c>
      <c r="BW1761" t="s">
        <v>0</v>
      </c>
      <c r="BX1761">
        <v>0</v>
      </c>
      <c r="BY1761">
        <v>0</v>
      </c>
      <c r="BZ1761">
        <v>0</v>
      </c>
      <c r="CA1761">
        <v>0</v>
      </c>
      <c r="CB1761" t="s">
        <v>145</v>
      </c>
    </row>
    <row r="1762" spans="67:80" x14ac:dyDescent="0.25">
      <c r="BO1762">
        <v>0</v>
      </c>
      <c r="BP1762">
        <v>0</v>
      </c>
      <c r="BQ1762">
        <v>0</v>
      </c>
      <c r="BR1762">
        <v>0</v>
      </c>
      <c r="BS1762">
        <v>0</v>
      </c>
      <c r="BT1762">
        <v>0</v>
      </c>
      <c r="BU1762">
        <v>0</v>
      </c>
      <c r="BV1762">
        <v>0</v>
      </c>
      <c r="BW1762" t="s">
        <v>0</v>
      </c>
      <c r="BX1762">
        <v>0</v>
      </c>
      <c r="BY1762">
        <v>0</v>
      </c>
      <c r="BZ1762">
        <v>0</v>
      </c>
      <c r="CA1762">
        <v>0</v>
      </c>
      <c r="CB1762" t="s">
        <v>145</v>
      </c>
    </row>
    <row r="1763" spans="67:80" x14ac:dyDescent="0.25">
      <c r="BO1763">
        <v>0</v>
      </c>
      <c r="BP1763">
        <v>0</v>
      </c>
      <c r="BQ1763">
        <v>0</v>
      </c>
      <c r="BR1763">
        <v>0</v>
      </c>
      <c r="BS1763">
        <v>0</v>
      </c>
      <c r="BT1763">
        <v>0</v>
      </c>
      <c r="BU1763">
        <v>0</v>
      </c>
      <c r="BV1763">
        <v>0</v>
      </c>
      <c r="BW1763" t="s">
        <v>0</v>
      </c>
      <c r="BX1763">
        <v>0</v>
      </c>
      <c r="BY1763">
        <v>0</v>
      </c>
      <c r="BZ1763">
        <v>0</v>
      </c>
      <c r="CA1763">
        <v>0</v>
      </c>
      <c r="CB1763" t="s">
        <v>145</v>
      </c>
    </row>
    <row r="1764" spans="67:80" x14ac:dyDescent="0.25">
      <c r="BO1764">
        <v>0</v>
      </c>
      <c r="BP1764">
        <v>0</v>
      </c>
      <c r="BQ1764">
        <v>0</v>
      </c>
      <c r="BR1764">
        <v>0</v>
      </c>
      <c r="BS1764">
        <v>0</v>
      </c>
      <c r="BT1764">
        <v>0</v>
      </c>
      <c r="BU1764">
        <v>0</v>
      </c>
      <c r="BV1764">
        <v>0</v>
      </c>
      <c r="BW1764" t="s">
        <v>0</v>
      </c>
      <c r="BX1764">
        <v>0</v>
      </c>
      <c r="BY1764">
        <v>0</v>
      </c>
      <c r="BZ1764">
        <v>0</v>
      </c>
      <c r="CA1764">
        <v>0</v>
      </c>
      <c r="CB1764" t="s">
        <v>145</v>
      </c>
    </row>
    <row r="1765" spans="67:80" x14ac:dyDescent="0.25">
      <c r="BO1765">
        <v>0</v>
      </c>
      <c r="BP1765">
        <v>0</v>
      </c>
      <c r="BQ1765">
        <v>0</v>
      </c>
      <c r="BR1765">
        <v>0</v>
      </c>
      <c r="BS1765">
        <v>0</v>
      </c>
      <c r="BT1765">
        <v>0</v>
      </c>
      <c r="BU1765">
        <v>0</v>
      </c>
      <c r="BV1765">
        <v>0</v>
      </c>
      <c r="BW1765" t="s">
        <v>0</v>
      </c>
      <c r="BX1765">
        <v>0</v>
      </c>
      <c r="BY1765">
        <v>0</v>
      </c>
      <c r="BZ1765">
        <v>0</v>
      </c>
      <c r="CA1765">
        <v>0</v>
      </c>
      <c r="CB1765" t="s">
        <v>145</v>
      </c>
    </row>
    <row r="1766" spans="67:80" x14ac:dyDescent="0.25">
      <c r="BO1766">
        <v>0</v>
      </c>
      <c r="BP1766">
        <v>0</v>
      </c>
      <c r="BQ1766">
        <v>0</v>
      </c>
      <c r="BR1766">
        <v>0</v>
      </c>
      <c r="BS1766">
        <v>0</v>
      </c>
      <c r="BT1766">
        <v>0</v>
      </c>
      <c r="BU1766">
        <v>0</v>
      </c>
      <c r="BV1766">
        <v>0</v>
      </c>
      <c r="BW1766" t="s">
        <v>0</v>
      </c>
      <c r="BX1766">
        <v>0</v>
      </c>
      <c r="BY1766">
        <v>0</v>
      </c>
      <c r="BZ1766">
        <v>0</v>
      </c>
      <c r="CA1766">
        <v>0</v>
      </c>
      <c r="CB1766" t="s">
        <v>145</v>
      </c>
    </row>
    <row r="1767" spans="67:80" x14ac:dyDescent="0.25">
      <c r="BO1767">
        <v>0</v>
      </c>
      <c r="BP1767">
        <v>0</v>
      </c>
      <c r="BQ1767">
        <v>0</v>
      </c>
      <c r="BR1767">
        <v>0</v>
      </c>
      <c r="BS1767">
        <v>0</v>
      </c>
      <c r="BT1767">
        <v>0</v>
      </c>
      <c r="BU1767">
        <v>0</v>
      </c>
      <c r="BV1767">
        <v>0</v>
      </c>
      <c r="BW1767" t="s">
        <v>0</v>
      </c>
      <c r="BX1767">
        <v>0</v>
      </c>
      <c r="BY1767">
        <v>0</v>
      </c>
      <c r="BZ1767">
        <v>0</v>
      </c>
      <c r="CA1767">
        <v>0</v>
      </c>
      <c r="CB1767" t="s">
        <v>145</v>
      </c>
    </row>
    <row r="1768" spans="67:80" x14ac:dyDescent="0.25">
      <c r="BO1768">
        <v>0</v>
      </c>
      <c r="BP1768">
        <v>0</v>
      </c>
      <c r="BQ1768">
        <v>0</v>
      </c>
      <c r="BR1768">
        <v>0</v>
      </c>
      <c r="BS1768">
        <v>0</v>
      </c>
      <c r="BT1768">
        <v>0</v>
      </c>
      <c r="BU1768">
        <v>0</v>
      </c>
      <c r="BV1768">
        <v>0</v>
      </c>
      <c r="BW1768" t="s">
        <v>0</v>
      </c>
      <c r="BX1768">
        <v>0</v>
      </c>
      <c r="BY1768">
        <v>0</v>
      </c>
      <c r="BZ1768">
        <v>0</v>
      </c>
      <c r="CA1768">
        <v>0</v>
      </c>
      <c r="CB1768" t="s">
        <v>145</v>
      </c>
    </row>
    <row r="1769" spans="67:80" x14ac:dyDescent="0.25">
      <c r="BO1769">
        <v>0</v>
      </c>
      <c r="BP1769">
        <v>0</v>
      </c>
      <c r="BQ1769">
        <v>0</v>
      </c>
      <c r="BR1769">
        <v>0</v>
      </c>
      <c r="BS1769">
        <v>0</v>
      </c>
      <c r="BT1769">
        <v>0</v>
      </c>
      <c r="BU1769">
        <v>0</v>
      </c>
      <c r="BV1769">
        <v>0</v>
      </c>
      <c r="BW1769" t="s">
        <v>0</v>
      </c>
      <c r="BX1769">
        <v>0</v>
      </c>
      <c r="BY1769">
        <v>0</v>
      </c>
      <c r="BZ1769">
        <v>0</v>
      </c>
      <c r="CA1769">
        <v>0</v>
      </c>
      <c r="CB1769" t="s">
        <v>145</v>
      </c>
    </row>
    <row r="1770" spans="67:80" x14ac:dyDescent="0.25">
      <c r="BO1770">
        <v>0</v>
      </c>
      <c r="BP1770">
        <v>0</v>
      </c>
      <c r="BQ1770">
        <v>0</v>
      </c>
      <c r="BR1770">
        <v>0</v>
      </c>
      <c r="BS1770">
        <v>0</v>
      </c>
      <c r="BT1770">
        <v>0</v>
      </c>
      <c r="BU1770">
        <v>0</v>
      </c>
      <c r="BV1770">
        <v>0</v>
      </c>
      <c r="BW1770" t="s">
        <v>0</v>
      </c>
      <c r="BX1770">
        <v>0</v>
      </c>
      <c r="BY1770">
        <v>0</v>
      </c>
      <c r="BZ1770">
        <v>0</v>
      </c>
      <c r="CA1770">
        <v>0</v>
      </c>
      <c r="CB1770" t="s">
        <v>145</v>
      </c>
    </row>
    <row r="1771" spans="67:80" x14ac:dyDescent="0.25">
      <c r="BO1771">
        <v>0</v>
      </c>
      <c r="BP1771">
        <v>0</v>
      </c>
      <c r="BQ1771">
        <v>0</v>
      </c>
      <c r="BR1771">
        <v>0</v>
      </c>
      <c r="BS1771">
        <v>0</v>
      </c>
      <c r="BT1771">
        <v>0</v>
      </c>
      <c r="BU1771">
        <v>0</v>
      </c>
      <c r="BV1771">
        <v>0</v>
      </c>
      <c r="BW1771" t="s">
        <v>0</v>
      </c>
      <c r="BX1771">
        <v>0</v>
      </c>
      <c r="BY1771">
        <v>0</v>
      </c>
      <c r="BZ1771">
        <v>0</v>
      </c>
      <c r="CA1771">
        <v>0</v>
      </c>
      <c r="CB1771" t="s">
        <v>145</v>
      </c>
    </row>
    <row r="1772" spans="67:80" x14ac:dyDescent="0.25">
      <c r="BO1772">
        <v>0</v>
      </c>
      <c r="BP1772">
        <v>0</v>
      </c>
      <c r="BQ1772">
        <v>0</v>
      </c>
      <c r="BR1772">
        <v>0</v>
      </c>
      <c r="BS1772">
        <v>0</v>
      </c>
      <c r="BT1772">
        <v>0</v>
      </c>
      <c r="BU1772">
        <v>0</v>
      </c>
      <c r="BV1772">
        <v>0</v>
      </c>
      <c r="BW1772" t="s">
        <v>0</v>
      </c>
      <c r="BX1772">
        <v>0</v>
      </c>
      <c r="BY1772">
        <v>0</v>
      </c>
      <c r="BZ1772">
        <v>0</v>
      </c>
      <c r="CA1772">
        <v>0</v>
      </c>
      <c r="CB1772" t="s">
        <v>145</v>
      </c>
    </row>
    <row r="1773" spans="67:80" x14ac:dyDescent="0.25">
      <c r="BO1773">
        <v>0</v>
      </c>
      <c r="BP1773">
        <v>0</v>
      </c>
      <c r="BQ1773">
        <v>0</v>
      </c>
      <c r="BR1773">
        <v>0</v>
      </c>
      <c r="BS1773">
        <v>0</v>
      </c>
      <c r="BT1773">
        <v>0</v>
      </c>
      <c r="BU1773">
        <v>0</v>
      </c>
      <c r="BV1773">
        <v>0</v>
      </c>
      <c r="BW1773" t="s">
        <v>0</v>
      </c>
      <c r="BX1773">
        <v>0</v>
      </c>
      <c r="BY1773">
        <v>0</v>
      </c>
      <c r="BZ1773">
        <v>0</v>
      </c>
      <c r="CA1773">
        <v>0</v>
      </c>
      <c r="CB1773" t="s">
        <v>145</v>
      </c>
    </row>
    <row r="1774" spans="67:80" x14ac:dyDescent="0.25">
      <c r="BO1774">
        <v>0</v>
      </c>
      <c r="BP1774">
        <v>0</v>
      </c>
      <c r="BQ1774">
        <v>0</v>
      </c>
      <c r="BR1774">
        <v>0</v>
      </c>
      <c r="BS1774">
        <v>0</v>
      </c>
      <c r="BT1774">
        <v>0</v>
      </c>
      <c r="BU1774">
        <v>0</v>
      </c>
      <c r="BV1774">
        <v>0</v>
      </c>
      <c r="BW1774" t="s">
        <v>0</v>
      </c>
      <c r="BX1774">
        <v>0</v>
      </c>
      <c r="BY1774">
        <v>0</v>
      </c>
      <c r="BZ1774">
        <v>0</v>
      </c>
      <c r="CA1774">
        <v>0</v>
      </c>
      <c r="CB1774" t="s">
        <v>145</v>
      </c>
    </row>
    <row r="1775" spans="67:80" x14ac:dyDescent="0.25">
      <c r="BO1775">
        <v>0</v>
      </c>
      <c r="BP1775">
        <v>0</v>
      </c>
      <c r="BQ1775">
        <v>0</v>
      </c>
      <c r="BR1775">
        <v>0</v>
      </c>
      <c r="BS1775">
        <v>0</v>
      </c>
      <c r="BT1775">
        <v>0</v>
      </c>
      <c r="BU1775">
        <v>0</v>
      </c>
      <c r="BV1775">
        <v>0</v>
      </c>
      <c r="BW1775" t="s">
        <v>0</v>
      </c>
      <c r="BX1775">
        <v>0</v>
      </c>
      <c r="BY1775">
        <v>0</v>
      </c>
      <c r="BZ1775">
        <v>0</v>
      </c>
      <c r="CA1775">
        <v>0</v>
      </c>
      <c r="CB1775" t="s">
        <v>145</v>
      </c>
    </row>
    <row r="1776" spans="67:80" x14ac:dyDescent="0.25">
      <c r="BO1776">
        <v>0</v>
      </c>
      <c r="BP1776">
        <v>0</v>
      </c>
      <c r="BQ1776">
        <v>0</v>
      </c>
      <c r="BR1776">
        <v>0</v>
      </c>
      <c r="BS1776">
        <v>0</v>
      </c>
      <c r="BT1776">
        <v>0</v>
      </c>
      <c r="BU1776">
        <v>0</v>
      </c>
      <c r="BV1776">
        <v>0</v>
      </c>
      <c r="BW1776" t="s">
        <v>0</v>
      </c>
      <c r="BX1776">
        <v>0</v>
      </c>
      <c r="BY1776">
        <v>0</v>
      </c>
      <c r="BZ1776">
        <v>0</v>
      </c>
      <c r="CA1776">
        <v>0</v>
      </c>
      <c r="CB1776" t="s">
        <v>145</v>
      </c>
    </row>
    <row r="1777" spans="67:80" x14ac:dyDescent="0.25">
      <c r="BO1777">
        <v>0</v>
      </c>
      <c r="BP1777">
        <v>0</v>
      </c>
      <c r="BQ1777">
        <v>0</v>
      </c>
      <c r="BR1777">
        <v>0</v>
      </c>
      <c r="BS1777">
        <v>0</v>
      </c>
      <c r="BT1777">
        <v>0</v>
      </c>
      <c r="BU1777">
        <v>0</v>
      </c>
      <c r="BV1777">
        <v>0</v>
      </c>
      <c r="BW1777" t="s">
        <v>0</v>
      </c>
      <c r="BX1777">
        <v>0</v>
      </c>
      <c r="BY1777">
        <v>0</v>
      </c>
      <c r="BZ1777">
        <v>0</v>
      </c>
      <c r="CA1777">
        <v>0</v>
      </c>
      <c r="CB1777" t="s">
        <v>145</v>
      </c>
    </row>
    <row r="1778" spans="67:80" x14ac:dyDescent="0.25">
      <c r="BO1778">
        <v>0</v>
      </c>
      <c r="BP1778">
        <v>0</v>
      </c>
      <c r="BQ1778">
        <v>0</v>
      </c>
      <c r="BR1778">
        <v>0</v>
      </c>
      <c r="BS1778">
        <v>0</v>
      </c>
      <c r="BT1778">
        <v>0</v>
      </c>
      <c r="BU1778">
        <v>0</v>
      </c>
      <c r="BV1778">
        <v>0</v>
      </c>
      <c r="BW1778" t="s">
        <v>0</v>
      </c>
      <c r="BX1778">
        <v>0</v>
      </c>
      <c r="BY1778">
        <v>0</v>
      </c>
      <c r="BZ1778">
        <v>0</v>
      </c>
      <c r="CA1778">
        <v>0</v>
      </c>
      <c r="CB1778" t="s">
        <v>145</v>
      </c>
    </row>
    <row r="1779" spans="67:80" x14ac:dyDescent="0.25">
      <c r="BO1779">
        <v>0</v>
      </c>
      <c r="BP1779">
        <v>0</v>
      </c>
      <c r="BQ1779">
        <v>0</v>
      </c>
      <c r="BR1779">
        <v>0</v>
      </c>
      <c r="BS1779">
        <v>0</v>
      </c>
      <c r="BT1779">
        <v>0</v>
      </c>
      <c r="BU1779">
        <v>0</v>
      </c>
      <c r="BV1779">
        <v>0</v>
      </c>
      <c r="BW1779" t="s">
        <v>0</v>
      </c>
      <c r="BX1779">
        <v>0</v>
      </c>
      <c r="BY1779">
        <v>0</v>
      </c>
      <c r="BZ1779">
        <v>0</v>
      </c>
      <c r="CA1779">
        <v>0</v>
      </c>
      <c r="CB1779" t="s">
        <v>145</v>
      </c>
    </row>
    <row r="1780" spans="67:80" x14ac:dyDescent="0.25">
      <c r="BO1780">
        <v>0</v>
      </c>
      <c r="BP1780">
        <v>0</v>
      </c>
      <c r="BQ1780">
        <v>0</v>
      </c>
      <c r="BR1780">
        <v>0</v>
      </c>
      <c r="BS1780">
        <v>0</v>
      </c>
      <c r="BT1780">
        <v>0</v>
      </c>
      <c r="BU1780">
        <v>0</v>
      </c>
      <c r="BV1780">
        <v>0</v>
      </c>
      <c r="BW1780" t="s">
        <v>0</v>
      </c>
      <c r="BX1780">
        <v>0</v>
      </c>
      <c r="BY1780">
        <v>0</v>
      </c>
      <c r="BZ1780">
        <v>0</v>
      </c>
      <c r="CA1780">
        <v>0</v>
      </c>
      <c r="CB1780" t="s">
        <v>145</v>
      </c>
    </row>
    <row r="1781" spans="67:80" x14ac:dyDescent="0.25">
      <c r="BO1781">
        <v>0</v>
      </c>
      <c r="BP1781">
        <v>0</v>
      </c>
      <c r="BQ1781">
        <v>0</v>
      </c>
      <c r="BR1781">
        <v>0</v>
      </c>
      <c r="BS1781">
        <v>0</v>
      </c>
      <c r="BT1781">
        <v>0</v>
      </c>
      <c r="BU1781">
        <v>0</v>
      </c>
      <c r="BV1781">
        <v>0</v>
      </c>
      <c r="BW1781" t="s">
        <v>0</v>
      </c>
      <c r="BX1781">
        <v>0</v>
      </c>
      <c r="BY1781">
        <v>0</v>
      </c>
      <c r="BZ1781">
        <v>0</v>
      </c>
      <c r="CA1781">
        <v>0</v>
      </c>
      <c r="CB1781" t="s">
        <v>145</v>
      </c>
    </row>
    <row r="1782" spans="67:80" x14ac:dyDescent="0.25">
      <c r="BO1782">
        <v>0</v>
      </c>
      <c r="BP1782">
        <v>0</v>
      </c>
      <c r="BQ1782">
        <v>0</v>
      </c>
      <c r="BR1782">
        <v>0</v>
      </c>
      <c r="BS1782">
        <v>0</v>
      </c>
      <c r="BT1782">
        <v>0</v>
      </c>
      <c r="BU1782">
        <v>0</v>
      </c>
      <c r="BV1782">
        <v>0</v>
      </c>
      <c r="BW1782" t="s">
        <v>0</v>
      </c>
      <c r="BX1782">
        <v>0</v>
      </c>
      <c r="BY1782">
        <v>0</v>
      </c>
      <c r="BZ1782">
        <v>0</v>
      </c>
      <c r="CA1782">
        <v>0</v>
      </c>
      <c r="CB1782" t="s">
        <v>145</v>
      </c>
    </row>
    <row r="1783" spans="67:80" x14ac:dyDescent="0.25">
      <c r="BO1783">
        <v>0</v>
      </c>
      <c r="BP1783">
        <v>0</v>
      </c>
      <c r="BQ1783">
        <v>0</v>
      </c>
      <c r="BR1783">
        <v>0</v>
      </c>
      <c r="BS1783">
        <v>0</v>
      </c>
      <c r="BT1783">
        <v>0</v>
      </c>
      <c r="BU1783">
        <v>0</v>
      </c>
      <c r="BV1783">
        <v>0</v>
      </c>
      <c r="BW1783" t="s">
        <v>0</v>
      </c>
      <c r="BX1783">
        <v>0</v>
      </c>
      <c r="BY1783">
        <v>0</v>
      </c>
      <c r="BZ1783">
        <v>0</v>
      </c>
      <c r="CA1783">
        <v>0</v>
      </c>
      <c r="CB1783" t="s">
        <v>145</v>
      </c>
    </row>
    <row r="1784" spans="67:80" x14ac:dyDescent="0.25">
      <c r="BO1784">
        <v>0</v>
      </c>
      <c r="BP1784">
        <v>0</v>
      </c>
      <c r="BQ1784">
        <v>0</v>
      </c>
      <c r="BR1784">
        <v>0</v>
      </c>
      <c r="BS1784">
        <v>0</v>
      </c>
      <c r="BT1784">
        <v>0</v>
      </c>
      <c r="BU1784">
        <v>0</v>
      </c>
      <c r="BV1784">
        <v>0</v>
      </c>
      <c r="BW1784" t="s">
        <v>0</v>
      </c>
      <c r="BX1784">
        <v>0</v>
      </c>
      <c r="BY1784">
        <v>0</v>
      </c>
      <c r="BZ1784">
        <v>0</v>
      </c>
      <c r="CA1784">
        <v>0</v>
      </c>
      <c r="CB1784" t="s">
        <v>145</v>
      </c>
    </row>
    <row r="1785" spans="67:80" x14ac:dyDescent="0.25">
      <c r="BO1785">
        <v>0</v>
      </c>
      <c r="BP1785">
        <v>0</v>
      </c>
      <c r="BQ1785">
        <v>0</v>
      </c>
      <c r="BR1785">
        <v>0</v>
      </c>
      <c r="BS1785">
        <v>0</v>
      </c>
      <c r="BT1785">
        <v>0</v>
      </c>
      <c r="BU1785">
        <v>0</v>
      </c>
      <c r="BV1785">
        <v>0</v>
      </c>
      <c r="BW1785" t="s">
        <v>0</v>
      </c>
      <c r="BX1785">
        <v>0</v>
      </c>
      <c r="BY1785">
        <v>0</v>
      </c>
      <c r="BZ1785">
        <v>0</v>
      </c>
      <c r="CA1785">
        <v>0</v>
      </c>
      <c r="CB1785" t="s">
        <v>145</v>
      </c>
    </row>
    <row r="1786" spans="67:80" x14ac:dyDescent="0.25">
      <c r="BO1786">
        <v>0</v>
      </c>
      <c r="BP1786">
        <v>0</v>
      </c>
      <c r="BQ1786">
        <v>0</v>
      </c>
      <c r="BR1786">
        <v>0</v>
      </c>
      <c r="BS1786">
        <v>0</v>
      </c>
      <c r="BT1786">
        <v>0</v>
      </c>
      <c r="BU1786">
        <v>0</v>
      </c>
      <c r="BV1786">
        <v>0</v>
      </c>
      <c r="BW1786" t="s">
        <v>0</v>
      </c>
      <c r="BX1786">
        <v>0</v>
      </c>
      <c r="BY1786">
        <v>0</v>
      </c>
      <c r="BZ1786">
        <v>0</v>
      </c>
      <c r="CA1786">
        <v>0</v>
      </c>
      <c r="CB1786" t="s">
        <v>145</v>
      </c>
    </row>
    <row r="1787" spans="67:80" x14ac:dyDescent="0.25">
      <c r="BO1787">
        <v>0</v>
      </c>
      <c r="BP1787">
        <v>0</v>
      </c>
      <c r="BQ1787">
        <v>0</v>
      </c>
      <c r="BR1787">
        <v>0</v>
      </c>
      <c r="BS1787">
        <v>0</v>
      </c>
      <c r="BT1787">
        <v>0</v>
      </c>
      <c r="BU1787">
        <v>0</v>
      </c>
      <c r="BV1787">
        <v>0</v>
      </c>
      <c r="BW1787" t="s">
        <v>0</v>
      </c>
      <c r="BX1787">
        <v>0</v>
      </c>
      <c r="BY1787">
        <v>0</v>
      </c>
      <c r="BZ1787">
        <v>0</v>
      </c>
      <c r="CA1787">
        <v>0</v>
      </c>
      <c r="CB1787" t="s">
        <v>145</v>
      </c>
    </row>
    <row r="1788" spans="67:80" x14ac:dyDescent="0.25">
      <c r="BO1788">
        <v>0</v>
      </c>
      <c r="BP1788">
        <v>0</v>
      </c>
      <c r="BQ1788">
        <v>0</v>
      </c>
      <c r="BR1788">
        <v>0</v>
      </c>
      <c r="BS1788">
        <v>0</v>
      </c>
      <c r="BT1788">
        <v>0</v>
      </c>
      <c r="BU1788">
        <v>0</v>
      </c>
      <c r="BV1788">
        <v>0</v>
      </c>
      <c r="BW1788" t="s">
        <v>0</v>
      </c>
      <c r="BX1788">
        <v>0</v>
      </c>
      <c r="BY1788">
        <v>0</v>
      </c>
      <c r="BZ1788">
        <v>0</v>
      </c>
      <c r="CA1788">
        <v>0</v>
      </c>
      <c r="CB1788" t="s">
        <v>145</v>
      </c>
    </row>
    <row r="1789" spans="67:80" x14ac:dyDescent="0.25">
      <c r="BO1789">
        <v>0</v>
      </c>
      <c r="BP1789">
        <v>0</v>
      </c>
      <c r="BQ1789">
        <v>0</v>
      </c>
      <c r="BR1789">
        <v>0</v>
      </c>
      <c r="BS1789">
        <v>0</v>
      </c>
      <c r="BT1789">
        <v>0</v>
      </c>
      <c r="BU1789">
        <v>0</v>
      </c>
      <c r="BV1789">
        <v>0</v>
      </c>
      <c r="BW1789" t="s">
        <v>0</v>
      </c>
      <c r="BX1789">
        <v>0</v>
      </c>
      <c r="BY1789">
        <v>0</v>
      </c>
      <c r="BZ1789">
        <v>0</v>
      </c>
      <c r="CA1789">
        <v>0</v>
      </c>
      <c r="CB1789" t="s">
        <v>145</v>
      </c>
    </row>
    <row r="1790" spans="67:80" x14ac:dyDescent="0.25">
      <c r="BO1790">
        <v>0</v>
      </c>
      <c r="BP1790">
        <v>0</v>
      </c>
      <c r="BQ1790">
        <v>0</v>
      </c>
      <c r="BR1790">
        <v>0</v>
      </c>
      <c r="BS1790">
        <v>0</v>
      </c>
      <c r="BT1790">
        <v>0</v>
      </c>
      <c r="BU1790">
        <v>0</v>
      </c>
      <c r="BV1790">
        <v>0</v>
      </c>
      <c r="BW1790" t="s">
        <v>0</v>
      </c>
      <c r="BX1790">
        <v>0</v>
      </c>
      <c r="BY1790">
        <v>0</v>
      </c>
      <c r="BZ1790">
        <v>0</v>
      </c>
      <c r="CA1790">
        <v>0</v>
      </c>
      <c r="CB1790" t="s">
        <v>145</v>
      </c>
    </row>
    <row r="1791" spans="67:80" x14ac:dyDescent="0.25">
      <c r="BO1791">
        <v>0</v>
      </c>
      <c r="BP1791">
        <v>0</v>
      </c>
      <c r="BQ1791">
        <v>0</v>
      </c>
      <c r="BR1791">
        <v>0</v>
      </c>
      <c r="BS1791">
        <v>0</v>
      </c>
      <c r="BT1791">
        <v>0</v>
      </c>
      <c r="BU1791">
        <v>0</v>
      </c>
      <c r="BV1791">
        <v>0</v>
      </c>
      <c r="BW1791" t="s">
        <v>0</v>
      </c>
      <c r="BX1791">
        <v>0</v>
      </c>
      <c r="BY1791">
        <v>0</v>
      </c>
      <c r="BZ1791">
        <v>0</v>
      </c>
      <c r="CA1791">
        <v>0</v>
      </c>
      <c r="CB1791" t="s">
        <v>145</v>
      </c>
    </row>
    <row r="1792" spans="67:80" x14ac:dyDescent="0.25">
      <c r="BO1792">
        <v>0</v>
      </c>
      <c r="BP1792">
        <v>0</v>
      </c>
      <c r="BQ1792">
        <v>0</v>
      </c>
      <c r="BR1792">
        <v>0</v>
      </c>
      <c r="BS1792">
        <v>0</v>
      </c>
      <c r="BT1792">
        <v>0</v>
      </c>
      <c r="BU1792">
        <v>0</v>
      </c>
      <c r="BV1792">
        <v>0</v>
      </c>
      <c r="BW1792" t="s">
        <v>0</v>
      </c>
      <c r="BX1792">
        <v>0</v>
      </c>
      <c r="BY1792">
        <v>0</v>
      </c>
      <c r="BZ1792">
        <v>0</v>
      </c>
      <c r="CA1792">
        <v>0</v>
      </c>
      <c r="CB1792" t="s">
        <v>145</v>
      </c>
    </row>
    <row r="1793" spans="67:80" x14ac:dyDescent="0.25">
      <c r="BO1793">
        <v>0</v>
      </c>
      <c r="BP1793">
        <v>0</v>
      </c>
      <c r="BQ1793">
        <v>0</v>
      </c>
      <c r="BR1793">
        <v>0</v>
      </c>
      <c r="BS1793">
        <v>0</v>
      </c>
      <c r="BT1793">
        <v>0</v>
      </c>
      <c r="BU1793">
        <v>0</v>
      </c>
      <c r="BV1793">
        <v>0</v>
      </c>
      <c r="BW1793" t="s">
        <v>0</v>
      </c>
      <c r="BX1793">
        <v>0</v>
      </c>
      <c r="BY1793">
        <v>0</v>
      </c>
      <c r="BZ1793">
        <v>0</v>
      </c>
      <c r="CA1793">
        <v>0</v>
      </c>
      <c r="CB1793" t="s">
        <v>145</v>
      </c>
    </row>
    <row r="1794" spans="67:80" x14ac:dyDescent="0.25">
      <c r="BO1794">
        <v>0</v>
      </c>
      <c r="BP1794">
        <v>0</v>
      </c>
      <c r="BQ1794">
        <v>0</v>
      </c>
      <c r="BR1794">
        <v>0</v>
      </c>
      <c r="BS1794">
        <v>0</v>
      </c>
      <c r="BT1794">
        <v>0</v>
      </c>
      <c r="BU1794">
        <v>0</v>
      </c>
      <c r="BV1794">
        <v>0</v>
      </c>
      <c r="BW1794" t="s">
        <v>0</v>
      </c>
      <c r="BX1794">
        <v>0</v>
      </c>
      <c r="BY1794">
        <v>0</v>
      </c>
      <c r="BZ1794">
        <v>0</v>
      </c>
      <c r="CA1794">
        <v>0</v>
      </c>
      <c r="CB1794" t="s">
        <v>145</v>
      </c>
    </row>
    <row r="1795" spans="67:80" x14ac:dyDescent="0.25">
      <c r="BO1795">
        <v>0</v>
      </c>
      <c r="BP1795">
        <v>0</v>
      </c>
      <c r="BQ1795">
        <v>0</v>
      </c>
      <c r="BR1795">
        <v>0</v>
      </c>
      <c r="BS1795">
        <v>0</v>
      </c>
      <c r="BT1795">
        <v>0</v>
      </c>
      <c r="BU1795">
        <v>0</v>
      </c>
      <c r="BV1795">
        <v>0</v>
      </c>
      <c r="BW1795" t="s">
        <v>0</v>
      </c>
      <c r="BX1795">
        <v>0</v>
      </c>
      <c r="BY1795">
        <v>0</v>
      </c>
      <c r="BZ1795">
        <v>0</v>
      </c>
      <c r="CA1795">
        <v>0</v>
      </c>
      <c r="CB1795" t="s">
        <v>145</v>
      </c>
    </row>
    <row r="1796" spans="67:80" x14ac:dyDescent="0.25">
      <c r="BO1796">
        <v>0</v>
      </c>
      <c r="BP1796">
        <v>0</v>
      </c>
      <c r="BQ1796">
        <v>0</v>
      </c>
      <c r="BR1796">
        <v>0</v>
      </c>
      <c r="BS1796">
        <v>0</v>
      </c>
      <c r="BT1796">
        <v>0</v>
      </c>
      <c r="BU1796">
        <v>0</v>
      </c>
      <c r="BV1796">
        <v>0</v>
      </c>
      <c r="BW1796" t="s">
        <v>0</v>
      </c>
      <c r="BX1796">
        <v>0</v>
      </c>
      <c r="BY1796">
        <v>0</v>
      </c>
      <c r="BZ1796">
        <v>0</v>
      </c>
      <c r="CA1796">
        <v>0</v>
      </c>
      <c r="CB1796" t="s">
        <v>145</v>
      </c>
    </row>
    <row r="1797" spans="67:80" x14ac:dyDescent="0.25">
      <c r="BO1797">
        <v>0</v>
      </c>
      <c r="BP1797">
        <v>0</v>
      </c>
      <c r="BQ1797">
        <v>0</v>
      </c>
      <c r="BR1797">
        <v>0</v>
      </c>
      <c r="BS1797">
        <v>0</v>
      </c>
      <c r="BT1797">
        <v>0</v>
      </c>
      <c r="BU1797">
        <v>0</v>
      </c>
      <c r="BV1797">
        <v>0</v>
      </c>
      <c r="BW1797" t="s">
        <v>0</v>
      </c>
      <c r="BX1797">
        <v>0</v>
      </c>
      <c r="BY1797">
        <v>0</v>
      </c>
      <c r="BZ1797">
        <v>0</v>
      </c>
      <c r="CA1797">
        <v>0</v>
      </c>
      <c r="CB1797" t="s">
        <v>145</v>
      </c>
    </row>
    <row r="1798" spans="67:80" x14ac:dyDescent="0.25">
      <c r="BO1798">
        <v>0</v>
      </c>
      <c r="BP1798">
        <v>0</v>
      </c>
      <c r="BQ1798">
        <v>0</v>
      </c>
      <c r="BR1798">
        <v>0</v>
      </c>
      <c r="BS1798">
        <v>0</v>
      </c>
      <c r="BT1798">
        <v>0</v>
      </c>
      <c r="BU1798">
        <v>0</v>
      </c>
      <c r="BV1798">
        <v>0</v>
      </c>
      <c r="BW1798" t="s">
        <v>0</v>
      </c>
      <c r="BX1798">
        <v>0</v>
      </c>
      <c r="BY1798">
        <v>0</v>
      </c>
      <c r="BZ1798">
        <v>0</v>
      </c>
      <c r="CA1798">
        <v>0</v>
      </c>
      <c r="CB1798" t="s">
        <v>145</v>
      </c>
    </row>
    <row r="1799" spans="67:80" x14ac:dyDescent="0.25">
      <c r="BO1799">
        <v>0</v>
      </c>
      <c r="BP1799">
        <v>0</v>
      </c>
      <c r="BQ1799">
        <v>0</v>
      </c>
      <c r="BR1799">
        <v>0</v>
      </c>
      <c r="BS1799">
        <v>0</v>
      </c>
      <c r="BT1799">
        <v>0</v>
      </c>
      <c r="BU1799">
        <v>0</v>
      </c>
      <c r="BV1799">
        <v>0</v>
      </c>
      <c r="BW1799" t="s">
        <v>0</v>
      </c>
      <c r="BX1799">
        <v>0</v>
      </c>
      <c r="BY1799">
        <v>0</v>
      </c>
      <c r="BZ1799">
        <v>0</v>
      </c>
      <c r="CA1799">
        <v>0</v>
      </c>
      <c r="CB1799" t="s">
        <v>145</v>
      </c>
    </row>
    <row r="1800" spans="67:80" x14ac:dyDescent="0.25">
      <c r="BO1800">
        <v>0</v>
      </c>
      <c r="BP1800">
        <v>0</v>
      </c>
      <c r="BQ1800">
        <v>0</v>
      </c>
      <c r="BR1800">
        <v>0</v>
      </c>
      <c r="BS1800">
        <v>0</v>
      </c>
      <c r="BT1800">
        <v>0</v>
      </c>
      <c r="BU1800">
        <v>0</v>
      </c>
      <c r="BV1800">
        <v>0</v>
      </c>
      <c r="BW1800" t="s">
        <v>0</v>
      </c>
      <c r="BX1800">
        <v>0</v>
      </c>
      <c r="BY1800">
        <v>0</v>
      </c>
      <c r="BZ1800">
        <v>0</v>
      </c>
      <c r="CA1800">
        <v>0</v>
      </c>
      <c r="CB1800" t="s">
        <v>145</v>
      </c>
    </row>
    <row r="1801" spans="67:80" x14ac:dyDescent="0.25">
      <c r="BO1801">
        <v>0</v>
      </c>
      <c r="BP1801">
        <v>0</v>
      </c>
      <c r="BQ1801">
        <v>0</v>
      </c>
      <c r="BR1801">
        <v>0</v>
      </c>
      <c r="BS1801">
        <v>0</v>
      </c>
      <c r="BT1801">
        <v>0</v>
      </c>
      <c r="BU1801">
        <v>0</v>
      </c>
      <c r="BV1801">
        <v>0</v>
      </c>
      <c r="BW1801" t="s">
        <v>0</v>
      </c>
      <c r="BX1801">
        <v>0</v>
      </c>
      <c r="BY1801">
        <v>0</v>
      </c>
      <c r="BZ1801">
        <v>0</v>
      </c>
      <c r="CA1801">
        <v>0</v>
      </c>
      <c r="CB1801" t="s">
        <v>145</v>
      </c>
    </row>
    <row r="1802" spans="67:80" x14ac:dyDescent="0.25">
      <c r="BO1802">
        <v>0</v>
      </c>
      <c r="BP1802">
        <v>0</v>
      </c>
      <c r="BQ1802">
        <v>0</v>
      </c>
      <c r="BR1802">
        <v>0</v>
      </c>
      <c r="BS1802">
        <v>0</v>
      </c>
      <c r="BT1802">
        <v>0</v>
      </c>
      <c r="BU1802">
        <v>0</v>
      </c>
      <c r="BV1802">
        <v>0</v>
      </c>
      <c r="BW1802" t="s">
        <v>0</v>
      </c>
      <c r="BX1802">
        <v>0</v>
      </c>
      <c r="BY1802">
        <v>0</v>
      </c>
      <c r="BZ1802">
        <v>0</v>
      </c>
      <c r="CA1802">
        <v>0</v>
      </c>
      <c r="CB1802" t="s">
        <v>145</v>
      </c>
    </row>
    <row r="1803" spans="67:80" x14ac:dyDescent="0.25">
      <c r="BO1803">
        <v>0</v>
      </c>
      <c r="BP1803">
        <v>0</v>
      </c>
      <c r="BQ1803">
        <v>0</v>
      </c>
      <c r="BR1803">
        <v>0</v>
      </c>
      <c r="BS1803">
        <v>0</v>
      </c>
      <c r="BT1803">
        <v>0</v>
      </c>
      <c r="BU1803">
        <v>0</v>
      </c>
      <c r="BV1803">
        <v>0</v>
      </c>
      <c r="BW1803" t="s">
        <v>0</v>
      </c>
      <c r="BX1803">
        <v>0</v>
      </c>
      <c r="BY1803">
        <v>0</v>
      </c>
      <c r="BZ1803">
        <v>0</v>
      </c>
      <c r="CA1803">
        <v>0</v>
      </c>
      <c r="CB1803" t="s">
        <v>145</v>
      </c>
    </row>
    <row r="1804" spans="67:80" x14ac:dyDescent="0.25">
      <c r="BO1804">
        <v>0</v>
      </c>
      <c r="BP1804">
        <v>0</v>
      </c>
      <c r="BQ1804">
        <v>0</v>
      </c>
      <c r="BR1804">
        <v>0</v>
      </c>
      <c r="BS1804">
        <v>0</v>
      </c>
      <c r="BT1804">
        <v>0</v>
      </c>
      <c r="BU1804">
        <v>0</v>
      </c>
      <c r="BV1804">
        <v>0</v>
      </c>
      <c r="BW1804" t="s">
        <v>0</v>
      </c>
      <c r="BX1804">
        <v>0</v>
      </c>
      <c r="BY1804">
        <v>0</v>
      </c>
      <c r="BZ1804">
        <v>0</v>
      </c>
      <c r="CA1804">
        <v>0</v>
      </c>
      <c r="CB1804" t="s">
        <v>145</v>
      </c>
    </row>
    <row r="1805" spans="67:80" x14ac:dyDescent="0.25">
      <c r="BO1805">
        <v>0</v>
      </c>
      <c r="BP1805">
        <v>0</v>
      </c>
      <c r="BQ1805">
        <v>0</v>
      </c>
      <c r="BR1805">
        <v>0</v>
      </c>
      <c r="BS1805">
        <v>0</v>
      </c>
      <c r="BT1805">
        <v>0</v>
      </c>
      <c r="BU1805">
        <v>0</v>
      </c>
      <c r="BV1805">
        <v>0</v>
      </c>
      <c r="BW1805" t="s">
        <v>0</v>
      </c>
      <c r="BX1805">
        <v>0</v>
      </c>
      <c r="BY1805">
        <v>0</v>
      </c>
      <c r="BZ1805">
        <v>0</v>
      </c>
      <c r="CA1805">
        <v>0</v>
      </c>
      <c r="CB1805" t="s">
        <v>145</v>
      </c>
    </row>
    <row r="1806" spans="67:80" x14ac:dyDescent="0.25">
      <c r="BO1806">
        <v>0</v>
      </c>
      <c r="BP1806">
        <v>0</v>
      </c>
      <c r="BQ1806">
        <v>0</v>
      </c>
      <c r="BR1806">
        <v>0</v>
      </c>
      <c r="BS1806">
        <v>0</v>
      </c>
      <c r="BT1806">
        <v>0</v>
      </c>
      <c r="BU1806">
        <v>0</v>
      </c>
      <c r="BV1806">
        <v>0</v>
      </c>
      <c r="BW1806" t="s">
        <v>0</v>
      </c>
      <c r="BX1806">
        <v>0</v>
      </c>
      <c r="BY1806">
        <v>0</v>
      </c>
      <c r="BZ1806">
        <v>0</v>
      </c>
      <c r="CA1806">
        <v>0</v>
      </c>
      <c r="CB1806" t="s">
        <v>145</v>
      </c>
    </row>
    <row r="1807" spans="67:80" x14ac:dyDescent="0.25">
      <c r="BO1807">
        <v>0</v>
      </c>
      <c r="BP1807">
        <v>0</v>
      </c>
      <c r="BQ1807">
        <v>0</v>
      </c>
      <c r="BR1807">
        <v>0</v>
      </c>
      <c r="BS1807">
        <v>0</v>
      </c>
      <c r="BT1807">
        <v>0</v>
      </c>
      <c r="BU1807">
        <v>0</v>
      </c>
      <c r="BV1807">
        <v>0</v>
      </c>
      <c r="BW1807" t="s">
        <v>0</v>
      </c>
      <c r="BX1807">
        <v>0</v>
      </c>
      <c r="BY1807">
        <v>0</v>
      </c>
      <c r="BZ1807">
        <v>0</v>
      </c>
      <c r="CA1807">
        <v>0</v>
      </c>
      <c r="CB1807" t="s">
        <v>145</v>
      </c>
    </row>
    <row r="1808" spans="67:80" x14ac:dyDescent="0.25">
      <c r="BO1808">
        <v>0</v>
      </c>
      <c r="BP1808">
        <v>0</v>
      </c>
      <c r="BQ1808">
        <v>0</v>
      </c>
      <c r="BR1808">
        <v>0</v>
      </c>
      <c r="BS1808">
        <v>0</v>
      </c>
      <c r="BT1808">
        <v>0</v>
      </c>
      <c r="BU1808">
        <v>0</v>
      </c>
      <c r="BV1808">
        <v>0</v>
      </c>
      <c r="BW1808" t="s">
        <v>0</v>
      </c>
      <c r="BX1808">
        <v>0</v>
      </c>
      <c r="BY1808">
        <v>0</v>
      </c>
      <c r="BZ1808">
        <v>0</v>
      </c>
      <c r="CA1808">
        <v>0</v>
      </c>
      <c r="CB1808" t="s">
        <v>145</v>
      </c>
    </row>
    <row r="1809" spans="67:80" x14ac:dyDescent="0.25">
      <c r="BO1809">
        <v>0</v>
      </c>
      <c r="BP1809">
        <v>0</v>
      </c>
      <c r="BQ1809">
        <v>0</v>
      </c>
      <c r="BR1809">
        <v>0</v>
      </c>
      <c r="BS1809">
        <v>0</v>
      </c>
      <c r="BT1809">
        <v>0</v>
      </c>
      <c r="BU1809">
        <v>0</v>
      </c>
      <c r="BV1809">
        <v>0</v>
      </c>
      <c r="BW1809" t="s">
        <v>0</v>
      </c>
      <c r="BX1809">
        <v>0</v>
      </c>
      <c r="BY1809">
        <v>0</v>
      </c>
      <c r="BZ1809">
        <v>0</v>
      </c>
      <c r="CA1809">
        <v>0</v>
      </c>
      <c r="CB1809" t="s">
        <v>145</v>
      </c>
    </row>
    <row r="1810" spans="67:80" x14ac:dyDescent="0.25">
      <c r="BO1810">
        <v>0</v>
      </c>
      <c r="BP1810">
        <v>0</v>
      </c>
      <c r="BQ1810">
        <v>0</v>
      </c>
      <c r="BR1810">
        <v>0</v>
      </c>
      <c r="BS1810">
        <v>0</v>
      </c>
      <c r="BT1810">
        <v>0</v>
      </c>
      <c r="BU1810">
        <v>0</v>
      </c>
      <c r="BV1810">
        <v>0</v>
      </c>
      <c r="BW1810" t="s">
        <v>0</v>
      </c>
      <c r="BX1810">
        <v>0</v>
      </c>
      <c r="BY1810">
        <v>0</v>
      </c>
      <c r="BZ1810">
        <v>0</v>
      </c>
      <c r="CA1810">
        <v>0</v>
      </c>
      <c r="CB1810" t="s">
        <v>145</v>
      </c>
    </row>
    <row r="1811" spans="67:80" x14ac:dyDescent="0.25">
      <c r="BO1811">
        <v>0</v>
      </c>
      <c r="BP1811">
        <v>0</v>
      </c>
      <c r="BQ1811">
        <v>0</v>
      </c>
      <c r="BR1811">
        <v>0</v>
      </c>
      <c r="BS1811">
        <v>0</v>
      </c>
      <c r="BT1811">
        <v>0</v>
      </c>
      <c r="BU1811">
        <v>0</v>
      </c>
      <c r="BV1811">
        <v>0</v>
      </c>
      <c r="BW1811" t="s">
        <v>0</v>
      </c>
      <c r="BX1811">
        <v>0</v>
      </c>
      <c r="BY1811">
        <v>0</v>
      </c>
      <c r="BZ1811">
        <v>0</v>
      </c>
      <c r="CA1811">
        <v>0</v>
      </c>
      <c r="CB1811" t="s">
        <v>145</v>
      </c>
    </row>
    <row r="1812" spans="67:80" x14ac:dyDescent="0.25">
      <c r="BO1812">
        <v>0</v>
      </c>
      <c r="BP1812">
        <v>0</v>
      </c>
      <c r="BQ1812">
        <v>0</v>
      </c>
      <c r="BR1812">
        <v>0</v>
      </c>
      <c r="BS1812">
        <v>0</v>
      </c>
      <c r="BT1812">
        <v>0</v>
      </c>
      <c r="BU1812">
        <v>0</v>
      </c>
      <c r="BV1812">
        <v>0</v>
      </c>
      <c r="BW1812" t="s">
        <v>0</v>
      </c>
      <c r="BX1812">
        <v>0</v>
      </c>
      <c r="BY1812">
        <v>0</v>
      </c>
      <c r="BZ1812">
        <v>0</v>
      </c>
      <c r="CA1812">
        <v>0</v>
      </c>
      <c r="CB1812" t="s">
        <v>145</v>
      </c>
    </row>
    <row r="1813" spans="67:80" x14ac:dyDescent="0.25">
      <c r="BO1813">
        <v>0</v>
      </c>
      <c r="BP1813">
        <v>0</v>
      </c>
      <c r="BQ1813">
        <v>0</v>
      </c>
      <c r="BR1813">
        <v>0</v>
      </c>
      <c r="BS1813">
        <v>0</v>
      </c>
      <c r="BT1813">
        <v>0</v>
      </c>
      <c r="BU1813">
        <v>0</v>
      </c>
      <c r="BV1813">
        <v>0</v>
      </c>
      <c r="BW1813" t="s">
        <v>0</v>
      </c>
      <c r="BX1813">
        <v>0</v>
      </c>
      <c r="BY1813">
        <v>0</v>
      </c>
      <c r="BZ1813">
        <v>0</v>
      </c>
      <c r="CA1813">
        <v>0</v>
      </c>
      <c r="CB1813" t="s">
        <v>145</v>
      </c>
    </row>
    <row r="1814" spans="67:80" x14ac:dyDescent="0.25">
      <c r="BO1814">
        <v>0</v>
      </c>
      <c r="BP1814">
        <v>0</v>
      </c>
      <c r="BQ1814">
        <v>0</v>
      </c>
      <c r="BR1814">
        <v>0</v>
      </c>
      <c r="BS1814">
        <v>0</v>
      </c>
      <c r="BT1814">
        <v>0</v>
      </c>
      <c r="BU1814">
        <v>0</v>
      </c>
      <c r="BV1814">
        <v>0</v>
      </c>
      <c r="BW1814" t="s">
        <v>0</v>
      </c>
      <c r="BX1814">
        <v>0</v>
      </c>
      <c r="BY1814">
        <v>0</v>
      </c>
      <c r="BZ1814">
        <v>0</v>
      </c>
      <c r="CA1814">
        <v>0</v>
      </c>
      <c r="CB1814" t="s">
        <v>145</v>
      </c>
    </row>
    <row r="1815" spans="67:80" x14ac:dyDescent="0.25">
      <c r="BO1815">
        <v>0</v>
      </c>
      <c r="BP1815">
        <v>0</v>
      </c>
      <c r="BQ1815">
        <v>0</v>
      </c>
      <c r="BR1815">
        <v>0</v>
      </c>
      <c r="BS1815">
        <v>0</v>
      </c>
      <c r="BT1815">
        <v>0</v>
      </c>
      <c r="BU1815">
        <v>0</v>
      </c>
      <c r="BV1815">
        <v>0</v>
      </c>
      <c r="BW1815" t="s">
        <v>0</v>
      </c>
      <c r="BX1815">
        <v>0</v>
      </c>
      <c r="BY1815">
        <v>0</v>
      </c>
      <c r="BZ1815">
        <v>0</v>
      </c>
      <c r="CA1815">
        <v>0</v>
      </c>
      <c r="CB1815" t="s">
        <v>145</v>
      </c>
    </row>
    <row r="1816" spans="67:80" x14ac:dyDescent="0.25">
      <c r="BO1816">
        <v>0</v>
      </c>
      <c r="BP1816">
        <v>0</v>
      </c>
      <c r="BQ1816">
        <v>0</v>
      </c>
      <c r="BR1816">
        <v>0</v>
      </c>
      <c r="BS1816">
        <v>0</v>
      </c>
      <c r="BT1816">
        <v>0</v>
      </c>
      <c r="BU1816">
        <v>0</v>
      </c>
      <c r="BV1816">
        <v>0</v>
      </c>
      <c r="BW1816" t="s">
        <v>0</v>
      </c>
      <c r="BX1816">
        <v>0</v>
      </c>
      <c r="BY1816">
        <v>0</v>
      </c>
      <c r="BZ1816">
        <v>0</v>
      </c>
      <c r="CA1816">
        <v>0</v>
      </c>
      <c r="CB1816" t="s">
        <v>145</v>
      </c>
    </row>
    <row r="1817" spans="67:80" x14ac:dyDescent="0.25">
      <c r="BO1817">
        <v>0</v>
      </c>
      <c r="BP1817">
        <v>0</v>
      </c>
      <c r="BQ1817">
        <v>0</v>
      </c>
      <c r="BR1817">
        <v>0</v>
      </c>
      <c r="BS1817">
        <v>0</v>
      </c>
      <c r="BT1817">
        <v>0</v>
      </c>
      <c r="BU1817">
        <v>0</v>
      </c>
      <c r="BV1817">
        <v>0</v>
      </c>
      <c r="BW1817" t="s">
        <v>0</v>
      </c>
      <c r="BX1817">
        <v>0</v>
      </c>
      <c r="BY1817">
        <v>0</v>
      </c>
      <c r="BZ1817">
        <v>0</v>
      </c>
      <c r="CA1817">
        <v>0</v>
      </c>
      <c r="CB1817" t="s">
        <v>145</v>
      </c>
    </row>
    <row r="1818" spans="67:80" x14ac:dyDescent="0.25">
      <c r="BO1818">
        <v>0</v>
      </c>
      <c r="BP1818">
        <v>0</v>
      </c>
      <c r="BQ1818">
        <v>0</v>
      </c>
      <c r="BR1818">
        <v>0</v>
      </c>
      <c r="BS1818">
        <v>0</v>
      </c>
      <c r="BT1818">
        <v>0</v>
      </c>
      <c r="BU1818">
        <v>0</v>
      </c>
      <c r="BV1818">
        <v>0</v>
      </c>
      <c r="BW1818" t="s">
        <v>0</v>
      </c>
      <c r="BX1818">
        <v>0</v>
      </c>
      <c r="BY1818">
        <v>0</v>
      </c>
      <c r="BZ1818">
        <v>0</v>
      </c>
      <c r="CA1818">
        <v>0</v>
      </c>
      <c r="CB1818" t="s">
        <v>145</v>
      </c>
    </row>
    <row r="1819" spans="67:80" x14ac:dyDescent="0.25">
      <c r="BO1819">
        <v>0</v>
      </c>
      <c r="BP1819">
        <v>0</v>
      </c>
      <c r="BQ1819">
        <v>0</v>
      </c>
      <c r="BR1819">
        <v>0</v>
      </c>
      <c r="BS1819">
        <v>0</v>
      </c>
      <c r="BT1819">
        <v>0</v>
      </c>
      <c r="BU1819">
        <v>0</v>
      </c>
      <c r="BV1819">
        <v>0</v>
      </c>
      <c r="BW1819" t="s">
        <v>0</v>
      </c>
      <c r="BX1819">
        <v>0</v>
      </c>
      <c r="BY1819">
        <v>0</v>
      </c>
      <c r="BZ1819">
        <v>0</v>
      </c>
      <c r="CA1819">
        <v>0</v>
      </c>
      <c r="CB1819" t="s">
        <v>145</v>
      </c>
    </row>
    <row r="1820" spans="67:80" x14ac:dyDescent="0.25">
      <c r="BO1820">
        <v>0</v>
      </c>
      <c r="BP1820">
        <v>0</v>
      </c>
      <c r="BQ1820">
        <v>0</v>
      </c>
      <c r="BR1820">
        <v>0</v>
      </c>
      <c r="BS1820">
        <v>0</v>
      </c>
      <c r="BT1820">
        <v>0</v>
      </c>
      <c r="BU1820">
        <v>0</v>
      </c>
      <c r="BV1820">
        <v>0</v>
      </c>
      <c r="BW1820" t="s">
        <v>0</v>
      </c>
      <c r="BX1820">
        <v>0</v>
      </c>
      <c r="BY1820">
        <v>0</v>
      </c>
      <c r="BZ1820">
        <v>0</v>
      </c>
      <c r="CA1820">
        <v>0</v>
      </c>
      <c r="CB1820" t="s">
        <v>145</v>
      </c>
    </row>
    <row r="1821" spans="67:80" x14ac:dyDescent="0.25">
      <c r="BO1821">
        <v>0</v>
      </c>
      <c r="BP1821">
        <v>0</v>
      </c>
      <c r="BQ1821">
        <v>0</v>
      </c>
      <c r="BR1821">
        <v>0</v>
      </c>
      <c r="BS1821">
        <v>0</v>
      </c>
      <c r="BT1821">
        <v>0</v>
      </c>
      <c r="BU1821">
        <v>0</v>
      </c>
      <c r="BV1821">
        <v>0</v>
      </c>
      <c r="BW1821" t="s">
        <v>0</v>
      </c>
      <c r="BX1821">
        <v>0</v>
      </c>
      <c r="BY1821">
        <v>0</v>
      </c>
      <c r="BZ1821">
        <v>0</v>
      </c>
      <c r="CA1821">
        <v>0</v>
      </c>
      <c r="CB1821" t="s">
        <v>145</v>
      </c>
    </row>
    <row r="1822" spans="67:80" x14ac:dyDescent="0.25">
      <c r="BO1822">
        <v>0</v>
      </c>
      <c r="BP1822">
        <v>0</v>
      </c>
      <c r="BQ1822">
        <v>0</v>
      </c>
      <c r="BR1822">
        <v>0</v>
      </c>
      <c r="BS1822">
        <v>0</v>
      </c>
      <c r="BT1822">
        <v>0</v>
      </c>
      <c r="BU1822">
        <v>0</v>
      </c>
      <c r="BV1822">
        <v>0</v>
      </c>
      <c r="BW1822" t="s">
        <v>0</v>
      </c>
      <c r="BX1822">
        <v>0</v>
      </c>
      <c r="BY1822">
        <v>0</v>
      </c>
      <c r="BZ1822">
        <v>0</v>
      </c>
      <c r="CA1822">
        <v>0</v>
      </c>
      <c r="CB1822" t="s">
        <v>145</v>
      </c>
    </row>
    <row r="1823" spans="67:80" x14ac:dyDescent="0.25">
      <c r="BO1823">
        <v>0</v>
      </c>
      <c r="BP1823">
        <v>0</v>
      </c>
      <c r="BQ1823">
        <v>0</v>
      </c>
      <c r="BR1823">
        <v>0</v>
      </c>
      <c r="BS1823">
        <v>0</v>
      </c>
      <c r="BT1823">
        <v>0</v>
      </c>
      <c r="BU1823">
        <v>0</v>
      </c>
      <c r="BV1823">
        <v>0</v>
      </c>
      <c r="BW1823" t="s">
        <v>0</v>
      </c>
      <c r="BX1823">
        <v>0</v>
      </c>
      <c r="BY1823">
        <v>0</v>
      </c>
      <c r="BZ1823">
        <v>0</v>
      </c>
      <c r="CA1823">
        <v>0</v>
      </c>
      <c r="CB1823" t="s">
        <v>145</v>
      </c>
    </row>
    <row r="1824" spans="67:80" x14ac:dyDescent="0.25">
      <c r="BO1824">
        <v>0</v>
      </c>
      <c r="BP1824">
        <v>0</v>
      </c>
      <c r="BQ1824">
        <v>0</v>
      </c>
      <c r="BR1824">
        <v>0</v>
      </c>
      <c r="BS1824">
        <v>0</v>
      </c>
      <c r="BT1824">
        <v>0</v>
      </c>
      <c r="BU1824">
        <v>0</v>
      </c>
      <c r="BV1824">
        <v>0</v>
      </c>
      <c r="BW1824" t="s">
        <v>0</v>
      </c>
      <c r="BX1824">
        <v>0</v>
      </c>
      <c r="BY1824">
        <v>0</v>
      </c>
      <c r="BZ1824">
        <v>0</v>
      </c>
      <c r="CA1824">
        <v>0</v>
      </c>
      <c r="CB1824" t="s">
        <v>145</v>
      </c>
    </row>
    <row r="1825" spans="54:80" x14ac:dyDescent="0.25">
      <c r="BO1825">
        <v>0</v>
      </c>
      <c r="BP1825">
        <v>0</v>
      </c>
      <c r="BQ1825">
        <v>0</v>
      </c>
      <c r="BR1825">
        <v>0</v>
      </c>
      <c r="BS1825">
        <v>0</v>
      </c>
      <c r="BT1825">
        <v>0</v>
      </c>
      <c r="BU1825">
        <v>0</v>
      </c>
      <c r="BV1825">
        <v>0</v>
      </c>
      <c r="BW1825" t="s">
        <v>0</v>
      </c>
      <c r="BX1825">
        <v>0</v>
      </c>
      <c r="BY1825">
        <v>0</v>
      </c>
      <c r="BZ1825">
        <v>0</v>
      </c>
      <c r="CA1825">
        <v>0</v>
      </c>
      <c r="CB1825" t="s">
        <v>145</v>
      </c>
    </row>
    <row r="1826" spans="54:80" x14ac:dyDescent="0.25">
      <c r="BB1826" s="1"/>
      <c r="BO1826">
        <v>0</v>
      </c>
      <c r="BP1826">
        <v>0</v>
      </c>
      <c r="BQ1826">
        <v>0</v>
      </c>
      <c r="BR1826">
        <v>0</v>
      </c>
      <c r="BS1826">
        <v>0</v>
      </c>
      <c r="BT1826">
        <v>0</v>
      </c>
      <c r="BU1826">
        <v>0</v>
      </c>
      <c r="BV1826">
        <v>0</v>
      </c>
      <c r="BW1826" t="s">
        <v>0</v>
      </c>
      <c r="BX1826">
        <v>0</v>
      </c>
      <c r="BY1826">
        <v>0</v>
      </c>
      <c r="BZ1826">
        <v>0</v>
      </c>
      <c r="CA1826">
        <v>0</v>
      </c>
      <c r="CB1826" t="s">
        <v>145</v>
      </c>
    </row>
    <row r="1827" spans="54:80" x14ac:dyDescent="0.25">
      <c r="BO1827">
        <v>0</v>
      </c>
      <c r="BP1827">
        <v>0</v>
      </c>
      <c r="BQ1827">
        <v>0</v>
      </c>
      <c r="BR1827">
        <v>0</v>
      </c>
      <c r="BS1827">
        <v>0</v>
      </c>
      <c r="BT1827">
        <v>0</v>
      </c>
      <c r="BU1827">
        <v>0</v>
      </c>
      <c r="BV1827">
        <v>0</v>
      </c>
      <c r="BW1827" t="s">
        <v>0</v>
      </c>
      <c r="BX1827">
        <v>0</v>
      </c>
      <c r="BY1827">
        <v>0</v>
      </c>
      <c r="BZ1827">
        <v>0</v>
      </c>
      <c r="CA1827">
        <v>0</v>
      </c>
      <c r="CB1827" t="s">
        <v>145</v>
      </c>
    </row>
    <row r="1828" spans="54:80" x14ac:dyDescent="0.25">
      <c r="BO1828">
        <v>0</v>
      </c>
      <c r="BP1828">
        <v>0</v>
      </c>
      <c r="BQ1828">
        <v>0</v>
      </c>
      <c r="BR1828">
        <v>0</v>
      </c>
      <c r="BS1828">
        <v>0</v>
      </c>
      <c r="BT1828">
        <v>0</v>
      </c>
      <c r="BU1828">
        <v>0</v>
      </c>
      <c r="BV1828">
        <v>0</v>
      </c>
      <c r="BW1828" t="s">
        <v>0</v>
      </c>
      <c r="BX1828">
        <v>0</v>
      </c>
      <c r="BY1828">
        <v>0</v>
      </c>
      <c r="BZ1828">
        <v>0</v>
      </c>
      <c r="CA1828">
        <v>0</v>
      </c>
      <c r="CB1828" t="s">
        <v>145</v>
      </c>
    </row>
    <row r="1829" spans="54:80" x14ac:dyDescent="0.25">
      <c r="BO1829">
        <v>0</v>
      </c>
      <c r="BP1829">
        <v>0</v>
      </c>
      <c r="BQ1829">
        <v>0</v>
      </c>
      <c r="BR1829">
        <v>0</v>
      </c>
      <c r="BS1829">
        <v>0</v>
      </c>
      <c r="BT1829">
        <v>0</v>
      </c>
      <c r="BU1829">
        <v>0</v>
      </c>
      <c r="BV1829">
        <v>0</v>
      </c>
      <c r="BW1829" t="s">
        <v>0</v>
      </c>
      <c r="BX1829">
        <v>0</v>
      </c>
      <c r="BY1829">
        <v>0</v>
      </c>
      <c r="BZ1829">
        <v>0</v>
      </c>
      <c r="CA1829">
        <v>0</v>
      </c>
      <c r="CB1829" t="s">
        <v>145</v>
      </c>
    </row>
    <row r="1830" spans="54:80" x14ac:dyDescent="0.25">
      <c r="BO1830">
        <v>0</v>
      </c>
      <c r="BP1830">
        <v>0</v>
      </c>
      <c r="BQ1830">
        <v>0</v>
      </c>
      <c r="BR1830">
        <v>0</v>
      </c>
      <c r="BS1830">
        <v>0</v>
      </c>
      <c r="BT1830">
        <v>0</v>
      </c>
      <c r="BU1830">
        <v>0</v>
      </c>
      <c r="BV1830">
        <v>0</v>
      </c>
      <c r="BW1830" t="s">
        <v>0</v>
      </c>
      <c r="BX1830">
        <v>0</v>
      </c>
      <c r="BY1830">
        <v>0</v>
      </c>
      <c r="BZ1830">
        <v>0</v>
      </c>
      <c r="CA1830">
        <v>0</v>
      </c>
      <c r="CB1830" t="s">
        <v>145</v>
      </c>
    </row>
    <row r="1831" spans="54:80" x14ac:dyDescent="0.25">
      <c r="BO1831">
        <v>0</v>
      </c>
      <c r="BP1831">
        <v>0</v>
      </c>
      <c r="BQ1831">
        <v>0</v>
      </c>
      <c r="BR1831">
        <v>0</v>
      </c>
      <c r="BS1831">
        <v>0</v>
      </c>
      <c r="BT1831">
        <v>0</v>
      </c>
      <c r="BU1831">
        <v>0</v>
      </c>
      <c r="BV1831">
        <v>0</v>
      </c>
      <c r="BW1831" t="s">
        <v>0</v>
      </c>
      <c r="BX1831">
        <v>0</v>
      </c>
      <c r="BY1831">
        <v>0</v>
      </c>
      <c r="BZ1831">
        <v>0</v>
      </c>
      <c r="CA1831">
        <v>0</v>
      </c>
      <c r="CB1831" t="s">
        <v>145</v>
      </c>
    </row>
    <row r="1832" spans="54:80" x14ac:dyDescent="0.25">
      <c r="BO1832">
        <v>0</v>
      </c>
      <c r="BP1832">
        <v>0</v>
      </c>
      <c r="BQ1832">
        <v>0</v>
      </c>
      <c r="BR1832">
        <v>0</v>
      </c>
      <c r="BS1832">
        <v>0</v>
      </c>
      <c r="BT1832">
        <v>0</v>
      </c>
      <c r="BU1832">
        <v>0</v>
      </c>
      <c r="BV1832">
        <v>0</v>
      </c>
      <c r="BW1832" t="s">
        <v>0</v>
      </c>
      <c r="BX1832">
        <v>0</v>
      </c>
      <c r="BY1832">
        <v>0</v>
      </c>
      <c r="BZ1832">
        <v>0</v>
      </c>
      <c r="CA1832">
        <v>0</v>
      </c>
      <c r="CB1832" t="s">
        <v>145</v>
      </c>
    </row>
    <row r="1833" spans="54:80" x14ac:dyDescent="0.25">
      <c r="BO1833">
        <v>0</v>
      </c>
      <c r="BP1833">
        <v>0</v>
      </c>
      <c r="BQ1833">
        <v>0</v>
      </c>
      <c r="BR1833">
        <v>0</v>
      </c>
      <c r="BS1833">
        <v>0</v>
      </c>
      <c r="BT1833">
        <v>0</v>
      </c>
      <c r="BU1833">
        <v>0</v>
      </c>
      <c r="BV1833">
        <v>0</v>
      </c>
      <c r="BW1833" t="s">
        <v>0</v>
      </c>
      <c r="BX1833">
        <v>0</v>
      </c>
      <c r="BY1833">
        <v>0</v>
      </c>
      <c r="BZ1833">
        <v>0</v>
      </c>
      <c r="CA1833">
        <v>0</v>
      </c>
      <c r="CB1833" t="s">
        <v>145</v>
      </c>
    </row>
    <row r="1834" spans="54:80" x14ac:dyDescent="0.25">
      <c r="BO1834">
        <v>0</v>
      </c>
      <c r="BP1834">
        <v>0</v>
      </c>
      <c r="BQ1834">
        <v>0</v>
      </c>
      <c r="BR1834">
        <v>0</v>
      </c>
      <c r="BS1834">
        <v>0</v>
      </c>
      <c r="BT1834">
        <v>0</v>
      </c>
      <c r="BU1834">
        <v>0</v>
      </c>
      <c r="BV1834">
        <v>0</v>
      </c>
      <c r="BW1834" t="s">
        <v>0</v>
      </c>
      <c r="BX1834">
        <v>0</v>
      </c>
      <c r="BY1834">
        <v>0</v>
      </c>
      <c r="BZ1834">
        <v>0</v>
      </c>
      <c r="CA1834">
        <v>0</v>
      </c>
      <c r="CB1834" t="s">
        <v>145</v>
      </c>
    </row>
    <row r="1835" spans="54:80" x14ac:dyDescent="0.25">
      <c r="BO1835">
        <v>0</v>
      </c>
      <c r="BP1835">
        <v>0</v>
      </c>
      <c r="BQ1835">
        <v>0</v>
      </c>
      <c r="BR1835">
        <v>0</v>
      </c>
      <c r="BS1835">
        <v>0</v>
      </c>
      <c r="BT1835">
        <v>0</v>
      </c>
      <c r="BU1835">
        <v>0</v>
      </c>
      <c r="BV1835">
        <v>0</v>
      </c>
      <c r="BW1835" t="s">
        <v>0</v>
      </c>
      <c r="BX1835">
        <v>0</v>
      </c>
      <c r="BY1835">
        <v>0</v>
      </c>
      <c r="BZ1835">
        <v>0</v>
      </c>
      <c r="CA1835">
        <v>0</v>
      </c>
      <c r="CB1835" t="s">
        <v>145</v>
      </c>
    </row>
    <row r="1836" spans="54:80" x14ac:dyDescent="0.25">
      <c r="BO1836">
        <v>0</v>
      </c>
      <c r="BP1836">
        <v>0</v>
      </c>
      <c r="BQ1836">
        <v>0</v>
      </c>
      <c r="BR1836">
        <v>0</v>
      </c>
      <c r="BS1836">
        <v>0</v>
      </c>
      <c r="BT1836">
        <v>0</v>
      </c>
      <c r="BU1836">
        <v>0</v>
      </c>
      <c r="BV1836">
        <v>0</v>
      </c>
      <c r="BW1836" t="s">
        <v>0</v>
      </c>
      <c r="BX1836">
        <v>0</v>
      </c>
      <c r="BY1836">
        <v>0</v>
      </c>
      <c r="BZ1836">
        <v>0</v>
      </c>
      <c r="CA1836">
        <v>0</v>
      </c>
      <c r="CB1836" t="s">
        <v>145</v>
      </c>
    </row>
    <row r="1837" spans="54:80" x14ac:dyDescent="0.25">
      <c r="BO1837">
        <v>0</v>
      </c>
      <c r="BP1837">
        <v>0</v>
      </c>
      <c r="BQ1837">
        <v>0</v>
      </c>
      <c r="BR1837">
        <v>0</v>
      </c>
      <c r="BS1837">
        <v>0</v>
      </c>
      <c r="BT1837">
        <v>0</v>
      </c>
      <c r="BU1837">
        <v>0</v>
      </c>
      <c r="BV1837">
        <v>0</v>
      </c>
      <c r="BW1837" t="s">
        <v>0</v>
      </c>
      <c r="BX1837">
        <v>0</v>
      </c>
      <c r="BY1837">
        <v>0</v>
      </c>
      <c r="BZ1837">
        <v>0</v>
      </c>
      <c r="CA1837">
        <v>0</v>
      </c>
      <c r="CB1837" t="s">
        <v>145</v>
      </c>
    </row>
    <row r="1838" spans="54:80" x14ac:dyDescent="0.25">
      <c r="BO1838">
        <v>0</v>
      </c>
      <c r="BP1838">
        <v>0</v>
      </c>
      <c r="BQ1838">
        <v>0</v>
      </c>
      <c r="BR1838">
        <v>0</v>
      </c>
      <c r="BS1838">
        <v>0</v>
      </c>
      <c r="BT1838">
        <v>0</v>
      </c>
      <c r="BU1838">
        <v>0</v>
      </c>
      <c r="BV1838">
        <v>0</v>
      </c>
      <c r="BW1838" t="s">
        <v>0</v>
      </c>
      <c r="BX1838">
        <v>0</v>
      </c>
      <c r="BY1838">
        <v>0</v>
      </c>
      <c r="BZ1838">
        <v>0</v>
      </c>
      <c r="CA1838">
        <v>0</v>
      </c>
      <c r="CB1838" t="s">
        <v>145</v>
      </c>
    </row>
    <row r="1839" spans="54:80" x14ac:dyDescent="0.25">
      <c r="BO1839">
        <v>0</v>
      </c>
      <c r="BP1839">
        <v>0</v>
      </c>
      <c r="BQ1839">
        <v>0</v>
      </c>
      <c r="BR1839">
        <v>0</v>
      </c>
      <c r="BS1839">
        <v>0</v>
      </c>
      <c r="BT1839">
        <v>0</v>
      </c>
      <c r="BU1839">
        <v>0</v>
      </c>
      <c r="BV1839">
        <v>0</v>
      </c>
      <c r="BW1839" t="s">
        <v>0</v>
      </c>
      <c r="BX1839">
        <v>0</v>
      </c>
      <c r="BY1839">
        <v>0</v>
      </c>
      <c r="BZ1839">
        <v>0</v>
      </c>
      <c r="CA1839">
        <v>0</v>
      </c>
      <c r="CB1839" t="s">
        <v>145</v>
      </c>
    </row>
    <row r="1840" spans="54:80" x14ac:dyDescent="0.25">
      <c r="BO1840">
        <v>0</v>
      </c>
      <c r="BP1840">
        <v>0</v>
      </c>
      <c r="BQ1840">
        <v>0</v>
      </c>
      <c r="BR1840">
        <v>0</v>
      </c>
      <c r="BS1840">
        <v>0</v>
      </c>
      <c r="BT1840">
        <v>0</v>
      </c>
      <c r="BU1840">
        <v>0</v>
      </c>
      <c r="BV1840">
        <v>0</v>
      </c>
      <c r="BW1840" t="s">
        <v>0</v>
      </c>
      <c r="BX1840">
        <v>0</v>
      </c>
      <c r="BY1840">
        <v>0</v>
      </c>
      <c r="BZ1840">
        <v>0</v>
      </c>
      <c r="CA1840">
        <v>0</v>
      </c>
      <c r="CB1840" t="s">
        <v>145</v>
      </c>
    </row>
    <row r="1841" spans="11:80" x14ac:dyDescent="0.25">
      <c r="BO1841">
        <v>0</v>
      </c>
      <c r="BP1841">
        <v>0</v>
      </c>
      <c r="BQ1841">
        <v>0</v>
      </c>
      <c r="BR1841">
        <v>0</v>
      </c>
      <c r="BS1841">
        <v>0</v>
      </c>
      <c r="BT1841">
        <v>0</v>
      </c>
      <c r="BU1841">
        <v>0</v>
      </c>
      <c r="BV1841">
        <v>0</v>
      </c>
      <c r="BW1841" t="s">
        <v>0</v>
      </c>
      <c r="BX1841">
        <v>0</v>
      </c>
      <c r="BY1841">
        <v>0</v>
      </c>
      <c r="BZ1841">
        <v>0</v>
      </c>
      <c r="CA1841">
        <v>0</v>
      </c>
      <c r="CB1841" t="s">
        <v>145</v>
      </c>
    </row>
    <row r="1842" spans="11:80" x14ac:dyDescent="0.25">
      <c r="BO1842">
        <v>0</v>
      </c>
      <c r="BP1842">
        <v>0</v>
      </c>
      <c r="BQ1842">
        <v>0</v>
      </c>
      <c r="BR1842">
        <v>0</v>
      </c>
      <c r="BS1842">
        <v>0</v>
      </c>
      <c r="BT1842">
        <v>0</v>
      </c>
      <c r="BU1842">
        <v>0</v>
      </c>
      <c r="BV1842">
        <v>0</v>
      </c>
      <c r="BW1842" t="s">
        <v>0</v>
      </c>
      <c r="BX1842">
        <v>0</v>
      </c>
      <c r="BY1842">
        <v>0</v>
      </c>
      <c r="BZ1842">
        <v>0</v>
      </c>
      <c r="CA1842">
        <v>0</v>
      </c>
      <c r="CB1842" t="s">
        <v>145</v>
      </c>
    </row>
    <row r="1843" spans="11:80" x14ac:dyDescent="0.25">
      <c r="BO1843">
        <v>0</v>
      </c>
      <c r="BP1843">
        <v>0</v>
      </c>
      <c r="BQ1843">
        <v>0</v>
      </c>
      <c r="BR1843">
        <v>0</v>
      </c>
      <c r="BS1843">
        <v>0</v>
      </c>
      <c r="BT1843">
        <v>0</v>
      </c>
      <c r="BU1843">
        <v>0</v>
      </c>
      <c r="BV1843">
        <v>0</v>
      </c>
      <c r="BW1843" t="s">
        <v>0</v>
      </c>
      <c r="BX1843">
        <v>0</v>
      </c>
      <c r="BY1843">
        <v>0</v>
      </c>
      <c r="BZ1843">
        <v>0</v>
      </c>
      <c r="CA1843">
        <v>0</v>
      </c>
      <c r="CB1843" t="s">
        <v>145</v>
      </c>
    </row>
    <row r="1844" spans="11:80" x14ac:dyDescent="0.25">
      <c r="BO1844">
        <v>0</v>
      </c>
      <c r="BP1844">
        <v>0</v>
      </c>
      <c r="BQ1844">
        <v>0</v>
      </c>
      <c r="BR1844">
        <v>0</v>
      </c>
      <c r="BS1844">
        <v>0</v>
      </c>
      <c r="BT1844">
        <v>0</v>
      </c>
      <c r="BU1844">
        <v>0</v>
      </c>
      <c r="BV1844">
        <v>0</v>
      </c>
      <c r="BW1844" t="s">
        <v>0</v>
      </c>
      <c r="BX1844">
        <v>0</v>
      </c>
      <c r="BY1844">
        <v>0</v>
      </c>
      <c r="BZ1844">
        <v>0</v>
      </c>
      <c r="CA1844">
        <v>0</v>
      </c>
      <c r="CB1844" t="s">
        <v>145</v>
      </c>
    </row>
    <row r="1845" spans="11:80" x14ac:dyDescent="0.25">
      <c r="BO1845">
        <v>0</v>
      </c>
      <c r="BP1845">
        <v>0</v>
      </c>
      <c r="BQ1845">
        <v>0</v>
      </c>
      <c r="BR1845">
        <v>0</v>
      </c>
      <c r="BS1845">
        <v>0</v>
      </c>
      <c r="BT1845">
        <v>0</v>
      </c>
      <c r="BU1845">
        <v>0</v>
      </c>
      <c r="BV1845">
        <v>0</v>
      </c>
      <c r="BW1845" t="s">
        <v>0</v>
      </c>
      <c r="BX1845">
        <v>0</v>
      </c>
      <c r="BY1845">
        <v>0</v>
      </c>
      <c r="BZ1845">
        <v>0</v>
      </c>
      <c r="CA1845">
        <v>0</v>
      </c>
      <c r="CB1845" t="s">
        <v>145</v>
      </c>
    </row>
    <row r="1846" spans="11:80" x14ac:dyDescent="0.25">
      <c r="BO1846">
        <v>0</v>
      </c>
      <c r="BP1846">
        <v>0</v>
      </c>
      <c r="BQ1846">
        <v>0</v>
      </c>
      <c r="BR1846">
        <v>0</v>
      </c>
      <c r="BS1846">
        <v>0</v>
      </c>
      <c r="BT1846">
        <v>0</v>
      </c>
      <c r="BU1846">
        <v>0</v>
      </c>
      <c r="BV1846">
        <v>0</v>
      </c>
      <c r="BW1846" t="s">
        <v>0</v>
      </c>
      <c r="BX1846">
        <v>0</v>
      </c>
      <c r="BY1846">
        <v>0</v>
      </c>
      <c r="BZ1846">
        <v>0</v>
      </c>
      <c r="CA1846">
        <v>0</v>
      </c>
      <c r="CB1846" t="s">
        <v>145</v>
      </c>
    </row>
    <row r="1847" spans="11:80" x14ac:dyDescent="0.25">
      <c r="AF1847" s="1"/>
      <c r="BE1847" s="1"/>
      <c r="BM1847" s="2"/>
      <c r="BO1847">
        <v>0</v>
      </c>
      <c r="BP1847">
        <v>0</v>
      </c>
      <c r="BQ1847">
        <v>0</v>
      </c>
      <c r="BR1847">
        <v>0</v>
      </c>
      <c r="BS1847">
        <v>0</v>
      </c>
      <c r="BT1847">
        <v>0</v>
      </c>
      <c r="BU1847">
        <v>0</v>
      </c>
      <c r="BV1847">
        <v>0</v>
      </c>
      <c r="BW1847" t="s">
        <v>0</v>
      </c>
      <c r="BX1847">
        <v>0</v>
      </c>
      <c r="BY1847">
        <v>0</v>
      </c>
      <c r="BZ1847">
        <v>0</v>
      </c>
      <c r="CA1847">
        <v>0</v>
      </c>
      <c r="CB1847" t="s">
        <v>145</v>
      </c>
    </row>
    <row r="1848" spans="11:80" x14ac:dyDescent="0.25">
      <c r="BO1848">
        <v>0</v>
      </c>
      <c r="BP1848">
        <v>0</v>
      </c>
      <c r="BQ1848">
        <v>0</v>
      </c>
      <c r="BR1848">
        <v>0</v>
      </c>
      <c r="BS1848">
        <v>0</v>
      </c>
      <c r="BT1848">
        <v>0</v>
      </c>
      <c r="BU1848">
        <v>0</v>
      </c>
      <c r="BV1848">
        <v>0</v>
      </c>
      <c r="BW1848" t="s">
        <v>0</v>
      </c>
      <c r="BX1848">
        <v>0</v>
      </c>
      <c r="BY1848">
        <v>0</v>
      </c>
      <c r="BZ1848">
        <v>0</v>
      </c>
      <c r="CA1848">
        <v>0</v>
      </c>
      <c r="CB1848" t="s">
        <v>145</v>
      </c>
    </row>
    <row r="1849" spans="11:80" x14ac:dyDescent="0.25">
      <c r="K1849" s="3"/>
      <c r="BO1849">
        <v>0</v>
      </c>
      <c r="BP1849">
        <v>0</v>
      </c>
      <c r="BQ1849">
        <v>0</v>
      </c>
      <c r="BR1849">
        <v>0</v>
      </c>
      <c r="BS1849">
        <v>0</v>
      </c>
      <c r="BT1849">
        <v>0</v>
      </c>
      <c r="BU1849">
        <v>0</v>
      </c>
      <c r="BV1849">
        <v>0</v>
      </c>
      <c r="BW1849" t="s">
        <v>0</v>
      </c>
      <c r="BX1849">
        <v>0</v>
      </c>
      <c r="BY1849">
        <v>0</v>
      </c>
      <c r="BZ1849">
        <v>0</v>
      </c>
      <c r="CA1849">
        <v>0</v>
      </c>
      <c r="CB1849" t="s">
        <v>145</v>
      </c>
    </row>
    <row r="1850" spans="11:80" x14ac:dyDescent="0.25">
      <c r="K1850" s="3"/>
      <c r="BO1850">
        <v>0</v>
      </c>
      <c r="BP1850">
        <v>0</v>
      </c>
      <c r="BQ1850">
        <v>0</v>
      </c>
      <c r="BR1850">
        <v>0</v>
      </c>
      <c r="BS1850">
        <v>0</v>
      </c>
      <c r="BT1850">
        <v>0</v>
      </c>
      <c r="BU1850">
        <v>0</v>
      </c>
      <c r="BV1850">
        <v>0</v>
      </c>
      <c r="BW1850" t="s">
        <v>0</v>
      </c>
      <c r="BX1850">
        <v>0</v>
      </c>
      <c r="BY1850">
        <v>0</v>
      </c>
      <c r="BZ1850">
        <v>0</v>
      </c>
      <c r="CA1850">
        <v>0</v>
      </c>
      <c r="CB1850" t="s">
        <v>145</v>
      </c>
    </row>
    <row r="1851" spans="11:80" x14ac:dyDescent="0.25">
      <c r="K1851" s="3"/>
      <c r="BO1851">
        <v>0</v>
      </c>
      <c r="BP1851">
        <v>0</v>
      </c>
      <c r="BQ1851">
        <v>0</v>
      </c>
      <c r="BR1851">
        <v>0</v>
      </c>
      <c r="BS1851">
        <v>0</v>
      </c>
      <c r="BT1851">
        <v>0</v>
      </c>
      <c r="BU1851">
        <v>0</v>
      </c>
      <c r="BV1851">
        <v>0</v>
      </c>
      <c r="BW1851" t="s">
        <v>0</v>
      </c>
      <c r="BX1851">
        <v>0</v>
      </c>
      <c r="BY1851">
        <v>0</v>
      </c>
      <c r="BZ1851">
        <v>0</v>
      </c>
      <c r="CA1851">
        <v>0</v>
      </c>
      <c r="CB1851" t="s">
        <v>145</v>
      </c>
    </row>
    <row r="1852" spans="11:80" x14ac:dyDescent="0.25">
      <c r="K1852" s="3"/>
      <c r="BO1852">
        <v>0</v>
      </c>
      <c r="BP1852">
        <v>0</v>
      </c>
      <c r="BQ1852">
        <v>0</v>
      </c>
      <c r="BR1852">
        <v>0</v>
      </c>
      <c r="BS1852">
        <v>0</v>
      </c>
      <c r="BT1852">
        <v>0</v>
      </c>
      <c r="BU1852">
        <v>0</v>
      </c>
      <c r="BV1852">
        <v>0</v>
      </c>
      <c r="BW1852" t="s">
        <v>0</v>
      </c>
      <c r="BX1852">
        <v>0</v>
      </c>
      <c r="BY1852">
        <v>0</v>
      </c>
      <c r="BZ1852">
        <v>0</v>
      </c>
      <c r="CA1852">
        <v>0</v>
      </c>
      <c r="CB1852" t="s">
        <v>145</v>
      </c>
    </row>
    <row r="1853" spans="11:80" x14ac:dyDescent="0.25">
      <c r="K1853" s="3"/>
      <c r="BO1853">
        <v>0</v>
      </c>
      <c r="BP1853">
        <v>0</v>
      </c>
      <c r="BQ1853">
        <v>0</v>
      </c>
      <c r="BR1853">
        <v>0</v>
      </c>
      <c r="BS1853">
        <v>0</v>
      </c>
      <c r="BT1853">
        <v>0</v>
      </c>
      <c r="BU1853">
        <v>0</v>
      </c>
      <c r="BV1853">
        <v>0</v>
      </c>
      <c r="BW1853" t="s">
        <v>0</v>
      </c>
      <c r="BX1853">
        <v>0</v>
      </c>
      <c r="BY1853">
        <v>0</v>
      </c>
      <c r="BZ1853">
        <v>0</v>
      </c>
      <c r="CA1853">
        <v>0</v>
      </c>
      <c r="CB1853" t="s">
        <v>145</v>
      </c>
    </row>
    <row r="1854" spans="11:80" x14ac:dyDescent="0.25">
      <c r="K1854" s="3"/>
      <c r="BO1854">
        <v>0</v>
      </c>
      <c r="BP1854">
        <v>0</v>
      </c>
      <c r="BQ1854">
        <v>0</v>
      </c>
      <c r="BR1854">
        <v>0</v>
      </c>
      <c r="BS1854">
        <v>0</v>
      </c>
      <c r="BT1854">
        <v>0</v>
      </c>
      <c r="BU1854">
        <v>0</v>
      </c>
      <c r="BV1854">
        <v>0</v>
      </c>
      <c r="BW1854" t="s">
        <v>0</v>
      </c>
      <c r="BX1854">
        <v>0</v>
      </c>
      <c r="BY1854">
        <v>0</v>
      </c>
      <c r="BZ1854">
        <v>0</v>
      </c>
      <c r="CA1854">
        <v>0</v>
      </c>
      <c r="CB1854" t="s">
        <v>145</v>
      </c>
    </row>
    <row r="1855" spans="11:80" x14ac:dyDescent="0.25">
      <c r="K1855" s="3"/>
      <c r="BB1855" s="1"/>
      <c r="BO1855">
        <v>0</v>
      </c>
      <c r="BP1855">
        <v>0</v>
      </c>
      <c r="BQ1855">
        <v>0</v>
      </c>
      <c r="BR1855">
        <v>0</v>
      </c>
      <c r="BS1855">
        <v>0</v>
      </c>
      <c r="BT1855">
        <v>0</v>
      </c>
      <c r="BU1855">
        <v>0</v>
      </c>
      <c r="BV1855">
        <v>0</v>
      </c>
      <c r="BW1855" t="s">
        <v>0</v>
      </c>
      <c r="BX1855">
        <v>0</v>
      </c>
      <c r="BY1855">
        <v>0</v>
      </c>
      <c r="BZ1855">
        <v>0</v>
      </c>
      <c r="CA1855">
        <v>0</v>
      </c>
      <c r="CB1855" t="s">
        <v>145</v>
      </c>
    </row>
    <row r="1856" spans="11:80" x14ac:dyDescent="0.25">
      <c r="K1856" s="3"/>
      <c r="BO1856">
        <v>0</v>
      </c>
      <c r="BP1856">
        <v>0</v>
      </c>
      <c r="BQ1856">
        <v>0</v>
      </c>
      <c r="BR1856">
        <v>0</v>
      </c>
      <c r="BS1856">
        <v>0</v>
      </c>
      <c r="BT1856">
        <v>0</v>
      </c>
      <c r="BU1856">
        <v>0</v>
      </c>
      <c r="BV1856">
        <v>0</v>
      </c>
      <c r="BW1856" t="s">
        <v>0</v>
      </c>
      <c r="BX1856">
        <v>0</v>
      </c>
      <c r="BY1856">
        <v>0</v>
      </c>
      <c r="BZ1856">
        <v>0</v>
      </c>
      <c r="CA1856">
        <v>0</v>
      </c>
      <c r="CB1856" t="s">
        <v>145</v>
      </c>
    </row>
    <row r="1857" spans="11:80" x14ac:dyDescent="0.25">
      <c r="K1857" s="3"/>
      <c r="BO1857">
        <v>0</v>
      </c>
      <c r="BP1857">
        <v>0</v>
      </c>
      <c r="BQ1857">
        <v>0</v>
      </c>
      <c r="BR1857">
        <v>0</v>
      </c>
      <c r="BS1857">
        <v>0</v>
      </c>
      <c r="BT1857">
        <v>0</v>
      </c>
      <c r="BU1857">
        <v>0</v>
      </c>
      <c r="BV1857">
        <v>0</v>
      </c>
      <c r="BW1857" t="s">
        <v>0</v>
      </c>
      <c r="BX1857">
        <v>0</v>
      </c>
      <c r="BY1857">
        <v>0</v>
      </c>
      <c r="BZ1857">
        <v>0</v>
      </c>
      <c r="CA1857">
        <v>0</v>
      </c>
      <c r="CB1857" t="s">
        <v>145</v>
      </c>
    </row>
    <row r="1858" spans="11:80" x14ac:dyDescent="0.25">
      <c r="K1858" s="3"/>
      <c r="BO1858">
        <v>0</v>
      </c>
      <c r="BP1858">
        <v>0</v>
      </c>
      <c r="BQ1858">
        <v>0</v>
      </c>
      <c r="BR1858">
        <v>0</v>
      </c>
      <c r="BS1858">
        <v>0</v>
      </c>
      <c r="BT1858">
        <v>0</v>
      </c>
      <c r="BU1858">
        <v>0</v>
      </c>
      <c r="BV1858">
        <v>0</v>
      </c>
      <c r="BW1858" t="s">
        <v>0</v>
      </c>
      <c r="BX1858">
        <v>0</v>
      </c>
      <c r="BY1858">
        <v>0</v>
      </c>
      <c r="BZ1858">
        <v>0</v>
      </c>
      <c r="CA1858">
        <v>0</v>
      </c>
      <c r="CB1858" t="s">
        <v>145</v>
      </c>
    </row>
    <row r="1859" spans="11:80" x14ac:dyDescent="0.25">
      <c r="K1859" s="3"/>
      <c r="BO1859">
        <v>0</v>
      </c>
      <c r="BP1859">
        <v>0</v>
      </c>
      <c r="BQ1859">
        <v>0</v>
      </c>
      <c r="BR1859">
        <v>0</v>
      </c>
      <c r="BS1859">
        <v>0</v>
      </c>
      <c r="BT1859">
        <v>0</v>
      </c>
      <c r="BU1859">
        <v>0</v>
      </c>
      <c r="BV1859">
        <v>0</v>
      </c>
      <c r="BW1859" t="s">
        <v>0</v>
      </c>
      <c r="BX1859">
        <v>0</v>
      </c>
      <c r="BY1859">
        <v>0</v>
      </c>
      <c r="BZ1859">
        <v>0</v>
      </c>
      <c r="CA1859">
        <v>0</v>
      </c>
      <c r="CB1859" t="s">
        <v>145</v>
      </c>
    </row>
    <row r="1860" spans="11:80" x14ac:dyDescent="0.25">
      <c r="K1860" s="3"/>
      <c r="AF1860" s="1"/>
      <c r="BO1860">
        <v>0</v>
      </c>
      <c r="BP1860">
        <v>0</v>
      </c>
      <c r="BQ1860">
        <v>0</v>
      </c>
      <c r="BR1860">
        <v>0</v>
      </c>
      <c r="BS1860">
        <v>0</v>
      </c>
      <c r="BT1860">
        <v>0</v>
      </c>
      <c r="BU1860">
        <v>0</v>
      </c>
      <c r="BV1860">
        <v>0</v>
      </c>
      <c r="BW1860" t="s">
        <v>0</v>
      </c>
      <c r="BX1860">
        <v>0</v>
      </c>
      <c r="BY1860">
        <v>0</v>
      </c>
      <c r="BZ1860">
        <v>0</v>
      </c>
      <c r="CA1860">
        <v>0</v>
      </c>
      <c r="CB1860" t="s">
        <v>145</v>
      </c>
    </row>
    <row r="1861" spans="11:80" x14ac:dyDescent="0.25">
      <c r="K1861" s="3"/>
      <c r="BO1861">
        <v>0</v>
      </c>
      <c r="BP1861">
        <v>0</v>
      </c>
      <c r="BQ1861">
        <v>0</v>
      </c>
      <c r="BR1861">
        <v>0</v>
      </c>
      <c r="BS1861">
        <v>0</v>
      </c>
      <c r="BT1861">
        <v>0</v>
      </c>
      <c r="BU1861">
        <v>0</v>
      </c>
      <c r="BV1861">
        <v>0</v>
      </c>
      <c r="BW1861" t="s">
        <v>0</v>
      </c>
      <c r="BX1861">
        <v>0</v>
      </c>
      <c r="BY1861">
        <v>0</v>
      </c>
      <c r="BZ1861">
        <v>0</v>
      </c>
      <c r="CA1861">
        <v>0</v>
      </c>
      <c r="CB1861" t="s">
        <v>145</v>
      </c>
    </row>
    <row r="1862" spans="11:80" x14ac:dyDescent="0.25">
      <c r="K1862" s="3"/>
      <c r="BO1862">
        <v>0</v>
      </c>
      <c r="BP1862">
        <v>0</v>
      </c>
      <c r="BQ1862">
        <v>0</v>
      </c>
      <c r="BR1862">
        <v>0</v>
      </c>
      <c r="BS1862">
        <v>0</v>
      </c>
      <c r="BT1862">
        <v>0</v>
      </c>
      <c r="BU1862">
        <v>0</v>
      </c>
      <c r="BV1862">
        <v>0</v>
      </c>
      <c r="BW1862" t="s">
        <v>0</v>
      </c>
      <c r="BX1862">
        <v>0</v>
      </c>
      <c r="BY1862">
        <v>0</v>
      </c>
      <c r="BZ1862">
        <v>0</v>
      </c>
      <c r="CA1862">
        <v>0</v>
      </c>
      <c r="CB1862" t="s">
        <v>145</v>
      </c>
    </row>
    <row r="1863" spans="11:80" x14ac:dyDescent="0.25">
      <c r="K1863" s="3"/>
      <c r="BO1863">
        <v>0</v>
      </c>
      <c r="BP1863">
        <v>0</v>
      </c>
      <c r="BQ1863">
        <v>0</v>
      </c>
      <c r="BR1863">
        <v>0</v>
      </c>
      <c r="BS1863">
        <v>0</v>
      </c>
      <c r="BT1863">
        <v>0</v>
      </c>
      <c r="BU1863">
        <v>0</v>
      </c>
      <c r="BV1863">
        <v>0</v>
      </c>
      <c r="BW1863" t="s">
        <v>0</v>
      </c>
      <c r="BX1863">
        <v>0</v>
      </c>
      <c r="BY1863">
        <v>0</v>
      </c>
      <c r="BZ1863">
        <v>0</v>
      </c>
      <c r="CA1863">
        <v>0</v>
      </c>
      <c r="CB1863" t="s">
        <v>145</v>
      </c>
    </row>
    <row r="1864" spans="11:80" x14ac:dyDescent="0.25">
      <c r="K1864" s="3"/>
      <c r="BO1864">
        <v>0</v>
      </c>
      <c r="BP1864">
        <v>0</v>
      </c>
      <c r="BQ1864">
        <v>0</v>
      </c>
      <c r="BR1864">
        <v>0</v>
      </c>
      <c r="BS1864">
        <v>0</v>
      </c>
      <c r="BT1864">
        <v>0</v>
      </c>
      <c r="BU1864">
        <v>0</v>
      </c>
      <c r="BV1864">
        <v>0</v>
      </c>
      <c r="BW1864" t="s">
        <v>0</v>
      </c>
      <c r="BX1864">
        <v>0</v>
      </c>
      <c r="BY1864">
        <v>0</v>
      </c>
      <c r="BZ1864">
        <v>0</v>
      </c>
      <c r="CA1864">
        <v>0</v>
      </c>
      <c r="CB1864" t="s">
        <v>145</v>
      </c>
    </row>
    <row r="1865" spans="11:80" x14ac:dyDescent="0.25">
      <c r="K1865" s="3"/>
      <c r="BO1865">
        <v>0</v>
      </c>
      <c r="BP1865">
        <v>0</v>
      </c>
      <c r="BQ1865">
        <v>0</v>
      </c>
      <c r="BR1865">
        <v>0</v>
      </c>
      <c r="BS1865">
        <v>0</v>
      </c>
      <c r="BT1865">
        <v>0</v>
      </c>
      <c r="BU1865">
        <v>0</v>
      </c>
      <c r="BV1865">
        <v>0</v>
      </c>
      <c r="BW1865" t="s">
        <v>0</v>
      </c>
      <c r="BX1865">
        <v>0</v>
      </c>
      <c r="BY1865">
        <v>0</v>
      </c>
      <c r="BZ1865">
        <v>0</v>
      </c>
      <c r="CA1865">
        <v>0</v>
      </c>
      <c r="CB1865" t="s">
        <v>145</v>
      </c>
    </row>
    <row r="1866" spans="11:80" x14ac:dyDescent="0.25">
      <c r="K1866" s="3"/>
      <c r="BO1866">
        <v>0</v>
      </c>
      <c r="BP1866">
        <v>0</v>
      </c>
      <c r="BQ1866">
        <v>0</v>
      </c>
      <c r="BR1866">
        <v>0</v>
      </c>
      <c r="BS1866">
        <v>0</v>
      </c>
      <c r="BT1866">
        <v>0</v>
      </c>
      <c r="BU1866">
        <v>0</v>
      </c>
      <c r="BV1866">
        <v>0</v>
      </c>
      <c r="BW1866" t="s">
        <v>0</v>
      </c>
      <c r="BX1866">
        <v>0</v>
      </c>
      <c r="BY1866">
        <v>0</v>
      </c>
      <c r="BZ1866">
        <v>0</v>
      </c>
      <c r="CA1866">
        <v>0</v>
      </c>
      <c r="CB1866" t="s">
        <v>145</v>
      </c>
    </row>
    <row r="1867" spans="11:80" x14ac:dyDescent="0.25">
      <c r="K1867" s="3"/>
      <c r="BO1867">
        <v>0</v>
      </c>
      <c r="BP1867">
        <v>0</v>
      </c>
      <c r="BQ1867">
        <v>0</v>
      </c>
      <c r="BR1867">
        <v>0</v>
      </c>
      <c r="BS1867">
        <v>0</v>
      </c>
      <c r="BT1867">
        <v>0</v>
      </c>
      <c r="BU1867">
        <v>0</v>
      </c>
      <c r="BV1867">
        <v>0</v>
      </c>
      <c r="BW1867" t="s">
        <v>0</v>
      </c>
      <c r="BX1867">
        <v>0</v>
      </c>
      <c r="BY1867">
        <v>0</v>
      </c>
      <c r="BZ1867">
        <v>0</v>
      </c>
      <c r="CA1867">
        <v>0</v>
      </c>
      <c r="CB1867" t="s">
        <v>145</v>
      </c>
    </row>
    <row r="1868" spans="11:80" x14ac:dyDescent="0.25">
      <c r="K1868" s="3"/>
      <c r="BO1868">
        <v>0</v>
      </c>
      <c r="BP1868">
        <v>0</v>
      </c>
      <c r="BQ1868">
        <v>0</v>
      </c>
      <c r="BR1868">
        <v>0</v>
      </c>
      <c r="BS1868">
        <v>0</v>
      </c>
      <c r="BT1868">
        <v>0</v>
      </c>
      <c r="BU1868">
        <v>0</v>
      </c>
      <c r="BV1868">
        <v>0</v>
      </c>
      <c r="BW1868" t="s">
        <v>0</v>
      </c>
      <c r="BX1868">
        <v>0</v>
      </c>
      <c r="BY1868">
        <v>0</v>
      </c>
      <c r="BZ1868">
        <v>0</v>
      </c>
      <c r="CA1868">
        <v>0</v>
      </c>
      <c r="CB1868" t="s">
        <v>145</v>
      </c>
    </row>
    <row r="1869" spans="11:80" x14ac:dyDescent="0.25">
      <c r="K1869" s="3"/>
      <c r="BO1869">
        <v>0</v>
      </c>
      <c r="BP1869">
        <v>0</v>
      </c>
      <c r="BQ1869">
        <v>0</v>
      </c>
      <c r="BR1869">
        <v>0</v>
      </c>
      <c r="BS1869">
        <v>0</v>
      </c>
      <c r="BT1869">
        <v>0</v>
      </c>
      <c r="BU1869">
        <v>0</v>
      </c>
      <c r="BV1869">
        <v>0</v>
      </c>
      <c r="BW1869" t="s">
        <v>0</v>
      </c>
      <c r="BX1869">
        <v>0</v>
      </c>
      <c r="BY1869">
        <v>0</v>
      </c>
      <c r="BZ1869">
        <v>0</v>
      </c>
      <c r="CA1869">
        <v>0</v>
      </c>
      <c r="CB1869" t="s">
        <v>145</v>
      </c>
    </row>
    <row r="1870" spans="11:80" x14ac:dyDescent="0.25">
      <c r="K1870" s="3"/>
      <c r="BO1870">
        <v>0</v>
      </c>
      <c r="BP1870">
        <v>0</v>
      </c>
      <c r="BQ1870">
        <v>0</v>
      </c>
      <c r="BR1870">
        <v>0</v>
      </c>
      <c r="BS1870">
        <v>0</v>
      </c>
      <c r="BT1870">
        <v>0</v>
      </c>
      <c r="BU1870">
        <v>0</v>
      </c>
      <c r="BV1870">
        <v>0</v>
      </c>
      <c r="BW1870" t="s">
        <v>0</v>
      </c>
      <c r="BX1870">
        <v>0</v>
      </c>
      <c r="BY1870">
        <v>0</v>
      </c>
      <c r="BZ1870">
        <v>0</v>
      </c>
      <c r="CA1870">
        <v>0</v>
      </c>
      <c r="CB1870" t="s">
        <v>145</v>
      </c>
    </row>
    <row r="1871" spans="11:80" x14ac:dyDescent="0.25">
      <c r="K1871" s="3"/>
      <c r="BO1871">
        <v>0</v>
      </c>
      <c r="BP1871">
        <v>0</v>
      </c>
      <c r="BQ1871">
        <v>0</v>
      </c>
      <c r="BR1871">
        <v>0</v>
      </c>
      <c r="BS1871">
        <v>0</v>
      </c>
      <c r="BT1871">
        <v>0</v>
      </c>
      <c r="BU1871">
        <v>0</v>
      </c>
      <c r="BV1871">
        <v>0</v>
      </c>
      <c r="BW1871" t="s">
        <v>0</v>
      </c>
      <c r="BX1871">
        <v>0</v>
      </c>
      <c r="BY1871">
        <v>0</v>
      </c>
      <c r="BZ1871">
        <v>0</v>
      </c>
      <c r="CA1871">
        <v>0</v>
      </c>
      <c r="CB1871" t="s">
        <v>145</v>
      </c>
    </row>
    <row r="1872" spans="11:80" x14ac:dyDescent="0.25">
      <c r="K1872" s="3"/>
      <c r="BO1872">
        <v>0</v>
      </c>
      <c r="BP1872">
        <v>0</v>
      </c>
      <c r="BQ1872">
        <v>0</v>
      </c>
      <c r="BR1872">
        <v>0</v>
      </c>
      <c r="BS1872">
        <v>0</v>
      </c>
      <c r="BT1872">
        <v>0</v>
      </c>
      <c r="BU1872">
        <v>0</v>
      </c>
      <c r="BV1872">
        <v>0</v>
      </c>
      <c r="BW1872" t="s">
        <v>0</v>
      </c>
      <c r="BX1872">
        <v>0</v>
      </c>
      <c r="BY1872">
        <v>0</v>
      </c>
      <c r="BZ1872">
        <v>0</v>
      </c>
      <c r="CA1872">
        <v>0</v>
      </c>
      <c r="CB1872" t="s">
        <v>145</v>
      </c>
    </row>
    <row r="1873" spans="11:80" x14ac:dyDescent="0.25">
      <c r="K1873" s="3"/>
      <c r="BO1873">
        <v>0</v>
      </c>
      <c r="BP1873">
        <v>0</v>
      </c>
      <c r="BQ1873">
        <v>0</v>
      </c>
      <c r="BR1873">
        <v>0</v>
      </c>
      <c r="BS1873">
        <v>0</v>
      </c>
      <c r="BT1873">
        <v>0</v>
      </c>
      <c r="BU1873">
        <v>0</v>
      </c>
      <c r="BV1873">
        <v>0</v>
      </c>
      <c r="BW1873" t="s">
        <v>0</v>
      </c>
      <c r="BX1873">
        <v>0</v>
      </c>
      <c r="BY1873">
        <v>0</v>
      </c>
      <c r="BZ1873">
        <v>0</v>
      </c>
      <c r="CA1873">
        <v>0</v>
      </c>
      <c r="CB1873" t="s">
        <v>145</v>
      </c>
    </row>
    <row r="1874" spans="11:80" x14ac:dyDescent="0.25">
      <c r="K1874" s="3"/>
      <c r="BO1874">
        <v>0</v>
      </c>
      <c r="BP1874">
        <v>0</v>
      </c>
      <c r="BQ1874">
        <v>0</v>
      </c>
      <c r="BR1874">
        <v>0</v>
      </c>
      <c r="BS1874">
        <v>0</v>
      </c>
      <c r="BT1874">
        <v>0</v>
      </c>
      <c r="BU1874">
        <v>0</v>
      </c>
      <c r="BV1874">
        <v>0</v>
      </c>
      <c r="BW1874" t="s">
        <v>0</v>
      </c>
      <c r="BX1874">
        <v>0</v>
      </c>
      <c r="BY1874">
        <v>0</v>
      </c>
      <c r="BZ1874">
        <v>0</v>
      </c>
      <c r="CA1874">
        <v>0</v>
      </c>
      <c r="CB1874" t="s">
        <v>145</v>
      </c>
    </row>
    <row r="1875" spans="11:80" x14ac:dyDescent="0.25">
      <c r="K1875" s="3"/>
      <c r="BO1875">
        <v>0</v>
      </c>
      <c r="BP1875">
        <v>0</v>
      </c>
      <c r="BQ1875">
        <v>0</v>
      </c>
      <c r="BR1875">
        <v>0</v>
      </c>
      <c r="BS1875">
        <v>0</v>
      </c>
      <c r="BT1875">
        <v>0</v>
      </c>
      <c r="BU1875">
        <v>0</v>
      </c>
      <c r="BV1875">
        <v>0</v>
      </c>
      <c r="BW1875" t="s">
        <v>0</v>
      </c>
      <c r="BX1875">
        <v>0</v>
      </c>
      <c r="BY1875">
        <v>0</v>
      </c>
      <c r="BZ1875">
        <v>0</v>
      </c>
      <c r="CA1875">
        <v>0</v>
      </c>
      <c r="CB1875" t="s">
        <v>145</v>
      </c>
    </row>
    <row r="1876" spans="11:80" x14ac:dyDescent="0.25">
      <c r="K1876" s="3"/>
      <c r="BO1876">
        <v>0</v>
      </c>
      <c r="BP1876">
        <v>0</v>
      </c>
      <c r="BQ1876">
        <v>0</v>
      </c>
      <c r="BR1876">
        <v>0</v>
      </c>
      <c r="BS1876">
        <v>0</v>
      </c>
      <c r="BT1876">
        <v>0</v>
      </c>
      <c r="BU1876">
        <v>0</v>
      </c>
      <c r="BV1876">
        <v>0</v>
      </c>
      <c r="BW1876" t="s">
        <v>0</v>
      </c>
      <c r="BX1876">
        <v>0</v>
      </c>
      <c r="BY1876">
        <v>0</v>
      </c>
      <c r="BZ1876">
        <v>0</v>
      </c>
      <c r="CA1876">
        <v>0</v>
      </c>
      <c r="CB1876" t="s">
        <v>145</v>
      </c>
    </row>
    <row r="1877" spans="11:80" x14ac:dyDescent="0.25">
      <c r="K1877" s="3"/>
      <c r="BO1877">
        <v>0</v>
      </c>
      <c r="BP1877">
        <v>0</v>
      </c>
      <c r="BQ1877">
        <v>0</v>
      </c>
      <c r="BR1877">
        <v>0</v>
      </c>
      <c r="BS1877">
        <v>0</v>
      </c>
      <c r="BT1877">
        <v>0</v>
      </c>
      <c r="BU1877">
        <v>0</v>
      </c>
      <c r="BV1877">
        <v>0</v>
      </c>
      <c r="BW1877" t="s">
        <v>0</v>
      </c>
      <c r="BX1877">
        <v>0</v>
      </c>
      <c r="BY1877">
        <v>0</v>
      </c>
      <c r="BZ1877">
        <v>0</v>
      </c>
      <c r="CA1877">
        <v>0</v>
      </c>
      <c r="CB1877" t="s">
        <v>145</v>
      </c>
    </row>
    <row r="1878" spans="11:80" x14ac:dyDescent="0.25">
      <c r="K1878" s="3"/>
      <c r="BO1878">
        <v>0</v>
      </c>
      <c r="BP1878">
        <v>0</v>
      </c>
      <c r="BQ1878">
        <v>0</v>
      </c>
      <c r="BR1878">
        <v>0</v>
      </c>
      <c r="BS1878">
        <v>0</v>
      </c>
      <c r="BT1878">
        <v>0</v>
      </c>
      <c r="BU1878">
        <v>0</v>
      </c>
      <c r="BV1878">
        <v>0</v>
      </c>
      <c r="BW1878" t="s">
        <v>0</v>
      </c>
      <c r="BX1878">
        <v>0</v>
      </c>
      <c r="BY1878">
        <v>0</v>
      </c>
      <c r="BZ1878">
        <v>0</v>
      </c>
      <c r="CA1878">
        <v>0</v>
      </c>
      <c r="CB1878" t="s">
        <v>145</v>
      </c>
    </row>
    <row r="1879" spans="11:80" x14ac:dyDescent="0.25">
      <c r="K1879" s="3"/>
      <c r="BO1879">
        <v>0</v>
      </c>
      <c r="BP1879">
        <v>0</v>
      </c>
      <c r="BQ1879">
        <v>0</v>
      </c>
      <c r="BR1879">
        <v>0</v>
      </c>
      <c r="BS1879">
        <v>0</v>
      </c>
      <c r="BT1879">
        <v>0</v>
      </c>
      <c r="BU1879">
        <v>0</v>
      </c>
      <c r="BV1879">
        <v>0</v>
      </c>
      <c r="BW1879" t="s">
        <v>0</v>
      </c>
      <c r="BX1879">
        <v>0</v>
      </c>
      <c r="BY1879">
        <v>0</v>
      </c>
      <c r="BZ1879">
        <v>0</v>
      </c>
      <c r="CA1879">
        <v>0</v>
      </c>
      <c r="CB1879" t="s">
        <v>145</v>
      </c>
    </row>
    <row r="1880" spans="11:80" x14ac:dyDescent="0.25">
      <c r="K1880" s="3"/>
      <c r="BO1880">
        <v>0</v>
      </c>
      <c r="BP1880">
        <v>0</v>
      </c>
      <c r="BQ1880">
        <v>0</v>
      </c>
      <c r="BR1880">
        <v>0</v>
      </c>
      <c r="BS1880">
        <v>0</v>
      </c>
      <c r="BT1880">
        <v>0</v>
      </c>
      <c r="BU1880">
        <v>0</v>
      </c>
      <c r="BV1880">
        <v>0</v>
      </c>
      <c r="BW1880" t="s">
        <v>0</v>
      </c>
      <c r="BX1880">
        <v>0</v>
      </c>
      <c r="BY1880">
        <v>0</v>
      </c>
      <c r="BZ1880">
        <v>0</v>
      </c>
      <c r="CA1880">
        <v>0</v>
      </c>
      <c r="CB1880" t="s">
        <v>145</v>
      </c>
    </row>
    <row r="1881" spans="11:80" x14ac:dyDescent="0.25">
      <c r="K1881" s="3"/>
      <c r="BO1881">
        <v>0</v>
      </c>
      <c r="BP1881">
        <v>0</v>
      </c>
      <c r="BQ1881">
        <v>0</v>
      </c>
      <c r="BR1881">
        <v>0</v>
      </c>
      <c r="BS1881">
        <v>0</v>
      </c>
      <c r="BT1881">
        <v>0</v>
      </c>
      <c r="BU1881">
        <v>0</v>
      </c>
      <c r="BV1881">
        <v>0</v>
      </c>
      <c r="BW1881" t="s">
        <v>0</v>
      </c>
      <c r="BX1881">
        <v>0</v>
      </c>
      <c r="BY1881">
        <v>0</v>
      </c>
      <c r="BZ1881">
        <v>0</v>
      </c>
      <c r="CA1881">
        <v>0</v>
      </c>
      <c r="CB1881" t="s">
        <v>145</v>
      </c>
    </row>
    <row r="1882" spans="11:80" x14ac:dyDescent="0.25">
      <c r="K1882" s="3"/>
      <c r="BO1882">
        <v>0</v>
      </c>
      <c r="BP1882">
        <v>0</v>
      </c>
      <c r="BQ1882">
        <v>0</v>
      </c>
      <c r="BR1882">
        <v>0</v>
      </c>
      <c r="BS1882">
        <v>0</v>
      </c>
      <c r="BT1882">
        <v>0</v>
      </c>
      <c r="BU1882">
        <v>0</v>
      </c>
      <c r="BV1882">
        <v>0</v>
      </c>
      <c r="BW1882" t="s">
        <v>0</v>
      </c>
      <c r="BX1882">
        <v>0</v>
      </c>
      <c r="BY1882">
        <v>0</v>
      </c>
      <c r="BZ1882">
        <v>0</v>
      </c>
      <c r="CA1882">
        <v>0</v>
      </c>
      <c r="CB1882" t="s">
        <v>145</v>
      </c>
    </row>
    <row r="1883" spans="11:80" x14ac:dyDescent="0.25">
      <c r="K1883" s="3"/>
      <c r="BO1883">
        <v>0</v>
      </c>
      <c r="BP1883">
        <v>0</v>
      </c>
      <c r="BQ1883">
        <v>0</v>
      </c>
      <c r="BR1883">
        <v>0</v>
      </c>
      <c r="BS1883">
        <v>0</v>
      </c>
      <c r="BT1883">
        <v>0</v>
      </c>
      <c r="BU1883">
        <v>0</v>
      </c>
      <c r="BV1883">
        <v>0</v>
      </c>
      <c r="BW1883" t="s">
        <v>0</v>
      </c>
      <c r="BX1883">
        <v>0</v>
      </c>
      <c r="BY1883">
        <v>0</v>
      </c>
      <c r="BZ1883">
        <v>0</v>
      </c>
      <c r="CA1883">
        <v>0</v>
      </c>
      <c r="CB1883" t="s">
        <v>145</v>
      </c>
    </row>
    <row r="1884" spans="11:80" x14ac:dyDescent="0.25">
      <c r="K1884" s="3"/>
      <c r="BO1884">
        <v>0</v>
      </c>
      <c r="BP1884">
        <v>0</v>
      </c>
      <c r="BQ1884">
        <v>0</v>
      </c>
      <c r="BR1884">
        <v>0</v>
      </c>
      <c r="BS1884">
        <v>0</v>
      </c>
      <c r="BT1884">
        <v>0</v>
      </c>
      <c r="BU1884">
        <v>0</v>
      </c>
      <c r="BV1884">
        <v>0</v>
      </c>
      <c r="BW1884" t="s">
        <v>0</v>
      </c>
      <c r="BX1884">
        <v>0</v>
      </c>
      <c r="BY1884">
        <v>0</v>
      </c>
      <c r="BZ1884">
        <v>0</v>
      </c>
      <c r="CA1884">
        <v>0</v>
      </c>
      <c r="CB1884" t="s">
        <v>145</v>
      </c>
    </row>
    <row r="1885" spans="11:80" x14ac:dyDescent="0.25">
      <c r="K1885" s="3"/>
      <c r="BO1885">
        <v>0</v>
      </c>
      <c r="BP1885">
        <v>0</v>
      </c>
      <c r="BQ1885">
        <v>0</v>
      </c>
      <c r="BR1885">
        <v>0</v>
      </c>
      <c r="BS1885">
        <v>0</v>
      </c>
      <c r="BT1885">
        <v>0</v>
      </c>
      <c r="BU1885">
        <v>0</v>
      </c>
      <c r="BV1885">
        <v>0</v>
      </c>
      <c r="BW1885" t="s">
        <v>0</v>
      </c>
      <c r="BX1885">
        <v>0</v>
      </c>
      <c r="BY1885">
        <v>0</v>
      </c>
      <c r="BZ1885">
        <v>0</v>
      </c>
      <c r="CA1885">
        <v>0</v>
      </c>
      <c r="CB1885" t="s">
        <v>145</v>
      </c>
    </row>
    <row r="1886" spans="11:80" x14ac:dyDescent="0.25">
      <c r="K1886" s="3"/>
      <c r="BO1886">
        <v>0</v>
      </c>
      <c r="BP1886">
        <v>0</v>
      </c>
      <c r="BQ1886">
        <v>0</v>
      </c>
      <c r="BR1886">
        <v>0</v>
      </c>
      <c r="BS1886">
        <v>0</v>
      </c>
      <c r="BT1886">
        <v>0</v>
      </c>
      <c r="BU1886">
        <v>0</v>
      </c>
      <c r="BV1886">
        <v>0</v>
      </c>
      <c r="BW1886" t="s">
        <v>0</v>
      </c>
      <c r="BX1886">
        <v>0</v>
      </c>
      <c r="BY1886">
        <v>0</v>
      </c>
      <c r="BZ1886">
        <v>0</v>
      </c>
      <c r="CA1886">
        <v>0</v>
      </c>
      <c r="CB1886" t="s">
        <v>145</v>
      </c>
    </row>
    <row r="1887" spans="11:80" x14ac:dyDescent="0.25">
      <c r="K1887" s="3"/>
      <c r="BO1887">
        <v>0</v>
      </c>
      <c r="BP1887">
        <v>0</v>
      </c>
      <c r="BQ1887">
        <v>0</v>
      </c>
      <c r="BR1887">
        <v>0</v>
      </c>
      <c r="BS1887">
        <v>0</v>
      </c>
      <c r="BT1887">
        <v>0</v>
      </c>
      <c r="BU1887">
        <v>0</v>
      </c>
      <c r="BV1887">
        <v>0</v>
      </c>
      <c r="BW1887" t="s">
        <v>0</v>
      </c>
      <c r="BX1887">
        <v>0</v>
      </c>
      <c r="BY1887">
        <v>0</v>
      </c>
      <c r="BZ1887">
        <v>0</v>
      </c>
      <c r="CA1887">
        <v>0</v>
      </c>
      <c r="CB1887" t="s">
        <v>145</v>
      </c>
    </row>
    <row r="1888" spans="11:80" x14ac:dyDescent="0.25">
      <c r="K1888" s="3"/>
      <c r="BO1888">
        <v>0</v>
      </c>
      <c r="BP1888">
        <v>0</v>
      </c>
      <c r="BQ1888">
        <v>0</v>
      </c>
      <c r="BR1888">
        <v>0</v>
      </c>
      <c r="BS1888">
        <v>0</v>
      </c>
      <c r="BT1888">
        <v>0</v>
      </c>
      <c r="BU1888">
        <v>0</v>
      </c>
      <c r="BV1888">
        <v>0</v>
      </c>
      <c r="BW1888" t="s">
        <v>0</v>
      </c>
      <c r="BX1888">
        <v>0</v>
      </c>
      <c r="BY1888">
        <v>0</v>
      </c>
      <c r="BZ1888">
        <v>0</v>
      </c>
      <c r="CA1888">
        <v>0</v>
      </c>
      <c r="CB1888" t="s">
        <v>145</v>
      </c>
    </row>
    <row r="1889" spans="11:80" x14ac:dyDescent="0.25">
      <c r="K1889" s="3"/>
      <c r="BO1889">
        <v>0</v>
      </c>
      <c r="BP1889">
        <v>0</v>
      </c>
      <c r="BQ1889">
        <v>0</v>
      </c>
      <c r="BR1889">
        <v>0</v>
      </c>
      <c r="BS1889">
        <v>0</v>
      </c>
      <c r="BT1889">
        <v>0</v>
      </c>
      <c r="BU1889">
        <v>0</v>
      </c>
      <c r="BV1889">
        <v>0</v>
      </c>
      <c r="BW1889" t="s">
        <v>0</v>
      </c>
      <c r="BX1889">
        <v>0</v>
      </c>
      <c r="BY1889">
        <v>0</v>
      </c>
      <c r="BZ1889">
        <v>0</v>
      </c>
      <c r="CA1889">
        <v>0</v>
      </c>
      <c r="CB1889" t="s">
        <v>145</v>
      </c>
    </row>
    <row r="1890" spans="11:80" x14ac:dyDescent="0.25">
      <c r="K1890" s="3"/>
      <c r="BO1890">
        <v>0</v>
      </c>
      <c r="BP1890">
        <v>0</v>
      </c>
      <c r="BQ1890">
        <v>0</v>
      </c>
      <c r="BR1890">
        <v>0</v>
      </c>
      <c r="BS1890">
        <v>0</v>
      </c>
      <c r="BT1890">
        <v>0</v>
      </c>
      <c r="BU1890">
        <v>0</v>
      </c>
      <c r="BV1890">
        <v>0</v>
      </c>
      <c r="BW1890" t="s">
        <v>0</v>
      </c>
      <c r="BX1890">
        <v>0</v>
      </c>
      <c r="BY1890">
        <v>0</v>
      </c>
      <c r="BZ1890">
        <v>0</v>
      </c>
      <c r="CA1890">
        <v>0</v>
      </c>
      <c r="CB1890" t="s">
        <v>145</v>
      </c>
    </row>
    <row r="1891" spans="11:80" x14ac:dyDescent="0.25">
      <c r="K1891" s="3"/>
      <c r="BO1891">
        <v>0</v>
      </c>
      <c r="BP1891">
        <v>0</v>
      </c>
      <c r="BQ1891">
        <v>0</v>
      </c>
      <c r="BR1891">
        <v>0</v>
      </c>
      <c r="BS1891">
        <v>0</v>
      </c>
      <c r="BT1891">
        <v>0</v>
      </c>
      <c r="BU1891">
        <v>0</v>
      </c>
      <c r="BV1891">
        <v>0</v>
      </c>
      <c r="BW1891" t="s">
        <v>0</v>
      </c>
      <c r="BX1891">
        <v>0</v>
      </c>
      <c r="BY1891">
        <v>0</v>
      </c>
      <c r="BZ1891">
        <v>0</v>
      </c>
      <c r="CA1891">
        <v>0</v>
      </c>
      <c r="CB1891" t="s">
        <v>145</v>
      </c>
    </row>
    <row r="1892" spans="11:80" x14ac:dyDescent="0.25">
      <c r="K1892" s="3"/>
      <c r="BO1892">
        <v>0</v>
      </c>
      <c r="BP1892">
        <v>0</v>
      </c>
      <c r="BQ1892">
        <v>0</v>
      </c>
      <c r="BR1892">
        <v>0</v>
      </c>
      <c r="BS1892">
        <v>0</v>
      </c>
      <c r="BT1892">
        <v>0</v>
      </c>
      <c r="BU1892">
        <v>0</v>
      </c>
      <c r="BV1892">
        <v>0</v>
      </c>
      <c r="BW1892" t="s">
        <v>0</v>
      </c>
      <c r="BX1892">
        <v>0</v>
      </c>
      <c r="BY1892">
        <v>0</v>
      </c>
      <c r="BZ1892">
        <v>0</v>
      </c>
      <c r="CA1892">
        <v>0</v>
      </c>
      <c r="CB1892" t="s">
        <v>145</v>
      </c>
    </row>
    <row r="1893" spans="11:80" x14ac:dyDescent="0.25">
      <c r="K1893" s="3"/>
      <c r="BO1893">
        <v>0</v>
      </c>
      <c r="BP1893">
        <v>0</v>
      </c>
      <c r="BQ1893">
        <v>0</v>
      </c>
      <c r="BR1893">
        <v>0</v>
      </c>
      <c r="BS1893">
        <v>0</v>
      </c>
      <c r="BT1893">
        <v>0</v>
      </c>
      <c r="BU1893">
        <v>0</v>
      </c>
      <c r="BV1893">
        <v>0</v>
      </c>
      <c r="BW1893" t="s">
        <v>0</v>
      </c>
      <c r="BX1893">
        <v>0</v>
      </c>
      <c r="BY1893">
        <v>0</v>
      </c>
      <c r="BZ1893">
        <v>0</v>
      </c>
      <c r="CA1893">
        <v>0</v>
      </c>
      <c r="CB1893" t="s">
        <v>145</v>
      </c>
    </row>
    <row r="1894" spans="11:80" x14ac:dyDescent="0.25">
      <c r="K1894" s="3"/>
      <c r="BO1894">
        <v>0</v>
      </c>
      <c r="BP1894">
        <v>0</v>
      </c>
      <c r="BQ1894">
        <v>0</v>
      </c>
      <c r="BR1894">
        <v>0</v>
      </c>
      <c r="BS1894">
        <v>0</v>
      </c>
      <c r="BT1894">
        <v>0</v>
      </c>
      <c r="BU1894">
        <v>0</v>
      </c>
      <c r="BV1894">
        <v>0</v>
      </c>
      <c r="BW1894" t="s">
        <v>0</v>
      </c>
      <c r="BX1894">
        <v>0</v>
      </c>
      <c r="BY1894">
        <v>0</v>
      </c>
      <c r="BZ1894">
        <v>0</v>
      </c>
      <c r="CA1894">
        <v>0</v>
      </c>
      <c r="CB1894" t="s">
        <v>145</v>
      </c>
    </row>
    <row r="1895" spans="11:80" x14ac:dyDescent="0.25">
      <c r="K1895" s="3"/>
      <c r="BO1895">
        <v>0</v>
      </c>
      <c r="BP1895">
        <v>0</v>
      </c>
      <c r="BQ1895">
        <v>0</v>
      </c>
      <c r="BR1895">
        <v>0</v>
      </c>
      <c r="BS1895">
        <v>0</v>
      </c>
      <c r="BT1895">
        <v>0</v>
      </c>
      <c r="BU1895">
        <v>0</v>
      </c>
      <c r="BV1895">
        <v>0</v>
      </c>
      <c r="BW1895" t="s">
        <v>0</v>
      </c>
      <c r="BX1895">
        <v>0</v>
      </c>
      <c r="BY1895">
        <v>0</v>
      </c>
      <c r="BZ1895">
        <v>0</v>
      </c>
      <c r="CA1895">
        <v>0</v>
      </c>
      <c r="CB1895" t="s">
        <v>145</v>
      </c>
    </row>
    <row r="1896" spans="11:80" x14ac:dyDescent="0.25">
      <c r="K1896" s="3"/>
      <c r="BO1896">
        <v>0</v>
      </c>
      <c r="BP1896">
        <v>0</v>
      </c>
      <c r="BQ1896">
        <v>0</v>
      </c>
      <c r="BR1896">
        <v>0</v>
      </c>
      <c r="BS1896">
        <v>0</v>
      </c>
      <c r="BT1896">
        <v>0</v>
      </c>
      <c r="BU1896">
        <v>0</v>
      </c>
      <c r="BV1896">
        <v>0</v>
      </c>
      <c r="BW1896" t="s">
        <v>0</v>
      </c>
      <c r="BX1896">
        <v>0</v>
      </c>
      <c r="BY1896">
        <v>0</v>
      </c>
      <c r="BZ1896">
        <v>0</v>
      </c>
      <c r="CA1896">
        <v>0</v>
      </c>
      <c r="CB1896" t="s">
        <v>145</v>
      </c>
    </row>
    <row r="1897" spans="11:80" x14ac:dyDescent="0.25">
      <c r="K1897" s="3"/>
      <c r="BO1897">
        <v>0</v>
      </c>
      <c r="BP1897">
        <v>0</v>
      </c>
      <c r="BQ1897">
        <v>0</v>
      </c>
      <c r="BR1897">
        <v>0</v>
      </c>
      <c r="BS1897">
        <v>0</v>
      </c>
      <c r="BT1897">
        <v>0</v>
      </c>
      <c r="BU1897">
        <v>0</v>
      </c>
      <c r="BV1897">
        <v>0</v>
      </c>
      <c r="BW1897" t="s">
        <v>0</v>
      </c>
      <c r="BX1897">
        <v>0</v>
      </c>
      <c r="BY1897">
        <v>0</v>
      </c>
      <c r="BZ1897">
        <v>0</v>
      </c>
      <c r="CA1897">
        <v>0</v>
      </c>
      <c r="CB1897" t="s">
        <v>145</v>
      </c>
    </row>
    <row r="1898" spans="11:80" x14ac:dyDescent="0.25">
      <c r="K1898" s="3"/>
      <c r="BO1898">
        <v>0</v>
      </c>
      <c r="BP1898">
        <v>0</v>
      </c>
      <c r="BQ1898">
        <v>0</v>
      </c>
      <c r="BR1898">
        <v>0</v>
      </c>
      <c r="BS1898">
        <v>0</v>
      </c>
      <c r="BT1898">
        <v>0</v>
      </c>
      <c r="BU1898">
        <v>0</v>
      </c>
      <c r="BV1898">
        <v>0</v>
      </c>
      <c r="BW1898" t="s">
        <v>0</v>
      </c>
      <c r="BX1898">
        <v>0</v>
      </c>
      <c r="BY1898">
        <v>0</v>
      </c>
      <c r="BZ1898">
        <v>0</v>
      </c>
      <c r="CA1898">
        <v>0</v>
      </c>
      <c r="CB1898" t="s">
        <v>145</v>
      </c>
    </row>
    <row r="1899" spans="11:80" x14ac:dyDescent="0.25">
      <c r="K1899" s="3"/>
      <c r="BO1899">
        <v>0</v>
      </c>
      <c r="BP1899">
        <v>0</v>
      </c>
      <c r="BQ1899">
        <v>0</v>
      </c>
      <c r="BR1899">
        <v>0</v>
      </c>
      <c r="BS1899">
        <v>0</v>
      </c>
      <c r="BT1899">
        <v>0</v>
      </c>
      <c r="BU1899">
        <v>0</v>
      </c>
      <c r="BV1899">
        <v>0</v>
      </c>
      <c r="BW1899" t="s">
        <v>0</v>
      </c>
      <c r="BX1899">
        <v>0</v>
      </c>
      <c r="BY1899">
        <v>0</v>
      </c>
      <c r="BZ1899">
        <v>0</v>
      </c>
      <c r="CA1899">
        <v>0</v>
      </c>
      <c r="CB1899" t="s">
        <v>145</v>
      </c>
    </row>
    <row r="1900" spans="11:80" x14ac:dyDescent="0.25">
      <c r="K1900" s="3"/>
      <c r="BO1900">
        <v>0</v>
      </c>
      <c r="BP1900">
        <v>0</v>
      </c>
      <c r="BQ1900">
        <v>0</v>
      </c>
      <c r="BR1900">
        <v>0</v>
      </c>
      <c r="BS1900">
        <v>0</v>
      </c>
      <c r="BT1900">
        <v>0</v>
      </c>
      <c r="BU1900">
        <v>0</v>
      </c>
      <c r="BV1900">
        <v>0</v>
      </c>
      <c r="BW1900" t="s">
        <v>0</v>
      </c>
      <c r="BX1900">
        <v>0</v>
      </c>
      <c r="BY1900">
        <v>0</v>
      </c>
      <c r="BZ1900">
        <v>0</v>
      </c>
      <c r="CA1900">
        <v>0</v>
      </c>
      <c r="CB1900" t="s">
        <v>145</v>
      </c>
    </row>
    <row r="1901" spans="11:80" x14ac:dyDescent="0.25">
      <c r="K1901" s="3"/>
      <c r="BO1901">
        <v>0</v>
      </c>
      <c r="BP1901">
        <v>0</v>
      </c>
      <c r="BQ1901">
        <v>0</v>
      </c>
      <c r="BR1901">
        <v>0</v>
      </c>
      <c r="BS1901">
        <v>0</v>
      </c>
      <c r="BT1901">
        <v>0</v>
      </c>
      <c r="BU1901">
        <v>0</v>
      </c>
      <c r="BV1901">
        <v>0</v>
      </c>
      <c r="BW1901" t="s">
        <v>0</v>
      </c>
      <c r="BX1901">
        <v>0</v>
      </c>
      <c r="BY1901">
        <v>0</v>
      </c>
      <c r="BZ1901">
        <v>0</v>
      </c>
      <c r="CA1901">
        <v>0</v>
      </c>
      <c r="CB1901" t="s">
        <v>145</v>
      </c>
    </row>
    <row r="1902" spans="11:80" x14ac:dyDescent="0.25">
      <c r="K1902" s="3"/>
      <c r="BO1902">
        <v>0</v>
      </c>
      <c r="BP1902">
        <v>0</v>
      </c>
      <c r="BQ1902">
        <v>0</v>
      </c>
      <c r="BR1902">
        <v>0</v>
      </c>
      <c r="BS1902">
        <v>0</v>
      </c>
      <c r="BT1902">
        <v>0</v>
      </c>
      <c r="BU1902">
        <v>0</v>
      </c>
      <c r="BV1902">
        <v>0</v>
      </c>
      <c r="BW1902" t="s">
        <v>0</v>
      </c>
      <c r="BX1902">
        <v>0</v>
      </c>
      <c r="BY1902">
        <v>0</v>
      </c>
      <c r="BZ1902">
        <v>0</v>
      </c>
      <c r="CA1902">
        <v>0</v>
      </c>
      <c r="CB1902" t="s">
        <v>145</v>
      </c>
    </row>
    <row r="1903" spans="11:80" x14ac:dyDescent="0.25">
      <c r="K1903" s="3"/>
      <c r="BO1903">
        <v>0</v>
      </c>
      <c r="BP1903">
        <v>0</v>
      </c>
      <c r="BQ1903">
        <v>0</v>
      </c>
      <c r="BR1903">
        <v>0</v>
      </c>
      <c r="BS1903">
        <v>0</v>
      </c>
      <c r="BT1903">
        <v>0</v>
      </c>
      <c r="BU1903">
        <v>0</v>
      </c>
      <c r="BV1903">
        <v>0</v>
      </c>
      <c r="BW1903" t="s">
        <v>0</v>
      </c>
      <c r="BX1903">
        <v>0</v>
      </c>
      <c r="BY1903">
        <v>0</v>
      </c>
      <c r="BZ1903">
        <v>0</v>
      </c>
      <c r="CA1903">
        <v>0</v>
      </c>
      <c r="CB1903" t="s">
        <v>145</v>
      </c>
    </row>
    <row r="1904" spans="11:80" x14ac:dyDescent="0.25">
      <c r="K1904" s="3"/>
      <c r="BO1904">
        <v>0</v>
      </c>
      <c r="BP1904">
        <v>0</v>
      </c>
      <c r="BQ1904">
        <v>0</v>
      </c>
      <c r="BR1904">
        <v>0</v>
      </c>
      <c r="BS1904">
        <v>0</v>
      </c>
      <c r="BT1904">
        <v>0</v>
      </c>
      <c r="BU1904">
        <v>0</v>
      </c>
      <c r="BV1904">
        <v>0</v>
      </c>
      <c r="BW1904" t="s">
        <v>0</v>
      </c>
      <c r="BX1904">
        <v>0</v>
      </c>
      <c r="BY1904">
        <v>0</v>
      </c>
      <c r="BZ1904">
        <v>0</v>
      </c>
      <c r="CA1904">
        <v>0</v>
      </c>
      <c r="CB1904" t="s">
        <v>145</v>
      </c>
    </row>
    <row r="1905" spans="11:80" x14ac:dyDescent="0.25">
      <c r="K1905" s="3"/>
      <c r="BO1905">
        <v>0</v>
      </c>
      <c r="BP1905">
        <v>0</v>
      </c>
      <c r="BQ1905">
        <v>0</v>
      </c>
      <c r="BR1905">
        <v>0</v>
      </c>
      <c r="BS1905">
        <v>0</v>
      </c>
      <c r="BT1905">
        <v>0</v>
      </c>
      <c r="BU1905">
        <v>0</v>
      </c>
      <c r="BV1905">
        <v>0</v>
      </c>
      <c r="BW1905" t="s">
        <v>0</v>
      </c>
      <c r="BX1905">
        <v>0</v>
      </c>
      <c r="BY1905">
        <v>0</v>
      </c>
      <c r="BZ1905">
        <v>0</v>
      </c>
      <c r="CA1905">
        <v>0</v>
      </c>
      <c r="CB1905" t="s">
        <v>145</v>
      </c>
    </row>
    <row r="1906" spans="11:80" x14ac:dyDescent="0.25">
      <c r="K1906" s="3"/>
      <c r="BO1906">
        <v>0</v>
      </c>
      <c r="BP1906">
        <v>0</v>
      </c>
      <c r="BQ1906">
        <v>0</v>
      </c>
      <c r="BR1906">
        <v>0</v>
      </c>
      <c r="BS1906">
        <v>0</v>
      </c>
      <c r="BT1906">
        <v>0</v>
      </c>
      <c r="BU1906">
        <v>0</v>
      </c>
      <c r="BV1906">
        <v>0</v>
      </c>
      <c r="BW1906" t="s">
        <v>0</v>
      </c>
      <c r="BX1906">
        <v>0</v>
      </c>
      <c r="BY1906">
        <v>0</v>
      </c>
      <c r="BZ1906">
        <v>0</v>
      </c>
      <c r="CA1906">
        <v>0</v>
      </c>
      <c r="CB1906" t="s">
        <v>145</v>
      </c>
    </row>
    <row r="1907" spans="11:80" x14ac:dyDescent="0.25">
      <c r="K1907" s="3"/>
      <c r="BO1907">
        <v>0</v>
      </c>
      <c r="BP1907">
        <v>0</v>
      </c>
      <c r="BQ1907">
        <v>0</v>
      </c>
      <c r="BR1907">
        <v>0</v>
      </c>
      <c r="BS1907">
        <v>0</v>
      </c>
      <c r="BT1907">
        <v>0</v>
      </c>
      <c r="BU1907">
        <v>0</v>
      </c>
      <c r="BV1907">
        <v>0</v>
      </c>
      <c r="BW1907" t="s">
        <v>0</v>
      </c>
      <c r="BX1907">
        <v>0</v>
      </c>
      <c r="BY1907">
        <v>0</v>
      </c>
      <c r="BZ1907">
        <v>0</v>
      </c>
      <c r="CA1907">
        <v>0</v>
      </c>
      <c r="CB1907" t="s">
        <v>145</v>
      </c>
    </row>
    <row r="1908" spans="11:80" x14ac:dyDescent="0.25">
      <c r="K1908" s="3"/>
      <c r="BO1908">
        <v>0</v>
      </c>
      <c r="BP1908">
        <v>0</v>
      </c>
      <c r="BQ1908">
        <v>0</v>
      </c>
      <c r="BR1908">
        <v>0</v>
      </c>
      <c r="BS1908">
        <v>0</v>
      </c>
      <c r="BT1908">
        <v>0</v>
      </c>
      <c r="BU1908">
        <v>0</v>
      </c>
      <c r="BV1908">
        <v>0</v>
      </c>
      <c r="BW1908" t="s">
        <v>0</v>
      </c>
      <c r="BX1908">
        <v>0</v>
      </c>
      <c r="BY1908">
        <v>0</v>
      </c>
      <c r="BZ1908">
        <v>0</v>
      </c>
      <c r="CA1908">
        <v>0</v>
      </c>
      <c r="CB1908" t="s">
        <v>145</v>
      </c>
    </row>
    <row r="1909" spans="11:80" x14ac:dyDescent="0.25">
      <c r="K1909" s="3"/>
      <c r="BO1909">
        <v>0</v>
      </c>
      <c r="BP1909">
        <v>0</v>
      </c>
      <c r="BQ1909">
        <v>0</v>
      </c>
      <c r="BR1909">
        <v>0</v>
      </c>
      <c r="BS1909">
        <v>0</v>
      </c>
      <c r="BT1909">
        <v>0</v>
      </c>
      <c r="BU1909">
        <v>0</v>
      </c>
      <c r="BV1909">
        <v>0</v>
      </c>
      <c r="BW1909" t="s">
        <v>0</v>
      </c>
      <c r="BX1909">
        <v>0</v>
      </c>
      <c r="BY1909">
        <v>0</v>
      </c>
      <c r="BZ1909">
        <v>0</v>
      </c>
      <c r="CA1909">
        <v>0</v>
      </c>
      <c r="CB1909" t="s">
        <v>145</v>
      </c>
    </row>
    <row r="1910" spans="11:80" x14ac:dyDescent="0.25">
      <c r="K1910" s="3"/>
      <c r="BO1910">
        <v>0</v>
      </c>
      <c r="BP1910">
        <v>0</v>
      </c>
      <c r="BQ1910">
        <v>0</v>
      </c>
      <c r="BR1910">
        <v>0</v>
      </c>
      <c r="BS1910">
        <v>0</v>
      </c>
      <c r="BT1910">
        <v>0</v>
      </c>
      <c r="BU1910">
        <v>0</v>
      </c>
      <c r="BV1910">
        <v>0</v>
      </c>
      <c r="BW1910" t="s">
        <v>0</v>
      </c>
      <c r="BX1910">
        <v>0</v>
      </c>
      <c r="BY1910">
        <v>0</v>
      </c>
      <c r="BZ1910">
        <v>0</v>
      </c>
      <c r="CA1910">
        <v>0</v>
      </c>
      <c r="CB1910" t="s">
        <v>145</v>
      </c>
    </row>
    <row r="1911" spans="11:80" x14ac:dyDescent="0.25">
      <c r="K1911" s="3"/>
      <c r="BO1911">
        <v>0</v>
      </c>
      <c r="BP1911">
        <v>0</v>
      </c>
      <c r="BQ1911">
        <v>0</v>
      </c>
      <c r="BR1911">
        <v>0</v>
      </c>
      <c r="BS1911">
        <v>0</v>
      </c>
      <c r="BT1911">
        <v>0</v>
      </c>
      <c r="BU1911">
        <v>0</v>
      </c>
      <c r="BV1911">
        <v>0</v>
      </c>
      <c r="BW1911" t="s">
        <v>0</v>
      </c>
      <c r="BX1911">
        <v>0</v>
      </c>
      <c r="BY1911">
        <v>0</v>
      </c>
      <c r="BZ1911">
        <v>0</v>
      </c>
      <c r="CA1911">
        <v>0</v>
      </c>
      <c r="CB1911" t="s">
        <v>145</v>
      </c>
    </row>
    <row r="1912" spans="11:80" x14ac:dyDescent="0.25">
      <c r="K1912" s="3"/>
      <c r="BO1912">
        <v>0</v>
      </c>
      <c r="BP1912">
        <v>0</v>
      </c>
      <c r="BQ1912">
        <v>0</v>
      </c>
      <c r="BR1912">
        <v>0</v>
      </c>
      <c r="BS1912">
        <v>0</v>
      </c>
      <c r="BT1912">
        <v>0</v>
      </c>
      <c r="BU1912">
        <v>0</v>
      </c>
      <c r="BV1912">
        <v>0</v>
      </c>
      <c r="BW1912" t="s">
        <v>0</v>
      </c>
      <c r="BX1912">
        <v>0</v>
      </c>
      <c r="BY1912">
        <v>0</v>
      </c>
      <c r="BZ1912">
        <v>0</v>
      </c>
      <c r="CA1912">
        <v>0</v>
      </c>
      <c r="CB1912" t="s">
        <v>145</v>
      </c>
    </row>
    <row r="1913" spans="11:80" x14ac:dyDescent="0.25">
      <c r="K1913" s="3"/>
      <c r="BO1913">
        <v>0</v>
      </c>
      <c r="BP1913">
        <v>0</v>
      </c>
      <c r="BQ1913">
        <v>0</v>
      </c>
      <c r="BR1913">
        <v>0</v>
      </c>
      <c r="BS1913">
        <v>0</v>
      </c>
      <c r="BT1913">
        <v>0</v>
      </c>
      <c r="BU1913">
        <v>0</v>
      </c>
      <c r="BV1913">
        <v>0</v>
      </c>
      <c r="BW1913" t="s">
        <v>0</v>
      </c>
      <c r="BX1913">
        <v>0</v>
      </c>
      <c r="BY1913">
        <v>0</v>
      </c>
      <c r="BZ1913">
        <v>0</v>
      </c>
      <c r="CA1913">
        <v>0</v>
      </c>
      <c r="CB1913" t="s">
        <v>145</v>
      </c>
    </row>
    <row r="1914" spans="11:80" x14ac:dyDescent="0.25">
      <c r="BO1914">
        <v>0</v>
      </c>
      <c r="BP1914">
        <v>0</v>
      </c>
      <c r="BQ1914">
        <v>0</v>
      </c>
      <c r="BR1914">
        <v>0</v>
      </c>
      <c r="BS1914">
        <v>0</v>
      </c>
      <c r="BT1914">
        <v>0</v>
      </c>
      <c r="BU1914">
        <v>0</v>
      </c>
      <c r="BV1914">
        <v>0</v>
      </c>
      <c r="BW1914" t="s">
        <v>0</v>
      </c>
      <c r="BX1914">
        <v>0</v>
      </c>
      <c r="BY1914">
        <v>0</v>
      </c>
      <c r="BZ1914">
        <v>0</v>
      </c>
      <c r="CA1914">
        <v>0</v>
      </c>
      <c r="CB1914" t="s">
        <v>145</v>
      </c>
    </row>
    <row r="1915" spans="11:80" x14ac:dyDescent="0.25">
      <c r="BO1915">
        <v>0</v>
      </c>
      <c r="BP1915">
        <v>0</v>
      </c>
      <c r="BQ1915">
        <v>0</v>
      </c>
      <c r="BR1915">
        <v>0</v>
      </c>
      <c r="BS1915">
        <v>0</v>
      </c>
      <c r="BT1915">
        <v>0</v>
      </c>
      <c r="BU1915">
        <v>0</v>
      </c>
      <c r="BV1915">
        <v>0</v>
      </c>
      <c r="BW1915" t="s">
        <v>0</v>
      </c>
      <c r="BX1915">
        <v>0</v>
      </c>
      <c r="BY1915">
        <v>0</v>
      </c>
      <c r="BZ1915">
        <v>0</v>
      </c>
      <c r="CA1915">
        <v>0</v>
      </c>
      <c r="CB1915" t="s">
        <v>145</v>
      </c>
    </row>
    <row r="1916" spans="11:80" x14ac:dyDescent="0.25">
      <c r="BO1916">
        <v>0</v>
      </c>
      <c r="BP1916">
        <v>0</v>
      </c>
      <c r="BQ1916">
        <v>0</v>
      </c>
      <c r="BR1916">
        <v>0</v>
      </c>
      <c r="BS1916">
        <v>0</v>
      </c>
      <c r="BT1916">
        <v>0</v>
      </c>
      <c r="BU1916">
        <v>0</v>
      </c>
      <c r="BV1916">
        <v>0</v>
      </c>
      <c r="BW1916" t="s">
        <v>0</v>
      </c>
      <c r="BX1916">
        <v>0</v>
      </c>
      <c r="BY1916">
        <v>0</v>
      </c>
      <c r="BZ1916">
        <v>0</v>
      </c>
      <c r="CA1916">
        <v>0</v>
      </c>
      <c r="CB1916" t="s">
        <v>145</v>
      </c>
    </row>
    <row r="1917" spans="11:80" x14ac:dyDescent="0.25">
      <c r="BO1917">
        <v>0</v>
      </c>
      <c r="BP1917">
        <v>0</v>
      </c>
      <c r="BQ1917">
        <v>0</v>
      </c>
      <c r="BR1917">
        <v>0</v>
      </c>
      <c r="BS1917">
        <v>0</v>
      </c>
      <c r="BT1917">
        <v>0</v>
      </c>
      <c r="BU1917">
        <v>0</v>
      </c>
      <c r="BV1917">
        <v>0</v>
      </c>
      <c r="BW1917" t="s">
        <v>0</v>
      </c>
      <c r="BX1917">
        <v>0</v>
      </c>
      <c r="BY1917">
        <v>0</v>
      </c>
      <c r="BZ1917">
        <v>0</v>
      </c>
      <c r="CA1917">
        <v>0</v>
      </c>
      <c r="CB1917" t="s">
        <v>145</v>
      </c>
    </row>
    <row r="1918" spans="11:80" x14ac:dyDescent="0.25">
      <c r="BO1918">
        <v>0</v>
      </c>
      <c r="BP1918">
        <v>0</v>
      </c>
      <c r="BQ1918">
        <v>0</v>
      </c>
      <c r="BR1918">
        <v>0</v>
      </c>
      <c r="BS1918">
        <v>0</v>
      </c>
      <c r="BT1918">
        <v>0</v>
      </c>
      <c r="BU1918">
        <v>0</v>
      </c>
      <c r="BV1918">
        <v>0</v>
      </c>
      <c r="BW1918" t="s">
        <v>0</v>
      </c>
      <c r="BX1918">
        <v>0</v>
      </c>
      <c r="BY1918">
        <v>0</v>
      </c>
      <c r="BZ1918">
        <v>0</v>
      </c>
      <c r="CA1918">
        <v>0</v>
      </c>
      <c r="CB1918" t="s">
        <v>145</v>
      </c>
    </row>
    <row r="1919" spans="11:80" x14ac:dyDescent="0.25">
      <c r="BO1919">
        <v>0</v>
      </c>
      <c r="BP1919">
        <v>0</v>
      </c>
      <c r="BQ1919">
        <v>0</v>
      </c>
      <c r="BR1919">
        <v>0</v>
      </c>
      <c r="BS1919">
        <v>0</v>
      </c>
      <c r="BT1919">
        <v>0</v>
      </c>
      <c r="BU1919">
        <v>0</v>
      </c>
      <c r="BV1919">
        <v>0</v>
      </c>
      <c r="BW1919" t="s">
        <v>0</v>
      </c>
      <c r="BX1919">
        <v>0</v>
      </c>
      <c r="BY1919">
        <v>0</v>
      </c>
      <c r="BZ1919">
        <v>0</v>
      </c>
      <c r="CA1919">
        <v>0</v>
      </c>
      <c r="CB1919" t="s">
        <v>145</v>
      </c>
    </row>
    <row r="1920" spans="11:80" x14ac:dyDescent="0.25">
      <c r="BO1920">
        <v>0</v>
      </c>
      <c r="BP1920">
        <v>0</v>
      </c>
      <c r="BQ1920">
        <v>0</v>
      </c>
      <c r="BR1920">
        <v>0</v>
      </c>
      <c r="BS1920">
        <v>0</v>
      </c>
      <c r="BT1920">
        <v>0</v>
      </c>
      <c r="BU1920">
        <v>0</v>
      </c>
      <c r="BV1920">
        <v>0</v>
      </c>
      <c r="BW1920" t="s">
        <v>0</v>
      </c>
      <c r="BX1920">
        <v>0</v>
      </c>
      <c r="BY1920">
        <v>0</v>
      </c>
      <c r="BZ1920">
        <v>0</v>
      </c>
      <c r="CA1920">
        <v>0</v>
      </c>
      <c r="CB1920" t="s">
        <v>145</v>
      </c>
    </row>
    <row r="1921" spans="51:80" x14ac:dyDescent="0.25">
      <c r="BO1921">
        <v>0</v>
      </c>
      <c r="BP1921">
        <v>0</v>
      </c>
      <c r="BQ1921">
        <v>0</v>
      </c>
      <c r="BR1921">
        <v>0</v>
      </c>
      <c r="BS1921">
        <v>0</v>
      </c>
      <c r="BT1921">
        <v>0</v>
      </c>
      <c r="BU1921">
        <v>0</v>
      </c>
      <c r="BV1921">
        <v>0</v>
      </c>
      <c r="BW1921" t="s">
        <v>0</v>
      </c>
      <c r="BX1921">
        <v>0</v>
      </c>
      <c r="BY1921">
        <v>0</v>
      </c>
      <c r="BZ1921">
        <v>0</v>
      </c>
      <c r="CA1921">
        <v>0</v>
      </c>
      <c r="CB1921" t="s">
        <v>145</v>
      </c>
    </row>
    <row r="1922" spans="51:80" x14ac:dyDescent="0.25">
      <c r="BO1922">
        <v>0</v>
      </c>
      <c r="BP1922">
        <v>0</v>
      </c>
      <c r="BQ1922">
        <v>0</v>
      </c>
      <c r="BR1922">
        <v>0</v>
      </c>
      <c r="BS1922">
        <v>0</v>
      </c>
      <c r="BT1922">
        <v>0</v>
      </c>
      <c r="BU1922">
        <v>0</v>
      </c>
      <c r="BV1922">
        <v>0</v>
      </c>
      <c r="BW1922" t="s">
        <v>0</v>
      </c>
      <c r="BX1922">
        <v>0</v>
      </c>
      <c r="BY1922">
        <v>0</v>
      </c>
      <c r="BZ1922">
        <v>0</v>
      </c>
      <c r="CA1922">
        <v>0</v>
      </c>
      <c r="CB1922" t="s">
        <v>145</v>
      </c>
    </row>
    <row r="1923" spans="51:80" x14ac:dyDescent="0.25">
      <c r="BO1923">
        <v>0</v>
      </c>
      <c r="BP1923">
        <v>0</v>
      </c>
      <c r="BQ1923">
        <v>0</v>
      </c>
      <c r="BR1923">
        <v>0</v>
      </c>
      <c r="BS1923">
        <v>0</v>
      </c>
      <c r="BT1923">
        <v>0</v>
      </c>
      <c r="BU1923">
        <v>0</v>
      </c>
      <c r="BV1923">
        <v>0</v>
      </c>
      <c r="BW1923" t="s">
        <v>0</v>
      </c>
      <c r="BX1923">
        <v>0</v>
      </c>
      <c r="BY1923">
        <v>0</v>
      </c>
      <c r="BZ1923">
        <v>0</v>
      </c>
      <c r="CA1923">
        <v>0</v>
      </c>
      <c r="CB1923" t="s">
        <v>145</v>
      </c>
    </row>
    <row r="1924" spans="51:80" x14ac:dyDescent="0.25">
      <c r="BO1924">
        <v>0</v>
      </c>
      <c r="BP1924">
        <v>0</v>
      </c>
      <c r="BQ1924">
        <v>0</v>
      </c>
      <c r="BR1924">
        <v>0</v>
      </c>
      <c r="BS1924">
        <v>0</v>
      </c>
      <c r="BT1924">
        <v>0</v>
      </c>
      <c r="BU1924">
        <v>0</v>
      </c>
      <c r="BV1924">
        <v>0</v>
      </c>
      <c r="BW1924" t="s">
        <v>0</v>
      </c>
      <c r="BX1924">
        <v>0</v>
      </c>
      <c r="BY1924">
        <v>0</v>
      </c>
      <c r="BZ1924">
        <v>0</v>
      </c>
      <c r="CA1924">
        <v>0</v>
      </c>
      <c r="CB1924" t="s">
        <v>145</v>
      </c>
    </row>
    <row r="1925" spans="51:80" x14ac:dyDescent="0.25">
      <c r="BO1925">
        <v>0</v>
      </c>
      <c r="BP1925">
        <v>0</v>
      </c>
      <c r="BQ1925">
        <v>0</v>
      </c>
      <c r="BR1925">
        <v>0</v>
      </c>
      <c r="BS1925">
        <v>0</v>
      </c>
      <c r="BT1925">
        <v>0</v>
      </c>
      <c r="BU1925">
        <v>0</v>
      </c>
      <c r="BV1925">
        <v>0</v>
      </c>
      <c r="BW1925" t="s">
        <v>0</v>
      </c>
      <c r="BX1925">
        <v>0</v>
      </c>
      <c r="BY1925">
        <v>0</v>
      </c>
      <c r="BZ1925">
        <v>0</v>
      </c>
      <c r="CA1925">
        <v>0</v>
      </c>
      <c r="CB1925" t="s">
        <v>145</v>
      </c>
    </row>
    <row r="1926" spans="51:80" x14ac:dyDescent="0.25">
      <c r="AY1926" s="8"/>
      <c r="BO1926">
        <v>0</v>
      </c>
      <c r="BP1926">
        <v>0</v>
      </c>
      <c r="BQ1926">
        <v>0</v>
      </c>
      <c r="BR1926">
        <v>0</v>
      </c>
      <c r="BS1926">
        <v>0</v>
      </c>
      <c r="BT1926">
        <v>0</v>
      </c>
      <c r="BU1926">
        <v>0</v>
      </c>
      <c r="BV1926">
        <v>0</v>
      </c>
      <c r="BW1926" t="s">
        <v>0</v>
      </c>
      <c r="BX1926">
        <v>0</v>
      </c>
      <c r="BY1926">
        <v>0</v>
      </c>
      <c r="BZ1926">
        <v>0</v>
      </c>
      <c r="CA1926">
        <v>0</v>
      </c>
      <c r="CB1926" t="s">
        <v>145</v>
      </c>
    </row>
    <row r="1927" spans="51:80" x14ac:dyDescent="0.25">
      <c r="BO1927">
        <v>0</v>
      </c>
      <c r="BP1927">
        <v>0</v>
      </c>
      <c r="BQ1927">
        <v>0</v>
      </c>
      <c r="BR1927">
        <v>0</v>
      </c>
      <c r="BS1927">
        <v>0</v>
      </c>
      <c r="BT1927">
        <v>0</v>
      </c>
      <c r="BU1927">
        <v>0</v>
      </c>
      <c r="BV1927">
        <v>0</v>
      </c>
      <c r="BW1927" t="s">
        <v>0</v>
      </c>
      <c r="BX1927">
        <v>0</v>
      </c>
      <c r="BY1927">
        <v>0</v>
      </c>
      <c r="BZ1927">
        <v>0</v>
      </c>
      <c r="CA1927">
        <v>0</v>
      </c>
      <c r="CB1927" t="s">
        <v>145</v>
      </c>
    </row>
    <row r="1928" spans="51:80" x14ac:dyDescent="0.25">
      <c r="BO1928">
        <v>0</v>
      </c>
      <c r="BP1928">
        <v>0</v>
      </c>
      <c r="BQ1928">
        <v>0</v>
      </c>
      <c r="BR1928">
        <v>0</v>
      </c>
      <c r="BS1928">
        <v>0</v>
      </c>
      <c r="BT1928">
        <v>0</v>
      </c>
      <c r="BU1928">
        <v>0</v>
      </c>
      <c r="BV1928">
        <v>0</v>
      </c>
      <c r="BW1928" t="s">
        <v>0</v>
      </c>
      <c r="BX1928">
        <v>0</v>
      </c>
      <c r="BY1928">
        <v>0</v>
      </c>
      <c r="BZ1928">
        <v>0</v>
      </c>
      <c r="CA1928">
        <v>0</v>
      </c>
      <c r="CB1928" t="s">
        <v>145</v>
      </c>
    </row>
    <row r="1929" spans="51:80" x14ac:dyDescent="0.25">
      <c r="BO1929">
        <v>0</v>
      </c>
      <c r="BP1929">
        <v>0</v>
      </c>
      <c r="BQ1929">
        <v>0</v>
      </c>
      <c r="BR1929">
        <v>0</v>
      </c>
      <c r="BS1929">
        <v>0</v>
      </c>
      <c r="BT1929">
        <v>0</v>
      </c>
      <c r="BU1929">
        <v>0</v>
      </c>
      <c r="BV1929">
        <v>0</v>
      </c>
      <c r="BW1929" t="s">
        <v>0</v>
      </c>
      <c r="BX1929">
        <v>0</v>
      </c>
      <c r="BY1929">
        <v>0</v>
      </c>
      <c r="BZ1929">
        <v>0</v>
      </c>
      <c r="CA1929">
        <v>0</v>
      </c>
      <c r="CB1929" t="s">
        <v>145</v>
      </c>
    </row>
    <row r="1930" spans="51:80" x14ac:dyDescent="0.25">
      <c r="BO1930">
        <v>0</v>
      </c>
      <c r="BP1930">
        <v>0</v>
      </c>
      <c r="BQ1930">
        <v>0</v>
      </c>
      <c r="BR1930">
        <v>0</v>
      </c>
      <c r="BS1930">
        <v>0</v>
      </c>
      <c r="BT1930">
        <v>0</v>
      </c>
      <c r="BU1930">
        <v>0</v>
      </c>
      <c r="BV1930">
        <v>0</v>
      </c>
      <c r="BW1930" t="s">
        <v>0</v>
      </c>
      <c r="BX1930">
        <v>0</v>
      </c>
      <c r="BY1930">
        <v>0</v>
      </c>
      <c r="BZ1930">
        <v>0</v>
      </c>
      <c r="CA1930">
        <v>0</v>
      </c>
      <c r="CB1930" t="s">
        <v>145</v>
      </c>
    </row>
    <row r="1931" spans="51:80" x14ac:dyDescent="0.25">
      <c r="BO1931">
        <v>0</v>
      </c>
      <c r="BP1931">
        <v>0</v>
      </c>
      <c r="BQ1931">
        <v>0</v>
      </c>
      <c r="BR1931">
        <v>0</v>
      </c>
      <c r="BS1931">
        <v>0</v>
      </c>
      <c r="BT1931">
        <v>0</v>
      </c>
      <c r="BU1931">
        <v>0</v>
      </c>
      <c r="BV1931">
        <v>0</v>
      </c>
      <c r="BW1931" t="s">
        <v>0</v>
      </c>
      <c r="BX1931">
        <v>0</v>
      </c>
      <c r="BY1931">
        <v>0</v>
      </c>
      <c r="BZ1931">
        <v>0</v>
      </c>
      <c r="CA1931">
        <v>0</v>
      </c>
      <c r="CB1931" t="s">
        <v>145</v>
      </c>
    </row>
    <row r="1932" spans="51:80" x14ac:dyDescent="0.25">
      <c r="BO1932">
        <v>0</v>
      </c>
      <c r="BP1932">
        <v>0</v>
      </c>
      <c r="BQ1932">
        <v>0</v>
      </c>
      <c r="BR1932">
        <v>0</v>
      </c>
      <c r="BS1932">
        <v>0</v>
      </c>
      <c r="BT1932">
        <v>0</v>
      </c>
      <c r="BU1932">
        <v>0</v>
      </c>
      <c r="BV1932">
        <v>0</v>
      </c>
      <c r="BW1932" t="s">
        <v>0</v>
      </c>
      <c r="BX1932">
        <v>0</v>
      </c>
      <c r="BY1932">
        <v>0</v>
      </c>
      <c r="BZ1932">
        <v>0</v>
      </c>
      <c r="CA1932">
        <v>0</v>
      </c>
      <c r="CB1932" t="s">
        <v>145</v>
      </c>
    </row>
    <row r="1933" spans="51:80" x14ac:dyDescent="0.25">
      <c r="BO1933">
        <v>0</v>
      </c>
      <c r="BP1933">
        <v>0</v>
      </c>
      <c r="BQ1933">
        <v>0</v>
      </c>
      <c r="BR1933">
        <v>0</v>
      </c>
      <c r="BS1933">
        <v>0</v>
      </c>
      <c r="BT1933">
        <v>0</v>
      </c>
      <c r="BU1933">
        <v>0</v>
      </c>
      <c r="BV1933">
        <v>0</v>
      </c>
      <c r="BW1933" t="s">
        <v>0</v>
      </c>
      <c r="BX1933">
        <v>0</v>
      </c>
      <c r="BY1933">
        <v>0</v>
      </c>
      <c r="BZ1933">
        <v>0</v>
      </c>
      <c r="CA1933">
        <v>0</v>
      </c>
      <c r="CB1933" t="s">
        <v>145</v>
      </c>
    </row>
    <row r="1934" spans="51:80" x14ac:dyDescent="0.25">
      <c r="BO1934">
        <v>0</v>
      </c>
      <c r="BP1934">
        <v>0</v>
      </c>
      <c r="BQ1934">
        <v>0</v>
      </c>
      <c r="BR1934">
        <v>0</v>
      </c>
      <c r="BS1934">
        <v>0</v>
      </c>
      <c r="BT1934">
        <v>0</v>
      </c>
      <c r="BU1934">
        <v>0</v>
      </c>
      <c r="BV1934">
        <v>0</v>
      </c>
      <c r="BW1934" t="s">
        <v>0</v>
      </c>
      <c r="BX1934">
        <v>0</v>
      </c>
      <c r="BY1934">
        <v>0</v>
      </c>
      <c r="BZ1934">
        <v>0</v>
      </c>
      <c r="CA1934">
        <v>0</v>
      </c>
      <c r="CB1934" t="s">
        <v>145</v>
      </c>
    </row>
    <row r="1935" spans="51:80" x14ac:dyDescent="0.25">
      <c r="BO1935">
        <v>0</v>
      </c>
      <c r="BP1935">
        <v>0</v>
      </c>
      <c r="BQ1935">
        <v>0</v>
      </c>
      <c r="BR1935">
        <v>0</v>
      </c>
      <c r="BS1935">
        <v>0</v>
      </c>
      <c r="BT1935">
        <v>0</v>
      </c>
      <c r="BU1935">
        <v>0</v>
      </c>
      <c r="BV1935">
        <v>0</v>
      </c>
      <c r="BW1935" t="s">
        <v>0</v>
      </c>
      <c r="BX1935">
        <v>0</v>
      </c>
      <c r="BY1935">
        <v>0</v>
      </c>
      <c r="BZ1935">
        <v>0</v>
      </c>
      <c r="CA1935">
        <v>0</v>
      </c>
      <c r="CB1935" t="s">
        <v>145</v>
      </c>
    </row>
    <row r="1936" spans="51:80" x14ac:dyDescent="0.25">
      <c r="BO1936">
        <v>0</v>
      </c>
      <c r="BP1936">
        <v>0</v>
      </c>
      <c r="BQ1936">
        <v>0</v>
      </c>
      <c r="BR1936">
        <v>0</v>
      </c>
      <c r="BS1936">
        <v>0</v>
      </c>
      <c r="BT1936">
        <v>0</v>
      </c>
      <c r="BU1936">
        <v>0</v>
      </c>
      <c r="BV1936">
        <v>0</v>
      </c>
      <c r="BW1936" t="s">
        <v>0</v>
      </c>
      <c r="BX1936">
        <v>0</v>
      </c>
      <c r="BY1936">
        <v>0</v>
      </c>
      <c r="BZ1936">
        <v>0</v>
      </c>
      <c r="CA1936">
        <v>0</v>
      </c>
      <c r="CB1936" t="s">
        <v>145</v>
      </c>
    </row>
    <row r="1937" spans="1:80" x14ac:dyDescent="0.25">
      <c r="BO1937">
        <v>0</v>
      </c>
      <c r="BP1937">
        <v>0</v>
      </c>
      <c r="BQ1937">
        <v>0</v>
      </c>
      <c r="BR1937">
        <v>0</v>
      </c>
      <c r="BS1937">
        <v>0</v>
      </c>
      <c r="BT1937">
        <v>0</v>
      </c>
      <c r="BU1937">
        <v>0</v>
      </c>
      <c r="BV1937">
        <v>0</v>
      </c>
      <c r="BW1937" t="s">
        <v>0</v>
      </c>
      <c r="BX1937">
        <v>0</v>
      </c>
      <c r="BY1937">
        <v>0</v>
      </c>
      <c r="BZ1937">
        <v>0</v>
      </c>
      <c r="CA1937">
        <v>0</v>
      </c>
      <c r="CB1937" t="s">
        <v>145</v>
      </c>
    </row>
    <row r="1938" spans="1:80" x14ac:dyDescent="0.25">
      <c r="BO1938">
        <v>0</v>
      </c>
      <c r="BP1938">
        <v>0</v>
      </c>
      <c r="BQ1938">
        <v>0</v>
      </c>
      <c r="BR1938">
        <v>0</v>
      </c>
      <c r="BS1938">
        <v>0</v>
      </c>
      <c r="BT1938">
        <v>0</v>
      </c>
      <c r="BU1938">
        <v>0</v>
      </c>
      <c r="BV1938">
        <v>0</v>
      </c>
      <c r="BW1938" t="s">
        <v>0</v>
      </c>
      <c r="BX1938">
        <v>0</v>
      </c>
      <c r="BY1938">
        <v>0</v>
      </c>
      <c r="BZ1938">
        <v>0</v>
      </c>
      <c r="CA1938">
        <v>0</v>
      </c>
      <c r="CB1938" t="s">
        <v>145</v>
      </c>
    </row>
    <row r="1939" spans="1:80" x14ac:dyDescent="0.25">
      <c r="BO1939">
        <v>0</v>
      </c>
      <c r="BP1939">
        <v>0</v>
      </c>
      <c r="BQ1939">
        <v>0</v>
      </c>
      <c r="BR1939">
        <v>0</v>
      </c>
      <c r="BS1939">
        <v>0</v>
      </c>
      <c r="BT1939">
        <v>0</v>
      </c>
      <c r="BU1939">
        <v>0</v>
      </c>
      <c r="BV1939">
        <v>0</v>
      </c>
      <c r="BW1939" t="s">
        <v>0</v>
      </c>
      <c r="BX1939">
        <v>0</v>
      </c>
      <c r="BY1939">
        <v>0</v>
      </c>
      <c r="BZ1939">
        <v>0</v>
      </c>
      <c r="CA1939">
        <v>0</v>
      </c>
      <c r="CB1939" t="s">
        <v>145</v>
      </c>
    </row>
    <row r="1940" spans="1:80" x14ac:dyDescent="0.25">
      <c r="BO1940">
        <v>0</v>
      </c>
      <c r="BP1940">
        <v>0</v>
      </c>
      <c r="BQ1940">
        <v>0</v>
      </c>
      <c r="BR1940">
        <v>0</v>
      </c>
      <c r="BS1940">
        <v>0</v>
      </c>
      <c r="BT1940">
        <v>0</v>
      </c>
      <c r="BU1940">
        <v>0</v>
      </c>
      <c r="BV1940">
        <v>0</v>
      </c>
      <c r="BW1940" t="s">
        <v>0</v>
      </c>
      <c r="BX1940">
        <v>0</v>
      </c>
      <c r="BY1940">
        <v>0</v>
      </c>
      <c r="BZ1940">
        <v>0</v>
      </c>
      <c r="CA1940">
        <v>0</v>
      </c>
      <c r="CB1940" t="s">
        <v>145</v>
      </c>
    </row>
    <row r="1941" spans="1:80" x14ac:dyDescent="0.25">
      <c r="BO1941">
        <v>0</v>
      </c>
      <c r="BP1941">
        <v>0</v>
      </c>
      <c r="BQ1941">
        <v>0</v>
      </c>
      <c r="BR1941">
        <v>0</v>
      </c>
      <c r="BS1941">
        <v>0</v>
      </c>
      <c r="BT1941">
        <v>0</v>
      </c>
      <c r="BU1941">
        <v>0</v>
      </c>
      <c r="BV1941">
        <v>0</v>
      </c>
      <c r="BW1941" t="s">
        <v>0</v>
      </c>
      <c r="BX1941">
        <v>0</v>
      </c>
      <c r="BY1941">
        <v>0</v>
      </c>
      <c r="BZ1941">
        <v>0</v>
      </c>
      <c r="CA1941">
        <v>0</v>
      </c>
      <c r="CB1941" t="s">
        <v>145</v>
      </c>
    </row>
    <row r="1942" spans="1:80" x14ac:dyDescent="0.25">
      <c r="BO1942">
        <v>0</v>
      </c>
      <c r="BP1942">
        <v>0</v>
      </c>
      <c r="BQ1942">
        <v>0</v>
      </c>
      <c r="BR1942">
        <v>0</v>
      </c>
      <c r="BS1942">
        <v>0</v>
      </c>
      <c r="BT1942">
        <v>0</v>
      </c>
      <c r="BU1942">
        <v>0</v>
      </c>
      <c r="BV1942">
        <v>0</v>
      </c>
      <c r="BW1942" t="s">
        <v>0</v>
      </c>
      <c r="BX1942">
        <v>0</v>
      </c>
      <c r="BY1942">
        <v>0</v>
      </c>
      <c r="BZ1942">
        <v>0</v>
      </c>
      <c r="CA1942">
        <v>0</v>
      </c>
      <c r="CB1942" t="s">
        <v>145</v>
      </c>
    </row>
    <row r="1943" spans="1:80" x14ac:dyDescent="0.25">
      <c r="BO1943">
        <v>0</v>
      </c>
      <c r="BP1943">
        <v>0</v>
      </c>
      <c r="BQ1943">
        <v>0</v>
      </c>
      <c r="BR1943">
        <v>0</v>
      </c>
      <c r="BS1943">
        <v>0</v>
      </c>
      <c r="BT1943">
        <v>0</v>
      </c>
      <c r="BU1943">
        <v>0</v>
      </c>
      <c r="BV1943">
        <v>0</v>
      </c>
      <c r="BW1943" t="s">
        <v>0</v>
      </c>
      <c r="BX1943">
        <v>0</v>
      </c>
      <c r="BY1943">
        <v>0</v>
      </c>
      <c r="BZ1943">
        <v>0</v>
      </c>
      <c r="CA1943">
        <v>0</v>
      </c>
      <c r="CB1943" t="s">
        <v>145</v>
      </c>
    </row>
    <row r="1944" spans="1:80" x14ac:dyDescent="0.25">
      <c r="BO1944">
        <v>0</v>
      </c>
      <c r="BP1944">
        <v>0</v>
      </c>
      <c r="BQ1944">
        <v>0</v>
      </c>
      <c r="BR1944">
        <v>0</v>
      </c>
      <c r="BS1944">
        <v>0</v>
      </c>
      <c r="BT1944">
        <v>0</v>
      </c>
      <c r="BU1944">
        <v>0</v>
      </c>
      <c r="BV1944">
        <v>0</v>
      </c>
      <c r="BW1944" t="s">
        <v>0</v>
      </c>
      <c r="BX1944">
        <v>0</v>
      </c>
      <c r="BY1944">
        <v>0</v>
      </c>
      <c r="BZ1944">
        <v>0</v>
      </c>
      <c r="CA1944">
        <v>0</v>
      </c>
      <c r="CB1944" t="s">
        <v>145</v>
      </c>
    </row>
    <row r="1945" spans="1:80" x14ac:dyDescent="0.25">
      <c r="BO1945">
        <v>0</v>
      </c>
      <c r="BP1945">
        <v>0</v>
      </c>
      <c r="BQ1945">
        <v>0</v>
      </c>
      <c r="BR1945">
        <v>0</v>
      </c>
      <c r="BS1945">
        <v>0</v>
      </c>
      <c r="BT1945">
        <v>0</v>
      </c>
      <c r="BU1945">
        <v>0</v>
      </c>
      <c r="BV1945">
        <v>0</v>
      </c>
      <c r="BW1945" t="s">
        <v>0</v>
      </c>
      <c r="BX1945">
        <v>0</v>
      </c>
      <c r="BY1945">
        <v>0</v>
      </c>
      <c r="BZ1945">
        <v>0</v>
      </c>
      <c r="CA1945">
        <v>0</v>
      </c>
      <c r="CB1945" t="s">
        <v>145</v>
      </c>
    </row>
    <row r="1946" spans="1:80" x14ac:dyDescent="0.25">
      <c r="BO1946">
        <v>0</v>
      </c>
      <c r="BP1946">
        <v>0</v>
      </c>
      <c r="BQ1946">
        <v>0</v>
      </c>
      <c r="BR1946">
        <v>0</v>
      </c>
      <c r="BS1946">
        <v>0</v>
      </c>
      <c r="BT1946">
        <v>0</v>
      </c>
      <c r="BU1946">
        <v>0</v>
      </c>
      <c r="BV1946">
        <v>0</v>
      </c>
      <c r="BW1946" t="s">
        <v>0</v>
      </c>
      <c r="BX1946">
        <v>0</v>
      </c>
      <c r="BY1946">
        <v>0</v>
      </c>
      <c r="BZ1946">
        <v>0</v>
      </c>
      <c r="CA1946">
        <v>0</v>
      </c>
      <c r="CB1946" t="s">
        <v>145</v>
      </c>
    </row>
    <row r="1947" spans="1:80" x14ac:dyDescent="0.25">
      <c r="A1947" s="6"/>
      <c r="B1947" s="6"/>
      <c r="C1947" s="6"/>
      <c r="D1947" s="6"/>
      <c r="E1947" s="6"/>
      <c r="F1947" s="6"/>
      <c r="G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  <c r="BE1947" s="6"/>
      <c r="BF1947" s="6"/>
      <c r="BG1947" s="6"/>
      <c r="BH1947" s="6"/>
      <c r="BI1947" s="6"/>
      <c r="BK1947" s="6"/>
      <c r="BL1947" s="6"/>
      <c r="BM1947" s="6"/>
      <c r="BN1947" s="6"/>
      <c r="BO1947" s="6">
        <v>0</v>
      </c>
      <c r="BP1947" s="6">
        <v>0</v>
      </c>
      <c r="BQ1947" s="6">
        <v>0</v>
      </c>
      <c r="BR1947" s="6">
        <v>0</v>
      </c>
      <c r="BS1947" s="6">
        <v>0</v>
      </c>
      <c r="BT1947" s="6">
        <v>0</v>
      </c>
      <c r="BU1947" s="6">
        <v>0</v>
      </c>
      <c r="BV1947" s="6">
        <v>0</v>
      </c>
      <c r="BW1947" s="6" t="s">
        <v>0</v>
      </c>
      <c r="BX1947" s="6">
        <v>0</v>
      </c>
      <c r="BY1947">
        <v>0</v>
      </c>
      <c r="BZ1947">
        <v>0</v>
      </c>
      <c r="CA1947">
        <v>0</v>
      </c>
      <c r="CB1947" t="s">
        <v>145</v>
      </c>
    </row>
    <row r="1948" spans="1:80" x14ac:dyDescent="0.25">
      <c r="A1948" s="6"/>
      <c r="B1948" s="6"/>
      <c r="C1948" s="6"/>
      <c r="D1948" s="6"/>
      <c r="E1948" s="6"/>
      <c r="F1948" s="6"/>
      <c r="G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  <c r="BE1948" s="6"/>
      <c r="BF1948" s="6"/>
      <c r="BG1948" s="6"/>
      <c r="BH1948" s="6"/>
      <c r="BI1948" s="6"/>
      <c r="BK1948" s="6"/>
      <c r="BL1948" s="6"/>
      <c r="BM1948" s="6"/>
      <c r="BN1948" s="6"/>
      <c r="BO1948" s="6">
        <v>0</v>
      </c>
      <c r="BP1948" s="6">
        <v>0</v>
      </c>
      <c r="BQ1948" s="6">
        <v>0</v>
      </c>
      <c r="BR1948" s="6">
        <v>0</v>
      </c>
      <c r="BS1948" s="6">
        <v>0</v>
      </c>
      <c r="BT1948" s="6">
        <v>0</v>
      </c>
      <c r="BU1948" s="6">
        <v>0</v>
      </c>
      <c r="BV1948" s="6">
        <v>0</v>
      </c>
      <c r="BW1948" s="6" t="s">
        <v>0</v>
      </c>
      <c r="BX1948" s="6">
        <v>0</v>
      </c>
      <c r="BY1948">
        <v>0</v>
      </c>
      <c r="BZ1948">
        <v>0</v>
      </c>
      <c r="CA1948">
        <v>0</v>
      </c>
      <c r="CB1948" t="s">
        <v>145</v>
      </c>
    </row>
    <row r="1949" spans="1:80" x14ac:dyDescent="0.25">
      <c r="A1949" s="6"/>
      <c r="B1949" s="6"/>
      <c r="C1949" s="6"/>
      <c r="D1949" s="6"/>
      <c r="E1949" s="6"/>
      <c r="F1949" s="6"/>
      <c r="G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  <c r="BE1949" s="6"/>
      <c r="BF1949" s="6"/>
      <c r="BG1949" s="6"/>
      <c r="BH1949" s="6"/>
      <c r="BI1949" s="6"/>
      <c r="BK1949" s="6"/>
      <c r="BL1949" s="6"/>
      <c r="BM1949" s="6"/>
      <c r="BN1949" s="6"/>
      <c r="BO1949" s="6">
        <v>0</v>
      </c>
      <c r="BP1949" s="6">
        <v>0</v>
      </c>
      <c r="BQ1949" s="6">
        <v>0</v>
      </c>
      <c r="BR1949" s="6">
        <v>0</v>
      </c>
      <c r="BS1949" s="6">
        <v>0</v>
      </c>
      <c r="BT1949" s="6">
        <v>0</v>
      </c>
      <c r="BU1949" s="6">
        <v>0</v>
      </c>
      <c r="BV1949" s="6">
        <v>0</v>
      </c>
      <c r="BW1949" s="6" t="s">
        <v>0</v>
      </c>
      <c r="BX1949" s="6">
        <v>0</v>
      </c>
      <c r="BY1949">
        <v>0</v>
      </c>
      <c r="BZ1949">
        <v>0</v>
      </c>
      <c r="CA1949">
        <v>0</v>
      </c>
      <c r="CB1949" t="s">
        <v>145</v>
      </c>
    </row>
    <row r="1950" spans="1:80" x14ac:dyDescent="0.25">
      <c r="A1950" s="6"/>
      <c r="B1950" s="6"/>
      <c r="C1950" s="6"/>
      <c r="D1950" s="6"/>
      <c r="E1950" s="6"/>
      <c r="F1950" s="6"/>
      <c r="G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  <c r="BE1950" s="6"/>
      <c r="BF1950" s="6"/>
      <c r="BG1950" s="6"/>
      <c r="BH1950" s="6"/>
      <c r="BI1950" s="6"/>
      <c r="BK1950" s="6"/>
      <c r="BL1950" s="6"/>
      <c r="BM1950" s="6"/>
      <c r="BN1950" s="6"/>
      <c r="BO1950" s="6">
        <v>0</v>
      </c>
      <c r="BP1950" s="6">
        <v>0</v>
      </c>
      <c r="BQ1950" s="6">
        <v>0</v>
      </c>
      <c r="BR1950" s="6">
        <v>0</v>
      </c>
      <c r="BS1950" s="6">
        <v>0</v>
      </c>
      <c r="BT1950" s="6">
        <v>0</v>
      </c>
      <c r="BU1950" s="6">
        <v>0</v>
      </c>
      <c r="BV1950" s="6">
        <v>0</v>
      </c>
      <c r="BW1950" s="6" t="s">
        <v>0</v>
      </c>
      <c r="BX1950" s="6">
        <v>0</v>
      </c>
      <c r="BY1950">
        <v>0</v>
      </c>
      <c r="BZ1950">
        <v>0</v>
      </c>
      <c r="CA1950">
        <v>0</v>
      </c>
      <c r="CB1950" t="s">
        <v>145</v>
      </c>
    </row>
    <row r="1951" spans="1:80" x14ac:dyDescent="0.25">
      <c r="A1951" s="6"/>
      <c r="B1951" s="6"/>
      <c r="C1951" s="6"/>
      <c r="D1951" s="6"/>
      <c r="E1951" s="6"/>
      <c r="F1951" s="6"/>
      <c r="G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  <c r="BE1951" s="6"/>
      <c r="BF1951" s="6"/>
      <c r="BG1951" s="6"/>
      <c r="BH1951" s="6"/>
      <c r="BI1951" s="6"/>
      <c r="BK1951" s="6"/>
      <c r="BL1951" s="6"/>
      <c r="BM1951" s="6"/>
      <c r="BN1951" s="6"/>
      <c r="BO1951" s="6">
        <v>0</v>
      </c>
      <c r="BP1951" s="6">
        <v>0</v>
      </c>
      <c r="BQ1951" s="6">
        <v>0</v>
      </c>
      <c r="BR1951" s="6">
        <v>0</v>
      </c>
      <c r="BS1951" s="6">
        <v>0</v>
      </c>
      <c r="BT1951" s="6">
        <v>0</v>
      </c>
      <c r="BU1951" s="6">
        <v>0</v>
      </c>
      <c r="BV1951" s="6">
        <v>0</v>
      </c>
      <c r="BW1951" s="6" t="s">
        <v>0</v>
      </c>
      <c r="BX1951" s="6">
        <v>0</v>
      </c>
      <c r="BY1951">
        <v>0</v>
      </c>
      <c r="BZ1951">
        <v>0</v>
      </c>
      <c r="CA1951">
        <v>0</v>
      </c>
      <c r="CB1951" t="s">
        <v>145</v>
      </c>
    </row>
    <row r="1952" spans="1:80" x14ac:dyDescent="0.25">
      <c r="A1952" s="6"/>
      <c r="B1952" s="6"/>
      <c r="C1952" s="6"/>
      <c r="D1952" s="6"/>
      <c r="E1952" s="6"/>
      <c r="F1952" s="6"/>
      <c r="G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  <c r="BE1952" s="6"/>
      <c r="BF1952" s="6"/>
      <c r="BG1952" s="6"/>
      <c r="BH1952" s="6"/>
      <c r="BI1952" s="6"/>
      <c r="BK1952" s="6"/>
      <c r="BL1952" s="6"/>
      <c r="BM1952" s="6"/>
      <c r="BN1952" s="6"/>
      <c r="BO1952" s="6">
        <v>0</v>
      </c>
      <c r="BP1952" s="6">
        <v>0</v>
      </c>
      <c r="BQ1952" s="6">
        <v>0</v>
      </c>
      <c r="BR1952" s="6">
        <v>0</v>
      </c>
      <c r="BS1952" s="6">
        <v>0</v>
      </c>
      <c r="BT1952" s="6">
        <v>0</v>
      </c>
      <c r="BU1952" s="6">
        <v>0</v>
      </c>
      <c r="BV1952" s="6">
        <v>0</v>
      </c>
      <c r="BW1952" s="6" t="s">
        <v>0</v>
      </c>
      <c r="BX1952" s="6">
        <v>0</v>
      </c>
      <c r="BY1952">
        <v>0</v>
      </c>
      <c r="BZ1952">
        <v>0</v>
      </c>
      <c r="CA1952">
        <v>0</v>
      </c>
      <c r="CB1952" t="s">
        <v>145</v>
      </c>
    </row>
    <row r="1953" spans="1:80" x14ac:dyDescent="0.25">
      <c r="A1953" s="6"/>
      <c r="B1953" s="6"/>
      <c r="C1953" s="6"/>
      <c r="D1953" s="6"/>
      <c r="E1953" s="6"/>
      <c r="F1953" s="6"/>
      <c r="G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  <c r="BE1953" s="6"/>
      <c r="BF1953" s="6"/>
      <c r="BG1953" s="6"/>
      <c r="BH1953" s="6"/>
      <c r="BI1953" s="6"/>
      <c r="BK1953" s="6"/>
      <c r="BL1953" s="6"/>
      <c r="BM1953" s="6"/>
      <c r="BN1953" s="6"/>
      <c r="BO1953" s="6">
        <v>0</v>
      </c>
      <c r="BP1953" s="6">
        <v>0</v>
      </c>
      <c r="BQ1953" s="6">
        <v>0</v>
      </c>
      <c r="BR1953" s="6">
        <v>0</v>
      </c>
      <c r="BS1953" s="6">
        <v>0</v>
      </c>
      <c r="BT1953" s="6">
        <v>0</v>
      </c>
      <c r="BU1953" s="6">
        <v>0</v>
      </c>
      <c r="BV1953" s="6">
        <v>0</v>
      </c>
      <c r="BW1953" s="6" t="s">
        <v>0</v>
      </c>
      <c r="BX1953" s="6">
        <v>0</v>
      </c>
      <c r="BY1953">
        <v>0</v>
      </c>
      <c r="BZ1953">
        <v>0</v>
      </c>
      <c r="CA1953">
        <v>0</v>
      </c>
      <c r="CB1953" t="s">
        <v>145</v>
      </c>
    </row>
    <row r="1954" spans="1:80" x14ac:dyDescent="0.25">
      <c r="A1954" s="6"/>
      <c r="B1954" s="6"/>
      <c r="C1954" s="6"/>
      <c r="D1954" s="6"/>
      <c r="E1954" s="6"/>
      <c r="F1954" s="6"/>
      <c r="G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  <c r="BE1954" s="6"/>
      <c r="BF1954" s="6"/>
      <c r="BG1954" s="6"/>
      <c r="BH1954" s="6"/>
      <c r="BI1954" s="6"/>
      <c r="BK1954" s="6"/>
      <c r="BL1954" s="6"/>
      <c r="BM1954" s="6"/>
      <c r="BN1954" s="6"/>
      <c r="BO1954" s="6">
        <v>0</v>
      </c>
      <c r="BP1954" s="6">
        <v>0</v>
      </c>
      <c r="BQ1954" s="6">
        <v>0</v>
      </c>
      <c r="BR1954" s="6">
        <v>0</v>
      </c>
      <c r="BS1954" s="6">
        <v>0</v>
      </c>
      <c r="BT1954" s="6">
        <v>0</v>
      </c>
      <c r="BU1954" s="6">
        <v>0</v>
      </c>
      <c r="BV1954" s="6">
        <v>0</v>
      </c>
      <c r="BW1954" s="6" t="s">
        <v>0</v>
      </c>
      <c r="BX1954" s="6">
        <v>0</v>
      </c>
      <c r="BY1954">
        <v>0</v>
      </c>
      <c r="BZ1954">
        <v>0</v>
      </c>
      <c r="CA1954">
        <v>0</v>
      </c>
      <c r="CB1954" t="s">
        <v>145</v>
      </c>
    </row>
    <row r="1955" spans="1:80" x14ac:dyDescent="0.25">
      <c r="A1955" s="6"/>
      <c r="B1955" s="6"/>
      <c r="C1955" s="6"/>
      <c r="D1955" s="6"/>
      <c r="E1955" s="6"/>
      <c r="F1955" s="6"/>
      <c r="G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  <c r="BE1955" s="6"/>
      <c r="BF1955" s="6"/>
      <c r="BG1955" s="6"/>
      <c r="BH1955" s="6"/>
      <c r="BI1955" s="6"/>
      <c r="BK1955" s="6"/>
      <c r="BL1955" s="6"/>
      <c r="BM1955" s="6"/>
      <c r="BN1955" s="6"/>
      <c r="BO1955" s="6">
        <v>0</v>
      </c>
      <c r="BP1955" s="6">
        <v>0</v>
      </c>
      <c r="BQ1955" s="6">
        <v>0</v>
      </c>
      <c r="BR1955" s="6">
        <v>0</v>
      </c>
      <c r="BS1955" s="6">
        <v>0</v>
      </c>
      <c r="BT1955" s="6">
        <v>0</v>
      </c>
      <c r="BU1955" s="6">
        <v>0</v>
      </c>
      <c r="BV1955" s="6">
        <v>0</v>
      </c>
      <c r="BW1955" s="6" t="s">
        <v>0</v>
      </c>
      <c r="BX1955" s="6">
        <v>0</v>
      </c>
      <c r="BY1955">
        <v>0</v>
      </c>
      <c r="BZ1955">
        <v>0</v>
      </c>
      <c r="CA1955">
        <v>0</v>
      </c>
      <c r="CB1955" t="s">
        <v>145</v>
      </c>
    </row>
    <row r="1956" spans="1:80" x14ac:dyDescent="0.25">
      <c r="A1956" s="6"/>
      <c r="B1956" s="6"/>
      <c r="C1956" s="6"/>
      <c r="D1956" s="6"/>
      <c r="E1956" s="6"/>
      <c r="F1956" s="6"/>
      <c r="G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  <c r="BE1956" s="6"/>
      <c r="BF1956" s="6"/>
      <c r="BG1956" s="6"/>
      <c r="BH1956" s="6"/>
      <c r="BI1956" s="6"/>
      <c r="BK1956" s="6"/>
      <c r="BL1956" s="6"/>
      <c r="BM1956" s="6"/>
      <c r="BN1956" s="6"/>
      <c r="BO1956" s="6">
        <v>0</v>
      </c>
      <c r="BP1956" s="6">
        <v>0</v>
      </c>
      <c r="BQ1956" s="6">
        <v>0</v>
      </c>
      <c r="BR1956" s="6">
        <v>0</v>
      </c>
      <c r="BS1956" s="6">
        <v>0</v>
      </c>
      <c r="BT1956" s="6">
        <v>0</v>
      </c>
      <c r="BU1956" s="6">
        <v>0</v>
      </c>
      <c r="BV1956" s="6">
        <v>0</v>
      </c>
      <c r="BW1956" s="6" t="s">
        <v>0</v>
      </c>
      <c r="BX1956" s="6">
        <v>0</v>
      </c>
      <c r="BY1956">
        <v>0</v>
      </c>
      <c r="BZ1956">
        <v>0</v>
      </c>
      <c r="CA1956">
        <v>0</v>
      </c>
      <c r="CB1956" t="s">
        <v>145</v>
      </c>
    </row>
    <row r="1957" spans="1:80" x14ac:dyDescent="0.25">
      <c r="A1957" s="6"/>
      <c r="B1957" s="6"/>
      <c r="C1957" s="6"/>
      <c r="D1957" s="6"/>
      <c r="E1957" s="6"/>
      <c r="F1957" s="6"/>
      <c r="G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  <c r="BE1957" s="6"/>
      <c r="BF1957" s="6"/>
      <c r="BG1957" s="6"/>
      <c r="BH1957" s="6"/>
      <c r="BI1957" s="6"/>
      <c r="BK1957" s="6"/>
      <c r="BL1957" s="6"/>
      <c r="BM1957" s="6"/>
      <c r="BN1957" s="6"/>
      <c r="BO1957" s="6">
        <v>0</v>
      </c>
      <c r="BP1957" s="6">
        <v>0</v>
      </c>
      <c r="BQ1957" s="6">
        <v>0</v>
      </c>
      <c r="BR1957" s="6">
        <v>0</v>
      </c>
      <c r="BS1957" s="6">
        <v>0</v>
      </c>
      <c r="BT1957" s="6">
        <v>0</v>
      </c>
      <c r="BU1957" s="6">
        <v>0</v>
      </c>
      <c r="BV1957" s="6">
        <v>0</v>
      </c>
      <c r="BW1957" s="6" t="s">
        <v>0</v>
      </c>
      <c r="BX1957" s="6">
        <v>0</v>
      </c>
      <c r="BY1957">
        <v>0</v>
      </c>
      <c r="BZ1957">
        <v>0</v>
      </c>
      <c r="CA1957">
        <v>0</v>
      </c>
      <c r="CB1957" t="s">
        <v>145</v>
      </c>
    </row>
    <row r="1958" spans="1:80" x14ac:dyDescent="0.25">
      <c r="A1958" s="6"/>
      <c r="B1958" s="6"/>
      <c r="C1958" s="6"/>
      <c r="D1958" s="6"/>
      <c r="E1958" s="6"/>
      <c r="F1958" s="6"/>
      <c r="G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  <c r="BE1958" s="6"/>
      <c r="BF1958" s="6"/>
      <c r="BG1958" s="6"/>
      <c r="BH1958" s="6"/>
      <c r="BI1958" s="6"/>
      <c r="BK1958" s="6"/>
      <c r="BL1958" s="6"/>
      <c r="BM1958" s="6"/>
      <c r="BN1958" s="6"/>
      <c r="BO1958" s="6">
        <v>0</v>
      </c>
      <c r="BP1958" s="6">
        <v>0</v>
      </c>
      <c r="BQ1958" s="6">
        <v>0</v>
      </c>
      <c r="BR1958" s="6">
        <v>0</v>
      </c>
      <c r="BS1958" s="6">
        <v>0</v>
      </c>
      <c r="BT1958" s="6">
        <v>0</v>
      </c>
      <c r="BU1958" s="6">
        <v>0</v>
      </c>
      <c r="BV1958" s="6">
        <v>0</v>
      </c>
      <c r="BW1958" s="6" t="s">
        <v>0</v>
      </c>
      <c r="BX1958" s="6">
        <v>0</v>
      </c>
      <c r="BY1958">
        <v>0</v>
      </c>
      <c r="BZ1958">
        <v>0</v>
      </c>
      <c r="CA1958">
        <v>0</v>
      </c>
      <c r="CB1958" t="s">
        <v>145</v>
      </c>
    </row>
    <row r="1959" spans="1:80" x14ac:dyDescent="0.25">
      <c r="A1959" s="6"/>
      <c r="B1959" s="6"/>
      <c r="C1959" s="6"/>
      <c r="D1959" s="6"/>
      <c r="E1959" s="6"/>
      <c r="F1959" s="6"/>
      <c r="G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  <c r="BE1959" s="6"/>
      <c r="BF1959" s="6"/>
      <c r="BG1959" s="6"/>
      <c r="BH1959" s="6"/>
      <c r="BI1959" s="6"/>
      <c r="BK1959" s="6"/>
      <c r="BL1959" s="6"/>
      <c r="BM1959" s="6"/>
      <c r="BN1959" s="6"/>
      <c r="BO1959" s="6">
        <v>0</v>
      </c>
      <c r="BP1959" s="6">
        <v>0</v>
      </c>
      <c r="BQ1959" s="6">
        <v>0</v>
      </c>
      <c r="BR1959" s="6">
        <v>0</v>
      </c>
      <c r="BS1959" s="6">
        <v>0</v>
      </c>
      <c r="BT1959" s="6">
        <v>0</v>
      </c>
      <c r="BU1959" s="6">
        <v>0</v>
      </c>
      <c r="BV1959" s="6">
        <v>0</v>
      </c>
      <c r="BW1959" s="6" t="s">
        <v>0</v>
      </c>
      <c r="BX1959" s="6">
        <v>0</v>
      </c>
      <c r="BY1959">
        <v>0</v>
      </c>
      <c r="BZ1959">
        <v>0</v>
      </c>
      <c r="CA1959">
        <v>0</v>
      </c>
      <c r="CB1959" t="s">
        <v>145</v>
      </c>
    </row>
    <row r="1960" spans="1:80" x14ac:dyDescent="0.25">
      <c r="A1960" s="6"/>
      <c r="B1960" s="6"/>
      <c r="C1960" s="6"/>
      <c r="D1960" s="6"/>
      <c r="E1960" s="6"/>
      <c r="F1960" s="6"/>
      <c r="G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  <c r="BE1960" s="6"/>
      <c r="BF1960" s="6"/>
      <c r="BG1960" s="6"/>
      <c r="BH1960" s="6"/>
      <c r="BI1960" s="6"/>
      <c r="BK1960" s="6"/>
      <c r="BL1960" s="6"/>
      <c r="BM1960" s="6"/>
      <c r="BN1960" s="6"/>
      <c r="BO1960" s="6">
        <v>0</v>
      </c>
      <c r="BP1960" s="6">
        <v>0</v>
      </c>
      <c r="BQ1960" s="6">
        <v>0</v>
      </c>
      <c r="BR1960" s="6">
        <v>0</v>
      </c>
      <c r="BS1960" s="6">
        <v>0</v>
      </c>
      <c r="BT1960" s="6">
        <v>0</v>
      </c>
      <c r="BU1960" s="6">
        <v>0</v>
      </c>
      <c r="BV1960" s="6">
        <v>0</v>
      </c>
      <c r="BW1960" s="6" t="s">
        <v>0</v>
      </c>
      <c r="BX1960" s="6">
        <v>0</v>
      </c>
      <c r="BY1960">
        <v>0</v>
      </c>
      <c r="BZ1960">
        <v>0</v>
      </c>
      <c r="CA1960">
        <v>0</v>
      </c>
      <c r="CB1960" t="s">
        <v>145</v>
      </c>
    </row>
    <row r="1961" spans="1:80" x14ac:dyDescent="0.25">
      <c r="A1961" s="6"/>
      <c r="B1961" s="6"/>
      <c r="C1961" s="6"/>
      <c r="D1961" s="6"/>
      <c r="E1961" s="6"/>
      <c r="F1961" s="6"/>
      <c r="G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  <c r="BE1961" s="6"/>
      <c r="BF1961" s="6"/>
      <c r="BG1961" s="6"/>
      <c r="BH1961" s="6"/>
      <c r="BI1961" s="6"/>
      <c r="BK1961" s="6"/>
      <c r="BL1961" s="6"/>
      <c r="BM1961" s="6"/>
      <c r="BN1961" s="6"/>
      <c r="BO1961" s="6">
        <v>0</v>
      </c>
      <c r="BP1961" s="6">
        <v>0</v>
      </c>
      <c r="BQ1961" s="6">
        <v>0</v>
      </c>
      <c r="BR1961" s="6">
        <v>0</v>
      </c>
      <c r="BS1961" s="6">
        <v>0</v>
      </c>
      <c r="BT1961" s="6">
        <v>0</v>
      </c>
      <c r="BU1961" s="6">
        <v>0</v>
      </c>
      <c r="BV1961" s="6">
        <v>0</v>
      </c>
      <c r="BW1961" s="6" t="s">
        <v>0</v>
      </c>
      <c r="BX1961" s="6">
        <v>0</v>
      </c>
      <c r="BY1961">
        <v>0</v>
      </c>
      <c r="BZ1961">
        <v>0</v>
      </c>
      <c r="CA1961">
        <v>0</v>
      </c>
      <c r="CB1961" t="s">
        <v>145</v>
      </c>
    </row>
    <row r="1962" spans="1:80" x14ac:dyDescent="0.25">
      <c r="A1962" s="6"/>
      <c r="B1962" s="6"/>
      <c r="C1962" s="6"/>
      <c r="D1962" s="6"/>
      <c r="E1962" s="6"/>
      <c r="F1962" s="6"/>
      <c r="G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  <c r="BE1962" s="6"/>
      <c r="BF1962" s="6"/>
      <c r="BG1962" s="6"/>
      <c r="BH1962" s="6"/>
      <c r="BI1962" s="6"/>
      <c r="BK1962" s="6"/>
      <c r="BL1962" s="6"/>
      <c r="BM1962" s="6"/>
      <c r="BN1962" s="6"/>
      <c r="BO1962" s="6">
        <v>0</v>
      </c>
      <c r="BP1962" s="6">
        <v>0</v>
      </c>
      <c r="BQ1962" s="6">
        <v>0</v>
      </c>
      <c r="BR1962" s="6">
        <v>0</v>
      </c>
      <c r="BS1962" s="6">
        <v>0</v>
      </c>
      <c r="BT1962" s="6">
        <v>0</v>
      </c>
      <c r="BU1962" s="6">
        <v>0</v>
      </c>
      <c r="BV1962" s="6">
        <v>0</v>
      </c>
      <c r="BW1962" s="6" t="s">
        <v>0</v>
      </c>
      <c r="BX1962" s="6">
        <v>0</v>
      </c>
      <c r="BY1962">
        <v>0</v>
      </c>
      <c r="BZ1962">
        <v>0</v>
      </c>
      <c r="CA1962">
        <v>0</v>
      </c>
      <c r="CB1962" t="s">
        <v>145</v>
      </c>
    </row>
    <row r="1963" spans="1:80" x14ac:dyDescent="0.25">
      <c r="A1963" s="6"/>
      <c r="B1963" s="6"/>
      <c r="C1963" s="6"/>
      <c r="D1963" s="6"/>
      <c r="E1963" s="6"/>
      <c r="F1963" s="6"/>
      <c r="G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  <c r="BE1963" s="6"/>
      <c r="BF1963" s="6"/>
      <c r="BG1963" s="6"/>
      <c r="BH1963" s="6"/>
      <c r="BI1963" s="6"/>
      <c r="BK1963" s="6"/>
      <c r="BL1963" s="6"/>
      <c r="BM1963" s="6"/>
      <c r="BN1963" s="6"/>
      <c r="BO1963" s="6">
        <v>0</v>
      </c>
      <c r="BP1963" s="6">
        <v>0</v>
      </c>
      <c r="BQ1963" s="6">
        <v>0</v>
      </c>
      <c r="BR1963" s="6">
        <v>0</v>
      </c>
      <c r="BS1963" s="6">
        <v>0</v>
      </c>
      <c r="BT1963" s="6">
        <v>0</v>
      </c>
      <c r="BU1963" s="6">
        <v>0</v>
      </c>
      <c r="BV1963" s="6">
        <v>0</v>
      </c>
      <c r="BW1963" s="6" t="s">
        <v>0</v>
      </c>
      <c r="BX1963" s="6">
        <v>0</v>
      </c>
      <c r="BY1963">
        <v>0</v>
      </c>
      <c r="BZ1963">
        <v>0</v>
      </c>
      <c r="CA1963">
        <v>0</v>
      </c>
      <c r="CB1963" t="s">
        <v>145</v>
      </c>
    </row>
    <row r="1964" spans="1:80" x14ac:dyDescent="0.25">
      <c r="A1964" s="6"/>
      <c r="B1964" s="6"/>
      <c r="C1964" s="6"/>
      <c r="D1964" s="6"/>
      <c r="E1964" s="6"/>
      <c r="F1964" s="6"/>
      <c r="G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  <c r="BE1964" s="6"/>
      <c r="BF1964" s="6"/>
      <c r="BG1964" s="6"/>
      <c r="BH1964" s="6"/>
      <c r="BI1964" s="6"/>
      <c r="BK1964" s="6"/>
      <c r="BL1964" s="6"/>
      <c r="BM1964" s="6"/>
      <c r="BN1964" s="6"/>
      <c r="BO1964" s="6">
        <v>0</v>
      </c>
      <c r="BP1964" s="6">
        <v>0</v>
      </c>
      <c r="BQ1964" s="6">
        <v>0</v>
      </c>
      <c r="BR1964" s="6">
        <v>0</v>
      </c>
      <c r="BS1964" s="6">
        <v>0</v>
      </c>
      <c r="BT1964" s="6">
        <v>0</v>
      </c>
      <c r="BU1964" s="6">
        <v>0</v>
      </c>
      <c r="BV1964" s="6">
        <v>0</v>
      </c>
      <c r="BW1964" s="6" t="s">
        <v>0</v>
      </c>
      <c r="BX1964" s="6">
        <v>0</v>
      </c>
      <c r="BY1964">
        <v>0</v>
      </c>
      <c r="BZ1964">
        <v>0</v>
      </c>
      <c r="CA1964">
        <v>0</v>
      </c>
      <c r="CB1964" t="s">
        <v>145</v>
      </c>
    </row>
    <row r="1965" spans="1:80" x14ac:dyDescent="0.25">
      <c r="A1965" s="6"/>
      <c r="B1965" s="6"/>
      <c r="C1965" s="6"/>
      <c r="D1965" s="6"/>
      <c r="E1965" s="6"/>
      <c r="F1965" s="6"/>
      <c r="G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  <c r="BE1965" s="6"/>
      <c r="BF1965" s="6"/>
      <c r="BG1965" s="6"/>
      <c r="BH1965" s="6"/>
      <c r="BI1965" s="6"/>
      <c r="BK1965" s="6"/>
      <c r="BL1965" s="6"/>
      <c r="BM1965" s="6"/>
      <c r="BN1965" s="6"/>
      <c r="BO1965" s="6">
        <v>0</v>
      </c>
      <c r="BP1965" s="6">
        <v>0</v>
      </c>
      <c r="BQ1965" s="6">
        <v>0</v>
      </c>
      <c r="BR1965" s="6">
        <v>0</v>
      </c>
      <c r="BS1965" s="6">
        <v>0</v>
      </c>
      <c r="BT1965" s="6">
        <v>0</v>
      </c>
      <c r="BU1965" s="6">
        <v>0</v>
      </c>
      <c r="BV1965" s="6">
        <v>0</v>
      </c>
      <c r="BW1965" s="6" t="s">
        <v>0</v>
      </c>
      <c r="BX1965" s="6">
        <v>0</v>
      </c>
      <c r="BY1965">
        <v>0</v>
      </c>
      <c r="BZ1965">
        <v>0</v>
      </c>
      <c r="CA1965">
        <v>0</v>
      </c>
      <c r="CB1965" t="s">
        <v>145</v>
      </c>
    </row>
    <row r="1966" spans="1:80" x14ac:dyDescent="0.25">
      <c r="A1966" s="6"/>
      <c r="B1966" s="6"/>
      <c r="C1966" s="6"/>
      <c r="D1966" s="6"/>
      <c r="E1966" s="6"/>
      <c r="F1966" s="6"/>
      <c r="G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  <c r="BE1966" s="6"/>
      <c r="BF1966" s="6"/>
      <c r="BG1966" s="6"/>
      <c r="BH1966" s="6"/>
      <c r="BI1966" s="6"/>
      <c r="BK1966" s="6"/>
      <c r="BL1966" s="6"/>
      <c r="BM1966" s="6"/>
      <c r="BN1966" s="6"/>
      <c r="BO1966" s="6">
        <v>0</v>
      </c>
      <c r="BP1966" s="6">
        <v>0</v>
      </c>
      <c r="BQ1966" s="6">
        <v>0</v>
      </c>
      <c r="BR1966" s="6">
        <v>0</v>
      </c>
      <c r="BS1966" s="6">
        <v>0</v>
      </c>
      <c r="BT1966" s="6">
        <v>0</v>
      </c>
      <c r="BU1966" s="6">
        <v>0</v>
      </c>
      <c r="BV1966" s="6">
        <v>0</v>
      </c>
      <c r="BW1966" s="6" t="s">
        <v>0</v>
      </c>
      <c r="BX1966" s="6">
        <v>0</v>
      </c>
      <c r="BY1966">
        <v>0</v>
      </c>
      <c r="BZ1966">
        <v>0</v>
      </c>
      <c r="CA1966">
        <v>0</v>
      </c>
      <c r="CB1966" t="s">
        <v>145</v>
      </c>
    </row>
    <row r="1967" spans="1:80" x14ac:dyDescent="0.25">
      <c r="A1967" s="6"/>
      <c r="B1967" s="6"/>
      <c r="C1967" s="6"/>
      <c r="D1967" s="6"/>
      <c r="E1967" s="6"/>
      <c r="F1967" s="6"/>
      <c r="G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  <c r="BE1967" s="6"/>
      <c r="BF1967" s="6"/>
      <c r="BG1967" s="6"/>
      <c r="BH1967" s="6"/>
      <c r="BI1967" s="6"/>
      <c r="BK1967" s="6"/>
      <c r="BL1967" s="6"/>
      <c r="BM1967" s="6"/>
      <c r="BN1967" s="6"/>
      <c r="BO1967" s="6">
        <v>0</v>
      </c>
      <c r="BP1967" s="6">
        <v>0</v>
      </c>
      <c r="BQ1967" s="6">
        <v>0</v>
      </c>
      <c r="BR1967" s="6">
        <v>0</v>
      </c>
      <c r="BS1967" s="6">
        <v>0</v>
      </c>
      <c r="BT1967" s="6">
        <v>0</v>
      </c>
      <c r="BU1967" s="6">
        <v>0</v>
      </c>
      <c r="BV1967" s="6">
        <v>0</v>
      </c>
      <c r="BW1967" s="6" t="s">
        <v>0</v>
      </c>
      <c r="BX1967" s="6">
        <v>0</v>
      </c>
      <c r="BY1967">
        <v>0</v>
      </c>
      <c r="BZ1967">
        <v>0</v>
      </c>
      <c r="CA1967">
        <v>0</v>
      </c>
      <c r="CB1967" t="s">
        <v>145</v>
      </c>
    </row>
    <row r="1968" spans="1:80" x14ac:dyDescent="0.25">
      <c r="BO1968">
        <v>0</v>
      </c>
      <c r="BP1968">
        <v>0</v>
      </c>
      <c r="BQ1968">
        <v>0</v>
      </c>
      <c r="BR1968">
        <v>0</v>
      </c>
      <c r="BS1968">
        <v>0</v>
      </c>
      <c r="BT1968">
        <v>0</v>
      </c>
      <c r="BU1968">
        <v>0</v>
      </c>
      <c r="BV1968">
        <v>0</v>
      </c>
      <c r="BW1968" t="s">
        <v>0</v>
      </c>
      <c r="BX1968">
        <v>0</v>
      </c>
      <c r="BY1968">
        <v>0</v>
      </c>
      <c r="BZ1968">
        <v>0</v>
      </c>
      <c r="CA1968">
        <v>0</v>
      </c>
      <c r="CB1968" t="s">
        <v>145</v>
      </c>
    </row>
    <row r="1969" spans="67:80" x14ac:dyDescent="0.25">
      <c r="BO1969">
        <v>0</v>
      </c>
      <c r="BP1969">
        <v>0</v>
      </c>
      <c r="BQ1969">
        <v>0</v>
      </c>
      <c r="BR1969">
        <v>0</v>
      </c>
      <c r="BS1969">
        <v>0</v>
      </c>
      <c r="BT1969">
        <v>0</v>
      </c>
      <c r="BU1969">
        <v>0</v>
      </c>
      <c r="BV1969">
        <v>0</v>
      </c>
      <c r="BW1969" t="s">
        <v>0</v>
      </c>
      <c r="BX1969">
        <v>0</v>
      </c>
      <c r="BY1969">
        <v>0</v>
      </c>
      <c r="BZ1969">
        <v>0</v>
      </c>
      <c r="CA1969">
        <v>0</v>
      </c>
      <c r="CB1969" t="s">
        <v>145</v>
      </c>
    </row>
    <row r="1970" spans="67:80" x14ac:dyDescent="0.25">
      <c r="BO1970">
        <v>0</v>
      </c>
      <c r="BP1970">
        <v>0</v>
      </c>
      <c r="BQ1970">
        <v>0</v>
      </c>
      <c r="BR1970">
        <v>0</v>
      </c>
      <c r="BS1970">
        <v>0</v>
      </c>
      <c r="BT1970">
        <v>0</v>
      </c>
      <c r="BU1970">
        <v>0</v>
      </c>
      <c r="BV1970">
        <v>0</v>
      </c>
      <c r="BW1970" t="s">
        <v>0</v>
      </c>
      <c r="BX1970">
        <v>0</v>
      </c>
      <c r="BY1970">
        <v>0</v>
      </c>
      <c r="BZ1970">
        <v>0</v>
      </c>
      <c r="CA1970">
        <v>0</v>
      </c>
      <c r="CB1970" t="s">
        <v>145</v>
      </c>
    </row>
    <row r="1971" spans="67:80" x14ac:dyDescent="0.25">
      <c r="BO1971">
        <v>0</v>
      </c>
      <c r="BP1971">
        <v>0</v>
      </c>
      <c r="BQ1971">
        <v>0</v>
      </c>
      <c r="BR1971">
        <v>0</v>
      </c>
      <c r="BS1971">
        <v>0</v>
      </c>
      <c r="BT1971">
        <v>0</v>
      </c>
      <c r="BU1971">
        <v>0</v>
      </c>
      <c r="BV1971">
        <v>0</v>
      </c>
      <c r="BW1971" t="s">
        <v>0</v>
      </c>
      <c r="BX1971">
        <v>0</v>
      </c>
      <c r="BY1971">
        <v>0</v>
      </c>
      <c r="BZ1971">
        <v>0</v>
      </c>
      <c r="CA1971">
        <v>0</v>
      </c>
      <c r="CB1971" t="s">
        <v>145</v>
      </c>
    </row>
    <row r="1972" spans="67:80" x14ac:dyDescent="0.25">
      <c r="BO1972">
        <v>0</v>
      </c>
      <c r="BP1972">
        <v>0</v>
      </c>
      <c r="BQ1972">
        <v>0</v>
      </c>
      <c r="BR1972">
        <v>0</v>
      </c>
      <c r="BS1972">
        <v>0</v>
      </c>
      <c r="BT1972">
        <v>0</v>
      </c>
      <c r="BU1972">
        <v>0</v>
      </c>
      <c r="BV1972">
        <v>0</v>
      </c>
      <c r="BW1972" t="s">
        <v>0</v>
      </c>
      <c r="BX1972">
        <v>0</v>
      </c>
      <c r="BY1972">
        <v>0</v>
      </c>
      <c r="BZ1972">
        <v>0</v>
      </c>
      <c r="CA1972">
        <v>0</v>
      </c>
      <c r="CB1972" t="s">
        <v>145</v>
      </c>
    </row>
    <row r="1973" spans="67:80" x14ac:dyDescent="0.25">
      <c r="BO1973">
        <v>0</v>
      </c>
      <c r="BP1973">
        <v>0</v>
      </c>
      <c r="BQ1973">
        <v>0</v>
      </c>
      <c r="BR1973">
        <v>0</v>
      </c>
      <c r="BS1973">
        <v>0</v>
      </c>
      <c r="BT1973">
        <v>0</v>
      </c>
      <c r="BU1973">
        <v>0</v>
      </c>
      <c r="BV1973">
        <v>0</v>
      </c>
      <c r="BW1973" t="s">
        <v>0</v>
      </c>
      <c r="BX1973">
        <v>0</v>
      </c>
      <c r="BY1973">
        <v>0</v>
      </c>
      <c r="BZ1973">
        <v>0</v>
      </c>
      <c r="CA1973">
        <v>0</v>
      </c>
      <c r="CB1973" t="s">
        <v>145</v>
      </c>
    </row>
    <row r="1974" spans="67:80" x14ac:dyDescent="0.25">
      <c r="BO1974">
        <v>0</v>
      </c>
      <c r="BP1974">
        <v>0</v>
      </c>
      <c r="BQ1974">
        <v>0</v>
      </c>
      <c r="BR1974">
        <v>0</v>
      </c>
      <c r="BS1974">
        <v>0</v>
      </c>
      <c r="BT1974">
        <v>0</v>
      </c>
      <c r="BU1974">
        <v>0</v>
      </c>
      <c r="BV1974">
        <v>0</v>
      </c>
      <c r="BW1974" t="s">
        <v>0</v>
      </c>
      <c r="BX1974">
        <v>0</v>
      </c>
      <c r="BY1974">
        <v>0</v>
      </c>
      <c r="BZ1974">
        <v>0</v>
      </c>
      <c r="CA1974">
        <v>0</v>
      </c>
      <c r="CB1974" t="s">
        <v>145</v>
      </c>
    </row>
    <row r="1975" spans="67:80" x14ac:dyDescent="0.25">
      <c r="BO1975">
        <v>0</v>
      </c>
      <c r="BP1975">
        <v>0</v>
      </c>
      <c r="BQ1975">
        <v>0</v>
      </c>
      <c r="BR1975">
        <v>0</v>
      </c>
      <c r="BS1975">
        <v>0</v>
      </c>
      <c r="BT1975">
        <v>0</v>
      </c>
      <c r="BU1975">
        <v>0</v>
      </c>
      <c r="BV1975">
        <v>0</v>
      </c>
      <c r="BW1975" t="s">
        <v>0</v>
      </c>
      <c r="BX1975">
        <v>0</v>
      </c>
      <c r="BY1975">
        <v>0</v>
      </c>
      <c r="BZ1975">
        <v>0</v>
      </c>
      <c r="CA1975">
        <v>0</v>
      </c>
      <c r="CB1975" t="s">
        <v>145</v>
      </c>
    </row>
    <row r="1976" spans="67:80" x14ac:dyDescent="0.25">
      <c r="BO1976">
        <v>0</v>
      </c>
      <c r="BP1976">
        <v>0</v>
      </c>
      <c r="BQ1976">
        <v>0</v>
      </c>
      <c r="BR1976">
        <v>0</v>
      </c>
      <c r="BS1976">
        <v>0</v>
      </c>
      <c r="BT1976">
        <v>0</v>
      </c>
      <c r="BU1976">
        <v>0</v>
      </c>
      <c r="BV1976">
        <v>0</v>
      </c>
      <c r="BW1976" t="s">
        <v>0</v>
      </c>
      <c r="BX1976">
        <v>0</v>
      </c>
      <c r="BY1976">
        <v>0</v>
      </c>
      <c r="BZ1976">
        <v>0</v>
      </c>
      <c r="CA1976">
        <v>0</v>
      </c>
      <c r="CB1976" t="s">
        <v>145</v>
      </c>
    </row>
    <row r="1977" spans="67:80" x14ac:dyDescent="0.25">
      <c r="BO1977">
        <v>0</v>
      </c>
      <c r="BP1977">
        <v>0</v>
      </c>
      <c r="BQ1977">
        <v>0</v>
      </c>
      <c r="BR1977">
        <v>0</v>
      </c>
      <c r="BS1977">
        <v>0</v>
      </c>
      <c r="BT1977">
        <v>0</v>
      </c>
      <c r="BU1977">
        <v>0</v>
      </c>
      <c r="BV1977">
        <v>0</v>
      </c>
      <c r="BW1977" t="s">
        <v>0</v>
      </c>
      <c r="BX1977">
        <v>0</v>
      </c>
      <c r="BY1977">
        <v>0</v>
      </c>
      <c r="BZ1977">
        <v>0</v>
      </c>
      <c r="CA1977">
        <v>0</v>
      </c>
      <c r="CB1977" t="s">
        <v>145</v>
      </c>
    </row>
    <row r="1978" spans="67:80" x14ac:dyDescent="0.25">
      <c r="BO1978">
        <v>0</v>
      </c>
      <c r="BP1978">
        <v>0</v>
      </c>
      <c r="BQ1978">
        <v>0</v>
      </c>
      <c r="BR1978">
        <v>0</v>
      </c>
      <c r="BS1978">
        <v>0</v>
      </c>
      <c r="BT1978">
        <v>0</v>
      </c>
      <c r="BU1978">
        <v>0</v>
      </c>
      <c r="BV1978">
        <v>0</v>
      </c>
      <c r="BW1978" t="s">
        <v>0</v>
      </c>
      <c r="BX1978">
        <v>0</v>
      </c>
      <c r="BY1978">
        <v>0</v>
      </c>
      <c r="BZ1978">
        <v>0</v>
      </c>
      <c r="CA1978">
        <v>0</v>
      </c>
      <c r="CB1978" t="s">
        <v>145</v>
      </c>
    </row>
    <row r="1979" spans="67:80" x14ac:dyDescent="0.25">
      <c r="BO1979">
        <v>0</v>
      </c>
      <c r="BP1979">
        <v>0</v>
      </c>
      <c r="BQ1979">
        <v>0</v>
      </c>
      <c r="BR1979">
        <v>0</v>
      </c>
      <c r="BS1979">
        <v>0</v>
      </c>
      <c r="BT1979">
        <v>0</v>
      </c>
      <c r="BU1979">
        <v>0</v>
      </c>
      <c r="BV1979">
        <v>0</v>
      </c>
      <c r="BW1979" t="s">
        <v>0</v>
      </c>
      <c r="BX1979">
        <v>0</v>
      </c>
      <c r="BY1979">
        <v>0</v>
      </c>
      <c r="BZ1979">
        <v>0</v>
      </c>
      <c r="CA1979">
        <v>0</v>
      </c>
      <c r="CB1979" t="s">
        <v>145</v>
      </c>
    </row>
    <row r="1980" spans="67:80" x14ac:dyDescent="0.25">
      <c r="BO1980">
        <v>0</v>
      </c>
      <c r="BP1980">
        <v>0</v>
      </c>
      <c r="BQ1980">
        <v>0</v>
      </c>
      <c r="BR1980">
        <v>0</v>
      </c>
      <c r="BS1980">
        <v>0</v>
      </c>
      <c r="BT1980">
        <v>0</v>
      </c>
      <c r="BU1980">
        <v>0</v>
      </c>
      <c r="BV1980">
        <v>0</v>
      </c>
      <c r="BW1980" t="s">
        <v>0</v>
      </c>
      <c r="BX1980">
        <v>0</v>
      </c>
      <c r="BY1980">
        <v>0</v>
      </c>
      <c r="BZ1980">
        <v>0</v>
      </c>
      <c r="CA1980">
        <v>0</v>
      </c>
      <c r="CB1980" t="s">
        <v>145</v>
      </c>
    </row>
    <row r="1981" spans="67:80" x14ac:dyDescent="0.25">
      <c r="BO1981">
        <v>0</v>
      </c>
      <c r="BP1981">
        <v>0</v>
      </c>
      <c r="BQ1981">
        <v>0</v>
      </c>
      <c r="BR1981">
        <v>0</v>
      </c>
      <c r="BS1981">
        <v>0</v>
      </c>
      <c r="BT1981">
        <v>0</v>
      </c>
      <c r="BU1981">
        <v>0</v>
      </c>
      <c r="BV1981">
        <v>0</v>
      </c>
      <c r="BW1981" t="s">
        <v>0</v>
      </c>
      <c r="BX1981">
        <v>0</v>
      </c>
      <c r="BY1981">
        <v>0</v>
      </c>
      <c r="BZ1981">
        <v>0</v>
      </c>
      <c r="CA1981">
        <v>0</v>
      </c>
      <c r="CB1981" t="s">
        <v>145</v>
      </c>
    </row>
    <row r="1982" spans="67:80" x14ac:dyDescent="0.25">
      <c r="BO1982">
        <v>0</v>
      </c>
      <c r="BP1982">
        <v>0</v>
      </c>
      <c r="BQ1982">
        <v>0</v>
      </c>
      <c r="BR1982">
        <v>0</v>
      </c>
      <c r="BS1982">
        <v>0</v>
      </c>
      <c r="BT1982">
        <v>0</v>
      </c>
      <c r="BU1982">
        <v>0</v>
      </c>
      <c r="BV1982">
        <v>0</v>
      </c>
      <c r="BW1982" t="s">
        <v>0</v>
      </c>
      <c r="BX1982">
        <v>0</v>
      </c>
      <c r="BY1982">
        <v>0</v>
      </c>
      <c r="BZ1982">
        <v>0</v>
      </c>
      <c r="CA1982">
        <v>0</v>
      </c>
      <c r="CB1982" t="s">
        <v>145</v>
      </c>
    </row>
    <row r="1983" spans="67:80" x14ac:dyDescent="0.25">
      <c r="BO1983">
        <v>0</v>
      </c>
      <c r="BP1983">
        <v>0</v>
      </c>
      <c r="BQ1983">
        <v>0</v>
      </c>
      <c r="BR1983">
        <v>0</v>
      </c>
      <c r="BS1983">
        <v>0</v>
      </c>
      <c r="BT1983">
        <v>0</v>
      </c>
      <c r="BU1983">
        <v>0</v>
      </c>
      <c r="BV1983">
        <v>0</v>
      </c>
      <c r="BW1983" t="s">
        <v>0</v>
      </c>
      <c r="BX1983">
        <v>0</v>
      </c>
      <c r="BY1983">
        <v>0</v>
      </c>
      <c r="BZ1983">
        <v>0</v>
      </c>
      <c r="CA1983">
        <v>0</v>
      </c>
      <c r="CB1983" t="s">
        <v>145</v>
      </c>
    </row>
    <row r="1984" spans="67:80" x14ac:dyDescent="0.25">
      <c r="BO1984">
        <v>0</v>
      </c>
      <c r="BP1984">
        <v>0</v>
      </c>
      <c r="BQ1984">
        <v>0</v>
      </c>
      <c r="BR1984">
        <v>0</v>
      </c>
      <c r="BS1984">
        <v>0</v>
      </c>
      <c r="BT1984">
        <v>0</v>
      </c>
      <c r="BU1984">
        <v>0</v>
      </c>
      <c r="BV1984">
        <v>0</v>
      </c>
      <c r="BW1984" t="s">
        <v>0</v>
      </c>
      <c r="BX1984">
        <v>0</v>
      </c>
      <c r="BY1984">
        <v>0</v>
      </c>
      <c r="BZ1984">
        <v>0</v>
      </c>
      <c r="CA1984">
        <v>0</v>
      </c>
      <c r="CB1984" t="s">
        <v>145</v>
      </c>
    </row>
    <row r="1985" spans="67:80" x14ac:dyDescent="0.25">
      <c r="BO1985">
        <v>0</v>
      </c>
      <c r="BP1985">
        <v>0</v>
      </c>
      <c r="BQ1985">
        <v>0</v>
      </c>
      <c r="BR1985">
        <v>0</v>
      </c>
      <c r="BS1985">
        <v>0</v>
      </c>
      <c r="BT1985">
        <v>0</v>
      </c>
      <c r="BU1985">
        <v>0</v>
      </c>
      <c r="BV1985">
        <v>0</v>
      </c>
      <c r="BW1985" t="s">
        <v>0</v>
      </c>
      <c r="BX1985">
        <v>0</v>
      </c>
      <c r="BY1985">
        <v>0</v>
      </c>
      <c r="BZ1985">
        <v>0</v>
      </c>
      <c r="CA1985">
        <v>0</v>
      </c>
      <c r="CB1985" t="s">
        <v>145</v>
      </c>
    </row>
    <row r="1986" spans="67:80" x14ac:dyDescent="0.25">
      <c r="BO1986">
        <v>0</v>
      </c>
      <c r="BP1986">
        <v>0</v>
      </c>
      <c r="BQ1986">
        <v>0</v>
      </c>
      <c r="BR1986">
        <v>0</v>
      </c>
      <c r="BS1986">
        <v>0</v>
      </c>
      <c r="BT1986">
        <v>0</v>
      </c>
      <c r="BU1986">
        <v>0</v>
      </c>
      <c r="BV1986">
        <v>0</v>
      </c>
      <c r="BW1986" t="s">
        <v>0</v>
      </c>
      <c r="BX1986">
        <v>0</v>
      </c>
      <c r="BY1986">
        <v>0</v>
      </c>
      <c r="BZ1986">
        <v>0</v>
      </c>
      <c r="CA1986">
        <v>0</v>
      </c>
      <c r="CB1986" t="s">
        <v>145</v>
      </c>
    </row>
    <row r="1987" spans="67:80" x14ac:dyDescent="0.25">
      <c r="BO1987">
        <v>0</v>
      </c>
      <c r="BP1987">
        <v>0</v>
      </c>
      <c r="BQ1987">
        <v>0</v>
      </c>
      <c r="BR1987">
        <v>0</v>
      </c>
      <c r="BS1987">
        <v>0</v>
      </c>
      <c r="BT1987">
        <v>0</v>
      </c>
      <c r="BU1987">
        <v>0</v>
      </c>
      <c r="BV1987">
        <v>0</v>
      </c>
      <c r="BW1987" t="s">
        <v>0</v>
      </c>
      <c r="BX1987">
        <v>0</v>
      </c>
      <c r="BY1987">
        <v>0</v>
      </c>
      <c r="BZ1987">
        <v>0</v>
      </c>
      <c r="CA1987">
        <v>0</v>
      </c>
      <c r="CB1987" t="s">
        <v>145</v>
      </c>
    </row>
    <row r="1988" spans="67:80" x14ac:dyDescent="0.25">
      <c r="BO1988">
        <v>0</v>
      </c>
      <c r="BP1988">
        <v>0</v>
      </c>
      <c r="BQ1988">
        <v>0</v>
      </c>
      <c r="BR1988">
        <v>0</v>
      </c>
      <c r="BS1988">
        <v>0</v>
      </c>
      <c r="BT1988">
        <v>0</v>
      </c>
      <c r="BU1988">
        <v>0</v>
      </c>
      <c r="BV1988">
        <v>0</v>
      </c>
      <c r="BW1988" t="s">
        <v>0</v>
      </c>
      <c r="BX1988">
        <v>0</v>
      </c>
      <c r="BY1988">
        <v>0</v>
      </c>
      <c r="BZ1988">
        <v>0</v>
      </c>
      <c r="CA1988">
        <v>0</v>
      </c>
      <c r="CB1988" t="s">
        <v>145</v>
      </c>
    </row>
    <row r="1989" spans="67:80" x14ac:dyDescent="0.25">
      <c r="BO1989">
        <v>0</v>
      </c>
      <c r="BP1989">
        <v>0</v>
      </c>
      <c r="BQ1989">
        <v>0</v>
      </c>
      <c r="BR1989">
        <v>0</v>
      </c>
      <c r="BS1989">
        <v>0</v>
      </c>
      <c r="BT1989">
        <v>0</v>
      </c>
      <c r="BU1989">
        <v>0</v>
      </c>
      <c r="BV1989">
        <v>0</v>
      </c>
      <c r="BW1989" t="s">
        <v>0</v>
      </c>
      <c r="BX1989">
        <v>0</v>
      </c>
      <c r="BY1989">
        <v>0</v>
      </c>
      <c r="BZ1989">
        <v>0</v>
      </c>
      <c r="CA1989">
        <v>0</v>
      </c>
      <c r="CB1989" t="s">
        <v>145</v>
      </c>
    </row>
    <row r="1990" spans="67:80" x14ac:dyDescent="0.25">
      <c r="BO1990">
        <v>0</v>
      </c>
      <c r="BP1990">
        <v>0</v>
      </c>
      <c r="BQ1990">
        <v>0</v>
      </c>
      <c r="BR1990">
        <v>0</v>
      </c>
      <c r="BS1990">
        <v>0</v>
      </c>
      <c r="BT1990">
        <v>0</v>
      </c>
      <c r="BU1990">
        <v>0</v>
      </c>
      <c r="BV1990">
        <v>0</v>
      </c>
      <c r="BW1990" t="s">
        <v>0</v>
      </c>
      <c r="BX1990">
        <v>0</v>
      </c>
      <c r="BY1990">
        <v>0</v>
      </c>
      <c r="BZ1990">
        <v>0</v>
      </c>
      <c r="CA1990">
        <v>0</v>
      </c>
      <c r="CB1990" t="s">
        <v>145</v>
      </c>
    </row>
    <row r="1991" spans="67:80" x14ac:dyDescent="0.25">
      <c r="BO1991">
        <v>0</v>
      </c>
      <c r="BP1991">
        <v>0</v>
      </c>
      <c r="BQ1991">
        <v>0</v>
      </c>
      <c r="BR1991">
        <v>0</v>
      </c>
      <c r="BS1991">
        <v>0</v>
      </c>
      <c r="BT1991">
        <v>0</v>
      </c>
      <c r="BU1991">
        <v>0</v>
      </c>
      <c r="BV1991">
        <v>0</v>
      </c>
      <c r="BW1991" t="s">
        <v>0</v>
      </c>
      <c r="BX1991">
        <v>0</v>
      </c>
      <c r="BY1991">
        <v>0</v>
      </c>
      <c r="BZ1991">
        <v>0</v>
      </c>
      <c r="CA1991">
        <v>0</v>
      </c>
      <c r="CB1991" t="s">
        <v>145</v>
      </c>
    </row>
    <row r="1992" spans="67:80" x14ac:dyDescent="0.25">
      <c r="BO1992">
        <v>0</v>
      </c>
      <c r="BP1992">
        <v>0</v>
      </c>
      <c r="BQ1992">
        <v>0</v>
      </c>
      <c r="BR1992">
        <v>0</v>
      </c>
      <c r="BS1992">
        <v>0</v>
      </c>
      <c r="BT1992">
        <v>0</v>
      </c>
      <c r="BU1992">
        <v>0</v>
      </c>
      <c r="BV1992">
        <v>0</v>
      </c>
      <c r="BW1992" t="s">
        <v>0</v>
      </c>
      <c r="BX1992">
        <v>0</v>
      </c>
      <c r="BY1992">
        <v>0</v>
      </c>
      <c r="BZ1992">
        <v>0</v>
      </c>
      <c r="CA1992">
        <v>0</v>
      </c>
      <c r="CB1992" t="s">
        <v>145</v>
      </c>
    </row>
    <row r="1993" spans="67:80" x14ac:dyDescent="0.25">
      <c r="BO1993">
        <v>0</v>
      </c>
      <c r="BP1993">
        <v>0</v>
      </c>
      <c r="BQ1993">
        <v>0</v>
      </c>
      <c r="BR1993">
        <v>0</v>
      </c>
      <c r="BS1993">
        <v>0</v>
      </c>
      <c r="BT1993">
        <v>0</v>
      </c>
      <c r="BU1993">
        <v>0</v>
      </c>
      <c r="BV1993">
        <v>0</v>
      </c>
      <c r="BW1993" t="s">
        <v>0</v>
      </c>
      <c r="BX1993">
        <v>0</v>
      </c>
      <c r="BY1993">
        <v>0</v>
      </c>
      <c r="BZ1993">
        <v>0</v>
      </c>
      <c r="CA1993">
        <v>0</v>
      </c>
      <c r="CB1993" t="s">
        <v>145</v>
      </c>
    </row>
    <row r="1994" spans="67:80" x14ac:dyDescent="0.25">
      <c r="BO1994">
        <v>0</v>
      </c>
      <c r="BP1994">
        <v>0</v>
      </c>
      <c r="BQ1994">
        <v>0</v>
      </c>
      <c r="BR1994">
        <v>0</v>
      </c>
      <c r="BS1994">
        <v>0</v>
      </c>
      <c r="BT1994">
        <v>0</v>
      </c>
      <c r="BU1994">
        <v>0</v>
      </c>
      <c r="BV1994">
        <v>0</v>
      </c>
      <c r="BW1994" t="s">
        <v>0</v>
      </c>
      <c r="BX1994">
        <v>0</v>
      </c>
      <c r="BY1994">
        <v>0</v>
      </c>
      <c r="BZ1994">
        <v>0</v>
      </c>
      <c r="CA1994">
        <v>0</v>
      </c>
      <c r="CB1994" t="s">
        <v>145</v>
      </c>
    </row>
    <row r="1995" spans="67:80" x14ac:dyDescent="0.25">
      <c r="BO1995">
        <v>0</v>
      </c>
      <c r="BP1995">
        <v>0</v>
      </c>
      <c r="BQ1995">
        <v>0</v>
      </c>
      <c r="BR1995">
        <v>0</v>
      </c>
      <c r="BS1995">
        <v>0</v>
      </c>
      <c r="BT1995">
        <v>0</v>
      </c>
      <c r="BU1995">
        <v>0</v>
      </c>
      <c r="BV1995">
        <v>0</v>
      </c>
      <c r="BW1995" t="s">
        <v>0</v>
      </c>
      <c r="BX1995">
        <v>0</v>
      </c>
      <c r="BY1995">
        <v>0</v>
      </c>
      <c r="BZ1995">
        <v>0</v>
      </c>
      <c r="CA1995">
        <v>0</v>
      </c>
      <c r="CB1995" t="s">
        <v>145</v>
      </c>
    </row>
    <row r="1996" spans="67:80" x14ac:dyDescent="0.25">
      <c r="BO1996">
        <v>0</v>
      </c>
      <c r="BP1996">
        <v>0</v>
      </c>
      <c r="BQ1996">
        <v>0</v>
      </c>
      <c r="BR1996">
        <v>0</v>
      </c>
      <c r="BS1996">
        <v>0</v>
      </c>
      <c r="BT1996">
        <v>0</v>
      </c>
      <c r="BU1996">
        <v>0</v>
      </c>
      <c r="BV1996">
        <v>0</v>
      </c>
      <c r="BW1996" t="s">
        <v>0</v>
      </c>
      <c r="BX1996">
        <v>0</v>
      </c>
      <c r="BY1996">
        <v>0</v>
      </c>
      <c r="BZ1996">
        <v>0</v>
      </c>
      <c r="CA1996">
        <v>0</v>
      </c>
      <c r="CB1996" t="s">
        <v>145</v>
      </c>
    </row>
    <row r="1997" spans="67:80" x14ac:dyDescent="0.25">
      <c r="BO1997">
        <v>0</v>
      </c>
      <c r="BP1997">
        <v>0</v>
      </c>
      <c r="BQ1997">
        <v>0</v>
      </c>
      <c r="BR1997">
        <v>0</v>
      </c>
      <c r="BS1997">
        <v>0</v>
      </c>
      <c r="BT1997">
        <v>0</v>
      </c>
      <c r="BU1997">
        <v>0</v>
      </c>
      <c r="BV1997">
        <v>0</v>
      </c>
      <c r="BW1997" t="s">
        <v>0</v>
      </c>
      <c r="BX1997">
        <v>0</v>
      </c>
      <c r="BY1997">
        <v>0</v>
      </c>
      <c r="BZ1997">
        <v>0</v>
      </c>
      <c r="CA1997">
        <v>0</v>
      </c>
      <c r="CB1997" t="s">
        <v>145</v>
      </c>
    </row>
    <row r="1998" spans="67:80" x14ac:dyDescent="0.25">
      <c r="BO1998">
        <v>0</v>
      </c>
      <c r="BP1998">
        <v>0</v>
      </c>
      <c r="BQ1998">
        <v>0</v>
      </c>
      <c r="BR1998">
        <v>0</v>
      </c>
      <c r="BS1998">
        <v>0</v>
      </c>
      <c r="BT1998">
        <v>0</v>
      </c>
      <c r="BU1998">
        <v>0</v>
      </c>
      <c r="BV1998">
        <v>0</v>
      </c>
      <c r="BW1998" t="s">
        <v>0</v>
      </c>
      <c r="BX1998">
        <v>0</v>
      </c>
      <c r="BY1998">
        <v>0</v>
      </c>
      <c r="BZ1998">
        <v>0</v>
      </c>
      <c r="CA1998">
        <v>0</v>
      </c>
      <c r="CB1998" t="s">
        <v>145</v>
      </c>
    </row>
    <row r="1999" spans="67:80" x14ac:dyDescent="0.25">
      <c r="BO1999">
        <v>0</v>
      </c>
      <c r="BP1999">
        <v>0</v>
      </c>
      <c r="BQ1999">
        <v>0</v>
      </c>
      <c r="BR1999">
        <v>0</v>
      </c>
      <c r="BS1999">
        <v>0</v>
      </c>
      <c r="BT1999">
        <v>0</v>
      </c>
      <c r="BU1999">
        <v>0</v>
      </c>
      <c r="BV1999">
        <v>0</v>
      </c>
      <c r="BW1999" t="s">
        <v>0</v>
      </c>
      <c r="BX1999">
        <v>0</v>
      </c>
      <c r="BY1999">
        <v>0</v>
      </c>
      <c r="BZ1999">
        <v>0</v>
      </c>
      <c r="CA1999">
        <v>0</v>
      </c>
      <c r="CB1999" t="s">
        <v>145</v>
      </c>
    </row>
    <row r="2000" spans="67:80" x14ac:dyDescent="0.25">
      <c r="BO2000">
        <v>0</v>
      </c>
      <c r="BP2000">
        <v>0</v>
      </c>
      <c r="BQ2000">
        <v>0</v>
      </c>
      <c r="BR2000">
        <v>0</v>
      </c>
      <c r="BS2000">
        <v>0</v>
      </c>
      <c r="BT2000">
        <v>0</v>
      </c>
      <c r="BU2000">
        <v>0</v>
      </c>
      <c r="BV2000">
        <v>0</v>
      </c>
      <c r="BW2000" t="s">
        <v>0</v>
      </c>
      <c r="BX2000">
        <v>0</v>
      </c>
      <c r="BY2000">
        <v>0</v>
      </c>
      <c r="BZ2000">
        <v>0</v>
      </c>
      <c r="CA2000">
        <v>0</v>
      </c>
      <c r="CB2000" t="s">
        <v>145</v>
      </c>
    </row>
    <row r="2001" spans="67:80" x14ac:dyDescent="0.25">
      <c r="BO2001">
        <v>0</v>
      </c>
      <c r="BP2001">
        <v>0</v>
      </c>
      <c r="BQ2001">
        <v>0</v>
      </c>
      <c r="BR2001">
        <v>0</v>
      </c>
      <c r="BS2001">
        <v>0</v>
      </c>
      <c r="BT2001">
        <v>0</v>
      </c>
      <c r="BU2001">
        <v>0</v>
      </c>
      <c r="BV2001">
        <v>0</v>
      </c>
      <c r="BW2001" t="s">
        <v>0</v>
      </c>
      <c r="BX2001">
        <v>0</v>
      </c>
      <c r="BY2001">
        <v>0</v>
      </c>
      <c r="BZ2001">
        <v>0</v>
      </c>
      <c r="CA2001">
        <v>0</v>
      </c>
      <c r="CB2001" t="s">
        <v>145</v>
      </c>
    </row>
    <row r="2002" spans="67:80" x14ac:dyDescent="0.25">
      <c r="BO2002">
        <v>0</v>
      </c>
      <c r="BP2002">
        <v>0</v>
      </c>
      <c r="BQ2002">
        <v>0</v>
      </c>
      <c r="BR2002">
        <v>0</v>
      </c>
      <c r="BS2002">
        <v>0</v>
      </c>
      <c r="BT2002">
        <v>0</v>
      </c>
      <c r="BU2002">
        <v>0</v>
      </c>
      <c r="BV2002">
        <v>0</v>
      </c>
      <c r="BW2002" t="s">
        <v>0</v>
      </c>
      <c r="BX2002">
        <v>0</v>
      </c>
      <c r="BY2002">
        <v>0</v>
      </c>
      <c r="BZ2002">
        <v>0</v>
      </c>
      <c r="CA2002">
        <v>0</v>
      </c>
      <c r="CB2002" t="s">
        <v>145</v>
      </c>
    </row>
    <row r="2003" spans="67:80" x14ac:dyDescent="0.25">
      <c r="BO2003">
        <v>0</v>
      </c>
      <c r="BP2003">
        <v>0</v>
      </c>
      <c r="BQ2003">
        <v>0</v>
      </c>
      <c r="BR2003">
        <v>0</v>
      </c>
      <c r="BS2003">
        <v>0</v>
      </c>
      <c r="BT2003">
        <v>0</v>
      </c>
      <c r="BU2003">
        <v>0</v>
      </c>
      <c r="BV2003">
        <v>0</v>
      </c>
      <c r="BW2003" t="s">
        <v>0</v>
      </c>
      <c r="BX2003">
        <v>0</v>
      </c>
      <c r="BY2003">
        <v>0</v>
      </c>
      <c r="BZ2003">
        <v>0</v>
      </c>
      <c r="CA2003">
        <v>0</v>
      </c>
      <c r="CB2003" t="s">
        <v>145</v>
      </c>
    </row>
    <row r="2004" spans="67:80" x14ac:dyDescent="0.25">
      <c r="BO2004">
        <v>0</v>
      </c>
      <c r="BP2004">
        <v>0</v>
      </c>
      <c r="BQ2004">
        <v>0</v>
      </c>
      <c r="BR2004">
        <v>0</v>
      </c>
      <c r="BS2004">
        <v>0</v>
      </c>
      <c r="BT2004">
        <v>0</v>
      </c>
      <c r="BU2004">
        <v>0</v>
      </c>
      <c r="BV2004">
        <v>0</v>
      </c>
      <c r="BW2004" t="s">
        <v>0</v>
      </c>
      <c r="BX2004">
        <v>0</v>
      </c>
      <c r="BY2004">
        <v>0</v>
      </c>
      <c r="BZ2004">
        <v>0</v>
      </c>
      <c r="CA2004">
        <v>0</v>
      </c>
      <c r="CB2004" t="s">
        <v>145</v>
      </c>
    </row>
    <row r="2005" spans="67:80" x14ac:dyDescent="0.25">
      <c r="BO2005">
        <v>0</v>
      </c>
      <c r="BP2005">
        <v>0</v>
      </c>
      <c r="BQ2005">
        <v>0</v>
      </c>
      <c r="BR2005">
        <v>0</v>
      </c>
      <c r="BS2005">
        <v>0</v>
      </c>
      <c r="BT2005">
        <v>0</v>
      </c>
      <c r="BU2005">
        <v>0</v>
      </c>
      <c r="BV2005">
        <v>0</v>
      </c>
      <c r="BW2005" t="s">
        <v>0</v>
      </c>
      <c r="BX2005">
        <v>0</v>
      </c>
      <c r="BY2005">
        <v>0</v>
      </c>
      <c r="BZ2005">
        <v>0</v>
      </c>
      <c r="CA2005">
        <v>0</v>
      </c>
      <c r="CB2005" t="s">
        <v>145</v>
      </c>
    </row>
    <row r="2006" spans="67:80" x14ac:dyDescent="0.25">
      <c r="BO2006">
        <v>0</v>
      </c>
      <c r="BP2006">
        <v>0</v>
      </c>
      <c r="BQ2006">
        <v>0</v>
      </c>
      <c r="BR2006">
        <v>0</v>
      </c>
      <c r="BS2006">
        <v>0</v>
      </c>
      <c r="BT2006">
        <v>0</v>
      </c>
      <c r="BU2006">
        <v>0</v>
      </c>
      <c r="BV2006">
        <v>0</v>
      </c>
      <c r="BW2006" t="s">
        <v>0</v>
      </c>
      <c r="BX2006">
        <v>0</v>
      </c>
      <c r="BY2006">
        <v>0</v>
      </c>
      <c r="BZ2006">
        <v>0</v>
      </c>
      <c r="CA2006">
        <v>0</v>
      </c>
      <c r="CB2006" t="s">
        <v>145</v>
      </c>
    </row>
    <row r="2007" spans="67:80" x14ac:dyDescent="0.25">
      <c r="BO2007">
        <v>0</v>
      </c>
      <c r="BP2007">
        <v>0</v>
      </c>
      <c r="BQ2007">
        <v>0</v>
      </c>
      <c r="BR2007">
        <v>0</v>
      </c>
      <c r="BS2007">
        <v>0</v>
      </c>
      <c r="BT2007">
        <v>0</v>
      </c>
      <c r="BU2007">
        <v>0</v>
      </c>
      <c r="BV2007">
        <v>0</v>
      </c>
      <c r="BW2007" t="s">
        <v>0</v>
      </c>
      <c r="BX2007">
        <v>0</v>
      </c>
      <c r="BY2007">
        <v>0</v>
      </c>
      <c r="BZ2007">
        <v>0</v>
      </c>
      <c r="CA2007">
        <v>0</v>
      </c>
      <c r="CB2007" t="s">
        <v>145</v>
      </c>
    </row>
    <row r="2008" spans="67:80" x14ac:dyDescent="0.25">
      <c r="BO2008">
        <v>0</v>
      </c>
      <c r="BP2008">
        <v>0</v>
      </c>
      <c r="BQ2008">
        <v>0</v>
      </c>
      <c r="BR2008">
        <v>0</v>
      </c>
      <c r="BS2008">
        <v>0</v>
      </c>
      <c r="BT2008">
        <v>0</v>
      </c>
      <c r="BU2008">
        <v>0</v>
      </c>
      <c r="BV2008">
        <v>0</v>
      </c>
      <c r="BW2008" t="s">
        <v>0</v>
      </c>
      <c r="BX2008">
        <v>0</v>
      </c>
      <c r="BY2008">
        <v>0</v>
      </c>
      <c r="BZ2008">
        <v>0</v>
      </c>
      <c r="CA2008">
        <v>0</v>
      </c>
      <c r="CB2008" t="s">
        <v>145</v>
      </c>
    </row>
    <row r="2009" spans="67:80" x14ac:dyDescent="0.25">
      <c r="BO2009">
        <v>0</v>
      </c>
      <c r="BP2009">
        <v>0</v>
      </c>
      <c r="BQ2009">
        <v>0</v>
      </c>
      <c r="BR2009">
        <v>0</v>
      </c>
      <c r="BS2009">
        <v>0</v>
      </c>
      <c r="BT2009">
        <v>0</v>
      </c>
      <c r="BU2009">
        <v>0</v>
      </c>
      <c r="BV2009">
        <v>0</v>
      </c>
      <c r="BW2009" t="s">
        <v>0</v>
      </c>
      <c r="BX2009">
        <v>0</v>
      </c>
      <c r="BY2009">
        <v>0</v>
      </c>
      <c r="BZ2009">
        <v>0</v>
      </c>
      <c r="CA2009">
        <v>0</v>
      </c>
      <c r="CB2009" t="s">
        <v>145</v>
      </c>
    </row>
    <row r="2010" spans="67:80" x14ac:dyDescent="0.25">
      <c r="BO2010">
        <v>0</v>
      </c>
      <c r="BP2010">
        <v>0</v>
      </c>
      <c r="BQ2010">
        <v>0</v>
      </c>
      <c r="BR2010">
        <v>0</v>
      </c>
      <c r="BS2010">
        <v>0</v>
      </c>
      <c r="BT2010">
        <v>0</v>
      </c>
      <c r="BU2010">
        <v>0</v>
      </c>
      <c r="BV2010">
        <v>0</v>
      </c>
      <c r="BW2010" t="s">
        <v>0</v>
      </c>
      <c r="BX2010">
        <v>0</v>
      </c>
      <c r="BY2010">
        <v>0</v>
      </c>
      <c r="BZ2010">
        <v>0</v>
      </c>
      <c r="CA2010">
        <v>0</v>
      </c>
      <c r="CB2010" t="s">
        <v>145</v>
      </c>
    </row>
    <row r="2011" spans="67:80" x14ac:dyDescent="0.25">
      <c r="BO2011">
        <v>0</v>
      </c>
      <c r="BP2011">
        <v>0</v>
      </c>
      <c r="BQ2011">
        <v>0</v>
      </c>
      <c r="BR2011">
        <v>0</v>
      </c>
      <c r="BS2011">
        <v>0</v>
      </c>
      <c r="BT2011">
        <v>0</v>
      </c>
      <c r="BU2011">
        <v>0</v>
      </c>
      <c r="BV2011">
        <v>0</v>
      </c>
      <c r="BW2011" t="s">
        <v>0</v>
      </c>
      <c r="BX2011">
        <v>0</v>
      </c>
      <c r="BY2011">
        <v>0</v>
      </c>
      <c r="BZ2011">
        <v>0</v>
      </c>
      <c r="CA2011">
        <v>0</v>
      </c>
      <c r="CB2011" t="s">
        <v>145</v>
      </c>
    </row>
    <row r="2012" spans="67:80" x14ac:dyDescent="0.25">
      <c r="BO2012">
        <v>0</v>
      </c>
      <c r="BP2012">
        <v>0</v>
      </c>
      <c r="BQ2012">
        <v>0</v>
      </c>
      <c r="BR2012">
        <v>0</v>
      </c>
      <c r="BS2012">
        <v>0</v>
      </c>
      <c r="BT2012">
        <v>0</v>
      </c>
      <c r="BU2012">
        <v>0</v>
      </c>
      <c r="BV2012">
        <v>0</v>
      </c>
      <c r="BW2012" t="s">
        <v>0</v>
      </c>
      <c r="BX2012">
        <v>0</v>
      </c>
      <c r="BY2012">
        <v>0</v>
      </c>
      <c r="BZ2012">
        <v>0</v>
      </c>
      <c r="CA2012">
        <v>0</v>
      </c>
      <c r="CB2012" t="s">
        <v>145</v>
      </c>
    </row>
    <row r="2013" spans="67:80" x14ac:dyDescent="0.25">
      <c r="BO2013">
        <v>0</v>
      </c>
      <c r="BP2013">
        <v>0</v>
      </c>
      <c r="BQ2013">
        <v>0</v>
      </c>
      <c r="BR2013">
        <v>0</v>
      </c>
      <c r="BS2013">
        <v>0</v>
      </c>
      <c r="BT2013">
        <v>0</v>
      </c>
      <c r="BU2013">
        <v>0</v>
      </c>
      <c r="BV2013">
        <v>0</v>
      </c>
      <c r="BW2013" t="s">
        <v>0</v>
      </c>
      <c r="BX2013">
        <v>0</v>
      </c>
      <c r="BY2013">
        <v>0</v>
      </c>
      <c r="BZ2013">
        <v>0</v>
      </c>
      <c r="CA2013">
        <v>0</v>
      </c>
      <c r="CB2013" t="s">
        <v>145</v>
      </c>
    </row>
    <row r="2014" spans="67:80" x14ac:dyDescent="0.25">
      <c r="BO2014">
        <v>0</v>
      </c>
      <c r="BP2014">
        <v>0</v>
      </c>
      <c r="BQ2014">
        <v>0</v>
      </c>
      <c r="BR2014">
        <v>0</v>
      </c>
      <c r="BS2014">
        <v>0</v>
      </c>
      <c r="BT2014">
        <v>0</v>
      </c>
      <c r="BU2014">
        <v>0</v>
      </c>
      <c r="BV2014">
        <v>0</v>
      </c>
      <c r="BW2014" t="s">
        <v>0</v>
      </c>
      <c r="BX2014">
        <v>0</v>
      </c>
      <c r="BY2014">
        <v>0</v>
      </c>
      <c r="BZ2014">
        <v>0</v>
      </c>
      <c r="CA2014">
        <v>0</v>
      </c>
      <c r="CB2014" t="s">
        <v>145</v>
      </c>
    </row>
    <row r="2015" spans="67:80" x14ac:dyDescent="0.25">
      <c r="BO2015">
        <v>0</v>
      </c>
      <c r="BP2015">
        <v>0</v>
      </c>
      <c r="BQ2015">
        <v>0</v>
      </c>
      <c r="BR2015">
        <v>0</v>
      </c>
      <c r="BS2015">
        <v>0</v>
      </c>
      <c r="BT2015">
        <v>0</v>
      </c>
      <c r="BU2015">
        <v>0</v>
      </c>
      <c r="BV2015">
        <v>0</v>
      </c>
      <c r="BW2015" t="s">
        <v>0</v>
      </c>
      <c r="BX2015">
        <v>0</v>
      </c>
      <c r="BY2015">
        <v>0</v>
      </c>
      <c r="BZ2015">
        <v>0</v>
      </c>
      <c r="CA2015">
        <v>0</v>
      </c>
      <c r="CB2015" t="s">
        <v>145</v>
      </c>
    </row>
    <row r="2016" spans="67:80" x14ac:dyDescent="0.25">
      <c r="BO2016">
        <v>0</v>
      </c>
      <c r="BP2016">
        <v>0</v>
      </c>
      <c r="BQ2016">
        <v>0</v>
      </c>
      <c r="BR2016">
        <v>0</v>
      </c>
      <c r="BS2016">
        <v>0</v>
      </c>
      <c r="BT2016">
        <v>0</v>
      </c>
      <c r="BU2016">
        <v>0</v>
      </c>
      <c r="BV2016">
        <v>0</v>
      </c>
      <c r="BW2016" t="s">
        <v>0</v>
      </c>
      <c r="BX2016">
        <v>0</v>
      </c>
      <c r="BY2016">
        <v>0</v>
      </c>
      <c r="BZ2016">
        <v>0</v>
      </c>
      <c r="CA2016">
        <v>0</v>
      </c>
      <c r="CB2016" t="s">
        <v>145</v>
      </c>
    </row>
    <row r="2017" spans="32:80" x14ac:dyDescent="0.25">
      <c r="BO2017">
        <v>0</v>
      </c>
      <c r="BP2017">
        <v>0</v>
      </c>
      <c r="BQ2017">
        <v>0</v>
      </c>
      <c r="BR2017">
        <v>0</v>
      </c>
      <c r="BS2017">
        <v>0</v>
      </c>
      <c r="BT2017">
        <v>0</v>
      </c>
      <c r="BU2017">
        <v>0</v>
      </c>
      <c r="BV2017">
        <v>0</v>
      </c>
      <c r="BW2017" t="s">
        <v>0</v>
      </c>
      <c r="BX2017">
        <v>0</v>
      </c>
      <c r="BY2017">
        <v>0</v>
      </c>
      <c r="BZ2017">
        <v>0</v>
      </c>
      <c r="CA2017">
        <v>0</v>
      </c>
      <c r="CB2017" t="s">
        <v>145</v>
      </c>
    </row>
    <row r="2018" spans="32:80" x14ac:dyDescent="0.25">
      <c r="BO2018">
        <v>0</v>
      </c>
      <c r="BP2018">
        <v>0</v>
      </c>
      <c r="BQ2018">
        <v>0</v>
      </c>
      <c r="BR2018">
        <v>0</v>
      </c>
      <c r="BS2018">
        <v>0</v>
      </c>
      <c r="BT2018">
        <v>0</v>
      </c>
      <c r="BU2018">
        <v>0</v>
      </c>
      <c r="BV2018">
        <v>0</v>
      </c>
      <c r="BW2018" t="s">
        <v>0</v>
      </c>
      <c r="BX2018">
        <v>0</v>
      </c>
      <c r="BY2018">
        <v>0</v>
      </c>
      <c r="BZ2018">
        <v>0</v>
      </c>
      <c r="CA2018">
        <v>0</v>
      </c>
      <c r="CB2018" t="s">
        <v>145</v>
      </c>
    </row>
    <row r="2019" spans="32:80" x14ac:dyDescent="0.25">
      <c r="BO2019">
        <v>0</v>
      </c>
      <c r="BP2019">
        <v>0</v>
      </c>
      <c r="BQ2019">
        <v>0</v>
      </c>
      <c r="BR2019">
        <v>0</v>
      </c>
      <c r="BS2019">
        <v>0</v>
      </c>
      <c r="BT2019">
        <v>0</v>
      </c>
      <c r="BU2019">
        <v>0</v>
      </c>
      <c r="BV2019">
        <v>0</v>
      </c>
      <c r="BW2019" t="s">
        <v>0</v>
      </c>
      <c r="BX2019">
        <v>0</v>
      </c>
      <c r="BY2019">
        <v>0</v>
      </c>
      <c r="BZ2019">
        <v>0</v>
      </c>
      <c r="CA2019">
        <v>0</v>
      </c>
      <c r="CB2019" t="s">
        <v>145</v>
      </c>
    </row>
    <row r="2020" spans="32:80" x14ac:dyDescent="0.25">
      <c r="BO2020">
        <v>0</v>
      </c>
      <c r="BP2020">
        <v>0</v>
      </c>
      <c r="BQ2020">
        <v>0</v>
      </c>
      <c r="BR2020">
        <v>0</v>
      </c>
      <c r="BS2020">
        <v>0</v>
      </c>
      <c r="BT2020">
        <v>0</v>
      </c>
      <c r="BU2020">
        <v>0</v>
      </c>
      <c r="BV2020">
        <v>0</v>
      </c>
      <c r="BW2020" t="s">
        <v>0</v>
      </c>
      <c r="BX2020">
        <v>0</v>
      </c>
      <c r="BY2020">
        <v>0</v>
      </c>
      <c r="BZ2020">
        <v>0</v>
      </c>
      <c r="CA2020">
        <v>0</v>
      </c>
      <c r="CB2020" t="s">
        <v>145</v>
      </c>
    </row>
    <row r="2021" spans="32:80" x14ac:dyDescent="0.25">
      <c r="BO2021">
        <v>0</v>
      </c>
      <c r="BP2021">
        <v>0</v>
      </c>
      <c r="BQ2021">
        <v>0</v>
      </c>
      <c r="BR2021">
        <v>0</v>
      </c>
      <c r="BS2021">
        <v>0</v>
      </c>
      <c r="BT2021">
        <v>0</v>
      </c>
      <c r="BU2021">
        <v>0</v>
      </c>
      <c r="BV2021">
        <v>0</v>
      </c>
      <c r="BW2021" t="s">
        <v>0</v>
      </c>
      <c r="BX2021">
        <v>0</v>
      </c>
      <c r="BY2021">
        <v>0</v>
      </c>
      <c r="BZ2021">
        <v>0</v>
      </c>
      <c r="CA2021">
        <v>0</v>
      </c>
      <c r="CB2021" t="s">
        <v>145</v>
      </c>
    </row>
    <row r="2022" spans="32:80" x14ac:dyDescent="0.25">
      <c r="BO2022">
        <v>0</v>
      </c>
      <c r="BP2022">
        <v>0</v>
      </c>
      <c r="BQ2022">
        <v>0</v>
      </c>
      <c r="BR2022">
        <v>0</v>
      </c>
      <c r="BS2022">
        <v>0</v>
      </c>
      <c r="BT2022">
        <v>0</v>
      </c>
      <c r="BU2022">
        <v>0</v>
      </c>
      <c r="BV2022">
        <v>0</v>
      </c>
      <c r="BW2022" t="s">
        <v>0</v>
      </c>
      <c r="BX2022">
        <v>0</v>
      </c>
      <c r="BY2022">
        <v>0</v>
      </c>
      <c r="BZ2022">
        <v>0</v>
      </c>
      <c r="CA2022">
        <v>0</v>
      </c>
      <c r="CB2022" t="s">
        <v>145</v>
      </c>
    </row>
    <row r="2023" spans="32:80" x14ac:dyDescent="0.25">
      <c r="BO2023">
        <v>0</v>
      </c>
      <c r="BP2023">
        <v>0</v>
      </c>
      <c r="BQ2023">
        <v>0</v>
      </c>
      <c r="BR2023">
        <v>0</v>
      </c>
      <c r="BS2023">
        <v>0</v>
      </c>
      <c r="BT2023">
        <v>0</v>
      </c>
      <c r="BU2023">
        <v>0</v>
      </c>
      <c r="BV2023">
        <v>0</v>
      </c>
      <c r="BW2023" t="s">
        <v>0</v>
      </c>
      <c r="BX2023">
        <v>0</v>
      </c>
      <c r="BY2023">
        <v>0</v>
      </c>
      <c r="BZ2023">
        <v>0</v>
      </c>
      <c r="CA2023">
        <v>0</v>
      </c>
      <c r="CB2023" t="s">
        <v>145</v>
      </c>
    </row>
    <row r="2024" spans="32:80" x14ac:dyDescent="0.25">
      <c r="BO2024">
        <v>0</v>
      </c>
      <c r="BP2024">
        <v>0</v>
      </c>
      <c r="BQ2024">
        <v>0</v>
      </c>
      <c r="BR2024">
        <v>0</v>
      </c>
      <c r="BS2024">
        <v>0</v>
      </c>
      <c r="BT2024">
        <v>0</v>
      </c>
      <c r="BU2024">
        <v>0</v>
      </c>
      <c r="BV2024">
        <v>0</v>
      </c>
      <c r="BW2024" t="s">
        <v>0</v>
      </c>
      <c r="BX2024">
        <v>0</v>
      </c>
      <c r="BY2024">
        <v>0</v>
      </c>
      <c r="BZ2024">
        <v>0</v>
      </c>
      <c r="CA2024">
        <v>0</v>
      </c>
      <c r="CB2024" t="s">
        <v>145</v>
      </c>
    </row>
    <row r="2025" spans="32:80" x14ac:dyDescent="0.25">
      <c r="BO2025">
        <v>0</v>
      </c>
      <c r="BP2025">
        <v>0</v>
      </c>
      <c r="BQ2025">
        <v>0</v>
      </c>
      <c r="BR2025">
        <v>0</v>
      </c>
      <c r="BS2025">
        <v>0</v>
      </c>
      <c r="BT2025">
        <v>0</v>
      </c>
      <c r="BU2025">
        <v>0</v>
      </c>
      <c r="BV2025">
        <v>0</v>
      </c>
      <c r="BW2025" t="s">
        <v>0</v>
      </c>
      <c r="BX2025">
        <v>0</v>
      </c>
      <c r="BY2025">
        <v>0</v>
      </c>
      <c r="BZ2025">
        <v>0</v>
      </c>
      <c r="CA2025">
        <v>0</v>
      </c>
      <c r="CB2025" t="s">
        <v>145</v>
      </c>
    </row>
    <row r="2026" spans="32:80" x14ac:dyDescent="0.25">
      <c r="BO2026">
        <v>0</v>
      </c>
      <c r="BP2026">
        <v>0</v>
      </c>
      <c r="BQ2026">
        <v>0</v>
      </c>
      <c r="BR2026">
        <v>0</v>
      </c>
      <c r="BS2026">
        <v>0</v>
      </c>
      <c r="BT2026">
        <v>0</v>
      </c>
      <c r="BU2026">
        <v>0</v>
      </c>
      <c r="BV2026">
        <v>0</v>
      </c>
      <c r="BW2026" t="s">
        <v>0</v>
      </c>
      <c r="BX2026">
        <v>0</v>
      </c>
      <c r="BY2026">
        <v>0</v>
      </c>
      <c r="BZ2026">
        <v>0</v>
      </c>
      <c r="CA2026">
        <v>0</v>
      </c>
      <c r="CB2026" t="s">
        <v>145</v>
      </c>
    </row>
    <row r="2027" spans="32:80" x14ac:dyDescent="0.25">
      <c r="BO2027">
        <v>0</v>
      </c>
      <c r="BP2027">
        <v>0</v>
      </c>
      <c r="BQ2027">
        <v>0</v>
      </c>
      <c r="BR2027">
        <v>0</v>
      </c>
      <c r="BS2027">
        <v>0</v>
      </c>
      <c r="BT2027">
        <v>0</v>
      </c>
      <c r="BU2027">
        <v>0</v>
      </c>
      <c r="BV2027">
        <v>0</v>
      </c>
      <c r="BW2027" t="s">
        <v>0</v>
      </c>
      <c r="BX2027">
        <v>0</v>
      </c>
      <c r="BY2027">
        <v>0</v>
      </c>
      <c r="BZ2027">
        <v>0</v>
      </c>
      <c r="CA2027">
        <v>0</v>
      </c>
      <c r="CB2027" t="s">
        <v>145</v>
      </c>
    </row>
    <row r="2028" spans="32:80" x14ac:dyDescent="0.25">
      <c r="BO2028">
        <v>0</v>
      </c>
      <c r="BP2028">
        <v>0</v>
      </c>
      <c r="BQ2028">
        <v>0</v>
      </c>
      <c r="BR2028">
        <v>0</v>
      </c>
      <c r="BS2028">
        <v>0</v>
      </c>
      <c r="BT2028">
        <v>0</v>
      </c>
      <c r="BU2028">
        <v>0</v>
      </c>
      <c r="BV2028">
        <v>0</v>
      </c>
      <c r="BW2028" t="s">
        <v>0</v>
      </c>
      <c r="BX2028">
        <v>0</v>
      </c>
      <c r="BY2028">
        <v>0</v>
      </c>
      <c r="BZ2028">
        <v>0</v>
      </c>
      <c r="CA2028">
        <v>0</v>
      </c>
      <c r="CB2028" t="s">
        <v>145</v>
      </c>
    </row>
    <row r="2029" spans="32:80" x14ac:dyDescent="0.25">
      <c r="AF2029" s="1"/>
      <c r="BE2029" s="1"/>
      <c r="BM2029" s="2"/>
      <c r="BO2029">
        <v>0</v>
      </c>
      <c r="BP2029">
        <v>0</v>
      </c>
      <c r="BQ2029">
        <v>0</v>
      </c>
      <c r="BR2029">
        <v>0</v>
      </c>
      <c r="BS2029">
        <v>0</v>
      </c>
      <c r="BT2029">
        <v>0</v>
      </c>
      <c r="BU2029">
        <v>0</v>
      </c>
      <c r="BV2029">
        <v>0</v>
      </c>
      <c r="BW2029" t="s">
        <v>0</v>
      </c>
      <c r="BX2029">
        <v>0</v>
      </c>
      <c r="BY2029">
        <v>0</v>
      </c>
      <c r="BZ2029">
        <v>0</v>
      </c>
      <c r="CA2029">
        <v>0</v>
      </c>
      <c r="CB2029" t="s">
        <v>145</v>
      </c>
    </row>
    <row r="2030" spans="32:80" x14ac:dyDescent="0.25">
      <c r="BO2030">
        <v>0</v>
      </c>
      <c r="BP2030">
        <v>0</v>
      </c>
      <c r="BQ2030">
        <v>0</v>
      </c>
      <c r="BR2030">
        <v>0</v>
      </c>
      <c r="BS2030">
        <v>0</v>
      </c>
      <c r="BT2030">
        <v>0</v>
      </c>
      <c r="BU2030">
        <v>0</v>
      </c>
      <c r="BV2030">
        <v>0</v>
      </c>
      <c r="BW2030" t="s">
        <v>0</v>
      </c>
      <c r="BX2030">
        <v>0</v>
      </c>
      <c r="BY2030">
        <v>0</v>
      </c>
      <c r="BZ2030">
        <v>0</v>
      </c>
      <c r="CA2030">
        <v>0</v>
      </c>
      <c r="CB2030" t="s">
        <v>145</v>
      </c>
    </row>
    <row r="2031" spans="32:80" x14ac:dyDescent="0.25">
      <c r="BO2031">
        <v>0</v>
      </c>
      <c r="BP2031">
        <v>0</v>
      </c>
      <c r="BQ2031">
        <v>0</v>
      </c>
      <c r="BR2031">
        <v>0</v>
      </c>
      <c r="BS2031">
        <v>0</v>
      </c>
      <c r="BT2031">
        <v>0</v>
      </c>
      <c r="BU2031">
        <v>0</v>
      </c>
      <c r="BV2031">
        <v>0</v>
      </c>
      <c r="BW2031" t="s">
        <v>0</v>
      </c>
      <c r="BX2031">
        <v>0</v>
      </c>
      <c r="BY2031">
        <v>0</v>
      </c>
      <c r="BZ2031">
        <v>0</v>
      </c>
      <c r="CA2031">
        <v>0</v>
      </c>
      <c r="CB2031" t="s">
        <v>145</v>
      </c>
    </row>
    <row r="2032" spans="32:80" x14ac:dyDescent="0.25">
      <c r="BO2032">
        <v>0</v>
      </c>
      <c r="BP2032">
        <v>0</v>
      </c>
      <c r="BQ2032">
        <v>0</v>
      </c>
      <c r="BR2032">
        <v>0</v>
      </c>
      <c r="BS2032">
        <v>0</v>
      </c>
      <c r="BT2032">
        <v>0</v>
      </c>
      <c r="BU2032">
        <v>0</v>
      </c>
      <c r="BV2032">
        <v>0</v>
      </c>
      <c r="BW2032" t="s">
        <v>0</v>
      </c>
      <c r="BX2032">
        <v>0</v>
      </c>
      <c r="BY2032">
        <v>0</v>
      </c>
      <c r="BZ2032">
        <v>0</v>
      </c>
      <c r="CA2032">
        <v>0</v>
      </c>
      <c r="CB2032" t="s">
        <v>145</v>
      </c>
    </row>
    <row r="2033" spans="54:80" x14ac:dyDescent="0.25">
      <c r="BO2033">
        <v>0</v>
      </c>
      <c r="BP2033">
        <v>0</v>
      </c>
      <c r="BQ2033">
        <v>0</v>
      </c>
      <c r="BR2033">
        <v>0</v>
      </c>
      <c r="BS2033">
        <v>0</v>
      </c>
      <c r="BT2033">
        <v>0</v>
      </c>
      <c r="BU2033">
        <v>0</v>
      </c>
      <c r="BV2033">
        <v>0</v>
      </c>
      <c r="BW2033" t="s">
        <v>0</v>
      </c>
      <c r="BX2033">
        <v>0</v>
      </c>
      <c r="BY2033">
        <v>0</v>
      </c>
      <c r="BZ2033">
        <v>0</v>
      </c>
      <c r="CA2033">
        <v>0</v>
      </c>
      <c r="CB2033" t="s">
        <v>145</v>
      </c>
    </row>
    <row r="2034" spans="54:80" x14ac:dyDescent="0.25">
      <c r="BO2034">
        <v>0</v>
      </c>
      <c r="BP2034">
        <v>0</v>
      </c>
      <c r="BQ2034">
        <v>0</v>
      </c>
      <c r="BR2034">
        <v>0</v>
      </c>
      <c r="BS2034">
        <v>0</v>
      </c>
      <c r="BT2034">
        <v>0</v>
      </c>
      <c r="BU2034">
        <v>0</v>
      </c>
      <c r="BV2034">
        <v>0</v>
      </c>
      <c r="BW2034" t="s">
        <v>0</v>
      </c>
      <c r="BX2034">
        <v>0</v>
      </c>
      <c r="BY2034">
        <v>0</v>
      </c>
      <c r="BZ2034">
        <v>0</v>
      </c>
      <c r="CA2034">
        <v>0</v>
      </c>
      <c r="CB2034" t="s">
        <v>145</v>
      </c>
    </row>
    <row r="2035" spans="54:80" x14ac:dyDescent="0.25">
      <c r="BO2035">
        <v>0</v>
      </c>
      <c r="BP2035">
        <v>0</v>
      </c>
      <c r="BQ2035">
        <v>0</v>
      </c>
      <c r="BR2035">
        <v>0</v>
      </c>
      <c r="BS2035">
        <v>0</v>
      </c>
      <c r="BT2035">
        <v>0</v>
      </c>
      <c r="BU2035">
        <v>0</v>
      </c>
      <c r="BV2035">
        <v>0</v>
      </c>
      <c r="BW2035" t="s">
        <v>0</v>
      </c>
      <c r="BX2035">
        <v>0</v>
      </c>
      <c r="BY2035">
        <v>0</v>
      </c>
      <c r="BZ2035">
        <v>0</v>
      </c>
      <c r="CA2035">
        <v>0</v>
      </c>
      <c r="CB2035" t="s">
        <v>145</v>
      </c>
    </row>
    <row r="2036" spans="54:80" x14ac:dyDescent="0.25">
      <c r="BO2036">
        <v>0</v>
      </c>
      <c r="BP2036">
        <v>0</v>
      </c>
      <c r="BQ2036">
        <v>0</v>
      </c>
      <c r="BR2036">
        <v>0</v>
      </c>
      <c r="BS2036">
        <v>0</v>
      </c>
      <c r="BT2036">
        <v>0</v>
      </c>
      <c r="BU2036">
        <v>0</v>
      </c>
      <c r="BV2036">
        <v>0</v>
      </c>
      <c r="BW2036" t="s">
        <v>0</v>
      </c>
      <c r="BX2036">
        <v>0</v>
      </c>
      <c r="BY2036">
        <v>0</v>
      </c>
      <c r="BZ2036">
        <v>0</v>
      </c>
      <c r="CA2036">
        <v>0</v>
      </c>
      <c r="CB2036" t="s">
        <v>145</v>
      </c>
    </row>
    <row r="2037" spans="54:80" x14ac:dyDescent="0.25">
      <c r="BB2037" s="1"/>
      <c r="BO2037">
        <v>0</v>
      </c>
      <c r="BP2037">
        <v>0</v>
      </c>
      <c r="BQ2037">
        <v>0</v>
      </c>
      <c r="BR2037">
        <v>0</v>
      </c>
      <c r="BS2037">
        <v>0</v>
      </c>
      <c r="BT2037">
        <v>0</v>
      </c>
      <c r="BU2037">
        <v>0</v>
      </c>
      <c r="BV2037">
        <v>0</v>
      </c>
      <c r="BW2037" t="s">
        <v>0</v>
      </c>
      <c r="BX2037">
        <v>0</v>
      </c>
      <c r="BY2037">
        <v>0</v>
      </c>
      <c r="BZ2037">
        <v>0</v>
      </c>
      <c r="CA2037">
        <v>0</v>
      </c>
      <c r="CB2037" t="s">
        <v>145</v>
      </c>
    </row>
    <row r="2038" spans="54:80" x14ac:dyDescent="0.25">
      <c r="BO2038">
        <v>0</v>
      </c>
      <c r="BP2038">
        <v>0</v>
      </c>
      <c r="BQ2038">
        <v>0</v>
      </c>
      <c r="BR2038">
        <v>0</v>
      </c>
      <c r="BS2038">
        <v>0</v>
      </c>
      <c r="BT2038">
        <v>0</v>
      </c>
      <c r="BU2038">
        <v>0</v>
      </c>
      <c r="BV2038">
        <v>0</v>
      </c>
      <c r="BW2038" t="s">
        <v>0</v>
      </c>
      <c r="BX2038">
        <v>0</v>
      </c>
      <c r="BY2038">
        <v>0</v>
      </c>
      <c r="BZ2038">
        <v>0</v>
      </c>
      <c r="CA2038">
        <v>0</v>
      </c>
      <c r="CB2038" t="s">
        <v>145</v>
      </c>
    </row>
    <row r="2039" spans="54:80" x14ac:dyDescent="0.25">
      <c r="BO2039">
        <v>0</v>
      </c>
      <c r="BP2039">
        <v>0</v>
      </c>
      <c r="BQ2039">
        <v>0</v>
      </c>
      <c r="BR2039">
        <v>0</v>
      </c>
      <c r="BS2039">
        <v>0</v>
      </c>
      <c r="BT2039">
        <v>0</v>
      </c>
      <c r="BU2039">
        <v>0</v>
      </c>
      <c r="BV2039">
        <v>0</v>
      </c>
      <c r="BW2039" t="s">
        <v>0</v>
      </c>
      <c r="BX2039">
        <v>0</v>
      </c>
      <c r="BY2039">
        <v>0</v>
      </c>
      <c r="BZ2039">
        <v>0</v>
      </c>
      <c r="CA2039">
        <v>0</v>
      </c>
      <c r="CB2039" t="s">
        <v>145</v>
      </c>
    </row>
    <row r="2040" spans="54:80" x14ac:dyDescent="0.25">
      <c r="BO2040">
        <v>0</v>
      </c>
      <c r="BP2040">
        <v>0</v>
      </c>
      <c r="BQ2040">
        <v>0</v>
      </c>
      <c r="BR2040">
        <v>0</v>
      </c>
      <c r="BS2040">
        <v>0</v>
      </c>
      <c r="BT2040">
        <v>0</v>
      </c>
      <c r="BU2040">
        <v>0</v>
      </c>
      <c r="BV2040">
        <v>0</v>
      </c>
      <c r="BW2040" t="s">
        <v>0</v>
      </c>
      <c r="BX2040">
        <v>0</v>
      </c>
      <c r="BY2040">
        <v>0</v>
      </c>
      <c r="BZ2040">
        <v>0</v>
      </c>
      <c r="CA2040">
        <v>0</v>
      </c>
      <c r="CB2040" t="s">
        <v>145</v>
      </c>
    </row>
    <row r="2041" spans="54:80" x14ac:dyDescent="0.25">
      <c r="BO2041">
        <v>0</v>
      </c>
      <c r="BP2041">
        <v>0</v>
      </c>
      <c r="BQ2041">
        <v>0</v>
      </c>
      <c r="BR2041">
        <v>0</v>
      </c>
      <c r="BS2041">
        <v>0</v>
      </c>
      <c r="BT2041">
        <v>0</v>
      </c>
      <c r="BU2041">
        <v>0</v>
      </c>
      <c r="BV2041">
        <v>0</v>
      </c>
      <c r="BW2041" t="s">
        <v>0</v>
      </c>
      <c r="BX2041">
        <v>0</v>
      </c>
      <c r="BY2041">
        <v>0</v>
      </c>
      <c r="BZ2041">
        <v>0</v>
      </c>
      <c r="CA2041">
        <v>0</v>
      </c>
      <c r="CB2041" t="s">
        <v>145</v>
      </c>
    </row>
    <row r="2042" spans="54:80" x14ac:dyDescent="0.25">
      <c r="BO2042">
        <v>0</v>
      </c>
      <c r="BP2042">
        <v>0</v>
      </c>
      <c r="BQ2042">
        <v>0</v>
      </c>
      <c r="BR2042">
        <v>0</v>
      </c>
      <c r="BS2042">
        <v>0</v>
      </c>
      <c r="BT2042">
        <v>0</v>
      </c>
      <c r="BU2042">
        <v>0</v>
      </c>
      <c r="BV2042">
        <v>0</v>
      </c>
      <c r="BW2042" t="s">
        <v>0</v>
      </c>
      <c r="BX2042">
        <v>0</v>
      </c>
      <c r="BY2042">
        <v>0</v>
      </c>
      <c r="BZ2042">
        <v>0</v>
      </c>
      <c r="CA2042">
        <v>0</v>
      </c>
      <c r="CB2042" t="s">
        <v>145</v>
      </c>
    </row>
    <row r="2043" spans="54:80" x14ac:dyDescent="0.25">
      <c r="BO2043">
        <v>0</v>
      </c>
      <c r="BP2043">
        <v>0</v>
      </c>
      <c r="BQ2043">
        <v>0</v>
      </c>
      <c r="BR2043">
        <v>0</v>
      </c>
      <c r="BS2043">
        <v>0</v>
      </c>
      <c r="BT2043">
        <v>0</v>
      </c>
      <c r="BU2043">
        <v>0</v>
      </c>
      <c r="BV2043">
        <v>0</v>
      </c>
      <c r="BW2043" t="s">
        <v>0</v>
      </c>
      <c r="BX2043">
        <v>0</v>
      </c>
      <c r="BY2043">
        <v>0</v>
      </c>
      <c r="BZ2043">
        <v>0</v>
      </c>
      <c r="CA2043">
        <v>0</v>
      </c>
      <c r="CB2043" t="s">
        <v>145</v>
      </c>
    </row>
    <row r="2044" spans="54:80" x14ac:dyDescent="0.25">
      <c r="BO2044">
        <v>0</v>
      </c>
      <c r="BP2044">
        <v>0</v>
      </c>
      <c r="BQ2044">
        <v>0</v>
      </c>
      <c r="BR2044">
        <v>0</v>
      </c>
      <c r="BS2044">
        <v>0</v>
      </c>
      <c r="BT2044">
        <v>0</v>
      </c>
      <c r="BU2044">
        <v>0</v>
      </c>
      <c r="BV2044">
        <v>0</v>
      </c>
      <c r="BW2044" t="s">
        <v>0</v>
      </c>
      <c r="BX2044">
        <v>0</v>
      </c>
      <c r="BY2044">
        <v>0</v>
      </c>
      <c r="BZ2044">
        <v>0</v>
      </c>
      <c r="CA2044">
        <v>0</v>
      </c>
      <c r="CB2044" t="s">
        <v>145</v>
      </c>
    </row>
    <row r="2045" spans="54:80" x14ac:dyDescent="0.25">
      <c r="BO2045">
        <v>0</v>
      </c>
      <c r="BP2045">
        <v>0</v>
      </c>
      <c r="BQ2045">
        <v>0</v>
      </c>
      <c r="BR2045">
        <v>0</v>
      </c>
      <c r="BS2045">
        <v>0</v>
      </c>
      <c r="BT2045">
        <v>0</v>
      </c>
      <c r="BU2045">
        <v>0</v>
      </c>
      <c r="BV2045">
        <v>0</v>
      </c>
      <c r="BW2045" t="s">
        <v>0</v>
      </c>
      <c r="BX2045">
        <v>0</v>
      </c>
      <c r="BY2045">
        <v>0</v>
      </c>
      <c r="BZ2045">
        <v>0</v>
      </c>
      <c r="CA2045">
        <v>0</v>
      </c>
      <c r="CB2045" t="s">
        <v>145</v>
      </c>
    </row>
    <row r="2046" spans="54:80" x14ac:dyDescent="0.25">
      <c r="BO2046">
        <v>0</v>
      </c>
      <c r="BP2046">
        <v>0</v>
      </c>
      <c r="BQ2046">
        <v>0</v>
      </c>
      <c r="BR2046">
        <v>0</v>
      </c>
      <c r="BS2046">
        <v>0</v>
      </c>
      <c r="BT2046">
        <v>0</v>
      </c>
      <c r="BU2046">
        <v>0</v>
      </c>
      <c r="BV2046">
        <v>0</v>
      </c>
      <c r="BW2046" t="s">
        <v>0</v>
      </c>
      <c r="BX2046">
        <v>0</v>
      </c>
      <c r="BY2046">
        <v>0</v>
      </c>
      <c r="BZ2046">
        <v>0</v>
      </c>
      <c r="CA2046">
        <v>0</v>
      </c>
      <c r="CB2046" t="s">
        <v>145</v>
      </c>
    </row>
    <row r="2047" spans="54:80" x14ac:dyDescent="0.25">
      <c r="BO2047">
        <v>0</v>
      </c>
      <c r="BP2047">
        <v>0</v>
      </c>
      <c r="BQ2047">
        <v>0</v>
      </c>
      <c r="BR2047">
        <v>0</v>
      </c>
      <c r="BS2047">
        <v>0</v>
      </c>
      <c r="BT2047">
        <v>0</v>
      </c>
      <c r="BU2047">
        <v>0</v>
      </c>
      <c r="BV2047">
        <v>0</v>
      </c>
      <c r="BW2047" t="s">
        <v>0</v>
      </c>
      <c r="BX2047">
        <v>0</v>
      </c>
      <c r="BY2047">
        <v>0</v>
      </c>
      <c r="BZ2047">
        <v>0</v>
      </c>
      <c r="CA2047">
        <v>0</v>
      </c>
      <c r="CB2047" t="s">
        <v>145</v>
      </c>
    </row>
    <row r="2048" spans="54:80" x14ac:dyDescent="0.25">
      <c r="BO2048">
        <v>0</v>
      </c>
      <c r="BP2048">
        <v>0</v>
      </c>
      <c r="BQ2048">
        <v>0</v>
      </c>
      <c r="BR2048">
        <v>0</v>
      </c>
      <c r="BS2048">
        <v>0</v>
      </c>
      <c r="BT2048">
        <v>0</v>
      </c>
      <c r="BU2048">
        <v>0</v>
      </c>
      <c r="BV2048">
        <v>0</v>
      </c>
      <c r="BW2048" t="s">
        <v>0</v>
      </c>
      <c r="BX2048">
        <v>0</v>
      </c>
      <c r="BY2048">
        <v>0</v>
      </c>
      <c r="BZ2048">
        <v>0</v>
      </c>
      <c r="CA2048">
        <v>0</v>
      </c>
      <c r="CB2048" t="s">
        <v>145</v>
      </c>
    </row>
    <row r="2049" spans="67:80" x14ac:dyDescent="0.25">
      <c r="BO2049">
        <v>0</v>
      </c>
      <c r="BP2049">
        <v>0</v>
      </c>
      <c r="BQ2049">
        <v>0</v>
      </c>
      <c r="BR2049">
        <v>0</v>
      </c>
      <c r="BS2049">
        <v>0</v>
      </c>
      <c r="BT2049">
        <v>0</v>
      </c>
      <c r="BU2049">
        <v>0</v>
      </c>
      <c r="BV2049">
        <v>0</v>
      </c>
      <c r="BW2049" t="s">
        <v>0</v>
      </c>
      <c r="BX2049">
        <v>0</v>
      </c>
      <c r="BY2049">
        <v>0</v>
      </c>
      <c r="BZ2049">
        <v>0</v>
      </c>
      <c r="CA2049">
        <v>0</v>
      </c>
      <c r="CB2049" t="s">
        <v>145</v>
      </c>
    </row>
    <row r="2050" spans="67:80" x14ac:dyDescent="0.25">
      <c r="BO2050">
        <v>0</v>
      </c>
      <c r="BP2050">
        <v>0</v>
      </c>
      <c r="BQ2050">
        <v>0</v>
      </c>
      <c r="BR2050">
        <v>0</v>
      </c>
      <c r="BS2050">
        <v>0</v>
      </c>
      <c r="BT2050">
        <v>0</v>
      </c>
      <c r="BU2050">
        <v>0</v>
      </c>
      <c r="BV2050">
        <v>0</v>
      </c>
      <c r="BW2050" t="s">
        <v>0</v>
      </c>
      <c r="BX2050">
        <v>0</v>
      </c>
      <c r="BY2050">
        <v>0</v>
      </c>
      <c r="BZ2050">
        <v>0</v>
      </c>
      <c r="CA2050">
        <v>0</v>
      </c>
      <c r="CB2050" t="s">
        <v>145</v>
      </c>
    </row>
    <row r="2051" spans="67:80" x14ac:dyDescent="0.25">
      <c r="BO2051">
        <v>0</v>
      </c>
      <c r="BP2051">
        <v>0</v>
      </c>
      <c r="BQ2051">
        <v>0</v>
      </c>
      <c r="BR2051">
        <v>0</v>
      </c>
      <c r="BS2051">
        <v>0</v>
      </c>
      <c r="BT2051">
        <v>0</v>
      </c>
      <c r="BU2051">
        <v>0</v>
      </c>
      <c r="BV2051">
        <v>0</v>
      </c>
      <c r="BW2051" t="s">
        <v>0</v>
      </c>
      <c r="BX2051">
        <v>0</v>
      </c>
      <c r="BY2051">
        <v>0</v>
      </c>
      <c r="BZ2051">
        <v>0</v>
      </c>
      <c r="CA2051">
        <v>0</v>
      </c>
      <c r="CB2051" t="s">
        <v>145</v>
      </c>
    </row>
    <row r="2052" spans="67:80" x14ac:dyDescent="0.25">
      <c r="BO2052">
        <v>0</v>
      </c>
      <c r="BP2052">
        <v>0</v>
      </c>
      <c r="BQ2052">
        <v>0</v>
      </c>
      <c r="BR2052">
        <v>0</v>
      </c>
      <c r="BS2052">
        <v>0</v>
      </c>
      <c r="BT2052">
        <v>0</v>
      </c>
      <c r="BU2052">
        <v>0</v>
      </c>
      <c r="BV2052">
        <v>0</v>
      </c>
      <c r="BW2052" t="s">
        <v>0</v>
      </c>
      <c r="BX2052">
        <v>0</v>
      </c>
      <c r="BY2052">
        <v>0</v>
      </c>
      <c r="BZ2052">
        <v>0</v>
      </c>
      <c r="CA2052">
        <v>0</v>
      </c>
      <c r="CB2052" t="s">
        <v>145</v>
      </c>
    </row>
    <row r="2053" spans="67:80" x14ac:dyDescent="0.25">
      <c r="BO2053">
        <v>0</v>
      </c>
      <c r="BP2053">
        <v>0</v>
      </c>
      <c r="BQ2053">
        <v>0</v>
      </c>
      <c r="BR2053">
        <v>0</v>
      </c>
      <c r="BS2053">
        <v>0</v>
      </c>
      <c r="BT2053">
        <v>0</v>
      </c>
      <c r="BU2053">
        <v>0</v>
      </c>
      <c r="BV2053">
        <v>0</v>
      </c>
      <c r="BW2053" t="s">
        <v>0</v>
      </c>
      <c r="BX2053">
        <v>0</v>
      </c>
      <c r="BY2053">
        <v>0</v>
      </c>
      <c r="BZ2053">
        <v>0</v>
      </c>
      <c r="CA2053">
        <v>0</v>
      </c>
      <c r="CB2053" t="s">
        <v>145</v>
      </c>
    </row>
    <row r="2054" spans="67:80" x14ac:dyDescent="0.25">
      <c r="BO2054">
        <v>0</v>
      </c>
      <c r="BP2054">
        <v>0</v>
      </c>
      <c r="BQ2054">
        <v>0</v>
      </c>
      <c r="BR2054">
        <v>0</v>
      </c>
      <c r="BS2054">
        <v>0</v>
      </c>
      <c r="BT2054">
        <v>0</v>
      </c>
      <c r="BU2054">
        <v>0</v>
      </c>
      <c r="BV2054">
        <v>0</v>
      </c>
      <c r="BW2054" t="s">
        <v>0</v>
      </c>
      <c r="BX2054">
        <v>0</v>
      </c>
      <c r="BY2054">
        <v>0</v>
      </c>
      <c r="BZ2054">
        <v>0</v>
      </c>
      <c r="CA2054">
        <v>0</v>
      </c>
      <c r="CB2054" t="s">
        <v>145</v>
      </c>
    </row>
    <row r="2055" spans="67:80" x14ac:dyDescent="0.25">
      <c r="BO2055">
        <v>0</v>
      </c>
      <c r="BP2055">
        <v>0</v>
      </c>
      <c r="BQ2055">
        <v>0</v>
      </c>
      <c r="BR2055">
        <v>0</v>
      </c>
      <c r="BS2055">
        <v>0</v>
      </c>
      <c r="BT2055">
        <v>0</v>
      </c>
      <c r="BU2055">
        <v>0</v>
      </c>
      <c r="BV2055">
        <v>0</v>
      </c>
      <c r="BW2055" t="s">
        <v>0</v>
      </c>
      <c r="BX2055">
        <v>0</v>
      </c>
      <c r="BY2055">
        <v>0</v>
      </c>
      <c r="BZ2055">
        <v>0</v>
      </c>
      <c r="CA2055">
        <v>0</v>
      </c>
      <c r="CB2055" t="s">
        <v>145</v>
      </c>
    </row>
    <row r="2056" spans="67:80" x14ac:dyDescent="0.25">
      <c r="BO2056">
        <v>0</v>
      </c>
      <c r="BP2056">
        <v>0</v>
      </c>
      <c r="BQ2056">
        <v>0</v>
      </c>
      <c r="BR2056">
        <v>0</v>
      </c>
      <c r="BS2056">
        <v>0</v>
      </c>
      <c r="BT2056">
        <v>0</v>
      </c>
      <c r="BU2056">
        <v>0</v>
      </c>
      <c r="BV2056">
        <v>0</v>
      </c>
      <c r="BW2056" t="s">
        <v>0</v>
      </c>
      <c r="BX2056">
        <v>0</v>
      </c>
      <c r="BY2056">
        <v>0</v>
      </c>
      <c r="BZ2056">
        <v>0</v>
      </c>
      <c r="CA2056">
        <v>0</v>
      </c>
      <c r="CB2056" t="s">
        <v>145</v>
      </c>
    </row>
    <row r="2057" spans="67:80" x14ac:dyDescent="0.25">
      <c r="BO2057">
        <v>0</v>
      </c>
      <c r="BP2057">
        <v>0</v>
      </c>
      <c r="BQ2057">
        <v>0</v>
      </c>
      <c r="BR2057">
        <v>0</v>
      </c>
      <c r="BS2057">
        <v>0</v>
      </c>
      <c r="BT2057">
        <v>0</v>
      </c>
      <c r="BU2057">
        <v>0</v>
      </c>
      <c r="BV2057">
        <v>0</v>
      </c>
      <c r="BW2057" t="s">
        <v>0</v>
      </c>
      <c r="BX2057">
        <v>0</v>
      </c>
      <c r="BY2057">
        <v>0</v>
      </c>
      <c r="BZ2057">
        <v>0</v>
      </c>
      <c r="CA2057">
        <v>0</v>
      </c>
      <c r="CB2057" t="s">
        <v>145</v>
      </c>
    </row>
    <row r="2058" spans="67:80" x14ac:dyDescent="0.25">
      <c r="BO2058">
        <v>0</v>
      </c>
      <c r="BP2058">
        <v>0</v>
      </c>
      <c r="BQ2058">
        <v>0</v>
      </c>
      <c r="BR2058">
        <v>0</v>
      </c>
      <c r="BS2058">
        <v>0</v>
      </c>
      <c r="BT2058">
        <v>0</v>
      </c>
      <c r="BU2058">
        <v>0</v>
      </c>
      <c r="BV2058">
        <v>0</v>
      </c>
      <c r="BW2058" t="s">
        <v>0</v>
      </c>
      <c r="BX2058">
        <v>0</v>
      </c>
      <c r="BY2058">
        <v>0</v>
      </c>
      <c r="BZ2058">
        <v>0</v>
      </c>
      <c r="CA2058">
        <v>0</v>
      </c>
      <c r="CB2058" t="s">
        <v>145</v>
      </c>
    </row>
    <row r="2059" spans="67:80" x14ac:dyDescent="0.25">
      <c r="BO2059">
        <v>0</v>
      </c>
      <c r="BP2059">
        <v>0</v>
      </c>
      <c r="BQ2059">
        <v>0</v>
      </c>
      <c r="BR2059">
        <v>0</v>
      </c>
      <c r="BS2059">
        <v>0</v>
      </c>
      <c r="BT2059">
        <v>0</v>
      </c>
      <c r="BU2059">
        <v>0</v>
      </c>
      <c r="BV2059">
        <v>0</v>
      </c>
      <c r="BW2059" t="s">
        <v>0</v>
      </c>
      <c r="BX2059">
        <v>0</v>
      </c>
      <c r="BY2059">
        <v>0</v>
      </c>
      <c r="BZ2059">
        <v>0</v>
      </c>
      <c r="CA2059">
        <v>0</v>
      </c>
      <c r="CB2059" t="s">
        <v>145</v>
      </c>
    </row>
    <row r="2060" spans="67:80" x14ac:dyDescent="0.25">
      <c r="BO2060">
        <v>0</v>
      </c>
      <c r="BP2060">
        <v>0</v>
      </c>
      <c r="BQ2060">
        <v>0</v>
      </c>
      <c r="BR2060">
        <v>0</v>
      </c>
      <c r="BS2060">
        <v>0</v>
      </c>
      <c r="BT2060">
        <v>0</v>
      </c>
      <c r="BU2060">
        <v>0</v>
      </c>
      <c r="BV2060">
        <v>0</v>
      </c>
      <c r="BW2060" t="s">
        <v>0</v>
      </c>
      <c r="BX2060">
        <v>0</v>
      </c>
      <c r="BY2060">
        <v>0</v>
      </c>
      <c r="BZ2060">
        <v>0</v>
      </c>
      <c r="CA2060">
        <v>0</v>
      </c>
      <c r="CB2060" t="s">
        <v>145</v>
      </c>
    </row>
    <row r="2061" spans="67:80" x14ac:dyDescent="0.25">
      <c r="BO2061">
        <v>0</v>
      </c>
      <c r="BP2061">
        <v>0</v>
      </c>
      <c r="BQ2061">
        <v>0</v>
      </c>
      <c r="BR2061">
        <v>0</v>
      </c>
      <c r="BS2061">
        <v>0</v>
      </c>
      <c r="BT2061">
        <v>0</v>
      </c>
      <c r="BU2061">
        <v>0</v>
      </c>
      <c r="BV2061">
        <v>0</v>
      </c>
      <c r="BW2061" t="s">
        <v>0</v>
      </c>
      <c r="BX2061">
        <v>0</v>
      </c>
      <c r="BY2061">
        <v>0</v>
      </c>
      <c r="BZ2061">
        <v>0</v>
      </c>
      <c r="CA2061">
        <v>0</v>
      </c>
      <c r="CB2061" t="s">
        <v>145</v>
      </c>
    </row>
    <row r="2062" spans="67:80" x14ac:dyDescent="0.25">
      <c r="BO2062">
        <v>0</v>
      </c>
      <c r="BP2062">
        <v>0</v>
      </c>
      <c r="BQ2062">
        <v>0</v>
      </c>
      <c r="BR2062">
        <v>0</v>
      </c>
      <c r="BS2062">
        <v>0</v>
      </c>
      <c r="BT2062">
        <v>0</v>
      </c>
      <c r="BU2062">
        <v>0</v>
      </c>
      <c r="BV2062">
        <v>0</v>
      </c>
      <c r="BW2062" t="s">
        <v>0</v>
      </c>
      <c r="BX2062">
        <v>0</v>
      </c>
      <c r="BY2062">
        <v>0</v>
      </c>
      <c r="BZ2062">
        <v>0</v>
      </c>
      <c r="CA2062">
        <v>0</v>
      </c>
      <c r="CB2062" t="s">
        <v>145</v>
      </c>
    </row>
    <row r="2063" spans="67:80" x14ac:dyDescent="0.25">
      <c r="BO2063">
        <v>0</v>
      </c>
      <c r="BP2063">
        <v>0</v>
      </c>
      <c r="BQ2063">
        <v>0</v>
      </c>
      <c r="BR2063">
        <v>0</v>
      </c>
      <c r="BS2063">
        <v>0</v>
      </c>
      <c r="BT2063">
        <v>0</v>
      </c>
      <c r="BU2063">
        <v>0</v>
      </c>
      <c r="BV2063">
        <v>0</v>
      </c>
      <c r="BW2063" t="s">
        <v>0</v>
      </c>
      <c r="BX2063">
        <v>0</v>
      </c>
      <c r="BY2063">
        <v>0</v>
      </c>
      <c r="BZ2063">
        <v>0</v>
      </c>
      <c r="CA2063">
        <v>0</v>
      </c>
      <c r="CB2063" t="s">
        <v>145</v>
      </c>
    </row>
    <row r="2064" spans="67:80" x14ac:dyDescent="0.25">
      <c r="BO2064">
        <v>0</v>
      </c>
      <c r="BP2064">
        <v>0</v>
      </c>
      <c r="BQ2064">
        <v>0</v>
      </c>
      <c r="BR2064">
        <v>0</v>
      </c>
      <c r="BS2064">
        <v>0</v>
      </c>
      <c r="BT2064">
        <v>0</v>
      </c>
      <c r="BU2064">
        <v>0</v>
      </c>
      <c r="BV2064">
        <v>0</v>
      </c>
      <c r="BW2064" t="s">
        <v>0</v>
      </c>
      <c r="BX2064">
        <v>0</v>
      </c>
      <c r="BY2064">
        <v>0</v>
      </c>
      <c r="BZ2064">
        <v>0</v>
      </c>
      <c r="CA2064">
        <v>0</v>
      </c>
      <c r="CB2064" t="s">
        <v>145</v>
      </c>
    </row>
    <row r="2065" spans="67:80" x14ac:dyDescent="0.25">
      <c r="BO2065">
        <v>0</v>
      </c>
      <c r="BP2065">
        <v>0</v>
      </c>
      <c r="BQ2065">
        <v>0</v>
      </c>
      <c r="BR2065">
        <v>0</v>
      </c>
      <c r="BS2065">
        <v>0</v>
      </c>
      <c r="BT2065">
        <v>0</v>
      </c>
      <c r="BU2065">
        <v>0</v>
      </c>
      <c r="BV2065">
        <v>0</v>
      </c>
      <c r="BW2065" t="s">
        <v>0</v>
      </c>
      <c r="BX2065">
        <v>0</v>
      </c>
      <c r="BY2065">
        <v>0</v>
      </c>
      <c r="BZ2065">
        <v>0</v>
      </c>
      <c r="CA2065">
        <v>0</v>
      </c>
      <c r="CB2065" t="s">
        <v>145</v>
      </c>
    </row>
    <row r="2066" spans="67:80" x14ac:dyDescent="0.25">
      <c r="BO2066">
        <v>0</v>
      </c>
      <c r="BP2066">
        <v>0</v>
      </c>
      <c r="BQ2066">
        <v>0</v>
      </c>
      <c r="BR2066">
        <v>0</v>
      </c>
      <c r="BS2066">
        <v>0</v>
      </c>
      <c r="BT2066">
        <v>0</v>
      </c>
      <c r="BU2066">
        <v>0</v>
      </c>
      <c r="BV2066">
        <v>0</v>
      </c>
      <c r="BW2066" t="s">
        <v>0</v>
      </c>
      <c r="BX2066">
        <v>0</v>
      </c>
      <c r="BY2066">
        <v>0</v>
      </c>
      <c r="BZ2066">
        <v>0</v>
      </c>
      <c r="CA2066">
        <v>0</v>
      </c>
      <c r="CB2066" t="s">
        <v>145</v>
      </c>
    </row>
    <row r="2067" spans="67:80" x14ac:dyDescent="0.25">
      <c r="BO2067">
        <v>0</v>
      </c>
      <c r="BP2067">
        <v>0</v>
      </c>
      <c r="BQ2067">
        <v>0</v>
      </c>
      <c r="BR2067">
        <v>0</v>
      </c>
      <c r="BS2067">
        <v>0</v>
      </c>
      <c r="BT2067">
        <v>0</v>
      </c>
      <c r="BU2067">
        <v>0</v>
      </c>
      <c r="BV2067">
        <v>0</v>
      </c>
      <c r="BW2067" t="s">
        <v>0</v>
      </c>
      <c r="BX2067">
        <v>0</v>
      </c>
      <c r="BY2067">
        <v>0</v>
      </c>
      <c r="BZ2067">
        <v>0</v>
      </c>
      <c r="CA2067">
        <v>0</v>
      </c>
      <c r="CB2067" t="s">
        <v>145</v>
      </c>
    </row>
    <row r="2068" spans="67:80" x14ac:dyDescent="0.25">
      <c r="BO2068">
        <v>0</v>
      </c>
      <c r="BP2068">
        <v>0</v>
      </c>
      <c r="BQ2068">
        <v>0</v>
      </c>
      <c r="BR2068">
        <v>0</v>
      </c>
      <c r="BS2068">
        <v>0</v>
      </c>
      <c r="BT2068">
        <v>0</v>
      </c>
      <c r="BU2068">
        <v>0</v>
      </c>
      <c r="BV2068">
        <v>0</v>
      </c>
      <c r="BW2068" t="s">
        <v>0</v>
      </c>
      <c r="BX2068">
        <v>0</v>
      </c>
      <c r="BY2068">
        <v>0</v>
      </c>
      <c r="BZ2068">
        <v>0</v>
      </c>
      <c r="CA2068">
        <v>0</v>
      </c>
      <c r="CB2068" t="s">
        <v>145</v>
      </c>
    </row>
    <row r="2069" spans="67:80" x14ac:dyDescent="0.25">
      <c r="BO2069">
        <v>0</v>
      </c>
      <c r="BP2069">
        <v>0</v>
      </c>
      <c r="BQ2069">
        <v>0</v>
      </c>
      <c r="BR2069">
        <v>0</v>
      </c>
      <c r="BS2069">
        <v>0</v>
      </c>
      <c r="BT2069">
        <v>0</v>
      </c>
      <c r="BU2069">
        <v>0</v>
      </c>
      <c r="BV2069">
        <v>0</v>
      </c>
      <c r="BW2069" t="s">
        <v>0</v>
      </c>
      <c r="BX2069">
        <v>0</v>
      </c>
      <c r="BY2069">
        <v>0</v>
      </c>
      <c r="BZ2069">
        <v>0</v>
      </c>
      <c r="CA2069">
        <v>0</v>
      </c>
      <c r="CB2069" t="s">
        <v>145</v>
      </c>
    </row>
    <row r="2070" spans="67:80" x14ac:dyDescent="0.25">
      <c r="BO2070">
        <v>0</v>
      </c>
      <c r="BP2070">
        <v>0</v>
      </c>
      <c r="BQ2070">
        <v>0</v>
      </c>
      <c r="BR2070">
        <v>0</v>
      </c>
      <c r="BS2070">
        <v>0</v>
      </c>
      <c r="BT2070">
        <v>0</v>
      </c>
      <c r="BU2070">
        <v>0</v>
      </c>
      <c r="BV2070">
        <v>0</v>
      </c>
      <c r="BW2070" t="s">
        <v>0</v>
      </c>
      <c r="BX2070">
        <v>0</v>
      </c>
      <c r="BY2070">
        <v>0</v>
      </c>
      <c r="BZ2070">
        <v>0</v>
      </c>
      <c r="CA2070">
        <v>0</v>
      </c>
      <c r="CB2070" t="s">
        <v>145</v>
      </c>
    </row>
    <row r="2071" spans="67:80" x14ac:dyDescent="0.25">
      <c r="BO2071">
        <v>0</v>
      </c>
      <c r="BP2071">
        <v>0</v>
      </c>
      <c r="BQ2071">
        <v>0</v>
      </c>
      <c r="BR2071">
        <v>0</v>
      </c>
      <c r="BS2071">
        <v>0</v>
      </c>
      <c r="BT2071">
        <v>0</v>
      </c>
      <c r="BU2071">
        <v>0</v>
      </c>
      <c r="BV2071">
        <v>0</v>
      </c>
      <c r="BW2071" t="s">
        <v>0</v>
      </c>
      <c r="BX2071">
        <v>0</v>
      </c>
      <c r="BY2071">
        <v>0</v>
      </c>
      <c r="BZ2071">
        <v>0</v>
      </c>
      <c r="CA2071">
        <v>0</v>
      </c>
      <c r="CB2071" t="s">
        <v>145</v>
      </c>
    </row>
    <row r="2072" spans="67:80" x14ac:dyDescent="0.25">
      <c r="BO2072">
        <v>0</v>
      </c>
      <c r="BP2072">
        <v>0</v>
      </c>
      <c r="BQ2072">
        <v>0</v>
      </c>
      <c r="BR2072">
        <v>0</v>
      </c>
      <c r="BS2072">
        <v>0</v>
      </c>
      <c r="BT2072">
        <v>0</v>
      </c>
      <c r="BU2072">
        <v>0</v>
      </c>
      <c r="BV2072">
        <v>0</v>
      </c>
      <c r="BW2072" t="s">
        <v>0</v>
      </c>
      <c r="BX2072">
        <v>0</v>
      </c>
      <c r="BY2072">
        <v>0</v>
      </c>
      <c r="BZ2072">
        <v>0</v>
      </c>
      <c r="CA2072">
        <v>0</v>
      </c>
      <c r="CB2072" t="s">
        <v>145</v>
      </c>
    </row>
    <row r="2073" spans="67:80" x14ac:dyDescent="0.25">
      <c r="BO2073">
        <v>0</v>
      </c>
      <c r="BP2073">
        <v>0</v>
      </c>
      <c r="BQ2073">
        <v>0</v>
      </c>
      <c r="BR2073">
        <v>0</v>
      </c>
      <c r="BS2073">
        <v>0</v>
      </c>
      <c r="BT2073">
        <v>0</v>
      </c>
      <c r="BU2073">
        <v>0</v>
      </c>
      <c r="BV2073">
        <v>0</v>
      </c>
      <c r="BW2073" t="s">
        <v>0</v>
      </c>
      <c r="BX2073">
        <v>0</v>
      </c>
      <c r="BY2073">
        <v>0</v>
      </c>
      <c r="BZ2073">
        <v>0</v>
      </c>
      <c r="CA2073">
        <v>0</v>
      </c>
      <c r="CB2073" t="s">
        <v>145</v>
      </c>
    </row>
    <row r="2074" spans="67:80" x14ac:dyDescent="0.25">
      <c r="BO2074">
        <v>0</v>
      </c>
      <c r="BP2074">
        <v>0</v>
      </c>
      <c r="BQ2074">
        <v>0</v>
      </c>
      <c r="BR2074">
        <v>0</v>
      </c>
      <c r="BS2074">
        <v>0</v>
      </c>
      <c r="BT2074">
        <v>0</v>
      </c>
      <c r="BU2074">
        <v>0</v>
      </c>
      <c r="BV2074">
        <v>0</v>
      </c>
      <c r="BW2074" t="s">
        <v>0</v>
      </c>
      <c r="BX2074">
        <v>0</v>
      </c>
      <c r="BY2074">
        <v>0</v>
      </c>
      <c r="BZ2074">
        <v>0</v>
      </c>
      <c r="CA2074">
        <v>0</v>
      </c>
      <c r="CB2074" t="s">
        <v>145</v>
      </c>
    </row>
    <row r="2075" spans="67:80" x14ac:dyDescent="0.25">
      <c r="BO2075">
        <v>0</v>
      </c>
      <c r="BP2075">
        <v>0</v>
      </c>
      <c r="BQ2075">
        <v>0</v>
      </c>
      <c r="BR2075">
        <v>0</v>
      </c>
      <c r="BS2075">
        <v>0</v>
      </c>
      <c r="BT2075">
        <v>0</v>
      </c>
      <c r="BU2075">
        <v>0</v>
      </c>
      <c r="BV2075">
        <v>0</v>
      </c>
      <c r="BW2075" t="s">
        <v>0</v>
      </c>
      <c r="BX2075">
        <v>0</v>
      </c>
      <c r="BY2075">
        <v>0</v>
      </c>
      <c r="BZ2075">
        <v>0</v>
      </c>
      <c r="CA2075">
        <v>0</v>
      </c>
      <c r="CB2075" t="s">
        <v>145</v>
      </c>
    </row>
    <row r="2076" spans="67:80" x14ac:dyDescent="0.25">
      <c r="BO2076">
        <v>0</v>
      </c>
      <c r="BP2076">
        <v>0</v>
      </c>
      <c r="BQ2076">
        <v>0</v>
      </c>
      <c r="BR2076">
        <v>0</v>
      </c>
      <c r="BS2076">
        <v>0</v>
      </c>
      <c r="BT2076">
        <v>0</v>
      </c>
      <c r="BU2076">
        <v>0</v>
      </c>
      <c r="BV2076">
        <v>0</v>
      </c>
      <c r="BW2076" t="s">
        <v>0</v>
      </c>
      <c r="BX2076">
        <v>0</v>
      </c>
      <c r="BY2076">
        <v>0</v>
      </c>
      <c r="BZ2076">
        <v>0</v>
      </c>
      <c r="CA2076">
        <v>0</v>
      </c>
      <c r="CB2076" t="s">
        <v>145</v>
      </c>
    </row>
    <row r="2077" spans="67:80" x14ac:dyDescent="0.25">
      <c r="BO2077">
        <v>0</v>
      </c>
      <c r="BP2077">
        <v>0</v>
      </c>
      <c r="BQ2077">
        <v>0</v>
      </c>
      <c r="BR2077">
        <v>0</v>
      </c>
      <c r="BS2077">
        <v>0</v>
      </c>
      <c r="BT2077">
        <v>0</v>
      </c>
      <c r="BU2077">
        <v>0</v>
      </c>
      <c r="BV2077">
        <v>0</v>
      </c>
      <c r="BW2077" t="s">
        <v>0</v>
      </c>
      <c r="BX2077">
        <v>0</v>
      </c>
      <c r="BY2077">
        <v>0</v>
      </c>
      <c r="BZ2077">
        <v>0</v>
      </c>
      <c r="CA2077">
        <v>0</v>
      </c>
      <c r="CB2077" t="s">
        <v>145</v>
      </c>
    </row>
    <row r="2078" spans="67:80" x14ac:dyDescent="0.25">
      <c r="BO2078">
        <v>0</v>
      </c>
      <c r="BP2078">
        <v>0</v>
      </c>
      <c r="BQ2078">
        <v>0</v>
      </c>
      <c r="BR2078">
        <v>0</v>
      </c>
      <c r="BS2078">
        <v>0</v>
      </c>
      <c r="BT2078">
        <v>0</v>
      </c>
      <c r="BU2078">
        <v>0</v>
      </c>
      <c r="BV2078">
        <v>0</v>
      </c>
      <c r="BW2078" t="s">
        <v>0</v>
      </c>
      <c r="BX2078">
        <v>0</v>
      </c>
      <c r="BY2078">
        <v>0</v>
      </c>
      <c r="BZ2078">
        <v>0</v>
      </c>
      <c r="CA2078">
        <v>0</v>
      </c>
      <c r="CB2078" t="s">
        <v>145</v>
      </c>
    </row>
    <row r="2079" spans="67:80" x14ac:dyDescent="0.25">
      <c r="BO2079">
        <v>0</v>
      </c>
      <c r="BP2079">
        <v>0</v>
      </c>
      <c r="BQ2079">
        <v>0</v>
      </c>
      <c r="BR2079">
        <v>0</v>
      </c>
      <c r="BS2079">
        <v>0</v>
      </c>
      <c r="BT2079">
        <v>0</v>
      </c>
      <c r="BU2079">
        <v>0</v>
      </c>
      <c r="BV2079">
        <v>0</v>
      </c>
      <c r="BW2079" t="s">
        <v>0</v>
      </c>
      <c r="BX2079">
        <v>0</v>
      </c>
      <c r="BY2079">
        <v>0</v>
      </c>
      <c r="BZ2079">
        <v>0</v>
      </c>
      <c r="CA2079">
        <v>0</v>
      </c>
      <c r="CB2079" t="s">
        <v>145</v>
      </c>
    </row>
    <row r="2080" spans="67:80" x14ac:dyDescent="0.25">
      <c r="BO2080">
        <v>0</v>
      </c>
      <c r="BP2080">
        <v>0</v>
      </c>
      <c r="BQ2080">
        <v>0</v>
      </c>
      <c r="BR2080">
        <v>0</v>
      </c>
      <c r="BS2080">
        <v>0</v>
      </c>
      <c r="BT2080">
        <v>0</v>
      </c>
      <c r="BU2080">
        <v>0</v>
      </c>
      <c r="BV2080">
        <v>0</v>
      </c>
      <c r="BW2080" t="s">
        <v>0</v>
      </c>
      <c r="BX2080">
        <v>0</v>
      </c>
      <c r="BY2080">
        <v>0</v>
      </c>
      <c r="BZ2080">
        <v>0</v>
      </c>
      <c r="CA2080">
        <v>0</v>
      </c>
      <c r="CB2080" t="s">
        <v>145</v>
      </c>
    </row>
    <row r="2081" spans="67:80" x14ac:dyDescent="0.25">
      <c r="BO2081">
        <v>0</v>
      </c>
      <c r="BP2081">
        <v>0</v>
      </c>
      <c r="BQ2081">
        <v>0</v>
      </c>
      <c r="BR2081">
        <v>0</v>
      </c>
      <c r="BS2081">
        <v>0</v>
      </c>
      <c r="BT2081">
        <v>0</v>
      </c>
      <c r="BU2081">
        <v>0</v>
      </c>
      <c r="BV2081">
        <v>0</v>
      </c>
      <c r="BW2081" t="s">
        <v>0</v>
      </c>
      <c r="BX2081">
        <v>0</v>
      </c>
      <c r="BY2081">
        <v>0</v>
      </c>
      <c r="BZ2081">
        <v>0</v>
      </c>
      <c r="CA2081">
        <v>0</v>
      </c>
      <c r="CB2081" t="s">
        <v>145</v>
      </c>
    </row>
    <row r="2082" spans="67:80" x14ac:dyDescent="0.25">
      <c r="BO2082">
        <v>0</v>
      </c>
      <c r="BP2082">
        <v>0</v>
      </c>
      <c r="BQ2082">
        <v>0</v>
      </c>
      <c r="BR2082">
        <v>0</v>
      </c>
      <c r="BS2082">
        <v>0</v>
      </c>
      <c r="BT2082">
        <v>0</v>
      </c>
      <c r="BU2082">
        <v>0</v>
      </c>
      <c r="BV2082">
        <v>0</v>
      </c>
      <c r="BW2082" t="s">
        <v>0</v>
      </c>
      <c r="BX2082">
        <v>0</v>
      </c>
      <c r="BY2082">
        <v>0</v>
      </c>
      <c r="BZ2082">
        <v>0</v>
      </c>
      <c r="CA2082">
        <v>0</v>
      </c>
      <c r="CB2082" t="s">
        <v>145</v>
      </c>
    </row>
    <row r="2083" spans="67:80" x14ac:dyDescent="0.25">
      <c r="BO2083">
        <v>0</v>
      </c>
      <c r="BP2083">
        <v>0</v>
      </c>
      <c r="BQ2083">
        <v>0</v>
      </c>
      <c r="BR2083">
        <v>0</v>
      </c>
      <c r="BS2083">
        <v>0</v>
      </c>
      <c r="BT2083">
        <v>0</v>
      </c>
      <c r="BU2083">
        <v>0</v>
      </c>
      <c r="BV2083">
        <v>0</v>
      </c>
      <c r="BW2083" t="s">
        <v>0</v>
      </c>
      <c r="BX2083">
        <v>0</v>
      </c>
      <c r="BY2083">
        <v>0</v>
      </c>
      <c r="BZ2083">
        <v>0</v>
      </c>
      <c r="CA2083">
        <v>0</v>
      </c>
      <c r="CB2083" t="s">
        <v>145</v>
      </c>
    </row>
    <row r="2084" spans="67:80" x14ac:dyDescent="0.25">
      <c r="BO2084">
        <v>0</v>
      </c>
      <c r="BP2084">
        <v>0</v>
      </c>
      <c r="BQ2084">
        <v>0</v>
      </c>
      <c r="BR2084">
        <v>0</v>
      </c>
      <c r="BS2084">
        <v>0</v>
      </c>
      <c r="BT2084">
        <v>0</v>
      </c>
      <c r="BU2084">
        <v>0</v>
      </c>
      <c r="BV2084">
        <v>0</v>
      </c>
      <c r="BW2084" t="s">
        <v>0</v>
      </c>
      <c r="BX2084">
        <v>0</v>
      </c>
      <c r="BY2084">
        <v>0</v>
      </c>
      <c r="BZ2084">
        <v>0</v>
      </c>
      <c r="CA2084">
        <v>0</v>
      </c>
      <c r="CB2084" t="s">
        <v>145</v>
      </c>
    </row>
    <row r="2085" spans="67:80" x14ac:dyDescent="0.25">
      <c r="BO2085">
        <v>0</v>
      </c>
      <c r="BP2085">
        <v>0</v>
      </c>
      <c r="BQ2085">
        <v>0</v>
      </c>
      <c r="BR2085">
        <v>0</v>
      </c>
      <c r="BS2085">
        <v>0</v>
      </c>
      <c r="BT2085">
        <v>0</v>
      </c>
      <c r="BU2085">
        <v>0</v>
      </c>
      <c r="BV2085">
        <v>0</v>
      </c>
      <c r="BW2085" t="s">
        <v>0</v>
      </c>
      <c r="BX2085">
        <v>0</v>
      </c>
      <c r="BY2085">
        <v>0</v>
      </c>
      <c r="BZ2085">
        <v>0</v>
      </c>
      <c r="CA2085">
        <v>0</v>
      </c>
      <c r="CB2085" t="s">
        <v>145</v>
      </c>
    </row>
    <row r="2086" spans="67:80" x14ac:dyDescent="0.25">
      <c r="BO2086">
        <v>0</v>
      </c>
      <c r="BP2086">
        <v>0</v>
      </c>
      <c r="BQ2086">
        <v>0</v>
      </c>
      <c r="BR2086">
        <v>0</v>
      </c>
      <c r="BS2086">
        <v>0</v>
      </c>
      <c r="BT2086">
        <v>0</v>
      </c>
      <c r="BU2086">
        <v>0</v>
      </c>
      <c r="BV2086">
        <v>0</v>
      </c>
      <c r="BW2086" t="s">
        <v>0</v>
      </c>
      <c r="BX2086">
        <v>0</v>
      </c>
      <c r="BY2086">
        <v>0</v>
      </c>
      <c r="BZ2086">
        <v>0</v>
      </c>
      <c r="CA2086">
        <v>0</v>
      </c>
      <c r="CB2086" t="s">
        <v>145</v>
      </c>
    </row>
    <row r="2087" spans="67:80" x14ac:dyDescent="0.25">
      <c r="BO2087">
        <v>0</v>
      </c>
      <c r="BP2087">
        <v>0</v>
      </c>
      <c r="BQ2087">
        <v>0</v>
      </c>
      <c r="BR2087">
        <v>0</v>
      </c>
      <c r="BS2087">
        <v>0</v>
      </c>
      <c r="BT2087">
        <v>0</v>
      </c>
      <c r="BU2087">
        <v>0</v>
      </c>
      <c r="BV2087">
        <v>0</v>
      </c>
      <c r="BW2087" t="s">
        <v>0</v>
      </c>
      <c r="BX2087">
        <v>0</v>
      </c>
      <c r="BY2087">
        <v>0</v>
      </c>
      <c r="BZ2087">
        <v>0</v>
      </c>
      <c r="CA2087">
        <v>0</v>
      </c>
      <c r="CB2087" t="s">
        <v>145</v>
      </c>
    </row>
    <row r="2088" spans="67:80" x14ac:dyDescent="0.25">
      <c r="BO2088">
        <v>0</v>
      </c>
      <c r="BP2088">
        <v>0</v>
      </c>
      <c r="BQ2088">
        <v>0</v>
      </c>
      <c r="BR2088">
        <v>0</v>
      </c>
      <c r="BS2088">
        <v>0</v>
      </c>
      <c r="BT2088">
        <v>0</v>
      </c>
      <c r="BU2088">
        <v>0</v>
      </c>
      <c r="BV2088">
        <v>0</v>
      </c>
      <c r="BW2088" t="s">
        <v>0</v>
      </c>
      <c r="BX2088">
        <v>0</v>
      </c>
      <c r="BY2088">
        <v>0</v>
      </c>
      <c r="BZ2088">
        <v>0</v>
      </c>
      <c r="CA2088">
        <v>0</v>
      </c>
      <c r="CB2088" t="s">
        <v>145</v>
      </c>
    </row>
    <row r="2089" spans="67:80" x14ac:dyDescent="0.25">
      <c r="BO2089">
        <v>0</v>
      </c>
      <c r="BP2089">
        <v>0</v>
      </c>
      <c r="BQ2089">
        <v>0</v>
      </c>
      <c r="BR2089">
        <v>0</v>
      </c>
      <c r="BS2089">
        <v>0</v>
      </c>
      <c r="BT2089">
        <v>0</v>
      </c>
      <c r="BU2089">
        <v>0</v>
      </c>
      <c r="BV2089">
        <v>0</v>
      </c>
      <c r="BW2089" t="s">
        <v>0</v>
      </c>
      <c r="BX2089">
        <v>0</v>
      </c>
      <c r="BY2089">
        <v>0</v>
      </c>
      <c r="BZ2089">
        <v>0</v>
      </c>
      <c r="CA2089">
        <v>0</v>
      </c>
      <c r="CB2089" t="s">
        <v>145</v>
      </c>
    </row>
    <row r="2090" spans="67:80" x14ac:dyDescent="0.25">
      <c r="BO2090">
        <v>0</v>
      </c>
      <c r="BP2090">
        <v>0</v>
      </c>
      <c r="BQ2090">
        <v>0</v>
      </c>
      <c r="BR2090">
        <v>0</v>
      </c>
      <c r="BS2090">
        <v>0</v>
      </c>
      <c r="BT2090">
        <v>0</v>
      </c>
      <c r="BU2090">
        <v>0</v>
      </c>
      <c r="BV2090">
        <v>0</v>
      </c>
      <c r="BW2090" t="s">
        <v>0</v>
      </c>
      <c r="BX2090">
        <v>0</v>
      </c>
      <c r="BY2090">
        <v>0</v>
      </c>
      <c r="BZ2090">
        <v>0</v>
      </c>
      <c r="CA2090">
        <v>0</v>
      </c>
      <c r="CB2090" t="s">
        <v>145</v>
      </c>
    </row>
    <row r="2091" spans="67:80" x14ac:dyDescent="0.25">
      <c r="BO2091">
        <v>0</v>
      </c>
      <c r="BP2091">
        <v>0</v>
      </c>
      <c r="BQ2091">
        <v>0</v>
      </c>
      <c r="BR2091">
        <v>0</v>
      </c>
      <c r="BS2091">
        <v>0</v>
      </c>
      <c r="BT2091">
        <v>0</v>
      </c>
      <c r="BU2091">
        <v>0</v>
      </c>
      <c r="BV2091">
        <v>0</v>
      </c>
      <c r="BW2091" t="s">
        <v>0</v>
      </c>
      <c r="BX2091">
        <v>0</v>
      </c>
      <c r="BY2091">
        <v>0</v>
      </c>
      <c r="BZ2091">
        <v>0</v>
      </c>
      <c r="CA2091">
        <v>0</v>
      </c>
      <c r="CB2091" t="s">
        <v>145</v>
      </c>
    </row>
    <row r="2092" spans="67:80" x14ac:dyDescent="0.25">
      <c r="BO2092">
        <v>0</v>
      </c>
      <c r="BP2092">
        <v>0</v>
      </c>
      <c r="BQ2092">
        <v>0</v>
      </c>
      <c r="BR2092">
        <v>0</v>
      </c>
      <c r="BS2092">
        <v>0</v>
      </c>
      <c r="BT2092">
        <v>0</v>
      </c>
      <c r="BU2092">
        <v>0</v>
      </c>
      <c r="BV2092">
        <v>0</v>
      </c>
      <c r="BW2092" t="s">
        <v>0</v>
      </c>
      <c r="BX2092">
        <v>0</v>
      </c>
      <c r="BY2092">
        <v>0</v>
      </c>
      <c r="BZ2092">
        <v>0</v>
      </c>
      <c r="CA2092">
        <v>0</v>
      </c>
      <c r="CB2092" t="s">
        <v>145</v>
      </c>
    </row>
    <row r="2093" spans="67:80" x14ac:dyDescent="0.25">
      <c r="BO2093">
        <v>0</v>
      </c>
      <c r="BP2093">
        <v>0</v>
      </c>
      <c r="BQ2093">
        <v>0</v>
      </c>
      <c r="BR2093">
        <v>0</v>
      </c>
      <c r="BS2093">
        <v>0</v>
      </c>
      <c r="BT2093">
        <v>0</v>
      </c>
      <c r="BU2093">
        <v>0</v>
      </c>
      <c r="BV2093">
        <v>0</v>
      </c>
      <c r="BW2093" t="s">
        <v>0</v>
      </c>
      <c r="BX2093">
        <v>0</v>
      </c>
      <c r="BY2093">
        <v>0</v>
      </c>
      <c r="BZ2093">
        <v>0</v>
      </c>
      <c r="CA2093">
        <v>0</v>
      </c>
      <c r="CB2093" t="s">
        <v>145</v>
      </c>
    </row>
    <row r="2094" spans="67:80" x14ac:dyDescent="0.25">
      <c r="BO2094">
        <v>0</v>
      </c>
      <c r="BP2094">
        <v>0</v>
      </c>
      <c r="BQ2094">
        <v>0</v>
      </c>
      <c r="BR2094">
        <v>0</v>
      </c>
      <c r="BS2094">
        <v>0</v>
      </c>
      <c r="BT2094">
        <v>0</v>
      </c>
      <c r="BU2094">
        <v>0</v>
      </c>
      <c r="BV2094">
        <v>0</v>
      </c>
      <c r="BW2094" t="s">
        <v>0</v>
      </c>
      <c r="BX2094">
        <v>0</v>
      </c>
      <c r="BY2094">
        <v>0</v>
      </c>
      <c r="BZ2094">
        <v>0</v>
      </c>
      <c r="CA2094">
        <v>0</v>
      </c>
      <c r="CB2094" t="s">
        <v>145</v>
      </c>
    </row>
    <row r="2095" spans="67:80" x14ac:dyDescent="0.25">
      <c r="BO2095">
        <v>0</v>
      </c>
      <c r="BP2095">
        <v>0</v>
      </c>
      <c r="BQ2095">
        <v>0</v>
      </c>
      <c r="BR2095">
        <v>0</v>
      </c>
      <c r="BS2095">
        <v>0</v>
      </c>
      <c r="BT2095">
        <v>0</v>
      </c>
      <c r="BU2095">
        <v>0</v>
      </c>
      <c r="BV2095">
        <v>0</v>
      </c>
      <c r="BW2095" t="s">
        <v>0</v>
      </c>
      <c r="BX2095">
        <v>0</v>
      </c>
      <c r="BY2095">
        <v>0</v>
      </c>
      <c r="BZ2095">
        <v>0</v>
      </c>
      <c r="CA2095">
        <v>0</v>
      </c>
      <c r="CB2095" t="s">
        <v>145</v>
      </c>
    </row>
    <row r="2096" spans="67:80" x14ac:dyDescent="0.25">
      <c r="BO2096">
        <v>0</v>
      </c>
      <c r="BP2096">
        <v>0</v>
      </c>
      <c r="BQ2096">
        <v>0</v>
      </c>
      <c r="BR2096">
        <v>0</v>
      </c>
      <c r="BS2096">
        <v>0</v>
      </c>
      <c r="BT2096">
        <v>0</v>
      </c>
      <c r="BU2096">
        <v>0</v>
      </c>
      <c r="BV2096">
        <v>0</v>
      </c>
      <c r="BW2096" t="s">
        <v>0</v>
      </c>
      <c r="BX2096">
        <v>0</v>
      </c>
      <c r="BY2096">
        <v>0</v>
      </c>
      <c r="BZ2096">
        <v>0</v>
      </c>
      <c r="CA2096">
        <v>0</v>
      </c>
      <c r="CB2096" t="s">
        <v>145</v>
      </c>
    </row>
    <row r="2097" spans="67:80" x14ac:dyDescent="0.25">
      <c r="BO2097">
        <v>0</v>
      </c>
      <c r="BP2097">
        <v>0</v>
      </c>
      <c r="BQ2097">
        <v>0</v>
      </c>
      <c r="BR2097">
        <v>0</v>
      </c>
      <c r="BS2097">
        <v>0</v>
      </c>
      <c r="BT2097">
        <v>0</v>
      </c>
      <c r="BU2097">
        <v>0</v>
      </c>
      <c r="BV2097">
        <v>0</v>
      </c>
      <c r="BW2097" t="s">
        <v>0</v>
      </c>
      <c r="BX2097">
        <v>0</v>
      </c>
      <c r="BY2097">
        <v>0</v>
      </c>
      <c r="BZ2097">
        <v>0</v>
      </c>
      <c r="CA2097">
        <v>0</v>
      </c>
      <c r="CB2097" t="s">
        <v>145</v>
      </c>
    </row>
    <row r="2098" spans="67:80" x14ac:dyDescent="0.25">
      <c r="BO2098">
        <v>0</v>
      </c>
      <c r="BP2098">
        <v>0</v>
      </c>
      <c r="BQ2098">
        <v>0</v>
      </c>
      <c r="BR2098">
        <v>0</v>
      </c>
      <c r="BS2098">
        <v>0</v>
      </c>
      <c r="BT2098">
        <v>0</v>
      </c>
      <c r="BU2098">
        <v>0</v>
      </c>
      <c r="BV2098">
        <v>0</v>
      </c>
      <c r="BW2098" t="s">
        <v>0</v>
      </c>
      <c r="BX2098">
        <v>0</v>
      </c>
      <c r="BY2098">
        <v>0</v>
      </c>
      <c r="BZ2098">
        <v>0</v>
      </c>
      <c r="CA2098">
        <v>0</v>
      </c>
      <c r="CB2098" t="s">
        <v>145</v>
      </c>
    </row>
    <row r="2099" spans="67:80" x14ac:dyDescent="0.25">
      <c r="BO2099">
        <v>0</v>
      </c>
      <c r="BP2099">
        <v>0</v>
      </c>
      <c r="BQ2099">
        <v>0</v>
      </c>
      <c r="BR2099">
        <v>0</v>
      </c>
      <c r="BS2099">
        <v>0</v>
      </c>
      <c r="BT2099">
        <v>0</v>
      </c>
      <c r="BU2099">
        <v>0</v>
      </c>
      <c r="BV2099">
        <v>0</v>
      </c>
      <c r="BW2099" t="s">
        <v>0</v>
      </c>
      <c r="BX2099">
        <v>0</v>
      </c>
      <c r="BY2099">
        <v>0</v>
      </c>
      <c r="BZ2099">
        <v>0</v>
      </c>
      <c r="CA2099">
        <v>0</v>
      </c>
      <c r="CB2099" t="s">
        <v>145</v>
      </c>
    </row>
    <row r="2100" spans="67:80" x14ac:dyDescent="0.25">
      <c r="BO2100">
        <v>0</v>
      </c>
      <c r="BP2100">
        <v>0</v>
      </c>
      <c r="BQ2100">
        <v>0</v>
      </c>
      <c r="BR2100">
        <v>0</v>
      </c>
      <c r="BS2100">
        <v>0</v>
      </c>
      <c r="BT2100">
        <v>0</v>
      </c>
      <c r="BU2100">
        <v>0</v>
      </c>
      <c r="BV2100">
        <v>0</v>
      </c>
      <c r="BW2100" t="s">
        <v>0</v>
      </c>
      <c r="BX2100">
        <v>0</v>
      </c>
      <c r="BY2100">
        <v>0</v>
      </c>
      <c r="BZ2100">
        <v>0</v>
      </c>
      <c r="CA2100">
        <v>0</v>
      </c>
      <c r="CB2100" t="s">
        <v>145</v>
      </c>
    </row>
    <row r="2101" spans="67:80" x14ac:dyDescent="0.25">
      <c r="BO2101">
        <v>0</v>
      </c>
      <c r="BP2101">
        <v>0</v>
      </c>
      <c r="BQ2101">
        <v>0</v>
      </c>
      <c r="BR2101">
        <v>0</v>
      </c>
      <c r="BS2101">
        <v>0</v>
      </c>
      <c r="BT2101">
        <v>0</v>
      </c>
      <c r="BU2101">
        <v>0</v>
      </c>
      <c r="BV2101">
        <v>0</v>
      </c>
      <c r="BW2101" t="s">
        <v>0</v>
      </c>
      <c r="BX2101">
        <v>0</v>
      </c>
      <c r="BY2101">
        <v>0</v>
      </c>
      <c r="BZ2101">
        <v>0</v>
      </c>
      <c r="CA2101">
        <v>0</v>
      </c>
      <c r="CB2101" t="s">
        <v>145</v>
      </c>
    </row>
    <row r="2102" spans="67:80" x14ac:dyDescent="0.25">
      <c r="BO2102">
        <v>0</v>
      </c>
      <c r="BP2102">
        <v>0</v>
      </c>
      <c r="BQ2102">
        <v>0</v>
      </c>
      <c r="BR2102">
        <v>0</v>
      </c>
      <c r="BS2102">
        <v>0</v>
      </c>
      <c r="BT2102">
        <v>0</v>
      </c>
      <c r="BU2102">
        <v>0</v>
      </c>
      <c r="BV2102">
        <v>0</v>
      </c>
      <c r="BW2102" t="s">
        <v>0</v>
      </c>
      <c r="BX2102">
        <v>0</v>
      </c>
      <c r="BY2102">
        <v>0</v>
      </c>
      <c r="BZ2102">
        <v>0</v>
      </c>
      <c r="CA2102">
        <v>0</v>
      </c>
      <c r="CB2102" t="s">
        <v>145</v>
      </c>
    </row>
    <row r="2103" spans="67:80" x14ac:dyDescent="0.25">
      <c r="BO2103">
        <v>0</v>
      </c>
      <c r="BP2103">
        <v>0</v>
      </c>
      <c r="BQ2103">
        <v>0</v>
      </c>
      <c r="BR2103">
        <v>0</v>
      </c>
      <c r="BS2103">
        <v>0</v>
      </c>
      <c r="BT2103">
        <v>0</v>
      </c>
      <c r="BU2103">
        <v>0</v>
      </c>
      <c r="BV2103">
        <v>0</v>
      </c>
      <c r="BW2103" t="s">
        <v>0</v>
      </c>
      <c r="BX2103">
        <v>0</v>
      </c>
      <c r="BY2103">
        <v>0</v>
      </c>
      <c r="BZ2103">
        <v>0</v>
      </c>
      <c r="CA2103">
        <v>0</v>
      </c>
      <c r="CB2103" t="s">
        <v>145</v>
      </c>
    </row>
    <row r="2104" spans="67:80" x14ac:dyDescent="0.25">
      <c r="BO2104">
        <v>0</v>
      </c>
      <c r="BP2104">
        <v>0</v>
      </c>
      <c r="BQ2104">
        <v>0</v>
      </c>
      <c r="BR2104">
        <v>0</v>
      </c>
      <c r="BS2104">
        <v>0</v>
      </c>
      <c r="BT2104">
        <v>0</v>
      </c>
      <c r="BU2104">
        <v>0</v>
      </c>
      <c r="BV2104">
        <v>0</v>
      </c>
      <c r="BW2104" t="s">
        <v>0</v>
      </c>
      <c r="BX2104">
        <v>0</v>
      </c>
      <c r="BY2104">
        <v>0</v>
      </c>
      <c r="BZ2104">
        <v>0</v>
      </c>
      <c r="CA2104">
        <v>0</v>
      </c>
      <c r="CB2104" t="s">
        <v>145</v>
      </c>
    </row>
    <row r="2105" spans="67:80" x14ac:dyDescent="0.25">
      <c r="BO2105">
        <v>0</v>
      </c>
      <c r="BP2105">
        <v>0</v>
      </c>
      <c r="BQ2105">
        <v>0</v>
      </c>
      <c r="BR2105">
        <v>0</v>
      </c>
      <c r="BS2105">
        <v>0</v>
      </c>
      <c r="BT2105">
        <v>0</v>
      </c>
      <c r="BU2105">
        <v>0</v>
      </c>
      <c r="BV2105">
        <v>0</v>
      </c>
      <c r="BW2105" t="s">
        <v>0</v>
      </c>
      <c r="BX2105">
        <v>0</v>
      </c>
      <c r="BY2105">
        <v>0</v>
      </c>
      <c r="BZ2105">
        <v>0</v>
      </c>
      <c r="CA2105">
        <v>0</v>
      </c>
      <c r="CB2105" t="s">
        <v>145</v>
      </c>
    </row>
    <row r="2106" spans="67:80" x14ac:dyDescent="0.25">
      <c r="BO2106">
        <v>0</v>
      </c>
      <c r="BP2106">
        <v>0</v>
      </c>
      <c r="BQ2106">
        <v>0</v>
      </c>
      <c r="BR2106">
        <v>0</v>
      </c>
      <c r="BS2106">
        <v>0</v>
      </c>
      <c r="BT2106">
        <v>0</v>
      </c>
      <c r="BU2106">
        <v>0</v>
      </c>
      <c r="BV2106">
        <v>0</v>
      </c>
      <c r="BW2106" t="s">
        <v>0</v>
      </c>
      <c r="BX2106">
        <v>0</v>
      </c>
      <c r="BY2106">
        <v>0</v>
      </c>
      <c r="BZ2106">
        <v>0</v>
      </c>
      <c r="CA2106">
        <v>0</v>
      </c>
      <c r="CB2106" t="s">
        <v>145</v>
      </c>
    </row>
    <row r="2107" spans="67:80" x14ac:dyDescent="0.25">
      <c r="BO2107">
        <v>0</v>
      </c>
      <c r="BP2107">
        <v>0</v>
      </c>
      <c r="BQ2107">
        <v>0</v>
      </c>
      <c r="BR2107">
        <v>0</v>
      </c>
      <c r="BS2107">
        <v>0</v>
      </c>
      <c r="BT2107">
        <v>0</v>
      </c>
      <c r="BU2107">
        <v>0</v>
      </c>
      <c r="BV2107">
        <v>0</v>
      </c>
      <c r="BW2107" t="s">
        <v>0</v>
      </c>
      <c r="BX2107">
        <v>0</v>
      </c>
      <c r="BY2107">
        <v>0</v>
      </c>
      <c r="BZ2107">
        <v>0</v>
      </c>
      <c r="CA2107">
        <v>0</v>
      </c>
      <c r="CB2107" t="s">
        <v>145</v>
      </c>
    </row>
    <row r="2108" spans="67:80" x14ac:dyDescent="0.25">
      <c r="BO2108">
        <v>0</v>
      </c>
      <c r="BP2108">
        <v>0</v>
      </c>
      <c r="BQ2108">
        <v>0</v>
      </c>
      <c r="BR2108">
        <v>0</v>
      </c>
      <c r="BS2108">
        <v>0</v>
      </c>
      <c r="BT2108">
        <v>0</v>
      </c>
      <c r="BU2108">
        <v>0</v>
      </c>
      <c r="BV2108">
        <v>0</v>
      </c>
      <c r="BW2108" t="s">
        <v>0</v>
      </c>
      <c r="BX2108">
        <v>0</v>
      </c>
      <c r="BY2108">
        <v>0</v>
      </c>
      <c r="BZ2108">
        <v>0</v>
      </c>
      <c r="CA2108">
        <v>0</v>
      </c>
      <c r="CB2108" t="s">
        <v>145</v>
      </c>
    </row>
    <row r="2109" spans="67:80" x14ac:dyDescent="0.25">
      <c r="BO2109">
        <v>0</v>
      </c>
      <c r="BP2109">
        <v>0</v>
      </c>
      <c r="BQ2109">
        <v>0</v>
      </c>
      <c r="BR2109">
        <v>0</v>
      </c>
      <c r="BS2109">
        <v>0</v>
      </c>
      <c r="BT2109">
        <v>0</v>
      </c>
      <c r="BU2109">
        <v>0</v>
      </c>
      <c r="BV2109">
        <v>0</v>
      </c>
      <c r="BW2109" t="s">
        <v>0</v>
      </c>
      <c r="BX2109">
        <v>0</v>
      </c>
      <c r="BY2109">
        <v>0</v>
      </c>
      <c r="BZ2109">
        <v>0</v>
      </c>
      <c r="CA2109">
        <v>0</v>
      </c>
      <c r="CB2109" t="s">
        <v>145</v>
      </c>
    </row>
    <row r="2110" spans="67:80" x14ac:dyDescent="0.25">
      <c r="BO2110">
        <v>0</v>
      </c>
      <c r="BP2110">
        <v>0</v>
      </c>
      <c r="BQ2110">
        <v>0</v>
      </c>
      <c r="BR2110">
        <v>0</v>
      </c>
      <c r="BS2110">
        <v>0</v>
      </c>
      <c r="BT2110">
        <v>0</v>
      </c>
      <c r="BU2110">
        <v>0</v>
      </c>
      <c r="BV2110">
        <v>0</v>
      </c>
      <c r="BW2110" t="s">
        <v>0</v>
      </c>
      <c r="BX2110">
        <v>0</v>
      </c>
      <c r="BY2110">
        <v>0</v>
      </c>
      <c r="BZ2110">
        <v>0</v>
      </c>
      <c r="CA2110">
        <v>0</v>
      </c>
      <c r="CB2110" t="s">
        <v>145</v>
      </c>
    </row>
    <row r="2111" spans="67:80" x14ac:dyDescent="0.25">
      <c r="BO2111">
        <v>0</v>
      </c>
      <c r="BP2111">
        <v>0</v>
      </c>
      <c r="BQ2111">
        <v>0</v>
      </c>
      <c r="BR2111">
        <v>0</v>
      </c>
      <c r="BS2111">
        <v>0</v>
      </c>
      <c r="BT2111">
        <v>0</v>
      </c>
      <c r="BU2111">
        <v>0</v>
      </c>
      <c r="BV2111">
        <v>0</v>
      </c>
      <c r="BW2111" t="s">
        <v>0</v>
      </c>
      <c r="BX2111">
        <v>0</v>
      </c>
      <c r="BY2111">
        <v>0</v>
      </c>
      <c r="BZ2111">
        <v>0</v>
      </c>
      <c r="CA2111">
        <v>0</v>
      </c>
      <c r="CB2111" t="s">
        <v>145</v>
      </c>
    </row>
    <row r="2112" spans="67:80" x14ac:dyDescent="0.25">
      <c r="BO2112">
        <v>0</v>
      </c>
      <c r="BP2112">
        <v>0</v>
      </c>
      <c r="BQ2112">
        <v>0</v>
      </c>
      <c r="BR2112">
        <v>0</v>
      </c>
      <c r="BS2112">
        <v>0</v>
      </c>
      <c r="BT2112">
        <v>0</v>
      </c>
      <c r="BU2112">
        <v>0</v>
      </c>
      <c r="BV2112">
        <v>0</v>
      </c>
      <c r="BW2112" t="s">
        <v>0</v>
      </c>
      <c r="BX2112">
        <v>0</v>
      </c>
      <c r="BY2112">
        <v>0</v>
      </c>
      <c r="BZ2112">
        <v>0</v>
      </c>
      <c r="CA2112">
        <v>0</v>
      </c>
      <c r="CB2112" t="s">
        <v>145</v>
      </c>
    </row>
    <row r="2113" spans="67:80" x14ac:dyDescent="0.25">
      <c r="BO2113">
        <v>0</v>
      </c>
      <c r="BP2113">
        <v>0</v>
      </c>
      <c r="BQ2113">
        <v>0</v>
      </c>
      <c r="BR2113">
        <v>0</v>
      </c>
      <c r="BS2113">
        <v>0</v>
      </c>
      <c r="BT2113">
        <v>0</v>
      </c>
      <c r="BU2113">
        <v>0</v>
      </c>
      <c r="BV2113">
        <v>0</v>
      </c>
      <c r="BW2113" t="s">
        <v>0</v>
      </c>
      <c r="BX2113">
        <v>0</v>
      </c>
      <c r="BY2113">
        <v>0</v>
      </c>
      <c r="BZ2113">
        <v>0</v>
      </c>
      <c r="CA2113">
        <v>0</v>
      </c>
      <c r="CB2113" t="s">
        <v>145</v>
      </c>
    </row>
    <row r="2114" spans="67:80" x14ac:dyDescent="0.25">
      <c r="BO2114">
        <v>0</v>
      </c>
      <c r="BP2114">
        <v>0</v>
      </c>
      <c r="BQ2114">
        <v>0</v>
      </c>
      <c r="BR2114">
        <v>0</v>
      </c>
      <c r="BS2114">
        <v>0</v>
      </c>
      <c r="BT2114">
        <v>0</v>
      </c>
      <c r="BU2114">
        <v>0</v>
      </c>
      <c r="BV2114">
        <v>0</v>
      </c>
      <c r="BW2114" t="s">
        <v>0</v>
      </c>
      <c r="BX2114">
        <v>0</v>
      </c>
      <c r="BY2114">
        <v>0</v>
      </c>
      <c r="BZ2114">
        <v>0</v>
      </c>
      <c r="CA2114">
        <v>0</v>
      </c>
      <c r="CB2114" t="s">
        <v>145</v>
      </c>
    </row>
    <row r="2115" spans="67:80" x14ac:dyDescent="0.25">
      <c r="BO2115">
        <v>0</v>
      </c>
      <c r="BP2115">
        <v>0</v>
      </c>
      <c r="BQ2115">
        <v>0</v>
      </c>
      <c r="BR2115">
        <v>0</v>
      </c>
      <c r="BS2115">
        <v>0</v>
      </c>
      <c r="BT2115">
        <v>0</v>
      </c>
      <c r="BU2115">
        <v>0</v>
      </c>
      <c r="BV2115">
        <v>0</v>
      </c>
      <c r="BW2115" t="s">
        <v>0</v>
      </c>
      <c r="BX2115">
        <v>0</v>
      </c>
      <c r="BY2115">
        <v>0</v>
      </c>
      <c r="BZ2115">
        <v>0</v>
      </c>
      <c r="CA2115">
        <v>0</v>
      </c>
      <c r="CB2115" t="s">
        <v>145</v>
      </c>
    </row>
    <row r="2116" spans="67:80" x14ac:dyDescent="0.25">
      <c r="BO2116">
        <v>0</v>
      </c>
      <c r="BP2116">
        <v>0</v>
      </c>
      <c r="BQ2116">
        <v>0</v>
      </c>
      <c r="BR2116">
        <v>0</v>
      </c>
      <c r="BS2116">
        <v>0</v>
      </c>
      <c r="BT2116">
        <v>0</v>
      </c>
      <c r="BU2116">
        <v>0</v>
      </c>
      <c r="BV2116">
        <v>0</v>
      </c>
      <c r="BW2116" t="s">
        <v>0</v>
      </c>
      <c r="BX2116">
        <v>0</v>
      </c>
      <c r="BY2116">
        <v>0</v>
      </c>
      <c r="BZ2116">
        <v>0</v>
      </c>
      <c r="CA2116">
        <v>0</v>
      </c>
      <c r="CB2116" t="s">
        <v>145</v>
      </c>
    </row>
    <row r="2117" spans="67:80" x14ac:dyDescent="0.25">
      <c r="BO2117">
        <v>0</v>
      </c>
      <c r="BP2117">
        <v>0</v>
      </c>
      <c r="BQ2117">
        <v>0</v>
      </c>
      <c r="BR2117">
        <v>0</v>
      </c>
      <c r="BS2117">
        <v>0</v>
      </c>
      <c r="BT2117">
        <v>0</v>
      </c>
      <c r="BU2117">
        <v>0</v>
      </c>
      <c r="BV2117">
        <v>0</v>
      </c>
      <c r="BW2117" t="s">
        <v>0</v>
      </c>
      <c r="BX2117">
        <v>0</v>
      </c>
      <c r="BY2117">
        <v>0</v>
      </c>
      <c r="BZ2117">
        <v>0</v>
      </c>
      <c r="CA2117">
        <v>0</v>
      </c>
      <c r="CB2117" t="s">
        <v>145</v>
      </c>
    </row>
    <row r="2118" spans="67:80" x14ac:dyDescent="0.25">
      <c r="BO2118">
        <v>0</v>
      </c>
      <c r="BP2118">
        <v>0</v>
      </c>
      <c r="BQ2118">
        <v>0</v>
      </c>
      <c r="BR2118">
        <v>0</v>
      </c>
      <c r="BS2118">
        <v>0</v>
      </c>
      <c r="BT2118">
        <v>0</v>
      </c>
      <c r="BU2118">
        <v>0</v>
      </c>
      <c r="BV2118">
        <v>0</v>
      </c>
      <c r="BW2118" t="s">
        <v>0</v>
      </c>
      <c r="BX2118">
        <v>0</v>
      </c>
      <c r="BY2118">
        <v>0</v>
      </c>
      <c r="BZ2118">
        <v>0</v>
      </c>
      <c r="CA2118">
        <v>0</v>
      </c>
      <c r="CB2118" t="s">
        <v>145</v>
      </c>
    </row>
    <row r="2119" spans="67:80" x14ac:dyDescent="0.25">
      <c r="BO2119">
        <v>0</v>
      </c>
      <c r="BP2119">
        <v>0</v>
      </c>
      <c r="BQ2119">
        <v>0</v>
      </c>
      <c r="BR2119">
        <v>0</v>
      </c>
      <c r="BS2119">
        <v>0</v>
      </c>
      <c r="BT2119">
        <v>0</v>
      </c>
      <c r="BU2119">
        <v>0</v>
      </c>
      <c r="BV2119">
        <v>0</v>
      </c>
      <c r="BW2119" t="s">
        <v>0</v>
      </c>
      <c r="BX2119">
        <v>0</v>
      </c>
      <c r="BY2119">
        <v>0</v>
      </c>
      <c r="BZ2119">
        <v>0</v>
      </c>
      <c r="CA2119">
        <v>0</v>
      </c>
      <c r="CB2119" t="s">
        <v>145</v>
      </c>
    </row>
    <row r="2120" spans="67:80" x14ac:dyDescent="0.25">
      <c r="BO2120">
        <v>0</v>
      </c>
      <c r="BP2120">
        <v>0</v>
      </c>
      <c r="BQ2120">
        <v>0</v>
      </c>
      <c r="BR2120">
        <v>0</v>
      </c>
      <c r="BS2120">
        <v>0</v>
      </c>
      <c r="BT2120">
        <v>0</v>
      </c>
      <c r="BU2120">
        <v>0</v>
      </c>
      <c r="BV2120">
        <v>0</v>
      </c>
      <c r="BW2120" t="s">
        <v>0</v>
      </c>
      <c r="BX2120">
        <v>0</v>
      </c>
      <c r="BY2120">
        <v>0</v>
      </c>
      <c r="BZ2120">
        <v>0</v>
      </c>
      <c r="CA2120">
        <v>0</v>
      </c>
      <c r="CB2120" t="s">
        <v>145</v>
      </c>
    </row>
    <row r="2121" spans="67:80" x14ac:dyDescent="0.25">
      <c r="BO2121">
        <v>0</v>
      </c>
      <c r="BP2121">
        <v>0</v>
      </c>
      <c r="BQ2121">
        <v>0</v>
      </c>
      <c r="BR2121">
        <v>0</v>
      </c>
      <c r="BS2121">
        <v>0</v>
      </c>
      <c r="BT2121">
        <v>0</v>
      </c>
      <c r="BU2121">
        <v>0</v>
      </c>
      <c r="BV2121">
        <v>0</v>
      </c>
      <c r="BW2121" t="s">
        <v>0</v>
      </c>
      <c r="BX2121">
        <v>0</v>
      </c>
      <c r="BY2121">
        <v>0</v>
      </c>
      <c r="BZ2121">
        <v>0</v>
      </c>
      <c r="CA2121">
        <v>0</v>
      </c>
      <c r="CB2121" t="s">
        <v>145</v>
      </c>
    </row>
    <row r="2122" spans="67:80" x14ac:dyDescent="0.25">
      <c r="BO2122">
        <v>0</v>
      </c>
      <c r="BP2122">
        <v>0</v>
      </c>
      <c r="BQ2122">
        <v>0</v>
      </c>
      <c r="BR2122">
        <v>0</v>
      </c>
      <c r="BS2122">
        <v>0</v>
      </c>
      <c r="BT2122">
        <v>0</v>
      </c>
      <c r="BU2122">
        <v>0</v>
      </c>
      <c r="BV2122">
        <v>0</v>
      </c>
      <c r="BW2122" t="s">
        <v>0</v>
      </c>
      <c r="BX2122">
        <v>0</v>
      </c>
      <c r="BY2122">
        <v>0</v>
      </c>
      <c r="BZ2122">
        <v>0</v>
      </c>
      <c r="CA2122">
        <v>0</v>
      </c>
      <c r="CB2122" t="s">
        <v>145</v>
      </c>
    </row>
    <row r="2123" spans="67:80" x14ac:dyDescent="0.25">
      <c r="BO2123">
        <v>0</v>
      </c>
      <c r="BP2123">
        <v>0</v>
      </c>
      <c r="BQ2123">
        <v>0</v>
      </c>
      <c r="BR2123">
        <v>0</v>
      </c>
      <c r="BS2123">
        <v>0</v>
      </c>
      <c r="BT2123">
        <v>0</v>
      </c>
      <c r="BU2123">
        <v>0</v>
      </c>
      <c r="BV2123">
        <v>0</v>
      </c>
      <c r="BW2123" t="s">
        <v>0</v>
      </c>
      <c r="BX2123">
        <v>0</v>
      </c>
      <c r="BY2123">
        <v>0</v>
      </c>
      <c r="BZ2123">
        <v>0</v>
      </c>
      <c r="CA2123">
        <v>0</v>
      </c>
      <c r="CB2123" t="s">
        <v>145</v>
      </c>
    </row>
    <row r="2124" spans="67:80" x14ac:dyDescent="0.25">
      <c r="BO2124">
        <v>0</v>
      </c>
      <c r="BP2124">
        <v>0</v>
      </c>
      <c r="BQ2124">
        <v>0</v>
      </c>
      <c r="BR2124">
        <v>0</v>
      </c>
      <c r="BS2124">
        <v>0</v>
      </c>
      <c r="BT2124">
        <v>0</v>
      </c>
      <c r="BU2124">
        <v>0</v>
      </c>
      <c r="BV2124">
        <v>0</v>
      </c>
      <c r="BW2124" t="s">
        <v>0</v>
      </c>
      <c r="BX2124">
        <v>0</v>
      </c>
      <c r="BY2124">
        <v>0</v>
      </c>
      <c r="BZ2124">
        <v>0</v>
      </c>
      <c r="CA2124">
        <v>0</v>
      </c>
      <c r="CB2124" t="s">
        <v>145</v>
      </c>
    </row>
    <row r="2125" spans="67:80" x14ac:dyDescent="0.25">
      <c r="BO2125">
        <v>0</v>
      </c>
      <c r="BP2125">
        <v>0</v>
      </c>
      <c r="BQ2125">
        <v>0</v>
      </c>
      <c r="BR2125">
        <v>0</v>
      </c>
      <c r="BS2125">
        <v>0</v>
      </c>
      <c r="BT2125">
        <v>0</v>
      </c>
      <c r="BU2125">
        <v>0</v>
      </c>
      <c r="BV2125">
        <v>0</v>
      </c>
      <c r="BW2125" t="s">
        <v>0</v>
      </c>
      <c r="BX2125">
        <v>0</v>
      </c>
      <c r="BY2125">
        <v>0</v>
      </c>
      <c r="BZ2125">
        <v>0</v>
      </c>
      <c r="CA2125">
        <v>0</v>
      </c>
      <c r="CB2125" t="s">
        <v>145</v>
      </c>
    </row>
    <row r="2126" spans="67:80" x14ac:dyDescent="0.25">
      <c r="BO2126">
        <v>0</v>
      </c>
      <c r="BP2126">
        <v>0</v>
      </c>
      <c r="BQ2126">
        <v>0</v>
      </c>
      <c r="BR2126">
        <v>0</v>
      </c>
      <c r="BS2126">
        <v>0</v>
      </c>
      <c r="BT2126">
        <v>0</v>
      </c>
      <c r="BU2126">
        <v>0</v>
      </c>
      <c r="BV2126">
        <v>0</v>
      </c>
      <c r="BW2126" t="s">
        <v>0</v>
      </c>
      <c r="BX2126">
        <v>0</v>
      </c>
      <c r="BY2126">
        <v>0</v>
      </c>
      <c r="BZ2126">
        <v>0</v>
      </c>
      <c r="CA2126">
        <v>0</v>
      </c>
      <c r="CB2126" t="s">
        <v>145</v>
      </c>
    </row>
    <row r="2127" spans="67:80" x14ac:dyDescent="0.25">
      <c r="BO2127">
        <v>0</v>
      </c>
      <c r="BP2127">
        <v>0</v>
      </c>
      <c r="BQ2127">
        <v>0</v>
      </c>
      <c r="BR2127">
        <v>0</v>
      </c>
      <c r="BS2127">
        <v>0</v>
      </c>
      <c r="BT2127">
        <v>0</v>
      </c>
      <c r="BU2127">
        <v>0</v>
      </c>
      <c r="BV2127">
        <v>0</v>
      </c>
      <c r="BW2127" t="s">
        <v>0</v>
      </c>
      <c r="BX2127">
        <v>0</v>
      </c>
      <c r="BY2127">
        <v>0</v>
      </c>
      <c r="BZ2127">
        <v>0</v>
      </c>
      <c r="CA2127">
        <v>0</v>
      </c>
      <c r="CB2127" t="s">
        <v>145</v>
      </c>
    </row>
    <row r="2128" spans="67:80" x14ac:dyDescent="0.25">
      <c r="BO2128">
        <v>0</v>
      </c>
      <c r="BP2128">
        <v>0</v>
      </c>
      <c r="BQ2128">
        <v>0</v>
      </c>
      <c r="BR2128">
        <v>0</v>
      </c>
      <c r="BS2128">
        <v>0</v>
      </c>
      <c r="BT2128">
        <v>0</v>
      </c>
      <c r="BU2128">
        <v>0</v>
      </c>
      <c r="BV2128">
        <v>0</v>
      </c>
      <c r="BW2128" t="s">
        <v>0</v>
      </c>
      <c r="BX2128">
        <v>0</v>
      </c>
      <c r="BY2128">
        <v>0</v>
      </c>
      <c r="BZ2128">
        <v>0</v>
      </c>
      <c r="CA2128">
        <v>0</v>
      </c>
      <c r="CB2128" t="s">
        <v>145</v>
      </c>
    </row>
    <row r="2129" spans="67:80" x14ac:dyDescent="0.25">
      <c r="BO2129">
        <v>0</v>
      </c>
      <c r="BP2129">
        <v>0</v>
      </c>
      <c r="BQ2129">
        <v>0</v>
      </c>
      <c r="BR2129">
        <v>0</v>
      </c>
      <c r="BS2129">
        <v>0</v>
      </c>
      <c r="BT2129">
        <v>0</v>
      </c>
      <c r="BU2129">
        <v>0</v>
      </c>
      <c r="BV2129">
        <v>0</v>
      </c>
      <c r="BW2129" t="s">
        <v>0</v>
      </c>
      <c r="BX2129">
        <v>0</v>
      </c>
      <c r="BY2129">
        <v>0</v>
      </c>
      <c r="BZ2129">
        <v>0</v>
      </c>
      <c r="CA2129">
        <v>0</v>
      </c>
      <c r="CB2129" t="s">
        <v>145</v>
      </c>
    </row>
    <row r="2130" spans="67:80" x14ac:dyDescent="0.25">
      <c r="BO2130">
        <v>0</v>
      </c>
      <c r="BP2130">
        <v>0</v>
      </c>
      <c r="BQ2130">
        <v>0</v>
      </c>
      <c r="BR2130">
        <v>0</v>
      </c>
      <c r="BS2130">
        <v>0</v>
      </c>
      <c r="BT2130">
        <v>0</v>
      </c>
      <c r="BU2130">
        <v>0</v>
      </c>
      <c r="BV2130">
        <v>0</v>
      </c>
      <c r="BW2130" t="s">
        <v>0</v>
      </c>
      <c r="BX2130">
        <v>0</v>
      </c>
      <c r="BY2130">
        <v>0</v>
      </c>
      <c r="BZ2130">
        <v>0</v>
      </c>
      <c r="CA2130">
        <v>0</v>
      </c>
      <c r="CB2130" t="s">
        <v>145</v>
      </c>
    </row>
    <row r="2131" spans="67:80" x14ac:dyDescent="0.25">
      <c r="BO2131">
        <v>0</v>
      </c>
      <c r="BP2131">
        <v>0</v>
      </c>
      <c r="BQ2131">
        <v>0</v>
      </c>
      <c r="BR2131">
        <v>0</v>
      </c>
      <c r="BS2131">
        <v>0</v>
      </c>
      <c r="BT2131">
        <v>0</v>
      </c>
      <c r="BU2131">
        <v>0</v>
      </c>
      <c r="BV2131">
        <v>0</v>
      </c>
      <c r="BW2131" t="s">
        <v>0</v>
      </c>
      <c r="BX2131">
        <v>0</v>
      </c>
      <c r="BY2131">
        <v>0</v>
      </c>
      <c r="BZ2131">
        <v>0</v>
      </c>
      <c r="CA2131">
        <v>0</v>
      </c>
      <c r="CB2131" t="s">
        <v>145</v>
      </c>
    </row>
    <row r="2132" spans="67:80" x14ac:dyDescent="0.25">
      <c r="BO2132">
        <v>0</v>
      </c>
      <c r="BP2132">
        <v>0</v>
      </c>
      <c r="BQ2132">
        <v>0</v>
      </c>
      <c r="BR2132">
        <v>0</v>
      </c>
      <c r="BS2132">
        <v>0</v>
      </c>
      <c r="BT2132">
        <v>0</v>
      </c>
      <c r="BU2132">
        <v>0</v>
      </c>
      <c r="BV2132">
        <v>0</v>
      </c>
      <c r="BW2132" t="s">
        <v>0</v>
      </c>
      <c r="BX2132">
        <v>0</v>
      </c>
      <c r="BY2132">
        <v>0</v>
      </c>
      <c r="BZ2132">
        <v>0</v>
      </c>
      <c r="CA2132">
        <v>0</v>
      </c>
      <c r="CB2132" t="s">
        <v>145</v>
      </c>
    </row>
    <row r="2133" spans="67:80" x14ac:dyDescent="0.25">
      <c r="BO2133">
        <v>0</v>
      </c>
      <c r="BP2133">
        <v>0</v>
      </c>
      <c r="BQ2133">
        <v>0</v>
      </c>
      <c r="BR2133">
        <v>0</v>
      </c>
      <c r="BS2133">
        <v>0</v>
      </c>
      <c r="BT2133">
        <v>0</v>
      </c>
      <c r="BU2133">
        <v>0</v>
      </c>
      <c r="BV2133">
        <v>0</v>
      </c>
      <c r="BW2133" t="s">
        <v>0</v>
      </c>
      <c r="BX2133">
        <v>0</v>
      </c>
      <c r="BY2133">
        <v>0</v>
      </c>
      <c r="BZ2133">
        <v>0</v>
      </c>
      <c r="CA2133">
        <v>0</v>
      </c>
      <c r="CB2133" t="s">
        <v>145</v>
      </c>
    </row>
    <row r="2134" spans="67:80" x14ac:dyDescent="0.25">
      <c r="BO2134">
        <v>0</v>
      </c>
      <c r="BP2134">
        <v>0</v>
      </c>
      <c r="BQ2134">
        <v>0</v>
      </c>
      <c r="BR2134">
        <v>0</v>
      </c>
      <c r="BS2134">
        <v>0</v>
      </c>
      <c r="BT2134">
        <v>0</v>
      </c>
      <c r="BU2134">
        <v>0</v>
      </c>
      <c r="BV2134">
        <v>0</v>
      </c>
      <c r="BW2134" t="s">
        <v>0</v>
      </c>
      <c r="BX2134">
        <v>0</v>
      </c>
      <c r="BY2134">
        <v>0</v>
      </c>
      <c r="BZ2134">
        <v>0</v>
      </c>
      <c r="CA2134">
        <v>0</v>
      </c>
      <c r="CB2134" t="s">
        <v>145</v>
      </c>
    </row>
    <row r="2135" spans="67:80" x14ac:dyDescent="0.25">
      <c r="BO2135">
        <v>0</v>
      </c>
      <c r="BP2135">
        <v>0</v>
      </c>
      <c r="BQ2135">
        <v>0</v>
      </c>
      <c r="BR2135">
        <v>0</v>
      </c>
      <c r="BS2135">
        <v>0</v>
      </c>
      <c r="BT2135">
        <v>0</v>
      </c>
      <c r="BU2135">
        <v>0</v>
      </c>
      <c r="BV2135">
        <v>0</v>
      </c>
      <c r="BW2135" t="s">
        <v>0</v>
      </c>
      <c r="BX2135">
        <v>0</v>
      </c>
      <c r="BY2135">
        <v>0</v>
      </c>
      <c r="BZ2135">
        <v>0</v>
      </c>
      <c r="CA2135">
        <v>0</v>
      </c>
      <c r="CB2135" t="s">
        <v>145</v>
      </c>
    </row>
    <row r="2136" spans="67:80" x14ac:dyDescent="0.25">
      <c r="BO2136">
        <v>0</v>
      </c>
      <c r="BP2136">
        <v>0</v>
      </c>
      <c r="BQ2136">
        <v>0</v>
      </c>
      <c r="BR2136">
        <v>0</v>
      </c>
      <c r="BS2136">
        <v>0</v>
      </c>
      <c r="BT2136">
        <v>0</v>
      </c>
      <c r="BU2136">
        <v>0</v>
      </c>
      <c r="BV2136">
        <v>0</v>
      </c>
      <c r="BW2136" t="s">
        <v>0</v>
      </c>
      <c r="BX2136">
        <v>0</v>
      </c>
      <c r="BY2136">
        <v>0</v>
      </c>
      <c r="BZ2136">
        <v>0</v>
      </c>
      <c r="CA2136">
        <v>0</v>
      </c>
      <c r="CB2136" t="s">
        <v>145</v>
      </c>
    </row>
    <row r="2137" spans="67:80" x14ac:dyDescent="0.25">
      <c r="BO2137">
        <v>0</v>
      </c>
      <c r="BP2137">
        <v>0</v>
      </c>
      <c r="BQ2137">
        <v>0</v>
      </c>
      <c r="BR2137">
        <v>0</v>
      </c>
      <c r="BS2137">
        <v>0</v>
      </c>
      <c r="BT2137">
        <v>0</v>
      </c>
      <c r="BU2137">
        <v>0</v>
      </c>
      <c r="BV2137">
        <v>0</v>
      </c>
      <c r="BW2137" t="s">
        <v>0</v>
      </c>
      <c r="BX2137">
        <v>0</v>
      </c>
      <c r="BY2137">
        <v>0</v>
      </c>
      <c r="BZ2137">
        <v>0</v>
      </c>
      <c r="CA2137">
        <v>0</v>
      </c>
      <c r="CB2137" t="s">
        <v>145</v>
      </c>
    </row>
    <row r="2138" spans="67:80" x14ac:dyDescent="0.25">
      <c r="BO2138">
        <v>0</v>
      </c>
      <c r="BP2138">
        <v>0</v>
      </c>
      <c r="BQ2138">
        <v>0</v>
      </c>
      <c r="BR2138">
        <v>0</v>
      </c>
      <c r="BS2138">
        <v>0</v>
      </c>
      <c r="BT2138">
        <v>0</v>
      </c>
      <c r="BU2138">
        <v>0</v>
      </c>
      <c r="BV2138">
        <v>0</v>
      </c>
      <c r="BW2138" t="s">
        <v>0</v>
      </c>
      <c r="BX2138">
        <v>0</v>
      </c>
      <c r="BY2138">
        <v>0</v>
      </c>
      <c r="BZ2138">
        <v>0</v>
      </c>
      <c r="CA2138">
        <v>0</v>
      </c>
      <c r="CB2138" t="s">
        <v>145</v>
      </c>
    </row>
    <row r="2139" spans="67:80" x14ac:dyDescent="0.25">
      <c r="BO2139">
        <v>0</v>
      </c>
      <c r="BP2139">
        <v>0</v>
      </c>
      <c r="BQ2139">
        <v>0</v>
      </c>
      <c r="BR2139">
        <v>0</v>
      </c>
      <c r="BS2139">
        <v>0</v>
      </c>
      <c r="BT2139">
        <v>0</v>
      </c>
      <c r="BU2139">
        <v>0</v>
      </c>
      <c r="BV2139">
        <v>0</v>
      </c>
      <c r="BW2139" t="s">
        <v>0</v>
      </c>
      <c r="BX2139">
        <v>0</v>
      </c>
      <c r="BY2139">
        <v>0</v>
      </c>
      <c r="BZ2139">
        <v>0</v>
      </c>
      <c r="CA2139">
        <v>0</v>
      </c>
      <c r="CB2139" t="s">
        <v>145</v>
      </c>
    </row>
    <row r="2140" spans="67:80" x14ac:dyDescent="0.25">
      <c r="BO2140">
        <v>0</v>
      </c>
      <c r="BP2140">
        <v>0</v>
      </c>
      <c r="BQ2140">
        <v>0</v>
      </c>
      <c r="BR2140">
        <v>0</v>
      </c>
      <c r="BS2140">
        <v>0</v>
      </c>
      <c r="BT2140">
        <v>0</v>
      </c>
      <c r="BU2140">
        <v>0</v>
      </c>
      <c r="BV2140">
        <v>0</v>
      </c>
      <c r="BW2140" t="s">
        <v>0</v>
      </c>
      <c r="BX2140">
        <v>0</v>
      </c>
      <c r="BY2140">
        <v>0</v>
      </c>
      <c r="BZ2140">
        <v>0</v>
      </c>
      <c r="CA2140">
        <v>0</v>
      </c>
      <c r="CB2140" t="s">
        <v>145</v>
      </c>
    </row>
    <row r="2141" spans="67:80" x14ac:dyDescent="0.25">
      <c r="BO2141">
        <v>0</v>
      </c>
      <c r="BP2141">
        <v>0</v>
      </c>
      <c r="BQ2141">
        <v>0</v>
      </c>
      <c r="BR2141">
        <v>0</v>
      </c>
      <c r="BS2141">
        <v>0</v>
      </c>
      <c r="BT2141">
        <v>0</v>
      </c>
      <c r="BU2141">
        <v>0</v>
      </c>
      <c r="BV2141">
        <v>0</v>
      </c>
      <c r="BW2141" t="s">
        <v>0</v>
      </c>
      <c r="BX2141">
        <v>0</v>
      </c>
      <c r="BY2141">
        <v>0</v>
      </c>
      <c r="BZ2141">
        <v>0</v>
      </c>
      <c r="CA2141">
        <v>0</v>
      </c>
      <c r="CB2141" t="s">
        <v>145</v>
      </c>
    </row>
    <row r="2142" spans="67:80" x14ac:dyDescent="0.25">
      <c r="BO2142">
        <v>0</v>
      </c>
      <c r="BP2142">
        <v>0</v>
      </c>
      <c r="BQ2142">
        <v>0</v>
      </c>
      <c r="BR2142">
        <v>0</v>
      </c>
      <c r="BS2142">
        <v>0</v>
      </c>
      <c r="BT2142">
        <v>0</v>
      </c>
      <c r="BU2142">
        <v>0</v>
      </c>
      <c r="BV2142">
        <v>0</v>
      </c>
      <c r="BW2142" t="s">
        <v>0</v>
      </c>
      <c r="BX2142">
        <v>0</v>
      </c>
      <c r="BY2142">
        <v>0</v>
      </c>
      <c r="BZ2142">
        <v>0</v>
      </c>
      <c r="CA2142">
        <v>0</v>
      </c>
      <c r="CB2142" t="s">
        <v>145</v>
      </c>
    </row>
    <row r="2143" spans="67:80" x14ac:dyDescent="0.25">
      <c r="BO2143">
        <v>0</v>
      </c>
      <c r="BP2143">
        <v>0</v>
      </c>
      <c r="BQ2143">
        <v>0</v>
      </c>
      <c r="BR2143">
        <v>0</v>
      </c>
      <c r="BS2143">
        <v>0</v>
      </c>
      <c r="BT2143">
        <v>0</v>
      </c>
      <c r="BU2143">
        <v>0</v>
      </c>
      <c r="BV2143">
        <v>0</v>
      </c>
      <c r="BW2143" t="s">
        <v>0</v>
      </c>
      <c r="BX2143">
        <v>0</v>
      </c>
      <c r="BY2143">
        <v>0</v>
      </c>
      <c r="BZ2143">
        <v>0</v>
      </c>
      <c r="CA2143">
        <v>0</v>
      </c>
      <c r="CB2143" t="s">
        <v>145</v>
      </c>
    </row>
    <row r="2144" spans="67:80" x14ac:dyDescent="0.25">
      <c r="BO2144">
        <v>0</v>
      </c>
      <c r="BP2144">
        <v>0</v>
      </c>
      <c r="BQ2144">
        <v>0</v>
      </c>
      <c r="BR2144">
        <v>0</v>
      </c>
      <c r="BS2144">
        <v>0</v>
      </c>
      <c r="BT2144">
        <v>0</v>
      </c>
      <c r="BU2144">
        <v>0</v>
      </c>
      <c r="BV2144">
        <v>0</v>
      </c>
      <c r="BW2144" t="s">
        <v>0</v>
      </c>
      <c r="BX2144">
        <v>0</v>
      </c>
      <c r="BY2144">
        <v>0</v>
      </c>
      <c r="BZ2144">
        <v>0</v>
      </c>
      <c r="CA2144">
        <v>0</v>
      </c>
      <c r="CB2144" t="s">
        <v>145</v>
      </c>
    </row>
    <row r="2145" spans="67:80" x14ac:dyDescent="0.25">
      <c r="BO2145">
        <v>0</v>
      </c>
      <c r="BP2145">
        <v>0</v>
      </c>
      <c r="BQ2145">
        <v>0</v>
      </c>
      <c r="BR2145">
        <v>0</v>
      </c>
      <c r="BS2145">
        <v>0</v>
      </c>
      <c r="BT2145">
        <v>0</v>
      </c>
      <c r="BU2145">
        <v>0</v>
      </c>
      <c r="BV2145">
        <v>0</v>
      </c>
      <c r="BW2145" t="s">
        <v>0</v>
      </c>
      <c r="BX2145">
        <v>0</v>
      </c>
      <c r="BY2145">
        <v>0</v>
      </c>
      <c r="BZ2145">
        <v>0</v>
      </c>
      <c r="CA2145">
        <v>0</v>
      </c>
      <c r="CB2145" t="s">
        <v>145</v>
      </c>
    </row>
    <row r="2146" spans="67:80" x14ac:dyDescent="0.25">
      <c r="BO2146">
        <v>0</v>
      </c>
      <c r="BP2146">
        <v>0</v>
      </c>
      <c r="BQ2146">
        <v>0</v>
      </c>
      <c r="BR2146">
        <v>0</v>
      </c>
      <c r="BS2146">
        <v>0</v>
      </c>
      <c r="BT2146">
        <v>0</v>
      </c>
      <c r="BU2146">
        <v>0</v>
      </c>
      <c r="BV2146">
        <v>0</v>
      </c>
      <c r="BW2146" t="s">
        <v>0</v>
      </c>
      <c r="BX2146">
        <v>0</v>
      </c>
      <c r="BY2146">
        <v>0</v>
      </c>
      <c r="BZ2146">
        <v>0</v>
      </c>
      <c r="CA2146">
        <v>0</v>
      </c>
      <c r="CB2146" t="s">
        <v>145</v>
      </c>
    </row>
    <row r="2147" spans="67:80" x14ac:dyDescent="0.25">
      <c r="BO2147">
        <v>0</v>
      </c>
      <c r="BP2147">
        <v>0</v>
      </c>
      <c r="BQ2147">
        <v>0</v>
      </c>
      <c r="BR2147">
        <v>0</v>
      </c>
      <c r="BS2147">
        <v>0</v>
      </c>
      <c r="BT2147">
        <v>0</v>
      </c>
      <c r="BU2147">
        <v>0</v>
      </c>
      <c r="BV2147">
        <v>0</v>
      </c>
      <c r="BW2147" t="s">
        <v>0</v>
      </c>
      <c r="BX2147">
        <v>0</v>
      </c>
      <c r="BY2147">
        <v>0</v>
      </c>
      <c r="BZ2147">
        <v>0</v>
      </c>
      <c r="CA2147">
        <v>0</v>
      </c>
      <c r="CB2147" t="s">
        <v>145</v>
      </c>
    </row>
    <row r="2148" spans="67:80" x14ac:dyDescent="0.25">
      <c r="BO2148">
        <v>0</v>
      </c>
      <c r="BP2148">
        <v>0</v>
      </c>
      <c r="BQ2148">
        <v>0</v>
      </c>
      <c r="BR2148">
        <v>0</v>
      </c>
      <c r="BS2148">
        <v>0</v>
      </c>
      <c r="BT2148">
        <v>0</v>
      </c>
      <c r="BU2148">
        <v>0</v>
      </c>
      <c r="BV2148">
        <v>0</v>
      </c>
      <c r="BW2148" t="s">
        <v>0</v>
      </c>
      <c r="BX2148">
        <v>0</v>
      </c>
      <c r="BY2148">
        <v>0</v>
      </c>
      <c r="BZ2148">
        <v>0</v>
      </c>
      <c r="CA2148">
        <v>0</v>
      </c>
      <c r="CB2148" t="s">
        <v>145</v>
      </c>
    </row>
    <row r="2149" spans="67:80" x14ac:dyDescent="0.25">
      <c r="BO2149">
        <v>0</v>
      </c>
      <c r="BP2149">
        <v>0</v>
      </c>
      <c r="BQ2149">
        <v>0</v>
      </c>
      <c r="BR2149">
        <v>0</v>
      </c>
      <c r="BS2149">
        <v>0</v>
      </c>
      <c r="BT2149">
        <v>0</v>
      </c>
      <c r="BU2149">
        <v>0</v>
      </c>
      <c r="BV2149">
        <v>0</v>
      </c>
      <c r="BW2149" t="s">
        <v>0</v>
      </c>
      <c r="BX2149">
        <v>0</v>
      </c>
      <c r="BY2149">
        <v>0</v>
      </c>
      <c r="BZ2149">
        <v>0</v>
      </c>
      <c r="CA2149">
        <v>0</v>
      </c>
      <c r="CB2149" t="s">
        <v>145</v>
      </c>
    </row>
    <row r="2150" spans="67:80" x14ac:dyDescent="0.25">
      <c r="BO2150">
        <v>0</v>
      </c>
      <c r="BP2150">
        <v>0</v>
      </c>
      <c r="BQ2150">
        <v>0</v>
      </c>
      <c r="BR2150">
        <v>0</v>
      </c>
      <c r="BS2150">
        <v>0</v>
      </c>
      <c r="BT2150">
        <v>0</v>
      </c>
      <c r="BU2150">
        <v>0</v>
      </c>
      <c r="BV2150">
        <v>0</v>
      </c>
      <c r="BW2150" t="s">
        <v>0</v>
      </c>
      <c r="BX2150">
        <v>0</v>
      </c>
      <c r="BY2150">
        <v>0</v>
      </c>
      <c r="BZ2150">
        <v>0</v>
      </c>
      <c r="CA2150">
        <v>0</v>
      </c>
      <c r="CB2150" t="s">
        <v>145</v>
      </c>
    </row>
    <row r="2151" spans="67:80" x14ac:dyDescent="0.25">
      <c r="BO2151">
        <v>0</v>
      </c>
      <c r="BP2151">
        <v>0</v>
      </c>
      <c r="BQ2151">
        <v>0</v>
      </c>
      <c r="BR2151">
        <v>0</v>
      </c>
      <c r="BS2151">
        <v>0</v>
      </c>
      <c r="BT2151">
        <v>0</v>
      </c>
      <c r="BU2151">
        <v>0</v>
      </c>
      <c r="BV2151">
        <v>0</v>
      </c>
      <c r="BW2151" t="s">
        <v>0</v>
      </c>
      <c r="BX2151">
        <v>0</v>
      </c>
      <c r="BY2151">
        <v>0</v>
      </c>
      <c r="BZ2151">
        <v>0</v>
      </c>
      <c r="CA2151">
        <v>0</v>
      </c>
      <c r="CB2151" t="s">
        <v>145</v>
      </c>
    </row>
    <row r="2152" spans="67:80" x14ac:dyDescent="0.25">
      <c r="BO2152">
        <v>0</v>
      </c>
      <c r="BP2152">
        <v>0</v>
      </c>
      <c r="BQ2152">
        <v>0</v>
      </c>
      <c r="BR2152">
        <v>0</v>
      </c>
      <c r="BS2152">
        <v>0</v>
      </c>
      <c r="BT2152">
        <v>0</v>
      </c>
      <c r="BU2152">
        <v>0</v>
      </c>
      <c r="BV2152">
        <v>0</v>
      </c>
      <c r="BW2152" t="s">
        <v>0</v>
      </c>
      <c r="BX2152">
        <v>0</v>
      </c>
      <c r="BY2152">
        <v>0</v>
      </c>
      <c r="BZ2152">
        <v>0</v>
      </c>
      <c r="CA2152">
        <v>0</v>
      </c>
      <c r="CB2152" t="s">
        <v>145</v>
      </c>
    </row>
    <row r="2153" spans="67:80" x14ac:dyDescent="0.25">
      <c r="BO2153">
        <v>0</v>
      </c>
      <c r="BP2153">
        <v>0</v>
      </c>
      <c r="BQ2153">
        <v>0</v>
      </c>
      <c r="BR2153">
        <v>0</v>
      </c>
      <c r="BS2153">
        <v>0</v>
      </c>
      <c r="BT2153">
        <v>0</v>
      </c>
      <c r="BU2153">
        <v>0</v>
      </c>
      <c r="BV2153">
        <v>0</v>
      </c>
      <c r="BW2153" t="s">
        <v>0</v>
      </c>
      <c r="BX2153">
        <v>0</v>
      </c>
      <c r="BY2153">
        <v>0</v>
      </c>
      <c r="BZ2153">
        <v>0</v>
      </c>
      <c r="CA2153">
        <v>0</v>
      </c>
      <c r="CB2153" t="s">
        <v>145</v>
      </c>
    </row>
    <row r="2154" spans="67:80" x14ac:dyDescent="0.25">
      <c r="BO2154">
        <v>0</v>
      </c>
      <c r="BP2154">
        <v>0</v>
      </c>
      <c r="BQ2154">
        <v>0</v>
      </c>
      <c r="BR2154">
        <v>0</v>
      </c>
      <c r="BS2154">
        <v>0</v>
      </c>
      <c r="BT2154">
        <v>0</v>
      </c>
      <c r="BU2154">
        <v>0</v>
      </c>
      <c r="BV2154">
        <v>0</v>
      </c>
      <c r="BW2154" t="s">
        <v>0</v>
      </c>
      <c r="BX2154">
        <v>0</v>
      </c>
      <c r="BY2154">
        <v>0</v>
      </c>
      <c r="BZ2154">
        <v>0</v>
      </c>
      <c r="CA2154">
        <v>0</v>
      </c>
      <c r="CB2154" t="s">
        <v>145</v>
      </c>
    </row>
    <row r="2155" spans="67:80" x14ac:dyDescent="0.25">
      <c r="BO2155">
        <v>0</v>
      </c>
      <c r="BP2155">
        <v>0</v>
      </c>
      <c r="BQ2155">
        <v>0</v>
      </c>
      <c r="BR2155">
        <v>0</v>
      </c>
      <c r="BS2155">
        <v>0</v>
      </c>
      <c r="BT2155">
        <v>0</v>
      </c>
      <c r="BU2155">
        <v>0</v>
      </c>
      <c r="BV2155">
        <v>0</v>
      </c>
      <c r="BW2155" t="s">
        <v>0</v>
      </c>
      <c r="BX2155">
        <v>0</v>
      </c>
      <c r="BY2155">
        <v>0</v>
      </c>
      <c r="BZ2155">
        <v>0</v>
      </c>
      <c r="CA2155">
        <v>0</v>
      </c>
      <c r="CB2155" t="s">
        <v>145</v>
      </c>
    </row>
    <row r="2156" spans="67:80" x14ac:dyDescent="0.25">
      <c r="BO2156">
        <v>0</v>
      </c>
      <c r="BP2156">
        <v>0</v>
      </c>
      <c r="BQ2156">
        <v>0</v>
      </c>
      <c r="BR2156">
        <v>0</v>
      </c>
      <c r="BS2156">
        <v>0</v>
      </c>
      <c r="BT2156">
        <v>0</v>
      </c>
      <c r="BU2156">
        <v>0</v>
      </c>
      <c r="BV2156">
        <v>0</v>
      </c>
      <c r="BW2156" t="s">
        <v>0</v>
      </c>
      <c r="BX2156">
        <v>0</v>
      </c>
      <c r="BY2156">
        <v>0</v>
      </c>
      <c r="BZ2156">
        <v>0</v>
      </c>
      <c r="CA2156">
        <v>0</v>
      </c>
      <c r="CB2156" t="s">
        <v>145</v>
      </c>
    </row>
    <row r="2157" spans="67:80" x14ac:dyDescent="0.25">
      <c r="BO2157">
        <v>0</v>
      </c>
      <c r="BP2157">
        <v>0</v>
      </c>
      <c r="BQ2157">
        <v>0</v>
      </c>
      <c r="BR2157">
        <v>0</v>
      </c>
      <c r="BS2157">
        <v>0</v>
      </c>
      <c r="BT2157">
        <v>0</v>
      </c>
      <c r="BU2157">
        <v>0</v>
      </c>
      <c r="BV2157">
        <v>0</v>
      </c>
      <c r="BW2157" t="s">
        <v>0</v>
      </c>
      <c r="BX2157">
        <v>0</v>
      </c>
      <c r="BY2157">
        <v>0</v>
      </c>
      <c r="BZ2157">
        <v>0</v>
      </c>
      <c r="CA2157">
        <v>0</v>
      </c>
      <c r="CB2157" t="s">
        <v>145</v>
      </c>
    </row>
    <row r="2158" spans="67:80" x14ac:dyDescent="0.25">
      <c r="BO2158">
        <v>0</v>
      </c>
      <c r="BP2158">
        <v>0</v>
      </c>
      <c r="BQ2158">
        <v>0</v>
      </c>
      <c r="BR2158">
        <v>0</v>
      </c>
      <c r="BS2158">
        <v>0</v>
      </c>
      <c r="BT2158">
        <v>0</v>
      </c>
      <c r="BU2158">
        <v>0</v>
      </c>
      <c r="BV2158">
        <v>0</v>
      </c>
      <c r="BW2158" t="s">
        <v>0</v>
      </c>
      <c r="BX2158">
        <v>0</v>
      </c>
      <c r="BY2158">
        <v>0</v>
      </c>
      <c r="BZ2158">
        <v>0</v>
      </c>
      <c r="CA2158">
        <v>0</v>
      </c>
      <c r="CB2158" t="s">
        <v>145</v>
      </c>
    </row>
    <row r="2159" spans="67:80" x14ac:dyDescent="0.25">
      <c r="BO2159">
        <v>0</v>
      </c>
      <c r="BP2159">
        <v>0</v>
      </c>
      <c r="BQ2159">
        <v>0</v>
      </c>
      <c r="BR2159">
        <v>0</v>
      </c>
      <c r="BS2159">
        <v>0</v>
      </c>
      <c r="BT2159">
        <v>0</v>
      </c>
      <c r="BU2159">
        <v>0</v>
      </c>
      <c r="BV2159">
        <v>0</v>
      </c>
      <c r="BW2159" t="s">
        <v>0</v>
      </c>
      <c r="BX2159">
        <v>0</v>
      </c>
      <c r="BY2159">
        <v>0</v>
      </c>
      <c r="BZ2159">
        <v>0</v>
      </c>
      <c r="CA2159">
        <v>0</v>
      </c>
      <c r="CB2159" t="s">
        <v>145</v>
      </c>
    </row>
    <row r="2160" spans="67:80" x14ac:dyDescent="0.25">
      <c r="BO2160">
        <v>0</v>
      </c>
      <c r="BP2160">
        <v>0</v>
      </c>
      <c r="BQ2160">
        <v>0</v>
      </c>
      <c r="BR2160">
        <v>0</v>
      </c>
      <c r="BS2160">
        <v>0</v>
      </c>
      <c r="BT2160">
        <v>0</v>
      </c>
      <c r="BU2160">
        <v>0</v>
      </c>
      <c r="BV2160">
        <v>0</v>
      </c>
      <c r="BW2160" t="s">
        <v>0</v>
      </c>
      <c r="BX2160">
        <v>0</v>
      </c>
      <c r="BY2160">
        <v>0</v>
      </c>
      <c r="BZ2160">
        <v>0</v>
      </c>
      <c r="CA2160">
        <v>0</v>
      </c>
      <c r="CB2160" t="s">
        <v>145</v>
      </c>
    </row>
    <row r="2161" spans="51:80" x14ac:dyDescent="0.25">
      <c r="BO2161">
        <v>0</v>
      </c>
      <c r="BP2161">
        <v>0</v>
      </c>
      <c r="BQ2161">
        <v>0</v>
      </c>
      <c r="BR2161">
        <v>0</v>
      </c>
      <c r="BS2161">
        <v>0</v>
      </c>
      <c r="BT2161">
        <v>0</v>
      </c>
      <c r="BU2161">
        <v>0</v>
      </c>
      <c r="BV2161">
        <v>0</v>
      </c>
      <c r="BW2161" t="s">
        <v>0</v>
      </c>
      <c r="BX2161">
        <v>0</v>
      </c>
      <c r="BY2161">
        <v>0</v>
      </c>
      <c r="BZ2161">
        <v>0</v>
      </c>
      <c r="CA2161">
        <v>0</v>
      </c>
      <c r="CB2161" t="s">
        <v>145</v>
      </c>
    </row>
    <row r="2162" spans="51:80" x14ac:dyDescent="0.25">
      <c r="BO2162">
        <v>0</v>
      </c>
      <c r="BP2162">
        <v>0</v>
      </c>
      <c r="BQ2162">
        <v>0</v>
      </c>
      <c r="BR2162">
        <v>0</v>
      </c>
      <c r="BS2162">
        <v>0</v>
      </c>
      <c r="BT2162">
        <v>0</v>
      </c>
      <c r="BU2162">
        <v>0</v>
      </c>
      <c r="BV2162">
        <v>0</v>
      </c>
      <c r="BW2162" t="s">
        <v>0</v>
      </c>
      <c r="BX2162">
        <v>0</v>
      </c>
      <c r="BY2162">
        <v>0</v>
      </c>
      <c r="BZ2162">
        <v>0</v>
      </c>
      <c r="CA2162">
        <v>0</v>
      </c>
      <c r="CB2162" t="s">
        <v>145</v>
      </c>
    </row>
    <row r="2163" spans="51:80" x14ac:dyDescent="0.25">
      <c r="BO2163">
        <v>0</v>
      </c>
      <c r="BP2163">
        <v>0</v>
      </c>
      <c r="BQ2163">
        <v>0</v>
      </c>
      <c r="BR2163">
        <v>0</v>
      </c>
      <c r="BS2163">
        <v>0</v>
      </c>
      <c r="BT2163">
        <v>0</v>
      </c>
      <c r="BU2163">
        <v>0</v>
      </c>
      <c r="BV2163">
        <v>0</v>
      </c>
      <c r="BW2163" t="s">
        <v>0</v>
      </c>
      <c r="BX2163">
        <v>0</v>
      </c>
      <c r="BY2163">
        <v>0</v>
      </c>
      <c r="BZ2163">
        <v>0</v>
      </c>
      <c r="CA2163">
        <v>0</v>
      </c>
      <c r="CB2163" t="s">
        <v>145</v>
      </c>
    </row>
    <row r="2164" spans="51:80" x14ac:dyDescent="0.25">
      <c r="BO2164">
        <v>0</v>
      </c>
      <c r="BP2164">
        <v>0</v>
      </c>
      <c r="BQ2164">
        <v>0</v>
      </c>
      <c r="BR2164">
        <v>0</v>
      </c>
      <c r="BS2164">
        <v>0</v>
      </c>
      <c r="BT2164">
        <v>0</v>
      </c>
      <c r="BU2164">
        <v>0</v>
      </c>
      <c r="BV2164">
        <v>0</v>
      </c>
      <c r="BW2164" t="s">
        <v>0</v>
      </c>
      <c r="BX2164">
        <v>0</v>
      </c>
      <c r="BY2164">
        <v>0</v>
      </c>
      <c r="BZ2164">
        <v>0</v>
      </c>
      <c r="CA2164">
        <v>0</v>
      </c>
      <c r="CB2164" t="s">
        <v>145</v>
      </c>
    </row>
    <row r="2165" spans="51:80" x14ac:dyDescent="0.25">
      <c r="BO2165">
        <v>0</v>
      </c>
      <c r="BP2165">
        <v>0</v>
      </c>
      <c r="BQ2165">
        <v>0</v>
      </c>
      <c r="BR2165">
        <v>0</v>
      </c>
      <c r="BS2165">
        <v>0</v>
      </c>
      <c r="BT2165">
        <v>0</v>
      </c>
      <c r="BU2165">
        <v>0</v>
      </c>
      <c r="BV2165">
        <v>0</v>
      </c>
      <c r="BW2165" t="s">
        <v>0</v>
      </c>
      <c r="BX2165">
        <v>0</v>
      </c>
      <c r="BY2165">
        <v>0</v>
      </c>
      <c r="BZ2165">
        <v>0</v>
      </c>
      <c r="CA2165">
        <v>0</v>
      </c>
      <c r="CB2165" t="s">
        <v>145</v>
      </c>
    </row>
    <row r="2166" spans="51:80" x14ac:dyDescent="0.25">
      <c r="BO2166">
        <v>0</v>
      </c>
      <c r="BP2166">
        <v>0</v>
      </c>
      <c r="BQ2166">
        <v>0</v>
      </c>
      <c r="BR2166">
        <v>0</v>
      </c>
      <c r="BS2166">
        <v>0</v>
      </c>
      <c r="BT2166">
        <v>0</v>
      </c>
      <c r="BU2166">
        <v>0</v>
      </c>
      <c r="BV2166">
        <v>0</v>
      </c>
      <c r="BW2166" t="s">
        <v>0</v>
      </c>
      <c r="BX2166">
        <v>0</v>
      </c>
      <c r="BY2166">
        <v>0</v>
      </c>
      <c r="BZ2166">
        <v>0</v>
      </c>
      <c r="CA2166">
        <v>0</v>
      </c>
      <c r="CB2166" t="s">
        <v>145</v>
      </c>
    </row>
    <row r="2167" spans="51:80" x14ac:dyDescent="0.25">
      <c r="AY2167" s="8"/>
      <c r="BO2167">
        <v>0</v>
      </c>
      <c r="BP2167">
        <v>0</v>
      </c>
      <c r="BQ2167">
        <v>0</v>
      </c>
      <c r="BR2167">
        <v>0</v>
      </c>
      <c r="BS2167">
        <v>0</v>
      </c>
      <c r="BT2167">
        <v>0</v>
      </c>
      <c r="BU2167">
        <v>0</v>
      </c>
      <c r="BV2167">
        <v>0</v>
      </c>
      <c r="BW2167" t="s">
        <v>0</v>
      </c>
      <c r="BX2167">
        <v>0</v>
      </c>
      <c r="BY2167">
        <v>0</v>
      </c>
      <c r="BZ2167">
        <v>0</v>
      </c>
      <c r="CA2167">
        <v>0</v>
      </c>
      <c r="CB2167" t="s">
        <v>145</v>
      </c>
    </row>
    <row r="2168" spans="51:80" x14ac:dyDescent="0.25">
      <c r="BO2168">
        <v>0</v>
      </c>
      <c r="BP2168">
        <v>0</v>
      </c>
      <c r="BQ2168">
        <v>0</v>
      </c>
      <c r="BR2168">
        <v>0</v>
      </c>
      <c r="BS2168">
        <v>0</v>
      </c>
      <c r="BT2168">
        <v>0</v>
      </c>
      <c r="BU2168">
        <v>0</v>
      </c>
      <c r="BV2168">
        <v>0</v>
      </c>
      <c r="BW2168" t="s">
        <v>0</v>
      </c>
      <c r="BX2168">
        <v>0</v>
      </c>
      <c r="BY2168">
        <v>0</v>
      </c>
      <c r="BZ2168">
        <v>0</v>
      </c>
      <c r="CA2168">
        <v>0</v>
      </c>
      <c r="CB2168" t="s">
        <v>145</v>
      </c>
    </row>
    <row r="2169" spans="51:80" x14ac:dyDescent="0.25">
      <c r="BO2169">
        <v>0</v>
      </c>
      <c r="BP2169">
        <v>0</v>
      </c>
      <c r="BQ2169">
        <v>0</v>
      </c>
      <c r="BR2169">
        <v>0</v>
      </c>
      <c r="BS2169">
        <v>0</v>
      </c>
      <c r="BT2169">
        <v>0</v>
      </c>
      <c r="BU2169">
        <v>0</v>
      </c>
      <c r="BV2169">
        <v>0</v>
      </c>
      <c r="BW2169" t="s">
        <v>0</v>
      </c>
      <c r="BX2169">
        <v>0</v>
      </c>
      <c r="BY2169">
        <v>0</v>
      </c>
      <c r="BZ2169">
        <v>0</v>
      </c>
      <c r="CA2169">
        <v>0</v>
      </c>
      <c r="CB2169" t="s">
        <v>145</v>
      </c>
    </row>
    <row r="2170" spans="51:80" x14ac:dyDescent="0.25">
      <c r="BO2170">
        <v>0</v>
      </c>
      <c r="BP2170">
        <v>0</v>
      </c>
      <c r="BQ2170">
        <v>0</v>
      </c>
      <c r="BR2170">
        <v>0</v>
      </c>
      <c r="BS2170">
        <v>0</v>
      </c>
      <c r="BT2170">
        <v>0</v>
      </c>
      <c r="BU2170">
        <v>0</v>
      </c>
      <c r="BV2170">
        <v>0</v>
      </c>
      <c r="BW2170" t="s">
        <v>0</v>
      </c>
      <c r="BX2170">
        <v>0</v>
      </c>
      <c r="BY2170">
        <v>0</v>
      </c>
      <c r="BZ2170">
        <v>0</v>
      </c>
      <c r="CA2170">
        <v>0</v>
      </c>
      <c r="CB2170" t="s">
        <v>145</v>
      </c>
    </row>
    <row r="2171" spans="51:80" x14ac:dyDescent="0.25">
      <c r="BO2171">
        <v>0</v>
      </c>
      <c r="BP2171">
        <v>0</v>
      </c>
      <c r="BQ2171">
        <v>0</v>
      </c>
      <c r="BR2171">
        <v>0</v>
      </c>
      <c r="BS2171">
        <v>0</v>
      </c>
      <c r="BT2171">
        <v>0</v>
      </c>
      <c r="BU2171">
        <v>0</v>
      </c>
      <c r="BV2171">
        <v>0</v>
      </c>
      <c r="BW2171" t="s">
        <v>0</v>
      </c>
      <c r="BX2171">
        <v>0</v>
      </c>
      <c r="BY2171">
        <v>0</v>
      </c>
      <c r="BZ2171">
        <v>0</v>
      </c>
      <c r="CA2171">
        <v>0</v>
      </c>
      <c r="CB2171" t="s">
        <v>145</v>
      </c>
    </row>
    <row r="2172" spans="51:80" x14ac:dyDescent="0.25">
      <c r="BO2172">
        <v>0</v>
      </c>
      <c r="BP2172">
        <v>0</v>
      </c>
      <c r="BQ2172">
        <v>0</v>
      </c>
      <c r="BR2172">
        <v>0</v>
      </c>
      <c r="BS2172">
        <v>0</v>
      </c>
      <c r="BT2172">
        <v>0</v>
      </c>
      <c r="BU2172">
        <v>0</v>
      </c>
      <c r="BV2172">
        <v>0</v>
      </c>
      <c r="BW2172" t="s">
        <v>0</v>
      </c>
      <c r="BX2172">
        <v>0</v>
      </c>
      <c r="BY2172">
        <v>0</v>
      </c>
      <c r="BZ2172">
        <v>0</v>
      </c>
      <c r="CA2172">
        <v>0</v>
      </c>
      <c r="CB2172" t="s">
        <v>145</v>
      </c>
    </row>
    <row r="2173" spans="51:80" x14ac:dyDescent="0.25">
      <c r="BO2173">
        <v>0</v>
      </c>
      <c r="BP2173">
        <v>0</v>
      </c>
      <c r="BQ2173">
        <v>0</v>
      </c>
      <c r="BR2173">
        <v>0</v>
      </c>
      <c r="BS2173">
        <v>0</v>
      </c>
      <c r="BT2173">
        <v>0</v>
      </c>
      <c r="BU2173">
        <v>0</v>
      </c>
      <c r="BV2173">
        <v>0</v>
      </c>
      <c r="BW2173" t="s">
        <v>0</v>
      </c>
      <c r="BX2173">
        <v>0</v>
      </c>
      <c r="BY2173">
        <v>0</v>
      </c>
      <c r="BZ2173">
        <v>0</v>
      </c>
      <c r="CA2173">
        <v>0</v>
      </c>
      <c r="CB2173" t="s">
        <v>145</v>
      </c>
    </row>
    <row r="2174" spans="51:80" x14ac:dyDescent="0.25">
      <c r="BO2174">
        <v>0</v>
      </c>
      <c r="BP2174">
        <v>0</v>
      </c>
      <c r="BQ2174">
        <v>0</v>
      </c>
      <c r="BR2174">
        <v>0</v>
      </c>
      <c r="BS2174">
        <v>0</v>
      </c>
      <c r="BT2174">
        <v>0</v>
      </c>
      <c r="BU2174">
        <v>0</v>
      </c>
      <c r="BV2174">
        <v>0</v>
      </c>
      <c r="BW2174" t="s">
        <v>0</v>
      </c>
      <c r="BX2174">
        <v>0</v>
      </c>
      <c r="BY2174">
        <v>0</v>
      </c>
      <c r="BZ2174">
        <v>0</v>
      </c>
      <c r="CA2174">
        <v>0</v>
      </c>
      <c r="CB2174" t="s">
        <v>145</v>
      </c>
    </row>
    <row r="2175" spans="51:80" x14ac:dyDescent="0.25">
      <c r="BO2175">
        <v>0</v>
      </c>
      <c r="BP2175">
        <v>0</v>
      </c>
      <c r="BQ2175">
        <v>0</v>
      </c>
      <c r="BR2175">
        <v>0</v>
      </c>
      <c r="BS2175">
        <v>0</v>
      </c>
      <c r="BT2175">
        <v>0</v>
      </c>
      <c r="BU2175">
        <v>0</v>
      </c>
      <c r="BV2175">
        <v>0</v>
      </c>
      <c r="BW2175" t="s">
        <v>0</v>
      </c>
      <c r="BX2175">
        <v>0</v>
      </c>
      <c r="BY2175">
        <v>0</v>
      </c>
      <c r="BZ2175">
        <v>0</v>
      </c>
      <c r="CA2175">
        <v>0</v>
      </c>
      <c r="CB2175" t="s">
        <v>145</v>
      </c>
    </row>
    <row r="2176" spans="51:80" x14ac:dyDescent="0.25">
      <c r="BO2176">
        <v>0</v>
      </c>
      <c r="BP2176">
        <v>0</v>
      </c>
      <c r="BQ2176">
        <v>0</v>
      </c>
      <c r="BR2176">
        <v>0</v>
      </c>
      <c r="BS2176">
        <v>0</v>
      </c>
      <c r="BT2176">
        <v>0</v>
      </c>
      <c r="BU2176">
        <v>0</v>
      </c>
      <c r="BV2176">
        <v>0</v>
      </c>
      <c r="BW2176" t="s">
        <v>0</v>
      </c>
      <c r="BX2176">
        <v>0</v>
      </c>
      <c r="BY2176">
        <v>0</v>
      </c>
      <c r="BZ2176">
        <v>0</v>
      </c>
      <c r="CA2176">
        <v>0</v>
      </c>
      <c r="CB2176" t="s">
        <v>145</v>
      </c>
    </row>
    <row r="2177" spans="1:80" x14ac:dyDescent="0.25">
      <c r="I2177" s="8"/>
      <c r="BN2177" s="8"/>
      <c r="BO2177">
        <v>0</v>
      </c>
      <c r="BP2177">
        <v>0</v>
      </c>
      <c r="BQ2177">
        <v>0</v>
      </c>
      <c r="BR2177">
        <v>0</v>
      </c>
      <c r="BS2177">
        <v>0</v>
      </c>
      <c r="BT2177">
        <v>0</v>
      </c>
      <c r="BU2177">
        <v>0</v>
      </c>
      <c r="BV2177">
        <v>0</v>
      </c>
      <c r="BW2177" t="s">
        <v>0</v>
      </c>
      <c r="BX2177">
        <v>0</v>
      </c>
      <c r="BY2177">
        <v>0</v>
      </c>
      <c r="BZ2177">
        <v>0</v>
      </c>
      <c r="CA2177">
        <v>0</v>
      </c>
      <c r="CB2177" t="s">
        <v>145</v>
      </c>
    </row>
    <row r="2178" spans="1:80" x14ac:dyDescent="0.25">
      <c r="BO2178">
        <v>0</v>
      </c>
      <c r="BP2178">
        <v>0</v>
      </c>
      <c r="BQ2178">
        <v>0</v>
      </c>
      <c r="BR2178">
        <v>0</v>
      </c>
      <c r="BS2178">
        <v>0</v>
      </c>
      <c r="BT2178">
        <v>0</v>
      </c>
      <c r="BU2178">
        <v>0</v>
      </c>
      <c r="BV2178">
        <v>0</v>
      </c>
      <c r="BW2178" t="s">
        <v>0</v>
      </c>
      <c r="BX2178">
        <v>0</v>
      </c>
      <c r="BY2178">
        <v>0</v>
      </c>
      <c r="BZ2178">
        <v>0</v>
      </c>
      <c r="CA2178">
        <v>0</v>
      </c>
      <c r="CB2178" t="s">
        <v>145</v>
      </c>
    </row>
    <row r="2179" spans="1:80" x14ac:dyDescent="0.25">
      <c r="BO2179">
        <v>0</v>
      </c>
      <c r="BP2179">
        <v>0</v>
      </c>
      <c r="BQ2179">
        <v>0</v>
      </c>
      <c r="BR2179">
        <v>0</v>
      </c>
      <c r="BS2179">
        <v>0</v>
      </c>
      <c r="BT2179">
        <v>0</v>
      </c>
      <c r="BU2179">
        <v>0</v>
      </c>
      <c r="BV2179">
        <v>0</v>
      </c>
      <c r="BW2179" t="s">
        <v>0</v>
      </c>
      <c r="BX2179">
        <v>0</v>
      </c>
      <c r="BY2179">
        <v>0</v>
      </c>
      <c r="BZ2179">
        <v>0</v>
      </c>
      <c r="CA2179">
        <v>0</v>
      </c>
      <c r="CB2179" t="s">
        <v>145</v>
      </c>
    </row>
    <row r="2180" spans="1:80" x14ac:dyDescent="0.25">
      <c r="BO2180">
        <v>0</v>
      </c>
      <c r="BP2180">
        <v>0</v>
      </c>
      <c r="BQ2180">
        <v>0</v>
      </c>
      <c r="BR2180">
        <v>0</v>
      </c>
      <c r="BS2180">
        <v>0</v>
      </c>
      <c r="BT2180">
        <v>0</v>
      </c>
      <c r="BU2180">
        <v>0</v>
      </c>
      <c r="BV2180">
        <v>0</v>
      </c>
      <c r="BW2180" t="s">
        <v>0</v>
      </c>
      <c r="BX2180">
        <v>0</v>
      </c>
      <c r="BY2180">
        <v>0</v>
      </c>
      <c r="BZ2180">
        <v>0</v>
      </c>
      <c r="CA2180">
        <v>0</v>
      </c>
      <c r="CB2180" t="s">
        <v>145</v>
      </c>
    </row>
    <row r="2181" spans="1:80" x14ac:dyDescent="0.25">
      <c r="BO2181">
        <v>0</v>
      </c>
      <c r="BP2181">
        <v>0</v>
      </c>
      <c r="BQ2181">
        <v>0</v>
      </c>
      <c r="BR2181">
        <v>0</v>
      </c>
      <c r="BS2181">
        <v>0</v>
      </c>
      <c r="BT2181">
        <v>0</v>
      </c>
      <c r="BU2181">
        <v>0</v>
      </c>
      <c r="BV2181">
        <v>0</v>
      </c>
      <c r="BW2181" t="s">
        <v>0</v>
      </c>
      <c r="BX2181">
        <v>0</v>
      </c>
      <c r="BY2181">
        <v>0</v>
      </c>
      <c r="BZ2181">
        <v>0</v>
      </c>
      <c r="CA2181">
        <v>0</v>
      </c>
      <c r="CB2181" t="s">
        <v>145</v>
      </c>
    </row>
    <row r="2182" spans="1:80" x14ac:dyDescent="0.25">
      <c r="BO2182">
        <v>0</v>
      </c>
      <c r="BP2182">
        <v>0</v>
      </c>
      <c r="BQ2182">
        <v>0</v>
      </c>
      <c r="BR2182">
        <v>0</v>
      </c>
      <c r="BS2182">
        <v>0</v>
      </c>
      <c r="BT2182">
        <v>0</v>
      </c>
      <c r="BU2182">
        <v>0</v>
      </c>
      <c r="BV2182">
        <v>0</v>
      </c>
      <c r="BW2182" t="s">
        <v>0</v>
      </c>
      <c r="BX2182">
        <v>0</v>
      </c>
      <c r="BY2182">
        <v>0</v>
      </c>
      <c r="BZ2182">
        <v>0</v>
      </c>
      <c r="CA2182">
        <v>0</v>
      </c>
      <c r="CB2182" t="s">
        <v>145</v>
      </c>
    </row>
    <row r="2183" spans="1:80" x14ac:dyDescent="0.25">
      <c r="BO2183">
        <v>0</v>
      </c>
      <c r="BP2183">
        <v>0</v>
      </c>
      <c r="BQ2183">
        <v>0</v>
      </c>
      <c r="BR2183">
        <v>0</v>
      </c>
      <c r="BS2183">
        <v>0</v>
      </c>
      <c r="BT2183">
        <v>0</v>
      </c>
      <c r="BU2183">
        <v>0</v>
      </c>
      <c r="BV2183">
        <v>0</v>
      </c>
      <c r="BW2183" t="s">
        <v>0</v>
      </c>
      <c r="BX2183">
        <v>0</v>
      </c>
      <c r="BY2183">
        <v>0</v>
      </c>
      <c r="BZ2183">
        <v>0</v>
      </c>
      <c r="CA2183">
        <v>0</v>
      </c>
      <c r="CB2183" t="s">
        <v>145</v>
      </c>
    </row>
    <row r="2184" spans="1:80" x14ac:dyDescent="0.25">
      <c r="BO2184">
        <v>0</v>
      </c>
      <c r="BP2184">
        <v>0</v>
      </c>
      <c r="BQ2184">
        <v>0</v>
      </c>
      <c r="BR2184">
        <v>0</v>
      </c>
      <c r="BS2184">
        <v>0</v>
      </c>
      <c r="BT2184">
        <v>0</v>
      </c>
      <c r="BU2184">
        <v>0</v>
      </c>
      <c r="BV2184">
        <v>0</v>
      </c>
      <c r="BW2184" t="s">
        <v>0</v>
      </c>
      <c r="BX2184">
        <v>0</v>
      </c>
      <c r="BY2184">
        <v>0</v>
      </c>
      <c r="BZ2184">
        <v>0</v>
      </c>
      <c r="CA2184">
        <v>0</v>
      </c>
      <c r="CB2184" t="s">
        <v>145</v>
      </c>
    </row>
    <row r="2185" spans="1:80" x14ac:dyDescent="0.25">
      <c r="BO2185">
        <v>0</v>
      </c>
      <c r="BP2185">
        <v>0</v>
      </c>
      <c r="BQ2185">
        <v>0</v>
      </c>
      <c r="BR2185">
        <v>0</v>
      </c>
      <c r="BS2185">
        <v>0</v>
      </c>
      <c r="BT2185">
        <v>0</v>
      </c>
      <c r="BU2185">
        <v>0</v>
      </c>
      <c r="BV2185">
        <v>0</v>
      </c>
      <c r="BW2185" t="s">
        <v>0</v>
      </c>
      <c r="BX2185">
        <v>0</v>
      </c>
      <c r="BY2185">
        <v>0</v>
      </c>
      <c r="BZ2185">
        <v>0</v>
      </c>
      <c r="CA2185">
        <v>0</v>
      </c>
      <c r="CB2185" t="s">
        <v>145</v>
      </c>
    </row>
    <row r="2186" spans="1:80" x14ac:dyDescent="0.25">
      <c r="BO2186">
        <v>0</v>
      </c>
      <c r="BP2186">
        <v>0</v>
      </c>
      <c r="BQ2186">
        <v>0</v>
      </c>
      <c r="BR2186">
        <v>0</v>
      </c>
      <c r="BS2186">
        <v>0</v>
      </c>
      <c r="BT2186">
        <v>0</v>
      </c>
      <c r="BU2186">
        <v>0</v>
      </c>
      <c r="BV2186">
        <v>0</v>
      </c>
      <c r="BW2186" t="s">
        <v>0</v>
      </c>
      <c r="BX2186">
        <v>0</v>
      </c>
      <c r="BY2186">
        <v>0</v>
      </c>
      <c r="BZ2186">
        <v>0</v>
      </c>
      <c r="CA2186">
        <v>0</v>
      </c>
      <c r="CB2186" t="s">
        <v>145</v>
      </c>
    </row>
    <row r="2187" spans="1:80" x14ac:dyDescent="0.25">
      <c r="BO2187">
        <v>0</v>
      </c>
      <c r="BP2187">
        <v>0</v>
      </c>
      <c r="BQ2187">
        <v>0</v>
      </c>
      <c r="BR2187">
        <v>0</v>
      </c>
      <c r="BS2187">
        <v>0</v>
      </c>
      <c r="BT2187">
        <v>0</v>
      </c>
      <c r="BU2187">
        <v>0</v>
      </c>
      <c r="BV2187">
        <v>0</v>
      </c>
      <c r="BW2187" t="s">
        <v>0</v>
      </c>
      <c r="BX2187">
        <v>0</v>
      </c>
      <c r="BY2187">
        <v>0</v>
      </c>
      <c r="BZ2187">
        <v>0</v>
      </c>
      <c r="CA2187">
        <v>0</v>
      </c>
      <c r="CB2187" t="s">
        <v>145</v>
      </c>
    </row>
    <row r="2188" spans="1:80" x14ac:dyDescent="0.25">
      <c r="A2188" s="6"/>
      <c r="B2188" s="6"/>
      <c r="C2188" s="6"/>
      <c r="D2188" s="6"/>
      <c r="E2188" s="6"/>
      <c r="F2188" s="6"/>
      <c r="G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  <c r="BE2188" s="6"/>
      <c r="BF2188" s="6"/>
      <c r="BG2188" s="6"/>
      <c r="BH2188" s="6"/>
      <c r="BI2188" s="6"/>
      <c r="BK2188" s="6"/>
      <c r="BL2188" s="6"/>
      <c r="BM2188" s="6"/>
      <c r="BN2188" s="6"/>
      <c r="BO2188" s="6">
        <v>0</v>
      </c>
      <c r="BP2188" s="6">
        <v>0</v>
      </c>
      <c r="BQ2188" s="6">
        <v>0</v>
      </c>
      <c r="BR2188" s="6">
        <v>0</v>
      </c>
      <c r="BS2188" s="6">
        <v>0</v>
      </c>
      <c r="BT2188" s="6">
        <v>0</v>
      </c>
      <c r="BU2188" s="6">
        <v>0</v>
      </c>
      <c r="BV2188" s="6">
        <v>0</v>
      </c>
      <c r="BW2188" s="6" t="s">
        <v>0</v>
      </c>
      <c r="BX2188" s="6">
        <v>0</v>
      </c>
      <c r="BY2188">
        <v>0</v>
      </c>
      <c r="BZ2188">
        <v>0</v>
      </c>
      <c r="CA2188">
        <v>0</v>
      </c>
      <c r="CB2188" t="s">
        <v>145</v>
      </c>
    </row>
    <row r="2189" spans="1:80" x14ac:dyDescent="0.25">
      <c r="A2189" s="6"/>
      <c r="B2189" s="6"/>
      <c r="C2189" s="6"/>
      <c r="D2189" s="6"/>
      <c r="E2189" s="6"/>
      <c r="F2189" s="6"/>
      <c r="G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  <c r="BE2189" s="6"/>
      <c r="BF2189" s="6"/>
      <c r="BG2189" s="6"/>
      <c r="BH2189" s="6"/>
      <c r="BI2189" s="6"/>
      <c r="BK2189" s="6"/>
      <c r="BL2189" s="6"/>
      <c r="BM2189" s="6"/>
      <c r="BN2189" s="6"/>
      <c r="BO2189" s="6">
        <v>0</v>
      </c>
      <c r="BP2189" s="6">
        <v>0</v>
      </c>
      <c r="BQ2189" s="6">
        <v>0</v>
      </c>
      <c r="BR2189" s="6">
        <v>0</v>
      </c>
      <c r="BS2189" s="6">
        <v>0</v>
      </c>
      <c r="BT2189" s="6">
        <v>0</v>
      </c>
      <c r="BU2189" s="6">
        <v>0</v>
      </c>
      <c r="BV2189" s="6">
        <v>0</v>
      </c>
      <c r="BW2189" s="6" t="s">
        <v>0</v>
      </c>
      <c r="BX2189" s="6">
        <v>0</v>
      </c>
      <c r="BY2189">
        <v>0</v>
      </c>
      <c r="BZ2189">
        <v>0</v>
      </c>
      <c r="CA2189">
        <v>0</v>
      </c>
      <c r="CB2189" t="s">
        <v>145</v>
      </c>
    </row>
    <row r="2190" spans="1:80" x14ac:dyDescent="0.25">
      <c r="A2190" s="6"/>
      <c r="B2190" s="6"/>
      <c r="C2190" s="6"/>
      <c r="D2190" s="6"/>
      <c r="E2190" s="6"/>
      <c r="F2190" s="6"/>
      <c r="G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  <c r="BE2190" s="6"/>
      <c r="BF2190" s="6"/>
      <c r="BG2190" s="6"/>
      <c r="BH2190" s="6"/>
      <c r="BI2190" s="6"/>
      <c r="BK2190" s="6"/>
      <c r="BL2190" s="6"/>
      <c r="BM2190" s="6"/>
      <c r="BN2190" s="6"/>
      <c r="BO2190" s="6">
        <v>0</v>
      </c>
      <c r="BP2190" s="6">
        <v>0</v>
      </c>
      <c r="BQ2190" s="6">
        <v>0</v>
      </c>
      <c r="BR2190" s="6">
        <v>0</v>
      </c>
      <c r="BS2190" s="6">
        <v>0</v>
      </c>
      <c r="BT2190" s="6">
        <v>0</v>
      </c>
      <c r="BU2190" s="6">
        <v>0</v>
      </c>
      <c r="BV2190" s="6">
        <v>0</v>
      </c>
      <c r="BW2190" s="6" t="s">
        <v>0</v>
      </c>
      <c r="BX2190" s="6">
        <v>0</v>
      </c>
      <c r="BY2190">
        <v>0</v>
      </c>
      <c r="BZ2190">
        <v>0</v>
      </c>
      <c r="CA2190">
        <v>0</v>
      </c>
      <c r="CB2190" t="s">
        <v>145</v>
      </c>
    </row>
    <row r="2191" spans="1:80" x14ac:dyDescent="0.25">
      <c r="A2191" s="6"/>
      <c r="B2191" s="6"/>
      <c r="C2191" s="6"/>
      <c r="D2191" s="6"/>
      <c r="E2191" s="6"/>
      <c r="F2191" s="6"/>
      <c r="G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  <c r="BE2191" s="6"/>
      <c r="BF2191" s="6"/>
      <c r="BG2191" s="6"/>
      <c r="BH2191" s="6"/>
      <c r="BI2191" s="6"/>
      <c r="BK2191" s="6"/>
      <c r="BL2191" s="6"/>
      <c r="BM2191" s="6"/>
      <c r="BN2191" s="6"/>
      <c r="BO2191" s="6">
        <v>0</v>
      </c>
      <c r="BP2191" s="6">
        <v>0</v>
      </c>
      <c r="BQ2191" s="6">
        <v>0</v>
      </c>
      <c r="BR2191" s="6">
        <v>0</v>
      </c>
      <c r="BS2191" s="6">
        <v>0</v>
      </c>
      <c r="BT2191" s="6">
        <v>0</v>
      </c>
      <c r="BU2191" s="6">
        <v>0</v>
      </c>
      <c r="BV2191" s="6">
        <v>0</v>
      </c>
      <c r="BW2191" s="6" t="s">
        <v>0</v>
      </c>
      <c r="BX2191" s="6">
        <v>0</v>
      </c>
      <c r="BY2191">
        <v>0</v>
      </c>
      <c r="BZ2191">
        <v>0</v>
      </c>
      <c r="CA2191">
        <v>0</v>
      </c>
      <c r="CB2191" t="s">
        <v>145</v>
      </c>
    </row>
    <row r="2192" spans="1:80" x14ac:dyDescent="0.25">
      <c r="A2192" s="6"/>
      <c r="B2192" s="6"/>
      <c r="C2192" s="6"/>
      <c r="D2192" s="6"/>
      <c r="E2192" s="6"/>
      <c r="F2192" s="6"/>
      <c r="G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  <c r="BE2192" s="6"/>
      <c r="BF2192" s="6"/>
      <c r="BG2192" s="6"/>
      <c r="BH2192" s="6"/>
      <c r="BI2192" s="6"/>
      <c r="BK2192" s="6"/>
      <c r="BL2192" s="6"/>
      <c r="BM2192" s="6"/>
      <c r="BN2192" s="6"/>
      <c r="BO2192" s="6">
        <v>0</v>
      </c>
      <c r="BP2192" s="6">
        <v>0</v>
      </c>
      <c r="BQ2192" s="6">
        <v>0</v>
      </c>
      <c r="BR2192" s="6">
        <v>0</v>
      </c>
      <c r="BS2192" s="6">
        <v>0</v>
      </c>
      <c r="BT2192" s="6">
        <v>0</v>
      </c>
      <c r="BU2192" s="6">
        <v>0</v>
      </c>
      <c r="BV2192" s="6">
        <v>0</v>
      </c>
      <c r="BW2192" s="6" t="s">
        <v>0</v>
      </c>
      <c r="BX2192" s="6">
        <v>0</v>
      </c>
      <c r="BY2192">
        <v>0</v>
      </c>
      <c r="BZ2192">
        <v>0</v>
      </c>
      <c r="CA2192">
        <v>0</v>
      </c>
      <c r="CB2192" t="s">
        <v>145</v>
      </c>
    </row>
    <row r="2193" spans="67:80" x14ac:dyDescent="0.25">
      <c r="BO2193">
        <v>0</v>
      </c>
      <c r="BP2193">
        <v>0</v>
      </c>
      <c r="BQ2193">
        <v>0</v>
      </c>
      <c r="BR2193">
        <v>0</v>
      </c>
      <c r="BS2193">
        <v>0</v>
      </c>
      <c r="BT2193">
        <v>0</v>
      </c>
      <c r="BU2193">
        <v>0</v>
      </c>
      <c r="BV2193">
        <v>0</v>
      </c>
      <c r="BW2193" t="s">
        <v>0</v>
      </c>
      <c r="BX2193">
        <v>0</v>
      </c>
      <c r="BY2193">
        <v>0</v>
      </c>
      <c r="BZ2193">
        <v>0</v>
      </c>
      <c r="CA2193">
        <v>0</v>
      </c>
      <c r="CB2193" t="s">
        <v>145</v>
      </c>
    </row>
    <row r="2194" spans="67:80" x14ac:dyDescent="0.25">
      <c r="BO2194">
        <v>0</v>
      </c>
      <c r="BP2194">
        <v>0</v>
      </c>
      <c r="BQ2194">
        <v>0</v>
      </c>
      <c r="BR2194">
        <v>0</v>
      </c>
      <c r="BS2194">
        <v>0</v>
      </c>
      <c r="BT2194">
        <v>0</v>
      </c>
      <c r="BU2194">
        <v>0</v>
      </c>
      <c r="BV2194">
        <v>0</v>
      </c>
      <c r="BW2194" t="s">
        <v>0</v>
      </c>
      <c r="BX2194">
        <v>0</v>
      </c>
      <c r="BY2194">
        <v>0</v>
      </c>
      <c r="BZ2194">
        <v>0</v>
      </c>
      <c r="CA2194">
        <v>0</v>
      </c>
      <c r="CB2194" t="s">
        <v>145</v>
      </c>
    </row>
    <row r="2195" spans="67:80" x14ac:dyDescent="0.25">
      <c r="BO2195">
        <v>0</v>
      </c>
      <c r="BP2195">
        <v>0</v>
      </c>
      <c r="BQ2195">
        <v>0</v>
      </c>
      <c r="BR2195">
        <v>0</v>
      </c>
      <c r="BS2195">
        <v>0</v>
      </c>
      <c r="BT2195">
        <v>0</v>
      </c>
      <c r="BU2195">
        <v>0</v>
      </c>
      <c r="BV2195">
        <v>0</v>
      </c>
      <c r="BW2195" t="s">
        <v>0</v>
      </c>
      <c r="BX2195">
        <v>0</v>
      </c>
      <c r="BY2195">
        <v>0</v>
      </c>
      <c r="BZ2195">
        <v>0</v>
      </c>
      <c r="CA2195">
        <v>0</v>
      </c>
      <c r="CB2195" t="s">
        <v>145</v>
      </c>
    </row>
    <row r="2196" spans="67:80" x14ac:dyDescent="0.25">
      <c r="BO2196">
        <v>0</v>
      </c>
      <c r="BP2196">
        <v>0</v>
      </c>
      <c r="BQ2196">
        <v>0</v>
      </c>
      <c r="BR2196">
        <v>0</v>
      </c>
      <c r="BS2196">
        <v>0</v>
      </c>
      <c r="BT2196">
        <v>0</v>
      </c>
      <c r="BU2196">
        <v>0</v>
      </c>
      <c r="BV2196">
        <v>0</v>
      </c>
      <c r="BW2196" t="s">
        <v>0</v>
      </c>
      <c r="BX2196">
        <v>0</v>
      </c>
      <c r="BY2196">
        <v>0</v>
      </c>
      <c r="BZ2196">
        <v>0</v>
      </c>
      <c r="CA2196">
        <v>0</v>
      </c>
      <c r="CB2196" t="s">
        <v>145</v>
      </c>
    </row>
    <row r="2197" spans="67:80" x14ac:dyDescent="0.25">
      <c r="BO2197">
        <v>0</v>
      </c>
      <c r="BP2197">
        <v>0</v>
      </c>
      <c r="BQ2197">
        <v>0</v>
      </c>
      <c r="BR2197">
        <v>0</v>
      </c>
      <c r="BS2197">
        <v>0</v>
      </c>
      <c r="BT2197">
        <v>0</v>
      </c>
      <c r="BU2197">
        <v>0</v>
      </c>
      <c r="BV2197">
        <v>0</v>
      </c>
      <c r="BW2197" t="s">
        <v>0</v>
      </c>
      <c r="BX2197">
        <v>0</v>
      </c>
      <c r="BY2197">
        <v>0</v>
      </c>
      <c r="BZ2197">
        <v>0</v>
      </c>
      <c r="CA2197">
        <v>0</v>
      </c>
      <c r="CB2197" t="s">
        <v>145</v>
      </c>
    </row>
    <row r="2198" spans="67:80" x14ac:dyDescent="0.25">
      <c r="BO2198">
        <v>0</v>
      </c>
      <c r="BP2198">
        <v>0</v>
      </c>
      <c r="BQ2198">
        <v>0</v>
      </c>
      <c r="BR2198">
        <v>0</v>
      </c>
      <c r="BS2198">
        <v>0</v>
      </c>
      <c r="BT2198">
        <v>0</v>
      </c>
      <c r="BU2198">
        <v>0</v>
      </c>
      <c r="BV2198">
        <v>0</v>
      </c>
      <c r="BW2198" t="s">
        <v>0</v>
      </c>
      <c r="BX2198">
        <v>0</v>
      </c>
      <c r="BY2198">
        <v>0</v>
      </c>
      <c r="BZ2198">
        <v>0</v>
      </c>
      <c r="CA2198">
        <v>0</v>
      </c>
      <c r="CB2198" t="s">
        <v>145</v>
      </c>
    </row>
    <row r="2199" spans="67:80" x14ac:dyDescent="0.25">
      <c r="BO2199">
        <v>0</v>
      </c>
      <c r="BP2199">
        <v>0</v>
      </c>
      <c r="BQ2199">
        <v>0</v>
      </c>
      <c r="BR2199">
        <v>0</v>
      </c>
      <c r="BS2199">
        <v>0</v>
      </c>
      <c r="BT2199">
        <v>0</v>
      </c>
      <c r="BU2199">
        <v>0</v>
      </c>
      <c r="BV2199">
        <v>0</v>
      </c>
      <c r="BW2199" t="s">
        <v>0</v>
      </c>
      <c r="BX2199">
        <v>0</v>
      </c>
      <c r="BY2199">
        <v>0</v>
      </c>
      <c r="BZ2199">
        <v>0</v>
      </c>
      <c r="CA2199">
        <v>0</v>
      </c>
      <c r="CB2199" t="s">
        <v>145</v>
      </c>
    </row>
    <row r="2200" spans="67:80" x14ac:dyDescent="0.25">
      <c r="BO2200">
        <v>0</v>
      </c>
      <c r="BP2200">
        <v>0</v>
      </c>
      <c r="BQ2200">
        <v>0</v>
      </c>
      <c r="BR2200">
        <v>0</v>
      </c>
      <c r="BS2200">
        <v>0</v>
      </c>
      <c r="BT2200">
        <v>0</v>
      </c>
      <c r="BU2200">
        <v>0</v>
      </c>
      <c r="BV2200">
        <v>0</v>
      </c>
      <c r="BW2200" t="s">
        <v>0</v>
      </c>
      <c r="BX2200">
        <v>0</v>
      </c>
      <c r="BY2200">
        <v>0</v>
      </c>
      <c r="BZ2200">
        <v>0</v>
      </c>
      <c r="CA2200">
        <v>0</v>
      </c>
      <c r="CB2200" t="s">
        <v>145</v>
      </c>
    </row>
    <row r="2201" spans="67:80" x14ac:dyDescent="0.25">
      <c r="BO2201">
        <v>0</v>
      </c>
      <c r="BP2201">
        <v>0</v>
      </c>
      <c r="BQ2201">
        <v>0</v>
      </c>
      <c r="BR2201">
        <v>0</v>
      </c>
      <c r="BS2201">
        <v>0</v>
      </c>
      <c r="BT2201">
        <v>0</v>
      </c>
      <c r="BU2201">
        <v>0</v>
      </c>
      <c r="BV2201">
        <v>0</v>
      </c>
      <c r="BW2201" t="s">
        <v>0</v>
      </c>
      <c r="BX2201">
        <v>0</v>
      </c>
      <c r="BY2201">
        <v>0</v>
      </c>
      <c r="BZ2201">
        <v>0</v>
      </c>
      <c r="CA2201">
        <v>0</v>
      </c>
      <c r="CB2201" t="s">
        <v>145</v>
      </c>
    </row>
    <row r="2202" spans="67:80" x14ac:dyDescent="0.25">
      <c r="BO2202">
        <v>0</v>
      </c>
      <c r="BP2202">
        <v>0</v>
      </c>
      <c r="BQ2202">
        <v>0</v>
      </c>
      <c r="BR2202">
        <v>0</v>
      </c>
      <c r="BS2202">
        <v>0</v>
      </c>
      <c r="BT2202">
        <v>0</v>
      </c>
      <c r="BU2202">
        <v>0</v>
      </c>
      <c r="BV2202">
        <v>0</v>
      </c>
      <c r="BW2202" t="s">
        <v>0</v>
      </c>
      <c r="BX2202">
        <v>0</v>
      </c>
      <c r="BY2202">
        <v>0</v>
      </c>
      <c r="BZ2202">
        <v>0</v>
      </c>
      <c r="CA2202">
        <v>0</v>
      </c>
      <c r="CB2202" t="s">
        <v>145</v>
      </c>
    </row>
    <row r="2203" spans="67:80" x14ac:dyDescent="0.25">
      <c r="BO2203">
        <v>0</v>
      </c>
      <c r="BP2203">
        <v>0</v>
      </c>
      <c r="BQ2203">
        <v>0</v>
      </c>
      <c r="BR2203">
        <v>0</v>
      </c>
      <c r="BS2203">
        <v>0</v>
      </c>
      <c r="BT2203">
        <v>0</v>
      </c>
      <c r="BU2203">
        <v>0</v>
      </c>
      <c r="BV2203">
        <v>0</v>
      </c>
      <c r="BW2203" t="s">
        <v>0</v>
      </c>
      <c r="BX2203">
        <v>0</v>
      </c>
      <c r="BY2203">
        <v>0</v>
      </c>
      <c r="BZ2203">
        <v>0</v>
      </c>
      <c r="CA2203">
        <v>0</v>
      </c>
      <c r="CB2203" t="s">
        <v>145</v>
      </c>
    </row>
    <row r="2204" spans="67:80" x14ac:dyDescent="0.25">
      <c r="BO2204">
        <v>0</v>
      </c>
      <c r="BP2204">
        <v>0</v>
      </c>
      <c r="BQ2204">
        <v>0</v>
      </c>
      <c r="BR2204">
        <v>0</v>
      </c>
      <c r="BS2204">
        <v>0</v>
      </c>
      <c r="BT2204">
        <v>0</v>
      </c>
      <c r="BU2204">
        <v>0</v>
      </c>
      <c r="BV2204">
        <v>0</v>
      </c>
      <c r="BW2204" t="s">
        <v>0</v>
      </c>
      <c r="BX2204">
        <v>0</v>
      </c>
      <c r="BY2204">
        <v>0</v>
      </c>
      <c r="BZ2204">
        <v>0</v>
      </c>
      <c r="CA2204">
        <v>0</v>
      </c>
      <c r="CB2204" t="s">
        <v>145</v>
      </c>
    </row>
    <row r="2205" spans="67:80" x14ac:dyDescent="0.25">
      <c r="BO2205">
        <v>0</v>
      </c>
      <c r="BP2205">
        <v>0</v>
      </c>
      <c r="BQ2205">
        <v>0</v>
      </c>
      <c r="BR2205">
        <v>0</v>
      </c>
      <c r="BS2205">
        <v>0</v>
      </c>
      <c r="BT2205">
        <v>0</v>
      </c>
      <c r="BU2205">
        <v>0</v>
      </c>
      <c r="BV2205">
        <v>0</v>
      </c>
      <c r="BW2205" t="s">
        <v>0</v>
      </c>
      <c r="BX2205">
        <v>0</v>
      </c>
      <c r="BY2205">
        <v>0</v>
      </c>
      <c r="BZ2205">
        <v>0</v>
      </c>
      <c r="CA2205">
        <v>0</v>
      </c>
      <c r="CB2205" t="s">
        <v>145</v>
      </c>
    </row>
    <row r="2206" spans="67:80" x14ac:dyDescent="0.25">
      <c r="BO2206">
        <v>0</v>
      </c>
      <c r="BP2206">
        <v>0</v>
      </c>
      <c r="BQ2206">
        <v>0</v>
      </c>
      <c r="BR2206">
        <v>0</v>
      </c>
      <c r="BS2206">
        <v>0</v>
      </c>
      <c r="BT2206">
        <v>0</v>
      </c>
      <c r="BU2206">
        <v>0</v>
      </c>
      <c r="BV2206">
        <v>0</v>
      </c>
      <c r="BW2206" t="s">
        <v>0</v>
      </c>
      <c r="BX2206">
        <v>0</v>
      </c>
      <c r="BY2206">
        <v>0</v>
      </c>
      <c r="BZ2206">
        <v>0</v>
      </c>
      <c r="CA2206">
        <v>0</v>
      </c>
      <c r="CB2206" t="s">
        <v>145</v>
      </c>
    </row>
    <row r="2207" spans="67:80" x14ac:dyDescent="0.25">
      <c r="BO2207">
        <v>0</v>
      </c>
      <c r="BP2207">
        <v>0</v>
      </c>
      <c r="BQ2207">
        <v>0</v>
      </c>
      <c r="BR2207">
        <v>0</v>
      </c>
      <c r="BS2207">
        <v>0</v>
      </c>
      <c r="BT2207">
        <v>0</v>
      </c>
      <c r="BU2207">
        <v>0</v>
      </c>
      <c r="BV2207">
        <v>0</v>
      </c>
      <c r="BW2207" t="s">
        <v>0</v>
      </c>
      <c r="BX2207">
        <v>0</v>
      </c>
      <c r="BY2207">
        <v>0</v>
      </c>
      <c r="BZ2207">
        <v>0</v>
      </c>
      <c r="CA2207">
        <v>0</v>
      </c>
      <c r="CB2207" t="s">
        <v>145</v>
      </c>
    </row>
    <row r="2208" spans="67:80" x14ac:dyDescent="0.25">
      <c r="BO2208">
        <v>0</v>
      </c>
      <c r="BP2208">
        <v>0</v>
      </c>
      <c r="BQ2208">
        <v>0</v>
      </c>
      <c r="BR2208">
        <v>0</v>
      </c>
      <c r="BS2208">
        <v>0</v>
      </c>
      <c r="BT2208">
        <v>0</v>
      </c>
      <c r="BU2208">
        <v>0</v>
      </c>
      <c r="BV2208">
        <v>0</v>
      </c>
      <c r="BW2208" t="s">
        <v>0</v>
      </c>
      <c r="BX2208">
        <v>0</v>
      </c>
      <c r="BY2208">
        <v>0</v>
      </c>
      <c r="BZ2208">
        <v>0</v>
      </c>
      <c r="CA2208">
        <v>0</v>
      </c>
      <c r="CB2208" t="s">
        <v>145</v>
      </c>
    </row>
    <row r="2209" spans="1:80" x14ac:dyDescent="0.25">
      <c r="BO2209">
        <v>0</v>
      </c>
      <c r="BP2209">
        <v>0</v>
      </c>
      <c r="BQ2209">
        <v>0</v>
      </c>
      <c r="BR2209">
        <v>0</v>
      </c>
      <c r="BS2209">
        <v>0</v>
      </c>
      <c r="BT2209">
        <v>0</v>
      </c>
      <c r="BU2209">
        <v>0</v>
      </c>
      <c r="BV2209">
        <v>0</v>
      </c>
      <c r="BW2209" t="s">
        <v>0</v>
      </c>
      <c r="BX2209">
        <v>0</v>
      </c>
      <c r="BY2209">
        <v>0</v>
      </c>
      <c r="BZ2209">
        <v>0</v>
      </c>
      <c r="CA2209">
        <v>0</v>
      </c>
      <c r="CB2209" t="s">
        <v>145</v>
      </c>
    </row>
    <row r="2210" spans="1:80" x14ac:dyDescent="0.25">
      <c r="BO2210">
        <v>0</v>
      </c>
      <c r="BP2210">
        <v>0</v>
      </c>
      <c r="BQ2210">
        <v>0</v>
      </c>
      <c r="BR2210">
        <v>0</v>
      </c>
      <c r="BS2210">
        <v>0</v>
      </c>
      <c r="BT2210">
        <v>0</v>
      </c>
      <c r="BU2210">
        <v>0</v>
      </c>
      <c r="BV2210">
        <v>0</v>
      </c>
      <c r="BW2210" t="s">
        <v>0</v>
      </c>
      <c r="BX2210">
        <v>0</v>
      </c>
      <c r="BY2210">
        <v>0</v>
      </c>
      <c r="BZ2210">
        <v>0</v>
      </c>
      <c r="CA2210">
        <v>0</v>
      </c>
      <c r="CB2210" t="s">
        <v>145</v>
      </c>
    </row>
    <row r="2211" spans="1:80" x14ac:dyDescent="0.25">
      <c r="BO2211">
        <v>0</v>
      </c>
      <c r="BP2211">
        <v>0</v>
      </c>
      <c r="BQ2211">
        <v>0</v>
      </c>
      <c r="BR2211">
        <v>0</v>
      </c>
      <c r="BS2211">
        <v>0</v>
      </c>
      <c r="BT2211">
        <v>0</v>
      </c>
      <c r="BU2211">
        <v>0</v>
      </c>
      <c r="BV2211">
        <v>0</v>
      </c>
      <c r="BW2211" t="s">
        <v>0</v>
      </c>
      <c r="BX2211">
        <v>0</v>
      </c>
      <c r="BY2211">
        <v>0</v>
      </c>
      <c r="BZ2211">
        <v>0</v>
      </c>
      <c r="CA2211">
        <v>0</v>
      </c>
      <c r="CB2211" t="s">
        <v>145</v>
      </c>
    </row>
    <row r="2212" spans="1:80" x14ac:dyDescent="0.25">
      <c r="BO2212">
        <v>0</v>
      </c>
      <c r="BP2212">
        <v>0</v>
      </c>
      <c r="BQ2212">
        <v>0</v>
      </c>
      <c r="BR2212">
        <v>0</v>
      </c>
      <c r="BS2212">
        <v>0</v>
      </c>
      <c r="BT2212">
        <v>0</v>
      </c>
      <c r="BU2212">
        <v>0</v>
      </c>
      <c r="BV2212">
        <v>0</v>
      </c>
      <c r="BW2212" t="s">
        <v>0</v>
      </c>
      <c r="BX2212">
        <v>0</v>
      </c>
      <c r="BY2212">
        <v>0</v>
      </c>
      <c r="BZ2212">
        <v>0</v>
      </c>
      <c r="CA2212">
        <v>0</v>
      </c>
      <c r="CB2212" t="s">
        <v>145</v>
      </c>
    </row>
    <row r="2213" spans="1:80" x14ac:dyDescent="0.25">
      <c r="BO2213">
        <v>0</v>
      </c>
      <c r="BP2213">
        <v>0</v>
      </c>
      <c r="BQ2213">
        <v>0</v>
      </c>
      <c r="BR2213">
        <v>0</v>
      </c>
      <c r="BS2213">
        <v>0</v>
      </c>
      <c r="BT2213">
        <v>0</v>
      </c>
      <c r="BU2213">
        <v>0</v>
      </c>
      <c r="BV2213">
        <v>0</v>
      </c>
      <c r="BW2213" t="s">
        <v>0</v>
      </c>
      <c r="BX2213">
        <v>0</v>
      </c>
      <c r="BY2213">
        <v>0</v>
      </c>
      <c r="BZ2213">
        <v>0</v>
      </c>
      <c r="CA2213">
        <v>0</v>
      </c>
      <c r="CB2213" t="s">
        <v>145</v>
      </c>
    </row>
    <row r="2214" spans="1:80" x14ac:dyDescent="0.25">
      <c r="BO2214">
        <v>0</v>
      </c>
      <c r="BP2214">
        <v>0</v>
      </c>
      <c r="BQ2214">
        <v>0</v>
      </c>
      <c r="BR2214">
        <v>0</v>
      </c>
      <c r="BS2214">
        <v>0</v>
      </c>
      <c r="BT2214">
        <v>0</v>
      </c>
      <c r="BU2214">
        <v>0</v>
      </c>
      <c r="BV2214">
        <v>0</v>
      </c>
      <c r="BW2214" t="s">
        <v>0</v>
      </c>
      <c r="BX2214">
        <v>0</v>
      </c>
      <c r="BY2214">
        <v>0</v>
      </c>
      <c r="BZ2214">
        <v>0</v>
      </c>
      <c r="CA2214">
        <v>0</v>
      </c>
      <c r="CB2214" t="s">
        <v>145</v>
      </c>
    </row>
    <row r="2215" spans="1:80" x14ac:dyDescent="0.25">
      <c r="BO2215">
        <v>0</v>
      </c>
      <c r="BP2215">
        <v>0</v>
      </c>
      <c r="BQ2215">
        <v>0</v>
      </c>
      <c r="BR2215">
        <v>0</v>
      </c>
      <c r="BS2215">
        <v>0</v>
      </c>
      <c r="BT2215">
        <v>0</v>
      </c>
      <c r="BU2215">
        <v>0</v>
      </c>
      <c r="BV2215">
        <v>0</v>
      </c>
      <c r="BW2215" t="s">
        <v>0</v>
      </c>
      <c r="BX2215">
        <v>0</v>
      </c>
      <c r="BY2215">
        <v>0</v>
      </c>
      <c r="BZ2215">
        <v>0</v>
      </c>
      <c r="CA2215">
        <v>0</v>
      </c>
      <c r="CB2215" t="s">
        <v>145</v>
      </c>
    </row>
    <row r="2216" spans="1:80" x14ac:dyDescent="0.25">
      <c r="BO2216">
        <v>0</v>
      </c>
      <c r="BP2216">
        <v>0</v>
      </c>
      <c r="BQ2216">
        <v>0</v>
      </c>
      <c r="BR2216">
        <v>0</v>
      </c>
      <c r="BS2216">
        <v>0</v>
      </c>
      <c r="BT2216">
        <v>0</v>
      </c>
      <c r="BU2216">
        <v>0</v>
      </c>
      <c r="BV2216">
        <v>0</v>
      </c>
      <c r="BW2216" t="s">
        <v>0</v>
      </c>
      <c r="BX2216">
        <v>0</v>
      </c>
      <c r="BY2216">
        <v>0</v>
      </c>
      <c r="BZ2216">
        <v>0</v>
      </c>
      <c r="CA2216">
        <v>0</v>
      </c>
      <c r="CB2216" t="s">
        <v>145</v>
      </c>
    </row>
    <row r="2217" spans="1:80" x14ac:dyDescent="0.25">
      <c r="BO2217">
        <v>0</v>
      </c>
      <c r="BP2217">
        <v>0</v>
      </c>
      <c r="BQ2217">
        <v>0</v>
      </c>
      <c r="BR2217">
        <v>0</v>
      </c>
      <c r="BS2217">
        <v>0</v>
      </c>
      <c r="BT2217">
        <v>0</v>
      </c>
      <c r="BU2217">
        <v>0</v>
      </c>
      <c r="BV2217">
        <v>0</v>
      </c>
      <c r="BW2217" t="s">
        <v>0</v>
      </c>
      <c r="BX2217">
        <v>0</v>
      </c>
      <c r="BY2217">
        <v>0</v>
      </c>
      <c r="BZ2217">
        <v>0</v>
      </c>
      <c r="CA2217">
        <v>0</v>
      </c>
      <c r="CB2217" t="s">
        <v>145</v>
      </c>
    </row>
    <row r="2218" spans="1:80" x14ac:dyDescent="0.25">
      <c r="BO2218">
        <v>0</v>
      </c>
      <c r="BP2218">
        <v>0</v>
      </c>
      <c r="BQ2218">
        <v>0</v>
      </c>
      <c r="BR2218">
        <v>0</v>
      </c>
      <c r="BS2218">
        <v>0</v>
      </c>
      <c r="BT2218">
        <v>0</v>
      </c>
      <c r="BU2218">
        <v>0</v>
      </c>
      <c r="BV2218">
        <v>0</v>
      </c>
      <c r="BW2218" t="s">
        <v>0</v>
      </c>
      <c r="BX2218">
        <v>0</v>
      </c>
      <c r="BY2218">
        <v>0</v>
      </c>
      <c r="BZ2218">
        <v>0</v>
      </c>
      <c r="CA2218">
        <v>0</v>
      </c>
      <c r="CB2218" t="s">
        <v>145</v>
      </c>
    </row>
    <row r="2219" spans="1:80" x14ac:dyDescent="0.25">
      <c r="BO2219">
        <v>0</v>
      </c>
      <c r="BP2219">
        <v>0</v>
      </c>
      <c r="BQ2219">
        <v>0</v>
      </c>
      <c r="BR2219">
        <v>0</v>
      </c>
      <c r="BS2219">
        <v>0</v>
      </c>
      <c r="BT2219">
        <v>0</v>
      </c>
      <c r="BU2219">
        <v>0</v>
      </c>
      <c r="BV2219">
        <v>0</v>
      </c>
      <c r="BW2219" t="s">
        <v>0</v>
      </c>
      <c r="BX2219">
        <v>0</v>
      </c>
      <c r="BY2219">
        <v>0</v>
      </c>
      <c r="BZ2219">
        <v>0</v>
      </c>
      <c r="CA2219">
        <v>0</v>
      </c>
      <c r="CB2219" t="s">
        <v>145</v>
      </c>
    </row>
    <row r="2220" spans="1:80" x14ac:dyDescent="0.25">
      <c r="BO2220">
        <v>0</v>
      </c>
      <c r="BP2220">
        <v>0</v>
      </c>
      <c r="BQ2220">
        <v>0</v>
      </c>
      <c r="BR2220">
        <v>0</v>
      </c>
      <c r="BS2220">
        <v>0</v>
      </c>
      <c r="BT2220">
        <v>0</v>
      </c>
      <c r="BU2220">
        <v>0</v>
      </c>
      <c r="BV2220">
        <v>0</v>
      </c>
      <c r="BW2220" t="s">
        <v>0</v>
      </c>
      <c r="BX2220">
        <v>0</v>
      </c>
      <c r="BY2220">
        <v>0</v>
      </c>
      <c r="BZ2220">
        <v>0</v>
      </c>
      <c r="CA2220">
        <v>0</v>
      </c>
      <c r="CB2220" t="s">
        <v>145</v>
      </c>
    </row>
    <row r="2221" spans="1:80" x14ac:dyDescent="0.25">
      <c r="A2221" s="5"/>
      <c r="BO2221">
        <v>0</v>
      </c>
      <c r="BP2221">
        <v>0</v>
      </c>
      <c r="BQ2221">
        <v>0</v>
      </c>
      <c r="BR2221">
        <v>0</v>
      </c>
      <c r="BS2221">
        <v>0</v>
      </c>
      <c r="BT2221">
        <v>0</v>
      </c>
      <c r="BU2221">
        <v>0</v>
      </c>
      <c r="BV2221">
        <v>0</v>
      </c>
      <c r="BW2221" t="s">
        <v>0</v>
      </c>
      <c r="BX2221">
        <v>0</v>
      </c>
      <c r="BY2221">
        <v>0</v>
      </c>
      <c r="BZ2221">
        <v>0</v>
      </c>
      <c r="CA2221">
        <v>0</v>
      </c>
      <c r="CB2221" t="s">
        <v>145</v>
      </c>
    </row>
    <row r="2222" spans="1:80" x14ac:dyDescent="0.25">
      <c r="BO2222">
        <v>0</v>
      </c>
      <c r="BP2222">
        <v>0</v>
      </c>
      <c r="BQ2222">
        <v>0</v>
      </c>
      <c r="BR2222">
        <v>0</v>
      </c>
      <c r="BS2222">
        <v>0</v>
      </c>
      <c r="BT2222">
        <v>0</v>
      </c>
      <c r="BU2222">
        <v>0</v>
      </c>
      <c r="BV2222">
        <v>0</v>
      </c>
      <c r="BW2222" t="s">
        <v>0</v>
      </c>
      <c r="BX2222">
        <v>0</v>
      </c>
      <c r="BY2222">
        <v>0</v>
      </c>
      <c r="BZ2222">
        <v>0</v>
      </c>
      <c r="CA2222">
        <v>0</v>
      </c>
      <c r="CB2222" t="s">
        <v>145</v>
      </c>
    </row>
    <row r="2223" spans="1:80" x14ac:dyDescent="0.25">
      <c r="BO2223">
        <v>0</v>
      </c>
      <c r="BP2223">
        <v>0</v>
      </c>
      <c r="BQ2223">
        <v>0</v>
      </c>
      <c r="BR2223">
        <v>0</v>
      </c>
      <c r="BS2223">
        <v>0</v>
      </c>
      <c r="BT2223">
        <v>0</v>
      </c>
      <c r="BU2223">
        <v>0</v>
      </c>
      <c r="BV2223">
        <v>0</v>
      </c>
      <c r="BW2223" t="s">
        <v>0</v>
      </c>
      <c r="BX2223">
        <v>0</v>
      </c>
      <c r="BY2223">
        <v>0</v>
      </c>
      <c r="BZ2223">
        <v>0</v>
      </c>
      <c r="CA2223">
        <v>0</v>
      </c>
      <c r="CB2223" t="s">
        <v>145</v>
      </c>
    </row>
    <row r="2224" spans="1:80" x14ac:dyDescent="0.25">
      <c r="BO2224">
        <v>0</v>
      </c>
      <c r="BP2224">
        <v>0</v>
      </c>
      <c r="BQ2224">
        <v>0</v>
      </c>
      <c r="BR2224">
        <v>0</v>
      </c>
      <c r="BS2224">
        <v>0</v>
      </c>
      <c r="BT2224">
        <v>0</v>
      </c>
      <c r="BU2224">
        <v>0</v>
      </c>
      <c r="BV2224">
        <v>0</v>
      </c>
      <c r="BW2224" t="s">
        <v>0</v>
      </c>
      <c r="BX2224">
        <v>0</v>
      </c>
      <c r="BY2224">
        <v>0</v>
      </c>
      <c r="BZ2224">
        <v>0</v>
      </c>
      <c r="CA2224">
        <v>0</v>
      </c>
      <c r="CB2224" t="s">
        <v>145</v>
      </c>
    </row>
    <row r="2225" spans="32:80" x14ac:dyDescent="0.25">
      <c r="BO2225">
        <v>0</v>
      </c>
      <c r="BP2225">
        <v>0</v>
      </c>
      <c r="BQ2225">
        <v>0</v>
      </c>
      <c r="BR2225">
        <v>0</v>
      </c>
      <c r="BS2225">
        <v>0</v>
      </c>
      <c r="BT2225">
        <v>0</v>
      </c>
      <c r="BU2225">
        <v>0</v>
      </c>
      <c r="BV2225">
        <v>0</v>
      </c>
      <c r="BW2225" t="s">
        <v>0</v>
      </c>
      <c r="BX2225">
        <v>0</v>
      </c>
      <c r="BY2225">
        <v>0</v>
      </c>
      <c r="BZ2225">
        <v>0</v>
      </c>
      <c r="CA2225">
        <v>0</v>
      </c>
      <c r="CB2225" t="s">
        <v>145</v>
      </c>
    </row>
    <row r="2226" spans="32:80" x14ac:dyDescent="0.25">
      <c r="BO2226">
        <v>0</v>
      </c>
      <c r="BP2226">
        <v>0</v>
      </c>
      <c r="BQ2226">
        <v>0</v>
      </c>
      <c r="BR2226">
        <v>0</v>
      </c>
      <c r="BS2226">
        <v>0</v>
      </c>
      <c r="BT2226">
        <v>0</v>
      </c>
      <c r="BU2226">
        <v>0</v>
      </c>
      <c r="BV2226">
        <v>0</v>
      </c>
      <c r="BW2226" t="s">
        <v>0</v>
      </c>
      <c r="BX2226">
        <v>0</v>
      </c>
      <c r="BY2226">
        <v>0</v>
      </c>
      <c r="BZ2226">
        <v>0</v>
      </c>
      <c r="CA2226">
        <v>0</v>
      </c>
      <c r="CB2226" t="s">
        <v>145</v>
      </c>
    </row>
    <row r="2227" spans="32:80" x14ac:dyDescent="0.25">
      <c r="BO2227">
        <v>0</v>
      </c>
      <c r="BP2227">
        <v>0</v>
      </c>
      <c r="BQ2227">
        <v>0</v>
      </c>
      <c r="BR2227">
        <v>0</v>
      </c>
      <c r="BS2227">
        <v>0</v>
      </c>
      <c r="BT2227">
        <v>0</v>
      </c>
      <c r="BU2227">
        <v>0</v>
      </c>
      <c r="BV2227">
        <v>0</v>
      </c>
      <c r="BW2227" t="s">
        <v>0</v>
      </c>
      <c r="BX2227">
        <v>0</v>
      </c>
      <c r="BY2227">
        <v>0</v>
      </c>
      <c r="BZ2227">
        <v>0</v>
      </c>
      <c r="CA2227">
        <v>0</v>
      </c>
      <c r="CB2227" t="s">
        <v>145</v>
      </c>
    </row>
    <row r="2228" spans="32:80" x14ac:dyDescent="0.25">
      <c r="BO2228">
        <v>0</v>
      </c>
      <c r="BP2228">
        <v>0</v>
      </c>
      <c r="BQ2228">
        <v>0</v>
      </c>
      <c r="BR2228">
        <v>0</v>
      </c>
      <c r="BS2228">
        <v>0</v>
      </c>
      <c r="BT2228">
        <v>0</v>
      </c>
      <c r="BU2228">
        <v>0</v>
      </c>
      <c r="BV2228">
        <v>0</v>
      </c>
      <c r="BW2228" t="s">
        <v>0</v>
      </c>
      <c r="BX2228">
        <v>0</v>
      </c>
      <c r="BY2228">
        <v>0</v>
      </c>
      <c r="BZ2228">
        <v>0</v>
      </c>
      <c r="CA2228">
        <v>0</v>
      </c>
      <c r="CB2228" t="s">
        <v>145</v>
      </c>
    </row>
    <row r="2229" spans="32:80" x14ac:dyDescent="0.25">
      <c r="BO2229">
        <v>0</v>
      </c>
      <c r="BP2229">
        <v>0</v>
      </c>
      <c r="BQ2229">
        <v>0</v>
      </c>
      <c r="BR2229">
        <v>0</v>
      </c>
      <c r="BS2229">
        <v>0</v>
      </c>
      <c r="BT2229">
        <v>0</v>
      </c>
      <c r="BU2229">
        <v>0</v>
      </c>
      <c r="BV2229">
        <v>0</v>
      </c>
      <c r="BW2229" t="s">
        <v>0</v>
      </c>
      <c r="BX2229">
        <v>0</v>
      </c>
      <c r="BY2229">
        <v>0</v>
      </c>
      <c r="BZ2229">
        <v>0</v>
      </c>
      <c r="CA2229">
        <v>0</v>
      </c>
      <c r="CB2229" t="s">
        <v>145</v>
      </c>
    </row>
    <row r="2230" spans="32:80" x14ac:dyDescent="0.25">
      <c r="BO2230">
        <v>0</v>
      </c>
      <c r="BP2230">
        <v>0</v>
      </c>
      <c r="BQ2230">
        <v>0</v>
      </c>
      <c r="BR2230">
        <v>0</v>
      </c>
      <c r="BS2230">
        <v>0</v>
      </c>
      <c r="BT2230">
        <v>0</v>
      </c>
      <c r="BU2230">
        <v>0</v>
      </c>
      <c r="BV2230">
        <v>0</v>
      </c>
      <c r="BW2230" t="s">
        <v>0</v>
      </c>
      <c r="BX2230">
        <v>0</v>
      </c>
      <c r="BY2230">
        <v>0</v>
      </c>
      <c r="BZ2230">
        <v>0</v>
      </c>
      <c r="CA2230">
        <v>0</v>
      </c>
      <c r="CB2230" t="s">
        <v>145</v>
      </c>
    </row>
    <row r="2231" spans="32:80" x14ac:dyDescent="0.25">
      <c r="BO2231">
        <v>0</v>
      </c>
      <c r="BP2231">
        <v>0</v>
      </c>
      <c r="BQ2231">
        <v>0</v>
      </c>
      <c r="BR2231">
        <v>0</v>
      </c>
      <c r="BS2231">
        <v>0</v>
      </c>
      <c r="BT2231">
        <v>0</v>
      </c>
      <c r="BU2231">
        <v>0</v>
      </c>
      <c r="BV2231">
        <v>0</v>
      </c>
      <c r="BW2231" t="s">
        <v>0</v>
      </c>
      <c r="BX2231">
        <v>0</v>
      </c>
      <c r="BY2231">
        <v>0</v>
      </c>
      <c r="BZ2231">
        <v>0</v>
      </c>
      <c r="CA2231">
        <v>0</v>
      </c>
      <c r="CB2231" t="s">
        <v>145</v>
      </c>
    </row>
    <row r="2232" spans="32:80" x14ac:dyDescent="0.25">
      <c r="BO2232">
        <v>0</v>
      </c>
      <c r="BP2232">
        <v>0</v>
      </c>
      <c r="BQ2232">
        <v>0</v>
      </c>
      <c r="BR2232">
        <v>0</v>
      </c>
      <c r="BS2232">
        <v>0</v>
      </c>
      <c r="BT2232">
        <v>0</v>
      </c>
      <c r="BU2232">
        <v>0</v>
      </c>
      <c r="BV2232">
        <v>0</v>
      </c>
      <c r="BW2232" t="s">
        <v>0</v>
      </c>
      <c r="BX2232">
        <v>0</v>
      </c>
      <c r="BY2232">
        <v>0</v>
      </c>
      <c r="BZ2232">
        <v>0</v>
      </c>
      <c r="CA2232">
        <v>0</v>
      </c>
      <c r="CB2232" t="s">
        <v>145</v>
      </c>
    </row>
    <row r="2233" spans="32:80" x14ac:dyDescent="0.25">
      <c r="BO2233">
        <v>0</v>
      </c>
      <c r="BP2233">
        <v>0</v>
      </c>
      <c r="BQ2233">
        <v>0</v>
      </c>
      <c r="BR2233">
        <v>0</v>
      </c>
      <c r="BS2233">
        <v>0</v>
      </c>
      <c r="BT2233">
        <v>0</v>
      </c>
      <c r="BU2233">
        <v>0</v>
      </c>
      <c r="BV2233">
        <v>0</v>
      </c>
      <c r="BW2233" t="s">
        <v>0</v>
      </c>
      <c r="BX2233">
        <v>0</v>
      </c>
      <c r="BY2233">
        <v>0</v>
      </c>
      <c r="BZ2233">
        <v>0</v>
      </c>
      <c r="CA2233">
        <v>0</v>
      </c>
      <c r="CB2233" t="s">
        <v>145</v>
      </c>
    </row>
    <row r="2234" spans="32:80" x14ac:dyDescent="0.25">
      <c r="BO2234">
        <v>0</v>
      </c>
      <c r="BP2234">
        <v>0</v>
      </c>
      <c r="BQ2234">
        <v>0</v>
      </c>
      <c r="BR2234">
        <v>0</v>
      </c>
      <c r="BS2234">
        <v>0</v>
      </c>
      <c r="BT2234">
        <v>0</v>
      </c>
      <c r="BU2234">
        <v>0</v>
      </c>
      <c r="BV2234">
        <v>0</v>
      </c>
      <c r="BW2234" t="s">
        <v>0</v>
      </c>
      <c r="BX2234">
        <v>0</v>
      </c>
      <c r="BY2234">
        <v>0</v>
      </c>
      <c r="BZ2234">
        <v>0</v>
      </c>
      <c r="CA2234">
        <v>0</v>
      </c>
      <c r="CB2234" t="s">
        <v>145</v>
      </c>
    </row>
    <row r="2235" spans="32:80" x14ac:dyDescent="0.25">
      <c r="BO2235">
        <v>0</v>
      </c>
      <c r="BP2235">
        <v>0</v>
      </c>
      <c r="BQ2235">
        <v>0</v>
      </c>
      <c r="BR2235">
        <v>0</v>
      </c>
      <c r="BS2235">
        <v>0</v>
      </c>
      <c r="BT2235">
        <v>0</v>
      </c>
      <c r="BU2235">
        <v>0</v>
      </c>
      <c r="BV2235">
        <v>0</v>
      </c>
      <c r="BW2235" t="s">
        <v>0</v>
      </c>
      <c r="BX2235">
        <v>0</v>
      </c>
      <c r="BY2235">
        <v>0</v>
      </c>
      <c r="BZ2235">
        <v>0</v>
      </c>
      <c r="CA2235">
        <v>0</v>
      </c>
      <c r="CB2235" t="s">
        <v>145</v>
      </c>
    </row>
    <row r="2236" spans="32:80" x14ac:dyDescent="0.25">
      <c r="BO2236">
        <v>0</v>
      </c>
      <c r="BP2236">
        <v>0</v>
      </c>
      <c r="BQ2236">
        <v>0</v>
      </c>
      <c r="BR2236">
        <v>0</v>
      </c>
      <c r="BS2236">
        <v>0</v>
      </c>
      <c r="BT2236">
        <v>0</v>
      </c>
      <c r="BU2236">
        <v>0</v>
      </c>
      <c r="BV2236">
        <v>0</v>
      </c>
      <c r="BW2236" t="s">
        <v>0</v>
      </c>
      <c r="BX2236">
        <v>0</v>
      </c>
      <c r="BY2236">
        <v>0</v>
      </c>
      <c r="BZ2236">
        <v>0</v>
      </c>
      <c r="CA2236">
        <v>0</v>
      </c>
      <c r="CB2236" t="s">
        <v>145</v>
      </c>
    </row>
    <row r="2237" spans="32:80" x14ac:dyDescent="0.25">
      <c r="BO2237">
        <v>0</v>
      </c>
      <c r="BP2237">
        <v>0</v>
      </c>
      <c r="BQ2237">
        <v>0</v>
      </c>
      <c r="BR2237">
        <v>0</v>
      </c>
      <c r="BS2237">
        <v>0</v>
      </c>
      <c r="BT2237">
        <v>0</v>
      </c>
      <c r="BU2237">
        <v>0</v>
      </c>
      <c r="BV2237">
        <v>0</v>
      </c>
      <c r="BW2237" t="s">
        <v>0</v>
      </c>
      <c r="BX2237">
        <v>0</v>
      </c>
      <c r="BY2237">
        <v>0</v>
      </c>
      <c r="BZ2237">
        <v>0</v>
      </c>
      <c r="CA2237">
        <v>0</v>
      </c>
      <c r="CB2237" t="s">
        <v>145</v>
      </c>
    </row>
    <row r="2238" spans="32:80" x14ac:dyDescent="0.25">
      <c r="BO2238">
        <v>0</v>
      </c>
      <c r="BP2238">
        <v>0</v>
      </c>
      <c r="BQ2238">
        <v>0</v>
      </c>
      <c r="BR2238">
        <v>0</v>
      </c>
      <c r="BS2238">
        <v>0</v>
      </c>
      <c r="BT2238">
        <v>0</v>
      </c>
      <c r="BU2238">
        <v>0</v>
      </c>
      <c r="BV2238">
        <v>0</v>
      </c>
      <c r="BW2238" t="s">
        <v>0</v>
      </c>
      <c r="BX2238">
        <v>0</v>
      </c>
      <c r="BY2238">
        <v>0</v>
      </c>
      <c r="BZ2238">
        <v>0</v>
      </c>
      <c r="CA2238">
        <v>0</v>
      </c>
      <c r="CB2238" t="s">
        <v>145</v>
      </c>
    </row>
    <row r="2239" spans="32:80" x14ac:dyDescent="0.25">
      <c r="BO2239">
        <v>0</v>
      </c>
      <c r="BP2239">
        <v>0</v>
      </c>
      <c r="BQ2239">
        <v>0</v>
      </c>
      <c r="BR2239">
        <v>0</v>
      </c>
      <c r="BS2239">
        <v>0</v>
      </c>
      <c r="BT2239">
        <v>0</v>
      </c>
      <c r="BU2239">
        <v>0</v>
      </c>
      <c r="BV2239">
        <v>0</v>
      </c>
      <c r="BW2239" t="s">
        <v>0</v>
      </c>
      <c r="BX2239">
        <v>0</v>
      </c>
      <c r="BY2239">
        <v>0</v>
      </c>
      <c r="BZ2239">
        <v>0</v>
      </c>
      <c r="CA2239">
        <v>0</v>
      </c>
      <c r="CB2239" t="s">
        <v>145</v>
      </c>
    </row>
    <row r="2240" spans="32:80" x14ac:dyDescent="0.25">
      <c r="AF2240" s="1"/>
      <c r="BE2240" s="1"/>
      <c r="BM2240" s="2"/>
      <c r="BO2240">
        <v>0</v>
      </c>
      <c r="BP2240">
        <v>0</v>
      </c>
      <c r="BQ2240">
        <v>0</v>
      </c>
      <c r="BR2240">
        <v>0</v>
      </c>
      <c r="BS2240">
        <v>0</v>
      </c>
      <c r="BT2240">
        <v>0</v>
      </c>
      <c r="BU2240">
        <v>0</v>
      </c>
      <c r="BV2240">
        <v>0</v>
      </c>
      <c r="BW2240" t="s">
        <v>0</v>
      </c>
      <c r="BX2240">
        <v>0</v>
      </c>
      <c r="BY2240">
        <v>0</v>
      </c>
      <c r="BZ2240">
        <v>0</v>
      </c>
      <c r="CA2240">
        <v>0</v>
      </c>
      <c r="CB2240" t="s">
        <v>145</v>
      </c>
    </row>
    <row r="2241" spans="67:80" x14ac:dyDescent="0.25">
      <c r="BO2241">
        <v>0</v>
      </c>
      <c r="BP2241">
        <v>0</v>
      </c>
      <c r="BQ2241">
        <v>0</v>
      </c>
      <c r="BR2241">
        <v>0</v>
      </c>
      <c r="BS2241">
        <v>0</v>
      </c>
      <c r="BT2241">
        <v>0</v>
      </c>
      <c r="BU2241">
        <v>0</v>
      </c>
      <c r="BV2241">
        <v>0</v>
      </c>
      <c r="BW2241" t="s">
        <v>0</v>
      </c>
      <c r="BX2241">
        <v>0</v>
      </c>
      <c r="BY2241">
        <v>0</v>
      </c>
      <c r="BZ2241">
        <v>0</v>
      </c>
      <c r="CA2241">
        <v>0</v>
      </c>
      <c r="CB2241" t="s">
        <v>145</v>
      </c>
    </row>
    <row r="2242" spans="67:80" x14ac:dyDescent="0.25">
      <c r="BO2242">
        <v>0</v>
      </c>
      <c r="BP2242">
        <v>0</v>
      </c>
      <c r="BQ2242">
        <v>0</v>
      </c>
      <c r="BR2242">
        <v>0</v>
      </c>
      <c r="BS2242">
        <v>0</v>
      </c>
      <c r="BT2242">
        <v>0</v>
      </c>
      <c r="BU2242">
        <v>0</v>
      </c>
      <c r="BV2242">
        <v>0</v>
      </c>
      <c r="BW2242" t="s">
        <v>0</v>
      </c>
      <c r="BX2242">
        <v>0</v>
      </c>
      <c r="BY2242">
        <v>0</v>
      </c>
      <c r="BZ2242">
        <v>0</v>
      </c>
      <c r="CA2242">
        <v>0</v>
      </c>
      <c r="CB2242" t="s">
        <v>145</v>
      </c>
    </row>
    <row r="2243" spans="67:80" x14ac:dyDescent="0.25">
      <c r="BO2243">
        <v>0</v>
      </c>
      <c r="BP2243">
        <v>0</v>
      </c>
      <c r="BQ2243">
        <v>0</v>
      </c>
      <c r="BR2243">
        <v>0</v>
      </c>
      <c r="BS2243">
        <v>0</v>
      </c>
      <c r="BT2243">
        <v>0</v>
      </c>
      <c r="BU2243">
        <v>0</v>
      </c>
      <c r="BV2243">
        <v>0</v>
      </c>
      <c r="BW2243" t="s">
        <v>0</v>
      </c>
      <c r="BX2243">
        <v>0</v>
      </c>
      <c r="BY2243">
        <v>0</v>
      </c>
      <c r="BZ2243">
        <v>0</v>
      </c>
      <c r="CA2243">
        <v>0</v>
      </c>
      <c r="CB2243" t="s">
        <v>145</v>
      </c>
    </row>
    <row r="2244" spans="67:80" x14ac:dyDescent="0.25">
      <c r="BO2244">
        <v>0</v>
      </c>
      <c r="BP2244">
        <v>0</v>
      </c>
      <c r="BQ2244">
        <v>0</v>
      </c>
      <c r="BR2244">
        <v>0</v>
      </c>
      <c r="BS2244">
        <v>0</v>
      </c>
      <c r="BT2244">
        <v>0</v>
      </c>
      <c r="BU2244">
        <v>0</v>
      </c>
      <c r="BV2244">
        <v>0</v>
      </c>
      <c r="BW2244" t="s">
        <v>0</v>
      </c>
      <c r="BX2244">
        <v>0</v>
      </c>
      <c r="BY2244">
        <v>0</v>
      </c>
      <c r="BZ2244">
        <v>0</v>
      </c>
      <c r="CA2244">
        <v>0</v>
      </c>
      <c r="CB2244" t="s">
        <v>145</v>
      </c>
    </row>
    <row r="2245" spans="67:80" x14ac:dyDescent="0.25">
      <c r="BO2245">
        <v>0</v>
      </c>
      <c r="BP2245">
        <v>0</v>
      </c>
      <c r="BQ2245">
        <v>0</v>
      </c>
      <c r="BR2245">
        <v>0</v>
      </c>
      <c r="BS2245">
        <v>0</v>
      </c>
      <c r="BT2245">
        <v>0</v>
      </c>
      <c r="BU2245">
        <v>0</v>
      </c>
      <c r="BV2245">
        <v>0</v>
      </c>
      <c r="BW2245" t="s">
        <v>0</v>
      </c>
      <c r="BX2245">
        <v>0</v>
      </c>
      <c r="BY2245">
        <v>0</v>
      </c>
      <c r="BZ2245">
        <v>0</v>
      </c>
      <c r="CA2245">
        <v>0</v>
      </c>
      <c r="CB2245" t="s">
        <v>145</v>
      </c>
    </row>
    <row r="2246" spans="67:80" x14ac:dyDescent="0.25">
      <c r="BO2246">
        <v>0</v>
      </c>
      <c r="BP2246">
        <v>0</v>
      </c>
      <c r="BQ2246">
        <v>0</v>
      </c>
      <c r="BR2246">
        <v>0</v>
      </c>
      <c r="BS2246">
        <v>0</v>
      </c>
      <c r="BT2246">
        <v>0</v>
      </c>
      <c r="BU2246">
        <v>0</v>
      </c>
      <c r="BV2246">
        <v>0</v>
      </c>
      <c r="BW2246" t="s">
        <v>0</v>
      </c>
      <c r="BX2246">
        <v>0</v>
      </c>
      <c r="BY2246">
        <v>0</v>
      </c>
      <c r="BZ2246">
        <v>0</v>
      </c>
      <c r="CA2246">
        <v>0</v>
      </c>
      <c r="CB2246" t="s">
        <v>145</v>
      </c>
    </row>
    <row r="2247" spans="67:80" x14ac:dyDescent="0.25">
      <c r="BO2247">
        <v>0</v>
      </c>
      <c r="BP2247">
        <v>0</v>
      </c>
      <c r="BQ2247">
        <v>0</v>
      </c>
      <c r="BR2247">
        <v>0</v>
      </c>
      <c r="BS2247">
        <v>0</v>
      </c>
      <c r="BT2247">
        <v>0</v>
      </c>
      <c r="BU2247">
        <v>0</v>
      </c>
      <c r="BV2247">
        <v>0</v>
      </c>
      <c r="BW2247" t="s">
        <v>0</v>
      </c>
      <c r="BX2247">
        <v>0</v>
      </c>
      <c r="BY2247">
        <v>0</v>
      </c>
      <c r="BZ2247">
        <v>0</v>
      </c>
      <c r="CA2247">
        <v>0</v>
      </c>
      <c r="CB2247" t="s">
        <v>145</v>
      </c>
    </row>
    <row r="2248" spans="67:80" x14ac:dyDescent="0.25">
      <c r="BO2248">
        <v>0</v>
      </c>
      <c r="BP2248">
        <v>0</v>
      </c>
      <c r="BQ2248">
        <v>0</v>
      </c>
      <c r="BR2248">
        <v>0</v>
      </c>
      <c r="BS2248">
        <v>0</v>
      </c>
      <c r="BT2248">
        <v>0</v>
      </c>
      <c r="BU2248">
        <v>0</v>
      </c>
      <c r="BV2248">
        <v>0</v>
      </c>
      <c r="BW2248" t="s">
        <v>0</v>
      </c>
      <c r="BX2248">
        <v>0</v>
      </c>
      <c r="BY2248">
        <v>0</v>
      </c>
      <c r="BZ2248">
        <v>0</v>
      </c>
      <c r="CA2248">
        <v>0</v>
      </c>
      <c r="CB2248" t="s">
        <v>145</v>
      </c>
    </row>
    <row r="2249" spans="67:80" x14ac:dyDescent="0.25">
      <c r="BO2249">
        <v>0</v>
      </c>
      <c r="BP2249">
        <v>0</v>
      </c>
      <c r="BQ2249">
        <v>0</v>
      </c>
      <c r="BR2249">
        <v>0</v>
      </c>
      <c r="BS2249">
        <v>0</v>
      </c>
      <c r="BT2249">
        <v>0</v>
      </c>
      <c r="BU2249">
        <v>0</v>
      </c>
      <c r="BV2249">
        <v>0</v>
      </c>
      <c r="BW2249" t="s">
        <v>0</v>
      </c>
      <c r="BX2249">
        <v>0</v>
      </c>
      <c r="BY2249">
        <v>0</v>
      </c>
      <c r="BZ2249">
        <v>0</v>
      </c>
      <c r="CA2249">
        <v>0</v>
      </c>
      <c r="CB2249" t="s">
        <v>145</v>
      </c>
    </row>
    <row r="2250" spans="67:80" x14ac:dyDescent="0.25">
      <c r="BO2250">
        <v>0</v>
      </c>
      <c r="BP2250">
        <v>0</v>
      </c>
      <c r="BQ2250">
        <v>0</v>
      </c>
      <c r="BR2250">
        <v>0</v>
      </c>
      <c r="BS2250">
        <v>0</v>
      </c>
      <c r="BT2250">
        <v>0</v>
      </c>
      <c r="BU2250">
        <v>0</v>
      </c>
      <c r="BV2250">
        <v>0</v>
      </c>
      <c r="BW2250" t="s">
        <v>0</v>
      </c>
      <c r="BX2250">
        <v>0</v>
      </c>
      <c r="BY2250">
        <v>0</v>
      </c>
      <c r="BZ2250">
        <v>0</v>
      </c>
      <c r="CA2250">
        <v>0</v>
      </c>
      <c r="CB2250" t="s">
        <v>145</v>
      </c>
    </row>
    <row r="2251" spans="67:80" x14ac:dyDescent="0.25">
      <c r="BO2251">
        <v>0</v>
      </c>
      <c r="BP2251">
        <v>0</v>
      </c>
      <c r="BQ2251">
        <v>0</v>
      </c>
      <c r="BR2251">
        <v>0</v>
      </c>
      <c r="BS2251">
        <v>0</v>
      </c>
      <c r="BT2251">
        <v>0</v>
      </c>
      <c r="BU2251">
        <v>0</v>
      </c>
      <c r="BV2251">
        <v>0</v>
      </c>
      <c r="BW2251" t="s">
        <v>0</v>
      </c>
      <c r="BX2251">
        <v>0</v>
      </c>
      <c r="BY2251">
        <v>0</v>
      </c>
      <c r="BZ2251">
        <v>0</v>
      </c>
      <c r="CA2251">
        <v>0</v>
      </c>
      <c r="CB2251" t="s">
        <v>145</v>
      </c>
    </row>
    <row r="2252" spans="67:80" x14ac:dyDescent="0.25">
      <c r="BO2252">
        <v>0</v>
      </c>
      <c r="BP2252">
        <v>0</v>
      </c>
      <c r="BQ2252">
        <v>0</v>
      </c>
      <c r="BR2252">
        <v>0</v>
      </c>
      <c r="BS2252">
        <v>0</v>
      </c>
      <c r="BT2252">
        <v>0</v>
      </c>
      <c r="BU2252">
        <v>0</v>
      </c>
      <c r="BV2252">
        <v>0</v>
      </c>
      <c r="BW2252" t="s">
        <v>0</v>
      </c>
      <c r="BX2252">
        <v>0</v>
      </c>
      <c r="BY2252">
        <v>0</v>
      </c>
      <c r="BZ2252">
        <v>0</v>
      </c>
      <c r="CA2252">
        <v>0</v>
      </c>
      <c r="CB2252" t="s">
        <v>145</v>
      </c>
    </row>
    <row r="2253" spans="67:80" x14ac:dyDescent="0.25">
      <c r="BO2253">
        <v>0</v>
      </c>
      <c r="BP2253">
        <v>0</v>
      </c>
      <c r="BQ2253">
        <v>0</v>
      </c>
      <c r="BR2253">
        <v>0</v>
      </c>
      <c r="BS2253">
        <v>0</v>
      </c>
      <c r="BT2253">
        <v>0</v>
      </c>
      <c r="BU2253">
        <v>0</v>
      </c>
      <c r="BV2253">
        <v>0</v>
      </c>
      <c r="BW2253" t="s">
        <v>0</v>
      </c>
      <c r="BX2253">
        <v>0</v>
      </c>
      <c r="BY2253">
        <v>0</v>
      </c>
      <c r="BZ2253">
        <v>0</v>
      </c>
      <c r="CA2253">
        <v>0</v>
      </c>
      <c r="CB2253" t="s">
        <v>145</v>
      </c>
    </row>
    <row r="2254" spans="67:80" x14ac:dyDescent="0.25">
      <c r="BO2254">
        <v>0</v>
      </c>
      <c r="BP2254">
        <v>0</v>
      </c>
      <c r="BQ2254">
        <v>0</v>
      </c>
      <c r="BR2254">
        <v>0</v>
      </c>
      <c r="BS2254">
        <v>0</v>
      </c>
      <c r="BT2254">
        <v>0</v>
      </c>
      <c r="BU2254">
        <v>0</v>
      </c>
      <c r="BV2254">
        <v>0</v>
      </c>
      <c r="BW2254" t="s">
        <v>0</v>
      </c>
      <c r="BX2254">
        <v>0</v>
      </c>
      <c r="BY2254">
        <v>0</v>
      </c>
      <c r="BZ2254">
        <v>0</v>
      </c>
      <c r="CA2254">
        <v>0</v>
      </c>
      <c r="CB2254" t="s">
        <v>145</v>
      </c>
    </row>
    <row r="2255" spans="67:80" x14ac:dyDescent="0.25">
      <c r="BO2255">
        <v>0</v>
      </c>
      <c r="BP2255">
        <v>0</v>
      </c>
      <c r="BQ2255">
        <v>0</v>
      </c>
      <c r="BR2255">
        <v>0</v>
      </c>
      <c r="BS2255">
        <v>0</v>
      </c>
      <c r="BT2255">
        <v>0</v>
      </c>
      <c r="BU2255">
        <v>0</v>
      </c>
      <c r="BV2255">
        <v>0</v>
      </c>
      <c r="BW2255" t="s">
        <v>0</v>
      </c>
      <c r="BX2255">
        <v>0</v>
      </c>
      <c r="BY2255">
        <v>0</v>
      </c>
      <c r="BZ2255">
        <v>0</v>
      </c>
      <c r="CA2255">
        <v>0</v>
      </c>
      <c r="CB2255" t="s">
        <v>145</v>
      </c>
    </row>
    <row r="2256" spans="67:80" x14ac:dyDescent="0.25">
      <c r="BO2256">
        <v>0</v>
      </c>
      <c r="BP2256">
        <v>0</v>
      </c>
      <c r="BQ2256">
        <v>0</v>
      </c>
      <c r="BR2256">
        <v>0</v>
      </c>
      <c r="BS2256">
        <v>0</v>
      </c>
      <c r="BT2256">
        <v>0</v>
      </c>
      <c r="BU2256">
        <v>0</v>
      </c>
      <c r="BV2256">
        <v>0</v>
      </c>
      <c r="BW2256" t="s">
        <v>0</v>
      </c>
      <c r="BX2256">
        <v>0</v>
      </c>
      <c r="BY2256">
        <v>0</v>
      </c>
      <c r="BZ2256">
        <v>0</v>
      </c>
      <c r="CA2256">
        <v>0</v>
      </c>
      <c r="CB2256" t="s">
        <v>145</v>
      </c>
    </row>
    <row r="2257" spans="67:80" x14ac:dyDescent="0.25">
      <c r="BO2257">
        <v>0</v>
      </c>
      <c r="BP2257">
        <v>0</v>
      </c>
      <c r="BQ2257">
        <v>0</v>
      </c>
      <c r="BR2257">
        <v>0</v>
      </c>
      <c r="BS2257">
        <v>0</v>
      </c>
      <c r="BT2257">
        <v>0</v>
      </c>
      <c r="BU2257">
        <v>0</v>
      </c>
      <c r="BV2257">
        <v>0</v>
      </c>
      <c r="BW2257" t="s">
        <v>0</v>
      </c>
      <c r="BX2257">
        <v>0</v>
      </c>
      <c r="BY2257">
        <v>0</v>
      </c>
      <c r="BZ2257">
        <v>0</v>
      </c>
      <c r="CA2257">
        <v>0</v>
      </c>
      <c r="CB2257" t="s">
        <v>145</v>
      </c>
    </row>
    <row r="2258" spans="67:80" x14ac:dyDescent="0.25">
      <c r="BO2258">
        <v>0</v>
      </c>
      <c r="BP2258">
        <v>0</v>
      </c>
      <c r="BQ2258">
        <v>0</v>
      </c>
      <c r="BR2258">
        <v>0</v>
      </c>
      <c r="BS2258">
        <v>0</v>
      </c>
      <c r="BT2258">
        <v>0</v>
      </c>
      <c r="BU2258">
        <v>0</v>
      </c>
      <c r="BV2258">
        <v>0</v>
      </c>
      <c r="BW2258" t="s">
        <v>0</v>
      </c>
      <c r="BX2258">
        <v>0</v>
      </c>
      <c r="BY2258">
        <v>0</v>
      </c>
      <c r="BZ2258">
        <v>0</v>
      </c>
      <c r="CA2258">
        <v>0</v>
      </c>
      <c r="CB2258" t="s">
        <v>145</v>
      </c>
    </row>
    <row r="2259" spans="67:80" x14ac:dyDescent="0.25">
      <c r="BO2259">
        <v>0</v>
      </c>
      <c r="BP2259">
        <v>0</v>
      </c>
      <c r="BQ2259">
        <v>0</v>
      </c>
      <c r="BR2259">
        <v>0</v>
      </c>
      <c r="BS2259">
        <v>0</v>
      </c>
      <c r="BT2259">
        <v>0</v>
      </c>
      <c r="BU2259">
        <v>0</v>
      </c>
      <c r="BV2259">
        <v>0</v>
      </c>
      <c r="BW2259" t="s">
        <v>0</v>
      </c>
      <c r="BX2259">
        <v>0</v>
      </c>
      <c r="BY2259">
        <v>0</v>
      </c>
      <c r="BZ2259">
        <v>0</v>
      </c>
      <c r="CA2259">
        <v>0</v>
      </c>
      <c r="CB2259" t="s">
        <v>145</v>
      </c>
    </row>
    <row r="2260" spans="67:80" x14ac:dyDescent="0.25">
      <c r="BO2260">
        <v>0</v>
      </c>
      <c r="BP2260">
        <v>0</v>
      </c>
      <c r="BQ2260">
        <v>0</v>
      </c>
      <c r="BR2260">
        <v>0</v>
      </c>
      <c r="BS2260">
        <v>0</v>
      </c>
      <c r="BT2260">
        <v>0</v>
      </c>
      <c r="BU2260">
        <v>0</v>
      </c>
      <c r="BV2260">
        <v>0</v>
      </c>
      <c r="BW2260" t="s">
        <v>0</v>
      </c>
      <c r="BX2260">
        <v>0</v>
      </c>
      <c r="BY2260">
        <v>0</v>
      </c>
      <c r="BZ2260">
        <v>0</v>
      </c>
      <c r="CA2260">
        <v>0</v>
      </c>
      <c r="CB2260" t="s">
        <v>145</v>
      </c>
    </row>
    <row r="2261" spans="67:80" x14ac:dyDescent="0.25">
      <c r="BO2261">
        <v>0</v>
      </c>
      <c r="BP2261">
        <v>0</v>
      </c>
      <c r="BQ2261">
        <v>0</v>
      </c>
      <c r="BR2261">
        <v>0</v>
      </c>
      <c r="BS2261">
        <v>0</v>
      </c>
      <c r="BT2261">
        <v>0</v>
      </c>
      <c r="BU2261">
        <v>0</v>
      </c>
      <c r="BV2261">
        <v>0</v>
      </c>
      <c r="BW2261" t="s">
        <v>0</v>
      </c>
      <c r="BX2261">
        <v>0</v>
      </c>
      <c r="BY2261">
        <v>0</v>
      </c>
      <c r="BZ2261">
        <v>0</v>
      </c>
      <c r="CA2261">
        <v>0</v>
      </c>
      <c r="CB2261" t="s">
        <v>145</v>
      </c>
    </row>
    <row r="2262" spans="67:80" x14ac:dyDescent="0.25">
      <c r="BO2262">
        <v>0</v>
      </c>
      <c r="BP2262">
        <v>0</v>
      </c>
      <c r="BQ2262">
        <v>0</v>
      </c>
      <c r="BR2262">
        <v>0</v>
      </c>
      <c r="BS2262">
        <v>0</v>
      </c>
      <c r="BT2262">
        <v>0</v>
      </c>
      <c r="BU2262">
        <v>0</v>
      </c>
      <c r="BV2262">
        <v>0</v>
      </c>
      <c r="BW2262" t="s">
        <v>0</v>
      </c>
      <c r="BX2262">
        <v>0</v>
      </c>
      <c r="BY2262">
        <v>0</v>
      </c>
      <c r="BZ2262">
        <v>0</v>
      </c>
      <c r="CA2262">
        <v>0</v>
      </c>
      <c r="CB2262" t="s">
        <v>145</v>
      </c>
    </row>
    <row r="2263" spans="67:80" x14ac:dyDescent="0.25">
      <c r="BO2263">
        <v>0</v>
      </c>
      <c r="BP2263">
        <v>0</v>
      </c>
      <c r="BQ2263">
        <v>0</v>
      </c>
      <c r="BR2263">
        <v>0</v>
      </c>
      <c r="BS2263">
        <v>0</v>
      </c>
      <c r="BT2263">
        <v>0</v>
      </c>
      <c r="BU2263">
        <v>0</v>
      </c>
      <c r="BV2263">
        <v>0</v>
      </c>
      <c r="BW2263" t="s">
        <v>0</v>
      </c>
      <c r="BX2263">
        <v>0</v>
      </c>
      <c r="BY2263">
        <v>0</v>
      </c>
      <c r="BZ2263">
        <v>0</v>
      </c>
      <c r="CA2263">
        <v>0</v>
      </c>
      <c r="CB2263" t="s">
        <v>145</v>
      </c>
    </row>
    <row r="2264" spans="67:80" x14ac:dyDescent="0.25">
      <c r="BO2264">
        <v>0</v>
      </c>
      <c r="BP2264">
        <v>0</v>
      </c>
      <c r="BQ2264">
        <v>0</v>
      </c>
      <c r="BR2264">
        <v>0</v>
      </c>
      <c r="BS2264">
        <v>0</v>
      </c>
      <c r="BT2264">
        <v>0</v>
      </c>
      <c r="BU2264">
        <v>0</v>
      </c>
      <c r="BV2264">
        <v>0</v>
      </c>
      <c r="BW2264" t="s">
        <v>0</v>
      </c>
      <c r="BX2264">
        <v>0</v>
      </c>
      <c r="BY2264">
        <v>0</v>
      </c>
      <c r="BZ2264">
        <v>0</v>
      </c>
      <c r="CA2264">
        <v>0</v>
      </c>
      <c r="CB2264" t="s">
        <v>145</v>
      </c>
    </row>
    <row r="2265" spans="67:80" x14ac:dyDescent="0.25">
      <c r="BO2265">
        <v>0</v>
      </c>
      <c r="BP2265">
        <v>0</v>
      </c>
      <c r="BQ2265">
        <v>0</v>
      </c>
      <c r="BR2265">
        <v>0</v>
      </c>
      <c r="BS2265">
        <v>0</v>
      </c>
      <c r="BT2265">
        <v>0</v>
      </c>
      <c r="BU2265">
        <v>0</v>
      </c>
      <c r="BV2265">
        <v>0</v>
      </c>
      <c r="BW2265" t="s">
        <v>0</v>
      </c>
      <c r="BX2265">
        <v>0</v>
      </c>
      <c r="BY2265">
        <v>0</v>
      </c>
      <c r="BZ2265">
        <v>0</v>
      </c>
      <c r="CA2265">
        <v>0</v>
      </c>
      <c r="CB2265" t="s">
        <v>145</v>
      </c>
    </row>
    <row r="2266" spans="67:80" x14ac:dyDescent="0.25">
      <c r="BO2266">
        <v>0</v>
      </c>
      <c r="BP2266">
        <v>0</v>
      </c>
      <c r="BQ2266">
        <v>0</v>
      </c>
      <c r="BR2266">
        <v>0</v>
      </c>
      <c r="BS2266">
        <v>0</v>
      </c>
      <c r="BT2266">
        <v>0</v>
      </c>
      <c r="BU2266">
        <v>0</v>
      </c>
      <c r="BV2266">
        <v>0</v>
      </c>
      <c r="BW2266" t="s">
        <v>0</v>
      </c>
      <c r="BX2266">
        <v>0</v>
      </c>
      <c r="BY2266">
        <v>0</v>
      </c>
      <c r="BZ2266">
        <v>0</v>
      </c>
      <c r="CA2266">
        <v>0</v>
      </c>
      <c r="CB2266" t="s">
        <v>145</v>
      </c>
    </row>
    <row r="2267" spans="67:80" x14ac:dyDescent="0.25">
      <c r="BO2267">
        <v>0</v>
      </c>
      <c r="BP2267">
        <v>0</v>
      </c>
      <c r="BQ2267">
        <v>0</v>
      </c>
      <c r="BR2267">
        <v>0</v>
      </c>
      <c r="BS2267">
        <v>0</v>
      </c>
      <c r="BT2267">
        <v>0</v>
      </c>
      <c r="BU2267">
        <v>0</v>
      </c>
      <c r="BV2267">
        <v>0</v>
      </c>
      <c r="BW2267" t="s">
        <v>0</v>
      </c>
      <c r="BX2267">
        <v>0</v>
      </c>
      <c r="BY2267">
        <v>0</v>
      </c>
      <c r="BZ2267">
        <v>0</v>
      </c>
      <c r="CA2267">
        <v>0</v>
      </c>
      <c r="CB2267" t="s">
        <v>145</v>
      </c>
    </row>
    <row r="2268" spans="67:80" x14ac:dyDescent="0.25">
      <c r="BO2268">
        <v>0</v>
      </c>
      <c r="BP2268">
        <v>0</v>
      </c>
      <c r="BQ2268">
        <v>0</v>
      </c>
      <c r="BR2268">
        <v>0</v>
      </c>
      <c r="BS2268">
        <v>0</v>
      </c>
      <c r="BT2268">
        <v>0</v>
      </c>
      <c r="BU2268">
        <v>0</v>
      </c>
      <c r="BV2268">
        <v>0</v>
      </c>
      <c r="BW2268" t="s">
        <v>0</v>
      </c>
      <c r="BX2268">
        <v>0</v>
      </c>
      <c r="BY2268">
        <v>0</v>
      </c>
      <c r="BZ2268">
        <v>0</v>
      </c>
      <c r="CA2268">
        <v>0</v>
      </c>
      <c r="CB2268" t="s">
        <v>145</v>
      </c>
    </row>
    <row r="2269" spans="67:80" x14ac:dyDescent="0.25">
      <c r="BO2269">
        <v>0</v>
      </c>
      <c r="BP2269">
        <v>0</v>
      </c>
      <c r="BQ2269">
        <v>0</v>
      </c>
      <c r="BR2269">
        <v>0</v>
      </c>
      <c r="BS2269">
        <v>0</v>
      </c>
      <c r="BT2269">
        <v>0</v>
      </c>
      <c r="BU2269">
        <v>0</v>
      </c>
      <c r="BV2269">
        <v>0</v>
      </c>
      <c r="BW2269" t="s">
        <v>0</v>
      </c>
      <c r="BX2269">
        <v>0</v>
      </c>
      <c r="BY2269">
        <v>0</v>
      </c>
      <c r="BZ2269">
        <v>0</v>
      </c>
      <c r="CA2269">
        <v>0</v>
      </c>
      <c r="CB2269" t="s">
        <v>145</v>
      </c>
    </row>
    <row r="2270" spans="67:80" x14ac:dyDescent="0.25">
      <c r="BO2270">
        <v>0</v>
      </c>
      <c r="BP2270">
        <v>0</v>
      </c>
      <c r="BQ2270">
        <v>0</v>
      </c>
      <c r="BR2270">
        <v>0</v>
      </c>
      <c r="BS2270">
        <v>0</v>
      </c>
      <c r="BT2270">
        <v>0</v>
      </c>
      <c r="BU2270">
        <v>0</v>
      </c>
      <c r="BV2270">
        <v>0</v>
      </c>
      <c r="BW2270" t="s">
        <v>0</v>
      </c>
      <c r="BX2270">
        <v>0</v>
      </c>
      <c r="BY2270">
        <v>0</v>
      </c>
      <c r="BZ2270">
        <v>0</v>
      </c>
      <c r="CA2270">
        <v>0</v>
      </c>
      <c r="CB2270" t="s">
        <v>145</v>
      </c>
    </row>
    <row r="2271" spans="67:80" x14ac:dyDescent="0.25">
      <c r="BO2271">
        <v>0</v>
      </c>
      <c r="BP2271">
        <v>0</v>
      </c>
      <c r="BQ2271">
        <v>0</v>
      </c>
      <c r="BR2271">
        <v>0</v>
      </c>
      <c r="BS2271">
        <v>0</v>
      </c>
      <c r="BT2271">
        <v>0</v>
      </c>
      <c r="BU2271">
        <v>0</v>
      </c>
      <c r="BV2271">
        <v>0</v>
      </c>
      <c r="BW2271" t="s">
        <v>0</v>
      </c>
      <c r="BX2271">
        <v>0</v>
      </c>
      <c r="BY2271">
        <v>0</v>
      </c>
      <c r="BZ2271">
        <v>0</v>
      </c>
      <c r="CA2271">
        <v>0</v>
      </c>
      <c r="CB2271" t="s">
        <v>145</v>
      </c>
    </row>
    <row r="2272" spans="67:80" x14ac:dyDescent="0.25">
      <c r="BO2272">
        <v>0</v>
      </c>
      <c r="BP2272">
        <v>0</v>
      </c>
      <c r="BQ2272">
        <v>0</v>
      </c>
      <c r="BR2272">
        <v>0</v>
      </c>
      <c r="BS2272">
        <v>0</v>
      </c>
      <c r="BT2272">
        <v>0</v>
      </c>
      <c r="BU2272">
        <v>0</v>
      </c>
      <c r="BV2272">
        <v>0</v>
      </c>
      <c r="BW2272" t="s">
        <v>0</v>
      </c>
      <c r="BX2272">
        <v>0</v>
      </c>
      <c r="BY2272">
        <v>0</v>
      </c>
      <c r="BZ2272">
        <v>0</v>
      </c>
      <c r="CA2272">
        <v>0</v>
      </c>
      <c r="CB2272" t="s">
        <v>145</v>
      </c>
    </row>
    <row r="2273" spans="67:80" x14ac:dyDescent="0.25">
      <c r="BO2273">
        <v>0</v>
      </c>
      <c r="BP2273">
        <v>0</v>
      </c>
      <c r="BQ2273">
        <v>0</v>
      </c>
      <c r="BR2273">
        <v>0</v>
      </c>
      <c r="BS2273">
        <v>0</v>
      </c>
      <c r="BT2273">
        <v>0</v>
      </c>
      <c r="BU2273">
        <v>0</v>
      </c>
      <c r="BV2273">
        <v>0</v>
      </c>
      <c r="BW2273" t="s">
        <v>0</v>
      </c>
      <c r="BX2273">
        <v>0</v>
      </c>
      <c r="BY2273">
        <v>0</v>
      </c>
      <c r="BZ2273">
        <v>0</v>
      </c>
      <c r="CA2273">
        <v>0</v>
      </c>
      <c r="CB2273" t="s">
        <v>145</v>
      </c>
    </row>
    <row r="2274" spans="67:80" x14ac:dyDescent="0.25">
      <c r="BO2274">
        <v>0</v>
      </c>
      <c r="BP2274">
        <v>0</v>
      </c>
      <c r="BQ2274">
        <v>0</v>
      </c>
      <c r="BR2274">
        <v>0</v>
      </c>
      <c r="BS2274">
        <v>0</v>
      </c>
      <c r="BT2274">
        <v>0</v>
      </c>
      <c r="BU2274">
        <v>0</v>
      </c>
      <c r="BV2274">
        <v>0</v>
      </c>
      <c r="BW2274" t="s">
        <v>0</v>
      </c>
      <c r="BX2274">
        <v>0</v>
      </c>
      <c r="BY2274">
        <v>0</v>
      </c>
      <c r="BZ2274">
        <v>0</v>
      </c>
      <c r="CA2274">
        <v>0</v>
      </c>
      <c r="CB2274" t="s">
        <v>145</v>
      </c>
    </row>
    <row r="2275" spans="67:80" x14ac:dyDescent="0.25">
      <c r="BO2275">
        <v>0</v>
      </c>
      <c r="BP2275">
        <v>0</v>
      </c>
      <c r="BQ2275">
        <v>0</v>
      </c>
      <c r="BR2275">
        <v>0</v>
      </c>
      <c r="BS2275">
        <v>0</v>
      </c>
      <c r="BT2275">
        <v>0</v>
      </c>
      <c r="BU2275">
        <v>0</v>
      </c>
      <c r="BV2275">
        <v>0</v>
      </c>
      <c r="BW2275" t="s">
        <v>0</v>
      </c>
      <c r="BX2275">
        <v>0</v>
      </c>
      <c r="BY2275">
        <v>0</v>
      </c>
      <c r="BZ2275">
        <v>0</v>
      </c>
      <c r="CA2275">
        <v>0</v>
      </c>
      <c r="CB2275" t="s">
        <v>145</v>
      </c>
    </row>
    <row r="2276" spans="67:80" x14ac:dyDescent="0.25">
      <c r="BO2276">
        <v>0</v>
      </c>
      <c r="BP2276">
        <v>0</v>
      </c>
      <c r="BQ2276">
        <v>0</v>
      </c>
      <c r="BR2276">
        <v>0</v>
      </c>
      <c r="BS2276">
        <v>0</v>
      </c>
      <c r="BT2276">
        <v>0</v>
      </c>
      <c r="BU2276">
        <v>0</v>
      </c>
      <c r="BV2276">
        <v>0</v>
      </c>
      <c r="BW2276" t="s">
        <v>0</v>
      </c>
      <c r="BX2276">
        <v>0</v>
      </c>
      <c r="BY2276">
        <v>0</v>
      </c>
      <c r="BZ2276">
        <v>0</v>
      </c>
      <c r="CA2276">
        <v>0</v>
      </c>
      <c r="CB2276" t="s">
        <v>145</v>
      </c>
    </row>
    <row r="2277" spans="67:80" x14ac:dyDescent="0.25">
      <c r="BO2277">
        <v>0</v>
      </c>
      <c r="BP2277">
        <v>0</v>
      </c>
      <c r="BQ2277">
        <v>0</v>
      </c>
      <c r="BR2277">
        <v>0</v>
      </c>
      <c r="BS2277">
        <v>0</v>
      </c>
      <c r="BT2277">
        <v>0</v>
      </c>
      <c r="BU2277">
        <v>0</v>
      </c>
      <c r="BV2277">
        <v>0</v>
      </c>
      <c r="BW2277" t="s">
        <v>0</v>
      </c>
      <c r="BX2277">
        <v>0</v>
      </c>
      <c r="BY2277">
        <v>0</v>
      </c>
      <c r="BZ2277">
        <v>0</v>
      </c>
      <c r="CA2277">
        <v>0</v>
      </c>
      <c r="CB2277" t="s">
        <v>145</v>
      </c>
    </row>
    <row r="2278" spans="67:80" x14ac:dyDescent="0.25">
      <c r="BO2278">
        <v>0</v>
      </c>
      <c r="BP2278">
        <v>0</v>
      </c>
      <c r="BQ2278">
        <v>0</v>
      </c>
      <c r="BR2278">
        <v>0</v>
      </c>
      <c r="BS2278">
        <v>0</v>
      </c>
      <c r="BT2278">
        <v>0</v>
      </c>
      <c r="BU2278">
        <v>0</v>
      </c>
      <c r="BV2278">
        <v>0</v>
      </c>
      <c r="BW2278" t="s">
        <v>0</v>
      </c>
      <c r="BX2278">
        <v>0</v>
      </c>
      <c r="BY2278">
        <v>0</v>
      </c>
      <c r="BZ2278">
        <v>0</v>
      </c>
      <c r="CA2278">
        <v>0</v>
      </c>
      <c r="CB2278" t="s">
        <v>145</v>
      </c>
    </row>
    <row r="2279" spans="67:80" x14ac:dyDescent="0.25">
      <c r="BO2279">
        <v>0</v>
      </c>
      <c r="BP2279">
        <v>0</v>
      </c>
      <c r="BQ2279">
        <v>0</v>
      </c>
      <c r="BR2279">
        <v>0</v>
      </c>
      <c r="BS2279">
        <v>0</v>
      </c>
      <c r="BT2279">
        <v>0</v>
      </c>
      <c r="BU2279">
        <v>0</v>
      </c>
      <c r="BV2279">
        <v>0</v>
      </c>
      <c r="BW2279" t="s">
        <v>0</v>
      </c>
      <c r="BX2279">
        <v>0</v>
      </c>
      <c r="BY2279">
        <v>0</v>
      </c>
      <c r="BZ2279">
        <v>0</v>
      </c>
      <c r="CA2279">
        <v>0</v>
      </c>
      <c r="CB2279" t="s">
        <v>145</v>
      </c>
    </row>
    <row r="2280" spans="67:80" x14ac:dyDescent="0.25">
      <c r="BO2280">
        <v>0</v>
      </c>
      <c r="BP2280">
        <v>0</v>
      </c>
      <c r="BQ2280">
        <v>0</v>
      </c>
      <c r="BR2280">
        <v>0</v>
      </c>
      <c r="BS2280">
        <v>0</v>
      </c>
      <c r="BT2280">
        <v>0</v>
      </c>
      <c r="BU2280">
        <v>0</v>
      </c>
      <c r="BV2280">
        <v>0</v>
      </c>
      <c r="BW2280" t="s">
        <v>0</v>
      </c>
      <c r="BX2280">
        <v>0</v>
      </c>
      <c r="BY2280">
        <v>0</v>
      </c>
      <c r="BZ2280">
        <v>0</v>
      </c>
      <c r="CA2280">
        <v>0</v>
      </c>
      <c r="CB2280" t="s">
        <v>145</v>
      </c>
    </row>
    <row r="2281" spans="67:80" x14ac:dyDescent="0.25">
      <c r="BO2281">
        <v>0</v>
      </c>
      <c r="BP2281">
        <v>0</v>
      </c>
      <c r="BQ2281">
        <v>0</v>
      </c>
      <c r="BR2281">
        <v>0</v>
      </c>
      <c r="BS2281">
        <v>0</v>
      </c>
      <c r="BT2281">
        <v>0</v>
      </c>
      <c r="BU2281">
        <v>0</v>
      </c>
      <c r="BV2281">
        <v>0</v>
      </c>
      <c r="BW2281" t="s">
        <v>0</v>
      </c>
      <c r="BX2281">
        <v>0</v>
      </c>
      <c r="BY2281">
        <v>0</v>
      </c>
      <c r="BZ2281">
        <v>0</v>
      </c>
      <c r="CA2281">
        <v>0</v>
      </c>
      <c r="CB2281" t="s">
        <v>145</v>
      </c>
    </row>
    <row r="2282" spans="67:80" x14ac:dyDescent="0.25">
      <c r="BO2282">
        <v>0</v>
      </c>
      <c r="BP2282">
        <v>0</v>
      </c>
      <c r="BQ2282">
        <v>0</v>
      </c>
      <c r="BR2282">
        <v>0</v>
      </c>
      <c r="BS2282">
        <v>0</v>
      </c>
      <c r="BT2282">
        <v>0</v>
      </c>
      <c r="BU2282">
        <v>0</v>
      </c>
      <c r="BV2282">
        <v>0</v>
      </c>
      <c r="BW2282" t="s">
        <v>0</v>
      </c>
      <c r="BX2282">
        <v>0</v>
      </c>
      <c r="BY2282">
        <v>0</v>
      </c>
      <c r="BZ2282">
        <v>0</v>
      </c>
      <c r="CA2282">
        <v>0</v>
      </c>
      <c r="CB2282" t="s">
        <v>145</v>
      </c>
    </row>
    <row r="2283" spans="67:80" x14ac:dyDescent="0.25">
      <c r="BO2283">
        <v>0</v>
      </c>
      <c r="BP2283">
        <v>0</v>
      </c>
      <c r="BQ2283">
        <v>0</v>
      </c>
      <c r="BR2283">
        <v>0</v>
      </c>
      <c r="BS2283">
        <v>0</v>
      </c>
      <c r="BT2283">
        <v>0</v>
      </c>
      <c r="BU2283">
        <v>0</v>
      </c>
      <c r="BV2283">
        <v>0</v>
      </c>
      <c r="BW2283" t="s">
        <v>0</v>
      </c>
      <c r="BX2283">
        <v>0</v>
      </c>
      <c r="BY2283">
        <v>0</v>
      </c>
      <c r="BZ2283">
        <v>0</v>
      </c>
      <c r="CA2283">
        <v>0</v>
      </c>
      <c r="CB2283" t="s">
        <v>145</v>
      </c>
    </row>
    <row r="2284" spans="67:80" x14ac:dyDescent="0.25">
      <c r="BO2284">
        <v>0</v>
      </c>
      <c r="BP2284">
        <v>0</v>
      </c>
      <c r="BQ2284">
        <v>0</v>
      </c>
      <c r="BR2284">
        <v>0</v>
      </c>
      <c r="BS2284">
        <v>0</v>
      </c>
      <c r="BT2284">
        <v>0</v>
      </c>
      <c r="BU2284">
        <v>0</v>
      </c>
      <c r="BV2284">
        <v>0</v>
      </c>
      <c r="BW2284" t="s">
        <v>0</v>
      </c>
      <c r="BX2284">
        <v>0</v>
      </c>
      <c r="BY2284">
        <v>0</v>
      </c>
      <c r="BZ2284">
        <v>0</v>
      </c>
      <c r="CA2284">
        <v>0</v>
      </c>
      <c r="CB2284" t="s">
        <v>145</v>
      </c>
    </row>
    <row r="2285" spans="67:80" x14ac:dyDescent="0.25">
      <c r="BO2285">
        <v>0</v>
      </c>
      <c r="BP2285">
        <v>0</v>
      </c>
      <c r="BQ2285">
        <v>0</v>
      </c>
      <c r="BR2285">
        <v>0</v>
      </c>
      <c r="BS2285">
        <v>0</v>
      </c>
      <c r="BT2285">
        <v>0</v>
      </c>
      <c r="BU2285">
        <v>0</v>
      </c>
      <c r="BV2285">
        <v>0</v>
      </c>
      <c r="BW2285" t="s">
        <v>0</v>
      </c>
      <c r="BX2285">
        <v>0</v>
      </c>
      <c r="BY2285">
        <v>0</v>
      </c>
      <c r="BZ2285">
        <v>0</v>
      </c>
      <c r="CA2285">
        <v>0</v>
      </c>
      <c r="CB2285" t="s">
        <v>145</v>
      </c>
    </row>
    <row r="2286" spans="67:80" x14ac:dyDescent="0.25">
      <c r="BO2286">
        <v>0</v>
      </c>
      <c r="BP2286">
        <v>0</v>
      </c>
      <c r="BQ2286">
        <v>0</v>
      </c>
      <c r="BR2286">
        <v>0</v>
      </c>
      <c r="BS2286">
        <v>0</v>
      </c>
      <c r="BT2286">
        <v>0</v>
      </c>
      <c r="BU2286">
        <v>0</v>
      </c>
      <c r="BV2286">
        <v>0</v>
      </c>
      <c r="BW2286" t="s">
        <v>0</v>
      </c>
      <c r="BX2286">
        <v>0</v>
      </c>
      <c r="BY2286">
        <v>0</v>
      </c>
      <c r="BZ2286">
        <v>0</v>
      </c>
      <c r="CA2286">
        <v>0</v>
      </c>
      <c r="CB2286" t="s">
        <v>145</v>
      </c>
    </row>
    <row r="2287" spans="67:80" x14ac:dyDescent="0.25">
      <c r="BO2287">
        <v>0</v>
      </c>
      <c r="BP2287">
        <v>0</v>
      </c>
      <c r="BQ2287">
        <v>0</v>
      </c>
      <c r="BR2287">
        <v>0</v>
      </c>
      <c r="BS2287">
        <v>0</v>
      </c>
      <c r="BT2287">
        <v>0</v>
      </c>
      <c r="BU2287">
        <v>0</v>
      </c>
      <c r="BV2287">
        <v>0</v>
      </c>
      <c r="BW2287" t="s">
        <v>0</v>
      </c>
      <c r="BX2287">
        <v>0</v>
      </c>
      <c r="BY2287">
        <v>0</v>
      </c>
      <c r="BZ2287">
        <v>0</v>
      </c>
      <c r="CA2287">
        <v>0</v>
      </c>
      <c r="CB2287" t="s">
        <v>145</v>
      </c>
    </row>
    <row r="2288" spans="67:80" x14ac:dyDescent="0.25">
      <c r="BO2288">
        <v>0</v>
      </c>
      <c r="BP2288">
        <v>0</v>
      </c>
      <c r="BQ2288">
        <v>0</v>
      </c>
      <c r="BR2288">
        <v>0</v>
      </c>
      <c r="BS2288">
        <v>0</v>
      </c>
      <c r="BT2288">
        <v>0</v>
      </c>
      <c r="BU2288">
        <v>0</v>
      </c>
      <c r="BV2288">
        <v>0</v>
      </c>
      <c r="BW2288" t="s">
        <v>0</v>
      </c>
      <c r="BX2288">
        <v>0</v>
      </c>
      <c r="BY2288">
        <v>0</v>
      </c>
      <c r="BZ2288">
        <v>0</v>
      </c>
      <c r="CA2288">
        <v>0</v>
      </c>
      <c r="CB2288" t="s">
        <v>145</v>
      </c>
    </row>
    <row r="2289" spans="67:80" x14ac:dyDescent="0.25">
      <c r="BO2289">
        <v>0</v>
      </c>
      <c r="BP2289">
        <v>0</v>
      </c>
      <c r="BQ2289">
        <v>0</v>
      </c>
      <c r="BR2289">
        <v>0</v>
      </c>
      <c r="BS2289">
        <v>0</v>
      </c>
      <c r="BT2289">
        <v>0</v>
      </c>
      <c r="BU2289">
        <v>0</v>
      </c>
      <c r="BV2289">
        <v>0</v>
      </c>
      <c r="BW2289" t="s">
        <v>0</v>
      </c>
      <c r="BX2289">
        <v>0</v>
      </c>
      <c r="BY2289">
        <v>0</v>
      </c>
      <c r="BZ2289">
        <v>0</v>
      </c>
      <c r="CA2289">
        <v>0</v>
      </c>
      <c r="CB2289" t="s">
        <v>145</v>
      </c>
    </row>
    <row r="2290" spans="67:80" x14ac:dyDescent="0.25">
      <c r="BO2290">
        <v>0</v>
      </c>
      <c r="BP2290">
        <v>0</v>
      </c>
      <c r="BQ2290">
        <v>0</v>
      </c>
      <c r="BR2290">
        <v>0</v>
      </c>
      <c r="BS2290">
        <v>0</v>
      </c>
      <c r="BT2290">
        <v>0</v>
      </c>
      <c r="BU2290">
        <v>0</v>
      </c>
      <c r="BV2290">
        <v>0</v>
      </c>
      <c r="BW2290" t="s">
        <v>0</v>
      </c>
      <c r="BX2290">
        <v>0</v>
      </c>
      <c r="BY2290">
        <v>0</v>
      </c>
      <c r="BZ2290">
        <v>0</v>
      </c>
      <c r="CA2290">
        <v>0</v>
      </c>
      <c r="CB2290" t="s">
        <v>145</v>
      </c>
    </row>
    <row r="2291" spans="67:80" x14ac:dyDescent="0.25">
      <c r="BO2291">
        <v>0</v>
      </c>
      <c r="BP2291">
        <v>0</v>
      </c>
      <c r="BQ2291">
        <v>0</v>
      </c>
      <c r="BR2291">
        <v>0</v>
      </c>
      <c r="BS2291">
        <v>0</v>
      </c>
      <c r="BT2291">
        <v>0</v>
      </c>
      <c r="BU2291">
        <v>0</v>
      </c>
      <c r="BV2291">
        <v>0</v>
      </c>
      <c r="BW2291" t="s">
        <v>0</v>
      </c>
      <c r="BX2291">
        <v>0</v>
      </c>
      <c r="BY2291">
        <v>0</v>
      </c>
      <c r="BZ2291">
        <v>0</v>
      </c>
      <c r="CA2291">
        <v>0</v>
      </c>
      <c r="CB2291" t="s">
        <v>145</v>
      </c>
    </row>
    <row r="2292" spans="67:80" x14ac:dyDescent="0.25">
      <c r="BO2292">
        <v>0</v>
      </c>
      <c r="BP2292">
        <v>0</v>
      </c>
      <c r="BQ2292">
        <v>0</v>
      </c>
      <c r="BR2292">
        <v>0</v>
      </c>
      <c r="BS2292">
        <v>0</v>
      </c>
      <c r="BT2292">
        <v>0</v>
      </c>
      <c r="BU2292">
        <v>0</v>
      </c>
      <c r="BV2292">
        <v>0</v>
      </c>
      <c r="BW2292" t="s">
        <v>0</v>
      </c>
      <c r="BX2292">
        <v>0</v>
      </c>
      <c r="BY2292">
        <v>0</v>
      </c>
      <c r="BZ2292">
        <v>0</v>
      </c>
      <c r="CA2292">
        <v>0</v>
      </c>
      <c r="CB2292" t="s">
        <v>145</v>
      </c>
    </row>
    <row r="2293" spans="67:80" x14ac:dyDescent="0.25">
      <c r="BO2293">
        <v>0</v>
      </c>
      <c r="BP2293">
        <v>0</v>
      </c>
      <c r="BQ2293">
        <v>0</v>
      </c>
      <c r="BR2293">
        <v>0</v>
      </c>
      <c r="BS2293">
        <v>0</v>
      </c>
      <c r="BT2293">
        <v>0</v>
      </c>
      <c r="BU2293">
        <v>0</v>
      </c>
      <c r="BV2293">
        <v>0</v>
      </c>
      <c r="BW2293" t="s">
        <v>0</v>
      </c>
      <c r="BX2293">
        <v>0</v>
      </c>
      <c r="BY2293">
        <v>0</v>
      </c>
      <c r="BZ2293">
        <v>0</v>
      </c>
      <c r="CA2293">
        <v>0</v>
      </c>
      <c r="CB2293" t="s">
        <v>145</v>
      </c>
    </row>
    <row r="2294" spans="67:80" x14ac:dyDescent="0.25">
      <c r="BO2294">
        <v>0</v>
      </c>
      <c r="BP2294">
        <v>0</v>
      </c>
      <c r="BQ2294">
        <v>0</v>
      </c>
      <c r="BR2294">
        <v>0</v>
      </c>
      <c r="BS2294">
        <v>0</v>
      </c>
      <c r="BT2294">
        <v>0</v>
      </c>
      <c r="BU2294">
        <v>0</v>
      </c>
      <c r="BV2294">
        <v>0</v>
      </c>
      <c r="BW2294" t="s">
        <v>0</v>
      </c>
      <c r="BX2294">
        <v>0</v>
      </c>
      <c r="BY2294">
        <v>0</v>
      </c>
      <c r="BZ2294">
        <v>0</v>
      </c>
      <c r="CA2294">
        <v>0</v>
      </c>
      <c r="CB2294" t="s">
        <v>145</v>
      </c>
    </row>
    <row r="2295" spans="67:80" x14ac:dyDescent="0.25">
      <c r="BO2295">
        <v>0</v>
      </c>
      <c r="BP2295">
        <v>0</v>
      </c>
      <c r="BQ2295">
        <v>0</v>
      </c>
      <c r="BR2295">
        <v>0</v>
      </c>
      <c r="BS2295">
        <v>0</v>
      </c>
      <c r="BT2295">
        <v>0</v>
      </c>
      <c r="BU2295">
        <v>0</v>
      </c>
      <c r="BV2295">
        <v>0</v>
      </c>
      <c r="BW2295" t="s">
        <v>0</v>
      </c>
      <c r="BX2295">
        <v>0</v>
      </c>
      <c r="BY2295">
        <v>0</v>
      </c>
      <c r="BZ2295">
        <v>0</v>
      </c>
      <c r="CA2295">
        <v>0</v>
      </c>
      <c r="CB2295" t="s">
        <v>145</v>
      </c>
    </row>
    <row r="2296" spans="67:80" x14ac:dyDescent="0.25">
      <c r="BO2296">
        <v>0</v>
      </c>
      <c r="BP2296">
        <v>0</v>
      </c>
      <c r="BQ2296">
        <v>0</v>
      </c>
      <c r="BR2296">
        <v>0</v>
      </c>
      <c r="BS2296">
        <v>0</v>
      </c>
      <c r="BT2296">
        <v>0</v>
      </c>
      <c r="BU2296">
        <v>0</v>
      </c>
      <c r="BV2296">
        <v>0</v>
      </c>
      <c r="BW2296" t="s">
        <v>0</v>
      </c>
      <c r="BX2296">
        <v>0</v>
      </c>
      <c r="BY2296">
        <v>0</v>
      </c>
      <c r="BZ2296">
        <v>0</v>
      </c>
      <c r="CA2296">
        <v>0</v>
      </c>
      <c r="CB2296" t="s">
        <v>145</v>
      </c>
    </row>
    <row r="2297" spans="67:80" x14ac:dyDescent="0.25">
      <c r="BO2297">
        <v>0</v>
      </c>
      <c r="BP2297">
        <v>0</v>
      </c>
      <c r="BQ2297">
        <v>0</v>
      </c>
      <c r="BR2297">
        <v>0</v>
      </c>
      <c r="BS2297">
        <v>0</v>
      </c>
      <c r="BT2297">
        <v>0</v>
      </c>
      <c r="BU2297">
        <v>0</v>
      </c>
      <c r="BV2297">
        <v>0</v>
      </c>
      <c r="BW2297" t="s">
        <v>0</v>
      </c>
      <c r="BX2297">
        <v>0</v>
      </c>
      <c r="BY2297">
        <v>0</v>
      </c>
      <c r="BZ2297">
        <v>0</v>
      </c>
      <c r="CA2297">
        <v>0</v>
      </c>
      <c r="CB2297" t="s">
        <v>145</v>
      </c>
    </row>
    <row r="2298" spans="67:80" x14ac:dyDescent="0.25">
      <c r="BO2298">
        <v>0</v>
      </c>
      <c r="BP2298">
        <v>0</v>
      </c>
      <c r="BQ2298">
        <v>0</v>
      </c>
      <c r="BR2298">
        <v>0</v>
      </c>
      <c r="BS2298">
        <v>0</v>
      </c>
      <c r="BT2298">
        <v>0</v>
      </c>
      <c r="BU2298">
        <v>0</v>
      </c>
      <c r="BV2298">
        <v>0</v>
      </c>
      <c r="BW2298" t="s">
        <v>0</v>
      </c>
      <c r="BX2298">
        <v>0</v>
      </c>
      <c r="BY2298">
        <v>0</v>
      </c>
      <c r="BZ2298">
        <v>0</v>
      </c>
      <c r="CA2298">
        <v>0</v>
      </c>
      <c r="CB2298" t="s">
        <v>145</v>
      </c>
    </row>
    <row r="2299" spans="67:80" x14ac:dyDescent="0.25">
      <c r="BO2299">
        <v>0</v>
      </c>
      <c r="BP2299">
        <v>0</v>
      </c>
      <c r="BQ2299">
        <v>0</v>
      </c>
      <c r="BR2299">
        <v>0</v>
      </c>
      <c r="BS2299">
        <v>0</v>
      </c>
      <c r="BT2299">
        <v>0</v>
      </c>
      <c r="BU2299">
        <v>0</v>
      </c>
      <c r="BV2299">
        <v>0</v>
      </c>
      <c r="BW2299" t="s">
        <v>0</v>
      </c>
      <c r="BX2299">
        <v>0</v>
      </c>
      <c r="BY2299">
        <v>0</v>
      </c>
      <c r="BZ2299">
        <v>0</v>
      </c>
      <c r="CA2299">
        <v>0</v>
      </c>
      <c r="CB2299" t="s">
        <v>145</v>
      </c>
    </row>
    <row r="2300" spans="67:80" x14ac:dyDescent="0.25">
      <c r="BO2300">
        <v>0</v>
      </c>
      <c r="BP2300">
        <v>0</v>
      </c>
      <c r="BQ2300">
        <v>0</v>
      </c>
      <c r="BR2300">
        <v>0</v>
      </c>
      <c r="BS2300">
        <v>0</v>
      </c>
      <c r="BT2300">
        <v>0</v>
      </c>
      <c r="BU2300">
        <v>0</v>
      </c>
      <c r="BV2300">
        <v>0</v>
      </c>
      <c r="BW2300" t="s">
        <v>0</v>
      </c>
      <c r="BX2300">
        <v>0</v>
      </c>
      <c r="BY2300">
        <v>0</v>
      </c>
      <c r="BZ2300">
        <v>0</v>
      </c>
      <c r="CA2300">
        <v>0</v>
      </c>
      <c r="CB2300" t="s">
        <v>145</v>
      </c>
    </row>
    <row r="2301" spans="67:80" x14ac:dyDescent="0.25">
      <c r="BO2301">
        <v>0</v>
      </c>
      <c r="BP2301">
        <v>0</v>
      </c>
      <c r="BQ2301">
        <v>0</v>
      </c>
      <c r="BR2301">
        <v>0</v>
      </c>
      <c r="BS2301">
        <v>0</v>
      </c>
      <c r="BT2301">
        <v>0</v>
      </c>
      <c r="BU2301">
        <v>0</v>
      </c>
      <c r="BV2301">
        <v>0</v>
      </c>
      <c r="BW2301" t="s">
        <v>0</v>
      </c>
      <c r="BX2301">
        <v>0</v>
      </c>
      <c r="BY2301">
        <v>0</v>
      </c>
      <c r="BZ2301">
        <v>0</v>
      </c>
      <c r="CA2301">
        <v>0</v>
      </c>
      <c r="CB2301" t="s">
        <v>145</v>
      </c>
    </row>
    <row r="2302" spans="67:80" x14ac:dyDescent="0.25">
      <c r="BO2302">
        <v>0</v>
      </c>
      <c r="BP2302">
        <v>0</v>
      </c>
      <c r="BQ2302">
        <v>0</v>
      </c>
      <c r="BR2302">
        <v>0</v>
      </c>
      <c r="BS2302">
        <v>0</v>
      </c>
      <c r="BT2302">
        <v>0</v>
      </c>
      <c r="BU2302">
        <v>0</v>
      </c>
      <c r="BV2302">
        <v>0</v>
      </c>
      <c r="BW2302" t="s">
        <v>0</v>
      </c>
      <c r="BX2302">
        <v>0</v>
      </c>
      <c r="BY2302">
        <v>0</v>
      </c>
      <c r="BZ2302">
        <v>0</v>
      </c>
      <c r="CA2302">
        <v>0</v>
      </c>
      <c r="CB2302" t="s">
        <v>145</v>
      </c>
    </row>
    <row r="2303" spans="67:80" x14ac:dyDescent="0.25">
      <c r="BO2303">
        <v>0</v>
      </c>
      <c r="BP2303">
        <v>0</v>
      </c>
      <c r="BQ2303">
        <v>0</v>
      </c>
      <c r="BR2303">
        <v>0</v>
      </c>
      <c r="BS2303">
        <v>0</v>
      </c>
      <c r="BT2303">
        <v>0</v>
      </c>
      <c r="BU2303">
        <v>0</v>
      </c>
      <c r="BV2303">
        <v>0</v>
      </c>
      <c r="BW2303" t="s">
        <v>0</v>
      </c>
      <c r="BX2303">
        <v>0</v>
      </c>
      <c r="BY2303">
        <v>0</v>
      </c>
      <c r="BZ2303">
        <v>0</v>
      </c>
      <c r="CA2303">
        <v>0</v>
      </c>
      <c r="CB2303" t="s">
        <v>145</v>
      </c>
    </row>
    <row r="2304" spans="67:80" x14ac:dyDescent="0.25">
      <c r="BO2304">
        <v>0</v>
      </c>
      <c r="BP2304">
        <v>0</v>
      </c>
      <c r="BQ2304">
        <v>0</v>
      </c>
      <c r="BR2304">
        <v>0</v>
      </c>
      <c r="BS2304">
        <v>0</v>
      </c>
      <c r="BT2304">
        <v>0</v>
      </c>
      <c r="BU2304">
        <v>0</v>
      </c>
      <c r="BV2304">
        <v>0</v>
      </c>
      <c r="BW2304" t="s">
        <v>0</v>
      </c>
      <c r="BX2304">
        <v>0</v>
      </c>
      <c r="BY2304">
        <v>0</v>
      </c>
      <c r="BZ2304">
        <v>0</v>
      </c>
      <c r="CA2304">
        <v>0</v>
      </c>
      <c r="CB2304" t="s">
        <v>145</v>
      </c>
    </row>
    <row r="2305" spans="67:80" x14ac:dyDescent="0.25">
      <c r="BO2305">
        <v>0</v>
      </c>
      <c r="BP2305">
        <v>0</v>
      </c>
      <c r="BQ2305">
        <v>0</v>
      </c>
      <c r="BR2305">
        <v>0</v>
      </c>
      <c r="BS2305">
        <v>0</v>
      </c>
      <c r="BT2305">
        <v>0</v>
      </c>
      <c r="BU2305">
        <v>0</v>
      </c>
      <c r="BV2305">
        <v>0</v>
      </c>
      <c r="BW2305" t="s">
        <v>0</v>
      </c>
      <c r="BX2305">
        <v>0</v>
      </c>
      <c r="BY2305">
        <v>0</v>
      </c>
      <c r="BZ2305">
        <v>0</v>
      </c>
      <c r="CA2305">
        <v>0</v>
      </c>
      <c r="CB2305" t="s">
        <v>145</v>
      </c>
    </row>
    <row r="2306" spans="67:80" x14ac:dyDescent="0.25">
      <c r="BO2306">
        <v>0</v>
      </c>
      <c r="BP2306">
        <v>0</v>
      </c>
      <c r="BQ2306">
        <v>0</v>
      </c>
      <c r="BR2306">
        <v>0</v>
      </c>
      <c r="BS2306">
        <v>0</v>
      </c>
      <c r="BT2306">
        <v>0</v>
      </c>
      <c r="BU2306">
        <v>0</v>
      </c>
      <c r="BV2306">
        <v>0</v>
      </c>
      <c r="BW2306" t="s">
        <v>0</v>
      </c>
      <c r="BX2306">
        <v>0</v>
      </c>
      <c r="BY2306">
        <v>0</v>
      </c>
      <c r="BZ2306">
        <v>0</v>
      </c>
      <c r="CA2306">
        <v>0</v>
      </c>
      <c r="CB2306" t="s">
        <v>145</v>
      </c>
    </row>
    <row r="2307" spans="67:80" x14ac:dyDescent="0.25">
      <c r="BO2307">
        <v>0</v>
      </c>
      <c r="BP2307">
        <v>0</v>
      </c>
      <c r="BQ2307">
        <v>0</v>
      </c>
      <c r="BR2307">
        <v>0</v>
      </c>
      <c r="BS2307">
        <v>0</v>
      </c>
      <c r="BT2307">
        <v>0</v>
      </c>
      <c r="BU2307">
        <v>0</v>
      </c>
      <c r="BV2307">
        <v>0</v>
      </c>
      <c r="BW2307" t="s">
        <v>0</v>
      </c>
      <c r="BX2307">
        <v>0</v>
      </c>
      <c r="BY2307">
        <v>0</v>
      </c>
      <c r="BZ2307">
        <v>0</v>
      </c>
      <c r="CA2307">
        <v>0</v>
      </c>
      <c r="CB2307" t="s">
        <v>145</v>
      </c>
    </row>
    <row r="2308" spans="67:80" x14ac:dyDescent="0.25">
      <c r="BO2308">
        <v>0</v>
      </c>
      <c r="BP2308">
        <v>0</v>
      </c>
      <c r="BQ2308">
        <v>0</v>
      </c>
      <c r="BR2308">
        <v>0</v>
      </c>
      <c r="BS2308">
        <v>0</v>
      </c>
      <c r="BT2308">
        <v>0</v>
      </c>
      <c r="BU2308">
        <v>0</v>
      </c>
      <c r="BV2308">
        <v>0</v>
      </c>
      <c r="BW2308" t="s">
        <v>0</v>
      </c>
      <c r="BX2308">
        <v>0</v>
      </c>
      <c r="BY2308">
        <v>0</v>
      </c>
      <c r="BZ2308">
        <v>0</v>
      </c>
      <c r="CA2308">
        <v>0</v>
      </c>
      <c r="CB2308" t="s">
        <v>145</v>
      </c>
    </row>
    <row r="2309" spans="67:80" x14ac:dyDescent="0.25">
      <c r="BO2309">
        <v>0</v>
      </c>
      <c r="BP2309">
        <v>0</v>
      </c>
      <c r="BQ2309">
        <v>0</v>
      </c>
      <c r="BR2309">
        <v>0</v>
      </c>
      <c r="BS2309">
        <v>0</v>
      </c>
      <c r="BT2309">
        <v>0</v>
      </c>
      <c r="BU2309">
        <v>0</v>
      </c>
      <c r="BV2309">
        <v>0</v>
      </c>
      <c r="BW2309" t="s">
        <v>0</v>
      </c>
      <c r="BX2309">
        <v>0</v>
      </c>
      <c r="BY2309">
        <v>0</v>
      </c>
      <c r="BZ2309">
        <v>0</v>
      </c>
      <c r="CA2309">
        <v>0</v>
      </c>
      <c r="CB2309" t="s">
        <v>145</v>
      </c>
    </row>
    <row r="2310" spans="67:80" x14ac:dyDescent="0.25">
      <c r="BO2310">
        <v>0</v>
      </c>
      <c r="BP2310">
        <v>0</v>
      </c>
      <c r="BQ2310">
        <v>0</v>
      </c>
      <c r="BR2310">
        <v>0</v>
      </c>
      <c r="BS2310">
        <v>0</v>
      </c>
      <c r="BT2310">
        <v>0</v>
      </c>
      <c r="BU2310">
        <v>0</v>
      </c>
      <c r="BV2310">
        <v>0</v>
      </c>
      <c r="BW2310" t="s">
        <v>0</v>
      </c>
      <c r="BX2310">
        <v>0</v>
      </c>
      <c r="BY2310">
        <v>0</v>
      </c>
      <c r="BZ2310">
        <v>0</v>
      </c>
      <c r="CA2310">
        <v>0</v>
      </c>
      <c r="CB2310" t="s">
        <v>145</v>
      </c>
    </row>
    <row r="2311" spans="67:80" x14ac:dyDescent="0.25">
      <c r="BO2311">
        <v>0</v>
      </c>
      <c r="BP2311">
        <v>0</v>
      </c>
      <c r="BQ2311">
        <v>0</v>
      </c>
      <c r="BR2311">
        <v>0</v>
      </c>
      <c r="BS2311">
        <v>0</v>
      </c>
      <c r="BT2311">
        <v>0</v>
      </c>
      <c r="BU2311">
        <v>0</v>
      </c>
      <c r="BV2311">
        <v>0</v>
      </c>
      <c r="BW2311" t="s">
        <v>0</v>
      </c>
      <c r="BX2311">
        <v>0</v>
      </c>
      <c r="BY2311">
        <v>0</v>
      </c>
      <c r="BZ2311">
        <v>0</v>
      </c>
      <c r="CA2311">
        <v>0</v>
      </c>
      <c r="CB2311" t="s">
        <v>145</v>
      </c>
    </row>
    <row r="2312" spans="67:80" x14ac:dyDescent="0.25">
      <c r="BO2312">
        <v>0</v>
      </c>
      <c r="BP2312">
        <v>0</v>
      </c>
      <c r="BQ2312">
        <v>0</v>
      </c>
      <c r="BR2312">
        <v>0</v>
      </c>
      <c r="BS2312">
        <v>0</v>
      </c>
      <c r="BT2312">
        <v>0</v>
      </c>
      <c r="BU2312">
        <v>0</v>
      </c>
      <c r="BV2312">
        <v>0</v>
      </c>
      <c r="BW2312" t="s">
        <v>0</v>
      </c>
      <c r="BX2312">
        <v>0</v>
      </c>
      <c r="BY2312">
        <v>0</v>
      </c>
      <c r="BZ2312">
        <v>0</v>
      </c>
      <c r="CA2312">
        <v>0</v>
      </c>
      <c r="CB2312" t="s">
        <v>145</v>
      </c>
    </row>
    <row r="2313" spans="67:80" x14ac:dyDescent="0.25">
      <c r="BO2313">
        <v>0</v>
      </c>
      <c r="BP2313">
        <v>0</v>
      </c>
      <c r="BQ2313">
        <v>0</v>
      </c>
      <c r="BR2313">
        <v>0</v>
      </c>
      <c r="BS2313">
        <v>0</v>
      </c>
      <c r="BT2313">
        <v>0</v>
      </c>
      <c r="BU2313">
        <v>0</v>
      </c>
      <c r="BV2313">
        <v>0</v>
      </c>
      <c r="BW2313" t="s">
        <v>0</v>
      </c>
      <c r="BX2313">
        <v>0</v>
      </c>
      <c r="BY2313">
        <v>0</v>
      </c>
      <c r="BZ2313">
        <v>0</v>
      </c>
      <c r="CA2313">
        <v>0</v>
      </c>
      <c r="CB2313" t="s">
        <v>145</v>
      </c>
    </row>
    <row r="2314" spans="67:80" x14ac:dyDescent="0.25">
      <c r="BO2314">
        <v>0</v>
      </c>
      <c r="BP2314">
        <v>0</v>
      </c>
      <c r="BQ2314">
        <v>0</v>
      </c>
      <c r="BR2314">
        <v>0</v>
      </c>
      <c r="BS2314">
        <v>0</v>
      </c>
      <c r="BT2314">
        <v>0</v>
      </c>
      <c r="BU2314">
        <v>0</v>
      </c>
      <c r="BV2314">
        <v>0</v>
      </c>
      <c r="BW2314" t="s">
        <v>0</v>
      </c>
      <c r="BX2314">
        <v>0</v>
      </c>
      <c r="BY2314">
        <v>0</v>
      </c>
      <c r="BZ2314">
        <v>0</v>
      </c>
      <c r="CA2314">
        <v>0</v>
      </c>
      <c r="CB2314" t="s">
        <v>145</v>
      </c>
    </row>
    <row r="2315" spans="67:80" x14ac:dyDescent="0.25">
      <c r="BO2315">
        <v>0</v>
      </c>
      <c r="BP2315">
        <v>0</v>
      </c>
      <c r="BQ2315">
        <v>0</v>
      </c>
      <c r="BR2315">
        <v>0</v>
      </c>
      <c r="BS2315">
        <v>0</v>
      </c>
      <c r="BT2315">
        <v>0</v>
      </c>
      <c r="BU2315">
        <v>0</v>
      </c>
      <c r="BV2315">
        <v>0</v>
      </c>
      <c r="BW2315" t="s">
        <v>0</v>
      </c>
      <c r="BX2315">
        <v>0</v>
      </c>
      <c r="BY2315">
        <v>0</v>
      </c>
      <c r="BZ2315">
        <v>0</v>
      </c>
      <c r="CA2315">
        <v>0</v>
      </c>
      <c r="CB2315" t="s">
        <v>145</v>
      </c>
    </row>
    <row r="2316" spans="67:80" x14ac:dyDescent="0.25">
      <c r="BO2316">
        <v>0</v>
      </c>
      <c r="BP2316">
        <v>0</v>
      </c>
      <c r="BQ2316">
        <v>0</v>
      </c>
      <c r="BR2316">
        <v>0</v>
      </c>
      <c r="BS2316">
        <v>0</v>
      </c>
      <c r="BT2316">
        <v>0</v>
      </c>
      <c r="BU2316">
        <v>0</v>
      </c>
      <c r="BV2316">
        <v>0</v>
      </c>
      <c r="BW2316" t="s">
        <v>0</v>
      </c>
      <c r="BX2316">
        <v>0</v>
      </c>
      <c r="BY2316">
        <v>0</v>
      </c>
      <c r="BZ2316">
        <v>0</v>
      </c>
      <c r="CA2316">
        <v>0</v>
      </c>
      <c r="CB2316" t="s">
        <v>145</v>
      </c>
    </row>
    <row r="2317" spans="67:80" x14ac:dyDescent="0.25">
      <c r="BO2317">
        <v>0</v>
      </c>
      <c r="BP2317">
        <v>0</v>
      </c>
      <c r="BQ2317">
        <v>0</v>
      </c>
      <c r="BR2317">
        <v>0</v>
      </c>
      <c r="BS2317">
        <v>0</v>
      </c>
      <c r="BT2317">
        <v>0</v>
      </c>
      <c r="BU2317">
        <v>0</v>
      </c>
      <c r="BV2317">
        <v>0</v>
      </c>
      <c r="BW2317" t="s">
        <v>0</v>
      </c>
      <c r="BX2317">
        <v>0</v>
      </c>
      <c r="BY2317">
        <v>0</v>
      </c>
      <c r="BZ2317">
        <v>0</v>
      </c>
      <c r="CA2317">
        <v>0</v>
      </c>
      <c r="CB2317" t="s">
        <v>145</v>
      </c>
    </row>
    <row r="2318" spans="67:80" x14ac:dyDescent="0.25">
      <c r="BO2318">
        <v>0</v>
      </c>
      <c r="BP2318">
        <v>0</v>
      </c>
      <c r="BQ2318">
        <v>0</v>
      </c>
      <c r="BR2318">
        <v>0</v>
      </c>
      <c r="BS2318">
        <v>0</v>
      </c>
      <c r="BT2318">
        <v>0</v>
      </c>
      <c r="BU2318">
        <v>0</v>
      </c>
      <c r="BV2318">
        <v>0</v>
      </c>
      <c r="BW2318" t="s">
        <v>0</v>
      </c>
      <c r="BX2318">
        <v>0</v>
      </c>
      <c r="BY2318">
        <v>0</v>
      </c>
      <c r="BZ2318">
        <v>0</v>
      </c>
      <c r="CA2318">
        <v>0</v>
      </c>
      <c r="CB2318" t="s">
        <v>145</v>
      </c>
    </row>
    <row r="2319" spans="67:80" x14ac:dyDescent="0.25">
      <c r="BO2319">
        <v>0</v>
      </c>
      <c r="BP2319">
        <v>0</v>
      </c>
      <c r="BQ2319">
        <v>0</v>
      </c>
      <c r="BR2319">
        <v>0</v>
      </c>
      <c r="BS2319">
        <v>0</v>
      </c>
      <c r="BT2319">
        <v>0</v>
      </c>
      <c r="BU2319">
        <v>0</v>
      </c>
      <c r="BV2319">
        <v>0</v>
      </c>
      <c r="BW2319" t="s">
        <v>0</v>
      </c>
      <c r="BX2319">
        <v>0</v>
      </c>
      <c r="BY2319">
        <v>0</v>
      </c>
      <c r="BZ2319">
        <v>0</v>
      </c>
      <c r="CA2319">
        <v>0</v>
      </c>
      <c r="CB2319" t="s">
        <v>145</v>
      </c>
    </row>
    <row r="2320" spans="67:80" x14ac:dyDescent="0.25">
      <c r="BO2320">
        <v>0</v>
      </c>
      <c r="BP2320">
        <v>0</v>
      </c>
      <c r="BQ2320">
        <v>0</v>
      </c>
      <c r="BR2320">
        <v>0</v>
      </c>
      <c r="BS2320">
        <v>0</v>
      </c>
      <c r="BT2320">
        <v>0</v>
      </c>
      <c r="BU2320">
        <v>0</v>
      </c>
      <c r="BV2320">
        <v>0</v>
      </c>
      <c r="BW2320" t="s">
        <v>0</v>
      </c>
      <c r="BX2320">
        <v>0</v>
      </c>
      <c r="BY2320">
        <v>0</v>
      </c>
      <c r="BZ2320">
        <v>0</v>
      </c>
      <c r="CA2320">
        <v>0</v>
      </c>
      <c r="CB2320" t="s">
        <v>145</v>
      </c>
    </row>
    <row r="2321" spans="67:80" x14ac:dyDescent="0.25">
      <c r="BO2321">
        <v>0</v>
      </c>
      <c r="BP2321">
        <v>0</v>
      </c>
      <c r="BQ2321">
        <v>0</v>
      </c>
      <c r="BR2321">
        <v>0</v>
      </c>
      <c r="BS2321">
        <v>0</v>
      </c>
      <c r="BT2321">
        <v>0</v>
      </c>
      <c r="BU2321">
        <v>0</v>
      </c>
      <c r="BV2321">
        <v>0</v>
      </c>
      <c r="BW2321" t="s">
        <v>0</v>
      </c>
      <c r="BX2321">
        <v>0</v>
      </c>
      <c r="BY2321">
        <v>0</v>
      </c>
      <c r="BZ2321">
        <v>0</v>
      </c>
      <c r="CA2321">
        <v>0</v>
      </c>
      <c r="CB2321" t="s">
        <v>145</v>
      </c>
    </row>
    <row r="2322" spans="67:80" x14ac:dyDescent="0.25">
      <c r="BO2322">
        <v>0</v>
      </c>
      <c r="BP2322">
        <v>0</v>
      </c>
      <c r="BQ2322">
        <v>0</v>
      </c>
      <c r="BR2322">
        <v>0</v>
      </c>
      <c r="BS2322">
        <v>0</v>
      </c>
      <c r="BT2322">
        <v>0</v>
      </c>
      <c r="BU2322">
        <v>0</v>
      </c>
      <c r="BV2322">
        <v>0</v>
      </c>
      <c r="BW2322" t="s">
        <v>0</v>
      </c>
      <c r="BX2322">
        <v>0</v>
      </c>
      <c r="BY2322">
        <v>0</v>
      </c>
      <c r="BZ2322">
        <v>0</v>
      </c>
      <c r="CA2322">
        <v>0</v>
      </c>
      <c r="CB2322" t="s">
        <v>145</v>
      </c>
    </row>
    <row r="2323" spans="67:80" x14ac:dyDescent="0.25">
      <c r="BO2323">
        <v>0</v>
      </c>
      <c r="BP2323">
        <v>0</v>
      </c>
      <c r="BQ2323">
        <v>0</v>
      </c>
      <c r="BR2323">
        <v>0</v>
      </c>
      <c r="BS2323">
        <v>0</v>
      </c>
      <c r="BT2323">
        <v>0</v>
      </c>
      <c r="BU2323">
        <v>0</v>
      </c>
      <c r="BV2323">
        <v>0</v>
      </c>
      <c r="BW2323" t="s">
        <v>0</v>
      </c>
      <c r="BX2323">
        <v>0</v>
      </c>
      <c r="BY2323">
        <v>0</v>
      </c>
      <c r="BZ2323">
        <v>0</v>
      </c>
      <c r="CA2323">
        <v>0</v>
      </c>
      <c r="CB2323" t="s">
        <v>145</v>
      </c>
    </row>
    <row r="2324" spans="67:80" x14ac:dyDescent="0.25">
      <c r="BO2324">
        <v>0</v>
      </c>
      <c r="BP2324">
        <v>0</v>
      </c>
      <c r="BQ2324">
        <v>0</v>
      </c>
      <c r="BR2324">
        <v>0</v>
      </c>
      <c r="BS2324">
        <v>0</v>
      </c>
      <c r="BT2324">
        <v>0</v>
      </c>
      <c r="BU2324">
        <v>0</v>
      </c>
      <c r="BV2324">
        <v>0</v>
      </c>
      <c r="BW2324" t="s">
        <v>0</v>
      </c>
      <c r="BX2324">
        <v>0</v>
      </c>
      <c r="BY2324">
        <v>0</v>
      </c>
      <c r="BZ2324">
        <v>0</v>
      </c>
      <c r="CA2324">
        <v>0</v>
      </c>
      <c r="CB2324" t="s">
        <v>145</v>
      </c>
    </row>
    <row r="2325" spans="67:80" x14ac:dyDescent="0.25">
      <c r="BO2325">
        <v>0</v>
      </c>
      <c r="BP2325">
        <v>0</v>
      </c>
      <c r="BQ2325">
        <v>0</v>
      </c>
      <c r="BR2325">
        <v>0</v>
      </c>
      <c r="BS2325">
        <v>0</v>
      </c>
      <c r="BT2325">
        <v>0</v>
      </c>
      <c r="BU2325">
        <v>0</v>
      </c>
      <c r="BV2325">
        <v>0</v>
      </c>
      <c r="BW2325" t="s">
        <v>0</v>
      </c>
      <c r="BX2325">
        <v>0</v>
      </c>
      <c r="BY2325">
        <v>0</v>
      </c>
      <c r="BZ2325">
        <v>0</v>
      </c>
      <c r="CA2325">
        <v>0</v>
      </c>
      <c r="CB2325" t="s">
        <v>145</v>
      </c>
    </row>
    <row r="2326" spans="67:80" x14ac:dyDescent="0.25">
      <c r="BO2326">
        <v>0</v>
      </c>
      <c r="BP2326">
        <v>0</v>
      </c>
      <c r="BQ2326">
        <v>0</v>
      </c>
      <c r="BR2326">
        <v>0</v>
      </c>
      <c r="BS2326">
        <v>0</v>
      </c>
      <c r="BT2326">
        <v>0</v>
      </c>
      <c r="BU2326">
        <v>0</v>
      </c>
      <c r="BV2326">
        <v>0</v>
      </c>
      <c r="BW2326" t="s">
        <v>0</v>
      </c>
      <c r="BX2326">
        <v>0</v>
      </c>
      <c r="BY2326">
        <v>0</v>
      </c>
      <c r="BZ2326">
        <v>0</v>
      </c>
      <c r="CA2326">
        <v>0</v>
      </c>
      <c r="CB2326" t="s">
        <v>145</v>
      </c>
    </row>
    <row r="2327" spans="67:80" x14ac:dyDescent="0.25">
      <c r="BO2327">
        <v>0</v>
      </c>
      <c r="BP2327">
        <v>0</v>
      </c>
      <c r="BQ2327">
        <v>0</v>
      </c>
      <c r="BR2327">
        <v>0</v>
      </c>
      <c r="BS2327">
        <v>0</v>
      </c>
      <c r="BT2327">
        <v>0</v>
      </c>
      <c r="BU2327">
        <v>0</v>
      </c>
      <c r="BV2327">
        <v>0</v>
      </c>
      <c r="BW2327" t="s">
        <v>0</v>
      </c>
      <c r="BX2327">
        <v>0</v>
      </c>
      <c r="BY2327">
        <v>0</v>
      </c>
      <c r="BZ2327">
        <v>0</v>
      </c>
      <c r="CA2327">
        <v>0</v>
      </c>
      <c r="CB2327" t="s">
        <v>145</v>
      </c>
    </row>
    <row r="2328" spans="67:80" x14ac:dyDescent="0.25">
      <c r="BO2328">
        <v>0</v>
      </c>
      <c r="BP2328">
        <v>0</v>
      </c>
      <c r="BQ2328">
        <v>0</v>
      </c>
      <c r="BR2328">
        <v>0</v>
      </c>
      <c r="BS2328">
        <v>0</v>
      </c>
      <c r="BT2328">
        <v>0</v>
      </c>
      <c r="BU2328">
        <v>0</v>
      </c>
      <c r="BV2328">
        <v>0</v>
      </c>
      <c r="BW2328" t="s">
        <v>0</v>
      </c>
      <c r="BX2328">
        <v>0</v>
      </c>
      <c r="BY2328">
        <v>0</v>
      </c>
      <c r="BZ2328">
        <v>0</v>
      </c>
      <c r="CA2328">
        <v>0</v>
      </c>
      <c r="CB2328" t="s">
        <v>145</v>
      </c>
    </row>
    <row r="2329" spans="67:80" x14ac:dyDescent="0.25">
      <c r="BO2329">
        <v>0</v>
      </c>
      <c r="BP2329">
        <v>0</v>
      </c>
      <c r="BQ2329">
        <v>0</v>
      </c>
      <c r="BR2329">
        <v>0</v>
      </c>
      <c r="BS2329">
        <v>0</v>
      </c>
      <c r="BT2329">
        <v>0</v>
      </c>
      <c r="BU2329">
        <v>0</v>
      </c>
      <c r="BV2329">
        <v>0</v>
      </c>
      <c r="BW2329" t="s">
        <v>0</v>
      </c>
      <c r="BX2329">
        <v>0</v>
      </c>
      <c r="BY2329">
        <v>0</v>
      </c>
      <c r="BZ2329">
        <v>0</v>
      </c>
      <c r="CA2329">
        <v>0</v>
      </c>
      <c r="CB2329" t="s">
        <v>145</v>
      </c>
    </row>
    <row r="2330" spans="67:80" x14ac:dyDescent="0.25">
      <c r="BO2330">
        <v>0</v>
      </c>
      <c r="BP2330">
        <v>0</v>
      </c>
      <c r="BQ2330">
        <v>0</v>
      </c>
      <c r="BR2330">
        <v>0</v>
      </c>
      <c r="BS2330">
        <v>0</v>
      </c>
      <c r="BT2330">
        <v>0</v>
      </c>
      <c r="BU2330">
        <v>0</v>
      </c>
      <c r="BV2330">
        <v>0</v>
      </c>
      <c r="BW2330" t="s">
        <v>0</v>
      </c>
      <c r="BX2330">
        <v>0</v>
      </c>
      <c r="BY2330">
        <v>0</v>
      </c>
      <c r="BZ2330">
        <v>0</v>
      </c>
      <c r="CA2330">
        <v>0</v>
      </c>
      <c r="CB2330" t="s">
        <v>145</v>
      </c>
    </row>
    <row r="2331" spans="67:80" x14ac:dyDescent="0.25">
      <c r="BO2331">
        <v>0</v>
      </c>
      <c r="BP2331">
        <v>0</v>
      </c>
      <c r="BQ2331">
        <v>0</v>
      </c>
      <c r="BR2331">
        <v>0</v>
      </c>
      <c r="BS2331">
        <v>0</v>
      </c>
      <c r="BT2331">
        <v>0</v>
      </c>
      <c r="BU2331">
        <v>0</v>
      </c>
      <c r="BV2331">
        <v>0</v>
      </c>
      <c r="BW2331" t="s">
        <v>0</v>
      </c>
      <c r="BX2331">
        <v>0</v>
      </c>
      <c r="BY2331">
        <v>0</v>
      </c>
      <c r="BZ2331">
        <v>0</v>
      </c>
      <c r="CA2331">
        <v>0</v>
      </c>
      <c r="CB2331" t="s">
        <v>145</v>
      </c>
    </row>
    <row r="2332" spans="67:80" x14ac:dyDescent="0.25">
      <c r="BO2332">
        <v>0</v>
      </c>
      <c r="BP2332">
        <v>0</v>
      </c>
      <c r="BQ2332">
        <v>0</v>
      </c>
      <c r="BR2332">
        <v>0</v>
      </c>
      <c r="BS2332">
        <v>0</v>
      </c>
      <c r="BT2332">
        <v>0</v>
      </c>
      <c r="BU2332">
        <v>0</v>
      </c>
      <c r="BV2332">
        <v>0</v>
      </c>
      <c r="BW2332" t="s">
        <v>0</v>
      </c>
      <c r="BX2332">
        <v>0</v>
      </c>
      <c r="BY2332">
        <v>0</v>
      </c>
      <c r="BZ2332">
        <v>0</v>
      </c>
      <c r="CA2332">
        <v>0</v>
      </c>
      <c r="CB2332" t="s">
        <v>145</v>
      </c>
    </row>
    <row r="2333" spans="67:80" x14ac:dyDescent="0.25">
      <c r="BO2333">
        <v>0</v>
      </c>
      <c r="BP2333">
        <v>0</v>
      </c>
      <c r="BQ2333">
        <v>0</v>
      </c>
      <c r="BR2333">
        <v>0</v>
      </c>
      <c r="BS2333">
        <v>0</v>
      </c>
      <c r="BT2333">
        <v>0</v>
      </c>
      <c r="BU2333">
        <v>0</v>
      </c>
      <c r="BV2333">
        <v>0</v>
      </c>
      <c r="BW2333" t="s">
        <v>0</v>
      </c>
      <c r="BX2333">
        <v>0</v>
      </c>
      <c r="BY2333">
        <v>0</v>
      </c>
      <c r="BZ2333">
        <v>0</v>
      </c>
      <c r="CA2333">
        <v>0</v>
      </c>
      <c r="CB2333" t="s">
        <v>145</v>
      </c>
    </row>
    <row r="2334" spans="67:80" x14ac:dyDescent="0.25">
      <c r="BO2334">
        <v>0</v>
      </c>
      <c r="BP2334">
        <v>0</v>
      </c>
      <c r="BQ2334">
        <v>0</v>
      </c>
      <c r="BR2334">
        <v>0</v>
      </c>
      <c r="BS2334">
        <v>0</v>
      </c>
      <c r="BT2334">
        <v>0</v>
      </c>
      <c r="BU2334">
        <v>0</v>
      </c>
      <c r="BV2334">
        <v>0</v>
      </c>
      <c r="BW2334" t="s">
        <v>0</v>
      </c>
      <c r="BX2334">
        <v>0</v>
      </c>
      <c r="BY2334">
        <v>0</v>
      </c>
      <c r="BZ2334">
        <v>0</v>
      </c>
      <c r="CA2334">
        <v>0</v>
      </c>
      <c r="CB2334" t="s">
        <v>145</v>
      </c>
    </row>
    <row r="2335" spans="67:80" x14ac:dyDescent="0.25">
      <c r="BO2335">
        <v>0</v>
      </c>
      <c r="BP2335">
        <v>0</v>
      </c>
      <c r="BQ2335">
        <v>0</v>
      </c>
      <c r="BR2335">
        <v>0</v>
      </c>
      <c r="BS2335">
        <v>0</v>
      </c>
      <c r="BT2335">
        <v>0</v>
      </c>
      <c r="BU2335">
        <v>0</v>
      </c>
      <c r="BV2335">
        <v>0</v>
      </c>
      <c r="BW2335" t="s">
        <v>0</v>
      </c>
      <c r="BX2335">
        <v>0</v>
      </c>
      <c r="BY2335">
        <v>0</v>
      </c>
      <c r="BZ2335">
        <v>0</v>
      </c>
      <c r="CA2335">
        <v>0</v>
      </c>
      <c r="CB2335" t="s">
        <v>145</v>
      </c>
    </row>
    <row r="2336" spans="67:80" x14ac:dyDescent="0.25">
      <c r="BO2336">
        <v>0</v>
      </c>
      <c r="BP2336">
        <v>0</v>
      </c>
      <c r="BQ2336">
        <v>0</v>
      </c>
      <c r="BR2336">
        <v>0</v>
      </c>
      <c r="BS2336">
        <v>0</v>
      </c>
      <c r="BT2336">
        <v>0</v>
      </c>
      <c r="BU2336">
        <v>0</v>
      </c>
      <c r="BV2336">
        <v>0</v>
      </c>
      <c r="BW2336" t="s">
        <v>0</v>
      </c>
      <c r="BX2336">
        <v>0</v>
      </c>
      <c r="BY2336">
        <v>0</v>
      </c>
      <c r="BZ2336">
        <v>0</v>
      </c>
      <c r="CA2336">
        <v>0</v>
      </c>
      <c r="CB2336" t="s">
        <v>145</v>
      </c>
    </row>
    <row r="2337" spans="67:80" x14ac:dyDescent="0.25">
      <c r="BO2337">
        <v>0</v>
      </c>
      <c r="BP2337">
        <v>0</v>
      </c>
      <c r="BQ2337">
        <v>0</v>
      </c>
      <c r="BR2337">
        <v>0</v>
      </c>
      <c r="BS2337">
        <v>0</v>
      </c>
      <c r="BT2337">
        <v>0</v>
      </c>
      <c r="BU2337">
        <v>0</v>
      </c>
      <c r="BV2337">
        <v>0</v>
      </c>
      <c r="BW2337" t="s">
        <v>0</v>
      </c>
      <c r="BX2337">
        <v>0</v>
      </c>
      <c r="BY2337">
        <v>0</v>
      </c>
      <c r="BZ2337">
        <v>0</v>
      </c>
      <c r="CA2337">
        <v>0</v>
      </c>
      <c r="CB2337" t="s">
        <v>145</v>
      </c>
    </row>
    <row r="2338" spans="67:80" x14ac:dyDescent="0.25">
      <c r="BO2338">
        <v>0</v>
      </c>
      <c r="BP2338">
        <v>0</v>
      </c>
      <c r="BQ2338">
        <v>0</v>
      </c>
      <c r="BR2338">
        <v>0</v>
      </c>
      <c r="BS2338">
        <v>0</v>
      </c>
      <c r="BT2338">
        <v>0</v>
      </c>
      <c r="BU2338">
        <v>0</v>
      </c>
      <c r="BV2338">
        <v>0</v>
      </c>
      <c r="BW2338" t="s">
        <v>0</v>
      </c>
      <c r="BX2338">
        <v>0</v>
      </c>
      <c r="BY2338">
        <v>0</v>
      </c>
      <c r="BZ2338">
        <v>0</v>
      </c>
      <c r="CA2338">
        <v>0</v>
      </c>
      <c r="CB2338" t="s">
        <v>145</v>
      </c>
    </row>
    <row r="2339" spans="67:80" x14ac:dyDescent="0.25">
      <c r="BO2339">
        <v>0</v>
      </c>
      <c r="BP2339">
        <v>0</v>
      </c>
      <c r="BQ2339">
        <v>0</v>
      </c>
      <c r="BR2339">
        <v>0</v>
      </c>
      <c r="BS2339">
        <v>0</v>
      </c>
      <c r="BT2339">
        <v>0</v>
      </c>
      <c r="BU2339">
        <v>0</v>
      </c>
      <c r="BV2339">
        <v>0</v>
      </c>
      <c r="BW2339" t="s">
        <v>0</v>
      </c>
      <c r="BX2339">
        <v>0</v>
      </c>
      <c r="BY2339">
        <v>0</v>
      </c>
      <c r="BZ2339">
        <v>0</v>
      </c>
      <c r="CA2339">
        <v>0</v>
      </c>
      <c r="CB2339" t="s">
        <v>145</v>
      </c>
    </row>
    <row r="2340" spans="67:80" x14ac:dyDescent="0.25">
      <c r="BO2340">
        <v>0</v>
      </c>
      <c r="BP2340">
        <v>0</v>
      </c>
      <c r="BQ2340">
        <v>0</v>
      </c>
      <c r="BR2340">
        <v>0</v>
      </c>
      <c r="BS2340">
        <v>0</v>
      </c>
      <c r="BT2340">
        <v>0</v>
      </c>
      <c r="BU2340">
        <v>0</v>
      </c>
      <c r="BV2340">
        <v>0</v>
      </c>
      <c r="BW2340" t="s">
        <v>0</v>
      </c>
      <c r="BX2340">
        <v>0</v>
      </c>
      <c r="BY2340">
        <v>0</v>
      </c>
      <c r="BZ2340">
        <v>0</v>
      </c>
      <c r="CA2340">
        <v>0</v>
      </c>
      <c r="CB2340" t="s">
        <v>145</v>
      </c>
    </row>
    <row r="2341" spans="67:80" x14ac:dyDescent="0.25">
      <c r="BO2341">
        <v>0</v>
      </c>
      <c r="BP2341">
        <v>0</v>
      </c>
      <c r="BQ2341">
        <v>0</v>
      </c>
      <c r="BR2341">
        <v>0</v>
      </c>
      <c r="BS2341">
        <v>0</v>
      </c>
      <c r="BT2341">
        <v>0</v>
      </c>
      <c r="BU2341">
        <v>0</v>
      </c>
      <c r="BV2341">
        <v>0</v>
      </c>
      <c r="BW2341" t="s">
        <v>0</v>
      </c>
      <c r="BX2341">
        <v>0</v>
      </c>
      <c r="BY2341">
        <v>0</v>
      </c>
      <c r="BZ2341">
        <v>0</v>
      </c>
      <c r="CA2341">
        <v>0</v>
      </c>
      <c r="CB2341" t="s">
        <v>145</v>
      </c>
    </row>
    <row r="2342" spans="67:80" x14ac:dyDescent="0.25">
      <c r="BO2342">
        <v>0</v>
      </c>
      <c r="BP2342">
        <v>0</v>
      </c>
      <c r="BQ2342">
        <v>0</v>
      </c>
      <c r="BR2342">
        <v>0</v>
      </c>
      <c r="BS2342">
        <v>0</v>
      </c>
      <c r="BT2342">
        <v>0</v>
      </c>
      <c r="BU2342">
        <v>0</v>
      </c>
      <c r="BV2342">
        <v>0</v>
      </c>
      <c r="BW2342" t="s">
        <v>0</v>
      </c>
      <c r="BX2342">
        <v>0</v>
      </c>
      <c r="BY2342">
        <v>0</v>
      </c>
      <c r="BZ2342">
        <v>0</v>
      </c>
      <c r="CA2342">
        <v>0</v>
      </c>
      <c r="CB2342" t="s">
        <v>145</v>
      </c>
    </row>
    <row r="2343" spans="67:80" x14ac:dyDescent="0.25">
      <c r="BO2343">
        <v>0</v>
      </c>
      <c r="BP2343">
        <v>0</v>
      </c>
      <c r="BQ2343">
        <v>0</v>
      </c>
      <c r="BR2343">
        <v>0</v>
      </c>
      <c r="BS2343">
        <v>0</v>
      </c>
      <c r="BT2343">
        <v>0</v>
      </c>
      <c r="BU2343">
        <v>0</v>
      </c>
      <c r="BV2343">
        <v>0</v>
      </c>
      <c r="BW2343" t="s">
        <v>0</v>
      </c>
      <c r="BX2343">
        <v>0</v>
      </c>
      <c r="BY2343">
        <v>0</v>
      </c>
      <c r="BZ2343">
        <v>0</v>
      </c>
      <c r="CA2343">
        <v>0</v>
      </c>
      <c r="CB2343" t="s">
        <v>145</v>
      </c>
    </row>
    <row r="2344" spans="67:80" x14ac:dyDescent="0.25">
      <c r="BO2344">
        <v>0</v>
      </c>
      <c r="BP2344">
        <v>0</v>
      </c>
      <c r="BQ2344">
        <v>0</v>
      </c>
      <c r="BR2344">
        <v>0</v>
      </c>
      <c r="BS2344">
        <v>0</v>
      </c>
      <c r="BT2344">
        <v>0</v>
      </c>
      <c r="BU2344">
        <v>0</v>
      </c>
      <c r="BV2344">
        <v>0</v>
      </c>
      <c r="BW2344" t="s">
        <v>0</v>
      </c>
      <c r="BX2344">
        <v>0</v>
      </c>
      <c r="BY2344">
        <v>0</v>
      </c>
      <c r="BZ2344">
        <v>0</v>
      </c>
      <c r="CA2344">
        <v>0</v>
      </c>
      <c r="CB2344" t="s">
        <v>145</v>
      </c>
    </row>
    <row r="2345" spans="67:80" x14ac:dyDescent="0.25">
      <c r="BO2345">
        <v>0</v>
      </c>
      <c r="BP2345">
        <v>0</v>
      </c>
      <c r="BQ2345">
        <v>0</v>
      </c>
      <c r="BR2345">
        <v>0</v>
      </c>
      <c r="BS2345">
        <v>0</v>
      </c>
      <c r="BT2345">
        <v>0</v>
      </c>
      <c r="BU2345">
        <v>0</v>
      </c>
      <c r="BV2345">
        <v>0</v>
      </c>
      <c r="BW2345" t="s">
        <v>0</v>
      </c>
      <c r="BX2345">
        <v>0</v>
      </c>
      <c r="BY2345">
        <v>0</v>
      </c>
      <c r="BZ2345">
        <v>0</v>
      </c>
      <c r="CA2345">
        <v>0</v>
      </c>
      <c r="CB2345" t="s">
        <v>145</v>
      </c>
    </row>
    <row r="2346" spans="67:80" x14ac:dyDescent="0.25">
      <c r="BO2346">
        <v>0</v>
      </c>
      <c r="BP2346">
        <v>0</v>
      </c>
      <c r="BQ2346">
        <v>0</v>
      </c>
      <c r="BR2346">
        <v>0</v>
      </c>
      <c r="BS2346">
        <v>0</v>
      </c>
      <c r="BT2346">
        <v>0</v>
      </c>
      <c r="BU2346">
        <v>0</v>
      </c>
      <c r="BV2346">
        <v>0</v>
      </c>
      <c r="BW2346" t="s">
        <v>0</v>
      </c>
      <c r="BX2346">
        <v>0</v>
      </c>
      <c r="BY2346">
        <v>0</v>
      </c>
      <c r="BZ2346">
        <v>0</v>
      </c>
      <c r="CA2346">
        <v>0</v>
      </c>
      <c r="CB2346" t="s">
        <v>145</v>
      </c>
    </row>
    <row r="2347" spans="67:80" x14ac:dyDescent="0.25">
      <c r="BO2347">
        <v>0</v>
      </c>
      <c r="BP2347">
        <v>0</v>
      </c>
      <c r="BQ2347">
        <v>0</v>
      </c>
      <c r="BR2347">
        <v>0</v>
      </c>
      <c r="BS2347">
        <v>0</v>
      </c>
      <c r="BT2347">
        <v>0</v>
      </c>
      <c r="BU2347">
        <v>0</v>
      </c>
      <c r="BV2347">
        <v>0</v>
      </c>
      <c r="BW2347" t="s">
        <v>0</v>
      </c>
      <c r="BX2347">
        <v>0</v>
      </c>
      <c r="BY2347">
        <v>0</v>
      </c>
      <c r="BZ2347">
        <v>0</v>
      </c>
      <c r="CA2347">
        <v>0</v>
      </c>
      <c r="CB2347" t="s">
        <v>145</v>
      </c>
    </row>
    <row r="2348" spans="67:80" x14ac:dyDescent="0.25">
      <c r="BO2348">
        <v>0</v>
      </c>
      <c r="BP2348">
        <v>0</v>
      </c>
      <c r="BQ2348">
        <v>0</v>
      </c>
      <c r="BR2348">
        <v>0</v>
      </c>
      <c r="BS2348">
        <v>0</v>
      </c>
      <c r="BT2348">
        <v>0</v>
      </c>
      <c r="BU2348">
        <v>0</v>
      </c>
      <c r="BV2348">
        <v>0</v>
      </c>
      <c r="BW2348" t="s">
        <v>0</v>
      </c>
      <c r="BX2348">
        <v>0</v>
      </c>
      <c r="BY2348">
        <v>0</v>
      </c>
      <c r="BZ2348">
        <v>0</v>
      </c>
      <c r="CA2348">
        <v>0</v>
      </c>
      <c r="CB2348" t="s">
        <v>145</v>
      </c>
    </row>
    <row r="2349" spans="67:80" x14ac:dyDescent="0.25">
      <c r="BO2349">
        <v>0</v>
      </c>
      <c r="BP2349">
        <v>0</v>
      </c>
      <c r="BQ2349">
        <v>0</v>
      </c>
      <c r="BR2349">
        <v>0</v>
      </c>
      <c r="BS2349">
        <v>0</v>
      </c>
      <c r="BT2349">
        <v>0</v>
      </c>
      <c r="BU2349">
        <v>0</v>
      </c>
      <c r="BV2349">
        <v>0</v>
      </c>
      <c r="BW2349" t="s">
        <v>0</v>
      </c>
      <c r="BX2349">
        <v>0</v>
      </c>
      <c r="BY2349">
        <v>0</v>
      </c>
      <c r="BZ2349">
        <v>0</v>
      </c>
      <c r="CA2349">
        <v>0</v>
      </c>
      <c r="CB2349" t="s">
        <v>145</v>
      </c>
    </row>
    <row r="2350" spans="67:80" x14ac:dyDescent="0.25">
      <c r="BO2350">
        <v>0</v>
      </c>
      <c r="BP2350">
        <v>0</v>
      </c>
      <c r="BQ2350">
        <v>0</v>
      </c>
      <c r="BR2350">
        <v>0</v>
      </c>
      <c r="BS2350">
        <v>0</v>
      </c>
      <c r="BT2350">
        <v>0</v>
      </c>
      <c r="BU2350">
        <v>0</v>
      </c>
      <c r="BV2350">
        <v>0</v>
      </c>
      <c r="BW2350" t="s">
        <v>0</v>
      </c>
      <c r="BX2350">
        <v>0</v>
      </c>
      <c r="BY2350">
        <v>0</v>
      </c>
      <c r="BZ2350">
        <v>0</v>
      </c>
      <c r="CA2350">
        <v>0</v>
      </c>
      <c r="CB2350" t="s">
        <v>145</v>
      </c>
    </row>
    <row r="2351" spans="67:80" x14ac:dyDescent="0.25">
      <c r="BO2351">
        <v>0</v>
      </c>
      <c r="BP2351">
        <v>0</v>
      </c>
      <c r="BQ2351">
        <v>0</v>
      </c>
      <c r="BR2351">
        <v>0</v>
      </c>
      <c r="BS2351">
        <v>0</v>
      </c>
      <c r="BT2351">
        <v>0</v>
      </c>
      <c r="BU2351">
        <v>0</v>
      </c>
      <c r="BV2351">
        <v>0</v>
      </c>
      <c r="BW2351" t="s">
        <v>0</v>
      </c>
      <c r="BX2351">
        <v>0</v>
      </c>
      <c r="BY2351">
        <v>0</v>
      </c>
      <c r="BZ2351">
        <v>0</v>
      </c>
      <c r="CA2351">
        <v>0</v>
      </c>
      <c r="CB2351" t="s">
        <v>145</v>
      </c>
    </row>
    <row r="2352" spans="67:80" x14ac:dyDescent="0.25">
      <c r="BO2352">
        <v>0</v>
      </c>
      <c r="BP2352">
        <v>0</v>
      </c>
      <c r="BQ2352">
        <v>0</v>
      </c>
      <c r="BR2352">
        <v>0</v>
      </c>
      <c r="BS2352">
        <v>0</v>
      </c>
      <c r="BT2352">
        <v>0</v>
      </c>
      <c r="BU2352">
        <v>0</v>
      </c>
      <c r="BV2352">
        <v>0</v>
      </c>
      <c r="BW2352" t="s">
        <v>0</v>
      </c>
      <c r="BX2352">
        <v>0</v>
      </c>
      <c r="BY2352">
        <v>0</v>
      </c>
      <c r="BZ2352">
        <v>0</v>
      </c>
      <c r="CA2352">
        <v>0</v>
      </c>
      <c r="CB2352" t="s">
        <v>145</v>
      </c>
    </row>
    <row r="2353" spans="1:80" x14ac:dyDescent="0.25">
      <c r="BO2353">
        <v>0</v>
      </c>
      <c r="BP2353">
        <v>0</v>
      </c>
      <c r="BQ2353">
        <v>0</v>
      </c>
      <c r="BR2353">
        <v>0</v>
      </c>
      <c r="BS2353">
        <v>0</v>
      </c>
      <c r="BT2353">
        <v>0</v>
      </c>
      <c r="BU2353">
        <v>0</v>
      </c>
      <c r="BV2353">
        <v>0</v>
      </c>
      <c r="BW2353" t="s">
        <v>0</v>
      </c>
      <c r="BX2353">
        <v>0</v>
      </c>
      <c r="BY2353">
        <v>0</v>
      </c>
      <c r="BZ2353">
        <v>0</v>
      </c>
      <c r="CA2353">
        <v>0</v>
      </c>
      <c r="CB2353" t="s">
        <v>145</v>
      </c>
    </row>
    <row r="2354" spans="1:80" x14ac:dyDescent="0.25">
      <c r="BO2354">
        <v>0</v>
      </c>
      <c r="BP2354">
        <v>0</v>
      </c>
      <c r="BQ2354">
        <v>0</v>
      </c>
      <c r="BR2354">
        <v>0</v>
      </c>
      <c r="BS2354">
        <v>0</v>
      </c>
      <c r="BT2354">
        <v>0</v>
      </c>
      <c r="BU2354">
        <v>0</v>
      </c>
      <c r="BV2354">
        <v>0</v>
      </c>
      <c r="BW2354" t="s">
        <v>0</v>
      </c>
      <c r="BX2354">
        <v>0</v>
      </c>
      <c r="BY2354">
        <v>0</v>
      </c>
      <c r="BZ2354">
        <v>0</v>
      </c>
      <c r="CA2354">
        <v>0</v>
      </c>
      <c r="CB2354" t="s">
        <v>145</v>
      </c>
    </row>
    <row r="2355" spans="1:80" x14ac:dyDescent="0.25">
      <c r="BO2355">
        <v>0</v>
      </c>
      <c r="BP2355">
        <v>0</v>
      </c>
      <c r="BQ2355">
        <v>0</v>
      </c>
      <c r="BR2355">
        <v>0</v>
      </c>
      <c r="BS2355">
        <v>0</v>
      </c>
      <c r="BT2355">
        <v>0</v>
      </c>
      <c r="BU2355">
        <v>0</v>
      </c>
      <c r="BV2355">
        <v>0</v>
      </c>
      <c r="BW2355" t="s">
        <v>0</v>
      </c>
      <c r="BX2355">
        <v>0</v>
      </c>
      <c r="BY2355">
        <v>0</v>
      </c>
      <c r="BZ2355">
        <v>0</v>
      </c>
      <c r="CA2355">
        <v>0</v>
      </c>
      <c r="CB2355" t="s">
        <v>145</v>
      </c>
    </row>
    <row r="2356" spans="1:80" x14ac:dyDescent="0.25">
      <c r="BO2356">
        <v>0</v>
      </c>
      <c r="BP2356">
        <v>0</v>
      </c>
      <c r="BQ2356">
        <v>0</v>
      </c>
      <c r="BR2356">
        <v>0</v>
      </c>
      <c r="BS2356">
        <v>0</v>
      </c>
      <c r="BT2356">
        <v>0</v>
      </c>
      <c r="BU2356">
        <v>0</v>
      </c>
      <c r="BV2356">
        <v>0</v>
      </c>
      <c r="BW2356" t="s">
        <v>0</v>
      </c>
      <c r="BX2356">
        <v>0</v>
      </c>
      <c r="BY2356">
        <v>0</v>
      </c>
      <c r="BZ2356">
        <v>0</v>
      </c>
      <c r="CA2356">
        <v>0</v>
      </c>
      <c r="CB2356" t="s">
        <v>145</v>
      </c>
    </row>
    <row r="2357" spans="1:80" x14ac:dyDescent="0.25">
      <c r="BO2357">
        <v>0</v>
      </c>
      <c r="BP2357">
        <v>0</v>
      </c>
      <c r="BQ2357">
        <v>0</v>
      </c>
      <c r="BR2357">
        <v>0</v>
      </c>
      <c r="BS2357">
        <v>0</v>
      </c>
      <c r="BT2357">
        <v>0</v>
      </c>
      <c r="BU2357">
        <v>0</v>
      </c>
      <c r="BV2357">
        <v>0</v>
      </c>
      <c r="BW2357" t="s">
        <v>0</v>
      </c>
      <c r="BX2357">
        <v>0</v>
      </c>
      <c r="BY2357">
        <v>0</v>
      </c>
      <c r="BZ2357">
        <v>0</v>
      </c>
      <c r="CA2357">
        <v>0</v>
      </c>
      <c r="CB2357" t="s">
        <v>145</v>
      </c>
    </row>
    <row r="2358" spans="1:80" x14ac:dyDescent="0.25">
      <c r="BO2358">
        <v>0</v>
      </c>
      <c r="BP2358">
        <v>0</v>
      </c>
      <c r="BQ2358">
        <v>0</v>
      </c>
      <c r="BR2358">
        <v>0</v>
      </c>
      <c r="BS2358">
        <v>0</v>
      </c>
      <c r="BT2358">
        <v>0</v>
      </c>
      <c r="BU2358">
        <v>0</v>
      </c>
      <c r="BV2358">
        <v>0</v>
      </c>
      <c r="BW2358" t="s">
        <v>0</v>
      </c>
      <c r="BX2358">
        <v>0</v>
      </c>
      <c r="BY2358">
        <v>0</v>
      </c>
      <c r="BZ2358">
        <v>0</v>
      </c>
      <c r="CA2358">
        <v>0</v>
      </c>
      <c r="CB2358" t="s">
        <v>145</v>
      </c>
    </row>
    <row r="2359" spans="1:80" x14ac:dyDescent="0.25">
      <c r="BO2359">
        <v>0</v>
      </c>
      <c r="BP2359">
        <v>0</v>
      </c>
      <c r="BQ2359">
        <v>0</v>
      </c>
      <c r="BR2359">
        <v>0</v>
      </c>
      <c r="BS2359">
        <v>0</v>
      </c>
      <c r="BT2359">
        <v>0</v>
      </c>
      <c r="BU2359">
        <v>0</v>
      </c>
      <c r="BV2359">
        <v>0</v>
      </c>
      <c r="BW2359" t="s">
        <v>0</v>
      </c>
      <c r="BX2359">
        <v>0</v>
      </c>
      <c r="BY2359">
        <v>0</v>
      </c>
      <c r="BZ2359">
        <v>0</v>
      </c>
      <c r="CA2359">
        <v>0</v>
      </c>
      <c r="CB2359" t="s">
        <v>145</v>
      </c>
    </row>
    <row r="2360" spans="1:80" x14ac:dyDescent="0.25">
      <c r="BO2360">
        <v>0</v>
      </c>
      <c r="BP2360">
        <v>0</v>
      </c>
      <c r="BQ2360">
        <v>0</v>
      </c>
      <c r="BR2360">
        <v>0</v>
      </c>
      <c r="BS2360">
        <v>0</v>
      </c>
      <c r="BT2360">
        <v>0</v>
      </c>
      <c r="BU2360">
        <v>0</v>
      </c>
      <c r="BV2360">
        <v>0</v>
      </c>
      <c r="BW2360" t="s">
        <v>0</v>
      </c>
      <c r="BX2360">
        <v>0</v>
      </c>
      <c r="BY2360">
        <v>0</v>
      </c>
      <c r="BZ2360">
        <v>0</v>
      </c>
      <c r="CA2360">
        <v>0</v>
      </c>
      <c r="CB2360" t="s">
        <v>145</v>
      </c>
    </row>
    <row r="2361" spans="1:80" x14ac:dyDescent="0.25">
      <c r="BO2361">
        <v>0</v>
      </c>
      <c r="BP2361">
        <v>0</v>
      </c>
      <c r="BQ2361">
        <v>0</v>
      </c>
      <c r="BR2361">
        <v>0</v>
      </c>
      <c r="BS2361">
        <v>0</v>
      </c>
      <c r="BT2361">
        <v>0</v>
      </c>
      <c r="BU2361">
        <v>0</v>
      </c>
      <c r="BV2361">
        <v>0</v>
      </c>
      <c r="BW2361" t="s">
        <v>0</v>
      </c>
      <c r="BX2361">
        <v>0</v>
      </c>
      <c r="BY2361">
        <v>0</v>
      </c>
      <c r="BZ2361">
        <v>0</v>
      </c>
      <c r="CA2361">
        <v>0</v>
      </c>
      <c r="CB2361" t="s">
        <v>145</v>
      </c>
    </row>
    <row r="2362" spans="1:80" x14ac:dyDescent="0.25">
      <c r="BO2362">
        <v>0</v>
      </c>
      <c r="BP2362">
        <v>0</v>
      </c>
      <c r="BQ2362">
        <v>0</v>
      </c>
      <c r="BR2362">
        <v>0</v>
      </c>
      <c r="BS2362">
        <v>0</v>
      </c>
      <c r="BT2362">
        <v>0</v>
      </c>
      <c r="BU2362">
        <v>0</v>
      </c>
      <c r="BV2362">
        <v>0</v>
      </c>
      <c r="BW2362" t="s">
        <v>0</v>
      </c>
      <c r="BX2362">
        <v>0</v>
      </c>
      <c r="BY2362">
        <v>0</v>
      </c>
      <c r="BZ2362">
        <v>0</v>
      </c>
      <c r="CA2362">
        <v>0</v>
      </c>
      <c r="CB2362" t="s">
        <v>145</v>
      </c>
    </row>
    <row r="2363" spans="1:80" x14ac:dyDescent="0.25">
      <c r="BO2363">
        <v>0</v>
      </c>
      <c r="BP2363">
        <v>0</v>
      </c>
      <c r="BQ2363">
        <v>0</v>
      </c>
      <c r="BR2363">
        <v>0</v>
      </c>
      <c r="BS2363">
        <v>0</v>
      </c>
      <c r="BT2363">
        <v>0</v>
      </c>
      <c r="BU2363">
        <v>0</v>
      </c>
      <c r="BV2363">
        <v>0</v>
      </c>
      <c r="BW2363" t="s">
        <v>0</v>
      </c>
      <c r="BX2363">
        <v>0</v>
      </c>
      <c r="BY2363">
        <v>0</v>
      </c>
      <c r="BZ2363">
        <v>0</v>
      </c>
      <c r="CA2363">
        <v>0</v>
      </c>
      <c r="CB2363" t="s">
        <v>145</v>
      </c>
    </row>
    <row r="2364" spans="1:80" x14ac:dyDescent="0.25">
      <c r="BO2364">
        <v>0</v>
      </c>
      <c r="BP2364">
        <v>0</v>
      </c>
      <c r="BQ2364">
        <v>0</v>
      </c>
      <c r="BR2364">
        <v>0</v>
      </c>
      <c r="BS2364">
        <v>0</v>
      </c>
      <c r="BT2364">
        <v>0</v>
      </c>
      <c r="BU2364">
        <v>0</v>
      </c>
      <c r="BV2364">
        <v>0</v>
      </c>
      <c r="BW2364" t="s">
        <v>0</v>
      </c>
      <c r="BX2364">
        <v>0</v>
      </c>
      <c r="BY2364">
        <v>0</v>
      </c>
      <c r="BZ2364">
        <v>0</v>
      </c>
      <c r="CA2364">
        <v>0</v>
      </c>
      <c r="CB2364" t="s">
        <v>145</v>
      </c>
    </row>
    <row r="2365" spans="1:80" x14ac:dyDescent="0.25">
      <c r="A2365" s="10"/>
      <c r="BO2365">
        <v>0</v>
      </c>
      <c r="BP2365">
        <v>0</v>
      </c>
      <c r="BQ2365">
        <v>0</v>
      </c>
      <c r="BR2365">
        <v>0</v>
      </c>
      <c r="BS2365">
        <v>0</v>
      </c>
      <c r="BT2365">
        <v>0</v>
      </c>
      <c r="BU2365">
        <v>0</v>
      </c>
      <c r="BV2365">
        <v>0</v>
      </c>
      <c r="BW2365" t="s">
        <v>0</v>
      </c>
      <c r="BX2365">
        <v>0</v>
      </c>
      <c r="BY2365">
        <v>0</v>
      </c>
      <c r="BZ2365">
        <v>0</v>
      </c>
      <c r="CA2365">
        <v>0</v>
      </c>
      <c r="CB2365" t="s">
        <v>145</v>
      </c>
    </row>
    <row r="2366" spans="1:80" x14ac:dyDescent="0.25">
      <c r="A2366" s="10"/>
      <c r="BO2366">
        <v>0</v>
      </c>
      <c r="BP2366">
        <v>0</v>
      </c>
      <c r="BQ2366">
        <v>0</v>
      </c>
      <c r="BR2366">
        <v>0</v>
      </c>
      <c r="BS2366">
        <v>0</v>
      </c>
      <c r="BT2366">
        <v>0</v>
      </c>
      <c r="BU2366">
        <v>0</v>
      </c>
      <c r="BV2366">
        <v>0</v>
      </c>
      <c r="BW2366" t="s">
        <v>0</v>
      </c>
      <c r="BX2366">
        <v>0</v>
      </c>
      <c r="BY2366">
        <v>0</v>
      </c>
      <c r="BZ2366">
        <v>0</v>
      </c>
      <c r="CA2366">
        <v>0</v>
      </c>
      <c r="CB2366" t="s">
        <v>145</v>
      </c>
    </row>
    <row r="2367" spans="1:80" x14ac:dyDescent="0.25">
      <c r="BO2367">
        <v>0</v>
      </c>
      <c r="BP2367">
        <v>0</v>
      </c>
      <c r="BQ2367">
        <v>0</v>
      </c>
      <c r="BR2367">
        <v>0</v>
      </c>
      <c r="BS2367">
        <v>0</v>
      </c>
      <c r="BT2367">
        <v>0</v>
      </c>
      <c r="BU2367">
        <v>0</v>
      </c>
      <c r="BV2367">
        <v>0</v>
      </c>
      <c r="BW2367" t="s">
        <v>0</v>
      </c>
      <c r="BX2367">
        <v>0</v>
      </c>
      <c r="BY2367">
        <v>0</v>
      </c>
      <c r="BZ2367">
        <v>0</v>
      </c>
      <c r="CA2367">
        <v>0</v>
      </c>
      <c r="CB2367" t="s">
        <v>145</v>
      </c>
    </row>
    <row r="2368" spans="1:80" x14ac:dyDescent="0.25">
      <c r="BO2368">
        <v>0</v>
      </c>
      <c r="BP2368">
        <v>0</v>
      </c>
      <c r="BQ2368">
        <v>0</v>
      </c>
      <c r="BR2368">
        <v>0</v>
      </c>
      <c r="BS2368">
        <v>0</v>
      </c>
      <c r="BT2368">
        <v>0</v>
      </c>
      <c r="BU2368">
        <v>0</v>
      </c>
      <c r="BV2368">
        <v>0</v>
      </c>
      <c r="BW2368" t="s">
        <v>0</v>
      </c>
      <c r="BX2368">
        <v>0</v>
      </c>
      <c r="BY2368">
        <v>0</v>
      </c>
      <c r="BZ2368">
        <v>0</v>
      </c>
      <c r="CA2368">
        <v>0</v>
      </c>
      <c r="CB2368" t="s">
        <v>145</v>
      </c>
    </row>
    <row r="2369" spans="57:80" x14ac:dyDescent="0.25">
      <c r="BO2369">
        <v>0</v>
      </c>
      <c r="BP2369">
        <v>0</v>
      </c>
      <c r="BQ2369">
        <v>0</v>
      </c>
      <c r="BR2369">
        <v>0</v>
      </c>
      <c r="BS2369">
        <v>0</v>
      </c>
      <c r="BT2369">
        <v>0</v>
      </c>
      <c r="BU2369">
        <v>0</v>
      </c>
      <c r="BV2369">
        <v>0</v>
      </c>
      <c r="BW2369" t="s">
        <v>0</v>
      </c>
      <c r="BX2369">
        <v>0</v>
      </c>
      <c r="BY2369">
        <v>0</v>
      </c>
      <c r="BZ2369">
        <v>0</v>
      </c>
      <c r="CA2369">
        <v>0</v>
      </c>
      <c r="CB2369" t="s">
        <v>145</v>
      </c>
    </row>
    <row r="2370" spans="57:80" x14ac:dyDescent="0.25">
      <c r="BO2370">
        <v>0</v>
      </c>
      <c r="BP2370">
        <v>0</v>
      </c>
      <c r="BQ2370">
        <v>0</v>
      </c>
      <c r="BR2370">
        <v>0</v>
      </c>
      <c r="BS2370">
        <v>0</v>
      </c>
      <c r="BT2370">
        <v>0</v>
      </c>
      <c r="BU2370">
        <v>0</v>
      </c>
      <c r="BV2370">
        <v>0</v>
      </c>
      <c r="BW2370" t="s">
        <v>0</v>
      </c>
      <c r="BX2370">
        <v>0</v>
      </c>
      <c r="BY2370">
        <v>0</v>
      </c>
      <c r="BZ2370">
        <v>0</v>
      </c>
      <c r="CA2370">
        <v>0</v>
      </c>
      <c r="CB2370" t="s">
        <v>145</v>
      </c>
    </row>
    <row r="2371" spans="57:80" x14ac:dyDescent="0.25">
      <c r="BO2371">
        <v>0</v>
      </c>
      <c r="BP2371">
        <v>0</v>
      </c>
      <c r="BQ2371">
        <v>0</v>
      </c>
      <c r="BR2371">
        <v>0</v>
      </c>
      <c r="BS2371">
        <v>0</v>
      </c>
      <c r="BT2371">
        <v>0</v>
      </c>
      <c r="BU2371">
        <v>0</v>
      </c>
      <c r="BV2371">
        <v>0</v>
      </c>
      <c r="BW2371" t="s">
        <v>0</v>
      </c>
      <c r="BX2371">
        <v>0</v>
      </c>
      <c r="BY2371">
        <v>0</v>
      </c>
      <c r="BZ2371">
        <v>0</v>
      </c>
      <c r="CA2371">
        <v>0</v>
      </c>
      <c r="CB2371" t="s">
        <v>145</v>
      </c>
    </row>
    <row r="2372" spans="57:80" x14ac:dyDescent="0.25">
      <c r="BO2372">
        <v>0</v>
      </c>
      <c r="BP2372">
        <v>0</v>
      </c>
      <c r="BQ2372">
        <v>0</v>
      </c>
      <c r="BR2372">
        <v>0</v>
      </c>
      <c r="BS2372">
        <v>0</v>
      </c>
      <c r="BT2372">
        <v>0</v>
      </c>
      <c r="BU2372">
        <v>0</v>
      </c>
      <c r="BV2372">
        <v>0</v>
      </c>
      <c r="BW2372" t="s">
        <v>0</v>
      </c>
      <c r="BX2372">
        <v>0</v>
      </c>
      <c r="BY2372">
        <v>0</v>
      </c>
      <c r="BZ2372">
        <v>0</v>
      </c>
      <c r="CA2372">
        <v>0</v>
      </c>
      <c r="CB2372" t="s">
        <v>145</v>
      </c>
    </row>
    <row r="2373" spans="57:80" x14ac:dyDescent="0.25">
      <c r="BO2373">
        <v>0</v>
      </c>
      <c r="BP2373">
        <v>0</v>
      </c>
      <c r="BQ2373">
        <v>0</v>
      </c>
      <c r="BR2373">
        <v>0</v>
      </c>
      <c r="BS2373">
        <v>0</v>
      </c>
      <c r="BT2373">
        <v>0</v>
      </c>
      <c r="BU2373">
        <v>0</v>
      </c>
      <c r="BV2373">
        <v>0</v>
      </c>
      <c r="BW2373" t="s">
        <v>0</v>
      </c>
      <c r="BX2373">
        <v>0</v>
      </c>
      <c r="BY2373">
        <v>0</v>
      </c>
      <c r="BZ2373">
        <v>0</v>
      </c>
      <c r="CA2373">
        <v>0</v>
      </c>
      <c r="CB2373" t="s">
        <v>145</v>
      </c>
    </row>
    <row r="2374" spans="57:80" x14ac:dyDescent="0.25">
      <c r="BO2374">
        <v>0</v>
      </c>
      <c r="BP2374">
        <v>0</v>
      </c>
      <c r="BQ2374">
        <v>0</v>
      </c>
      <c r="BR2374">
        <v>0</v>
      </c>
      <c r="BS2374">
        <v>0</v>
      </c>
      <c r="BT2374">
        <v>0</v>
      </c>
      <c r="BU2374">
        <v>0</v>
      </c>
      <c r="BV2374">
        <v>0</v>
      </c>
      <c r="BW2374" t="s">
        <v>0</v>
      </c>
      <c r="BX2374">
        <v>0</v>
      </c>
      <c r="BY2374">
        <v>0</v>
      </c>
      <c r="BZ2374">
        <v>0</v>
      </c>
      <c r="CA2374">
        <v>0</v>
      </c>
      <c r="CB2374" t="s">
        <v>145</v>
      </c>
    </row>
    <row r="2375" spans="57:80" x14ac:dyDescent="0.25">
      <c r="BO2375">
        <v>0</v>
      </c>
      <c r="BP2375">
        <v>0</v>
      </c>
      <c r="BQ2375">
        <v>0</v>
      </c>
      <c r="BR2375">
        <v>0</v>
      </c>
      <c r="BS2375">
        <v>0</v>
      </c>
      <c r="BT2375">
        <v>0</v>
      </c>
      <c r="BU2375">
        <v>0</v>
      </c>
      <c r="BV2375">
        <v>0</v>
      </c>
      <c r="BW2375" t="s">
        <v>0</v>
      </c>
      <c r="BX2375">
        <v>0</v>
      </c>
      <c r="BY2375">
        <v>0</v>
      </c>
      <c r="BZ2375">
        <v>0</v>
      </c>
      <c r="CA2375">
        <v>0</v>
      </c>
      <c r="CB2375" t="s">
        <v>145</v>
      </c>
    </row>
    <row r="2376" spans="57:80" x14ac:dyDescent="0.25">
      <c r="BO2376">
        <v>0</v>
      </c>
      <c r="BP2376">
        <v>0</v>
      </c>
      <c r="BQ2376">
        <v>0</v>
      </c>
      <c r="BR2376">
        <v>0</v>
      </c>
      <c r="BS2376">
        <v>0</v>
      </c>
      <c r="BT2376">
        <v>0</v>
      </c>
      <c r="BU2376">
        <v>0</v>
      </c>
      <c r="BV2376">
        <v>0</v>
      </c>
      <c r="BW2376" t="s">
        <v>0</v>
      </c>
      <c r="BX2376">
        <v>0</v>
      </c>
      <c r="BY2376">
        <v>0</v>
      </c>
      <c r="BZ2376">
        <v>0</v>
      </c>
      <c r="CA2376">
        <v>0</v>
      </c>
      <c r="CB2376" t="s">
        <v>145</v>
      </c>
    </row>
    <row r="2377" spans="57:80" x14ac:dyDescent="0.25">
      <c r="BE2377" s="1"/>
      <c r="BO2377">
        <v>0</v>
      </c>
      <c r="BP2377">
        <v>0</v>
      </c>
      <c r="BQ2377">
        <v>0</v>
      </c>
      <c r="BR2377">
        <v>0</v>
      </c>
      <c r="BS2377">
        <v>0</v>
      </c>
      <c r="BT2377">
        <v>0</v>
      </c>
      <c r="BU2377">
        <v>0</v>
      </c>
      <c r="BV2377">
        <v>0</v>
      </c>
      <c r="BW2377" t="s">
        <v>0</v>
      </c>
      <c r="BX2377">
        <v>0</v>
      </c>
      <c r="BY2377">
        <v>0</v>
      </c>
      <c r="BZ2377">
        <v>0</v>
      </c>
      <c r="CA2377">
        <v>0</v>
      </c>
      <c r="CB2377" t="s">
        <v>145</v>
      </c>
    </row>
    <row r="2378" spans="57:80" x14ac:dyDescent="0.25">
      <c r="BO2378">
        <v>0</v>
      </c>
      <c r="BP2378">
        <v>0</v>
      </c>
      <c r="BQ2378">
        <v>0</v>
      </c>
      <c r="BR2378">
        <v>0</v>
      </c>
      <c r="BS2378">
        <v>0</v>
      </c>
      <c r="BT2378">
        <v>0</v>
      </c>
      <c r="BU2378">
        <v>0</v>
      </c>
      <c r="BV2378">
        <v>0</v>
      </c>
      <c r="BW2378" t="s">
        <v>0</v>
      </c>
      <c r="BX2378">
        <v>0</v>
      </c>
      <c r="BY2378">
        <v>0</v>
      </c>
      <c r="BZ2378">
        <v>0</v>
      </c>
      <c r="CA2378">
        <v>0</v>
      </c>
      <c r="CB2378" t="s">
        <v>145</v>
      </c>
    </row>
    <row r="2379" spans="57:80" x14ac:dyDescent="0.25">
      <c r="BO2379">
        <v>0</v>
      </c>
      <c r="BP2379">
        <v>0</v>
      </c>
      <c r="BQ2379">
        <v>0</v>
      </c>
      <c r="BR2379">
        <v>0</v>
      </c>
      <c r="BS2379">
        <v>0</v>
      </c>
      <c r="BT2379">
        <v>0</v>
      </c>
      <c r="BU2379">
        <v>0</v>
      </c>
      <c r="BV2379">
        <v>0</v>
      </c>
      <c r="BW2379" t="s">
        <v>0</v>
      </c>
      <c r="BX2379">
        <v>0</v>
      </c>
      <c r="BY2379">
        <v>0</v>
      </c>
      <c r="BZ2379">
        <v>0</v>
      </c>
      <c r="CA2379">
        <v>0</v>
      </c>
      <c r="CB2379" t="s">
        <v>145</v>
      </c>
    </row>
    <row r="2380" spans="57:80" x14ac:dyDescent="0.25">
      <c r="BO2380">
        <v>0</v>
      </c>
      <c r="BP2380">
        <v>0</v>
      </c>
      <c r="BQ2380">
        <v>0</v>
      </c>
      <c r="BR2380">
        <v>0</v>
      </c>
      <c r="BS2380">
        <v>0</v>
      </c>
      <c r="BT2380">
        <v>0</v>
      </c>
      <c r="BU2380">
        <v>0</v>
      </c>
      <c r="BV2380">
        <v>0</v>
      </c>
      <c r="BW2380" t="s">
        <v>0</v>
      </c>
      <c r="BX2380">
        <v>0</v>
      </c>
      <c r="BY2380">
        <v>0</v>
      </c>
      <c r="BZ2380">
        <v>0</v>
      </c>
      <c r="CA2380">
        <v>0</v>
      </c>
      <c r="CB2380" t="s">
        <v>145</v>
      </c>
    </row>
    <row r="2381" spans="57:80" x14ac:dyDescent="0.25">
      <c r="BO2381">
        <v>0</v>
      </c>
      <c r="BP2381">
        <v>0</v>
      </c>
      <c r="BQ2381">
        <v>0</v>
      </c>
      <c r="BR2381">
        <v>0</v>
      </c>
      <c r="BS2381">
        <v>0</v>
      </c>
      <c r="BT2381">
        <v>0</v>
      </c>
      <c r="BU2381">
        <v>0</v>
      </c>
      <c r="BV2381">
        <v>0</v>
      </c>
      <c r="BW2381" t="s">
        <v>0</v>
      </c>
      <c r="BX2381">
        <v>0</v>
      </c>
      <c r="BY2381">
        <v>0</v>
      </c>
      <c r="BZ2381">
        <v>0</v>
      </c>
      <c r="CA2381">
        <v>0</v>
      </c>
      <c r="CB2381" t="s">
        <v>145</v>
      </c>
    </row>
    <row r="2382" spans="57:80" x14ac:dyDescent="0.25">
      <c r="BO2382">
        <v>0</v>
      </c>
      <c r="BP2382">
        <v>0</v>
      </c>
      <c r="BQ2382">
        <v>0</v>
      </c>
      <c r="BR2382">
        <v>0</v>
      </c>
      <c r="BS2382">
        <v>0</v>
      </c>
      <c r="BT2382">
        <v>0</v>
      </c>
      <c r="BU2382">
        <v>0</v>
      </c>
      <c r="BV2382">
        <v>0</v>
      </c>
      <c r="BW2382" t="s">
        <v>0</v>
      </c>
      <c r="BX2382">
        <v>0</v>
      </c>
      <c r="BY2382">
        <v>0</v>
      </c>
      <c r="BZ2382">
        <v>0</v>
      </c>
      <c r="CA2382">
        <v>0</v>
      </c>
      <c r="CB2382" t="s">
        <v>145</v>
      </c>
    </row>
    <row r="2383" spans="57:80" x14ac:dyDescent="0.25">
      <c r="BO2383">
        <v>0</v>
      </c>
      <c r="BP2383">
        <v>0</v>
      </c>
      <c r="BQ2383">
        <v>0</v>
      </c>
      <c r="BR2383">
        <v>0</v>
      </c>
      <c r="BS2383">
        <v>0</v>
      </c>
      <c r="BT2383">
        <v>0</v>
      </c>
      <c r="BU2383">
        <v>0</v>
      </c>
      <c r="BV2383">
        <v>0</v>
      </c>
      <c r="BW2383" t="s">
        <v>0</v>
      </c>
      <c r="BX2383">
        <v>0</v>
      </c>
      <c r="BY2383">
        <v>0</v>
      </c>
      <c r="BZ2383">
        <v>0</v>
      </c>
      <c r="CA2383">
        <v>0</v>
      </c>
      <c r="CB2383" t="s">
        <v>145</v>
      </c>
    </row>
    <row r="2384" spans="57:80" x14ac:dyDescent="0.25">
      <c r="BO2384">
        <v>0</v>
      </c>
      <c r="BP2384">
        <v>0</v>
      </c>
      <c r="BQ2384">
        <v>0</v>
      </c>
      <c r="BR2384">
        <v>0</v>
      </c>
      <c r="BS2384">
        <v>0</v>
      </c>
      <c r="BT2384">
        <v>0</v>
      </c>
      <c r="BU2384">
        <v>0</v>
      </c>
      <c r="BV2384">
        <v>0</v>
      </c>
      <c r="BW2384" t="s">
        <v>0</v>
      </c>
      <c r="BX2384">
        <v>0</v>
      </c>
      <c r="BY2384">
        <v>0</v>
      </c>
      <c r="BZ2384">
        <v>0</v>
      </c>
      <c r="CA2384">
        <v>0</v>
      </c>
      <c r="CB2384" t="s">
        <v>145</v>
      </c>
    </row>
    <row r="2385" spans="67:80" x14ac:dyDescent="0.25">
      <c r="BO2385">
        <v>0</v>
      </c>
      <c r="BP2385">
        <v>0</v>
      </c>
      <c r="BQ2385">
        <v>0</v>
      </c>
      <c r="BR2385">
        <v>0</v>
      </c>
      <c r="BS2385">
        <v>0</v>
      </c>
      <c r="BT2385">
        <v>0</v>
      </c>
      <c r="BU2385">
        <v>0</v>
      </c>
      <c r="BV2385">
        <v>0</v>
      </c>
      <c r="BW2385" t="s">
        <v>0</v>
      </c>
      <c r="BX2385">
        <v>0</v>
      </c>
      <c r="BY2385">
        <v>0</v>
      </c>
      <c r="BZ2385">
        <v>0</v>
      </c>
      <c r="CA2385">
        <v>0</v>
      </c>
      <c r="CB2385" t="s">
        <v>145</v>
      </c>
    </row>
    <row r="2386" spans="67:80" x14ac:dyDescent="0.25">
      <c r="BO2386">
        <v>0</v>
      </c>
      <c r="BP2386">
        <v>0</v>
      </c>
      <c r="BQ2386">
        <v>0</v>
      </c>
      <c r="BR2386">
        <v>0</v>
      </c>
      <c r="BS2386">
        <v>0</v>
      </c>
      <c r="BT2386">
        <v>0</v>
      </c>
      <c r="BU2386">
        <v>0</v>
      </c>
      <c r="BV2386">
        <v>0</v>
      </c>
      <c r="BW2386" t="s">
        <v>0</v>
      </c>
      <c r="BX2386">
        <v>0</v>
      </c>
      <c r="BY2386">
        <v>0</v>
      </c>
      <c r="BZ2386">
        <v>0</v>
      </c>
      <c r="CA2386">
        <v>0</v>
      </c>
      <c r="CB2386" t="s">
        <v>145</v>
      </c>
    </row>
    <row r="2387" spans="67:80" x14ac:dyDescent="0.25">
      <c r="BO2387">
        <v>0</v>
      </c>
      <c r="BP2387">
        <v>0</v>
      </c>
      <c r="BQ2387">
        <v>0</v>
      </c>
      <c r="BR2387">
        <v>0</v>
      </c>
      <c r="BS2387">
        <v>0</v>
      </c>
      <c r="BT2387">
        <v>0</v>
      </c>
      <c r="BU2387">
        <v>0</v>
      </c>
      <c r="BV2387">
        <v>0</v>
      </c>
      <c r="BW2387" t="s">
        <v>0</v>
      </c>
      <c r="BX2387">
        <v>0</v>
      </c>
      <c r="BY2387">
        <v>0</v>
      </c>
      <c r="BZ2387">
        <v>0</v>
      </c>
      <c r="CA2387">
        <v>0</v>
      </c>
      <c r="CB2387" t="s">
        <v>145</v>
      </c>
    </row>
    <row r="2388" spans="67:80" x14ac:dyDescent="0.25">
      <c r="BO2388">
        <v>0</v>
      </c>
      <c r="BP2388">
        <v>0</v>
      </c>
      <c r="BQ2388">
        <v>0</v>
      </c>
      <c r="BR2388">
        <v>0</v>
      </c>
      <c r="BS2388">
        <v>0</v>
      </c>
      <c r="BT2388">
        <v>0</v>
      </c>
      <c r="BU2388">
        <v>0</v>
      </c>
      <c r="BV2388">
        <v>0</v>
      </c>
      <c r="BW2388" t="s">
        <v>0</v>
      </c>
      <c r="BX2388">
        <v>0</v>
      </c>
      <c r="BY2388">
        <v>0</v>
      </c>
      <c r="BZ2388">
        <v>0</v>
      </c>
      <c r="CA2388">
        <v>0</v>
      </c>
      <c r="CB2388" t="s">
        <v>145</v>
      </c>
    </row>
    <row r="2389" spans="67:80" x14ac:dyDescent="0.25">
      <c r="BO2389">
        <v>0</v>
      </c>
      <c r="BP2389">
        <v>0</v>
      </c>
      <c r="BQ2389">
        <v>0</v>
      </c>
      <c r="BR2389">
        <v>0</v>
      </c>
      <c r="BS2389">
        <v>0</v>
      </c>
      <c r="BT2389">
        <v>0</v>
      </c>
      <c r="BU2389">
        <v>0</v>
      </c>
      <c r="BV2389">
        <v>0</v>
      </c>
      <c r="BW2389" t="s">
        <v>0</v>
      </c>
      <c r="BX2389">
        <v>0</v>
      </c>
      <c r="BY2389">
        <v>0</v>
      </c>
      <c r="BZ2389">
        <v>0</v>
      </c>
      <c r="CA2389">
        <v>0</v>
      </c>
      <c r="CB2389" t="s">
        <v>145</v>
      </c>
    </row>
    <row r="2390" spans="67:80" x14ac:dyDescent="0.25">
      <c r="BO2390">
        <v>0</v>
      </c>
      <c r="BP2390">
        <v>0</v>
      </c>
      <c r="BQ2390">
        <v>0</v>
      </c>
      <c r="BR2390">
        <v>0</v>
      </c>
      <c r="BS2390">
        <v>0</v>
      </c>
      <c r="BT2390">
        <v>0</v>
      </c>
      <c r="BU2390">
        <v>0</v>
      </c>
      <c r="BV2390">
        <v>0</v>
      </c>
      <c r="BW2390" t="s">
        <v>0</v>
      </c>
      <c r="BX2390">
        <v>0</v>
      </c>
      <c r="BY2390">
        <v>0</v>
      </c>
      <c r="BZ2390">
        <v>0</v>
      </c>
      <c r="CA2390">
        <v>0</v>
      </c>
      <c r="CB2390" t="s">
        <v>145</v>
      </c>
    </row>
    <row r="2391" spans="67:80" x14ac:dyDescent="0.25">
      <c r="BO2391">
        <v>0</v>
      </c>
      <c r="BP2391">
        <v>0</v>
      </c>
      <c r="BQ2391">
        <v>0</v>
      </c>
      <c r="BR2391">
        <v>0</v>
      </c>
      <c r="BS2391">
        <v>0</v>
      </c>
      <c r="BT2391">
        <v>0</v>
      </c>
      <c r="BU2391">
        <v>0</v>
      </c>
      <c r="BV2391">
        <v>0</v>
      </c>
      <c r="BW2391" t="s">
        <v>0</v>
      </c>
      <c r="BX2391">
        <v>0</v>
      </c>
      <c r="BY2391">
        <v>0</v>
      </c>
      <c r="BZ2391">
        <v>0</v>
      </c>
      <c r="CA2391">
        <v>0</v>
      </c>
      <c r="CB2391" t="s">
        <v>145</v>
      </c>
    </row>
    <row r="2392" spans="67:80" x14ac:dyDescent="0.25">
      <c r="BO2392">
        <v>0</v>
      </c>
      <c r="BP2392">
        <v>0</v>
      </c>
      <c r="BQ2392">
        <v>0</v>
      </c>
      <c r="BR2392">
        <v>0</v>
      </c>
      <c r="BS2392">
        <v>0</v>
      </c>
      <c r="BT2392">
        <v>0</v>
      </c>
      <c r="BU2392">
        <v>0</v>
      </c>
      <c r="BV2392">
        <v>0</v>
      </c>
      <c r="BW2392" t="s">
        <v>0</v>
      </c>
      <c r="BX2392">
        <v>0</v>
      </c>
      <c r="BY2392">
        <v>0</v>
      </c>
      <c r="BZ2392">
        <v>0</v>
      </c>
      <c r="CA2392">
        <v>0</v>
      </c>
      <c r="CB2392" t="s">
        <v>145</v>
      </c>
    </row>
    <row r="2393" spans="67:80" x14ac:dyDescent="0.25">
      <c r="BO2393">
        <v>0</v>
      </c>
      <c r="BP2393">
        <v>0</v>
      </c>
      <c r="BQ2393">
        <v>0</v>
      </c>
      <c r="BR2393">
        <v>0</v>
      </c>
      <c r="BS2393">
        <v>0</v>
      </c>
      <c r="BT2393">
        <v>0</v>
      </c>
      <c r="BU2393">
        <v>0</v>
      </c>
      <c r="BV2393">
        <v>0</v>
      </c>
      <c r="BW2393" t="s">
        <v>0</v>
      </c>
      <c r="BX2393">
        <v>0</v>
      </c>
      <c r="BY2393">
        <v>0</v>
      </c>
      <c r="BZ2393">
        <v>0</v>
      </c>
      <c r="CA2393">
        <v>0</v>
      </c>
      <c r="CB2393" t="s">
        <v>145</v>
      </c>
    </row>
    <row r="2394" spans="67:80" x14ac:dyDescent="0.25">
      <c r="BO2394">
        <v>0</v>
      </c>
      <c r="BP2394">
        <v>0</v>
      </c>
      <c r="BQ2394">
        <v>0</v>
      </c>
      <c r="BR2394">
        <v>0</v>
      </c>
      <c r="BS2394">
        <v>0</v>
      </c>
      <c r="BT2394">
        <v>0</v>
      </c>
      <c r="BU2394">
        <v>0</v>
      </c>
      <c r="BV2394">
        <v>0</v>
      </c>
      <c r="BW2394" t="s">
        <v>0</v>
      </c>
      <c r="BX2394">
        <v>0</v>
      </c>
      <c r="BY2394">
        <v>0</v>
      </c>
      <c r="BZ2394">
        <v>0</v>
      </c>
      <c r="CA2394">
        <v>0</v>
      </c>
      <c r="CB2394" t="s">
        <v>145</v>
      </c>
    </row>
    <row r="2395" spans="67:80" x14ac:dyDescent="0.25">
      <c r="BO2395">
        <v>0</v>
      </c>
      <c r="BP2395">
        <v>0</v>
      </c>
      <c r="BQ2395">
        <v>0</v>
      </c>
      <c r="BR2395">
        <v>0</v>
      </c>
      <c r="BS2395">
        <v>0</v>
      </c>
      <c r="BT2395">
        <v>0</v>
      </c>
      <c r="BU2395">
        <v>0</v>
      </c>
      <c r="BV2395">
        <v>0</v>
      </c>
      <c r="BW2395" t="s">
        <v>0</v>
      </c>
      <c r="BX2395">
        <v>0</v>
      </c>
      <c r="BY2395">
        <v>0</v>
      </c>
      <c r="BZ2395">
        <v>0</v>
      </c>
      <c r="CA2395">
        <v>0</v>
      </c>
      <c r="CB2395" t="s">
        <v>145</v>
      </c>
    </row>
    <row r="2396" spans="67:80" x14ac:dyDescent="0.25">
      <c r="BO2396">
        <v>0</v>
      </c>
      <c r="BP2396">
        <v>0</v>
      </c>
      <c r="BQ2396">
        <v>0</v>
      </c>
      <c r="BR2396">
        <v>0</v>
      </c>
      <c r="BS2396">
        <v>0</v>
      </c>
      <c r="BT2396">
        <v>0</v>
      </c>
      <c r="BU2396">
        <v>0</v>
      </c>
      <c r="BV2396">
        <v>0</v>
      </c>
      <c r="BW2396" t="s">
        <v>0</v>
      </c>
      <c r="BX2396">
        <v>0</v>
      </c>
      <c r="BY2396">
        <v>0</v>
      </c>
      <c r="BZ2396">
        <v>0</v>
      </c>
      <c r="CA2396">
        <v>0</v>
      </c>
      <c r="CB2396" t="s">
        <v>145</v>
      </c>
    </row>
    <row r="2397" spans="67:80" x14ac:dyDescent="0.25">
      <c r="BO2397">
        <v>0</v>
      </c>
      <c r="BP2397">
        <v>0</v>
      </c>
      <c r="BQ2397">
        <v>0</v>
      </c>
      <c r="BR2397">
        <v>0</v>
      </c>
      <c r="BS2397">
        <v>0</v>
      </c>
      <c r="BT2397">
        <v>0</v>
      </c>
      <c r="BU2397">
        <v>0</v>
      </c>
      <c r="BV2397">
        <v>0</v>
      </c>
      <c r="BW2397" t="s">
        <v>0</v>
      </c>
      <c r="BX2397">
        <v>0</v>
      </c>
      <c r="BY2397">
        <v>0</v>
      </c>
      <c r="BZ2397">
        <v>0</v>
      </c>
      <c r="CA2397">
        <v>0</v>
      </c>
      <c r="CB2397" t="s">
        <v>145</v>
      </c>
    </row>
    <row r="2398" spans="67:80" x14ac:dyDescent="0.25">
      <c r="BO2398">
        <v>0</v>
      </c>
      <c r="BP2398">
        <v>0</v>
      </c>
      <c r="BQ2398">
        <v>0</v>
      </c>
      <c r="BR2398">
        <v>0</v>
      </c>
      <c r="BS2398">
        <v>0</v>
      </c>
      <c r="BT2398">
        <v>0</v>
      </c>
      <c r="BU2398">
        <v>0</v>
      </c>
      <c r="BV2398">
        <v>0</v>
      </c>
      <c r="BW2398" t="s">
        <v>0</v>
      </c>
      <c r="BX2398">
        <v>0</v>
      </c>
      <c r="BY2398">
        <v>0</v>
      </c>
      <c r="BZ2398">
        <v>0</v>
      </c>
      <c r="CA2398">
        <v>0</v>
      </c>
      <c r="CB2398" t="s">
        <v>145</v>
      </c>
    </row>
    <row r="2399" spans="67:80" x14ac:dyDescent="0.25">
      <c r="BO2399">
        <v>0</v>
      </c>
      <c r="BP2399">
        <v>0</v>
      </c>
      <c r="BQ2399">
        <v>0</v>
      </c>
      <c r="BR2399">
        <v>0</v>
      </c>
      <c r="BS2399">
        <v>0</v>
      </c>
      <c r="BT2399">
        <v>0</v>
      </c>
      <c r="BU2399">
        <v>0</v>
      </c>
      <c r="BV2399">
        <v>0</v>
      </c>
      <c r="BW2399" t="s">
        <v>0</v>
      </c>
      <c r="BX2399">
        <v>0</v>
      </c>
      <c r="BY2399">
        <v>0</v>
      </c>
      <c r="BZ2399">
        <v>0</v>
      </c>
      <c r="CA2399">
        <v>0</v>
      </c>
      <c r="CB2399" t="s">
        <v>145</v>
      </c>
    </row>
    <row r="2400" spans="67:80" x14ac:dyDescent="0.25">
      <c r="BO2400">
        <v>0</v>
      </c>
      <c r="BP2400">
        <v>0</v>
      </c>
      <c r="BQ2400">
        <v>0</v>
      </c>
      <c r="BR2400">
        <v>0</v>
      </c>
      <c r="BS2400">
        <v>0</v>
      </c>
      <c r="BT2400">
        <v>0</v>
      </c>
      <c r="BU2400">
        <v>0</v>
      </c>
      <c r="BV2400">
        <v>0</v>
      </c>
      <c r="BW2400" t="s">
        <v>0</v>
      </c>
      <c r="BX2400">
        <v>0</v>
      </c>
      <c r="BY2400">
        <v>0</v>
      </c>
      <c r="BZ2400">
        <v>0</v>
      </c>
      <c r="CA2400">
        <v>0</v>
      </c>
      <c r="CB2400" t="s">
        <v>145</v>
      </c>
    </row>
    <row r="2401" spans="1:80" x14ac:dyDescent="0.25">
      <c r="BO2401">
        <v>0</v>
      </c>
      <c r="BP2401">
        <v>0</v>
      </c>
      <c r="BQ2401">
        <v>0</v>
      </c>
      <c r="BR2401">
        <v>0</v>
      </c>
      <c r="BS2401">
        <v>0</v>
      </c>
      <c r="BT2401">
        <v>0</v>
      </c>
      <c r="BU2401">
        <v>0</v>
      </c>
      <c r="BV2401">
        <v>0</v>
      </c>
      <c r="BW2401" t="s">
        <v>0</v>
      </c>
      <c r="BX2401">
        <v>0</v>
      </c>
      <c r="BY2401">
        <v>0</v>
      </c>
      <c r="BZ2401">
        <v>0</v>
      </c>
      <c r="CA2401">
        <v>0</v>
      </c>
      <c r="CB2401" t="s">
        <v>145</v>
      </c>
    </row>
    <row r="2402" spans="1:80" x14ac:dyDescent="0.25">
      <c r="BO2402">
        <v>0</v>
      </c>
      <c r="BP2402">
        <v>0</v>
      </c>
      <c r="BQ2402">
        <v>0</v>
      </c>
      <c r="BR2402">
        <v>0</v>
      </c>
      <c r="BS2402">
        <v>0</v>
      </c>
      <c r="BT2402">
        <v>0</v>
      </c>
      <c r="BU2402">
        <v>0</v>
      </c>
      <c r="BV2402">
        <v>0</v>
      </c>
      <c r="BW2402" t="s">
        <v>0</v>
      </c>
      <c r="BX2402">
        <v>0</v>
      </c>
      <c r="BY2402">
        <v>0</v>
      </c>
      <c r="BZ2402">
        <v>0</v>
      </c>
      <c r="CA2402">
        <v>0</v>
      </c>
      <c r="CB2402" t="s">
        <v>145</v>
      </c>
    </row>
    <row r="2403" spans="1:80" x14ac:dyDescent="0.25">
      <c r="BO2403">
        <v>0</v>
      </c>
      <c r="BP2403">
        <v>0</v>
      </c>
      <c r="BQ2403">
        <v>0</v>
      </c>
      <c r="BR2403">
        <v>0</v>
      </c>
      <c r="BS2403">
        <v>0</v>
      </c>
      <c r="BT2403">
        <v>0</v>
      </c>
      <c r="BU2403">
        <v>0</v>
      </c>
      <c r="BV2403">
        <v>0</v>
      </c>
      <c r="BW2403" t="s">
        <v>0</v>
      </c>
      <c r="BX2403">
        <v>0</v>
      </c>
      <c r="BY2403">
        <v>0</v>
      </c>
      <c r="BZ2403">
        <v>0</v>
      </c>
      <c r="CA2403">
        <v>0</v>
      </c>
      <c r="CB2403" t="s">
        <v>145</v>
      </c>
    </row>
    <row r="2404" spans="1:80" x14ac:dyDescent="0.25">
      <c r="BO2404">
        <v>0</v>
      </c>
      <c r="BP2404">
        <v>0</v>
      </c>
      <c r="BQ2404">
        <v>0</v>
      </c>
      <c r="BR2404">
        <v>0</v>
      </c>
      <c r="BS2404">
        <v>0</v>
      </c>
      <c r="BT2404">
        <v>0</v>
      </c>
      <c r="BU2404">
        <v>0</v>
      </c>
      <c r="BV2404">
        <v>0</v>
      </c>
      <c r="BW2404" t="s">
        <v>0</v>
      </c>
      <c r="BX2404">
        <v>0</v>
      </c>
      <c r="BY2404">
        <v>0</v>
      </c>
      <c r="BZ2404">
        <v>0</v>
      </c>
      <c r="CA2404">
        <v>0</v>
      </c>
      <c r="CB2404" t="s">
        <v>145</v>
      </c>
    </row>
    <row r="2405" spans="1:80" x14ac:dyDescent="0.25">
      <c r="BO2405">
        <v>0</v>
      </c>
      <c r="BP2405">
        <v>0</v>
      </c>
      <c r="BQ2405">
        <v>0</v>
      </c>
      <c r="BR2405">
        <v>0</v>
      </c>
      <c r="BS2405">
        <v>0</v>
      </c>
      <c r="BT2405">
        <v>0</v>
      </c>
      <c r="BU2405">
        <v>0</v>
      </c>
      <c r="BV2405">
        <v>0</v>
      </c>
      <c r="BW2405" t="s">
        <v>0</v>
      </c>
      <c r="BX2405">
        <v>0</v>
      </c>
      <c r="BY2405">
        <v>0</v>
      </c>
      <c r="BZ2405">
        <v>0</v>
      </c>
      <c r="CA2405">
        <v>0</v>
      </c>
      <c r="CB2405" t="s">
        <v>145</v>
      </c>
    </row>
    <row r="2406" spans="1:80" x14ac:dyDescent="0.25">
      <c r="BO2406">
        <v>0</v>
      </c>
      <c r="BP2406">
        <v>0</v>
      </c>
      <c r="BQ2406">
        <v>0</v>
      </c>
      <c r="BR2406">
        <v>0</v>
      </c>
      <c r="BS2406">
        <v>0</v>
      </c>
      <c r="BT2406">
        <v>0</v>
      </c>
      <c r="BU2406">
        <v>0</v>
      </c>
      <c r="BV2406">
        <v>0</v>
      </c>
      <c r="BW2406" t="s">
        <v>0</v>
      </c>
      <c r="BX2406">
        <v>0</v>
      </c>
      <c r="BY2406">
        <v>0</v>
      </c>
      <c r="BZ2406">
        <v>0</v>
      </c>
      <c r="CA2406">
        <v>0</v>
      </c>
      <c r="CB2406" t="s">
        <v>145</v>
      </c>
    </row>
    <row r="2407" spans="1:80" x14ac:dyDescent="0.25">
      <c r="BO2407">
        <v>0</v>
      </c>
      <c r="BP2407">
        <v>0</v>
      </c>
      <c r="BQ2407">
        <v>0</v>
      </c>
      <c r="BR2407">
        <v>0</v>
      </c>
      <c r="BS2407">
        <v>0</v>
      </c>
      <c r="BT2407">
        <v>0</v>
      </c>
      <c r="BU2407">
        <v>0</v>
      </c>
      <c r="BV2407">
        <v>0</v>
      </c>
      <c r="BW2407" t="s">
        <v>0</v>
      </c>
      <c r="BX2407">
        <v>0</v>
      </c>
      <c r="BY2407">
        <v>0</v>
      </c>
      <c r="BZ2407">
        <v>0</v>
      </c>
      <c r="CA2407">
        <v>0</v>
      </c>
      <c r="CB2407" t="s">
        <v>145</v>
      </c>
    </row>
    <row r="2408" spans="1:80" x14ac:dyDescent="0.25">
      <c r="BO2408">
        <v>0</v>
      </c>
      <c r="BP2408">
        <v>0</v>
      </c>
      <c r="BQ2408">
        <v>0</v>
      </c>
      <c r="BR2408">
        <v>0</v>
      </c>
      <c r="BS2408">
        <v>0</v>
      </c>
      <c r="BT2408">
        <v>0</v>
      </c>
      <c r="BU2408">
        <v>0</v>
      </c>
      <c r="BV2408">
        <v>0</v>
      </c>
      <c r="BW2408" t="s">
        <v>0</v>
      </c>
      <c r="BX2408">
        <v>0</v>
      </c>
      <c r="BY2408">
        <v>0</v>
      </c>
      <c r="BZ2408">
        <v>0</v>
      </c>
      <c r="CA2408">
        <v>0</v>
      </c>
      <c r="CB2408" t="s">
        <v>145</v>
      </c>
    </row>
    <row r="2409" spans="1:80" x14ac:dyDescent="0.25">
      <c r="BO2409">
        <v>0</v>
      </c>
      <c r="BP2409">
        <v>0</v>
      </c>
      <c r="BQ2409">
        <v>0</v>
      </c>
      <c r="BR2409">
        <v>0</v>
      </c>
      <c r="BS2409">
        <v>0</v>
      </c>
      <c r="BT2409">
        <v>0</v>
      </c>
      <c r="BU2409">
        <v>0</v>
      </c>
      <c r="BV2409">
        <v>0</v>
      </c>
      <c r="BW2409" t="s">
        <v>0</v>
      </c>
      <c r="BX2409">
        <v>0</v>
      </c>
      <c r="BY2409">
        <v>0</v>
      </c>
      <c r="BZ2409">
        <v>0</v>
      </c>
      <c r="CA2409">
        <v>0</v>
      </c>
      <c r="CB2409" t="s">
        <v>145</v>
      </c>
    </row>
    <row r="2410" spans="1:80" x14ac:dyDescent="0.25">
      <c r="BO2410">
        <v>0</v>
      </c>
      <c r="BP2410">
        <v>0</v>
      </c>
      <c r="BQ2410">
        <v>0</v>
      </c>
      <c r="BR2410">
        <v>0</v>
      </c>
      <c r="BS2410">
        <v>0</v>
      </c>
      <c r="BT2410">
        <v>0</v>
      </c>
      <c r="BU2410">
        <v>0</v>
      </c>
      <c r="BV2410">
        <v>0</v>
      </c>
      <c r="BW2410" t="s">
        <v>0</v>
      </c>
      <c r="BX2410">
        <v>0</v>
      </c>
      <c r="BY2410">
        <v>0</v>
      </c>
      <c r="BZ2410">
        <v>0</v>
      </c>
      <c r="CA2410">
        <v>0</v>
      </c>
      <c r="CB2410" t="s">
        <v>145</v>
      </c>
    </row>
    <row r="2411" spans="1:80" x14ac:dyDescent="0.25">
      <c r="A2411" s="5"/>
      <c r="BO2411">
        <v>0</v>
      </c>
      <c r="BP2411">
        <v>0</v>
      </c>
      <c r="BQ2411">
        <v>0</v>
      </c>
      <c r="BR2411">
        <v>0</v>
      </c>
      <c r="BS2411">
        <v>0</v>
      </c>
      <c r="BT2411">
        <v>0</v>
      </c>
      <c r="BU2411">
        <v>0</v>
      </c>
      <c r="BV2411">
        <v>0</v>
      </c>
      <c r="BW2411" t="s">
        <v>0</v>
      </c>
      <c r="BX2411">
        <v>0</v>
      </c>
      <c r="BY2411">
        <v>0</v>
      </c>
      <c r="BZ2411">
        <v>0</v>
      </c>
      <c r="CA2411">
        <v>0</v>
      </c>
      <c r="CB2411" t="s">
        <v>145</v>
      </c>
    </row>
    <row r="2412" spans="1:80" x14ac:dyDescent="0.25">
      <c r="BO2412">
        <v>0</v>
      </c>
      <c r="BP2412">
        <v>0</v>
      </c>
      <c r="BQ2412">
        <v>0</v>
      </c>
      <c r="BR2412">
        <v>0</v>
      </c>
      <c r="BS2412">
        <v>0</v>
      </c>
      <c r="BT2412">
        <v>0</v>
      </c>
      <c r="BU2412">
        <v>0</v>
      </c>
      <c r="BV2412">
        <v>0</v>
      </c>
      <c r="BW2412" t="s">
        <v>0</v>
      </c>
      <c r="BX2412">
        <v>0</v>
      </c>
      <c r="BY2412">
        <v>0</v>
      </c>
      <c r="BZ2412">
        <v>0</v>
      </c>
      <c r="CA2412">
        <v>0</v>
      </c>
      <c r="CB2412" t="s">
        <v>145</v>
      </c>
    </row>
    <row r="2413" spans="1:80" x14ac:dyDescent="0.25">
      <c r="BO2413">
        <v>0</v>
      </c>
      <c r="BP2413">
        <v>0</v>
      </c>
      <c r="BQ2413">
        <v>0</v>
      </c>
      <c r="BR2413">
        <v>0</v>
      </c>
      <c r="BS2413">
        <v>0</v>
      </c>
      <c r="BT2413">
        <v>0</v>
      </c>
      <c r="BU2413">
        <v>0</v>
      </c>
      <c r="BV2413">
        <v>0</v>
      </c>
      <c r="BW2413" t="s">
        <v>0</v>
      </c>
      <c r="BX2413">
        <v>0</v>
      </c>
      <c r="BY2413">
        <v>0</v>
      </c>
      <c r="BZ2413">
        <v>0</v>
      </c>
      <c r="CA2413">
        <v>0</v>
      </c>
      <c r="CB2413" t="s">
        <v>145</v>
      </c>
    </row>
    <row r="2414" spans="1:80" x14ac:dyDescent="0.25">
      <c r="BO2414">
        <v>0</v>
      </c>
      <c r="BP2414">
        <v>0</v>
      </c>
      <c r="BQ2414">
        <v>0</v>
      </c>
      <c r="BR2414">
        <v>0</v>
      </c>
      <c r="BS2414">
        <v>0</v>
      </c>
      <c r="BT2414">
        <v>0</v>
      </c>
      <c r="BU2414">
        <v>0</v>
      </c>
      <c r="BV2414">
        <v>0</v>
      </c>
      <c r="BW2414" t="s">
        <v>0</v>
      </c>
      <c r="BX2414">
        <v>0</v>
      </c>
      <c r="BY2414">
        <v>0</v>
      </c>
      <c r="BZ2414">
        <v>0</v>
      </c>
      <c r="CA2414">
        <v>0</v>
      </c>
      <c r="CB2414" t="s">
        <v>145</v>
      </c>
    </row>
    <row r="2415" spans="1:80" x14ac:dyDescent="0.25">
      <c r="BO2415">
        <v>0</v>
      </c>
      <c r="BP2415">
        <v>0</v>
      </c>
      <c r="BQ2415">
        <v>0</v>
      </c>
      <c r="BR2415">
        <v>0</v>
      </c>
      <c r="BS2415">
        <v>0</v>
      </c>
      <c r="BT2415">
        <v>0</v>
      </c>
      <c r="BU2415">
        <v>0</v>
      </c>
      <c r="BV2415">
        <v>0</v>
      </c>
      <c r="BW2415" t="s">
        <v>0</v>
      </c>
      <c r="BX2415">
        <v>0</v>
      </c>
      <c r="BY2415">
        <v>0</v>
      </c>
      <c r="BZ2415">
        <v>0</v>
      </c>
      <c r="CA2415">
        <v>0</v>
      </c>
      <c r="CB2415" t="s">
        <v>145</v>
      </c>
    </row>
    <row r="2416" spans="1:80" x14ac:dyDescent="0.25">
      <c r="BO2416">
        <v>0</v>
      </c>
      <c r="BP2416">
        <v>0</v>
      </c>
      <c r="BQ2416">
        <v>0</v>
      </c>
      <c r="BR2416">
        <v>0</v>
      </c>
      <c r="BS2416">
        <v>0</v>
      </c>
      <c r="BT2416">
        <v>0</v>
      </c>
      <c r="BU2416">
        <v>0</v>
      </c>
      <c r="BV2416">
        <v>0</v>
      </c>
      <c r="BW2416" t="s">
        <v>0</v>
      </c>
      <c r="BX2416">
        <v>0</v>
      </c>
      <c r="BY2416">
        <v>0</v>
      </c>
      <c r="BZ2416">
        <v>0</v>
      </c>
      <c r="CA2416">
        <v>0</v>
      </c>
      <c r="CB2416" t="s">
        <v>145</v>
      </c>
    </row>
    <row r="2417" spans="67:80" x14ac:dyDescent="0.25">
      <c r="BO2417">
        <v>0</v>
      </c>
      <c r="BP2417">
        <v>0</v>
      </c>
      <c r="BQ2417">
        <v>0</v>
      </c>
      <c r="BR2417">
        <v>0</v>
      </c>
      <c r="BS2417">
        <v>0</v>
      </c>
      <c r="BT2417">
        <v>0</v>
      </c>
      <c r="BU2417">
        <v>0</v>
      </c>
      <c r="BV2417">
        <v>0</v>
      </c>
      <c r="BW2417" t="s">
        <v>0</v>
      </c>
      <c r="BX2417">
        <v>0</v>
      </c>
      <c r="BY2417">
        <v>0</v>
      </c>
      <c r="BZ2417">
        <v>0</v>
      </c>
      <c r="CA2417">
        <v>0</v>
      </c>
      <c r="CB2417" t="s">
        <v>145</v>
      </c>
    </row>
    <row r="2418" spans="67:80" x14ac:dyDescent="0.25">
      <c r="BO2418">
        <v>0</v>
      </c>
      <c r="BP2418">
        <v>0</v>
      </c>
      <c r="BQ2418">
        <v>0</v>
      </c>
      <c r="BR2418">
        <v>0</v>
      </c>
      <c r="BS2418">
        <v>0</v>
      </c>
      <c r="BT2418">
        <v>0</v>
      </c>
      <c r="BU2418">
        <v>0</v>
      </c>
      <c r="BV2418">
        <v>0</v>
      </c>
      <c r="BW2418" t="s">
        <v>0</v>
      </c>
      <c r="BX2418">
        <v>0</v>
      </c>
      <c r="BY2418">
        <v>0</v>
      </c>
      <c r="BZ2418">
        <v>0</v>
      </c>
      <c r="CA2418">
        <v>0</v>
      </c>
      <c r="CB2418" t="s">
        <v>145</v>
      </c>
    </row>
    <row r="2419" spans="67:80" x14ac:dyDescent="0.25">
      <c r="BO2419">
        <v>0</v>
      </c>
      <c r="BP2419">
        <v>0</v>
      </c>
      <c r="BQ2419">
        <v>0</v>
      </c>
      <c r="BR2419">
        <v>0</v>
      </c>
      <c r="BS2419">
        <v>0</v>
      </c>
      <c r="BT2419">
        <v>0</v>
      </c>
      <c r="BU2419">
        <v>0</v>
      </c>
      <c r="BV2419">
        <v>0</v>
      </c>
      <c r="BW2419" t="s">
        <v>0</v>
      </c>
      <c r="BX2419">
        <v>0</v>
      </c>
      <c r="BY2419">
        <v>0</v>
      </c>
      <c r="BZ2419">
        <v>0</v>
      </c>
      <c r="CA2419">
        <v>0</v>
      </c>
      <c r="CB2419" t="s">
        <v>145</v>
      </c>
    </row>
    <row r="2420" spans="67:80" x14ac:dyDescent="0.25">
      <c r="BO2420">
        <v>0</v>
      </c>
      <c r="BP2420">
        <v>0</v>
      </c>
      <c r="BQ2420">
        <v>0</v>
      </c>
      <c r="BR2420">
        <v>0</v>
      </c>
      <c r="BS2420">
        <v>0</v>
      </c>
      <c r="BT2420">
        <v>0</v>
      </c>
      <c r="BU2420">
        <v>0</v>
      </c>
      <c r="BV2420">
        <v>0</v>
      </c>
      <c r="BW2420" t="s">
        <v>0</v>
      </c>
      <c r="BX2420">
        <v>0</v>
      </c>
      <c r="BY2420">
        <v>0</v>
      </c>
      <c r="BZ2420">
        <v>0</v>
      </c>
      <c r="CA2420">
        <v>0</v>
      </c>
      <c r="CB2420" t="s">
        <v>145</v>
      </c>
    </row>
    <row r="2421" spans="67:80" x14ac:dyDescent="0.25">
      <c r="BO2421">
        <v>0</v>
      </c>
      <c r="BP2421">
        <v>0</v>
      </c>
      <c r="BQ2421">
        <v>0</v>
      </c>
      <c r="BR2421">
        <v>0</v>
      </c>
      <c r="BS2421">
        <v>0</v>
      </c>
      <c r="BT2421">
        <v>0</v>
      </c>
      <c r="BU2421">
        <v>0</v>
      </c>
      <c r="BV2421">
        <v>0</v>
      </c>
      <c r="BW2421" t="s">
        <v>0</v>
      </c>
      <c r="BX2421">
        <v>0</v>
      </c>
      <c r="BY2421">
        <v>0</v>
      </c>
      <c r="BZ2421">
        <v>0</v>
      </c>
      <c r="CA2421">
        <v>0</v>
      </c>
      <c r="CB2421" t="s">
        <v>145</v>
      </c>
    </row>
    <row r="2422" spans="67:80" x14ac:dyDescent="0.25">
      <c r="BO2422">
        <v>0</v>
      </c>
      <c r="BP2422">
        <v>0</v>
      </c>
      <c r="BQ2422">
        <v>0</v>
      </c>
      <c r="BR2422">
        <v>0</v>
      </c>
      <c r="BS2422">
        <v>0</v>
      </c>
      <c r="BT2422">
        <v>0</v>
      </c>
      <c r="BU2422">
        <v>0</v>
      </c>
      <c r="BV2422">
        <v>0</v>
      </c>
      <c r="BW2422" t="s">
        <v>0</v>
      </c>
      <c r="BX2422">
        <v>0</v>
      </c>
      <c r="BY2422">
        <v>0</v>
      </c>
      <c r="BZ2422">
        <v>0</v>
      </c>
      <c r="CA2422">
        <v>0</v>
      </c>
      <c r="CB2422" t="s">
        <v>145</v>
      </c>
    </row>
    <row r="2423" spans="67:80" x14ac:dyDescent="0.25">
      <c r="BO2423">
        <v>0</v>
      </c>
      <c r="BP2423">
        <v>0</v>
      </c>
      <c r="BQ2423">
        <v>0</v>
      </c>
      <c r="BR2423">
        <v>0</v>
      </c>
      <c r="BS2423">
        <v>0</v>
      </c>
      <c r="BT2423">
        <v>0</v>
      </c>
      <c r="BU2423">
        <v>0</v>
      </c>
      <c r="BV2423">
        <v>0</v>
      </c>
      <c r="BW2423" t="s">
        <v>0</v>
      </c>
      <c r="BX2423">
        <v>0</v>
      </c>
      <c r="BY2423">
        <v>0</v>
      </c>
      <c r="BZ2423">
        <v>0</v>
      </c>
      <c r="CA2423">
        <v>0</v>
      </c>
      <c r="CB2423" t="s">
        <v>145</v>
      </c>
    </row>
    <row r="2424" spans="67:80" x14ac:dyDescent="0.25">
      <c r="BO2424">
        <v>0</v>
      </c>
      <c r="BP2424">
        <v>0</v>
      </c>
      <c r="BQ2424">
        <v>0</v>
      </c>
      <c r="BR2424">
        <v>0</v>
      </c>
      <c r="BS2424">
        <v>0</v>
      </c>
      <c r="BT2424">
        <v>0</v>
      </c>
      <c r="BU2424">
        <v>0</v>
      </c>
      <c r="BV2424">
        <v>0</v>
      </c>
      <c r="BW2424" t="s">
        <v>0</v>
      </c>
      <c r="BX2424">
        <v>0</v>
      </c>
      <c r="BY2424">
        <v>0</v>
      </c>
      <c r="BZ2424">
        <v>0</v>
      </c>
      <c r="CA2424">
        <v>0</v>
      </c>
      <c r="CB2424" t="s">
        <v>145</v>
      </c>
    </row>
    <row r="2425" spans="67:80" x14ac:dyDescent="0.25">
      <c r="BO2425">
        <v>0</v>
      </c>
      <c r="BP2425">
        <v>0</v>
      </c>
      <c r="BQ2425">
        <v>0</v>
      </c>
      <c r="BR2425">
        <v>0</v>
      </c>
      <c r="BS2425">
        <v>0</v>
      </c>
      <c r="BT2425">
        <v>0</v>
      </c>
      <c r="BU2425">
        <v>0</v>
      </c>
      <c r="BV2425">
        <v>0</v>
      </c>
      <c r="BW2425" t="s">
        <v>0</v>
      </c>
      <c r="BX2425">
        <v>0</v>
      </c>
      <c r="BY2425">
        <v>0</v>
      </c>
      <c r="BZ2425">
        <v>0</v>
      </c>
      <c r="CA2425">
        <v>0</v>
      </c>
      <c r="CB2425" t="s">
        <v>145</v>
      </c>
    </row>
    <row r="2426" spans="67:80" x14ac:dyDescent="0.25">
      <c r="BO2426">
        <v>0</v>
      </c>
      <c r="BP2426">
        <v>0</v>
      </c>
      <c r="BQ2426">
        <v>0</v>
      </c>
      <c r="BR2426">
        <v>0</v>
      </c>
      <c r="BS2426">
        <v>0</v>
      </c>
      <c r="BT2426">
        <v>0</v>
      </c>
      <c r="BU2426">
        <v>0</v>
      </c>
      <c r="BV2426">
        <v>0</v>
      </c>
      <c r="BW2426" t="s">
        <v>0</v>
      </c>
      <c r="BX2426">
        <v>0</v>
      </c>
      <c r="BY2426">
        <v>0</v>
      </c>
      <c r="BZ2426">
        <v>0</v>
      </c>
      <c r="CA2426">
        <v>0</v>
      </c>
      <c r="CB2426" t="s">
        <v>145</v>
      </c>
    </row>
    <row r="2427" spans="67:80" x14ac:dyDescent="0.25">
      <c r="BO2427">
        <v>0</v>
      </c>
      <c r="BP2427">
        <v>0</v>
      </c>
      <c r="BQ2427">
        <v>0</v>
      </c>
      <c r="BR2427">
        <v>0</v>
      </c>
      <c r="BS2427">
        <v>0</v>
      </c>
      <c r="BT2427">
        <v>0</v>
      </c>
      <c r="BU2427">
        <v>0</v>
      </c>
      <c r="BV2427">
        <v>0</v>
      </c>
      <c r="BW2427" t="s">
        <v>0</v>
      </c>
      <c r="BX2427">
        <v>0</v>
      </c>
      <c r="BY2427">
        <v>0</v>
      </c>
      <c r="BZ2427">
        <v>0</v>
      </c>
      <c r="CA2427">
        <v>0</v>
      </c>
      <c r="CB2427" t="s">
        <v>145</v>
      </c>
    </row>
    <row r="2428" spans="67:80" x14ac:dyDescent="0.25">
      <c r="BO2428">
        <v>0</v>
      </c>
      <c r="BP2428">
        <v>0</v>
      </c>
      <c r="BQ2428">
        <v>0</v>
      </c>
      <c r="BR2428">
        <v>0</v>
      </c>
      <c r="BS2428">
        <v>0</v>
      </c>
      <c r="BT2428">
        <v>0</v>
      </c>
      <c r="BU2428">
        <v>0</v>
      </c>
      <c r="BV2428">
        <v>0</v>
      </c>
      <c r="BW2428" t="s">
        <v>0</v>
      </c>
      <c r="BX2428">
        <v>0</v>
      </c>
      <c r="BY2428">
        <v>0</v>
      </c>
      <c r="BZ2428">
        <v>0</v>
      </c>
      <c r="CA2428">
        <v>0</v>
      </c>
      <c r="CB2428" t="s">
        <v>145</v>
      </c>
    </row>
    <row r="2429" spans="67:80" x14ac:dyDescent="0.25">
      <c r="BO2429">
        <v>0</v>
      </c>
      <c r="BP2429">
        <v>0</v>
      </c>
      <c r="BQ2429">
        <v>0</v>
      </c>
      <c r="BR2429">
        <v>0</v>
      </c>
      <c r="BS2429">
        <v>0</v>
      </c>
      <c r="BT2429">
        <v>0</v>
      </c>
      <c r="BU2429">
        <v>0</v>
      </c>
      <c r="BV2429">
        <v>0</v>
      </c>
      <c r="BW2429" t="s">
        <v>0</v>
      </c>
      <c r="BX2429">
        <v>0</v>
      </c>
      <c r="BY2429">
        <v>0</v>
      </c>
      <c r="BZ2429">
        <v>0</v>
      </c>
      <c r="CA2429">
        <v>0</v>
      </c>
      <c r="CB2429" t="s">
        <v>145</v>
      </c>
    </row>
    <row r="2430" spans="67:80" x14ac:dyDescent="0.25">
      <c r="BO2430">
        <v>0</v>
      </c>
      <c r="BP2430">
        <v>0</v>
      </c>
      <c r="BQ2430">
        <v>0</v>
      </c>
      <c r="BR2430">
        <v>0</v>
      </c>
      <c r="BS2430">
        <v>0</v>
      </c>
      <c r="BT2430">
        <v>0</v>
      </c>
      <c r="BU2430">
        <v>0</v>
      </c>
      <c r="BV2430">
        <v>0</v>
      </c>
      <c r="BW2430" t="s">
        <v>0</v>
      </c>
      <c r="BX2430">
        <v>0</v>
      </c>
      <c r="BY2430">
        <v>0</v>
      </c>
      <c r="BZ2430">
        <v>0</v>
      </c>
      <c r="CA2430">
        <v>0</v>
      </c>
      <c r="CB2430" t="s">
        <v>145</v>
      </c>
    </row>
    <row r="2431" spans="67:80" x14ac:dyDescent="0.25">
      <c r="BO2431">
        <v>0</v>
      </c>
      <c r="BP2431">
        <v>0</v>
      </c>
      <c r="BQ2431">
        <v>0</v>
      </c>
      <c r="BR2431">
        <v>0</v>
      </c>
      <c r="BS2431">
        <v>0</v>
      </c>
      <c r="BT2431">
        <v>0</v>
      </c>
      <c r="BU2431">
        <v>0</v>
      </c>
      <c r="BV2431">
        <v>0</v>
      </c>
      <c r="BW2431" t="s">
        <v>0</v>
      </c>
      <c r="BX2431">
        <v>0</v>
      </c>
      <c r="BY2431">
        <v>0</v>
      </c>
      <c r="BZ2431">
        <v>0</v>
      </c>
      <c r="CA2431">
        <v>0</v>
      </c>
      <c r="CB2431" t="s">
        <v>145</v>
      </c>
    </row>
    <row r="2432" spans="67:80" x14ac:dyDescent="0.25">
      <c r="BO2432">
        <v>0</v>
      </c>
      <c r="BP2432">
        <v>0</v>
      </c>
      <c r="BQ2432">
        <v>0</v>
      </c>
      <c r="BR2432">
        <v>0</v>
      </c>
      <c r="BS2432">
        <v>0</v>
      </c>
      <c r="BT2432">
        <v>0</v>
      </c>
      <c r="BU2432">
        <v>0</v>
      </c>
      <c r="BV2432">
        <v>0</v>
      </c>
      <c r="BW2432" t="s">
        <v>0</v>
      </c>
      <c r="BX2432">
        <v>0</v>
      </c>
      <c r="BY2432">
        <v>0</v>
      </c>
      <c r="BZ2432">
        <v>0</v>
      </c>
      <c r="CA2432">
        <v>0</v>
      </c>
      <c r="CB2432" t="s">
        <v>145</v>
      </c>
    </row>
    <row r="2433" spans="67:80" x14ac:dyDescent="0.25">
      <c r="BO2433">
        <v>0</v>
      </c>
      <c r="BP2433">
        <v>0</v>
      </c>
      <c r="BQ2433">
        <v>0</v>
      </c>
      <c r="BR2433">
        <v>0</v>
      </c>
      <c r="BS2433">
        <v>0</v>
      </c>
      <c r="BT2433">
        <v>0</v>
      </c>
      <c r="BU2433">
        <v>0</v>
      </c>
      <c r="BV2433">
        <v>0</v>
      </c>
      <c r="BW2433" t="s">
        <v>0</v>
      </c>
      <c r="BX2433">
        <v>0</v>
      </c>
      <c r="BY2433">
        <v>0</v>
      </c>
      <c r="BZ2433">
        <v>0</v>
      </c>
      <c r="CA2433">
        <v>0</v>
      </c>
      <c r="CB2433" t="s">
        <v>145</v>
      </c>
    </row>
    <row r="2434" spans="67:80" x14ac:dyDescent="0.25">
      <c r="BO2434">
        <v>0</v>
      </c>
      <c r="BP2434">
        <v>0</v>
      </c>
      <c r="BQ2434">
        <v>0</v>
      </c>
      <c r="BR2434">
        <v>0</v>
      </c>
      <c r="BS2434">
        <v>0</v>
      </c>
      <c r="BT2434">
        <v>0</v>
      </c>
      <c r="BU2434">
        <v>0</v>
      </c>
      <c r="BV2434">
        <v>0</v>
      </c>
      <c r="BW2434" t="s">
        <v>0</v>
      </c>
      <c r="BX2434">
        <v>0</v>
      </c>
      <c r="BY2434">
        <v>0</v>
      </c>
      <c r="BZ2434">
        <v>0</v>
      </c>
      <c r="CA2434">
        <v>0</v>
      </c>
      <c r="CB2434" t="s">
        <v>145</v>
      </c>
    </row>
    <row r="2435" spans="67:80" x14ac:dyDescent="0.25">
      <c r="BO2435">
        <v>0</v>
      </c>
      <c r="BP2435">
        <v>0</v>
      </c>
      <c r="BQ2435">
        <v>0</v>
      </c>
      <c r="BR2435">
        <v>0</v>
      </c>
      <c r="BS2435">
        <v>0</v>
      </c>
      <c r="BT2435">
        <v>0</v>
      </c>
      <c r="BU2435">
        <v>0</v>
      </c>
      <c r="BV2435">
        <v>0</v>
      </c>
      <c r="BW2435" t="s">
        <v>0</v>
      </c>
      <c r="BX2435">
        <v>0</v>
      </c>
      <c r="BY2435">
        <v>0</v>
      </c>
      <c r="BZ2435">
        <v>0</v>
      </c>
      <c r="CA2435">
        <v>0</v>
      </c>
      <c r="CB2435" t="s">
        <v>145</v>
      </c>
    </row>
    <row r="2436" spans="67:80" x14ac:dyDescent="0.25">
      <c r="BO2436">
        <v>0</v>
      </c>
      <c r="BP2436">
        <v>0</v>
      </c>
      <c r="BQ2436">
        <v>0</v>
      </c>
      <c r="BR2436">
        <v>0</v>
      </c>
      <c r="BS2436">
        <v>0</v>
      </c>
      <c r="BT2436">
        <v>0</v>
      </c>
      <c r="BU2436">
        <v>0</v>
      </c>
      <c r="BV2436">
        <v>0</v>
      </c>
      <c r="BW2436" t="s">
        <v>0</v>
      </c>
      <c r="BX2436">
        <v>0</v>
      </c>
      <c r="BY2436">
        <v>0</v>
      </c>
      <c r="BZ2436">
        <v>0</v>
      </c>
      <c r="CA2436">
        <v>0</v>
      </c>
      <c r="CB2436" t="s">
        <v>145</v>
      </c>
    </row>
    <row r="2437" spans="67:80" x14ac:dyDescent="0.25">
      <c r="BO2437">
        <v>0</v>
      </c>
      <c r="BP2437">
        <v>0</v>
      </c>
      <c r="BQ2437">
        <v>0</v>
      </c>
      <c r="BR2437">
        <v>0</v>
      </c>
      <c r="BS2437">
        <v>0</v>
      </c>
      <c r="BT2437">
        <v>0</v>
      </c>
      <c r="BU2437">
        <v>0</v>
      </c>
      <c r="BV2437">
        <v>0</v>
      </c>
      <c r="BW2437" t="s">
        <v>0</v>
      </c>
      <c r="BX2437">
        <v>0</v>
      </c>
      <c r="BY2437">
        <v>0</v>
      </c>
      <c r="BZ2437">
        <v>0</v>
      </c>
      <c r="CA2437">
        <v>0</v>
      </c>
      <c r="CB2437" t="s">
        <v>145</v>
      </c>
    </row>
    <row r="2438" spans="67:80" x14ac:dyDescent="0.25">
      <c r="BO2438">
        <v>0</v>
      </c>
      <c r="BP2438">
        <v>0</v>
      </c>
      <c r="BQ2438">
        <v>0</v>
      </c>
      <c r="BR2438">
        <v>0</v>
      </c>
      <c r="BS2438">
        <v>0</v>
      </c>
      <c r="BT2438">
        <v>0</v>
      </c>
      <c r="BU2438">
        <v>0</v>
      </c>
      <c r="BV2438">
        <v>0</v>
      </c>
      <c r="BW2438" t="s">
        <v>0</v>
      </c>
      <c r="BX2438">
        <v>0</v>
      </c>
      <c r="BY2438">
        <v>0</v>
      </c>
      <c r="BZ2438">
        <v>0</v>
      </c>
      <c r="CA2438">
        <v>0</v>
      </c>
      <c r="CB2438" t="s">
        <v>145</v>
      </c>
    </row>
    <row r="2439" spans="67:80" x14ac:dyDescent="0.25">
      <c r="BO2439">
        <v>0</v>
      </c>
      <c r="BP2439">
        <v>0</v>
      </c>
      <c r="BQ2439">
        <v>0</v>
      </c>
      <c r="BR2439">
        <v>0</v>
      </c>
      <c r="BS2439">
        <v>0</v>
      </c>
      <c r="BT2439">
        <v>0</v>
      </c>
      <c r="BU2439">
        <v>0</v>
      </c>
      <c r="BV2439">
        <v>0</v>
      </c>
      <c r="BW2439" t="s">
        <v>0</v>
      </c>
      <c r="BX2439">
        <v>0</v>
      </c>
      <c r="BY2439">
        <v>0</v>
      </c>
      <c r="BZ2439">
        <v>0</v>
      </c>
      <c r="CA2439">
        <v>0</v>
      </c>
      <c r="CB2439" t="s">
        <v>145</v>
      </c>
    </row>
    <row r="2440" spans="67:80" x14ac:dyDescent="0.25">
      <c r="BO2440">
        <v>0</v>
      </c>
      <c r="BP2440">
        <v>0</v>
      </c>
      <c r="BQ2440">
        <v>0</v>
      </c>
      <c r="BR2440">
        <v>0</v>
      </c>
      <c r="BS2440">
        <v>0</v>
      </c>
      <c r="BT2440">
        <v>0</v>
      </c>
      <c r="BU2440">
        <v>0</v>
      </c>
      <c r="BV2440">
        <v>0</v>
      </c>
      <c r="BW2440" t="s">
        <v>0</v>
      </c>
      <c r="BX2440">
        <v>0</v>
      </c>
      <c r="BY2440">
        <v>0</v>
      </c>
      <c r="BZ2440">
        <v>0</v>
      </c>
      <c r="CA2440">
        <v>0</v>
      </c>
      <c r="CB2440" t="s">
        <v>145</v>
      </c>
    </row>
    <row r="2441" spans="67:80" x14ac:dyDescent="0.25">
      <c r="BO2441">
        <v>0</v>
      </c>
      <c r="BP2441">
        <v>0</v>
      </c>
      <c r="BQ2441">
        <v>0</v>
      </c>
      <c r="BR2441">
        <v>0</v>
      </c>
      <c r="BS2441">
        <v>0</v>
      </c>
      <c r="BT2441">
        <v>0</v>
      </c>
      <c r="BU2441">
        <v>0</v>
      </c>
      <c r="BV2441">
        <v>0</v>
      </c>
      <c r="BW2441" t="s">
        <v>0</v>
      </c>
      <c r="BX2441">
        <v>0</v>
      </c>
      <c r="BY2441">
        <v>0</v>
      </c>
      <c r="BZ2441">
        <v>0</v>
      </c>
      <c r="CA2441">
        <v>0</v>
      </c>
      <c r="CB2441" t="s">
        <v>145</v>
      </c>
    </row>
    <row r="2442" spans="67:80" x14ac:dyDescent="0.25">
      <c r="BO2442">
        <v>0</v>
      </c>
      <c r="BP2442">
        <v>0</v>
      </c>
      <c r="BQ2442">
        <v>0</v>
      </c>
      <c r="BR2442">
        <v>0</v>
      </c>
      <c r="BS2442">
        <v>0</v>
      </c>
      <c r="BT2442">
        <v>0</v>
      </c>
      <c r="BU2442">
        <v>0</v>
      </c>
      <c r="BV2442">
        <v>0</v>
      </c>
      <c r="BW2442" t="s">
        <v>0</v>
      </c>
      <c r="BX2442">
        <v>0</v>
      </c>
      <c r="BY2442">
        <v>0</v>
      </c>
      <c r="BZ2442">
        <v>0</v>
      </c>
      <c r="CA2442">
        <v>0</v>
      </c>
      <c r="CB2442" t="s">
        <v>145</v>
      </c>
    </row>
    <row r="2443" spans="67:80" x14ac:dyDescent="0.25">
      <c r="BO2443">
        <v>0</v>
      </c>
      <c r="BP2443">
        <v>0</v>
      </c>
      <c r="BQ2443">
        <v>0</v>
      </c>
      <c r="BR2443">
        <v>0</v>
      </c>
      <c r="BS2443">
        <v>0</v>
      </c>
      <c r="BT2443">
        <v>0</v>
      </c>
      <c r="BU2443">
        <v>0</v>
      </c>
      <c r="BV2443">
        <v>0</v>
      </c>
      <c r="BW2443" t="s">
        <v>0</v>
      </c>
      <c r="BX2443">
        <v>0</v>
      </c>
      <c r="BY2443">
        <v>0</v>
      </c>
      <c r="BZ2443">
        <v>0</v>
      </c>
      <c r="CA2443">
        <v>0</v>
      </c>
      <c r="CB2443" t="s">
        <v>145</v>
      </c>
    </row>
    <row r="2444" spans="67:80" x14ac:dyDescent="0.25">
      <c r="BO2444">
        <v>0</v>
      </c>
      <c r="BP2444">
        <v>0</v>
      </c>
      <c r="BQ2444">
        <v>0</v>
      </c>
      <c r="BR2444">
        <v>0</v>
      </c>
      <c r="BS2444">
        <v>0</v>
      </c>
      <c r="BT2444">
        <v>0</v>
      </c>
      <c r="BU2444">
        <v>0</v>
      </c>
      <c r="BV2444">
        <v>0</v>
      </c>
      <c r="BW2444" t="s">
        <v>0</v>
      </c>
      <c r="BX2444">
        <v>0</v>
      </c>
      <c r="BY2444">
        <v>0</v>
      </c>
      <c r="BZ2444">
        <v>0</v>
      </c>
      <c r="CA2444">
        <v>0</v>
      </c>
      <c r="CB2444" t="s">
        <v>145</v>
      </c>
    </row>
    <row r="2445" spans="67:80" x14ac:dyDescent="0.25">
      <c r="BO2445">
        <v>0</v>
      </c>
      <c r="BP2445">
        <v>0</v>
      </c>
      <c r="BQ2445">
        <v>0</v>
      </c>
      <c r="BR2445">
        <v>0</v>
      </c>
      <c r="BS2445">
        <v>0</v>
      </c>
      <c r="BT2445">
        <v>0</v>
      </c>
      <c r="BU2445">
        <v>0</v>
      </c>
      <c r="BV2445">
        <v>0</v>
      </c>
      <c r="BW2445" t="s">
        <v>0</v>
      </c>
      <c r="BX2445">
        <v>0</v>
      </c>
      <c r="BY2445">
        <v>0</v>
      </c>
      <c r="BZ2445">
        <v>0</v>
      </c>
      <c r="CA2445">
        <v>0</v>
      </c>
      <c r="CB2445" t="s">
        <v>145</v>
      </c>
    </row>
    <row r="2446" spans="67:80" x14ac:dyDescent="0.25">
      <c r="BO2446">
        <v>0</v>
      </c>
      <c r="BP2446">
        <v>0</v>
      </c>
      <c r="BQ2446">
        <v>0</v>
      </c>
      <c r="BR2446">
        <v>0</v>
      </c>
      <c r="BS2446">
        <v>0</v>
      </c>
      <c r="BT2446">
        <v>0</v>
      </c>
      <c r="BU2446">
        <v>0</v>
      </c>
      <c r="BV2446">
        <v>0</v>
      </c>
      <c r="BW2446" t="s">
        <v>0</v>
      </c>
      <c r="BX2446">
        <v>0</v>
      </c>
      <c r="BY2446">
        <v>0</v>
      </c>
      <c r="BZ2446">
        <v>0</v>
      </c>
      <c r="CA2446">
        <v>0</v>
      </c>
      <c r="CB2446" t="s">
        <v>145</v>
      </c>
    </row>
    <row r="2447" spans="67:80" x14ac:dyDescent="0.25">
      <c r="BO2447">
        <v>0</v>
      </c>
      <c r="BP2447">
        <v>0</v>
      </c>
      <c r="BQ2447">
        <v>0</v>
      </c>
      <c r="BR2447">
        <v>0</v>
      </c>
      <c r="BS2447">
        <v>0</v>
      </c>
      <c r="BT2447">
        <v>0</v>
      </c>
      <c r="BU2447">
        <v>0</v>
      </c>
      <c r="BV2447">
        <v>0</v>
      </c>
      <c r="BW2447" t="s">
        <v>0</v>
      </c>
      <c r="BX2447">
        <v>0</v>
      </c>
      <c r="BY2447">
        <v>0</v>
      </c>
      <c r="BZ2447">
        <v>0</v>
      </c>
      <c r="CA2447">
        <v>0</v>
      </c>
      <c r="CB2447" t="s">
        <v>145</v>
      </c>
    </row>
    <row r="2448" spans="67:80" x14ac:dyDescent="0.25">
      <c r="BO2448">
        <v>0</v>
      </c>
      <c r="BP2448">
        <v>0</v>
      </c>
      <c r="BQ2448">
        <v>0</v>
      </c>
      <c r="BR2448">
        <v>0</v>
      </c>
      <c r="BS2448">
        <v>0</v>
      </c>
      <c r="BT2448">
        <v>0</v>
      </c>
      <c r="BU2448">
        <v>0</v>
      </c>
      <c r="BV2448">
        <v>0</v>
      </c>
      <c r="BW2448" t="s">
        <v>0</v>
      </c>
      <c r="BX2448">
        <v>0</v>
      </c>
      <c r="BY2448">
        <v>0</v>
      </c>
      <c r="BZ2448">
        <v>0</v>
      </c>
      <c r="CA2448">
        <v>0</v>
      </c>
      <c r="CB2448" t="s">
        <v>145</v>
      </c>
    </row>
    <row r="2449" spans="1:80" x14ac:dyDescent="0.25">
      <c r="BO2449">
        <v>0</v>
      </c>
      <c r="BP2449">
        <v>0</v>
      </c>
      <c r="BQ2449">
        <v>0</v>
      </c>
      <c r="BR2449">
        <v>0</v>
      </c>
      <c r="BS2449">
        <v>0</v>
      </c>
      <c r="BT2449">
        <v>0</v>
      </c>
      <c r="BU2449">
        <v>0</v>
      </c>
      <c r="BV2449">
        <v>0</v>
      </c>
      <c r="BW2449" t="s">
        <v>0</v>
      </c>
      <c r="BX2449">
        <v>0</v>
      </c>
      <c r="BY2449">
        <v>0</v>
      </c>
      <c r="BZ2449">
        <v>0</v>
      </c>
      <c r="CA2449">
        <v>0</v>
      </c>
      <c r="CB2449" t="s">
        <v>145</v>
      </c>
    </row>
    <row r="2450" spans="1:80" x14ac:dyDescent="0.25">
      <c r="BO2450">
        <v>0</v>
      </c>
      <c r="BP2450">
        <v>0</v>
      </c>
      <c r="BQ2450">
        <v>0</v>
      </c>
      <c r="BR2450">
        <v>0</v>
      </c>
      <c r="BS2450">
        <v>0</v>
      </c>
      <c r="BT2450">
        <v>0</v>
      </c>
      <c r="BU2450">
        <v>0</v>
      </c>
      <c r="BV2450">
        <v>0</v>
      </c>
      <c r="BW2450" t="s">
        <v>0</v>
      </c>
      <c r="BX2450">
        <v>0</v>
      </c>
      <c r="BY2450">
        <v>0</v>
      </c>
      <c r="BZ2450">
        <v>0</v>
      </c>
      <c r="CA2450">
        <v>0</v>
      </c>
      <c r="CB2450" t="s">
        <v>145</v>
      </c>
    </row>
    <row r="2451" spans="1:80" x14ac:dyDescent="0.25">
      <c r="BO2451">
        <v>0</v>
      </c>
      <c r="BP2451">
        <v>0</v>
      </c>
      <c r="BQ2451">
        <v>0</v>
      </c>
      <c r="BR2451">
        <v>0</v>
      </c>
      <c r="BS2451">
        <v>0</v>
      </c>
      <c r="BT2451">
        <v>0</v>
      </c>
      <c r="BU2451">
        <v>0</v>
      </c>
      <c r="BV2451">
        <v>0</v>
      </c>
      <c r="BW2451" t="s">
        <v>0</v>
      </c>
      <c r="BX2451">
        <v>0</v>
      </c>
      <c r="BY2451">
        <v>0</v>
      </c>
      <c r="BZ2451">
        <v>0</v>
      </c>
      <c r="CA2451">
        <v>0</v>
      </c>
      <c r="CB2451" t="s">
        <v>145</v>
      </c>
    </row>
    <row r="2452" spans="1:80" x14ac:dyDescent="0.25">
      <c r="BO2452">
        <v>0</v>
      </c>
      <c r="BP2452">
        <v>0</v>
      </c>
      <c r="BQ2452">
        <v>0</v>
      </c>
      <c r="BR2452">
        <v>0</v>
      </c>
      <c r="BS2452">
        <v>0</v>
      </c>
      <c r="BT2452">
        <v>0</v>
      </c>
      <c r="BU2452">
        <v>0</v>
      </c>
      <c r="BV2452">
        <v>0</v>
      </c>
      <c r="BW2452" t="s">
        <v>0</v>
      </c>
      <c r="BX2452">
        <v>0</v>
      </c>
      <c r="BY2452">
        <v>0</v>
      </c>
      <c r="BZ2452">
        <v>0</v>
      </c>
      <c r="CA2452">
        <v>0</v>
      </c>
      <c r="CB2452" t="s">
        <v>145</v>
      </c>
    </row>
    <row r="2453" spans="1:80" x14ac:dyDescent="0.25">
      <c r="BO2453">
        <v>0</v>
      </c>
      <c r="BP2453">
        <v>0</v>
      </c>
      <c r="BQ2453">
        <v>0</v>
      </c>
      <c r="BR2453">
        <v>0</v>
      </c>
      <c r="BS2453">
        <v>0</v>
      </c>
      <c r="BT2453">
        <v>0</v>
      </c>
      <c r="BU2453">
        <v>0</v>
      </c>
      <c r="BV2453">
        <v>0</v>
      </c>
      <c r="BW2453" t="s">
        <v>0</v>
      </c>
      <c r="BX2453">
        <v>0</v>
      </c>
      <c r="BY2453">
        <v>0</v>
      </c>
      <c r="BZ2453">
        <v>0</v>
      </c>
      <c r="CA2453">
        <v>0</v>
      </c>
      <c r="CB2453" t="s">
        <v>145</v>
      </c>
    </row>
    <row r="2454" spans="1:80" x14ac:dyDescent="0.25">
      <c r="BO2454">
        <v>0</v>
      </c>
      <c r="BP2454">
        <v>0</v>
      </c>
      <c r="BQ2454">
        <v>0</v>
      </c>
      <c r="BR2454">
        <v>0</v>
      </c>
      <c r="BS2454">
        <v>0</v>
      </c>
      <c r="BT2454">
        <v>0</v>
      </c>
      <c r="BU2454">
        <v>0</v>
      </c>
      <c r="BV2454">
        <v>0</v>
      </c>
      <c r="BW2454" t="s">
        <v>0</v>
      </c>
      <c r="BX2454">
        <v>0</v>
      </c>
      <c r="BY2454">
        <v>0</v>
      </c>
      <c r="BZ2454">
        <v>0</v>
      </c>
      <c r="CA2454">
        <v>0</v>
      </c>
      <c r="CB2454" t="s">
        <v>145</v>
      </c>
    </row>
    <row r="2455" spans="1:80" x14ac:dyDescent="0.25">
      <c r="A2455" s="6"/>
      <c r="B2455" s="6"/>
      <c r="C2455" s="6"/>
      <c r="D2455" s="6"/>
      <c r="E2455" s="6"/>
      <c r="F2455" s="6"/>
      <c r="G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  <c r="BE2455" s="6"/>
      <c r="BF2455" s="6"/>
      <c r="BG2455" s="6"/>
      <c r="BH2455" s="6"/>
      <c r="BI2455" s="6"/>
      <c r="BK2455" s="6"/>
      <c r="BL2455" s="6"/>
      <c r="BM2455" s="6"/>
      <c r="BN2455" s="6"/>
      <c r="BO2455" s="6">
        <v>0</v>
      </c>
      <c r="BP2455" s="6">
        <v>0</v>
      </c>
      <c r="BQ2455" s="6">
        <v>0</v>
      </c>
      <c r="BR2455" s="6">
        <v>0</v>
      </c>
      <c r="BS2455" s="6">
        <v>0</v>
      </c>
      <c r="BT2455" s="6">
        <v>0</v>
      </c>
      <c r="BU2455" s="6">
        <v>0</v>
      </c>
      <c r="BV2455" s="6">
        <v>0</v>
      </c>
      <c r="BW2455" s="6" t="s">
        <v>0</v>
      </c>
      <c r="BX2455" s="6">
        <v>0</v>
      </c>
      <c r="BY2455">
        <v>0</v>
      </c>
      <c r="BZ2455">
        <v>0</v>
      </c>
      <c r="CA2455">
        <v>0</v>
      </c>
      <c r="CB2455" t="s">
        <v>145</v>
      </c>
    </row>
    <row r="2456" spans="1:80" x14ac:dyDescent="0.25">
      <c r="BO2456">
        <v>0</v>
      </c>
      <c r="BP2456">
        <v>0</v>
      </c>
      <c r="BQ2456">
        <v>0</v>
      </c>
      <c r="BR2456">
        <v>0</v>
      </c>
      <c r="BS2456">
        <v>0</v>
      </c>
      <c r="BT2456">
        <v>0</v>
      </c>
      <c r="BU2456">
        <v>0</v>
      </c>
      <c r="BV2456">
        <v>0</v>
      </c>
      <c r="BW2456" t="s">
        <v>0</v>
      </c>
      <c r="BX2456">
        <v>0</v>
      </c>
      <c r="BY2456">
        <v>0</v>
      </c>
      <c r="BZ2456">
        <v>0</v>
      </c>
      <c r="CA2456">
        <v>0</v>
      </c>
      <c r="CB2456" t="s">
        <v>145</v>
      </c>
    </row>
    <row r="2457" spans="1:80" x14ac:dyDescent="0.25">
      <c r="AR2457" s="6"/>
      <c r="AS2457" s="6"/>
      <c r="AT2457" s="6"/>
      <c r="AU2457" s="6"/>
      <c r="AV2457" s="6"/>
      <c r="AW2457" s="6"/>
      <c r="BO2457">
        <v>0</v>
      </c>
      <c r="BP2457">
        <v>0</v>
      </c>
      <c r="BQ2457">
        <v>0</v>
      </c>
      <c r="BR2457">
        <v>0</v>
      </c>
      <c r="BS2457">
        <v>0</v>
      </c>
      <c r="BT2457">
        <v>0</v>
      </c>
      <c r="BU2457">
        <v>0</v>
      </c>
      <c r="BV2457">
        <v>0</v>
      </c>
      <c r="BW2457" t="s">
        <v>0</v>
      </c>
      <c r="BX2457">
        <v>0</v>
      </c>
      <c r="BY2457">
        <v>0</v>
      </c>
      <c r="BZ2457">
        <v>0</v>
      </c>
      <c r="CA2457">
        <v>0</v>
      </c>
      <c r="CB2457" t="s">
        <v>145</v>
      </c>
    </row>
    <row r="2458" spans="1:80" x14ac:dyDescent="0.25">
      <c r="AR2458" s="6"/>
      <c r="AS2458" s="6"/>
      <c r="AT2458" s="6"/>
      <c r="AU2458" s="6"/>
      <c r="AV2458" s="6"/>
      <c r="AW2458" s="6"/>
      <c r="BO2458">
        <v>0</v>
      </c>
      <c r="BP2458">
        <v>0</v>
      </c>
      <c r="BQ2458">
        <v>0</v>
      </c>
      <c r="BR2458">
        <v>0</v>
      </c>
      <c r="BS2458">
        <v>0</v>
      </c>
      <c r="BT2458">
        <v>0</v>
      </c>
      <c r="BU2458">
        <v>0</v>
      </c>
      <c r="BV2458">
        <v>0</v>
      </c>
      <c r="BW2458" t="s">
        <v>0</v>
      </c>
      <c r="BX2458">
        <v>0</v>
      </c>
      <c r="BY2458">
        <v>0</v>
      </c>
      <c r="BZ2458">
        <v>0</v>
      </c>
      <c r="CA2458">
        <v>0</v>
      </c>
      <c r="CB2458" t="s">
        <v>145</v>
      </c>
    </row>
    <row r="2459" spans="1:80" x14ac:dyDescent="0.25">
      <c r="AR2459" s="6"/>
      <c r="AS2459" s="6"/>
      <c r="AT2459" s="6"/>
      <c r="AU2459" s="6"/>
      <c r="AV2459" s="6"/>
      <c r="AW2459" s="6"/>
      <c r="BO2459">
        <v>0</v>
      </c>
      <c r="BP2459">
        <v>0</v>
      </c>
      <c r="BQ2459">
        <v>0</v>
      </c>
      <c r="BR2459">
        <v>0</v>
      </c>
      <c r="BS2459">
        <v>0</v>
      </c>
      <c r="BT2459">
        <v>0</v>
      </c>
      <c r="BU2459">
        <v>0</v>
      </c>
      <c r="BV2459">
        <v>0</v>
      </c>
      <c r="BW2459" t="s">
        <v>0</v>
      </c>
      <c r="BX2459">
        <v>0</v>
      </c>
      <c r="BY2459">
        <v>0</v>
      </c>
      <c r="BZ2459">
        <v>0</v>
      </c>
      <c r="CA2459">
        <v>0</v>
      </c>
      <c r="CB2459" t="s">
        <v>145</v>
      </c>
    </row>
    <row r="2460" spans="1:80" x14ac:dyDescent="0.25">
      <c r="AR2460" s="6"/>
      <c r="AS2460" s="6"/>
      <c r="AT2460" s="6"/>
      <c r="AU2460" s="6"/>
      <c r="AV2460" s="6"/>
      <c r="AW2460" s="6"/>
      <c r="BO2460">
        <v>0</v>
      </c>
      <c r="BP2460">
        <v>0</v>
      </c>
      <c r="BQ2460">
        <v>0</v>
      </c>
      <c r="BR2460">
        <v>0</v>
      </c>
      <c r="BS2460">
        <v>0</v>
      </c>
      <c r="BT2460">
        <v>0</v>
      </c>
      <c r="BU2460">
        <v>0</v>
      </c>
      <c r="BV2460">
        <v>0</v>
      </c>
      <c r="BW2460" t="s">
        <v>0</v>
      </c>
      <c r="BX2460">
        <v>0</v>
      </c>
      <c r="BY2460">
        <v>0</v>
      </c>
      <c r="BZ2460">
        <v>0</v>
      </c>
      <c r="CA2460">
        <v>0</v>
      </c>
      <c r="CB2460" t="s">
        <v>145</v>
      </c>
    </row>
    <row r="2461" spans="1:80" x14ac:dyDescent="0.25">
      <c r="AR2461" s="6"/>
      <c r="AS2461" s="6"/>
      <c r="AT2461" s="6"/>
      <c r="AU2461" s="6"/>
      <c r="AV2461" s="6"/>
      <c r="AW2461" s="6"/>
      <c r="BO2461">
        <v>0</v>
      </c>
      <c r="BP2461">
        <v>0</v>
      </c>
      <c r="BQ2461">
        <v>0</v>
      </c>
      <c r="BR2461">
        <v>0</v>
      </c>
      <c r="BS2461">
        <v>0</v>
      </c>
      <c r="BT2461">
        <v>0</v>
      </c>
      <c r="BU2461">
        <v>0</v>
      </c>
      <c r="BV2461">
        <v>0</v>
      </c>
      <c r="BW2461" t="s">
        <v>0</v>
      </c>
      <c r="BX2461">
        <v>0</v>
      </c>
      <c r="BY2461">
        <v>0</v>
      </c>
      <c r="BZ2461">
        <v>0</v>
      </c>
      <c r="CA2461">
        <v>0</v>
      </c>
      <c r="CB2461" t="s">
        <v>145</v>
      </c>
    </row>
    <row r="2462" spans="1:80" x14ac:dyDescent="0.25">
      <c r="AR2462" s="6"/>
      <c r="AS2462" s="6"/>
      <c r="AT2462" s="6"/>
      <c r="AU2462" s="6"/>
      <c r="AV2462" s="6"/>
      <c r="AW2462" s="6"/>
      <c r="BO2462">
        <v>0</v>
      </c>
      <c r="BP2462">
        <v>0</v>
      </c>
      <c r="BQ2462">
        <v>0</v>
      </c>
      <c r="BR2462">
        <v>0</v>
      </c>
      <c r="BS2462">
        <v>0</v>
      </c>
      <c r="BT2462">
        <v>0</v>
      </c>
      <c r="BU2462">
        <v>0</v>
      </c>
      <c r="BV2462">
        <v>0</v>
      </c>
      <c r="BW2462" t="s">
        <v>0</v>
      </c>
      <c r="BX2462">
        <v>0</v>
      </c>
      <c r="BY2462">
        <v>0</v>
      </c>
      <c r="BZ2462">
        <v>0</v>
      </c>
      <c r="CA2462">
        <v>0</v>
      </c>
      <c r="CB2462" t="s">
        <v>145</v>
      </c>
    </row>
    <row r="2463" spans="1:80" x14ac:dyDescent="0.25">
      <c r="AR2463" s="6"/>
      <c r="AS2463" s="6"/>
      <c r="AT2463" s="6"/>
      <c r="AU2463" s="6"/>
      <c r="AV2463" s="6"/>
      <c r="AW2463" s="6"/>
      <c r="BO2463">
        <v>0</v>
      </c>
      <c r="BP2463">
        <v>0</v>
      </c>
      <c r="BQ2463">
        <v>0</v>
      </c>
      <c r="BR2463">
        <v>0</v>
      </c>
      <c r="BS2463">
        <v>0</v>
      </c>
      <c r="BT2463">
        <v>0</v>
      </c>
      <c r="BU2463">
        <v>0</v>
      </c>
      <c r="BV2463">
        <v>0</v>
      </c>
      <c r="BW2463" t="s">
        <v>0</v>
      </c>
      <c r="BX2463">
        <v>0</v>
      </c>
      <c r="BY2463">
        <v>0</v>
      </c>
      <c r="BZ2463">
        <v>0</v>
      </c>
      <c r="CA2463">
        <v>0</v>
      </c>
      <c r="CB2463" t="s">
        <v>145</v>
      </c>
    </row>
    <row r="2464" spans="1:80" x14ac:dyDescent="0.25">
      <c r="AR2464" s="6"/>
      <c r="AS2464" s="6"/>
      <c r="AT2464" s="6"/>
      <c r="AU2464" s="6"/>
      <c r="AV2464" s="6"/>
      <c r="AW2464" s="6"/>
      <c r="BO2464">
        <v>0</v>
      </c>
      <c r="BP2464">
        <v>0</v>
      </c>
      <c r="BQ2464">
        <v>0</v>
      </c>
      <c r="BR2464">
        <v>0</v>
      </c>
      <c r="BS2464">
        <v>0</v>
      </c>
      <c r="BT2464">
        <v>0</v>
      </c>
      <c r="BU2464">
        <v>0</v>
      </c>
      <c r="BV2464">
        <v>0</v>
      </c>
      <c r="BW2464" t="s">
        <v>0</v>
      </c>
      <c r="BX2464">
        <v>0</v>
      </c>
      <c r="BY2464">
        <v>0</v>
      </c>
      <c r="BZ2464">
        <v>0</v>
      </c>
      <c r="CA2464">
        <v>0</v>
      </c>
      <c r="CB2464" t="s">
        <v>145</v>
      </c>
    </row>
    <row r="2465" spans="41:80" x14ac:dyDescent="0.25">
      <c r="AR2465" s="6"/>
      <c r="AS2465" s="6"/>
      <c r="AT2465" s="6"/>
      <c r="AU2465" s="6"/>
      <c r="AV2465" s="6"/>
      <c r="AW2465" s="6"/>
      <c r="BO2465">
        <v>0</v>
      </c>
      <c r="BP2465">
        <v>0</v>
      </c>
      <c r="BQ2465">
        <v>0</v>
      </c>
      <c r="BR2465">
        <v>0</v>
      </c>
      <c r="BS2465">
        <v>0</v>
      </c>
      <c r="BT2465">
        <v>0</v>
      </c>
      <c r="BU2465">
        <v>0</v>
      </c>
      <c r="BV2465">
        <v>0</v>
      </c>
      <c r="BW2465" t="s">
        <v>0</v>
      </c>
      <c r="BX2465">
        <v>0</v>
      </c>
      <c r="BY2465">
        <v>0</v>
      </c>
      <c r="BZ2465">
        <v>0</v>
      </c>
      <c r="CA2465">
        <v>0</v>
      </c>
      <c r="CB2465" t="s">
        <v>145</v>
      </c>
    </row>
    <row r="2466" spans="41:80" x14ac:dyDescent="0.25">
      <c r="AO2466" s="6"/>
      <c r="AR2466" s="6"/>
      <c r="AS2466" s="6"/>
      <c r="AT2466" s="6"/>
      <c r="AU2466" s="6"/>
      <c r="AV2466" s="6"/>
      <c r="AW2466" s="6"/>
      <c r="AZ2466" s="6"/>
      <c r="BA2466" s="6"/>
      <c r="BB2466" s="6"/>
      <c r="BE2466" s="6"/>
      <c r="BF2466" s="6"/>
      <c r="BG2466" s="6"/>
      <c r="BH2466" s="6"/>
      <c r="BI2466" s="6"/>
      <c r="BK2466" s="6"/>
      <c r="BL2466" s="6"/>
      <c r="BO2466" s="6">
        <v>0</v>
      </c>
      <c r="BP2466" s="6">
        <v>0</v>
      </c>
      <c r="BQ2466" s="6">
        <v>0</v>
      </c>
      <c r="BR2466" s="6">
        <v>0</v>
      </c>
      <c r="BS2466" s="6">
        <v>0</v>
      </c>
      <c r="BT2466" s="6">
        <v>0</v>
      </c>
      <c r="BU2466" s="6">
        <v>0</v>
      </c>
      <c r="BV2466" s="6">
        <v>0</v>
      </c>
      <c r="BW2466" s="6" t="s">
        <v>0</v>
      </c>
      <c r="BX2466" s="6">
        <v>0</v>
      </c>
      <c r="BY2466">
        <v>0</v>
      </c>
      <c r="BZ2466">
        <v>0</v>
      </c>
      <c r="CA2466">
        <v>0</v>
      </c>
      <c r="CB2466" t="s">
        <v>145</v>
      </c>
    </row>
    <row r="2467" spans="41:80" x14ac:dyDescent="0.25">
      <c r="AR2467" s="6"/>
      <c r="AS2467" s="6"/>
      <c r="AT2467" s="6"/>
      <c r="AU2467" s="6"/>
      <c r="AV2467" s="6"/>
      <c r="AW2467" s="6"/>
      <c r="BO2467">
        <v>0</v>
      </c>
      <c r="BP2467">
        <v>0</v>
      </c>
      <c r="BQ2467">
        <v>0</v>
      </c>
      <c r="BR2467">
        <v>0</v>
      </c>
      <c r="BS2467">
        <v>0</v>
      </c>
      <c r="BT2467">
        <v>0</v>
      </c>
      <c r="BU2467">
        <v>0</v>
      </c>
      <c r="BV2467">
        <v>0</v>
      </c>
      <c r="BW2467" t="s">
        <v>0</v>
      </c>
      <c r="BX2467">
        <v>0</v>
      </c>
      <c r="BY2467">
        <v>0</v>
      </c>
      <c r="BZ2467">
        <v>0</v>
      </c>
      <c r="CA2467">
        <v>0</v>
      </c>
      <c r="CB2467" t="s">
        <v>145</v>
      </c>
    </row>
    <row r="2468" spans="41:80" x14ac:dyDescent="0.25">
      <c r="BO2468">
        <v>0</v>
      </c>
      <c r="BP2468">
        <v>0</v>
      </c>
      <c r="BQ2468">
        <v>0</v>
      </c>
      <c r="BR2468">
        <v>0</v>
      </c>
      <c r="BS2468">
        <v>0</v>
      </c>
      <c r="BT2468">
        <v>0</v>
      </c>
      <c r="BU2468">
        <v>0</v>
      </c>
      <c r="BV2468">
        <v>0</v>
      </c>
      <c r="BW2468" t="s">
        <v>0</v>
      </c>
      <c r="BX2468">
        <v>0</v>
      </c>
      <c r="BY2468">
        <v>0</v>
      </c>
      <c r="BZ2468">
        <v>0</v>
      </c>
      <c r="CA2468">
        <v>0</v>
      </c>
      <c r="CB2468" t="s">
        <v>145</v>
      </c>
    </row>
    <row r="2469" spans="41:80" x14ac:dyDescent="0.25">
      <c r="BO2469">
        <v>0</v>
      </c>
      <c r="BP2469">
        <v>0</v>
      </c>
      <c r="BQ2469">
        <v>0</v>
      </c>
      <c r="BR2469">
        <v>0</v>
      </c>
      <c r="BS2469">
        <v>0</v>
      </c>
      <c r="BT2469">
        <v>0</v>
      </c>
      <c r="BU2469">
        <v>0</v>
      </c>
      <c r="BV2469">
        <v>0</v>
      </c>
      <c r="BW2469" t="s">
        <v>0</v>
      </c>
      <c r="BX2469">
        <v>0</v>
      </c>
      <c r="BY2469">
        <v>0</v>
      </c>
      <c r="BZ2469">
        <v>0</v>
      </c>
      <c r="CA2469">
        <v>0</v>
      </c>
      <c r="CB2469" t="s">
        <v>145</v>
      </c>
    </row>
    <row r="2470" spans="41:80" x14ac:dyDescent="0.25">
      <c r="BO2470">
        <v>0</v>
      </c>
      <c r="BP2470">
        <v>0</v>
      </c>
      <c r="BQ2470">
        <v>0</v>
      </c>
      <c r="BR2470">
        <v>0</v>
      </c>
      <c r="BS2470">
        <v>0</v>
      </c>
      <c r="BT2470">
        <v>0</v>
      </c>
      <c r="BU2470">
        <v>0</v>
      </c>
      <c r="BV2470">
        <v>0</v>
      </c>
      <c r="BW2470" t="s">
        <v>0</v>
      </c>
      <c r="BX2470">
        <v>0</v>
      </c>
      <c r="BY2470">
        <v>0</v>
      </c>
      <c r="BZ2470">
        <v>0</v>
      </c>
      <c r="CA2470">
        <v>0</v>
      </c>
      <c r="CB2470" t="s">
        <v>145</v>
      </c>
    </row>
    <row r="2471" spans="41:80" x14ac:dyDescent="0.25">
      <c r="BO2471">
        <v>0</v>
      </c>
      <c r="BP2471">
        <v>0</v>
      </c>
      <c r="BQ2471">
        <v>0</v>
      </c>
      <c r="BR2471">
        <v>0</v>
      </c>
      <c r="BS2471">
        <v>0</v>
      </c>
      <c r="BT2471">
        <v>0</v>
      </c>
      <c r="BU2471">
        <v>0</v>
      </c>
      <c r="BV2471">
        <v>0</v>
      </c>
      <c r="BW2471" t="s">
        <v>0</v>
      </c>
      <c r="BX2471">
        <v>0</v>
      </c>
      <c r="BY2471">
        <v>0</v>
      </c>
      <c r="BZ2471">
        <v>0</v>
      </c>
      <c r="CA2471">
        <v>0</v>
      </c>
      <c r="CB2471" t="s">
        <v>145</v>
      </c>
    </row>
    <row r="2472" spans="41:80" x14ac:dyDescent="0.25">
      <c r="BO2472">
        <v>0</v>
      </c>
      <c r="BP2472">
        <v>0</v>
      </c>
      <c r="BQ2472">
        <v>0</v>
      </c>
      <c r="BR2472">
        <v>0</v>
      </c>
      <c r="BS2472">
        <v>0</v>
      </c>
      <c r="BT2472">
        <v>0</v>
      </c>
      <c r="BU2472">
        <v>0</v>
      </c>
      <c r="BV2472">
        <v>0</v>
      </c>
      <c r="BW2472" t="s">
        <v>0</v>
      </c>
      <c r="BX2472">
        <v>0</v>
      </c>
      <c r="BY2472">
        <v>0</v>
      </c>
      <c r="BZ2472">
        <v>0</v>
      </c>
      <c r="CA2472">
        <v>0</v>
      </c>
      <c r="CB2472" t="s">
        <v>145</v>
      </c>
    </row>
    <row r="2473" spans="41:80" x14ac:dyDescent="0.25">
      <c r="BO2473">
        <v>0</v>
      </c>
      <c r="BP2473">
        <v>0</v>
      </c>
      <c r="BQ2473">
        <v>0</v>
      </c>
      <c r="BR2473">
        <v>0</v>
      </c>
      <c r="BS2473">
        <v>0</v>
      </c>
      <c r="BT2473">
        <v>0</v>
      </c>
      <c r="BU2473">
        <v>0</v>
      </c>
      <c r="BV2473">
        <v>0</v>
      </c>
      <c r="BW2473" t="s">
        <v>0</v>
      </c>
      <c r="BX2473">
        <v>0</v>
      </c>
      <c r="BY2473">
        <v>0</v>
      </c>
      <c r="BZ2473">
        <v>0</v>
      </c>
      <c r="CA2473">
        <v>0</v>
      </c>
      <c r="CB2473" t="s">
        <v>145</v>
      </c>
    </row>
    <row r="2474" spans="41:80" x14ac:dyDescent="0.25">
      <c r="BO2474">
        <v>0</v>
      </c>
      <c r="BP2474">
        <v>0</v>
      </c>
      <c r="BQ2474">
        <v>0</v>
      </c>
      <c r="BR2474">
        <v>0</v>
      </c>
      <c r="BS2474">
        <v>0</v>
      </c>
      <c r="BT2474">
        <v>0</v>
      </c>
      <c r="BU2474">
        <v>0</v>
      </c>
      <c r="BV2474">
        <v>0</v>
      </c>
      <c r="BW2474" t="s">
        <v>0</v>
      </c>
      <c r="BX2474">
        <v>0</v>
      </c>
      <c r="BY2474">
        <v>0</v>
      </c>
      <c r="BZ2474">
        <v>0</v>
      </c>
      <c r="CA2474">
        <v>0</v>
      </c>
      <c r="CB2474" t="s">
        <v>145</v>
      </c>
    </row>
    <row r="2475" spans="41:80" x14ac:dyDescent="0.25">
      <c r="BO2475">
        <v>0</v>
      </c>
      <c r="BP2475">
        <v>0</v>
      </c>
      <c r="BQ2475">
        <v>0</v>
      </c>
      <c r="BR2475">
        <v>0</v>
      </c>
      <c r="BS2475">
        <v>0</v>
      </c>
      <c r="BT2475">
        <v>0</v>
      </c>
      <c r="BU2475">
        <v>0</v>
      </c>
      <c r="BV2475">
        <v>0</v>
      </c>
      <c r="BW2475" t="s">
        <v>0</v>
      </c>
      <c r="BX2475">
        <v>0</v>
      </c>
      <c r="BY2475">
        <v>0</v>
      </c>
      <c r="BZ2475">
        <v>0</v>
      </c>
      <c r="CA2475">
        <v>0</v>
      </c>
      <c r="CB2475" t="s">
        <v>145</v>
      </c>
    </row>
    <row r="2476" spans="41:80" x14ac:dyDescent="0.25">
      <c r="BO2476">
        <v>0</v>
      </c>
      <c r="BP2476">
        <v>0</v>
      </c>
      <c r="BQ2476">
        <v>0</v>
      </c>
      <c r="BR2476">
        <v>0</v>
      </c>
      <c r="BS2476">
        <v>0</v>
      </c>
      <c r="BT2476">
        <v>0</v>
      </c>
      <c r="BU2476">
        <v>0</v>
      </c>
      <c r="BV2476">
        <v>0</v>
      </c>
      <c r="BW2476" t="s">
        <v>0</v>
      </c>
      <c r="BX2476">
        <v>0</v>
      </c>
      <c r="BY2476">
        <v>0</v>
      </c>
      <c r="BZ2476">
        <v>0</v>
      </c>
      <c r="CA2476">
        <v>0</v>
      </c>
      <c r="CB2476" t="s">
        <v>145</v>
      </c>
    </row>
    <row r="2477" spans="41:80" x14ac:dyDescent="0.25">
      <c r="BO2477">
        <v>0</v>
      </c>
      <c r="BP2477">
        <v>0</v>
      </c>
      <c r="BQ2477">
        <v>0</v>
      </c>
      <c r="BR2477">
        <v>0</v>
      </c>
      <c r="BS2477">
        <v>0</v>
      </c>
      <c r="BT2477">
        <v>0</v>
      </c>
      <c r="BU2477">
        <v>0</v>
      </c>
      <c r="BV2477">
        <v>0</v>
      </c>
      <c r="BW2477" t="s">
        <v>0</v>
      </c>
      <c r="BX2477">
        <v>0</v>
      </c>
      <c r="BY2477">
        <v>0</v>
      </c>
      <c r="BZ2477">
        <v>0</v>
      </c>
      <c r="CA2477">
        <v>0</v>
      </c>
      <c r="CB2477" t="s">
        <v>145</v>
      </c>
    </row>
    <row r="2478" spans="41:80" x14ac:dyDescent="0.25">
      <c r="BO2478">
        <v>0</v>
      </c>
      <c r="BP2478">
        <v>0</v>
      </c>
      <c r="BQ2478">
        <v>0</v>
      </c>
      <c r="BR2478">
        <v>0</v>
      </c>
      <c r="BS2478">
        <v>0</v>
      </c>
      <c r="BT2478">
        <v>0</v>
      </c>
      <c r="BU2478">
        <v>0</v>
      </c>
      <c r="BV2478">
        <v>0</v>
      </c>
      <c r="BW2478" t="s">
        <v>0</v>
      </c>
      <c r="BX2478">
        <v>0</v>
      </c>
      <c r="BY2478">
        <v>0</v>
      </c>
      <c r="BZ2478">
        <v>0</v>
      </c>
      <c r="CA2478">
        <v>0</v>
      </c>
      <c r="CB2478" t="s">
        <v>145</v>
      </c>
    </row>
    <row r="2479" spans="41:80" x14ac:dyDescent="0.25">
      <c r="BO2479">
        <v>0</v>
      </c>
      <c r="BP2479">
        <v>0</v>
      </c>
      <c r="BQ2479">
        <v>0</v>
      </c>
      <c r="BR2479">
        <v>0</v>
      </c>
      <c r="BS2479">
        <v>0</v>
      </c>
      <c r="BT2479">
        <v>0</v>
      </c>
      <c r="BU2479">
        <v>0</v>
      </c>
      <c r="BV2479">
        <v>0</v>
      </c>
      <c r="BW2479" t="s">
        <v>0</v>
      </c>
      <c r="BX2479">
        <v>0</v>
      </c>
      <c r="BY2479">
        <v>0</v>
      </c>
      <c r="BZ2479">
        <v>0</v>
      </c>
      <c r="CA2479">
        <v>0</v>
      </c>
      <c r="CB2479" t="s">
        <v>145</v>
      </c>
    </row>
    <row r="2480" spans="41:80" x14ac:dyDescent="0.25">
      <c r="BO2480">
        <v>0</v>
      </c>
      <c r="BP2480">
        <v>0</v>
      </c>
      <c r="BQ2480">
        <v>0</v>
      </c>
      <c r="BR2480">
        <v>0</v>
      </c>
      <c r="BS2480">
        <v>0</v>
      </c>
      <c r="BT2480">
        <v>0</v>
      </c>
      <c r="BU2480">
        <v>0</v>
      </c>
      <c r="BV2480">
        <v>0</v>
      </c>
      <c r="BW2480" t="s">
        <v>0</v>
      </c>
      <c r="BX2480">
        <v>0</v>
      </c>
      <c r="BY2480">
        <v>0</v>
      </c>
      <c r="BZ2480">
        <v>0</v>
      </c>
      <c r="CA2480">
        <v>0</v>
      </c>
      <c r="CB2480" t="s">
        <v>145</v>
      </c>
    </row>
    <row r="2481" spans="67:80" x14ac:dyDescent="0.25">
      <c r="BO2481">
        <v>0</v>
      </c>
      <c r="BP2481">
        <v>0</v>
      </c>
      <c r="BQ2481">
        <v>0</v>
      </c>
      <c r="BR2481">
        <v>0</v>
      </c>
      <c r="BS2481">
        <v>0</v>
      </c>
      <c r="BT2481">
        <v>0</v>
      </c>
      <c r="BU2481">
        <v>0</v>
      </c>
      <c r="BV2481">
        <v>0</v>
      </c>
      <c r="BW2481" t="s">
        <v>0</v>
      </c>
      <c r="BX2481">
        <v>0</v>
      </c>
      <c r="BY2481">
        <v>0</v>
      </c>
      <c r="BZ2481">
        <v>0</v>
      </c>
      <c r="CA2481">
        <v>0</v>
      </c>
      <c r="CB2481" t="s">
        <v>145</v>
      </c>
    </row>
    <row r="2482" spans="67:80" x14ac:dyDescent="0.25">
      <c r="BO2482">
        <v>0</v>
      </c>
      <c r="BP2482">
        <v>0</v>
      </c>
      <c r="BQ2482">
        <v>0</v>
      </c>
      <c r="BR2482">
        <v>0</v>
      </c>
      <c r="BS2482">
        <v>0</v>
      </c>
      <c r="BT2482">
        <v>0</v>
      </c>
      <c r="BU2482">
        <v>0</v>
      </c>
      <c r="BV2482">
        <v>0</v>
      </c>
      <c r="BW2482" t="s">
        <v>0</v>
      </c>
      <c r="BX2482">
        <v>0</v>
      </c>
      <c r="BY2482">
        <v>0</v>
      </c>
      <c r="BZ2482">
        <v>0</v>
      </c>
      <c r="CA2482">
        <v>0</v>
      </c>
      <c r="CB2482" t="s">
        <v>145</v>
      </c>
    </row>
    <row r="2483" spans="67:80" x14ac:dyDescent="0.25">
      <c r="BO2483">
        <v>0</v>
      </c>
      <c r="BP2483">
        <v>0</v>
      </c>
      <c r="BQ2483">
        <v>0</v>
      </c>
      <c r="BR2483">
        <v>0</v>
      </c>
      <c r="BS2483">
        <v>0</v>
      </c>
      <c r="BT2483">
        <v>0</v>
      </c>
      <c r="BU2483">
        <v>0</v>
      </c>
      <c r="BV2483">
        <v>0</v>
      </c>
      <c r="BW2483" t="s">
        <v>0</v>
      </c>
      <c r="BX2483">
        <v>0</v>
      </c>
      <c r="BY2483">
        <v>0</v>
      </c>
      <c r="BZ2483">
        <v>0</v>
      </c>
      <c r="CA2483">
        <v>0</v>
      </c>
      <c r="CB2483" t="s">
        <v>145</v>
      </c>
    </row>
    <row r="2484" spans="67:80" x14ac:dyDescent="0.25">
      <c r="BO2484">
        <v>0</v>
      </c>
      <c r="BP2484">
        <v>0</v>
      </c>
      <c r="BQ2484">
        <v>0</v>
      </c>
      <c r="BR2484">
        <v>0</v>
      </c>
      <c r="BS2484">
        <v>0</v>
      </c>
      <c r="BT2484">
        <v>0</v>
      </c>
      <c r="BU2484">
        <v>0</v>
      </c>
      <c r="BV2484">
        <v>0</v>
      </c>
      <c r="BW2484" t="s">
        <v>0</v>
      </c>
      <c r="BX2484">
        <v>0</v>
      </c>
      <c r="BY2484">
        <v>0</v>
      </c>
      <c r="BZ2484">
        <v>0</v>
      </c>
      <c r="CA2484">
        <v>0</v>
      </c>
      <c r="CB2484" t="s">
        <v>145</v>
      </c>
    </row>
    <row r="2485" spans="67:80" x14ac:dyDescent="0.25">
      <c r="BO2485">
        <v>0</v>
      </c>
      <c r="BP2485">
        <v>0</v>
      </c>
      <c r="BQ2485">
        <v>0</v>
      </c>
      <c r="BR2485">
        <v>0</v>
      </c>
      <c r="BS2485">
        <v>0</v>
      </c>
      <c r="BT2485">
        <v>0</v>
      </c>
      <c r="BU2485">
        <v>0</v>
      </c>
      <c r="BV2485">
        <v>0</v>
      </c>
      <c r="BW2485" t="s">
        <v>0</v>
      </c>
      <c r="BX2485">
        <v>0</v>
      </c>
      <c r="BY2485">
        <v>0</v>
      </c>
      <c r="BZ2485">
        <v>0</v>
      </c>
      <c r="CA2485">
        <v>0</v>
      </c>
      <c r="CB2485" t="s">
        <v>145</v>
      </c>
    </row>
    <row r="2486" spans="67:80" x14ac:dyDescent="0.25">
      <c r="BO2486">
        <v>0</v>
      </c>
      <c r="BP2486">
        <v>0</v>
      </c>
      <c r="BQ2486">
        <v>0</v>
      </c>
      <c r="BR2486">
        <v>0</v>
      </c>
      <c r="BS2486">
        <v>0</v>
      </c>
      <c r="BT2486">
        <v>0</v>
      </c>
      <c r="BU2486">
        <v>0</v>
      </c>
      <c r="BV2486">
        <v>0</v>
      </c>
      <c r="BW2486" t="s">
        <v>0</v>
      </c>
      <c r="BX2486">
        <v>0</v>
      </c>
      <c r="BY2486">
        <v>0</v>
      </c>
      <c r="BZ2486">
        <v>0</v>
      </c>
      <c r="CA2486">
        <v>0</v>
      </c>
      <c r="CB2486" t="s">
        <v>145</v>
      </c>
    </row>
    <row r="2487" spans="67:80" x14ac:dyDescent="0.25">
      <c r="BO2487">
        <v>0</v>
      </c>
      <c r="BP2487">
        <v>0</v>
      </c>
      <c r="BQ2487">
        <v>0</v>
      </c>
      <c r="BR2487">
        <v>0</v>
      </c>
      <c r="BS2487">
        <v>0</v>
      </c>
      <c r="BT2487">
        <v>0</v>
      </c>
      <c r="BU2487">
        <v>0</v>
      </c>
      <c r="BV2487">
        <v>0</v>
      </c>
      <c r="BW2487" t="s">
        <v>0</v>
      </c>
      <c r="BX2487">
        <v>0</v>
      </c>
      <c r="BY2487">
        <v>0</v>
      </c>
      <c r="BZ2487">
        <v>0</v>
      </c>
      <c r="CA2487">
        <v>0</v>
      </c>
      <c r="CB2487" t="s">
        <v>145</v>
      </c>
    </row>
    <row r="2488" spans="67:80" x14ac:dyDescent="0.25">
      <c r="BO2488">
        <v>0</v>
      </c>
      <c r="BP2488">
        <v>0</v>
      </c>
      <c r="BQ2488">
        <v>0</v>
      </c>
      <c r="BR2488">
        <v>0</v>
      </c>
      <c r="BS2488">
        <v>0</v>
      </c>
      <c r="BT2488">
        <v>0</v>
      </c>
      <c r="BU2488">
        <v>0</v>
      </c>
      <c r="BV2488">
        <v>0</v>
      </c>
      <c r="BW2488" t="s">
        <v>0</v>
      </c>
      <c r="BX2488">
        <v>0</v>
      </c>
      <c r="BY2488">
        <v>0</v>
      </c>
      <c r="BZ2488">
        <v>0</v>
      </c>
      <c r="CA2488">
        <v>0</v>
      </c>
      <c r="CB2488" t="s">
        <v>145</v>
      </c>
    </row>
    <row r="2489" spans="67:80" x14ac:dyDescent="0.25">
      <c r="BO2489">
        <v>0</v>
      </c>
      <c r="BP2489">
        <v>0</v>
      </c>
      <c r="BQ2489">
        <v>0</v>
      </c>
      <c r="BR2489">
        <v>0</v>
      </c>
      <c r="BS2489">
        <v>0</v>
      </c>
      <c r="BT2489">
        <v>0</v>
      </c>
      <c r="BU2489">
        <v>0</v>
      </c>
      <c r="BV2489">
        <v>0</v>
      </c>
      <c r="BW2489" t="s">
        <v>0</v>
      </c>
      <c r="BX2489">
        <v>0</v>
      </c>
      <c r="BY2489">
        <v>0</v>
      </c>
      <c r="BZ2489">
        <v>0</v>
      </c>
      <c r="CA2489">
        <v>0</v>
      </c>
      <c r="CB2489" t="s">
        <v>145</v>
      </c>
    </row>
    <row r="2490" spans="67:80" x14ac:dyDescent="0.25">
      <c r="BO2490">
        <v>0</v>
      </c>
      <c r="BP2490">
        <v>0</v>
      </c>
      <c r="BQ2490">
        <v>0</v>
      </c>
      <c r="BR2490">
        <v>0</v>
      </c>
      <c r="BS2490">
        <v>0</v>
      </c>
      <c r="BT2490">
        <v>0</v>
      </c>
      <c r="BU2490">
        <v>0</v>
      </c>
      <c r="BV2490">
        <v>0</v>
      </c>
      <c r="BW2490" t="s">
        <v>0</v>
      </c>
      <c r="BX2490">
        <v>0</v>
      </c>
      <c r="BY2490">
        <v>0</v>
      </c>
      <c r="BZ2490">
        <v>0</v>
      </c>
      <c r="CA2490">
        <v>0</v>
      </c>
      <c r="CB2490" t="s">
        <v>145</v>
      </c>
    </row>
    <row r="2491" spans="67:80" x14ac:dyDescent="0.25">
      <c r="BO2491">
        <v>0</v>
      </c>
      <c r="BP2491">
        <v>0</v>
      </c>
      <c r="BQ2491">
        <v>0</v>
      </c>
      <c r="BR2491">
        <v>0</v>
      </c>
      <c r="BS2491">
        <v>0</v>
      </c>
      <c r="BT2491">
        <v>0</v>
      </c>
      <c r="BU2491">
        <v>0</v>
      </c>
      <c r="BV2491">
        <v>0</v>
      </c>
      <c r="BW2491" t="s">
        <v>0</v>
      </c>
      <c r="BX2491">
        <v>0</v>
      </c>
      <c r="BY2491">
        <v>0</v>
      </c>
      <c r="BZ2491">
        <v>0</v>
      </c>
      <c r="CA2491">
        <v>0</v>
      </c>
      <c r="CB2491" t="s">
        <v>145</v>
      </c>
    </row>
    <row r="2492" spans="67:80" x14ac:dyDescent="0.25">
      <c r="BO2492">
        <v>0</v>
      </c>
      <c r="BP2492">
        <v>0</v>
      </c>
      <c r="BQ2492">
        <v>0</v>
      </c>
      <c r="BR2492">
        <v>0</v>
      </c>
      <c r="BS2492">
        <v>0</v>
      </c>
      <c r="BT2492">
        <v>0</v>
      </c>
      <c r="BU2492">
        <v>0</v>
      </c>
      <c r="BV2492">
        <v>0</v>
      </c>
      <c r="BW2492" t="s">
        <v>0</v>
      </c>
      <c r="BX2492">
        <v>0</v>
      </c>
      <c r="BY2492">
        <v>0</v>
      </c>
      <c r="BZ2492">
        <v>0</v>
      </c>
      <c r="CA2492">
        <v>0</v>
      </c>
      <c r="CB2492" t="s">
        <v>145</v>
      </c>
    </row>
    <row r="2493" spans="67:80" x14ac:dyDescent="0.25">
      <c r="BO2493">
        <v>0</v>
      </c>
      <c r="BP2493">
        <v>0</v>
      </c>
      <c r="BQ2493">
        <v>0</v>
      </c>
      <c r="BR2493">
        <v>0</v>
      </c>
      <c r="BS2493">
        <v>0</v>
      </c>
      <c r="BT2493">
        <v>0</v>
      </c>
      <c r="BU2493">
        <v>0</v>
      </c>
      <c r="BV2493">
        <v>0</v>
      </c>
      <c r="BW2493" t="s">
        <v>0</v>
      </c>
      <c r="BX2493">
        <v>0</v>
      </c>
      <c r="BY2493">
        <v>0</v>
      </c>
      <c r="BZ2493">
        <v>0</v>
      </c>
      <c r="CA2493">
        <v>0</v>
      </c>
      <c r="CB2493" t="s">
        <v>145</v>
      </c>
    </row>
    <row r="2494" spans="67:80" x14ac:dyDescent="0.25">
      <c r="BO2494">
        <v>0</v>
      </c>
      <c r="BP2494">
        <v>0</v>
      </c>
      <c r="BQ2494">
        <v>0</v>
      </c>
      <c r="BR2494">
        <v>0</v>
      </c>
      <c r="BS2494">
        <v>0</v>
      </c>
      <c r="BT2494">
        <v>0</v>
      </c>
      <c r="BU2494">
        <v>0</v>
      </c>
      <c r="BV2494">
        <v>0</v>
      </c>
      <c r="BW2494" t="s">
        <v>0</v>
      </c>
      <c r="BX2494">
        <v>0</v>
      </c>
      <c r="BY2494">
        <v>0</v>
      </c>
      <c r="BZ2494">
        <v>0</v>
      </c>
      <c r="CA2494">
        <v>0</v>
      </c>
      <c r="CB2494" t="s">
        <v>145</v>
      </c>
    </row>
    <row r="2495" spans="67:80" x14ac:dyDescent="0.25">
      <c r="BO2495">
        <v>0</v>
      </c>
      <c r="BP2495">
        <v>0</v>
      </c>
      <c r="BQ2495">
        <v>0</v>
      </c>
      <c r="BR2495">
        <v>0</v>
      </c>
      <c r="BS2495">
        <v>0</v>
      </c>
      <c r="BT2495">
        <v>0</v>
      </c>
      <c r="BU2495">
        <v>0</v>
      </c>
      <c r="BV2495">
        <v>0</v>
      </c>
      <c r="BW2495" t="s">
        <v>0</v>
      </c>
      <c r="BX2495">
        <v>0</v>
      </c>
      <c r="BY2495">
        <v>0</v>
      </c>
      <c r="BZ2495">
        <v>0</v>
      </c>
      <c r="CA2495">
        <v>0</v>
      </c>
      <c r="CB2495" t="s">
        <v>145</v>
      </c>
    </row>
    <row r="2496" spans="67:80" x14ac:dyDescent="0.25">
      <c r="BO2496">
        <v>0</v>
      </c>
      <c r="BP2496">
        <v>0</v>
      </c>
      <c r="BQ2496">
        <v>0</v>
      </c>
      <c r="BR2496">
        <v>0</v>
      </c>
      <c r="BS2496">
        <v>0</v>
      </c>
      <c r="BT2496">
        <v>0</v>
      </c>
      <c r="BU2496">
        <v>0</v>
      </c>
      <c r="BV2496">
        <v>0</v>
      </c>
      <c r="BW2496" t="s">
        <v>0</v>
      </c>
      <c r="BX2496">
        <v>0</v>
      </c>
      <c r="BY2496">
        <v>0</v>
      </c>
      <c r="BZ2496">
        <v>0</v>
      </c>
      <c r="CA2496">
        <v>0</v>
      </c>
      <c r="CB2496" t="s">
        <v>145</v>
      </c>
    </row>
    <row r="2497" spans="67:80" x14ac:dyDescent="0.25">
      <c r="BO2497">
        <v>0</v>
      </c>
      <c r="BP2497">
        <v>0</v>
      </c>
      <c r="BQ2497">
        <v>0</v>
      </c>
      <c r="BR2497">
        <v>0</v>
      </c>
      <c r="BS2497">
        <v>0</v>
      </c>
      <c r="BT2497">
        <v>0</v>
      </c>
      <c r="BU2497">
        <v>0</v>
      </c>
      <c r="BV2497">
        <v>0</v>
      </c>
      <c r="BW2497" t="s">
        <v>0</v>
      </c>
      <c r="BX2497">
        <v>0</v>
      </c>
      <c r="BY2497">
        <v>0</v>
      </c>
      <c r="BZ2497">
        <v>0</v>
      </c>
      <c r="CA2497">
        <v>0</v>
      </c>
      <c r="CB2497" t="s">
        <v>145</v>
      </c>
    </row>
    <row r="2498" spans="67:80" x14ac:dyDescent="0.25">
      <c r="BO2498">
        <v>0</v>
      </c>
      <c r="BP2498">
        <v>0</v>
      </c>
      <c r="BQ2498">
        <v>0</v>
      </c>
      <c r="BR2498">
        <v>0</v>
      </c>
      <c r="BS2498">
        <v>0</v>
      </c>
      <c r="BT2498">
        <v>0</v>
      </c>
      <c r="BU2498">
        <v>0</v>
      </c>
      <c r="BV2498">
        <v>0</v>
      </c>
      <c r="BW2498" t="s">
        <v>0</v>
      </c>
      <c r="BX2498">
        <v>0</v>
      </c>
      <c r="BY2498">
        <v>0</v>
      </c>
      <c r="BZ2498">
        <v>0</v>
      </c>
      <c r="CA2498">
        <v>0</v>
      </c>
      <c r="CB2498" t="s">
        <v>145</v>
      </c>
    </row>
    <row r="2499" spans="67:80" x14ac:dyDescent="0.25">
      <c r="BO2499">
        <v>0</v>
      </c>
      <c r="BP2499">
        <v>0</v>
      </c>
      <c r="BQ2499">
        <v>0</v>
      </c>
      <c r="BR2499">
        <v>0</v>
      </c>
      <c r="BS2499">
        <v>0</v>
      </c>
      <c r="BT2499">
        <v>0</v>
      </c>
      <c r="BU2499">
        <v>0</v>
      </c>
      <c r="BV2499">
        <v>0</v>
      </c>
      <c r="BW2499" t="s">
        <v>0</v>
      </c>
      <c r="BX2499">
        <v>0</v>
      </c>
      <c r="BY2499">
        <v>0</v>
      </c>
      <c r="BZ2499">
        <v>0</v>
      </c>
      <c r="CA2499">
        <v>0</v>
      </c>
      <c r="CB2499" t="s">
        <v>145</v>
      </c>
    </row>
    <row r="2500" spans="67:80" x14ac:dyDescent="0.25">
      <c r="BO2500">
        <v>0</v>
      </c>
      <c r="BP2500">
        <v>0</v>
      </c>
      <c r="BQ2500">
        <v>0</v>
      </c>
      <c r="BR2500">
        <v>0</v>
      </c>
      <c r="BS2500">
        <v>0</v>
      </c>
      <c r="BT2500">
        <v>0</v>
      </c>
      <c r="BU2500">
        <v>0</v>
      </c>
      <c r="BV2500">
        <v>0</v>
      </c>
      <c r="BW2500" t="s">
        <v>0</v>
      </c>
      <c r="BX2500">
        <v>0</v>
      </c>
      <c r="BY2500">
        <v>0</v>
      </c>
      <c r="BZ2500">
        <v>0</v>
      </c>
      <c r="CA2500">
        <v>0</v>
      </c>
      <c r="CB2500" t="s">
        <v>145</v>
      </c>
    </row>
    <row r="2501" spans="67:80" x14ac:dyDescent="0.25">
      <c r="BO2501">
        <v>0</v>
      </c>
      <c r="BP2501">
        <v>0</v>
      </c>
      <c r="BQ2501">
        <v>0</v>
      </c>
      <c r="BR2501">
        <v>0</v>
      </c>
      <c r="BS2501">
        <v>0</v>
      </c>
      <c r="BT2501">
        <v>0</v>
      </c>
      <c r="BU2501">
        <v>0</v>
      </c>
      <c r="BV2501">
        <v>0</v>
      </c>
      <c r="BW2501" t="s">
        <v>0</v>
      </c>
      <c r="BX2501">
        <v>0</v>
      </c>
      <c r="BY2501">
        <v>0</v>
      </c>
      <c r="BZ2501">
        <v>0</v>
      </c>
      <c r="CA2501">
        <v>0</v>
      </c>
      <c r="CB2501" t="s">
        <v>145</v>
      </c>
    </row>
    <row r="2502" spans="67:80" x14ac:dyDescent="0.25">
      <c r="BO2502">
        <v>0</v>
      </c>
      <c r="BP2502">
        <v>0</v>
      </c>
      <c r="BQ2502">
        <v>0</v>
      </c>
      <c r="BR2502">
        <v>0</v>
      </c>
      <c r="BS2502">
        <v>0</v>
      </c>
      <c r="BT2502">
        <v>0</v>
      </c>
      <c r="BU2502">
        <v>0</v>
      </c>
      <c r="BV2502">
        <v>0</v>
      </c>
      <c r="BW2502" t="s">
        <v>0</v>
      </c>
      <c r="BX2502">
        <v>0</v>
      </c>
      <c r="BY2502">
        <v>0</v>
      </c>
      <c r="BZ2502">
        <v>0</v>
      </c>
      <c r="CA2502">
        <v>0</v>
      </c>
      <c r="CB2502" t="s">
        <v>145</v>
      </c>
    </row>
    <row r="2503" spans="67:80" x14ac:dyDescent="0.25">
      <c r="BO2503">
        <v>0</v>
      </c>
      <c r="BP2503">
        <v>0</v>
      </c>
      <c r="BQ2503">
        <v>0</v>
      </c>
      <c r="BR2503">
        <v>0</v>
      </c>
      <c r="BS2503">
        <v>0</v>
      </c>
      <c r="BT2503">
        <v>0</v>
      </c>
      <c r="BU2503">
        <v>0</v>
      </c>
      <c r="BV2503">
        <v>0</v>
      </c>
      <c r="BW2503" t="s">
        <v>0</v>
      </c>
      <c r="BX2503">
        <v>0</v>
      </c>
      <c r="BY2503">
        <v>0</v>
      </c>
      <c r="BZ2503">
        <v>0</v>
      </c>
      <c r="CA2503">
        <v>0</v>
      </c>
      <c r="CB2503" t="s">
        <v>145</v>
      </c>
    </row>
    <row r="2504" spans="67:80" x14ac:dyDescent="0.25">
      <c r="BO2504">
        <v>0</v>
      </c>
      <c r="BP2504">
        <v>0</v>
      </c>
      <c r="BQ2504">
        <v>0</v>
      </c>
      <c r="BR2504">
        <v>0</v>
      </c>
      <c r="BS2504">
        <v>0</v>
      </c>
      <c r="BT2504">
        <v>0</v>
      </c>
      <c r="BU2504">
        <v>0</v>
      </c>
      <c r="BV2504">
        <v>0</v>
      </c>
      <c r="BW2504" t="s">
        <v>0</v>
      </c>
      <c r="BX2504">
        <v>0</v>
      </c>
      <c r="BY2504">
        <v>0</v>
      </c>
      <c r="BZ2504">
        <v>0</v>
      </c>
      <c r="CA2504">
        <v>0</v>
      </c>
      <c r="CB2504" t="s">
        <v>145</v>
      </c>
    </row>
    <row r="2505" spans="67:80" x14ac:dyDescent="0.25">
      <c r="BO2505">
        <v>0</v>
      </c>
      <c r="BP2505">
        <v>0</v>
      </c>
      <c r="BQ2505">
        <v>0</v>
      </c>
      <c r="BR2505">
        <v>0</v>
      </c>
      <c r="BS2505">
        <v>0</v>
      </c>
      <c r="BT2505">
        <v>0</v>
      </c>
      <c r="BU2505">
        <v>0</v>
      </c>
      <c r="BV2505">
        <v>0</v>
      </c>
      <c r="BW2505" t="s">
        <v>0</v>
      </c>
      <c r="BX2505">
        <v>0</v>
      </c>
      <c r="BY2505">
        <v>0</v>
      </c>
      <c r="BZ2505">
        <v>0</v>
      </c>
      <c r="CA2505">
        <v>0</v>
      </c>
      <c r="CB2505" t="s">
        <v>145</v>
      </c>
    </row>
    <row r="2506" spans="67:80" x14ac:dyDescent="0.25">
      <c r="BO2506">
        <v>0</v>
      </c>
      <c r="BP2506">
        <v>0</v>
      </c>
      <c r="BQ2506">
        <v>0</v>
      </c>
      <c r="BR2506">
        <v>0</v>
      </c>
      <c r="BS2506">
        <v>0</v>
      </c>
      <c r="BT2506">
        <v>0</v>
      </c>
      <c r="BU2506">
        <v>0</v>
      </c>
      <c r="BV2506">
        <v>0</v>
      </c>
      <c r="BW2506" t="s">
        <v>0</v>
      </c>
      <c r="BX2506">
        <v>0</v>
      </c>
      <c r="BY2506">
        <v>0</v>
      </c>
      <c r="BZ2506">
        <v>0</v>
      </c>
      <c r="CA2506">
        <v>0</v>
      </c>
      <c r="CB2506" t="s">
        <v>145</v>
      </c>
    </row>
    <row r="2507" spans="67:80" x14ac:dyDescent="0.25">
      <c r="BO2507">
        <v>0</v>
      </c>
      <c r="BP2507">
        <v>0</v>
      </c>
      <c r="BQ2507">
        <v>0</v>
      </c>
      <c r="BR2507">
        <v>0</v>
      </c>
      <c r="BS2507">
        <v>0</v>
      </c>
      <c r="BT2507">
        <v>0</v>
      </c>
      <c r="BU2507">
        <v>0</v>
      </c>
      <c r="BV2507">
        <v>0</v>
      </c>
      <c r="BW2507" t="s">
        <v>0</v>
      </c>
      <c r="BX2507">
        <v>0</v>
      </c>
      <c r="BY2507">
        <v>0</v>
      </c>
      <c r="BZ2507">
        <v>0</v>
      </c>
      <c r="CA2507">
        <v>0</v>
      </c>
      <c r="CB2507" t="s">
        <v>145</v>
      </c>
    </row>
    <row r="2508" spans="67:80" x14ac:dyDescent="0.25">
      <c r="BO2508">
        <v>0</v>
      </c>
      <c r="BP2508">
        <v>0</v>
      </c>
      <c r="BQ2508">
        <v>0</v>
      </c>
      <c r="BR2508">
        <v>0</v>
      </c>
      <c r="BS2508">
        <v>0</v>
      </c>
      <c r="BT2508">
        <v>0</v>
      </c>
      <c r="BU2508">
        <v>0</v>
      </c>
      <c r="BV2508">
        <v>0</v>
      </c>
      <c r="BW2508" t="s">
        <v>0</v>
      </c>
      <c r="BX2508">
        <v>0</v>
      </c>
      <c r="BY2508">
        <v>0</v>
      </c>
      <c r="BZ2508">
        <v>0</v>
      </c>
      <c r="CA2508">
        <v>0</v>
      </c>
      <c r="CB2508" t="s">
        <v>145</v>
      </c>
    </row>
    <row r="2509" spans="67:80" x14ac:dyDescent="0.25">
      <c r="BO2509">
        <v>0</v>
      </c>
      <c r="BP2509">
        <v>0</v>
      </c>
      <c r="BQ2509">
        <v>0</v>
      </c>
      <c r="BR2509">
        <v>0</v>
      </c>
      <c r="BS2509">
        <v>0</v>
      </c>
      <c r="BT2509">
        <v>0</v>
      </c>
      <c r="BU2509">
        <v>0</v>
      </c>
      <c r="BV2509">
        <v>0</v>
      </c>
      <c r="BW2509" t="s">
        <v>0</v>
      </c>
      <c r="BX2509">
        <v>0</v>
      </c>
      <c r="BY2509">
        <v>0</v>
      </c>
      <c r="BZ2509">
        <v>0</v>
      </c>
      <c r="CA2509">
        <v>0</v>
      </c>
      <c r="CB2509" t="s">
        <v>145</v>
      </c>
    </row>
    <row r="2510" spans="67:80" x14ac:dyDescent="0.25">
      <c r="BO2510">
        <v>0</v>
      </c>
      <c r="BP2510">
        <v>0</v>
      </c>
      <c r="BQ2510">
        <v>0</v>
      </c>
      <c r="BR2510">
        <v>0</v>
      </c>
      <c r="BS2510">
        <v>0</v>
      </c>
      <c r="BT2510">
        <v>0</v>
      </c>
      <c r="BU2510">
        <v>0</v>
      </c>
      <c r="BV2510">
        <v>0</v>
      </c>
      <c r="BW2510" t="s">
        <v>0</v>
      </c>
      <c r="BX2510">
        <v>0</v>
      </c>
      <c r="BY2510">
        <v>0</v>
      </c>
      <c r="BZ2510">
        <v>0</v>
      </c>
      <c r="CA2510">
        <v>0</v>
      </c>
      <c r="CB2510" t="s">
        <v>145</v>
      </c>
    </row>
    <row r="2511" spans="67:80" x14ac:dyDescent="0.25">
      <c r="BO2511">
        <v>0</v>
      </c>
      <c r="BP2511">
        <v>0</v>
      </c>
      <c r="BQ2511">
        <v>0</v>
      </c>
      <c r="BR2511">
        <v>0</v>
      </c>
      <c r="BS2511">
        <v>0</v>
      </c>
      <c r="BT2511">
        <v>0</v>
      </c>
      <c r="BU2511">
        <v>0</v>
      </c>
      <c r="BV2511">
        <v>0</v>
      </c>
      <c r="BW2511" t="s">
        <v>0</v>
      </c>
      <c r="BX2511">
        <v>0</v>
      </c>
      <c r="BY2511">
        <v>0</v>
      </c>
      <c r="BZ2511">
        <v>0</v>
      </c>
      <c r="CA2511">
        <v>0</v>
      </c>
      <c r="CB2511" t="s">
        <v>145</v>
      </c>
    </row>
    <row r="2512" spans="67:80" x14ac:dyDescent="0.25">
      <c r="BO2512">
        <v>0</v>
      </c>
      <c r="BP2512">
        <v>0</v>
      </c>
      <c r="BQ2512">
        <v>0</v>
      </c>
      <c r="BR2512">
        <v>0</v>
      </c>
      <c r="BS2512">
        <v>0</v>
      </c>
      <c r="BT2512">
        <v>0</v>
      </c>
      <c r="BU2512">
        <v>0</v>
      </c>
      <c r="BV2512">
        <v>0</v>
      </c>
      <c r="BW2512" t="s">
        <v>0</v>
      </c>
      <c r="BX2512">
        <v>0</v>
      </c>
      <c r="BY2512">
        <v>0</v>
      </c>
      <c r="BZ2512">
        <v>0</v>
      </c>
      <c r="CA2512">
        <v>0</v>
      </c>
      <c r="CB2512" t="s">
        <v>145</v>
      </c>
    </row>
    <row r="2513" spans="67:80" x14ac:dyDescent="0.25">
      <c r="BO2513">
        <v>0</v>
      </c>
      <c r="BP2513">
        <v>0</v>
      </c>
      <c r="BQ2513">
        <v>0</v>
      </c>
      <c r="BR2513">
        <v>0</v>
      </c>
      <c r="BS2513">
        <v>0</v>
      </c>
      <c r="BT2513">
        <v>0</v>
      </c>
      <c r="BU2513">
        <v>0</v>
      </c>
      <c r="BV2513">
        <v>0</v>
      </c>
      <c r="BW2513" t="s">
        <v>0</v>
      </c>
      <c r="BX2513">
        <v>0</v>
      </c>
      <c r="BY2513">
        <v>0</v>
      </c>
      <c r="BZ2513">
        <v>0</v>
      </c>
      <c r="CA2513">
        <v>0</v>
      </c>
      <c r="CB2513" t="s">
        <v>145</v>
      </c>
    </row>
    <row r="2514" spans="67:80" x14ac:dyDescent="0.25">
      <c r="BO2514">
        <v>0</v>
      </c>
      <c r="BP2514">
        <v>0</v>
      </c>
      <c r="BQ2514">
        <v>0</v>
      </c>
      <c r="BR2514">
        <v>0</v>
      </c>
      <c r="BS2514">
        <v>0</v>
      </c>
      <c r="BT2514">
        <v>0</v>
      </c>
      <c r="BU2514">
        <v>0</v>
      </c>
      <c r="BV2514">
        <v>0</v>
      </c>
      <c r="BW2514" t="s">
        <v>0</v>
      </c>
      <c r="BX2514">
        <v>0</v>
      </c>
      <c r="BY2514">
        <v>0</v>
      </c>
      <c r="BZ2514">
        <v>0</v>
      </c>
      <c r="CA2514">
        <v>0</v>
      </c>
      <c r="CB2514" t="s">
        <v>145</v>
      </c>
    </row>
    <row r="2515" spans="67:80" x14ac:dyDescent="0.25">
      <c r="BO2515">
        <v>0</v>
      </c>
      <c r="BP2515">
        <v>0</v>
      </c>
      <c r="BQ2515">
        <v>0</v>
      </c>
      <c r="BR2515">
        <v>0</v>
      </c>
      <c r="BS2515">
        <v>0</v>
      </c>
      <c r="BT2515">
        <v>0</v>
      </c>
      <c r="BU2515">
        <v>0</v>
      </c>
      <c r="BV2515">
        <v>0</v>
      </c>
      <c r="BW2515" t="s">
        <v>0</v>
      </c>
      <c r="BX2515">
        <v>0</v>
      </c>
      <c r="BY2515">
        <v>0</v>
      </c>
      <c r="BZ2515">
        <v>0</v>
      </c>
      <c r="CA2515">
        <v>0</v>
      </c>
      <c r="CB2515" t="s">
        <v>145</v>
      </c>
    </row>
    <row r="2516" spans="67:80" x14ac:dyDescent="0.25">
      <c r="BO2516">
        <v>0</v>
      </c>
      <c r="BP2516">
        <v>0</v>
      </c>
      <c r="BQ2516">
        <v>0</v>
      </c>
      <c r="BR2516">
        <v>0</v>
      </c>
      <c r="BS2516">
        <v>0</v>
      </c>
      <c r="BT2516">
        <v>0</v>
      </c>
      <c r="BU2516">
        <v>0</v>
      </c>
      <c r="BV2516">
        <v>0</v>
      </c>
      <c r="BW2516" t="s">
        <v>0</v>
      </c>
      <c r="BX2516">
        <v>0</v>
      </c>
      <c r="BY2516">
        <v>0</v>
      </c>
      <c r="BZ2516">
        <v>0</v>
      </c>
      <c r="CA2516">
        <v>0</v>
      </c>
      <c r="CB2516" t="s">
        <v>145</v>
      </c>
    </row>
    <row r="2517" spans="67:80" x14ac:dyDescent="0.25">
      <c r="BO2517">
        <v>0</v>
      </c>
      <c r="BP2517">
        <v>0</v>
      </c>
      <c r="BQ2517">
        <v>0</v>
      </c>
      <c r="BR2517">
        <v>0</v>
      </c>
      <c r="BS2517">
        <v>0</v>
      </c>
      <c r="BT2517">
        <v>0</v>
      </c>
      <c r="BU2517">
        <v>0</v>
      </c>
      <c r="BV2517">
        <v>0</v>
      </c>
      <c r="BW2517" t="s">
        <v>0</v>
      </c>
      <c r="BX2517">
        <v>0</v>
      </c>
      <c r="BY2517">
        <v>0</v>
      </c>
      <c r="BZ2517">
        <v>0</v>
      </c>
      <c r="CA2517">
        <v>0</v>
      </c>
      <c r="CB2517" t="s">
        <v>145</v>
      </c>
    </row>
    <row r="2518" spans="67:80" x14ac:dyDescent="0.25">
      <c r="BO2518">
        <v>0</v>
      </c>
      <c r="BP2518">
        <v>0</v>
      </c>
      <c r="BQ2518">
        <v>0</v>
      </c>
      <c r="BR2518">
        <v>0</v>
      </c>
      <c r="BS2518">
        <v>0</v>
      </c>
      <c r="BT2518">
        <v>0</v>
      </c>
      <c r="BU2518">
        <v>0</v>
      </c>
      <c r="BV2518">
        <v>0</v>
      </c>
      <c r="BW2518" t="s">
        <v>0</v>
      </c>
      <c r="BX2518">
        <v>0</v>
      </c>
      <c r="BY2518">
        <v>0</v>
      </c>
      <c r="BZ2518">
        <v>0</v>
      </c>
      <c r="CA2518">
        <v>0</v>
      </c>
      <c r="CB2518" t="s">
        <v>145</v>
      </c>
    </row>
    <row r="2519" spans="67:80" x14ac:dyDescent="0.25">
      <c r="BO2519">
        <v>0</v>
      </c>
      <c r="BP2519">
        <v>0</v>
      </c>
      <c r="BQ2519">
        <v>0</v>
      </c>
      <c r="BR2519">
        <v>0</v>
      </c>
      <c r="BS2519">
        <v>0</v>
      </c>
      <c r="BT2519">
        <v>0</v>
      </c>
      <c r="BU2519">
        <v>0</v>
      </c>
      <c r="BV2519">
        <v>0</v>
      </c>
      <c r="BW2519" t="s">
        <v>0</v>
      </c>
      <c r="BX2519">
        <v>0</v>
      </c>
      <c r="BY2519">
        <v>0</v>
      </c>
      <c r="BZ2519">
        <v>0</v>
      </c>
      <c r="CA2519">
        <v>0</v>
      </c>
      <c r="CB2519" t="s">
        <v>145</v>
      </c>
    </row>
    <row r="2520" spans="67:80" x14ac:dyDescent="0.25">
      <c r="BO2520">
        <v>0</v>
      </c>
      <c r="BP2520">
        <v>0</v>
      </c>
      <c r="BQ2520">
        <v>0</v>
      </c>
      <c r="BR2520">
        <v>0</v>
      </c>
      <c r="BS2520">
        <v>0</v>
      </c>
      <c r="BT2520">
        <v>0</v>
      </c>
      <c r="BU2520">
        <v>0</v>
      </c>
      <c r="BV2520">
        <v>0</v>
      </c>
      <c r="BW2520" t="s">
        <v>0</v>
      </c>
      <c r="BX2520">
        <v>0</v>
      </c>
      <c r="BY2520">
        <v>0</v>
      </c>
      <c r="BZ2520">
        <v>0</v>
      </c>
      <c r="CA2520">
        <v>0</v>
      </c>
      <c r="CB2520" t="s">
        <v>145</v>
      </c>
    </row>
    <row r="2521" spans="67:80" x14ac:dyDescent="0.25">
      <c r="BO2521">
        <v>0</v>
      </c>
      <c r="BP2521">
        <v>0</v>
      </c>
      <c r="BQ2521">
        <v>0</v>
      </c>
      <c r="BR2521">
        <v>0</v>
      </c>
      <c r="BS2521">
        <v>0</v>
      </c>
      <c r="BT2521">
        <v>0</v>
      </c>
      <c r="BU2521">
        <v>0</v>
      </c>
      <c r="BV2521">
        <v>0</v>
      </c>
      <c r="BW2521" t="s">
        <v>0</v>
      </c>
      <c r="BX2521">
        <v>0</v>
      </c>
      <c r="BY2521">
        <v>0</v>
      </c>
      <c r="BZ2521">
        <v>0</v>
      </c>
      <c r="CA2521">
        <v>0</v>
      </c>
      <c r="CB2521" t="s">
        <v>145</v>
      </c>
    </row>
    <row r="2522" spans="67:80" x14ac:dyDescent="0.25">
      <c r="BO2522">
        <v>0</v>
      </c>
      <c r="BP2522">
        <v>0</v>
      </c>
      <c r="BQ2522">
        <v>0</v>
      </c>
      <c r="BR2522">
        <v>0</v>
      </c>
      <c r="BS2522">
        <v>0</v>
      </c>
      <c r="BT2522">
        <v>0</v>
      </c>
      <c r="BU2522">
        <v>0</v>
      </c>
      <c r="BV2522">
        <v>0</v>
      </c>
      <c r="BW2522" t="s">
        <v>0</v>
      </c>
      <c r="BX2522">
        <v>0</v>
      </c>
      <c r="BY2522">
        <v>0</v>
      </c>
      <c r="BZ2522">
        <v>0</v>
      </c>
      <c r="CA2522">
        <v>0</v>
      </c>
      <c r="CB2522" t="s">
        <v>145</v>
      </c>
    </row>
    <row r="2523" spans="67:80" x14ac:dyDescent="0.25">
      <c r="BO2523">
        <v>0</v>
      </c>
      <c r="BP2523">
        <v>0</v>
      </c>
      <c r="BQ2523">
        <v>0</v>
      </c>
      <c r="BR2523">
        <v>0</v>
      </c>
      <c r="BS2523">
        <v>0</v>
      </c>
      <c r="BT2523">
        <v>0</v>
      </c>
      <c r="BU2523">
        <v>0</v>
      </c>
      <c r="BV2523">
        <v>0</v>
      </c>
      <c r="BW2523" t="s">
        <v>0</v>
      </c>
      <c r="BX2523">
        <v>0</v>
      </c>
      <c r="BY2523">
        <v>0</v>
      </c>
      <c r="BZ2523">
        <v>0</v>
      </c>
      <c r="CA2523">
        <v>0</v>
      </c>
      <c r="CB2523" t="s">
        <v>145</v>
      </c>
    </row>
    <row r="2524" spans="67:80" x14ac:dyDescent="0.25">
      <c r="BO2524">
        <v>0</v>
      </c>
      <c r="BP2524">
        <v>0</v>
      </c>
      <c r="BQ2524">
        <v>0</v>
      </c>
      <c r="BR2524">
        <v>0</v>
      </c>
      <c r="BS2524">
        <v>0</v>
      </c>
      <c r="BT2524">
        <v>0</v>
      </c>
      <c r="BU2524">
        <v>0</v>
      </c>
      <c r="BV2524">
        <v>0</v>
      </c>
      <c r="BW2524" t="s">
        <v>0</v>
      </c>
      <c r="BX2524">
        <v>0</v>
      </c>
      <c r="BY2524">
        <v>0</v>
      </c>
      <c r="BZ2524">
        <v>0</v>
      </c>
      <c r="CA2524">
        <v>0</v>
      </c>
      <c r="CB2524" t="s">
        <v>145</v>
      </c>
    </row>
    <row r="2525" spans="67:80" x14ac:dyDescent="0.25">
      <c r="BO2525">
        <v>0</v>
      </c>
      <c r="BP2525">
        <v>0</v>
      </c>
      <c r="BQ2525">
        <v>0</v>
      </c>
      <c r="BR2525">
        <v>0</v>
      </c>
      <c r="BS2525">
        <v>0</v>
      </c>
      <c r="BT2525">
        <v>0</v>
      </c>
      <c r="BU2525">
        <v>0</v>
      </c>
      <c r="BV2525">
        <v>0</v>
      </c>
      <c r="BW2525" t="s">
        <v>0</v>
      </c>
      <c r="BX2525">
        <v>0</v>
      </c>
      <c r="BY2525">
        <v>0</v>
      </c>
      <c r="BZ2525">
        <v>0</v>
      </c>
      <c r="CA2525">
        <v>0</v>
      </c>
      <c r="CB2525" t="s">
        <v>145</v>
      </c>
    </row>
    <row r="2526" spans="67:80" x14ac:dyDescent="0.25">
      <c r="BO2526">
        <v>0</v>
      </c>
      <c r="BP2526">
        <v>0</v>
      </c>
      <c r="BQ2526">
        <v>0</v>
      </c>
      <c r="BR2526">
        <v>0</v>
      </c>
      <c r="BS2526">
        <v>0</v>
      </c>
      <c r="BT2526">
        <v>0</v>
      </c>
      <c r="BU2526">
        <v>0</v>
      </c>
      <c r="BV2526">
        <v>0</v>
      </c>
      <c r="BW2526" t="s">
        <v>0</v>
      </c>
      <c r="BX2526">
        <v>0</v>
      </c>
      <c r="BY2526">
        <v>0</v>
      </c>
      <c r="BZ2526">
        <v>0</v>
      </c>
      <c r="CA2526">
        <v>0</v>
      </c>
      <c r="CB2526" t="s">
        <v>145</v>
      </c>
    </row>
    <row r="2527" spans="67:80" x14ac:dyDescent="0.25">
      <c r="BO2527">
        <v>0</v>
      </c>
      <c r="BP2527">
        <v>0</v>
      </c>
      <c r="BQ2527">
        <v>0</v>
      </c>
      <c r="BR2527">
        <v>0</v>
      </c>
      <c r="BS2527">
        <v>0</v>
      </c>
      <c r="BT2527">
        <v>0</v>
      </c>
      <c r="BU2527">
        <v>0</v>
      </c>
      <c r="BV2527">
        <v>0</v>
      </c>
      <c r="BW2527" t="s">
        <v>0</v>
      </c>
      <c r="BX2527">
        <v>0</v>
      </c>
      <c r="BY2527">
        <v>0</v>
      </c>
      <c r="BZ2527">
        <v>0</v>
      </c>
      <c r="CA2527">
        <v>0</v>
      </c>
      <c r="CB2527" t="s">
        <v>145</v>
      </c>
    </row>
    <row r="2528" spans="67:80" x14ac:dyDescent="0.25">
      <c r="BO2528">
        <v>0</v>
      </c>
      <c r="BP2528">
        <v>0</v>
      </c>
      <c r="BQ2528">
        <v>0</v>
      </c>
      <c r="BR2528">
        <v>0</v>
      </c>
      <c r="BS2528">
        <v>0</v>
      </c>
      <c r="BT2528">
        <v>0</v>
      </c>
      <c r="BU2528">
        <v>0</v>
      </c>
      <c r="BV2528">
        <v>0</v>
      </c>
      <c r="BW2528" t="s">
        <v>0</v>
      </c>
      <c r="BX2528">
        <v>0</v>
      </c>
      <c r="BY2528">
        <v>0</v>
      </c>
      <c r="BZ2528">
        <v>0</v>
      </c>
      <c r="CA2528">
        <v>0</v>
      </c>
      <c r="CB2528" t="s">
        <v>145</v>
      </c>
    </row>
    <row r="2529" spans="67:80" x14ac:dyDescent="0.25">
      <c r="BO2529">
        <v>0</v>
      </c>
      <c r="BP2529">
        <v>0</v>
      </c>
      <c r="BQ2529">
        <v>0</v>
      </c>
      <c r="BR2529">
        <v>0</v>
      </c>
      <c r="BS2529">
        <v>0</v>
      </c>
      <c r="BT2529">
        <v>0</v>
      </c>
      <c r="BU2529">
        <v>0</v>
      </c>
      <c r="BV2529">
        <v>0</v>
      </c>
      <c r="BW2529" t="s">
        <v>0</v>
      </c>
      <c r="BX2529">
        <v>0</v>
      </c>
      <c r="BY2529">
        <v>0</v>
      </c>
      <c r="BZ2529">
        <v>0</v>
      </c>
      <c r="CA2529">
        <v>0</v>
      </c>
      <c r="CB2529" t="s">
        <v>145</v>
      </c>
    </row>
    <row r="2530" spans="67:80" x14ac:dyDescent="0.25">
      <c r="BO2530">
        <v>0</v>
      </c>
      <c r="BP2530">
        <v>0</v>
      </c>
      <c r="BQ2530">
        <v>0</v>
      </c>
      <c r="BR2530">
        <v>0</v>
      </c>
      <c r="BS2530">
        <v>0</v>
      </c>
      <c r="BT2530">
        <v>0</v>
      </c>
      <c r="BU2530">
        <v>0</v>
      </c>
      <c r="BV2530">
        <v>0</v>
      </c>
      <c r="BW2530" t="s">
        <v>0</v>
      </c>
      <c r="BX2530">
        <v>0</v>
      </c>
      <c r="BY2530">
        <v>0</v>
      </c>
      <c r="BZ2530">
        <v>0</v>
      </c>
      <c r="CA2530">
        <v>0</v>
      </c>
      <c r="CB2530" t="s">
        <v>145</v>
      </c>
    </row>
    <row r="2531" spans="67:80" x14ac:dyDescent="0.25">
      <c r="BO2531">
        <v>0</v>
      </c>
      <c r="BP2531">
        <v>0</v>
      </c>
      <c r="BQ2531">
        <v>0</v>
      </c>
      <c r="BR2531">
        <v>0</v>
      </c>
      <c r="BS2531">
        <v>0</v>
      </c>
      <c r="BT2531">
        <v>0</v>
      </c>
      <c r="BU2531">
        <v>0</v>
      </c>
      <c r="BV2531">
        <v>0</v>
      </c>
      <c r="BW2531" t="s">
        <v>0</v>
      </c>
      <c r="BX2531">
        <v>0</v>
      </c>
      <c r="BY2531">
        <v>0</v>
      </c>
      <c r="BZ2531">
        <v>0</v>
      </c>
      <c r="CA2531">
        <v>0</v>
      </c>
      <c r="CB2531" t="s">
        <v>145</v>
      </c>
    </row>
    <row r="2532" spans="67:80" x14ac:dyDescent="0.25">
      <c r="BO2532">
        <v>0</v>
      </c>
      <c r="BP2532">
        <v>0</v>
      </c>
      <c r="BQ2532">
        <v>0</v>
      </c>
      <c r="BR2532">
        <v>0</v>
      </c>
      <c r="BS2532">
        <v>0</v>
      </c>
      <c r="BT2532">
        <v>0</v>
      </c>
      <c r="BU2532">
        <v>0</v>
      </c>
      <c r="BV2532">
        <v>0</v>
      </c>
      <c r="BW2532" t="s">
        <v>0</v>
      </c>
      <c r="BX2532">
        <v>0</v>
      </c>
      <c r="BY2532">
        <v>0</v>
      </c>
      <c r="BZ2532">
        <v>0</v>
      </c>
      <c r="CA2532">
        <v>0</v>
      </c>
      <c r="CB2532" t="s">
        <v>145</v>
      </c>
    </row>
    <row r="2533" spans="67:80" x14ac:dyDescent="0.25">
      <c r="BO2533">
        <v>0</v>
      </c>
      <c r="BP2533">
        <v>0</v>
      </c>
      <c r="BQ2533">
        <v>0</v>
      </c>
      <c r="BR2533">
        <v>0</v>
      </c>
      <c r="BS2533">
        <v>0</v>
      </c>
      <c r="BT2533">
        <v>0</v>
      </c>
      <c r="BU2533">
        <v>0</v>
      </c>
      <c r="BV2533">
        <v>0</v>
      </c>
      <c r="BW2533" t="s">
        <v>0</v>
      </c>
      <c r="BX2533">
        <v>0</v>
      </c>
      <c r="BY2533">
        <v>0</v>
      </c>
      <c r="BZ2533">
        <v>0</v>
      </c>
      <c r="CA2533">
        <v>0</v>
      </c>
      <c r="CB2533" t="s">
        <v>145</v>
      </c>
    </row>
    <row r="2534" spans="67:80" x14ac:dyDescent="0.25">
      <c r="BO2534">
        <v>0</v>
      </c>
      <c r="BP2534">
        <v>0</v>
      </c>
      <c r="BQ2534">
        <v>0</v>
      </c>
      <c r="BR2534">
        <v>0</v>
      </c>
      <c r="BS2534">
        <v>0</v>
      </c>
      <c r="BT2534">
        <v>0</v>
      </c>
      <c r="BU2534">
        <v>0</v>
      </c>
      <c r="BV2534">
        <v>0</v>
      </c>
      <c r="BW2534" t="s">
        <v>0</v>
      </c>
      <c r="BX2534">
        <v>0</v>
      </c>
      <c r="BY2534">
        <v>0</v>
      </c>
      <c r="BZ2534">
        <v>0</v>
      </c>
      <c r="CA2534">
        <v>0</v>
      </c>
      <c r="CB2534" t="s">
        <v>145</v>
      </c>
    </row>
    <row r="2535" spans="67:80" x14ac:dyDescent="0.25">
      <c r="BO2535">
        <v>0</v>
      </c>
      <c r="BP2535">
        <v>0</v>
      </c>
      <c r="BQ2535">
        <v>0</v>
      </c>
      <c r="BR2535">
        <v>0</v>
      </c>
      <c r="BS2535">
        <v>0</v>
      </c>
      <c r="BT2535">
        <v>0</v>
      </c>
      <c r="BU2535">
        <v>0</v>
      </c>
      <c r="BV2535">
        <v>0</v>
      </c>
      <c r="BW2535" t="s">
        <v>0</v>
      </c>
      <c r="BX2535">
        <v>0</v>
      </c>
      <c r="BY2535">
        <v>0</v>
      </c>
      <c r="BZ2535">
        <v>0</v>
      </c>
      <c r="CA2535">
        <v>0</v>
      </c>
      <c r="CB2535" t="s">
        <v>145</v>
      </c>
    </row>
    <row r="2536" spans="67:80" x14ac:dyDescent="0.25">
      <c r="BO2536">
        <v>0</v>
      </c>
      <c r="BP2536">
        <v>0</v>
      </c>
      <c r="BQ2536">
        <v>0</v>
      </c>
      <c r="BR2536">
        <v>0</v>
      </c>
      <c r="BS2536">
        <v>0</v>
      </c>
      <c r="BT2536">
        <v>0</v>
      </c>
      <c r="BU2536">
        <v>0</v>
      </c>
      <c r="BV2536">
        <v>0</v>
      </c>
      <c r="BW2536" t="s">
        <v>0</v>
      </c>
      <c r="BX2536">
        <v>0</v>
      </c>
      <c r="BY2536">
        <v>0</v>
      </c>
      <c r="BZ2536">
        <v>0</v>
      </c>
      <c r="CA2536">
        <v>0</v>
      </c>
      <c r="CB2536" t="s">
        <v>145</v>
      </c>
    </row>
    <row r="2537" spans="67:80" x14ac:dyDescent="0.25">
      <c r="BO2537">
        <v>0</v>
      </c>
      <c r="BP2537">
        <v>0</v>
      </c>
      <c r="BQ2537">
        <v>0</v>
      </c>
      <c r="BR2537">
        <v>0</v>
      </c>
      <c r="BS2537">
        <v>0</v>
      </c>
      <c r="BT2537">
        <v>0</v>
      </c>
      <c r="BU2537">
        <v>0</v>
      </c>
      <c r="BV2537">
        <v>0</v>
      </c>
      <c r="BW2537" t="s">
        <v>0</v>
      </c>
      <c r="BX2537">
        <v>0</v>
      </c>
      <c r="BY2537">
        <v>0</v>
      </c>
      <c r="BZ2537">
        <v>0</v>
      </c>
      <c r="CA2537">
        <v>0</v>
      </c>
      <c r="CB2537" t="s">
        <v>145</v>
      </c>
    </row>
    <row r="2538" spans="67:80" x14ac:dyDescent="0.25">
      <c r="BO2538">
        <v>0</v>
      </c>
      <c r="BP2538">
        <v>0</v>
      </c>
      <c r="BQ2538">
        <v>0</v>
      </c>
      <c r="BR2538">
        <v>0</v>
      </c>
      <c r="BS2538">
        <v>0</v>
      </c>
      <c r="BT2538">
        <v>0</v>
      </c>
      <c r="BU2538">
        <v>0</v>
      </c>
      <c r="BV2538">
        <v>0</v>
      </c>
      <c r="BW2538" t="s">
        <v>0</v>
      </c>
      <c r="BX2538">
        <v>0</v>
      </c>
      <c r="BY2538">
        <v>0</v>
      </c>
      <c r="BZ2538">
        <v>0</v>
      </c>
      <c r="CA2538">
        <v>0</v>
      </c>
      <c r="CB2538" t="s">
        <v>145</v>
      </c>
    </row>
    <row r="2539" spans="67:80" x14ac:dyDescent="0.25">
      <c r="BO2539">
        <v>0</v>
      </c>
      <c r="BP2539">
        <v>0</v>
      </c>
      <c r="BQ2539">
        <v>0</v>
      </c>
      <c r="BR2539">
        <v>0</v>
      </c>
      <c r="BS2539">
        <v>0</v>
      </c>
      <c r="BT2539">
        <v>0</v>
      </c>
      <c r="BU2539">
        <v>0</v>
      </c>
      <c r="BV2539">
        <v>0</v>
      </c>
      <c r="BW2539" t="s">
        <v>0</v>
      </c>
      <c r="BX2539">
        <v>0</v>
      </c>
      <c r="BY2539">
        <v>0</v>
      </c>
      <c r="BZ2539">
        <v>0</v>
      </c>
      <c r="CA2539">
        <v>0</v>
      </c>
      <c r="CB2539" t="s">
        <v>145</v>
      </c>
    </row>
    <row r="2540" spans="67:80" x14ac:dyDescent="0.25">
      <c r="BO2540">
        <v>0</v>
      </c>
      <c r="BP2540">
        <v>0</v>
      </c>
      <c r="BQ2540">
        <v>0</v>
      </c>
      <c r="BR2540">
        <v>0</v>
      </c>
      <c r="BS2540">
        <v>0</v>
      </c>
      <c r="BT2540">
        <v>0</v>
      </c>
      <c r="BU2540">
        <v>0</v>
      </c>
      <c r="BV2540">
        <v>0</v>
      </c>
      <c r="BW2540" t="s">
        <v>0</v>
      </c>
      <c r="BX2540">
        <v>0</v>
      </c>
      <c r="BY2540">
        <v>0</v>
      </c>
      <c r="BZ2540">
        <v>0</v>
      </c>
      <c r="CA2540">
        <v>0</v>
      </c>
      <c r="CB2540" t="s">
        <v>145</v>
      </c>
    </row>
    <row r="2541" spans="67:80" x14ac:dyDescent="0.25">
      <c r="BO2541">
        <v>0</v>
      </c>
      <c r="BP2541">
        <v>0</v>
      </c>
      <c r="BQ2541">
        <v>0</v>
      </c>
      <c r="BR2541">
        <v>0</v>
      </c>
      <c r="BS2541">
        <v>0</v>
      </c>
      <c r="BT2541">
        <v>0</v>
      </c>
      <c r="BU2541">
        <v>0</v>
      </c>
      <c r="BV2541">
        <v>0</v>
      </c>
      <c r="BW2541" t="s">
        <v>0</v>
      </c>
      <c r="BX2541">
        <v>0</v>
      </c>
      <c r="BY2541">
        <v>0</v>
      </c>
      <c r="BZ2541">
        <v>0</v>
      </c>
      <c r="CA2541">
        <v>0</v>
      </c>
      <c r="CB2541" t="s">
        <v>145</v>
      </c>
    </row>
    <row r="2542" spans="67:80" x14ac:dyDescent="0.25">
      <c r="BO2542">
        <v>0</v>
      </c>
      <c r="BP2542">
        <v>0</v>
      </c>
      <c r="BQ2542">
        <v>0</v>
      </c>
      <c r="BR2542">
        <v>0</v>
      </c>
      <c r="BS2542">
        <v>0</v>
      </c>
      <c r="BT2542">
        <v>0</v>
      </c>
      <c r="BU2542">
        <v>0</v>
      </c>
      <c r="BV2542">
        <v>0</v>
      </c>
      <c r="BW2542" t="s">
        <v>0</v>
      </c>
      <c r="BX2542">
        <v>0</v>
      </c>
      <c r="BY2542">
        <v>0</v>
      </c>
      <c r="BZ2542">
        <v>0</v>
      </c>
      <c r="CA2542">
        <v>0</v>
      </c>
      <c r="CB2542" t="s">
        <v>145</v>
      </c>
    </row>
    <row r="2543" spans="67:80" x14ac:dyDescent="0.25">
      <c r="BO2543">
        <v>0</v>
      </c>
      <c r="BP2543">
        <v>0</v>
      </c>
      <c r="BQ2543">
        <v>0</v>
      </c>
      <c r="BR2543">
        <v>0</v>
      </c>
      <c r="BS2543">
        <v>0</v>
      </c>
      <c r="BT2543">
        <v>0</v>
      </c>
      <c r="BU2543">
        <v>0</v>
      </c>
      <c r="BV2543">
        <v>0</v>
      </c>
      <c r="BW2543" t="s">
        <v>0</v>
      </c>
      <c r="BX2543">
        <v>0</v>
      </c>
      <c r="BY2543">
        <v>0</v>
      </c>
      <c r="BZ2543">
        <v>0</v>
      </c>
      <c r="CA2543">
        <v>0</v>
      </c>
      <c r="CB2543" t="s">
        <v>145</v>
      </c>
    </row>
    <row r="2544" spans="67:80" x14ac:dyDescent="0.25">
      <c r="BO2544">
        <v>0</v>
      </c>
      <c r="BP2544">
        <v>0</v>
      </c>
      <c r="BQ2544">
        <v>0</v>
      </c>
      <c r="BR2544">
        <v>0</v>
      </c>
      <c r="BS2544">
        <v>0</v>
      </c>
      <c r="BT2544">
        <v>0</v>
      </c>
      <c r="BU2544">
        <v>0</v>
      </c>
      <c r="BV2544">
        <v>0</v>
      </c>
      <c r="BW2544" t="s">
        <v>0</v>
      </c>
      <c r="BX2544">
        <v>0</v>
      </c>
      <c r="BY2544">
        <v>0</v>
      </c>
      <c r="BZ2544">
        <v>0</v>
      </c>
      <c r="CA2544">
        <v>0</v>
      </c>
      <c r="CB2544" t="s">
        <v>145</v>
      </c>
    </row>
    <row r="2545" spans="67:80" x14ac:dyDescent="0.25">
      <c r="BO2545">
        <v>0</v>
      </c>
      <c r="BP2545">
        <v>0</v>
      </c>
      <c r="BQ2545">
        <v>0</v>
      </c>
      <c r="BR2545">
        <v>0</v>
      </c>
      <c r="BS2545">
        <v>0</v>
      </c>
      <c r="BT2545">
        <v>0</v>
      </c>
      <c r="BU2545">
        <v>0</v>
      </c>
      <c r="BV2545">
        <v>0</v>
      </c>
      <c r="BW2545" t="s">
        <v>0</v>
      </c>
      <c r="BX2545">
        <v>0</v>
      </c>
      <c r="BY2545">
        <v>0</v>
      </c>
      <c r="BZ2545">
        <v>0</v>
      </c>
      <c r="CA2545">
        <v>0</v>
      </c>
      <c r="CB2545" t="s">
        <v>145</v>
      </c>
    </row>
    <row r="2546" spans="67:80" x14ac:dyDescent="0.25">
      <c r="BO2546">
        <v>0</v>
      </c>
      <c r="BP2546">
        <v>0</v>
      </c>
      <c r="BQ2546">
        <v>0</v>
      </c>
      <c r="BR2546">
        <v>0</v>
      </c>
      <c r="BS2546">
        <v>0</v>
      </c>
      <c r="BT2546">
        <v>0</v>
      </c>
      <c r="BU2546">
        <v>0</v>
      </c>
      <c r="BV2546">
        <v>0</v>
      </c>
      <c r="BW2546" t="s">
        <v>0</v>
      </c>
      <c r="BX2546">
        <v>0</v>
      </c>
      <c r="BY2546">
        <v>0</v>
      </c>
      <c r="BZ2546">
        <v>0</v>
      </c>
      <c r="CA2546">
        <v>0</v>
      </c>
      <c r="CB2546" t="s">
        <v>145</v>
      </c>
    </row>
    <row r="2547" spans="67:80" x14ac:dyDescent="0.25">
      <c r="BO2547">
        <v>0</v>
      </c>
      <c r="BP2547">
        <v>0</v>
      </c>
      <c r="BQ2547">
        <v>0</v>
      </c>
      <c r="BR2547">
        <v>0</v>
      </c>
      <c r="BS2547">
        <v>0</v>
      </c>
      <c r="BT2547">
        <v>0</v>
      </c>
      <c r="BU2547">
        <v>0</v>
      </c>
      <c r="BV2547">
        <v>0</v>
      </c>
      <c r="BW2547" t="s">
        <v>0</v>
      </c>
      <c r="BX2547">
        <v>0</v>
      </c>
      <c r="BY2547">
        <v>0</v>
      </c>
      <c r="BZ2547">
        <v>0</v>
      </c>
      <c r="CA2547">
        <v>0</v>
      </c>
      <c r="CB2547" t="s">
        <v>145</v>
      </c>
    </row>
    <row r="2548" spans="67:80" x14ac:dyDescent="0.25">
      <c r="BO2548">
        <v>0</v>
      </c>
      <c r="BP2548">
        <v>0</v>
      </c>
      <c r="BQ2548">
        <v>0</v>
      </c>
      <c r="BR2548">
        <v>0</v>
      </c>
      <c r="BS2548">
        <v>0</v>
      </c>
      <c r="BT2548">
        <v>0</v>
      </c>
      <c r="BU2548">
        <v>0</v>
      </c>
      <c r="BV2548">
        <v>0</v>
      </c>
      <c r="BW2548" t="s">
        <v>0</v>
      </c>
      <c r="BX2548">
        <v>0</v>
      </c>
      <c r="BY2548">
        <v>0</v>
      </c>
      <c r="BZ2548">
        <v>0</v>
      </c>
      <c r="CA2548">
        <v>0</v>
      </c>
      <c r="CB2548" t="s">
        <v>145</v>
      </c>
    </row>
    <row r="2549" spans="67:80" x14ac:dyDescent="0.25">
      <c r="BO2549">
        <v>0</v>
      </c>
      <c r="BP2549">
        <v>0</v>
      </c>
      <c r="BQ2549">
        <v>0</v>
      </c>
      <c r="BR2549">
        <v>0</v>
      </c>
      <c r="BS2549">
        <v>0</v>
      </c>
      <c r="BT2549">
        <v>0</v>
      </c>
      <c r="BU2549">
        <v>0</v>
      </c>
      <c r="BV2549">
        <v>0</v>
      </c>
      <c r="BW2549" t="s">
        <v>0</v>
      </c>
      <c r="BX2549">
        <v>0</v>
      </c>
      <c r="BY2549">
        <v>0</v>
      </c>
      <c r="BZ2549">
        <v>0</v>
      </c>
      <c r="CA2549">
        <v>0</v>
      </c>
      <c r="CB2549" t="s">
        <v>145</v>
      </c>
    </row>
    <row r="2550" spans="67:80" x14ac:dyDescent="0.25">
      <c r="BO2550">
        <v>0</v>
      </c>
      <c r="BP2550">
        <v>0</v>
      </c>
      <c r="BQ2550">
        <v>0</v>
      </c>
      <c r="BR2550">
        <v>0</v>
      </c>
      <c r="BS2550">
        <v>0</v>
      </c>
      <c r="BT2550">
        <v>0</v>
      </c>
      <c r="BU2550">
        <v>0</v>
      </c>
      <c r="BV2550">
        <v>0</v>
      </c>
      <c r="BW2550" t="s">
        <v>0</v>
      </c>
      <c r="BX2550">
        <v>0</v>
      </c>
      <c r="BY2550">
        <v>0</v>
      </c>
      <c r="BZ2550">
        <v>0</v>
      </c>
      <c r="CA2550">
        <v>0</v>
      </c>
      <c r="CB2550" t="s">
        <v>145</v>
      </c>
    </row>
    <row r="2551" spans="67:80" x14ac:dyDescent="0.25">
      <c r="BO2551">
        <v>0</v>
      </c>
      <c r="BP2551">
        <v>0</v>
      </c>
      <c r="BQ2551">
        <v>0</v>
      </c>
      <c r="BR2551">
        <v>0</v>
      </c>
      <c r="BS2551">
        <v>0</v>
      </c>
      <c r="BT2551">
        <v>0</v>
      </c>
      <c r="BU2551">
        <v>0</v>
      </c>
      <c r="BV2551">
        <v>0</v>
      </c>
      <c r="BW2551" t="s">
        <v>0</v>
      </c>
      <c r="BX2551">
        <v>0</v>
      </c>
      <c r="BY2551">
        <v>0</v>
      </c>
      <c r="BZ2551">
        <v>0</v>
      </c>
      <c r="CA2551">
        <v>0</v>
      </c>
      <c r="CB2551" t="s">
        <v>145</v>
      </c>
    </row>
    <row r="2552" spans="67:80" x14ac:dyDescent="0.25">
      <c r="BO2552">
        <v>0</v>
      </c>
      <c r="BP2552">
        <v>0</v>
      </c>
      <c r="BQ2552">
        <v>0</v>
      </c>
      <c r="BR2552">
        <v>0</v>
      </c>
      <c r="BS2552">
        <v>0</v>
      </c>
      <c r="BT2552">
        <v>0</v>
      </c>
      <c r="BU2552">
        <v>0</v>
      </c>
      <c r="BV2552">
        <v>0</v>
      </c>
      <c r="BW2552" t="s">
        <v>0</v>
      </c>
      <c r="BX2552">
        <v>0</v>
      </c>
      <c r="BY2552">
        <v>0</v>
      </c>
      <c r="BZ2552">
        <v>0</v>
      </c>
      <c r="CA2552">
        <v>0</v>
      </c>
      <c r="CB2552" t="s">
        <v>145</v>
      </c>
    </row>
    <row r="2553" spans="67:80" x14ac:dyDescent="0.25">
      <c r="BO2553">
        <v>0</v>
      </c>
      <c r="BP2553">
        <v>0</v>
      </c>
      <c r="BQ2553">
        <v>0</v>
      </c>
      <c r="BR2553">
        <v>0</v>
      </c>
      <c r="BS2553">
        <v>0</v>
      </c>
      <c r="BT2553">
        <v>0</v>
      </c>
      <c r="BU2553">
        <v>0</v>
      </c>
      <c r="BV2553">
        <v>0</v>
      </c>
      <c r="BW2553" t="s">
        <v>0</v>
      </c>
      <c r="BX2553">
        <v>0</v>
      </c>
      <c r="BY2553">
        <v>0</v>
      </c>
      <c r="BZ2553">
        <v>0</v>
      </c>
      <c r="CA2553">
        <v>0</v>
      </c>
      <c r="CB2553" t="s">
        <v>145</v>
      </c>
    </row>
    <row r="2554" spans="67:80" x14ac:dyDescent="0.25">
      <c r="BO2554">
        <v>0</v>
      </c>
      <c r="BP2554">
        <v>0</v>
      </c>
      <c r="BQ2554">
        <v>0</v>
      </c>
      <c r="BR2554">
        <v>0</v>
      </c>
      <c r="BS2554">
        <v>0</v>
      </c>
      <c r="BT2554">
        <v>0</v>
      </c>
      <c r="BU2554">
        <v>0</v>
      </c>
      <c r="BV2554">
        <v>0</v>
      </c>
      <c r="BW2554" t="s">
        <v>0</v>
      </c>
      <c r="BX2554">
        <v>0</v>
      </c>
      <c r="BY2554">
        <v>0</v>
      </c>
      <c r="BZ2554">
        <v>0</v>
      </c>
      <c r="CA2554">
        <v>0</v>
      </c>
      <c r="CB2554" t="s">
        <v>145</v>
      </c>
    </row>
    <row r="2555" spans="67:80" x14ac:dyDescent="0.25">
      <c r="BO2555">
        <v>0</v>
      </c>
      <c r="BP2555">
        <v>0</v>
      </c>
      <c r="BQ2555">
        <v>0</v>
      </c>
      <c r="BR2555">
        <v>0</v>
      </c>
      <c r="BS2555">
        <v>0</v>
      </c>
      <c r="BT2555">
        <v>0</v>
      </c>
      <c r="BU2555">
        <v>0</v>
      </c>
      <c r="BV2555">
        <v>0</v>
      </c>
      <c r="BW2555" t="s">
        <v>0</v>
      </c>
      <c r="BX2555">
        <v>0</v>
      </c>
      <c r="BY2555">
        <v>0</v>
      </c>
      <c r="BZ2555">
        <v>0</v>
      </c>
      <c r="CA2555">
        <v>0</v>
      </c>
      <c r="CB2555" t="s">
        <v>145</v>
      </c>
    </row>
    <row r="2556" spans="67:80" x14ac:dyDescent="0.25">
      <c r="BO2556">
        <v>0</v>
      </c>
      <c r="BP2556">
        <v>0</v>
      </c>
      <c r="BQ2556">
        <v>0</v>
      </c>
      <c r="BR2556">
        <v>0</v>
      </c>
      <c r="BS2556">
        <v>0</v>
      </c>
      <c r="BT2556">
        <v>0</v>
      </c>
      <c r="BU2556">
        <v>0</v>
      </c>
      <c r="BV2556">
        <v>0</v>
      </c>
      <c r="BW2556" t="s">
        <v>0</v>
      </c>
      <c r="BX2556">
        <v>0</v>
      </c>
      <c r="BY2556">
        <v>0</v>
      </c>
      <c r="BZ2556">
        <v>0</v>
      </c>
      <c r="CA2556">
        <v>0</v>
      </c>
      <c r="CB2556" t="s">
        <v>145</v>
      </c>
    </row>
    <row r="2557" spans="67:80" x14ac:dyDescent="0.25">
      <c r="BO2557">
        <v>0</v>
      </c>
      <c r="BP2557">
        <v>0</v>
      </c>
      <c r="BQ2557">
        <v>0</v>
      </c>
      <c r="BR2557">
        <v>0</v>
      </c>
      <c r="BS2557">
        <v>0</v>
      </c>
      <c r="BT2557">
        <v>0</v>
      </c>
      <c r="BU2557">
        <v>0</v>
      </c>
      <c r="BV2557">
        <v>0</v>
      </c>
      <c r="BW2557" t="s">
        <v>0</v>
      </c>
      <c r="BX2557">
        <v>0</v>
      </c>
      <c r="BY2557">
        <v>0</v>
      </c>
      <c r="BZ2557">
        <v>0</v>
      </c>
      <c r="CA2557">
        <v>0</v>
      </c>
      <c r="CB2557" t="s">
        <v>145</v>
      </c>
    </row>
    <row r="2558" spans="67:80" x14ac:dyDescent="0.25">
      <c r="BO2558">
        <v>0</v>
      </c>
      <c r="BP2558">
        <v>0</v>
      </c>
      <c r="BQ2558">
        <v>0</v>
      </c>
      <c r="BR2558">
        <v>0</v>
      </c>
      <c r="BS2558">
        <v>0</v>
      </c>
      <c r="BT2558">
        <v>0</v>
      </c>
      <c r="BU2558">
        <v>0</v>
      </c>
      <c r="BV2558">
        <v>0</v>
      </c>
      <c r="BW2558" t="s">
        <v>0</v>
      </c>
      <c r="BX2558">
        <v>0</v>
      </c>
      <c r="BY2558">
        <v>0</v>
      </c>
      <c r="BZ2558">
        <v>0</v>
      </c>
      <c r="CA2558">
        <v>0</v>
      </c>
      <c r="CB2558" t="s">
        <v>145</v>
      </c>
    </row>
    <row r="2559" spans="67:80" x14ac:dyDescent="0.25">
      <c r="BO2559">
        <v>0</v>
      </c>
      <c r="BP2559">
        <v>0</v>
      </c>
      <c r="BQ2559">
        <v>0</v>
      </c>
      <c r="BR2559">
        <v>0</v>
      </c>
      <c r="BS2559">
        <v>0</v>
      </c>
      <c r="BT2559">
        <v>0</v>
      </c>
      <c r="BU2559">
        <v>0</v>
      </c>
      <c r="BV2559">
        <v>0</v>
      </c>
      <c r="BW2559" t="s">
        <v>0</v>
      </c>
      <c r="BX2559">
        <v>0</v>
      </c>
      <c r="BY2559">
        <v>0</v>
      </c>
      <c r="BZ2559">
        <v>0</v>
      </c>
      <c r="CA2559">
        <v>0</v>
      </c>
      <c r="CB2559" t="s">
        <v>145</v>
      </c>
    </row>
    <row r="2560" spans="67:80" x14ac:dyDescent="0.25">
      <c r="BO2560">
        <v>0</v>
      </c>
      <c r="BP2560">
        <v>0</v>
      </c>
      <c r="BQ2560">
        <v>0</v>
      </c>
      <c r="BR2560">
        <v>0</v>
      </c>
      <c r="BS2560">
        <v>0</v>
      </c>
      <c r="BT2560">
        <v>0</v>
      </c>
      <c r="BU2560">
        <v>0</v>
      </c>
      <c r="BV2560">
        <v>0</v>
      </c>
      <c r="BW2560" t="s">
        <v>0</v>
      </c>
      <c r="BX2560">
        <v>0</v>
      </c>
      <c r="BY2560">
        <v>0</v>
      </c>
      <c r="BZ2560">
        <v>0</v>
      </c>
      <c r="CA2560">
        <v>0</v>
      </c>
      <c r="CB2560" t="s">
        <v>145</v>
      </c>
    </row>
    <row r="2561" spans="67:80" x14ac:dyDescent="0.25">
      <c r="BO2561">
        <v>0</v>
      </c>
      <c r="BP2561">
        <v>0</v>
      </c>
      <c r="BQ2561">
        <v>0</v>
      </c>
      <c r="BR2561">
        <v>0</v>
      </c>
      <c r="BS2561">
        <v>0</v>
      </c>
      <c r="BT2561">
        <v>0</v>
      </c>
      <c r="BU2561">
        <v>0</v>
      </c>
      <c r="BV2561">
        <v>0</v>
      </c>
      <c r="BW2561" t="s">
        <v>0</v>
      </c>
      <c r="BX2561">
        <v>0</v>
      </c>
      <c r="BY2561">
        <v>0</v>
      </c>
      <c r="BZ2561">
        <v>0</v>
      </c>
      <c r="CA2561">
        <v>0</v>
      </c>
      <c r="CB2561" t="s">
        <v>145</v>
      </c>
    </row>
    <row r="2562" spans="67:80" x14ac:dyDescent="0.25">
      <c r="BO2562">
        <v>0</v>
      </c>
      <c r="BP2562">
        <v>0</v>
      </c>
      <c r="BQ2562">
        <v>0</v>
      </c>
      <c r="BR2562">
        <v>0</v>
      </c>
      <c r="BS2562">
        <v>0</v>
      </c>
      <c r="BT2562">
        <v>0</v>
      </c>
      <c r="BU2562">
        <v>0</v>
      </c>
      <c r="BV2562">
        <v>0</v>
      </c>
      <c r="BW2562" t="s">
        <v>0</v>
      </c>
      <c r="BX2562">
        <v>0</v>
      </c>
      <c r="BY2562">
        <v>0</v>
      </c>
      <c r="BZ2562">
        <v>0</v>
      </c>
      <c r="CA2562">
        <v>0</v>
      </c>
      <c r="CB2562" t="s">
        <v>145</v>
      </c>
    </row>
    <row r="2563" spans="67:80" x14ac:dyDescent="0.25">
      <c r="BO2563">
        <v>0</v>
      </c>
      <c r="BP2563">
        <v>0</v>
      </c>
      <c r="BQ2563">
        <v>0</v>
      </c>
      <c r="BR2563">
        <v>0</v>
      </c>
      <c r="BS2563">
        <v>0</v>
      </c>
      <c r="BT2563">
        <v>0</v>
      </c>
      <c r="BU2563">
        <v>0</v>
      </c>
      <c r="BV2563">
        <v>0</v>
      </c>
      <c r="BW2563" t="s">
        <v>0</v>
      </c>
      <c r="BX2563">
        <v>0</v>
      </c>
      <c r="BY2563">
        <v>0</v>
      </c>
      <c r="BZ2563">
        <v>0</v>
      </c>
      <c r="CA2563">
        <v>0</v>
      </c>
      <c r="CB2563" t="s">
        <v>145</v>
      </c>
    </row>
    <row r="2564" spans="67:80" x14ac:dyDescent="0.25">
      <c r="BO2564">
        <v>0</v>
      </c>
      <c r="BP2564">
        <v>0</v>
      </c>
      <c r="BQ2564">
        <v>0</v>
      </c>
      <c r="BR2564">
        <v>0</v>
      </c>
      <c r="BS2564">
        <v>0</v>
      </c>
      <c r="BT2564">
        <v>0</v>
      </c>
      <c r="BU2564">
        <v>0</v>
      </c>
      <c r="BV2564">
        <v>0</v>
      </c>
      <c r="BW2564" t="s">
        <v>0</v>
      </c>
      <c r="BX2564">
        <v>0</v>
      </c>
      <c r="BY2564">
        <v>0</v>
      </c>
      <c r="BZ2564">
        <v>0</v>
      </c>
      <c r="CA2564">
        <v>0</v>
      </c>
      <c r="CB2564" t="s">
        <v>145</v>
      </c>
    </row>
    <row r="2565" spans="67:80" x14ac:dyDescent="0.25">
      <c r="BO2565">
        <v>0</v>
      </c>
      <c r="BP2565">
        <v>0</v>
      </c>
      <c r="BQ2565">
        <v>0</v>
      </c>
      <c r="BR2565">
        <v>0</v>
      </c>
      <c r="BS2565">
        <v>0</v>
      </c>
      <c r="BT2565">
        <v>0</v>
      </c>
      <c r="BU2565">
        <v>0</v>
      </c>
      <c r="BV2565">
        <v>0</v>
      </c>
      <c r="BW2565" t="s">
        <v>0</v>
      </c>
      <c r="BX2565">
        <v>0</v>
      </c>
      <c r="BY2565">
        <v>0</v>
      </c>
      <c r="BZ2565">
        <v>0</v>
      </c>
      <c r="CA2565">
        <v>0</v>
      </c>
      <c r="CB2565" t="s">
        <v>145</v>
      </c>
    </row>
    <row r="2566" spans="67:80" x14ac:dyDescent="0.25">
      <c r="BO2566">
        <v>0</v>
      </c>
      <c r="BP2566">
        <v>0</v>
      </c>
      <c r="BQ2566">
        <v>0</v>
      </c>
      <c r="BR2566">
        <v>0</v>
      </c>
      <c r="BS2566">
        <v>0</v>
      </c>
      <c r="BT2566">
        <v>0</v>
      </c>
      <c r="BU2566">
        <v>0</v>
      </c>
      <c r="BV2566">
        <v>0</v>
      </c>
      <c r="BW2566" t="s">
        <v>0</v>
      </c>
      <c r="BX2566">
        <v>0</v>
      </c>
      <c r="BY2566">
        <v>0</v>
      </c>
      <c r="BZ2566">
        <v>0</v>
      </c>
      <c r="CA2566">
        <v>0</v>
      </c>
      <c r="CB2566" t="s">
        <v>145</v>
      </c>
    </row>
    <row r="2567" spans="67:80" x14ac:dyDescent="0.25">
      <c r="BO2567">
        <v>0</v>
      </c>
      <c r="BP2567">
        <v>0</v>
      </c>
      <c r="BQ2567">
        <v>0</v>
      </c>
      <c r="BR2567">
        <v>0</v>
      </c>
      <c r="BS2567">
        <v>0</v>
      </c>
      <c r="BT2567">
        <v>0</v>
      </c>
      <c r="BU2567">
        <v>0</v>
      </c>
      <c r="BV2567">
        <v>0</v>
      </c>
      <c r="BW2567" t="s">
        <v>0</v>
      </c>
      <c r="BX2567">
        <v>0</v>
      </c>
      <c r="BY2567">
        <v>0</v>
      </c>
      <c r="BZ2567">
        <v>0</v>
      </c>
      <c r="CA2567">
        <v>0</v>
      </c>
      <c r="CB2567" t="s">
        <v>145</v>
      </c>
    </row>
    <row r="2568" spans="67:80" x14ac:dyDescent="0.25">
      <c r="BO2568">
        <v>0</v>
      </c>
      <c r="BP2568">
        <v>0</v>
      </c>
      <c r="BQ2568">
        <v>0</v>
      </c>
      <c r="BR2568">
        <v>0</v>
      </c>
      <c r="BS2568">
        <v>0</v>
      </c>
      <c r="BT2568">
        <v>0</v>
      </c>
      <c r="BU2568">
        <v>0</v>
      </c>
      <c r="BV2568">
        <v>0</v>
      </c>
      <c r="BW2568" t="s">
        <v>0</v>
      </c>
      <c r="BX2568">
        <v>0</v>
      </c>
      <c r="BY2568">
        <v>0</v>
      </c>
      <c r="BZ2568">
        <v>0</v>
      </c>
      <c r="CA2568">
        <v>0</v>
      </c>
      <c r="CB2568" t="s">
        <v>145</v>
      </c>
    </row>
    <row r="2569" spans="67:80" x14ac:dyDescent="0.25">
      <c r="BO2569">
        <v>0</v>
      </c>
      <c r="BP2569">
        <v>0</v>
      </c>
      <c r="BQ2569">
        <v>0</v>
      </c>
      <c r="BR2569">
        <v>0</v>
      </c>
      <c r="BS2569">
        <v>0</v>
      </c>
      <c r="BT2569">
        <v>0</v>
      </c>
      <c r="BU2569">
        <v>0</v>
      </c>
      <c r="BV2569">
        <v>0</v>
      </c>
      <c r="BW2569" t="s">
        <v>0</v>
      </c>
      <c r="BX2569">
        <v>0</v>
      </c>
      <c r="BY2569">
        <v>0</v>
      </c>
      <c r="BZ2569">
        <v>0</v>
      </c>
      <c r="CA2569">
        <v>0</v>
      </c>
      <c r="CB2569" t="s">
        <v>145</v>
      </c>
    </row>
    <row r="2570" spans="67:80" x14ac:dyDescent="0.25">
      <c r="BO2570">
        <v>0</v>
      </c>
      <c r="BP2570">
        <v>0</v>
      </c>
      <c r="BQ2570">
        <v>0</v>
      </c>
      <c r="BR2570">
        <v>0</v>
      </c>
      <c r="BS2570">
        <v>0</v>
      </c>
      <c r="BT2570">
        <v>0</v>
      </c>
      <c r="BU2570">
        <v>0</v>
      </c>
      <c r="BV2570">
        <v>0</v>
      </c>
      <c r="BW2570" t="s">
        <v>0</v>
      </c>
      <c r="BX2570">
        <v>0</v>
      </c>
      <c r="BY2570">
        <v>0</v>
      </c>
      <c r="BZ2570">
        <v>0</v>
      </c>
      <c r="CA2570">
        <v>0</v>
      </c>
      <c r="CB2570" t="s">
        <v>145</v>
      </c>
    </row>
    <row r="2571" spans="67:80" x14ac:dyDescent="0.25">
      <c r="BO2571">
        <v>0</v>
      </c>
      <c r="BP2571">
        <v>0</v>
      </c>
      <c r="BQ2571">
        <v>0</v>
      </c>
      <c r="BR2571">
        <v>0</v>
      </c>
      <c r="BS2571">
        <v>0</v>
      </c>
      <c r="BT2571">
        <v>0</v>
      </c>
      <c r="BU2571">
        <v>0</v>
      </c>
      <c r="BV2571">
        <v>0</v>
      </c>
      <c r="BW2571" t="s">
        <v>0</v>
      </c>
      <c r="BX2571">
        <v>0</v>
      </c>
      <c r="BY2571">
        <v>0</v>
      </c>
      <c r="BZ2571">
        <v>0</v>
      </c>
      <c r="CA2571">
        <v>0</v>
      </c>
      <c r="CB2571" t="s">
        <v>145</v>
      </c>
    </row>
    <row r="2572" spans="67:80" x14ac:dyDescent="0.25">
      <c r="BO2572">
        <v>0</v>
      </c>
      <c r="BP2572">
        <v>0</v>
      </c>
      <c r="BQ2572">
        <v>0</v>
      </c>
      <c r="BR2572">
        <v>0</v>
      </c>
      <c r="BS2572">
        <v>0</v>
      </c>
      <c r="BT2572">
        <v>0</v>
      </c>
      <c r="BU2572">
        <v>0</v>
      </c>
      <c r="BV2572">
        <v>0</v>
      </c>
      <c r="BW2572" t="s">
        <v>0</v>
      </c>
      <c r="BX2572">
        <v>0</v>
      </c>
      <c r="BY2572">
        <v>0</v>
      </c>
      <c r="BZ2572">
        <v>0</v>
      </c>
      <c r="CA2572">
        <v>0</v>
      </c>
      <c r="CB2572" t="s">
        <v>145</v>
      </c>
    </row>
    <row r="2573" spans="67:80" x14ac:dyDescent="0.25">
      <c r="BO2573">
        <v>0</v>
      </c>
      <c r="BP2573">
        <v>0</v>
      </c>
      <c r="BQ2573">
        <v>0</v>
      </c>
      <c r="BR2573">
        <v>0</v>
      </c>
      <c r="BS2573">
        <v>0</v>
      </c>
      <c r="BT2573">
        <v>0</v>
      </c>
      <c r="BU2573">
        <v>0</v>
      </c>
      <c r="BV2573">
        <v>0</v>
      </c>
      <c r="BW2573" t="s">
        <v>0</v>
      </c>
      <c r="BX2573">
        <v>0</v>
      </c>
      <c r="BY2573">
        <v>0</v>
      </c>
      <c r="BZ2573">
        <v>0</v>
      </c>
      <c r="CA2573">
        <v>0</v>
      </c>
      <c r="CB2573" t="s">
        <v>145</v>
      </c>
    </row>
    <row r="2574" spans="67:80" x14ac:dyDescent="0.25">
      <c r="BO2574">
        <v>0</v>
      </c>
      <c r="BP2574">
        <v>0</v>
      </c>
      <c r="BQ2574">
        <v>0</v>
      </c>
      <c r="BR2574">
        <v>0</v>
      </c>
      <c r="BS2574">
        <v>0</v>
      </c>
      <c r="BT2574">
        <v>0</v>
      </c>
      <c r="BU2574">
        <v>0</v>
      </c>
      <c r="BV2574">
        <v>0</v>
      </c>
      <c r="BW2574" t="s">
        <v>0</v>
      </c>
      <c r="BX2574">
        <v>0</v>
      </c>
      <c r="BY2574">
        <v>0</v>
      </c>
      <c r="BZ2574">
        <v>0</v>
      </c>
      <c r="CA2574">
        <v>0</v>
      </c>
      <c r="CB2574" t="s">
        <v>145</v>
      </c>
    </row>
    <row r="2575" spans="67:80" x14ac:dyDescent="0.25">
      <c r="BO2575">
        <v>0</v>
      </c>
      <c r="BP2575">
        <v>0</v>
      </c>
      <c r="BQ2575">
        <v>0</v>
      </c>
      <c r="BR2575">
        <v>0</v>
      </c>
      <c r="BS2575">
        <v>0</v>
      </c>
      <c r="BT2575">
        <v>0</v>
      </c>
      <c r="BU2575">
        <v>0</v>
      </c>
      <c r="BV2575">
        <v>0</v>
      </c>
      <c r="BW2575" t="s">
        <v>0</v>
      </c>
      <c r="BX2575">
        <v>0</v>
      </c>
      <c r="BY2575">
        <v>0</v>
      </c>
      <c r="BZ2575">
        <v>0</v>
      </c>
      <c r="CA2575">
        <v>0</v>
      </c>
      <c r="CB2575" t="s">
        <v>145</v>
      </c>
    </row>
    <row r="2576" spans="67:80" x14ac:dyDescent="0.25">
      <c r="BO2576">
        <v>0</v>
      </c>
      <c r="BP2576">
        <v>0</v>
      </c>
      <c r="BQ2576">
        <v>0</v>
      </c>
      <c r="BR2576">
        <v>0</v>
      </c>
      <c r="BS2576">
        <v>0</v>
      </c>
      <c r="BT2576">
        <v>0</v>
      </c>
      <c r="BU2576">
        <v>0</v>
      </c>
      <c r="BV2576">
        <v>0</v>
      </c>
      <c r="BW2576" t="s">
        <v>0</v>
      </c>
      <c r="BX2576">
        <v>0</v>
      </c>
      <c r="BY2576">
        <v>0</v>
      </c>
      <c r="BZ2576">
        <v>0</v>
      </c>
      <c r="CA2576">
        <v>0</v>
      </c>
      <c r="CB2576" t="s">
        <v>145</v>
      </c>
    </row>
    <row r="2577" spans="67:80" x14ac:dyDescent="0.25">
      <c r="BO2577">
        <v>0</v>
      </c>
      <c r="BP2577">
        <v>0</v>
      </c>
      <c r="BQ2577">
        <v>0</v>
      </c>
      <c r="BR2577">
        <v>0</v>
      </c>
      <c r="BS2577">
        <v>0</v>
      </c>
      <c r="BT2577">
        <v>0</v>
      </c>
      <c r="BU2577">
        <v>0</v>
      </c>
      <c r="BV2577">
        <v>0</v>
      </c>
      <c r="BW2577" t="s">
        <v>0</v>
      </c>
      <c r="BX2577">
        <v>0</v>
      </c>
      <c r="BY2577">
        <v>0</v>
      </c>
      <c r="BZ2577">
        <v>0</v>
      </c>
      <c r="CA2577">
        <v>0</v>
      </c>
      <c r="CB2577" t="s">
        <v>145</v>
      </c>
    </row>
    <row r="2578" spans="67:80" x14ac:dyDescent="0.25">
      <c r="BO2578">
        <v>0</v>
      </c>
      <c r="BP2578">
        <v>0</v>
      </c>
      <c r="BQ2578">
        <v>0</v>
      </c>
      <c r="BR2578">
        <v>0</v>
      </c>
      <c r="BS2578">
        <v>0</v>
      </c>
      <c r="BT2578">
        <v>0</v>
      </c>
      <c r="BU2578">
        <v>0</v>
      </c>
      <c r="BV2578">
        <v>0</v>
      </c>
      <c r="BW2578" t="s">
        <v>0</v>
      </c>
      <c r="BX2578">
        <v>0</v>
      </c>
      <c r="BY2578">
        <v>0</v>
      </c>
      <c r="BZ2578">
        <v>0</v>
      </c>
      <c r="CA2578">
        <v>0</v>
      </c>
      <c r="CB2578" t="s">
        <v>145</v>
      </c>
    </row>
    <row r="2579" spans="67:80" x14ac:dyDescent="0.25">
      <c r="BO2579">
        <v>0</v>
      </c>
      <c r="BP2579">
        <v>0</v>
      </c>
      <c r="BQ2579">
        <v>0</v>
      </c>
      <c r="BR2579">
        <v>0</v>
      </c>
      <c r="BS2579">
        <v>0</v>
      </c>
      <c r="BT2579">
        <v>0</v>
      </c>
      <c r="BU2579">
        <v>0</v>
      </c>
      <c r="BV2579">
        <v>0</v>
      </c>
      <c r="BW2579" t="s">
        <v>0</v>
      </c>
      <c r="BX2579">
        <v>0</v>
      </c>
      <c r="BY2579">
        <v>0</v>
      </c>
      <c r="BZ2579">
        <v>0</v>
      </c>
      <c r="CA2579">
        <v>0</v>
      </c>
      <c r="CB2579" t="s">
        <v>145</v>
      </c>
    </row>
    <row r="2580" spans="67:80" x14ac:dyDescent="0.25">
      <c r="BO2580">
        <v>0</v>
      </c>
      <c r="BP2580">
        <v>0</v>
      </c>
      <c r="BQ2580">
        <v>0</v>
      </c>
      <c r="BR2580">
        <v>0</v>
      </c>
      <c r="BS2580">
        <v>0</v>
      </c>
      <c r="BT2580">
        <v>0</v>
      </c>
      <c r="BU2580">
        <v>0</v>
      </c>
      <c r="BV2580">
        <v>0</v>
      </c>
      <c r="BW2580" t="s">
        <v>0</v>
      </c>
      <c r="BX2580">
        <v>0</v>
      </c>
      <c r="BY2580">
        <v>0</v>
      </c>
      <c r="BZ2580">
        <v>0</v>
      </c>
      <c r="CA2580">
        <v>0</v>
      </c>
      <c r="CB2580" t="s">
        <v>145</v>
      </c>
    </row>
    <row r="2581" spans="67:80" x14ac:dyDescent="0.25">
      <c r="BO2581">
        <v>0</v>
      </c>
      <c r="BP2581">
        <v>0</v>
      </c>
      <c r="BQ2581">
        <v>0</v>
      </c>
      <c r="BR2581">
        <v>0</v>
      </c>
      <c r="BS2581">
        <v>0</v>
      </c>
      <c r="BT2581">
        <v>0</v>
      </c>
      <c r="BU2581">
        <v>0</v>
      </c>
      <c r="BV2581">
        <v>0</v>
      </c>
      <c r="BW2581" t="s">
        <v>0</v>
      </c>
      <c r="BX2581">
        <v>0</v>
      </c>
      <c r="BY2581">
        <v>0</v>
      </c>
      <c r="BZ2581">
        <v>0</v>
      </c>
      <c r="CA2581">
        <v>0</v>
      </c>
      <c r="CB2581" t="s">
        <v>145</v>
      </c>
    </row>
    <row r="2582" spans="67:80" x14ac:dyDescent="0.25">
      <c r="BO2582">
        <v>0</v>
      </c>
      <c r="BP2582">
        <v>0</v>
      </c>
      <c r="BQ2582">
        <v>0</v>
      </c>
      <c r="BR2582">
        <v>0</v>
      </c>
      <c r="BS2582">
        <v>0</v>
      </c>
      <c r="BT2582">
        <v>0</v>
      </c>
      <c r="BU2582">
        <v>0</v>
      </c>
      <c r="BV2582">
        <v>0</v>
      </c>
      <c r="BW2582" t="s">
        <v>0</v>
      </c>
      <c r="BX2582">
        <v>0</v>
      </c>
      <c r="BY2582">
        <v>0</v>
      </c>
      <c r="BZ2582">
        <v>0</v>
      </c>
      <c r="CA2582">
        <v>0</v>
      </c>
      <c r="CB2582" t="s">
        <v>145</v>
      </c>
    </row>
    <row r="2583" spans="67:80" x14ac:dyDescent="0.25">
      <c r="BO2583">
        <v>0</v>
      </c>
      <c r="BP2583">
        <v>0</v>
      </c>
      <c r="BQ2583">
        <v>0</v>
      </c>
      <c r="BR2583">
        <v>0</v>
      </c>
      <c r="BS2583">
        <v>0</v>
      </c>
      <c r="BT2583">
        <v>0</v>
      </c>
      <c r="BU2583">
        <v>0</v>
      </c>
      <c r="BV2583">
        <v>0</v>
      </c>
      <c r="BW2583" t="s">
        <v>0</v>
      </c>
      <c r="BX2583">
        <v>0</v>
      </c>
      <c r="BY2583">
        <v>0</v>
      </c>
      <c r="BZ2583">
        <v>0</v>
      </c>
      <c r="CA2583">
        <v>0</v>
      </c>
      <c r="CB2583" t="s">
        <v>145</v>
      </c>
    </row>
    <row r="2584" spans="67:80" x14ac:dyDescent="0.25">
      <c r="BO2584">
        <v>0</v>
      </c>
      <c r="BP2584">
        <v>0</v>
      </c>
      <c r="BQ2584">
        <v>0</v>
      </c>
      <c r="BR2584">
        <v>0</v>
      </c>
      <c r="BS2584">
        <v>0</v>
      </c>
      <c r="BT2584">
        <v>0</v>
      </c>
      <c r="BU2584">
        <v>0</v>
      </c>
      <c r="BV2584">
        <v>0</v>
      </c>
      <c r="BW2584" t="s">
        <v>0</v>
      </c>
      <c r="BX2584">
        <v>0</v>
      </c>
      <c r="BY2584">
        <v>0</v>
      </c>
      <c r="BZ2584">
        <v>0</v>
      </c>
      <c r="CA2584">
        <v>0</v>
      </c>
      <c r="CB2584" t="s">
        <v>145</v>
      </c>
    </row>
    <row r="2585" spans="67:80" x14ac:dyDescent="0.25">
      <c r="BO2585">
        <v>0</v>
      </c>
      <c r="BP2585">
        <v>0</v>
      </c>
      <c r="BQ2585">
        <v>0</v>
      </c>
      <c r="BR2585">
        <v>0</v>
      </c>
      <c r="BS2585">
        <v>0</v>
      </c>
      <c r="BT2585">
        <v>0</v>
      </c>
      <c r="BU2585">
        <v>0</v>
      </c>
      <c r="BV2585">
        <v>0</v>
      </c>
      <c r="BW2585" t="s">
        <v>0</v>
      </c>
      <c r="BX2585">
        <v>0</v>
      </c>
      <c r="BY2585">
        <v>0</v>
      </c>
      <c r="BZ2585">
        <v>0</v>
      </c>
      <c r="CA2585">
        <v>0</v>
      </c>
      <c r="CB2585" t="s">
        <v>145</v>
      </c>
    </row>
    <row r="2586" spans="67:80" x14ac:dyDescent="0.25">
      <c r="BO2586">
        <v>0</v>
      </c>
      <c r="BP2586">
        <v>0</v>
      </c>
      <c r="BQ2586">
        <v>0</v>
      </c>
      <c r="BR2586">
        <v>0</v>
      </c>
      <c r="BS2586">
        <v>0</v>
      </c>
      <c r="BT2586">
        <v>0</v>
      </c>
      <c r="BU2586">
        <v>0</v>
      </c>
      <c r="BV2586">
        <v>0</v>
      </c>
      <c r="BW2586" t="s">
        <v>0</v>
      </c>
      <c r="BX2586">
        <v>0</v>
      </c>
      <c r="BY2586">
        <v>0</v>
      </c>
      <c r="BZ2586">
        <v>0</v>
      </c>
      <c r="CA2586">
        <v>0</v>
      </c>
      <c r="CB2586" t="s">
        <v>145</v>
      </c>
    </row>
    <row r="2587" spans="67:80" x14ac:dyDescent="0.25">
      <c r="BO2587">
        <v>0</v>
      </c>
      <c r="BP2587">
        <v>0</v>
      </c>
      <c r="BQ2587">
        <v>0</v>
      </c>
      <c r="BR2587">
        <v>0</v>
      </c>
      <c r="BS2587">
        <v>0</v>
      </c>
      <c r="BT2587">
        <v>0</v>
      </c>
      <c r="BU2587">
        <v>0</v>
      </c>
      <c r="BV2587">
        <v>0</v>
      </c>
      <c r="BW2587" t="s">
        <v>0</v>
      </c>
      <c r="BX2587">
        <v>0</v>
      </c>
      <c r="BY2587">
        <v>0</v>
      </c>
      <c r="BZ2587">
        <v>0</v>
      </c>
      <c r="CA2587">
        <v>0</v>
      </c>
      <c r="CB2587" t="s">
        <v>145</v>
      </c>
    </row>
    <row r="2588" spans="67:80" x14ac:dyDescent="0.25">
      <c r="BO2588">
        <v>0</v>
      </c>
      <c r="BP2588">
        <v>0</v>
      </c>
      <c r="BQ2588">
        <v>0</v>
      </c>
      <c r="BR2588">
        <v>0</v>
      </c>
      <c r="BS2588">
        <v>0</v>
      </c>
      <c r="BT2588">
        <v>0</v>
      </c>
      <c r="BU2588">
        <v>0</v>
      </c>
      <c r="BV2588">
        <v>0</v>
      </c>
      <c r="BW2588" t="s">
        <v>0</v>
      </c>
      <c r="BX2588">
        <v>0</v>
      </c>
      <c r="BY2588">
        <v>0</v>
      </c>
      <c r="BZ2588">
        <v>0</v>
      </c>
      <c r="CA2588">
        <v>0</v>
      </c>
      <c r="CB2588" t="s">
        <v>145</v>
      </c>
    </row>
    <row r="2589" spans="67:80" x14ac:dyDescent="0.25">
      <c r="BO2589">
        <v>0</v>
      </c>
      <c r="BP2589">
        <v>0</v>
      </c>
      <c r="BQ2589">
        <v>0</v>
      </c>
      <c r="BR2589">
        <v>0</v>
      </c>
      <c r="BS2589">
        <v>0</v>
      </c>
      <c r="BT2589">
        <v>0</v>
      </c>
      <c r="BU2589">
        <v>0</v>
      </c>
      <c r="BV2589">
        <v>0</v>
      </c>
      <c r="BW2589" t="s">
        <v>0</v>
      </c>
      <c r="BX2589">
        <v>0</v>
      </c>
      <c r="BY2589">
        <v>0</v>
      </c>
      <c r="BZ2589">
        <v>0</v>
      </c>
      <c r="CA2589">
        <v>0</v>
      </c>
      <c r="CB2589" t="s">
        <v>145</v>
      </c>
    </row>
    <row r="2590" spans="67:80" x14ac:dyDescent="0.25">
      <c r="BO2590">
        <v>0</v>
      </c>
      <c r="BP2590">
        <v>0</v>
      </c>
      <c r="BQ2590">
        <v>0</v>
      </c>
      <c r="BR2590">
        <v>0</v>
      </c>
      <c r="BS2590">
        <v>0</v>
      </c>
      <c r="BT2590">
        <v>0</v>
      </c>
      <c r="BU2590">
        <v>0</v>
      </c>
      <c r="BV2590">
        <v>0</v>
      </c>
      <c r="BW2590" t="s">
        <v>0</v>
      </c>
      <c r="BX2590">
        <v>0</v>
      </c>
      <c r="BY2590">
        <v>0</v>
      </c>
      <c r="BZ2590">
        <v>0</v>
      </c>
      <c r="CA2590">
        <v>0</v>
      </c>
      <c r="CB2590" t="s">
        <v>145</v>
      </c>
    </row>
    <row r="2591" spans="67:80" x14ac:dyDescent="0.25">
      <c r="BO2591">
        <v>0</v>
      </c>
      <c r="BP2591">
        <v>0</v>
      </c>
      <c r="BQ2591">
        <v>0</v>
      </c>
      <c r="BR2591">
        <v>0</v>
      </c>
      <c r="BS2591">
        <v>0</v>
      </c>
      <c r="BT2591">
        <v>0</v>
      </c>
      <c r="BU2591">
        <v>0</v>
      </c>
      <c r="BV2591">
        <v>0</v>
      </c>
      <c r="BW2591" t="s">
        <v>0</v>
      </c>
      <c r="BX2591">
        <v>0</v>
      </c>
      <c r="BY2591">
        <v>0</v>
      </c>
      <c r="BZ2591">
        <v>0</v>
      </c>
      <c r="CA2591">
        <v>0</v>
      </c>
      <c r="CB2591" t="s">
        <v>145</v>
      </c>
    </row>
    <row r="2592" spans="67:80" x14ac:dyDescent="0.25">
      <c r="BO2592">
        <v>0</v>
      </c>
      <c r="BP2592">
        <v>0</v>
      </c>
      <c r="BQ2592">
        <v>0</v>
      </c>
      <c r="BR2592">
        <v>0</v>
      </c>
      <c r="BS2592">
        <v>0</v>
      </c>
      <c r="BT2592">
        <v>0</v>
      </c>
      <c r="BU2592">
        <v>0</v>
      </c>
      <c r="BV2592">
        <v>0</v>
      </c>
      <c r="BW2592" t="s">
        <v>0</v>
      </c>
      <c r="BX2592">
        <v>0</v>
      </c>
      <c r="BY2592">
        <v>0</v>
      </c>
      <c r="BZ2592">
        <v>0</v>
      </c>
      <c r="CA2592">
        <v>0</v>
      </c>
      <c r="CB2592" t="s">
        <v>145</v>
      </c>
    </row>
    <row r="2593" spans="67:80" x14ac:dyDescent="0.25">
      <c r="BO2593">
        <v>0</v>
      </c>
      <c r="BP2593">
        <v>0</v>
      </c>
      <c r="BQ2593">
        <v>0</v>
      </c>
      <c r="BR2593">
        <v>0</v>
      </c>
      <c r="BS2593">
        <v>0</v>
      </c>
      <c r="BT2593">
        <v>0</v>
      </c>
      <c r="BU2593">
        <v>0</v>
      </c>
      <c r="BV2593">
        <v>0</v>
      </c>
      <c r="BW2593" t="s">
        <v>0</v>
      </c>
      <c r="BX2593">
        <v>0</v>
      </c>
      <c r="BY2593">
        <v>0</v>
      </c>
      <c r="BZ2593">
        <v>0</v>
      </c>
      <c r="CA2593">
        <v>0</v>
      </c>
      <c r="CB2593" t="s">
        <v>145</v>
      </c>
    </row>
    <row r="2594" spans="67:80" x14ac:dyDescent="0.25">
      <c r="BO2594">
        <v>0</v>
      </c>
      <c r="BP2594">
        <v>0</v>
      </c>
      <c r="BQ2594">
        <v>0</v>
      </c>
      <c r="BR2594">
        <v>0</v>
      </c>
      <c r="BS2594">
        <v>0</v>
      </c>
      <c r="BT2594">
        <v>0</v>
      </c>
      <c r="BU2594">
        <v>0</v>
      </c>
      <c r="BV2594">
        <v>0</v>
      </c>
      <c r="BW2594" t="s">
        <v>0</v>
      </c>
      <c r="BX2594">
        <v>0</v>
      </c>
      <c r="BY2594">
        <v>0</v>
      </c>
      <c r="BZ2594">
        <v>0</v>
      </c>
      <c r="CA2594">
        <v>0</v>
      </c>
      <c r="CB2594" t="s">
        <v>145</v>
      </c>
    </row>
    <row r="2595" spans="67:80" x14ac:dyDescent="0.25">
      <c r="BO2595">
        <v>0</v>
      </c>
      <c r="BP2595">
        <v>0</v>
      </c>
      <c r="BQ2595">
        <v>0</v>
      </c>
      <c r="BR2595">
        <v>0</v>
      </c>
      <c r="BS2595">
        <v>0</v>
      </c>
      <c r="BT2595">
        <v>0</v>
      </c>
      <c r="BU2595">
        <v>0</v>
      </c>
      <c r="BV2595">
        <v>0</v>
      </c>
      <c r="BW2595" t="s">
        <v>0</v>
      </c>
      <c r="BX2595">
        <v>0</v>
      </c>
      <c r="BY2595">
        <v>0</v>
      </c>
      <c r="BZ2595">
        <v>0</v>
      </c>
      <c r="CA2595">
        <v>0</v>
      </c>
      <c r="CB2595" t="s">
        <v>145</v>
      </c>
    </row>
    <row r="2596" spans="67:80" x14ac:dyDescent="0.25">
      <c r="BO2596">
        <v>0</v>
      </c>
      <c r="BP2596">
        <v>0</v>
      </c>
      <c r="BQ2596">
        <v>0</v>
      </c>
      <c r="BR2596">
        <v>0</v>
      </c>
      <c r="BS2596">
        <v>0</v>
      </c>
      <c r="BT2596">
        <v>0</v>
      </c>
      <c r="BU2596">
        <v>0</v>
      </c>
      <c r="BV2596">
        <v>0</v>
      </c>
      <c r="BW2596" t="s">
        <v>0</v>
      </c>
      <c r="BX2596">
        <v>0</v>
      </c>
      <c r="BY2596">
        <v>0</v>
      </c>
      <c r="BZ2596">
        <v>0</v>
      </c>
      <c r="CA2596">
        <v>0</v>
      </c>
      <c r="CB2596" t="s">
        <v>145</v>
      </c>
    </row>
    <row r="2597" spans="67:80" x14ac:dyDescent="0.25">
      <c r="BO2597">
        <v>0</v>
      </c>
      <c r="BP2597">
        <v>0</v>
      </c>
      <c r="BQ2597">
        <v>0</v>
      </c>
      <c r="BR2597">
        <v>0</v>
      </c>
      <c r="BS2597">
        <v>0</v>
      </c>
      <c r="BT2597">
        <v>0</v>
      </c>
      <c r="BU2597">
        <v>0</v>
      </c>
      <c r="BV2597">
        <v>0</v>
      </c>
      <c r="BW2597" t="s">
        <v>0</v>
      </c>
      <c r="BX2597">
        <v>0</v>
      </c>
      <c r="BY2597">
        <v>0</v>
      </c>
      <c r="BZ2597">
        <v>0</v>
      </c>
      <c r="CA2597">
        <v>0</v>
      </c>
      <c r="CB2597" t="s">
        <v>145</v>
      </c>
    </row>
    <row r="2598" spans="67:80" x14ac:dyDescent="0.25">
      <c r="BO2598">
        <v>0</v>
      </c>
      <c r="BP2598">
        <v>0</v>
      </c>
      <c r="BQ2598">
        <v>0</v>
      </c>
      <c r="BR2598">
        <v>0</v>
      </c>
      <c r="BS2598">
        <v>0</v>
      </c>
      <c r="BT2598">
        <v>0</v>
      </c>
      <c r="BU2598">
        <v>0</v>
      </c>
      <c r="BV2598">
        <v>0</v>
      </c>
      <c r="BW2598" t="s">
        <v>0</v>
      </c>
      <c r="BX2598">
        <v>0</v>
      </c>
      <c r="BY2598">
        <v>0</v>
      </c>
      <c r="BZ2598">
        <v>0</v>
      </c>
      <c r="CA2598">
        <v>0</v>
      </c>
      <c r="CB2598" t="s">
        <v>145</v>
      </c>
    </row>
    <row r="2599" spans="67:80" x14ac:dyDescent="0.25">
      <c r="BO2599">
        <v>0</v>
      </c>
      <c r="BP2599">
        <v>0</v>
      </c>
      <c r="BQ2599">
        <v>0</v>
      </c>
      <c r="BR2599">
        <v>0</v>
      </c>
      <c r="BS2599">
        <v>0</v>
      </c>
      <c r="BT2599">
        <v>0</v>
      </c>
      <c r="BU2599">
        <v>0</v>
      </c>
      <c r="BV2599">
        <v>0</v>
      </c>
      <c r="BW2599" t="s">
        <v>0</v>
      </c>
      <c r="BX2599">
        <v>0</v>
      </c>
      <c r="BY2599">
        <v>0</v>
      </c>
      <c r="BZ2599">
        <v>0</v>
      </c>
      <c r="CA2599">
        <v>0</v>
      </c>
      <c r="CB2599" t="s">
        <v>145</v>
      </c>
    </row>
    <row r="2600" spans="67:80" x14ac:dyDescent="0.25">
      <c r="BO2600">
        <v>0</v>
      </c>
      <c r="BP2600">
        <v>0</v>
      </c>
      <c r="BQ2600">
        <v>0</v>
      </c>
      <c r="BR2600">
        <v>0</v>
      </c>
      <c r="BS2600">
        <v>0</v>
      </c>
      <c r="BT2600">
        <v>0</v>
      </c>
      <c r="BU2600">
        <v>0</v>
      </c>
      <c r="BV2600">
        <v>0</v>
      </c>
      <c r="BW2600" t="s">
        <v>0</v>
      </c>
      <c r="BX2600">
        <v>0</v>
      </c>
      <c r="BY2600">
        <v>0</v>
      </c>
      <c r="BZ2600">
        <v>0</v>
      </c>
      <c r="CA2600">
        <v>0</v>
      </c>
      <c r="CB2600" t="s">
        <v>145</v>
      </c>
    </row>
    <row r="2601" spans="67:80" x14ac:dyDescent="0.25">
      <c r="BO2601">
        <v>0</v>
      </c>
      <c r="BP2601">
        <v>0</v>
      </c>
      <c r="BQ2601">
        <v>0</v>
      </c>
      <c r="BR2601">
        <v>0</v>
      </c>
      <c r="BS2601">
        <v>0</v>
      </c>
      <c r="BT2601">
        <v>0</v>
      </c>
      <c r="BU2601">
        <v>0</v>
      </c>
      <c r="BV2601">
        <v>0</v>
      </c>
      <c r="BW2601" t="s">
        <v>0</v>
      </c>
      <c r="BX2601">
        <v>0</v>
      </c>
      <c r="BY2601">
        <v>0</v>
      </c>
      <c r="BZ2601">
        <v>0</v>
      </c>
      <c r="CA2601">
        <v>0</v>
      </c>
      <c r="CB2601" t="s">
        <v>145</v>
      </c>
    </row>
    <row r="2602" spans="67:80" x14ac:dyDescent="0.25">
      <c r="BO2602">
        <v>0</v>
      </c>
      <c r="BP2602">
        <v>0</v>
      </c>
      <c r="BQ2602">
        <v>0</v>
      </c>
      <c r="BR2602">
        <v>0</v>
      </c>
      <c r="BS2602">
        <v>0</v>
      </c>
      <c r="BT2602">
        <v>0</v>
      </c>
      <c r="BU2602">
        <v>0</v>
      </c>
      <c r="BV2602">
        <v>0</v>
      </c>
      <c r="BW2602" t="s">
        <v>0</v>
      </c>
      <c r="BX2602">
        <v>0</v>
      </c>
      <c r="BY2602">
        <v>0</v>
      </c>
      <c r="BZ2602">
        <v>0</v>
      </c>
      <c r="CA2602">
        <v>0</v>
      </c>
      <c r="CB2602" t="s">
        <v>145</v>
      </c>
    </row>
    <row r="2603" spans="67:80" x14ac:dyDescent="0.25">
      <c r="BO2603">
        <v>0</v>
      </c>
      <c r="BP2603">
        <v>0</v>
      </c>
      <c r="BQ2603">
        <v>0</v>
      </c>
      <c r="BR2603">
        <v>0</v>
      </c>
      <c r="BS2603">
        <v>0</v>
      </c>
      <c r="BT2603">
        <v>0</v>
      </c>
      <c r="BU2603">
        <v>0</v>
      </c>
      <c r="BV2603">
        <v>0</v>
      </c>
      <c r="BW2603" t="s">
        <v>0</v>
      </c>
      <c r="BX2603">
        <v>0</v>
      </c>
      <c r="BY2603">
        <v>0</v>
      </c>
      <c r="BZ2603">
        <v>0</v>
      </c>
      <c r="CA2603">
        <v>0</v>
      </c>
      <c r="CB2603" t="s">
        <v>145</v>
      </c>
    </row>
    <row r="2604" spans="67:80" x14ac:dyDescent="0.25">
      <c r="BO2604">
        <v>0</v>
      </c>
      <c r="BP2604">
        <v>0</v>
      </c>
      <c r="BQ2604">
        <v>0</v>
      </c>
      <c r="BR2604">
        <v>0</v>
      </c>
      <c r="BS2604">
        <v>0</v>
      </c>
      <c r="BT2604">
        <v>0</v>
      </c>
      <c r="BU2604">
        <v>0</v>
      </c>
      <c r="BV2604">
        <v>0</v>
      </c>
      <c r="BW2604" t="s">
        <v>0</v>
      </c>
      <c r="BX2604">
        <v>0</v>
      </c>
      <c r="BY2604">
        <v>0</v>
      </c>
      <c r="BZ2604">
        <v>0</v>
      </c>
      <c r="CA2604">
        <v>0</v>
      </c>
      <c r="CB2604" t="s">
        <v>145</v>
      </c>
    </row>
    <row r="2605" spans="67:80" x14ac:dyDescent="0.25">
      <c r="BO2605">
        <v>0</v>
      </c>
      <c r="BP2605">
        <v>0</v>
      </c>
      <c r="BQ2605">
        <v>0</v>
      </c>
      <c r="BR2605">
        <v>0</v>
      </c>
      <c r="BS2605">
        <v>0</v>
      </c>
      <c r="BT2605">
        <v>0</v>
      </c>
      <c r="BU2605">
        <v>0</v>
      </c>
      <c r="BV2605">
        <v>0</v>
      </c>
      <c r="BW2605" t="s">
        <v>0</v>
      </c>
      <c r="BX2605">
        <v>0</v>
      </c>
      <c r="BY2605">
        <v>0</v>
      </c>
      <c r="BZ2605">
        <v>0</v>
      </c>
      <c r="CA2605">
        <v>0</v>
      </c>
      <c r="CB2605" t="s">
        <v>145</v>
      </c>
    </row>
    <row r="2606" spans="67:80" x14ac:dyDescent="0.25">
      <c r="BO2606">
        <v>0</v>
      </c>
      <c r="BP2606">
        <v>0</v>
      </c>
      <c r="BQ2606">
        <v>0</v>
      </c>
      <c r="BR2606">
        <v>0</v>
      </c>
      <c r="BS2606">
        <v>0</v>
      </c>
      <c r="BT2606">
        <v>0</v>
      </c>
      <c r="BU2606">
        <v>0</v>
      </c>
      <c r="BV2606">
        <v>0</v>
      </c>
      <c r="BW2606" t="s">
        <v>0</v>
      </c>
      <c r="BX2606">
        <v>0</v>
      </c>
      <c r="BY2606">
        <v>0</v>
      </c>
      <c r="BZ2606">
        <v>0</v>
      </c>
      <c r="CA2606">
        <v>0</v>
      </c>
      <c r="CB2606" t="s">
        <v>145</v>
      </c>
    </row>
    <row r="2607" spans="67:80" x14ac:dyDescent="0.25">
      <c r="BO2607">
        <v>0</v>
      </c>
      <c r="BP2607">
        <v>0</v>
      </c>
      <c r="BQ2607">
        <v>0</v>
      </c>
      <c r="BR2607">
        <v>0</v>
      </c>
      <c r="BS2607">
        <v>0</v>
      </c>
      <c r="BT2607">
        <v>0</v>
      </c>
      <c r="BU2607">
        <v>0</v>
      </c>
      <c r="BV2607">
        <v>0</v>
      </c>
      <c r="BW2607" t="s">
        <v>0</v>
      </c>
      <c r="BX2607">
        <v>0</v>
      </c>
      <c r="BY2607">
        <v>0</v>
      </c>
      <c r="BZ2607">
        <v>0</v>
      </c>
      <c r="CA2607">
        <v>0</v>
      </c>
      <c r="CB2607" t="s">
        <v>145</v>
      </c>
    </row>
    <row r="2608" spans="67:80" x14ac:dyDescent="0.25">
      <c r="BO2608">
        <v>0</v>
      </c>
      <c r="BP2608">
        <v>0</v>
      </c>
      <c r="BQ2608">
        <v>0</v>
      </c>
      <c r="BR2608">
        <v>0</v>
      </c>
      <c r="BS2608">
        <v>0</v>
      </c>
      <c r="BT2608">
        <v>0</v>
      </c>
      <c r="BU2608">
        <v>0</v>
      </c>
      <c r="BV2608">
        <v>0</v>
      </c>
      <c r="BW2608" t="s">
        <v>0</v>
      </c>
      <c r="BX2608">
        <v>0</v>
      </c>
      <c r="BY2608">
        <v>0</v>
      </c>
      <c r="BZ2608">
        <v>0</v>
      </c>
      <c r="CA2608">
        <v>0</v>
      </c>
      <c r="CB2608" t="s">
        <v>145</v>
      </c>
    </row>
    <row r="2609" spans="67:80" x14ac:dyDescent="0.25">
      <c r="BO2609">
        <v>0</v>
      </c>
      <c r="BP2609">
        <v>0</v>
      </c>
      <c r="BQ2609">
        <v>0</v>
      </c>
      <c r="BR2609">
        <v>0</v>
      </c>
      <c r="BS2609">
        <v>0</v>
      </c>
      <c r="BT2609">
        <v>0</v>
      </c>
      <c r="BU2609">
        <v>0</v>
      </c>
      <c r="BV2609">
        <v>0</v>
      </c>
      <c r="BW2609" t="s">
        <v>0</v>
      </c>
      <c r="BX2609">
        <v>0</v>
      </c>
      <c r="BY2609">
        <v>0</v>
      </c>
      <c r="BZ2609">
        <v>0</v>
      </c>
      <c r="CA2609">
        <v>0</v>
      </c>
      <c r="CB2609" t="s">
        <v>145</v>
      </c>
    </row>
    <row r="2610" spans="67:80" x14ac:dyDescent="0.25">
      <c r="BO2610">
        <v>0</v>
      </c>
      <c r="BP2610">
        <v>0</v>
      </c>
      <c r="BQ2610">
        <v>0</v>
      </c>
      <c r="BR2610">
        <v>0</v>
      </c>
      <c r="BS2610">
        <v>0</v>
      </c>
      <c r="BT2610">
        <v>0</v>
      </c>
      <c r="BU2610">
        <v>0</v>
      </c>
      <c r="BV2610">
        <v>0</v>
      </c>
      <c r="BW2610" t="s">
        <v>0</v>
      </c>
      <c r="BX2610">
        <v>0</v>
      </c>
      <c r="BY2610">
        <v>0</v>
      </c>
      <c r="BZ2610">
        <v>0</v>
      </c>
      <c r="CA2610">
        <v>0</v>
      </c>
      <c r="CB2610" t="s">
        <v>145</v>
      </c>
    </row>
    <row r="2611" spans="67:80" x14ac:dyDescent="0.25">
      <c r="BO2611">
        <v>0</v>
      </c>
      <c r="BP2611">
        <v>0</v>
      </c>
      <c r="BQ2611">
        <v>0</v>
      </c>
      <c r="BR2611">
        <v>0</v>
      </c>
      <c r="BS2611">
        <v>0</v>
      </c>
      <c r="BT2611">
        <v>0</v>
      </c>
      <c r="BU2611">
        <v>0</v>
      </c>
      <c r="BV2611">
        <v>0</v>
      </c>
      <c r="BW2611" t="s">
        <v>0</v>
      </c>
      <c r="BX2611">
        <v>0</v>
      </c>
      <c r="BY2611">
        <v>0</v>
      </c>
      <c r="BZ2611">
        <v>0</v>
      </c>
      <c r="CA2611">
        <v>0</v>
      </c>
      <c r="CB2611" t="s">
        <v>145</v>
      </c>
    </row>
    <row r="2612" spans="67:80" x14ac:dyDescent="0.25">
      <c r="BO2612">
        <v>0</v>
      </c>
      <c r="BP2612">
        <v>0</v>
      </c>
      <c r="BQ2612">
        <v>0</v>
      </c>
      <c r="BR2612">
        <v>0</v>
      </c>
      <c r="BS2612">
        <v>0</v>
      </c>
      <c r="BT2612">
        <v>0</v>
      </c>
      <c r="BU2612">
        <v>0</v>
      </c>
      <c r="BV2612">
        <v>0</v>
      </c>
      <c r="BW2612" t="s">
        <v>0</v>
      </c>
      <c r="BX2612">
        <v>0</v>
      </c>
      <c r="BY2612">
        <v>0</v>
      </c>
      <c r="BZ2612">
        <v>0</v>
      </c>
      <c r="CA2612">
        <v>0</v>
      </c>
      <c r="CB2612" t="s">
        <v>145</v>
      </c>
    </row>
    <row r="2613" spans="67:80" x14ac:dyDescent="0.25">
      <c r="BO2613">
        <v>0</v>
      </c>
      <c r="BP2613">
        <v>0</v>
      </c>
      <c r="BQ2613">
        <v>0</v>
      </c>
      <c r="BR2613">
        <v>0</v>
      </c>
      <c r="BS2613">
        <v>0</v>
      </c>
      <c r="BT2613">
        <v>0</v>
      </c>
      <c r="BU2613">
        <v>0</v>
      </c>
      <c r="BV2613">
        <v>0</v>
      </c>
      <c r="BW2613" t="s">
        <v>0</v>
      </c>
      <c r="BX2613">
        <v>0</v>
      </c>
      <c r="BY2613">
        <v>0</v>
      </c>
      <c r="BZ2613">
        <v>0</v>
      </c>
      <c r="CA2613">
        <v>0</v>
      </c>
      <c r="CB2613" t="s">
        <v>145</v>
      </c>
    </row>
    <row r="2614" spans="67:80" x14ac:dyDescent="0.25">
      <c r="BO2614">
        <v>0</v>
      </c>
      <c r="BP2614">
        <v>0</v>
      </c>
      <c r="BQ2614">
        <v>0</v>
      </c>
      <c r="BR2614">
        <v>0</v>
      </c>
      <c r="BS2614">
        <v>0</v>
      </c>
      <c r="BT2614">
        <v>0</v>
      </c>
      <c r="BU2614">
        <v>0</v>
      </c>
      <c r="BV2614">
        <v>0</v>
      </c>
      <c r="BW2614" t="s">
        <v>0</v>
      </c>
      <c r="BX2614">
        <v>0</v>
      </c>
      <c r="BY2614">
        <v>0</v>
      </c>
      <c r="BZ2614">
        <v>0</v>
      </c>
      <c r="CA2614">
        <v>0</v>
      </c>
      <c r="CB2614" t="s">
        <v>145</v>
      </c>
    </row>
    <row r="2615" spans="67:80" x14ac:dyDescent="0.25">
      <c r="BO2615">
        <v>0</v>
      </c>
      <c r="BP2615">
        <v>0</v>
      </c>
      <c r="BQ2615">
        <v>0</v>
      </c>
      <c r="BR2615">
        <v>0</v>
      </c>
      <c r="BS2615">
        <v>0</v>
      </c>
      <c r="BT2615">
        <v>0</v>
      </c>
      <c r="BU2615">
        <v>0</v>
      </c>
      <c r="BV2615">
        <v>0</v>
      </c>
      <c r="BW2615" t="s">
        <v>0</v>
      </c>
      <c r="BX2615">
        <v>0</v>
      </c>
      <c r="BY2615">
        <v>0</v>
      </c>
      <c r="BZ2615">
        <v>0</v>
      </c>
      <c r="CA2615">
        <v>0</v>
      </c>
      <c r="CB2615" t="s">
        <v>145</v>
      </c>
    </row>
    <row r="2616" spans="67:80" x14ac:dyDescent="0.25">
      <c r="BO2616">
        <v>0</v>
      </c>
      <c r="BP2616">
        <v>0</v>
      </c>
      <c r="BQ2616">
        <v>0</v>
      </c>
      <c r="BR2616">
        <v>0</v>
      </c>
      <c r="BS2616">
        <v>0</v>
      </c>
      <c r="BT2616">
        <v>0</v>
      </c>
      <c r="BU2616">
        <v>0</v>
      </c>
      <c r="BV2616">
        <v>0</v>
      </c>
      <c r="BW2616" t="s">
        <v>0</v>
      </c>
      <c r="BX2616">
        <v>0</v>
      </c>
      <c r="BY2616">
        <v>0</v>
      </c>
      <c r="BZ2616">
        <v>0</v>
      </c>
      <c r="CA2616">
        <v>0</v>
      </c>
      <c r="CB2616" t="s">
        <v>145</v>
      </c>
    </row>
    <row r="2617" spans="67:80" x14ac:dyDescent="0.25">
      <c r="BO2617">
        <v>0</v>
      </c>
      <c r="BP2617">
        <v>0</v>
      </c>
      <c r="BQ2617">
        <v>0</v>
      </c>
      <c r="BR2617">
        <v>0</v>
      </c>
      <c r="BS2617">
        <v>0</v>
      </c>
      <c r="BT2617">
        <v>0</v>
      </c>
      <c r="BU2617">
        <v>0</v>
      </c>
      <c r="BV2617">
        <v>0</v>
      </c>
      <c r="BW2617" t="s">
        <v>0</v>
      </c>
      <c r="BX2617">
        <v>0</v>
      </c>
      <c r="BY2617">
        <v>0</v>
      </c>
      <c r="BZ2617">
        <v>0</v>
      </c>
      <c r="CA2617">
        <v>0</v>
      </c>
      <c r="CB2617" t="s">
        <v>145</v>
      </c>
    </row>
    <row r="2618" spans="67:80" x14ac:dyDescent="0.25">
      <c r="BO2618">
        <v>0</v>
      </c>
      <c r="BP2618">
        <v>0</v>
      </c>
      <c r="BQ2618">
        <v>0</v>
      </c>
      <c r="BR2618">
        <v>0</v>
      </c>
      <c r="BS2618">
        <v>0</v>
      </c>
      <c r="BT2618">
        <v>0</v>
      </c>
      <c r="BU2618">
        <v>0</v>
      </c>
      <c r="BV2618">
        <v>0</v>
      </c>
      <c r="BW2618" t="s">
        <v>0</v>
      </c>
      <c r="BX2618">
        <v>0</v>
      </c>
      <c r="BY2618">
        <v>0</v>
      </c>
      <c r="BZ2618">
        <v>0</v>
      </c>
      <c r="CA2618">
        <v>0</v>
      </c>
      <c r="CB2618" t="s">
        <v>145</v>
      </c>
    </row>
    <row r="2619" spans="67:80" x14ac:dyDescent="0.25">
      <c r="BO2619">
        <v>0</v>
      </c>
      <c r="BP2619">
        <v>0</v>
      </c>
      <c r="BQ2619">
        <v>0</v>
      </c>
      <c r="BR2619">
        <v>0</v>
      </c>
      <c r="BS2619">
        <v>0</v>
      </c>
      <c r="BT2619">
        <v>0</v>
      </c>
      <c r="BU2619">
        <v>0</v>
      </c>
      <c r="BV2619">
        <v>0</v>
      </c>
      <c r="BW2619" t="s">
        <v>0</v>
      </c>
      <c r="BX2619">
        <v>0</v>
      </c>
      <c r="BY2619">
        <v>0</v>
      </c>
      <c r="BZ2619">
        <v>0</v>
      </c>
      <c r="CA2619">
        <v>0</v>
      </c>
      <c r="CB2619" t="s">
        <v>145</v>
      </c>
    </row>
    <row r="2620" spans="67:80" x14ac:dyDescent="0.25">
      <c r="BO2620">
        <v>0</v>
      </c>
      <c r="BP2620">
        <v>0</v>
      </c>
      <c r="BQ2620">
        <v>0</v>
      </c>
      <c r="BR2620">
        <v>0</v>
      </c>
      <c r="BS2620">
        <v>0</v>
      </c>
      <c r="BT2620">
        <v>0</v>
      </c>
      <c r="BU2620">
        <v>0</v>
      </c>
      <c r="BV2620">
        <v>0</v>
      </c>
      <c r="BW2620" t="s">
        <v>0</v>
      </c>
      <c r="BX2620">
        <v>0</v>
      </c>
      <c r="BY2620">
        <v>0</v>
      </c>
      <c r="BZ2620">
        <v>0</v>
      </c>
      <c r="CA2620">
        <v>0</v>
      </c>
      <c r="CB2620" t="s">
        <v>145</v>
      </c>
    </row>
    <row r="2621" spans="67:80" x14ac:dyDescent="0.25">
      <c r="BO2621">
        <v>0</v>
      </c>
      <c r="BP2621">
        <v>0</v>
      </c>
      <c r="BQ2621">
        <v>0</v>
      </c>
      <c r="BR2621">
        <v>0</v>
      </c>
      <c r="BS2621">
        <v>0</v>
      </c>
      <c r="BT2621">
        <v>0</v>
      </c>
      <c r="BU2621">
        <v>0</v>
      </c>
      <c r="BV2621">
        <v>0</v>
      </c>
      <c r="BW2621" t="s">
        <v>0</v>
      </c>
      <c r="BX2621">
        <v>0</v>
      </c>
      <c r="BY2621">
        <v>0</v>
      </c>
      <c r="BZ2621">
        <v>0</v>
      </c>
      <c r="CA2621">
        <v>0</v>
      </c>
      <c r="CB2621" t="s">
        <v>145</v>
      </c>
    </row>
    <row r="2622" spans="67:80" x14ac:dyDescent="0.25">
      <c r="BO2622">
        <v>0</v>
      </c>
      <c r="BP2622">
        <v>0</v>
      </c>
      <c r="BQ2622">
        <v>0</v>
      </c>
      <c r="BR2622">
        <v>0</v>
      </c>
      <c r="BS2622">
        <v>0</v>
      </c>
      <c r="BT2622">
        <v>0</v>
      </c>
      <c r="BU2622">
        <v>0</v>
      </c>
      <c r="BV2622">
        <v>0</v>
      </c>
      <c r="BW2622" t="s">
        <v>0</v>
      </c>
      <c r="BX2622">
        <v>0</v>
      </c>
      <c r="BY2622">
        <v>0</v>
      </c>
      <c r="BZ2622">
        <v>0</v>
      </c>
      <c r="CA2622">
        <v>0</v>
      </c>
      <c r="CB2622" t="s">
        <v>145</v>
      </c>
    </row>
    <row r="2623" spans="67:80" x14ac:dyDescent="0.25">
      <c r="BO2623">
        <v>0</v>
      </c>
      <c r="BP2623">
        <v>0</v>
      </c>
      <c r="BQ2623">
        <v>0</v>
      </c>
      <c r="BR2623">
        <v>0</v>
      </c>
      <c r="BS2623">
        <v>0</v>
      </c>
      <c r="BT2623">
        <v>0</v>
      </c>
      <c r="BU2623">
        <v>0</v>
      </c>
      <c r="BV2623">
        <v>0</v>
      </c>
      <c r="BW2623" t="s">
        <v>0</v>
      </c>
      <c r="BX2623">
        <v>0</v>
      </c>
      <c r="BY2623">
        <v>0</v>
      </c>
      <c r="BZ2623">
        <v>0</v>
      </c>
      <c r="CA2623">
        <v>0</v>
      </c>
      <c r="CB2623" t="s">
        <v>145</v>
      </c>
    </row>
    <row r="2624" spans="67:80" x14ac:dyDescent="0.25">
      <c r="BO2624">
        <v>0</v>
      </c>
      <c r="BP2624">
        <v>0</v>
      </c>
      <c r="BQ2624">
        <v>0</v>
      </c>
      <c r="BR2624">
        <v>0</v>
      </c>
      <c r="BS2624">
        <v>0</v>
      </c>
      <c r="BT2624">
        <v>0</v>
      </c>
      <c r="BU2624">
        <v>0</v>
      </c>
      <c r="BV2624">
        <v>0</v>
      </c>
      <c r="BW2624" t="s">
        <v>0</v>
      </c>
      <c r="BX2624">
        <v>0</v>
      </c>
      <c r="BY2624">
        <v>0</v>
      </c>
      <c r="BZ2624">
        <v>0</v>
      </c>
      <c r="CA2624">
        <v>0</v>
      </c>
      <c r="CB2624" t="s">
        <v>145</v>
      </c>
    </row>
    <row r="2625" spans="67:80" x14ac:dyDescent="0.25">
      <c r="BO2625">
        <v>0</v>
      </c>
      <c r="BP2625">
        <v>0</v>
      </c>
      <c r="BQ2625">
        <v>0</v>
      </c>
      <c r="BR2625">
        <v>0</v>
      </c>
      <c r="BS2625">
        <v>0</v>
      </c>
      <c r="BT2625">
        <v>0</v>
      </c>
      <c r="BU2625">
        <v>0</v>
      </c>
      <c r="BV2625">
        <v>0</v>
      </c>
      <c r="BW2625" t="s">
        <v>0</v>
      </c>
      <c r="BX2625">
        <v>0</v>
      </c>
      <c r="BY2625">
        <v>0</v>
      </c>
      <c r="BZ2625">
        <v>0</v>
      </c>
      <c r="CA2625">
        <v>0</v>
      </c>
      <c r="CB2625" t="s">
        <v>145</v>
      </c>
    </row>
    <row r="2626" spans="67:80" x14ac:dyDescent="0.25">
      <c r="BO2626">
        <v>0</v>
      </c>
      <c r="BP2626">
        <v>0</v>
      </c>
      <c r="BQ2626">
        <v>0</v>
      </c>
      <c r="BR2626">
        <v>0</v>
      </c>
      <c r="BS2626">
        <v>0</v>
      </c>
      <c r="BT2626">
        <v>0</v>
      </c>
      <c r="BU2626">
        <v>0</v>
      </c>
      <c r="BV2626">
        <v>0</v>
      </c>
      <c r="BW2626" t="s">
        <v>0</v>
      </c>
      <c r="BX2626">
        <v>0</v>
      </c>
      <c r="BY2626">
        <v>0</v>
      </c>
      <c r="BZ2626">
        <v>0</v>
      </c>
      <c r="CA2626">
        <v>0</v>
      </c>
      <c r="CB2626" t="s">
        <v>145</v>
      </c>
    </row>
    <row r="2627" spans="67:80" x14ac:dyDescent="0.25">
      <c r="BO2627">
        <v>0</v>
      </c>
      <c r="BP2627">
        <v>0</v>
      </c>
      <c r="BQ2627">
        <v>0</v>
      </c>
      <c r="BR2627">
        <v>0</v>
      </c>
      <c r="BS2627">
        <v>0</v>
      </c>
      <c r="BT2627">
        <v>0</v>
      </c>
      <c r="BU2627">
        <v>0</v>
      </c>
      <c r="BV2627">
        <v>0</v>
      </c>
      <c r="BW2627" t="s">
        <v>0</v>
      </c>
      <c r="BX2627">
        <v>0</v>
      </c>
      <c r="BY2627">
        <v>0</v>
      </c>
      <c r="BZ2627">
        <v>0</v>
      </c>
      <c r="CA2627">
        <v>0</v>
      </c>
      <c r="CB2627" t="s">
        <v>145</v>
      </c>
    </row>
    <row r="2628" spans="67:80" x14ac:dyDescent="0.25">
      <c r="BO2628">
        <v>0</v>
      </c>
      <c r="BP2628">
        <v>0</v>
      </c>
      <c r="BQ2628">
        <v>0</v>
      </c>
      <c r="BR2628">
        <v>0</v>
      </c>
      <c r="BS2628">
        <v>0</v>
      </c>
      <c r="BT2628">
        <v>0</v>
      </c>
      <c r="BU2628">
        <v>0</v>
      </c>
      <c r="BV2628">
        <v>0</v>
      </c>
      <c r="BW2628" t="s">
        <v>0</v>
      </c>
      <c r="BX2628">
        <v>0</v>
      </c>
      <c r="BY2628">
        <v>0</v>
      </c>
      <c r="BZ2628">
        <v>0</v>
      </c>
      <c r="CA2628">
        <v>0</v>
      </c>
      <c r="CB2628" t="s">
        <v>145</v>
      </c>
    </row>
    <row r="2629" spans="67:80" x14ac:dyDescent="0.25">
      <c r="BO2629">
        <v>0</v>
      </c>
      <c r="BP2629">
        <v>0</v>
      </c>
      <c r="BQ2629">
        <v>0</v>
      </c>
      <c r="BR2629">
        <v>0</v>
      </c>
      <c r="BS2629">
        <v>0</v>
      </c>
      <c r="BT2629">
        <v>0</v>
      </c>
      <c r="BU2629">
        <v>0</v>
      </c>
      <c r="BV2629">
        <v>0</v>
      </c>
      <c r="BW2629" t="s">
        <v>0</v>
      </c>
      <c r="BX2629">
        <v>0</v>
      </c>
      <c r="BY2629">
        <v>0</v>
      </c>
      <c r="BZ2629">
        <v>0</v>
      </c>
      <c r="CA2629">
        <v>0</v>
      </c>
      <c r="CB2629" t="s">
        <v>145</v>
      </c>
    </row>
    <row r="2630" spans="67:80" x14ac:dyDescent="0.25">
      <c r="BO2630">
        <v>0</v>
      </c>
      <c r="BP2630">
        <v>0</v>
      </c>
      <c r="BQ2630">
        <v>0</v>
      </c>
      <c r="BR2630">
        <v>0</v>
      </c>
      <c r="BS2630">
        <v>0</v>
      </c>
      <c r="BT2630">
        <v>0</v>
      </c>
      <c r="BU2630">
        <v>0</v>
      </c>
      <c r="BV2630">
        <v>0</v>
      </c>
      <c r="BW2630" t="s">
        <v>0</v>
      </c>
      <c r="BX2630">
        <v>0</v>
      </c>
      <c r="BY2630">
        <v>0</v>
      </c>
      <c r="BZ2630">
        <v>0</v>
      </c>
      <c r="CA2630">
        <v>0</v>
      </c>
      <c r="CB2630" t="s">
        <v>145</v>
      </c>
    </row>
    <row r="2631" spans="67:80" x14ac:dyDescent="0.25">
      <c r="BO2631">
        <v>0</v>
      </c>
      <c r="BP2631">
        <v>0</v>
      </c>
      <c r="BQ2631">
        <v>0</v>
      </c>
      <c r="BR2631">
        <v>0</v>
      </c>
      <c r="BS2631">
        <v>0</v>
      </c>
      <c r="BT2631">
        <v>0</v>
      </c>
      <c r="BU2631">
        <v>0</v>
      </c>
      <c r="BV2631">
        <v>0</v>
      </c>
      <c r="BW2631" t="s">
        <v>0</v>
      </c>
      <c r="BX2631">
        <v>0</v>
      </c>
      <c r="BY2631">
        <v>0</v>
      </c>
      <c r="BZ2631">
        <v>0</v>
      </c>
      <c r="CA2631">
        <v>0</v>
      </c>
      <c r="CB2631" t="s">
        <v>145</v>
      </c>
    </row>
    <row r="2632" spans="67:80" x14ac:dyDescent="0.25">
      <c r="BO2632">
        <v>0</v>
      </c>
      <c r="BP2632">
        <v>0</v>
      </c>
      <c r="BQ2632">
        <v>0</v>
      </c>
      <c r="BR2632">
        <v>0</v>
      </c>
      <c r="BS2632">
        <v>0</v>
      </c>
      <c r="BT2632">
        <v>0</v>
      </c>
      <c r="BU2632">
        <v>0</v>
      </c>
      <c r="BV2632">
        <v>0</v>
      </c>
      <c r="BW2632" t="s">
        <v>0</v>
      </c>
      <c r="BX2632">
        <v>0</v>
      </c>
      <c r="BY2632">
        <v>0</v>
      </c>
      <c r="BZ2632">
        <v>0</v>
      </c>
      <c r="CA2632">
        <v>0</v>
      </c>
      <c r="CB2632" t="s">
        <v>145</v>
      </c>
    </row>
    <row r="2633" spans="67:80" x14ac:dyDescent="0.25">
      <c r="BO2633">
        <v>0</v>
      </c>
      <c r="BP2633">
        <v>0</v>
      </c>
      <c r="BQ2633">
        <v>0</v>
      </c>
      <c r="BR2633">
        <v>0</v>
      </c>
      <c r="BS2633">
        <v>0</v>
      </c>
      <c r="BT2633">
        <v>0</v>
      </c>
      <c r="BU2633">
        <v>0</v>
      </c>
      <c r="BV2633">
        <v>0</v>
      </c>
      <c r="BW2633" t="s">
        <v>0</v>
      </c>
      <c r="BX2633">
        <v>0</v>
      </c>
      <c r="BY2633">
        <v>0</v>
      </c>
      <c r="BZ2633">
        <v>0</v>
      </c>
      <c r="CA2633">
        <v>0</v>
      </c>
      <c r="CB2633" t="s">
        <v>145</v>
      </c>
    </row>
    <row r="2634" spans="67:80" x14ac:dyDescent="0.25">
      <c r="BO2634">
        <v>0</v>
      </c>
      <c r="BP2634">
        <v>0</v>
      </c>
      <c r="BQ2634">
        <v>0</v>
      </c>
      <c r="BR2634">
        <v>0</v>
      </c>
      <c r="BS2634">
        <v>0</v>
      </c>
      <c r="BT2634">
        <v>0</v>
      </c>
      <c r="BU2634">
        <v>0</v>
      </c>
      <c r="BV2634">
        <v>0</v>
      </c>
      <c r="BW2634" t="s">
        <v>0</v>
      </c>
      <c r="BX2634">
        <v>0</v>
      </c>
      <c r="BY2634">
        <v>0</v>
      </c>
      <c r="BZ2634">
        <v>0</v>
      </c>
      <c r="CA2634">
        <v>0</v>
      </c>
      <c r="CB2634" t="s">
        <v>145</v>
      </c>
    </row>
    <row r="2635" spans="67:80" x14ac:dyDescent="0.25">
      <c r="BO2635">
        <v>0</v>
      </c>
      <c r="BP2635">
        <v>0</v>
      </c>
      <c r="BQ2635">
        <v>0</v>
      </c>
      <c r="BR2635">
        <v>0</v>
      </c>
      <c r="BS2635">
        <v>0</v>
      </c>
      <c r="BT2635">
        <v>0</v>
      </c>
      <c r="BU2635">
        <v>0</v>
      </c>
      <c r="BV2635">
        <v>0</v>
      </c>
      <c r="BW2635" t="s">
        <v>0</v>
      </c>
      <c r="BX2635">
        <v>0</v>
      </c>
      <c r="BY2635">
        <v>0</v>
      </c>
      <c r="BZ2635">
        <v>0</v>
      </c>
      <c r="CA2635">
        <v>0</v>
      </c>
      <c r="CB2635" t="s">
        <v>145</v>
      </c>
    </row>
    <row r="2636" spans="67:80" x14ac:dyDescent="0.25">
      <c r="BO2636">
        <v>0</v>
      </c>
      <c r="BP2636">
        <v>0</v>
      </c>
      <c r="BQ2636">
        <v>0</v>
      </c>
      <c r="BR2636">
        <v>0</v>
      </c>
      <c r="BS2636">
        <v>0</v>
      </c>
      <c r="BT2636">
        <v>0</v>
      </c>
      <c r="BU2636">
        <v>0</v>
      </c>
      <c r="BV2636">
        <v>0</v>
      </c>
      <c r="BW2636" t="s">
        <v>0</v>
      </c>
      <c r="BX2636">
        <v>0</v>
      </c>
      <c r="BY2636">
        <v>0</v>
      </c>
      <c r="BZ2636">
        <v>0</v>
      </c>
      <c r="CA2636">
        <v>0</v>
      </c>
      <c r="CB2636" t="s">
        <v>145</v>
      </c>
    </row>
    <row r="2637" spans="67:80" x14ac:dyDescent="0.25">
      <c r="BO2637">
        <v>0</v>
      </c>
      <c r="BP2637">
        <v>0</v>
      </c>
      <c r="BQ2637">
        <v>0</v>
      </c>
      <c r="BR2637">
        <v>0</v>
      </c>
      <c r="BS2637">
        <v>0</v>
      </c>
      <c r="BT2637">
        <v>0</v>
      </c>
      <c r="BU2637">
        <v>0</v>
      </c>
      <c r="BV2637">
        <v>0</v>
      </c>
      <c r="BW2637" t="s">
        <v>0</v>
      </c>
      <c r="BX2637">
        <v>0</v>
      </c>
      <c r="BY2637">
        <v>0</v>
      </c>
      <c r="BZ2637">
        <v>0</v>
      </c>
      <c r="CA2637">
        <v>0</v>
      </c>
      <c r="CB2637" t="s">
        <v>145</v>
      </c>
    </row>
    <row r="2638" spans="67:80" x14ac:dyDescent="0.25">
      <c r="BO2638">
        <v>0</v>
      </c>
      <c r="BP2638">
        <v>0</v>
      </c>
      <c r="BQ2638">
        <v>0</v>
      </c>
      <c r="BR2638">
        <v>0</v>
      </c>
      <c r="BS2638">
        <v>0</v>
      </c>
      <c r="BT2638">
        <v>0</v>
      </c>
      <c r="BU2638">
        <v>0</v>
      </c>
      <c r="BV2638">
        <v>0</v>
      </c>
      <c r="BW2638" t="s">
        <v>0</v>
      </c>
      <c r="BX2638">
        <v>0</v>
      </c>
      <c r="BY2638">
        <v>0</v>
      </c>
      <c r="BZ2638">
        <v>0</v>
      </c>
      <c r="CA2638">
        <v>0</v>
      </c>
      <c r="CB2638" t="s">
        <v>145</v>
      </c>
    </row>
    <row r="2639" spans="67:80" x14ac:dyDescent="0.25">
      <c r="BO2639">
        <v>0</v>
      </c>
      <c r="BP2639">
        <v>0</v>
      </c>
      <c r="BQ2639">
        <v>0</v>
      </c>
      <c r="BR2639">
        <v>0</v>
      </c>
      <c r="BS2639">
        <v>0</v>
      </c>
      <c r="BT2639">
        <v>0</v>
      </c>
      <c r="BU2639">
        <v>0</v>
      </c>
      <c r="BV2639">
        <v>0</v>
      </c>
      <c r="BW2639" t="s">
        <v>0</v>
      </c>
      <c r="BX2639">
        <v>0</v>
      </c>
      <c r="BY2639">
        <v>0</v>
      </c>
      <c r="BZ2639">
        <v>0</v>
      </c>
      <c r="CA2639">
        <v>0</v>
      </c>
      <c r="CB2639" t="s">
        <v>145</v>
      </c>
    </row>
    <row r="2640" spans="67:80" x14ac:dyDescent="0.25">
      <c r="BO2640">
        <v>0</v>
      </c>
      <c r="BP2640">
        <v>0</v>
      </c>
      <c r="BQ2640">
        <v>0</v>
      </c>
      <c r="BR2640">
        <v>0</v>
      </c>
      <c r="BS2640">
        <v>0</v>
      </c>
      <c r="BT2640">
        <v>0</v>
      </c>
      <c r="BU2640">
        <v>0</v>
      </c>
      <c r="BV2640">
        <v>0</v>
      </c>
      <c r="BW2640" t="s">
        <v>0</v>
      </c>
      <c r="BX2640">
        <v>0</v>
      </c>
      <c r="BY2640">
        <v>0</v>
      </c>
      <c r="BZ2640">
        <v>0</v>
      </c>
      <c r="CA2640">
        <v>0</v>
      </c>
      <c r="CB2640" t="s">
        <v>145</v>
      </c>
    </row>
    <row r="2641" spans="67:80" x14ac:dyDescent="0.25">
      <c r="BO2641">
        <v>0</v>
      </c>
      <c r="BP2641">
        <v>0</v>
      </c>
      <c r="BQ2641">
        <v>0</v>
      </c>
      <c r="BR2641">
        <v>0</v>
      </c>
      <c r="BS2641">
        <v>0</v>
      </c>
      <c r="BT2641">
        <v>0</v>
      </c>
      <c r="BU2641">
        <v>0</v>
      </c>
      <c r="BV2641">
        <v>0</v>
      </c>
      <c r="BW2641" t="s">
        <v>0</v>
      </c>
      <c r="BX2641">
        <v>0</v>
      </c>
      <c r="BY2641">
        <v>0</v>
      </c>
      <c r="BZ2641">
        <v>0</v>
      </c>
      <c r="CA2641">
        <v>0</v>
      </c>
      <c r="CB2641" t="s">
        <v>145</v>
      </c>
    </row>
    <row r="2642" spans="67:80" x14ac:dyDescent="0.25">
      <c r="BO2642">
        <v>0</v>
      </c>
      <c r="BP2642">
        <v>0</v>
      </c>
      <c r="BQ2642">
        <v>0</v>
      </c>
      <c r="BR2642">
        <v>0</v>
      </c>
      <c r="BS2642">
        <v>0</v>
      </c>
      <c r="BT2642">
        <v>0</v>
      </c>
      <c r="BU2642">
        <v>0</v>
      </c>
      <c r="BV2642">
        <v>0</v>
      </c>
      <c r="BW2642" t="s">
        <v>0</v>
      </c>
      <c r="BX2642">
        <v>0</v>
      </c>
      <c r="BY2642">
        <v>0</v>
      </c>
      <c r="BZ2642">
        <v>0</v>
      </c>
      <c r="CA2642">
        <v>0</v>
      </c>
      <c r="CB2642" t="s">
        <v>145</v>
      </c>
    </row>
    <row r="2643" spans="67:80" x14ac:dyDescent="0.25">
      <c r="BO2643">
        <v>0</v>
      </c>
      <c r="BP2643">
        <v>0</v>
      </c>
      <c r="BQ2643">
        <v>0</v>
      </c>
      <c r="BR2643">
        <v>0</v>
      </c>
      <c r="BS2643">
        <v>0</v>
      </c>
      <c r="BT2643">
        <v>0</v>
      </c>
      <c r="BU2643">
        <v>0</v>
      </c>
      <c r="BV2643">
        <v>0</v>
      </c>
      <c r="BW2643" t="s">
        <v>0</v>
      </c>
      <c r="BX2643">
        <v>0</v>
      </c>
      <c r="BY2643">
        <v>0</v>
      </c>
      <c r="BZ2643">
        <v>0</v>
      </c>
      <c r="CA2643">
        <v>0</v>
      </c>
      <c r="CB2643" t="s">
        <v>145</v>
      </c>
    </row>
    <row r="2644" spans="67:80" x14ac:dyDescent="0.25">
      <c r="BO2644">
        <v>0</v>
      </c>
      <c r="BP2644">
        <v>0</v>
      </c>
      <c r="BQ2644">
        <v>0</v>
      </c>
      <c r="BR2644">
        <v>0</v>
      </c>
      <c r="BS2644">
        <v>0</v>
      </c>
      <c r="BT2644">
        <v>0</v>
      </c>
      <c r="BU2644">
        <v>0</v>
      </c>
      <c r="BV2644">
        <v>0</v>
      </c>
      <c r="BW2644" t="s">
        <v>0</v>
      </c>
      <c r="BX2644">
        <v>0</v>
      </c>
      <c r="BY2644">
        <v>0</v>
      </c>
      <c r="BZ2644">
        <v>0</v>
      </c>
      <c r="CA2644">
        <v>0</v>
      </c>
      <c r="CB2644" t="s">
        <v>145</v>
      </c>
    </row>
    <row r="2645" spans="67:80" x14ac:dyDescent="0.25">
      <c r="BO2645">
        <v>0</v>
      </c>
      <c r="BP2645">
        <v>0</v>
      </c>
      <c r="BQ2645">
        <v>0</v>
      </c>
      <c r="BR2645">
        <v>0</v>
      </c>
      <c r="BS2645">
        <v>0</v>
      </c>
      <c r="BT2645">
        <v>0</v>
      </c>
      <c r="BU2645">
        <v>0</v>
      </c>
      <c r="BV2645">
        <v>0</v>
      </c>
      <c r="BW2645" t="s">
        <v>0</v>
      </c>
      <c r="BX2645">
        <v>0</v>
      </c>
      <c r="BY2645">
        <v>0</v>
      </c>
      <c r="BZ2645">
        <v>0</v>
      </c>
      <c r="CA2645">
        <v>0</v>
      </c>
      <c r="CB2645" t="s">
        <v>145</v>
      </c>
    </row>
    <row r="2646" spans="67:80" x14ac:dyDescent="0.25">
      <c r="BO2646">
        <v>0</v>
      </c>
      <c r="BP2646">
        <v>0</v>
      </c>
      <c r="BQ2646">
        <v>0</v>
      </c>
      <c r="BR2646">
        <v>0</v>
      </c>
      <c r="BS2646">
        <v>0</v>
      </c>
      <c r="BT2646">
        <v>0</v>
      </c>
      <c r="BU2646">
        <v>0</v>
      </c>
      <c r="BV2646">
        <v>0</v>
      </c>
      <c r="BW2646" t="s">
        <v>0</v>
      </c>
      <c r="BX2646">
        <v>0</v>
      </c>
      <c r="BY2646">
        <v>0</v>
      </c>
      <c r="BZ2646">
        <v>0</v>
      </c>
      <c r="CA2646">
        <v>0</v>
      </c>
      <c r="CB2646" t="s">
        <v>145</v>
      </c>
    </row>
    <row r="2647" spans="67:80" x14ac:dyDescent="0.25">
      <c r="BO2647">
        <v>0</v>
      </c>
      <c r="BP2647">
        <v>0</v>
      </c>
      <c r="BQ2647">
        <v>0</v>
      </c>
      <c r="BR2647">
        <v>0</v>
      </c>
      <c r="BS2647">
        <v>0</v>
      </c>
      <c r="BT2647">
        <v>0</v>
      </c>
      <c r="BU2647">
        <v>0</v>
      </c>
      <c r="BV2647">
        <v>0</v>
      </c>
      <c r="BW2647" t="s">
        <v>0</v>
      </c>
      <c r="BX2647">
        <v>0</v>
      </c>
      <c r="BY2647">
        <v>0</v>
      </c>
      <c r="BZ2647">
        <v>0</v>
      </c>
      <c r="CA2647">
        <v>0</v>
      </c>
      <c r="CB2647" t="s">
        <v>145</v>
      </c>
    </row>
    <row r="2648" spans="67:80" x14ac:dyDescent="0.25">
      <c r="BO2648">
        <v>0</v>
      </c>
      <c r="BP2648">
        <v>0</v>
      </c>
      <c r="BQ2648">
        <v>0</v>
      </c>
      <c r="BR2648">
        <v>0</v>
      </c>
      <c r="BS2648">
        <v>0</v>
      </c>
      <c r="BT2648">
        <v>0</v>
      </c>
      <c r="BU2648">
        <v>0</v>
      </c>
      <c r="BV2648">
        <v>0</v>
      </c>
      <c r="BW2648" t="s">
        <v>0</v>
      </c>
      <c r="BX2648">
        <v>0</v>
      </c>
      <c r="BY2648">
        <v>0</v>
      </c>
      <c r="BZ2648">
        <v>0</v>
      </c>
      <c r="CA2648">
        <v>0</v>
      </c>
      <c r="CB2648" t="s">
        <v>145</v>
      </c>
    </row>
    <row r="2649" spans="67:80" x14ac:dyDescent="0.25">
      <c r="BO2649">
        <v>0</v>
      </c>
      <c r="BP2649">
        <v>0</v>
      </c>
      <c r="BQ2649">
        <v>0</v>
      </c>
      <c r="BR2649">
        <v>0</v>
      </c>
      <c r="BS2649">
        <v>0</v>
      </c>
      <c r="BT2649">
        <v>0</v>
      </c>
      <c r="BU2649">
        <v>0</v>
      </c>
      <c r="BV2649">
        <v>0</v>
      </c>
      <c r="BW2649" t="s">
        <v>0</v>
      </c>
      <c r="BX2649">
        <v>0</v>
      </c>
      <c r="BY2649">
        <v>0</v>
      </c>
      <c r="BZ2649">
        <v>0</v>
      </c>
      <c r="CA2649">
        <v>0</v>
      </c>
      <c r="CB2649" t="s">
        <v>145</v>
      </c>
    </row>
    <row r="2650" spans="67:80" x14ac:dyDescent="0.25">
      <c r="BO2650">
        <v>0</v>
      </c>
      <c r="BP2650">
        <v>0</v>
      </c>
      <c r="BQ2650">
        <v>0</v>
      </c>
      <c r="BR2650">
        <v>0</v>
      </c>
      <c r="BS2650">
        <v>0</v>
      </c>
      <c r="BT2650">
        <v>0</v>
      </c>
      <c r="BU2650">
        <v>0</v>
      </c>
      <c r="BV2650">
        <v>0</v>
      </c>
      <c r="BW2650" t="s">
        <v>0</v>
      </c>
      <c r="BX2650">
        <v>0</v>
      </c>
      <c r="BY2650">
        <v>0</v>
      </c>
      <c r="BZ2650">
        <v>0</v>
      </c>
      <c r="CA2650">
        <v>0</v>
      </c>
      <c r="CB2650" t="s">
        <v>145</v>
      </c>
    </row>
    <row r="2651" spans="67:80" x14ac:dyDescent="0.25">
      <c r="BO2651">
        <v>0</v>
      </c>
      <c r="BP2651">
        <v>0</v>
      </c>
      <c r="BQ2651">
        <v>0</v>
      </c>
      <c r="BR2651">
        <v>0</v>
      </c>
      <c r="BS2651">
        <v>0</v>
      </c>
      <c r="BT2651">
        <v>0</v>
      </c>
      <c r="BU2651">
        <v>0</v>
      </c>
      <c r="BV2651">
        <v>0</v>
      </c>
      <c r="BW2651" t="s">
        <v>0</v>
      </c>
      <c r="BX2651">
        <v>0</v>
      </c>
      <c r="BY2651">
        <v>0</v>
      </c>
      <c r="BZ2651">
        <v>0</v>
      </c>
      <c r="CA2651">
        <v>0</v>
      </c>
      <c r="CB2651" t="s">
        <v>145</v>
      </c>
    </row>
    <row r="2652" spans="67:80" x14ac:dyDescent="0.25">
      <c r="BO2652">
        <v>0</v>
      </c>
      <c r="BP2652">
        <v>0</v>
      </c>
      <c r="BQ2652">
        <v>0</v>
      </c>
      <c r="BR2652">
        <v>0</v>
      </c>
      <c r="BS2652">
        <v>0</v>
      </c>
      <c r="BT2652">
        <v>0</v>
      </c>
      <c r="BU2652">
        <v>0</v>
      </c>
      <c r="BV2652">
        <v>0</v>
      </c>
      <c r="BW2652" t="s">
        <v>0</v>
      </c>
      <c r="BX2652">
        <v>0</v>
      </c>
      <c r="BY2652">
        <v>0</v>
      </c>
      <c r="BZ2652">
        <v>0</v>
      </c>
      <c r="CA2652">
        <v>0</v>
      </c>
      <c r="CB2652" t="s">
        <v>145</v>
      </c>
    </row>
    <row r="2653" spans="67:80" x14ac:dyDescent="0.25">
      <c r="BO2653">
        <v>0</v>
      </c>
      <c r="BP2653">
        <v>0</v>
      </c>
      <c r="BQ2653">
        <v>0</v>
      </c>
      <c r="BR2653">
        <v>0</v>
      </c>
      <c r="BS2653">
        <v>0</v>
      </c>
      <c r="BT2653">
        <v>0</v>
      </c>
      <c r="BU2653">
        <v>0</v>
      </c>
      <c r="BV2653">
        <v>0</v>
      </c>
      <c r="BW2653" t="s">
        <v>0</v>
      </c>
      <c r="BX2653">
        <v>0</v>
      </c>
      <c r="BY2653">
        <v>0</v>
      </c>
      <c r="BZ2653">
        <v>0</v>
      </c>
      <c r="CA2653">
        <v>0</v>
      </c>
      <c r="CB2653" t="s">
        <v>145</v>
      </c>
    </row>
    <row r="2654" spans="67:80" x14ac:dyDescent="0.25">
      <c r="BO2654">
        <v>0</v>
      </c>
      <c r="BP2654">
        <v>0</v>
      </c>
      <c r="BQ2654">
        <v>0</v>
      </c>
      <c r="BR2654">
        <v>0</v>
      </c>
      <c r="BS2654">
        <v>0</v>
      </c>
      <c r="BT2654">
        <v>0</v>
      </c>
      <c r="BU2654">
        <v>0</v>
      </c>
      <c r="BV2654">
        <v>0</v>
      </c>
      <c r="BW2654" t="s">
        <v>0</v>
      </c>
      <c r="BX2654">
        <v>0</v>
      </c>
      <c r="BY2654">
        <v>0</v>
      </c>
      <c r="BZ2654">
        <v>0</v>
      </c>
      <c r="CA2654">
        <v>0</v>
      </c>
      <c r="CB2654" t="s">
        <v>145</v>
      </c>
    </row>
    <row r="2655" spans="67:80" x14ac:dyDescent="0.25">
      <c r="BO2655">
        <v>0</v>
      </c>
      <c r="BP2655">
        <v>0</v>
      </c>
      <c r="BQ2655">
        <v>0</v>
      </c>
      <c r="BR2655">
        <v>0</v>
      </c>
      <c r="BS2655">
        <v>0</v>
      </c>
      <c r="BT2655">
        <v>0</v>
      </c>
      <c r="BU2655">
        <v>0</v>
      </c>
      <c r="BV2655">
        <v>0</v>
      </c>
      <c r="BW2655" t="s">
        <v>0</v>
      </c>
      <c r="BX2655">
        <v>0</v>
      </c>
      <c r="BY2655">
        <v>0</v>
      </c>
      <c r="BZ2655">
        <v>0</v>
      </c>
      <c r="CA2655">
        <v>0</v>
      </c>
      <c r="CB2655" t="s">
        <v>145</v>
      </c>
    </row>
    <row r="2656" spans="67:80" x14ac:dyDescent="0.25">
      <c r="BO2656">
        <v>0</v>
      </c>
      <c r="BP2656">
        <v>0</v>
      </c>
      <c r="BQ2656">
        <v>0</v>
      </c>
      <c r="BR2656">
        <v>0</v>
      </c>
      <c r="BS2656">
        <v>0</v>
      </c>
      <c r="BT2656">
        <v>0</v>
      </c>
      <c r="BU2656">
        <v>0</v>
      </c>
      <c r="BV2656">
        <v>0</v>
      </c>
      <c r="BW2656" t="s">
        <v>0</v>
      </c>
      <c r="BX2656">
        <v>0</v>
      </c>
      <c r="BY2656">
        <v>0</v>
      </c>
      <c r="BZ2656">
        <v>0</v>
      </c>
      <c r="CA2656">
        <v>0</v>
      </c>
      <c r="CB2656" t="s">
        <v>145</v>
      </c>
    </row>
    <row r="2657" spans="67:80" x14ac:dyDescent="0.25">
      <c r="BO2657">
        <v>0</v>
      </c>
      <c r="BP2657">
        <v>0</v>
      </c>
      <c r="BQ2657">
        <v>0</v>
      </c>
      <c r="BR2657">
        <v>0</v>
      </c>
      <c r="BS2657">
        <v>0</v>
      </c>
      <c r="BT2657">
        <v>0</v>
      </c>
      <c r="BU2657">
        <v>0</v>
      </c>
      <c r="BV2657">
        <v>0</v>
      </c>
      <c r="BW2657" t="s">
        <v>0</v>
      </c>
      <c r="BX2657">
        <v>0</v>
      </c>
      <c r="BY2657">
        <v>0</v>
      </c>
      <c r="BZ2657">
        <v>0</v>
      </c>
      <c r="CA2657">
        <v>0</v>
      </c>
      <c r="CB2657" t="s">
        <v>145</v>
      </c>
    </row>
    <row r="2658" spans="67:80" x14ac:dyDescent="0.25">
      <c r="BO2658">
        <v>0</v>
      </c>
      <c r="BP2658">
        <v>0</v>
      </c>
      <c r="BQ2658">
        <v>0</v>
      </c>
      <c r="BR2658">
        <v>0</v>
      </c>
      <c r="BS2658">
        <v>0</v>
      </c>
      <c r="BT2658">
        <v>0</v>
      </c>
      <c r="BU2658">
        <v>0</v>
      </c>
      <c r="BV2658">
        <v>0</v>
      </c>
      <c r="BW2658" t="s">
        <v>0</v>
      </c>
      <c r="BX2658">
        <v>0</v>
      </c>
      <c r="BY2658">
        <v>0</v>
      </c>
      <c r="BZ2658">
        <v>0</v>
      </c>
      <c r="CA2658">
        <v>0</v>
      </c>
      <c r="CB2658" t="s">
        <v>145</v>
      </c>
    </row>
    <row r="2659" spans="67:80" x14ac:dyDescent="0.25">
      <c r="BO2659">
        <v>0</v>
      </c>
      <c r="BP2659">
        <v>0</v>
      </c>
      <c r="BQ2659">
        <v>0</v>
      </c>
      <c r="BR2659">
        <v>0</v>
      </c>
      <c r="BS2659">
        <v>0</v>
      </c>
      <c r="BT2659">
        <v>0</v>
      </c>
      <c r="BU2659">
        <v>0</v>
      </c>
      <c r="BV2659">
        <v>0</v>
      </c>
      <c r="BW2659" t="s">
        <v>0</v>
      </c>
      <c r="BX2659">
        <v>0</v>
      </c>
      <c r="BY2659">
        <v>0</v>
      </c>
      <c r="BZ2659">
        <v>0</v>
      </c>
      <c r="CA2659">
        <v>0</v>
      </c>
      <c r="CB2659" t="s">
        <v>145</v>
      </c>
    </row>
    <row r="2660" spans="67:80" x14ac:dyDescent="0.25">
      <c r="BO2660">
        <v>0</v>
      </c>
      <c r="BP2660">
        <v>0</v>
      </c>
      <c r="BQ2660">
        <v>0</v>
      </c>
      <c r="BR2660">
        <v>0</v>
      </c>
      <c r="BS2660">
        <v>0</v>
      </c>
      <c r="BT2660">
        <v>0</v>
      </c>
      <c r="BU2660">
        <v>0</v>
      </c>
      <c r="BV2660">
        <v>0</v>
      </c>
      <c r="BW2660" t="s">
        <v>0</v>
      </c>
      <c r="BX2660">
        <v>0</v>
      </c>
      <c r="BY2660">
        <v>0</v>
      </c>
      <c r="BZ2660">
        <v>0</v>
      </c>
      <c r="CA2660">
        <v>0</v>
      </c>
      <c r="CB2660" t="s">
        <v>145</v>
      </c>
    </row>
    <row r="2661" spans="67:80" x14ac:dyDescent="0.25">
      <c r="BO2661">
        <v>0</v>
      </c>
      <c r="BP2661">
        <v>0</v>
      </c>
      <c r="BQ2661">
        <v>0</v>
      </c>
      <c r="BR2661">
        <v>0</v>
      </c>
      <c r="BS2661">
        <v>0</v>
      </c>
      <c r="BT2661">
        <v>0</v>
      </c>
      <c r="BU2661">
        <v>0</v>
      </c>
      <c r="BV2661">
        <v>0</v>
      </c>
      <c r="BW2661" t="s">
        <v>0</v>
      </c>
      <c r="BX2661">
        <v>0</v>
      </c>
      <c r="BY2661">
        <v>0</v>
      </c>
      <c r="BZ2661">
        <v>0</v>
      </c>
      <c r="CA2661">
        <v>0</v>
      </c>
      <c r="CB2661" t="s">
        <v>145</v>
      </c>
    </row>
    <row r="2662" spans="67:80" x14ac:dyDescent="0.25">
      <c r="BO2662">
        <v>0</v>
      </c>
      <c r="BP2662">
        <v>0</v>
      </c>
      <c r="BQ2662">
        <v>0</v>
      </c>
      <c r="BR2662">
        <v>0</v>
      </c>
      <c r="BS2662">
        <v>0</v>
      </c>
      <c r="BT2662">
        <v>0</v>
      </c>
      <c r="BU2662">
        <v>0</v>
      </c>
      <c r="BV2662">
        <v>0</v>
      </c>
      <c r="BW2662" t="s">
        <v>0</v>
      </c>
      <c r="BX2662">
        <v>0</v>
      </c>
      <c r="BY2662">
        <v>0</v>
      </c>
      <c r="BZ2662">
        <v>0</v>
      </c>
      <c r="CA2662">
        <v>0</v>
      </c>
      <c r="CB2662" t="s">
        <v>145</v>
      </c>
    </row>
    <row r="2663" spans="67:80" x14ac:dyDescent="0.25">
      <c r="BO2663">
        <v>0</v>
      </c>
      <c r="BP2663">
        <v>0</v>
      </c>
      <c r="BQ2663">
        <v>0</v>
      </c>
      <c r="BR2663">
        <v>0</v>
      </c>
      <c r="BS2663">
        <v>0</v>
      </c>
      <c r="BT2663">
        <v>0</v>
      </c>
      <c r="BU2663">
        <v>0</v>
      </c>
      <c r="BV2663">
        <v>0</v>
      </c>
      <c r="BW2663" t="s">
        <v>0</v>
      </c>
      <c r="BX2663">
        <v>0</v>
      </c>
      <c r="BY2663">
        <v>0</v>
      </c>
      <c r="BZ2663">
        <v>0</v>
      </c>
      <c r="CA2663">
        <v>0</v>
      </c>
      <c r="CB2663" t="s">
        <v>145</v>
      </c>
    </row>
    <row r="2664" spans="67:80" x14ac:dyDescent="0.25">
      <c r="BO2664">
        <v>0</v>
      </c>
      <c r="BP2664">
        <v>0</v>
      </c>
      <c r="BQ2664">
        <v>0</v>
      </c>
      <c r="BR2664">
        <v>0</v>
      </c>
      <c r="BS2664">
        <v>0</v>
      </c>
      <c r="BT2664">
        <v>0</v>
      </c>
      <c r="BU2664">
        <v>0</v>
      </c>
      <c r="BV2664">
        <v>0</v>
      </c>
      <c r="BW2664" t="s">
        <v>0</v>
      </c>
      <c r="BX2664">
        <v>0</v>
      </c>
      <c r="BY2664">
        <v>0</v>
      </c>
      <c r="BZ2664">
        <v>0</v>
      </c>
      <c r="CA2664">
        <v>0</v>
      </c>
      <c r="CB2664" t="s">
        <v>145</v>
      </c>
    </row>
    <row r="2665" spans="67:80" x14ac:dyDescent="0.25">
      <c r="BO2665">
        <v>0</v>
      </c>
      <c r="BP2665">
        <v>0</v>
      </c>
      <c r="BQ2665">
        <v>0</v>
      </c>
      <c r="BR2665">
        <v>0</v>
      </c>
      <c r="BS2665">
        <v>0</v>
      </c>
      <c r="BT2665">
        <v>0</v>
      </c>
      <c r="BU2665">
        <v>0</v>
      </c>
      <c r="BV2665">
        <v>0</v>
      </c>
      <c r="BW2665" t="s">
        <v>0</v>
      </c>
      <c r="BX2665">
        <v>0</v>
      </c>
      <c r="BY2665">
        <v>0</v>
      </c>
      <c r="BZ2665">
        <v>0</v>
      </c>
      <c r="CA2665">
        <v>0</v>
      </c>
      <c r="CB2665" t="s">
        <v>145</v>
      </c>
    </row>
    <row r="2666" spans="67:80" x14ac:dyDescent="0.25">
      <c r="BO2666">
        <v>0</v>
      </c>
      <c r="BP2666">
        <v>0</v>
      </c>
      <c r="BQ2666">
        <v>0</v>
      </c>
      <c r="BR2666">
        <v>0</v>
      </c>
      <c r="BS2666">
        <v>0</v>
      </c>
      <c r="BT2666">
        <v>0</v>
      </c>
      <c r="BU2666">
        <v>0</v>
      </c>
      <c r="BV2666">
        <v>0</v>
      </c>
      <c r="BW2666" t="s">
        <v>0</v>
      </c>
      <c r="BX2666">
        <v>0</v>
      </c>
      <c r="BY2666">
        <v>0</v>
      </c>
      <c r="BZ2666">
        <v>0</v>
      </c>
      <c r="CA2666">
        <v>0</v>
      </c>
      <c r="CB2666" t="s">
        <v>145</v>
      </c>
    </row>
    <row r="2667" spans="67:80" x14ac:dyDescent="0.25">
      <c r="BO2667">
        <v>0</v>
      </c>
      <c r="BP2667">
        <v>0</v>
      </c>
      <c r="BQ2667">
        <v>0</v>
      </c>
      <c r="BR2667">
        <v>0</v>
      </c>
      <c r="BS2667">
        <v>0</v>
      </c>
      <c r="BT2667">
        <v>0</v>
      </c>
      <c r="BU2667">
        <v>0</v>
      </c>
      <c r="BV2667">
        <v>0</v>
      </c>
      <c r="BW2667" t="s">
        <v>0</v>
      </c>
      <c r="BX2667">
        <v>0</v>
      </c>
      <c r="BY2667">
        <v>0</v>
      </c>
      <c r="BZ2667">
        <v>0</v>
      </c>
      <c r="CA2667">
        <v>0</v>
      </c>
      <c r="CB2667" t="s">
        <v>145</v>
      </c>
    </row>
    <row r="2668" spans="67:80" x14ac:dyDescent="0.25">
      <c r="BO2668">
        <v>0</v>
      </c>
      <c r="BP2668">
        <v>0</v>
      </c>
      <c r="BQ2668">
        <v>0</v>
      </c>
      <c r="BR2668">
        <v>0</v>
      </c>
      <c r="BS2668">
        <v>0</v>
      </c>
      <c r="BT2668">
        <v>0</v>
      </c>
      <c r="BU2668">
        <v>0</v>
      </c>
      <c r="BV2668">
        <v>0</v>
      </c>
      <c r="BW2668" t="s">
        <v>0</v>
      </c>
      <c r="BX2668">
        <v>0</v>
      </c>
      <c r="BY2668">
        <v>0</v>
      </c>
      <c r="BZ2668">
        <v>0</v>
      </c>
      <c r="CA2668">
        <v>0</v>
      </c>
      <c r="CB2668" t="s">
        <v>145</v>
      </c>
    </row>
    <row r="2669" spans="67:80" x14ac:dyDescent="0.25">
      <c r="BO2669">
        <v>0</v>
      </c>
      <c r="BP2669">
        <v>0</v>
      </c>
      <c r="BQ2669">
        <v>0</v>
      </c>
      <c r="BR2669">
        <v>0</v>
      </c>
      <c r="BS2669">
        <v>0</v>
      </c>
      <c r="BT2669">
        <v>0</v>
      </c>
      <c r="BU2669">
        <v>0</v>
      </c>
      <c r="BV2669">
        <v>0</v>
      </c>
      <c r="BW2669" t="s">
        <v>0</v>
      </c>
      <c r="BX2669">
        <v>0</v>
      </c>
      <c r="BY2669">
        <v>0</v>
      </c>
      <c r="BZ2669">
        <v>0</v>
      </c>
      <c r="CA2669">
        <v>0</v>
      </c>
      <c r="CB2669" t="s">
        <v>145</v>
      </c>
    </row>
    <row r="2670" spans="67:80" x14ac:dyDescent="0.25">
      <c r="BO2670">
        <v>0</v>
      </c>
      <c r="BP2670">
        <v>0</v>
      </c>
      <c r="BQ2670">
        <v>0</v>
      </c>
      <c r="BR2670">
        <v>0</v>
      </c>
      <c r="BS2670">
        <v>0</v>
      </c>
      <c r="BT2670">
        <v>0</v>
      </c>
      <c r="BU2670">
        <v>0</v>
      </c>
      <c r="BV2670">
        <v>0</v>
      </c>
      <c r="BW2670" t="s">
        <v>0</v>
      </c>
      <c r="BX2670">
        <v>0</v>
      </c>
      <c r="BY2670">
        <v>0</v>
      </c>
      <c r="BZ2670">
        <v>0</v>
      </c>
      <c r="CA2670">
        <v>0</v>
      </c>
      <c r="CB2670" t="s">
        <v>145</v>
      </c>
    </row>
    <row r="2671" spans="67:80" x14ac:dyDescent="0.25">
      <c r="BO2671">
        <v>0</v>
      </c>
      <c r="BP2671">
        <v>0</v>
      </c>
      <c r="BQ2671">
        <v>0</v>
      </c>
      <c r="BR2671">
        <v>0</v>
      </c>
      <c r="BS2671">
        <v>0</v>
      </c>
      <c r="BT2671">
        <v>0</v>
      </c>
      <c r="BU2671">
        <v>0</v>
      </c>
      <c r="BV2671">
        <v>0</v>
      </c>
      <c r="BW2671" t="s">
        <v>0</v>
      </c>
      <c r="BX2671">
        <v>0</v>
      </c>
      <c r="BY2671">
        <v>0</v>
      </c>
      <c r="BZ2671">
        <v>0</v>
      </c>
      <c r="CA2671">
        <v>0</v>
      </c>
      <c r="CB2671" t="s">
        <v>145</v>
      </c>
    </row>
    <row r="2672" spans="67:80" x14ac:dyDescent="0.25">
      <c r="BO2672">
        <v>0</v>
      </c>
      <c r="BP2672">
        <v>0</v>
      </c>
      <c r="BQ2672">
        <v>0</v>
      </c>
      <c r="BR2672">
        <v>0</v>
      </c>
      <c r="BS2672">
        <v>0</v>
      </c>
      <c r="BT2672">
        <v>0</v>
      </c>
      <c r="BU2672">
        <v>0</v>
      </c>
      <c r="BV2672">
        <v>0</v>
      </c>
      <c r="BW2672" t="s">
        <v>0</v>
      </c>
      <c r="BX2672">
        <v>0</v>
      </c>
      <c r="BY2672">
        <v>0</v>
      </c>
      <c r="BZ2672">
        <v>0</v>
      </c>
      <c r="CA2672">
        <v>0</v>
      </c>
      <c r="CB2672" t="s">
        <v>145</v>
      </c>
    </row>
    <row r="2673" spans="67:80" x14ac:dyDescent="0.25">
      <c r="BO2673">
        <v>0</v>
      </c>
      <c r="BP2673">
        <v>0</v>
      </c>
      <c r="BQ2673">
        <v>0</v>
      </c>
      <c r="BR2673">
        <v>0</v>
      </c>
      <c r="BS2673">
        <v>0</v>
      </c>
      <c r="BT2673">
        <v>0</v>
      </c>
      <c r="BU2673">
        <v>0</v>
      </c>
      <c r="BV2673">
        <v>0</v>
      </c>
      <c r="BW2673" t="s">
        <v>0</v>
      </c>
      <c r="BX2673">
        <v>0</v>
      </c>
      <c r="BY2673">
        <v>0</v>
      </c>
      <c r="BZ2673">
        <v>0</v>
      </c>
      <c r="CA2673">
        <v>0</v>
      </c>
      <c r="CB2673" t="s">
        <v>145</v>
      </c>
    </row>
    <row r="2674" spans="67:80" x14ac:dyDescent="0.25">
      <c r="BO2674">
        <v>0</v>
      </c>
      <c r="BP2674">
        <v>0</v>
      </c>
      <c r="BQ2674">
        <v>0</v>
      </c>
      <c r="BR2674">
        <v>0</v>
      </c>
      <c r="BS2674">
        <v>0</v>
      </c>
      <c r="BT2674">
        <v>0</v>
      </c>
      <c r="BU2674">
        <v>0</v>
      </c>
      <c r="BV2674">
        <v>0</v>
      </c>
      <c r="BW2674" t="s">
        <v>0</v>
      </c>
      <c r="BX2674">
        <v>0</v>
      </c>
      <c r="BY2674">
        <v>0</v>
      </c>
      <c r="BZ2674">
        <v>0</v>
      </c>
      <c r="CA2674">
        <v>0</v>
      </c>
      <c r="CB2674" t="s">
        <v>145</v>
      </c>
    </row>
    <row r="2675" spans="67:80" x14ac:dyDescent="0.25">
      <c r="BO2675">
        <v>0</v>
      </c>
      <c r="BP2675">
        <v>0</v>
      </c>
      <c r="BQ2675">
        <v>0</v>
      </c>
      <c r="BR2675">
        <v>0</v>
      </c>
      <c r="BS2675">
        <v>0</v>
      </c>
      <c r="BT2675">
        <v>0</v>
      </c>
      <c r="BU2675">
        <v>0</v>
      </c>
      <c r="BV2675">
        <v>0</v>
      </c>
      <c r="BW2675" t="s">
        <v>0</v>
      </c>
      <c r="BX2675">
        <v>0</v>
      </c>
      <c r="BY2675">
        <v>0</v>
      </c>
      <c r="BZ2675">
        <v>0</v>
      </c>
      <c r="CA2675">
        <v>0</v>
      </c>
      <c r="CB2675" t="s">
        <v>145</v>
      </c>
    </row>
    <row r="2676" spans="67:80" x14ac:dyDescent="0.25">
      <c r="BO2676">
        <v>0</v>
      </c>
      <c r="BP2676">
        <v>0</v>
      </c>
      <c r="BQ2676">
        <v>0</v>
      </c>
      <c r="BR2676">
        <v>0</v>
      </c>
      <c r="BS2676">
        <v>0</v>
      </c>
      <c r="BT2676">
        <v>0</v>
      </c>
      <c r="BU2676">
        <v>0</v>
      </c>
      <c r="BV2676">
        <v>0</v>
      </c>
      <c r="BW2676" t="s">
        <v>0</v>
      </c>
      <c r="BX2676">
        <v>0</v>
      </c>
      <c r="BY2676">
        <v>0</v>
      </c>
      <c r="BZ2676">
        <v>0</v>
      </c>
      <c r="CA2676">
        <v>0</v>
      </c>
      <c r="CB2676" t="s">
        <v>145</v>
      </c>
    </row>
    <row r="2677" spans="67:80" x14ac:dyDescent="0.25">
      <c r="BO2677">
        <v>0</v>
      </c>
      <c r="BP2677">
        <v>0</v>
      </c>
      <c r="BQ2677">
        <v>0</v>
      </c>
      <c r="BR2677">
        <v>0</v>
      </c>
      <c r="BS2677">
        <v>0</v>
      </c>
      <c r="BT2677">
        <v>0</v>
      </c>
      <c r="BU2677">
        <v>0</v>
      </c>
      <c r="BV2677">
        <v>0</v>
      </c>
      <c r="BW2677" t="s">
        <v>0</v>
      </c>
      <c r="BX2677">
        <v>0</v>
      </c>
      <c r="BY2677">
        <v>0</v>
      </c>
      <c r="BZ2677">
        <v>0</v>
      </c>
      <c r="CA2677">
        <v>0</v>
      </c>
      <c r="CB2677" t="s">
        <v>145</v>
      </c>
    </row>
    <row r="2678" spans="67:80" x14ac:dyDescent="0.25">
      <c r="BO2678">
        <v>0</v>
      </c>
      <c r="BP2678">
        <v>0</v>
      </c>
      <c r="BQ2678">
        <v>0</v>
      </c>
      <c r="BR2678">
        <v>0</v>
      </c>
      <c r="BS2678">
        <v>0</v>
      </c>
      <c r="BT2678">
        <v>0</v>
      </c>
      <c r="BU2678">
        <v>0</v>
      </c>
      <c r="BV2678">
        <v>0</v>
      </c>
      <c r="BW2678" t="s">
        <v>0</v>
      </c>
      <c r="BX2678">
        <v>0</v>
      </c>
      <c r="BY2678">
        <v>0</v>
      </c>
      <c r="BZ2678">
        <v>0</v>
      </c>
      <c r="CA2678">
        <v>0</v>
      </c>
      <c r="CB2678" t="s">
        <v>145</v>
      </c>
    </row>
    <row r="2679" spans="67:80" x14ac:dyDescent="0.25">
      <c r="BO2679">
        <v>0</v>
      </c>
      <c r="BP2679">
        <v>0</v>
      </c>
      <c r="BQ2679">
        <v>0</v>
      </c>
      <c r="BR2679">
        <v>0</v>
      </c>
      <c r="BS2679">
        <v>0</v>
      </c>
      <c r="BT2679">
        <v>0</v>
      </c>
      <c r="BU2679">
        <v>0</v>
      </c>
      <c r="BV2679">
        <v>0</v>
      </c>
      <c r="BW2679" t="s">
        <v>0</v>
      </c>
      <c r="BX2679">
        <v>0</v>
      </c>
      <c r="BY2679">
        <v>0</v>
      </c>
      <c r="BZ2679">
        <v>0</v>
      </c>
      <c r="CA2679">
        <v>0</v>
      </c>
      <c r="CB2679" t="s">
        <v>145</v>
      </c>
    </row>
    <row r="2680" spans="67:80" x14ac:dyDescent="0.25">
      <c r="BO2680">
        <v>0</v>
      </c>
      <c r="BP2680">
        <v>0</v>
      </c>
      <c r="BQ2680">
        <v>0</v>
      </c>
      <c r="BR2680">
        <v>0</v>
      </c>
      <c r="BS2680">
        <v>0</v>
      </c>
      <c r="BT2680">
        <v>0</v>
      </c>
      <c r="BU2680">
        <v>0</v>
      </c>
      <c r="BV2680">
        <v>0</v>
      </c>
      <c r="BW2680" t="s">
        <v>0</v>
      </c>
      <c r="BX2680">
        <v>0</v>
      </c>
      <c r="BY2680">
        <v>0</v>
      </c>
      <c r="BZ2680">
        <v>0</v>
      </c>
      <c r="CA2680">
        <v>0</v>
      </c>
      <c r="CB2680" t="s">
        <v>145</v>
      </c>
    </row>
    <row r="2681" spans="67:80" x14ac:dyDescent="0.25">
      <c r="BO2681">
        <v>0</v>
      </c>
      <c r="BP2681">
        <v>0</v>
      </c>
      <c r="BQ2681">
        <v>0</v>
      </c>
      <c r="BR2681">
        <v>0</v>
      </c>
      <c r="BS2681">
        <v>0</v>
      </c>
      <c r="BT2681">
        <v>0</v>
      </c>
      <c r="BU2681">
        <v>0</v>
      </c>
      <c r="BV2681">
        <v>0</v>
      </c>
      <c r="BW2681" t="s">
        <v>0</v>
      </c>
      <c r="BX2681">
        <v>0</v>
      </c>
      <c r="BY2681">
        <v>0</v>
      </c>
      <c r="BZ2681">
        <v>0</v>
      </c>
      <c r="CA2681">
        <v>0</v>
      </c>
      <c r="CB2681" t="s">
        <v>145</v>
      </c>
    </row>
    <row r="2682" spans="67:80" x14ac:dyDescent="0.25">
      <c r="BO2682">
        <v>0</v>
      </c>
      <c r="BP2682">
        <v>0</v>
      </c>
      <c r="BQ2682">
        <v>0</v>
      </c>
      <c r="BR2682">
        <v>0</v>
      </c>
      <c r="BS2682">
        <v>0</v>
      </c>
      <c r="BT2682">
        <v>0</v>
      </c>
      <c r="BU2682">
        <v>0</v>
      </c>
      <c r="BV2682">
        <v>0</v>
      </c>
      <c r="BW2682" t="s">
        <v>0</v>
      </c>
      <c r="BX2682">
        <v>0</v>
      </c>
      <c r="BY2682">
        <v>0</v>
      </c>
      <c r="BZ2682">
        <v>0</v>
      </c>
      <c r="CA2682">
        <v>0</v>
      </c>
      <c r="CB2682" t="s">
        <v>145</v>
      </c>
    </row>
    <row r="2683" spans="67:80" x14ac:dyDescent="0.25">
      <c r="BO2683">
        <v>0</v>
      </c>
      <c r="BP2683">
        <v>0</v>
      </c>
      <c r="BQ2683">
        <v>0</v>
      </c>
      <c r="BR2683">
        <v>0</v>
      </c>
      <c r="BS2683">
        <v>0</v>
      </c>
      <c r="BT2683">
        <v>0</v>
      </c>
      <c r="BU2683">
        <v>0</v>
      </c>
      <c r="BV2683">
        <v>0</v>
      </c>
      <c r="BW2683" t="s">
        <v>0</v>
      </c>
      <c r="BX2683">
        <v>0</v>
      </c>
      <c r="BY2683">
        <v>0</v>
      </c>
      <c r="BZ2683">
        <v>0</v>
      </c>
      <c r="CA2683">
        <v>0</v>
      </c>
      <c r="CB2683" t="s">
        <v>145</v>
      </c>
    </row>
    <row r="2684" spans="67:80" x14ac:dyDescent="0.25">
      <c r="BO2684">
        <v>0</v>
      </c>
      <c r="BP2684">
        <v>0</v>
      </c>
      <c r="BQ2684">
        <v>0</v>
      </c>
      <c r="BR2684">
        <v>0</v>
      </c>
      <c r="BS2684">
        <v>0</v>
      </c>
      <c r="BT2684">
        <v>0</v>
      </c>
      <c r="BU2684">
        <v>0</v>
      </c>
      <c r="BV2684">
        <v>0</v>
      </c>
      <c r="BW2684" t="s">
        <v>0</v>
      </c>
      <c r="BX2684">
        <v>0</v>
      </c>
      <c r="BY2684">
        <v>0</v>
      </c>
      <c r="BZ2684">
        <v>0</v>
      </c>
      <c r="CA2684">
        <v>0</v>
      </c>
      <c r="CB2684" t="s">
        <v>145</v>
      </c>
    </row>
    <row r="2685" spans="67:80" x14ac:dyDescent="0.25">
      <c r="BO2685">
        <v>0</v>
      </c>
      <c r="BP2685">
        <v>0</v>
      </c>
      <c r="BQ2685">
        <v>0</v>
      </c>
      <c r="BR2685">
        <v>0</v>
      </c>
      <c r="BS2685">
        <v>0</v>
      </c>
      <c r="BT2685">
        <v>0</v>
      </c>
      <c r="BU2685">
        <v>0</v>
      </c>
      <c r="BV2685">
        <v>0</v>
      </c>
      <c r="BW2685" t="s">
        <v>0</v>
      </c>
      <c r="BX2685">
        <v>0</v>
      </c>
      <c r="BY2685">
        <v>0</v>
      </c>
      <c r="BZ2685">
        <v>0</v>
      </c>
      <c r="CA2685">
        <v>0</v>
      </c>
      <c r="CB2685" t="s">
        <v>145</v>
      </c>
    </row>
    <row r="2686" spans="67:80" x14ac:dyDescent="0.25">
      <c r="BO2686">
        <v>0</v>
      </c>
      <c r="BP2686">
        <v>0</v>
      </c>
      <c r="BQ2686">
        <v>0</v>
      </c>
      <c r="BR2686">
        <v>0</v>
      </c>
      <c r="BS2686">
        <v>0</v>
      </c>
      <c r="BT2686">
        <v>0</v>
      </c>
      <c r="BU2686">
        <v>0</v>
      </c>
      <c r="BV2686">
        <v>0</v>
      </c>
      <c r="BW2686" t="s">
        <v>0</v>
      </c>
      <c r="BX2686">
        <v>0</v>
      </c>
      <c r="BY2686">
        <v>0</v>
      </c>
      <c r="BZ2686">
        <v>0</v>
      </c>
      <c r="CA2686">
        <v>0</v>
      </c>
      <c r="CB2686" t="s">
        <v>145</v>
      </c>
    </row>
    <row r="2687" spans="67:80" x14ac:dyDescent="0.25">
      <c r="BO2687">
        <v>0</v>
      </c>
      <c r="BP2687">
        <v>0</v>
      </c>
      <c r="BQ2687">
        <v>0</v>
      </c>
      <c r="BR2687">
        <v>0</v>
      </c>
      <c r="BS2687">
        <v>0</v>
      </c>
      <c r="BT2687">
        <v>0</v>
      </c>
      <c r="BU2687">
        <v>0</v>
      </c>
      <c r="BV2687">
        <v>0</v>
      </c>
      <c r="BW2687" t="s">
        <v>0</v>
      </c>
      <c r="BX2687">
        <v>0</v>
      </c>
      <c r="BY2687">
        <v>0</v>
      </c>
      <c r="BZ2687">
        <v>0</v>
      </c>
      <c r="CA2687">
        <v>0</v>
      </c>
      <c r="CB2687" t="s">
        <v>145</v>
      </c>
    </row>
    <row r="2688" spans="67:80" x14ac:dyDescent="0.25">
      <c r="BO2688">
        <v>0</v>
      </c>
      <c r="BP2688">
        <v>0</v>
      </c>
      <c r="BQ2688">
        <v>0</v>
      </c>
      <c r="BR2688">
        <v>0</v>
      </c>
      <c r="BS2688">
        <v>0</v>
      </c>
      <c r="BT2688">
        <v>0</v>
      </c>
      <c r="BU2688">
        <v>0</v>
      </c>
      <c r="BV2688">
        <v>0</v>
      </c>
      <c r="BW2688" t="s">
        <v>0</v>
      </c>
      <c r="BX2688">
        <v>0</v>
      </c>
      <c r="BY2688">
        <v>0</v>
      </c>
      <c r="BZ2688">
        <v>0</v>
      </c>
      <c r="CA2688">
        <v>0</v>
      </c>
      <c r="CB2688" t="s">
        <v>145</v>
      </c>
    </row>
    <row r="2689" spans="67:80" x14ac:dyDescent="0.25">
      <c r="BO2689">
        <v>0</v>
      </c>
      <c r="BP2689">
        <v>0</v>
      </c>
      <c r="BQ2689">
        <v>0</v>
      </c>
      <c r="BR2689">
        <v>0</v>
      </c>
      <c r="BS2689">
        <v>0</v>
      </c>
      <c r="BT2689">
        <v>0</v>
      </c>
      <c r="BU2689">
        <v>0</v>
      </c>
      <c r="BV2689">
        <v>0</v>
      </c>
      <c r="BW2689" t="s">
        <v>0</v>
      </c>
      <c r="BX2689">
        <v>0</v>
      </c>
      <c r="BY2689">
        <v>0</v>
      </c>
      <c r="BZ2689">
        <v>0</v>
      </c>
      <c r="CA2689">
        <v>0</v>
      </c>
      <c r="CB2689" t="s">
        <v>145</v>
      </c>
    </row>
    <row r="2690" spans="67:80" x14ac:dyDescent="0.25">
      <c r="BO2690">
        <v>0</v>
      </c>
      <c r="BP2690">
        <v>0</v>
      </c>
      <c r="BQ2690">
        <v>0</v>
      </c>
      <c r="BR2690">
        <v>0</v>
      </c>
      <c r="BS2690">
        <v>0</v>
      </c>
      <c r="BT2690">
        <v>0</v>
      </c>
      <c r="BU2690">
        <v>0</v>
      </c>
      <c r="BV2690">
        <v>0</v>
      </c>
      <c r="BW2690" t="s">
        <v>0</v>
      </c>
      <c r="BX2690">
        <v>0</v>
      </c>
      <c r="BY2690">
        <v>0</v>
      </c>
      <c r="BZ2690">
        <v>0</v>
      </c>
      <c r="CA2690">
        <v>0</v>
      </c>
      <c r="CB2690" t="s">
        <v>145</v>
      </c>
    </row>
    <row r="2691" spans="67:80" x14ac:dyDescent="0.25">
      <c r="BO2691">
        <v>0</v>
      </c>
      <c r="BP2691">
        <v>0</v>
      </c>
      <c r="BQ2691">
        <v>0</v>
      </c>
      <c r="BR2691">
        <v>0</v>
      </c>
      <c r="BS2691">
        <v>0</v>
      </c>
      <c r="BT2691">
        <v>0</v>
      </c>
      <c r="BU2691">
        <v>0</v>
      </c>
      <c r="BV2691">
        <v>0</v>
      </c>
      <c r="BW2691" t="s">
        <v>0</v>
      </c>
      <c r="BX2691">
        <v>0</v>
      </c>
      <c r="BY2691">
        <v>0</v>
      </c>
      <c r="BZ2691">
        <v>0</v>
      </c>
      <c r="CA2691">
        <v>0</v>
      </c>
      <c r="CB2691" t="s">
        <v>145</v>
      </c>
    </row>
    <row r="2692" spans="67:80" x14ac:dyDescent="0.25">
      <c r="BO2692">
        <v>0</v>
      </c>
      <c r="BP2692">
        <v>0</v>
      </c>
      <c r="BQ2692">
        <v>0</v>
      </c>
      <c r="BR2692">
        <v>0</v>
      </c>
      <c r="BS2692">
        <v>0</v>
      </c>
      <c r="BT2692">
        <v>0</v>
      </c>
      <c r="BU2692">
        <v>0</v>
      </c>
      <c r="BV2692">
        <v>0</v>
      </c>
      <c r="BW2692" t="s">
        <v>0</v>
      </c>
      <c r="BX2692">
        <v>0</v>
      </c>
      <c r="BY2692">
        <v>0</v>
      </c>
      <c r="BZ2692">
        <v>0</v>
      </c>
      <c r="CA2692">
        <v>0</v>
      </c>
      <c r="CB2692" t="s">
        <v>145</v>
      </c>
    </row>
    <row r="2693" spans="67:80" x14ac:dyDescent="0.25">
      <c r="BO2693">
        <v>0</v>
      </c>
      <c r="BP2693">
        <v>0</v>
      </c>
      <c r="BQ2693">
        <v>0</v>
      </c>
      <c r="BR2693">
        <v>0</v>
      </c>
      <c r="BS2693">
        <v>0</v>
      </c>
      <c r="BT2693">
        <v>0</v>
      </c>
      <c r="BU2693">
        <v>0</v>
      </c>
      <c r="BV2693">
        <v>0</v>
      </c>
      <c r="BW2693" t="s">
        <v>0</v>
      </c>
      <c r="BX2693">
        <v>0</v>
      </c>
      <c r="BY2693">
        <v>0</v>
      </c>
      <c r="BZ2693">
        <v>0</v>
      </c>
      <c r="CA2693">
        <v>0</v>
      </c>
      <c r="CB2693" t="s">
        <v>145</v>
      </c>
    </row>
    <row r="2694" spans="67:80" x14ac:dyDescent="0.25">
      <c r="BO2694">
        <v>0</v>
      </c>
      <c r="BP2694">
        <v>0</v>
      </c>
      <c r="BQ2694">
        <v>0</v>
      </c>
      <c r="BR2694">
        <v>0</v>
      </c>
      <c r="BS2694">
        <v>0</v>
      </c>
      <c r="BT2694">
        <v>0</v>
      </c>
      <c r="BU2694">
        <v>0</v>
      </c>
      <c r="BV2694">
        <v>0</v>
      </c>
      <c r="BW2694" t="s">
        <v>0</v>
      </c>
      <c r="BX2694">
        <v>0</v>
      </c>
      <c r="BY2694">
        <v>0</v>
      </c>
      <c r="BZ2694">
        <v>0</v>
      </c>
      <c r="CA2694">
        <v>0</v>
      </c>
      <c r="CB2694" t="s">
        <v>145</v>
      </c>
    </row>
    <row r="2695" spans="67:80" x14ac:dyDescent="0.25">
      <c r="BO2695">
        <v>0</v>
      </c>
      <c r="BP2695">
        <v>0</v>
      </c>
      <c r="BQ2695">
        <v>0</v>
      </c>
      <c r="BR2695">
        <v>0</v>
      </c>
      <c r="BS2695">
        <v>0</v>
      </c>
      <c r="BT2695">
        <v>0</v>
      </c>
      <c r="BU2695">
        <v>0</v>
      </c>
      <c r="BV2695">
        <v>0</v>
      </c>
      <c r="BW2695" t="s">
        <v>0</v>
      </c>
      <c r="BX2695">
        <v>0</v>
      </c>
      <c r="BY2695">
        <v>0</v>
      </c>
      <c r="BZ2695">
        <v>0</v>
      </c>
      <c r="CA2695">
        <v>0</v>
      </c>
      <c r="CB2695" t="s">
        <v>145</v>
      </c>
    </row>
    <row r="2696" spans="67:80" x14ac:dyDescent="0.25">
      <c r="BO2696">
        <v>0</v>
      </c>
      <c r="BP2696">
        <v>0</v>
      </c>
      <c r="BQ2696">
        <v>0</v>
      </c>
      <c r="BR2696">
        <v>0</v>
      </c>
      <c r="BS2696">
        <v>0</v>
      </c>
      <c r="BT2696">
        <v>0</v>
      </c>
      <c r="BU2696">
        <v>0</v>
      </c>
      <c r="BV2696">
        <v>0</v>
      </c>
      <c r="BW2696" t="s">
        <v>0</v>
      </c>
      <c r="BX2696">
        <v>0</v>
      </c>
      <c r="BY2696">
        <v>0</v>
      </c>
      <c r="BZ2696">
        <v>0</v>
      </c>
      <c r="CA2696">
        <v>0</v>
      </c>
      <c r="CB2696" t="s">
        <v>145</v>
      </c>
    </row>
    <row r="2697" spans="67:80" x14ac:dyDescent="0.25">
      <c r="BO2697">
        <v>0</v>
      </c>
      <c r="BP2697">
        <v>0</v>
      </c>
      <c r="BQ2697">
        <v>0</v>
      </c>
      <c r="BR2697">
        <v>0</v>
      </c>
      <c r="BS2697">
        <v>0</v>
      </c>
      <c r="BT2697">
        <v>0</v>
      </c>
      <c r="BU2697">
        <v>0</v>
      </c>
      <c r="BV2697">
        <v>0</v>
      </c>
      <c r="BW2697" t="s">
        <v>0</v>
      </c>
      <c r="BX2697">
        <v>0</v>
      </c>
      <c r="BY2697">
        <v>0</v>
      </c>
      <c r="BZ2697">
        <v>0</v>
      </c>
      <c r="CA2697">
        <v>0</v>
      </c>
      <c r="CB2697" t="s">
        <v>145</v>
      </c>
    </row>
    <row r="2698" spans="67:80" x14ac:dyDescent="0.25">
      <c r="BO2698">
        <v>0</v>
      </c>
      <c r="BP2698">
        <v>0</v>
      </c>
      <c r="BQ2698">
        <v>0</v>
      </c>
      <c r="BR2698">
        <v>0</v>
      </c>
      <c r="BS2698">
        <v>0</v>
      </c>
      <c r="BT2698">
        <v>0</v>
      </c>
      <c r="BU2698">
        <v>0</v>
      </c>
      <c r="BV2698">
        <v>0</v>
      </c>
      <c r="BW2698" t="s">
        <v>0</v>
      </c>
      <c r="BX2698">
        <v>0</v>
      </c>
      <c r="BY2698">
        <v>0</v>
      </c>
      <c r="BZ2698">
        <v>0</v>
      </c>
      <c r="CA2698">
        <v>0</v>
      </c>
      <c r="CB2698" t="s">
        <v>145</v>
      </c>
    </row>
    <row r="2699" spans="67:80" x14ac:dyDescent="0.25">
      <c r="BO2699">
        <v>0</v>
      </c>
      <c r="BP2699">
        <v>0</v>
      </c>
      <c r="BQ2699">
        <v>0</v>
      </c>
      <c r="BR2699">
        <v>0</v>
      </c>
      <c r="BS2699">
        <v>0</v>
      </c>
      <c r="BT2699">
        <v>0</v>
      </c>
      <c r="BU2699">
        <v>0</v>
      </c>
      <c r="BV2699">
        <v>0</v>
      </c>
      <c r="BW2699" t="s">
        <v>0</v>
      </c>
      <c r="BX2699">
        <v>0</v>
      </c>
      <c r="BY2699">
        <v>0</v>
      </c>
      <c r="BZ2699">
        <v>0</v>
      </c>
      <c r="CA2699">
        <v>0</v>
      </c>
      <c r="CB2699" t="s">
        <v>145</v>
      </c>
    </row>
    <row r="2700" spans="67:80" x14ac:dyDescent="0.25">
      <c r="BO2700">
        <v>0</v>
      </c>
      <c r="BP2700">
        <v>0</v>
      </c>
      <c r="BQ2700">
        <v>0</v>
      </c>
      <c r="BR2700">
        <v>0</v>
      </c>
      <c r="BS2700">
        <v>0</v>
      </c>
      <c r="BT2700">
        <v>0</v>
      </c>
      <c r="BU2700">
        <v>0</v>
      </c>
      <c r="BV2700">
        <v>0</v>
      </c>
      <c r="BW2700" t="s">
        <v>0</v>
      </c>
      <c r="BX2700">
        <v>0</v>
      </c>
      <c r="BY2700">
        <v>0</v>
      </c>
      <c r="BZ2700">
        <v>0</v>
      </c>
      <c r="CA2700">
        <v>0</v>
      </c>
      <c r="CB2700" t="s">
        <v>145</v>
      </c>
    </row>
    <row r="2701" spans="67:80" x14ac:dyDescent="0.25">
      <c r="BO2701">
        <v>0</v>
      </c>
      <c r="BP2701">
        <v>0</v>
      </c>
      <c r="BQ2701">
        <v>0</v>
      </c>
      <c r="BR2701">
        <v>0</v>
      </c>
      <c r="BS2701">
        <v>0</v>
      </c>
      <c r="BT2701">
        <v>0</v>
      </c>
      <c r="BU2701">
        <v>0</v>
      </c>
      <c r="BV2701">
        <v>0</v>
      </c>
      <c r="BW2701" t="s">
        <v>0</v>
      </c>
      <c r="BX2701">
        <v>0</v>
      </c>
      <c r="BY2701">
        <v>0</v>
      </c>
      <c r="BZ2701">
        <v>0</v>
      </c>
      <c r="CA2701">
        <v>0</v>
      </c>
      <c r="CB2701" t="s">
        <v>145</v>
      </c>
    </row>
    <row r="2702" spans="67:80" x14ac:dyDescent="0.25">
      <c r="BO2702">
        <v>0</v>
      </c>
      <c r="BP2702">
        <v>0</v>
      </c>
      <c r="BQ2702">
        <v>0</v>
      </c>
      <c r="BR2702">
        <v>0</v>
      </c>
      <c r="BS2702">
        <v>0</v>
      </c>
      <c r="BT2702">
        <v>0</v>
      </c>
      <c r="BU2702">
        <v>0</v>
      </c>
      <c r="BV2702">
        <v>0</v>
      </c>
      <c r="BW2702" t="s">
        <v>0</v>
      </c>
      <c r="BX2702">
        <v>0</v>
      </c>
      <c r="BY2702">
        <v>0</v>
      </c>
      <c r="BZ2702">
        <v>0</v>
      </c>
      <c r="CA2702">
        <v>0</v>
      </c>
      <c r="CB2702" t="s">
        <v>145</v>
      </c>
    </row>
    <row r="2703" spans="67:80" x14ac:dyDescent="0.25">
      <c r="BO2703">
        <v>0</v>
      </c>
      <c r="BP2703">
        <v>0</v>
      </c>
      <c r="BQ2703">
        <v>0</v>
      </c>
      <c r="BR2703">
        <v>0</v>
      </c>
      <c r="BS2703">
        <v>0</v>
      </c>
      <c r="BT2703">
        <v>0</v>
      </c>
      <c r="BU2703">
        <v>0</v>
      </c>
      <c r="BV2703">
        <v>0</v>
      </c>
      <c r="BW2703" t="s">
        <v>0</v>
      </c>
      <c r="BX2703">
        <v>0</v>
      </c>
      <c r="BY2703">
        <v>0</v>
      </c>
      <c r="BZ2703">
        <v>0</v>
      </c>
      <c r="CA2703">
        <v>0</v>
      </c>
      <c r="CB2703" t="s">
        <v>145</v>
      </c>
    </row>
    <row r="2704" spans="67:80" x14ac:dyDescent="0.25">
      <c r="BO2704">
        <v>0</v>
      </c>
      <c r="BP2704">
        <v>0</v>
      </c>
      <c r="BQ2704">
        <v>0</v>
      </c>
      <c r="BR2704">
        <v>0</v>
      </c>
      <c r="BS2704">
        <v>0</v>
      </c>
      <c r="BT2704">
        <v>0</v>
      </c>
      <c r="BU2704">
        <v>0</v>
      </c>
      <c r="BV2704">
        <v>0</v>
      </c>
      <c r="BW2704" t="s">
        <v>0</v>
      </c>
      <c r="BX2704">
        <v>0</v>
      </c>
      <c r="BY2704">
        <v>0</v>
      </c>
      <c r="BZ2704">
        <v>0</v>
      </c>
      <c r="CA2704">
        <v>0</v>
      </c>
      <c r="CB2704" t="s">
        <v>145</v>
      </c>
    </row>
    <row r="2705" spans="67:80" x14ac:dyDescent="0.25">
      <c r="BO2705">
        <v>0</v>
      </c>
      <c r="BP2705">
        <v>0</v>
      </c>
      <c r="BQ2705">
        <v>0</v>
      </c>
      <c r="BR2705">
        <v>0</v>
      </c>
      <c r="BS2705">
        <v>0</v>
      </c>
      <c r="BT2705">
        <v>0</v>
      </c>
      <c r="BU2705">
        <v>0</v>
      </c>
      <c r="BV2705">
        <v>0</v>
      </c>
      <c r="BW2705" t="s">
        <v>0</v>
      </c>
      <c r="BX2705">
        <v>0</v>
      </c>
      <c r="BY2705">
        <v>0</v>
      </c>
      <c r="BZ2705">
        <v>0</v>
      </c>
      <c r="CA2705">
        <v>0</v>
      </c>
      <c r="CB2705" t="s">
        <v>145</v>
      </c>
    </row>
    <row r="2706" spans="67:80" x14ac:dyDescent="0.25">
      <c r="BO2706">
        <v>0</v>
      </c>
      <c r="BP2706">
        <v>0</v>
      </c>
      <c r="BQ2706">
        <v>0</v>
      </c>
      <c r="BR2706">
        <v>0</v>
      </c>
      <c r="BS2706">
        <v>0</v>
      </c>
      <c r="BT2706">
        <v>0</v>
      </c>
      <c r="BU2706">
        <v>0</v>
      </c>
      <c r="BV2706">
        <v>0</v>
      </c>
      <c r="BW2706" t="s">
        <v>0</v>
      </c>
      <c r="BX2706">
        <v>0</v>
      </c>
      <c r="BY2706">
        <v>0</v>
      </c>
      <c r="BZ2706">
        <v>0</v>
      </c>
      <c r="CA2706">
        <v>0</v>
      </c>
      <c r="CB2706" t="s">
        <v>145</v>
      </c>
    </row>
    <row r="2707" spans="67:80" x14ac:dyDescent="0.25">
      <c r="BO2707">
        <v>0</v>
      </c>
      <c r="BP2707">
        <v>0</v>
      </c>
      <c r="BQ2707">
        <v>0</v>
      </c>
      <c r="BR2707">
        <v>0</v>
      </c>
      <c r="BS2707">
        <v>0</v>
      </c>
      <c r="BT2707">
        <v>0</v>
      </c>
      <c r="BU2707">
        <v>0</v>
      </c>
      <c r="BV2707">
        <v>0</v>
      </c>
      <c r="BW2707" t="s">
        <v>0</v>
      </c>
      <c r="BX2707">
        <v>0</v>
      </c>
      <c r="BY2707">
        <v>0</v>
      </c>
      <c r="BZ2707">
        <v>0</v>
      </c>
      <c r="CA2707">
        <v>0</v>
      </c>
      <c r="CB2707" t="s">
        <v>145</v>
      </c>
    </row>
    <row r="2708" spans="67:80" x14ac:dyDescent="0.25">
      <c r="BO2708">
        <v>0</v>
      </c>
      <c r="BP2708">
        <v>0</v>
      </c>
      <c r="BQ2708">
        <v>0</v>
      </c>
      <c r="BR2708">
        <v>0</v>
      </c>
      <c r="BS2708">
        <v>0</v>
      </c>
      <c r="BT2708">
        <v>0</v>
      </c>
      <c r="BU2708">
        <v>0</v>
      </c>
      <c r="BV2708">
        <v>0</v>
      </c>
      <c r="BW2708" t="s">
        <v>0</v>
      </c>
      <c r="BX2708">
        <v>0</v>
      </c>
      <c r="BY2708">
        <v>0</v>
      </c>
      <c r="BZ2708">
        <v>0</v>
      </c>
      <c r="CA2708">
        <v>0</v>
      </c>
      <c r="CB2708" t="s">
        <v>145</v>
      </c>
    </row>
    <row r="2709" spans="67:80" x14ac:dyDescent="0.25">
      <c r="BO2709">
        <v>0</v>
      </c>
      <c r="BP2709">
        <v>0</v>
      </c>
      <c r="BQ2709">
        <v>0</v>
      </c>
      <c r="BR2709">
        <v>0</v>
      </c>
      <c r="BS2709">
        <v>0</v>
      </c>
      <c r="BT2709">
        <v>0</v>
      </c>
      <c r="BU2709">
        <v>0</v>
      </c>
      <c r="BV2709">
        <v>0</v>
      </c>
      <c r="BW2709" t="s">
        <v>0</v>
      </c>
      <c r="BX2709">
        <v>0</v>
      </c>
      <c r="BY2709">
        <v>0</v>
      </c>
      <c r="BZ2709">
        <v>0</v>
      </c>
      <c r="CA2709">
        <v>0</v>
      </c>
      <c r="CB2709" t="s">
        <v>145</v>
      </c>
    </row>
    <row r="2710" spans="67:80" x14ac:dyDescent="0.25">
      <c r="BO2710">
        <v>0</v>
      </c>
      <c r="BP2710">
        <v>0</v>
      </c>
      <c r="BQ2710">
        <v>0</v>
      </c>
      <c r="BR2710">
        <v>0</v>
      </c>
      <c r="BS2710">
        <v>0</v>
      </c>
      <c r="BT2710">
        <v>0</v>
      </c>
      <c r="BU2710">
        <v>0</v>
      </c>
      <c r="BV2710">
        <v>0</v>
      </c>
      <c r="BW2710" t="s">
        <v>0</v>
      </c>
      <c r="BX2710">
        <v>0</v>
      </c>
      <c r="BY2710">
        <v>0</v>
      </c>
      <c r="BZ2710">
        <v>0</v>
      </c>
      <c r="CA2710">
        <v>0</v>
      </c>
      <c r="CB2710" t="s">
        <v>145</v>
      </c>
    </row>
    <row r="2711" spans="67:80" x14ac:dyDescent="0.25">
      <c r="BO2711">
        <v>0</v>
      </c>
      <c r="BP2711">
        <v>0</v>
      </c>
      <c r="BQ2711">
        <v>0</v>
      </c>
      <c r="BR2711">
        <v>0</v>
      </c>
      <c r="BS2711">
        <v>0</v>
      </c>
      <c r="BT2711">
        <v>0</v>
      </c>
      <c r="BU2711">
        <v>0</v>
      </c>
      <c r="BV2711">
        <v>0</v>
      </c>
      <c r="BW2711" t="s">
        <v>0</v>
      </c>
      <c r="BX2711">
        <v>0</v>
      </c>
      <c r="BY2711">
        <v>0</v>
      </c>
      <c r="BZ2711">
        <v>0</v>
      </c>
      <c r="CA2711">
        <v>0</v>
      </c>
      <c r="CB2711" t="s">
        <v>145</v>
      </c>
    </row>
    <row r="2712" spans="67:80" x14ac:dyDescent="0.25">
      <c r="BO2712">
        <v>0</v>
      </c>
      <c r="BP2712">
        <v>0</v>
      </c>
      <c r="BQ2712">
        <v>0</v>
      </c>
      <c r="BR2712">
        <v>0</v>
      </c>
      <c r="BS2712">
        <v>0</v>
      </c>
      <c r="BT2712">
        <v>0</v>
      </c>
      <c r="BU2712">
        <v>0</v>
      </c>
      <c r="BV2712">
        <v>0</v>
      </c>
      <c r="BW2712" t="s">
        <v>0</v>
      </c>
      <c r="BX2712">
        <v>0</v>
      </c>
      <c r="BY2712">
        <v>0</v>
      </c>
      <c r="BZ2712">
        <v>0</v>
      </c>
      <c r="CA2712">
        <v>0</v>
      </c>
      <c r="CB2712" t="s">
        <v>145</v>
      </c>
    </row>
    <row r="2713" spans="67:80" x14ac:dyDescent="0.25">
      <c r="BO2713">
        <v>0</v>
      </c>
      <c r="BP2713">
        <v>0</v>
      </c>
      <c r="BQ2713">
        <v>0</v>
      </c>
      <c r="BR2713">
        <v>0</v>
      </c>
      <c r="BS2713">
        <v>0</v>
      </c>
      <c r="BT2713">
        <v>0</v>
      </c>
      <c r="BU2713">
        <v>0</v>
      </c>
      <c r="BV2713">
        <v>0</v>
      </c>
      <c r="BW2713" t="s">
        <v>0</v>
      </c>
      <c r="BX2713">
        <v>0</v>
      </c>
      <c r="BY2713">
        <v>0</v>
      </c>
      <c r="BZ2713">
        <v>0</v>
      </c>
      <c r="CA2713">
        <v>0</v>
      </c>
      <c r="CB2713" t="s">
        <v>145</v>
      </c>
    </row>
    <row r="2714" spans="67:80" x14ac:dyDescent="0.25">
      <c r="BO2714">
        <v>0</v>
      </c>
      <c r="BP2714">
        <v>0</v>
      </c>
      <c r="BQ2714">
        <v>0</v>
      </c>
      <c r="BR2714">
        <v>0</v>
      </c>
      <c r="BS2714">
        <v>0</v>
      </c>
      <c r="BT2714">
        <v>0</v>
      </c>
      <c r="BU2714">
        <v>0</v>
      </c>
      <c r="BV2714">
        <v>0</v>
      </c>
      <c r="BW2714" t="s">
        <v>0</v>
      </c>
      <c r="BX2714">
        <v>0</v>
      </c>
      <c r="BY2714">
        <v>0</v>
      </c>
      <c r="BZ2714">
        <v>0</v>
      </c>
      <c r="CA2714">
        <v>0</v>
      </c>
      <c r="CB2714" t="s">
        <v>145</v>
      </c>
    </row>
    <row r="2715" spans="67:80" x14ac:dyDescent="0.25">
      <c r="BO2715">
        <v>0</v>
      </c>
      <c r="BP2715">
        <v>0</v>
      </c>
      <c r="BQ2715">
        <v>0</v>
      </c>
      <c r="BR2715">
        <v>0</v>
      </c>
      <c r="BS2715">
        <v>0</v>
      </c>
      <c r="BT2715">
        <v>0</v>
      </c>
      <c r="BU2715">
        <v>0</v>
      </c>
      <c r="BV2715">
        <v>0</v>
      </c>
      <c r="BW2715" t="s">
        <v>0</v>
      </c>
      <c r="BX2715">
        <v>0</v>
      </c>
      <c r="BY2715">
        <v>0</v>
      </c>
      <c r="BZ2715">
        <v>0</v>
      </c>
      <c r="CA2715">
        <v>0</v>
      </c>
      <c r="CB2715" t="s">
        <v>145</v>
      </c>
    </row>
    <row r="2716" spans="67:80" x14ac:dyDescent="0.25">
      <c r="BO2716">
        <v>0</v>
      </c>
      <c r="BP2716">
        <v>0</v>
      </c>
      <c r="BQ2716">
        <v>0</v>
      </c>
      <c r="BR2716">
        <v>0</v>
      </c>
      <c r="BS2716">
        <v>0</v>
      </c>
      <c r="BT2716">
        <v>0</v>
      </c>
      <c r="BU2716">
        <v>0</v>
      </c>
      <c r="BV2716">
        <v>0</v>
      </c>
      <c r="BW2716" t="s">
        <v>0</v>
      </c>
      <c r="BX2716">
        <v>0</v>
      </c>
      <c r="BY2716">
        <v>0</v>
      </c>
      <c r="BZ2716">
        <v>0</v>
      </c>
      <c r="CA2716">
        <v>0</v>
      </c>
      <c r="CB2716" t="s">
        <v>145</v>
      </c>
    </row>
    <row r="2717" spans="67:80" x14ac:dyDescent="0.25">
      <c r="BO2717">
        <v>0</v>
      </c>
      <c r="BP2717">
        <v>0</v>
      </c>
      <c r="BQ2717">
        <v>0</v>
      </c>
      <c r="BR2717">
        <v>0</v>
      </c>
      <c r="BS2717">
        <v>0</v>
      </c>
      <c r="BT2717">
        <v>0</v>
      </c>
      <c r="BU2717">
        <v>0</v>
      </c>
      <c r="BV2717">
        <v>0</v>
      </c>
      <c r="BW2717" t="s">
        <v>0</v>
      </c>
      <c r="BX2717">
        <v>0</v>
      </c>
      <c r="BY2717">
        <v>0</v>
      </c>
      <c r="BZ2717">
        <v>0</v>
      </c>
      <c r="CA2717">
        <v>0</v>
      </c>
      <c r="CB2717" t="s">
        <v>145</v>
      </c>
    </row>
    <row r="2718" spans="67:80" x14ac:dyDescent="0.25">
      <c r="BO2718">
        <v>0</v>
      </c>
      <c r="BP2718">
        <v>0</v>
      </c>
      <c r="BQ2718">
        <v>0</v>
      </c>
      <c r="BR2718">
        <v>0</v>
      </c>
      <c r="BS2718">
        <v>0</v>
      </c>
      <c r="BT2718">
        <v>0</v>
      </c>
      <c r="BU2718">
        <v>0</v>
      </c>
      <c r="BV2718">
        <v>0</v>
      </c>
      <c r="BW2718" t="s">
        <v>0</v>
      </c>
      <c r="BX2718">
        <v>0</v>
      </c>
      <c r="BY2718">
        <v>0</v>
      </c>
      <c r="BZ2718">
        <v>0</v>
      </c>
      <c r="CA2718">
        <v>0</v>
      </c>
      <c r="CB2718" t="s">
        <v>145</v>
      </c>
    </row>
    <row r="2719" spans="67:80" x14ac:dyDescent="0.25">
      <c r="BO2719">
        <v>0</v>
      </c>
      <c r="BP2719">
        <v>0</v>
      </c>
      <c r="BQ2719">
        <v>0</v>
      </c>
      <c r="BR2719">
        <v>0</v>
      </c>
      <c r="BS2719">
        <v>0</v>
      </c>
      <c r="BT2719">
        <v>0</v>
      </c>
      <c r="BU2719">
        <v>0</v>
      </c>
      <c r="BV2719">
        <v>0</v>
      </c>
      <c r="BW2719" t="s">
        <v>0</v>
      </c>
      <c r="BX2719">
        <v>0</v>
      </c>
      <c r="BY2719">
        <v>0</v>
      </c>
      <c r="BZ2719">
        <v>0</v>
      </c>
      <c r="CA2719">
        <v>0</v>
      </c>
      <c r="CB2719" t="s">
        <v>145</v>
      </c>
    </row>
    <row r="2720" spans="67:80" x14ac:dyDescent="0.25">
      <c r="BO2720">
        <v>0</v>
      </c>
      <c r="BP2720">
        <v>0</v>
      </c>
      <c r="BQ2720">
        <v>0</v>
      </c>
      <c r="BR2720">
        <v>0</v>
      </c>
      <c r="BS2720">
        <v>0</v>
      </c>
      <c r="BT2720">
        <v>0</v>
      </c>
      <c r="BU2720">
        <v>0</v>
      </c>
      <c r="BV2720">
        <v>0</v>
      </c>
      <c r="BW2720" t="s">
        <v>0</v>
      </c>
      <c r="BX2720">
        <v>0</v>
      </c>
      <c r="BY2720">
        <v>0</v>
      </c>
      <c r="BZ2720">
        <v>0</v>
      </c>
      <c r="CA2720">
        <v>0</v>
      </c>
      <c r="CB2720" t="s">
        <v>145</v>
      </c>
    </row>
    <row r="2721" spans="67:80" x14ac:dyDescent="0.25">
      <c r="BO2721">
        <v>0</v>
      </c>
      <c r="BP2721">
        <v>0</v>
      </c>
      <c r="BQ2721">
        <v>0</v>
      </c>
      <c r="BR2721">
        <v>0</v>
      </c>
      <c r="BS2721">
        <v>0</v>
      </c>
      <c r="BT2721">
        <v>0</v>
      </c>
      <c r="BU2721">
        <v>0</v>
      </c>
      <c r="BV2721">
        <v>0</v>
      </c>
      <c r="BW2721" t="s">
        <v>0</v>
      </c>
      <c r="BX2721">
        <v>0</v>
      </c>
      <c r="BY2721">
        <v>0</v>
      </c>
      <c r="BZ2721">
        <v>0</v>
      </c>
      <c r="CA2721">
        <v>0</v>
      </c>
      <c r="CB2721" t="s">
        <v>145</v>
      </c>
    </row>
    <row r="2722" spans="67:80" x14ac:dyDescent="0.25">
      <c r="BO2722">
        <v>0</v>
      </c>
      <c r="BP2722">
        <v>0</v>
      </c>
      <c r="BQ2722">
        <v>0</v>
      </c>
      <c r="BR2722">
        <v>0</v>
      </c>
      <c r="BS2722">
        <v>0</v>
      </c>
      <c r="BT2722">
        <v>0</v>
      </c>
      <c r="BU2722">
        <v>0</v>
      </c>
      <c r="BV2722">
        <v>0</v>
      </c>
      <c r="BW2722" t="s">
        <v>0</v>
      </c>
      <c r="BX2722">
        <v>0</v>
      </c>
      <c r="BY2722">
        <v>0</v>
      </c>
      <c r="BZ2722">
        <v>0</v>
      </c>
      <c r="CA2722">
        <v>0</v>
      </c>
      <c r="CB2722" t="s">
        <v>145</v>
      </c>
    </row>
    <row r="2723" spans="67:80" x14ac:dyDescent="0.25">
      <c r="BO2723">
        <v>0</v>
      </c>
      <c r="BP2723">
        <v>0</v>
      </c>
      <c r="BQ2723">
        <v>0</v>
      </c>
      <c r="BR2723">
        <v>0</v>
      </c>
      <c r="BS2723">
        <v>0</v>
      </c>
      <c r="BT2723">
        <v>0</v>
      </c>
      <c r="BU2723">
        <v>0</v>
      </c>
      <c r="BV2723">
        <v>0</v>
      </c>
      <c r="BW2723" t="s">
        <v>0</v>
      </c>
      <c r="BX2723">
        <v>0</v>
      </c>
      <c r="BY2723">
        <v>0</v>
      </c>
      <c r="BZ2723">
        <v>0</v>
      </c>
      <c r="CA2723">
        <v>0</v>
      </c>
      <c r="CB2723" t="s">
        <v>145</v>
      </c>
    </row>
    <row r="2724" spans="67:80" x14ac:dyDescent="0.25">
      <c r="BO2724">
        <v>0</v>
      </c>
      <c r="BP2724">
        <v>0</v>
      </c>
      <c r="BQ2724">
        <v>0</v>
      </c>
      <c r="BR2724">
        <v>0</v>
      </c>
      <c r="BS2724">
        <v>0</v>
      </c>
      <c r="BT2724">
        <v>0</v>
      </c>
      <c r="BU2724">
        <v>0</v>
      </c>
      <c r="BV2724">
        <v>0</v>
      </c>
      <c r="BW2724" t="s">
        <v>0</v>
      </c>
      <c r="BX2724">
        <v>0</v>
      </c>
      <c r="BY2724">
        <v>0</v>
      </c>
      <c r="BZ2724">
        <v>0</v>
      </c>
      <c r="CA2724">
        <v>0</v>
      </c>
      <c r="CB2724" t="s">
        <v>145</v>
      </c>
    </row>
    <row r="2725" spans="67:80" x14ac:dyDescent="0.25">
      <c r="BO2725">
        <v>0</v>
      </c>
      <c r="BP2725">
        <v>0</v>
      </c>
      <c r="BQ2725">
        <v>0</v>
      </c>
      <c r="BR2725">
        <v>0</v>
      </c>
      <c r="BS2725">
        <v>0</v>
      </c>
      <c r="BT2725">
        <v>0</v>
      </c>
      <c r="BU2725">
        <v>0</v>
      </c>
      <c r="BV2725">
        <v>0</v>
      </c>
      <c r="BW2725" t="s">
        <v>0</v>
      </c>
      <c r="BX2725">
        <v>0</v>
      </c>
      <c r="BY2725">
        <v>0</v>
      </c>
      <c r="BZ2725">
        <v>0</v>
      </c>
      <c r="CA2725">
        <v>0</v>
      </c>
      <c r="CB2725" t="s">
        <v>145</v>
      </c>
    </row>
    <row r="2726" spans="67:80" x14ac:dyDescent="0.25">
      <c r="BO2726">
        <v>0</v>
      </c>
      <c r="BP2726">
        <v>0</v>
      </c>
      <c r="BQ2726">
        <v>0</v>
      </c>
      <c r="BR2726">
        <v>0</v>
      </c>
      <c r="BS2726">
        <v>0</v>
      </c>
      <c r="BT2726">
        <v>0</v>
      </c>
      <c r="BU2726">
        <v>0</v>
      </c>
      <c r="BV2726">
        <v>0</v>
      </c>
      <c r="BW2726" t="s">
        <v>0</v>
      </c>
      <c r="BX2726">
        <v>0</v>
      </c>
      <c r="BY2726">
        <v>0</v>
      </c>
      <c r="BZ2726">
        <v>0</v>
      </c>
      <c r="CA2726">
        <v>0</v>
      </c>
      <c r="CB2726" t="s">
        <v>145</v>
      </c>
    </row>
    <row r="2727" spans="67:80" x14ac:dyDescent="0.25">
      <c r="BO2727">
        <v>0</v>
      </c>
      <c r="BP2727">
        <v>0</v>
      </c>
      <c r="BQ2727">
        <v>0</v>
      </c>
      <c r="BR2727">
        <v>0</v>
      </c>
      <c r="BS2727">
        <v>0</v>
      </c>
      <c r="BT2727">
        <v>0</v>
      </c>
      <c r="BU2727">
        <v>0</v>
      </c>
      <c r="BV2727">
        <v>0</v>
      </c>
      <c r="BW2727" t="s">
        <v>0</v>
      </c>
      <c r="BX2727">
        <v>0</v>
      </c>
      <c r="BY2727">
        <v>0</v>
      </c>
      <c r="BZ2727">
        <v>0</v>
      </c>
      <c r="CA2727">
        <v>0</v>
      </c>
      <c r="CB2727" t="s">
        <v>145</v>
      </c>
    </row>
    <row r="2728" spans="67:80" x14ac:dyDescent="0.25">
      <c r="BO2728">
        <v>0</v>
      </c>
      <c r="BP2728">
        <v>0</v>
      </c>
      <c r="BQ2728">
        <v>0</v>
      </c>
      <c r="BR2728">
        <v>0</v>
      </c>
      <c r="BS2728">
        <v>0</v>
      </c>
      <c r="BT2728">
        <v>0</v>
      </c>
      <c r="BU2728">
        <v>0</v>
      </c>
      <c r="BV2728">
        <v>0</v>
      </c>
      <c r="BW2728" t="s">
        <v>0</v>
      </c>
      <c r="BX2728">
        <v>0</v>
      </c>
      <c r="BY2728">
        <v>0</v>
      </c>
      <c r="BZ2728">
        <v>0</v>
      </c>
      <c r="CA2728">
        <v>0</v>
      </c>
      <c r="CB2728" t="s">
        <v>145</v>
      </c>
    </row>
    <row r="2729" spans="67:80" x14ac:dyDescent="0.25">
      <c r="BO2729">
        <v>0</v>
      </c>
      <c r="BP2729">
        <v>0</v>
      </c>
      <c r="BQ2729">
        <v>0</v>
      </c>
      <c r="BR2729">
        <v>0</v>
      </c>
      <c r="BS2729">
        <v>0</v>
      </c>
      <c r="BT2729">
        <v>0</v>
      </c>
      <c r="BU2729">
        <v>0</v>
      </c>
      <c r="BV2729">
        <v>0</v>
      </c>
      <c r="BW2729" t="s">
        <v>0</v>
      </c>
      <c r="BX2729">
        <v>0</v>
      </c>
      <c r="BY2729">
        <v>0</v>
      </c>
      <c r="BZ2729">
        <v>0</v>
      </c>
      <c r="CA2729">
        <v>0</v>
      </c>
      <c r="CB2729" t="s">
        <v>145</v>
      </c>
    </row>
    <row r="2730" spans="67:80" x14ac:dyDescent="0.25">
      <c r="BO2730">
        <v>0</v>
      </c>
      <c r="BP2730">
        <v>0</v>
      </c>
      <c r="BQ2730">
        <v>0</v>
      </c>
      <c r="BR2730">
        <v>0</v>
      </c>
      <c r="BS2730">
        <v>0</v>
      </c>
      <c r="BT2730">
        <v>0</v>
      </c>
      <c r="BU2730">
        <v>0</v>
      </c>
      <c r="BV2730">
        <v>0</v>
      </c>
      <c r="BW2730" t="s">
        <v>0</v>
      </c>
      <c r="BX2730">
        <v>0</v>
      </c>
      <c r="BY2730">
        <v>0</v>
      </c>
      <c r="BZ2730">
        <v>0</v>
      </c>
      <c r="CA2730">
        <v>0</v>
      </c>
      <c r="CB2730" t="s">
        <v>145</v>
      </c>
    </row>
    <row r="2731" spans="67:80" x14ac:dyDescent="0.25">
      <c r="BO2731">
        <v>0</v>
      </c>
      <c r="BP2731">
        <v>0</v>
      </c>
      <c r="BQ2731">
        <v>0</v>
      </c>
      <c r="BR2731">
        <v>0</v>
      </c>
      <c r="BS2731">
        <v>0</v>
      </c>
      <c r="BT2731">
        <v>0</v>
      </c>
      <c r="BU2731">
        <v>0</v>
      </c>
      <c r="BV2731">
        <v>0</v>
      </c>
      <c r="BW2731" t="s">
        <v>0</v>
      </c>
      <c r="BX2731">
        <v>0</v>
      </c>
      <c r="BY2731">
        <v>0</v>
      </c>
      <c r="BZ2731">
        <v>0</v>
      </c>
      <c r="CA2731">
        <v>0</v>
      </c>
      <c r="CB2731" t="s">
        <v>145</v>
      </c>
    </row>
    <row r="2732" spans="67:80" x14ac:dyDescent="0.25">
      <c r="BO2732">
        <v>0</v>
      </c>
      <c r="BP2732">
        <v>0</v>
      </c>
      <c r="BQ2732">
        <v>0</v>
      </c>
      <c r="BR2732">
        <v>0</v>
      </c>
      <c r="BS2732">
        <v>0</v>
      </c>
      <c r="BT2732">
        <v>0</v>
      </c>
      <c r="BU2732">
        <v>0</v>
      </c>
      <c r="BV2732">
        <v>0</v>
      </c>
      <c r="BW2732" t="s">
        <v>0</v>
      </c>
      <c r="BX2732">
        <v>0</v>
      </c>
      <c r="BY2732">
        <v>0</v>
      </c>
      <c r="BZ2732">
        <v>0</v>
      </c>
      <c r="CA2732">
        <v>0</v>
      </c>
      <c r="CB2732" t="s">
        <v>145</v>
      </c>
    </row>
    <row r="2733" spans="67:80" x14ac:dyDescent="0.25">
      <c r="BO2733">
        <v>0</v>
      </c>
      <c r="BP2733">
        <v>0</v>
      </c>
      <c r="BQ2733">
        <v>0</v>
      </c>
      <c r="BR2733">
        <v>0</v>
      </c>
      <c r="BS2733">
        <v>0</v>
      </c>
      <c r="BT2733">
        <v>0</v>
      </c>
      <c r="BU2733">
        <v>0</v>
      </c>
      <c r="BV2733">
        <v>0</v>
      </c>
      <c r="BW2733" t="s">
        <v>0</v>
      </c>
      <c r="BX2733">
        <v>0</v>
      </c>
      <c r="BY2733">
        <v>0</v>
      </c>
      <c r="BZ2733">
        <v>0</v>
      </c>
      <c r="CA2733">
        <v>0</v>
      </c>
      <c r="CB2733" t="s">
        <v>145</v>
      </c>
    </row>
    <row r="2734" spans="67:80" x14ac:dyDescent="0.25">
      <c r="BO2734">
        <v>0</v>
      </c>
      <c r="BP2734">
        <v>0</v>
      </c>
      <c r="BQ2734">
        <v>0</v>
      </c>
      <c r="BR2734">
        <v>0</v>
      </c>
      <c r="BS2734">
        <v>0</v>
      </c>
      <c r="BT2734">
        <v>0</v>
      </c>
      <c r="BU2734">
        <v>0</v>
      </c>
      <c r="BV2734">
        <v>0</v>
      </c>
      <c r="BW2734" t="s">
        <v>0</v>
      </c>
      <c r="BX2734">
        <v>0</v>
      </c>
      <c r="BY2734">
        <v>0</v>
      </c>
      <c r="BZ2734">
        <v>0</v>
      </c>
      <c r="CA2734">
        <v>0</v>
      </c>
      <c r="CB2734" t="s">
        <v>145</v>
      </c>
    </row>
    <row r="2735" spans="67:80" x14ac:dyDescent="0.25">
      <c r="BO2735">
        <v>0</v>
      </c>
      <c r="BP2735">
        <v>0</v>
      </c>
      <c r="BQ2735">
        <v>0</v>
      </c>
      <c r="BR2735">
        <v>0</v>
      </c>
      <c r="BS2735">
        <v>0</v>
      </c>
      <c r="BT2735">
        <v>0</v>
      </c>
      <c r="BU2735">
        <v>0</v>
      </c>
      <c r="BV2735">
        <v>0</v>
      </c>
      <c r="BW2735" t="s">
        <v>0</v>
      </c>
      <c r="BX2735">
        <v>0</v>
      </c>
      <c r="BY2735">
        <v>0</v>
      </c>
      <c r="BZ2735">
        <v>0</v>
      </c>
      <c r="CA2735">
        <v>0</v>
      </c>
      <c r="CB2735" t="s">
        <v>145</v>
      </c>
    </row>
    <row r="2736" spans="67:80" x14ac:dyDescent="0.25">
      <c r="BO2736">
        <v>0</v>
      </c>
      <c r="BP2736">
        <v>0</v>
      </c>
      <c r="BQ2736">
        <v>0</v>
      </c>
      <c r="BR2736">
        <v>0</v>
      </c>
      <c r="BS2736">
        <v>0</v>
      </c>
      <c r="BT2736">
        <v>0</v>
      </c>
      <c r="BU2736">
        <v>0</v>
      </c>
      <c r="BV2736">
        <v>0</v>
      </c>
      <c r="BW2736" t="s">
        <v>0</v>
      </c>
      <c r="BX2736">
        <v>0</v>
      </c>
      <c r="BY2736">
        <v>0</v>
      </c>
      <c r="BZ2736">
        <v>0</v>
      </c>
      <c r="CA2736">
        <v>0</v>
      </c>
      <c r="CB2736" t="s">
        <v>145</v>
      </c>
    </row>
    <row r="2737" spans="67:80" x14ac:dyDescent="0.25">
      <c r="BO2737">
        <v>0</v>
      </c>
      <c r="BP2737">
        <v>0</v>
      </c>
      <c r="BQ2737">
        <v>0</v>
      </c>
      <c r="BR2737">
        <v>0</v>
      </c>
      <c r="BS2737">
        <v>0</v>
      </c>
      <c r="BT2737">
        <v>0</v>
      </c>
      <c r="BU2737">
        <v>0</v>
      </c>
      <c r="BV2737">
        <v>0</v>
      </c>
      <c r="BW2737" t="s">
        <v>0</v>
      </c>
      <c r="BX2737">
        <v>0</v>
      </c>
      <c r="BY2737">
        <v>0</v>
      </c>
      <c r="BZ2737">
        <v>0</v>
      </c>
      <c r="CA2737">
        <v>0</v>
      </c>
      <c r="CB2737" t="s">
        <v>145</v>
      </c>
    </row>
    <row r="2738" spans="67:80" x14ac:dyDescent="0.25">
      <c r="BO2738">
        <v>0</v>
      </c>
      <c r="BP2738">
        <v>0</v>
      </c>
      <c r="BQ2738">
        <v>0</v>
      </c>
      <c r="BR2738">
        <v>0</v>
      </c>
      <c r="BS2738">
        <v>0</v>
      </c>
      <c r="BT2738">
        <v>0</v>
      </c>
      <c r="BU2738">
        <v>0</v>
      </c>
      <c r="BV2738">
        <v>0</v>
      </c>
      <c r="BW2738" t="s">
        <v>0</v>
      </c>
      <c r="BX2738">
        <v>0</v>
      </c>
      <c r="BY2738">
        <v>0</v>
      </c>
      <c r="BZ2738">
        <v>0</v>
      </c>
      <c r="CA2738">
        <v>0</v>
      </c>
      <c r="CB2738" t="s">
        <v>145</v>
      </c>
    </row>
    <row r="2739" spans="67:80" x14ac:dyDescent="0.25">
      <c r="BO2739">
        <v>0</v>
      </c>
      <c r="BP2739">
        <v>0</v>
      </c>
      <c r="BQ2739">
        <v>0</v>
      </c>
      <c r="BR2739">
        <v>0</v>
      </c>
      <c r="BS2739">
        <v>0</v>
      </c>
      <c r="BT2739">
        <v>0</v>
      </c>
      <c r="BU2739">
        <v>0</v>
      </c>
      <c r="BV2739">
        <v>0</v>
      </c>
      <c r="BW2739" t="s">
        <v>0</v>
      </c>
      <c r="BX2739">
        <v>0</v>
      </c>
      <c r="BY2739">
        <v>0</v>
      </c>
      <c r="BZ2739">
        <v>0</v>
      </c>
      <c r="CA2739">
        <v>0</v>
      </c>
      <c r="CB2739" t="s">
        <v>145</v>
      </c>
    </row>
    <row r="2740" spans="67:80" x14ac:dyDescent="0.25">
      <c r="BO2740">
        <v>0</v>
      </c>
      <c r="BP2740">
        <v>0</v>
      </c>
      <c r="BQ2740">
        <v>0</v>
      </c>
      <c r="BR2740">
        <v>0</v>
      </c>
      <c r="BS2740">
        <v>0</v>
      </c>
      <c r="BT2740">
        <v>0</v>
      </c>
      <c r="BU2740">
        <v>0</v>
      </c>
      <c r="BV2740">
        <v>0</v>
      </c>
      <c r="BW2740" t="s">
        <v>0</v>
      </c>
      <c r="BX2740">
        <v>0</v>
      </c>
      <c r="BY2740">
        <v>0</v>
      </c>
      <c r="BZ2740">
        <v>0</v>
      </c>
      <c r="CA2740">
        <v>0</v>
      </c>
      <c r="CB2740" t="s">
        <v>145</v>
      </c>
    </row>
    <row r="2741" spans="67:80" x14ac:dyDescent="0.25">
      <c r="BO2741">
        <v>0</v>
      </c>
      <c r="BP2741">
        <v>0</v>
      </c>
      <c r="BQ2741">
        <v>0</v>
      </c>
      <c r="BR2741">
        <v>0</v>
      </c>
      <c r="BS2741">
        <v>0</v>
      </c>
      <c r="BT2741">
        <v>0</v>
      </c>
      <c r="BU2741">
        <v>0</v>
      </c>
      <c r="BV2741">
        <v>0</v>
      </c>
      <c r="BW2741" t="s">
        <v>0</v>
      </c>
      <c r="BX2741">
        <v>0</v>
      </c>
      <c r="BY2741">
        <v>0</v>
      </c>
      <c r="BZ2741">
        <v>0</v>
      </c>
      <c r="CA2741">
        <v>0</v>
      </c>
      <c r="CB2741" t="s">
        <v>145</v>
      </c>
    </row>
    <row r="2742" spans="67:80" x14ac:dyDescent="0.25">
      <c r="BO2742">
        <v>0</v>
      </c>
      <c r="BP2742">
        <v>0</v>
      </c>
      <c r="BQ2742">
        <v>0</v>
      </c>
      <c r="BR2742">
        <v>0</v>
      </c>
      <c r="BS2742">
        <v>0</v>
      </c>
      <c r="BT2742">
        <v>0</v>
      </c>
      <c r="BU2742">
        <v>0</v>
      </c>
      <c r="BV2742">
        <v>0</v>
      </c>
      <c r="BW2742" t="s">
        <v>0</v>
      </c>
      <c r="BX2742">
        <v>0</v>
      </c>
      <c r="BY2742">
        <v>0</v>
      </c>
      <c r="BZ2742">
        <v>0</v>
      </c>
      <c r="CA2742">
        <v>0</v>
      </c>
      <c r="CB2742" t="s">
        <v>145</v>
      </c>
    </row>
    <row r="2743" spans="67:80" x14ac:dyDescent="0.25">
      <c r="BO2743">
        <v>0</v>
      </c>
      <c r="BP2743">
        <v>0</v>
      </c>
      <c r="BQ2743">
        <v>0</v>
      </c>
      <c r="BR2743">
        <v>0</v>
      </c>
      <c r="BS2743">
        <v>0</v>
      </c>
      <c r="BT2743">
        <v>0</v>
      </c>
      <c r="BU2743">
        <v>0</v>
      </c>
      <c r="BV2743">
        <v>0</v>
      </c>
      <c r="BW2743" t="s">
        <v>0</v>
      </c>
      <c r="BX2743">
        <v>0</v>
      </c>
      <c r="BY2743">
        <v>0</v>
      </c>
      <c r="BZ2743">
        <v>0</v>
      </c>
      <c r="CA2743">
        <v>0</v>
      </c>
      <c r="CB2743" t="s">
        <v>145</v>
      </c>
    </row>
    <row r="2744" spans="67:80" x14ac:dyDescent="0.25">
      <c r="BO2744">
        <v>0</v>
      </c>
      <c r="BP2744">
        <v>0</v>
      </c>
      <c r="BQ2744">
        <v>0</v>
      </c>
      <c r="BR2744">
        <v>0</v>
      </c>
      <c r="BS2744">
        <v>0</v>
      </c>
      <c r="BT2744">
        <v>0</v>
      </c>
      <c r="BU2744">
        <v>0</v>
      </c>
      <c r="BV2744">
        <v>0</v>
      </c>
      <c r="BW2744" t="s">
        <v>0</v>
      </c>
      <c r="BX2744">
        <v>0</v>
      </c>
      <c r="BY2744">
        <v>0</v>
      </c>
      <c r="BZ2744">
        <v>0</v>
      </c>
      <c r="CA2744">
        <v>0</v>
      </c>
      <c r="CB2744" t="s">
        <v>145</v>
      </c>
    </row>
    <row r="2745" spans="67:80" x14ac:dyDescent="0.25">
      <c r="BO2745">
        <v>0</v>
      </c>
      <c r="BP2745">
        <v>0</v>
      </c>
      <c r="BQ2745">
        <v>0</v>
      </c>
      <c r="BR2745">
        <v>0</v>
      </c>
      <c r="BS2745">
        <v>0</v>
      </c>
      <c r="BT2745">
        <v>0</v>
      </c>
      <c r="BU2745">
        <v>0</v>
      </c>
      <c r="BV2745">
        <v>0</v>
      </c>
      <c r="BW2745" t="s">
        <v>0</v>
      </c>
      <c r="BX2745">
        <v>0</v>
      </c>
      <c r="BY2745">
        <v>0</v>
      </c>
      <c r="BZ2745">
        <v>0</v>
      </c>
      <c r="CA2745">
        <v>0</v>
      </c>
      <c r="CB2745" t="s">
        <v>145</v>
      </c>
    </row>
    <row r="2746" spans="67:80" x14ac:dyDescent="0.25">
      <c r="BO2746">
        <v>0</v>
      </c>
      <c r="BP2746">
        <v>0</v>
      </c>
      <c r="BQ2746">
        <v>0</v>
      </c>
      <c r="BR2746">
        <v>0</v>
      </c>
      <c r="BS2746">
        <v>0</v>
      </c>
      <c r="BT2746">
        <v>0</v>
      </c>
      <c r="BU2746">
        <v>0</v>
      </c>
      <c r="BV2746">
        <v>0</v>
      </c>
      <c r="BW2746" t="s">
        <v>0</v>
      </c>
      <c r="BX2746">
        <v>0</v>
      </c>
      <c r="BY2746">
        <v>0</v>
      </c>
      <c r="BZ2746">
        <v>0</v>
      </c>
      <c r="CA2746">
        <v>0</v>
      </c>
      <c r="CB2746" t="s">
        <v>145</v>
      </c>
    </row>
    <row r="2747" spans="67:80" x14ac:dyDescent="0.25">
      <c r="BO2747">
        <v>0</v>
      </c>
      <c r="BP2747">
        <v>0</v>
      </c>
      <c r="BQ2747">
        <v>0</v>
      </c>
      <c r="BR2747">
        <v>0</v>
      </c>
      <c r="BS2747">
        <v>0</v>
      </c>
      <c r="BT2747">
        <v>0</v>
      </c>
      <c r="BU2747">
        <v>0</v>
      </c>
      <c r="BV2747">
        <v>0</v>
      </c>
      <c r="BW2747" t="s">
        <v>0</v>
      </c>
      <c r="BX2747">
        <v>0</v>
      </c>
      <c r="BY2747">
        <v>0</v>
      </c>
      <c r="BZ2747">
        <v>0</v>
      </c>
      <c r="CA2747">
        <v>0</v>
      </c>
      <c r="CB2747" t="s">
        <v>145</v>
      </c>
    </row>
    <row r="2748" spans="67:80" x14ac:dyDescent="0.25">
      <c r="BO2748">
        <v>0</v>
      </c>
      <c r="BP2748">
        <v>0</v>
      </c>
      <c r="BQ2748">
        <v>0</v>
      </c>
      <c r="BR2748">
        <v>0</v>
      </c>
      <c r="BS2748">
        <v>0</v>
      </c>
      <c r="BT2748">
        <v>0</v>
      </c>
      <c r="BU2748">
        <v>0</v>
      </c>
      <c r="BV2748">
        <v>0</v>
      </c>
      <c r="BW2748" t="s">
        <v>0</v>
      </c>
      <c r="BX2748">
        <v>0</v>
      </c>
      <c r="BY2748">
        <v>0</v>
      </c>
      <c r="BZ2748">
        <v>0</v>
      </c>
      <c r="CA2748">
        <v>0</v>
      </c>
      <c r="CB2748" t="s">
        <v>145</v>
      </c>
    </row>
    <row r="2749" spans="67:80" x14ac:dyDescent="0.25">
      <c r="BO2749">
        <v>0</v>
      </c>
      <c r="BP2749">
        <v>0</v>
      </c>
      <c r="BQ2749">
        <v>0</v>
      </c>
      <c r="BR2749">
        <v>0</v>
      </c>
      <c r="BS2749">
        <v>0</v>
      </c>
      <c r="BT2749">
        <v>0</v>
      </c>
      <c r="BU2749">
        <v>0</v>
      </c>
      <c r="BV2749">
        <v>0</v>
      </c>
      <c r="BW2749" t="s">
        <v>0</v>
      </c>
      <c r="BX2749">
        <v>0</v>
      </c>
      <c r="BY2749">
        <v>0</v>
      </c>
      <c r="BZ2749">
        <v>0</v>
      </c>
      <c r="CA2749">
        <v>0</v>
      </c>
      <c r="CB2749" t="s">
        <v>145</v>
      </c>
    </row>
    <row r="2750" spans="67:80" x14ac:dyDescent="0.25">
      <c r="BO2750">
        <v>0</v>
      </c>
      <c r="BP2750">
        <v>0</v>
      </c>
      <c r="BQ2750">
        <v>0</v>
      </c>
      <c r="BR2750">
        <v>0</v>
      </c>
      <c r="BS2750">
        <v>0</v>
      </c>
      <c r="BT2750">
        <v>0</v>
      </c>
      <c r="BU2750">
        <v>0</v>
      </c>
      <c r="BV2750">
        <v>0</v>
      </c>
      <c r="BW2750" t="s">
        <v>0</v>
      </c>
      <c r="BX2750">
        <v>0</v>
      </c>
      <c r="BY2750">
        <v>0</v>
      </c>
      <c r="BZ2750">
        <v>0</v>
      </c>
      <c r="CA2750">
        <v>0</v>
      </c>
      <c r="CB2750" t="s">
        <v>145</v>
      </c>
    </row>
    <row r="2751" spans="67:80" x14ac:dyDescent="0.25">
      <c r="BO2751">
        <v>0</v>
      </c>
      <c r="BP2751">
        <v>0</v>
      </c>
      <c r="BQ2751">
        <v>0</v>
      </c>
      <c r="BR2751">
        <v>0</v>
      </c>
      <c r="BS2751">
        <v>0</v>
      </c>
      <c r="BT2751">
        <v>0</v>
      </c>
      <c r="BU2751">
        <v>0</v>
      </c>
      <c r="BV2751">
        <v>0</v>
      </c>
      <c r="BW2751" t="s">
        <v>0</v>
      </c>
      <c r="BX2751">
        <v>0</v>
      </c>
      <c r="BY2751">
        <v>0</v>
      </c>
      <c r="BZ2751">
        <v>0</v>
      </c>
      <c r="CA2751">
        <v>0</v>
      </c>
      <c r="CB2751" t="s">
        <v>145</v>
      </c>
    </row>
    <row r="2752" spans="67:80" x14ac:dyDescent="0.25">
      <c r="BO2752">
        <v>0</v>
      </c>
      <c r="BP2752">
        <v>0</v>
      </c>
      <c r="BQ2752">
        <v>0</v>
      </c>
      <c r="BR2752">
        <v>0</v>
      </c>
      <c r="BS2752">
        <v>0</v>
      </c>
      <c r="BT2752">
        <v>0</v>
      </c>
      <c r="BU2752">
        <v>0</v>
      </c>
      <c r="BV2752">
        <v>0</v>
      </c>
      <c r="BW2752" t="s">
        <v>0</v>
      </c>
      <c r="BX2752">
        <v>0</v>
      </c>
      <c r="BY2752">
        <v>0</v>
      </c>
      <c r="BZ2752">
        <v>0</v>
      </c>
      <c r="CA2752">
        <v>0</v>
      </c>
      <c r="CB2752" t="s">
        <v>145</v>
      </c>
    </row>
    <row r="2753" spans="67:80" x14ac:dyDescent="0.25">
      <c r="BO2753">
        <v>0</v>
      </c>
      <c r="BP2753">
        <v>0</v>
      </c>
      <c r="BQ2753">
        <v>0</v>
      </c>
      <c r="BR2753">
        <v>0</v>
      </c>
      <c r="BS2753">
        <v>0</v>
      </c>
      <c r="BT2753">
        <v>0</v>
      </c>
      <c r="BU2753">
        <v>0</v>
      </c>
      <c r="BV2753">
        <v>0</v>
      </c>
      <c r="BW2753" t="s">
        <v>0</v>
      </c>
      <c r="BX2753">
        <v>0</v>
      </c>
      <c r="BY2753">
        <v>0</v>
      </c>
      <c r="BZ2753">
        <v>0</v>
      </c>
      <c r="CA2753">
        <v>0</v>
      </c>
      <c r="CB2753" t="s">
        <v>145</v>
      </c>
    </row>
    <row r="2754" spans="67:80" x14ac:dyDescent="0.25">
      <c r="BO2754">
        <v>0</v>
      </c>
      <c r="BP2754">
        <v>0</v>
      </c>
      <c r="BQ2754">
        <v>0</v>
      </c>
      <c r="BR2754">
        <v>0</v>
      </c>
      <c r="BS2754">
        <v>0</v>
      </c>
      <c r="BT2754">
        <v>0</v>
      </c>
      <c r="BU2754">
        <v>0</v>
      </c>
      <c r="BV2754">
        <v>0</v>
      </c>
      <c r="BW2754" t="s">
        <v>0</v>
      </c>
      <c r="BX2754">
        <v>0</v>
      </c>
      <c r="BY2754">
        <v>0</v>
      </c>
      <c r="BZ2754">
        <v>0</v>
      </c>
      <c r="CA2754">
        <v>0</v>
      </c>
      <c r="CB2754" t="s">
        <v>145</v>
      </c>
    </row>
    <row r="2755" spans="67:80" x14ac:dyDescent="0.25">
      <c r="BO2755">
        <v>0</v>
      </c>
      <c r="BP2755">
        <v>0</v>
      </c>
      <c r="BQ2755">
        <v>0</v>
      </c>
      <c r="BR2755">
        <v>0</v>
      </c>
      <c r="BS2755">
        <v>0</v>
      </c>
      <c r="BT2755">
        <v>0</v>
      </c>
      <c r="BU2755">
        <v>0</v>
      </c>
      <c r="BV2755">
        <v>0</v>
      </c>
      <c r="BW2755" t="s">
        <v>0</v>
      </c>
      <c r="BX2755">
        <v>0</v>
      </c>
      <c r="BY2755">
        <v>0</v>
      </c>
      <c r="BZ2755">
        <v>0</v>
      </c>
      <c r="CA2755">
        <v>0</v>
      </c>
      <c r="CB2755" t="s">
        <v>145</v>
      </c>
    </row>
    <row r="2756" spans="67:80" x14ac:dyDescent="0.25">
      <c r="BO2756">
        <v>0</v>
      </c>
      <c r="BP2756">
        <v>0</v>
      </c>
      <c r="BQ2756">
        <v>0</v>
      </c>
      <c r="BR2756">
        <v>0</v>
      </c>
      <c r="BS2756">
        <v>0</v>
      </c>
      <c r="BT2756">
        <v>0</v>
      </c>
      <c r="BU2756">
        <v>0</v>
      </c>
      <c r="BV2756">
        <v>0</v>
      </c>
      <c r="BW2756" t="s">
        <v>0</v>
      </c>
      <c r="BX2756">
        <v>0</v>
      </c>
      <c r="BY2756">
        <v>0</v>
      </c>
      <c r="BZ2756">
        <v>0</v>
      </c>
      <c r="CA2756">
        <v>0</v>
      </c>
      <c r="CB2756" t="s">
        <v>145</v>
      </c>
    </row>
    <row r="2757" spans="67:80" x14ac:dyDescent="0.25">
      <c r="BO2757">
        <v>0</v>
      </c>
      <c r="BP2757">
        <v>0</v>
      </c>
      <c r="BQ2757">
        <v>0</v>
      </c>
      <c r="BR2757">
        <v>0</v>
      </c>
      <c r="BS2757">
        <v>0</v>
      </c>
      <c r="BT2757">
        <v>0</v>
      </c>
      <c r="BU2757">
        <v>0</v>
      </c>
      <c r="BV2757">
        <v>0</v>
      </c>
      <c r="BW2757" t="s">
        <v>0</v>
      </c>
      <c r="BX2757">
        <v>0</v>
      </c>
      <c r="BY2757">
        <v>0</v>
      </c>
      <c r="BZ2757">
        <v>0</v>
      </c>
      <c r="CA2757">
        <v>0</v>
      </c>
      <c r="CB2757" t="s">
        <v>145</v>
      </c>
    </row>
    <row r="2758" spans="67:80" x14ac:dyDescent="0.25">
      <c r="BO2758">
        <v>0</v>
      </c>
      <c r="BP2758">
        <v>0</v>
      </c>
      <c r="BQ2758">
        <v>0</v>
      </c>
      <c r="BR2758">
        <v>0</v>
      </c>
      <c r="BS2758">
        <v>0</v>
      </c>
      <c r="BT2758">
        <v>0</v>
      </c>
      <c r="BU2758">
        <v>0</v>
      </c>
      <c r="BV2758">
        <v>0</v>
      </c>
      <c r="BW2758" t="s">
        <v>0</v>
      </c>
      <c r="BX2758">
        <v>0</v>
      </c>
      <c r="BY2758">
        <v>0</v>
      </c>
      <c r="BZ2758">
        <v>0</v>
      </c>
      <c r="CA2758">
        <v>0</v>
      </c>
      <c r="CB2758" t="s">
        <v>145</v>
      </c>
    </row>
    <row r="2759" spans="67:80" x14ac:dyDescent="0.25">
      <c r="BO2759">
        <v>0</v>
      </c>
      <c r="BP2759">
        <v>0</v>
      </c>
      <c r="BQ2759">
        <v>0</v>
      </c>
      <c r="BR2759">
        <v>0</v>
      </c>
      <c r="BS2759">
        <v>0</v>
      </c>
      <c r="BT2759">
        <v>0</v>
      </c>
      <c r="BU2759">
        <v>0</v>
      </c>
      <c r="BV2759">
        <v>0</v>
      </c>
      <c r="BW2759" t="s">
        <v>0</v>
      </c>
      <c r="BX2759">
        <v>0</v>
      </c>
      <c r="BY2759">
        <v>0</v>
      </c>
      <c r="BZ2759">
        <v>0</v>
      </c>
      <c r="CA2759">
        <v>0</v>
      </c>
      <c r="CB2759" t="s">
        <v>145</v>
      </c>
    </row>
    <row r="2760" spans="67:80" x14ac:dyDescent="0.25">
      <c r="BO2760">
        <v>0</v>
      </c>
      <c r="BP2760">
        <v>0</v>
      </c>
      <c r="BQ2760">
        <v>0</v>
      </c>
      <c r="BR2760">
        <v>0</v>
      </c>
      <c r="BS2760">
        <v>0</v>
      </c>
      <c r="BT2760">
        <v>0</v>
      </c>
      <c r="BU2760">
        <v>0</v>
      </c>
      <c r="BV2760">
        <v>0</v>
      </c>
      <c r="BW2760" t="s">
        <v>0</v>
      </c>
      <c r="BX2760">
        <v>0</v>
      </c>
      <c r="BY2760">
        <v>0</v>
      </c>
      <c r="BZ2760">
        <v>0</v>
      </c>
      <c r="CA2760">
        <v>0</v>
      </c>
      <c r="CB2760" t="s">
        <v>145</v>
      </c>
    </row>
    <row r="2761" spans="67:80" x14ac:dyDescent="0.25">
      <c r="BO2761">
        <v>0</v>
      </c>
      <c r="BP2761">
        <v>0</v>
      </c>
      <c r="BQ2761">
        <v>0</v>
      </c>
      <c r="BR2761">
        <v>0</v>
      </c>
      <c r="BS2761">
        <v>0</v>
      </c>
      <c r="BT2761">
        <v>0</v>
      </c>
      <c r="BU2761">
        <v>0</v>
      </c>
      <c r="BV2761">
        <v>0</v>
      </c>
      <c r="BW2761" t="s">
        <v>0</v>
      </c>
      <c r="BX2761">
        <v>0</v>
      </c>
      <c r="BY2761">
        <v>0</v>
      </c>
      <c r="BZ2761">
        <v>0</v>
      </c>
      <c r="CA2761">
        <v>0</v>
      </c>
      <c r="CB2761" t="s">
        <v>145</v>
      </c>
    </row>
    <row r="2762" spans="67:80" x14ac:dyDescent="0.25">
      <c r="BO2762">
        <v>0</v>
      </c>
      <c r="BP2762">
        <v>0</v>
      </c>
      <c r="BQ2762">
        <v>0</v>
      </c>
      <c r="BR2762">
        <v>0</v>
      </c>
      <c r="BS2762">
        <v>0</v>
      </c>
      <c r="BT2762">
        <v>0</v>
      </c>
      <c r="BU2762">
        <v>0</v>
      </c>
      <c r="BV2762">
        <v>0</v>
      </c>
      <c r="BW2762" t="s">
        <v>0</v>
      </c>
      <c r="BX2762">
        <v>0</v>
      </c>
      <c r="BY2762">
        <v>0</v>
      </c>
      <c r="BZ2762">
        <v>0</v>
      </c>
      <c r="CA2762">
        <v>0</v>
      </c>
      <c r="CB2762" t="s">
        <v>145</v>
      </c>
    </row>
    <row r="2763" spans="67:80" x14ac:dyDescent="0.25">
      <c r="BO2763">
        <v>0</v>
      </c>
      <c r="BP2763">
        <v>0</v>
      </c>
      <c r="BQ2763">
        <v>0</v>
      </c>
      <c r="BR2763">
        <v>0</v>
      </c>
      <c r="BS2763">
        <v>0</v>
      </c>
      <c r="BT2763">
        <v>0</v>
      </c>
      <c r="BU2763">
        <v>0</v>
      </c>
      <c r="BV2763">
        <v>0</v>
      </c>
      <c r="BW2763" t="s">
        <v>0</v>
      </c>
      <c r="BX2763">
        <v>0</v>
      </c>
      <c r="BY2763">
        <v>0</v>
      </c>
      <c r="BZ2763">
        <v>0</v>
      </c>
      <c r="CA2763">
        <v>0</v>
      </c>
      <c r="CB2763" t="s">
        <v>145</v>
      </c>
    </row>
    <row r="2764" spans="67:80" x14ac:dyDescent="0.25">
      <c r="BO2764">
        <v>0</v>
      </c>
      <c r="BP2764">
        <v>0</v>
      </c>
      <c r="BQ2764">
        <v>0</v>
      </c>
      <c r="BR2764">
        <v>0</v>
      </c>
      <c r="BS2764">
        <v>0</v>
      </c>
      <c r="BT2764">
        <v>0</v>
      </c>
      <c r="BU2764">
        <v>0</v>
      </c>
      <c r="BV2764">
        <v>0</v>
      </c>
      <c r="BW2764" t="s">
        <v>0</v>
      </c>
      <c r="BX2764">
        <v>0</v>
      </c>
      <c r="BY2764">
        <v>0</v>
      </c>
      <c r="BZ2764">
        <v>0</v>
      </c>
      <c r="CA2764">
        <v>0</v>
      </c>
      <c r="CB2764" t="s">
        <v>145</v>
      </c>
    </row>
    <row r="2765" spans="67:80" x14ac:dyDescent="0.25">
      <c r="BO2765">
        <v>0</v>
      </c>
      <c r="BP2765">
        <v>0</v>
      </c>
      <c r="BQ2765">
        <v>0</v>
      </c>
      <c r="BR2765">
        <v>0</v>
      </c>
      <c r="BS2765">
        <v>0</v>
      </c>
      <c r="BT2765">
        <v>0</v>
      </c>
      <c r="BU2765">
        <v>0</v>
      </c>
      <c r="BV2765">
        <v>0</v>
      </c>
      <c r="BW2765" t="s">
        <v>0</v>
      </c>
      <c r="BX2765">
        <v>0</v>
      </c>
      <c r="BY2765">
        <v>0</v>
      </c>
      <c r="BZ2765">
        <v>0</v>
      </c>
      <c r="CA2765">
        <v>0</v>
      </c>
      <c r="CB2765" t="s">
        <v>145</v>
      </c>
    </row>
    <row r="2766" spans="67:80" x14ac:dyDescent="0.25">
      <c r="BO2766">
        <v>0</v>
      </c>
      <c r="BP2766">
        <v>0</v>
      </c>
      <c r="BQ2766">
        <v>0</v>
      </c>
      <c r="BR2766">
        <v>0</v>
      </c>
      <c r="BS2766">
        <v>0</v>
      </c>
      <c r="BT2766">
        <v>0</v>
      </c>
      <c r="BU2766">
        <v>0</v>
      </c>
      <c r="BV2766">
        <v>0</v>
      </c>
      <c r="BW2766" t="s">
        <v>0</v>
      </c>
      <c r="BX2766">
        <v>0</v>
      </c>
      <c r="BY2766">
        <v>0</v>
      </c>
      <c r="BZ2766">
        <v>0</v>
      </c>
      <c r="CA2766">
        <v>0</v>
      </c>
      <c r="CB2766" t="s">
        <v>145</v>
      </c>
    </row>
    <row r="2767" spans="67:80" x14ac:dyDescent="0.25">
      <c r="BO2767">
        <v>0</v>
      </c>
      <c r="BP2767">
        <v>0</v>
      </c>
      <c r="BQ2767">
        <v>0</v>
      </c>
      <c r="BR2767">
        <v>0</v>
      </c>
      <c r="BS2767">
        <v>0</v>
      </c>
      <c r="BT2767">
        <v>0</v>
      </c>
      <c r="BU2767">
        <v>0</v>
      </c>
      <c r="BV2767">
        <v>0</v>
      </c>
      <c r="BW2767" t="s">
        <v>0</v>
      </c>
      <c r="BX2767">
        <v>0</v>
      </c>
      <c r="BY2767">
        <v>0</v>
      </c>
      <c r="BZ2767">
        <v>0</v>
      </c>
      <c r="CA2767">
        <v>0</v>
      </c>
      <c r="CB2767" t="s">
        <v>145</v>
      </c>
    </row>
    <row r="2768" spans="67:80" x14ac:dyDescent="0.25">
      <c r="BO2768">
        <v>0</v>
      </c>
      <c r="BP2768">
        <v>0</v>
      </c>
      <c r="BQ2768">
        <v>0</v>
      </c>
      <c r="BR2768">
        <v>0</v>
      </c>
      <c r="BS2768">
        <v>0</v>
      </c>
      <c r="BT2768">
        <v>0</v>
      </c>
      <c r="BU2768">
        <v>0</v>
      </c>
      <c r="BV2768">
        <v>0</v>
      </c>
      <c r="BW2768" t="s">
        <v>0</v>
      </c>
      <c r="BX2768">
        <v>0</v>
      </c>
      <c r="BY2768">
        <v>0</v>
      </c>
      <c r="BZ2768">
        <v>0</v>
      </c>
      <c r="CA2768">
        <v>0</v>
      </c>
      <c r="CB2768" t="s">
        <v>145</v>
      </c>
    </row>
    <row r="2769" spans="67:80" x14ac:dyDescent="0.25">
      <c r="BO2769">
        <v>0</v>
      </c>
      <c r="BP2769">
        <v>0</v>
      </c>
      <c r="BQ2769">
        <v>0</v>
      </c>
      <c r="BR2769">
        <v>0</v>
      </c>
      <c r="BS2769">
        <v>0</v>
      </c>
      <c r="BT2769">
        <v>0</v>
      </c>
      <c r="BU2769">
        <v>0</v>
      </c>
      <c r="BV2769">
        <v>0</v>
      </c>
      <c r="BW2769" t="s">
        <v>0</v>
      </c>
      <c r="BX2769">
        <v>0</v>
      </c>
      <c r="BY2769">
        <v>0</v>
      </c>
      <c r="BZ2769">
        <v>0</v>
      </c>
      <c r="CA2769">
        <v>0</v>
      </c>
      <c r="CB2769" t="s">
        <v>145</v>
      </c>
    </row>
    <row r="2770" spans="67:80" x14ac:dyDescent="0.25">
      <c r="BO2770">
        <v>0</v>
      </c>
      <c r="BP2770">
        <v>0</v>
      </c>
      <c r="BQ2770">
        <v>0</v>
      </c>
      <c r="BR2770">
        <v>0</v>
      </c>
      <c r="BS2770">
        <v>0</v>
      </c>
      <c r="BT2770">
        <v>0</v>
      </c>
      <c r="BU2770">
        <v>0</v>
      </c>
      <c r="BV2770">
        <v>0</v>
      </c>
      <c r="BW2770" t="s">
        <v>0</v>
      </c>
      <c r="BX2770">
        <v>0</v>
      </c>
      <c r="BY2770">
        <v>0</v>
      </c>
      <c r="BZ2770">
        <v>0</v>
      </c>
      <c r="CA2770">
        <v>0</v>
      </c>
      <c r="CB2770" t="s">
        <v>145</v>
      </c>
    </row>
    <row r="2771" spans="67:80" x14ac:dyDescent="0.25">
      <c r="BO2771">
        <v>0</v>
      </c>
      <c r="BP2771">
        <v>0</v>
      </c>
      <c r="BQ2771">
        <v>0</v>
      </c>
      <c r="BR2771">
        <v>0</v>
      </c>
      <c r="BS2771">
        <v>0</v>
      </c>
      <c r="BT2771">
        <v>0</v>
      </c>
      <c r="BU2771">
        <v>0</v>
      </c>
      <c r="BV2771">
        <v>0</v>
      </c>
      <c r="BW2771" t="s">
        <v>0</v>
      </c>
      <c r="BX2771">
        <v>0</v>
      </c>
      <c r="BY2771">
        <v>0</v>
      </c>
      <c r="BZ2771">
        <v>0</v>
      </c>
      <c r="CA2771">
        <v>0</v>
      </c>
      <c r="CB2771" t="s">
        <v>145</v>
      </c>
    </row>
    <row r="2772" spans="67:80" x14ac:dyDescent="0.25">
      <c r="BO2772">
        <v>0</v>
      </c>
      <c r="BP2772">
        <v>0</v>
      </c>
      <c r="BQ2772">
        <v>0</v>
      </c>
      <c r="BR2772">
        <v>0</v>
      </c>
      <c r="BS2772">
        <v>0</v>
      </c>
      <c r="BT2772">
        <v>0</v>
      </c>
      <c r="BU2772">
        <v>0</v>
      </c>
      <c r="BV2772">
        <v>0</v>
      </c>
      <c r="BW2772" t="s">
        <v>0</v>
      </c>
      <c r="BX2772">
        <v>0</v>
      </c>
      <c r="BY2772">
        <v>0</v>
      </c>
      <c r="BZ2772">
        <v>0</v>
      </c>
      <c r="CA2772">
        <v>0</v>
      </c>
      <c r="CB2772" t="s">
        <v>145</v>
      </c>
    </row>
    <row r="2773" spans="67:80" x14ac:dyDescent="0.25">
      <c r="BO2773">
        <v>0</v>
      </c>
      <c r="BP2773">
        <v>0</v>
      </c>
      <c r="BQ2773">
        <v>0</v>
      </c>
      <c r="BR2773">
        <v>0</v>
      </c>
      <c r="BS2773">
        <v>0</v>
      </c>
      <c r="BT2773">
        <v>0</v>
      </c>
      <c r="BU2773">
        <v>0</v>
      </c>
      <c r="BV2773">
        <v>0</v>
      </c>
      <c r="BW2773" t="s">
        <v>0</v>
      </c>
      <c r="BX2773">
        <v>0</v>
      </c>
      <c r="BY2773">
        <v>0</v>
      </c>
      <c r="BZ2773">
        <v>0</v>
      </c>
      <c r="CA2773">
        <v>0</v>
      </c>
      <c r="CB2773" t="s">
        <v>145</v>
      </c>
    </row>
    <row r="2774" spans="67:80" x14ac:dyDescent="0.25">
      <c r="BO2774">
        <v>0</v>
      </c>
      <c r="BP2774">
        <v>0</v>
      </c>
      <c r="BQ2774">
        <v>0</v>
      </c>
      <c r="BR2774">
        <v>0</v>
      </c>
      <c r="BS2774">
        <v>0</v>
      </c>
      <c r="BT2774">
        <v>0</v>
      </c>
      <c r="BU2774">
        <v>0</v>
      </c>
      <c r="BV2774">
        <v>0</v>
      </c>
      <c r="BW2774" t="s">
        <v>0</v>
      </c>
      <c r="BX2774">
        <v>0</v>
      </c>
      <c r="BY2774">
        <v>0</v>
      </c>
      <c r="BZ2774">
        <v>0</v>
      </c>
      <c r="CA2774">
        <v>0</v>
      </c>
      <c r="CB2774" t="s">
        <v>145</v>
      </c>
    </row>
    <row r="2775" spans="67:80" x14ac:dyDescent="0.25">
      <c r="BO2775">
        <v>0</v>
      </c>
      <c r="BP2775">
        <v>0</v>
      </c>
      <c r="BQ2775">
        <v>0</v>
      </c>
      <c r="BR2775">
        <v>0</v>
      </c>
      <c r="BS2775">
        <v>0</v>
      </c>
      <c r="BT2775">
        <v>0</v>
      </c>
      <c r="BU2775">
        <v>0</v>
      </c>
      <c r="BV2775">
        <v>0</v>
      </c>
      <c r="BW2775" t="s">
        <v>0</v>
      </c>
      <c r="BX2775">
        <v>0</v>
      </c>
      <c r="BY2775">
        <v>0</v>
      </c>
      <c r="BZ2775">
        <v>0</v>
      </c>
      <c r="CA2775">
        <v>0</v>
      </c>
      <c r="CB2775" t="s">
        <v>145</v>
      </c>
    </row>
    <row r="2776" spans="67:80" x14ac:dyDescent="0.25">
      <c r="BO2776">
        <v>0</v>
      </c>
      <c r="BP2776">
        <v>0</v>
      </c>
      <c r="BQ2776">
        <v>0</v>
      </c>
      <c r="BR2776">
        <v>0</v>
      </c>
      <c r="BS2776">
        <v>0</v>
      </c>
      <c r="BT2776">
        <v>0</v>
      </c>
      <c r="BU2776">
        <v>0</v>
      </c>
      <c r="BV2776">
        <v>0</v>
      </c>
      <c r="BW2776" t="s">
        <v>0</v>
      </c>
      <c r="BX2776">
        <v>0</v>
      </c>
      <c r="BY2776">
        <v>0</v>
      </c>
      <c r="BZ2776">
        <v>0</v>
      </c>
      <c r="CA2776">
        <v>0</v>
      </c>
      <c r="CB2776" t="s">
        <v>145</v>
      </c>
    </row>
    <row r="2777" spans="67:80" x14ac:dyDescent="0.25">
      <c r="BO2777">
        <v>0</v>
      </c>
      <c r="BP2777">
        <v>0</v>
      </c>
      <c r="BQ2777">
        <v>0</v>
      </c>
      <c r="BR2777">
        <v>0</v>
      </c>
      <c r="BS2777">
        <v>0</v>
      </c>
      <c r="BT2777">
        <v>0</v>
      </c>
      <c r="BU2777">
        <v>0</v>
      </c>
      <c r="BV2777">
        <v>0</v>
      </c>
      <c r="BW2777" t="s">
        <v>0</v>
      </c>
      <c r="BX2777">
        <v>0</v>
      </c>
      <c r="BY2777">
        <v>0</v>
      </c>
      <c r="BZ2777">
        <v>0</v>
      </c>
      <c r="CA2777">
        <v>0</v>
      </c>
      <c r="CB2777" t="s">
        <v>145</v>
      </c>
    </row>
    <row r="2778" spans="67:80" x14ac:dyDescent="0.25">
      <c r="BO2778">
        <v>0</v>
      </c>
      <c r="BP2778">
        <v>0</v>
      </c>
      <c r="BQ2778">
        <v>0</v>
      </c>
      <c r="BR2778">
        <v>0</v>
      </c>
      <c r="BS2778">
        <v>0</v>
      </c>
      <c r="BT2778">
        <v>0</v>
      </c>
      <c r="BU2778">
        <v>0</v>
      </c>
      <c r="BV2778">
        <v>0</v>
      </c>
      <c r="BW2778" t="s">
        <v>0</v>
      </c>
      <c r="BX2778">
        <v>0</v>
      </c>
      <c r="BY2778">
        <v>0</v>
      </c>
      <c r="BZ2778">
        <v>0</v>
      </c>
      <c r="CA2778">
        <v>0</v>
      </c>
      <c r="CB2778" t="s">
        <v>145</v>
      </c>
    </row>
    <row r="2779" spans="67:80" x14ac:dyDescent="0.25">
      <c r="BO2779">
        <v>0</v>
      </c>
      <c r="BP2779">
        <v>0</v>
      </c>
      <c r="BQ2779">
        <v>0</v>
      </c>
      <c r="BR2779">
        <v>0</v>
      </c>
      <c r="BS2779">
        <v>0</v>
      </c>
      <c r="BT2779">
        <v>0</v>
      </c>
      <c r="BU2779">
        <v>0</v>
      </c>
      <c r="BV2779">
        <v>0</v>
      </c>
      <c r="BW2779" t="s">
        <v>0</v>
      </c>
      <c r="BX2779">
        <v>0</v>
      </c>
      <c r="BY2779">
        <v>0</v>
      </c>
      <c r="BZ2779">
        <v>0</v>
      </c>
      <c r="CA2779">
        <v>0</v>
      </c>
      <c r="CB2779" t="s">
        <v>145</v>
      </c>
    </row>
    <row r="2780" spans="67:80" x14ac:dyDescent="0.25">
      <c r="BO2780">
        <v>0</v>
      </c>
      <c r="BP2780">
        <v>0</v>
      </c>
      <c r="BQ2780">
        <v>0</v>
      </c>
      <c r="BR2780">
        <v>0</v>
      </c>
      <c r="BS2780">
        <v>0</v>
      </c>
      <c r="BT2780">
        <v>0</v>
      </c>
      <c r="BU2780">
        <v>0</v>
      </c>
      <c r="BV2780">
        <v>0</v>
      </c>
      <c r="BW2780" t="s">
        <v>0</v>
      </c>
      <c r="BX2780">
        <v>0</v>
      </c>
      <c r="BY2780">
        <v>0</v>
      </c>
      <c r="BZ2780">
        <v>0</v>
      </c>
      <c r="CA2780">
        <v>0</v>
      </c>
      <c r="CB2780" t="s">
        <v>145</v>
      </c>
    </row>
    <row r="2781" spans="67:80" x14ac:dyDescent="0.25">
      <c r="BO2781">
        <v>0</v>
      </c>
      <c r="BP2781">
        <v>0</v>
      </c>
      <c r="BQ2781">
        <v>0</v>
      </c>
      <c r="BR2781">
        <v>0</v>
      </c>
      <c r="BS2781">
        <v>0</v>
      </c>
      <c r="BT2781">
        <v>0</v>
      </c>
      <c r="BU2781">
        <v>0</v>
      </c>
      <c r="BV2781">
        <v>0</v>
      </c>
      <c r="BW2781" t="s">
        <v>0</v>
      </c>
      <c r="BX2781">
        <v>0</v>
      </c>
      <c r="BY2781">
        <v>0</v>
      </c>
      <c r="BZ2781">
        <v>0</v>
      </c>
      <c r="CA2781">
        <v>0</v>
      </c>
      <c r="CB2781" t="s">
        <v>145</v>
      </c>
    </row>
    <row r="2782" spans="67:80" x14ac:dyDescent="0.25">
      <c r="BO2782">
        <v>0</v>
      </c>
      <c r="BP2782">
        <v>0</v>
      </c>
      <c r="BQ2782">
        <v>0</v>
      </c>
      <c r="BR2782">
        <v>0</v>
      </c>
      <c r="BS2782">
        <v>0</v>
      </c>
      <c r="BT2782">
        <v>0</v>
      </c>
      <c r="BU2782">
        <v>0</v>
      </c>
      <c r="BV2782">
        <v>0</v>
      </c>
      <c r="BW2782" t="s">
        <v>0</v>
      </c>
      <c r="BX2782">
        <v>0</v>
      </c>
      <c r="BY2782">
        <v>0</v>
      </c>
      <c r="BZ2782">
        <v>0</v>
      </c>
      <c r="CA2782">
        <v>0</v>
      </c>
      <c r="CB2782" t="s">
        <v>145</v>
      </c>
    </row>
    <row r="2783" spans="67:80" x14ac:dyDescent="0.25">
      <c r="BO2783">
        <v>0</v>
      </c>
      <c r="BP2783">
        <v>0</v>
      </c>
      <c r="BQ2783">
        <v>0</v>
      </c>
      <c r="BR2783">
        <v>0</v>
      </c>
      <c r="BS2783">
        <v>0</v>
      </c>
      <c r="BT2783">
        <v>0</v>
      </c>
      <c r="BU2783">
        <v>0</v>
      </c>
      <c r="BV2783">
        <v>0</v>
      </c>
      <c r="BW2783" t="s">
        <v>0</v>
      </c>
      <c r="BX2783">
        <v>0</v>
      </c>
      <c r="BY2783">
        <v>0</v>
      </c>
      <c r="BZ2783">
        <v>0</v>
      </c>
      <c r="CA2783">
        <v>0</v>
      </c>
      <c r="CB2783" t="s">
        <v>145</v>
      </c>
    </row>
    <row r="2784" spans="67:80" x14ac:dyDescent="0.25">
      <c r="BO2784">
        <v>0</v>
      </c>
      <c r="BP2784">
        <v>0</v>
      </c>
      <c r="BQ2784">
        <v>0</v>
      </c>
      <c r="BR2784">
        <v>0</v>
      </c>
      <c r="BS2784">
        <v>0</v>
      </c>
      <c r="BT2784">
        <v>0</v>
      </c>
      <c r="BU2784">
        <v>0</v>
      </c>
      <c r="BV2784">
        <v>0</v>
      </c>
      <c r="BW2784" t="s">
        <v>0</v>
      </c>
      <c r="BX2784">
        <v>0</v>
      </c>
      <c r="BY2784">
        <v>0</v>
      </c>
      <c r="BZ2784">
        <v>0</v>
      </c>
      <c r="CA2784">
        <v>0</v>
      </c>
      <c r="CB2784" t="s">
        <v>145</v>
      </c>
    </row>
    <row r="2785" spans="67:80" x14ac:dyDescent="0.25">
      <c r="BO2785">
        <v>0</v>
      </c>
      <c r="BP2785">
        <v>0</v>
      </c>
      <c r="BQ2785">
        <v>0</v>
      </c>
      <c r="BR2785">
        <v>0</v>
      </c>
      <c r="BS2785">
        <v>0</v>
      </c>
      <c r="BT2785">
        <v>0</v>
      </c>
      <c r="BU2785">
        <v>0</v>
      </c>
      <c r="BV2785">
        <v>0</v>
      </c>
      <c r="BW2785" t="s">
        <v>0</v>
      </c>
      <c r="BX2785">
        <v>0</v>
      </c>
      <c r="BY2785">
        <v>0</v>
      </c>
      <c r="BZ2785">
        <v>0</v>
      </c>
      <c r="CA2785">
        <v>0</v>
      </c>
      <c r="CB2785" t="s">
        <v>145</v>
      </c>
    </row>
    <row r="2786" spans="67:80" x14ac:dyDescent="0.25">
      <c r="BO2786">
        <v>0</v>
      </c>
      <c r="BP2786">
        <v>0</v>
      </c>
      <c r="BQ2786">
        <v>0</v>
      </c>
      <c r="BR2786">
        <v>0</v>
      </c>
      <c r="BS2786">
        <v>0</v>
      </c>
      <c r="BT2786">
        <v>0</v>
      </c>
      <c r="BU2786">
        <v>0</v>
      </c>
      <c r="BV2786">
        <v>0</v>
      </c>
      <c r="BW2786" t="s">
        <v>0</v>
      </c>
      <c r="BX2786">
        <v>0</v>
      </c>
      <c r="BY2786">
        <v>0</v>
      </c>
      <c r="BZ2786">
        <v>0</v>
      </c>
      <c r="CA2786">
        <v>0</v>
      </c>
      <c r="CB2786" t="s">
        <v>145</v>
      </c>
    </row>
    <row r="2787" spans="67:80" x14ac:dyDescent="0.25">
      <c r="BO2787">
        <v>0</v>
      </c>
      <c r="BP2787">
        <v>0</v>
      </c>
      <c r="BQ2787">
        <v>0</v>
      </c>
      <c r="BR2787">
        <v>0</v>
      </c>
      <c r="BS2787">
        <v>0</v>
      </c>
      <c r="BT2787">
        <v>0</v>
      </c>
      <c r="BU2787">
        <v>0</v>
      </c>
      <c r="BV2787">
        <v>0</v>
      </c>
      <c r="BW2787" t="s">
        <v>0</v>
      </c>
      <c r="BX2787">
        <v>0</v>
      </c>
      <c r="BY2787">
        <v>0</v>
      </c>
      <c r="BZ2787">
        <v>0</v>
      </c>
      <c r="CA2787">
        <v>0</v>
      </c>
      <c r="CB2787" t="s">
        <v>145</v>
      </c>
    </row>
    <row r="2788" spans="67:80" x14ac:dyDescent="0.25">
      <c r="BO2788">
        <v>0</v>
      </c>
      <c r="BP2788">
        <v>0</v>
      </c>
      <c r="BQ2788">
        <v>0</v>
      </c>
      <c r="BR2788">
        <v>0</v>
      </c>
      <c r="BS2788">
        <v>0</v>
      </c>
      <c r="BT2788">
        <v>0</v>
      </c>
      <c r="BU2788">
        <v>0</v>
      </c>
      <c r="BV2788">
        <v>0</v>
      </c>
      <c r="BW2788" t="s">
        <v>0</v>
      </c>
      <c r="BX2788">
        <v>0</v>
      </c>
      <c r="BY2788">
        <v>0</v>
      </c>
      <c r="BZ2788">
        <v>0</v>
      </c>
      <c r="CA2788">
        <v>0</v>
      </c>
      <c r="CB2788" t="s">
        <v>145</v>
      </c>
    </row>
    <row r="2789" spans="67:80" x14ac:dyDescent="0.25">
      <c r="BO2789">
        <v>0</v>
      </c>
      <c r="BP2789">
        <v>0</v>
      </c>
      <c r="BQ2789">
        <v>0</v>
      </c>
      <c r="BR2789">
        <v>0</v>
      </c>
      <c r="BS2789">
        <v>0</v>
      </c>
      <c r="BT2789">
        <v>0</v>
      </c>
      <c r="BU2789">
        <v>0</v>
      </c>
      <c r="BV2789">
        <v>0</v>
      </c>
      <c r="BW2789" t="s">
        <v>0</v>
      </c>
      <c r="BX2789">
        <v>0</v>
      </c>
      <c r="BY2789">
        <v>0</v>
      </c>
      <c r="BZ2789">
        <v>0</v>
      </c>
      <c r="CA2789">
        <v>0</v>
      </c>
      <c r="CB2789" t="s">
        <v>145</v>
      </c>
    </row>
    <row r="2790" spans="67:80" x14ac:dyDescent="0.25">
      <c r="BO2790">
        <v>0</v>
      </c>
      <c r="BP2790">
        <v>0</v>
      </c>
      <c r="BQ2790">
        <v>0</v>
      </c>
      <c r="BR2790">
        <v>0</v>
      </c>
      <c r="BS2790">
        <v>0</v>
      </c>
      <c r="BT2790">
        <v>0</v>
      </c>
      <c r="BU2790">
        <v>0</v>
      </c>
      <c r="BV2790">
        <v>0</v>
      </c>
      <c r="BW2790" t="s">
        <v>0</v>
      </c>
      <c r="BX2790">
        <v>0</v>
      </c>
      <c r="BY2790">
        <v>0</v>
      </c>
      <c r="BZ2790">
        <v>0</v>
      </c>
      <c r="CA2790">
        <v>0</v>
      </c>
      <c r="CB2790" t="s">
        <v>145</v>
      </c>
    </row>
    <row r="2791" spans="67:80" x14ac:dyDescent="0.25">
      <c r="BO2791">
        <v>0</v>
      </c>
      <c r="BP2791">
        <v>0</v>
      </c>
      <c r="BQ2791">
        <v>0</v>
      </c>
      <c r="BR2791">
        <v>0</v>
      </c>
      <c r="BS2791">
        <v>0</v>
      </c>
      <c r="BT2791">
        <v>0</v>
      </c>
      <c r="BU2791">
        <v>0</v>
      </c>
      <c r="BV2791">
        <v>0</v>
      </c>
      <c r="BW2791" t="s">
        <v>0</v>
      </c>
      <c r="BX2791">
        <v>0</v>
      </c>
      <c r="BY2791">
        <v>0</v>
      </c>
      <c r="BZ2791">
        <v>0</v>
      </c>
      <c r="CA2791">
        <v>0</v>
      </c>
      <c r="CB2791" t="s">
        <v>145</v>
      </c>
    </row>
    <row r="2792" spans="67:80" x14ac:dyDescent="0.25">
      <c r="BO2792">
        <v>0</v>
      </c>
      <c r="BP2792">
        <v>0</v>
      </c>
      <c r="BQ2792">
        <v>0</v>
      </c>
      <c r="BR2792">
        <v>0</v>
      </c>
      <c r="BS2792">
        <v>0</v>
      </c>
      <c r="BT2792">
        <v>0</v>
      </c>
      <c r="BU2792">
        <v>0</v>
      </c>
      <c r="BV2792">
        <v>0</v>
      </c>
      <c r="BW2792" t="s">
        <v>0</v>
      </c>
      <c r="BX2792">
        <v>0</v>
      </c>
      <c r="BY2792">
        <v>0</v>
      </c>
      <c r="BZ2792">
        <v>0</v>
      </c>
      <c r="CA2792">
        <v>0</v>
      </c>
      <c r="CB2792" t="s">
        <v>145</v>
      </c>
    </row>
    <row r="2793" spans="67:80" x14ac:dyDescent="0.25">
      <c r="BO2793">
        <v>0</v>
      </c>
      <c r="BP2793">
        <v>0</v>
      </c>
      <c r="BQ2793">
        <v>0</v>
      </c>
      <c r="BR2793">
        <v>0</v>
      </c>
      <c r="BS2793">
        <v>0</v>
      </c>
      <c r="BT2793">
        <v>0</v>
      </c>
      <c r="BU2793">
        <v>0</v>
      </c>
      <c r="BV2793">
        <v>0</v>
      </c>
      <c r="BW2793" t="s">
        <v>0</v>
      </c>
      <c r="BX2793">
        <v>0</v>
      </c>
      <c r="BY2793">
        <v>0</v>
      </c>
      <c r="BZ2793">
        <v>0</v>
      </c>
      <c r="CA2793">
        <v>0</v>
      </c>
      <c r="CB2793" t="s">
        <v>145</v>
      </c>
    </row>
    <row r="2794" spans="67:80" x14ac:dyDescent="0.25">
      <c r="BO2794">
        <v>0</v>
      </c>
      <c r="BP2794">
        <v>0</v>
      </c>
      <c r="BQ2794">
        <v>0</v>
      </c>
      <c r="BR2794">
        <v>0</v>
      </c>
      <c r="BS2794">
        <v>0</v>
      </c>
      <c r="BT2794">
        <v>0</v>
      </c>
      <c r="BU2794">
        <v>0</v>
      </c>
      <c r="BV2794">
        <v>0</v>
      </c>
      <c r="BW2794" t="s">
        <v>0</v>
      </c>
      <c r="BX2794">
        <v>0</v>
      </c>
      <c r="BY2794">
        <v>0</v>
      </c>
      <c r="BZ2794">
        <v>0</v>
      </c>
      <c r="CA2794">
        <v>0</v>
      </c>
      <c r="CB2794" t="s">
        <v>145</v>
      </c>
    </row>
    <row r="2795" spans="67:80" x14ac:dyDescent="0.25">
      <c r="BO2795">
        <v>0</v>
      </c>
      <c r="BP2795">
        <v>0</v>
      </c>
      <c r="BQ2795">
        <v>0</v>
      </c>
      <c r="BR2795">
        <v>0</v>
      </c>
      <c r="BS2795">
        <v>0</v>
      </c>
      <c r="BT2795">
        <v>0</v>
      </c>
      <c r="BU2795">
        <v>0</v>
      </c>
      <c r="BV2795">
        <v>0</v>
      </c>
      <c r="BW2795" t="s">
        <v>0</v>
      </c>
      <c r="BX2795">
        <v>0</v>
      </c>
      <c r="BY2795">
        <v>0</v>
      </c>
      <c r="BZ2795">
        <v>0</v>
      </c>
      <c r="CA2795">
        <v>0</v>
      </c>
      <c r="CB2795" t="s">
        <v>145</v>
      </c>
    </row>
    <row r="2796" spans="67:80" x14ac:dyDescent="0.25">
      <c r="BO2796">
        <v>0</v>
      </c>
      <c r="BP2796">
        <v>0</v>
      </c>
      <c r="BQ2796">
        <v>0</v>
      </c>
      <c r="BR2796">
        <v>0</v>
      </c>
      <c r="BS2796">
        <v>0</v>
      </c>
      <c r="BT2796">
        <v>0</v>
      </c>
      <c r="BU2796">
        <v>0</v>
      </c>
      <c r="BV2796">
        <v>0</v>
      </c>
      <c r="BW2796" t="s">
        <v>0</v>
      </c>
      <c r="BX2796">
        <v>0</v>
      </c>
      <c r="BY2796">
        <v>0</v>
      </c>
      <c r="BZ2796">
        <v>0</v>
      </c>
      <c r="CA2796">
        <v>0</v>
      </c>
      <c r="CB2796" t="s">
        <v>145</v>
      </c>
    </row>
    <row r="2797" spans="67:80" x14ac:dyDescent="0.25">
      <c r="BO2797">
        <v>0</v>
      </c>
      <c r="BP2797">
        <v>0</v>
      </c>
      <c r="BQ2797">
        <v>0</v>
      </c>
      <c r="BR2797">
        <v>0</v>
      </c>
      <c r="BS2797">
        <v>0</v>
      </c>
      <c r="BT2797">
        <v>0</v>
      </c>
      <c r="BU2797">
        <v>0</v>
      </c>
      <c r="BV2797">
        <v>0</v>
      </c>
      <c r="BW2797" t="s">
        <v>0</v>
      </c>
      <c r="BX2797">
        <v>0</v>
      </c>
      <c r="BY2797">
        <v>0</v>
      </c>
      <c r="BZ2797">
        <v>0</v>
      </c>
      <c r="CA2797">
        <v>0</v>
      </c>
      <c r="CB2797" t="s">
        <v>145</v>
      </c>
    </row>
    <row r="2798" spans="67:80" x14ac:dyDescent="0.25">
      <c r="BO2798">
        <v>0</v>
      </c>
      <c r="BP2798">
        <v>0</v>
      </c>
      <c r="BQ2798">
        <v>0</v>
      </c>
      <c r="BR2798">
        <v>0</v>
      </c>
      <c r="BS2798">
        <v>0</v>
      </c>
      <c r="BT2798">
        <v>0</v>
      </c>
      <c r="BU2798">
        <v>0</v>
      </c>
      <c r="BV2798">
        <v>0</v>
      </c>
      <c r="BW2798" t="s">
        <v>0</v>
      </c>
      <c r="BX2798">
        <v>0</v>
      </c>
      <c r="BY2798">
        <v>0</v>
      </c>
      <c r="BZ2798">
        <v>0</v>
      </c>
      <c r="CA2798">
        <v>0</v>
      </c>
      <c r="CB2798" t="s">
        <v>145</v>
      </c>
    </row>
    <row r="2799" spans="67:80" x14ac:dyDescent="0.25">
      <c r="BO2799">
        <v>0</v>
      </c>
      <c r="BP2799">
        <v>0</v>
      </c>
      <c r="BQ2799">
        <v>0</v>
      </c>
      <c r="BR2799">
        <v>0</v>
      </c>
      <c r="BS2799">
        <v>0</v>
      </c>
      <c r="BT2799">
        <v>0</v>
      </c>
      <c r="BU2799">
        <v>0</v>
      </c>
      <c r="BV2799">
        <v>0</v>
      </c>
      <c r="BW2799" t="s">
        <v>0</v>
      </c>
      <c r="BX2799">
        <v>0</v>
      </c>
      <c r="BY2799">
        <v>0</v>
      </c>
      <c r="BZ2799">
        <v>0</v>
      </c>
      <c r="CA2799">
        <v>0</v>
      </c>
      <c r="CB2799" t="s">
        <v>145</v>
      </c>
    </row>
    <row r="2800" spans="67:80" x14ac:dyDescent="0.25">
      <c r="BO2800">
        <v>0</v>
      </c>
      <c r="BP2800">
        <v>0</v>
      </c>
      <c r="BQ2800">
        <v>0</v>
      </c>
      <c r="BR2800">
        <v>0</v>
      </c>
      <c r="BS2800">
        <v>0</v>
      </c>
      <c r="BT2800">
        <v>0</v>
      </c>
      <c r="BU2800">
        <v>0</v>
      </c>
      <c r="BV2800">
        <v>0</v>
      </c>
      <c r="BW2800" t="s">
        <v>0</v>
      </c>
      <c r="BX2800">
        <v>0</v>
      </c>
      <c r="BY2800">
        <v>0</v>
      </c>
      <c r="BZ2800">
        <v>0</v>
      </c>
      <c r="CA2800">
        <v>0</v>
      </c>
      <c r="CB2800" t="s">
        <v>145</v>
      </c>
    </row>
    <row r="2801" spans="67:80" x14ac:dyDescent="0.25">
      <c r="BO2801">
        <v>0</v>
      </c>
      <c r="BP2801">
        <v>0</v>
      </c>
      <c r="BQ2801">
        <v>0</v>
      </c>
      <c r="BR2801">
        <v>0</v>
      </c>
      <c r="BS2801">
        <v>0</v>
      </c>
      <c r="BT2801">
        <v>0</v>
      </c>
      <c r="BU2801">
        <v>0</v>
      </c>
      <c r="BV2801">
        <v>0</v>
      </c>
      <c r="BW2801" t="s">
        <v>0</v>
      </c>
      <c r="BX2801">
        <v>0</v>
      </c>
      <c r="BY2801">
        <v>0</v>
      </c>
      <c r="BZ2801">
        <v>0</v>
      </c>
      <c r="CA2801">
        <v>0</v>
      </c>
      <c r="CB2801" t="s">
        <v>145</v>
      </c>
    </row>
    <row r="2802" spans="67:80" x14ac:dyDescent="0.25">
      <c r="BO2802">
        <v>0</v>
      </c>
      <c r="BP2802">
        <v>0</v>
      </c>
      <c r="BQ2802">
        <v>0</v>
      </c>
      <c r="BR2802">
        <v>0</v>
      </c>
      <c r="BS2802">
        <v>0</v>
      </c>
      <c r="BT2802">
        <v>0</v>
      </c>
      <c r="BU2802">
        <v>0</v>
      </c>
      <c r="BV2802">
        <v>0</v>
      </c>
      <c r="BW2802" t="s">
        <v>0</v>
      </c>
      <c r="BX2802">
        <v>0</v>
      </c>
      <c r="BY2802">
        <v>0</v>
      </c>
      <c r="BZ2802">
        <v>0</v>
      </c>
      <c r="CA2802">
        <v>0</v>
      </c>
      <c r="CB2802" t="s">
        <v>145</v>
      </c>
    </row>
    <row r="2803" spans="67:80" x14ac:dyDescent="0.25">
      <c r="BO2803">
        <v>0</v>
      </c>
      <c r="BP2803">
        <v>0</v>
      </c>
      <c r="BQ2803">
        <v>0</v>
      </c>
      <c r="BR2803">
        <v>0</v>
      </c>
      <c r="BS2803">
        <v>0</v>
      </c>
      <c r="BT2803">
        <v>0</v>
      </c>
      <c r="BU2803">
        <v>0</v>
      </c>
      <c r="BV2803">
        <v>0</v>
      </c>
      <c r="BW2803" t="s">
        <v>0</v>
      </c>
      <c r="BX2803">
        <v>0</v>
      </c>
      <c r="BY2803">
        <v>0</v>
      </c>
      <c r="BZ2803">
        <v>0</v>
      </c>
      <c r="CA2803">
        <v>0</v>
      </c>
      <c r="CB2803" t="s">
        <v>145</v>
      </c>
    </row>
    <row r="2804" spans="67:80" x14ac:dyDescent="0.25">
      <c r="BO2804">
        <v>0</v>
      </c>
      <c r="BP2804">
        <v>0</v>
      </c>
      <c r="BQ2804">
        <v>0</v>
      </c>
      <c r="BR2804">
        <v>0</v>
      </c>
      <c r="BS2804">
        <v>0</v>
      </c>
      <c r="BT2804">
        <v>0</v>
      </c>
      <c r="BU2804">
        <v>0</v>
      </c>
      <c r="BV2804">
        <v>0</v>
      </c>
      <c r="BW2804" t="s">
        <v>0</v>
      </c>
      <c r="BX2804">
        <v>0</v>
      </c>
      <c r="BY2804">
        <v>0</v>
      </c>
      <c r="BZ2804">
        <v>0</v>
      </c>
      <c r="CA2804">
        <v>0</v>
      </c>
      <c r="CB2804" t="s">
        <v>145</v>
      </c>
    </row>
    <row r="2805" spans="67:80" x14ac:dyDescent="0.25">
      <c r="BO2805">
        <v>0</v>
      </c>
      <c r="BP2805">
        <v>0</v>
      </c>
      <c r="BQ2805">
        <v>0</v>
      </c>
      <c r="BR2805">
        <v>0</v>
      </c>
      <c r="BS2805">
        <v>0</v>
      </c>
      <c r="BT2805">
        <v>0</v>
      </c>
      <c r="BU2805">
        <v>0</v>
      </c>
      <c r="BV2805">
        <v>0</v>
      </c>
      <c r="BW2805" t="s">
        <v>0</v>
      </c>
      <c r="BX2805">
        <v>0</v>
      </c>
      <c r="BY2805">
        <v>0</v>
      </c>
      <c r="BZ2805">
        <v>0</v>
      </c>
      <c r="CA2805">
        <v>0</v>
      </c>
      <c r="CB2805" t="s">
        <v>145</v>
      </c>
    </row>
    <row r="2806" spans="67:80" x14ac:dyDescent="0.25">
      <c r="BO2806">
        <v>0</v>
      </c>
      <c r="BP2806">
        <v>0</v>
      </c>
      <c r="BQ2806">
        <v>0</v>
      </c>
      <c r="BR2806">
        <v>0</v>
      </c>
      <c r="BS2806">
        <v>0</v>
      </c>
      <c r="BT2806">
        <v>0</v>
      </c>
      <c r="BU2806">
        <v>0</v>
      </c>
      <c r="BV2806">
        <v>0</v>
      </c>
      <c r="BW2806" t="s">
        <v>0</v>
      </c>
      <c r="BX2806">
        <v>0</v>
      </c>
      <c r="BY2806">
        <v>0</v>
      </c>
      <c r="BZ2806">
        <v>0</v>
      </c>
      <c r="CA2806">
        <v>0</v>
      </c>
      <c r="CB2806" t="s">
        <v>145</v>
      </c>
    </row>
    <row r="2807" spans="67:80" x14ac:dyDescent="0.25">
      <c r="BO2807">
        <v>0</v>
      </c>
      <c r="BP2807">
        <v>0</v>
      </c>
      <c r="BQ2807">
        <v>0</v>
      </c>
      <c r="BR2807">
        <v>0</v>
      </c>
      <c r="BS2807">
        <v>0</v>
      </c>
      <c r="BT2807">
        <v>0</v>
      </c>
      <c r="BU2807">
        <v>0</v>
      </c>
      <c r="BV2807">
        <v>0</v>
      </c>
      <c r="BW2807" t="s">
        <v>0</v>
      </c>
      <c r="BX2807">
        <v>0</v>
      </c>
      <c r="BY2807">
        <v>0</v>
      </c>
      <c r="BZ2807">
        <v>0</v>
      </c>
      <c r="CA2807">
        <v>0</v>
      </c>
      <c r="CB2807" t="s">
        <v>145</v>
      </c>
    </row>
    <row r="2808" spans="67:80" x14ac:dyDescent="0.25">
      <c r="BO2808">
        <v>0</v>
      </c>
      <c r="BP2808">
        <v>0</v>
      </c>
      <c r="BQ2808">
        <v>0</v>
      </c>
      <c r="BR2808">
        <v>0</v>
      </c>
      <c r="BS2808">
        <v>0</v>
      </c>
      <c r="BT2808">
        <v>0</v>
      </c>
      <c r="BU2808">
        <v>0</v>
      </c>
      <c r="BV2808">
        <v>0</v>
      </c>
      <c r="BW2808" t="s">
        <v>0</v>
      </c>
      <c r="BX2808">
        <v>0</v>
      </c>
      <c r="BY2808">
        <v>0</v>
      </c>
      <c r="BZ2808">
        <v>0</v>
      </c>
      <c r="CA2808">
        <v>0</v>
      </c>
      <c r="CB2808" t="s">
        <v>145</v>
      </c>
    </row>
    <row r="2809" spans="67:80" x14ac:dyDescent="0.25">
      <c r="BO2809">
        <v>0</v>
      </c>
      <c r="BP2809">
        <v>0</v>
      </c>
      <c r="BQ2809">
        <v>0</v>
      </c>
      <c r="BR2809">
        <v>0</v>
      </c>
      <c r="BS2809">
        <v>0</v>
      </c>
      <c r="BT2809">
        <v>0</v>
      </c>
      <c r="BU2809">
        <v>0</v>
      </c>
      <c r="BV2809">
        <v>0</v>
      </c>
      <c r="BW2809" t="s">
        <v>0</v>
      </c>
      <c r="BX2809">
        <v>0</v>
      </c>
      <c r="BY2809">
        <v>0</v>
      </c>
      <c r="BZ2809">
        <v>0</v>
      </c>
      <c r="CA2809">
        <v>0</v>
      </c>
      <c r="CB2809" t="s">
        <v>145</v>
      </c>
    </row>
    <row r="2810" spans="67:80" x14ac:dyDescent="0.25">
      <c r="BO2810">
        <v>0</v>
      </c>
      <c r="BP2810">
        <v>0</v>
      </c>
      <c r="BQ2810">
        <v>0</v>
      </c>
      <c r="BR2810">
        <v>0</v>
      </c>
      <c r="BS2810">
        <v>0</v>
      </c>
      <c r="BT2810">
        <v>0</v>
      </c>
      <c r="BU2810">
        <v>0</v>
      </c>
      <c r="BV2810">
        <v>0</v>
      </c>
      <c r="BW2810" t="s">
        <v>0</v>
      </c>
      <c r="BX2810">
        <v>0</v>
      </c>
      <c r="BY2810">
        <v>0</v>
      </c>
      <c r="BZ2810">
        <v>0</v>
      </c>
      <c r="CA2810">
        <v>0</v>
      </c>
      <c r="CB2810" t="s">
        <v>145</v>
      </c>
    </row>
    <row r="2811" spans="67:80" x14ac:dyDescent="0.25">
      <c r="BO2811">
        <v>0</v>
      </c>
      <c r="BP2811">
        <v>0</v>
      </c>
      <c r="BQ2811">
        <v>0</v>
      </c>
      <c r="BR2811">
        <v>0</v>
      </c>
      <c r="BS2811">
        <v>0</v>
      </c>
      <c r="BT2811">
        <v>0</v>
      </c>
      <c r="BU2811">
        <v>0</v>
      </c>
      <c r="BV2811">
        <v>0</v>
      </c>
      <c r="BW2811" t="s">
        <v>0</v>
      </c>
      <c r="BX2811">
        <v>0</v>
      </c>
      <c r="BY2811">
        <v>0</v>
      </c>
      <c r="BZ2811">
        <v>0</v>
      </c>
      <c r="CA2811">
        <v>0</v>
      </c>
      <c r="CB2811" t="s">
        <v>145</v>
      </c>
    </row>
    <row r="2812" spans="67:80" x14ac:dyDescent="0.25">
      <c r="BO2812">
        <v>0</v>
      </c>
      <c r="BP2812">
        <v>0</v>
      </c>
      <c r="BQ2812">
        <v>0</v>
      </c>
      <c r="BR2812">
        <v>0</v>
      </c>
      <c r="BS2812">
        <v>0</v>
      </c>
      <c r="BT2812">
        <v>0</v>
      </c>
      <c r="BU2812">
        <v>0</v>
      </c>
      <c r="BV2812">
        <v>0</v>
      </c>
      <c r="BW2812" t="s">
        <v>0</v>
      </c>
      <c r="BX2812">
        <v>0</v>
      </c>
      <c r="BY2812">
        <v>0</v>
      </c>
      <c r="BZ2812">
        <v>0</v>
      </c>
      <c r="CA2812">
        <v>0</v>
      </c>
      <c r="CB2812" t="s">
        <v>145</v>
      </c>
    </row>
    <row r="2813" spans="67:80" x14ac:dyDescent="0.25">
      <c r="BO2813">
        <v>0</v>
      </c>
      <c r="BP2813">
        <v>0</v>
      </c>
      <c r="BQ2813">
        <v>0</v>
      </c>
      <c r="BR2813">
        <v>0</v>
      </c>
      <c r="BS2813">
        <v>0</v>
      </c>
      <c r="BT2813">
        <v>0</v>
      </c>
      <c r="BU2813">
        <v>0</v>
      </c>
      <c r="BV2813">
        <v>0</v>
      </c>
      <c r="BW2813" t="s">
        <v>0</v>
      </c>
      <c r="BX2813">
        <v>0</v>
      </c>
      <c r="BY2813">
        <v>0</v>
      </c>
      <c r="BZ2813">
        <v>0</v>
      </c>
      <c r="CA2813">
        <v>0</v>
      </c>
      <c r="CB2813" t="s">
        <v>145</v>
      </c>
    </row>
    <row r="2814" spans="67:80" x14ac:dyDescent="0.25">
      <c r="BO2814">
        <v>0</v>
      </c>
      <c r="BP2814">
        <v>0</v>
      </c>
      <c r="BQ2814">
        <v>0</v>
      </c>
      <c r="BR2814">
        <v>0</v>
      </c>
      <c r="BS2814">
        <v>0</v>
      </c>
      <c r="BT2814">
        <v>0</v>
      </c>
      <c r="BU2814">
        <v>0</v>
      </c>
      <c r="BV2814">
        <v>0</v>
      </c>
      <c r="BW2814" t="s">
        <v>0</v>
      </c>
      <c r="BX2814">
        <v>0</v>
      </c>
      <c r="BY2814">
        <v>0</v>
      </c>
      <c r="BZ2814">
        <v>0</v>
      </c>
      <c r="CA2814">
        <v>0</v>
      </c>
      <c r="CB2814" t="s">
        <v>145</v>
      </c>
    </row>
    <row r="2815" spans="67:80" x14ac:dyDescent="0.25">
      <c r="BO2815">
        <v>0</v>
      </c>
      <c r="BP2815">
        <v>0</v>
      </c>
      <c r="BQ2815">
        <v>0</v>
      </c>
      <c r="BR2815">
        <v>0</v>
      </c>
      <c r="BS2815">
        <v>0</v>
      </c>
      <c r="BT2815">
        <v>0</v>
      </c>
      <c r="BU2815">
        <v>0</v>
      </c>
      <c r="BV2815">
        <v>0</v>
      </c>
      <c r="BW2815" t="s">
        <v>0</v>
      </c>
      <c r="BX2815">
        <v>0</v>
      </c>
      <c r="BY2815">
        <v>0</v>
      </c>
      <c r="BZ2815">
        <v>0</v>
      </c>
      <c r="CA2815">
        <v>0</v>
      </c>
      <c r="CB2815" t="s">
        <v>145</v>
      </c>
    </row>
    <row r="2816" spans="67:80" x14ac:dyDescent="0.25">
      <c r="BO2816">
        <v>0</v>
      </c>
      <c r="BP2816">
        <v>0</v>
      </c>
      <c r="BQ2816">
        <v>0</v>
      </c>
      <c r="BR2816">
        <v>0</v>
      </c>
      <c r="BS2816">
        <v>0</v>
      </c>
      <c r="BT2816">
        <v>0</v>
      </c>
      <c r="BU2816">
        <v>0</v>
      </c>
      <c r="BV2816">
        <v>0</v>
      </c>
      <c r="BW2816" t="s">
        <v>0</v>
      </c>
      <c r="BX2816">
        <v>0</v>
      </c>
      <c r="BY2816">
        <v>0</v>
      </c>
      <c r="BZ2816">
        <v>0</v>
      </c>
      <c r="CA2816">
        <v>0</v>
      </c>
      <c r="CB2816" t="s">
        <v>145</v>
      </c>
    </row>
    <row r="2817" spans="37:80" x14ac:dyDescent="0.25">
      <c r="BO2817">
        <v>0</v>
      </c>
      <c r="BP2817">
        <v>0</v>
      </c>
      <c r="BQ2817">
        <v>0</v>
      </c>
      <c r="BR2817">
        <v>0</v>
      </c>
      <c r="BS2817">
        <v>0</v>
      </c>
      <c r="BT2817">
        <v>0</v>
      </c>
      <c r="BU2817">
        <v>0</v>
      </c>
      <c r="BV2817">
        <v>0</v>
      </c>
      <c r="BW2817" t="s">
        <v>0</v>
      </c>
      <c r="BX2817">
        <v>0</v>
      </c>
      <c r="BY2817">
        <v>0</v>
      </c>
      <c r="BZ2817">
        <v>0</v>
      </c>
      <c r="CA2817">
        <v>0</v>
      </c>
      <c r="CB2817" t="s">
        <v>145</v>
      </c>
    </row>
    <row r="2818" spans="37:80" x14ac:dyDescent="0.25">
      <c r="BO2818">
        <v>0</v>
      </c>
      <c r="BP2818">
        <v>0</v>
      </c>
      <c r="BQ2818">
        <v>0</v>
      </c>
      <c r="BR2818">
        <v>0</v>
      </c>
      <c r="BS2818">
        <v>0</v>
      </c>
      <c r="BT2818">
        <v>0</v>
      </c>
      <c r="BU2818">
        <v>0</v>
      </c>
      <c r="BV2818">
        <v>0</v>
      </c>
      <c r="BW2818" t="s">
        <v>0</v>
      </c>
      <c r="BX2818">
        <v>0</v>
      </c>
      <c r="BY2818">
        <v>0</v>
      </c>
      <c r="BZ2818">
        <v>0</v>
      </c>
      <c r="CA2818">
        <v>0</v>
      </c>
      <c r="CB2818" t="s">
        <v>145</v>
      </c>
    </row>
    <row r="2819" spans="37:80" x14ac:dyDescent="0.25">
      <c r="BO2819">
        <v>0</v>
      </c>
      <c r="BP2819">
        <v>0</v>
      </c>
      <c r="BQ2819">
        <v>0</v>
      </c>
      <c r="BR2819">
        <v>0</v>
      </c>
      <c r="BS2819">
        <v>0</v>
      </c>
      <c r="BT2819">
        <v>0</v>
      </c>
      <c r="BU2819">
        <v>0</v>
      </c>
      <c r="BV2819">
        <v>0</v>
      </c>
      <c r="BW2819" t="s">
        <v>0</v>
      </c>
      <c r="BX2819">
        <v>0</v>
      </c>
      <c r="BY2819">
        <v>0</v>
      </c>
      <c r="BZ2819">
        <v>0</v>
      </c>
      <c r="CA2819">
        <v>0</v>
      </c>
      <c r="CB2819" t="s">
        <v>145</v>
      </c>
    </row>
    <row r="2820" spans="37:80" x14ac:dyDescent="0.25">
      <c r="BO2820">
        <v>0</v>
      </c>
      <c r="BP2820">
        <v>0</v>
      </c>
      <c r="BQ2820">
        <v>0</v>
      </c>
      <c r="BR2820">
        <v>0</v>
      </c>
      <c r="BS2820">
        <v>0</v>
      </c>
      <c r="BT2820">
        <v>0</v>
      </c>
      <c r="BU2820">
        <v>0</v>
      </c>
      <c r="BV2820">
        <v>0</v>
      </c>
      <c r="BW2820" t="s">
        <v>0</v>
      </c>
      <c r="BX2820">
        <v>0</v>
      </c>
      <c r="BY2820">
        <v>0</v>
      </c>
      <c r="BZ2820">
        <v>0</v>
      </c>
      <c r="CA2820">
        <v>0</v>
      </c>
      <c r="CB2820" t="s">
        <v>145</v>
      </c>
    </row>
    <row r="2821" spans="37:80" x14ac:dyDescent="0.25">
      <c r="BO2821">
        <v>0</v>
      </c>
      <c r="BP2821">
        <v>0</v>
      </c>
      <c r="BQ2821">
        <v>0</v>
      </c>
      <c r="BR2821">
        <v>0</v>
      </c>
      <c r="BS2821">
        <v>0</v>
      </c>
      <c r="BT2821">
        <v>0</v>
      </c>
      <c r="BU2821">
        <v>0</v>
      </c>
      <c r="BV2821">
        <v>0</v>
      </c>
      <c r="BW2821" t="s">
        <v>0</v>
      </c>
      <c r="BX2821">
        <v>0</v>
      </c>
      <c r="BY2821">
        <v>0</v>
      </c>
      <c r="BZ2821">
        <v>0</v>
      </c>
      <c r="CA2821">
        <v>0</v>
      </c>
      <c r="CB2821" t="s">
        <v>145</v>
      </c>
    </row>
    <row r="2822" spans="37:80" x14ac:dyDescent="0.25">
      <c r="BO2822">
        <v>0</v>
      </c>
      <c r="BP2822">
        <v>0</v>
      </c>
      <c r="BQ2822">
        <v>0</v>
      </c>
      <c r="BR2822">
        <v>0</v>
      </c>
      <c r="BS2822">
        <v>0</v>
      </c>
      <c r="BT2822">
        <v>0</v>
      </c>
      <c r="BU2822">
        <v>0</v>
      </c>
      <c r="BV2822">
        <v>0</v>
      </c>
      <c r="BW2822" t="s">
        <v>0</v>
      </c>
      <c r="BX2822">
        <v>0</v>
      </c>
      <c r="BY2822">
        <v>0</v>
      </c>
      <c r="BZ2822">
        <v>0</v>
      </c>
      <c r="CA2822">
        <v>0</v>
      </c>
      <c r="CB2822" t="s">
        <v>145</v>
      </c>
    </row>
    <row r="2823" spans="37:80" x14ac:dyDescent="0.25">
      <c r="BO2823">
        <v>0</v>
      </c>
      <c r="BP2823">
        <v>0</v>
      </c>
      <c r="BQ2823">
        <v>0</v>
      </c>
      <c r="BR2823">
        <v>0</v>
      </c>
      <c r="BS2823">
        <v>0</v>
      </c>
      <c r="BT2823">
        <v>0</v>
      </c>
      <c r="BU2823">
        <v>0</v>
      </c>
      <c r="BV2823">
        <v>0</v>
      </c>
      <c r="BW2823" t="s">
        <v>0</v>
      </c>
      <c r="BX2823">
        <v>0</v>
      </c>
      <c r="BY2823">
        <v>0</v>
      </c>
      <c r="BZ2823">
        <v>0</v>
      </c>
      <c r="CA2823">
        <v>0</v>
      </c>
      <c r="CB2823" t="s">
        <v>145</v>
      </c>
    </row>
    <row r="2824" spans="37:80" x14ac:dyDescent="0.25">
      <c r="BO2824">
        <v>0</v>
      </c>
      <c r="BP2824">
        <v>0</v>
      </c>
      <c r="BQ2824">
        <v>0</v>
      </c>
      <c r="BR2824">
        <v>0</v>
      </c>
      <c r="BS2824">
        <v>0</v>
      </c>
      <c r="BT2824">
        <v>0</v>
      </c>
      <c r="BU2824">
        <v>0</v>
      </c>
      <c r="BV2824">
        <v>0</v>
      </c>
      <c r="BW2824" t="s">
        <v>0</v>
      </c>
      <c r="BX2824">
        <v>0</v>
      </c>
      <c r="BY2824">
        <v>0</v>
      </c>
      <c r="BZ2824">
        <v>0</v>
      </c>
      <c r="CA2824">
        <v>0</v>
      </c>
      <c r="CB2824" t="s">
        <v>145</v>
      </c>
    </row>
    <row r="2825" spans="37:80" x14ac:dyDescent="0.25">
      <c r="BO2825">
        <v>0</v>
      </c>
      <c r="BP2825">
        <v>0</v>
      </c>
      <c r="BQ2825">
        <v>0</v>
      </c>
      <c r="BR2825">
        <v>0</v>
      </c>
      <c r="BS2825">
        <v>0</v>
      </c>
      <c r="BT2825">
        <v>0</v>
      </c>
      <c r="BU2825">
        <v>0</v>
      </c>
      <c r="BV2825">
        <v>0</v>
      </c>
      <c r="BW2825" t="s">
        <v>0</v>
      </c>
      <c r="BX2825">
        <v>0</v>
      </c>
      <c r="BY2825">
        <v>0</v>
      </c>
      <c r="BZ2825">
        <v>0</v>
      </c>
      <c r="CA2825">
        <v>0</v>
      </c>
      <c r="CB2825" t="s">
        <v>145</v>
      </c>
    </row>
    <row r="2826" spans="37:80" x14ac:dyDescent="0.25">
      <c r="BO2826">
        <v>0</v>
      </c>
      <c r="BP2826">
        <v>0</v>
      </c>
      <c r="BQ2826">
        <v>0</v>
      </c>
      <c r="BR2826">
        <v>0</v>
      </c>
      <c r="BS2826">
        <v>0</v>
      </c>
      <c r="BT2826">
        <v>0</v>
      </c>
      <c r="BU2826">
        <v>0</v>
      </c>
      <c r="BV2826">
        <v>0</v>
      </c>
      <c r="BW2826" t="s">
        <v>0</v>
      </c>
      <c r="BX2826">
        <v>0</v>
      </c>
      <c r="BY2826">
        <v>0</v>
      </c>
      <c r="BZ2826">
        <v>0</v>
      </c>
      <c r="CA2826">
        <v>0</v>
      </c>
      <c r="CB2826" t="s">
        <v>145</v>
      </c>
    </row>
    <row r="2827" spans="37:80" x14ac:dyDescent="0.25">
      <c r="BO2827">
        <v>0</v>
      </c>
      <c r="BP2827">
        <v>0</v>
      </c>
      <c r="BQ2827">
        <v>0</v>
      </c>
      <c r="BR2827">
        <v>0</v>
      </c>
      <c r="BS2827">
        <v>0</v>
      </c>
      <c r="BT2827">
        <v>0</v>
      </c>
      <c r="BU2827">
        <v>0</v>
      </c>
      <c r="BV2827">
        <v>0</v>
      </c>
      <c r="BW2827" t="s">
        <v>0</v>
      </c>
      <c r="BX2827">
        <v>0</v>
      </c>
      <c r="BY2827">
        <v>0</v>
      </c>
      <c r="BZ2827">
        <v>0</v>
      </c>
      <c r="CA2827">
        <v>0</v>
      </c>
      <c r="CB2827" t="s">
        <v>145</v>
      </c>
    </row>
    <row r="2828" spans="37:80" x14ac:dyDescent="0.25">
      <c r="BO2828">
        <v>0</v>
      </c>
      <c r="BP2828">
        <v>0</v>
      </c>
      <c r="BQ2828">
        <v>0</v>
      </c>
      <c r="BR2828">
        <v>0</v>
      </c>
      <c r="BS2828">
        <v>0</v>
      </c>
      <c r="BT2828">
        <v>0</v>
      </c>
      <c r="BU2828">
        <v>0</v>
      </c>
      <c r="BV2828">
        <v>0</v>
      </c>
      <c r="BW2828" t="s">
        <v>0</v>
      </c>
      <c r="BX2828">
        <v>0</v>
      </c>
      <c r="BY2828">
        <v>0</v>
      </c>
      <c r="BZ2828">
        <v>0</v>
      </c>
      <c r="CA2828">
        <v>0</v>
      </c>
      <c r="CB2828" t="s">
        <v>145</v>
      </c>
    </row>
    <row r="2829" spans="37:80" x14ac:dyDescent="0.25">
      <c r="BO2829">
        <v>0</v>
      </c>
      <c r="BP2829">
        <v>0</v>
      </c>
      <c r="BQ2829">
        <v>0</v>
      </c>
      <c r="BR2829">
        <v>0</v>
      </c>
      <c r="BS2829">
        <v>0</v>
      </c>
      <c r="BT2829">
        <v>0</v>
      </c>
      <c r="BU2829">
        <v>0</v>
      </c>
      <c r="BV2829">
        <v>0</v>
      </c>
      <c r="BW2829" t="s">
        <v>0</v>
      </c>
      <c r="BX2829">
        <v>0</v>
      </c>
      <c r="BY2829">
        <v>0</v>
      </c>
      <c r="BZ2829">
        <v>0</v>
      </c>
      <c r="CA2829">
        <v>0</v>
      </c>
      <c r="CB2829" t="s">
        <v>145</v>
      </c>
    </row>
    <row r="2830" spans="37:80" x14ac:dyDescent="0.25">
      <c r="BO2830">
        <v>0</v>
      </c>
      <c r="BP2830">
        <v>0</v>
      </c>
      <c r="BQ2830">
        <v>0</v>
      </c>
      <c r="BR2830">
        <v>0</v>
      </c>
      <c r="BS2830">
        <v>0</v>
      </c>
      <c r="BT2830">
        <v>0</v>
      </c>
      <c r="BU2830">
        <v>0</v>
      </c>
      <c r="BV2830">
        <v>0</v>
      </c>
      <c r="BW2830" t="s">
        <v>0</v>
      </c>
      <c r="BX2830">
        <v>0</v>
      </c>
      <c r="BY2830">
        <v>0</v>
      </c>
      <c r="BZ2830">
        <v>0</v>
      </c>
      <c r="CA2830">
        <v>0</v>
      </c>
      <c r="CB2830" t="s">
        <v>145</v>
      </c>
    </row>
    <row r="2831" spans="37:80" x14ac:dyDescent="0.25">
      <c r="AK2831" s="7"/>
      <c r="BO2831">
        <v>0</v>
      </c>
      <c r="BP2831">
        <v>0</v>
      </c>
      <c r="BQ2831">
        <v>0</v>
      </c>
      <c r="BR2831">
        <v>0</v>
      </c>
      <c r="BS2831">
        <v>0</v>
      </c>
      <c r="BT2831">
        <v>0</v>
      </c>
      <c r="BU2831">
        <v>0</v>
      </c>
      <c r="BV2831">
        <v>0</v>
      </c>
      <c r="BW2831" t="s">
        <v>0</v>
      </c>
      <c r="BX2831">
        <v>0</v>
      </c>
      <c r="BY2831">
        <v>0</v>
      </c>
      <c r="BZ2831">
        <v>0</v>
      </c>
      <c r="CA2831">
        <v>0</v>
      </c>
      <c r="CB2831" t="s">
        <v>145</v>
      </c>
    </row>
    <row r="2832" spans="37:80" x14ac:dyDescent="0.25">
      <c r="BO2832">
        <v>0</v>
      </c>
      <c r="BP2832">
        <v>0</v>
      </c>
      <c r="BQ2832">
        <v>0</v>
      </c>
      <c r="BR2832">
        <v>0</v>
      </c>
      <c r="BS2832">
        <v>0</v>
      </c>
      <c r="BT2832">
        <v>0</v>
      </c>
      <c r="BU2832">
        <v>0</v>
      </c>
      <c r="BV2832">
        <v>0</v>
      </c>
      <c r="BW2832" t="s">
        <v>0</v>
      </c>
      <c r="BX2832">
        <v>0</v>
      </c>
      <c r="BY2832">
        <v>0</v>
      </c>
      <c r="BZ2832">
        <v>0</v>
      </c>
      <c r="CA2832">
        <v>0</v>
      </c>
      <c r="CB2832" t="s">
        <v>145</v>
      </c>
    </row>
    <row r="2833" spans="57:80" x14ac:dyDescent="0.25">
      <c r="BO2833">
        <v>0</v>
      </c>
      <c r="BP2833">
        <v>0</v>
      </c>
      <c r="BQ2833">
        <v>0</v>
      </c>
      <c r="BR2833">
        <v>0</v>
      </c>
      <c r="BS2833">
        <v>0</v>
      </c>
      <c r="BT2833">
        <v>0</v>
      </c>
      <c r="BU2833">
        <v>0</v>
      </c>
      <c r="BV2833">
        <v>0</v>
      </c>
      <c r="BW2833" t="s">
        <v>0</v>
      </c>
      <c r="BX2833">
        <v>0</v>
      </c>
      <c r="BY2833">
        <v>0</v>
      </c>
      <c r="BZ2833">
        <v>0</v>
      </c>
      <c r="CA2833">
        <v>0</v>
      </c>
      <c r="CB2833" t="s">
        <v>145</v>
      </c>
    </row>
    <row r="2834" spans="57:80" x14ac:dyDescent="0.25">
      <c r="BO2834">
        <v>0</v>
      </c>
      <c r="BP2834">
        <v>0</v>
      </c>
      <c r="BQ2834">
        <v>0</v>
      </c>
      <c r="BR2834">
        <v>0</v>
      </c>
      <c r="BS2834">
        <v>0</v>
      </c>
      <c r="BT2834">
        <v>0</v>
      </c>
      <c r="BU2834">
        <v>0</v>
      </c>
      <c r="BV2834">
        <v>0</v>
      </c>
      <c r="BW2834" t="s">
        <v>0</v>
      </c>
      <c r="BX2834">
        <v>0</v>
      </c>
      <c r="BY2834">
        <v>0</v>
      </c>
      <c r="BZ2834">
        <v>0</v>
      </c>
      <c r="CA2834">
        <v>0</v>
      </c>
      <c r="CB2834" t="s">
        <v>145</v>
      </c>
    </row>
    <row r="2835" spans="57:80" x14ac:dyDescent="0.25">
      <c r="BO2835">
        <v>0</v>
      </c>
      <c r="BP2835">
        <v>0</v>
      </c>
      <c r="BQ2835">
        <v>0</v>
      </c>
      <c r="BR2835">
        <v>0</v>
      </c>
      <c r="BS2835">
        <v>0</v>
      </c>
      <c r="BT2835">
        <v>0</v>
      </c>
      <c r="BU2835">
        <v>0</v>
      </c>
      <c r="BV2835">
        <v>0</v>
      </c>
      <c r="BW2835" t="s">
        <v>0</v>
      </c>
      <c r="BX2835">
        <v>0</v>
      </c>
      <c r="BY2835">
        <v>0</v>
      </c>
      <c r="BZ2835">
        <v>0</v>
      </c>
      <c r="CA2835">
        <v>0</v>
      </c>
      <c r="CB2835" t="s">
        <v>145</v>
      </c>
    </row>
    <row r="2836" spans="57:80" x14ac:dyDescent="0.25">
      <c r="BO2836">
        <v>0</v>
      </c>
      <c r="BP2836">
        <v>0</v>
      </c>
      <c r="BQ2836">
        <v>0</v>
      </c>
      <c r="BR2836">
        <v>0</v>
      </c>
      <c r="BS2836">
        <v>0</v>
      </c>
      <c r="BT2836">
        <v>0</v>
      </c>
      <c r="BU2836">
        <v>0</v>
      </c>
      <c r="BV2836">
        <v>0</v>
      </c>
      <c r="BW2836" t="s">
        <v>0</v>
      </c>
      <c r="BX2836">
        <v>0</v>
      </c>
      <c r="BY2836">
        <v>0</v>
      </c>
      <c r="BZ2836">
        <v>0</v>
      </c>
      <c r="CA2836">
        <v>0</v>
      </c>
      <c r="CB2836" t="s">
        <v>145</v>
      </c>
    </row>
    <row r="2837" spans="57:80" x14ac:dyDescent="0.25">
      <c r="BO2837">
        <v>0</v>
      </c>
      <c r="BP2837">
        <v>0</v>
      </c>
      <c r="BQ2837">
        <v>0</v>
      </c>
      <c r="BR2837">
        <v>0</v>
      </c>
      <c r="BS2837">
        <v>0</v>
      </c>
      <c r="BT2837">
        <v>0</v>
      </c>
      <c r="BU2837">
        <v>0</v>
      </c>
      <c r="BV2837">
        <v>0</v>
      </c>
      <c r="BW2837" t="s">
        <v>0</v>
      </c>
      <c r="BX2837">
        <v>0</v>
      </c>
      <c r="BY2837">
        <v>0</v>
      </c>
      <c r="BZ2837">
        <v>0</v>
      </c>
      <c r="CA2837">
        <v>0</v>
      </c>
      <c r="CB2837" t="s">
        <v>145</v>
      </c>
    </row>
    <row r="2838" spans="57:80" x14ac:dyDescent="0.25">
      <c r="BO2838">
        <v>0</v>
      </c>
      <c r="BP2838">
        <v>0</v>
      </c>
      <c r="BQ2838">
        <v>0</v>
      </c>
      <c r="BR2838">
        <v>0</v>
      </c>
      <c r="BS2838">
        <v>0</v>
      </c>
      <c r="BT2838">
        <v>0</v>
      </c>
      <c r="BU2838">
        <v>0</v>
      </c>
      <c r="BV2838">
        <v>0</v>
      </c>
      <c r="BW2838" t="s">
        <v>0</v>
      </c>
      <c r="BX2838">
        <v>0</v>
      </c>
      <c r="BY2838">
        <v>0</v>
      </c>
      <c r="BZ2838">
        <v>0</v>
      </c>
      <c r="CA2838">
        <v>0</v>
      </c>
      <c r="CB2838" t="s">
        <v>145</v>
      </c>
    </row>
    <row r="2839" spans="57:80" x14ac:dyDescent="0.25">
      <c r="BO2839">
        <v>0</v>
      </c>
      <c r="BP2839">
        <v>0</v>
      </c>
      <c r="BQ2839">
        <v>0</v>
      </c>
      <c r="BR2839">
        <v>0</v>
      </c>
      <c r="BS2839">
        <v>0</v>
      </c>
      <c r="BT2839">
        <v>0</v>
      </c>
      <c r="BU2839">
        <v>0</v>
      </c>
      <c r="BV2839">
        <v>0</v>
      </c>
      <c r="BW2839" t="s">
        <v>0</v>
      </c>
      <c r="BX2839">
        <v>0</v>
      </c>
      <c r="BY2839">
        <v>0</v>
      </c>
      <c r="BZ2839">
        <v>0</v>
      </c>
      <c r="CA2839">
        <v>0</v>
      </c>
      <c r="CB2839" t="s">
        <v>145</v>
      </c>
    </row>
    <row r="2840" spans="57:80" x14ac:dyDescent="0.25">
      <c r="BO2840">
        <v>0</v>
      </c>
      <c r="BP2840">
        <v>0</v>
      </c>
      <c r="BQ2840">
        <v>0</v>
      </c>
      <c r="BR2840">
        <v>0</v>
      </c>
      <c r="BS2840">
        <v>0</v>
      </c>
      <c r="BT2840">
        <v>0</v>
      </c>
      <c r="BU2840">
        <v>0</v>
      </c>
      <c r="BV2840">
        <v>0</v>
      </c>
      <c r="BW2840" t="s">
        <v>0</v>
      </c>
      <c r="BX2840">
        <v>0</v>
      </c>
      <c r="BY2840">
        <v>0</v>
      </c>
      <c r="BZ2840">
        <v>0</v>
      </c>
      <c r="CA2840">
        <v>0</v>
      </c>
      <c r="CB2840" t="s">
        <v>145</v>
      </c>
    </row>
    <row r="2841" spans="57:80" x14ac:dyDescent="0.25">
      <c r="BO2841">
        <v>0</v>
      </c>
      <c r="BP2841">
        <v>0</v>
      </c>
      <c r="BQ2841">
        <v>0</v>
      </c>
      <c r="BR2841">
        <v>0</v>
      </c>
      <c r="BS2841">
        <v>0</v>
      </c>
      <c r="BT2841">
        <v>0</v>
      </c>
      <c r="BU2841">
        <v>0</v>
      </c>
      <c r="BV2841">
        <v>0</v>
      </c>
      <c r="BW2841" t="s">
        <v>0</v>
      </c>
      <c r="BX2841">
        <v>0</v>
      </c>
      <c r="BY2841">
        <v>0</v>
      </c>
      <c r="BZ2841">
        <v>0</v>
      </c>
      <c r="CA2841">
        <v>0</v>
      </c>
      <c r="CB2841" t="s">
        <v>145</v>
      </c>
    </row>
    <row r="2842" spans="57:80" x14ac:dyDescent="0.25">
      <c r="BO2842">
        <v>0</v>
      </c>
      <c r="BP2842">
        <v>0</v>
      </c>
      <c r="BQ2842">
        <v>0</v>
      </c>
      <c r="BR2842">
        <v>0</v>
      </c>
      <c r="BS2842">
        <v>0</v>
      </c>
      <c r="BT2842">
        <v>0</v>
      </c>
      <c r="BU2842">
        <v>0</v>
      </c>
      <c r="BV2842">
        <v>0</v>
      </c>
      <c r="BW2842" t="s">
        <v>0</v>
      </c>
      <c r="BX2842">
        <v>0</v>
      </c>
      <c r="BY2842">
        <v>0</v>
      </c>
      <c r="BZ2842">
        <v>0</v>
      </c>
      <c r="CA2842">
        <v>0</v>
      </c>
      <c r="CB2842" t="s">
        <v>145</v>
      </c>
    </row>
    <row r="2843" spans="57:80" x14ac:dyDescent="0.25">
      <c r="BE2843" s="1"/>
      <c r="BO2843">
        <v>0</v>
      </c>
      <c r="BP2843">
        <v>0</v>
      </c>
      <c r="BQ2843">
        <v>0</v>
      </c>
      <c r="BR2843">
        <v>0</v>
      </c>
      <c r="BS2843">
        <v>0</v>
      </c>
      <c r="BT2843">
        <v>0</v>
      </c>
      <c r="BU2843">
        <v>0</v>
      </c>
      <c r="BV2843">
        <v>0</v>
      </c>
      <c r="BW2843" t="s">
        <v>0</v>
      </c>
      <c r="BX2843">
        <v>0</v>
      </c>
      <c r="BY2843">
        <v>0</v>
      </c>
      <c r="BZ2843">
        <v>0</v>
      </c>
      <c r="CA2843">
        <v>0</v>
      </c>
      <c r="CB2843" t="s">
        <v>145</v>
      </c>
    </row>
    <row r="2844" spans="57:80" x14ac:dyDescent="0.25">
      <c r="BO2844">
        <v>0</v>
      </c>
      <c r="BP2844">
        <v>0</v>
      </c>
      <c r="BQ2844">
        <v>0</v>
      </c>
      <c r="BR2844">
        <v>0</v>
      </c>
      <c r="BS2844">
        <v>0</v>
      </c>
      <c r="BT2844">
        <v>0</v>
      </c>
      <c r="BU2844">
        <v>0</v>
      </c>
      <c r="BV2844">
        <v>0</v>
      </c>
      <c r="BW2844" t="s">
        <v>0</v>
      </c>
      <c r="BX2844">
        <v>0</v>
      </c>
      <c r="BY2844">
        <v>0</v>
      </c>
      <c r="BZ2844">
        <v>0</v>
      </c>
      <c r="CA2844">
        <v>0</v>
      </c>
      <c r="CB2844" t="s">
        <v>145</v>
      </c>
    </row>
    <row r="2845" spans="57:80" x14ac:dyDescent="0.25">
      <c r="BO2845">
        <v>0</v>
      </c>
      <c r="BP2845">
        <v>0</v>
      </c>
      <c r="BQ2845">
        <v>0</v>
      </c>
      <c r="BR2845">
        <v>0</v>
      </c>
      <c r="BS2845">
        <v>0</v>
      </c>
      <c r="BT2845">
        <v>0</v>
      </c>
      <c r="BU2845">
        <v>0</v>
      </c>
      <c r="BV2845">
        <v>0</v>
      </c>
      <c r="BW2845" t="s">
        <v>0</v>
      </c>
      <c r="BX2845">
        <v>0</v>
      </c>
      <c r="BY2845">
        <v>0</v>
      </c>
      <c r="BZ2845">
        <v>0</v>
      </c>
      <c r="CA2845">
        <v>0</v>
      </c>
      <c r="CB2845" t="s">
        <v>145</v>
      </c>
    </row>
    <row r="2846" spans="57:80" x14ac:dyDescent="0.25">
      <c r="BO2846">
        <v>0</v>
      </c>
      <c r="BP2846">
        <v>0</v>
      </c>
      <c r="BQ2846">
        <v>0</v>
      </c>
      <c r="BR2846">
        <v>0</v>
      </c>
      <c r="BS2846">
        <v>0</v>
      </c>
      <c r="BT2846">
        <v>0</v>
      </c>
      <c r="BU2846">
        <v>0</v>
      </c>
      <c r="BV2846">
        <v>0</v>
      </c>
      <c r="BW2846" t="s">
        <v>0</v>
      </c>
      <c r="BX2846">
        <v>0</v>
      </c>
      <c r="BY2846">
        <v>0</v>
      </c>
      <c r="BZ2846">
        <v>0</v>
      </c>
      <c r="CA2846">
        <v>0</v>
      </c>
      <c r="CB2846" t="s">
        <v>145</v>
      </c>
    </row>
    <row r="2847" spans="57:80" x14ac:dyDescent="0.25">
      <c r="BO2847">
        <v>0</v>
      </c>
      <c r="BP2847">
        <v>0</v>
      </c>
      <c r="BQ2847">
        <v>0</v>
      </c>
      <c r="BR2847">
        <v>0</v>
      </c>
      <c r="BS2847">
        <v>0</v>
      </c>
      <c r="BT2847">
        <v>0</v>
      </c>
      <c r="BU2847">
        <v>0</v>
      </c>
      <c r="BV2847">
        <v>0</v>
      </c>
      <c r="BW2847" t="s">
        <v>0</v>
      </c>
      <c r="BX2847">
        <v>0</v>
      </c>
      <c r="BY2847">
        <v>0</v>
      </c>
      <c r="BZ2847">
        <v>0</v>
      </c>
      <c r="CA2847">
        <v>0</v>
      </c>
      <c r="CB2847" t="s">
        <v>145</v>
      </c>
    </row>
    <row r="2848" spans="57:80" x14ac:dyDescent="0.25">
      <c r="BO2848">
        <v>0</v>
      </c>
      <c r="BP2848">
        <v>0</v>
      </c>
      <c r="BQ2848">
        <v>0</v>
      </c>
      <c r="BR2848">
        <v>0</v>
      </c>
      <c r="BS2848">
        <v>0</v>
      </c>
      <c r="BT2848">
        <v>0</v>
      </c>
      <c r="BU2848">
        <v>0</v>
      </c>
      <c r="BV2848">
        <v>0</v>
      </c>
      <c r="BW2848" t="s">
        <v>0</v>
      </c>
      <c r="BX2848">
        <v>0</v>
      </c>
      <c r="BY2848">
        <v>0</v>
      </c>
      <c r="BZ2848">
        <v>0</v>
      </c>
      <c r="CA2848">
        <v>0</v>
      </c>
      <c r="CB2848" t="s">
        <v>145</v>
      </c>
    </row>
    <row r="2849" spans="67:80" x14ac:dyDescent="0.25">
      <c r="BO2849">
        <v>0</v>
      </c>
      <c r="BP2849">
        <v>0</v>
      </c>
      <c r="BQ2849">
        <v>0</v>
      </c>
      <c r="BR2849">
        <v>0</v>
      </c>
      <c r="BS2849">
        <v>0</v>
      </c>
      <c r="BT2849">
        <v>0</v>
      </c>
      <c r="BU2849">
        <v>0</v>
      </c>
      <c r="BV2849">
        <v>0</v>
      </c>
      <c r="BW2849" t="s">
        <v>0</v>
      </c>
      <c r="BX2849">
        <v>0</v>
      </c>
      <c r="BY2849">
        <v>0</v>
      </c>
      <c r="BZ2849">
        <v>0</v>
      </c>
      <c r="CA2849">
        <v>0</v>
      </c>
      <c r="CB2849" t="s">
        <v>145</v>
      </c>
    </row>
    <row r="2850" spans="67:80" x14ac:dyDescent="0.25">
      <c r="BO2850">
        <v>0</v>
      </c>
      <c r="BP2850">
        <v>0</v>
      </c>
      <c r="BQ2850">
        <v>0</v>
      </c>
      <c r="BR2850">
        <v>0</v>
      </c>
      <c r="BS2850">
        <v>0</v>
      </c>
      <c r="BT2850">
        <v>0</v>
      </c>
      <c r="BU2850">
        <v>0</v>
      </c>
      <c r="BV2850">
        <v>0</v>
      </c>
      <c r="BW2850" t="s">
        <v>0</v>
      </c>
      <c r="BX2850">
        <v>0</v>
      </c>
      <c r="BY2850">
        <v>0</v>
      </c>
      <c r="BZ2850">
        <v>0</v>
      </c>
      <c r="CA2850">
        <v>0</v>
      </c>
      <c r="CB2850" t="s">
        <v>145</v>
      </c>
    </row>
    <row r="2851" spans="67:80" x14ac:dyDescent="0.25">
      <c r="BO2851">
        <v>0</v>
      </c>
      <c r="BP2851">
        <v>0</v>
      </c>
      <c r="BQ2851">
        <v>0</v>
      </c>
      <c r="BR2851">
        <v>0</v>
      </c>
      <c r="BS2851">
        <v>0</v>
      </c>
      <c r="BT2851">
        <v>0</v>
      </c>
      <c r="BU2851">
        <v>0</v>
      </c>
      <c r="BV2851">
        <v>0</v>
      </c>
      <c r="BW2851" t="s">
        <v>0</v>
      </c>
      <c r="BX2851">
        <v>0</v>
      </c>
      <c r="BY2851">
        <v>0</v>
      </c>
      <c r="BZ2851">
        <v>0</v>
      </c>
      <c r="CA2851">
        <v>0</v>
      </c>
      <c r="CB2851" t="s">
        <v>145</v>
      </c>
    </row>
    <row r="2852" spans="67:80" x14ac:dyDescent="0.25">
      <c r="BO2852">
        <v>0</v>
      </c>
      <c r="BP2852">
        <v>0</v>
      </c>
      <c r="BQ2852">
        <v>0</v>
      </c>
      <c r="BR2852">
        <v>0</v>
      </c>
      <c r="BS2852">
        <v>0</v>
      </c>
      <c r="BT2852">
        <v>0</v>
      </c>
      <c r="BU2852">
        <v>0</v>
      </c>
      <c r="BV2852">
        <v>0</v>
      </c>
      <c r="BW2852" t="s">
        <v>0</v>
      </c>
      <c r="BX2852">
        <v>0</v>
      </c>
      <c r="BY2852">
        <v>0</v>
      </c>
      <c r="BZ2852">
        <v>0</v>
      </c>
      <c r="CA2852">
        <v>0</v>
      </c>
      <c r="CB2852" t="s">
        <v>145</v>
      </c>
    </row>
    <row r="2853" spans="67:80" x14ac:dyDescent="0.25">
      <c r="BO2853">
        <v>0</v>
      </c>
      <c r="BP2853">
        <v>0</v>
      </c>
      <c r="BQ2853">
        <v>0</v>
      </c>
      <c r="BR2853">
        <v>0</v>
      </c>
      <c r="BS2853">
        <v>0</v>
      </c>
      <c r="BT2853">
        <v>0</v>
      </c>
      <c r="BU2853">
        <v>0</v>
      </c>
      <c r="BV2853">
        <v>0</v>
      </c>
      <c r="BW2853" t="s">
        <v>0</v>
      </c>
      <c r="BX2853">
        <v>0</v>
      </c>
      <c r="BY2853">
        <v>0</v>
      </c>
      <c r="BZ2853">
        <v>0</v>
      </c>
      <c r="CA2853">
        <v>0</v>
      </c>
      <c r="CB2853" t="s">
        <v>145</v>
      </c>
    </row>
    <row r="2854" spans="67:80" x14ac:dyDescent="0.25">
      <c r="BO2854">
        <v>0</v>
      </c>
      <c r="BP2854">
        <v>0</v>
      </c>
      <c r="BQ2854">
        <v>0</v>
      </c>
      <c r="BR2854">
        <v>0</v>
      </c>
      <c r="BS2854">
        <v>0</v>
      </c>
      <c r="BT2854">
        <v>0</v>
      </c>
      <c r="BU2854">
        <v>0</v>
      </c>
      <c r="BV2854">
        <v>0</v>
      </c>
      <c r="BW2854" t="s">
        <v>0</v>
      </c>
      <c r="BX2854">
        <v>0</v>
      </c>
      <c r="BY2854">
        <v>0</v>
      </c>
      <c r="BZ2854">
        <v>0</v>
      </c>
      <c r="CA2854">
        <v>0</v>
      </c>
      <c r="CB2854" t="s">
        <v>145</v>
      </c>
    </row>
    <row r="2855" spans="67:80" x14ac:dyDescent="0.25">
      <c r="BO2855">
        <v>0</v>
      </c>
      <c r="BP2855">
        <v>0</v>
      </c>
      <c r="BQ2855">
        <v>0</v>
      </c>
      <c r="BR2855">
        <v>0</v>
      </c>
      <c r="BS2855">
        <v>0</v>
      </c>
      <c r="BT2855">
        <v>0</v>
      </c>
      <c r="BU2855">
        <v>0</v>
      </c>
      <c r="BV2855">
        <v>0</v>
      </c>
      <c r="BW2855" t="s">
        <v>0</v>
      </c>
      <c r="BX2855">
        <v>0</v>
      </c>
      <c r="BY2855">
        <v>0</v>
      </c>
      <c r="BZ2855">
        <v>0</v>
      </c>
      <c r="CA2855">
        <v>0</v>
      </c>
      <c r="CB2855" t="s">
        <v>145</v>
      </c>
    </row>
    <row r="2856" spans="67:80" x14ac:dyDescent="0.25">
      <c r="BO2856">
        <v>0</v>
      </c>
      <c r="BP2856">
        <v>0</v>
      </c>
      <c r="BQ2856">
        <v>0</v>
      </c>
      <c r="BR2856">
        <v>0</v>
      </c>
      <c r="BS2856">
        <v>0</v>
      </c>
      <c r="BT2856">
        <v>0</v>
      </c>
      <c r="BU2856">
        <v>0</v>
      </c>
      <c r="BV2856">
        <v>0</v>
      </c>
      <c r="BW2856" t="s">
        <v>0</v>
      </c>
      <c r="BX2856">
        <v>0</v>
      </c>
      <c r="BY2856">
        <v>0</v>
      </c>
      <c r="BZ2856">
        <v>0</v>
      </c>
      <c r="CA2856">
        <v>0</v>
      </c>
      <c r="CB2856" t="s">
        <v>145</v>
      </c>
    </row>
    <row r="2857" spans="67:80" x14ac:dyDescent="0.25">
      <c r="BO2857">
        <v>0</v>
      </c>
      <c r="BP2857">
        <v>0</v>
      </c>
      <c r="BQ2857">
        <v>0</v>
      </c>
      <c r="BR2857">
        <v>0</v>
      </c>
      <c r="BS2857">
        <v>0</v>
      </c>
      <c r="BT2857">
        <v>0</v>
      </c>
      <c r="BU2857">
        <v>0</v>
      </c>
      <c r="BV2857">
        <v>0</v>
      </c>
      <c r="BW2857" t="s">
        <v>0</v>
      </c>
      <c r="BX2857">
        <v>0</v>
      </c>
      <c r="BY2857">
        <v>0</v>
      </c>
      <c r="BZ2857">
        <v>0</v>
      </c>
      <c r="CA2857">
        <v>0</v>
      </c>
      <c r="CB2857" t="s">
        <v>145</v>
      </c>
    </row>
    <row r="2858" spans="67:80" x14ac:dyDescent="0.25">
      <c r="BO2858">
        <v>0</v>
      </c>
      <c r="BP2858">
        <v>0</v>
      </c>
      <c r="BQ2858">
        <v>0</v>
      </c>
      <c r="BR2858">
        <v>0</v>
      </c>
      <c r="BS2858">
        <v>0</v>
      </c>
      <c r="BT2858">
        <v>0</v>
      </c>
      <c r="BU2858">
        <v>0</v>
      </c>
      <c r="BV2858">
        <v>0</v>
      </c>
      <c r="BW2858" t="s">
        <v>0</v>
      </c>
      <c r="BX2858">
        <v>0</v>
      </c>
      <c r="BY2858">
        <v>0</v>
      </c>
      <c r="BZ2858">
        <v>0</v>
      </c>
      <c r="CA2858">
        <v>0</v>
      </c>
      <c r="CB2858" t="s">
        <v>145</v>
      </c>
    </row>
    <row r="2859" spans="67:80" x14ac:dyDescent="0.25">
      <c r="BO2859">
        <v>0</v>
      </c>
      <c r="BP2859">
        <v>0</v>
      </c>
      <c r="BQ2859">
        <v>0</v>
      </c>
      <c r="BR2859">
        <v>0</v>
      </c>
      <c r="BS2859">
        <v>0</v>
      </c>
      <c r="BT2859">
        <v>0</v>
      </c>
      <c r="BU2859">
        <v>0</v>
      </c>
      <c r="BV2859">
        <v>0</v>
      </c>
      <c r="BW2859" t="s">
        <v>0</v>
      </c>
      <c r="BX2859">
        <v>0</v>
      </c>
      <c r="BY2859">
        <v>0</v>
      </c>
      <c r="BZ2859">
        <v>0</v>
      </c>
      <c r="CA2859">
        <v>0</v>
      </c>
      <c r="CB2859" t="s">
        <v>145</v>
      </c>
    </row>
    <row r="2860" spans="67:80" x14ac:dyDescent="0.25">
      <c r="BO2860">
        <v>0</v>
      </c>
      <c r="BP2860">
        <v>0</v>
      </c>
      <c r="BQ2860">
        <v>0</v>
      </c>
      <c r="BR2860">
        <v>0</v>
      </c>
      <c r="BS2860">
        <v>0</v>
      </c>
      <c r="BT2860">
        <v>0</v>
      </c>
      <c r="BU2860">
        <v>0</v>
      </c>
      <c r="BV2860">
        <v>0</v>
      </c>
      <c r="BW2860" t="s">
        <v>0</v>
      </c>
      <c r="BX2860">
        <v>0</v>
      </c>
      <c r="BY2860">
        <v>0</v>
      </c>
      <c r="BZ2860">
        <v>0</v>
      </c>
      <c r="CA2860">
        <v>0</v>
      </c>
      <c r="CB2860" t="s">
        <v>145</v>
      </c>
    </row>
    <row r="2861" spans="67:80" x14ac:dyDescent="0.25">
      <c r="BO2861">
        <v>0</v>
      </c>
      <c r="BP2861">
        <v>0</v>
      </c>
      <c r="BQ2861">
        <v>0</v>
      </c>
      <c r="BR2861">
        <v>0</v>
      </c>
      <c r="BS2861">
        <v>0</v>
      </c>
      <c r="BT2861">
        <v>0</v>
      </c>
      <c r="BU2861">
        <v>0</v>
      </c>
      <c r="BV2861">
        <v>0</v>
      </c>
      <c r="BW2861" t="s">
        <v>0</v>
      </c>
      <c r="BX2861">
        <v>0</v>
      </c>
      <c r="BY2861">
        <v>0</v>
      </c>
      <c r="BZ2861">
        <v>0</v>
      </c>
      <c r="CA2861">
        <v>0</v>
      </c>
      <c r="CB2861" t="s">
        <v>145</v>
      </c>
    </row>
    <row r="2862" spans="67:80" x14ac:dyDescent="0.25">
      <c r="BO2862">
        <v>0</v>
      </c>
      <c r="BP2862">
        <v>0</v>
      </c>
      <c r="BQ2862">
        <v>0</v>
      </c>
      <c r="BR2862">
        <v>0</v>
      </c>
      <c r="BS2862">
        <v>0</v>
      </c>
      <c r="BT2862">
        <v>0</v>
      </c>
      <c r="BU2862">
        <v>0</v>
      </c>
      <c r="BV2862">
        <v>0</v>
      </c>
      <c r="BW2862" t="s">
        <v>0</v>
      </c>
      <c r="BX2862">
        <v>0</v>
      </c>
      <c r="BY2862">
        <v>0</v>
      </c>
      <c r="BZ2862">
        <v>0</v>
      </c>
      <c r="CA2862">
        <v>0</v>
      </c>
      <c r="CB2862" t="s">
        <v>145</v>
      </c>
    </row>
    <row r="2863" spans="67:80" x14ac:dyDescent="0.25">
      <c r="BO2863">
        <v>0</v>
      </c>
      <c r="BP2863">
        <v>0</v>
      </c>
      <c r="BQ2863">
        <v>0</v>
      </c>
      <c r="BR2863">
        <v>0</v>
      </c>
      <c r="BS2863">
        <v>0</v>
      </c>
      <c r="BT2863">
        <v>0</v>
      </c>
      <c r="BU2863">
        <v>0</v>
      </c>
      <c r="BV2863">
        <v>0</v>
      </c>
      <c r="BW2863" t="s">
        <v>0</v>
      </c>
      <c r="BX2863">
        <v>0</v>
      </c>
      <c r="BY2863">
        <v>0</v>
      </c>
      <c r="BZ2863">
        <v>0</v>
      </c>
      <c r="CA2863">
        <v>0</v>
      </c>
      <c r="CB2863" t="s">
        <v>145</v>
      </c>
    </row>
    <row r="2864" spans="67:80" x14ac:dyDescent="0.25">
      <c r="BO2864">
        <v>0</v>
      </c>
      <c r="BP2864">
        <v>0</v>
      </c>
      <c r="BQ2864">
        <v>0</v>
      </c>
      <c r="BR2864">
        <v>0</v>
      </c>
      <c r="BS2864">
        <v>0</v>
      </c>
      <c r="BT2864">
        <v>0</v>
      </c>
      <c r="BU2864">
        <v>0</v>
      </c>
      <c r="BV2864">
        <v>0</v>
      </c>
      <c r="BW2864" t="s">
        <v>0</v>
      </c>
      <c r="BX2864">
        <v>0</v>
      </c>
      <c r="BY2864">
        <v>0</v>
      </c>
      <c r="BZ2864">
        <v>0</v>
      </c>
      <c r="CA2864">
        <v>0</v>
      </c>
      <c r="CB2864" t="s">
        <v>145</v>
      </c>
    </row>
    <row r="2865" spans="67:80" x14ac:dyDescent="0.25">
      <c r="BO2865">
        <v>0</v>
      </c>
      <c r="BP2865">
        <v>0</v>
      </c>
      <c r="BQ2865">
        <v>0</v>
      </c>
      <c r="BR2865">
        <v>0</v>
      </c>
      <c r="BS2865">
        <v>0</v>
      </c>
      <c r="BT2865">
        <v>0</v>
      </c>
      <c r="BU2865">
        <v>0</v>
      </c>
      <c r="BV2865">
        <v>0</v>
      </c>
      <c r="BW2865" t="s">
        <v>0</v>
      </c>
      <c r="BX2865">
        <v>0</v>
      </c>
      <c r="BY2865">
        <v>0</v>
      </c>
      <c r="BZ2865">
        <v>0</v>
      </c>
      <c r="CA2865">
        <v>0</v>
      </c>
      <c r="CB2865" t="s">
        <v>145</v>
      </c>
    </row>
    <row r="2866" spans="67:80" x14ac:dyDescent="0.25">
      <c r="BO2866">
        <v>0</v>
      </c>
      <c r="BP2866">
        <v>0</v>
      </c>
      <c r="BQ2866">
        <v>0</v>
      </c>
      <c r="BR2866">
        <v>0</v>
      </c>
      <c r="BS2866">
        <v>0</v>
      </c>
      <c r="BT2866">
        <v>0</v>
      </c>
      <c r="BU2866">
        <v>0</v>
      </c>
      <c r="BV2866">
        <v>0</v>
      </c>
      <c r="BW2866" t="s">
        <v>0</v>
      </c>
      <c r="BX2866">
        <v>0</v>
      </c>
      <c r="BY2866">
        <v>0</v>
      </c>
      <c r="BZ2866">
        <v>0</v>
      </c>
      <c r="CA2866">
        <v>0</v>
      </c>
      <c r="CB2866" t="s">
        <v>145</v>
      </c>
    </row>
    <row r="2867" spans="67:80" x14ac:dyDescent="0.25">
      <c r="BO2867">
        <v>0</v>
      </c>
      <c r="BP2867">
        <v>0</v>
      </c>
      <c r="BQ2867">
        <v>0</v>
      </c>
      <c r="BR2867">
        <v>0</v>
      </c>
      <c r="BS2867">
        <v>0</v>
      </c>
      <c r="BT2867">
        <v>0</v>
      </c>
      <c r="BU2867">
        <v>0</v>
      </c>
      <c r="BV2867">
        <v>0</v>
      </c>
      <c r="BW2867" t="s">
        <v>0</v>
      </c>
      <c r="BX2867">
        <v>0</v>
      </c>
      <c r="BY2867">
        <v>0</v>
      </c>
      <c r="BZ2867">
        <v>0</v>
      </c>
      <c r="CA2867">
        <v>0</v>
      </c>
      <c r="CB2867" t="s">
        <v>145</v>
      </c>
    </row>
    <row r="2868" spans="67:80" x14ac:dyDescent="0.25">
      <c r="BO2868">
        <v>0</v>
      </c>
      <c r="BP2868">
        <v>0</v>
      </c>
      <c r="BQ2868">
        <v>0</v>
      </c>
      <c r="BR2868">
        <v>0</v>
      </c>
      <c r="BS2868">
        <v>0</v>
      </c>
      <c r="BT2868">
        <v>0</v>
      </c>
      <c r="BU2868">
        <v>0</v>
      </c>
      <c r="BV2868">
        <v>0</v>
      </c>
      <c r="BW2868" t="s">
        <v>0</v>
      </c>
      <c r="BX2868">
        <v>0</v>
      </c>
      <c r="BY2868">
        <v>0</v>
      </c>
      <c r="BZ2868">
        <v>0</v>
      </c>
      <c r="CA2868">
        <v>0</v>
      </c>
      <c r="CB2868" t="s">
        <v>145</v>
      </c>
    </row>
    <row r="2869" spans="67:80" x14ac:dyDescent="0.25">
      <c r="BO2869">
        <v>0</v>
      </c>
      <c r="BP2869">
        <v>0</v>
      </c>
      <c r="BQ2869">
        <v>0</v>
      </c>
      <c r="BR2869">
        <v>0</v>
      </c>
      <c r="BS2869">
        <v>0</v>
      </c>
      <c r="BT2869">
        <v>0</v>
      </c>
      <c r="BU2869">
        <v>0</v>
      </c>
      <c r="BV2869">
        <v>0</v>
      </c>
      <c r="BW2869" t="s">
        <v>0</v>
      </c>
      <c r="BX2869">
        <v>0</v>
      </c>
      <c r="BY2869">
        <v>0</v>
      </c>
      <c r="BZ2869">
        <v>0</v>
      </c>
      <c r="CA2869">
        <v>0</v>
      </c>
      <c r="CB2869" t="s">
        <v>145</v>
      </c>
    </row>
    <row r="2870" spans="67:80" x14ac:dyDescent="0.25">
      <c r="BO2870">
        <v>0</v>
      </c>
      <c r="BP2870">
        <v>0</v>
      </c>
      <c r="BQ2870">
        <v>0</v>
      </c>
      <c r="BR2870">
        <v>0</v>
      </c>
      <c r="BS2870">
        <v>0</v>
      </c>
      <c r="BT2870">
        <v>0</v>
      </c>
      <c r="BU2870">
        <v>0</v>
      </c>
      <c r="BV2870">
        <v>0</v>
      </c>
      <c r="BW2870" t="s">
        <v>0</v>
      </c>
      <c r="BX2870">
        <v>0</v>
      </c>
      <c r="BY2870">
        <v>0</v>
      </c>
      <c r="BZ2870">
        <v>0</v>
      </c>
      <c r="CA2870">
        <v>0</v>
      </c>
      <c r="CB2870" t="s">
        <v>145</v>
      </c>
    </row>
    <row r="2871" spans="67:80" x14ac:dyDescent="0.25">
      <c r="BO2871">
        <v>0</v>
      </c>
      <c r="BP2871">
        <v>0</v>
      </c>
      <c r="BQ2871">
        <v>0</v>
      </c>
      <c r="BR2871">
        <v>0</v>
      </c>
      <c r="BS2871">
        <v>0</v>
      </c>
      <c r="BT2871">
        <v>0</v>
      </c>
      <c r="BU2871">
        <v>0</v>
      </c>
      <c r="BV2871">
        <v>0</v>
      </c>
      <c r="BW2871" t="s">
        <v>0</v>
      </c>
      <c r="BX2871">
        <v>0</v>
      </c>
      <c r="BY2871">
        <v>0</v>
      </c>
      <c r="BZ2871">
        <v>0</v>
      </c>
      <c r="CA2871">
        <v>0</v>
      </c>
      <c r="CB2871" t="s">
        <v>145</v>
      </c>
    </row>
    <row r="2872" spans="67:80" x14ac:dyDescent="0.25">
      <c r="BO2872">
        <v>0</v>
      </c>
      <c r="BP2872">
        <v>0</v>
      </c>
      <c r="BQ2872">
        <v>0</v>
      </c>
      <c r="BR2872">
        <v>0</v>
      </c>
      <c r="BS2872">
        <v>0</v>
      </c>
      <c r="BT2872">
        <v>0</v>
      </c>
      <c r="BU2872">
        <v>0</v>
      </c>
      <c r="BV2872">
        <v>0</v>
      </c>
      <c r="BW2872" t="s">
        <v>0</v>
      </c>
      <c r="BX2872">
        <v>0</v>
      </c>
      <c r="BY2872">
        <v>0</v>
      </c>
      <c r="BZ2872">
        <v>0</v>
      </c>
      <c r="CA2872">
        <v>0</v>
      </c>
      <c r="CB2872" t="s">
        <v>145</v>
      </c>
    </row>
    <row r="2873" spans="67:80" x14ac:dyDescent="0.25">
      <c r="BO2873">
        <v>0</v>
      </c>
      <c r="BP2873">
        <v>0</v>
      </c>
      <c r="BQ2873">
        <v>0</v>
      </c>
      <c r="BR2873">
        <v>0</v>
      </c>
      <c r="BS2873">
        <v>0</v>
      </c>
      <c r="BT2873">
        <v>0</v>
      </c>
      <c r="BU2873">
        <v>0</v>
      </c>
      <c r="BV2873">
        <v>0</v>
      </c>
      <c r="BW2873" t="s">
        <v>0</v>
      </c>
      <c r="BX2873">
        <v>0</v>
      </c>
      <c r="BY2873">
        <v>0</v>
      </c>
      <c r="BZ2873">
        <v>0</v>
      </c>
      <c r="CA2873">
        <v>0</v>
      </c>
      <c r="CB2873" t="s">
        <v>145</v>
      </c>
    </row>
    <row r="2874" spans="67:80" x14ac:dyDescent="0.25">
      <c r="BO2874">
        <v>0</v>
      </c>
      <c r="BP2874">
        <v>0</v>
      </c>
      <c r="BQ2874">
        <v>0</v>
      </c>
      <c r="BR2874">
        <v>0</v>
      </c>
      <c r="BS2874">
        <v>0</v>
      </c>
      <c r="BT2874">
        <v>0</v>
      </c>
      <c r="BU2874">
        <v>0</v>
      </c>
      <c r="BV2874">
        <v>0</v>
      </c>
      <c r="BW2874" t="s">
        <v>0</v>
      </c>
      <c r="BX2874">
        <v>0</v>
      </c>
      <c r="BY2874">
        <v>0</v>
      </c>
      <c r="BZ2874">
        <v>0</v>
      </c>
      <c r="CA2874">
        <v>0</v>
      </c>
      <c r="CB2874" t="s">
        <v>145</v>
      </c>
    </row>
    <row r="2875" spans="67:80" x14ac:dyDescent="0.25">
      <c r="BO2875">
        <v>0</v>
      </c>
      <c r="BP2875">
        <v>0</v>
      </c>
      <c r="BQ2875">
        <v>0</v>
      </c>
      <c r="BR2875">
        <v>0</v>
      </c>
      <c r="BS2875">
        <v>0</v>
      </c>
      <c r="BT2875">
        <v>0</v>
      </c>
      <c r="BU2875">
        <v>0</v>
      </c>
      <c r="BV2875">
        <v>0</v>
      </c>
      <c r="BW2875" t="s">
        <v>0</v>
      </c>
      <c r="BX2875">
        <v>0</v>
      </c>
      <c r="BY2875">
        <v>0</v>
      </c>
      <c r="BZ2875">
        <v>0</v>
      </c>
      <c r="CA2875">
        <v>0</v>
      </c>
      <c r="CB2875" t="s">
        <v>145</v>
      </c>
    </row>
    <row r="2876" spans="67:80" x14ac:dyDescent="0.25">
      <c r="BO2876">
        <v>0</v>
      </c>
      <c r="BP2876">
        <v>0</v>
      </c>
      <c r="BQ2876">
        <v>0</v>
      </c>
      <c r="BR2876">
        <v>0</v>
      </c>
      <c r="BS2876">
        <v>0</v>
      </c>
      <c r="BT2876">
        <v>0</v>
      </c>
      <c r="BU2876">
        <v>0</v>
      </c>
      <c r="BV2876">
        <v>0</v>
      </c>
      <c r="BW2876" t="s">
        <v>0</v>
      </c>
      <c r="BX2876">
        <v>0</v>
      </c>
      <c r="BY2876">
        <v>0</v>
      </c>
      <c r="BZ2876">
        <v>0</v>
      </c>
      <c r="CA2876">
        <v>0</v>
      </c>
      <c r="CB2876" t="s">
        <v>145</v>
      </c>
    </row>
    <row r="2877" spans="67:80" x14ac:dyDescent="0.25">
      <c r="BO2877">
        <v>0</v>
      </c>
      <c r="BP2877">
        <v>0</v>
      </c>
      <c r="BQ2877">
        <v>0</v>
      </c>
      <c r="BR2877">
        <v>0</v>
      </c>
      <c r="BS2877">
        <v>0</v>
      </c>
      <c r="BT2877">
        <v>0</v>
      </c>
      <c r="BU2877">
        <v>0</v>
      </c>
      <c r="BV2877">
        <v>0</v>
      </c>
      <c r="BW2877" t="s">
        <v>0</v>
      </c>
      <c r="BX2877">
        <v>0</v>
      </c>
      <c r="BY2877">
        <v>0</v>
      </c>
      <c r="BZ2877">
        <v>0</v>
      </c>
      <c r="CA2877">
        <v>0</v>
      </c>
      <c r="CB2877" t="s">
        <v>145</v>
      </c>
    </row>
    <row r="2878" spans="67:80" x14ac:dyDescent="0.25">
      <c r="BO2878">
        <v>0</v>
      </c>
      <c r="BP2878">
        <v>0</v>
      </c>
      <c r="BQ2878">
        <v>0</v>
      </c>
      <c r="BR2878">
        <v>0</v>
      </c>
      <c r="BS2878">
        <v>0</v>
      </c>
      <c r="BT2878">
        <v>0</v>
      </c>
      <c r="BU2878">
        <v>0</v>
      </c>
      <c r="BV2878">
        <v>0</v>
      </c>
      <c r="BW2878" t="s">
        <v>0</v>
      </c>
      <c r="BX2878">
        <v>0</v>
      </c>
      <c r="BY2878">
        <v>0</v>
      </c>
      <c r="BZ2878">
        <v>0</v>
      </c>
      <c r="CA2878">
        <v>0</v>
      </c>
      <c r="CB2878" t="s">
        <v>145</v>
      </c>
    </row>
    <row r="2879" spans="67:80" x14ac:dyDescent="0.25">
      <c r="BO2879">
        <v>0</v>
      </c>
      <c r="BP2879">
        <v>0</v>
      </c>
      <c r="BQ2879">
        <v>0</v>
      </c>
      <c r="BR2879">
        <v>0</v>
      </c>
      <c r="BS2879">
        <v>0</v>
      </c>
      <c r="BT2879">
        <v>0</v>
      </c>
      <c r="BU2879">
        <v>0</v>
      </c>
      <c r="BV2879">
        <v>0</v>
      </c>
      <c r="BW2879" t="s">
        <v>0</v>
      </c>
      <c r="BX2879">
        <v>0</v>
      </c>
      <c r="BY2879">
        <v>0</v>
      </c>
      <c r="BZ2879">
        <v>0</v>
      </c>
      <c r="CA2879">
        <v>0</v>
      </c>
      <c r="CB2879" t="s">
        <v>145</v>
      </c>
    </row>
    <row r="2880" spans="67:80" x14ac:dyDescent="0.25">
      <c r="BO2880">
        <v>0</v>
      </c>
      <c r="BP2880">
        <v>0</v>
      </c>
      <c r="BQ2880">
        <v>0</v>
      </c>
      <c r="BR2880">
        <v>0</v>
      </c>
      <c r="BS2880">
        <v>0</v>
      </c>
      <c r="BT2880">
        <v>0</v>
      </c>
      <c r="BU2880">
        <v>0</v>
      </c>
      <c r="BV2880">
        <v>0</v>
      </c>
      <c r="BW2880" t="s">
        <v>0</v>
      </c>
      <c r="BX2880">
        <v>0</v>
      </c>
      <c r="BY2880">
        <v>0</v>
      </c>
      <c r="BZ2880">
        <v>0</v>
      </c>
      <c r="CA2880">
        <v>0</v>
      </c>
      <c r="CB2880" t="s">
        <v>145</v>
      </c>
    </row>
    <row r="2881" spans="67:80" x14ac:dyDescent="0.25">
      <c r="BO2881">
        <v>0</v>
      </c>
      <c r="BP2881">
        <v>0</v>
      </c>
      <c r="BQ2881">
        <v>0</v>
      </c>
      <c r="BR2881">
        <v>0</v>
      </c>
      <c r="BS2881">
        <v>0</v>
      </c>
      <c r="BT2881">
        <v>0</v>
      </c>
      <c r="BU2881">
        <v>0</v>
      </c>
      <c r="BV2881">
        <v>0</v>
      </c>
      <c r="BW2881" t="s">
        <v>0</v>
      </c>
      <c r="BX2881">
        <v>0</v>
      </c>
      <c r="BY2881">
        <v>0</v>
      </c>
      <c r="BZ2881">
        <v>0</v>
      </c>
      <c r="CA2881">
        <v>0</v>
      </c>
      <c r="CB2881" t="s">
        <v>145</v>
      </c>
    </row>
    <row r="2882" spans="67:80" x14ac:dyDescent="0.25">
      <c r="BO2882">
        <v>0</v>
      </c>
      <c r="BP2882">
        <v>0</v>
      </c>
      <c r="BQ2882">
        <v>0</v>
      </c>
      <c r="BR2882">
        <v>0</v>
      </c>
      <c r="BS2882">
        <v>0</v>
      </c>
      <c r="BT2882">
        <v>0</v>
      </c>
      <c r="BU2882">
        <v>0</v>
      </c>
      <c r="BV2882">
        <v>0</v>
      </c>
      <c r="BW2882" t="s">
        <v>0</v>
      </c>
      <c r="BX2882">
        <v>0</v>
      </c>
      <c r="BY2882">
        <v>0</v>
      </c>
      <c r="BZ2882">
        <v>0</v>
      </c>
      <c r="CA2882">
        <v>0</v>
      </c>
      <c r="CB2882" t="s">
        <v>145</v>
      </c>
    </row>
    <row r="2883" spans="67:80" x14ac:dyDescent="0.25">
      <c r="BO2883">
        <v>0</v>
      </c>
      <c r="BP2883">
        <v>0</v>
      </c>
      <c r="BQ2883">
        <v>0</v>
      </c>
      <c r="BR2883">
        <v>0</v>
      </c>
      <c r="BS2883">
        <v>0</v>
      </c>
      <c r="BT2883">
        <v>0</v>
      </c>
      <c r="BU2883">
        <v>0</v>
      </c>
      <c r="BV2883">
        <v>0</v>
      </c>
      <c r="BW2883" t="s">
        <v>0</v>
      </c>
      <c r="BX2883">
        <v>0</v>
      </c>
      <c r="BY2883">
        <v>0</v>
      </c>
      <c r="BZ2883">
        <v>0</v>
      </c>
      <c r="CA2883">
        <v>0</v>
      </c>
      <c r="CB2883" t="s">
        <v>145</v>
      </c>
    </row>
    <row r="2884" spans="67:80" x14ac:dyDescent="0.25">
      <c r="BO2884">
        <v>0</v>
      </c>
      <c r="BP2884">
        <v>0</v>
      </c>
      <c r="BQ2884">
        <v>0</v>
      </c>
      <c r="BR2884">
        <v>0</v>
      </c>
      <c r="BS2884">
        <v>0</v>
      </c>
      <c r="BT2884">
        <v>0</v>
      </c>
      <c r="BU2884">
        <v>0</v>
      </c>
      <c r="BV2884">
        <v>0</v>
      </c>
      <c r="BW2884" t="s">
        <v>0</v>
      </c>
      <c r="BX2884">
        <v>0</v>
      </c>
      <c r="BY2884">
        <v>0</v>
      </c>
      <c r="BZ2884">
        <v>0</v>
      </c>
      <c r="CA2884">
        <v>0</v>
      </c>
      <c r="CB2884" t="s">
        <v>145</v>
      </c>
    </row>
    <row r="2885" spans="67:80" x14ac:dyDescent="0.25">
      <c r="BO2885">
        <v>0</v>
      </c>
      <c r="BP2885">
        <v>0</v>
      </c>
      <c r="BQ2885">
        <v>0</v>
      </c>
      <c r="BR2885">
        <v>0</v>
      </c>
      <c r="BS2885">
        <v>0</v>
      </c>
      <c r="BT2885">
        <v>0</v>
      </c>
      <c r="BU2885">
        <v>0</v>
      </c>
      <c r="BV2885">
        <v>0</v>
      </c>
      <c r="BW2885" t="s">
        <v>0</v>
      </c>
      <c r="BX2885">
        <v>0</v>
      </c>
      <c r="BY2885">
        <v>0</v>
      </c>
      <c r="BZ2885">
        <v>0</v>
      </c>
      <c r="CA2885">
        <v>0</v>
      </c>
      <c r="CB2885" t="s">
        <v>145</v>
      </c>
    </row>
    <row r="2886" spans="67:80" x14ac:dyDescent="0.25">
      <c r="BO2886">
        <v>0</v>
      </c>
      <c r="BP2886">
        <v>0</v>
      </c>
      <c r="BQ2886">
        <v>0</v>
      </c>
      <c r="BR2886">
        <v>0</v>
      </c>
      <c r="BS2886">
        <v>0</v>
      </c>
      <c r="BT2886">
        <v>0</v>
      </c>
      <c r="BU2886">
        <v>0</v>
      </c>
      <c r="BV2886">
        <v>0</v>
      </c>
      <c r="BW2886" t="s">
        <v>0</v>
      </c>
      <c r="BX2886">
        <v>0</v>
      </c>
      <c r="BY2886">
        <v>0</v>
      </c>
      <c r="BZ2886">
        <v>0</v>
      </c>
      <c r="CA2886">
        <v>0</v>
      </c>
      <c r="CB2886" t="s">
        <v>145</v>
      </c>
    </row>
    <row r="2887" spans="67:80" x14ac:dyDescent="0.25">
      <c r="BO2887">
        <v>0</v>
      </c>
      <c r="BP2887">
        <v>0</v>
      </c>
      <c r="BQ2887">
        <v>0</v>
      </c>
      <c r="BR2887">
        <v>0</v>
      </c>
      <c r="BS2887">
        <v>0</v>
      </c>
      <c r="BT2887">
        <v>0</v>
      </c>
      <c r="BU2887">
        <v>0</v>
      </c>
      <c r="BV2887">
        <v>0</v>
      </c>
      <c r="BW2887" t="s">
        <v>0</v>
      </c>
      <c r="BX2887">
        <v>0</v>
      </c>
      <c r="BY2887">
        <v>0</v>
      </c>
      <c r="BZ2887">
        <v>0</v>
      </c>
      <c r="CA2887">
        <v>0</v>
      </c>
      <c r="CB2887" t="s">
        <v>145</v>
      </c>
    </row>
    <row r="2888" spans="67:80" x14ac:dyDescent="0.25">
      <c r="BO2888">
        <v>0</v>
      </c>
      <c r="BP2888">
        <v>0</v>
      </c>
      <c r="BQ2888">
        <v>0</v>
      </c>
      <c r="BR2888">
        <v>0</v>
      </c>
      <c r="BS2888">
        <v>0</v>
      </c>
      <c r="BT2888">
        <v>0</v>
      </c>
      <c r="BU2888">
        <v>0</v>
      </c>
      <c r="BV2888">
        <v>0</v>
      </c>
      <c r="BW2888" t="s">
        <v>0</v>
      </c>
      <c r="BX2888">
        <v>0</v>
      </c>
      <c r="BY2888">
        <v>0</v>
      </c>
      <c r="BZ2888">
        <v>0</v>
      </c>
      <c r="CA2888">
        <v>0</v>
      </c>
      <c r="CB2888" t="s">
        <v>145</v>
      </c>
    </row>
    <row r="2889" spans="67:80" x14ac:dyDescent="0.25">
      <c r="BO2889">
        <v>0</v>
      </c>
      <c r="BP2889">
        <v>0</v>
      </c>
      <c r="BQ2889">
        <v>0</v>
      </c>
      <c r="BR2889">
        <v>0</v>
      </c>
      <c r="BS2889">
        <v>0</v>
      </c>
      <c r="BT2889">
        <v>0</v>
      </c>
      <c r="BU2889">
        <v>0</v>
      </c>
      <c r="BV2889">
        <v>0</v>
      </c>
      <c r="BW2889" t="s">
        <v>0</v>
      </c>
      <c r="BX2889">
        <v>0</v>
      </c>
      <c r="BY2889">
        <v>0</v>
      </c>
      <c r="BZ2889">
        <v>0</v>
      </c>
      <c r="CA2889">
        <v>0</v>
      </c>
      <c r="CB2889" t="s">
        <v>145</v>
      </c>
    </row>
    <row r="2890" spans="67:80" x14ac:dyDescent="0.25">
      <c r="BO2890">
        <v>0</v>
      </c>
      <c r="BP2890">
        <v>0</v>
      </c>
      <c r="BQ2890">
        <v>0</v>
      </c>
      <c r="BR2890">
        <v>0</v>
      </c>
      <c r="BS2890">
        <v>0</v>
      </c>
      <c r="BT2890">
        <v>0</v>
      </c>
      <c r="BU2890">
        <v>0</v>
      </c>
      <c r="BV2890">
        <v>0</v>
      </c>
      <c r="BW2890" t="s">
        <v>0</v>
      </c>
      <c r="BX2890">
        <v>0</v>
      </c>
      <c r="BY2890">
        <v>0</v>
      </c>
      <c r="BZ2890">
        <v>0</v>
      </c>
      <c r="CA2890">
        <v>0</v>
      </c>
      <c r="CB2890" t="s">
        <v>145</v>
      </c>
    </row>
    <row r="2891" spans="67:80" x14ac:dyDescent="0.25">
      <c r="BO2891">
        <v>0</v>
      </c>
      <c r="BP2891">
        <v>0</v>
      </c>
      <c r="BQ2891">
        <v>0</v>
      </c>
      <c r="BR2891">
        <v>0</v>
      </c>
      <c r="BS2891">
        <v>0</v>
      </c>
      <c r="BT2891">
        <v>0</v>
      </c>
      <c r="BU2891">
        <v>0</v>
      </c>
      <c r="BV2891">
        <v>0</v>
      </c>
      <c r="BW2891" t="s">
        <v>0</v>
      </c>
      <c r="BX2891">
        <v>0</v>
      </c>
      <c r="BY2891">
        <v>0</v>
      </c>
      <c r="BZ2891">
        <v>0</v>
      </c>
      <c r="CA2891">
        <v>0</v>
      </c>
      <c r="CB2891" t="s">
        <v>145</v>
      </c>
    </row>
    <row r="2892" spans="67:80" x14ac:dyDescent="0.25">
      <c r="BO2892">
        <v>0</v>
      </c>
      <c r="BP2892">
        <v>0</v>
      </c>
      <c r="BQ2892">
        <v>0</v>
      </c>
      <c r="BR2892">
        <v>0</v>
      </c>
      <c r="BS2892">
        <v>0</v>
      </c>
      <c r="BT2892">
        <v>0</v>
      </c>
      <c r="BU2892">
        <v>0</v>
      </c>
      <c r="BV2892">
        <v>0</v>
      </c>
      <c r="BW2892" t="s">
        <v>0</v>
      </c>
      <c r="BX2892">
        <v>0</v>
      </c>
      <c r="BY2892">
        <v>0</v>
      </c>
      <c r="BZ2892">
        <v>0</v>
      </c>
      <c r="CA2892">
        <v>0</v>
      </c>
      <c r="CB2892" t="s">
        <v>145</v>
      </c>
    </row>
    <row r="2893" spans="67:80" x14ac:dyDescent="0.25">
      <c r="BO2893">
        <v>0</v>
      </c>
      <c r="BP2893">
        <v>0</v>
      </c>
      <c r="BQ2893">
        <v>0</v>
      </c>
      <c r="BR2893">
        <v>0</v>
      </c>
      <c r="BS2893">
        <v>0</v>
      </c>
      <c r="BT2893">
        <v>0</v>
      </c>
      <c r="BU2893">
        <v>0</v>
      </c>
      <c r="BV2893">
        <v>0</v>
      </c>
      <c r="BW2893" t="s">
        <v>0</v>
      </c>
      <c r="BX2893">
        <v>0</v>
      </c>
      <c r="BY2893">
        <v>0</v>
      </c>
      <c r="BZ2893">
        <v>0</v>
      </c>
      <c r="CA2893">
        <v>0</v>
      </c>
      <c r="CB2893" t="s">
        <v>145</v>
      </c>
    </row>
    <row r="2894" spans="67:80" x14ac:dyDescent="0.25">
      <c r="BO2894">
        <v>0</v>
      </c>
      <c r="BP2894">
        <v>0</v>
      </c>
      <c r="BQ2894">
        <v>0</v>
      </c>
      <c r="BR2894">
        <v>0</v>
      </c>
      <c r="BS2894">
        <v>0</v>
      </c>
      <c r="BT2894">
        <v>0</v>
      </c>
      <c r="BU2894">
        <v>0</v>
      </c>
      <c r="BV2894">
        <v>0</v>
      </c>
      <c r="BW2894" t="s">
        <v>0</v>
      </c>
      <c r="BX2894">
        <v>0</v>
      </c>
      <c r="BY2894">
        <v>0</v>
      </c>
      <c r="BZ2894">
        <v>0</v>
      </c>
      <c r="CA2894">
        <v>0</v>
      </c>
      <c r="CB2894" t="s">
        <v>145</v>
      </c>
    </row>
    <row r="2895" spans="67:80" x14ac:dyDescent="0.25">
      <c r="BO2895">
        <v>0</v>
      </c>
      <c r="BP2895">
        <v>0</v>
      </c>
      <c r="BQ2895">
        <v>0</v>
      </c>
      <c r="BR2895">
        <v>0</v>
      </c>
      <c r="BS2895">
        <v>0</v>
      </c>
      <c r="BT2895">
        <v>0</v>
      </c>
      <c r="BU2895">
        <v>0</v>
      </c>
      <c r="BV2895">
        <v>0</v>
      </c>
      <c r="BW2895" t="s">
        <v>0</v>
      </c>
      <c r="BX2895">
        <v>0</v>
      </c>
      <c r="BY2895">
        <v>0</v>
      </c>
      <c r="BZ2895">
        <v>0</v>
      </c>
      <c r="CA2895">
        <v>0</v>
      </c>
      <c r="CB2895" t="s">
        <v>145</v>
      </c>
    </row>
    <row r="2896" spans="67:80" x14ac:dyDescent="0.25">
      <c r="BO2896">
        <v>0</v>
      </c>
      <c r="BP2896">
        <v>0</v>
      </c>
      <c r="BQ2896">
        <v>0</v>
      </c>
      <c r="BR2896">
        <v>0</v>
      </c>
      <c r="BS2896">
        <v>0</v>
      </c>
      <c r="BT2896">
        <v>0</v>
      </c>
      <c r="BU2896">
        <v>0</v>
      </c>
      <c r="BV2896">
        <v>0</v>
      </c>
      <c r="BW2896" t="s">
        <v>0</v>
      </c>
      <c r="BX2896">
        <v>0</v>
      </c>
      <c r="BY2896">
        <v>0</v>
      </c>
      <c r="BZ2896">
        <v>0</v>
      </c>
      <c r="CA2896">
        <v>0</v>
      </c>
      <c r="CB2896" t="s">
        <v>145</v>
      </c>
    </row>
    <row r="2897" spans="67:80" x14ac:dyDescent="0.25">
      <c r="BO2897">
        <v>0</v>
      </c>
      <c r="BP2897">
        <v>0</v>
      </c>
      <c r="BQ2897">
        <v>0</v>
      </c>
      <c r="BR2897">
        <v>0</v>
      </c>
      <c r="BS2897">
        <v>0</v>
      </c>
      <c r="BT2897">
        <v>0</v>
      </c>
      <c r="BU2897">
        <v>0</v>
      </c>
      <c r="BV2897">
        <v>0</v>
      </c>
      <c r="BW2897" t="s">
        <v>0</v>
      </c>
      <c r="BX2897">
        <v>0</v>
      </c>
      <c r="BY2897">
        <v>0</v>
      </c>
      <c r="BZ2897">
        <v>0</v>
      </c>
      <c r="CA2897">
        <v>0</v>
      </c>
      <c r="CB2897" t="s">
        <v>145</v>
      </c>
    </row>
    <row r="2898" spans="67:80" x14ac:dyDescent="0.25">
      <c r="BO2898">
        <v>0</v>
      </c>
      <c r="BP2898">
        <v>0</v>
      </c>
      <c r="BQ2898">
        <v>0</v>
      </c>
      <c r="BR2898">
        <v>0</v>
      </c>
      <c r="BS2898">
        <v>0</v>
      </c>
      <c r="BT2898">
        <v>0</v>
      </c>
      <c r="BU2898">
        <v>0</v>
      </c>
      <c r="BV2898">
        <v>0</v>
      </c>
      <c r="BW2898" t="s">
        <v>0</v>
      </c>
      <c r="BX2898">
        <v>0</v>
      </c>
      <c r="BY2898">
        <v>0</v>
      </c>
      <c r="BZ2898">
        <v>0</v>
      </c>
      <c r="CA2898">
        <v>0</v>
      </c>
      <c r="CB2898" t="s">
        <v>145</v>
      </c>
    </row>
    <row r="2899" spans="67:80" x14ac:dyDescent="0.25">
      <c r="BO2899">
        <v>0</v>
      </c>
      <c r="BP2899">
        <v>0</v>
      </c>
      <c r="BQ2899">
        <v>0</v>
      </c>
      <c r="BR2899">
        <v>0</v>
      </c>
      <c r="BS2899">
        <v>0</v>
      </c>
      <c r="BT2899">
        <v>0</v>
      </c>
      <c r="BU2899">
        <v>0</v>
      </c>
      <c r="BV2899">
        <v>0</v>
      </c>
      <c r="BW2899" t="s">
        <v>0</v>
      </c>
      <c r="BX2899">
        <v>0</v>
      </c>
      <c r="BY2899">
        <v>0</v>
      </c>
      <c r="BZ2899">
        <v>0</v>
      </c>
      <c r="CA2899">
        <v>0</v>
      </c>
      <c r="CB2899" t="s">
        <v>145</v>
      </c>
    </row>
    <row r="2900" spans="67:80" x14ac:dyDescent="0.25">
      <c r="BO2900">
        <v>0</v>
      </c>
      <c r="BP2900">
        <v>0</v>
      </c>
      <c r="BQ2900">
        <v>0</v>
      </c>
      <c r="BR2900">
        <v>0</v>
      </c>
      <c r="BS2900">
        <v>0</v>
      </c>
      <c r="BT2900">
        <v>0</v>
      </c>
      <c r="BU2900">
        <v>0</v>
      </c>
      <c r="BV2900">
        <v>0</v>
      </c>
      <c r="BW2900" t="s">
        <v>0</v>
      </c>
      <c r="BX2900">
        <v>0</v>
      </c>
      <c r="BY2900">
        <v>0</v>
      </c>
      <c r="BZ2900">
        <v>0</v>
      </c>
      <c r="CA2900">
        <v>0</v>
      </c>
      <c r="CB2900" t="s">
        <v>145</v>
      </c>
    </row>
    <row r="2901" spans="67:80" x14ac:dyDescent="0.25">
      <c r="BO2901">
        <v>0</v>
      </c>
      <c r="BP2901">
        <v>0</v>
      </c>
      <c r="BQ2901">
        <v>0</v>
      </c>
      <c r="BR2901">
        <v>0</v>
      </c>
      <c r="BS2901">
        <v>0</v>
      </c>
      <c r="BT2901">
        <v>0</v>
      </c>
      <c r="BU2901">
        <v>0</v>
      </c>
      <c r="BV2901">
        <v>0</v>
      </c>
      <c r="BW2901" t="s">
        <v>0</v>
      </c>
      <c r="BX2901">
        <v>0</v>
      </c>
      <c r="BY2901">
        <v>0</v>
      </c>
      <c r="BZ2901">
        <v>0</v>
      </c>
      <c r="CA2901">
        <v>0</v>
      </c>
      <c r="CB2901" t="s">
        <v>145</v>
      </c>
    </row>
    <row r="2902" spans="67:80" x14ac:dyDescent="0.25">
      <c r="BO2902">
        <v>0</v>
      </c>
      <c r="BP2902">
        <v>0</v>
      </c>
      <c r="BQ2902">
        <v>0</v>
      </c>
      <c r="BR2902">
        <v>0</v>
      </c>
      <c r="BS2902">
        <v>0</v>
      </c>
      <c r="BT2902">
        <v>0</v>
      </c>
      <c r="BU2902">
        <v>0</v>
      </c>
      <c r="BV2902">
        <v>0</v>
      </c>
      <c r="BW2902" t="s">
        <v>0</v>
      </c>
      <c r="BX2902">
        <v>0</v>
      </c>
      <c r="BY2902">
        <v>0</v>
      </c>
      <c r="BZ2902">
        <v>0</v>
      </c>
      <c r="CA2902">
        <v>0</v>
      </c>
      <c r="CB2902" t="s">
        <v>145</v>
      </c>
    </row>
    <row r="2903" spans="67:80" x14ac:dyDescent="0.25">
      <c r="BO2903">
        <v>0</v>
      </c>
      <c r="BP2903">
        <v>0</v>
      </c>
      <c r="BQ2903">
        <v>0</v>
      </c>
      <c r="BR2903">
        <v>0</v>
      </c>
      <c r="BS2903">
        <v>0</v>
      </c>
      <c r="BT2903">
        <v>0</v>
      </c>
      <c r="BU2903">
        <v>0</v>
      </c>
      <c r="BV2903">
        <v>0</v>
      </c>
      <c r="BW2903" t="s">
        <v>0</v>
      </c>
      <c r="BX2903">
        <v>0</v>
      </c>
      <c r="BY2903">
        <v>0</v>
      </c>
      <c r="BZ2903">
        <v>0</v>
      </c>
      <c r="CA2903">
        <v>0</v>
      </c>
      <c r="CB2903" t="s">
        <v>145</v>
      </c>
    </row>
    <row r="2904" spans="67:80" x14ac:dyDescent="0.25">
      <c r="BO2904">
        <v>0</v>
      </c>
      <c r="BP2904">
        <v>0</v>
      </c>
      <c r="BQ2904">
        <v>0</v>
      </c>
      <c r="BR2904">
        <v>0</v>
      </c>
      <c r="BS2904">
        <v>0</v>
      </c>
      <c r="BT2904">
        <v>0</v>
      </c>
      <c r="BU2904">
        <v>0</v>
      </c>
      <c r="BV2904">
        <v>0</v>
      </c>
      <c r="BW2904" t="s">
        <v>0</v>
      </c>
      <c r="BX2904">
        <v>0</v>
      </c>
      <c r="BY2904">
        <v>0</v>
      </c>
      <c r="BZ2904">
        <v>0</v>
      </c>
      <c r="CA2904">
        <v>0</v>
      </c>
      <c r="CB2904" t="s">
        <v>145</v>
      </c>
    </row>
    <row r="2905" spans="67:80" x14ac:dyDescent="0.25">
      <c r="BO2905">
        <v>0</v>
      </c>
      <c r="BP2905">
        <v>0</v>
      </c>
      <c r="BQ2905">
        <v>0</v>
      </c>
      <c r="BR2905">
        <v>0</v>
      </c>
      <c r="BS2905">
        <v>0</v>
      </c>
      <c r="BT2905">
        <v>0</v>
      </c>
      <c r="BU2905">
        <v>0</v>
      </c>
      <c r="BV2905">
        <v>0</v>
      </c>
      <c r="BW2905" t="s">
        <v>0</v>
      </c>
      <c r="BX2905">
        <v>0</v>
      </c>
      <c r="BY2905">
        <v>0</v>
      </c>
      <c r="BZ2905">
        <v>0</v>
      </c>
      <c r="CA2905">
        <v>0</v>
      </c>
      <c r="CB2905" t="s">
        <v>145</v>
      </c>
    </row>
    <row r="2906" spans="67:80" x14ac:dyDescent="0.25">
      <c r="BO2906">
        <v>0</v>
      </c>
      <c r="BP2906">
        <v>0</v>
      </c>
      <c r="BQ2906">
        <v>0</v>
      </c>
      <c r="BR2906">
        <v>0</v>
      </c>
      <c r="BS2906">
        <v>0</v>
      </c>
      <c r="BT2906">
        <v>0</v>
      </c>
      <c r="BU2906">
        <v>0</v>
      </c>
      <c r="BV2906">
        <v>0</v>
      </c>
      <c r="BW2906" t="s">
        <v>0</v>
      </c>
      <c r="BX2906">
        <v>0</v>
      </c>
      <c r="BY2906">
        <v>0</v>
      </c>
      <c r="BZ2906">
        <v>0</v>
      </c>
      <c r="CA2906">
        <v>0</v>
      </c>
      <c r="CB2906" t="s">
        <v>145</v>
      </c>
    </row>
    <row r="2907" spans="67:80" x14ac:dyDescent="0.25">
      <c r="BO2907">
        <v>0</v>
      </c>
      <c r="BP2907">
        <v>0</v>
      </c>
      <c r="BQ2907">
        <v>0</v>
      </c>
      <c r="BR2907">
        <v>0</v>
      </c>
      <c r="BS2907">
        <v>0</v>
      </c>
      <c r="BT2907">
        <v>0</v>
      </c>
      <c r="BU2907">
        <v>0</v>
      </c>
      <c r="BV2907">
        <v>0</v>
      </c>
      <c r="BW2907" t="s">
        <v>0</v>
      </c>
      <c r="BX2907">
        <v>0</v>
      </c>
      <c r="BY2907">
        <v>0</v>
      </c>
      <c r="BZ2907">
        <v>0</v>
      </c>
      <c r="CA2907">
        <v>0</v>
      </c>
      <c r="CB2907" t="s">
        <v>145</v>
      </c>
    </row>
    <row r="2908" spans="67:80" x14ac:dyDescent="0.25">
      <c r="BO2908">
        <v>0</v>
      </c>
      <c r="BP2908">
        <v>0</v>
      </c>
      <c r="BQ2908">
        <v>0</v>
      </c>
      <c r="BR2908">
        <v>0</v>
      </c>
      <c r="BS2908">
        <v>0</v>
      </c>
      <c r="BT2908">
        <v>0</v>
      </c>
      <c r="BU2908">
        <v>0</v>
      </c>
      <c r="BV2908">
        <v>0</v>
      </c>
      <c r="BW2908" t="s">
        <v>0</v>
      </c>
      <c r="BX2908">
        <v>0</v>
      </c>
      <c r="BY2908">
        <v>0</v>
      </c>
      <c r="BZ2908">
        <v>0</v>
      </c>
      <c r="CA2908">
        <v>0</v>
      </c>
      <c r="CB2908" t="s">
        <v>145</v>
      </c>
    </row>
    <row r="2909" spans="67:80" x14ac:dyDescent="0.25">
      <c r="BO2909">
        <v>0</v>
      </c>
      <c r="BP2909">
        <v>0</v>
      </c>
      <c r="BQ2909">
        <v>0</v>
      </c>
      <c r="BR2909">
        <v>0</v>
      </c>
      <c r="BS2909">
        <v>0</v>
      </c>
      <c r="BT2909">
        <v>0</v>
      </c>
      <c r="BU2909">
        <v>0</v>
      </c>
      <c r="BV2909">
        <v>0</v>
      </c>
      <c r="BW2909" t="s">
        <v>0</v>
      </c>
      <c r="BX2909">
        <v>0</v>
      </c>
      <c r="BY2909">
        <v>0</v>
      </c>
      <c r="BZ2909">
        <v>0</v>
      </c>
      <c r="CA2909">
        <v>0</v>
      </c>
      <c r="CB2909" t="s">
        <v>145</v>
      </c>
    </row>
    <row r="2910" spans="67:80" x14ac:dyDescent="0.25">
      <c r="BO2910">
        <v>0</v>
      </c>
      <c r="BP2910">
        <v>0</v>
      </c>
      <c r="BQ2910">
        <v>0</v>
      </c>
      <c r="BR2910">
        <v>0</v>
      </c>
      <c r="BS2910">
        <v>0</v>
      </c>
      <c r="BT2910">
        <v>0</v>
      </c>
      <c r="BU2910">
        <v>0</v>
      </c>
      <c r="BV2910">
        <v>0</v>
      </c>
      <c r="BW2910" t="s">
        <v>0</v>
      </c>
      <c r="BX2910">
        <v>0</v>
      </c>
      <c r="BY2910">
        <v>0</v>
      </c>
      <c r="BZ2910">
        <v>0</v>
      </c>
      <c r="CA2910">
        <v>0</v>
      </c>
      <c r="CB2910" t="s">
        <v>145</v>
      </c>
    </row>
    <row r="2911" spans="67:80" x14ac:dyDescent="0.25">
      <c r="BO2911">
        <v>0</v>
      </c>
      <c r="BP2911">
        <v>0</v>
      </c>
      <c r="BQ2911">
        <v>0</v>
      </c>
      <c r="BR2911">
        <v>0</v>
      </c>
      <c r="BS2911">
        <v>0</v>
      </c>
      <c r="BT2911">
        <v>0</v>
      </c>
      <c r="BU2911">
        <v>0</v>
      </c>
      <c r="BV2911">
        <v>0</v>
      </c>
      <c r="BW2911" t="s">
        <v>0</v>
      </c>
      <c r="BX2911">
        <v>0</v>
      </c>
      <c r="BY2911">
        <v>0</v>
      </c>
      <c r="BZ2911">
        <v>0</v>
      </c>
      <c r="CA2911">
        <v>0</v>
      </c>
      <c r="CB2911" t="s">
        <v>145</v>
      </c>
    </row>
    <row r="2912" spans="67:80" x14ac:dyDescent="0.25">
      <c r="BO2912">
        <v>0</v>
      </c>
      <c r="BP2912">
        <v>0</v>
      </c>
      <c r="BQ2912">
        <v>0</v>
      </c>
      <c r="BR2912">
        <v>0</v>
      </c>
      <c r="BS2912">
        <v>0</v>
      </c>
      <c r="BT2912">
        <v>0</v>
      </c>
      <c r="BU2912">
        <v>0</v>
      </c>
      <c r="BV2912">
        <v>0</v>
      </c>
      <c r="BW2912" t="s">
        <v>0</v>
      </c>
      <c r="BX2912">
        <v>0</v>
      </c>
      <c r="BY2912">
        <v>0</v>
      </c>
      <c r="BZ2912">
        <v>0</v>
      </c>
      <c r="CA2912">
        <v>0</v>
      </c>
      <c r="CB2912" t="s">
        <v>145</v>
      </c>
    </row>
    <row r="2913" spans="67:80" x14ac:dyDescent="0.25">
      <c r="BO2913">
        <v>0</v>
      </c>
      <c r="BP2913">
        <v>0</v>
      </c>
      <c r="BQ2913">
        <v>0</v>
      </c>
      <c r="BR2913">
        <v>0</v>
      </c>
      <c r="BS2913">
        <v>0</v>
      </c>
      <c r="BT2913">
        <v>0</v>
      </c>
      <c r="BU2913">
        <v>0</v>
      </c>
      <c r="BV2913">
        <v>0</v>
      </c>
      <c r="BW2913" t="s">
        <v>0</v>
      </c>
      <c r="BX2913">
        <v>0</v>
      </c>
      <c r="BY2913">
        <v>0</v>
      </c>
      <c r="BZ2913">
        <v>0</v>
      </c>
      <c r="CA2913">
        <v>0</v>
      </c>
      <c r="CB2913" t="s">
        <v>145</v>
      </c>
    </row>
    <row r="2914" spans="67:80" x14ac:dyDescent="0.25">
      <c r="BO2914">
        <v>0</v>
      </c>
      <c r="BP2914">
        <v>0</v>
      </c>
      <c r="BQ2914">
        <v>0</v>
      </c>
      <c r="BR2914">
        <v>0</v>
      </c>
      <c r="BS2914">
        <v>0</v>
      </c>
      <c r="BT2914">
        <v>0</v>
      </c>
      <c r="BU2914">
        <v>0</v>
      </c>
      <c r="BV2914">
        <v>0</v>
      </c>
      <c r="BW2914" t="s">
        <v>0</v>
      </c>
      <c r="BX2914">
        <v>0</v>
      </c>
      <c r="BY2914">
        <v>0</v>
      </c>
      <c r="BZ2914">
        <v>0</v>
      </c>
      <c r="CA2914">
        <v>0</v>
      </c>
      <c r="CB2914" t="s">
        <v>145</v>
      </c>
    </row>
    <row r="2915" spans="67:80" x14ac:dyDescent="0.25">
      <c r="BO2915">
        <v>0</v>
      </c>
      <c r="BP2915">
        <v>0</v>
      </c>
      <c r="BQ2915">
        <v>0</v>
      </c>
      <c r="BR2915">
        <v>0</v>
      </c>
      <c r="BS2915">
        <v>0</v>
      </c>
      <c r="BT2915">
        <v>0</v>
      </c>
      <c r="BU2915">
        <v>0</v>
      </c>
      <c r="BV2915">
        <v>0</v>
      </c>
      <c r="BW2915" t="s">
        <v>0</v>
      </c>
      <c r="BX2915">
        <v>0</v>
      </c>
      <c r="BY2915">
        <v>0</v>
      </c>
      <c r="BZ2915">
        <v>0</v>
      </c>
      <c r="CA2915">
        <v>0</v>
      </c>
      <c r="CB2915" t="s">
        <v>145</v>
      </c>
    </row>
    <row r="2916" spans="67:80" x14ac:dyDescent="0.25">
      <c r="BO2916">
        <v>0</v>
      </c>
      <c r="BP2916">
        <v>0</v>
      </c>
      <c r="BQ2916">
        <v>0</v>
      </c>
      <c r="BR2916">
        <v>0</v>
      </c>
      <c r="BS2916">
        <v>0</v>
      </c>
      <c r="BT2916">
        <v>0</v>
      </c>
      <c r="BU2916">
        <v>0</v>
      </c>
      <c r="BV2916">
        <v>0</v>
      </c>
      <c r="BW2916" t="s">
        <v>0</v>
      </c>
      <c r="BX2916">
        <v>0</v>
      </c>
      <c r="BY2916">
        <v>0</v>
      </c>
      <c r="BZ2916">
        <v>0</v>
      </c>
      <c r="CA2916">
        <v>0</v>
      </c>
      <c r="CB2916" t="s">
        <v>145</v>
      </c>
    </row>
    <row r="2917" spans="67:80" x14ac:dyDescent="0.25">
      <c r="BO2917">
        <v>0</v>
      </c>
      <c r="BP2917">
        <v>0</v>
      </c>
      <c r="BQ2917">
        <v>0</v>
      </c>
      <c r="BR2917">
        <v>0</v>
      </c>
      <c r="BS2917">
        <v>0</v>
      </c>
      <c r="BT2917">
        <v>0</v>
      </c>
      <c r="BU2917">
        <v>0</v>
      </c>
      <c r="BV2917">
        <v>0</v>
      </c>
      <c r="BW2917" t="s">
        <v>0</v>
      </c>
      <c r="BX2917">
        <v>0</v>
      </c>
      <c r="BY2917">
        <v>0</v>
      </c>
      <c r="BZ2917">
        <v>0</v>
      </c>
      <c r="CA2917">
        <v>0</v>
      </c>
      <c r="CB2917" t="s">
        <v>145</v>
      </c>
    </row>
    <row r="2918" spans="67:80" x14ac:dyDescent="0.25">
      <c r="BO2918">
        <v>0</v>
      </c>
      <c r="BP2918">
        <v>0</v>
      </c>
      <c r="BQ2918">
        <v>0</v>
      </c>
      <c r="BR2918">
        <v>0</v>
      </c>
      <c r="BS2918">
        <v>0</v>
      </c>
      <c r="BT2918">
        <v>0</v>
      </c>
      <c r="BU2918">
        <v>0</v>
      </c>
      <c r="BV2918">
        <v>0</v>
      </c>
      <c r="BW2918" t="s">
        <v>0</v>
      </c>
      <c r="BX2918">
        <v>0</v>
      </c>
      <c r="BY2918">
        <v>0</v>
      </c>
      <c r="BZ2918">
        <v>0</v>
      </c>
      <c r="CA2918">
        <v>0</v>
      </c>
      <c r="CB2918" t="s">
        <v>145</v>
      </c>
    </row>
    <row r="2919" spans="67:80" x14ac:dyDescent="0.25">
      <c r="BO2919">
        <v>0</v>
      </c>
      <c r="BP2919">
        <v>0</v>
      </c>
      <c r="BQ2919">
        <v>0</v>
      </c>
      <c r="BR2919">
        <v>0</v>
      </c>
      <c r="BS2919">
        <v>0</v>
      </c>
      <c r="BT2919">
        <v>0</v>
      </c>
      <c r="BU2919">
        <v>0</v>
      </c>
      <c r="BV2919">
        <v>0</v>
      </c>
      <c r="BW2919" t="s">
        <v>0</v>
      </c>
      <c r="BX2919">
        <v>0</v>
      </c>
      <c r="BY2919">
        <v>0</v>
      </c>
      <c r="BZ2919">
        <v>0</v>
      </c>
      <c r="CA2919">
        <v>0</v>
      </c>
      <c r="CB2919" t="s">
        <v>145</v>
      </c>
    </row>
    <row r="2920" spans="67:80" x14ac:dyDescent="0.25">
      <c r="BO2920">
        <v>0</v>
      </c>
      <c r="BP2920">
        <v>0</v>
      </c>
      <c r="BQ2920">
        <v>0</v>
      </c>
      <c r="BR2920">
        <v>0</v>
      </c>
      <c r="BS2920">
        <v>0</v>
      </c>
      <c r="BT2920">
        <v>0</v>
      </c>
      <c r="BU2920">
        <v>0</v>
      </c>
      <c r="BV2920">
        <v>0</v>
      </c>
      <c r="BW2920" t="s">
        <v>0</v>
      </c>
      <c r="BX2920">
        <v>0</v>
      </c>
      <c r="BY2920">
        <v>0</v>
      </c>
      <c r="BZ2920">
        <v>0</v>
      </c>
      <c r="CA2920">
        <v>0</v>
      </c>
      <c r="CB2920" t="s">
        <v>145</v>
      </c>
    </row>
    <row r="2921" spans="67:80" x14ac:dyDescent="0.25">
      <c r="BO2921">
        <v>0</v>
      </c>
      <c r="BP2921">
        <v>0</v>
      </c>
      <c r="BQ2921">
        <v>0</v>
      </c>
      <c r="BR2921">
        <v>0</v>
      </c>
      <c r="BS2921">
        <v>0</v>
      </c>
      <c r="BT2921">
        <v>0</v>
      </c>
      <c r="BU2921">
        <v>0</v>
      </c>
      <c r="BV2921">
        <v>0</v>
      </c>
      <c r="BW2921" t="s">
        <v>0</v>
      </c>
      <c r="BX2921">
        <v>0</v>
      </c>
      <c r="BY2921">
        <v>0</v>
      </c>
      <c r="BZ2921">
        <v>0</v>
      </c>
      <c r="CA2921">
        <v>0</v>
      </c>
      <c r="CB2921" t="s">
        <v>145</v>
      </c>
    </row>
    <row r="2922" spans="67:80" x14ac:dyDescent="0.25">
      <c r="BO2922">
        <v>0</v>
      </c>
      <c r="BP2922">
        <v>0</v>
      </c>
      <c r="BQ2922">
        <v>0</v>
      </c>
      <c r="BR2922">
        <v>0</v>
      </c>
      <c r="BS2922">
        <v>0</v>
      </c>
      <c r="BT2922">
        <v>0</v>
      </c>
      <c r="BU2922">
        <v>0</v>
      </c>
      <c r="BV2922">
        <v>0</v>
      </c>
      <c r="BW2922" t="s">
        <v>0</v>
      </c>
      <c r="BX2922">
        <v>0</v>
      </c>
      <c r="BY2922">
        <v>0</v>
      </c>
      <c r="BZ2922">
        <v>0</v>
      </c>
      <c r="CA2922">
        <v>0</v>
      </c>
      <c r="CB2922" t="s">
        <v>145</v>
      </c>
    </row>
    <row r="2923" spans="67:80" x14ac:dyDescent="0.25">
      <c r="BO2923">
        <v>0</v>
      </c>
      <c r="BP2923">
        <v>0</v>
      </c>
      <c r="BQ2923">
        <v>0</v>
      </c>
      <c r="BR2923">
        <v>0</v>
      </c>
      <c r="BS2923">
        <v>0</v>
      </c>
      <c r="BT2923">
        <v>0</v>
      </c>
      <c r="BU2923">
        <v>0</v>
      </c>
      <c r="BV2923">
        <v>0</v>
      </c>
      <c r="BW2923" t="s">
        <v>0</v>
      </c>
      <c r="BX2923">
        <v>0</v>
      </c>
      <c r="BY2923">
        <v>0</v>
      </c>
      <c r="BZ2923">
        <v>0</v>
      </c>
      <c r="CA2923">
        <v>0</v>
      </c>
      <c r="CB2923" t="s">
        <v>145</v>
      </c>
    </row>
    <row r="2924" spans="67:80" x14ac:dyDescent="0.25">
      <c r="BO2924">
        <v>0</v>
      </c>
      <c r="BP2924">
        <v>0</v>
      </c>
      <c r="BQ2924">
        <v>0</v>
      </c>
      <c r="BR2924">
        <v>0</v>
      </c>
      <c r="BS2924">
        <v>0</v>
      </c>
      <c r="BT2924">
        <v>0</v>
      </c>
      <c r="BU2924">
        <v>0</v>
      </c>
      <c r="BV2924">
        <v>0</v>
      </c>
      <c r="BW2924" t="s">
        <v>0</v>
      </c>
      <c r="BX2924">
        <v>0</v>
      </c>
      <c r="BY2924">
        <v>0</v>
      </c>
      <c r="BZ2924">
        <v>0</v>
      </c>
      <c r="CA2924">
        <v>0</v>
      </c>
      <c r="CB2924" t="s">
        <v>145</v>
      </c>
    </row>
    <row r="2925" spans="67:80" x14ac:dyDescent="0.25">
      <c r="BO2925">
        <v>0</v>
      </c>
      <c r="BP2925">
        <v>0</v>
      </c>
      <c r="BQ2925">
        <v>0</v>
      </c>
      <c r="BR2925">
        <v>0</v>
      </c>
      <c r="BS2925">
        <v>0</v>
      </c>
      <c r="BT2925">
        <v>0</v>
      </c>
      <c r="BU2925">
        <v>0</v>
      </c>
      <c r="BV2925">
        <v>0</v>
      </c>
      <c r="BW2925" t="s">
        <v>0</v>
      </c>
      <c r="BX2925">
        <v>0</v>
      </c>
      <c r="BY2925">
        <v>0</v>
      </c>
      <c r="BZ2925">
        <v>0</v>
      </c>
      <c r="CA2925">
        <v>0</v>
      </c>
      <c r="CB2925" t="s">
        <v>145</v>
      </c>
    </row>
    <row r="2926" spans="67:80" x14ac:dyDescent="0.25">
      <c r="BO2926">
        <v>0</v>
      </c>
      <c r="BP2926">
        <v>0</v>
      </c>
      <c r="BQ2926">
        <v>0</v>
      </c>
      <c r="BR2926">
        <v>0</v>
      </c>
      <c r="BS2926">
        <v>0</v>
      </c>
      <c r="BT2926">
        <v>0</v>
      </c>
      <c r="BU2926">
        <v>0</v>
      </c>
      <c r="BV2926">
        <v>0</v>
      </c>
      <c r="BW2926" t="s">
        <v>0</v>
      </c>
      <c r="BX2926">
        <v>0</v>
      </c>
      <c r="BY2926">
        <v>0</v>
      </c>
      <c r="BZ2926">
        <v>0</v>
      </c>
      <c r="CA2926">
        <v>0</v>
      </c>
      <c r="CB2926" t="s">
        <v>145</v>
      </c>
    </row>
    <row r="2927" spans="67:80" x14ac:dyDescent="0.25">
      <c r="BO2927">
        <v>0</v>
      </c>
      <c r="BP2927">
        <v>0</v>
      </c>
      <c r="BQ2927">
        <v>0</v>
      </c>
      <c r="BR2927">
        <v>0</v>
      </c>
      <c r="BS2927">
        <v>0</v>
      </c>
      <c r="BT2927">
        <v>0</v>
      </c>
      <c r="BU2927">
        <v>0</v>
      </c>
      <c r="BV2927">
        <v>0</v>
      </c>
      <c r="BW2927" t="s">
        <v>0</v>
      </c>
      <c r="BX2927">
        <v>0</v>
      </c>
      <c r="BY2927">
        <v>0</v>
      </c>
      <c r="BZ2927">
        <v>0</v>
      </c>
      <c r="CA2927">
        <v>0</v>
      </c>
      <c r="CB2927" t="s">
        <v>145</v>
      </c>
    </row>
    <row r="2928" spans="67:80" x14ac:dyDescent="0.25">
      <c r="BO2928">
        <v>0</v>
      </c>
      <c r="BP2928">
        <v>0</v>
      </c>
      <c r="BQ2928">
        <v>0</v>
      </c>
      <c r="BR2928">
        <v>0</v>
      </c>
      <c r="BS2928">
        <v>0</v>
      </c>
      <c r="BT2928">
        <v>0</v>
      </c>
      <c r="BU2928">
        <v>0</v>
      </c>
      <c r="BV2928">
        <v>0</v>
      </c>
      <c r="BW2928" t="s">
        <v>0</v>
      </c>
      <c r="BX2928">
        <v>0</v>
      </c>
      <c r="BY2928">
        <v>0</v>
      </c>
      <c r="BZ2928">
        <v>0</v>
      </c>
      <c r="CA2928">
        <v>0</v>
      </c>
      <c r="CB2928" t="s">
        <v>145</v>
      </c>
    </row>
    <row r="2929" spans="67:80" x14ac:dyDescent="0.25">
      <c r="BO2929">
        <v>0</v>
      </c>
      <c r="BP2929">
        <v>0</v>
      </c>
      <c r="BQ2929">
        <v>0</v>
      </c>
      <c r="BR2929">
        <v>0</v>
      </c>
      <c r="BS2929">
        <v>0</v>
      </c>
      <c r="BT2929">
        <v>0</v>
      </c>
      <c r="BU2929">
        <v>0</v>
      </c>
      <c r="BV2929">
        <v>0</v>
      </c>
      <c r="BW2929" t="s">
        <v>0</v>
      </c>
      <c r="BX2929">
        <v>0</v>
      </c>
      <c r="BY2929">
        <v>0</v>
      </c>
      <c r="BZ2929">
        <v>0</v>
      </c>
      <c r="CA2929">
        <v>0</v>
      </c>
      <c r="CB2929" t="s">
        <v>145</v>
      </c>
    </row>
    <row r="2930" spans="67:80" x14ac:dyDescent="0.25">
      <c r="BO2930">
        <v>0</v>
      </c>
      <c r="BP2930">
        <v>0</v>
      </c>
      <c r="BQ2930">
        <v>0</v>
      </c>
      <c r="BR2930">
        <v>0</v>
      </c>
      <c r="BS2930">
        <v>0</v>
      </c>
      <c r="BT2930">
        <v>0</v>
      </c>
      <c r="BU2930">
        <v>0</v>
      </c>
      <c r="BV2930">
        <v>0</v>
      </c>
      <c r="BW2930" t="s">
        <v>0</v>
      </c>
      <c r="BX2930">
        <v>0</v>
      </c>
      <c r="BY2930">
        <v>0</v>
      </c>
      <c r="BZ2930">
        <v>0</v>
      </c>
      <c r="CA2930">
        <v>0</v>
      </c>
      <c r="CB2930" t="s">
        <v>145</v>
      </c>
    </row>
    <row r="2931" spans="67:80" x14ac:dyDescent="0.25">
      <c r="BO2931">
        <v>0</v>
      </c>
      <c r="BP2931">
        <v>0</v>
      </c>
      <c r="BQ2931">
        <v>0</v>
      </c>
      <c r="BR2931">
        <v>0</v>
      </c>
      <c r="BS2931">
        <v>0</v>
      </c>
      <c r="BT2931">
        <v>0</v>
      </c>
      <c r="BU2931">
        <v>0</v>
      </c>
      <c r="BV2931">
        <v>0</v>
      </c>
      <c r="BW2931" t="s">
        <v>0</v>
      </c>
      <c r="BX2931">
        <v>0</v>
      </c>
      <c r="BY2931">
        <v>0</v>
      </c>
      <c r="BZ2931">
        <v>0</v>
      </c>
      <c r="CA2931">
        <v>0</v>
      </c>
      <c r="CB2931" t="s">
        <v>145</v>
      </c>
    </row>
    <row r="2932" spans="67:80" x14ac:dyDescent="0.25">
      <c r="BO2932">
        <v>0</v>
      </c>
      <c r="BP2932">
        <v>0</v>
      </c>
      <c r="BQ2932">
        <v>0</v>
      </c>
      <c r="BR2932">
        <v>0</v>
      </c>
      <c r="BS2932">
        <v>0</v>
      </c>
      <c r="BT2932">
        <v>0</v>
      </c>
      <c r="BU2932">
        <v>0</v>
      </c>
      <c r="BV2932">
        <v>0</v>
      </c>
      <c r="BW2932" t="s">
        <v>0</v>
      </c>
      <c r="BX2932">
        <v>0</v>
      </c>
      <c r="BY2932">
        <v>0</v>
      </c>
      <c r="BZ2932">
        <v>0</v>
      </c>
      <c r="CA2932">
        <v>0</v>
      </c>
      <c r="CB2932" t="s">
        <v>145</v>
      </c>
    </row>
    <row r="2933" spans="67:80" x14ac:dyDescent="0.25">
      <c r="BO2933">
        <v>0</v>
      </c>
      <c r="BP2933">
        <v>0</v>
      </c>
      <c r="BQ2933">
        <v>0</v>
      </c>
      <c r="BR2933">
        <v>0</v>
      </c>
      <c r="BS2933">
        <v>0</v>
      </c>
      <c r="BT2933">
        <v>0</v>
      </c>
      <c r="BU2933">
        <v>0</v>
      </c>
      <c r="BV2933">
        <v>0</v>
      </c>
      <c r="BW2933" t="s">
        <v>0</v>
      </c>
      <c r="BX2933">
        <v>0</v>
      </c>
      <c r="BY2933">
        <v>0</v>
      </c>
      <c r="BZ2933">
        <v>0</v>
      </c>
      <c r="CA2933">
        <v>0</v>
      </c>
      <c r="CB2933" t="s">
        <v>145</v>
      </c>
    </row>
    <row r="2934" spans="67:80" x14ac:dyDescent="0.25">
      <c r="BO2934">
        <v>0</v>
      </c>
      <c r="BP2934">
        <v>0</v>
      </c>
      <c r="BQ2934">
        <v>0</v>
      </c>
      <c r="BR2934">
        <v>0</v>
      </c>
      <c r="BS2934">
        <v>0</v>
      </c>
      <c r="BT2934">
        <v>0</v>
      </c>
      <c r="BU2934">
        <v>0</v>
      </c>
      <c r="BV2934">
        <v>0</v>
      </c>
      <c r="BW2934" t="s">
        <v>0</v>
      </c>
      <c r="BX2934">
        <v>0</v>
      </c>
      <c r="BY2934">
        <v>0</v>
      </c>
      <c r="BZ2934">
        <v>0</v>
      </c>
      <c r="CA2934">
        <v>0</v>
      </c>
      <c r="CB2934" t="s">
        <v>145</v>
      </c>
    </row>
    <row r="2935" spans="67:80" x14ac:dyDescent="0.25">
      <c r="BO2935">
        <v>0</v>
      </c>
      <c r="BP2935">
        <v>0</v>
      </c>
      <c r="BQ2935">
        <v>0</v>
      </c>
      <c r="BR2935">
        <v>0</v>
      </c>
      <c r="BS2935">
        <v>0</v>
      </c>
      <c r="BT2935">
        <v>0</v>
      </c>
      <c r="BU2935">
        <v>0</v>
      </c>
      <c r="BV2935">
        <v>0</v>
      </c>
      <c r="BW2935" t="s">
        <v>0</v>
      </c>
      <c r="BX2935">
        <v>0</v>
      </c>
      <c r="BY2935">
        <v>0</v>
      </c>
      <c r="BZ2935">
        <v>0</v>
      </c>
      <c r="CA2935">
        <v>0</v>
      </c>
      <c r="CB2935" t="s">
        <v>145</v>
      </c>
    </row>
    <row r="2936" spans="67:80" x14ac:dyDescent="0.25">
      <c r="BO2936">
        <v>0</v>
      </c>
      <c r="BP2936">
        <v>0</v>
      </c>
      <c r="BQ2936">
        <v>0</v>
      </c>
      <c r="BR2936">
        <v>0</v>
      </c>
      <c r="BS2936">
        <v>0</v>
      </c>
      <c r="BT2936">
        <v>0</v>
      </c>
      <c r="BU2936">
        <v>0</v>
      </c>
      <c r="BV2936">
        <v>0</v>
      </c>
      <c r="BW2936" t="s">
        <v>0</v>
      </c>
      <c r="BX2936">
        <v>0</v>
      </c>
      <c r="BY2936">
        <v>0</v>
      </c>
      <c r="BZ2936">
        <v>0</v>
      </c>
      <c r="CA2936">
        <v>0</v>
      </c>
      <c r="CB2936" t="s">
        <v>145</v>
      </c>
    </row>
    <row r="2937" spans="67:80" x14ac:dyDescent="0.25">
      <c r="BO2937">
        <v>0</v>
      </c>
      <c r="BP2937">
        <v>0</v>
      </c>
      <c r="BQ2937">
        <v>0</v>
      </c>
      <c r="BR2937">
        <v>0</v>
      </c>
      <c r="BS2937">
        <v>0</v>
      </c>
      <c r="BT2937">
        <v>0</v>
      </c>
      <c r="BU2937">
        <v>0</v>
      </c>
      <c r="BV2937">
        <v>0</v>
      </c>
      <c r="BW2937" t="s">
        <v>0</v>
      </c>
      <c r="BX2937">
        <v>0</v>
      </c>
      <c r="BY2937">
        <v>0</v>
      </c>
      <c r="BZ2937">
        <v>0</v>
      </c>
      <c r="CA2937">
        <v>0</v>
      </c>
      <c r="CB2937" t="s">
        <v>145</v>
      </c>
    </row>
    <row r="2938" spans="67:80" x14ac:dyDescent="0.25">
      <c r="BO2938">
        <v>0</v>
      </c>
      <c r="BP2938">
        <v>0</v>
      </c>
      <c r="BQ2938">
        <v>0</v>
      </c>
      <c r="BR2938">
        <v>0</v>
      </c>
      <c r="BS2938">
        <v>0</v>
      </c>
      <c r="BT2938">
        <v>0</v>
      </c>
      <c r="BU2938">
        <v>0</v>
      </c>
      <c r="BV2938">
        <v>0</v>
      </c>
      <c r="BW2938" t="s">
        <v>0</v>
      </c>
      <c r="BX2938">
        <v>0</v>
      </c>
      <c r="BY2938">
        <v>0</v>
      </c>
      <c r="BZ2938">
        <v>0</v>
      </c>
      <c r="CA2938">
        <v>0</v>
      </c>
      <c r="CB2938" t="s">
        <v>145</v>
      </c>
    </row>
    <row r="2939" spans="67:80" x14ac:dyDescent="0.25">
      <c r="BO2939">
        <v>0</v>
      </c>
      <c r="BP2939">
        <v>0</v>
      </c>
      <c r="BQ2939">
        <v>0</v>
      </c>
      <c r="BR2939">
        <v>0</v>
      </c>
      <c r="BS2939">
        <v>0</v>
      </c>
      <c r="BT2939">
        <v>0</v>
      </c>
      <c r="BU2939">
        <v>0</v>
      </c>
      <c r="BV2939">
        <v>0</v>
      </c>
      <c r="BW2939" t="s">
        <v>0</v>
      </c>
      <c r="BX2939">
        <v>0</v>
      </c>
      <c r="BY2939">
        <v>0</v>
      </c>
      <c r="BZ2939">
        <v>0</v>
      </c>
      <c r="CA2939">
        <v>0</v>
      </c>
      <c r="CB2939" t="s">
        <v>145</v>
      </c>
    </row>
    <row r="2940" spans="67:80" x14ac:dyDescent="0.25">
      <c r="BO2940">
        <v>0</v>
      </c>
      <c r="BP2940">
        <v>0</v>
      </c>
      <c r="BQ2940">
        <v>0</v>
      </c>
      <c r="BR2940">
        <v>0</v>
      </c>
      <c r="BS2940">
        <v>0</v>
      </c>
      <c r="BT2940">
        <v>0</v>
      </c>
      <c r="BU2940">
        <v>0</v>
      </c>
      <c r="BV2940">
        <v>0</v>
      </c>
      <c r="BW2940" t="s">
        <v>0</v>
      </c>
      <c r="BX2940">
        <v>0</v>
      </c>
      <c r="BY2940">
        <v>0</v>
      </c>
      <c r="BZ2940">
        <v>0</v>
      </c>
      <c r="CA2940">
        <v>0</v>
      </c>
      <c r="CB2940" t="s">
        <v>145</v>
      </c>
    </row>
    <row r="2941" spans="67:80" x14ac:dyDescent="0.25">
      <c r="BO2941">
        <v>0</v>
      </c>
      <c r="BP2941">
        <v>0</v>
      </c>
      <c r="BQ2941">
        <v>0</v>
      </c>
      <c r="BR2941">
        <v>0</v>
      </c>
      <c r="BS2941">
        <v>0</v>
      </c>
      <c r="BT2941">
        <v>0</v>
      </c>
      <c r="BU2941">
        <v>0</v>
      </c>
      <c r="BV2941">
        <v>0</v>
      </c>
      <c r="BW2941" t="s">
        <v>0</v>
      </c>
      <c r="BX2941">
        <v>0</v>
      </c>
      <c r="BY2941">
        <v>0</v>
      </c>
      <c r="BZ2941">
        <v>0</v>
      </c>
      <c r="CA2941">
        <v>0</v>
      </c>
      <c r="CB2941" t="s">
        <v>145</v>
      </c>
    </row>
    <row r="2942" spans="67:80" x14ac:dyDescent="0.25">
      <c r="BO2942">
        <v>0</v>
      </c>
      <c r="BP2942">
        <v>0</v>
      </c>
      <c r="BQ2942">
        <v>0</v>
      </c>
      <c r="BR2942">
        <v>0</v>
      </c>
      <c r="BS2942">
        <v>0</v>
      </c>
      <c r="BT2942">
        <v>0</v>
      </c>
      <c r="BU2942">
        <v>0</v>
      </c>
      <c r="BV2942">
        <v>0</v>
      </c>
      <c r="BW2942" t="s">
        <v>0</v>
      </c>
      <c r="BX2942">
        <v>0</v>
      </c>
      <c r="BY2942">
        <v>0</v>
      </c>
      <c r="BZ2942">
        <v>0</v>
      </c>
      <c r="CA2942">
        <v>0</v>
      </c>
      <c r="CB2942" t="s">
        <v>145</v>
      </c>
    </row>
    <row r="2943" spans="67:80" x14ac:dyDescent="0.25">
      <c r="BO2943">
        <v>0</v>
      </c>
      <c r="BP2943">
        <v>0</v>
      </c>
      <c r="BQ2943">
        <v>0</v>
      </c>
      <c r="BR2943">
        <v>0</v>
      </c>
      <c r="BS2943">
        <v>0</v>
      </c>
      <c r="BT2943">
        <v>0</v>
      </c>
      <c r="BU2943">
        <v>0</v>
      </c>
      <c r="BV2943">
        <v>0</v>
      </c>
      <c r="BW2943" t="s">
        <v>0</v>
      </c>
      <c r="BX2943">
        <v>0</v>
      </c>
      <c r="BY2943">
        <v>0</v>
      </c>
      <c r="BZ2943">
        <v>0</v>
      </c>
      <c r="CA2943">
        <v>0</v>
      </c>
      <c r="CB2943" t="s">
        <v>145</v>
      </c>
    </row>
    <row r="2944" spans="67:80" x14ac:dyDescent="0.25">
      <c r="BO2944">
        <v>0</v>
      </c>
      <c r="BP2944">
        <v>0</v>
      </c>
      <c r="BQ2944">
        <v>0</v>
      </c>
      <c r="BR2944">
        <v>0</v>
      </c>
      <c r="BS2944">
        <v>0</v>
      </c>
      <c r="BT2944">
        <v>0</v>
      </c>
      <c r="BU2944">
        <v>0</v>
      </c>
      <c r="BV2944">
        <v>0</v>
      </c>
      <c r="BW2944" t="s">
        <v>0</v>
      </c>
      <c r="BX2944">
        <v>0</v>
      </c>
      <c r="BY2944">
        <v>0</v>
      </c>
      <c r="BZ2944">
        <v>0</v>
      </c>
      <c r="CA2944">
        <v>0</v>
      </c>
      <c r="CB2944" t="s">
        <v>145</v>
      </c>
    </row>
    <row r="2945" spans="67:80" x14ac:dyDescent="0.25">
      <c r="BO2945">
        <v>0</v>
      </c>
      <c r="BP2945">
        <v>0</v>
      </c>
      <c r="BQ2945">
        <v>0</v>
      </c>
      <c r="BR2945">
        <v>0</v>
      </c>
      <c r="BS2945">
        <v>0</v>
      </c>
      <c r="BT2945">
        <v>0</v>
      </c>
      <c r="BU2945">
        <v>0</v>
      </c>
      <c r="BV2945">
        <v>0</v>
      </c>
      <c r="BW2945" t="s">
        <v>0</v>
      </c>
      <c r="BX2945">
        <v>0</v>
      </c>
      <c r="BY2945">
        <v>0</v>
      </c>
      <c r="BZ2945">
        <v>0</v>
      </c>
      <c r="CA2945">
        <v>0</v>
      </c>
      <c r="CB2945" t="s">
        <v>145</v>
      </c>
    </row>
    <row r="2946" spans="67:80" x14ac:dyDescent="0.25">
      <c r="BO2946">
        <v>0</v>
      </c>
      <c r="BP2946">
        <v>0</v>
      </c>
      <c r="BQ2946">
        <v>0</v>
      </c>
      <c r="BR2946">
        <v>0</v>
      </c>
      <c r="BS2946">
        <v>0</v>
      </c>
      <c r="BT2946">
        <v>0</v>
      </c>
      <c r="BU2946">
        <v>0</v>
      </c>
      <c r="BV2946">
        <v>0</v>
      </c>
      <c r="BW2946" t="s">
        <v>0</v>
      </c>
      <c r="BX2946">
        <v>0</v>
      </c>
      <c r="BY2946">
        <v>0</v>
      </c>
      <c r="BZ2946">
        <v>0</v>
      </c>
      <c r="CA2946">
        <v>0</v>
      </c>
      <c r="CB2946" t="s">
        <v>145</v>
      </c>
    </row>
    <row r="2947" spans="67:80" x14ac:dyDescent="0.25">
      <c r="BO2947">
        <v>0</v>
      </c>
      <c r="BP2947">
        <v>0</v>
      </c>
      <c r="BQ2947">
        <v>0</v>
      </c>
      <c r="BR2947">
        <v>0</v>
      </c>
      <c r="BS2947">
        <v>0</v>
      </c>
      <c r="BT2947">
        <v>0</v>
      </c>
      <c r="BU2947">
        <v>0</v>
      </c>
      <c r="BV2947">
        <v>0</v>
      </c>
      <c r="BW2947" t="s">
        <v>0</v>
      </c>
      <c r="BX2947">
        <v>0</v>
      </c>
      <c r="BY2947">
        <v>0</v>
      </c>
      <c r="BZ2947">
        <v>0</v>
      </c>
      <c r="CA2947">
        <v>0</v>
      </c>
      <c r="CB2947" t="s">
        <v>145</v>
      </c>
    </row>
    <row r="2948" spans="67:80" x14ac:dyDescent="0.25">
      <c r="BO2948">
        <v>0</v>
      </c>
      <c r="BP2948">
        <v>0</v>
      </c>
      <c r="BQ2948">
        <v>0</v>
      </c>
      <c r="BR2948">
        <v>0</v>
      </c>
      <c r="BS2948">
        <v>0</v>
      </c>
      <c r="BT2948">
        <v>0</v>
      </c>
      <c r="BU2948">
        <v>0</v>
      </c>
      <c r="BV2948">
        <v>0</v>
      </c>
      <c r="BW2948" t="s">
        <v>0</v>
      </c>
      <c r="BX2948">
        <v>0</v>
      </c>
      <c r="BY2948">
        <v>0</v>
      </c>
      <c r="BZ2948">
        <v>0</v>
      </c>
      <c r="CA2948">
        <v>0</v>
      </c>
      <c r="CB2948" t="s">
        <v>145</v>
      </c>
    </row>
    <row r="2949" spans="67:80" x14ac:dyDescent="0.25">
      <c r="BO2949">
        <v>0</v>
      </c>
      <c r="BP2949">
        <v>0</v>
      </c>
      <c r="BQ2949">
        <v>0</v>
      </c>
      <c r="BR2949">
        <v>0</v>
      </c>
      <c r="BS2949">
        <v>0</v>
      </c>
      <c r="BT2949">
        <v>0</v>
      </c>
      <c r="BU2949">
        <v>0</v>
      </c>
      <c r="BV2949">
        <v>0</v>
      </c>
      <c r="BW2949" t="s">
        <v>0</v>
      </c>
      <c r="BX2949">
        <v>0</v>
      </c>
      <c r="BY2949">
        <v>0</v>
      </c>
      <c r="BZ2949">
        <v>0</v>
      </c>
      <c r="CA2949">
        <v>0</v>
      </c>
      <c r="CB2949" t="s">
        <v>145</v>
      </c>
    </row>
    <row r="2950" spans="67:80" x14ac:dyDescent="0.25">
      <c r="BO2950">
        <v>0</v>
      </c>
      <c r="BP2950">
        <v>0</v>
      </c>
      <c r="BQ2950">
        <v>0</v>
      </c>
      <c r="BR2950">
        <v>0</v>
      </c>
      <c r="BS2950">
        <v>0</v>
      </c>
      <c r="BT2950">
        <v>0</v>
      </c>
      <c r="BU2950">
        <v>0</v>
      </c>
      <c r="BV2950">
        <v>0</v>
      </c>
      <c r="BW2950" t="s">
        <v>0</v>
      </c>
      <c r="BX2950">
        <v>0</v>
      </c>
      <c r="BY2950">
        <v>0</v>
      </c>
      <c r="BZ2950">
        <v>0</v>
      </c>
      <c r="CA2950">
        <v>0</v>
      </c>
      <c r="CB2950" t="s">
        <v>145</v>
      </c>
    </row>
    <row r="2951" spans="67:80" x14ac:dyDescent="0.25">
      <c r="BO2951">
        <v>0</v>
      </c>
      <c r="BP2951">
        <v>0</v>
      </c>
      <c r="BQ2951">
        <v>0</v>
      </c>
      <c r="BR2951">
        <v>0</v>
      </c>
      <c r="BS2951">
        <v>0</v>
      </c>
      <c r="BT2951">
        <v>0</v>
      </c>
      <c r="BU2951">
        <v>0</v>
      </c>
      <c r="BV2951">
        <v>0</v>
      </c>
      <c r="BW2951" t="s">
        <v>0</v>
      </c>
      <c r="BX2951">
        <v>0</v>
      </c>
      <c r="BY2951">
        <v>0</v>
      </c>
      <c r="BZ2951">
        <v>0</v>
      </c>
      <c r="CA2951">
        <v>0</v>
      </c>
      <c r="CB2951" t="s">
        <v>145</v>
      </c>
    </row>
    <row r="2952" spans="67:80" x14ac:dyDescent="0.25">
      <c r="BO2952">
        <v>0</v>
      </c>
      <c r="BP2952">
        <v>0</v>
      </c>
      <c r="BQ2952">
        <v>0</v>
      </c>
      <c r="BR2952">
        <v>0</v>
      </c>
      <c r="BS2952">
        <v>0</v>
      </c>
      <c r="BT2952">
        <v>0</v>
      </c>
      <c r="BU2952">
        <v>0</v>
      </c>
      <c r="BV2952">
        <v>0</v>
      </c>
      <c r="BW2952" t="s">
        <v>0</v>
      </c>
      <c r="BX2952">
        <v>0</v>
      </c>
      <c r="BY2952">
        <v>0</v>
      </c>
      <c r="BZ2952">
        <v>0</v>
      </c>
      <c r="CA2952">
        <v>0</v>
      </c>
      <c r="CB2952" t="s">
        <v>145</v>
      </c>
    </row>
    <row r="2953" spans="67:80" x14ac:dyDescent="0.25">
      <c r="BO2953">
        <v>0</v>
      </c>
      <c r="BP2953">
        <v>0</v>
      </c>
      <c r="BQ2953">
        <v>0</v>
      </c>
      <c r="BR2953">
        <v>0</v>
      </c>
      <c r="BS2953">
        <v>0</v>
      </c>
      <c r="BT2953">
        <v>0</v>
      </c>
      <c r="BU2953">
        <v>0</v>
      </c>
      <c r="BV2953">
        <v>0</v>
      </c>
      <c r="BW2953" t="s">
        <v>0</v>
      </c>
      <c r="BX2953">
        <v>0</v>
      </c>
      <c r="BY2953">
        <v>0</v>
      </c>
      <c r="BZ2953">
        <v>0</v>
      </c>
      <c r="CA2953">
        <v>0</v>
      </c>
      <c r="CB2953" t="s">
        <v>145</v>
      </c>
    </row>
    <row r="2954" spans="67:80" x14ac:dyDescent="0.25">
      <c r="BO2954">
        <v>0</v>
      </c>
      <c r="BP2954">
        <v>0</v>
      </c>
      <c r="BQ2954">
        <v>0</v>
      </c>
      <c r="BR2954">
        <v>0</v>
      </c>
      <c r="BS2954">
        <v>0</v>
      </c>
      <c r="BT2954">
        <v>0</v>
      </c>
      <c r="BU2954">
        <v>0</v>
      </c>
      <c r="BV2954">
        <v>0</v>
      </c>
      <c r="BW2954" t="s">
        <v>0</v>
      </c>
      <c r="BX2954">
        <v>0</v>
      </c>
      <c r="BY2954">
        <v>0</v>
      </c>
      <c r="BZ2954">
        <v>0</v>
      </c>
      <c r="CA2954">
        <v>0</v>
      </c>
      <c r="CB2954" t="s">
        <v>145</v>
      </c>
    </row>
    <row r="2955" spans="67:80" x14ac:dyDescent="0.25">
      <c r="BO2955">
        <v>0</v>
      </c>
      <c r="BP2955">
        <v>0</v>
      </c>
      <c r="BQ2955">
        <v>0</v>
      </c>
      <c r="BR2955">
        <v>0</v>
      </c>
      <c r="BS2955">
        <v>0</v>
      </c>
      <c r="BT2955">
        <v>0</v>
      </c>
      <c r="BU2955">
        <v>0</v>
      </c>
      <c r="BV2955">
        <v>0</v>
      </c>
      <c r="BW2955" t="s">
        <v>0</v>
      </c>
      <c r="BX2955">
        <v>0</v>
      </c>
      <c r="BY2955">
        <v>0</v>
      </c>
      <c r="BZ2955">
        <v>0</v>
      </c>
      <c r="CA2955">
        <v>0</v>
      </c>
      <c r="CB2955" t="s">
        <v>145</v>
      </c>
    </row>
    <row r="2956" spans="67:80" x14ac:dyDescent="0.25">
      <c r="BO2956">
        <v>0</v>
      </c>
      <c r="BP2956">
        <v>0</v>
      </c>
      <c r="BQ2956">
        <v>0</v>
      </c>
      <c r="BR2956">
        <v>0</v>
      </c>
      <c r="BS2956">
        <v>0</v>
      </c>
      <c r="BT2956">
        <v>0</v>
      </c>
      <c r="BU2956">
        <v>0</v>
      </c>
      <c r="BV2956">
        <v>0</v>
      </c>
      <c r="BW2956" t="s">
        <v>0</v>
      </c>
      <c r="BX2956">
        <v>0</v>
      </c>
      <c r="BY2956">
        <v>0</v>
      </c>
      <c r="BZ2956">
        <v>0</v>
      </c>
      <c r="CA2956">
        <v>0</v>
      </c>
      <c r="CB2956" t="s">
        <v>145</v>
      </c>
    </row>
    <row r="2957" spans="67:80" x14ac:dyDescent="0.25">
      <c r="BO2957">
        <v>0</v>
      </c>
      <c r="BP2957">
        <v>0</v>
      </c>
      <c r="BQ2957">
        <v>0</v>
      </c>
      <c r="BR2957">
        <v>0</v>
      </c>
      <c r="BS2957">
        <v>0</v>
      </c>
      <c r="BT2957">
        <v>0</v>
      </c>
      <c r="BU2957">
        <v>0</v>
      </c>
      <c r="BV2957">
        <v>0</v>
      </c>
      <c r="BW2957" t="s">
        <v>0</v>
      </c>
      <c r="BX2957">
        <v>0</v>
      </c>
      <c r="BY2957">
        <v>0</v>
      </c>
      <c r="BZ2957">
        <v>0</v>
      </c>
      <c r="CA2957">
        <v>0</v>
      </c>
      <c r="CB2957" t="s">
        <v>145</v>
      </c>
    </row>
    <row r="2958" spans="67:80" x14ac:dyDescent="0.25">
      <c r="BO2958">
        <v>0</v>
      </c>
      <c r="BP2958">
        <v>0</v>
      </c>
      <c r="BQ2958">
        <v>0</v>
      </c>
      <c r="BR2958">
        <v>0</v>
      </c>
      <c r="BS2958">
        <v>0</v>
      </c>
      <c r="BT2958">
        <v>0</v>
      </c>
      <c r="BU2958">
        <v>0</v>
      </c>
      <c r="BV2958">
        <v>0</v>
      </c>
      <c r="BW2958" t="s">
        <v>0</v>
      </c>
      <c r="BX2958">
        <v>0</v>
      </c>
      <c r="BY2958">
        <v>0</v>
      </c>
      <c r="BZ2958">
        <v>0</v>
      </c>
      <c r="CA2958">
        <v>0</v>
      </c>
      <c r="CB2958" t="s">
        <v>145</v>
      </c>
    </row>
    <row r="2959" spans="67:80" x14ac:dyDescent="0.25">
      <c r="BO2959">
        <v>0</v>
      </c>
      <c r="BP2959">
        <v>0</v>
      </c>
      <c r="BQ2959">
        <v>0</v>
      </c>
      <c r="BR2959">
        <v>0</v>
      </c>
      <c r="BS2959">
        <v>0</v>
      </c>
      <c r="BT2959">
        <v>0</v>
      </c>
      <c r="BU2959">
        <v>0</v>
      </c>
      <c r="BV2959">
        <v>0</v>
      </c>
      <c r="BW2959" t="s">
        <v>0</v>
      </c>
      <c r="BX2959">
        <v>0</v>
      </c>
      <c r="BY2959">
        <v>0</v>
      </c>
      <c r="BZ2959">
        <v>0</v>
      </c>
      <c r="CA2959">
        <v>0</v>
      </c>
      <c r="CB2959" t="s">
        <v>145</v>
      </c>
    </row>
    <row r="2960" spans="67:80" x14ac:dyDescent="0.25">
      <c r="BO2960">
        <v>0</v>
      </c>
      <c r="BP2960">
        <v>0</v>
      </c>
      <c r="BQ2960">
        <v>0</v>
      </c>
      <c r="BR2960">
        <v>0</v>
      </c>
      <c r="BS2960">
        <v>0</v>
      </c>
      <c r="BT2960">
        <v>0</v>
      </c>
      <c r="BU2960">
        <v>0</v>
      </c>
      <c r="BV2960">
        <v>0</v>
      </c>
      <c r="BW2960" t="s">
        <v>0</v>
      </c>
      <c r="BX2960">
        <v>0</v>
      </c>
      <c r="BY2960">
        <v>0</v>
      </c>
      <c r="BZ2960">
        <v>0</v>
      </c>
      <c r="CA2960">
        <v>0</v>
      </c>
      <c r="CB2960" t="s">
        <v>145</v>
      </c>
    </row>
    <row r="2961" spans="62:80" x14ac:dyDescent="0.25">
      <c r="BJ2961" s="16"/>
      <c r="BO2961">
        <v>0</v>
      </c>
      <c r="BP2961">
        <v>0</v>
      </c>
      <c r="BQ2961">
        <v>0</v>
      </c>
      <c r="BR2961">
        <v>0</v>
      </c>
      <c r="BS2961">
        <v>0</v>
      </c>
      <c r="BT2961">
        <v>0</v>
      </c>
      <c r="BU2961">
        <v>0</v>
      </c>
      <c r="BV2961">
        <v>0</v>
      </c>
      <c r="BW2961" t="s">
        <v>0</v>
      </c>
      <c r="BX2961">
        <v>0</v>
      </c>
      <c r="BY2961">
        <v>0</v>
      </c>
      <c r="BZ2961">
        <v>0</v>
      </c>
      <c r="CA2961">
        <v>0</v>
      </c>
      <c r="CB2961" t="s">
        <v>145</v>
      </c>
    </row>
    <row r="2962" spans="62:80" x14ac:dyDescent="0.25">
      <c r="BO2962">
        <v>0</v>
      </c>
      <c r="BP2962">
        <v>0</v>
      </c>
      <c r="BQ2962">
        <v>0</v>
      </c>
      <c r="BR2962">
        <v>0</v>
      </c>
      <c r="BS2962">
        <v>0</v>
      </c>
      <c r="BT2962">
        <v>0</v>
      </c>
      <c r="BU2962">
        <v>0</v>
      </c>
      <c r="BV2962">
        <v>0</v>
      </c>
      <c r="BW2962" t="s">
        <v>0</v>
      </c>
      <c r="BX2962">
        <v>0</v>
      </c>
      <c r="BY2962">
        <v>0</v>
      </c>
      <c r="BZ2962">
        <v>0</v>
      </c>
      <c r="CA2962">
        <v>0</v>
      </c>
      <c r="CB2962" t="s">
        <v>145</v>
      </c>
    </row>
    <row r="2963" spans="62:80" x14ac:dyDescent="0.25">
      <c r="BO2963">
        <v>0</v>
      </c>
      <c r="BP2963">
        <v>0</v>
      </c>
      <c r="BQ2963">
        <v>0</v>
      </c>
      <c r="BR2963">
        <v>0</v>
      </c>
      <c r="BS2963">
        <v>0</v>
      </c>
      <c r="BT2963">
        <v>0</v>
      </c>
      <c r="BU2963">
        <v>0</v>
      </c>
      <c r="BV2963">
        <v>0</v>
      </c>
      <c r="BW2963" t="s">
        <v>0</v>
      </c>
      <c r="BX2963">
        <v>0</v>
      </c>
      <c r="BY2963">
        <v>0</v>
      </c>
      <c r="BZ2963">
        <v>0</v>
      </c>
      <c r="CA2963">
        <v>0</v>
      </c>
      <c r="CB2963" t="s">
        <v>145</v>
      </c>
    </row>
    <row r="2964" spans="62:80" x14ac:dyDescent="0.25">
      <c r="BO2964">
        <v>0</v>
      </c>
      <c r="BP2964">
        <v>0</v>
      </c>
      <c r="BQ2964">
        <v>0</v>
      </c>
      <c r="BR2964">
        <v>0</v>
      </c>
      <c r="BS2964">
        <v>0</v>
      </c>
      <c r="BT2964">
        <v>0</v>
      </c>
      <c r="BU2964">
        <v>0</v>
      </c>
      <c r="BV2964">
        <v>0</v>
      </c>
      <c r="BW2964" t="s">
        <v>0</v>
      </c>
      <c r="BX2964">
        <v>0</v>
      </c>
      <c r="BY2964">
        <v>0</v>
      </c>
      <c r="BZ2964">
        <v>0</v>
      </c>
      <c r="CA2964">
        <v>0</v>
      </c>
      <c r="CB2964" t="s">
        <v>145</v>
      </c>
    </row>
    <row r="2965" spans="62:80" x14ac:dyDescent="0.25">
      <c r="BO2965">
        <v>0</v>
      </c>
      <c r="BP2965">
        <v>0</v>
      </c>
      <c r="BQ2965">
        <v>0</v>
      </c>
      <c r="BR2965">
        <v>0</v>
      </c>
      <c r="BS2965">
        <v>0</v>
      </c>
      <c r="BT2965">
        <v>0</v>
      </c>
      <c r="BU2965">
        <v>0</v>
      </c>
      <c r="BV2965">
        <v>0</v>
      </c>
      <c r="BW2965" t="s">
        <v>0</v>
      </c>
      <c r="BX2965">
        <v>0</v>
      </c>
      <c r="BY2965">
        <v>0</v>
      </c>
      <c r="BZ2965">
        <v>0</v>
      </c>
      <c r="CA2965">
        <v>0</v>
      </c>
      <c r="CB2965" t="s">
        <v>145</v>
      </c>
    </row>
    <row r="2966" spans="62:80" x14ac:dyDescent="0.25">
      <c r="BO2966">
        <v>0</v>
      </c>
      <c r="BP2966">
        <v>0</v>
      </c>
      <c r="BQ2966">
        <v>0</v>
      </c>
      <c r="BR2966">
        <v>0</v>
      </c>
      <c r="BS2966">
        <v>0</v>
      </c>
      <c r="BT2966">
        <v>0</v>
      </c>
      <c r="BU2966">
        <v>0</v>
      </c>
      <c r="BV2966">
        <v>0</v>
      </c>
      <c r="BW2966" t="s">
        <v>0</v>
      </c>
      <c r="BX2966">
        <v>0</v>
      </c>
      <c r="BY2966">
        <v>0</v>
      </c>
      <c r="BZ2966">
        <v>0</v>
      </c>
      <c r="CA2966">
        <v>0</v>
      </c>
      <c r="CB2966" t="s">
        <v>145</v>
      </c>
    </row>
    <row r="2967" spans="62:80" x14ac:dyDescent="0.25">
      <c r="BO2967">
        <v>0</v>
      </c>
      <c r="BP2967">
        <v>0</v>
      </c>
      <c r="BQ2967">
        <v>0</v>
      </c>
      <c r="BR2967">
        <v>0</v>
      </c>
      <c r="BS2967">
        <v>0</v>
      </c>
      <c r="BT2967">
        <v>0</v>
      </c>
      <c r="BU2967">
        <v>0</v>
      </c>
      <c r="BV2967">
        <v>0</v>
      </c>
      <c r="BW2967" t="s">
        <v>0</v>
      </c>
      <c r="BX2967">
        <v>0</v>
      </c>
      <c r="BY2967">
        <v>0</v>
      </c>
      <c r="BZ2967">
        <v>0</v>
      </c>
      <c r="CA2967">
        <v>0</v>
      </c>
      <c r="CB2967" t="s">
        <v>145</v>
      </c>
    </row>
    <row r="2968" spans="62:80" x14ac:dyDescent="0.25">
      <c r="BO2968">
        <v>0</v>
      </c>
      <c r="BP2968">
        <v>0</v>
      </c>
      <c r="BQ2968">
        <v>0</v>
      </c>
      <c r="BR2968">
        <v>0</v>
      </c>
      <c r="BS2968">
        <v>0</v>
      </c>
      <c r="BT2968">
        <v>0</v>
      </c>
      <c r="BU2968">
        <v>0</v>
      </c>
      <c r="BV2968">
        <v>0</v>
      </c>
      <c r="BW2968" t="s">
        <v>0</v>
      </c>
      <c r="BX2968">
        <v>0</v>
      </c>
      <c r="BY2968">
        <v>0</v>
      </c>
      <c r="BZ2968">
        <v>0</v>
      </c>
      <c r="CA2968">
        <v>0</v>
      </c>
      <c r="CB2968" t="s">
        <v>145</v>
      </c>
    </row>
    <row r="2969" spans="62:80" x14ac:dyDescent="0.25">
      <c r="BO2969">
        <v>0</v>
      </c>
      <c r="BP2969">
        <v>0</v>
      </c>
      <c r="BQ2969">
        <v>0</v>
      </c>
      <c r="BR2969">
        <v>0</v>
      </c>
      <c r="BS2969">
        <v>0</v>
      </c>
      <c r="BT2969">
        <v>0</v>
      </c>
      <c r="BU2969">
        <v>0</v>
      </c>
      <c r="BV2969">
        <v>0</v>
      </c>
      <c r="BW2969" t="s">
        <v>0</v>
      </c>
      <c r="BX2969">
        <v>0</v>
      </c>
      <c r="BY2969">
        <v>0</v>
      </c>
      <c r="BZ2969">
        <v>0</v>
      </c>
      <c r="CA2969">
        <v>0</v>
      </c>
      <c r="CB2969" t="s">
        <v>145</v>
      </c>
    </row>
    <row r="2970" spans="62:80" x14ac:dyDescent="0.25">
      <c r="BO2970">
        <v>0</v>
      </c>
      <c r="BP2970">
        <v>0</v>
      </c>
      <c r="BQ2970">
        <v>0</v>
      </c>
      <c r="BR2970">
        <v>0</v>
      </c>
      <c r="BS2970">
        <v>0</v>
      </c>
      <c r="BT2970">
        <v>0</v>
      </c>
      <c r="BU2970">
        <v>0</v>
      </c>
      <c r="BV2970">
        <v>0</v>
      </c>
      <c r="BW2970" t="s">
        <v>0</v>
      </c>
      <c r="BX2970">
        <v>0</v>
      </c>
      <c r="BY2970">
        <v>0</v>
      </c>
      <c r="BZ2970">
        <v>0</v>
      </c>
      <c r="CA2970">
        <v>0</v>
      </c>
      <c r="CB2970" t="s">
        <v>145</v>
      </c>
    </row>
    <row r="2971" spans="62:80" x14ac:dyDescent="0.25">
      <c r="BO2971">
        <v>0</v>
      </c>
      <c r="BP2971">
        <v>0</v>
      </c>
      <c r="BQ2971">
        <v>0</v>
      </c>
      <c r="BR2971">
        <v>0</v>
      </c>
      <c r="BS2971">
        <v>0</v>
      </c>
      <c r="BT2971">
        <v>0</v>
      </c>
      <c r="BU2971">
        <v>0</v>
      </c>
      <c r="BV2971">
        <v>0</v>
      </c>
      <c r="BW2971" t="s">
        <v>0</v>
      </c>
      <c r="BX2971">
        <v>0</v>
      </c>
      <c r="BY2971">
        <v>0</v>
      </c>
      <c r="BZ2971">
        <v>0</v>
      </c>
      <c r="CA2971">
        <v>0</v>
      </c>
      <c r="CB2971" t="s">
        <v>145</v>
      </c>
    </row>
    <row r="2972" spans="62:80" x14ac:dyDescent="0.25">
      <c r="BO2972">
        <v>0</v>
      </c>
      <c r="BP2972">
        <v>0</v>
      </c>
      <c r="BQ2972">
        <v>0</v>
      </c>
      <c r="BR2972">
        <v>0</v>
      </c>
      <c r="BS2972">
        <v>0</v>
      </c>
      <c r="BT2972">
        <v>0</v>
      </c>
      <c r="BU2972">
        <v>0</v>
      </c>
      <c r="BV2972">
        <v>0</v>
      </c>
      <c r="BW2972" t="s">
        <v>0</v>
      </c>
      <c r="BX2972">
        <v>0</v>
      </c>
      <c r="BY2972">
        <v>0</v>
      </c>
      <c r="BZ2972">
        <v>0</v>
      </c>
      <c r="CA2972">
        <v>0</v>
      </c>
      <c r="CB2972" t="s">
        <v>145</v>
      </c>
    </row>
    <row r="2973" spans="62:80" x14ac:dyDescent="0.25">
      <c r="BO2973">
        <v>0</v>
      </c>
      <c r="BP2973">
        <v>0</v>
      </c>
      <c r="BQ2973">
        <v>0</v>
      </c>
      <c r="BR2973">
        <v>0</v>
      </c>
      <c r="BS2973">
        <v>0</v>
      </c>
      <c r="BT2973">
        <v>0</v>
      </c>
      <c r="BU2973">
        <v>0</v>
      </c>
      <c r="BV2973">
        <v>0</v>
      </c>
      <c r="BW2973" t="s">
        <v>0</v>
      </c>
      <c r="BX2973">
        <v>0</v>
      </c>
      <c r="BY2973">
        <v>0</v>
      </c>
      <c r="BZ2973">
        <v>0</v>
      </c>
      <c r="CA2973">
        <v>0</v>
      </c>
      <c r="CB2973" t="s">
        <v>145</v>
      </c>
    </row>
    <row r="2974" spans="62:80" x14ac:dyDescent="0.25">
      <c r="BO2974">
        <v>0</v>
      </c>
      <c r="BP2974">
        <v>0</v>
      </c>
      <c r="BQ2974">
        <v>0</v>
      </c>
      <c r="BR2974">
        <v>0</v>
      </c>
      <c r="BS2974">
        <v>0</v>
      </c>
      <c r="BT2974">
        <v>0</v>
      </c>
      <c r="BU2974">
        <v>0</v>
      </c>
      <c r="BV2974">
        <v>0</v>
      </c>
      <c r="BW2974" t="s">
        <v>0</v>
      </c>
      <c r="BX2974">
        <v>0</v>
      </c>
      <c r="BY2974">
        <v>0</v>
      </c>
      <c r="BZ2974">
        <v>0</v>
      </c>
      <c r="CA2974">
        <v>0</v>
      </c>
      <c r="CB2974" t="s">
        <v>145</v>
      </c>
    </row>
    <row r="2975" spans="62:80" x14ac:dyDescent="0.25">
      <c r="BO2975">
        <v>0</v>
      </c>
      <c r="BP2975">
        <v>0</v>
      </c>
      <c r="BQ2975">
        <v>0</v>
      </c>
      <c r="BR2975">
        <v>0</v>
      </c>
      <c r="BS2975">
        <v>0</v>
      </c>
      <c r="BT2975">
        <v>0</v>
      </c>
      <c r="BU2975">
        <v>0</v>
      </c>
      <c r="BV2975">
        <v>0</v>
      </c>
      <c r="BW2975" t="s">
        <v>0</v>
      </c>
      <c r="BX2975">
        <v>0</v>
      </c>
      <c r="BY2975">
        <v>0</v>
      </c>
      <c r="BZ2975">
        <v>0</v>
      </c>
      <c r="CA2975">
        <v>0</v>
      </c>
      <c r="CB2975" t="s">
        <v>145</v>
      </c>
    </row>
    <row r="2976" spans="62:80" x14ac:dyDescent="0.25">
      <c r="BO2976">
        <v>0</v>
      </c>
      <c r="BP2976">
        <v>0</v>
      </c>
      <c r="BQ2976">
        <v>0</v>
      </c>
      <c r="BR2976">
        <v>0</v>
      </c>
      <c r="BS2976">
        <v>0</v>
      </c>
      <c r="BT2976">
        <v>0</v>
      </c>
      <c r="BU2976">
        <v>0</v>
      </c>
      <c r="BV2976">
        <v>0</v>
      </c>
      <c r="BW2976" t="s">
        <v>0</v>
      </c>
      <c r="BX2976">
        <v>0</v>
      </c>
      <c r="BY2976">
        <v>0</v>
      </c>
      <c r="BZ2976">
        <v>0</v>
      </c>
      <c r="CA2976">
        <v>0</v>
      </c>
      <c r="CB2976" t="s">
        <v>145</v>
      </c>
    </row>
    <row r="2977" spans="67:80" x14ac:dyDescent="0.25">
      <c r="BO2977">
        <v>0</v>
      </c>
      <c r="BP2977">
        <v>0</v>
      </c>
      <c r="BQ2977">
        <v>0</v>
      </c>
      <c r="BR2977">
        <v>0</v>
      </c>
      <c r="BS2977">
        <v>0</v>
      </c>
      <c r="BT2977">
        <v>0</v>
      </c>
      <c r="BU2977">
        <v>0</v>
      </c>
      <c r="BV2977">
        <v>0</v>
      </c>
      <c r="BW2977" t="s">
        <v>0</v>
      </c>
      <c r="BX2977">
        <v>0</v>
      </c>
      <c r="BY2977">
        <v>0</v>
      </c>
      <c r="BZ2977">
        <v>0</v>
      </c>
      <c r="CA2977">
        <v>0</v>
      </c>
      <c r="CB2977" t="s">
        <v>145</v>
      </c>
    </row>
    <row r="2978" spans="67:80" x14ac:dyDescent="0.25">
      <c r="BO2978">
        <v>0</v>
      </c>
      <c r="BP2978">
        <v>0</v>
      </c>
      <c r="BQ2978">
        <v>0</v>
      </c>
      <c r="BR2978">
        <v>0</v>
      </c>
      <c r="BS2978">
        <v>0</v>
      </c>
      <c r="BT2978">
        <v>0</v>
      </c>
      <c r="BU2978">
        <v>0</v>
      </c>
      <c r="BV2978">
        <v>0</v>
      </c>
      <c r="BW2978" t="s">
        <v>0</v>
      </c>
      <c r="BX2978">
        <v>0</v>
      </c>
      <c r="BY2978">
        <v>0</v>
      </c>
      <c r="BZ2978">
        <v>0</v>
      </c>
      <c r="CA2978">
        <v>0</v>
      </c>
      <c r="CB2978" t="s">
        <v>145</v>
      </c>
    </row>
    <row r="2979" spans="67:80" x14ac:dyDescent="0.25">
      <c r="BO2979">
        <v>0</v>
      </c>
      <c r="BP2979">
        <v>0</v>
      </c>
      <c r="BQ2979">
        <v>0</v>
      </c>
      <c r="BR2979">
        <v>0</v>
      </c>
      <c r="BS2979">
        <v>0</v>
      </c>
      <c r="BT2979">
        <v>0</v>
      </c>
      <c r="BU2979">
        <v>0</v>
      </c>
      <c r="BV2979">
        <v>0</v>
      </c>
      <c r="BW2979" t="s">
        <v>0</v>
      </c>
      <c r="BX2979">
        <v>0</v>
      </c>
      <c r="BY2979">
        <v>0</v>
      </c>
      <c r="BZ2979">
        <v>0</v>
      </c>
      <c r="CA2979">
        <v>0</v>
      </c>
      <c r="CB2979" t="s">
        <v>145</v>
      </c>
    </row>
    <row r="2980" spans="67:80" x14ac:dyDescent="0.25">
      <c r="BO2980">
        <v>0</v>
      </c>
      <c r="BP2980">
        <v>0</v>
      </c>
      <c r="BQ2980">
        <v>0</v>
      </c>
      <c r="BR2980">
        <v>0</v>
      </c>
      <c r="BS2980">
        <v>0</v>
      </c>
      <c r="BT2980">
        <v>0</v>
      </c>
      <c r="BU2980">
        <v>0</v>
      </c>
      <c r="BV2980">
        <v>0</v>
      </c>
      <c r="BW2980" t="s">
        <v>0</v>
      </c>
      <c r="BX2980">
        <v>0</v>
      </c>
      <c r="BY2980">
        <v>0</v>
      </c>
      <c r="BZ2980">
        <v>0</v>
      </c>
      <c r="CA2980">
        <v>0</v>
      </c>
      <c r="CB2980" t="s">
        <v>145</v>
      </c>
    </row>
    <row r="2981" spans="67:80" x14ac:dyDescent="0.25">
      <c r="BO2981">
        <v>0</v>
      </c>
      <c r="BP2981">
        <v>0</v>
      </c>
      <c r="BQ2981">
        <v>0</v>
      </c>
      <c r="BR2981">
        <v>0</v>
      </c>
      <c r="BS2981">
        <v>0</v>
      </c>
      <c r="BT2981">
        <v>0</v>
      </c>
      <c r="BU2981">
        <v>0</v>
      </c>
      <c r="BV2981">
        <v>0</v>
      </c>
      <c r="BW2981" t="s">
        <v>0</v>
      </c>
      <c r="BX2981">
        <v>0</v>
      </c>
      <c r="BY2981">
        <v>0</v>
      </c>
      <c r="BZ2981">
        <v>0</v>
      </c>
      <c r="CA2981">
        <v>0</v>
      </c>
      <c r="CB2981" t="s">
        <v>145</v>
      </c>
    </row>
    <row r="2982" spans="67:80" x14ac:dyDescent="0.25">
      <c r="BO2982">
        <v>0</v>
      </c>
      <c r="BP2982">
        <v>0</v>
      </c>
      <c r="BQ2982">
        <v>0</v>
      </c>
      <c r="BR2982">
        <v>0</v>
      </c>
      <c r="BS2982">
        <v>0</v>
      </c>
      <c r="BT2982">
        <v>0</v>
      </c>
      <c r="BU2982">
        <v>0</v>
      </c>
      <c r="BV2982">
        <v>0</v>
      </c>
      <c r="BW2982" t="s">
        <v>0</v>
      </c>
      <c r="BX2982">
        <v>0</v>
      </c>
      <c r="BY2982">
        <v>0</v>
      </c>
      <c r="BZ2982">
        <v>0</v>
      </c>
      <c r="CA2982">
        <v>0</v>
      </c>
      <c r="CB2982" t="s">
        <v>145</v>
      </c>
    </row>
    <row r="2983" spans="67:80" x14ac:dyDescent="0.25">
      <c r="BO2983">
        <v>0</v>
      </c>
      <c r="BP2983">
        <v>0</v>
      </c>
      <c r="BQ2983">
        <v>0</v>
      </c>
      <c r="BR2983">
        <v>0</v>
      </c>
      <c r="BS2983">
        <v>0</v>
      </c>
      <c r="BT2983">
        <v>0</v>
      </c>
      <c r="BU2983">
        <v>0</v>
      </c>
      <c r="BV2983">
        <v>0</v>
      </c>
      <c r="BW2983" t="s">
        <v>0</v>
      </c>
      <c r="BX2983">
        <v>0</v>
      </c>
      <c r="BY2983">
        <v>0</v>
      </c>
      <c r="BZ2983">
        <v>0</v>
      </c>
      <c r="CA2983">
        <v>0</v>
      </c>
      <c r="CB2983" t="s">
        <v>145</v>
      </c>
    </row>
    <row r="2984" spans="67:80" x14ac:dyDescent="0.25">
      <c r="BO2984">
        <v>0</v>
      </c>
      <c r="BP2984">
        <v>0</v>
      </c>
      <c r="BQ2984">
        <v>0</v>
      </c>
      <c r="BR2984">
        <v>0</v>
      </c>
      <c r="BS2984">
        <v>0</v>
      </c>
      <c r="BT2984">
        <v>0</v>
      </c>
      <c r="BU2984">
        <v>0</v>
      </c>
      <c r="BV2984">
        <v>0</v>
      </c>
      <c r="BW2984" t="s">
        <v>0</v>
      </c>
      <c r="BX2984">
        <v>0</v>
      </c>
      <c r="BY2984">
        <v>0</v>
      </c>
      <c r="BZ2984">
        <v>0</v>
      </c>
      <c r="CA2984">
        <v>0</v>
      </c>
      <c r="CB2984" t="s">
        <v>145</v>
      </c>
    </row>
    <row r="2985" spans="67:80" x14ac:dyDescent="0.25">
      <c r="BO2985">
        <v>0</v>
      </c>
      <c r="BP2985">
        <v>0</v>
      </c>
      <c r="BQ2985">
        <v>0</v>
      </c>
      <c r="BR2985">
        <v>0</v>
      </c>
      <c r="BS2985">
        <v>0</v>
      </c>
      <c r="BT2985">
        <v>0</v>
      </c>
      <c r="BU2985">
        <v>0</v>
      </c>
      <c r="BV2985">
        <v>0</v>
      </c>
      <c r="BW2985" t="s">
        <v>0</v>
      </c>
      <c r="BX2985">
        <v>0</v>
      </c>
      <c r="BY2985">
        <v>0</v>
      </c>
      <c r="BZ2985">
        <v>0</v>
      </c>
      <c r="CA2985">
        <v>0</v>
      </c>
      <c r="CB2985" t="s">
        <v>145</v>
      </c>
    </row>
    <row r="2986" spans="67:80" x14ac:dyDescent="0.25">
      <c r="BO2986">
        <v>0</v>
      </c>
      <c r="BP2986">
        <v>0</v>
      </c>
      <c r="BQ2986">
        <v>0</v>
      </c>
      <c r="BR2986">
        <v>0</v>
      </c>
      <c r="BS2986">
        <v>0</v>
      </c>
      <c r="BT2986">
        <v>0</v>
      </c>
      <c r="BU2986">
        <v>0</v>
      </c>
      <c r="BV2986">
        <v>0</v>
      </c>
      <c r="BW2986" t="s">
        <v>0</v>
      </c>
      <c r="BX2986">
        <v>0</v>
      </c>
      <c r="BY2986">
        <v>0</v>
      </c>
      <c r="BZ2986">
        <v>0</v>
      </c>
      <c r="CA2986">
        <v>0</v>
      </c>
      <c r="CB2986" t="s">
        <v>145</v>
      </c>
    </row>
    <row r="2987" spans="67:80" x14ac:dyDescent="0.25">
      <c r="BO2987">
        <v>0</v>
      </c>
      <c r="BP2987">
        <v>0</v>
      </c>
      <c r="BQ2987">
        <v>0</v>
      </c>
      <c r="BR2987">
        <v>0</v>
      </c>
      <c r="BS2987">
        <v>0</v>
      </c>
      <c r="BT2987">
        <v>0</v>
      </c>
      <c r="BU2987">
        <v>0</v>
      </c>
      <c r="BV2987">
        <v>0</v>
      </c>
      <c r="BW2987" t="s">
        <v>0</v>
      </c>
      <c r="BX2987">
        <v>0</v>
      </c>
      <c r="BY2987">
        <v>0</v>
      </c>
      <c r="BZ2987">
        <v>0</v>
      </c>
      <c r="CA2987">
        <v>0</v>
      </c>
      <c r="CB2987" t="s">
        <v>145</v>
      </c>
    </row>
    <row r="2988" spans="67:80" x14ac:dyDescent="0.25">
      <c r="BO2988">
        <v>0</v>
      </c>
      <c r="BP2988">
        <v>0</v>
      </c>
      <c r="BQ2988">
        <v>0</v>
      </c>
      <c r="BR2988">
        <v>0</v>
      </c>
      <c r="BS2988">
        <v>0</v>
      </c>
      <c r="BT2988">
        <v>0</v>
      </c>
      <c r="BU2988">
        <v>0</v>
      </c>
      <c r="BV2988">
        <v>0</v>
      </c>
      <c r="BW2988" t="s">
        <v>0</v>
      </c>
      <c r="BX2988">
        <v>0</v>
      </c>
      <c r="BY2988">
        <v>0</v>
      </c>
      <c r="BZ2988">
        <v>0</v>
      </c>
      <c r="CA2988">
        <v>0</v>
      </c>
      <c r="CB2988" t="s">
        <v>145</v>
      </c>
    </row>
    <row r="2989" spans="67:80" x14ac:dyDescent="0.25">
      <c r="BO2989">
        <v>0</v>
      </c>
      <c r="BP2989">
        <v>0</v>
      </c>
      <c r="BQ2989">
        <v>0</v>
      </c>
      <c r="BR2989">
        <v>0</v>
      </c>
      <c r="BS2989">
        <v>0</v>
      </c>
      <c r="BT2989">
        <v>0</v>
      </c>
      <c r="BU2989">
        <v>0</v>
      </c>
      <c r="BV2989">
        <v>0</v>
      </c>
      <c r="BW2989" t="s">
        <v>0</v>
      </c>
      <c r="BX2989">
        <v>0</v>
      </c>
      <c r="BY2989">
        <v>0</v>
      </c>
      <c r="BZ2989">
        <v>0</v>
      </c>
      <c r="CA2989">
        <v>0</v>
      </c>
      <c r="CB2989" t="s">
        <v>145</v>
      </c>
    </row>
    <row r="2990" spans="67:80" x14ac:dyDescent="0.25">
      <c r="BO2990">
        <v>0</v>
      </c>
      <c r="BP2990">
        <v>0</v>
      </c>
      <c r="BQ2990">
        <v>0</v>
      </c>
      <c r="BR2990">
        <v>0</v>
      </c>
      <c r="BS2990">
        <v>0</v>
      </c>
      <c r="BT2990">
        <v>0</v>
      </c>
      <c r="BU2990">
        <v>0</v>
      </c>
      <c r="BV2990">
        <v>0</v>
      </c>
      <c r="BW2990" t="s">
        <v>0</v>
      </c>
      <c r="BX2990">
        <v>0</v>
      </c>
      <c r="BY2990">
        <v>0</v>
      </c>
      <c r="BZ2990">
        <v>0</v>
      </c>
      <c r="CA2990">
        <v>0</v>
      </c>
      <c r="CB2990" t="s">
        <v>145</v>
      </c>
    </row>
    <row r="2991" spans="67:80" x14ac:dyDescent="0.25">
      <c r="BO2991">
        <v>0</v>
      </c>
      <c r="BP2991">
        <v>0</v>
      </c>
      <c r="BQ2991">
        <v>0</v>
      </c>
      <c r="BR2991">
        <v>0</v>
      </c>
      <c r="BS2991">
        <v>0</v>
      </c>
      <c r="BT2991">
        <v>0</v>
      </c>
      <c r="BU2991">
        <v>0</v>
      </c>
      <c r="BV2991">
        <v>0</v>
      </c>
      <c r="BW2991" t="s">
        <v>0</v>
      </c>
      <c r="BX2991">
        <v>0</v>
      </c>
      <c r="BY2991">
        <v>0</v>
      </c>
      <c r="BZ2991">
        <v>0</v>
      </c>
      <c r="CA2991">
        <v>0</v>
      </c>
      <c r="CB2991" t="s">
        <v>145</v>
      </c>
    </row>
    <row r="2992" spans="67:80" x14ac:dyDescent="0.25">
      <c r="BO2992">
        <v>0</v>
      </c>
      <c r="BP2992">
        <v>0</v>
      </c>
      <c r="BQ2992">
        <v>0</v>
      </c>
      <c r="BR2992">
        <v>0</v>
      </c>
      <c r="BS2992">
        <v>0</v>
      </c>
      <c r="BT2992">
        <v>0</v>
      </c>
      <c r="BU2992">
        <v>0</v>
      </c>
      <c r="BV2992">
        <v>0</v>
      </c>
      <c r="BW2992" t="s">
        <v>0</v>
      </c>
      <c r="BX2992">
        <v>0</v>
      </c>
      <c r="BY2992">
        <v>0</v>
      </c>
      <c r="BZ2992">
        <v>0</v>
      </c>
      <c r="CA2992">
        <v>0</v>
      </c>
      <c r="CB2992" t="s">
        <v>145</v>
      </c>
    </row>
    <row r="2993" spans="67:80" x14ac:dyDescent="0.25">
      <c r="BO2993">
        <v>0</v>
      </c>
      <c r="BP2993">
        <v>0</v>
      </c>
      <c r="BQ2993">
        <v>0</v>
      </c>
      <c r="BR2993">
        <v>0</v>
      </c>
      <c r="BS2993">
        <v>0</v>
      </c>
      <c r="BT2993">
        <v>0</v>
      </c>
      <c r="BU2993">
        <v>0</v>
      </c>
      <c r="BV2993">
        <v>0</v>
      </c>
      <c r="BW2993" t="s">
        <v>0</v>
      </c>
      <c r="BX2993">
        <v>0</v>
      </c>
      <c r="BY2993">
        <v>0</v>
      </c>
      <c r="BZ2993">
        <v>0</v>
      </c>
      <c r="CA2993">
        <v>0</v>
      </c>
      <c r="CB2993" t="s">
        <v>145</v>
      </c>
    </row>
    <row r="2994" spans="67:80" x14ac:dyDescent="0.25">
      <c r="BO2994">
        <v>0</v>
      </c>
      <c r="BP2994">
        <v>0</v>
      </c>
      <c r="BQ2994">
        <v>0</v>
      </c>
      <c r="BR2994">
        <v>0</v>
      </c>
      <c r="BS2994">
        <v>0</v>
      </c>
      <c r="BT2994">
        <v>0</v>
      </c>
      <c r="BU2994">
        <v>0</v>
      </c>
      <c r="BV2994">
        <v>0</v>
      </c>
      <c r="BW2994" t="s">
        <v>0</v>
      </c>
      <c r="BX2994">
        <v>0</v>
      </c>
      <c r="BY2994">
        <v>0</v>
      </c>
      <c r="BZ2994">
        <v>0</v>
      </c>
      <c r="CA2994">
        <v>0</v>
      </c>
      <c r="CB2994" t="s">
        <v>145</v>
      </c>
    </row>
    <row r="2995" spans="67:80" x14ac:dyDescent="0.25">
      <c r="BO2995">
        <v>0</v>
      </c>
      <c r="BP2995">
        <v>0</v>
      </c>
      <c r="BQ2995">
        <v>0</v>
      </c>
      <c r="BR2995">
        <v>0</v>
      </c>
      <c r="BS2995">
        <v>0</v>
      </c>
      <c r="BT2995">
        <v>0</v>
      </c>
      <c r="BU2995">
        <v>0</v>
      </c>
      <c r="BV2995">
        <v>0</v>
      </c>
      <c r="BW2995" t="s">
        <v>0</v>
      </c>
      <c r="BX2995">
        <v>0</v>
      </c>
      <c r="BY2995">
        <v>0</v>
      </c>
      <c r="BZ2995">
        <v>0</v>
      </c>
      <c r="CA2995">
        <v>0</v>
      </c>
      <c r="CB2995" t="s">
        <v>145</v>
      </c>
    </row>
    <row r="2996" spans="67:80" x14ac:dyDescent="0.25">
      <c r="BO2996">
        <v>0</v>
      </c>
      <c r="BP2996">
        <v>0</v>
      </c>
      <c r="BQ2996">
        <v>0</v>
      </c>
      <c r="BR2996">
        <v>0</v>
      </c>
      <c r="BS2996">
        <v>0</v>
      </c>
      <c r="BT2996">
        <v>0</v>
      </c>
      <c r="BU2996">
        <v>0</v>
      </c>
      <c r="BV2996">
        <v>0</v>
      </c>
      <c r="BW2996" t="s">
        <v>0</v>
      </c>
      <c r="BX2996">
        <v>0</v>
      </c>
      <c r="BY2996">
        <v>0</v>
      </c>
      <c r="BZ2996">
        <v>0</v>
      </c>
      <c r="CA2996">
        <v>0</v>
      </c>
      <c r="CB2996" t="s">
        <v>145</v>
      </c>
    </row>
    <row r="2997" spans="67:80" x14ac:dyDescent="0.25">
      <c r="BO2997">
        <v>0</v>
      </c>
      <c r="BP2997">
        <v>0</v>
      </c>
      <c r="BQ2997">
        <v>0</v>
      </c>
      <c r="BR2997">
        <v>0</v>
      </c>
      <c r="BS2997">
        <v>0</v>
      </c>
      <c r="BT2997">
        <v>0</v>
      </c>
      <c r="BU2997">
        <v>0</v>
      </c>
      <c r="BV2997">
        <v>0</v>
      </c>
      <c r="BW2997" t="s">
        <v>0</v>
      </c>
      <c r="BX2997">
        <v>0</v>
      </c>
      <c r="BY2997">
        <v>0</v>
      </c>
      <c r="BZ2997">
        <v>0</v>
      </c>
      <c r="CA2997">
        <v>0</v>
      </c>
      <c r="CB2997" t="s">
        <v>145</v>
      </c>
    </row>
    <row r="2998" spans="67:80" x14ac:dyDescent="0.25">
      <c r="BO2998">
        <v>0</v>
      </c>
      <c r="BP2998">
        <v>0</v>
      </c>
      <c r="BQ2998">
        <v>0</v>
      </c>
      <c r="BR2998">
        <v>0</v>
      </c>
      <c r="BS2998">
        <v>0</v>
      </c>
      <c r="BT2998">
        <v>0</v>
      </c>
      <c r="BU2998">
        <v>0</v>
      </c>
      <c r="BV2998">
        <v>0</v>
      </c>
      <c r="BW2998" t="s">
        <v>0</v>
      </c>
      <c r="BX2998">
        <v>0</v>
      </c>
      <c r="BY2998">
        <v>0</v>
      </c>
      <c r="BZ2998">
        <v>0</v>
      </c>
      <c r="CA2998">
        <v>0</v>
      </c>
      <c r="CB2998" t="s">
        <v>145</v>
      </c>
    </row>
    <row r="2999" spans="67:80" x14ac:dyDescent="0.25">
      <c r="BO2999">
        <v>0</v>
      </c>
      <c r="BP2999">
        <v>0</v>
      </c>
      <c r="BQ2999">
        <v>0</v>
      </c>
      <c r="BR2999">
        <v>0</v>
      </c>
      <c r="BS2999">
        <v>0</v>
      </c>
      <c r="BT2999">
        <v>0</v>
      </c>
      <c r="BU2999">
        <v>0</v>
      </c>
      <c r="BV2999">
        <v>0</v>
      </c>
      <c r="BW2999" t="s">
        <v>0</v>
      </c>
      <c r="BX2999">
        <v>0</v>
      </c>
      <c r="BY2999">
        <v>0</v>
      </c>
      <c r="BZ2999">
        <v>0</v>
      </c>
      <c r="CA2999">
        <v>0</v>
      </c>
      <c r="CB2999" t="s">
        <v>145</v>
      </c>
    </row>
    <row r="3000" spans="67:80" x14ac:dyDescent="0.25">
      <c r="BO3000">
        <v>0</v>
      </c>
      <c r="BP3000">
        <v>0</v>
      </c>
      <c r="BQ3000">
        <v>0</v>
      </c>
      <c r="BR3000">
        <v>0</v>
      </c>
      <c r="BS3000">
        <v>0</v>
      </c>
      <c r="BT3000">
        <v>0</v>
      </c>
      <c r="BU3000">
        <v>0</v>
      </c>
      <c r="BV3000">
        <v>0</v>
      </c>
      <c r="BW3000" t="s">
        <v>0</v>
      </c>
      <c r="BX3000">
        <v>0</v>
      </c>
      <c r="BY3000">
        <v>0</v>
      </c>
      <c r="BZ3000">
        <v>0</v>
      </c>
      <c r="CA3000">
        <v>0</v>
      </c>
      <c r="CB3000" t="s">
        <v>145</v>
      </c>
    </row>
    <row r="3001" spans="67:80" x14ac:dyDescent="0.25">
      <c r="BO3001">
        <v>0</v>
      </c>
      <c r="BP3001">
        <v>0</v>
      </c>
      <c r="BQ3001">
        <v>0</v>
      </c>
      <c r="BR3001">
        <v>0</v>
      </c>
      <c r="BS3001">
        <v>0</v>
      </c>
      <c r="BT3001">
        <v>0</v>
      </c>
      <c r="BU3001">
        <v>0</v>
      </c>
      <c r="BV3001">
        <v>0</v>
      </c>
      <c r="BW3001" t="s">
        <v>0</v>
      </c>
      <c r="BX3001">
        <v>0</v>
      </c>
      <c r="BY3001">
        <v>0</v>
      </c>
      <c r="BZ3001">
        <v>0</v>
      </c>
      <c r="CA3001">
        <v>0</v>
      </c>
      <c r="CB3001" t="s">
        <v>145</v>
      </c>
    </row>
    <row r="3002" spans="67:80" x14ac:dyDescent="0.25">
      <c r="BO3002">
        <v>0</v>
      </c>
      <c r="BP3002">
        <v>0</v>
      </c>
      <c r="BQ3002">
        <v>0</v>
      </c>
      <c r="BR3002">
        <v>0</v>
      </c>
      <c r="BS3002">
        <v>0</v>
      </c>
      <c r="BT3002">
        <v>0</v>
      </c>
      <c r="BU3002">
        <v>0</v>
      </c>
      <c r="BV3002">
        <v>0</v>
      </c>
      <c r="BW3002" t="s">
        <v>0</v>
      </c>
      <c r="BX3002">
        <v>0</v>
      </c>
      <c r="BY3002">
        <v>0</v>
      </c>
      <c r="BZ3002">
        <v>0</v>
      </c>
      <c r="CA3002">
        <v>0</v>
      </c>
      <c r="CB3002" t="s">
        <v>145</v>
      </c>
    </row>
    <row r="3003" spans="67:80" x14ac:dyDescent="0.25">
      <c r="BO3003">
        <v>0</v>
      </c>
      <c r="BP3003">
        <v>0</v>
      </c>
      <c r="BQ3003">
        <v>0</v>
      </c>
      <c r="BR3003">
        <v>0</v>
      </c>
      <c r="BS3003">
        <v>0</v>
      </c>
      <c r="BT3003">
        <v>0</v>
      </c>
      <c r="BU3003">
        <v>0</v>
      </c>
      <c r="BV3003">
        <v>0</v>
      </c>
      <c r="BW3003" t="s">
        <v>0</v>
      </c>
      <c r="BX3003">
        <v>0</v>
      </c>
      <c r="BY3003">
        <v>0</v>
      </c>
      <c r="BZ3003">
        <v>0</v>
      </c>
      <c r="CA3003">
        <v>0</v>
      </c>
      <c r="CB3003" t="s">
        <v>145</v>
      </c>
    </row>
    <row r="3004" spans="67:80" x14ac:dyDescent="0.25">
      <c r="BO3004">
        <v>0</v>
      </c>
      <c r="BP3004">
        <v>0</v>
      </c>
      <c r="BQ3004">
        <v>0</v>
      </c>
      <c r="BR3004">
        <v>0</v>
      </c>
      <c r="BS3004">
        <v>0</v>
      </c>
      <c r="BT3004">
        <v>0</v>
      </c>
      <c r="BU3004">
        <v>0</v>
      </c>
      <c r="BV3004">
        <v>0</v>
      </c>
      <c r="BW3004" t="s">
        <v>0</v>
      </c>
      <c r="BX3004">
        <v>0</v>
      </c>
      <c r="BY3004">
        <v>0</v>
      </c>
      <c r="BZ3004">
        <v>0</v>
      </c>
      <c r="CA3004">
        <v>0</v>
      </c>
      <c r="CB3004" t="s">
        <v>145</v>
      </c>
    </row>
    <row r="3005" spans="67:80" x14ac:dyDescent="0.25">
      <c r="BO3005">
        <v>0</v>
      </c>
      <c r="BP3005">
        <v>0</v>
      </c>
      <c r="BQ3005">
        <v>0</v>
      </c>
      <c r="BR3005">
        <v>0</v>
      </c>
      <c r="BS3005">
        <v>0</v>
      </c>
      <c r="BT3005">
        <v>0</v>
      </c>
      <c r="BU3005">
        <v>0</v>
      </c>
      <c r="BV3005">
        <v>0</v>
      </c>
      <c r="BW3005" t="s">
        <v>0</v>
      </c>
      <c r="BX3005">
        <v>0</v>
      </c>
      <c r="BY3005">
        <v>0</v>
      </c>
      <c r="BZ3005">
        <v>0</v>
      </c>
      <c r="CA3005">
        <v>0</v>
      </c>
      <c r="CB3005" t="s">
        <v>145</v>
      </c>
    </row>
    <row r="3006" spans="67:80" x14ac:dyDescent="0.25">
      <c r="BO3006">
        <v>0</v>
      </c>
      <c r="BP3006">
        <v>0</v>
      </c>
      <c r="BQ3006">
        <v>0</v>
      </c>
      <c r="BR3006">
        <v>0</v>
      </c>
      <c r="BS3006">
        <v>0</v>
      </c>
      <c r="BT3006">
        <v>0</v>
      </c>
      <c r="BU3006">
        <v>0</v>
      </c>
      <c r="BV3006">
        <v>0</v>
      </c>
      <c r="BW3006" t="s">
        <v>0</v>
      </c>
      <c r="BX3006">
        <v>0</v>
      </c>
      <c r="BY3006">
        <v>0</v>
      </c>
      <c r="BZ3006">
        <v>0</v>
      </c>
      <c r="CA3006">
        <v>0</v>
      </c>
      <c r="CB3006" t="s">
        <v>145</v>
      </c>
    </row>
    <row r="3007" spans="67:80" x14ac:dyDescent="0.25">
      <c r="BO3007">
        <v>0</v>
      </c>
      <c r="BP3007">
        <v>0</v>
      </c>
      <c r="BQ3007">
        <v>0</v>
      </c>
      <c r="BR3007">
        <v>0</v>
      </c>
      <c r="BS3007">
        <v>0</v>
      </c>
      <c r="BT3007">
        <v>0</v>
      </c>
      <c r="BU3007">
        <v>0</v>
      </c>
      <c r="BV3007">
        <v>0</v>
      </c>
      <c r="BW3007" t="s">
        <v>0</v>
      </c>
      <c r="BX3007">
        <v>0</v>
      </c>
      <c r="BY3007">
        <v>0</v>
      </c>
      <c r="BZ3007">
        <v>0</v>
      </c>
      <c r="CA3007">
        <v>0</v>
      </c>
      <c r="CB3007" t="s">
        <v>145</v>
      </c>
    </row>
    <row r="3008" spans="67:80" x14ac:dyDescent="0.25">
      <c r="BO3008">
        <v>0</v>
      </c>
      <c r="BP3008">
        <v>0</v>
      </c>
      <c r="BQ3008">
        <v>0</v>
      </c>
      <c r="BR3008">
        <v>0</v>
      </c>
      <c r="BS3008">
        <v>0</v>
      </c>
      <c r="BT3008">
        <v>0</v>
      </c>
      <c r="BU3008">
        <v>0</v>
      </c>
      <c r="BV3008">
        <v>0</v>
      </c>
      <c r="BW3008" t="s">
        <v>0</v>
      </c>
      <c r="BX3008">
        <v>0</v>
      </c>
      <c r="BY3008">
        <v>0</v>
      </c>
      <c r="BZ3008">
        <v>0</v>
      </c>
      <c r="CA3008">
        <v>0</v>
      </c>
      <c r="CB3008" t="s">
        <v>145</v>
      </c>
    </row>
    <row r="3009" spans="67:80" x14ac:dyDescent="0.25">
      <c r="BO3009">
        <v>0</v>
      </c>
      <c r="BP3009">
        <v>0</v>
      </c>
      <c r="BQ3009">
        <v>0</v>
      </c>
      <c r="BR3009">
        <v>0</v>
      </c>
      <c r="BS3009">
        <v>0</v>
      </c>
      <c r="BT3009">
        <v>0</v>
      </c>
      <c r="BU3009">
        <v>0</v>
      </c>
      <c r="BV3009">
        <v>0</v>
      </c>
      <c r="BW3009" t="s">
        <v>0</v>
      </c>
      <c r="BX3009">
        <v>0</v>
      </c>
      <c r="BY3009">
        <v>0</v>
      </c>
      <c r="BZ3009">
        <v>0</v>
      </c>
      <c r="CA3009">
        <v>0</v>
      </c>
      <c r="CB3009" t="s">
        <v>145</v>
      </c>
    </row>
    <row r="3010" spans="67:80" x14ac:dyDescent="0.25">
      <c r="BO3010">
        <v>0</v>
      </c>
      <c r="BP3010">
        <v>0</v>
      </c>
      <c r="BQ3010">
        <v>0</v>
      </c>
      <c r="BR3010">
        <v>0</v>
      </c>
      <c r="BS3010">
        <v>0</v>
      </c>
      <c r="BT3010">
        <v>0</v>
      </c>
      <c r="BU3010">
        <v>0</v>
      </c>
      <c r="BV3010">
        <v>0</v>
      </c>
      <c r="BW3010" t="s">
        <v>0</v>
      </c>
      <c r="BX3010">
        <v>0</v>
      </c>
      <c r="BY3010">
        <v>0</v>
      </c>
      <c r="BZ3010">
        <v>0</v>
      </c>
      <c r="CA3010">
        <v>0</v>
      </c>
      <c r="CB3010" t="s">
        <v>145</v>
      </c>
    </row>
    <row r="3011" spans="67:80" x14ac:dyDescent="0.25">
      <c r="BO3011">
        <v>0</v>
      </c>
      <c r="BP3011">
        <v>0</v>
      </c>
      <c r="BQ3011">
        <v>0</v>
      </c>
      <c r="BR3011">
        <v>0</v>
      </c>
      <c r="BS3011">
        <v>0</v>
      </c>
      <c r="BT3011">
        <v>0</v>
      </c>
      <c r="BU3011">
        <v>0</v>
      </c>
      <c r="BV3011">
        <v>0</v>
      </c>
      <c r="BW3011" t="s">
        <v>0</v>
      </c>
      <c r="BX3011">
        <v>0</v>
      </c>
      <c r="BY3011">
        <v>0</v>
      </c>
      <c r="BZ3011">
        <v>0</v>
      </c>
      <c r="CA3011">
        <v>0</v>
      </c>
      <c r="CB3011" t="s">
        <v>145</v>
      </c>
    </row>
    <row r="3012" spans="67:80" x14ac:dyDescent="0.25">
      <c r="BO3012">
        <v>0</v>
      </c>
      <c r="BP3012">
        <v>0</v>
      </c>
      <c r="BQ3012">
        <v>0</v>
      </c>
      <c r="BR3012">
        <v>0</v>
      </c>
      <c r="BS3012">
        <v>0</v>
      </c>
      <c r="BT3012">
        <v>0</v>
      </c>
      <c r="BU3012">
        <v>0</v>
      </c>
      <c r="BV3012">
        <v>0</v>
      </c>
      <c r="BW3012" t="s">
        <v>0</v>
      </c>
      <c r="BX3012">
        <v>0</v>
      </c>
      <c r="BY3012">
        <v>0</v>
      </c>
      <c r="BZ3012">
        <v>0</v>
      </c>
      <c r="CA3012">
        <v>0</v>
      </c>
      <c r="CB3012" t="s">
        <v>145</v>
      </c>
    </row>
    <row r="3013" spans="67:80" x14ac:dyDescent="0.25">
      <c r="BO3013">
        <v>0</v>
      </c>
      <c r="BP3013">
        <v>0</v>
      </c>
      <c r="BQ3013">
        <v>0</v>
      </c>
      <c r="BR3013">
        <v>0</v>
      </c>
      <c r="BS3013">
        <v>0</v>
      </c>
      <c r="BT3013">
        <v>0</v>
      </c>
      <c r="BU3013">
        <v>0</v>
      </c>
      <c r="BV3013">
        <v>0</v>
      </c>
      <c r="BW3013" t="s">
        <v>0</v>
      </c>
      <c r="BX3013">
        <v>0</v>
      </c>
      <c r="BY3013">
        <v>0</v>
      </c>
      <c r="BZ3013">
        <v>0</v>
      </c>
      <c r="CA3013">
        <v>0</v>
      </c>
      <c r="CB3013" t="s">
        <v>145</v>
      </c>
    </row>
    <row r="3014" spans="67:80" x14ac:dyDescent="0.25">
      <c r="BO3014">
        <v>0</v>
      </c>
      <c r="BP3014">
        <v>0</v>
      </c>
      <c r="BQ3014">
        <v>0</v>
      </c>
      <c r="BR3014">
        <v>0</v>
      </c>
      <c r="BS3014">
        <v>0</v>
      </c>
      <c r="BT3014">
        <v>0</v>
      </c>
      <c r="BU3014">
        <v>0</v>
      </c>
      <c r="BV3014">
        <v>0</v>
      </c>
      <c r="BW3014" t="s">
        <v>0</v>
      </c>
      <c r="BX3014">
        <v>0</v>
      </c>
      <c r="BY3014">
        <v>0</v>
      </c>
      <c r="BZ3014">
        <v>0</v>
      </c>
      <c r="CA3014">
        <v>0</v>
      </c>
      <c r="CB3014" t="s">
        <v>145</v>
      </c>
    </row>
    <row r="3015" spans="67:80" x14ac:dyDescent="0.25">
      <c r="BO3015">
        <v>0</v>
      </c>
      <c r="BP3015">
        <v>0</v>
      </c>
      <c r="BQ3015">
        <v>0</v>
      </c>
      <c r="BR3015">
        <v>0</v>
      </c>
      <c r="BS3015">
        <v>0</v>
      </c>
      <c r="BT3015">
        <v>0</v>
      </c>
      <c r="BU3015">
        <v>0</v>
      </c>
      <c r="BV3015">
        <v>0</v>
      </c>
      <c r="BW3015" t="s">
        <v>0</v>
      </c>
      <c r="BX3015">
        <v>0</v>
      </c>
      <c r="BY3015">
        <v>0</v>
      </c>
      <c r="BZ3015">
        <v>0</v>
      </c>
      <c r="CA3015">
        <v>0</v>
      </c>
      <c r="CB3015" t="s">
        <v>145</v>
      </c>
    </row>
    <row r="3016" spans="67:80" x14ac:dyDescent="0.25">
      <c r="BO3016">
        <v>0</v>
      </c>
      <c r="BP3016">
        <v>0</v>
      </c>
      <c r="BQ3016">
        <v>0</v>
      </c>
      <c r="BR3016">
        <v>0</v>
      </c>
      <c r="BS3016">
        <v>0</v>
      </c>
      <c r="BT3016">
        <v>0</v>
      </c>
      <c r="BU3016">
        <v>0</v>
      </c>
      <c r="BV3016">
        <v>0</v>
      </c>
      <c r="BW3016" t="s">
        <v>0</v>
      </c>
      <c r="BX3016">
        <v>0</v>
      </c>
      <c r="BY3016">
        <v>0</v>
      </c>
      <c r="BZ3016">
        <v>0</v>
      </c>
      <c r="CA3016">
        <v>0</v>
      </c>
      <c r="CB3016" t="s">
        <v>145</v>
      </c>
    </row>
    <row r="3017" spans="67:80" x14ac:dyDescent="0.25">
      <c r="BO3017">
        <v>0</v>
      </c>
      <c r="BP3017">
        <v>0</v>
      </c>
      <c r="BQ3017">
        <v>0</v>
      </c>
      <c r="BR3017">
        <v>0</v>
      </c>
      <c r="BS3017">
        <v>0</v>
      </c>
      <c r="BT3017">
        <v>0</v>
      </c>
      <c r="BU3017">
        <v>0</v>
      </c>
      <c r="BV3017">
        <v>0</v>
      </c>
      <c r="BW3017" t="s">
        <v>0</v>
      </c>
      <c r="BX3017">
        <v>0</v>
      </c>
      <c r="BY3017">
        <v>0</v>
      </c>
      <c r="BZ3017">
        <v>0</v>
      </c>
      <c r="CA3017">
        <v>0</v>
      </c>
      <c r="CB3017" t="s">
        <v>145</v>
      </c>
    </row>
    <row r="3018" spans="67:80" x14ac:dyDescent="0.25">
      <c r="BO3018">
        <v>0</v>
      </c>
      <c r="BP3018">
        <v>0</v>
      </c>
      <c r="BQ3018">
        <v>0</v>
      </c>
      <c r="BR3018">
        <v>0</v>
      </c>
      <c r="BS3018">
        <v>0</v>
      </c>
      <c r="BT3018">
        <v>0</v>
      </c>
      <c r="BU3018">
        <v>0</v>
      </c>
      <c r="BV3018">
        <v>0</v>
      </c>
      <c r="BW3018" t="s">
        <v>0</v>
      </c>
      <c r="BX3018">
        <v>0</v>
      </c>
      <c r="BY3018">
        <v>0</v>
      </c>
      <c r="BZ3018">
        <v>0</v>
      </c>
      <c r="CA3018">
        <v>0</v>
      </c>
      <c r="CB3018" t="s">
        <v>145</v>
      </c>
    </row>
    <row r="3019" spans="67:80" x14ac:dyDescent="0.25">
      <c r="BO3019">
        <v>0</v>
      </c>
      <c r="BP3019">
        <v>0</v>
      </c>
      <c r="BQ3019">
        <v>0</v>
      </c>
      <c r="BR3019">
        <v>0</v>
      </c>
      <c r="BS3019">
        <v>0</v>
      </c>
      <c r="BT3019">
        <v>0</v>
      </c>
      <c r="BU3019">
        <v>0</v>
      </c>
      <c r="BV3019">
        <v>0</v>
      </c>
      <c r="BW3019" t="s">
        <v>0</v>
      </c>
      <c r="BX3019">
        <v>0</v>
      </c>
      <c r="BY3019">
        <v>0</v>
      </c>
      <c r="BZ3019">
        <v>0</v>
      </c>
      <c r="CA3019">
        <v>0</v>
      </c>
      <c r="CB3019" t="s">
        <v>145</v>
      </c>
    </row>
    <row r="3020" spans="67:80" x14ac:dyDescent="0.25">
      <c r="BO3020">
        <v>0</v>
      </c>
      <c r="BP3020">
        <v>0</v>
      </c>
      <c r="BQ3020">
        <v>0</v>
      </c>
      <c r="BR3020">
        <v>0</v>
      </c>
      <c r="BS3020">
        <v>0</v>
      </c>
      <c r="BT3020">
        <v>0</v>
      </c>
      <c r="BU3020">
        <v>0</v>
      </c>
      <c r="BV3020">
        <v>0</v>
      </c>
      <c r="BW3020" t="s">
        <v>0</v>
      </c>
      <c r="BX3020">
        <v>0</v>
      </c>
      <c r="BY3020">
        <v>0</v>
      </c>
      <c r="BZ3020">
        <v>0</v>
      </c>
      <c r="CA3020">
        <v>0</v>
      </c>
      <c r="CB3020" t="s">
        <v>145</v>
      </c>
    </row>
    <row r="3021" spans="67:80" x14ac:dyDescent="0.25">
      <c r="BO3021">
        <v>0</v>
      </c>
      <c r="BP3021">
        <v>0</v>
      </c>
      <c r="BQ3021">
        <v>0</v>
      </c>
      <c r="BR3021">
        <v>0</v>
      </c>
      <c r="BS3021">
        <v>0</v>
      </c>
      <c r="BT3021">
        <v>0</v>
      </c>
      <c r="BU3021">
        <v>0</v>
      </c>
      <c r="BV3021">
        <v>0</v>
      </c>
      <c r="BW3021" t="s">
        <v>0</v>
      </c>
      <c r="BX3021">
        <v>0</v>
      </c>
      <c r="BY3021">
        <v>0</v>
      </c>
      <c r="BZ3021">
        <v>0</v>
      </c>
      <c r="CA3021">
        <v>0</v>
      </c>
      <c r="CB3021" t="s">
        <v>145</v>
      </c>
    </row>
    <row r="3022" spans="67:80" x14ac:dyDescent="0.25">
      <c r="BO3022">
        <v>0</v>
      </c>
      <c r="BP3022">
        <v>0</v>
      </c>
      <c r="BQ3022">
        <v>0</v>
      </c>
      <c r="BR3022">
        <v>0</v>
      </c>
      <c r="BS3022">
        <v>0</v>
      </c>
      <c r="BT3022">
        <v>0</v>
      </c>
      <c r="BU3022">
        <v>0</v>
      </c>
      <c r="BV3022">
        <v>0</v>
      </c>
      <c r="BW3022" t="s">
        <v>0</v>
      </c>
      <c r="BX3022">
        <v>0</v>
      </c>
      <c r="BY3022">
        <v>0</v>
      </c>
      <c r="BZ3022">
        <v>0</v>
      </c>
      <c r="CA3022">
        <v>0</v>
      </c>
      <c r="CB3022" t="s">
        <v>145</v>
      </c>
    </row>
    <row r="3023" spans="67:80" x14ac:dyDescent="0.25">
      <c r="BO3023">
        <v>0</v>
      </c>
      <c r="BP3023">
        <v>0</v>
      </c>
      <c r="BQ3023">
        <v>0</v>
      </c>
      <c r="BR3023">
        <v>0</v>
      </c>
      <c r="BS3023">
        <v>0</v>
      </c>
      <c r="BT3023">
        <v>0</v>
      </c>
      <c r="BU3023">
        <v>0</v>
      </c>
      <c r="BV3023">
        <v>0</v>
      </c>
      <c r="BW3023" t="s">
        <v>0</v>
      </c>
      <c r="BX3023">
        <v>0</v>
      </c>
      <c r="BY3023">
        <v>0</v>
      </c>
      <c r="BZ3023">
        <v>0</v>
      </c>
      <c r="CA3023">
        <v>0</v>
      </c>
      <c r="CB3023" t="s">
        <v>145</v>
      </c>
    </row>
    <row r="3024" spans="67:80" x14ac:dyDescent="0.25">
      <c r="BO3024">
        <v>0</v>
      </c>
      <c r="BP3024">
        <v>0</v>
      </c>
      <c r="BQ3024">
        <v>0</v>
      </c>
      <c r="BR3024">
        <v>0</v>
      </c>
      <c r="BS3024">
        <v>0</v>
      </c>
      <c r="BT3024">
        <v>0</v>
      </c>
      <c r="BU3024">
        <v>0</v>
      </c>
      <c r="BV3024">
        <v>0</v>
      </c>
      <c r="BW3024" t="s">
        <v>0</v>
      </c>
      <c r="BX3024">
        <v>0</v>
      </c>
      <c r="BY3024">
        <v>0</v>
      </c>
      <c r="BZ3024">
        <v>0</v>
      </c>
      <c r="CA3024">
        <v>0</v>
      </c>
      <c r="CB3024" t="s">
        <v>145</v>
      </c>
    </row>
    <row r="3025" spans="67:80" x14ac:dyDescent="0.25">
      <c r="BO3025">
        <v>0</v>
      </c>
      <c r="BP3025">
        <v>0</v>
      </c>
      <c r="BQ3025">
        <v>0</v>
      </c>
      <c r="BR3025">
        <v>0</v>
      </c>
      <c r="BS3025">
        <v>0</v>
      </c>
      <c r="BT3025">
        <v>0</v>
      </c>
      <c r="BU3025">
        <v>0</v>
      </c>
      <c r="BV3025">
        <v>0</v>
      </c>
      <c r="BW3025" t="s">
        <v>0</v>
      </c>
      <c r="BX3025">
        <v>0</v>
      </c>
      <c r="BY3025">
        <v>0</v>
      </c>
      <c r="BZ3025">
        <v>0</v>
      </c>
      <c r="CA3025">
        <v>0</v>
      </c>
      <c r="CB3025" t="s">
        <v>145</v>
      </c>
    </row>
    <row r="3026" spans="67:80" x14ac:dyDescent="0.25">
      <c r="BO3026">
        <v>0</v>
      </c>
      <c r="BP3026">
        <v>0</v>
      </c>
      <c r="BQ3026">
        <v>0</v>
      </c>
      <c r="BR3026">
        <v>0</v>
      </c>
      <c r="BS3026">
        <v>0</v>
      </c>
      <c r="BT3026">
        <v>0</v>
      </c>
      <c r="BU3026">
        <v>0</v>
      </c>
      <c r="BV3026">
        <v>0</v>
      </c>
      <c r="BW3026" t="s">
        <v>0</v>
      </c>
      <c r="BX3026">
        <v>0</v>
      </c>
      <c r="BY3026">
        <v>0</v>
      </c>
      <c r="BZ3026">
        <v>0</v>
      </c>
      <c r="CA3026">
        <v>0</v>
      </c>
      <c r="CB3026" t="s">
        <v>145</v>
      </c>
    </row>
    <row r="3027" spans="67:80" x14ac:dyDescent="0.25">
      <c r="BO3027">
        <v>0</v>
      </c>
      <c r="BP3027">
        <v>0</v>
      </c>
      <c r="BQ3027">
        <v>0</v>
      </c>
      <c r="BR3027">
        <v>0</v>
      </c>
      <c r="BS3027">
        <v>0</v>
      </c>
      <c r="BT3027">
        <v>0</v>
      </c>
      <c r="BU3027">
        <v>0</v>
      </c>
      <c r="BV3027">
        <v>0</v>
      </c>
      <c r="BW3027" t="s">
        <v>0</v>
      </c>
      <c r="BX3027">
        <v>0</v>
      </c>
      <c r="BY3027">
        <v>0</v>
      </c>
      <c r="BZ3027">
        <v>0</v>
      </c>
      <c r="CA3027">
        <v>0</v>
      </c>
      <c r="CB3027" t="s">
        <v>145</v>
      </c>
    </row>
    <row r="3028" spans="67:80" x14ac:dyDescent="0.25">
      <c r="BO3028">
        <v>0</v>
      </c>
      <c r="BP3028">
        <v>0</v>
      </c>
      <c r="BQ3028">
        <v>0</v>
      </c>
      <c r="BR3028">
        <v>0</v>
      </c>
      <c r="BS3028">
        <v>0</v>
      </c>
      <c r="BT3028">
        <v>0</v>
      </c>
      <c r="BU3028">
        <v>0</v>
      </c>
      <c r="BV3028">
        <v>0</v>
      </c>
      <c r="BW3028" t="s">
        <v>0</v>
      </c>
      <c r="BX3028">
        <v>0</v>
      </c>
      <c r="BY3028">
        <v>0</v>
      </c>
      <c r="BZ3028">
        <v>0</v>
      </c>
      <c r="CA3028">
        <v>0</v>
      </c>
      <c r="CB3028" t="s">
        <v>145</v>
      </c>
    </row>
    <row r="3029" spans="67:80" x14ac:dyDescent="0.25">
      <c r="BO3029">
        <v>0</v>
      </c>
      <c r="BP3029">
        <v>0</v>
      </c>
      <c r="BQ3029">
        <v>0</v>
      </c>
      <c r="BR3029">
        <v>0</v>
      </c>
      <c r="BS3029">
        <v>0</v>
      </c>
      <c r="BT3029">
        <v>0</v>
      </c>
      <c r="BU3029">
        <v>0</v>
      </c>
      <c r="BV3029">
        <v>0</v>
      </c>
      <c r="BW3029" t="s">
        <v>0</v>
      </c>
      <c r="BX3029">
        <v>0</v>
      </c>
      <c r="BY3029">
        <v>0</v>
      </c>
      <c r="BZ3029">
        <v>0</v>
      </c>
      <c r="CA3029">
        <v>0</v>
      </c>
      <c r="CB3029" t="s">
        <v>145</v>
      </c>
    </row>
    <row r="3030" spans="67:80" x14ac:dyDescent="0.25">
      <c r="BO3030">
        <v>0</v>
      </c>
      <c r="BP3030">
        <v>0</v>
      </c>
      <c r="BQ3030">
        <v>0</v>
      </c>
      <c r="BR3030">
        <v>0</v>
      </c>
      <c r="BS3030">
        <v>0</v>
      </c>
      <c r="BT3030">
        <v>0</v>
      </c>
      <c r="BU3030">
        <v>0</v>
      </c>
      <c r="BV3030">
        <v>0</v>
      </c>
      <c r="BW3030" t="s">
        <v>0</v>
      </c>
      <c r="BX3030">
        <v>0</v>
      </c>
      <c r="BY3030">
        <v>0</v>
      </c>
      <c r="BZ3030">
        <v>0</v>
      </c>
      <c r="CA3030">
        <v>0</v>
      </c>
      <c r="CB3030" t="s">
        <v>145</v>
      </c>
    </row>
    <row r="3031" spans="67:80" x14ac:dyDescent="0.25">
      <c r="BO3031">
        <v>0</v>
      </c>
      <c r="BP3031">
        <v>0</v>
      </c>
      <c r="BQ3031">
        <v>0</v>
      </c>
      <c r="BR3031">
        <v>0</v>
      </c>
      <c r="BS3031">
        <v>0</v>
      </c>
      <c r="BT3031">
        <v>0</v>
      </c>
      <c r="BU3031">
        <v>0</v>
      </c>
      <c r="BV3031">
        <v>0</v>
      </c>
      <c r="BW3031" t="s">
        <v>0</v>
      </c>
      <c r="BX3031">
        <v>0</v>
      </c>
      <c r="BY3031">
        <v>0</v>
      </c>
      <c r="BZ3031">
        <v>0</v>
      </c>
      <c r="CA3031">
        <v>0</v>
      </c>
      <c r="CB3031" t="s">
        <v>145</v>
      </c>
    </row>
    <row r="3032" spans="67:80" x14ac:dyDescent="0.25">
      <c r="BO3032">
        <v>0</v>
      </c>
      <c r="BP3032">
        <v>0</v>
      </c>
      <c r="BQ3032">
        <v>0</v>
      </c>
      <c r="BR3032">
        <v>0</v>
      </c>
      <c r="BS3032">
        <v>0</v>
      </c>
      <c r="BT3032">
        <v>0</v>
      </c>
      <c r="BU3032">
        <v>0</v>
      </c>
      <c r="BV3032">
        <v>0</v>
      </c>
      <c r="BW3032" t="s">
        <v>0</v>
      </c>
      <c r="BX3032">
        <v>0</v>
      </c>
      <c r="BY3032">
        <v>0</v>
      </c>
      <c r="BZ3032">
        <v>0</v>
      </c>
      <c r="CA3032">
        <v>0</v>
      </c>
      <c r="CB3032" t="s">
        <v>145</v>
      </c>
    </row>
    <row r="3033" spans="67:80" x14ac:dyDescent="0.25">
      <c r="BO3033">
        <v>0</v>
      </c>
      <c r="BP3033">
        <v>0</v>
      </c>
      <c r="BQ3033">
        <v>0</v>
      </c>
      <c r="BR3033">
        <v>0</v>
      </c>
      <c r="BS3033">
        <v>0</v>
      </c>
      <c r="BT3033">
        <v>0</v>
      </c>
      <c r="BU3033">
        <v>0</v>
      </c>
      <c r="BV3033">
        <v>0</v>
      </c>
      <c r="BW3033" t="s">
        <v>0</v>
      </c>
      <c r="BX3033">
        <v>0</v>
      </c>
      <c r="BY3033">
        <v>0</v>
      </c>
      <c r="BZ3033">
        <v>0</v>
      </c>
      <c r="CA3033">
        <v>0</v>
      </c>
      <c r="CB3033" t="s">
        <v>145</v>
      </c>
    </row>
    <row r="3034" spans="67:80" x14ac:dyDescent="0.25">
      <c r="BO3034">
        <v>0</v>
      </c>
      <c r="BP3034">
        <v>0</v>
      </c>
      <c r="BQ3034">
        <v>0</v>
      </c>
      <c r="BR3034">
        <v>0</v>
      </c>
      <c r="BS3034">
        <v>0</v>
      </c>
      <c r="BT3034">
        <v>0</v>
      </c>
      <c r="BU3034">
        <v>0</v>
      </c>
      <c r="BV3034">
        <v>0</v>
      </c>
      <c r="BW3034" t="s">
        <v>0</v>
      </c>
      <c r="BX3034">
        <v>0</v>
      </c>
      <c r="BY3034">
        <v>0</v>
      </c>
      <c r="BZ3034">
        <v>0</v>
      </c>
      <c r="CA3034">
        <v>0</v>
      </c>
      <c r="CB3034" t="s">
        <v>145</v>
      </c>
    </row>
    <row r="3035" spans="67:80" x14ac:dyDescent="0.25">
      <c r="BO3035">
        <v>0</v>
      </c>
      <c r="BP3035">
        <v>0</v>
      </c>
      <c r="BQ3035">
        <v>0</v>
      </c>
      <c r="BR3035">
        <v>0</v>
      </c>
      <c r="BS3035">
        <v>0</v>
      </c>
      <c r="BT3035">
        <v>0</v>
      </c>
      <c r="BU3035">
        <v>0</v>
      </c>
      <c r="BV3035">
        <v>0</v>
      </c>
      <c r="BW3035" t="s">
        <v>0</v>
      </c>
      <c r="BX3035">
        <v>0</v>
      </c>
      <c r="BY3035">
        <v>0</v>
      </c>
      <c r="BZ3035">
        <v>0</v>
      </c>
      <c r="CA3035">
        <v>0</v>
      </c>
      <c r="CB3035" t="s">
        <v>145</v>
      </c>
    </row>
    <row r="3036" spans="67:80" x14ac:dyDescent="0.25">
      <c r="BO3036">
        <v>0</v>
      </c>
      <c r="BP3036">
        <v>0</v>
      </c>
      <c r="BQ3036">
        <v>0</v>
      </c>
      <c r="BR3036">
        <v>0</v>
      </c>
      <c r="BS3036">
        <v>0</v>
      </c>
      <c r="BT3036">
        <v>0</v>
      </c>
      <c r="BU3036">
        <v>0</v>
      </c>
      <c r="BV3036">
        <v>0</v>
      </c>
      <c r="BW3036" t="s">
        <v>0</v>
      </c>
      <c r="BX3036">
        <v>0</v>
      </c>
      <c r="BY3036">
        <v>0</v>
      </c>
      <c r="BZ3036">
        <v>0</v>
      </c>
      <c r="CA3036">
        <v>0</v>
      </c>
      <c r="CB3036" t="s">
        <v>145</v>
      </c>
    </row>
    <row r="3037" spans="67:80" x14ac:dyDescent="0.25">
      <c r="BO3037">
        <v>0</v>
      </c>
      <c r="BP3037">
        <v>0</v>
      </c>
      <c r="BQ3037">
        <v>0</v>
      </c>
      <c r="BR3037">
        <v>0</v>
      </c>
      <c r="BS3037">
        <v>0</v>
      </c>
      <c r="BT3037">
        <v>0</v>
      </c>
      <c r="BU3037">
        <v>0</v>
      </c>
      <c r="BV3037">
        <v>0</v>
      </c>
      <c r="BW3037" t="s">
        <v>0</v>
      </c>
      <c r="BX3037">
        <v>0</v>
      </c>
      <c r="BY3037">
        <v>0</v>
      </c>
      <c r="BZ3037">
        <v>0</v>
      </c>
      <c r="CA3037">
        <v>0</v>
      </c>
      <c r="CB3037" t="s">
        <v>145</v>
      </c>
    </row>
    <row r="3038" spans="67:80" x14ac:dyDescent="0.25">
      <c r="BO3038">
        <v>0</v>
      </c>
      <c r="BP3038">
        <v>0</v>
      </c>
      <c r="BQ3038">
        <v>0</v>
      </c>
      <c r="BR3038">
        <v>0</v>
      </c>
      <c r="BS3038">
        <v>0</v>
      </c>
      <c r="BT3038">
        <v>0</v>
      </c>
      <c r="BU3038">
        <v>0</v>
      </c>
      <c r="BV3038">
        <v>0</v>
      </c>
      <c r="BW3038" t="s">
        <v>0</v>
      </c>
      <c r="BX3038">
        <v>0</v>
      </c>
      <c r="BY3038">
        <v>0</v>
      </c>
      <c r="BZ3038">
        <v>0</v>
      </c>
      <c r="CA3038">
        <v>0</v>
      </c>
      <c r="CB3038" t="s">
        <v>145</v>
      </c>
    </row>
    <row r="3039" spans="67:80" x14ac:dyDescent="0.25">
      <c r="BO3039">
        <v>0</v>
      </c>
      <c r="BP3039">
        <v>0</v>
      </c>
      <c r="BQ3039">
        <v>0</v>
      </c>
      <c r="BR3039">
        <v>0</v>
      </c>
      <c r="BS3039">
        <v>0</v>
      </c>
      <c r="BT3039">
        <v>0</v>
      </c>
      <c r="BU3039">
        <v>0</v>
      </c>
      <c r="BV3039">
        <v>0</v>
      </c>
      <c r="BW3039" t="s">
        <v>0</v>
      </c>
      <c r="BX3039">
        <v>0</v>
      </c>
      <c r="BY3039">
        <v>0</v>
      </c>
      <c r="BZ3039">
        <v>0</v>
      </c>
      <c r="CA3039">
        <v>0</v>
      </c>
      <c r="CB3039" t="s">
        <v>145</v>
      </c>
    </row>
    <row r="3040" spans="67:80" x14ac:dyDescent="0.25">
      <c r="BO3040">
        <v>0</v>
      </c>
      <c r="BP3040">
        <v>0</v>
      </c>
      <c r="BQ3040">
        <v>0</v>
      </c>
      <c r="BR3040">
        <v>0</v>
      </c>
      <c r="BS3040">
        <v>0</v>
      </c>
      <c r="BT3040">
        <v>0</v>
      </c>
      <c r="BU3040">
        <v>0</v>
      </c>
      <c r="BV3040">
        <v>0</v>
      </c>
      <c r="BW3040" t="s">
        <v>0</v>
      </c>
      <c r="BX3040">
        <v>0</v>
      </c>
      <c r="BY3040">
        <v>0</v>
      </c>
      <c r="BZ3040">
        <v>0</v>
      </c>
      <c r="CA3040">
        <v>0</v>
      </c>
      <c r="CB3040" t="s">
        <v>145</v>
      </c>
    </row>
    <row r="3041" spans="67:80" x14ac:dyDescent="0.25">
      <c r="BO3041">
        <v>0</v>
      </c>
      <c r="BP3041">
        <v>0</v>
      </c>
      <c r="BQ3041">
        <v>0</v>
      </c>
      <c r="BR3041">
        <v>0</v>
      </c>
      <c r="BS3041">
        <v>0</v>
      </c>
      <c r="BT3041">
        <v>0</v>
      </c>
      <c r="BU3041">
        <v>0</v>
      </c>
      <c r="BV3041">
        <v>0</v>
      </c>
      <c r="BW3041" t="s">
        <v>0</v>
      </c>
      <c r="BX3041">
        <v>0</v>
      </c>
      <c r="BY3041">
        <v>0</v>
      </c>
      <c r="BZ3041">
        <v>0</v>
      </c>
      <c r="CA3041">
        <v>0</v>
      </c>
      <c r="CB3041" t="s">
        <v>145</v>
      </c>
    </row>
    <row r="3042" spans="67:80" x14ac:dyDescent="0.25">
      <c r="BO3042">
        <v>0</v>
      </c>
      <c r="BP3042">
        <v>0</v>
      </c>
      <c r="BQ3042">
        <v>0</v>
      </c>
      <c r="BR3042">
        <v>0</v>
      </c>
      <c r="BS3042">
        <v>0</v>
      </c>
      <c r="BT3042">
        <v>0</v>
      </c>
      <c r="BU3042">
        <v>0</v>
      </c>
      <c r="BV3042">
        <v>0</v>
      </c>
      <c r="BW3042" t="s">
        <v>0</v>
      </c>
      <c r="BX3042">
        <v>0</v>
      </c>
      <c r="BY3042">
        <v>0</v>
      </c>
      <c r="BZ3042">
        <v>0</v>
      </c>
      <c r="CA3042">
        <v>0</v>
      </c>
      <c r="CB3042" t="s">
        <v>145</v>
      </c>
    </row>
    <row r="3043" spans="67:80" x14ac:dyDescent="0.25">
      <c r="BO3043">
        <v>0</v>
      </c>
      <c r="BP3043">
        <v>0</v>
      </c>
      <c r="BQ3043">
        <v>0</v>
      </c>
      <c r="BR3043">
        <v>0</v>
      </c>
      <c r="BS3043">
        <v>0</v>
      </c>
      <c r="BT3043">
        <v>0</v>
      </c>
      <c r="BU3043">
        <v>0</v>
      </c>
      <c r="BV3043">
        <v>0</v>
      </c>
      <c r="BW3043" t="s">
        <v>0</v>
      </c>
      <c r="BX3043">
        <v>0</v>
      </c>
      <c r="BY3043">
        <v>0</v>
      </c>
      <c r="BZ3043">
        <v>0</v>
      </c>
      <c r="CA3043">
        <v>0</v>
      </c>
      <c r="CB3043" t="s">
        <v>145</v>
      </c>
    </row>
    <row r="3044" spans="67:80" x14ac:dyDescent="0.25">
      <c r="BO3044">
        <v>0</v>
      </c>
      <c r="BP3044">
        <v>0</v>
      </c>
      <c r="BQ3044">
        <v>0</v>
      </c>
      <c r="BR3044">
        <v>0</v>
      </c>
      <c r="BS3044">
        <v>0</v>
      </c>
      <c r="BT3044">
        <v>0</v>
      </c>
      <c r="BU3044">
        <v>0</v>
      </c>
      <c r="BV3044">
        <v>0</v>
      </c>
      <c r="BW3044" t="s">
        <v>0</v>
      </c>
      <c r="BX3044">
        <v>0</v>
      </c>
      <c r="BY3044">
        <v>0</v>
      </c>
      <c r="BZ3044">
        <v>0</v>
      </c>
      <c r="CA3044">
        <v>0</v>
      </c>
      <c r="CB3044" t="s">
        <v>145</v>
      </c>
    </row>
    <row r="3045" spans="67:80" x14ac:dyDescent="0.25">
      <c r="BO3045">
        <v>0</v>
      </c>
      <c r="BP3045">
        <v>0</v>
      </c>
      <c r="BQ3045">
        <v>0</v>
      </c>
      <c r="BR3045">
        <v>0</v>
      </c>
      <c r="BS3045">
        <v>0</v>
      </c>
      <c r="BT3045">
        <v>0</v>
      </c>
      <c r="BU3045">
        <v>0</v>
      </c>
      <c r="BV3045">
        <v>0</v>
      </c>
      <c r="BW3045" t="s">
        <v>0</v>
      </c>
      <c r="BX3045">
        <v>0</v>
      </c>
      <c r="BY3045">
        <v>0</v>
      </c>
      <c r="BZ3045">
        <v>0</v>
      </c>
      <c r="CA3045">
        <v>0</v>
      </c>
      <c r="CB3045" t="s">
        <v>145</v>
      </c>
    </row>
    <row r="3046" spans="67:80" x14ac:dyDescent="0.25">
      <c r="BO3046">
        <v>0</v>
      </c>
      <c r="BP3046">
        <v>0</v>
      </c>
      <c r="BQ3046">
        <v>0</v>
      </c>
      <c r="BR3046">
        <v>0</v>
      </c>
      <c r="BS3046">
        <v>0</v>
      </c>
      <c r="BT3046">
        <v>0</v>
      </c>
      <c r="BU3046">
        <v>0</v>
      </c>
      <c r="BV3046">
        <v>0</v>
      </c>
      <c r="BW3046" t="s">
        <v>0</v>
      </c>
      <c r="BX3046">
        <v>0</v>
      </c>
      <c r="BY3046">
        <v>0</v>
      </c>
      <c r="BZ3046">
        <v>0</v>
      </c>
      <c r="CA3046">
        <v>0</v>
      </c>
      <c r="CB3046" t="s">
        <v>145</v>
      </c>
    </row>
    <row r="3047" spans="67:80" x14ac:dyDescent="0.25">
      <c r="BO3047">
        <v>0</v>
      </c>
      <c r="BP3047">
        <v>0</v>
      </c>
      <c r="BQ3047">
        <v>0</v>
      </c>
      <c r="BR3047">
        <v>0</v>
      </c>
      <c r="BS3047">
        <v>0</v>
      </c>
      <c r="BT3047">
        <v>0</v>
      </c>
      <c r="BU3047">
        <v>0</v>
      </c>
      <c r="BV3047">
        <v>0</v>
      </c>
      <c r="BW3047" t="s">
        <v>0</v>
      </c>
      <c r="BX3047">
        <v>0</v>
      </c>
      <c r="BY3047">
        <v>0</v>
      </c>
      <c r="BZ3047">
        <v>0</v>
      </c>
      <c r="CA3047">
        <v>0</v>
      </c>
      <c r="CB3047" t="s">
        <v>145</v>
      </c>
    </row>
    <row r="3048" spans="67:80" x14ac:dyDescent="0.25">
      <c r="BO3048">
        <v>0</v>
      </c>
      <c r="BP3048">
        <v>0</v>
      </c>
      <c r="BQ3048">
        <v>0</v>
      </c>
      <c r="BR3048">
        <v>0</v>
      </c>
      <c r="BS3048">
        <v>0</v>
      </c>
      <c r="BT3048">
        <v>0</v>
      </c>
      <c r="BU3048">
        <v>0</v>
      </c>
      <c r="BV3048">
        <v>0</v>
      </c>
      <c r="BW3048" t="s">
        <v>0</v>
      </c>
      <c r="BX3048">
        <v>0</v>
      </c>
      <c r="BY3048">
        <v>0</v>
      </c>
      <c r="BZ3048">
        <v>0</v>
      </c>
      <c r="CA3048">
        <v>0</v>
      </c>
      <c r="CB3048" t="s">
        <v>145</v>
      </c>
    </row>
    <row r="3049" spans="67:80" x14ac:dyDescent="0.25">
      <c r="BO3049">
        <v>0</v>
      </c>
      <c r="BP3049">
        <v>0</v>
      </c>
      <c r="BQ3049">
        <v>0</v>
      </c>
      <c r="BR3049">
        <v>0</v>
      </c>
      <c r="BS3049">
        <v>0</v>
      </c>
      <c r="BT3049">
        <v>0</v>
      </c>
      <c r="BU3049">
        <v>0</v>
      </c>
      <c r="BV3049">
        <v>0</v>
      </c>
      <c r="BW3049" t="s">
        <v>0</v>
      </c>
      <c r="BX3049">
        <v>0</v>
      </c>
      <c r="BY3049">
        <v>0</v>
      </c>
      <c r="BZ3049">
        <v>0</v>
      </c>
      <c r="CA3049">
        <v>0</v>
      </c>
      <c r="CB3049" t="s">
        <v>145</v>
      </c>
    </row>
    <row r="3050" spans="67:80" x14ac:dyDescent="0.25">
      <c r="BO3050">
        <v>0</v>
      </c>
      <c r="BP3050">
        <v>0</v>
      </c>
      <c r="BQ3050">
        <v>0</v>
      </c>
      <c r="BR3050">
        <v>0</v>
      </c>
      <c r="BS3050">
        <v>0</v>
      </c>
      <c r="BT3050">
        <v>0</v>
      </c>
      <c r="BU3050">
        <v>0</v>
      </c>
      <c r="BV3050">
        <v>0</v>
      </c>
      <c r="BW3050" t="s">
        <v>0</v>
      </c>
      <c r="BX3050">
        <v>0</v>
      </c>
      <c r="BY3050">
        <v>0</v>
      </c>
      <c r="BZ3050">
        <v>0</v>
      </c>
      <c r="CA3050">
        <v>0</v>
      </c>
      <c r="CB3050" t="s">
        <v>145</v>
      </c>
    </row>
    <row r="3051" spans="67:80" x14ac:dyDescent="0.25">
      <c r="BO3051">
        <v>0</v>
      </c>
      <c r="BP3051">
        <v>0</v>
      </c>
      <c r="BQ3051">
        <v>0</v>
      </c>
      <c r="BR3051">
        <v>0</v>
      </c>
      <c r="BS3051">
        <v>0</v>
      </c>
      <c r="BT3051">
        <v>0</v>
      </c>
      <c r="BU3051">
        <v>0</v>
      </c>
      <c r="BV3051">
        <v>0</v>
      </c>
      <c r="BW3051" t="s">
        <v>0</v>
      </c>
      <c r="BX3051">
        <v>0</v>
      </c>
      <c r="BY3051">
        <v>0</v>
      </c>
      <c r="BZ3051">
        <v>0</v>
      </c>
      <c r="CA3051">
        <v>0</v>
      </c>
      <c r="CB3051" t="s">
        <v>145</v>
      </c>
    </row>
    <row r="3052" spans="67:80" x14ac:dyDescent="0.25">
      <c r="BO3052">
        <v>0</v>
      </c>
      <c r="BP3052">
        <v>0</v>
      </c>
      <c r="BQ3052">
        <v>0</v>
      </c>
      <c r="BR3052">
        <v>0</v>
      </c>
      <c r="BS3052">
        <v>0</v>
      </c>
      <c r="BT3052">
        <v>0</v>
      </c>
      <c r="BU3052">
        <v>0</v>
      </c>
      <c r="BV3052">
        <v>0</v>
      </c>
      <c r="BW3052" t="s">
        <v>0</v>
      </c>
      <c r="BX3052">
        <v>0</v>
      </c>
      <c r="BY3052">
        <v>0</v>
      </c>
      <c r="BZ3052">
        <v>0</v>
      </c>
      <c r="CA3052">
        <v>0</v>
      </c>
      <c r="CB3052" t="s">
        <v>145</v>
      </c>
    </row>
    <row r="3053" spans="67:80" x14ac:dyDescent="0.25">
      <c r="BO3053">
        <v>0</v>
      </c>
      <c r="BP3053">
        <v>0</v>
      </c>
      <c r="BQ3053">
        <v>0</v>
      </c>
      <c r="BR3053">
        <v>0</v>
      </c>
      <c r="BS3053">
        <v>0</v>
      </c>
      <c r="BT3053">
        <v>0</v>
      </c>
      <c r="BU3053">
        <v>0</v>
      </c>
      <c r="BV3053">
        <v>0</v>
      </c>
      <c r="BW3053" t="s">
        <v>0</v>
      </c>
      <c r="BX3053">
        <v>0</v>
      </c>
      <c r="BY3053">
        <v>0</v>
      </c>
      <c r="BZ3053">
        <v>0</v>
      </c>
      <c r="CA3053">
        <v>0</v>
      </c>
      <c r="CB3053" t="s">
        <v>145</v>
      </c>
    </row>
    <row r="3054" spans="67:80" x14ac:dyDescent="0.25">
      <c r="BO3054">
        <v>0</v>
      </c>
      <c r="BP3054">
        <v>0</v>
      </c>
      <c r="BQ3054">
        <v>0</v>
      </c>
      <c r="BR3054">
        <v>0</v>
      </c>
      <c r="BS3054">
        <v>0</v>
      </c>
      <c r="BT3054">
        <v>0</v>
      </c>
      <c r="BU3054">
        <v>0</v>
      </c>
      <c r="BV3054">
        <v>0</v>
      </c>
      <c r="BW3054" t="s">
        <v>0</v>
      </c>
      <c r="BX3054">
        <v>0</v>
      </c>
      <c r="BY3054">
        <v>0</v>
      </c>
      <c r="BZ3054">
        <v>0</v>
      </c>
      <c r="CA3054">
        <v>0</v>
      </c>
      <c r="CB3054" t="s">
        <v>145</v>
      </c>
    </row>
    <row r="3055" spans="67:80" x14ac:dyDescent="0.25">
      <c r="BO3055">
        <v>0</v>
      </c>
      <c r="BP3055">
        <v>0</v>
      </c>
      <c r="BQ3055">
        <v>0</v>
      </c>
      <c r="BR3055">
        <v>0</v>
      </c>
      <c r="BS3055">
        <v>0</v>
      </c>
      <c r="BT3055">
        <v>0</v>
      </c>
      <c r="BU3055">
        <v>0</v>
      </c>
      <c r="BV3055">
        <v>0</v>
      </c>
      <c r="BW3055" t="s">
        <v>0</v>
      </c>
      <c r="BX3055">
        <v>0</v>
      </c>
      <c r="BY3055">
        <v>0</v>
      </c>
      <c r="BZ3055">
        <v>0</v>
      </c>
      <c r="CA3055">
        <v>0</v>
      </c>
      <c r="CB3055" t="s">
        <v>145</v>
      </c>
    </row>
    <row r="3056" spans="67:80" x14ac:dyDescent="0.25">
      <c r="BO3056">
        <v>0</v>
      </c>
      <c r="BP3056">
        <v>0</v>
      </c>
      <c r="BQ3056">
        <v>0</v>
      </c>
      <c r="BR3056">
        <v>0</v>
      </c>
      <c r="BS3056">
        <v>0</v>
      </c>
      <c r="BT3056">
        <v>0</v>
      </c>
      <c r="BU3056">
        <v>0</v>
      </c>
      <c r="BV3056">
        <v>0</v>
      </c>
      <c r="BW3056" t="s">
        <v>0</v>
      </c>
      <c r="BX3056">
        <v>0</v>
      </c>
      <c r="BY3056">
        <v>0</v>
      </c>
      <c r="BZ3056">
        <v>0</v>
      </c>
      <c r="CA3056">
        <v>0</v>
      </c>
      <c r="CB3056" t="s">
        <v>145</v>
      </c>
    </row>
    <row r="3057" spans="67:80" x14ac:dyDescent="0.25">
      <c r="BO3057">
        <v>0</v>
      </c>
      <c r="BP3057">
        <v>0</v>
      </c>
      <c r="BQ3057">
        <v>0</v>
      </c>
      <c r="BR3057">
        <v>0</v>
      </c>
      <c r="BS3057">
        <v>0</v>
      </c>
      <c r="BT3057">
        <v>0</v>
      </c>
      <c r="BU3057">
        <v>0</v>
      </c>
      <c r="BV3057">
        <v>0</v>
      </c>
      <c r="BW3057" t="s">
        <v>0</v>
      </c>
      <c r="BX3057">
        <v>0</v>
      </c>
      <c r="BY3057">
        <v>0</v>
      </c>
      <c r="BZ3057">
        <v>0</v>
      </c>
      <c r="CA3057">
        <v>0</v>
      </c>
      <c r="CB3057" t="s">
        <v>145</v>
      </c>
    </row>
    <row r="3058" spans="67:80" x14ac:dyDescent="0.25">
      <c r="BO3058">
        <v>0</v>
      </c>
      <c r="BP3058">
        <v>0</v>
      </c>
      <c r="BQ3058">
        <v>0</v>
      </c>
      <c r="BR3058">
        <v>0</v>
      </c>
      <c r="BS3058">
        <v>0</v>
      </c>
      <c r="BT3058">
        <v>0</v>
      </c>
      <c r="BU3058">
        <v>0</v>
      </c>
      <c r="BV3058">
        <v>0</v>
      </c>
      <c r="BW3058" t="s">
        <v>0</v>
      </c>
      <c r="BX3058">
        <v>0</v>
      </c>
      <c r="BY3058">
        <v>0</v>
      </c>
      <c r="BZ3058">
        <v>0</v>
      </c>
      <c r="CA3058">
        <v>0</v>
      </c>
      <c r="CB3058" t="s">
        <v>145</v>
      </c>
    </row>
    <row r="3059" spans="67:80" x14ac:dyDescent="0.25">
      <c r="BO3059">
        <v>0</v>
      </c>
      <c r="BP3059">
        <v>0</v>
      </c>
      <c r="BQ3059">
        <v>0</v>
      </c>
      <c r="BR3059">
        <v>0</v>
      </c>
      <c r="BS3059">
        <v>0</v>
      </c>
      <c r="BT3059">
        <v>0</v>
      </c>
      <c r="BU3059">
        <v>0</v>
      </c>
      <c r="BV3059">
        <v>0</v>
      </c>
      <c r="BW3059" t="s">
        <v>0</v>
      </c>
      <c r="BX3059">
        <v>0</v>
      </c>
      <c r="BY3059">
        <v>0</v>
      </c>
      <c r="BZ3059">
        <v>0</v>
      </c>
      <c r="CA3059">
        <v>0</v>
      </c>
      <c r="CB3059" t="s">
        <v>145</v>
      </c>
    </row>
    <row r="3060" spans="67:80" x14ac:dyDescent="0.25">
      <c r="BO3060">
        <v>0</v>
      </c>
      <c r="BP3060">
        <v>0</v>
      </c>
      <c r="BQ3060">
        <v>0</v>
      </c>
      <c r="BR3060">
        <v>0</v>
      </c>
      <c r="BS3060">
        <v>0</v>
      </c>
      <c r="BT3060">
        <v>0</v>
      </c>
      <c r="BU3060">
        <v>0</v>
      </c>
      <c r="BV3060">
        <v>0</v>
      </c>
      <c r="BW3060" t="s">
        <v>0</v>
      </c>
      <c r="BX3060">
        <v>0</v>
      </c>
      <c r="BY3060">
        <v>0</v>
      </c>
      <c r="BZ3060">
        <v>0</v>
      </c>
      <c r="CA3060">
        <v>0</v>
      </c>
      <c r="CB3060" t="s">
        <v>145</v>
      </c>
    </row>
    <row r="3061" spans="67:80" x14ac:dyDescent="0.25">
      <c r="BO3061">
        <v>0</v>
      </c>
      <c r="BP3061">
        <v>0</v>
      </c>
      <c r="BQ3061">
        <v>0</v>
      </c>
      <c r="BR3061">
        <v>0</v>
      </c>
      <c r="BS3061">
        <v>0</v>
      </c>
      <c r="BT3061">
        <v>0</v>
      </c>
      <c r="BU3061">
        <v>0</v>
      </c>
      <c r="BV3061">
        <v>0</v>
      </c>
      <c r="BW3061" t="s">
        <v>0</v>
      </c>
      <c r="BX3061">
        <v>0</v>
      </c>
      <c r="BY3061">
        <v>0</v>
      </c>
      <c r="BZ3061">
        <v>0</v>
      </c>
      <c r="CA3061">
        <v>0</v>
      </c>
      <c r="CB3061" t="s">
        <v>145</v>
      </c>
    </row>
    <row r="3062" spans="67:80" x14ac:dyDescent="0.25">
      <c r="BO3062">
        <v>0</v>
      </c>
      <c r="BP3062">
        <v>0</v>
      </c>
      <c r="BQ3062">
        <v>0</v>
      </c>
      <c r="BR3062">
        <v>0</v>
      </c>
      <c r="BS3062">
        <v>0</v>
      </c>
      <c r="BT3062">
        <v>0</v>
      </c>
      <c r="BU3062">
        <v>0</v>
      </c>
      <c r="BV3062">
        <v>0</v>
      </c>
      <c r="BW3062" t="s">
        <v>0</v>
      </c>
      <c r="BX3062">
        <v>0</v>
      </c>
      <c r="BY3062">
        <v>0</v>
      </c>
      <c r="BZ3062">
        <v>0</v>
      </c>
      <c r="CA3062">
        <v>0</v>
      </c>
      <c r="CB3062" t="s">
        <v>145</v>
      </c>
    </row>
    <row r="3063" spans="67:80" x14ac:dyDescent="0.25">
      <c r="BO3063">
        <v>0</v>
      </c>
      <c r="BP3063">
        <v>0</v>
      </c>
      <c r="BQ3063">
        <v>0</v>
      </c>
      <c r="BR3063">
        <v>0</v>
      </c>
      <c r="BS3063">
        <v>0</v>
      </c>
      <c r="BT3063">
        <v>0</v>
      </c>
      <c r="BU3063">
        <v>0</v>
      </c>
      <c r="BV3063">
        <v>0</v>
      </c>
      <c r="BW3063" t="s">
        <v>0</v>
      </c>
      <c r="BX3063">
        <v>0</v>
      </c>
      <c r="BY3063">
        <v>0</v>
      </c>
      <c r="BZ3063">
        <v>0</v>
      </c>
      <c r="CA3063">
        <v>0</v>
      </c>
      <c r="CB3063" t="s">
        <v>145</v>
      </c>
    </row>
    <row r="3064" spans="67:80" x14ac:dyDescent="0.25">
      <c r="BO3064">
        <v>0</v>
      </c>
      <c r="BP3064">
        <v>0</v>
      </c>
      <c r="BQ3064">
        <v>0</v>
      </c>
      <c r="BR3064">
        <v>0</v>
      </c>
      <c r="BS3064">
        <v>0</v>
      </c>
      <c r="BT3064">
        <v>0</v>
      </c>
      <c r="BU3064">
        <v>0</v>
      </c>
      <c r="BV3064">
        <v>0</v>
      </c>
      <c r="BW3064" t="s">
        <v>0</v>
      </c>
      <c r="BX3064">
        <v>0</v>
      </c>
      <c r="BY3064">
        <v>0</v>
      </c>
      <c r="BZ3064">
        <v>0</v>
      </c>
      <c r="CA3064">
        <v>0</v>
      </c>
      <c r="CB3064" t="s">
        <v>145</v>
      </c>
    </row>
    <row r="3065" spans="67:80" x14ac:dyDescent="0.25">
      <c r="BO3065">
        <v>0</v>
      </c>
      <c r="BP3065">
        <v>0</v>
      </c>
      <c r="BQ3065">
        <v>0</v>
      </c>
      <c r="BR3065">
        <v>0</v>
      </c>
      <c r="BS3065">
        <v>0</v>
      </c>
      <c r="BT3065">
        <v>0</v>
      </c>
      <c r="BU3065">
        <v>0</v>
      </c>
      <c r="BV3065">
        <v>0</v>
      </c>
      <c r="BW3065" t="s">
        <v>0</v>
      </c>
      <c r="BX3065">
        <v>0</v>
      </c>
      <c r="BY3065">
        <v>0</v>
      </c>
      <c r="BZ3065">
        <v>0</v>
      </c>
      <c r="CA3065">
        <v>0</v>
      </c>
      <c r="CB3065" t="s">
        <v>145</v>
      </c>
    </row>
    <row r="3066" spans="67:80" x14ac:dyDescent="0.25">
      <c r="BO3066">
        <v>0</v>
      </c>
      <c r="BP3066">
        <v>0</v>
      </c>
      <c r="BQ3066">
        <v>0</v>
      </c>
      <c r="BR3066">
        <v>0</v>
      </c>
      <c r="BS3066">
        <v>0</v>
      </c>
      <c r="BT3066">
        <v>0</v>
      </c>
      <c r="BU3066">
        <v>0</v>
      </c>
      <c r="BV3066">
        <v>0</v>
      </c>
      <c r="BW3066" t="s">
        <v>0</v>
      </c>
      <c r="BX3066">
        <v>0</v>
      </c>
      <c r="BY3066">
        <v>0</v>
      </c>
      <c r="BZ3066">
        <v>0</v>
      </c>
      <c r="CA3066">
        <v>0</v>
      </c>
      <c r="CB3066" t="s">
        <v>145</v>
      </c>
    </row>
    <row r="3067" spans="67:80" x14ac:dyDescent="0.25">
      <c r="BO3067">
        <v>0</v>
      </c>
      <c r="BP3067">
        <v>0</v>
      </c>
      <c r="BQ3067">
        <v>0</v>
      </c>
      <c r="BR3067">
        <v>0</v>
      </c>
      <c r="BS3067">
        <v>0</v>
      </c>
      <c r="BT3067">
        <v>0</v>
      </c>
      <c r="BU3067">
        <v>0</v>
      </c>
      <c r="BV3067">
        <v>0</v>
      </c>
      <c r="BW3067" t="s">
        <v>0</v>
      </c>
      <c r="BX3067">
        <v>0</v>
      </c>
      <c r="BY3067">
        <v>0</v>
      </c>
      <c r="BZ3067">
        <v>0</v>
      </c>
      <c r="CA3067">
        <v>0</v>
      </c>
      <c r="CB3067" t="s">
        <v>145</v>
      </c>
    </row>
    <row r="3068" spans="67:80" x14ac:dyDescent="0.25">
      <c r="BO3068">
        <v>0</v>
      </c>
      <c r="BP3068">
        <v>0</v>
      </c>
      <c r="BQ3068">
        <v>0</v>
      </c>
      <c r="BR3068">
        <v>0</v>
      </c>
      <c r="BS3068">
        <v>0</v>
      </c>
      <c r="BT3068">
        <v>0</v>
      </c>
      <c r="BU3068">
        <v>0</v>
      </c>
      <c r="BV3068">
        <v>0</v>
      </c>
      <c r="BW3068" t="s">
        <v>0</v>
      </c>
      <c r="BX3068">
        <v>0</v>
      </c>
      <c r="BY3068">
        <v>0</v>
      </c>
      <c r="BZ3068">
        <v>0</v>
      </c>
      <c r="CA3068">
        <v>0</v>
      </c>
      <c r="CB3068" t="s">
        <v>145</v>
      </c>
    </row>
    <row r="3069" spans="67:80" x14ac:dyDescent="0.25">
      <c r="BO3069">
        <v>0</v>
      </c>
      <c r="BP3069">
        <v>0</v>
      </c>
      <c r="BQ3069">
        <v>0</v>
      </c>
      <c r="BR3069">
        <v>0</v>
      </c>
      <c r="BS3069">
        <v>0</v>
      </c>
      <c r="BT3069">
        <v>0</v>
      </c>
      <c r="BU3069">
        <v>0</v>
      </c>
      <c r="BV3069">
        <v>0</v>
      </c>
      <c r="BW3069" t="s">
        <v>0</v>
      </c>
      <c r="BX3069">
        <v>0</v>
      </c>
      <c r="BY3069">
        <v>0</v>
      </c>
      <c r="BZ3069">
        <v>0</v>
      </c>
      <c r="CA3069">
        <v>0</v>
      </c>
      <c r="CB3069" t="s">
        <v>145</v>
      </c>
    </row>
    <row r="3070" spans="67:80" x14ac:dyDescent="0.25">
      <c r="BO3070">
        <v>0</v>
      </c>
      <c r="BP3070">
        <v>0</v>
      </c>
      <c r="BQ3070">
        <v>0</v>
      </c>
      <c r="BR3070">
        <v>0</v>
      </c>
      <c r="BS3070">
        <v>0</v>
      </c>
      <c r="BT3070">
        <v>0</v>
      </c>
      <c r="BU3070">
        <v>0</v>
      </c>
      <c r="BV3070">
        <v>0</v>
      </c>
      <c r="BW3070" t="s">
        <v>0</v>
      </c>
      <c r="BX3070">
        <v>0</v>
      </c>
      <c r="BY3070">
        <v>0</v>
      </c>
      <c r="BZ3070">
        <v>0</v>
      </c>
      <c r="CA3070">
        <v>0</v>
      </c>
      <c r="CB3070" t="s">
        <v>145</v>
      </c>
    </row>
    <row r="3071" spans="67:80" x14ac:dyDescent="0.25">
      <c r="BO3071">
        <v>0</v>
      </c>
      <c r="BP3071">
        <v>0</v>
      </c>
      <c r="BQ3071">
        <v>0</v>
      </c>
      <c r="BR3071">
        <v>0</v>
      </c>
      <c r="BS3071">
        <v>0</v>
      </c>
      <c r="BT3071">
        <v>0</v>
      </c>
      <c r="BU3071">
        <v>0</v>
      </c>
      <c r="BV3071">
        <v>0</v>
      </c>
      <c r="BW3071" t="s">
        <v>0</v>
      </c>
      <c r="BX3071">
        <v>0</v>
      </c>
      <c r="BY3071">
        <v>0</v>
      </c>
      <c r="BZ3071">
        <v>0</v>
      </c>
      <c r="CA3071">
        <v>0</v>
      </c>
      <c r="CB3071" t="s">
        <v>145</v>
      </c>
    </row>
    <row r="3072" spans="67:80" x14ac:dyDescent="0.25">
      <c r="BO3072">
        <v>0</v>
      </c>
      <c r="BP3072">
        <v>0</v>
      </c>
      <c r="BQ3072">
        <v>0</v>
      </c>
      <c r="BR3072">
        <v>0</v>
      </c>
      <c r="BS3072">
        <v>0</v>
      </c>
      <c r="BT3072">
        <v>0</v>
      </c>
      <c r="BU3072">
        <v>0</v>
      </c>
      <c r="BV3072">
        <v>0</v>
      </c>
      <c r="BW3072" t="s">
        <v>0</v>
      </c>
      <c r="BX3072">
        <v>0</v>
      </c>
      <c r="BY3072">
        <v>0</v>
      </c>
      <c r="BZ3072">
        <v>0</v>
      </c>
      <c r="CA3072">
        <v>0</v>
      </c>
      <c r="CB3072" t="s">
        <v>145</v>
      </c>
    </row>
    <row r="3073" spans="67:80" x14ac:dyDescent="0.25">
      <c r="BO3073">
        <v>0</v>
      </c>
      <c r="BP3073">
        <v>0</v>
      </c>
      <c r="BQ3073">
        <v>0</v>
      </c>
      <c r="BR3073">
        <v>0</v>
      </c>
      <c r="BS3073">
        <v>0</v>
      </c>
      <c r="BT3073">
        <v>0</v>
      </c>
      <c r="BU3073">
        <v>0</v>
      </c>
      <c r="BV3073">
        <v>0</v>
      </c>
      <c r="BW3073" t="s">
        <v>0</v>
      </c>
      <c r="BX3073">
        <v>0</v>
      </c>
      <c r="BY3073">
        <v>0</v>
      </c>
      <c r="BZ3073">
        <v>0</v>
      </c>
      <c r="CA3073">
        <v>0</v>
      </c>
      <c r="CB3073" t="s">
        <v>145</v>
      </c>
    </row>
    <row r="3074" spans="67:80" x14ac:dyDescent="0.25">
      <c r="BO3074">
        <v>0</v>
      </c>
      <c r="BP3074">
        <v>0</v>
      </c>
      <c r="BQ3074">
        <v>0</v>
      </c>
      <c r="BR3074">
        <v>0</v>
      </c>
      <c r="BS3074">
        <v>0</v>
      </c>
      <c r="BT3074">
        <v>0</v>
      </c>
      <c r="BU3074">
        <v>0</v>
      </c>
      <c r="BV3074">
        <v>0</v>
      </c>
      <c r="BW3074" t="s">
        <v>0</v>
      </c>
      <c r="BX3074">
        <v>0</v>
      </c>
      <c r="BY3074">
        <v>0</v>
      </c>
      <c r="BZ3074">
        <v>0</v>
      </c>
      <c r="CA3074">
        <v>0</v>
      </c>
      <c r="CB3074" t="s">
        <v>145</v>
      </c>
    </row>
    <row r="3075" spans="67:80" x14ac:dyDescent="0.25">
      <c r="BO3075">
        <v>0</v>
      </c>
      <c r="BP3075">
        <v>0</v>
      </c>
      <c r="BQ3075">
        <v>0</v>
      </c>
      <c r="BR3075">
        <v>0</v>
      </c>
      <c r="BS3075">
        <v>0</v>
      </c>
      <c r="BT3075">
        <v>0</v>
      </c>
      <c r="BU3075">
        <v>0</v>
      </c>
      <c r="BV3075">
        <v>0</v>
      </c>
      <c r="BW3075" t="s">
        <v>0</v>
      </c>
      <c r="BX3075">
        <v>0</v>
      </c>
      <c r="BY3075">
        <v>0</v>
      </c>
      <c r="BZ3075">
        <v>0</v>
      </c>
      <c r="CA3075">
        <v>0</v>
      </c>
      <c r="CB3075" t="s">
        <v>145</v>
      </c>
    </row>
    <row r="3076" spans="67:80" x14ac:dyDescent="0.25">
      <c r="BO3076">
        <v>0</v>
      </c>
      <c r="BP3076">
        <v>0</v>
      </c>
      <c r="BQ3076">
        <v>0</v>
      </c>
      <c r="BR3076">
        <v>0</v>
      </c>
      <c r="BS3076">
        <v>0</v>
      </c>
      <c r="BT3076">
        <v>0</v>
      </c>
      <c r="BU3076">
        <v>0</v>
      </c>
      <c r="BV3076">
        <v>0</v>
      </c>
      <c r="BW3076" t="s">
        <v>0</v>
      </c>
      <c r="BX3076">
        <v>0</v>
      </c>
      <c r="BY3076">
        <v>0</v>
      </c>
      <c r="BZ3076">
        <v>0</v>
      </c>
      <c r="CA3076">
        <v>0</v>
      </c>
      <c r="CB3076" t="s">
        <v>145</v>
      </c>
    </row>
    <row r="3077" spans="67:80" x14ac:dyDescent="0.25">
      <c r="BO3077">
        <v>0</v>
      </c>
      <c r="BP3077">
        <v>0</v>
      </c>
      <c r="BQ3077">
        <v>0</v>
      </c>
      <c r="BR3077">
        <v>0</v>
      </c>
      <c r="BS3077">
        <v>0</v>
      </c>
      <c r="BT3077">
        <v>0</v>
      </c>
      <c r="BU3077">
        <v>0</v>
      </c>
      <c r="BV3077">
        <v>0</v>
      </c>
      <c r="BW3077" t="s">
        <v>0</v>
      </c>
      <c r="BX3077">
        <v>0</v>
      </c>
      <c r="BY3077">
        <v>0</v>
      </c>
      <c r="BZ3077">
        <v>0</v>
      </c>
      <c r="CA3077">
        <v>0</v>
      </c>
      <c r="CB3077" t="s">
        <v>145</v>
      </c>
    </row>
    <row r="3078" spans="67:80" x14ac:dyDescent="0.25">
      <c r="BO3078">
        <v>0</v>
      </c>
      <c r="BP3078">
        <v>0</v>
      </c>
      <c r="BQ3078">
        <v>0</v>
      </c>
      <c r="BR3078">
        <v>0</v>
      </c>
      <c r="BS3078">
        <v>0</v>
      </c>
      <c r="BT3078">
        <v>0</v>
      </c>
      <c r="BU3078">
        <v>0</v>
      </c>
      <c r="BV3078">
        <v>0</v>
      </c>
      <c r="BW3078" t="s">
        <v>0</v>
      </c>
      <c r="BX3078">
        <v>0</v>
      </c>
      <c r="BY3078">
        <v>0</v>
      </c>
      <c r="BZ3078">
        <v>0</v>
      </c>
      <c r="CA3078">
        <v>0</v>
      </c>
      <c r="CB3078" t="s">
        <v>145</v>
      </c>
    </row>
    <row r="3079" spans="67:80" x14ac:dyDescent="0.25">
      <c r="BO3079">
        <v>0</v>
      </c>
      <c r="BP3079">
        <v>0</v>
      </c>
      <c r="BQ3079">
        <v>0</v>
      </c>
      <c r="BR3079">
        <v>0</v>
      </c>
      <c r="BS3079">
        <v>0</v>
      </c>
      <c r="BT3079">
        <v>0</v>
      </c>
      <c r="BU3079">
        <v>0</v>
      </c>
      <c r="BV3079">
        <v>0</v>
      </c>
      <c r="BW3079" t="s">
        <v>0</v>
      </c>
      <c r="BX3079">
        <v>0</v>
      </c>
      <c r="BY3079">
        <v>0</v>
      </c>
      <c r="BZ3079">
        <v>0</v>
      </c>
      <c r="CA3079">
        <v>0</v>
      </c>
      <c r="CB3079" t="s">
        <v>145</v>
      </c>
    </row>
    <row r="3080" spans="67:80" x14ac:dyDescent="0.25">
      <c r="BO3080">
        <v>0</v>
      </c>
      <c r="BP3080">
        <v>0</v>
      </c>
      <c r="BQ3080">
        <v>0</v>
      </c>
      <c r="BR3080">
        <v>0</v>
      </c>
      <c r="BS3080">
        <v>0</v>
      </c>
      <c r="BT3080">
        <v>0</v>
      </c>
      <c r="BU3080">
        <v>0</v>
      </c>
      <c r="BV3080">
        <v>0</v>
      </c>
      <c r="BW3080" t="s">
        <v>0</v>
      </c>
      <c r="BX3080">
        <v>0</v>
      </c>
      <c r="BY3080">
        <v>0</v>
      </c>
      <c r="BZ3080">
        <v>0</v>
      </c>
      <c r="CA3080">
        <v>0</v>
      </c>
      <c r="CB3080" t="s">
        <v>145</v>
      </c>
    </row>
    <row r="3081" spans="67:80" x14ac:dyDescent="0.25">
      <c r="BO3081">
        <v>0</v>
      </c>
      <c r="BP3081">
        <v>0</v>
      </c>
      <c r="BQ3081">
        <v>0</v>
      </c>
      <c r="BR3081">
        <v>0</v>
      </c>
      <c r="BS3081">
        <v>0</v>
      </c>
      <c r="BT3081">
        <v>0</v>
      </c>
      <c r="BU3081">
        <v>0</v>
      </c>
      <c r="BV3081">
        <v>0</v>
      </c>
      <c r="BW3081" t="s">
        <v>0</v>
      </c>
      <c r="BX3081">
        <v>0</v>
      </c>
      <c r="BY3081">
        <v>0</v>
      </c>
      <c r="BZ3081">
        <v>0</v>
      </c>
      <c r="CA3081">
        <v>0</v>
      </c>
      <c r="CB3081" t="s">
        <v>145</v>
      </c>
    </row>
    <row r="3082" spans="67:80" x14ac:dyDescent="0.25">
      <c r="BO3082">
        <v>0</v>
      </c>
      <c r="BP3082">
        <v>0</v>
      </c>
      <c r="BQ3082">
        <v>0</v>
      </c>
      <c r="BR3082">
        <v>0</v>
      </c>
      <c r="BS3082">
        <v>0</v>
      </c>
      <c r="BT3082">
        <v>0</v>
      </c>
      <c r="BU3082">
        <v>0</v>
      </c>
      <c r="BV3082">
        <v>0</v>
      </c>
      <c r="BW3082" t="s">
        <v>0</v>
      </c>
      <c r="BX3082">
        <v>0</v>
      </c>
      <c r="BY3082">
        <v>0</v>
      </c>
      <c r="BZ3082">
        <v>0</v>
      </c>
      <c r="CA3082">
        <v>0</v>
      </c>
      <c r="CB3082" t="s">
        <v>145</v>
      </c>
    </row>
    <row r="3083" spans="67:80" x14ac:dyDescent="0.25">
      <c r="BO3083">
        <v>0</v>
      </c>
      <c r="BP3083">
        <v>0</v>
      </c>
      <c r="BQ3083">
        <v>0</v>
      </c>
      <c r="BR3083">
        <v>0</v>
      </c>
      <c r="BS3083">
        <v>0</v>
      </c>
      <c r="BT3083">
        <v>0</v>
      </c>
      <c r="BU3083">
        <v>0</v>
      </c>
      <c r="BV3083">
        <v>0</v>
      </c>
      <c r="BW3083" t="s">
        <v>0</v>
      </c>
      <c r="BX3083">
        <v>0</v>
      </c>
      <c r="BY3083">
        <v>0</v>
      </c>
      <c r="BZ3083">
        <v>0</v>
      </c>
      <c r="CA3083">
        <v>0</v>
      </c>
      <c r="CB3083" t="s">
        <v>145</v>
      </c>
    </row>
    <row r="3084" spans="67:80" x14ac:dyDescent="0.25">
      <c r="BO3084">
        <v>0</v>
      </c>
      <c r="BP3084">
        <v>0</v>
      </c>
      <c r="BQ3084">
        <v>0</v>
      </c>
      <c r="BR3084">
        <v>0</v>
      </c>
      <c r="BS3084">
        <v>0</v>
      </c>
      <c r="BT3084">
        <v>0</v>
      </c>
      <c r="BU3084">
        <v>0</v>
      </c>
      <c r="BV3084">
        <v>0</v>
      </c>
      <c r="BW3084" t="s">
        <v>0</v>
      </c>
      <c r="BX3084">
        <v>0</v>
      </c>
      <c r="BY3084">
        <v>0</v>
      </c>
      <c r="BZ3084">
        <v>0</v>
      </c>
      <c r="CA3084">
        <v>0</v>
      </c>
      <c r="CB3084" t="s">
        <v>145</v>
      </c>
    </row>
    <row r="3085" spans="67:80" x14ac:dyDescent="0.25">
      <c r="BO3085">
        <v>0</v>
      </c>
      <c r="BP3085">
        <v>0</v>
      </c>
      <c r="BQ3085">
        <v>0</v>
      </c>
      <c r="BR3085">
        <v>0</v>
      </c>
      <c r="BS3085">
        <v>0</v>
      </c>
      <c r="BT3085">
        <v>0</v>
      </c>
      <c r="BU3085">
        <v>0</v>
      </c>
      <c r="BV3085">
        <v>0</v>
      </c>
      <c r="BW3085" t="s">
        <v>0</v>
      </c>
      <c r="BX3085">
        <v>0</v>
      </c>
      <c r="BY3085">
        <v>0</v>
      </c>
      <c r="BZ3085">
        <v>0</v>
      </c>
      <c r="CA3085">
        <v>0</v>
      </c>
      <c r="CB3085" t="s">
        <v>145</v>
      </c>
    </row>
    <row r="3086" spans="67:80" x14ac:dyDescent="0.25">
      <c r="BO3086">
        <v>0</v>
      </c>
      <c r="BP3086">
        <v>0</v>
      </c>
      <c r="BQ3086">
        <v>0</v>
      </c>
      <c r="BR3086">
        <v>0</v>
      </c>
      <c r="BS3086">
        <v>0</v>
      </c>
      <c r="BT3086">
        <v>0</v>
      </c>
      <c r="BU3086">
        <v>0</v>
      </c>
      <c r="BV3086">
        <v>0</v>
      </c>
      <c r="BW3086" t="s">
        <v>0</v>
      </c>
      <c r="BX3086">
        <v>0</v>
      </c>
      <c r="BY3086">
        <v>0</v>
      </c>
      <c r="BZ3086">
        <v>0</v>
      </c>
      <c r="CA3086">
        <v>0</v>
      </c>
      <c r="CB3086" t="s">
        <v>145</v>
      </c>
    </row>
    <row r="3087" spans="67:80" x14ac:dyDescent="0.25">
      <c r="BO3087">
        <v>0</v>
      </c>
      <c r="BP3087">
        <v>0</v>
      </c>
      <c r="BQ3087">
        <v>0</v>
      </c>
      <c r="BR3087">
        <v>0</v>
      </c>
      <c r="BS3087">
        <v>0</v>
      </c>
      <c r="BT3087">
        <v>0</v>
      </c>
      <c r="BU3087">
        <v>0</v>
      </c>
      <c r="BV3087">
        <v>0</v>
      </c>
      <c r="BW3087" t="s">
        <v>0</v>
      </c>
      <c r="BX3087">
        <v>0</v>
      </c>
      <c r="BY3087">
        <v>0</v>
      </c>
      <c r="BZ3087">
        <v>0</v>
      </c>
      <c r="CA3087">
        <v>0</v>
      </c>
      <c r="CB3087" t="s">
        <v>145</v>
      </c>
    </row>
    <row r="3088" spans="67:80" x14ac:dyDescent="0.25">
      <c r="BO3088">
        <v>0</v>
      </c>
      <c r="BP3088">
        <v>0</v>
      </c>
      <c r="BQ3088">
        <v>0</v>
      </c>
      <c r="BR3088">
        <v>0</v>
      </c>
      <c r="BS3088">
        <v>0</v>
      </c>
      <c r="BT3088">
        <v>0</v>
      </c>
      <c r="BU3088">
        <v>0</v>
      </c>
      <c r="BV3088">
        <v>0</v>
      </c>
      <c r="BW3088" t="s">
        <v>0</v>
      </c>
      <c r="BX3088">
        <v>0</v>
      </c>
      <c r="BY3088">
        <v>0</v>
      </c>
      <c r="BZ3088">
        <v>0</v>
      </c>
      <c r="CA3088">
        <v>0</v>
      </c>
      <c r="CB3088" t="s">
        <v>145</v>
      </c>
    </row>
    <row r="3089" spans="67:80" x14ac:dyDescent="0.25">
      <c r="BO3089">
        <v>0</v>
      </c>
      <c r="BP3089">
        <v>0</v>
      </c>
      <c r="BQ3089">
        <v>0</v>
      </c>
      <c r="BR3089">
        <v>0</v>
      </c>
      <c r="BS3089">
        <v>0</v>
      </c>
      <c r="BT3089">
        <v>0</v>
      </c>
      <c r="BU3089">
        <v>0</v>
      </c>
      <c r="BV3089">
        <v>0</v>
      </c>
      <c r="BW3089" t="s">
        <v>0</v>
      </c>
      <c r="BX3089">
        <v>0</v>
      </c>
      <c r="BY3089">
        <v>0</v>
      </c>
      <c r="BZ3089">
        <v>0</v>
      </c>
      <c r="CA3089">
        <v>0</v>
      </c>
      <c r="CB3089" t="s">
        <v>145</v>
      </c>
    </row>
    <row r="3090" spans="67:80" x14ac:dyDescent="0.25">
      <c r="BO3090">
        <v>0</v>
      </c>
      <c r="BP3090">
        <v>0</v>
      </c>
      <c r="BQ3090">
        <v>0</v>
      </c>
      <c r="BR3090">
        <v>0</v>
      </c>
      <c r="BS3090">
        <v>0</v>
      </c>
      <c r="BT3090">
        <v>0</v>
      </c>
      <c r="BU3090">
        <v>0</v>
      </c>
      <c r="BV3090">
        <v>0</v>
      </c>
      <c r="BW3090" t="s">
        <v>0</v>
      </c>
      <c r="BX3090">
        <v>0</v>
      </c>
      <c r="BY3090">
        <v>0</v>
      </c>
      <c r="BZ3090">
        <v>0</v>
      </c>
      <c r="CA3090">
        <v>0</v>
      </c>
      <c r="CB3090" t="s">
        <v>145</v>
      </c>
    </row>
    <row r="3091" spans="67:80" x14ac:dyDescent="0.25">
      <c r="BO3091">
        <v>0</v>
      </c>
      <c r="BP3091">
        <v>0</v>
      </c>
      <c r="BQ3091">
        <v>0</v>
      </c>
      <c r="BR3091">
        <v>0</v>
      </c>
      <c r="BS3091">
        <v>0</v>
      </c>
      <c r="BT3091">
        <v>0</v>
      </c>
      <c r="BU3091">
        <v>0</v>
      </c>
      <c r="BV3091">
        <v>0</v>
      </c>
      <c r="BW3091" t="s">
        <v>0</v>
      </c>
      <c r="BX3091">
        <v>0</v>
      </c>
      <c r="BY3091">
        <v>0</v>
      </c>
      <c r="BZ3091">
        <v>0</v>
      </c>
      <c r="CA3091">
        <v>0</v>
      </c>
      <c r="CB3091" t="s">
        <v>145</v>
      </c>
    </row>
    <row r="3092" spans="67:80" x14ac:dyDescent="0.25">
      <c r="BO3092">
        <v>0</v>
      </c>
      <c r="BP3092">
        <v>0</v>
      </c>
      <c r="BQ3092">
        <v>0</v>
      </c>
      <c r="BR3092">
        <v>0</v>
      </c>
      <c r="BS3092">
        <v>0</v>
      </c>
      <c r="BT3092">
        <v>0</v>
      </c>
      <c r="BU3092">
        <v>0</v>
      </c>
      <c r="BV3092">
        <v>0</v>
      </c>
      <c r="BW3092" t="s">
        <v>0</v>
      </c>
      <c r="BX3092">
        <v>0</v>
      </c>
      <c r="BY3092">
        <v>0</v>
      </c>
      <c r="BZ3092">
        <v>0</v>
      </c>
      <c r="CA3092">
        <v>0</v>
      </c>
      <c r="CB3092" t="s">
        <v>145</v>
      </c>
    </row>
    <row r="3093" spans="67:80" x14ac:dyDescent="0.25">
      <c r="BO3093">
        <v>0</v>
      </c>
      <c r="BP3093">
        <v>0</v>
      </c>
      <c r="BQ3093">
        <v>0</v>
      </c>
      <c r="BR3093">
        <v>0</v>
      </c>
      <c r="BS3093">
        <v>0</v>
      </c>
      <c r="BT3093">
        <v>0</v>
      </c>
      <c r="BU3093">
        <v>0</v>
      </c>
      <c r="BV3093">
        <v>0</v>
      </c>
      <c r="BW3093" t="s">
        <v>0</v>
      </c>
      <c r="BX3093">
        <v>0</v>
      </c>
      <c r="BY3093">
        <v>0</v>
      </c>
      <c r="BZ3093">
        <v>0</v>
      </c>
      <c r="CA3093">
        <v>0</v>
      </c>
      <c r="CB3093" t="s">
        <v>145</v>
      </c>
    </row>
    <row r="3094" spans="67:80" x14ac:dyDescent="0.25">
      <c r="BO3094">
        <v>0</v>
      </c>
      <c r="BP3094">
        <v>0</v>
      </c>
      <c r="BQ3094">
        <v>0</v>
      </c>
      <c r="BR3094">
        <v>0</v>
      </c>
      <c r="BS3094">
        <v>0</v>
      </c>
      <c r="BT3094">
        <v>0</v>
      </c>
      <c r="BU3094">
        <v>0</v>
      </c>
      <c r="BV3094">
        <v>0</v>
      </c>
      <c r="BW3094" t="s">
        <v>0</v>
      </c>
      <c r="BX3094">
        <v>0</v>
      </c>
      <c r="BY3094">
        <v>0</v>
      </c>
      <c r="BZ3094">
        <v>0</v>
      </c>
      <c r="CA3094">
        <v>0</v>
      </c>
      <c r="CB3094" t="s">
        <v>145</v>
      </c>
    </row>
    <row r="3095" spans="67:80" x14ac:dyDescent="0.25">
      <c r="BO3095">
        <v>0</v>
      </c>
      <c r="BP3095">
        <v>0</v>
      </c>
      <c r="BQ3095">
        <v>0</v>
      </c>
      <c r="BR3095">
        <v>0</v>
      </c>
      <c r="BS3095">
        <v>0</v>
      </c>
      <c r="BT3095">
        <v>0</v>
      </c>
      <c r="BU3095">
        <v>0</v>
      </c>
      <c r="BV3095">
        <v>0</v>
      </c>
      <c r="BW3095" t="s">
        <v>0</v>
      </c>
      <c r="BX3095">
        <v>0</v>
      </c>
      <c r="BY3095">
        <v>0</v>
      </c>
      <c r="BZ3095">
        <v>0</v>
      </c>
      <c r="CA3095">
        <v>0</v>
      </c>
      <c r="CB3095" t="s">
        <v>145</v>
      </c>
    </row>
    <row r="3096" spans="67:80" x14ac:dyDescent="0.25">
      <c r="BO3096">
        <v>0</v>
      </c>
      <c r="BP3096">
        <v>0</v>
      </c>
      <c r="BQ3096">
        <v>0</v>
      </c>
      <c r="BR3096">
        <v>0</v>
      </c>
      <c r="BS3096">
        <v>0</v>
      </c>
      <c r="BT3096">
        <v>0</v>
      </c>
      <c r="BU3096">
        <v>0</v>
      </c>
      <c r="BV3096">
        <v>0</v>
      </c>
      <c r="BW3096" t="s">
        <v>0</v>
      </c>
      <c r="BX3096">
        <v>0</v>
      </c>
      <c r="BY3096">
        <v>0</v>
      </c>
      <c r="BZ3096">
        <v>0</v>
      </c>
      <c r="CA3096">
        <v>0</v>
      </c>
      <c r="CB3096" t="s">
        <v>145</v>
      </c>
    </row>
    <row r="3097" spans="67:80" x14ac:dyDescent="0.25">
      <c r="BO3097">
        <v>0</v>
      </c>
      <c r="BP3097">
        <v>0</v>
      </c>
      <c r="BQ3097">
        <v>0</v>
      </c>
      <c r="BR3097">
        <v>0</v>
      </c>
      <c r="BS3097">
        <v>0</v>
      </c>
      <c r="BT3097">
        <v>0</v>
      </c>
      <c r="BU3097">
        <v>0</v>
      </c>
      <c r="BV3097">
        <v>0</v>
      </c>
      <c r="BW3097" t="s">
        <v>0</v>
      </c>
      <c r="BX3097">
        <v>0</v>
      </c>
      <c r="BY3097">
        <v>0</v>
      </c>
      <c r="BZ3097">
        <v>0</v>
      </c>
      <c r="CA3097">
        <v>0</v>
      </c>
      <c r="CB3097" t="s">
        <v>145</v>
      </c>
    </row>
    <row r="3098" spans="67:80" x14ac:dyDescent="0.25">
      <c r="BO3098">
        <v>0</v>
      </c>
      <c r="BP3098">
        <v>0</v>
      </c>
      <c r="BQ3098">
        <v>0</v>
      </c>
      <c r="BR3098">
        <v>0</v>
      </c>
      <c r="BS3098">
        <v>0</v>
      </c>
      <c r="BT3098">
        <v>0</v>
      </c>
      <c r="BU3098">
        <v>0</v>
      </c>
      <c r="BV3098">
        <v>0</v>
      </c>
      <c r="BW3098" t="s">
        <v>0</v>
      </c>
      <c r="BX3098">
        <v>0</v>
      </c>
      <c r="BY3098">
        <v>0</v>
      </c>
      <c r="BZ3098">
        <v>0</v>
      </c>
      <c r="CA3098">
        <v>0</v>
      </c>
      <c r="CB3098" t="s">
        <v>145</v>
      </c>
    </row>
    <row r="3099" spans="67:80" x14ac:dyDescent="0.25">
      <c r="BO3099">
        <v>0</v>
      </c>
      <c r="BP3099">
        <v>0</v>
      </c>
      <c r="BQ3099">
        <v>0</v>
      </c>
      <c r="BR3099">
        <v>0</v>
      </c>
      <c r="BS3099">
        <v>0</v>
      </c>
      <c r="BT3099">
        <v>0</v>
      </c>
      <c r="BU3099">
        <v>0</v>
      </c>
      <c r="BV3099">
        <v>0</v>
      </c>
      <c r="BW3099" t="s">
        <v>0</v>
      </c>
      <c r="BX3099">
        <v>0</v>
      </c>
      <c r="BY3099">
        <v>0</v>
      </c>
      <c r="BZ3099">
        <v>0</v>
      </c>
      <c r="CA3099">
        <v>0</v>
      </c>
      <c r="CB3099" t="s">
        <v>145</v>
      </c>
    </row>
    <row r="3100" spans="67:80" x14ac:dyDescent="0.25">
      <c r="BO3100">
        <v>0</v>
      </c>
      <c r="BP3100">
        <v>0</v>
      </c>
      <c r="BQ3100">
        <v>0</v>
      </c>
      <c r="BR3100">
        <v>0</v>
      </c>
      <c r="BS3100">
        <v>0</v>
      </c>
      <c r="BT3100">
        <v>0</v>
      </c>
      <c r="BU3100">
        <v>0</v>
      </c>
      <c r="BV3100">
        <v>0</v>
      </c>
      <c r="BW3100" t="s">
        <v>0</v>
      </c>
      <c r="BX3100">
        <v>0</v>
      </c>
      <c r="BY3100">
        <v>0</v>
      </c>
      <c r="BZ3100">
        <v>0</v>
      </c>
      <c r="CA3100">
        <v>0</v>
      </c>
      <c r="CB3100" t="s">
        <v>145</v>
      </c>
    </row>
    <row r="3101" spans="67:80" x14ac:dyDescent="0.25">
      <c r="BO3101">
        <v>0</v>
      </c>
      <c r="BP3101">
        <v>0</v>
      </c>
      <c r="BQ3101">
        <v>0</v>
      </c>
      <c r="BR3101">
        <v>0</v>
      </c>
      <c r="BS3101">
        <v>0</v>
      </c>
      <c r="BT3101">
        <v>0</v>
      </c>
      <c r="BU3101">
        <v>0</v>
      </c>
      <c r="BV3101">
        <v>0</v>
      </c>
      <c r="BW3101" t="s">
        <v>0</v>
      </c>
      <c r="BX3101">
        <v>0</v>
      </c>
      <c r="BY3101">
        <v>0</v>
      </c>
      <c r="BZ3101">
        <v>0</v>
      </c>
      <c r="CA3101">
        <v>0</v>
      </c>
      <c r="CB3101" t="s">
        <v>145</v>
      </c>
    </row>
    <row r="3102" spans="67:80" x14ac:dyDescent="0.25">
      <c r="BO3102">
        <v>0</v>
      </c>
      <c r="BP3102">
        <v>0</v>
      </c>
      <c r="BQ3102">
        <v>0</v>
      </c>
      <c r="BR3102">
        <v>0</v>
      </c>
      <c r="BS3102">
        <v>0</v>
      </c>
      <c r="BT3102">
        <v>0</v>
      </c>
      <c r="BU3102">
        <v>0</v>
      </c>
      <c r="BV3102">
        <v>0</v>
      </c>
      <c r="BW3102" t="s">
        <v>0</v>
      </c>
      <c r="BX3102">
        <v>0</v>
      </c>
      <c r="BY3102">
        <v>0</v>
      </c>
      <c r="BZ3102">
        <v>0</v>
      </c>
      <c r="CA3102">
        <v>0</v>
      </c>
      <c r="CB3102" t="s">
        <v>145</v>
      </c>
    </row>
    <row r="3103" spans="67:80" x14ac:dyDescent="0.25">
      <c r="BO3103">
        <v>0</v>
      </c>
      <c r="BP3103">
        <v>0</v>
      </c>
      <c r="BQ3103">
        <v>0</v>
      </c>
      <c r="BR3103">
        <v>0</v>
      </c>
      <c r="BS3103">
        <v>0</v>
      </c>
      <c r="BT3103">
        <v>0</v>
      </c>
      <c r="BU3103">
        <v>0</v>
      </c>
      <c r="BV3103">
        <v>0</v>
      </c>
      <c r="BW3103" t="s">
        <v>0</v>
      </c>
      <c r="BX3103">
        <v>0</v>
      </c>
      <c r="BY3103">
        <v>0</v>
      </c>
      <c r="BZ3103">
        <v>0</v>
      </c>
      <c r="CA3103">
        <v>0</v>
      </c>
      <c r="CB3103" t="s">
        <v>145</v>
      </c>
    </row>
    <row r="3104" spans="67:80" x14ac:dyDescent="0.25">
      <c r="BO3104">
        <v>0</v>
      </c>
      <c r="BP3104">
        <v>0</v>
      </c>
      <c r="BQ3104">
        <v>0</v>
      </c>
      <c r="BR3104">
        <v>0</v>
      </c>
      <c r="BS3104">
        <v>0</v>
      </c>
      <c r="BT3104">
        <v>0</v>
      </c>
      <c r="BU3104">
        <v>0</v>
      </c>
      <c r="BV3104">
        <v>0</v>
      </c>
      <c r="BW3104" t="s">
        <v>0</v>
      </c>
      <c r="BX3104">
        <v>0</v>
      </c>
      <c r="BY3104">
        <v>0</v>
      </c>
      <c r="BZ3104">
        <v>0</v>
      </c>
      <c r="CA3104">
        <v>0</v>
      </c>
      <c r="CB3104" t="s">
        <v>145</v>
      </c>
    </row>
    <row r="3105" spans="35:80" x14ac:dyDescent="0.25">
      <c r="BO3105">
        <v>0</v>
      </c>
      <c r="BP3105">
        <v>0</v>
      </c>
      <c r="BQ3105">
        <v>0</v>
      </c>
      <c r="BR3105">
        <v>0</v>
      </c>
      <c r="BS3105">
        <v>0</v>
      </c>
      <c r="BT3105">
        <v>0</v>
      </c>
      <c r="BU3105">
        <v>0</v>
      </c>
      <c r="BV3105">
        <v>0</v>
      </c>
      <c r="BW3105" t="s">
        <v>0</v>
      </c>
      <c r="BX3105">
        <v>0</v>
      </c>
      <c r="BY3105">
        <v>0</v>
      </c>
      <c r="BZ3105">
        <v>0</v>
      </c>
      <c r="CA3105">
        <v>0</v>
      </c>
      <c r="CB3105" t="s">
        <v>145</v>
      </c>
    </row>
    <row r="3106" spans="35:80" x14ac:dyDescent="0.25">
      <c r="BO3106">
        <v>0</v>
      </c>
      <c r="BP3106">
        <v>0</v>
      </c>
      <c r="BQ3106">
        <v>0</v>
      </c>
      <c r="BR3106">
        <v>0</v>
      </c>
      <c r="BS3106">
        <v>0</v>
      </c>
      <c r="BT3106">
        <v>0</v>
      </c>
      <c r="BU3106">
        <v>0</v>
      </c>
      <c r="BV3106">
        <v>0</v>
      </c>
      <c r="BW3106" t="s">
        <v>0</v>
      </c>
      <c r="BX3106">
        <v>0</v>
      </c>
      <c r="BY3106">
        <v>0</v>
      </c>
      <c r="BZ3106">
        <v>0</v>
      </c>
      <c r="CA3106">
        <v>0</v>
      </c>
      <c r="CB3106" t="s">
        <v>145</v>
      </c>
    </row>
    <row r="3107" spans="35:80" x14ac:dyDescent="0.25">
      <c r="BO3107">
        <v>0</v>
      </c>
      <c r="BP3107">
        <v>0</v>
      </c>
      <c r="BQ3107">
        <v>0</v>
      </c>
      <c r="BR3107">
        <v>0</v>
      </c>
      <c r="BS3107">
        <v>0</v>
      </c>
      <c r="BT3107">
        <v>0</v>
      </c>
      <c r="BU3107">
        <v>0</v>
      </c>
      <c r="BV3107">
        <v>0</v>
      </c>
      <c r="BW3107" t="s">
        <v>0</v>
      </c>
      <c r="BX3107">
        <v>0</v>
      </c>
      <c r="BY3107">
        <v>0</v>
      </c>
      <c r="BZ3107">
        <v>0</v>
      </c>
      <c r="CA3107">
        <v>0</v>
      </c>
      <c r="CB3107" t="s">
        <v>145</v>
      </c>
    </row>
    <row r="3108" spans="35:80" x14ac:dyDescent="0.25">
      <c r="BO3108">
        <v>0</v>
      </c>
      <c r="BP3108">
        <v>0</v>
      </c>
      <c r="BQ3108">
        <v>0</v>
      </c>
      <c r="BR3108">
        <v>0</v>
      </c>
      <c r="BS3108">
        <v>0</v>
      </c>
      <c r="BT3108">
        <v>0</v>
      </c>
      <c r="BU3108">
        <v>0</v>
      </c>
      <c r="BV3108">
        <v>0</v>
      </c>
      <c r="BW3108" t="s">
        <v>0</v>
      </c>
      <c r="BX3108">
        <v>0</v>
      </c>
      <c r="BY3108">
        <v>0</v>
      </c>
      <c r="BZ3108">
        <v>0</v>
      </c>
      <c r="CA3108">
        <v>0</v>
      </c>
      <c r="CB3108" t="s">
        <v>145</v>
      </c>
    </row>
    <row r="3109" spans="35:80" x14ac:dyDescent="0.25">
      <c r="BO3109">
        <v>0</v>
      </c>
      <c r="BP3109">
        <v>0</v>
      </c>
      <c r="BQ3109">
        <v>0</v>
      </c>
      <c r="BR3109">
        <v>0</v>
      </c>
      <c r="BS3109">
        <v>0</v>
      </c>
      <c r="BT3109">
        <v>0</v>
      </c>
      <c r="BU3109">
        <v>0</v>
      </c>
      <c r="BV3109">
        <v>0</v>
      </c>
      <c r="BW3109" t="s">
        <v>0</v>
      </c>
      <c r="BX3109">
        <v>0</v>
      </c>
      <c r="BY3109">
        <v>0</v>
      </c>
      <c r="BZ3109">
        <v>0</v>
      </c>
      <c r="CA3109">
        <v>0</v>
      </c>
      <c r="CB3109" t="s">
        <v>145</v>
      </c>
    </row>
    <row r="3110" spans="35:80" x14ac:dyDescent="0.25">
      <c r="BO3110">
        <v>0</v>
      </c>
      <c r="BP3110">
        <v>0</v>
      </c>
      <c r="BQ3110">
        <v>0</v>
      </c>
      <c r="BR3110">
        <v>0</v>
      </c>
      <c r="BS3110">
        <v>0</v>
      </c>
      <c r="BT3110">
        <v>0</v>
      </c>
      <c r="BU3110">
        <v>0</v>
      </c>
      <c r="BV3110">
        <v>0</v>
      </c>
      <c r="BW3110" t="s">
        <v>0</v>
      </c>
      <c r="BX3110">
        <v>0</v>
      </c>
      <c r="BY3110">
        <v>0</v>
      </c>
      <c r="BZ3110">
        <v>0</v>
      </c>
      <c r="CA3110">
        <v>0</v>
      </c>
      <c r="CB3110" t="s">
        <v>145</v>
      </c>
    </row>
    <row r="3111" spans="35:80" x14ac:dyDescent="0.25">
      <c r="AI3111" s="9"/>
      <c r="BO3111">
        <v>0</v>
      </c>
      <c r="BP3111">
        <v>0</v>
      </c>
      <c r="BQ3111">
        <v>0</v>
      </c>
      <c r="BR3111">
        <v>0</v>
      </c>
      <c r="BS3111">
        <v>0</v>
      </c>
      <c r="BT3111">
        <v>0</v>
      </c>
      <c r="BU3111">
        <v>0</v>
      </c>
      <c r="BV3111">
        <v>0</v>
      </c>
      <c r="BW3111" t="s">
        <v>0</v>
      </c>
      <c r="BX3111">
        <v>0</v>
      </c>
      <c r="BY3111">
        <v>0</v>
      </c>
      <c r="BZ3111">
        <v>0</v>
      </c>
      <c r="CA3111">
        <v>0</v>
      </c>
      <c r="CB3111" t="s">
        <v>145</v>
      </c>
    </row>
    <row r="3112" spans="35:80" x14ac:dyDescent="0.25">
      <c r="BO3112">
        <v>0</v>
      </c>
      <c r="BP3112">
        <v>0</v>
      </c>
      <c r="BQ3112">
        <v>0</v>
      </c>
      <c r="BR3112">
        <v>0</v>
      </c>
      <c r="BS3112">
        <v>0</v>
      </c>
      <c r="BT3112">
        <v>0</v>
      </c>
      <c r="BU3112">
        <v>0</v>
      </c>
      <c r="BV3112">
        <v>0</v>
      </c>
      <c r="BW3112" t="s">
        <v>0</v>
      </c>
      <c r="BX3112">
        <v>0</v>
      </c>
      <c r="BY3112">
        <v>0</v>
      </c>
      <c r="BZ3112">
        <v>0</v>
      </c>
      <c r="CA3112">
        <v>0</v>
      </c>
      <c r="CB3112" t="s">
        <v>145</v>
      </c>
    </row>
    <row r="3113" spans="35:80" x14ac:dyDescent="0.25">
      <c r="BO3113">
        <v>0</v>
      </c>
      <c r="BP3113">
        <v>0</v>
      </c>
      <c r="BQ3113">
        <v>0</v>
      </c>
      <c r="BR3113">
        <v>0</v>
      </c>
      <c r="BS3113">
        <v>0</v>
      </c>
      <c r="BT3113">
        <v>0</v>
      </c>
      <c r="BU3113">
        <v>0</v>
      </c>
      <c r="BV3113">
        <v>0</v>
      </c>
      <c r="BW3113" t="s">
        <v>0</v>
      </c>
      <c r="BX3113">
        <v>0</v>
      </c>
      <c r="BY3113">
        <v>0</v>
      </c>
      <c r="BZ3113">
        <v>0</v>
      </c>
      <c r="CA3113">
        <v>0</v>
      </c>
      <c r="CB3113" t="s">
        <v>145</v>
      </c>
    </row>
    <row r="3114" spans="35:80" x14ac:dyDescent="0.25">
      <c r="BO3114">
        <v>0</v>
      </c>
      <c r="BP3114">
        <v>0</v>
      </c>
      <c r="BQ3114">
        <v>0</v>
      </c>
      <c r="BR3114">
        <v>0</v>
      </c>
      <c r="BS3114">
        <v>0</v>
      </c>
      <c r="BT3114">
        <v>0</v>
      </c>
      <c r="BU3114">
        <v>0</v>
      </c>
      <c r="BV3114">
        <v>0</v>
      </c>
      <c r="BW3114" t="s">
        <v>0</v>
      </c>
      <c r="BX3114">
        <v>0</v>
      </c>
      <c r="BY3114">
        <v>0</v>
      </c>
      <c r="BZ3114">
        <v>0</v>
      </c>
      <c r="CA3114">
        <v>0</v>
      </c>
      <c r="CB3114" t="s">
        <v>145</v>
      </c>
    </row>
    <row r="3115" spans="35:80" x14ac:dyDescent="0.25">
      <c r="BO3115">
        <v>0</v>
      </c>
      <c r="BP3115">
        <v>0</v>
      </c>
      <c r="BQ3115">
        <v>0</v>
      </c>
      <c r="BR3115">
        <v>0</v>
      </c>
      <c r="BS3115">
        <v>0</v>
      </c>
      <c r="BT3115">
        <v>0</v>
      </c>
      <c r="BU3115">
        <v>0</v>
      </c>
      <c r="BV3115">
        <v>0</v>
      </c>
      <c r="BW3115" t="s">
        <v>0</v>
      </c>
      <c r="BX3115">
        <v>0</v>
      </c>
      <c r="BY3115">
        <v>0</v>
      </c>
      <c r="BZ3115">
        <v>0</v>
      </c>
      <c r="CA3115">
        <v>0</v>
      </c>
      <c r="CB3115" t="s">
        <v>145</v>
      </c>
    </row>
    <row r="3116" spans="35:80" x14ac:dyDescent="0.25">
      <c r="BO3116">
        <v>0</v>
      </c>
      <c r="BP3116">
        <v>0</v>
      </c>
      <c r="BQ3116">
        <v>0</v>
      </c>
      <c r="BR3116">
        <v>0</v>
      </c>
      <c r="BS3116">
        <v>0</v>
      </c>
      <c r="BT3116">
        <v>0</v>
      </c>
      <c r="BU3116">
        <v>0</v>
      </c>
      <c r="BV3116">
        <v>0</v>
      </c>
      <c r="BW3116" t="s">
        <v>0</v>
      </c>
      <c r="BX3116">
        <v>0</v>
      </c>
      <c r="BY3116">
        <v>0</v>
      </c>
      <c r="BZ3116">
        <v>0</v>
      </c>
      <c r="CA3116">
        <v>0</v>
      </c>
      <c r="CB3116" t="s">
        <v>145</v>
      </c>
    </row>
    <row r="3117" spans="35:80" x14ac:dyDescent="0.25">
      <c r="BO3117">
        <v>0</v>
      </c>
      <c r="BP3117">
        <v>0</v>
      </c>
      <c r="BQ3117">
        <v>0</v>
      </c>
      <c r="BR3117">
        <v>0</v>
      </c>
      <c r="BS3117">
        <v>0</v>
      </c>
      <c r="BT3117">
        <v>0</v>
      </c>
      <c r="BU3117">
        <v>0</v>
      </c>
      <c r="BV3117">
        <v>0</v>
      </c>
      <c r="BW3117" t="s">
        <v>0</v>
      </c>
      <c r="BX3117">
        <v>0</v>
      </c>
      <c r="BY3117">
        <v>0</v>
      </c>
      <c r="BZ3117">
        <v>0</v>
      </c>
      <c r="CA3117">
        <v>0</v>
      </c>
      <c r="CB3117" t="s">
        <v>145</v>
      </c>
    </row>
    <row r="3118" spans="35:80" x14ac:dyDescent="0.25">
      <c r="BO3118">
        <v>0</v>
      </c>
      <c r="BP3118">
        <v>0</v>
      </c>
      <c r="BQ3118">
        <v>0</v>
      </c>
      <c r="BR3118">
        <v>0</v>
      </c>
      <c r="BS3118">
        <v>0</v>
      </c>
      <c r="BT3118">
        <v>0</v>
      </c>
      <c r="BU3118">
        <v>0</v>
      </c>
      <c r="BV3118">
        <v>0</v>
      </c>
      <c r="BW3118" t="s">
        <v>0</v>
      </c>
      <c r="BX3118">
        <v>0</v>
      </c>
      <c r="BY3118">
        <v>0</v>
      </c>
      <c r="BZ3118">
        <v>0</v>
      </c>
      <c r="CA3118">
        <v>0</v>
      </c>
      <c r="CB3118" t="s">
        <v>145</v>
      </c>
    </row>
    <row r="3119" spans="35:80" x14ac:dyDescent="0.25">
      <c r="BO3119">
        <v>0</v>
      </c>
      <c r="BP3119">
        <v>0</v>
      </c>
      <c r="BQ3119">
        <v>0</v>
      </c>
      <c r="BR3119">
        <v>0</v>
      </c>
      <c r="BS3119">
        <v>0</v>
      </c>
      <c r="BT3119">
        <v>0</v>
      </c>
      <c r="BU3119">
        <v>0</v>
      </c>
      <c r="BV3119">
        <v>0</v>
      </c>
      <c r="BW3119" t="s">
        <v>0</v>
      </c>
      <c r="BX3119">
        <v>0</v>
      </c>
      <c r="BY3119">
        <v>0</v>
      </c>
      <c r="BZ3119">
        <v>0</v>
      </c>
      <c r="CA3119">
        <v>0</v>
      </c>
      <c r="CB3119" t="s">
        <v>145</v>
      </c>
    </row>
    <row r="3120" spans="35:80" x14ac:dyDescent="0.25">
      <c r="BO3120">
        <v>0</v>
      </c>
      <c r="BP3120">
        <v>0</v>
      </c>
      <c r="BQ3120">
        <v>0</v>
      </c>
      <c r="BR3120">
        <v>0</v>
      </c>
      <c r="BS3120">
        <v>0</v>
      </c>
      <c r="BT3120">
        <v>0</v>
      </c>
      <c r="BU3120">
        <v>0</v>
      </c>
      <c r="BV3120">
        <v>0</v>
      </c>
      <c r="BW3120" t="s">
        <v>0</v>
      </c>
      <c r="BX3120">
        <v>0</v>
      </c>
      <c r="BY3120">
        <v>0</v>
      </c>
      <c r="BZ3120">
        <v>0</v>
      </c>
      <c r="CA3120">
        <v>0</v>
      </c>
      <c r="CB3120" t="s">
        <v>145</v>
      </c>
    </row>
    <row r="3121" spans="32:80" x14ac:dyDescent="0.25">
      <c r="BO3121">
        <v>0</v>
      </c>
      <c r="BP3121">
        <v>0</v>
      </c>
      <c r="BQ3121">
        <v>0</v>
      </c>
      <c r="BR3121">
        <v>0</v>
      </c>
      <c r="BS3121">
        <v>0</v>
      </c>
      <c r="BT3121">
        <v>0</v>
      </c>
      <c r="BU3121">
        <v>0</v>
      </c>
      <c r="BV3121">
        <v>0</v>
      </c>
      <c r="BW3121" t="s">
        <v>0</v>
      </c>
      <c r="BX3121">
        <v>0</v>
      </c>
      <c r="BY3121">
        <v>0</v>
      </c>
      <c r="BZ3121">
        <v>0</v>
      </c>
      <c r="CA3121">
        <v>0</v>
      </c>
      <c r="CB3121" t="s">
        <v>145</v>
      </c>
    </row>
    <row r="3122" spans="32:80" x14ac:dyDescent="0.25">
      <c r="BO3122">
        <v>0</v>
      </c>
      <c r="BP3122">
        <v>0</v>
      </c>
      <c r="BQ3122">
        <v>0</v>
      </c>
      <c r="BR3122">
        <v>0</v>
      </c>
      <c r="BS3122">
        <v>0</v>
      </c>
      <c r="BT3122">
        <v>0</v>
      </c>
      <c r="BU3122">
        <v>0</v>
      </c>
      <c r="BV3122">
        <v>0</v>
      </c>
      <c r="BW3122" t="s">
        <v>0</v>
      </c>
      <c r="BX3122">
        <v>0</v>
      </c>
      <c r="BY3122">
        <v>0</v>
      </c>
      <c r="BZ3122">
        <v>0</v>
      </c>
      <c r="CA3122">
        <v>0</v>
      </c>
      <c r="CB3122" t="s">
        <v>145</v>
      </c>
    </row>
    <row r="3123" spans="32:80" x14ac:dyDescent="0.25">
      <c r="BO3123">
        <v>0</v>
      </c>
      <c r="BP3123">
        <v>0</v>
      </c>
      <c r="BQ3123">
        <v>0</v>
      </c>
      <c r="BR3123">
        <v>0</v>
      </c>
      <c r="BS3123">
        <v>0</v>
      </c>
      <c r="BT3123">
        <v>0</v>
      </c>
      <c r="BU3123">
        <v>0</v>
      </c>
      <c r="BV3123">
        <v>0</v>
      </c>
      <c r="BW3123" t="s">
        <v>0</v>
      </c>
      <c r="BX3123">
        <v>0</v>
      </c>
      <c r="BY3123">
        <v>0</v>
      </c>
      <c r="BZ3123">
        <v>0</v>
      </c>
      <c r="CA3123">
        <v>0</v>
      </c>
      <c r="CB3123" t="s">
        <v>145</v>
      </c>
    </row>
    <row r="3124" spans="32:80" x14ac:dyDescent="0.25">
      <c r="BO3124">
        <v>0</v>
      </c>
      <c r="BP3124">
        <v>0</v>
      </c>
      <c r="BQ3124">
        <v>0</v>
      </c>
      <c r="BR3124">
        <v>0</v>
      </c>
      <c r="BS3124">
        <v>0</v>
      </c>
      <c r="BT3124">
        <v>0</v>
      </c>
      <c r="BU3124">
        <v>0</v>
      </c>
      <c r="BV3124">
        <v>0</v>
      </c>
      <c r="BW3124" t="s">
        <v>0</v>
      </c>
      <c r="BX3124">
        <v>0</v>
      </c>
      <c r="BY3124">
        <v>0</v>
      </c>
      <c r="BZ3124">
        <v>0</v>
      </c>
      <c r="CA3124">
        <v>0</v>
      </c>
      <c r="CB3124" t="s">
        <v>145</v>
      </c>
    </row>
    <row r="3125" spans="32:80" x14ac:dyDescent="0.25">
      <c r="BO3125">
        <v>0</v>
      </c>
      <c r="BP3125">
        <v>0</v>
      </c>
      <c r="BQ3125">
        <v>0</v>
      </c>
      <c r="BR3125">
        <v>0</v>
      </c>
      <c r="BS3125">
        <v>0</v>
      </c>
      <c r="BT3125">
        <v>0</v>
      </c>
      <c r="BU3125">
        <v>0</v>
      </c>
      <c r="BV3125">
        <v>0</v>
      </c>
      <c r="BW3125" t="s">
        <v>0</v>
      </c>
      <c r="BX3125">
        <v>0</v>
      </c>
      <c r="BY3125">
        <v>0</v>
      </c>
      <c r="BZ3125">
        <v>0</v>
      </c>
      <c r="CA3125">
        <v>0</v>
      </c>
      <c r="CB3125" t="s">
        <v>145</v>
      </c>
    </row>
    <row r="3126" spans="32:80" x14ac:dyDescent="0.25">
      <c r="AF3126" s="1"/>
      <c r="BE3126" s="1"/>
      <c r="BM3126" s="2"/>
      <c r="BO3126">
        <v>0</v>
      </c>
      <c r="BP3126">
        <v>0</v>
      </c>
      <c r="BQ3126">
        <v>0</v>
      </c>
      <c r="BR3126">
        <v>0</v>
      </c>
      <c r="BS3126">
        <v>0</v>
      </c>
      <c r="BT3126">
        <v>0</v>
      </c>
      <c r="BU3126">
        <v>0</v>
      </c>
      <c r="BV3126">
        <v>0</v>
      </c>
      <c r="BW3126" t="s">
        <v>0</v>
      </c>
      <c r="BX3126">
        <v>0</v>
      </c>
      <c r="BY3126">
        <v>0</v>
      </c>
      <c r="BZ3126">
        <v>0</v>
      </c>
      <c r="CA3126">
        <v>0</v>
      </c>
      <c r="CB3126" t="s">
        <v>145</v>
      </c>
    </row>
    <row r="3127" spans="32:80" x14ac:dyDescent="0.25">
      <c r="BO3127">
        <v>0</v>
      </c>
      <c r="BP3127">
        <v>0</v>
      </c>
      <c r="BQ3127">
        <v>0</v>
      </c>
      <c r="BR3127">
        <v>0</v>
      </c>
      <c r="BS3127">
        <v>0</v>
      </c>
      <c r="BT3127">
        <v>0</v>
      </c>
      <c r="BU3127">
        <v>0</v>
      </c>
      <c r="BV3127">
        <v>0</v>
      </c>
      <c r="BW3127" t="s">
        <v>0</v>
      </c>
      <c r="BX3127">
        <v>0</v>
      </c>
      <c r="BY3127">
        <v>0</v>
      </c>
      <c r="BZ3127">
        <v>0</v>
      </c>
      <c r="CA3127">
        <v>0</v>
      </c>
      <c r="CB3127" t="s">
        <v>145</v>
      </c>
    </row>
    <row r="3128" spans="32:80" x14ac:dyDescent="0.25">
      <c r="BO3128">
        <v>0</v>
      </c>
      <c r="BP3128">
        <v>0</v>
      </c>
      <c r="BQ3128">
        <v>0</v>
      </c>
      <c r="BR3128">
        <v>0</v>
      </c>
      <c r="BS3128">
        <v>0</v>
      </c>
      <c r="BT3128">
        <v>0</v>
      </c>
      <c r="BU3128">
        <v>0</v>
      </c>
      <c r="BV3128">
        <v>0</v>
      </c>
      <c r="BW3128" t="s">
        <v>0</v>
      </c>
      <c r="BX3128">
        <v>0</v>
      </c>
      <c r="BY3128">
        <v>0</v>
      </c>
      <c r="BZ3128">
        <v>0</v>
      </c>
      <c r="CA3128">
        <v>0</v>
      </c>
      <c r="CB3128" t="s">
        <v>145</v>
      </c>
    </row>
    <row r="3129" spans="32:80" x14ac:dyDescent="0.25">
      <c r="BO3129">
        <v>0</v>
      </c>
      <c r="BP3129">
        <v>0</v>
      </c>
      <c r="BQ3129">
        <v>0</v>
      </c>
      <c r="BR3129">
        <v>0</v>
      </c>
      <c r="BS3129">
        <v>0</v>
      </c>
      <c r="BT3129">
        <v>0</v>
      </c>
      <c r="BU3129">
        <v>0</v>
      </c>
      <c r="BV3129">
        <v>0</v>
      </c>
      <c r="BW3129" t="s">
        <v>0</v>
      </c>
      <c r="BX3129">
        <v>0</v>
      </c>
      <c r="BY3129">
        <v>0</v>
      </c>
      <c r="BZ3129">
        <v>0</v>
      </c>
      <c r="CA3129">
        <v>0</v>
      </c>
      <c r="CB3129" t="s">
        <v>145</v>
      </c>
    </row>
    <row r="3130" spans="32:80" x14ac:dyDescent="0.25">
      <c r="BO3130">
        <v>0</v>
      </c>
      <c r="BP3130">
        <v>0</v>
      </c>
      <c r="BQ3130">
        <v>0</v>
      </c>
      <c r="BR3130">
        <v>0</v>
      </c>
      <c r="BS3130">
        <v>0</v>
      </c>
      <c r="BT3130">
        <v>0</v>
      </c>
      <c r="BU3130">
        <v>0</v>
      </c>
      <c r="BV3130">
        <v>0</v>
      </c>
      <c r="BW3130" t="s">
        <v>0</v>
      </c>
      <c r="BX3130">
        <v>0</v>
      </c>
      <c r="BY3130">
        <v>0</v>
      </c>
      <c r="BZ3130">
        <v>0</v>
      </c>
      <c r="CA3130">
        <v>0</v>
      </c>
      <c r="CB3130" t="s">
        <v>145</v>
      </c>
    </row>
    <row r="3131" spans="32:80" x14ac:dyDescent="0.25">
      <c r="BO3131">
        <v>0</v>
      </c>
      <c r="BP3131">
        <v>0</v>
      </c>
      <c r="BQ3131">
        <v>0</v>
      </c>
      <c r="BR3131">
        <v>0</v>
      </c>
      <c r="BS3131">
        <v>0</v>
      </c>
      <c r="BT3131">
        <v>0</v>
      </c>
      <c r="BU3131">
        <v>0</v>
      </c>
      <c r="BV3131">
        <v>0</v>
      </c>
      <c r="BW3131" t="s">
        <v>0</v>
      </c>
      <c r="BX3131">
        <v>0</v>
      </c>
      <c r="BY3131">
        <v>0</v>
      </c>
      <c r="BZ3131">
        <v>0</v>
      </c>
      <c r="CA3131">
        <v>0</v>
      </c>
      <c r="CB3131" t="s">
        <v>145</v>
      </c>
    </row>
    <row r="3132" spans="32:80" x14ac:dyDescent="0.25">
      <c r="BO3132">
        <v>0</v>
      </c>
      <c r="BP3132">
        <v>0</v>
      </c>
      <c r="BQ3132">
        <v>0</v>
      </c>
      <c r="BR3132">
        <v>0</v>
      </c>
      <c r="BS3132">
        <v>0</v>
      </c>
      <c r="BT3132">
        <v>0</v>
      </c>
      <c r="BU3132">
        <v>0</v>
      </c>
      <c r="BV3132">
        <v>0</v>
      </c>
      <c r="BW3132" t="s">
        <v>0</v>
      </c>
      <c r="BX3132">
        <v>0</v>
      </c>
      <c r="BY3132">
        <v>0</v>
      </c>
      <c r="BZ3132">
        <v>0</v>
      </c>
      <c r="CA3132">
        <v>0</v>
      </c>
      <c r="CB3132" t="s">
        <v>145</v>
      </c>
    </row>
    <row r="3133" spans="32:80" x14ac:dyDescent="0.25">
      <c r="BO3133">
        <v>0</v>
      </c>
      <c r="BP3133">
        <v>0</v>
      </c>
      <c r="BQ3133">
        <v>0</v>
      </c>
      <c r="BR3133">
        <v>0</v>
      </c>
      <c r="BS3133">
        <v>0</v>
      </c>
      <c r="BT3133">
        <v>0</v>
      </c>
      <c r="BU3133">
        <v>0</v>
      </c>
      <c r="BV3133">
        <v>0</v>
      </c>
      <c r="BW3133" t="s">
        <v>0</v>
      </c>
      <c r="BX3133">
        <v>0</v>
      </c>
      <c r="BY3133">
        <v>0</v>
      </c>
      <c r="BZ3133">
        <v>0</v>
      </c>
      <c r="CA3133">
        <v>0</v>
      </c>
      <c r="CB3133" t="s">
        <v>145</v>
      </c>
    </row>
    <row r="3134" spans="32:80" x14ac:dyDescent="0.25">
      <c r="BO3134">
        <v>0</v>
      </c>
      <c r="BP3134">
        <v>0</v>
      </c>
      <c r="BQ3134">
        <v>0</v>
      </c>
      <c r="BR3134">
        <v>0</v>
      </c>
      <c r="BS3134">
        <v>0</v>
      </c>
      <c r="BT3134">
        <v>0</v>
      </c>
      <c r="BU3134">
        <v>0</v>
      </c>
      <c r="BV3134">
        <v>0</v>
      </c>
      <c r="BW3134" t="s">
        <v>0</v>
      </c>
      <c r="BX3134">
        <v>0</v>
      </c>
      <c r="BY3134">
        <v>0</v>
      </c>
      <c r="BZ3134">
        <v>0</v>
      </c>
      <c r="CA3134">
        <v>0</v>
      </c>
      <c r="CB3134" t="s">
        <v>145</v>
      </c>
    </row>
    <row r="3135" spans="32:80" x14ac:dyDescent="0.25">
      <c r="BO3135">
        <v>0</v>
      </c>
      <c r="BP3135">
        <v>0</v>
      </c>
      <c r="BQ3135">
        <v>0</v>
      </c>
      <c r="BR3135">
        <v>0</v>
      </c>
      <c r="BS3135">
        <v>0</v>
      </c>
      <c r="BT3135">
        <v>0</v>
      </c>
      <c r="BU3135">
        <v>0</v>
      </c>
      <c r="BV3135">
        <v>0</v>
      </c>
      <c r="BW3135" t="s">
        <v>0</v>
      </c>
      <c r="BX3135">
        <v>0</v>
      </c>
      <c r="BY3135">
        <v>0</v>
      </c>
      <c r="BZ3135">
        <v>0</v>
      </c>
      <c r="CA3135">
        <v>0</v>
      </c>
      <c r="CB3135" t="s">
        <v>145</v>
      </c>
    </row>
    <row r="3136" spans="32:80" x14ac:dyDescent="0.25">
      <c r="BO3136">
        <v>0</v>
      </c>
      <c r="BP3136">
        <v>0</v>
      </c>
      <c r="BQ3136">
        <v>0</v>
      </c>
      <c r="BR3136">
        <v>0</v>
      </c>
      <c r="BS3136">
        <v>0</v>
      </c>
      <c r="BT3136">
        <v>0</v>
      </c>
      <c r="BU3136">
        <v>0</v>
      </c>
      <c r="BV3136">
        <v>0</v>
      </c>
      <c r="BW3136" t="s">
        <v>0</v>
      </c>
      <c r="BX3136">
        <v>0</v>
      </c>
      <c r="BY3136">
        <v>0</v>
      </c>
      <c r="BZ3136">
        <v>0</v>
      </c>
      <c r="CA3136">
        <v>0</v>
      </c>
      <c r="CB3136" t="s">
        <v>145</v>
      </c>
    </row>
    <row r="3137" spans="67:80" x14ac:dyDescent="0.25">
      <c r="BO3137">
        <v>0</v>
      </c>
      <c r="BP3137">
        <v>0</v>
      </c>
      <c r="BQ3137">
        <v>0</v>
      </c>
      <c r="BR3137">
        <v>0</v>
      </c>
      <c r="BS3137">
        <v>0</v>
      </c>
      <c r="BT3137">
        <v>0</v>
      </c>
      <c r="BU3137">
        <v>0</v>
      </c>
      <c r="BV3137">
        <v>0</v>
      </c>
      <c r="BW3137" t="s">
        <v>0</v>
      </c>
      <c r="BX3137">
        <v>0</v>
      </c>
      <c r="BY3137">
        <v>0</v>
      </c>
      <c r="BZ3137">
        <v>0</v>
      </c>
      <c r="CA3137">
        <v>0</v>
      </c>
      <c r="CB3137" t="s">
        <v>145</v>
      </c>
    </row>
    <row r="3138" spans="67:80" x14ac:dyDescent="0.25">
      <c r="BO3138">
        <v>0</v>
      </c>
      <c r="BP3138">
        <v>0</v>
      </c>
      <c r="BQ3138">
        <v>0</v>
      </c>
      <c r="BR3138">
        <v>0</v>
      </c>
      <c r="BS3138">
        <v>0</v>
      </c>
      <c r="BT3138">
        <v>0</v>
      </c>
      <c r="BU3138">
        <v>0</v>
      </c>
      <c r="BV3138">
        <v>0</v>
      </c>
      <c r="BW3138" t="s">
        <v>0</v>
      </c>
      <c r="BX3138">
        <v>0</v>
      </c>
      <c r="BY3138">
        <v>0</v>
      </c>
      <c r="BZ3138">
        <v>0</v>
      </c>
      <c r="CA3138">
        <v>0</v>
      </c>
      <c r="CB3138" t="s">
        <v>145</v>
      </c>
    </row>
    <row r="3139" spans="67:80" x14ac:dyDescent="0.25">
      <c r="BO3139">
        <v>0</v>
      </c>
      <c r="BP3139">
        <v>0</v>
      </c>
      <c r="BQ3139">
        <v>0</v>
      </c>
      <c r="BR3139">
        <v>0</v>
      </c>
      <c r="BS3139">
        <v>0</v>
      </c>
      <c r="BT3139">
        <v>0</v>
      </c>
      <c r="BU3139">
        <v>0</v>
      </c>
      <c r="BV3139">
        <v>0</v>
      </c>
      <c r="BW3139" t="s">
        <v>0</v>
      </c>
      <c r="BX3139">
        <v>0</v>
      </c>
      <c r="BY3139">
        <v>0</v>
      </c>
      <c r="BZ3139">
        <v>0</v>
      </c>
      <c r="CA3139">
        <v>0</v>
      </c>
      <c r="CB3139" t="s">
        <v>145</v>
      </c>
    </row>
    <row r="3140" spans="67:80" x14ac:dyDescent="0.25">
      <c r="BO3140">
        <v>0</v>
      </c>
      <c r="BP3140">
        <v>0</v>
      </c>
      <c r="BQ3140">
        <v>0</v>
      </c>
      <c r="BR3140">
        <v>0</v>
      </c>
      <c r="BS3140">
        <v>0</v>
      </c>
      <c r="BT3140">
        <v>0</v>
      </c>
      <c r="BU3140">
        <v>0</v>
      </c>
      <c r="BV3140">
        <v>0</v>
      </c>
      <c r="BW3140" t="s">
        <v>0</v>
      </c>
      <c r="BX3140">
        <v>0</v>
      </c>
      <c r="BY3140">
        <v>0</v>
      </c>
      <c r="BZ3140">
        <v>0</v>
      </c>
      <c r="CA3140">
        <v>0</v>
      </c>
      <c r="CB3140" t="s">
        <v>145</v>
      </c>
    </row>
    <row r="3141" spans="67:80" x14ac:dyDescent="0.25">
      <c r="BO3141">
        <v>0</v>
      </c>
      <c r="BP3141">
        <v>0</v>
      </c>
      <c r="BQ3141">
        <v>0</v>
      </c>
      <c r="BR3141">
        <v>0</v>
      </c>
      <c r="BS3141">
        <v>0</v>
      </c>
      <c r="BT3141">
        <v>0</v>
      </c>
      <c r="BU3141">
        <v>0</v>
      </c>
      <c r="BV3141">
        <v>0</v>
      </c>
      <c r="BW3141" t="s">
        <v>0</v>
      </c>
      <c r="BX3141">
        <v>0</v>
      </c>
      <c r="BY3141">
        <v>0</v>
      </c>
      <c r="BZ3141">
        <v>0</v>
      </c>
      <c r="CA3141">
        <v>0</v>
      </c>
      <c r="CB3141" t="s">
        <v>145</v>
      </c>
    </row>
    <row r="3142" spans="67:80" x14ac:dyDescent="0.25">
      <c r="BO3142">
        <v>0</v>
      </c>
      <c r="BP3142">
        <v>0</v>
      </c>
      <c r="BQ3142">
        <v>0</v>
      </c>
      <c r="BR3142">
        <v>0</v>
      </c>
      <c r="BS3142">
        <v>0</v>
      </c>
      <c r="BT3142">
        <v>0</v>
      </c>
      <c r="BU3142">
        <v>0</v>
      </c>
      <c r="BV3142">
        <v>0</v>
      </c>
      <c r="BW3142" t="s">
        <v>0</v>
      </c>
      <c r="BX3142">
        <v>0</v>
      </c>
      <c r="BY3142">
        <v>0</v>
      </c>
      <c r="BZ3142">
        <v>0</v>
      </c>
      <c r="CA3142">
        <v>0</v>
      </c>
      <c r="CB3142" t="s">
        <v>145</v>
      </c>
    </row>
    <row r="3143" spans="67:80" x14ac:dyDescent="0.25">
      <c r="BO3143">
        <v>0</v>
      </c>
      <c r="BP3143">
        <v>0</v>
      </c>
      <c r="BQ3143">
        <v>0</v>
      </c>
      <c r="BR3143">
        <v>0</v>
      </c>
      <c r="BS3143">
        <v>0</v>
      </c>
      <c r="BT3143">
        <v>0</v>
      </c>
      <c r="BU3143">
        <v>0</v>
      </c>
      <c r="BV3143">
        <v>0</v>
      </c>
      <c r="BW3143" t="s">
        <v>0</v>
      </c>
      <c r="BX3143">
        <v>0</v>
      </c>
      <c r="BY3143">
        <v>0</v>
      </c>
      <c r="BZ3143">
        <v>0</v>
      </c>
      <c r="CA3143">
        <v>0</v>
      </c>
      <c r="CB3143" t="s">
        <v>145</v>
      </c>
    </row>
    <row r="3144" spans="67:80" x14ac:dyDescent="0.25">
      <c r="BO3144">
        <v>0</v>
      </c>
      <c r="BP3144">
        <v>0</v>
      </c>
      <c r="BQ3144">
        <v>0</v>
      </c>
      <c r="BR3144">
        <v>0</v>
      </c>
      <c r="BS3144">
        <v>0</v>
      </c>
      <c r="BT3144">
        <v>0</v>
      </c>
      <c r="BU3144">
        <v>0</v>
      </c>
      <c r="BV3144">
        <v>0</v>
      </c>
      <c r="BW3144" t="s">
        <v>0</v>
      </c>
      <c r="BX3144">
        <v>0</v>
      </c>
      <c r="BY3144">
        <v>0</v>
      </c>
      <c r="BZ3144">
        <v>0</v>
      </c>
      <c r="CA3144">
        <v>0</v>
      </c>
      <c r="CB3144" t="s">
        <v>145</v>
      </c>
    </row>
    <row r="3145" spans="67:80" x14ac:dyDescent="0.25">
      <c r="BO3145">
        <v>0</v>
      </c>
      <c r="BP3145">
        <v>0</v>
      </c>
      <c r="BQ3145">
        <v>0</v>
      </c>
      <c r="BR3145">
        <v>0</v>
      </c>
      <c r="BS3145">
        <v>0</v>
      </c>
      <c r="BT3145">
        <v>0</v>
      </c>
      <c r="BU3145">
        <v>0</v>
      </c>
      <c r="BV3145">
        <v>0</v>
      </c>
      <c r="BW3145" t="s">
        <v>0</v>
      </c>
      <c r="BX3145">
        <v>0</v>
      </c>
      <c r="BY3145">
        <v>0</v>
      </c>
      <c r="BZ3145">
        <v>0</v>
      </c>
      <c r="CA3145">
        <v>0</v>
      </c>
      <c r="CB3145" t="s">
        <v>145</v>
      </c>
    </row>
    <row r="3146" spans="67:80" x14ac:dyDescent="0.25">
      <c r="BO3146">
        <v>0</v>
      </c>
      <c r="BP3146">
        <v>0</v>
      </c>
      <c r="BQ3146">
        <v>0</v>
      </c>
      <c r="BR3146">
        <v>0</v>
      </c>
      <c r="BS3146">
        <v>0</v>
      </c>
      <c r="BT3146">
        <v>0</v>
      </c>
      <c r="BU3146">
        <v>0</v>
      </c>
      <c r="BV3146">
        <v>0</v>
      </c>
      <c r="BW3146" t="s">
        <v>0</v>
      </c>
      <c r="BX3146">
        <v>0</v>
      </c>
      <c r="BY3146">
        <v>0</v>
      </c>
      <c r="BZ3146">
        <v>0</v>
      </c>
      <c r="CA3146">
        <v>0</v>
      </c>
      <c r="CB3146" t="s">
        <v>145</v>
      </c>
    </row>
    <row r="3147" spans="67:80" x14ac:dyDescent="0.25">
      <c r="BO3147">
        <v>0</v>
      </c>
      <c r="BP3147">
        <v>0</v>
      </c>
      <c r="BQ3147">
        <v>0</v>
      </c>
      <c r="BR3147">
        <v>0</v>
      </c>
      <c r="BS3147">
        <v>0</v>
      </c>
      <c r="BT3147">
        <v>0</v>
      </c>
      <c r="BU3147">
        <v>0</v>
      </c>
      <c r="BV3147">
        <v>0</v>
      </c>
      <c r="BW3147" t="s">
        <v>0</v>
      </c>
      <c r="BX3147">
        <v>0</v>
      </c>
      <c r="BY3147">
        <v>0</v>
      </c>
      <c r="BZ3147">
        <v>0</v>
      </c>
      <c r="CA3147">
        <v>0</v>
      </c>
      <c r="CB3147" t="s">
        <v>145</v>
      </c>
    </row>
    <row r="3148" spans="67:80" x14ac:dyDescent="0.25">
      <c r="BO3148">
        <v>0</v>
      </c>
      <c r="BP3148">
        <v>0</v>
      </c>
      <c r="BQ3148">
        <v>0</v>
      </c>
      <c r="BR3148">
        <v>0</v>
      </c>
      <c r="BS3148">
        <v>0</v>
      </c>
      <c r="BT3148">
        <v>0</v>
      </c>
      <c r="BU3148">
        <v>0</v>
      </c>
      <c r="BV3148">
        <v>0</v>
      </c>
      <c r="BW3148" t="s">
        <v>0</v>
      </c>
      <c r="BX3148">
        <v>0</v>
      </c>
      <c r="BY3148">
        <v>0</v>
      </c>
      <c r="BZ3148">
        <v>0</v>
      </c>
      <c r="CA3148">
        <v>0</v>
      </c>
      <c r="CB3148" t="s">
        <v>145</v>
      </c>
    </row>
    <row r="3149" spans="67:80" x14ac:dyDescent="0.25">
      <c r="BO3149">
        <v>0</v>
      </c>
      <c r="BP3149">
        <v>0</v>
      </c>
      <c r="BQ3149">
        <v>0</v>
      </c>
      <c r="BR3149">
        <v>0</v>
      </c>
      <c r="BS3149">
        <v>0</v>
      </c>
      <c r="BT3149">
        <v>0</v>
      </c>
      <c r="BU3149">
        <v>0</v>
      </c>
      <c r="BV3149">
        <v>0</v>
      </c>
      <c r="BW3149" t="s">
        <v>0</v>
      </c>
      <c r="BX3149">
        <v>0</v>
      </c>
      <c r="BY3149">
        <v>0</v>
      </c>
      <c r="BZ3149">
        <v>0</v>
      </c>
      <c r="CA3149">
        <v>0</v>
      </c>
      <c r="CB3149" t="s">
        <v>145</v>
      </c>
    </row>
    <row r="3150" spans="67:80" x14ac:dyDescent="0.25">
      <c r="BO3150">
        <v>0</v>
      </c>
      <c r="BP3150">
        <v>0</v>
      </c>
      <c r="BQ3150">
        <v>0</v>
      </c>
      <c r="BR3150">
        <v>0</v>
      </c>
      <c r="BS3150">
        <v>0</v>
      </c>
      <c r="BT3150">
        <v>0</v>
      </c>
      <c r="BU3150">
        <v>0</v>
      </c>
      <c r="BV3150">
        <v>0</v>
      </c>
      <c r="BW3150" t="s">
        <v>0</v>
      </c>
      <c r="BX3150">
        <v>0</v>
      </c>
      <c r="BY3150">
        <v>0</v>
      </c>
      <c r="BZ3150">
        <v>0</v>
      </c>
      <c r="CA3150">
        <v>0</v>
      </c>
      <c r="CB3150" t="s">
        <v>145</v>
      </c>
    </row>
    <row r="3151" spans="67:80" x14ac:dyDescent="0.25">
      <c r="BO3151">
        <v>0</v>
      </c>
      <c r="BP3151">
        <v>0</v>
      </c>
      <c r="BQ3151">
        <v>0</v>
      </c>
      <c r="BR3151">
        <v>0</v>
      </c>
      <c r="BS3151">
        <v>0</v>
      </c>
      <c r="BT3151">
        <v>0</v>
      </c>
      <c r="BU3151">
        <v>0</v>
      </c>
      <c r="BV3151">
        <v>0</v>
      </c>
      <c r="BW3151" t="s">
        <v>0</v>
      </c>
      <c r="BX3151">
        <v>0</v>
      </c>
      <c r="BY3151">
        <v>0</v>
      </c>
      <c r="BZ3151">
        <v>0</v>
      </c>
      <c r="CA3151">
        <v>0</v>
      </c>
      <c r="CB3151" t="s">
        <v>145</v>
      </c>
    </row>
    <row r="3152" spans="67:80" x14ac:dyDescent="0.25">
      <c r="BO3152">
        <v>0</v>
      </c>
      <c r="BP3152">
        <v>0</v>
      </c>
      <c r="BQ3152">
        <v>0</v>
      </c>
      <c r="BR3152">
        <v>0</v>
      </c>
      <c r="BS3152">
        <v>0</v>
      </c>
      <c r="BT3152">
        <v>0</v>
      </c>
      <c r="BU3152">
        <v>0</v>
      </c>
      <c r="BV3152">
        <v>0</v>
      </c>
      <c r="BW3152" t="s">
        <v>0</v>
      </c>
      <c r="BX3152">
        <v>0</v>
      </c>
      <c r="BY3152">
        <v>0</v>
      </c>
      <c r="BZ3152">
        <v>0</v>
      </c>
      <c r="CA3152">
        <v>0</v>
      </c>
      <c r="CB3152" t="s">
        <v>145</v>
      </c>
    </row>
    <row r="3153" spans="67:80" x14ac:dyDescent="0.25">
      <c r="BO3153">
        <v>0</v>
      </c>
      <c r="BP3153">
        <v>0</v>
      </c>
      <c r="BQ3153">
        <v>0</v>
      </c>
      <c r="BR3153">
        <v>0</v>
      </c>
      <c r="BS3153">
        <v>0</v>
      </c>
      <c r="BT3153">
        <v>0</v>
      </c>
      <c r="BU3153">
        <v>0</v>
      </c>
      <c r="BV3153">
        <v>0</v>
      </c>
      <c r="BW3153" t="s">
        <v>0</v>
      </c>
      <c r="BX3153">
        <v>0</v>
      </c>
      <c r="BY3153">
        <v>0</v>
      </c>
      <c r="BZ3153">
        <v>0</v>
      </c>
      <c r="CA3153">
        <v>0</v>
      </c>
      <c r="CB3153" t="s">
        <v>145</v>
      </c>
    </row>
    <row r="3154" spans="67:80" x14ac:dyDescent="0.25">
      <c r="BO3154">
        <v>0</v>
      </c>
      <c r="BP3154">
        <v>0</v>
      </c>
      <c r="BQ3154">
        <v>0</v>
      </c>
      <c r="BR3154">
        <v>0</v>
      </c>
      <c r="BS3154">
        <v>0</v>
      </c>
      <c r="BT3154">
        <v>0</v>
      </c>
      <c r="BU3154">
        <v>0</v>
      </c>
      <c r="BV3154">
        <v>0</v>
      </c>
      <c r="BW3154" t="s">
        <v>0</v>
      </c>
      <c r="BX3154">
        <v>0</v>
      </c>
      <c r="BY3154">
        <v>0</v>
      </c>
      <c r="BZ3154">
        <v>0</v>
      </c>
      <c r="CA3154">
        <v>0</v>
      </c>
      <c r="CB3154" t="s">
        <v>145</v>
      </c>
    </row>
    <row r="3155" spans="67:80" x14ac:dyDescent="0.25">
      <c r="BO3155">
        <v>0</v>
      </c>
      <c r="BP3155">
        <v>0</v>
      </c>
      <c r="BQ3155">
        <v>0</v>
      </c>
      <c r="BR3155">
        <v>0</v>
      </c>
      <c r="BS3155">
        <v>0</v>
      </c>
      <c r="BT3155">
        <v>0</v>
      </c>
      <c r="BU3155">
        <v>0</v>
      </c>
      <c r="BV3155">
        <v>0</v>
      </c>
      <c r="BW3155" t="s">
        <v>0</v>
      </c>
      <c r="BX3155">
        <v>0</v>
      </c>
      <c r="BY3155">
        <v>0</v>
      </c>
      <c r="BZ3155">
        <v>0</v>
      </c>
      <c r="CA3155">
        <v>0</v>
      </c>
      <c r="CB3155" t="s">
        <v>145</v>
      </c>
    </row>
    <row r="3156" spans="67:80" x14ac:dyDescent="0.25">
      <c r="BO3156">
        <v>0</v>
      </c>
      <c r="BP3156">
        <v>0</v>
      </c>
      <c r="BQ3156">
        <v>0</v>
      </c>
      <c r="BR3156">
        <v>0</v>
      </c>
      <c r="BS3156">
        <v>0</v>
      </c>
      <c r="BT3156">
        <v>0</v>
      </c>
      <c r="BU3156">
        <v>0</v>
      </c>
      <c r="BV3156">
        <v>0</v>
      </c>
      <c r="BW3156" t="s">
        <v>0</v>
      </c>
      <c r="BX3156">
        <v>0</v>
      </c>
      <c r="BY3156">
        <v>0</v>
      </c>
      <c r="BZ3156">
        <v>0</v>
      </c>
      <c r="CA3156">
        <v>0</v>
      </c>
      <c r="CB3156" t="s">
        <v>145</v>
      </c>
    </row>
    <row r="3157" spans="67:80" x14ac:dyDescent="0.25">
      <c r="BO3157">
        <v>0</v>
      </c>
      <c r="BP3157">
        <v>0</v>
      </c>
      <c r="BQ3157">
        <v>0</v>
      </c>
      <c r="BR3157">
        <v>0</v>
      </c>
      <c r="BS3157">
        <v>0</v>
      </c>
      <c r="BT3157">
        <v>0</v>
      </c>
      <c r="BU3157">
        <v>0</v>
      </c>
      <c r="BV3157">
        <v>0</v>
      </c>
      <c r="BW3157" t="s">
        <v>0</v>
      </c>
      <c r="BX3157">
        <v>0</v>
      </c>
      <c r="BY3157">
        <v>0</v>
      </c>
      <c r="BZ3157">
        <v>0</v>
      </c>
      <c r="CA3157">
        <v>0</v>
      </c>
      <c r="CB3157" t="s">
        <v>145</v>
      </c>
    </row>
    <row r="3158" spans="67:80" x14ac:dyDescent="0.25">
      <c r="BO3158">
        <v>0</v>
      </c>
      <c r="BP3158">
        <v>0</v>
      </c>
      <c r="BQ3158">
        <v>0</v>
      </c>
      <c r="BR3158">
        <v>0</v>
      </c>
      <c r="BS3158">
        <v>0</v>
      </c>
      <c r="BT3158">
        <v>0</v>
      </c>
      <c r="BU3158">
        <v>0</v>
      </c>
      <c r="BV3158">
        <v>0</v>
      </c>
      <c r="BW3158" t="s">
        <v>0</v>
      </c>
      <c r="BX3158">
        <v>0</v>
      </c>
      <c r="BY3158">
        <v>0</v>
      </c>
      <c r="BZ3158">
        <v>0</v>
      </c>
      <c r="CA3158">
        <v>0</v>
      </c>
      <c r="CB3158" t="s">
        <v>145</v>
      </c>
    </row>
    <row r="3159" spans="67:80" x14ac:dyDescent="0.25">
      <c r="BO3159">
        <v>0</v>
      </c>
      <c r="BP3159">
        <v>0</v>
      </c>
      <c r="BQ3159">
        <v>0</v>
      </c>
      <c r="BR3159">
        <v>0</v>
      </c>
      <c r="BS3159">
        <v>0</v>
      </c>
      <c r="BT3159">
        <v>0</v>
      </c>
      <c r="BU3159">
        <v>0</v>
      </c>
      <c r="BV3159">
        <v>0</v>
      </c>
      <c r="BW3159" t="s">
        <v>0</v>
      </c>
      <c r="BX3159">
        <v>0</v>
      </c>
      <c r="BY3159">
        <v>0</v>
      </c>
      <c r="BZ3159">
        <v>0</v>
      </c>
      <c r="CA3159">
        <v>0</v>
      </c>
      <c r="CB3159" t="s">
        <v>145</v>
      </c>
    </row>
    <row r="3160" spans="67:80" x14ac:dyDescent="0.25">
      <c r="BO3160">
        <v>0</v>
      </c>
      <c r="BP3160">
        <v>0</v>
      </c>
      <c r="BQ3160">
        <v>0</v>
      </c>
      <c r="BR3160">
        <v>0</v>
      </c>
      <c r="BS3160">
        <v>0</v>
      </c>
      <c r="BT3160">
        <v>0</v>
      </c>
      <c r="BU3160">
        <v>0</v>
      </c>
      <c r="BV3160">
        <v>0</v>
      </c>
      <c r="BW3160" t="s">
        <v>0</v>
      </c>
      <c r="BX3160">
        <v>0</v>
      </c>
      <c r="BY3160">
        <v>0</v>
      </c>
      <c r="BZ3160">
        <v>0</v>
      </c>
      <c r="CA3160">
        <v>0</v>
      </c>
      <c r="CB3160" t="s">
        <v>145</v>
      </c>
    </row>
    <row r="3161" spans="67:80" x14ac:dyDescent="0.25">
      <c r="BO3161">
        <v>0</v>
      </c>
      <c r="BP3161">
        <v>0</v>
      </c>
      <c r="BQ3161">
        <v>0</v>
      </c>
      <c r="BR3161">
        <v>0</v>
      </c>
      <c r="BS3161">
        <v>0</v>
      </c>
      <c r="BT3161">
        <v>0</v>
      </c>
      <c r="BU3161">
        <v>0</v>
      </c>
      <c r="BV3161">
        <v>0</v>
      </c>
      <c r="BW3161" t="s">
        <v>0</v>
      </c>
      <c r="BX3161">
        <v>0</v>
      </c>
      <c r="BY3161">
        <v>0</v>
      </c>
      <c r="BZ3161">
        <v>0</v>
      </c>
      <c r="CA3161">
        <v>0</v>
      </c>
      <c r="CB3161" t="s">
        <v>145</v>
      </c>
    </row>
    <row r="3162" spans="67:80" x14ac:dyDescent="0.25">
      <c r="BO3162">
        <v>0</v>
      </c>
      <c r="BP3162">
        <v>0</v>
      </c>
      <c r="BQ3162">
        <v>0</v>
      </c>
      <c r="BR3162">
        <v>0</v>
      </c>
      <c r="BS3162">
        <v>0</v>
      </c>
      <c r="BT3162">
        <v>0</v>
      </c>
      <c r="BU3162">
        <v>0</v>
      </c>
      <c r="BV3162">
        <v>0</v>
      </c>
      <c r="BW3162" t="s">
        <v>0</v>
      </c>
      <c r="BX3162">
        <v>0</v>
      </c>
      <c r="BY3162">
        <v>0</v>
      </c>
      <c r="BZ3162">
        <v>0</v>
      </c>
      <c r="CA3162">
        <v>0</v>
      </c>
      <c r="CB3162" t="s">
        <v>145</v>
      </c>
    </row>
    <row r="3163" spans="67:80" x14ac:dyDescent="0.25">
      <c r="BO3163">
        <v>0</v>
      </c>
      <c r="BP3163">
        <v>0</v>
      </c>
      <c r="BQ3163">
        <v>0</v>
      </c>
      <c r="BR3163">
        <v>0</v>
      </c>
      <c r="BS3163">
        <v>0</v>
      </c>
      <c r="BT3163">
        <v>0</v>
      </c>
      <c r="BU3163">
        <v>0</v>
      </c>
      <c r="BV3163">
        <v>0</v>
      </c>
      <c r="BW3163" t="s">
        <v>0</v>
      </c>
      <c r="BX3163">
        <v>0</v>
      </c>
      <c r="BY3163">
        <v>0</v>
      </c>
      <c r="BZ3163">
        <v>0</v>
      </c>
      <c r="CA3163">
        <v>0</v>
      </c>
      <c r="CB3163" t="s">
        <v>145</v>
      </c>
    </row>
    <row r="3164" spans="67:80" x14ac:dyDescent="0.25">
      <c r="BO3164">
        <v>0</v>
      </c>
      <c r="BP3164">
        <v>0</v>
      </c>
      <c r="BQ3164">
        <v>0</v>
      </c>
      <c r="BR3164">
        <v>0</v>
      </c>
      <c r="BS3164">
        <v>0</v>
      </c>
      <c r="BT3164">
        <v>0</v>
      </c>
      <c r="BU3164">
        <v>0</v>
      </c>
      <c r="BV3164">
        <v>0</v>
      </c>
      <c r="BW3164" t="s">
        <v>0</v>
      </c>
      <c r="BX3164">
        <v>0</v>
      </c>
      <c r="BY3164">
        <v>0</v>
      </c>
      <c r="BZ3164">
        <v>0</v>
      </c>
      <c r="CA3164">
        <v>0</v>
      </c>
      <c r="CB3164" t="s">
        <v>145</v>
      </c>
    </row>
    <row r="3165" spans="67:80" x14ac:dyDescent="0.25">
      <c r="BO3165">
        <v>0</v>
      </c>
      <c r="BP3165">
        <v>0</v>
      </c>
      <c r="BQ3165">
        <v>0</v>
      </c>
      <c r="BR3165">
        <v>0</v>
      </c>
      <c r="BS3165">
        <v>0</v>
      </c>
      <c r="BT3165">
        <v>0</v>
      </c>
      <c r="BU3165">
        <v>0</v>
      </c>
      <c r="BV3165">
        <v>0</v>
      </c>
      <c r="BW3165" t="s">
        <v>0</v>
      </c>
      <c r="BX3165">
        <v>0</v>
      </c>
      <c r="BY3165">
        <v>0</v>
      </c>
      <c r="BZ3165">
        <v>0</v>
      </c>
      <c r="CA3165">
        <v>0</v>
      </c>
      <c r="CB3165" t="s">
        <v>145</v>
      </c>
    </row>
    <row r="3166" spans="67:80" x14ac:dyDescent="0.25">
      <c r="BO3166">
        <v>0</v>
      </c>
      <c r="BP3166">
        <v>0</v>
      </c>
      <c r="BQ3166">
        <v>0</v>
      </c>
      <c r="BR3166">
        <v>0</v>
      </c>
      <c r="BS3166">
        <v>0</v>
      </c>
      <c r="BT3166">
        <v>0</v>
      </c>
      <c r="BU3166">
        <v>0</v>
      </c>
      <c r="BV3166">
        <v>0</v>
      </c>
      <c r="BW3166" t="s">
        <v>0</v>
      </c>
      <c r="BX3166">
        <v>0</v>
      </c>
      <c r="BY3166">
        <v>0</v>
      </c>
      <c r="BZ3166">
        <v>0</v>
      </c>
      <c r="CA3166">
        <v>0</v>
      </c>
      <c r="CB3166" t="s">
        <v>145</v>
      </c>
    </row>
    <row r="3167" spans="67:80" x14ac:dyDescent="0.25">
      <c r="BO3167">
        <v>0</v>
      </c>
      <c r="BP3167">
        <v>0</v>
      </c>
      <c r="BQ3167">
        <v>0</v>
      </c>
      <c r="BR3167">
        <v>0</v>
      </c>
      <c r="BS3167">
        <v>0</v>
      </c>
      <c r="BT3167">
        <v>0</v>
      </c>
      <c r="BU3167">
        <v>0</v>
      </c>
      <c r="BV3167">
        <v>0</v>
      </c>
      <c r="BW3167" t="s">
        <v>0</v>
      </c>
      <c r="BX3167">
        <v>0</v>
      </c>
      <c r="BY3167">
        <v>0</v>
      </c>
      <c r="BZ3167">
        <v>0</v>
      </c>
      <c r="CA3167">
        <v>0</v>
      </c>
      <c r="CB3167" t="s">
        <v>145</v>
      </c>
    </row>
    <row r="3168" spans="67:80" x14ac:dyDescent="0.25">
      <c r="BO3168">
        <v>0</v>
      </c>
      <c r="BP3168">
        <v>0</v>
      </c>
      <c r="BQ3168">
        <v>0</v>
      </c>
      <c r="BR3168">
        <v>0</v>
      </c>
      <c r="BS3168">
        <v>0</v>
      </c>
      <c r="BT3168">
        <v>0</v>
      </c>
      <c r="BU3168">
        <v>0</v>
      </c>
      <c r="BV3168">
        <v>0</v>
      </c>
      <c r="BW3168" t="s">
        <v>0</v>
      </c>
      <c r="BX3168">
        <v>0</v>
      </c>
      <c r="BY3168">
        <v>0</v>
      </c>
      <c r="BZ3168">
        <v>0</v>
      </c>
      <c r="CA3168">
        <v>0</v>
      </c>
      <c r="CB3168" t="s">
        <v>145</v>
      </c>
    </row>
    <row r="3169" spans="67:80" x14ac:dyDescent="0.25">
      <c r="BO3169">
        <v>0</v>
      </c>
      <c r="BP3169">
        <v>0</v>
      </c>
      <c r="BQ3169">
        <v>0</v>
      </c>
      <c r="BR3169">
        <v>0</v>
      </c>
      <c r="BS3169">
        <v>0</v>
      </c>
      <c r="BT3169">
        <v>0</v>
      </c>
      <c r="BU3169">
        <v>0</v>
      </c>
      <c r="BV3169">
        <v>0</v>
      </c>
      <c r="BW3169" t="s">
        <v>0</v>
      </c>
      <c r="BX3169">
        <v>0</v>
      </c>
      <c r="BY3169">
        <v>0</v>
      </c>
      <c r="BZ3169">
        <v>0</v>
      </c>
      <c r="CA3169">
        <v>0</v>
      </c>
      <c r="CB3169" t="s">
        <v>145</v>
      </c>
    </row>
    <row r="3170" spans="67:80" x14ac:dyDescent="0.25">
      <c r="BO3170">
        <v>0</v>
      </c>
      <c r="BP3170">
        <v>0</v>
      </c>
      <c r="BQ3170">
        <v>0</v>
      </c>
      <c r="BR3170">
        <v>0</v>
      </c>
      <c r="BS3170">
        <v>0</v>
      </c>
      <c r="BT3170">
        <v>0</v>
      </c>
      <c r="BU3170">
        <v>0</v>
      </c>
      <c r="BV3170">
        <v>0</v>
      </c>
      <c r="BW3170" t="s">
        <v>0</v>
      </c>
      <c r="BX3170">
        <v>0</v>
      </c>
      <c r="BY3170">
        <v>0</v>
      </c>
      <c r="BZ3170">
        <v>0</v>
      </c>
      <c r="CA3170">
        <v>0</v>
      </c>
      <c r="CB3170" t="s">
        <v>145</v>
      </c>
    </row>
    <row r="3171" spans="67:80" x14ac:dyDescent="0.25">
      <c r="BO3171">
        <v>0</v>
      </c>
      <c r="BP3171">
        <v>0</v>
      </c>
      <c r="BQ3171">
        <v>0</v>
      </c>
      <c r="BR3171">
        <v>0</v>
      </c>
      <c r="BS3171">
        <v>0</v>
      </c>
      <c r="BT3171">
        <v>0</v>
      </c>
      <c r="BU3171">
        <v>0</v>
      </c>
      <c r="BV3171">
        <v>0</v>
      </c>
      <c r="BW3171" t="s">
        <v>0</v>
      </c>
      <c r="BX3171">
        <v>0</v>
      </c>
      <c r="BY3171">
        <v>0</v>
      </c>
      <c r="BZ3171">
        <v>0</v>
      </c>
      <c r="CA3171">
        <v>0</v>
      </c>
      <c r="CB3171" t="s">
        <v>145</v>
      </c>
    </row>
    <row r="3172" spans="67:80" x14ac:dyDescent="0.25">
      <c r="BO3172">
        <v>0</v>
      </c>
      <c r="BP3172">
        <v>0</v>
      </c>
      <c r="BQ3172">
        <v>0</v>
      </c>
      <c r="BR3172">
        <v>0</v>
      </c>
      <c r="BS3172">
        <v>0</v>
      </c>
      <c r="BT3172">
        <v>0</v>
      </c>
      <c r="BU3172">
        <v>0</v>
      </c>
      <c r="BV3172">
        <v>0</v>
      </c>
      <c r="BW3172" t="s">
        <v>0</v>
      </c>
      <c r="BX3172">
        <v>0</v>
      </c>
      <c r="BY3172">
        <v>0</v>
      </c>
      <c r="BZ3172">
        <v>0</v>
      </c>
      <c r="CA3172">
        <v>0</v>
      </c>
      <c r="CB3172" t="s">
        <v>145</v>
      </c>
    </row>
    <row r="3173" spans="67:80" x14ac:dyDescent="0.25">
      <c r="BO3173">
        <v>0</v>
      </c>
      <c r="BP3173">
        <v>0</v>
      </c>
      <c r="BQ3173">
        <v>0</v>
      </c>
      <c r="BR3173">
        <v>0</v>
      </c>
      <c r="BS3173">
        <v>0</v>
      </c>
      <c r="BT3173">
        <v>0</v>
      </c>
      <c r="BU3173">
        <v>0</v>
      </c>
      <c r="BV3173">
        <v>0</v>
      </c>
      <c r="BW3173" t="s">
        <v>0</v>
      </c>
      <c r="BX3173">
        <v>0</v>
      </c>
      <c r="BY3173">
        <v>0</v>
      </c>
      <c r="BZ3173">
        <v>0</v>
      </c>
      <c r="CA3173">
        <v>0</v>
      </c>
      <c r="CB3173" t="s">
        <v>145</v>
      </c>
    </row>
    <row r="3174" spans="67:80" x14ac:dyDescent="0.25">
      <c r="BO3174">
        <v>0</v>
      </c>
      <c r="BP3174">
        <v>0</v>
      </c>
      <c r="BQ3174">
        <v>0</v>
      </c>
      <c r="BR3174">
        <v>0</v>
      </c>
      <c r="BS3174">
        <v>0</v>
      </c>
      <c r="BT3174">
        <v>0</v>
      </c>
      <c r="BU3174">
        <v>0</v>
      </c>
      <c r="BV3174">
        <v>0</v>
      </c>
      <c r="BW3174" t="s">
        <v>0</v>
      </c>
      <c r="BX3174">
        <v>0</v>
      </c>
      <c r="BY3174">
        <v>0</v>
      </c>
      <c r="BZ3174">
        <v>0</v>
      </c>
      <c r="CA3174">
        <v>0</v>
      </c>
      <c r="CB3174" t="s">
        <v>145</v>
      </c>
    </row>
    <row r="3175" spans="67:80" x14ac:dyDescent="0.25">
      <c r="BO3175">
        <v>0</v>
      </c>
      <c r="BP3175">
        <v>0</v>
      </c>
      <c r="BQ3175">
        <v>0</v>
      </c>
      <c r="BR3175">
        <v>0</v>
      </c>
      <c r="BS3175">
        <v>0</v>
      </c>
      <c r="BT3175">
        <v>0</v>
      </c>
      <c r="BU3175">
        <v>0</v>
      </c>
      <c r="BV3175">
        <v>0</v>
      </c>
      <c r="BW3175" t="s">
        <v>0</v>
      </c>
      <c r="BX3175">
        <v>0</v>
      </c>
      <c r="BY3175">
        <v>0</v>
      </c>
      <c r="BZ3175">
        <v>0</v>
      </c>
      <c r="CA3175">
        <v>0</v>
      </c>
      <c r="CB3175" t="s">
        <v>145</v>
      </c>
    </row>
    <row r="3176" spans="67:80" x14ac:dyDescent="0.25">
      <c r="BO3176">
        <v>0</v>
      </c>
      <c r="BP3176">
        <v>0</v>
      </c>
      <c r="BQ3176">
        <v>0</v>
      </c>
      <c r="BR3176">
        <v>0</v>
      </c>
      <c r="BS3176">
        <v>0</v>
      </c>
      <c r="BT3176">
        <v>0</v>
      </c>
      <c r="BU3176">
        <v>0</v>
      </c>
      <c r="BV3176">
        <v>0</v>
      </c>
      <c r="BW3176" t="s">
        <v>0</v>
      </c>
      <c r="BX3176">
        <v>0</v>
      </c>
      <c r="BY3176">
        <v>0</v>
      </c>
      <c r="BZ3176">
        <v>0</v>
      </c>
      <c r="CA3176">
        <v>0</v>
      </c>
      <c r="CB3176" t="s">
        <v>145</v>
      </c>
    </row>
    <row r="3177" spans="67:80" x14ac:dyDescent="0.25">
      <c r="BO3177">
        <v>0</v>
      </c>
      <c r="BP3177">
        <v>0</v>
      </c>
      <c r="BQ3177">
        <v>0</v>
      </c>
      <c r="BR3177">
        <v>0</v>
      </c>
      <c r="BS3177">
        <v>0</v>
      </c>
      <c r="BT3177">
        <v>0</v>
      </c>
      <c r="BU3177">
        <v>0</v>
      </c>
      <c r="BV3177">
        <v>0</v>
      </c>
      <c r="BW3177" t="s">
        <v>0</v>
      </c>
      <c r="BX3177">
        <v>0</v>
      </c>
      <c r="BY3177">
        <v>0</v>
      </c>
      <c r="BZ3177">
        <v>0</v>
      </c>
      <c r="CA3177">
        <v>0</v>
      </c>
      <c r="CB3177" t="s">
        <v>145</v>
      </c>
    </row>
    <row r="3178" spans="67:80" x14ac:dyDescent="0.25">
      <c r="BO3178">
        <v>0</v>
      </c>
      <c r="BP3178">
        <v>0</v>
      </c>
      <c r="BQ3178">
        <v>0</v>
      </c>
      <c r="BR3178">
        <v>0</v>
      </c>
      <c r="BS3178">
        <v>0</v>
      </c>
      <c r="BT3178">
        <v>0</v>
      </c>
      <c r="BU3178">
        <v>0</v>
      </c>
      <c r="BV3178">
        <v>0</v>
      </c>
      <c r="BW3178" t="s">
        <v>0</v>
      </c>
      <c r="BX3178">
        <v>0</v>
      </c>
      <c r="BY3178">
        <v>0</v>
      </c>
      <c r="BZ3178">
        <v>0</v>
      </c>
      <c r="CA3178">
        <v>0</v>
      </c>
      <c r="CB3178" t="s">
        <v>145</v>
      </c>
    </row>
    <row r="3179" spans="67:80" x14ac:dyDescent="0.25">
      <c r="BO3179">
        <v>0</v>
      </c>
      <c r="BP3179">
        <v>0</v>
      </c>
      <c r="BQ3179">
        <v>0</v>
      </c>
      <c r="BR3179">
        <v>0</v>
      </c>
      <c r="BS3179">
        <v>0</v>
      </c>
      <c r="BT3179">
        <v>0</v>
      </c>
      <c r="BU3179">
        <v>0</v>
      </c>
      <c r="BV3179">
        <v>0</v>
      </c>
      <c r="BW3179" t="s">
        <v>0</v>
      </c>
      <c r="BX3179">
        <v>0</v>
      </c>
      <c r="BY3179">
        <v>0</v>
      </c>
      <c r="BZ3179">
        <v>0</v>
      </c>
      <c r="CA3179">
        <v>0</v>
      </c>
      <c r="CB3179" t="s">
        <v>145</v>
      </c>
    </row>
    <row r="3180" spans="67:80" x14ac:dyDescent="0.25">
      <c r="BO3180">
        <v>0</v>
      </c>
      <c r="BP3180">
        <v>0</v>
      </c>
      <c r="BQ3180">
        <v>0</v>
      </c>
      <c r="BR3180">
        <v>0</v>
      </c>
      <c r="BS3180">
        <v>0</v>
      </c>
      <c r="BT3180">
        <v>0</v>
      </c>
      <c r="BU3180">
        <v>0</v>
      </c>
      <c r="BV3180">
        <v>0</v>
      </c>
      <c r="BW3180" t="s">
        <v>0</v>
      </c>
      <c r="BX3180">
        <v>0</v>
      </c>
      <c r="BY3180">
        <v>0</v>
      </c>
      <c r="BZ3180">
        <v>0</v>
      </c>
      <c r="CA3180">
        <v>0</v>
      </c>
      <c r="CB3180" t="s">
        <v>145</v>
      </c>
    </row>
    <row r="3181" spans="67:80" x14ac:dyDescent="0.25">
      <c r="BO3181">
        <v>0</v>
      </c>
      <c r="BP3181">
        <v>0</v>
      </c>
      <c r="BQ3181">
        <v>0</v>
      </c>
      <c r="BR3181">
        <v>0</v>
      </c>
      <c r="BS3181">
        <v>0</v>
      </c>
      <c r="BT3181">
        <v>0</v>
      </c>
      <c r="BU3181">
        <v>0</v>
      </c>
      <c r="BV3181">
        <v>0</v>
      </c>
      <c r="BW3181" t="s">
        <v>0</v>
      </c>
      <c r="BX3181">
        <v>0</v>
      </c>
      <c r="BY3181">
        <v>0</v>
      </c>
      <c r="BZ3181">
        <v>0</v>
      </c>
      <c r="CA3181">
        <v>0</v>
      </c>
      <c r="CB3181" t="s">
        <v>145</v>
      </c>
    </row>
    <row r="3182" spans="67:80" x14ac:dyDescent="0.25">
      <c r="BO3182">
        <v>0</v>
      </c>
      <c r="BP3182">
        <v>0</v>
      </c>
      <c r="BQ3182">
        <v>0</v>
      </c>
      <c r="BR3182">
        <v>0</v>
      </c>
      <c r="BS3182">
        <v>0</v>
      </c>
      <c r="BT3182">
        <v>0</v>
      </c>
      <c r="BU3182">
        <v>0</v>
      </c>
      <c r="BV3182">
        <v>0</v>
      </c>
      <c r="BW3182" t="s">
        <v>0</v>
      </c>
      <c r="BX3182">
        <v>0</v>
      </c>
      <c r="BY3182">
        <v>0</v>
      </c>
      <c r="BZ3182">
        <v>0</v>
      </c>
      <c r="CA3182">
        <v>0</v>
      </c>
      <c r="CB3182" t="s">
        <v>145</v>
      </c>
    </row>
    <row r="3183" spans="67:80" x14ac:dyDescent="0.25">
      <c r="BO3183">
        <v>0</v>
      </c>
      <c r="BP3183">
        <v>0</v>
      </c>
      <c r="BQ3183">
        <v>0</v>
      </c>
      <c r="BR3183">
        <v>0</v>
      </c>
      <c r="BS3183">
        <v>0</v>
      </c>
      <c r="BT3183">
        <v>0</v>
      </c>
      <c r="BU3183">
        <v>0</v>
      </c>
      <c r="BV3183">
        <v>0</v>
      </c>
      <c r="BW3183" t="s">
        <v>0</v>
      </c>
      <c r="BX3183">
        <v>0</v>
      </c>
      <c r="BY3183">
        <v>0</v>
      </c>
      <c r="BZ3183">
        <v>0</v>
      </c>
      <c r="CA3183">
        <v>0</v>
      </c>
      <c r="CB3183" t="s">
        <v>145</v>
      </c>
    </row>
    <row r="3184" spans="67:80" x14ac:dyDescent="0.25">
      <c r="BO3184">
        <v>0</v>
      </c>
      <c r="BP3184">
        <v>0</v>
      </c>
      <c r="BQ3184">
        <v>0</v>
      </c>
      <c r="BR3184">
        <v>0</v>
      </c>
      <c r="BS3184">
        <v>0</v>
      </c>
      <c r="BT3184">
        <v>0</v>
      </c>
      <c r="BU3184">
        <v>0</v>
      </c>
      <c r="BV3184">
        <v>0</v>
      </c>
      <c r="BW3184" t="s">
        <v>0</v>
      </c>
      <c r="BX3184">
        <v>0</v>
      </c>
      <c r="BY3184">
        <v>0</v>
      </c>
      <c r="BZ3184">
        <v>0</v>
      </c>
      <c r="CA3184">
        <v>0</v>
      </c>
      <c r="CB3184" t="s">
        <v>145</v>
      </c>
    </row>
    <row r="3185" spans="67:80" x14ac:dyDescent="0.25">
      <c r="BO3185">
        <v>0</v>
      </c>
      <c r="BP3185">
        <v>0</v>
      </c>
      <c r="BQ3185">
        <v>0</v>
      </c>
      <c r="BR3185">
        <v>0</v>
      </c>
      <c r="BS3185">
        <v>0</v>
      </c>
      <c r="BT3185">
        <v>0</v>
      </c>
      <c r="BU3185">
        <v>0</v>
      </c>
      <c r="BV3185">
        <v>0</v>
      </c>
      <c r="BW3185" t="s">
        <v>0</v>
      </c>
      <c r="BX3185">
        <v>0</v>
      </c>
      <c r="BY3185">
        <v>0</v>
      </c>
      <c r="BZ3185">
        <v>0</v>
      </c>
      <c r="CA3185">
        <v>0</v>
      </c>
      <c r="CB3185" t="s">
        <v>145</v>
      </c>
    </row>
    <row r="3186" spans="67:80" x14ac:dyDescent="0.25">
      <c r="BO3186">
        <v>0</v>
      </c>
      <c r="BP3186">
        <v>0</v>
      </c>
      <c r="BQ3186">
        <v>0</v>
      </c>
      <c r="BR3186">
        <v>0</v>
      </c>
      <c r="BS3186">
        <v>0</v>
      </c>
      <c r="BT3186">
        <v>0</v>
      </c>
      <c r="BU3186">
        <v>0</v>
      </c>
      <c r="BV3186">
        <v>0</v>
      </c>
      <c r="BW3186" t="s">
        <v>0</v>
      </c>
      <c r="BX3186">
        <v>0</v>
      </c>
      <c r="BY3186">
        <v>0</v>
      </c>
      <c r="BZ3186">
        <v>0</v>
      </c>
      <c r="CA3186">
        <v>0</v>
      </c>
      <c r="CB3186" t="s">
        <v>145</v>
      </c>
    </row>
    <row r="3187" spans="67:80" x14ac:dyDescent="0.25">
      <c r="BO3187">
        <v>0</v>
      </c>
      <c r="BP3187">
        <v>0</v>
      </c>
      <c r="BQ3187">
        <v>0</v>
      </c>
      <c r="BR3187">
        <v>0</v>
      </c>
      <c r="BS3187">
        <v>0</v>
      </c>
      <c r="BT3187">
        <v>0</v>
      </c>
      <c r="BU3187">
        <v>0</v>
      </c>
      <c r="BV3187">
        <v>0</v>
      </c>
      <c r="BW3187" t="s">
        <v>0</v>
      </c>
      <c r="BX3187">
        <v>0</v>
      </c>
      <c r="BY3187">
        <v>0</v>
      </c>
      <c r="BZ3187">
        <v>0</v>
      </c>
      <c r="CA3187">
        <v>0</v>
      </c>
      <c r="CB3187" t="s">
        <v>145</v>
      </c>
    </row>
    <row r="3188" spans="67:80" x14ac:dyDescent="0.25">
      <c r="BO3188">
        <v>0</v>
      </c>
      <c r="BP3188">
        <v>0</v>
      </c>
      <c r="BQ3188">
        <v>0</v>
      </c>
      <c r="BR3188">
        <v>0</v>
      </c>
      <c r="BS3188">
        <v>0</v>
      </c>
      <c r="BT3188">
        <v>0</v>
      </c>
      <c r="BU3188">
        <v>0</v>
      </c>
      <c r="BV3188">
        <v>0</v>
      </c>
      <c r="BW3188" t="s">
        <v>0</v>
      </c>
      <c r="BX3188">
        <v>0</v>
      </c>
      <c r="BY3188">
        <v>0</v>
      </c>
      <c r="BZ3188">
        <v>0</v>
      </c>
      <c r="CA3188">
        <v>0</v>
      </c>
      <c r="CB3188" t="s">
        <v>145</v>
      </c>
    </row>
    <row r="3189" spans="67:80" x14ac:dyDescent="0.25">
      <c r="BO3189">
        <v>0</v>
      </c>
      <c r="BP3189">
        <v>0</v>
      </c>
      <c r="BQ3189">
        <v>0</v>
      </c>
      <c r="BR3189">
        <v>0</v>
      </c>
      <c r="BS3189">
        <v>0</v>
      </c>
      <c r="BT3189">
        <v>0</v>
      </c>
      <c r="BU3189">
        <v>0</v>
      </c>
      <c r="BV3189">
        <v>0</v>
      </c>
      <c r="BW3189" t="s">
        <v>0</v>
      </c>
      <c r="BX3189">
        <v>0</v>
      </c>
      <c r="BY3189">
        <v>0</v>
      </c>
      <c r="BZ3189">
        <v>0</v>
      </c>
      <c r="CA3189">
        <v>0</v>
      </c>
      <c r="CB3189" t="s">
        <v>145</v>
      </c>
    </row>
    <row r="3190" spans="67:80" x14ac:dyDescent="0.25">
      <c r="BO3190">
        <v>0</v>
      </c>
      <c r="BP3190">
        <v>0</v>
      </c>
      <c r="BQ3190">
        <v>0</v>
      </c>
      <c r="BR3190">
        <v>0</v>
      </c>
      <c r="BS3190">
        <v>0</v>
      </c>
      <c r="BT3190">
        <v>0</v>
      </c>
      <c r="BU3190">
        <v>0</v>
      </c>
      <c r="BV3190">
        <v>0</v>
      </c>
      <c r="BW3190" t="s">
        <v>0</v>
      </c>
      <c r="BX3190">
        <v>0</v>
      </c>
      <c r="BY3190">
        <v>0</v>
      </c>
      <c r="BZ3190">
        <v>0</v>
      </c>
      <c r="CA3190">
        <v>0</v>
      </c>
      <c r="CB3190" t="s">
        <v>145</v>
      </c>
    </row>
    <row r="3191" spans="67:80" x14ac:dyDescent="0.25">
      <c r="BO3191">
        <v>0</v>
      </c>
      <c r="BP3191">
        <v>0</v>
      </c>
      <c r="BQ3191">
        <v>0</v>
      </c>
      <c r="BR3191">
        <v>0</v>
      </c>
      <c r="BS3191">
        <v>0</v>
      </c>
      <c r="BT3191">
        <v>0</v>
      </c>
      <c r="BU3191">
        <v>0</v>
      </c>
      <c r="BV3191">
        <v>0</v>
      </c>
      <c r="BW3191" t="s">
        <v>0</v>
      </c>
      <c r="BX3191">
        <v>0</v>
      </c>
      <c r="BY3191">
        <v>0</v>
      </c>
      <c r="BZ3191">
        <v>0</v>
      </c>
      <c r="CA3191">
        <v>0</v>
      </c>
      <c r="CB3191" t="s">
        <v>145</v>
      </c>
    </row>
    <row r="3192" spans="67:80" x14ac:dyDescent="0.25">
      <c r="BO3192">
        <v>0</v>
      </c>
      <c r="BP3192">
        <v>0</v>
      </c>
      <c r="BQ3192">
        <v>0</v>
      </c>
      <c r="BR3192">
        <v>0</v>
      </c>
      <c r="BS3192">
        <v>0</v>
      </c>
      <c r="BT3192">
        <v>0</v>
      </c>
      <c r="BU3192">
        <v>0</v>
      </c>
      <c r="BV3192">
        <v>0</v>
      </c>
      <c r="BW3192" t="s">
        <v>0</v>
      </c>
      <c r="BX3192">
        <v>0</v>
      </c>
      <c r="BY3192">
        <v>0</v>
      </c>
      <c r="BZ3192">
        <v>0</v>
      </c>
      <c r="CA3192">
        <v>0</v>
      </c>
      <c r="CB3192" t="s">
        <v>145</v>
      </c>
    </row>
    <row r="3193" spans="67:80" x14ac:dyDescent="0.25">
      <c r="BO3193">
        <v>0</v>
      </c>
      <c r="BP3193">
        <v>0</v>
      </c>
      <c r="BQ3193">
        <v>0</v>
      </c>
      <c r="BR3193">
        <v>0</v>
      </c>
      <c r="BS3193">
        <v>0</v>
      </c>
      <c r="BT3193">
        <v>0</v>
      </c>
      <c r="BU3193">
        <v>0</v>
      </c>
      <c r="BV3193">
        <v>0</v>
      </c>
      <c r="BW3193" t="s">
        <v>0</v>
      </c>
      <c r="BX3193">
        <v>0</v>
      </c>
      <c r="BY3193">
        <v>0</v>
      </c>
      <c r="BZ3193">
        <v>0</v>
      </c>
      <c r="CA3193">
        <v>0</v>
      </c>
      <c r="CB3193" t="s">
        <v>145</v>
      </c>
    </row>
    <row r="3194" spans="67:80" x14ac:dyDescent="0.25">
      <c r="BO3194">
        <v>0</v>
      </c>
      <c r="BP3194">
        <v>0</v>
      </c>
      <c r="BQ3194">
        <v>0</v>
      </c>
      <c r="BR3194">
        <v>0</v>
      </c>
      <c r="BS3194">
        <v>0</v>
      </c>
      <c r="BT3194">
        <v>0</v>
      </c>
      <c r="BU3194">
        <v>0</v>
      </c>
      <c r="BV3194">
        <v>0</v>
      </c>
      <c r="BW3194" t="s">
        <v>0</v>
      </c>
      <c r="BX3194">
        <v>0</v>
      </c>
      <c r="BY3194">
        <v>0</v>
      </c>
      <c r="BZ3194">
        <v>0</v>
      </c>
      <c r="CA3194">
        <v>0</v>
      </c>
      <c r="CB3194" t="s">
        <v>145</v>
      </c>
    </row>
    <row r="3195" spans="67:80" x14ac:dyDescent="0.25">
      <c r="BO3195">
        <v>0</v>
      </c>
      <c r="BP3195">
        <v>0</v>
      </c>
      <c r="BQ3195">
        <v>0</v>
      </c>
      <c r="BR3195">
        <v>0</v>
      </c>
      <c r="BS3195">
        <v>0</v>
      </c>
      <c r="BT3195">
        <v>0</v>
      </c>
      <c r="BU3195">
        <v>0</v>
      </c>
      <c r="BV3195">
        <v>0</v>
      </c>
      <c r="BW3195" t="s">
        <v>0</v>
      </c>
      <c r="BX3195">
        <v>0</v>
      </c>
      <c r="BY3195">
        <v>0</v>
      </c>
      <c r="BZ3195">
        <v>0</v>
      </c>
      <c r="CA3195">
        <v>0</v>
      </c>
      <c r="CB3195" t="s">
        <v>145</v>
      </c>
    </row>
    <row r="3196" spans="67:80" x14ac:dyDescent="0.25">
      <c r="BO3196">
        <v>0</v>
      </c>
      <c r="BP3196">
        <v>0</v>
      </c>
      <c r="BQ3196">
        <v>0</v>
      </c>
      <c r="BR3196">
        <v>0</v>
      </c>
      <c r="BS3196">
        <v>0</v>
      </c>
      <c r="BT3196">
        <v>0</v>
      </c>
      <c r="BU3196">
        <v>0</v>
      </c>
      <c r="BV3196">
        <v>0</v>
      </c>
      <c r="BW3196" t="s">
        <v>0</v>
      </c>
      <c r="BX3196">
        <v>0</v>
      </c>
      <c r="BY3196">
        <v>0</v>
      </c>
      <c r="BZ3196">
        <v>0</v>
      </c>
      <c r="CA3196">
        <v>0</v>
      </c>
      <c r="CB3196" t="s">
        <v>145</v>
      </c>
    </row>
    <row r="3197" spans="67:80" x14ac:dyDescent="0.25">
      <c r="BO3197">
        <v>0</v>
      </c>
      <c r="BP3197">
        <v>0</v>
      </c>
      <c r="BQ3197">
        <v>0</v>
      </c>
      <c r="BR3197">
        <v>0</v>
      </c>
      <c r="BS3197">
        <v>0</v>
      </c>
      <c r="BT3197">
        <v>0</v>
      </c>
      <c r="BU3197">
        <v>0</v>
      </c>
      <c r="BV3197">
        <v>0</v>
      </c>
      <c r="BW3197" t="s">
        <v>0</v>
      </c>
      <c r="BX3197">
        <v>0</v>
      </c>
      <c r="BY3197">
        <v>0</v>
      </c>
      <c r="BZ3197">
        <v>0</v>
      </c>
      <c r="CA3197">
        <v>0</v>
      </c>
      <c r="CB3197" t="s">
        <v>145</v>
      </c>
    </row>
    <row r="3198" spans="67:80" x14ac:dyDescent="0.25">
      <c r="BO3198">
        <v>0</v>
      </c>
      <c r="BP3198">
        <v>0</v>
      </c>
      <c r="BQ3198">
        <v>0</v>
      </c>
      <c r="BR3198">
        <v>0</v>
      </c>
      <c r="BS3198">
        <v>0</v>
      </c>
      <c r="BT3198">
        <v>0</v>
      </c>
      <c r="BU3198">
        <v>0</v>
      </c>
      <c r="BV3198">
        <v>0</v>
      </c>
      <c r="BW3198" t="s">
        <v>0</v>
      </c>
      <c r="BX3198">
        <v>0</v>
      </c>
      <c r="BY3198">
        <v>0</v>
      </c>
      <c r="BZ3198">
        <v>0</v>
      </c>
      <c r="CA3198">
        <v>0</v>
      </c>
      <c r="CB3198" t="s">
        <v>145</v>
      </c>
    </row>
    <row r="3199" spans="67:80" x14ac:dyDescent="0.25">
      <c r="BO3199">
        <v>0</v>
      </c>
      <c r="BP3199">
        <v>0</v>
      </c>
      <c r="BQ3199">
        <v>0</v>
      </c>
      <c r="BR3199">
        <v>0</v>
      </c>
      <c r="BS3199">
        <v>0</v>
      </c>
      <c r="BT3199">
        <v>0</v>
      </c>
      <c r="BU3199">
        <v>0</v>
      </c>
      <c r="BV3199">
        <v>0</v>
      </c>
      <c r="BW3199" t="s">
        <v>0</v>
      </c>
      <c r="BX3199">
        <v>0</v>
      </c>
      <c r="BY3199">
        <v>0</v>
      </c>
      <c r="BZ3199">
        <v>0</v>
      </c>
      <c r="CA3199">
        <v>0</v>
      </c>
      <c r="CB3199" t="s">
        <v>145</v>
      </c>
    </row>
    <row r="3200" spans="67:80" x14ac:dyDescent="0.25">
      <c r="BO3200">
        <v>0</v>
      </c>
      <c r="BP3200">
        <v>0</v>
      </c>
      <c r="BQ3200">
        <v>0</v>
      </c>
      <c r="BR3200">
        <v>0</v>
      </c>
      <c r="BS3200">
        <v>0</v>
      </c>
      <c r="BT3200">
        <v>0</v>
      </c>
      <c r="BU3200">
        <v>0</v>
      </c>
      <c r="BV3200">
        <v>0</v>
      </c>
      <c r="BW3200" t="s">
        <v>0</v>
      </c>
      <c r="BX3200">
        <v>0</v>
      </c>
      <c r="BY3200">
        <v>0</v>
      </c>
      <c r="BZ3200">
        <v>0</v>
      </c>
      <c r="CA3200">
        <v>0</v>
      </c>
      <c r="CB3200" t="s">
        <v>145</v>
      </c>
    </row>
    <row r="3201" spans="11:80" x14ac:dyDescent="0.25">
      <c r="BO3201">
        <v>0</v>
      </c>
      <c r="BP3201">
        <v>0</v>
      </c>
      <c r="BQ3201">
        <v>0</v>
      </c>
      <c r="BR3201">
        <v>0</v>
      </c>
      <c r="BS3201">
        <v>0</v>
      </c>
      <c r="BT3201">
        <v>0</v>
      </c>
      <c r="BU3201">
        <v>0</v>
      </c>
      <c r="BV3201">
        <v>0</v>
      </c>
      <c r="BW3201" t="s">
        <v>0</v>
      </c>
      <c r="BX3201">
        <v>0</v>
      </c>
      <c r="BY3201">
        <v>0</v>
      </c>
      <c r="BZ3201">
        <v>0</v>
      </c>
      <c r="CA3201">
        <v>0</v>
      </c>
      <c r="CB3201" t="s">
        <v>145</v>
      </c>
    </row>
    <row r="3202" spans="11:80" x14ac:dyDescent="0.25">
      <c r="BO3202">
        <v>0</v>
      </c>
      <c r="BP3202">
        <v>0</v>
      </c>
      <c r="BQ3202">
        <v>0</v>
      </c>
      <c r="BR3202">
        <v>0</v>
      </c>
      <c r="BS3202">
        <v>0</v>
      </c>
      <c r="BT3202">
        <v>0</v>
      </c>
      <c r="BU3202">
        <v>0</v>
      </c>
      <c r="BV3202">
        <v>0</v>
      </c>
      <c r="BW3202" t="s">
        <v>0</v>
      </c>
      <c r="BX3202">
        <v>0</v>
      </c>
      <c r="BY3202">
        <v>0</v>
      </c>
      <c r="BZ3202">
        <v>0</v>
      </c>
      <c r="CA3202">
        <v>0</v>
      </c>
      <c r="CB3202" t="s">
        <v>145</v>
      </c>
    </row>
    <row r="3203" spans="11:80" x14ac:dyDescent="0.25">
      <c r="BO3203">
        <v>0</v>
      </c>
      <c r="BP3203">
        <v>0</v>
      </c>
      <c r="BQ3203">
        <v>0</v>
      </c>
      <c r="BR3203">
        <v>0</v>
      </c>
      <c r="BS3203">
        <v>0</v>
      </c>
      <c r="BT3203">
        <v>0</v>
      </c>
      <c r="BU3203">
        <v>0</v>
      </c>
      <c r="BV3203">
        <v>0</v>
      </c>
      <c r="BW3203" t="s">
        <v>0</v>
      </c>
      <c r="BX3203">
        <v>0</v>
      </c>
      <c r="BY3203">
        <v>0</v>
      </c>
      <c r="BZ3203">
        <v>0</v>
      </c>
      <c r="CA3203">
        <v>0</v>
      </c>
      <c r="CB3203" t="s">
        <v>145</v>
      </c>
    </row>
    <row r="3204" spans="11:80" x14ac:dyDescent="0.25">
      <c r="BO3204">
        <v>0</v>
      </c>
      <c r="BP3204">
        <v>0</v>
      </c>
      <c r="BQ3204">
        <v>0</v>
      </c>
      <c r="BR3204">
        <v>0</v>
      </c>
      <c r="BS3204">
        <v>0</v>
      </c>
      <c r="BT3204">
        <v>0</v>
      </c>
      <c r="BU3204">
        <v>0</v>
      </c>
      <c r="BV3204">
        <v>0</v>
      </c>
      <c r="BW3204" t="s">
        <v>0</v>
      </c>
      <c r="BX3204">
        <v>0</v>
      </c>
      <c r="BY3204">
        <v>0</v>
      </c>
      <c r="BZ3204">
        <v>0</v>
      </c>
      <c r="CA3204">
        <v>0</v>
      </c>
      <c r="CB3204" t="s">
        <v>145</v>
      </c>
    </row>
    <row r="3205" spans="11:80" x14ac:dyDescent="0.25">
      <c r="BO3205">
        <v>0</v>
      </c>
      <c r="BP3205">
        <v>0</v>
      </c>
      <c r="BQ3205">
        <v>0</v>
      </c>
      <c r="BR3205">
        <v>0</v>
      </c>
      <c r="BS3205">
        <v>0</v>
      </c>
      <c r="BT3205">
        <v>0</v>
      </c>
      <c r="BU3205">
        <v>0</v>
      </c>
      <c r="BV3205">
        <v>0</v>
      </c>
      <c r="BW3205" t="s">
        <v>0</v>
      </c>
      <c r="BX3205">
        <v>0</v>
      </c>
      <c r="BY3205">
        <v>0</v>
      </c>
      <c r="BZ3205">
        <v>0</v>
      </c>
      <c r="CA3205">
        <v>0</v>
      </c>
      <c r="CB3205" t="s">
        <v>145</v>
      </c>
    </row>
    <row r="3206" spans="11:80" x14ac:dyDescent="0.25">
      <c r="BO3206">
        <v>0</v>
      </c>
      <c r="BP3206">
        <v>0</v>
      </c>
      <c r="BQ3206">
        <v>0</v>
      </c>
      <c r="BR3206">
        <v>0</v>
      </c>
      <c r="BS3206">
        <v>0</v>
      </c>
      <c r="BT3206">
        <v>0</v>
      </c>
      <c r="BU3206">
        <v>0</v>
      </c>
      <c r="BV3206">
        <v>0</v>
      </c>
      <c r="BW3206" t="s">
        <v>0</v>
      </c>
      <c r="BX3206">
        <v>0</v>
      </c>
      <c r="BY3206">
        <v>0</v>
      </c>
      <c r="BZ3206">
        <v>0</v>
      </c>
      <c r="CA3206">
        <v>0</v>
      </c>
      <c r="CB3206" t="s">
        <v>145</v>
      </c>
    </row>
    <row r="3207" spans="11:80" x14ac:dyDescent="0.25">
      <c r="BO3207">
        <v>0</v>
      </c>
      <c r="BP3207">
        <v>0</v>
      </c>
      <c r="BQ3207">
        <v>0</v>
      </c>
      <c r="BR3207">
        <v>0</v>
      </c>
      <c r="BS3207">
        <v>0</v>
      </c>
      <c r="BT3207">
        <v>0</v>
      </c>
      <c r="BU3207">
        <v>0</v>
      </c>
      <c r="BV3207">
        <v>0</v>
      </c>
      <c r="BW3207" t="s">
        <v>0</v>
      </c>
      <c r="BX3207">
        <v>0</v>
      </c>
      <c r="BY3207">
        <v>0</v>
      </c>
      <c r="BZ3207">
        <v>0</v>
      </c>
      <c r="CA3207">
        <v>0</v>
      </c>
      <c r="CB3207" t="s">
        <v>145</v>
      </c>
    </row>
    <row r="3208" spans="11:80" x14ac:dyDescent="0.25">
      <c r="BO3208">
        <v>0</v>
      </c>
      <c r="BP3208">
        <v>0</v>
      </c>
      <c r="BQ3208">
        <v>0</v>
      </c>
      <c r="BR3208">
        <v>0</v>
      </c>
      <c r="BS3208">
        <v>0</v>
      </c>
      <c r="BT3208">
        <v>0</v>
      </c>
      <c r="BU3208">
        <v>0</v>
      </c>
      <c r="BV3208">
        <v>0</v>
      </c>
      <c r="BW3208" t="s">
        <v>0</v>
      </c>
      <c r="BX3208">
        <v>0</v>
      </c>
      <c r="BY3208">
        <v>0</v>
      </c>
      <c r="BZ3208">
        <v>0</v>
      </c>
      <c r="CA3208">
        <v>0</v>
      </c>
      <c r="CB3208" t="s">
        <v>145</v>
      </c>
    </row>
    <row r="3209" spans="11:80" x14ac:dyDescent="0.25">
      <c r="BO3209">
        <v>0</v>
      </c>
      <c r="BP3209">
        <v>0</v>
      </c>
      <c r="BQ3209">
        <v>0</v>
      </c>
      <c r="BR3209">
        <v>0</v>
      </c>
      <c r="BS3209">
        <v>0</v>
      </c>
      <c r="BT3209">
        <v>0</v>
      </c>
      <c r="BU3209">
        <v>0</v>
      </c>
      <c r="BV3209">
        <v>0</v>
      </c>
      <c r="BW3209" t="s">
        <v>0</v>
      </c>
      <c r="BX3209">
        <v>0</v>
      </c>
      <c r="BY3209">
        <v>0</v>
      </c>
      <c r="BZ3209">
        <v>0</v>
      </c>
      <c r="CA3209">
        <v>0</v>
      </c>
      <c r="CB3209" t="s">
        <v>145</v>
      </c>
    </row>
    <row r="3210" spans="11:80" x14ac:dyDescent="0.25">
      <c r="BO3210">
        <v>0</v>
      </c>
      <c r="BP3210">
        <v>0</v>
      </c>
      <c r="BQ3210">
        <v>0</v>
      </c>
      <c r="BR3210">
        <v>0</v>
      </c>
      <c r="BS3210">
        <v>0</v>
      </c>
      <c r="BT3210">
        <v>0</v>
      </c>
      <c r="BU3210">
        <v>0</v>
      </c>
      <c r="BV3210">
        <v>0</v>
      </c>
      <c r="BW3210" t="s">
        <v>0</v>
      </c>
      <c r="BX3210">
        <v>0</v>
      </c>
      <c r="BY3210">
        <v>0</v>
      </c>
      <c r="BZ3210">
        <v>0</v>
      </c>
      <c r="CA3210">
        <v>0</v>
      </c>
      <c r="CB3210" t="s">
        <v>145</v>
      </c>
    </row>
    <row r="3211" spans="11:80" x14ac:dyDescent="0.25">
      <c r="BO3211">
        <v>0</v>
      </c>
      <c r="BP3211">
        <v>0</v>
      </c>
      <c r="BQ3211">
        <v>0</v>
      </c>
      <c r="BR3211">
        <v>0</v>
      </c>
      <c r="BS3211">
        <v>0</v>
      </c>
      <c r="BT3211">
        <v>0</v>
      </c>
      <c r="BU3211">
        <v>0</v>
      </c>
      <c r="BV3211">
        <v>0</v>
      </c>
      <c r="BW3211" t="s">
        <v>0</v>
      </c>
      <c r="BX3211">
        <v>0</v>
      </c>
      <c r="BY3211">
        <v>0</v>
      </c>
      <c r="BZ3211">
        <v>0</v>
      </c>
      <c r="CA3211">
        <v>0</v>
      </c>
      <c r="CB3211" t="s">
        <v>145</v>
      </c>
    </row>
    <row r="3212" spans="11:80" x14ac:dyDescent="0.25">
      <c r="BO3212">
        <v>0</v>
      </c>
      <c r="BP3212">
        <v>0</v>
      </c>
      <c r="BQ3212">
        <v>0</v>
      </c>
      <c r="BR3212">
        <v>0</v>
      </c>
      <c r="BS3212">
        <v>0</v>
      </c>
      <c r="BT3212">
        <v>0</v>
      </c>
      <c r="BU3212">
        <v>0</v>
      </c>
      <c r="BV3212">
        <v>0</v>
      </c>
      <c r="BW3212" t="s">
        <v>0</v>
      </c>
      <c r="BX3212">
        <v>0</v>
      </c>
      <c r="BY3212">
        <v>0</v>
      </c>
      <c r="BZ3212">
        <v>0</v>
      </c>
      <c r="CA3212">
        <v>0</v>
      </c>
      <c r="CB3212" t="s">
        <v>145</v>
      </c>
    </row>
    <row r="3213" spans="11:80" x14ac:dyDescent="0.25">
      <c r="BO3213">
        <v>0</v>
      </c>
      <c r="BP3213">
        <v>0</v>
      </c>
      <c r="BQ3213">
        <v>0</v>
      </c>
      <c r="BR3213">
        <v>0</v>
      </c>
      <c r="BS3213">
        <v>0</v>
      </c>
      <c r="BT3213">
        <v>0</v>
      </c>
      <c r="BU3213">
        <v>0</v>
      </c>
      <c r="BV3213">
        <v>0</v>
      </c>
      <c r="BW3213" t="s">
        <v>0</v>
      </c>
      <c r="BX3213">
        <v>0</v>
      </c>
      <c r="BY3213">
        <v>0</v>
      </c>
      <c r="BZ3213">
        <v>0</v>
      </c>
      <c r="CA3213">
        <v>0</v>
      </c>
      <c r="CB3213" t="s">
        <v>145</v>
      </c>
    </row>
    <row r="3214" spans="11:80" x14ac:dyDescent="0.25">
      <c r="BO3214">
        <v>0</v>
      </c>
      <c r="BP3214">
        <v>0</v>
      </c>
      <c r="BQ3214">
        <v>0</v>
      </c>
      <c r="BR3214">
        <v>0</v>
      </c>
      <c r="BS3214">
        <v>0</v>
      </c>
      <c r="BT3214">
        <v>0</v>
      </c>
      <c r="BU3214">
        <v>0</v>
      </c>
      <c r="BV3214">
        <v>0</v>
      </c>
      <c r="BW3214" t="s">
        <v>0</v>
      </c>
      <c r="BX3214">
        <v>0</v>
      </c>
      <c r="BY3214">
        <v>0</v>
      </c>
      <c r="BZ3214">
        <v>0</v>
      </c>
      <c r="CA3214">
        <v>0</v>
      </c>
      <c r="CB3214" t="s">
        <v>145</v>
      </c>
    </row>
    <row r="3215" spans="11:80" x14ac:dyDescent="0.25">
      <c r="BO3215">
        <v>0</v>
      </c>
      <c r="BP3215">
        <v>0</v>
      </c>
      <c r="BQ3215">
        <v>0</v>
      </c>
      <c r="BR3215">
        <v>0</v>
      </c>
      <c r="BS3215">
        <v>0</v>
      </c>
      <c r="BT3215">
        <v>0</v>
      </c>
      <c r="BU3215">
        <v>0</v>
      </c>
      <c r="BV3215">
        <v>0</v>
      </c>
      <c r="BW3215" t="s">
        <v>0</v>
      </c>
      <c r="BX3215">
        <v>0</v>
      </c>
      <c r="BY3215">
        <v>0</v>
      </c>
      <c r="BZ3215">
        <v>0</v>
      </c>
      <c r="CA3215">
        <v>0</v>
      </c>
      <c r="CB3215" t="s">
        <v>145</v>
      </c>
    </row>
    <row r="3216" spans="11:80" x14ac:dyDescent="0.25">
      <c r="K3216" s="3"/>
      <c r="BO3216">
        <v>0</v>
      </c>
      <c r="BP3216">
        <v>0</v>
      </c>
      <c r="BQ3216">
        <v>0</v>
      </c>
      <c r="BR3216">
        <v>0</v>
      </c>
      <c r="BS3216">
        <v>0</v>
      </c>
      <c r="BT3216">
        <v>0</v>
      </c>
      <c r="BU3216">
        <v>0</v>
      </c>
      <c r="BV3216">
        <v>0</v>
      </c>
      <c r="BW3216" t="s">
        <v>0</v>
      </c>
      <c r="BX3216">
        <v>0</v>
      </c>
      <c r="BY3216">
        <v>0</v>
      </c>
      <c r="BZ3216">
        <v>0</v>
      </c>
      <c r="CA3216">
        <v>0</v>
      </c>
      <c r="CB3216" t="s">
        <v>145</v>
      </c>
    </row>
    <row r="3217" spans="11:80" x14ac:dyDescent="0.25">
      <c r="K3217" s="3"/>
      <c r="BO3217">
        <v>0</v>
      </c>
      <c r="BP3217">
        <v>0</v>
      </c>
      <c r="BQ3217">
        <v>0</v>
      </c>
      <c r="BR3217">
        <v>0</v>
      </c>
      <c r="BS3217">
        <v>0</v>
      </c>
      <c r="BT3217">
        <v>0</v>
      </c>
      <c r="BU3217">
        <v>0</v>
      </c>
      <c r="BV3217">
        <v>0</v>
      </c>
      <c r="BW3217" t="s">
        <v>0</v>
      </c>
      <c r="BX3217">
        <v>0</v>
      </c>
      <c r="BY3217">
        <v>0</v>
      </c>
      <c r="BZ3217">
        <v>0</v>
      </c>
      <c r="CA3217">
        <v>0</v>
      </c>
      <c r="CB3217" t="s">
        <v>145</v>
      </c>
    </row>
    <row r="3218" spans="11:80" x14ac:dyDescent="0.25">
      <c r="K3218" s="3"/>
      <c r="BO3218">
        <v>0</v>
      </c>
      <c r="BP3218">
        <v>0</v>
      </c>
      <c r="BQ3218">
        <v>0</v>
      </c>
      <c r="BR3218">
        <v>0</v>
      </c>
      <c r="BS3218">
        <v>0</v>
      </c>
      <c r="BT3218">
        <v>0</v>
      </c>
      <c r="BU3218">
        <v>0</v>
      </c>
      <c r="BV3218">
        <v>0</v>
      </c>
      <c r="BW3218" t="s">
        <v>0</v>
      </c>
      <c r="BX3218">
        <v>0</v>
      </c>
      <c r="BY3218">
        <v>0</v>
      </c>
      <c r="BZ3218">
        <v>0</v>
      </c>
      <c r="CA3218">
        <v>0</v>
      </c>
      <c r="CB3218" t="s">
        <v>145</v>
      </c>
    </row>
    <row r="3219" spans="11:80" x14ac:dyDescent="0.25">
      <c r="K3219" s="3"/>
      <c r="BO3219">
        <v>0</v>
      </c>
      <c r="BP3219">
        <v>0</v>
      </c>
      <c r="BQ3219">
        <v>0</v>
      </c>
      <c r="BR3219">
        <v>0</v>
      </c>
      <c r="BS3219">
        <v>0</v>
      </c>
      <c r="BT3219">
        <v>0</v>
      </c>
      <c r="BU3219">
        <v>0</v>
      </c>
      <c r="BV3219">
        <v>0</v>
      </c>
      <c r="BW3219" t="s">
        <v>0</v>
      </c>
      <c r="BX3219">
        <v>0</v>
      </c>
      <c r="BY3219">
        <v>0</v>
      </c>
      <c r="BZ3219">
        <v>0</v>
      </c>
      <c r="CA3219">
        <v>0</v>
      </c>
      <c r="CB3219" t="s">
        <v>145</v>
      </c>
    </row>
    <row r="3220" spans="11:80" x14ac:dyDescent="0.25">
      <c r="K3220" s="3"/>
      <c r="BO3220">
        <v>0</v>
      </c>
      <c r="BP3220">
        <v>0</v>
      </c>
      <c r="BQ3220">
        <v>0</v>
      </c>
      <c r="BR3220">
        <v>0</v>
      </c>
      <c r="BS3220">
        <v>0</v>
      </c>
      <c r="BT3220">
        <v>0</v>
      </c>
      <c r="BU3220">
        <v>0</v>
      </c>
      <c r="BV3220">
        <v>0</v>
      </c>
      <c r="BW3220" t="s">
        <v>0</v>
      </c>
      <c r="BX3220">
        <v>0</v>
      </c>
      <c r="BY3220">
        <v>0</v>
      </c>
      <c r="BZ3220">
        <v>0</v>
      </c>
      <c r="CA3220">
        <v>0</v>
      </c>
      <c r="CB3220" t="s">
        <v>145</v>
      </c>
    </row>
    <row r="3221" spans="11:80" x14ac:dyDescent="0.25">
      <c r="K3221" s="3"/>
      <c r="BO3221">
        <v>0</v>
      </c>
      <c r="BP3221">
        <v>0</v>
      </c>
      <c r="BQ3221">
        <v>0</v>
      </c>
      <c r="BR3221">
        <v>0</v>
      </c>
      <c r="BS3221">
        <v>0</v>
      </c>
      <c r="BT3221">
        <v>0</v>
      </c>
      <c r="BU3221">
        <v>0</v>
      </c>
      <c r="BV3221">
        <v>0</v>
      </c>
      <c r="BW3221" t="s">
        <v>0</v>
      </c>
      <c r="BX3221">
        <v>0</v>
      </c>
      <c r="BY3221">
        <v>0</v>
      </c>
      <c r="BZ3221">
        <v>0</v>
      </c>
      <c r="CA3221">
        <v>0</v>
      </c>
      <c r="CB3221" t="s">
        <v>145</v>
      </c>
    </row>
    <row r="3222" spans="11:80" x14ac:dyDescent="0.25">
      <c r="K3222" s="3"/>
      <c r="BO3222">
        <v>0</v>
      </c>
      <c r="BP3222">
        <v>0</v>
      </c>
      <c r="BQ3222">
        <v>0</v>
      </c>
      <c r="BR3222">
        <v>0</v>
      </c>
      <c r="BS3222">
        <v>0</v>
      </c>
      <c r="BT3222">
        <v>0</v>
      </c>
      <c r="BU3222">
        <v>0</v>
      </c>
      <c r="BV3222">
        <v>0</v>
      </c>
      <c r="BW3222" t="s">
        <v>0</v>
      </c>
      <c r="BX3222">
        <v>0</v>
      </c>
      <c r="BY3222">
        <v>0</v>
      </c>
      <c r="BZ3222">
        <v>0</v>
      </c>
      <c r="CA3222">
        <v>0</v>
      </c>
      <c r="CB3222" t="s">
        <v>145</v>
      </c>
    </row>
    <row r="3223" spans="11:80" x14ac:dyDescent="0.25">
      <c r="K3223" s="3"/>
      <c r="BO3223">
        <v>0</v>
      </c>
      <c r="BP3223">
        <v>0</v>
      </c>
      <c r="BQ3223">
        <v>0</v>
      </c>
      <c r="BR3223">
        <v>0</v>
      </c>
      <c r="BS3223">
        <v>0</v>
      </c>
      <c r="BT3223">
        <v>0</v>
      </c>
      <c r="BU3223">
        <v>0</v>
      </c>
      <c r="BV3223">
        <v>0</v>
      </c>
      <c r="BW3223" t="s">
        <v>0</v>
      </c>
      <c r="BX3223">
        <v>0</v>
      </c>
      <c r="BY3223">
        <v>0</v>
      </c>
      <c r="BZ3223">
        <v>0</v>
      </c>
      <c r="CA3223">
        <v>0</v>
      </c>
      <c r="CB3223" t="s">
        <v>145</v>
      </c>
    </row>
    <row r="3224" spans="11:80" x14ac:dyDescent="0.25">
      <c r="K3224" s="3"/>
      <c r="BO3224">
        <v>0</v>
      </c>
      <c r="BP3224">
        <v>0</v>
      </c>
      <c r="BQ3224">
        <v>0</v>
      </c>
      <c r="BR3224">
        <v>0</v>
      </c>
      <c r="BS3224">
        <v>0</v>
      </c>
      <c r="BT3224">
        <v>0</v>
      </c>
      <c r="BU3224">
        <v>0</v>
      </c>
      <c r="BV3224">
        <v>0</v>
      </c>
      <c r="BW3224" t="s">
        <v>0</v>
      </c>
      <c r="BX3224">
        <v>0</v>
      </c>
      <c r="BY3224">
        <v>0</v>
      </c>
      <c r="BZ3224">
        <v>0</v>
      </c>
      <c r="CA3224">
        <v>0</v>
      </c>
      <c r="CB3224" t="s">
        <v>145</v>
      </c>
    </row>
    <row r="3225" spans="11:80" x14ac:dyDescent="0.25">
      <c r="K3225" s="3"/>
      <c r="BO3225">
        <v>0</v>
      </c>
      <c r="BP3225">
        <v>0</v>
      </c>
      <c r="BQ3225">
        <v>0</v>
      </c>
      <c r="BR3225">
        <v>0</v>
      </c>
      <c r="BS3225">
        <v>0</v>
      </c>
      <c r="BT3225">
        <v>0</v>
      </c>
      <c r="BU3225">
        <v>0</v>
      </c>
      <c r="BV3225">
        <v>0</v>
      </c>
      <c r="BW3225" t="s">
        <v>0</v>
      </c>
      <c r="BX3225">
        <v>0</v>
      </c>
      <c r="BY3225">
        <v>0</v>
      </c>
      <c r="BZ3225">
        <v>0</v>
      </c>
      <c r="CA3225">
        <v>0</v>
      </c>
      <c r="CB3225" t="s">
        <v>145</v>
      </c>
    </row>
    <row r="3226" spans="11:80" x14ac:dyDescent="0.25">
      <c r="K3226" s="3"/>
      <c r="BO3226">
        <v>0</v>
      </c>
      <c r="BP3226">
        <v>0</v>
      </c>
      <c r="BQ3226">
        <v>0</v>
      </c>
      <c r="BR3226">
        <v>0</v>
      </c>
      <c r="BS3226">
        <v>0</v>
      </c>
      <c r="BT3226">
        <v>0</v>
      </c>
      <c r="BU3226">
        <v>0</v>
      </c>
      <c r="BV3226">
        <v>0</v>
      </c>
      <c r="BW3226" t="s">
        <v>0</v>
      </c>
      <c r="BX3226">
        <v>0</v>
      </c>
      <c r="BY3226">
        <v>0</v>
      </c>
      <c r="BZ3226">
        <v>0</v>
      </c>
      <c r="CA3226">
        <v>0</v>
      </c>
      <c r="CB3226" t="s">
        <v>145</v>
      </c>
    </row>
    <row r="3227" spans="11:80" x14ac:dyDescent="0.25">
      <c r="K3227" s="3"/>
      <c r="BO3227">
        <v>0</v>
      </c>
      <c r="BP3227">
        <v>0</v>
      </c>
      <c r="BQ3227">
        <v>0</v>
      </c>
      <c r="BR3227">
        <v>0</v>
      </c>
      <c r="BS3227">
        <v>0</v>
      </c>
      <c r="BT3227">
        <v>0</v>
      </c>
      <c r="BU3227">
        <v>0</v>
      </c>
      <c r="BV3227">
        <v>0</v>
      </c>
      <c r="BW3227" t="s">
        <v>0</v>
      </c>
      <c r="BX3227">
        <v>0</v>
      </c>
      <c r="BY3227">
        <v>0</v>
      </c>
      <c r="BZ3227">
        <v>0</v>
      </c>
      <c r="CA3227">
        <v>0</v>
      </c>
      <c r="CB3227" t="s">
        <v>145</v>
      </c>
    </row>
    <row r="3228" spans="11:80" x14ac:dyDescent="0.25">
      <c r="K3228" s="3"/>
      <c r="BO3228">
        <v>0</v>
      </c>
      <c r="BP3228">
        <v>0</v>
      </c>
      <c r="BQ3228">
        <v>0</v>
      </c>
      <c r="BR3228">
        <v>0</v>
      </c>
      <c r="BS3228">
        <v>0</v>
      </c>
      <c r="BT3228">
        <v>0</v>
      </c>
      <c r="BU3228">
        <v>0</v>
      </c>
      <c r="BV3228">
        <v>0</v>
      </c>
      <c r="BW3228" t="s">
        <v>0</v>
      </c>
      <c r="BX3228">
        <v>0</v>
      </c>
      <c r="BY3228">
        <v>0</v>
      </c>
      <c r="BZ3228">
        <v>0</v>
      </c>
      <c r="CA3228">
        <v>0</v>
      </c>
      <c r="CB3228" t="s">
        <v>145</v>
      </c>
    </row>
    <row r="3229" spans="11:80" x14ac:dyDescent="0.25">
      <c r="K3229" s="3"/>
      <c r="BO3229">
        <v>0</v>
      </c>
      <c r="BP3229">
        <v>0</v>
      </c>
      <c r="BQ3229">
        <v>0</v>
      </c>
      <c r="BR3229">
        <v>0</v>
      </c>
      <c r="BS3229">
        <v>0</v>
      </c>
      <c r="BT3229">
        <v>0</v>
      </c>
      <c r="BU3229">
        <v>0</v>
      </c>
      <c r="BV3229">
        <v>0</v>
      </c>
      <c r="BW3229" t="s">
        <v>0</v>
      </c>
      <c r="BX3229">
        <v>0</v>
      </c>
      <c r="BY3229">
        <v>0</v>
      </c>
      <c r="BZ3229">
        <v>0</v>
      </c>
      <c r="CA3229">
        <v>0</v>
      </c>
      <c r="CB3229" t="s">
        <v>145</v>
      </c>
    </row>
    <row r="3230" spans="11:80" x14ac:dyDescent="0.25">
      <c r="K3230" s="3"/>
      <c r="BO3230">
        <v>0</v>
      </c>
      <c r="BP3230">
        <v>0</v>
      </c>
      <c r="BQ3230">
        <v>0</v>
      </c>
      <c r="BR3230">
        <v>0</v>
      </c>
      <c r="BS3230">
        <v>0</v>
      </c>
      <c r="BT3230">
        <v>0</v>
      </c>
      <c r="BU3230">
        <v>0</v>
      </c>
      <c r="BV3230">
        <v>0</v>
      </c>
      <c r="BW3230" t="s">
        <v>0</v>
      </c>
      <c r="BX3230">
        <v>0</v>
      </c>
      <c r="BY3230">
        <v>0</v>
      </c>
      <c r="BZ3230">
        <v>0</v>
      </c>
      <c r="CA3230">
        <v>0</v>
      </c>
      <c r="CB3230" t="s">
        <v>145</v>
      </c>
    </row>
    <row r="3231" spans="11:80" x14ac:dyDescent="0.25">
      <c r="K3231" s="3"/>
      <c r="BO3231">
        <v>0</v>
      </c>
      <c r="BP3231">
        <v>0</v>
      </c>
      <c r="BQ3231">
        <v>0</v>
      </c>
      <c r="BR3231">
        <v>0</v>
      </c>
      <c r="BS3231">
        <v>0</v>
      </c>
      <c r="BT3231">
        <v>0</v>
      </c>
      <c r="BU3231">
        <v>0</v>
      </c>
      <c r="BV3231">
        <v>0</v>
      </c>
      <c r="BW3231" t="s">
        <v>0</v>
      </c>
      <c r="BX3231">
        <v>0</v>
      </c>
      <c r="BY3231">
        <v>0</v>
      </c>
      <c r="BZ3231">
        <v>0</v>
      </c>
      <c r="CA3231">
        <v>0</v>
      </c>
      <c r="CB3231" t="s">
        <v>145</v>
      </c>
    </row>
    <row r="3232" spans="11:80" x14ac:dyDescent="0.25">
      <c r="K3232" s="3"/>
      <c r="BO3232">
        <v>0</v>
      </c>
      <c r="BP3232">
        <v>0</v>
      </c>
      <c r="BQ3232">
        <v>0</v>
      </c>
      <c r="BR3232">
        <v>0</v>
      </c>
      <c r="BS3232">
        <v>0</v>
      </c>
      <c r="BT3232">
        <v>0</v>
      </c>
      <c r="BU3232">
        <v>0</v>
      </c>
      <c r="BV3232">
        <v>0</v>
      </c>
      <c r="BW3232" t="s">
        <v>0</v>
      </c>
      <c r="BX3232">
        <v>0</v>
      </c>
      <c r="BY3232">
        <v>0</v>
      </c>
      <c r="BZ3232">
        <v>0</v>
      </c>
      <c r="CA3232">
        <v>0</v>
      </c>
      <c r="CB3232" t="s">
        <v>145</v>
      </c>
    </row>
    <row r="3233" spans="11:80" x14ac:dyDescent="0.25">
      <c r="K3233" s="3"/>
      <c r="BO3233">
        <v>0</v>
      </c>
      <c r="BP3233">
        <v>0</v>
      </c>
      <c r="BQ3233">
        <v>0</v>
      </c>
      <c r="BR3233">
        <v>0</v>
      </c>
      <c r="BS3233">
        <v>0</v>
      </c>
      <c r="BT3233">
        <v>0</v>
      </c>
      <c r="BU3233">
        <v>0</v>
      </c>
      <c r="BV3233">
        <v>0</v>
      </c>
      <c r="BW3233" t="s">
        <v>0</v>
      </c>
      <c r="BX3233">
        <v>0</v>
      </c>
      <c r="BY3233">
        <v>0</v>
      </c>
      <c r="BZ3233">
        <v>0</v>
      </c>
      <c r="CA3233">
        <v>0</v>
      </c>
      <c r="CB3233" t="s">
        <v>145</v>
      </c>
    </row>
    <row r="3234" spans="11:80" x14ac:dyDescent="0.25">
      <c r="K3234" s="3"/>
      <c r="BO3234">
        <v>0</v>
      </c>
      <c r="BP3234">
        <v>0</v>
      </c>
      <c r="BQ3234">
        <v>0</v>
      </c>
      <c r="BR3234">
        <v>0</v>
      </c>
      <c r="BS3234">
        <v>0</v>
      </c>
      <c r="BT3234">
        <v>0</v>
      </c>
      <c r="BU3234">
        <v>0</v>
      </c>
      <c r="BV3234">
        <v>0</v>
      </c>
      <c r="BW3234" t="s">
        <v>0</v>
      </c>
      <c r="BX3234">
        <v>0</v>
      </c>
      <c r="BY3234">
        <v>0</v>
      </c>
      <c r="BZ3234">
        <v>0</v>
      </c>
      <c r="CA3234">
        <v>0</v>
      </c>
      <c r="CB3234" t="s">
        <v>145</v>
      </c>
    </row>
    <row r="3235" spans="11:80" x14ac:dyDescent="0.25">
      <c r="K3235" s="3"/>
      <c r="BO3235">
        <v>0</v>
      </c>
      <c r="BP3235">
        <v>0</v>
      </c>
      <c r="BQ3235">
        <v>0</v>
      </c>
      <c r="BR3235">
        <v>0</v>
      </c>
      <c r="BS3235">
        <v>0</v>
      </c>
      <c r="BT3235">
        <v>0</v>
      </c>
      <c r="BU3235">
        <v>0</v>
      </c>
      <c r="BV3235">
        <v>0</v>
      </c>
      <c r="BW3235" t="s">
        <v>0</v>
      </c>
      <c r="BX3235">
        <v>0</v>
      </c>
      <c r="BY3235">
        <v>0</v>
      </c>
      <c r="BZ3235">
        <v>0</v>
      </c>
      <c r="CA3235">
        <v>0</v>
      </c>
      <c r="CB3235" t="s">
        <v>145</v>
      </c>
    </row>
    <row r="3236" spans="11:80" x14ac:dyDescent="0.25">
      <c r="K3236" s="3"/>
      <c r="BO3236">
        <v>0</v>
      </c>
      <c r="BP3236">
        <v>0</v>
      </c>
      <c r="BQ3236">
        <v>0</v>
      </c>
      <c r="BR3236">
        <v>0</v>
      </c>
      <c r="BS3236">
        <v>0</v>
      </c>
      <c r="BT3236">
        <v>0</v>
      </c>
      <c r="BU3236">
        <v>0</v>
      </c>
      <c r="BV3236">
        <v>0</v>
      </c>
      <c r="BW3236" t="s">
        <v>0</v>
      </c>
      <c r="BX3236">
        <v>0</v>
      </c>
      <c r="BY3236">
        <v>0</v>
      </c>
      <c r="BZ3236">
        <v>0</v>
      </c>
      <c r="CA3236">
        <v>0</v>
      </c>
      <c r="CB3236" t="s">
        <v>145</v>
      </c>
    </row>
    <row r="3237" spans="11:80" x14ac:dyDescent="0.25">
      <c r="K3237" s="3"/>
      <c r="BO3237">
        <v>0</v>
      </c>
      <c r="BP3237">
        <v>0</v>
      </c>
      <c r="BQ3237">
        <v>0</v>
      </c>
      <c r="BR3237">
        <v>0</v>
      </c>
      <c r="BS3237">
        <v>0</v>
      </c>
      <c r="BT3237">
        <v>0</v>
      </c>
      <c r="BU3237">
        <v>0</v>
      </c>
      <c r="BV3237">
        <v>0</v>
      </c>
      <c r="BW3237" t="s">
        <v>0</v>
      </c>
      <c r="BX3237">
        <v>0</v>
      </c>
      <c r="BY3237">
        <v>0</v>
      </c>
      <c r="BZ3237">
        <v>0</v>
      </c>
      <c r="CA3237">
        <v>0</v>
      </c>
      <c r="CB3237" t="s">
        <v>145</v>
      </c>
    </row>
    <row r="3238" spans="11:80" x14ac:dyDescent="0.25">
      <c r="K3238" s="3"/>
      <c r="BO3238">
        <v>0</v>
      </c>
      <c r="BP3238">
        <v>0</v>
      </c>
      <c r="BQ3238">
        <v>0</v>
      </c>
      <c r="BR3238">
        <v>0</v>
      </c>
      <c r="BS3238">
        <v>0</v>
      </c>
      <c r="BT3238">
        <v>0</v>
      </c>
      <c r="BU3238">
        <v>0</v>
      </c>
      <c r="BV3238">
        <v>0</v>
      </c>
      <c r="BW3238" t="s">
        <v>0</v>
      </c>
      <c r="BX3238">
        <v>0</v>
      </c>
      <c r="BY3238">
        <v>0</v>
      </c>
      <c r="BZ3238">
        <v>0</v>
      </c>
      <c r="CA3238">
        <v>0</v>
      </c>
      <c r="CB3238" t="s">
        <v>145</v>
      </c>
    </row>
    <row r="3239" spans="11:80" x14ac:dyDescent="0.25">
      <c r="K3239" s="3"/>
      <c r="BO3239">
        <v>0</v>
      </c>
      <c r="BP3239">
        <v>0</v>
      </c>
      <c r="BQ3239">
        <v>0</v>
      </c>
      <c r="BR3239">
        <v>0</v>
      </c>
      <c r="BS3239">
        <v>0</v>
      </c>
      <c r="BT3239">
        <v>0</v>
      </c>
      <c r="BU3239">
        <v>0</v>
      </c>
      <c r="BV3239">
        <v>0</v>
      </c>
      <c r="BW3239" t="s">
        <v>0</v>
      </c>
      <c r="BX3239">
        <v>0</v>
      </c>
      <c r="BY3239">
        <v>0</v>
      </c>
      <c r="BZ3239">
        <v>0</v>
      </c>
      <c r="CA3239">
        <v>0</v>
      </c>
      <c r="CB3239" t="s">
        <v>145</v>
      </c>
    </row>
    <row r="3240" spans="11:80" x14ac:dyDescent="0.25">
      <c r="K3240" s="3"/>
      <c r="BO3240">
        <v>0</v>
      </c>
      <c r="BP3240">
        <v>0</v>
      </c>
      <c r="BQ3240">
        <v>0</v>
      </c>
      <c r="BR3240">
        <v>0</v>
      </c>
      <c r="BS3240">
        <v>0</v>
      </c>
      <c r="BT3240">
        <v>0</v>
      </c>
      <c r="BU3240">
        <v>0</v>
      </c>
      <c r="BV3240">
        <v>0</v>
      </c>
      <c r="BW3240" t="s">
        <v>0</v>
      </c>
      <c r="BX3240">
        <v>0</v>
      </c>
      <c r="BY3240">
        <v>0</v>
      </c>
      <c r="BZ3240">
        <v>0</v>
      </c>
      <c r="CA3240">
        <v>0</v>
      </c>
      <c r="CB3240" t="s">
        <v>145</v>
      </c>
    </row>
    <row r="3241" spans="11:80" x14ac:dyDescent="0.25">
      <c r="K3241" s="3"/>
      <c r="BO3241">
        <v>0</v>
      </c>
      <c r="BP3241">
        <v>0</v>
      </c>
      <c r="BQ3241">
        <v>0</v>
      </c>
      <c r="BR3241">
        <v>0</v>
      </c>
      <c r="BS3241">
        <v>0</v>
      </c>
      <c r="BT3241">
        <v>0</v>
      </c>
      <c r="BU3241">
        <v>0</v>
      </c>
      <c r="BV3241">
        <v>0</v>
      </c>
      <c r="BW3241" t="s">
        <v>0</v>
      </c>
      <c r="BX3241">
        <v>0</v>
      </c>
      <c r="BY3241">
        <v>0</v>
      </c>
      <c r="BZ3241">
        <v>0</v>
      </c>
      <c r="CA3241">
        <v>0</v>
      </c>
      <c r="CB3241" t="s">
        <v>145</v>
      </c>
    </row>
    <row r="3242" spans="11:80" x14ac:dyDescent="0.25">
      <c r="K3242" s="3"/>
      <c r="BO3242">
        <v>0</v>
      </c>
      <c r="BP3242">
        <v>0</v>
      </c>
      <c r="BQ3242">
        <v>0</v>
      </c>
      <c r="BR3242">
        <v>0</v>
      </c>
      <c r="BS3242">
        <v>0</v>
      </c>
      <c r="BT3242">
        <v>0</v>
      </c>
      <c r="BU3242">
        <v>0</v>
      </c>
      <c r="BV3242">
        <v>0</v>
      </c>
      <c r="BW3242" t="s">
        <v>0</v>
      </c>
      <c r="BX3242">
        <v>0</v>
      </c>
      <c r="BY3242">
        <v>0</v>
      </c>
      <c r="BZ3242">
        <v>0</v>
      </c>
      <c r="CA3242">
        <v>0</v>
      </c>
      <c r="CB3242" t="s">
        <v>145</v>
      </c>
    </row>
    <row r="3243" spans="11:80" x14ac:dyDescent="0.25">
      <c r="K3243" s="3"/>
      <c r="BO3243">
        <v>0</v>
      </c>
      <c r="BP3243">
        <v>0</v>
      </c>
      <c r="BQ3243">
        <v>0</v>
      </c>
      <c r="BR3243">
        <v>0</v>
      </c>
      <c r="BS3243">
        <v>0</v>
      </c>
      <c r="BT3243">
        <v>0</v>
      </c>
      <c r="BU3243">
        <v>0</v>
      </c>
      <c r="BV3243">
        <v>0</v>
      </c>
      <c r="BW3243" t="s">
        <v>0</v>
      </c>
      <c r="BX3243">
        <v>0</v>
      </c>
      <c r="BY3243">
        <v>0</v>
      </c>
      <c r="BZ3243">
        <v>0</v>
      </c>
      <c r="CA3243">
        <v>0</v>
      </c>
      <c r="CB3243" t="s">
        <v>145</v>
      </c>
    </row>
    <row r="3244" spans="11:80" x14ac:dyDescent="0.25">
      <c r="K3244" s="3"/>
      <c r="BO3244">
        <v>0</v>
      </c>
      <c r="BP3244">
        <v>0</v>
      </c>
      <c r="BQ3244">
        <v>0</v>
      </c>
      <c r="BR3244">
        <v>0</v>
      </c>
      <c r="BS3244">
        <v>0</v>
      </c>
      <c r="BT3244">
        <v>0</v>
      </c>
      <c r="BU3244">
        <v>0</v>
      </c>
      <c r="BV3244">
        <v>0</v>
      </c>
      <c r="BW3244" t="s">
        <v>0</v>
      </c>
      <c r="BX3244">
        <v>0</v>
      </c>
      <c r="BY3244">
        <v>0</v>
      </c>
      <c r="BZ3244">
        <v>0</v>
      </c>
      <c r="CA3244">
        <v>0</v>
      </c>
      <c r="CB3244" t="s">
        <v>145</v>
      </c>
    </row>
    <row r="3245" spans="11:80" x14ac:dyDescent="0.25">
      <c r="K3245" s="3"/>
      <c r="BO3245">
        <v>0</v>
      </c>
      <c r="BP3245">
        <v>0</v>
      </c>
      <c r="BQ3245">
        <v>0</v>
      </c>
      <c r="BR3245">
        <v>0</v>
      </c>
      <c r="BS3245">
        <v>0</v>
      </c>
      <c r="BT3245">
        <v>0</v>
      </c>
      <c r="BU3245">
        <v>0</v>
      </c>
      <c r="BV3245">
        <v>0</v>
      </c>
      <c r="BW3245" t="s">
        <v>0</v>
      </c>
      <c r="BX3245">
        <v>0</v>
      </c>
      <c r="BY3245">
        <v>0</v>
      </c>
      <c r="BZ3245">
        <v>0</v>
      </c>
      <c r="CA3245">
        <v>0</v>
      </c>
      <c r="CB3245" t="s">
        <v>145</v>
      </c>
    </row>
    <row r="3246" spans="11:80" x14ac:dyDescent="0.25">
      <c r="K3246" s="3"/>
      <c r="BO3246">
        <v>0</v>
      </c>
      <c r="BP3246">
        <v>0</v>
      </c>
      <c r="BQ3246">
        <v>0</v>
      </c>
      <c r="BR3246">
        <v>0</v>
      </c>
      <c r="BS3246">
        <v>0</v>
      </c>
      <c r="BT3246">
        <v>0</v>
      </c>
      <c r="BU3246">
        <v>0</v>
      </c>
      <c r="BV3246">
        <v>0</v>
      </c>
      <c r="BW3246" t="s">
        <v>0</v>
      </c>
      <c r="BX3246">
        <v>0</v>
      </c>
      <c r="BY3246">
        <v>0</v>
      </c>
      <c r="BZ3246">
        <v>0</v>
      </c>
      <c r="CA3246">
        <v>0</v>
      </c>
      <c r="CB3246" t="s">
        <v>145</v>
      </c>
    </row>
    <row r="3247" spans="11:80" x14ac:dyDescent="0.25">
      <c r="K3247" s="3"/>
      <c r="BO3247">
        <v>0</v>
      </c>
      <c r="BP3247">
        <v>0</v>
      </c>
      <c r="BQ3247">
        <v>0</v>
      </c>
      <c r="BR3247">
        <v>0</v>
      </c>
      <c r="BS3247">
        <v>0</v>
      </c>
      <c r="BT3247">
        <v>0</v>
      </c>
      <c r="BU3247">
        <v>0</v>
      </c>
      <c r="BV3247">
        <v>0</v>
      </c>
      <c r="BW3247" t="s">
        <v>0</v>
      </c>
      <c r="BX3247">
        <v>0</v>
      </c>
      <c r="BY3247">
        <v>0</v>
      </c>
      <c r="BZ3247">
        <v>0</v>
      </c>
      <c r="CA3247">
        <v>0</v>
      </c>
      <c r="CB3247" t="s">
        <v>145</v>
      </c>
    </row>
    <row r="3248" spans="11:80" x14ac:dyDescent="0.25">
      <c r="BO3248">
        <v>0</v>
      </c>
      <c r="BP3248">
        <v>0</v>
      </c>
      <c r="BQ3248">
        <v>0</v>
      </c>
      <c r="BR3248">
        <v>0</v>
      </c>
      <c r="BS3248">
        <v>0</v>
      </c>
      <c r="BT3248">
        <v>0</v>
      </c>
      <c r="BU3248">
        <v>0</v>
      </c>
      <c r="BV3248">
        <v>0</v>
      </c>
      <c r="BW3248" t="s">
        <v>0</v>
      </c>
      <c r="BX3248">
        <v>0</v>
      </c>
      <c r="BY3248">
        <v>0</v>
      </c>
      <c r="BZ3248">
        <v>0</v>
      </c>
      <c r="CA3248">
        <v>0</v>
      </c>
      <c r="CB3248" t="s">
        <v>145</v>
      </c>
    </row>
    <row r="3249" spans="11:80" x14ac:dyDescent="0.25">
      <c r="K3249" s="3"/>
      <c r="BO3249">
        <v>0</v>
      </c>
      <c r="BP3249">
        <v>0</v>
      </c>
      <c r="BQ3249">
        <v>0</v>
      </c>
      <c r="BR3249">
        <v>0</v>
      </c>
      <c r="BS3249">
        <v>0</v>
      </c>
      <c r="BT3249">
        <v>0</v>
      </c>
      <c r="BU3249">
        <v>0</v>
      </c>
      <c r="BV3249">
        <v>0</v>
      </c>
      <c r="BW3249" t="s">
        <v>0</v>
      </c>
      <c r="BX3249">
        <v>0</v>
      </c>
      <c r="BY3249">
        <v>0</v>
      </c>
      <c r="BZ3249">
        <v>0</v>
      </c>
      <c r="CA3249">
        <v>0</v>
      </c>
      <c r="CB3249" t="s">
        <v>145</v>
      </c>
    </row>
    <row r="3250" spans="11:80" x14ac:dyDescent="0.25">
      <c r="K3250" s="3"/>
      <c r="BO3250">
        <v>0</v>
      </c>
      <c r="BP3250">
        <v>0</v>
      </c>
      <c r="BQ3250">
        <v>0</v>
      </c>
      <c r="BR3250">
        <v>0</v>
      </c>
      <c r="BS3250">
        <v>0</v>
      </c>
      <c r="BT3250">
        <v>0</v>
      </c>
      <c r="BU3250">
        <v>0</v>
      </c>
      <c r="BV3250">
        <v>0</v>
      </c>
      <c r="BW3250" t="s">
        <v>0</v>
      </c>
      <c r="BX3250">
        <v>0</v>
      </c>
      <c r="BY3250">
        <v>0</v>
      </c>
      <c r="BZ3250">
        <v>0</v>
      </c>
      <c r="CA3250">
        <v>0</v>
      </c>
      <c r="CB3250" t="s">
        <v>145</v>
      </c>
    </row>
    <row r="3251" spans="11:80" x14ac:dyDescent="0.25">
      <c r="K3251" s="3"/>
      <c r="BO3251">
        <v>0</v>
      </c>
      <c r="BP3251">
        <v>0</v>
      </c>
      <c r="BQ3251">
        <v>0</v>
      </c>
      <c r="BR3251">
        <v>0</v>
      </c>
      <c r="BS3251">
        <v>0</v>
      </c>
      <c r="BT3251">
        <v>0</v>
      </c>
      <c r="BU3251">
        <v>0</v>
      </c>
      <c r="BV3251">
        <v>0</v>
      </c>
      <c r="BW3251" t="s">
        <v>0</v>
      </c>
      <c r="BX3251">
        <v>0</v>
      </c>
      <c r="BY3251">
        <v>0</v>
      </c>
      <c r="BZ3251">
        <v>0</v>
      </c>
      <c r="CA3251">
        <v>0</v>
      </c>
      <c r="CB3251" t="s">
        <v>145</v>
      </c>
    </row>
    <row r="3252" spans="11:80" x14ac:dyDescent="0.25">
      <c r="K3252" s="3"/>
      <c r="BO3252">
        <v>0</v>
      </c>
      <c r="BP3252">
        <v>0</v>
      </c>
      <c r="BQ3252">
        <v>0</v>
      </c>
      <c r="BR3252">
        <v>0</v>
      </c>
      <c r="BS3252">
        <v>0</v>
      </c>
      <c r="BT3252">
        <v>0</v>
      </c>
      <c r="BU3252">
        <v>0</v>
      </c>
      <c r="BV3252">
        <v>0</v>
      </c>
      <c r="BW3252" t="s">
        <v>0</v>
      </c>
      <c r="BX3252">
        <v>0</v>
      </c>
      <c r="BY3252">
        <v>0</v>
      </c>
      <c r="BZ3252">
        <v>0</v>
      </c>
      <c r="CA3252">
        <v>0</v>
      </c>
      <c r="CB3252" t="s">
        <v>145</v>
      </c>
    </row>
    <row r="3253" spans="11:80" x14ac:dyDescent="0.25">
      <c r="K3253" s="3"/>
      <c r="BO3253">
        <v>0</v>
      </c>
      <c r="BP3253">
        <v>0</v>
      </c>
      <c r="BQ3253">
        <v>0</v>
      </c>
      <c r="BR3253">
        <v>0</v>
      </c>
      <c r="BS3253">
        <v>0</v>
      </c>
      <c r="BT3253">
        <v>0</v>
      </c>
      <c r="BU3253">
        <v>0</v>
      </c>
      <c r="BV3253">
        <v>0</v>
      </c>
      <c r="BW3253" t="s">
        <v>0</v>
      </c>
      <c r="BX3253">
        <v>0</v>
      </c>
      <c r="BY3253">
        <v>0</v>
      </c>
      <c r="BZ3253">
        <v>0</v>
      </c>
      <c r="CA3253">
        <v>0</v>
      </c>
      <c r="CB3253" t="s">
        <v>145</v>
      </c>
    </row>
    <row r="3254" spans="11:80" x14ac:dyDescent="0.25">
      <c r="K3254" s="3"/>
      <c r="BO3254">
        <v>0</v>
      </c>
      <c r="BP3254">
        <v>0</v>
      </c>
      <c r="BQ3254">
        <v>0</v>
      </c>
      <c r="BR3254">
        <v>0</v>
      </c>
      <c r="BS3254">
        <v>0</v>
      </c>
      <c r="BT3254">
        <v>0</v>
      </c>
      <c r="BU3254">
        <v>0</v>
      </c>
      <c r="BV3254">
        <v>0</v>
      </c>
      <c r="BW3254" t="s">
        <v>0</v>
      </c>
      <c r="BX3254">
        <v>0</v>
      </c>
      <c r="BY3254">
        <v>0</v>
      </c>
      <c r="BZ3254">
        <v>0</v>
      </c>
      <c r="CA3254">
        <v>0</v>
      </c>
      <c r="CB3254" t="s">
        <v>145</v>
      </c>
    </row>
    <row r="3255" spans="11:80" x14ac:dyDescent="0.25">
      <c r="K3255" s="3"/>
      <c r="BO3255">
        <v>0</v>
      </c>
      <c r="BP3255">
        <v>0</v>
      </c>
      <c r="BQ3255">
        <v>0</v>
      </c>
      <c r="BR3255">
        <v>0</v>
      </c>
      <c r="BS3255">
        <v>0</v>
      </c>
      <c r="BT3255">
        <v>0</v>
      </c>
      <c r="BU3255">
        <v>0</v>
      </c>
      <c r="BV3255">
        <v>0</v>
      </c>
      <c r="BW3255" t="s">
        <v>0</v>
      </c>
      <c r="BX3255">
        <v>0</v>
      </c>
      <c r="BY3255">
        <v>0</v>
      </c>
      <c r="BZ3255">
        <v>0</v>
      </c>
      <c r="CA3255">
        <v>0</v>
      </c>
      <c r="CB3255" t="s">
        <v>145</v>
      </c>
    </row>
    <row r="3256" spans="11:80" x14ac:dyDescent="0.25">
      <c r="BO3256">
        <v>0</v>
      </c>
      <c r="BP3256">
        <v>0</v>
      </c>
      <c r="BQ3256">
        <v>0</v>
      </c>
      <c r="BR3256">
        <v>0</v>
      </c>
      <c r="BS3256">
        <v>0</v>
      </c>
      <c r="BT3256">
        <v>0</v>
      </c>
      <c r="BU3256">
        <v>0</v>
      </c>
      <c r="BV3256">
        <v>0</v>
      </c>
      <c r="BW3256" t="s">
        <v>0</v>
      </c>
      <c r="BX3256">
        <v>0</v>
      </c>
      <c r="BY3256">
        <v>0</v>
      </c>
      <c r="BZ3256">
        <v>0</v>
      </c>
      <c r="CA3256">
        <v>0</v>
      </c>
      <c r="CB3256" t="s">
        <v>145</v>
      </c>
    </row>
    <row r="3257" spans="11:80" x14ac:dyDescent="0.25">
      <c r="BO3257">
        <v>0</v>
      </c>
      <c r="BP3257">
        <v>0</v>
      </c>
      <c r="BQ3257">
        <v>0</v>
      </c>
      <c r="BR3257">
        <v>0</v>
      </c>
      <c r="BS3257">
        <v>0</v>
      </c>
      <c r="BT3257">
        <v>0</v>
      </c>
      <c r="BU3257">
        <v>0</v>
      </c>
      <c r="BV3257">
        <v>0</v>
      </c>
      <c r="BW3257" t="s">
        <v>0</v>
      </c>
      <c r="BX3257">
        <v>0</v>
      </c>
      <c r="BY3257">
        <v>0</v>
      </c>
      <c r="BZ3257">
        <v>0</v>
      </c>
      <c r="CA3257">
        <v>0</v>
      </c>
      <c r="CB3257" t="s">
        <v>145</v>
      </c>
    </row>
    <row r="3258" spans="11:80" x14ac:dyDescent="0.25">
      <c r="BO3258">
        <v>0</v>
      </c>
      <c r="BP3258">
        <v>0</v>
      </c>
      <c r="BQ3258">
        <v>0</v>
      </c>
      <c r="BR3258">
        <v>0</v>
      </c>
      <c r="BS3258">
        <v>0</v>
      </c>
      <c r="BT3258">
        <v>0</v>
      </c>
      <c r="BU3258">
        <v>0</v>
      </c>
      <c r="BV3258">
        <v>0</v>
      </c>
      <c r="BW3258" t="s">
        <v>0</v>
      </c>
      <c r="BX3258">
        <v>0</v>
      </c>
      <c r="BY3258">
        <v>0</v>
      </c>
      <c r="BZ3258">
        <v>0</v>
      </c>
      <c r="CA3258">
        <v>0</v>
      </c>
      <c r="CB3258" t="s">
        <v>145</v>
      </c>
    </row>
    <row r="3259" spans="11:80" x14ac:dyDescent="0.25">
      <c r="BO3259">
        <v>0</v>
      </c>
      <c r="BP3259">
        <v>0</v>
      </c>
      <c r="BQ3259">
        <v>0</v>
      </c>
      <c r="BR3259">
        <v>0</v>
      </c>
      <c r="BS3259">
        <v>0</v>
      </c>
      <c r="BT3259">
        <v>0</v>
      </c>
      <c r="BU3259">
        <v>0</v>
      </c>
      <c r="BV3259">
        <v>0</v>
      </c>
      <c r="BW3259" t="s">
        <v>0</v>
      </c>
      <c r="BX3259">
        <v>0</v>
      </c>
      <c r="BY3259">
        <v>0</v>
      </c>
      <c r="BZ3259">
        <v>0</v>
      </c>
      <c r="CA3259">
        <v>0</v>
      </c>
      <c r="CB3259" t="s">
        <v>145</v>
      </c>
    </row>
    <row r="3260" spans="11:80" x14ac:dyDescent="0.25">
      <c r="BO3260">
        <v>0</v>
      </c>
      <c r="BP3260">
        <v>0</v>
      </c>
      <c r="BQ3260">
        <v>0</v>
      </c>
      <c r="BR3260">
        <v>0</v>
      </c>
      <c r="BS3260">
        <v>0</v>
      </c>
      <c r="BT3260">
        <v>0</v>
      </c>
      <c r="BU3260">
        <v>0</v>
      </c>
      <c r="BV3260">
        <v>0</v>
      </c>
      <c r="BW3260" t="s">
        <v>0</v>
      </c>
      <c r="BX3260">
        <v>0</v>
      </c>
      <c r="BY3260">
        <v>0</v>
      </c>
      <c r="BZ3260">
        <v>0</v>
      </c>
      <c r="CA3260">
        <v>0</v>
      </c>
      <c r="CB3260" t="s">
        <v>145</v>
      </c>
    </row>
    <row r="3261" spans="11:80" x14ac:dyDescent="0.25">
      <c r="BO3261">
        <v>0</v>
      </c>
      <c r="BP3261">
        <v>0</v>
      </c>
      <c r="BQ3261">
        <v>0</v>
      </c>
      <c r="BR3261">
        <v>0</v>
      </c>
      <c r="BS3261">
        <v>0</v>
      </c>
      <c r="BT3261">
        <v>0</v>
      </c>
      <c r="BU3261">
        <v>0</v>
      </c>
      <c r="BV3261">
        <v>0</v>
      </c>
      <c r="BW3261" t="s">
        <v>0</v>
      </c>
      <c r="BX3261">
        <v>0</v>
      </c>
      <c r="BY3261">
        <v>0</v>
      </c>
      <c r="BZ3261">
        <v>0</v>
      </c>
      <c r="CA3261">
        <v>0</v>
      </c>
      <c r="CB3261" t="s">
        <v>145</v>
      </c>
    </row>
    <row r="3262" spans="11:80" x14ac:dyDescent="0.25">
      <c r="BO3262">
        <v>0</v>
      </c>
      <c r="BP3262">
        <v>0</v>
      </c>
      <c r="BQ3262">
        <v>0</v>
      </c>
      <c r="BR3262">
        <v>0</v>
      </c>
      <c r="BS3262">
        <v>0</v>
      </c>
      <c r="BT3262">
        <v>0</v>
      </c>
      <c r="BU3262">
        <v>0</v>
      </c>
      <c r="BV3262">
        <v>0</v>
      </c>
      <c r="BW3262" t="s">
        <v>0</v>
      </c>
      <c r="BX3262">
        <v>0</v>
      </c>
      <c r="BY3262">
        <v>0</v>
      </c>
      <c r="BZ3262">
        <v>0</v>
      </c>
      <c r="CA3262">
        <v>0</v>
      </c>
      <c r="CB3262" t="s">
        <v>145</v>
      </c>
    </row>
    <row r="3263" spans="11:80" x14ac:dyDescent="0.25">
      <c r="BO3263">
        <v>0</v>
      </c>
      <c r="BP3263">
        <v>0</v>
      </c>
      <c r="BQ3263">
        <v>0</v>
      </c>
      <c r="BR3263">
        <v>0</v>
      </c>
      <c r="BS3263">
        <v>0</v>
      </c>
      <c r="BT3263">
        <v>0</v>
      </c>
      <c r="BU3263">
        <v>0</v>
      </c>
      <c r="BV3263">
        <v>0</v>
      </c>
      <c r="BW3263" t="s">
        <v>0</v>
      </c>
      <c r="BX3263">
        <v>0</v>
      </c>
      <c r="BY3263">
        <v>0</v>
      </c>
      <c r="BZ3263">
        <v>0</v>
      </c>
      <c r="CA3263">
        <v>0</v>
      </c>
      <c r="CB3263" t="s">
        <v>145</v>
      </c>
    </row>
    <row r="3264" spans="11:80" x14ac:dyDescent="0.25">
      <c r="BO3264">
        <v>0</v>
      </c>
      <c r="BP3264">
        <v>0</v>
      </c>
      <c r="BQ3264">
        <v>0</v>
      </c>
      <c r="BR3264">
        <v>0</v>
      </c>
      <c r="BS3264">
        <v>0</v>
      </c>
      <c r="BT3264">
        <v>0</v>
      </c>
      <c r="BU3264">
        <v>0</v>
      </c>
      <c r="BV3264">
        <v>0</v>
      </c>
      <c r="BW3264" t="s">
        <v>0</v>
      </c>
      <c r="BX3264">
        <v>0</v>
      </c>
      <c r="BY3264">
        <v>0</v>
      </c>
      <c r="BZ3264">
        <v>0</v>
      </c>
      <c r="CA3264">
        <v>0</v>
      </c>
      <c r="CB3264" t="s">
        <v>145</v>
      </c>
    </row>
    <row r="3265" spans="67:80" x14ac:dyDescent="0.25">
      <c r="BO3265">
        <v>0</v>
      </c>
      <c r="BP3265">
        <v>0</v>
      </c>
      <c r="BQ3265">
        <v>0</v>
      </c>
      <c r="BR3265">
        <v>0</v>
      </c>
      <c r="BS3265">
        <v>0</v>
      </c>
      <c r="BT3265">
        <v>0</v>
      </c>
      <c r="BU3265">
        <v>0</v>
      </c>
      <c r="BV3265">
        <v>0</v>
      </c>
      <c r="BW3265" t="s">
        <v>0</v>
      </c>
      <c r="BX3265">
        <v>0</v>
      </c>
      <c r="BY3265">
        <v>0</v>
      </c>
      <c r="BZ3265">
        <v>0</v>
      </c>
      <c r="CA3265">
        <v>0</v>
      </c>
      <c r="CB3265" t="s">
        <v>145</v>
      </c>
    </row>
    <row r="3266" spans="67:80" x14ac:dyDescent="0.25">
      <c r="BO3266">
        <v>0</v>
      </c>
      <c r="BP3266">
        <v>0</v>
      </c>
      <c r="BQ3266">
        <v>0</v>
      </c>
      <c r="BR3266">
        <v>0</v>
      </c>
      <c r="BS3266">
        <v>0</v>
      </c>
      <c r="BT3266">
        <v>0</v>
      </c>
      <c r="BU3266">
        <v>0</v>
      </c>
      <c r="BV3266">
        <v>0</v>
      </c>
      <c r="BW3266" t="s">
        <v>0</v>
      </c>
      <c r="BX3266">
        <v>0</v>
      </c>
      <c r="BY3266">
        <v>0</v>
      </c>
      <c r="BZ3266">
        <v>0</v>
      </c>
      <c r="CA3266">
        <v>0</v>
      </c>
      <c r="CB3266" t="s">
        <v>145</v>
      </c>
    </row>
    <row r="3267" spans="67:80" x14ac:dyDescent="0.25">
      <c r="BO3267">
        <v>0</v>
      </c>
      <c r="BP3267">
        <v>0</v>
      </c>
      <c r="BQ3267">
        <v>0</v>
      </c>
      <c r="BR3267">
        <v>0</v>
      </c>
      <c r="BS3267">
        <v>0</v>
      </c>
      <c r="BT3267">
        <v>0</v>
      </c>
      <c r="BU3267">
        <v>0</v>
      </c>
      <c r="BV3267">
        <v>0</v>
      </c>
      <c r="BW3267" t="s">
        <v>0</v>
      </c>
      <c r="BX3267">
        <v>0</v>
      </c>
      <c r="BY3267">
        <v>0</v>
      </c>
      <c r="BZ3267">
        <v>0</v>
      </c>
      <c r="CA3267">
        <v>0</v>
      </c>
      <c r="CB3267" t="s">
        <v>145</v>
      </c>
    </row>
    <row r="3268" spans="67:80" x14ac:dyDescent="0.25">
      <c r="BO3268">
        <v>0</v>
      </c>
      <c r="BP3268">
        <v>0</v>
      </c>
      <c r="BQ3268">
        <v>0</v>
      </c>
      <c r="BR3268">
        <v>0</v>
      </c>
      <c r="BS3268">
        <v>0</v>
      </c>
      <c r="BT3268">
        <v>0</v>
      </c>
      <c r="BU3268">
        <v>0</v>
      </c>
      <c r="BV3268">
        <v>0</v>
      </c>
      <c r="BW3268" t="s">
        <v>0</v>
      </c>
      <c r="BX3268">
        <v>0</v>
      </c>
      <c r="BY3268">
        <v>0</v>
      </c>
      <c r="BZ3268">
        <v>0</v>
      </c>
      <c r="CA3268">
        <v>0</v>
      </c>
      <c r="CB3268" t="s">
        <v>145</v>
      </c>
    </row>
    <row r="3269" spans="67:80" x14ac:dyDescent="0.25">
      <c r="BO3269">
        <v>0</v>
      </c>
      <c r="BP3269">
        <v>0</v>
      </c>
      <c r="BQ3269">
        <v>0</v>
      </c>
      <c r="BR3269">
        <v>0</v>
      </c>
      <c r="BS3269">
        <v>0</v>
      </c>
      <c r="BT3269">
        <v>0</v>
      </c>
      <c r="BU3269">
        <v>0</v>
      </c>
      <c r="BV3269">
        <v>0</v>
      </c>
      <c r="BW3269" t="s">
        <v>0</v>
      </c>
      <c r="BX3269">
        <v>0</v>
      </c>
      <c r="BY3269">
        <v>0</v>
      </c>
      <c r="BZ3269">
        <v>0</v>
      </c>
      <c r="CA3269">
        <v>0</v>
      </c>
      <c r="CB3269" t="s">
        <v>145</v>
      </c>
    </row>
    <row r="3270" spans="67:80" x14ac:dyDescent="0.25">
      <c r="BO3270">
        <v>0</v>
      </c>
      <c r="BP3270">
        <v>0</v>
      </c>
      <c r="BQ3270">
        <v>0</v>
      </c>
      <c r="BR3270">
        <v>0</v>
      </c>
      <c r="BS3270">
        <v>0</v>
      </c>
      <c r="BT3270">
        <v>0</v>
      </c>
      <c r="BU3270">
        <v>0</v>
      </c>
      <c r="BV3270">
        <v>0</v>
      </c>
      <c r="BW3270" t="s">
        <v>0</v>
      </c>
      <c r="BX3270">
        <v>0</v>
      </c>
      <c r="BY3270">
        <v>0</v>
      </c>
      <c r="BZ3270">
        <v>0</v>
      </c>
      <c r="CA3270">
        <v>0</v>
      </c>
      <c r="CB3270" t="s">
        <v>145</v>
      </c>
    </row>
    <row r="3271" spans="67:80" x14ac:dyDescent="0.25">
      <c r="BO3271">
        <v>0</v>
      </c>
      <c r="BP3271">
        <v>0</v>
      </c>
      <c r="BQ3271">
        <v>0</v>
      </c>
      <c r="BR3271">
        <v>0</v>
      </c>
      <c r="BS3271">
        <v>0</v>
      </c>
      <c r="BT3271">
        <v>0</v>
      </c>
      <c r="BU3271">
        <v>0</v>
      </c>
      <c r="BV3271">
        <v>0</v>
      </c>
      <c r="BW3271" t="s">
        <v>0</v>
      </c>
      <c r="BX3271">
        <v>0</v>
      </c>
      <c r="BY3271">
        <v>0</v>
      </c>
      <c r="BZ3271">
        <v>0</v>
      </c>
      <c r="CA3271">
        <v>0</v>
      </c>
      <c r="CB3271" t="s">
        <v>145</v>
      </c>
    </row>
    <row r="3272" spans="67:80" x14ac:dyDescent="0.25">
      <c r="BO3272">
        <v>0</v>
      </c>
      <c r="BP3272">
        <v>0</v>
      </c>
      <c r="BQ3272">
        <v>0</v>
      </c>
      <c r="BR3272">
        <v>0</v>
      </c>
      <c r="BS3272">
        <v>0</v>
      </c>
      <c r="BT3272">
        <v>0</v>
      </c>
      <c r="BU3272">
        <v>0</v>
      </c>
      <c r="BV3272">
        <v>0</v>
      </c>
      <c r="BW3272" t="s">
        <v>0</v>
      </c>
      <c r="BX3272">
        <v>0</v>
      </c>
      <c r="BY3272">
        <v>0</v>
      </c>
      <c r="BZ3272">
        <v>0</v>
      </c>
      <c r="CA3272">
        <v>0</v>
      </c>
      <c r="CB3272" t="s">
        <v>145</v>
      </c>
    </row>
    <row r="3273" spans="67:80" x14ac:dyDescent="0.25">
      <c r="BO3273">
        <v>0</v>
      </c>
      <c r="BP3273">
        <v>0</v>
      </c>
      <c r="BQ3273">
        <v>0</v>
      </c>
      <c r="BR3273">
        <v>0</v>
      </c>
      <c r="BS3273">
        <v>0</v>
      </c>
      <c r="BT3273">
        <v>0</v>
      </c>
      <c r="BU3273">
        <v>0</v>
      </c>
      <c r="BV3273">
        <v>0</v>
      </c>
      <c r="BW3273" t="s">
        <v>0</v>
      </c>
      <c r="BX3273">
        <v>0</v>
      </c>
      <c r="BY3273">
        <v>0</v>
      </c>
      <c r="BZ3273">
        <v>0</v>
      </c>
      <c r="CA3273">
        <v>0</v>
      </c>
      <c r="CB3273" t="s">
        <v>145</v>
      </c>
    </row>
    <row r="3274" spans="67:80" x14ac:dyDescent="0.25">
      <c r="BO3274">
        <v>0</v>
      </c>
      <c r="BP3274">
        <v>0</v>
      </c>
      <c r="BQ3274">
        <v>0</v>
      </c>
      <c r="BR3274">
        <v>0</v>
      </c>
      <c r="BS3274">
        <v>0</v>
      </c>
      <c r="BT3274">
        <v>0</v>
      </c>
      <c r="BU3274">
        <v>0</v>
      </c>
      <c r="BV3274">
        <v>0</v>
      </c>
      <c r="BW3274" t="s">
        <v>0</v>
      </c>
      <c r="BX3274">
        <v>0</v>
      </c>
      <c r="BY3274">
        <v>0</v>
      </c>
      <c r="BZ3274">
        <v>0</v>
      </c>
      <c r="CA3274">
        <v>0</v>
      </c>
      <c r="CB3274" t="s">
        <v>145</v>
      </c>
    </row>
    <row r="3275" spans="67:80" x14ac:dyDescent="0.25">
      <c r="BO3275">
        <v>0</v>
      </c>
      <c r="BP3275">
        <v>0</v>
      </c>
      <c r="BQ3275">
        <v>0</v>
      </c>
      <c r="BR3275">
        <v>0</v>
      </c>
      <c r="BS3275">
        <v>0</v>
      </c>
      <c r="BT3275">
        <v>0</v>
      </c>
      <c r="BU3275">
        <v>0</v>
      </c>
      <c r="BV3275">
        <v>0</v>
      </c>
      <c r="BW3275" t="s">
        <v>0</v>
      </c>
      <c r="BX3275">
        <v>0</v>
      </c>
      <c r="BY3275">
        <v>0</v>
      </c>
      <c r="BZ3275">
        <v>0</v>
      </c>
      <c r="CA3275">
        <v>0</v>
      </c>
      <c r="CB3275" t="s">
        <v>145</v>
      </c>
    </row>
    <row r="3276" spans="67:80" x14ac:dyDescent="0.25">
      <c r="BO3276">
        <v>0</v>
      </c>
      <c r="BP3276">
        <v>0</v>
      </c>
      <c r="BQ3276">
        <v>0</v>
      </c>
      <c r="BR3276">
        <v>0</v>
      </c>
      <c r="BS3276">
        <v>0</v>
      </c>
      <c r="BT3276">
        <v>0</v>
      </c>
      <c r="BU3276">
        <v>0</v>
      </c>
      <c r="BV3276">
        <v>0</v>
      </c>
      <c r="BW3276" t="s">
        <v>0</v>
      </c>
      <c r="BX3276">
        <v>0</v>
      </c>
      <c r="BY3276">
        <v>0</v>
      </c>
      <c r="BZ3276">
        <v>0</v>
      </c>
      <c r="CA3276">
        <v>0</v>
      </c>
      <c r="CB3276" t="s">
        <v>145</v>
      </c>
    </row>
    <row r="3277" spans="67:80" x14ac:dyDescent="0.25">
      <c r="BO3277">
        <v>0</v>
      </c>
      <c r="BP3277">
        <v>0</v>
      </c>
      <c r="BQ3277">
        <v>0</v>
      </c>
      <c r="BR3277">
        <v>0</v>
      </c>
      <c r="BS3277">
        <v>0</v>
      </c>
      <c r="BT3277">
        <v>0</v>
      </c>
      <c r="BU3277">
        <v>0</v>
      </c>
      <c r="BV3277">
        <v>0</v>
      </c>
      <c r="BW3277" t="s">
        <v>0</v>
      </c>
      <c r="BX3277">
        <v>0</v>
      </c>
      <c r="BY3277">
        <v>0</v>
      </c>
      <c r="BZ3277">
        <v>0</v>
      </c>
      <c r="CA3277">
        <v>0</v>
      </c>
      <c r="CB3277" t="s">
        <v>145</v>
      </c>
    </row>
    <row r="3278" spans="67:80" x14ac:dyDescent="0.25">
      <c r="BO3278">
        <v>0</v>
      </c>
      <c r="BP3278">
        <v>0</v>
      </c>
      <c r="BQ3278">
        <v>0</v>
      </c>
      <c r="BR3278">
        <v>0</v>
      </c>
      <c r="BS3278">
        <v>0</v>
      </c>
      <c r="BT3278">
        <v>0</v>
      </c>
      <c r="BU3278">
        <v>0</v>
      </c>
      <c r="BV3278">
        <v>0</v>
      </c>
      <c r="BW3278" t="s">
        <v>0</v>
      </c>
      <c r="BX3278">
        <v>0</v>
      </c>
      <c r="BY3278">
        <v>0</v>
      </c>
      <c r="BZ3278">
        <v>0</v>
      </c>
      <c r="CA3278">
        <v>0</v>
      </c>
      <c r="CB3278" t="s">
        <v>145</v>
      </c>
    </row>
    <row r="3279" spans="67:80" x14ac:dyDescent="0.25">
      <c r="BO3279">
        <v>0</v>
      </c>
      <c r="BP3279">
        <v>0</v>
      </c>
      <c r="BQ3279">
        <v>0</v>
      </c>
      <c r="BR3279">
        <v>0</v>
      </c>
      <c r="BS3279">
        <v>0</v>
      </c>
      <c r="BT3279">
        <v>0</v>
      </c>
      <c r="BU3279">
        <v>0</v>
      </c>
      <c r="BV3279">
        <v>0</v>
      </c>
      <c r="BW3279" t="s">
        <v>0</v>
      </c>
      <c r="BX3279">
        <v>0</v>
      </c>
      <c r="BY3279">
        <v>0</v>
      </c>
      <c r="BZ3279">
        <v>0</v>
      </c>
      <c r="CA3279">
        <v>0</v>
      </c>
      <c r="CB3279" t="s">
        <v>145</v>
      </c>
    </row>
    <row r="3280" spans="67:80" x14ac:dyDescent="0.25">
      <c r="BO3280">
        <v>0</v>
      </c>
      <c r="BP3280">
        <v>0</v>
      </c>
      <c r="BQ3280">
        <v>0</v>
      </c>
      <c r="BR3280">
        <v>0</v>
      </c>
      <c r="BS3280">
        <v>0</v>
      </c>
      <c r="BT3280">
        <v>0</v>
      </c>
      <c r="BU3280">
        <v>0</v>
      </c>
      <c r="BV3280">
        <v>0</v>
      </c>
      <c r="BW3280" t="s">
        <v>0</v>
      </c>
      <c r="BX3280">
        <v>0</v>
      </c>
      <c r="BY3280">
        <v>0</v>
      </c>
      <c r="BZ3280">
        <v>0</v>
      </c>
      <c r="CA3280">
        <v>0</v>
      </c>
      <c r="CB3280" t="s">
        <v>145</v>
      </c>
    </row>
    <row r="3281" spans="67:80" x14ac:dyDescent="0.25">
      <c r="BO3281">
        <v>0</v>
      </c>
      <c r="BP3281">
        <v>0</v>
      </c>
      <c r="BQ3281">
        <v>0</v>
      </c>
      <c r="BR3281">
        <v>0</v>
      </c>
      <c r="BS3281">
        <v>0</v>
      </c>
      <c r="BT3281">
        <v>0</v>
      </c>
      <c r="BU3281">
        <v>0</v>
      </c>
      <c r="BV3281">
        <v>0</v>
      </c>
      <c r="BW3281" t="s">
        <v>0</v>
      </c>
      <c r="BX3281">
        <v>0</v>
      </c>
      <c r="BY3281">
        <v>0</v>
      </c>
      <c r="BZ3281">
        <v>0</v>
      </c>
      <c r="CA3281">
        <v>0</v>
      </c>
      <c r="CB3281" t="s">
        <v>145</v>
      </c>
    </row>
    <row r="3282" spans="67:80" x14ac:dyDescent="0.25">
      <c r="BO3282">
        <v>0</v>
      </c>
      <c r="BP3282">
        <v>0</v>
      </c>
      <c r="BQ3282">
        <v>0</v>
      </c>
      <c r="BR3282">
        <v>0</v>
      </c>
      <c r="BS3282">
        <v>0</v>
      </c>
      <c r="BT3282">
        <v>0</v>
      </c>
      <c r="BU3282">
        <v>0</v>
      </c>
      <c r="BV3282">
        <v>0</v>
      </c>
      <c r="BW3282" t="s">
        <v>0</v>
      </c>
      <c r="BX3282">
        <v>0</v>
      </c>
      <c r="BY3282">
        <v>0</v>
      </c>
      <c r="BZ3282">
        <v>0</v>
      </c>
      <c r="CA3282">
        <v>0</v>
      </c>
      <c r="CB3282" t="s">
        <v>145</v>
      </c>
    </row>
    <row r="3283" spans="67:80" x14ac:dyDescent="0.25">
      <c r="BO3283">
        <v>0</v>
      </c>
      <c r="BP3283">
        <v>0</v>
      </c>
      <c r="BQ3283">
        <v>0</v>
      </c>
      <c r="BR3283">
        <v>0</v>
      </c>
      <c r="BS3283">
        <v>0</v>
      </c>
      <c r="BT3283">
        <v>0</v>
      </c>
      <c r="BU3283">
        <v>0</v>
      </c>
      <c r="BV3283">
        <v>0</v>
      </c>
      <c r="BW3283" t="s">
        <v>0</v>
      </c>
      <c r="BX3283">
        <v>0</v>
      </c>
      <c r="BY3283">
        <v>0</v>
      </c>
      <c r="BZ3283">
        <v>0</v>
      </c>
      <c r="CA3283">
        <v>0</v>
      </c>
      <c r="CB3283" t="s">
        <v>145</v>
      </c>
    </row>
    <row r="3284" spans="67:80" x14ac:dyDescent="0.25">
      <c r="BO3284">
        <v>0</v>
      </c>
      <c r="BP3284">
        <v>0</v>
      </c>
      <c r="BQ3284">
        <v>0</v>
      </c>
      <c r="BR3284">
        <v>0</v>
      </c>
      <c r="BS3284">
        <v>0</v>
      </c>
      <c r="BT3284">
        <v>0</v>
      </c>
      <c r="BU3284">
        <v>0</v>
      </c>
      <c r="BV3284">
        <v>0</v>
      </c>
      <c r="BW3284" t="s">
        <v>0</v>
      </c>
      <c r="BX3284">
        <v>0</v>
      </c>
      <c r="BY3284">
        <v>0</v>
      </c>
      <c r="BZ3284">
        <v>0</v>
      </c>
      <c r="CA3284">
        <v>0</v>
      </c>
      <c r="CB3284" t="s">
        <v>145</v>
      </c>
    </row>
    <row r="3285" spans="67:80" x14ac:dyDescent="0.25">
      <c r="BO3285">
        <v>0</v>
      </c>
      <c r="BP3285">
        <v>0</v>
      </c>
      <c r="BQ3285">
        <v>0</v>
      </c>
      <c r="BR3285">
        <v>0</v>
      </c>
      <c r="BS3285">
        <v>0</v>
      </c>
      <c r="BT3285">
        <v>0</v>
      </c>
      <c r="BU3285">
        <v>0</v>
      </c>
      <c r="BV3285">
        <v>0</v>
      </c>
      <c r="BW3285" t="s">
        <v>0</v>
      </c>
      <c r="BX3285">
        <v>0</v>
      </c>
      <c r="BY3285">
        <v>0</v>
      </c>
      <c r="BZ3285">
        <v>0</v>
      </c>
      <c r="CA3285">
        <v>0</v>
      </c>
      <c r="CB3285" t="s">
        <v>145</v>
      </c>
    </row>
    <row r="3286" spans="67:80" x14ac:dyDescent="0.25">
      <c r="BO3286">
        <v>0</v>
      </c>
      <c r="BP3286">
        <v>0</v>
      </c>
      <c r="BQ3286">
        <v>0</v>
      </c>
      <c r="BR3286">
        <v>0</v>
      </c>
      <c r="BS3286">
        <v>0</v>
      </c>
      <c r="BT3286">
        <v>0</v>
      </c>
      <c r="BU3286">
        <v>0</v>
      </c>
      <c r="BV3286">
        <v>0</v>
      </c>
      <c r="BW3286" t="s">
        <v>0</v>
      </c>
      <c r="BX3286">
        <v>0</v>
      </c>
      <c r="BY3286">
        <v>0</v>
      </c>
      <c r="BZ3286">
        <v>0</v>
      </c>
      <c r="CA3286">
        <v>0</v>
      </c>
      <c r="CB3286" t="s">
        <v>145</v>
      </c>
    </row>
    <row r="3287" spans="67:80" x14ac:dyDescent="0.25">
      <c r="BO3287">
        <v>0</v>
      </c>
      <c r="BP3287">
        <v>0</v>
      </c>
      <c r="BQ3287">
        <v>0</v>
      </c>
      <c r="BR3287">
        <v>0</v>
      </c>
      <c r="BS3287">
        <v>0</v>
      </c>
      <c r="BT3287">
        <v>0</v>
      </c>
      <c r="BU3287">
        <v>0</v>
      </c>
      <c r="BV3287">
        <v>0</v>
      </c>
      <c r="BW3287" t="s">
        <v>0</v>
      </c>
      <c r="BX3287">
        <v>0</v>
      </c>
      <c r="BY3287">
        <v>0</v>
      </c>
      <c r="BZ3287">
        <v>0</v>
      </c>
      <c r="CA3287">
        <v>0</v>
      </c>
      <c r="CB3287" t="s">
        <v>145</v>
      </c>
    </row>
    <row r="3288" spans="67:80" x14ac:dyDescent="0.25">
      <c r="BO3288">
        <v>0</v>
      </c>
      <c r="BP3288">
        <v>0</v>
      </c>
      <c r="BQ3288">
        <v>0</v>
      </c>
      <c r="BR3288">
        <v>0</v>
      </c>
      <c r="BS3288">
        <v>0</v>
      </c>
      <c r="BT3288">
        <v>0</v>
      </c>
      <c r="BU3288">
        <v>0</v>
      </c>
      <c r="BV3288">
        <v>0</v>
      </c>
      <c r="BW3288" t="s">
        <v>0</v>
      </c>
      <c r="BX3288">
        <v>0</v>
      </c>
      <c r="BY3288">
        <v>0</v>
      </c>
      <c r="BZ3288">
        <v>0</v>
      </c>
      <c r="CA3288">
        <v>0</v>
      </c>
      <c r="CB3288" t="s">
        <v>145</v>
      </c>
    </row>
    <row r="3289" spans="67:80" x14ac:dyDescent="0.25">
      <c r="BO3289">
        <v>0</v>
      </c>
      <c r="BP3289">
        <v>0</v>
      </c>
      <c r="BQ3289">
        <v>0</v>
      </c>
      <c r="BR3289">
        <v>0</v>
      </c>
      <c r="BS3289">
        <v>0</v>
      </c>
      <c r="BT3289">
        <v>0</v>
      </c>
      <c r="BU3289">
        <v>0</v>
      </c>
      <c r="BV3289">
        <v>0</v>
      </c>
      <c r="BW3289" t="s">
        <v>0</v>
      </c>
      <c r="BX3289">
        <v>0</v>
      </c>
      <c r="BY3289">
        <v>0</v>
      </c>
      <c r="BZ3289">
        <v>0</v>
      </c>
      <c r="CA3289">
        <v>0</v>
      </c>
      <c r="CB3289" t="s">
        <v>145</v>
      </c>
    </row>
    <row r="3290" spans="67:80" x14ac:dyDescent="0.25">
      <c r="BO3290">
        <v>0</v>
      </c>
      <c r="BP3290">
        <v>0</v>
      </c>
      <c r="BQ3290">
        <v>0</v>
      </c>
      <c r="BR3290">
        <v>0</v>
      </c>
      <c r="BS3290">
        <v>0</v>
      </c>
      <c r="BT3290">
        <v>0</v>
      </c>
      <c r="BU3290">
        <v>0</v>
      </c>
      <c r="BV3290">
        <v>0</v>
      </c>
      <c r="BW3290" t="s">
        <v>0</v>
      </c>
      <c r="BX3290">
        <v>0</v>
      </c>
      <c r="BY3290">
        <v>0</v>
      </c>
      <c r="BZ3290">
        <v>0</v>
      </c>
      <c r="CA3290">
        <v>0</v>
      </c>
      <c r="CB3290" t="s">
        <v>145</v>
      </c>
    </row>
    <row r="3291" spans="67:80" x14ac:dyDescent="0.25">
      <c r="BO3291">
        <v>0</v>
      </c>
      <c r="BP3291">
        <v>0</v>
      </c>
      <c r="BQ3291">
        <v>0</v>
      </c>
      <c r="BR3291">
        <v>0</v>
      </c>
      <c r="BS3291">
        <v>0</v>
      </c>
      <c r="BT3291">
        <v>0</v>
      </c>
      <c r="BU3291">
        <v>0</v>
      </c>
      <c r="BV3291">
        <v>0</v>
      </c>
      <c r="BW3291" t="s">
        <v>0</v>
      </c>
      <c r="BX3291">
        <v>0</v>
      </c>
      <c r="BY3291">
        <v>0</v>
      </c>
      <c r="BZ3291">
        <v>0</v>
      </c>
      <c r="CA3291">
        <v>0</v>
      </c>
      <c r="CB3291" t="s">
        <v>145</v>
      </c>
    </row>
    <row r="3292" spans="67:80" x14ac:dyDescent="0.25">
      <c r="BO3292">
        <v>0</v>
      </c>
      <c r="BP3292">
        <v>0</v>
      </c>
      <c r="BQ3292">
        <v>0</v>
      </c>
      <c r="BR3292">
        <v>0</v>
      </c>
      <c r="BS3292">
        <v>0</v>
      </c>
      <c r="BT3292">
        <v>0</v>
      </c>
      <c r="BU3292">
        <v>0</v>
      </c>
      <c r="BV3292">
        <v>0</v>
      </c>
      <c r="BW3292" t="s">
        <v>0</v>
      </c>
      <c r="BX3292">
        <v>0</v>
      </c>
      <c r="BY3292">
        <v>0</v>
      </c>
      <c r="BZ3292">
        <v>0</v>
      </c>
      <c r="CA3292">
        <v>0</v>
      </c>
      <c r="CB3292" t="s">
        <v>145</v>
      </c>
    </row>
    <row r="3293" spans="67:80" x14ac:dyDescent="0.25">
      <c r="BO3293">
        <v>0</v>
      </c>
      <c r="BP3293">
        <v>0</v>
      </c>
      <c r="BQ3293">
        <v>0</v>
      </c>
      <c r="BR3293">
        <v>0</v>
      </c>
      <c r="BS3293">
        <v>0</v>
      </c>
      <c r="BT3293">
        <v>0</v>
      </c>
      <c r="BU3293">
        <v>0</v>
      </c>
      <c r="BV3293">
        <v>0</v>
      </c>
      <c r="BW3293" t="s">
        <v>0</v>
      </c>
      <c r="BX3293">
        <v>0</v>
      </c>
      <c r="BY3293">
        <v>0</v>
      </c>
      <c r="BZ3293">
        <v>0</v>
      </c>
      <c r="CA3293">
        <v>0</v>
      </c>
      <c r="CB3293" t="s">
        <v>145</v>
      </c>
    </row>
    <row r="3294" spans="67:80" x14ac:dyDescent="0.25">
      <c r="BO3294">
        <v>0</v>
      </c>
      <c r="BP3294">
        <v>0</v>
      </c>
      <c r="BQ3294">
        <v>0</v>
      </c>
      <c r="BR3294">
        <v>0</v>
      </c>
      <c r="BS3294">
        <v>0</v>
      </c>
      <c r="BT3294">
        <v>0</v>
      </c>
      <c r="BU3294">
        <v>0</v>
      </c>
      <c r="BV3294">
        <v>0</v>
      </c>
      <c r="BW3294" t="s">
        <v>0</v>
      </c>
      <c r="BX3294">
        <v>0</v>
      </c>
      <c r="BY3294">
        <v>0</v>
      </c>
      <c r="BZ3294">
        <v>0</v>
      </c>
      <c r="CA3294">
        <v>0</v>
      </c>
      <c r="CB3294" t="s">
        <v>145</v>
      </c>
    </row>
    <row r="3295" spans="67:80" x14ac:dyDescent="0.25">
      <c r="BO3295">
        <v>0</v>
      </c>
      <c r="BP3295">
        <v>0</v>
      </c>
      <c r="BQ3295">
        <v>0</v>
      </c>
      <c r="BR3295">
        <v>0</v>
      </c>
      <c r="BS3295">
        <v>0</v>
      </c>
      <c r="BT3295">
        <v>0</v>
      </c>
      <c r="BU3295">
        <v>0</v>
      </c>
      <c r="BV3295">
        <v>0</v>
      </c>
      <c r="BW3295" t="s">
        <v>0</v>
      </c>
      <c r="BX3295">
        <v>0</v>
      </c>
      <c r="BY3295">
        <v>0</v>
      </c>
      <c r="BZ3295">
        <v>0</v>
      </c>
      <c r="CA3295">
        <v>0</v>
      </c>
      <c r="CB3295" t="s">
        <v>145</v>
      </c>
    </row>
    <row r="3296" spans="67:80" x14ac:dyDescent="0.25">
      <c r="BO3296">
        <v>0</v>
      </c>
      <c r="BP3296">
        <v>0</v>
      </c>
      <c r="BQ3296">
        <v>0</v>
      </c>
      <c r="BR3296">
        <v>0</v>
      </c>
      <c r="BS3296">
        <v>0</v>
      </c>
      <c r="BT3296">
        <v>0</v>
      </c>
      <c r="BU3296">
        <v>0</v>
      </c>
      <c r="BV3296">
        <v>0</v>
      </c>
      <c r="BW3296" t="s">
        <v>0</v>
      </c>
      <c r="BX3296">
        <v>0</v>
      </c>
      <c r="BY3296">
        <v>0</v>
      </c>
      <c r="BZ3296">
        <v>0</v>
      </c>
      <c r="CA3296">
        <v>0</v>
      </c>
      <c r="CB3296" t="s">
        <v>145</v>
      </c>
    </row>
    <row r="3297" spans="67:80" x14ac:dyDescent="0.25">
      <c r="BO3297">
        <v>0</v>
      </c>
      <c r="BP3297">
        <v>0</v>
      </c>
      <c r="BQ3297">
        <v>0</v>
      </c>
      <c r="BR3297">
        <v>0</v>
      </c>
      <c r="BS3297">
        <v>0</v>
      </c>
      <c r="BT3297">
        <v>0</v>
      </c>
      <c r="BU3297">
        <v>0</v>
      </c>
      <c r="BV3297">
        <v>0</v>
      </c>
      <c r="BW3297" t="s">
        <v>0</v>
      </c>
      <c r="BX3297">
        <v>0</v>
      </c>
      <c r="BY3297">
        <v>0</v>
      </c>
      <c r="BZ3297">
        <v>0</v>
      </c>
      <c r="CA3297">
        <v>0</v>
      </c>
      <c r="CB3297" t="s">
        <v>145</v>
      </c>
    </row>
    <row r="3298" spans="67:80" x14ac:dyDescent="0.25">
      <c r="BO3298">
        <v>0</v>
      </c>
      <c r="BP3298">
        <v>0</v>
      </c>
      <c r="BQ3298">
        <v>0</v>
      </c>
      <c r="BR3298">
        <v>0</v>
      </c>
      <c r="BS3298">
        <v>0</v>
      </c>
      <c r="BT3298">
        <v>0</v>
      </c>
      <c r="BU3298">
        <v>0</v>
      </c>
      <c r="BV3298">
        <v>0</v>
      </c>
      <c r="BW3298" t="s">
        <v>0</v>
      </c>
      <c r="BX3298">
        <v>0</v>
      </c>
      <c r="BY3298">
        <v>0</v>
      </c>
      <c r="BZ3298">
        <v>0</v>
      </c>
      <c r="CA3298">
        <v>0</v>
      </c>
      <c r="CB3298" t="s">
        <v>145</v>
      </c>
    </row>
    <row r="3299" spans="67:80" x14ac:dyDescent="0.25">
      <c r="BO3299">
        <v>0</v>
      </c>
      <c r="BP3299">
        <v>0</v>
      </c>
      <c r="BQ3299">
        <v>0</v>
      </c>
      <c r="BR3299">
        <v>0</v>
      </c>
      <c r="BS3299">
        <v>0</v>
      </c>
      <c r="BT3299">
        <v>0</v>
      </c>
      <c r="BU3299">
        <v>0</v>
      </c>
      <c r="BV3299">
        <v>0</v>
      </c>
      <c r="BW3299" t="s">
        <v>0</v>
      </c>
      <c r="BX3299">
        <v>0</v>
      </c>
      <c r="BY3299">
        <v>0</v>
      </c>
      <c r="BZ3299">
        <v>0</v>
      </c>
      <c r="CA3299">
        <v>0</v>
      </c>
      <c r="CB3299" t="s">
        <v>145</v>
      </c>
    </row>
    <row r="3300" spans="67:80" x14ac:dyDescent="0.25">
      <c r="BO3300">
        <v>0</v>
      </c>
      <c r="BP3300">
        <v>0</v>
      </c>
      <c r="BQ3300">
        <v>0</v>
      </c>
      <c r="BR3300">
        <v>0</v>
      </c>
      <c r="BS3300">
        <v>0</v>
      </c>
      <c r="BT3300">
        <v>0</v>
      </c>
      <c r="BU3300">
        <v>0</v>
      </c>
      <c r="BV3300">
        <v>0</v>
      </c>
      <c r="BW3300" t="s">
        <v>0</v>
      </c>
      <c r="BX3300">
        <v>0</v>
      </c>
      <c r="BY3300">
        <v>0</v>
      </c>
      <c r="BZ3300">
        <v>0</v>
      </c>
      <c r="CA3300">
        <v>0</v>
      </c>
      <c r="CB3300" t="s">
        <v>145</v>
      </c>
    </row>
    <row r="3301" spans="67:80" x14ac:dyDescent="0.25">
      <c r="BO3301">
        <v>0</v>
      </c>
      <c r="BP3301">
        <v>0</v>
      </c>
      <c r="BQ3301">
        <v>0</v>
      </c>
      <c r="BR3301">
        <v>0</v>
      </c>
      <c r="BS3301">
        <v>0</v>
      </c>
      <c r="BT3301">
        <v>0</v>
      </c>
      <c r="BU3301">
        <v>0</v>
      </c>
      <c r="BV3301">
        <v>0</v>
      </c>
      <c r="BW3301" t="s">
        <v>0</v>
      </c>
      <c r="BX3301">
        <v>0</v>
      </c>
      <c r="BY3301">
        <v>0</v>
      </c>
      <c r="BZ3301">
        <v>0</v>
      </c>
      <c r="CA3301">
        <v>0</v>
      </c>
      <c r="CB3301" t="s">
        <v>145</v>
      </c>
    </row>
    <row r="3302" spans="67:80" x14ac:dyDescent="0.25">
      <c r="BO3302">
        <v>0</v>
      </c>
      <c r="BP3302">
        <v>0</v>
      </c>
      <c r="BQ3302">
        <v>0</v>
      </c>
      <c r="BR3302">
        <v>0</v>
      </c>
      <c r="BS3302">
        <v>0</v>
      </c>
      <c r="BT3302">
        <v>0</v>
      </c>
      <c r="BU3302">
        <v>0</v>
      </c>
      <c r="BV3302">
        <v>0</v>
      </c>
      <c r="BW3302" t="s">
        <v>0</v>
      </c>
      <c r="BX3302">
        <v>0</v>
      </c>
      <c r="BY3302">
        <v>0</v>
      </c>
      <c r="BZ3302">
        <v>0</v>
      </c>
      <c r="CA3302">
        <v>0</v>
      </c>
      <c r="CB3302" t="s">
        <v>145</v>
      </c>
    </row>
    <row r="3303" spans="67:80" x14ac:dyDescent="0.25">
      <c r="BO3303">
        <v>0</v>
      </c>
      <c r="BP3303">
        <v>0</v>
      </c>
      <c r="BQ3303">
        <v>0</v>
      </c>
      <c r="BR3303">
        <v>0</v>
      </c>
      <c r="BS3303">
        <v>0</v>
      </c>
      <c r="BT3303">
        <v>0</v>
      </c>
      <c r="BU3303">
        <v>0</v>
      </c>
      <c r="BV3303">
        <v>0</v>
      </c>
      <c r="BW3303" t="s">
        <v>0</v>
      </c>
      <c r="BX3303">
        <v>0</v>
      </c>
      <c r="BY3303">
        <v>0</v>
      </c>
      <c r="BZ3303">
        <v>0</v>
      </c>
      <c r="CA3303">
        <v>0</v>
      </c>
      <c r="CB3303" t="s">
        <v>145</v>
      </c>
    </row>
    <row r="3304" spans="67:80" x14ac:dyDescent="0.25">
      <c r="BO3304">
        <v>0</v>
      </c>
      <c r="BP3304">
        <v>0</v>
      </c>
      <c r="BQ3304">
        <v>0</v>
      </c>
      <c r="BR3304">
        <v>0</v>
      </c>
      <c r="BS3304">
        <v>0</v>
      </c>
      <c r="BT3304">
        <v>0</v>
      </c>
      <c r="BU3304">
        <v>0</v>
      </c>
      <c r="BV3304">
        <v>0</v>
      </c>
      <c r="BW3304" t="s">
        <v>0</v>
      </c>
      <c r="BX3304">
        <v>0</v>
      </c>
      <c r="BY3304">
        <v>0</v>
      </c>
      <c r="BZ3304">
        <v>0</v>
      </c>
      <c r="CA3304">
        <v>0</v>
      </c>
      <c r="CB3304" t="s">
        <v>145</v>
      </c>
    </row>
    <row r="3305" spans="67:80" x14ac:dyDescent="0.25">
      <c r="BO3305">
        <v>0</v>
      </c>
      <c r="BP3305">
        <v>0</v>
      </c>
      <c r="BQ3305">
        <v>0</v>
      </c>
      <c r="BR3305">
        <v>0</v>
      </c>
      <c r="BS3305">
        <v>0</v>
      </c>
      <c r="BT3305">
        <v>0</v>
      </c>
      <c r="BU3305">
        <v>0</v>
      </c>
      <c r="BV3305">
        <v>0</v>
      </c>
      <c r="BW3305" t="s">
        <v>0</v>
      </c>
      <c r="BX3305">
        <v>0</v>
      </c>
      <c r="BY3305">
        <v>0</v>
      </c>
      <c r="BZ3305">
        <v>0</v>
      </c>
      <c r="CA3305">
        <v>0</v>
      </c>
      <c r="CB3305" t="s">
        <v>145</v>
      </c>
    </row>
    <row r="3306" spans="67:80" x14ac:dyDescent="0.25">
      <c r="BO3306">
        <v>0</v>
      </c>
      <c r="BP3306">
        <v>0</v>
      </c>
      <c r="BQ3306">
        <v>0</v>
      </c>
      <c r="BR3306">
        <v>0</v>
      </c>
      <c r="BS3306">
        <v>0</v>
      </c>
      <c r="BT3306">
        <v>0</v>
      </c>
      <c r="BU3306">
        <v>0</v>
      </c>
      <c r="BV3306">
        <v>0</v>
      </c>
      <c r="BW3306" t="s">
        <v>0</v>
      </c>
      <c r="BX3306">
        <v>0</v>
      </c>
      <c r="BY3306">
        <v>0</v>
      </c>
      <c r="BZ3306">
        <v>0</v>
      </c>
      <c r="CA3306">
        <v>0</v>
      </c>
      <c r="CB3306" t="s">
        <v>145</v>
      </c>
    </row>
    <row r="3307" spans="67:80" x14ac:dyDescent="0.25">
      <c r="BO3307">
        <v>0</v>
      </c>
      <c r="BP3307">
        <v>0</v>
      </c>
      <c r="BQ3307">
        <v>0</v>
      </c>
      <c r="BR3307">
        <v>0</v>
      </c>
      <c r="BS3307">
        <v>0</v>
      </c>
      <c r="BT3307">
        <v>0</v>
      </c>
      <c r="BU3307">
        <v>0</v>
      </c>
      <c r="BV3307">
        <v>0</v>
      </c>
      <c r="BW3307" t="s">
        <v>0</v>
      </c>
      <c r="BX3307">
        <v>0</v>
      </c>
      <c r="BY3307">
        <v>0</v>
      </c>
      <c r="BZ3307">
        <v>0</v>
      </c>
      <c r="CA3307">
        <v>0</v>
      </c>
      <c r="CB3307" t="s">
        <v>145</v>
      </c>
    </row>
    <row r="3308" spans="67:80" x14ac:dyDescent="0.25">
      <c r="BO3308">
        <v>0</v>
      </c>
      <c r="BP3308">
        <v>0</v>
      </c>
      <c r="BQ3308">
        <v>0</v>
      </c>
      <c r="BR3308">
        <v>0</v>
      </c>
      <c r="BS3308">
        <v>0</v>
      </c>
      <c r="BT3308">
        <v>0</v>
      </c>
      <c r="BU3308">
        <v>0</v>
      </c>
      <c r="BV3308">
        <v>0</v>
      </c>
      <c r="BW3308" t="s">
        <v>0</v>
      </c>
      <c r="BX3308">
        <v>0</v>
      </c>
      <c r="BY3308">
        <v>0</v>
      </c>
      <c r="BZ3308">
        <v>0</v>
      </c>
      <c r="CA3308">
        <v>0</v>
      </c>
      <c r="CB3308" t="s">
        <v>145</v>
      </c>
    </row>
    <row r="3309" spans="67:80" x14ac:dyDescent="0.25">
      <c r="BO3309">
        <v>0</v>
      </c>
      <c r="BP3309">
        <v>0</v>
      </c>
      <c r="BQ3309">
        <v>0</v>
      </c>
      <c r="BR3309">
        <v>0</v>
      </c>
      <c r="BS3309">
        <v>0</v>
      </c>
      <c r="BT3309">
        <v>0</v>
      </c>
      <c r="BU3309">
        <v>0</v>
      </c>
      <c r="BV3309">
        <v>0</v>
      </c>
      <c r="BW3309" t="s">
        <v>0</v>
      </c>
      <c r="BX3309">
        <v>0</v>
      </c>
      <c r="BY3309">
        <v>0</v>
      </c>
      <c r="BZ3309">
        <v>0</v>
      </c>
      <c r="CA3309">
        <v>0</v>
      </c>
      <c r="CB3309" t="s">
        <v>145</v>
      </c>
    </row>
    <row r="3310" spans="67:80" x14ac:dyDescent="0.25">
      <c r="BO3310">
        <v>0</v>
      </c>
      <c r="BP3310">
        <v>0</v>
      </c>
      <c r="BQ3310">
        <v>0</v>
      </c>
      <c r="BR3310">
        <v>0</v>
      </c>
      <c r="BS3310">
        <v>0</v>
      </c>
      <c r="BT3310">
        <v>0</v>
      </c>
      <c r="BU3310">
        <v>0</v>
      </c>
      <c r="BV3310">
        <v>0</v>
      </c>
      <c r="BW3310" t="s">
        <v>0</v>
      </c>
      <c r="BX3310">
        <v>0</v>
      </c>
      <c r="BY3310">
        <v>0</v>
      </c>
      <c r="BZ3310">
        <v>0</v>
      </c>
      <c r="CA3310">
        <v>0</v>
      </c>
      <c r="CB3310" t="s">
        <v>145</v>
      </c>
    </row>
    <row r="3311" spans="67:80" x14ac:dyDescent="0.25">
      <c r="BO3311">
        <v>0</v>
      </c>
      <c r="BP3311">
        <v>0</v>
      </c>
      <c r="BQ3311">
        <v>0</v>
      </c>
      <c r="BR3311">
        <v>0</v>
      </c>
      <c r="BS3311">
        <v>0</v>
      </c>
      <c r="BT3311">
        <v>0</v>
      </c>
      <c r="BU3311">
        <v>0</v>
      </c>
      <c r="BV3311">
        <v>0</v>
      </c>
      <c r="BW3311" t="s">
        <v>0</v>
      </c>
      <c r="BX3311">
        <v>0</v>
      </c>
      <c r="BY3311">
        <v>0</v>
      </c>
      <c r="BZ3311">
        <v>0</v>
      </c>
      <c r="CA3311">
        <v>0</v>
      </c>
      <c r="CB3311" t="s">
        <v>145</v>
      </c>
    </row>
    <row r="3312" spans="67:80" x14ac:dyDescent="0.25">
      <c r="BO3312">
        <v>0</v>
      </c>
      <c r="BP3312">
        <v>0</v>
      </c>
      <c r="BQ3312">
        <v>0</v>
      </c>
      <c r="BR3312">
        <v>0</v>
      </c>
      <c r="BS3312">
        <v>0</v>
      </c>
      <c r="BT3312">
        <v>0</v>
      </c>
      <c r="BU3312">
        <v>0</v>
      </c>
      <c r="BV3312">
        <v>0</v>
      </c>
      <c r="BW3312" t="s">
        <v>0</v>
      </c>
      <c r="BX3312">
        <v>0</v>
      </c>
      <c r="BY3312">
        <v>0</v>
      </c>
      <c r="BZ3312">
        <v>0</v>
      </c>
      <c r="CA3312">
        <v>0</v>
      </c>
      <c r="CB3312" t="s">
        <v>145</v>
      </c>
    </row>
    <row r="3313" spans="67:80" x14ac:dyDescent="0.25">
      <c r="BO3313">
        <v>0</v>
      </c>
      <c r="BP3313">
        <v>0</v>
      </c>
      <c r="BQ3313">
        <v>0</v>
      </c>
      <c r="BR3313">
        <v>0</v>
      </c>
      <c r="BS3313">
        <v>0</v>
      </c>
      <c r="BT3313">
        <v>0</v>
      </c>
      <c r="BU3313">
        <v>0</v>
      </c>
      <c r="BV3313">
        <v>0</v>
      </c>
      <c r="BW3313" t="s">
        <v>0</v>
      </c>
      <c r="BX3313">
        <v>0</v>
      </c>
      <c r="BY3313">
        <v>0</v>
      </c>
      <c r="BZ3313">
        <v>0</v>
      </c>
      <c r="CA3313">
        <v>0</v>
      </c>
      <c r="CB3313" t="s">
        <v>145</v>
      </c>
    </row>
    <row r="3314" spans="67:80" x14ac:dyDescent="0.25">
      <c r="BO3314">
        <v>0</v>
      </c>
      <c r="BP3314">
        <v>0</v>
      </c>
      <c r="BQ3314">
        <v>0</v>
      </c>
      <c r="BR3314">
        <v>0</v>
      </c>
      <c r="BS3314">
        <v>0</v>
      </c>
      <c r="BT3314">
        <v>0</v>
      </c>
      <c r="BU3314">
        <v>0</v>
      </c>
      <c r="BV3314">
        <v>0</v>
      </c>
      <c r="BW3314" t="s">
        <v>0</v>
      </c>
      <c r="BX3314">
        <v>0</v>
      </c>
      <c r="BY3314">
        <v>0</v>
      </c>
      <c r="BZ3314">
        <v>0</v>
      </c>
      <c r="CA3314">
        <v>0</v>
      </c>
      <c r="CB3314" t="s">
        <v>145</v>
      </c>
    </row>
    <row r="3315" spans="67:80" x14ac:dyDescent="0.25">
      <c r="BO3315">
        <v>0</v>
      </c>
      <c r="BP3315">
        <v>0</v>
      </c>
      <c r="BQ3315">
        <v>0</v>
      </c>
      <c r="BR3315">
        <v>0</v>
      </c>
      <c r="BS3315">
        <v>0</v>
      </c>
      <c r="BT3315">
        <v>0</v>
      </c>
      <c r="BU3315">
        <v>0</v>
      </c>
      <c r="BV3315">
        <v>0</v>
      </c>
      <c r="BW3315" t="s">
        <v>0</v>
      </c>
      <c r="BX3315">
        <v>0</v>
      </c>
      <c r="BY3315">
        <v>0</v>
      </c>
      <c r="BZ3315">
        <v>0</v>
      </c>
      <c r="CA3315">
        <v>0</v>
      </c>
      <c r="CB3315" t="s">
        <v>145</v>
      </c>
    </row>
    <row r="3316" spans="67:80" x14ac:dyDescent="0.25">
      <c r="BO3316">
        <v>0</v>
      </c>
      <c r="BP3316">
        <v>0</v>
      </c>
      <c r="BQ3316">
        <v>0</v>
      </c>
      <c r="BR3316">
        <v>0</v>
      </c>
      <c r="BS3316">
        <v>0</v>
      </c>
      <c r="BT3316">
        <v>0</v>
      </c>
      <c r="BU3316">
        <v>0</v>
      </c>
      <c r="BV3316">
        <v>0</v>
      </c>
      <c r="BW3316" t="s">
        <v>0</v>
      </c>
      <c r="BX3316">
        <v>0</v>
      </c>
      <c r="BY3316">
        <v>0</v>
      </c>
      <c r="BZ3316">
        <v>0</v>
      </c>
      <c r="CA3316">
        <v>0</v>
      </c>
      <c r="CB3316" t="s">
        <v>145</v>
      </c>
    </row>
    <row r="3317" spans="67:80" x14ac:dyDescent="0.25">
      <c r="BO3317">
        <v>0</v>
      </c>
      <c r="BP3317">
        <v>0</v>
      </c>
      <c r="BQ3317">
        <v>0</v>
      </c>
      <c r="BR3317">
        <v>0</v>
      </c>
      <c r="BS3317">
        <v>0</v>
      </c>
      <c r="BT3317">
        <v>0</v>
      </c>
      <c r="BU3317">
        <v>0</v>
      </c>
      <c r="BV3317">
        <v>0</v>
      </c>
      <c r="BW3317" t="s">
        <v>0</v>
      </c>
      <c r="BX3317">
        <v>0</v>
      </c>
      <c r="BY3317">
        <v>0</v>
      </c>
      <c r="BZ3317">
        <v>0</v>
      </c>
      <c r="CA3317">
        <v>0</v>
      </c>
      <c r="CB3317" t="s">
        <v>145</v>
      </c>
    </row>
    <row r="3318" spans="67:80" x14ac:dyDescent="0.25">
      <c r="BO3318">
        <v>0</v>
      </c>
      <c r="BP3318">
        <v>0</v>
      </c>
      <c r="BQ3318">
        <v>0</v>
      </c>
      <c r="BR3318">
        <v>0</v>
      </c>
      <c r="BS3318">
        <v>0</v>
      </c>
      <c r="BT3318">
        <v>0</v>
      </c>
      <c r="BU3318">
        <v>0</v>
      </c>
      <c r="BV3318">
        <v>0</v>
      </c>
      <c r="BW3318" t="s">
        <v>0</v>
      </c>
      <c r="BX3318">
        <v>0</v>
      </c>
      <c r="BY3318">
        <v>0</v>
      </c>
      <c r="BZ3318">
        <v>0</v>
      </c>
      <c r="CA3318">
        <v>0</v>
      </c>
      <c r="CB3318" t="s">
        <v>145</v>
      </c>
    </row>
    <row r="3319" spans="67:80" x14ac:dyDescent="0.25">
      <c r="BO3319">
        <v>0</v>
      </c>
      <c r="BP3319">
        <v>0</v>
      </c>
      <c r="BQ3319">
        <v>0</v>
      </c>
      <c r="BR3319">
        <v>0</v>
      </c>
      <c r="BS3319">
        <v>0</v>
      </c>
      <c r="BT3319">
        <v>0</v>
      </c>
      <c r="BU3319">
        <v>0</v>
      </c>
      <c r="BV3319">
        <v>0</v>
      </c>
      <c r="BW3319" t="s">
        <v>0</v>
      </c>
      <c r="BX3319">
        <v>0</v>
      </c>
      <c r="BY3319">
        <v>0</v>
      </c>
      <c r="BZ3319">
        <v>0</v>
      </c>
      <c r="CA3319">
        <v>0</v>
      </c>
      <c r="CB3319" t="s">
        <v>145</v>
      </c>
    </row>
    <row r="3320" spans="67:80" x14ac:dyDescent="0.25">
      <c r="BO3320">
        <v>0</v>
      </c>
      <c r="BP3320">
        <v>0</v>
      </c>
      <c r="BQ3320">
        <v>0</v>
      </c>
      <c r="BR3320">
        <v>0</v>
      </c>
      <c r="BS3320">
        <v>0</v>
      </c>
      <c r="BT3320">
        <v>0</v>
      </c>
      <c r="BU3320">
        <v>0</v>
      </c>
      <c r="BV3320">
        <v>0</v>
      </c>
      <c r="BW3320" t="s">
        <v>0</v>
      </c>
      <c r="BX3320">
        <v>0</v>
      </c>
      <c r="BY3320">
        <v>0</v>
      </c>
      <c r="BZ3320">
        <v>0</v>
      </c>
      <c r="CA3320">
        <v>0</v>
      </c>
      <c r="CB3320" t="s">
        <v>145</v>
      </c>
    </row>
    <row r="3321" spans="67:80" x14ac:dyDescent="0.25">
      <c r="BO3321">
        <v>0</v>
      </c>
      <c r="BP3321">
        <v>0</v>
      </c>
      <c r="BQ3321">
        <v>0</v>
      </c>
      <c r="BR3321">
        <v>0</v>
      </c>
      <c r="BS3321">
        <v>0</v>
      </c>
      <c r="BT3321">
        <v>0</v>
      </c>
      <c r="BU3321">
        <v>0</v>
      </c>
      <c r="BV3321">
        <v>0</v>
      </c>
      <c r="BW3321" t="s">
        <v>0</v>
      </c>
      <c r="BX3321">
        <v>0</v>
      </c>
      <c r="BY3321">
        <v>0</v>
      </c>
      <c r="BZ3321">
        <v>0</v>
      </c>
      <c r="CA3321">
        <v>0</v>
      </c>
      <c r="CB3321" t="s">
        <v>145</v>
      </c>
    </row>
    <row r="3322" spans="67:80" x14ac:dyDescent="0.25">
      <c r="BO3322">
        <v>0</v>
      </c>
      <c r="BP3322">
        <v>0</v>
      </c>
      <c r="BQ3322">
        <v>0</v>
      </c>
      <c r="BR3322">
        <v>0</v>
      </c>
      <c r="BS3322">
        <v>0</v>
      </c>
      <c r="BT3322">
        <v>0</v>
      </c>
      <c r="BU3322">
        <v>0</v>
      </c>
      <c r="BV3322">
        <v>0</v>
      </c>
      <c r="BW3322" t="s">
        <v>0</v>
      </c>
      <c r="BX3322">
        <v>0</v>
      </c>
      <c r="BY3322">
        <v>0</v>
      </c>
      <c r="BZ3322">
        <v>0</v>
      </c>
      <c r="CA3322">
        <v>0</v>
      </c>
      <c r="CB3322" t="s">
        <v>145</v>
      </c>
    </row>
    <row r="3323" spans="67:80" x14ac:dyDescent="0.25">
      <c r="BO3323">
        <v>0</v>
      </c>
      <c r="BP3323">
        <v>0</v>
      </c>
      <c r="BQ3323">
        <v>0</v>
      </c>
      <c r="BR3323">
        <v>0</v>
      </c>
      <c r="BS3323">
        <v>0</v>
      </c>
      <c r="BT3323">
        <v>0</v>
      </c>
      <c r="BU3323">
        <v>0</v>
      </c>
      <c r="BV3323">
        <v>0</v>
      </c>
      <c r="BW3323" t="s">
        <v>0</v>
      </c>
      <c r="BX3323">
        <v>0</v>
      </c>
      <c r="BY3323">
        <v>0</v>
      </c>
      <c r="BZ3323">
        <v>0</v>
      </c>
      <c r="CA3323">
        <v>0</v>
      </c>
      <c r="CB3323" t="s">
        <v>145</v>
      </c>
    </row>
    <row r="3324" spans="67:80" x14ac:dyDescent="0.25">
      <c r="BO3324">
        <v>0</v>
      </c>
      <c r="BP3324">
        <v>0</v>
      </c>
      <c r="BQ3324">
        <v>0</v>
      </c>
      <c r="BR3324">
        <v>0</v>
      </c>
      <c r="BS3324">
        <v>0</v>
      </c>
      <c r="BT3324">
        <v>0</v>
      </c>
      <c r="BU3324">
        <v>0</v>
      </c>
      <c r="BV3324">
        <v>0</v>
      </c>
      <c r="BW3324" t="s">
        <v>0</v>
      </c>
      <c r="BX3324">
        <v>0</v>
      </c>
      <c r="BY3324">
        <v>0</v>
      </c>
      <c r="BZ3324">
        <v>0</v>
      </c>
      <c r="CA3324">
        <v>0</v>
      </c>
      <c r="CB3324" t="s">
        <v>145</v>
      </c>
    </row>
    <row r="3325" spans="67:80" x14ac:dyDescent="0.25">
      <c r="BO3325">
        <v>0</v>
      </c>
      <c r="BP3325">
        <v>0</v>
      </c>
      <c r="BQ3325">
        <v>0</v>
      </c>
      <c r="BR3325">
        <v>0</v>
      </c>
      <c r="BS3325">
        <v>0</v>
      </c>
      <c r="BT3325">
        <v>0</v>
      </c>
      <c r="BU3325">
        <v>0</v>
      </c>
      <c r="BV3325">
        <v>0</v>
      </c>
      <c r="BW3325" t="s">
        <v>0</v>
      </c>
      <c r="BX3325">
        <v>0</v>
      </c>
      <c r="BY3325">
        <v>0</v>
      </c>
      <c r="BZ3325">
        <v>0</v>
      </c>
      <c r="CA3325">
        <v>0</v>
      </c>
      <c r="CB3325" t="s">
        <v>145</v>
      </c>
    </row>
    <row r="3326" spans="67:80" x14ac:dyDescent="0.25">
      <c r="BO3326">
        <v>0</v>
      </c>
      <c r="BP3326">
        <v>0</v>
      </c>
      <c r="BQ3326">
        <v>0</v>
      </c>
      <c r="BR3326">
        <v>0</v>
      </c>
      <c r="BS3326">
        <v>0</v>
      </c>
      <c r="BT3326">
        <v>0</v>
      </c>
      <c r="BU3326">
        <v>0</v>
      </c>
      <c r="BV3326">
        <v>0</v>
      </c>
      <c r="BW3326" t="s">
        <v>0</v>
      </c>
      <c r="BX3326">
        <v>0</v>
      </c>
      <c r="BY3326">
        <v>0</v>
      </c>
      <c r="BZ3326">
        <v>0</v>
      </c>
      <c r="CA3326">
        <v>0</v>
      </c>
      <c r="CB3326" t="s">
        <v>145</v>
      </c>
    </row>
    <row r="3327" spans="67:80" x14ac:dyDescent="0.25">
      <c r="BO3327">
        <v>0</v>
      </c>
      <c r="BP3327">
        <v>0</v>
      </c>
      <c r="BQ3327">
        <v>0</v>
      </c>
      <c r="BR3327">
        <v>0</v>
      </c>
      <c r="BS3327">
        <v>0</v>
      </c>
      <c r="BT3327">
        <v>0</v>
      </c>
      <c r="BU3327">
        <v>0</v>
      </c>
      <c r="BV3327">
        <v>0</v>
      </c>
      <c r="BW3327" t="s">
        <v>0</v>
      </c>
      <c r="BX3327">
        <v>0</v>
      </c>
      <c r="BY3327">
        <v>0</v>
      </c>
      <c r="BZ3327">
        <v>0</v>
      </c>
      <c r="CA3327">
        <v>0</v>
      </c>
      <c r="CB3327" t="s">
        <v>145</v>
      </c>
    </row>
    <row r="3328" spans="67:80" x14ac:dyDescent="0.25">
      <c r="BO3328">
        <v>0</v>
      </c>
      <c r="BP3328">
        <v>0</v>
      </c>
      <c r="BQ3328">
        <v>0</v>
      </c>
      <c r="BR3328">
        <v>0</v>
      </c>
      <c r="BS3328">
        <v>0</v>
      </c>
      <c r="BT3328">
        <v>0</v>
      </c>
      <c r="BU3328">
        <v>0</v>
      </c>
      <c r="BV3328">
        <v>0</v>
      </c>
      <c r="BW3328" t="s">
        <v>0</v>
      </c>
      <c r="BX3328">
        <v>0</v>
      </c>
      <c r="BY3328">
        <v>0</v>
      </c>
      <c r="BZ3328">
        <v>0</v>
      </c>
      <c r="CA3328">
        <v>0</v>
      </c>
      <c r="CB3328" t="s">
        <v>145</v>
      </c>
    </row>
    <row r="3329" spans="67:80" x14ac:dyDescent="0.25">
      <c r="BO3329">
        <v>0</v>
      </c>
      <c r="BP3329">
        <v>0</v>
      </c>
      <c r="BQ3329">
        <v>0</v>
      </c>
      <c r="BR3329">
        <v>0</v>
      </c>
      <c r="BS3329">
        <v>0</v>
      </c>
      <c r="BT3329">
        <v>0</v>
      </c>
      <c r="BU3329">
        <v>0</v>
      </c>
      <c r="BV3329">
        <v>0</v>
      </c>
      <c r="BW3329" t="s">
        <v>0</v>
      </c>
      <c r="BX3329">
        <v>0</v>
      </c>
      <c r="BY3329">
        <v>0</v>
      </c>
      <c r="BZ3329">
        <v>0</v>
      </c>
      <c r="CA3329">
        <v>0</v>
      </c>
      <c r="CB3329" t="s">
        <v>145</v>
      </c>
    </row>
    <row r="3330" spans="67:80" x14ac:dyDescent="0.25">
      <c r="BO3330">
        <v>0</v>
      </c>
      <c r="BP3330">
        <v>0</v>
      </c>
      <c r="BQ3330">
        <v>0</v>
      </c>
      <c r="BR3330">
        <v>0</v>
      </c>
      <c r="BS3330">
        <v>0</v>
      </c>
      <c r="BT3330">
        <v>0</v>
      </c>
      <c r="BU3330">
        <v>0</v>
      </c>
      <c r="BV3330">
        <v>0</v>
      </c>
      <c r="BW3330" t="s">
        <v>0</v>
      </c>
      <c r="BX3330">
        <v>0</v>
      </c>
      <c r="BY3330">
        <v>0</v>
      </c>
      <c r="BZ3330">
        <v>0</v>
      </c>
      <c r="CA3330">
        <v>0</v>
      </c>
      <c r="CB3330" t="s">
        <v>145</v>
      </c>
    </row>
    <row r="3331" spans="67:80" x14ac:dyDescent="0.25">
      <c r="BO3331">
        <v>0</v>
      </c>
      <c r="BP3331">
        <v>0</v>
      </c>
      <c r="BQ3331">
        <v>0</v>
      </c>
      <c r="BR3331">
        <v>0</v>
      </c>
      <c r="BS3331">
        <v>0</v>
      </c>
      <c r="BT3331">
        <v>0</v>
      </c>
      <c r="BU3331">
        <v>0</v>
      </c>
      <c r="BV3331">
        <v>0</v>
      </c>
      <c r="BW3331" t="s">
        <v>0</v>
      </c>
      <c r="BX3331">
        <v>0</v>
      </c>
      <c r="BY3331">
        <v>0</v>
      </c>
      <c r="BZ3331">
        <v>0</v>
      </c>
      <c r="CA3331">
        <v>0</v>
      </c>
      <c r="CB3331" t="s">
        <v>145</v>
      </c>
    </row>
    <row r="3332" spans="67:80" x14ac:dyDescent="0.25">
      <c r="BO3332">
        <v>0</v>
      </c>
      <c r="BP3332">
        <v>0</v>
      </c>
      <c r="BQ3332">
        <v>0</v>
      </c>
      <c r="BR3332">
        <v>0</v>
      </c>
      <c r="BS3332">
        <v>0</v>
      </c>
      <c r="BT3332">
        <v>0</v>
      </c>
      <c r="BU3332">
        <v>0</v>
      </c>
      <c r="BV3332">
        <v>0</v>
      </c>
      <c r="BW3332" t="s">
        <v>0</v>
      </c>
      <c r="BX3332">
        <v>0</v>
      </c>
      <c r="BY3332">
        <v>0</v>
      </c>
      <c r="BZ3332">
        <v>0</v>
      </c>
      <c r="CA3332">
        <v>0</v>
      </c>
      <c r="CB3332" t="s">
        <v>145</v>
      </c>
    </row>
    <row r="3333" spans="67:80" x14ac:dyDescent="0.25">
      <c r="BO3333">
        <v>0</v>
      </c>
      <c r="BP3333">
        <v>0</v>
      </c>
      <c r="BQ3333">
        <v>0</v>
      </c>
      <c r="BR3333">
        <v>0</v>
      </c>
      <c r="BS3333">
        <v>0</v>
      </c>
      <c r="BT3333">
        <v>0</v>
      </c>
      <c r="BU3333">
        <v>0</v>
      </c>
      <c r="BV3333">
        <v>0</v>
      </c>
      <c r="BW3333" t="s">
        <v>0</v>
      </c>
      <c r="BX3333">
        <v>0</v>
      </c>
      <c r="BY3333">
        <v>0</v>
      </c>
      <c r="BZ3333">
        <v>0</v>
      </c>
      <c r="CA3333">
        <v>0</v>
      </c>
      <c r="CB3333" t="s">
        <v>145</v>
      </c>
    </row>
    <row r="3334" spans="67:80" x14ac:dyDescent="0.25">
      <c r="BO3334">
        <v>0</v>
      </c>
      <c r="BP3334">
        <v>0</v>
      </c>
      <c r="BQ3334">
        <v>0</v>
      </c>
      <c r="BR3334">
        <v>0</v>
      </c>
      <c r="BS3334">
        <v>0</v>
      </c>
      <c r="BT3334">
        <v>0</v>
      </c>
      <c r="BU3334">
        <v>0</v>
      </c>
      <c r="BV3334">
        <v>0</v>
      </c>
      <c r="BW3334" t="s">
        <v>0</v>
      </c>
      <c r="BX3334">
        <v>0</v>
      </c>
      <c r="BY3334">
        <v>0</v>
      </c>
      <c r="BZ3334">
        <v>0</v>
      </c>
      <c r="CA3334">
        <v>0</v>
      </c>
      <c r="CB3334" t="s">
        <v>145</v>
      </c>
    </row>
    <row r="3335" spans="67:80" x14ac:dyDescent="0.25">
      <c r="BO3335">
        <v>0</v>
      </c>
      <c r="BP3335">
        <v>0</v>
      </c>
      <c r="BQ3335">
        <v>0</v>
      </c>
      <c r="BR3335">
        <v>0</v>
      </c>
      <c r="BS3335">
        <v>0</v>
      </c>
      <c r="BT3335">
        <v>0</v>
      </c>
      <c r="BU3335">
        <v>0</v>
      </c>
      <c r="BV3335">
        <v>0</v>
      </c>
      <c r="BW3335" t="s">
        <v>0</v>
      </c>
      <c r="BX3335">
        <v>0</v>
      </c>
      <c r="BY3335">
        <v>0</v>
      </c>
      <c r="BZ3335">
        <v>0</v>
      </c>
      <c r="CA3335">
        <v>0</v>
      </c>
      <c r="CB3335" t="s">
        <v>145</v>
      </c>
    </row>
    <row r="3336" spans="67:80" x14ac:dyDescent="0.25">
      <c r="BO3336">
        <v>0</v>
      </c>
      <c r="BP3336">
        <v>0</v>
      </c>
      <c r="BQ3336">
        <v>0</v>
      </c>
      <c r="BR3336">
        <v>0</v>
      </c>
      <c r="BS3336">
        <v>0</v>
      </c>
      <c r="BT3336">
        <v>0</v>
      </c>
      <c r="BU3336">
        <v>0</v>
      </c>
      <c r="BV3336">
        <v>0</v>
      </c>
      <c r="BW3336" t="s">
        <v>0</v>
      </c>
      <c r="BX3336">
        <v>0</v>
      </c>
      <c r="BY3336">
        <v>0</v>
      </c>
      <c r="BZ3336">
        <v>0</v>
      </c>
      <c r="CA3336">
        <v>0</v>
      </c>
      <c r="CB3336" t="s">
        <v>145</v>
      </c>
    </row>
    <row r="3337" spans="67:80" x14ac:dyDescent="0.25">
      <c r="BO3337">
        <v>0</v>
      </c>
      <c r="BP3337">
        <v>0</v>
      </c>
      <c r="BQ3337">
        <v>0</v>
      </c>
      <c r="BR3337">
        <v>0</v>
      </c>
      <c r="BS3337">
        <v>0</v>
      </c>
      <c r="BT3337">
        <v>0</v>
      </c>
      <c r="BU3337">
        <v>0</v>
      </c>
      <c r="BV3337">
        <v>0</v>
      </c>
      <c r="BW3337" t="s">
        <v>0</v>
      </c>
      <c r="BX3337">
        <v>0</v>
      </c>
      <c r="BY3337">
        <v>0</v>
      </c>
      <c r="BZ3337">
        <v>0</v>
      </c>
      <c r="CA3337">
        <v>0</v>
      </c>
      <c r="CB3337" t="s">
        <v>145</v>
      </c>
    </row>
    <row r="3338" spans="67:80" x14ac:dyDescent="0.25">
      <c r="BO3338">
        <v>0</v>
      </c>
      <c r="BP3338">
        <v>0</v>
      </c>
      <c r="BQ3338">
        <v>0</v>
      </c>
      <c r="BR3338">
        <v>0</v>
      </c>
      <c r="BS3338">
        <v>0</v>
      </c>
      <c r="BT3338">
        <v>0</v>
      </c>
      <c r="BU3338">
        <v>0</v>
      </c>
      <c r="BV3338">
        <v>0</v>
      </c>
      <c r="BW3338" t="s">
        <v>0</v>
      </c>
      <c r="BX3338">
        <v>0</v>
      </c>
      <c r="BY3338">
        <v>0</v>
      </c>
      <c r="BZ3338">
        <v>0</v>
      </c>
      <c r="CA3338">
        <v>0</v>
      </c>
      <c r="CB3338" t="s">
        <v>145</v>
      </c>
    </row>
    <row r="3339" spans="67:80" x14ac:dyDescent="0.25">
      <c r="BO3339">
        <v>0</v>
      </c>
      <c r="BP3339">
        <v>0</v>
      </c>
      <c r="BQ3339">
        <v>0</v>
      </c>
      <c r="BR3339">
        <v>0</v>
      </c>
      <c r="BS3339">
        <v>0</v>
      </c>
      <c r="BT3339">
        <v>0</v>
      </c>
      <c r="BU3339">
        <v>0</v>
      </c>
      <c r="BV3339">
        <v>0</v>
      </c>
      <c r="BW3339" t="s">
        <v>0</v>
      </c>
      <c r="BX3339">
        <v>0</v>
      </c>
      <c r="BY3339">
        <v>0</v>
      </c>
      <c r="BZ3339">
        <v>0</v>
      </c>
      <c r="CA3339">
        <v>0</v>
      </c>
      <c r="CB3339" t="s">
        <v>145</v>
      </c>
    </row>
    <row r="3340" spans="67:80" x14ac:dyDescent="0.25">
      <c r="BO3340">
        <v>0</v>
      </c>
      <c r="BP3340">
        <v>0</v>
      </c>
      <c r="BQ3340">
        <v>0</v>
      </c>
      <c r="BR3340">
        <v>0</v>
      </c>
      <c r="BS3340">
        <v>0</v>
      </c>
      <c r="BT3340">
        <v>0</v>
      </c>
      <c r="BU3340">
        <v>0</v>
      </c>
      <c r="BV3340">
        <v>0</v>
      </c>
      <c r="BW3340" t="s">
        <v>0</v>
      </c>
      <c r="BX3340">
        <v>0</v>
      </c>
      <c r="BY3340">
        <v>0</v>
      </c>
      <c r="BZ3340">
        <v>0</v>
      </c>
      <c r="CA3340">
        <v>0</v>
      </c>
      <c r="CB3340" t="s">
        <v>145</v>
      </c>
    </row>
    <row r="3341" spans="67:80" x14ac:dyDescent="0.25">
      <c r="BO3341">
        <v>0</v>
      </c>
      <c r="BP3341">
        <v>0</v>
      </c>
      <c r="BQ3341">
        <v>0</v>
      </c>
      <c r="BR3341">
        <v>0</v>
      </c>
      <c r="BS3341">
        <v>0</v>
      </c>
      <c r="BT3341">
        <v>0</v>
      </c>
      <c r="BU3341">
        <v>0</v>
      </c>
      <c r="BV3341">
        <v>0</v>
      </c>
      <c r="BW3341" t="s">
        <v>0</v>
      </c>
      <c r="BX3341">
        <v>0</v>
      </c>
      <c r="BY3341">
        <v>0</v>
      </c>
      <c r="BZ3341">
        <v>0</v>
      </c>
      <c r="CA3341">
        <v>0</v>
      </c>
      <c r="CB3341" t="s">
        <v>145</v>
      </c>
    </row>
    <row r="3342" spans="67:80" x14ac:dyDescent="0.25">
      <c r="BO3342">
        <v>0</v>
      </c>
      <c r="BP3342">
        <v>0</v>
      </c>
      <c r="BQ3342">
        <v>0</v>
      </c>
      <c r="BR3342">
        <v>0</v>
      </c>
      <c r="BS3342">
        <v>0</v>
      </c>
      <c r="BT3342">
        <v>0</v>
      </c>
      <c r="BU3342">
        <v>0</v>
      </c>
      <c r="BV3342">
        <v>0</v>
      </c>
      <c r="BW3342" t="s">
        <v>0</v>
      </c>
      <c r="BX3342">
        <v>0</v>
      </c>
      <c r="BY3342">
        <v>0</v>
      </c>
      <c r="BZ3342">
        <v>0</v>
      </c>
      <c r="CA3342">
        <v>0</v>
      </c>
      <c r="CB3342" t="s">
        <v>145</v>
      </c>
    </row>
    <row r="3343" spans="67:80" x14ac:dyDescent="0.25">
      <c r="BO3343">
        <v>0</v>
      </c>
      <c r="BP3343">
        <v>0</v>
      </c>
      <c r="BQ3343">
        <v>0</v>
      </c>
      <c r="BR3343">
        <v>0</v>
      </c>
      <c r="BS3343">
        <v>0</v>
      </c>
      <c r="BT3343">
        <v>0</v>
      </c>
      <c r="BU3343">
        <v>0</v>
      </c>
      <c r="BV3343">
        <v>0</v>
      </c>
      <c r="BW3343" t="s">
        <v>0</v>
      </c>
      <c r="BX3343">
        <v>0</v>
      </c>
      <c r="BY3343">
        <v>0</v>
      </c>
      <c r="BZ3343">
        <v>0</v>
      </c>
      <c r="CA3343">
        <v>0</v>
      </c>
      <c r="CB3343" t="s">
        <v>145</v>
      </c>
    </row>
    <row r="3344" spans="67:80" x14ac:dyDescent="0.25">
      <c r="BO3344">
        <v>0</v>
      </c>
      <c r="BP3344">
        <v>0</v>
      </c>
      <c r="BQ3344">
        <v>0</v>
      </c>
      <c r="BR3344">
        <v>0</v>
      </c>
      <c r="BS3344">
        <v>0</v>
      </c>
      <c r="BT3344">
        <v>0</v>
      </c>
      <c r="BU3344">
        <v>0</v>
      </c>
      <c r="BV3344">
        <v>0</v>
      </c>
      <c r="BW3344" t="s">
        <v>0</v>
      </c>
      <c r="BX3344">
        <v>0</v>
      </c>
      <c r="BY3344">
        <v>0</v>
      </c>
      <c r="BZ3344">
        <v>0</v>
      </c>
      <c r="CA3344">
        <v>0</v>
      </c>
      <c r="CB3344" t="s">
        <v>145</v>
      </c>
    </row>
    <row r="3345" spans="67:80" x14ac:dyDescent="0.25">
      <c r="BO3345">
        <v>0</v>
      </c>
      <c r="BP3345">
        <v>0</v>
      </c>
      <c r="BQ3345">
        <v>0</v>
      </c>
      <c r="BR3345">
        <v>0</v>
      </c>
      <c r="BS3345">
        <v>0</v>
      </c>
      <c r="BT3345">
        <v>0</v>
      </c>
      <c r="BU3345">
        <v>0</v>
      </c>
      <c r="BV3345">
        <v>0</v>
      </c>
      <c r="BW3345" t="s">
        <v>0</v>
      </c>
      <c r="BX3345">
        <v>0</v>
      </c>
      <c r="BY3345">
        <v>0</v>
      </c>
      <c r="BZ3345">
        <v>0</v>
      </c>
      <c r="CA3345">
        <v>0</v>
      </c>
      <c r="CB3345" t="s">
        <v>145</v>
      </c>
    </row>
    <row r="3346" spans="67:80" x14ac:dyDescent="0.25">
      <c r="BO3346">
        <v>0</v>
      </c>
      <c r="BP3346">
        <v>0</v>
      </c>
      <c r="BQ3346">
        <v>0</v>
      </c>
      <c r="BR3346">
        <v>0</v>
      </c>
      <c r="BS3346">
        <v>0</v>
      </c>
      <c r="BT3346">
        <v>0</v>
      </c>
      <c r="BU3346">
        <v>0</v>
      </c>
      <c r="BV3346">
        <v>0</v>
      </c>
      <c r="BW3346" t="s">
        <v>0</v>
      </c>
      <c r="BX3346">
        <v>0</v>
      </c>
      <c r="BY3346">
        <v>0</v>
      </c>
      <c r="BZ3346">
        <v>0</v>
      </c>
      <c r="CA3346">
        <v>0</v>
      </c>
      <c r="CB3346" t="s">
        <v>145</v>
      </c>
    </row>
    <row r="3347" spans="67:80" x14ac:dyDescent="0.25">
      <c r="BO3347">
        <v>0</v>
      </c>
      <c r="BP3347">
        <v>0</v>
      </c>
      <c r="BQ3347">
        <v>0</v>
      </c>
      <c r="BR3347">
        <v>0</v>
      </c>
      <c r="BS3347">
        <v>0</v>
      </c>
      <c r="BT3347">
        <v>0</v>
      </c>
      <c r="BU3347">
        <v>0</v>
      </c>
      <c r="BV3347">
        <v>0</v>
      </c>
      <c r="BW3347" t="s">
        <v>0</v>
      </c>
      <c r="BX3347">
        <v>0</v>
      </c>
      <c r="BY3347">
        <v>0</v>
      </c>
      <c r="BZ3347">
        <v>0</v>
      </c>
      <c r="CA3347">
        <v>0</v>
      </c>
      <c r="CB3347" t="s">
        <v>145</v>
      </c>
    </row>
    <row r="3348" spans="67:80" x14ac:dyDescent="0.25">
      <c r="BO3348">
        <v>0</v>
      </c>
      <c r="BP3348">
        <v>0</v>
      </c>
      <c r="BQ3348">
        <v>0</v>
      </c>
      <c r="BR3348">
        <v>0</v>
      </c>
      <c r="BS3348">
        <v>0</v>
      </c>
      <c r="BT3348">
        <v>0</v>
      </c>
      <c r="BU3348">
        <v>0</v>
      </c>
      <c r="BV3348">
        <v>0</v>
      </c>
      <c r="BW3348" t="s">
        <v>0</v>
      </c>
      <c r="BX3348">
        <v>0</v>
      </c>
      <c r="BY3348">
        <v>0</v>
      </c>
      <c r="BZ3348">
        <v>0</v>
      </c>
      <c r="CA3348">
        <v>0</v>
      </c>
      <c r="CB3348" t="s">
        <v>145</v>
      </c>
    </row>
    <row r="3349" spans="67:80" x14ac:dyDescent="0.25">
      <c r="BO3349">
        <v>0</v>
      </c>
      <c r="BP3349">
        <v>0</v>
      </c>
      <c r="BQ3349">
        <v>0</v>
      </c>
      <c r="BR3349">
        <v>0</v>
      </c>
      <c r="BS3349">
        <v>0</v>
      </c>
      <c r="BT3349">
        <v>0</v>
      </c>
      <c r="BU3349">
        <v>0</v>
      </c>
      <c r="BV3349">
        <v>0</v>
      </c>
      <c r="BW3349" t="s">
        <v>0</v>
      </c>
      <c r="BX3349">
        <v>0</v>
      </c>
      <c r="BY3349">
        <v>0</v>
      </c>
      <c r="BZ3349">
        <v>0</v>
      </c>
      <c r="CA3349">
        <v>0</v>
      </c>
      <c r="CB3349" t="s">
        <v>145</v>
      </c>
    </row>
    <row r="3350" spans="67:80" x14ac:dyDescent="0.25">
      <c r="BO3350">
        <v>0</v>
      </c>
      <c r="BP3350">
        <v>0</v>
      </c>
      <c r="BQ3350">
        <v>0</v>
      </c>
      <c r="BR3350">
        <v>0</v>
      </c>
      <c r="BS3350">
        <v>0</v>
      </c>
      <c r="BT3350">
        <v>0</v>
      </c>
      <c r="BU3350">
        <v>0</v>
      </c>
      <c r="BV3350">
        <v>0</v>
      </c>
      <c r="BW3350" t="s">
        <v>0</v>
      </c>
      <c r="BX3350">
        <v>0</v>
      </c>
      <c r="BY3350">
        <v>0</v>
      </c>
      <c r="BZ3350">
        <v>0</v>
      </c>
      <c r="CA3350">
        <v>0</v>
      </c>
      <c r="CB3350" t="s">
        <v>145</v>
      </c>
    </row>
    <row r="3351" spans="67:80" x14ac:dyDescent="0.25">
      <c r="BO3351">
        <v>0</v>
      </c>
      <c r="BP3351">
        <v>0</v>
      </c>
      <c r="BQ3351">
        <v>0</v>
      </c>
      <c r="BR3351">
        <v>0</v>
      </c>
      <c r="BS3351">
        <v>0</v>
      </c>
      <c r="BT3351">
        <v>0</v>
      </c>
      <c r="BU3351">
        <v>0</v>
      </c>
      <c r="BV3351">
        <v>0</v>
      </c>
      <c r="BW3351" t="s">
        <v>0</v>
      </c>
      <c r="BX3351">
        <v>0</v>
      </c>
      <c r="BY3351">
        <v>0</v>
      </c>
      <c r="BZ3351">
        <v>0</v>
      </c>
      <c r="CA3351">
        <v>0</v>
      </c>
      <c r="CB3351" t="s">
        <v>145</v>
      </c>
    </row>
    <row r="3352" spans="67:80" x14ac:dyDescent="0.25">
      <c r="BO3352">
        <v>0</v>
      </c>
      <c r="BP3352">
        <v>0</v>
      </c>
      <c r="BQ3352">
        <v>0</v>
      </c>
      <c r="BR3352">
        <v>0</v>
      </c>
      <c r="BS3352">
        <v>0</v>
      </c>
      <c r="BT3352">
        <v>0</v>
      </c>
      <c r="BU3352">
        <v>0</v>
      </c>
      <c r="BV3352">
        <v>0</v>
      </c>
      <c r="BW3352" t="s">
        <v>0</v>
      </c>
      <c r="BX3352">
        <v>0</v>
      </c>
      <c r="BY3352">
        <v>0</v>
      </c>
      <c r="BZ3352">
        <v>0</v>
      </c>
      <c r="CA3352">
        <v>0</v>
      </c>
      <c r="CB3352" t="s">
        <v>145</v>
      </c>
    </row>
    <row r="3353" spans="67:80" x14ac:dyDescent="0.25">
      <c r="BO3353">
        <v>0</v>
      </c>
      <c r="BP3353">
        <v>0</v>
      </c>
      <c r="BQ3353">
        <v>0</v>
      </c>
      <c r="BR3353">
        <v>0</v>
      </c>
      <c r="BS3353">
        <v>0</v>
      </c>
      <c r="BT3353">
        <v>0</v>
      </c>
      <c r="BU3353">
        <v>0</v>
      </c>
      <c r="BV3353">
        <v>0</v>
      </c>
      <c r="BW3353" t="s">
        <v>0</v>
      </c>
      <c r="BX3353">
        <v>0</v>
      </c>
      <c r="BY3353">
        <v>0</v>
      </c>
      <c r="BZ3353">
        <v>0</v>
      </c>
      <c r="CA3353">
        <v>0</v>
      </c>
      <c r="CB3353" t="s">
        <v>145</v>
      </c>
    </row>
    <row r="3354" spans="67:80" x14ac:dyDescent="0.25">
      <c r="BO3354">
        <v>0</v>
      </c>
      <c r="BP3354">
        <v>0</v>
      </c>
      <c r="BQ3354">
        <v>0</v>
      </c>
      <c r="BR3354">
        <v>0</v>
      </c>
      <c r="BS3354">
        <v>0</v>
      </c>
      <c r="BT3354">
        <v>0</v>
      </c>
      <c r="BU3354">
        <v>0</v>
      </c>
      <c r="BV3354">
        <v>0</v>
      </c>
      <c r="BW3354" t="s">
        <v>0</v>
      </c>
      <c r="BX3354">
        <v>0</v>
      </c>
      <c r="BY3354">
        <v>0</v>
      </c>
      <c r="BZ3354">
        <v>0</v>
      </c>
      <c r="CA3354">
        <v>0</v>
      </c>
      <c r="CB3354" t="s">
        <v>145</v>
      </c>
    </row>
    <row r="3355" spans="67:80" x14ac:dyDescent="0.25">
      <c r="BO3355">
        <v>0</v>
      </c>
      <c r="BP3355">
        <v>0</v>
      </c>
      <c r="BQ3355">
        <v>0</v>
      </c>
      <c r="BR3355">
        <v>0</v>
      </c>
      <c r="BS3355">
        <v>0</v>
      </c>
      <c r="BT3355">
        <v>0</v>
      </c>
      <c r="BU3355">
        <v>0</v>
      </c>
      <c r="BV3355">
        <v>0</v>
      </c>
      <c r="BW3355" t="s">
        <v>0</v>
      </c>
      <c r="BX3355">
        <v>0</v>
      </c>
      <c r="BY3355">
        <v>0</v>
      </c>
      <c r="BZ3355">
        <v>0</v>
      </c>
      <c r="CA3355">
        <v>0</v>
      </c>
      <c r="CB3355" t="s">
        <v>145</v>
      </c>
    </row>
    <row r="3356" spans="67:80" x14ac:dyDescent="0.25">
      <c r="BO3356">
        <v>0</v>
      </c>
      <c r="BP3356">
        <v>0</v>
      </c>
      <c r="BQ3356">
        <v>0</v>
      </c>
      <c r="BR3356">
        <v>0</v>
      </c>
      <c r="BS3356">
        <v>0</v>
      </c>
      <c r="BT3356">
        <v>0</v>
      </c>
      <c r="BU3356">
        <v>0</v>
      </c>
      <c r="BV3356">
        <v>0</v>
      </c>
      <c r="BW3356" t="s">
        <v>0</v>
      </c>
      <c r="BX3356">
        <v>0</v>
      </c>
      <c r="BY3356">
        <v>0</v>
      </c>
      <c r="BZ3356">
        <v>0</v>
      </c>
      <c r="CA3356">
        <v>0</v>
      </c>
      <c r="CB3356" t="s">
        <v>145</v>
      </c>
    </row>
    <row r="3357" spans="67:80" x14ac:dyDescent="0.25">
      <c r="BO3357">
        <v>0</v>
      </c>
      <c r="BP3357">
        <v>0</v>
      </c>
      <c r="BQ3357">
        <v>0</v>
      </c>
      <c r="BR3357">
        <v>0</v>
      </c>
      <c r="BS3357">
        <v>0</v>
      </c>
      <c r="BT3357">
        <v>0</v>
      </c>
      <c r="BU3357">
        <v>0</v>
      </c>
      <c r="BV3357">
        <v>0</v>
      </c>
      <c r="BW3357" t="s">
        <v>0</v>
      </c>
      <c r="BX3357">
        <v>0</v>
      </c>
      <c r="BY3357">
        <v>0</v>
      </c>
      <c r="BZ3357">
        <v>0</v>
      </c>
      <c r="CA3357">
        <v>0</v>
      </c>
      <c r="CB3357" t="s">
        <v>145</v>
      </c>
    </row>
    <row r="3358" spans="67:80" x14ac:dyDescent="0.25">
      <c r="BO3358">
        <v>0</v>
      </c>
      <c r="BP3358">
        <v>0</v>
      </c>
      <c r="BQ3358">
        <v>0</v>
      </c>
      <c r="BR3358">
        <v>0</v>
      </c>
      <c r="BS3358">
        <v>0</v>
      </c>
      <c r="BT3358">
        <v>0</v>
      </c>
      <c r="BU3358">
        <v>0</v>
      </c>
      <c r="BV3358">
        <v>0</v>
      </c>
      <c r="BW3358" t="s">
        <v>0</v>
      </c>
      <c r="BX3358">
        <v>0</v>
      </c>
      <c r="BY3358">
        <v>0</v>
      </c>
      <c r="BZ3358">
        <v>0</v>
      </c>
      <c r="CA3358">
        <v>0</v>
      </c>
      <c r="CB3358" t="s">
        <v>145</v>
      </c>
    </row>
    <row r="3359" spans="67:80" x14ac:dyDescent="0.25">
      <c r="BO3359">
        <v>0</v>
      </c>
      <c r="BP3359">
        <v>0</v>
      </c>
      <c r="BQ3359">
        <v>0</v>
      </c>
      <c r="BR3359">
        <v>0</v>
      </c>
      <c r="BS3359">
        <v>0</v>
      </c>
      <c r="BT3359">
        <v>0</v>
      </c>
      <c r="BU3359">
        <v>0</v>
      </c>
      <c r="BV3359">
        <v>0</v>
      </c>
      <c r="BW3359" t="s">
        <v>0</v>
      </c>
      <c r="BX3359">
        <v>0</v>
      </c>
      <c r="BY3359">
        <v>0</v>
      </c>
      <c r="BZ3359">
        <v>0</v>
      </c>
      <c r="CA3359">
        <v>0</v>
      </c>
      <c r="CB3359" t="s">
        <v>145</v>
      </c>
    </row>
    <row r="3360" spans="67:80" x14ac:dyDescent="0.25">
      <c r="BO3360">
        <v>0</v>
      </c>
      <c r="BP3360">
        <v>0</v>
      </c>
      <c r="BQ3360">
        <v>0</v>
      </c>
      <c r="BR3360">
        <v>0</v>
      </c>
      <c r="BS3360">
        <v>0</v>
      </c>
      <c r="BT3360">
        <v>0</v>
      </c>
      <c r="BU3360">
        <v>0</v>
      </c>
      <c r="BV3360">
        <v>0</v>
      </c>
      <c r="BW3360" t="s">
        <v>0</v>
      </c>
      <c r="BX3360">
        <v>0</v>
      </c>
      <c r="BY3360">
        <v>0</v>
      </c>
      <c r="BZ3360">
        <v>0</v>
      </c>
      <c r="CA3360">
        <v>0</v>
      </c>
      <c r="CB3360" t="s">
        <v>145</v>
      </c>
    </row>
    <row r="3361" spans="67:80" x14ac:dyDescent="0.25">
      <c r="BO3361">
        <v>0</v>
      </c>
      <c r="BP3361">
        <v>0</v>
      </c>
      <c r="BQ3361">
        <v>0</v>
      </c>
      <c r="BR3361">
        <v>0</v>
      </c>
      <c r="BS3361">
        <v>0</v>
      </c>
      <c r="BT3361">
        <v>0</v>
      </c>
      <c r="BU3361">
        <v>0</v>
      </c>
      <c r="BV3361">
        <v>0</v>
      </c>
      <c r="BW3361" t="s">
        <v>0</v>
      </c>
      <c r="BX3361">
        <v>0</v>
      </c>
      <c r="BY3361">
        <v>0</v>
      </c>
      <c r="BZ3361">
        <v>0</v>
      </c>
      <c r="CA3361">
        <v>0</v>
      </c>
      <c r="CB3361" t="s">
        <v>145</v>
      </c>
    </row>
    <row r="3362" spans="67:80" x14ac:dyDescent="0.25">
      <c r="BO3362">
        <v>0</v>
      </c>
      <c r="BP3362">
        <v>0</v>
      </c>
      <c r="BQ3362">
        <v>0</v>
      </c>
      <c r="BR3362">
        <v>0</v>
      </c>
      <c r="BS3362">
        <v>0</v>
      </c>
      <c r="BT3362">
        <v>0</v>
      </c>
      <c r="BU3362">
        <v>0</v>
      </c>
      <c r="BV3362">
        <v>0</v>
      </c>
      <c r="BW3362" t="s">
        <v>0</v>
      </c>
      <c r="BX3362">
        <v>0</v>
      </c>
      <c r="BY3362">
        <v>0</v>
      </c>
      <c r="BZ3362">
        <v>0</v>
      </c>
      <c r="CA3362">
        <v>0</v>
      </c>
      <c r="CB3362" t="s">
        <v>145</v>
      </c>
    </row>
    <row r="3363" spans="67:80" x14ac:dyDescent="0.25">
      <c r="BO3363">
        <v>0</v>
      </c>
      <c r="BP3363">
        <v>0</v>
      </c>
      <c r="BQ3363">
        <v>0</v>
      </c>
      <c r="BR3363">
        <v>0</v>
      </c>
      <c r="BS3363">
        <v>0</v>
      </c>
      <c r="BT3363">
        <v>0</v>
      </c>
      <c r="BU3363">
        <v>0</v>
      </c>
      <c r="BV3363">
        <v>0</v>
      </c>
      <c r="BW3363" t="s">
        <v>0</v>
      </c>
      <c r="BX3363">
        <v>0</v>
      </c>
      <c r="BY3363">
        <v>0</v>
      </c>
      <c r="BZ3363">
        <v>0</v>
      </c>
      <c r="CA3363">
        <v>0</v>
      </c>
      <c r="CB3363" t="s">
        <v>145</v>
      </c>
    </row>
    <row r="3364" spans="67:80" x14ac:dyDescent="0.25">
      <c r="BO3364">
        <v>0</v>
      </c>
      <c r="BP3364">
        <v>0</v>
      </c>
      <c r="BQ3364">
        <v>0</v>
      </c>
      <c r="BR3364">
        <v>0</v>
      </c>
      <c r="BS3364">
        <v>0</v>
      </c>
      <c r="BT3364">
        <v>0</v>
      </c>
      <c r="BU3364">
        <v>0</v>
      </c>
      <c r="BV3364">
        <v>0</v>
      </c>
      <c r="BW3364" t="s">
        <v>0</v>
      </c>
      <c r="BX3364">
        <v>0</v>
      </c>
      <c r="BY3364">
        <v>0</v>
      </c>
      <c r="BZ3364">
        <v>0</v>
      </c>
      <c r="CA3364">
        <v>0</v>
      </c>
      <c r="CB3364" t="s">
        <v>145</v>
      </c>
    </row>
    <row r="3365" spans="67:80" x14ac:dyDescent="0.25">
      <c r="BO3365">
        <v>0</v>
      </c>
      <c r="BP3365">
        <v>0</v>
      </c>
      <c r="BQ3365">
        <v>0</v>
      </c>
      <c r="BR3365">
        <v>0</v>
      </c>
      <c r="BS3365">
        <v>0</v>
      </c>
      <c r="BT3365">
        <v>0</v>
      </c>
      <c r="BU3365">
        <v>0</v>
      </c>
      <c r="BV3365">
        <v>0</v>
      </c>
      <c r="BW3365" t="s">
        <v>0</v>
      </c>
      <c r="BX3365">
        <v>0</v>
      </c>
      <c r="BY3365">
        <v>0</v>
      </c>
      <c r="BZ3365">
        <v>0</v>
      </c>
      <c r="CA3365">
        <v>0</v>
      </c>
      <c r="CB3365" t="s">
        <v>145</v>
      </c>
    </row>
    <row r="3366" spans="67:80" x14ac:dyDescent="0.25">
      <c r="BO3366">
        <v>0</v>
      </c>
      <c r="BP3366">
        <v>0</v>
      </c>
      <c r="BQ3366">
        <v>0</v>
      </c>
      <c r="BR3366">
        <v>0</v>
      </c>
      <c r="BS3366">
        <v>0</v>
      </c>
      <c r="BT3366">
        <v>0</v>
      </c>
      <c r="BU3366">
        <v>0</v>
      </c>
      <c r="BV3366">
        <v>0</v>
      </c>
      <c r="BW3366" t="s">
        <v>0</v>
      </c>
      <c r="BX3366">
        <v>0</v>
      </c>
      <c r="BY3366">
        <v>0</v>
      </c>
      <c r="BZ3366">
        <v>0</v>
      </c>
      <c r="CA3366">
        <v>0</v>
      </c>
      <c r="CB3366" t="s">
        <v>145</v>
      </c>
    </row>
    <row r="3367" spans="67:80" x14ac:dyDescent="0.25">
      <c r="BO3367">
        <v>0</v>
      </c>
      <c r="BP3367">
        <v>0</v>
      </c>
      <c r="BQ3367">
        <v>0</v>
      </c>
      <c r="BR3367">
        <v>0</v>
      </c>
      <c r="BS3367">
        <v>0</v>
      </c>
      <c r="BT3367">
        <v>0</v>
      </c>
      <c r="BU3367">
        <v>0</v>
      </c>
      <c r="BV3367">
        <v>0</v>
      </c>
      <c r="BW3367" t="s">
        <v>0</v>
      </c>
      <c r="BX3367">
        <v>0</v>
      </c>
      <c r="BY3367">
        <v>0</v>
      </c>
      <c r="BZ3367">
        <v>0</v>
      </c>
      <c r="CA3367">
        <v>0</v>
      </c>
      <c r="CB3367" t="s">
        <v>145</v>
      </c>
    </row>
    <row r="3368" spans="67:80" x14ac:dyDescent="0.25">
      <c r="BO3368">
        <v>0</v>
      </c>
      <c r="BP3368">
        <v>0</v>
      </c>
      <c r="BQ3368">
        <v>0</v>
      </c>
      <c r="BR3368">
        <v>0</v>
      </c>
      <c r="BS3368">
        <v>0</v>
      </c>
      <c r="BT3368">
        <v>0</v>
      </c>
      <c r="BU3368">
        <v>0</v>
      </c>
      <c r="BV3368">
        <v>0</v>
      </c>
      <c r="BW3368" t="s">
        <v>0</v>
      </c>
      <c r="BX3368">
        <v>0</v>
      </c>
      <c r="BY3368">
        <v>0</v>
      </c>
      <c r="BZ3368">
        <v>0</v>
      </c>
      <c r="CA3368">
        <v>0</v>
      </c>
      <c r="CB3368" t="s">
        <v>145</v>
      </c>
    </row>
    <row r="3369" spans="67:80" x14ac:dyDescent="0.25">
      <c r="BO3369">
        <v>0</v>
      </c>
      <c r="BP3369">
        <v>0</v>
      </c>
      <c r="BQ3369">
        <v>0</v>
      </c>
      <c r="BR3369">
        <v>0</v>
      </c>
      <c r="BS3369">
        <v>0</v>
      </c>
      <c r="BT3369">
        <v>0</v>
      </c>
      <c r="BU3369">
        <v>0</v>
      </c>
      <c r="BV3369">
        <v>0</v>
      </c>
      <c r="BW3369" t="s">
        <v>0</v>
      </c>
      <c r="BX3369">
        <v>0</v>
      </c>
      <c r="BY3369">
        <v>0</v>
      </c>
      <c r="BZ3369">
        <v>0</v>
      </c>
      <c r="CA3369">
        <v>0</v>
      </c>
      <c r="CB3369" t="s">
        <v>145</v>
      </c>
    </row>
    <row r="3370" spans="67:80" x14ac:dyDescent="0.25">
      <c r="BO3370">
        <v>0</v>
      </c>
      <c r="BP3370">
        <v>0</v>
      </c>
      <c r="BQ3370">
        <v>0</v>
      </c>
      <c r="BR3370">
        <v>0</v>
      </c>
      <c r="BS3370">
        <v>0</v>
      </c>
      <c r="BT3370">
        <v>0</v>
      </c>
      <c r="BU3370">
        <v>0</v>
      </c>
      <c r="BV3370">
        <v>0</v>
      </c>
      <c r="BW3370" t="s">
        <v>0</v>
      </c>
      <c r="BX3370">
        <v>0</v>
      </c>
      <c r="BY3370">
        <v>0</v>
      </c>
      <c r="BZ3370">
        <v>0</v>
      </c>
      <c r="CA3370">
        <v>0</v>
      </c>
      <c r="CB3370" t="s">
        <v>145</v>
      </c>
    </row>
    <row r="3371" spans="67:80" x14ac:dyDescent="0.25">
      <c r="BO3371">
        <v>0</v>
      </c>
      <c r="BP3371">
        <v>0</v>
      </c>
      <c r="BQ3371">
        <v>0</v>
      </c>
      <c r="BR3371">
        <v>0</v>
      </c>
      <c r="BS3371">
        <v>0</v>
      </c>
      <c r="BT3371">
        <v>0</v>
      </c>
      <c r="BU3371">
        <v>0</v>
      </c>
      <c r="BV3371">
        <v>0</v>
      </c>
      <c r="BW3371" t="s">
        <v>0</v>
      </c>
      <c r="BX3371">
        <v>0</v>
      </c>
      <c r="BY3371">
        <v>0</v>
      </c>
      <c r="BZ3371">
        <v>0</v>
      </c>
      <c r="CA3371">
        <v>0</v>
      </c>
      <c r="CB3371" t="s">
        <v>145</v>
      </c>
    </row>
    <row r="3372" spans="67:80" x14ac:dyDescent="0.25">
      <c r="BO3372">
        <v>0</v>
      </c>
      <c r="BP3372">
        <v>0</v>
      </c>
      <c r="BQ3372">
        <v>0</v>
      </c>
      <c r="BR3372">
        <v>0</v>
      </c>
      <c r="BS3372">
        <v>0</v>
      </c>
      <c r="BT3372">
        <v>0</v>
      </c>
      <c r="BU3372">
        <v>0</v>
      </c>
      <c r="BV3372">
        <v>0</v>
      </c>
      <c r="BW3372" t="s">
        <v>0</v>
      </c>
      <c r="BX3372">
        <v>0</v>
      </c>
      <c r="BY3372">
        <v>0</v>
      </c>
      <c r="BZ3372">
        <v>0</v>
      </c>
      <c r="CA3372">
        <v>0</v>
      </c>
      <c r="CB3372" t="s">
        <v>145</v>
      </c>
    </row>
    <row r="3373" spans="67:80" x14ac:dyDescent="0.25">
      <c r="BO3373">
        <v>0</v>
      </c>
      <c r="BP3373">
        <v>0</v>
      </c>
      <c r="BQ3373">
        <v>0</v>
      </c>
      <c r="BR3373">
        <v>0</v>
      </c>
      <c r="BS3373">
        <v>0</v>
      </c>
      <c r="BT3373">
        <v>0</v>
      </c>
      <c r="BU3373">
        <v>0</v>
      </c>
      <c r="BV3373">
        <v>0</v>
      </c>
      <c r="BW3373" t="s">
        <v>0</v>
      </c>
      <c r="BX3373">
        <v>0</v>
      </c>
      <c r="BY3373">
        <v>0</v>
      </c>
      <c r="BZ3373">
        <v>0</v>
      </c>
      <c r="CA3373">
        <v>0</v>
      </c>
      <c r="CB3373" t="s">
        <v>145</v>
      </c>
    </row>
    <row r="3374" spans="67:80" x14ac:dyDescent="0.25">
      <c r="BO3374">
        <v>0</v>
      </c>
      <c r="BP3374">
        <v>0</v>
      </c>
      <c r="BQ3374">
        <v>0</v>
      </c>
      <c r="BR3374">
        <v>0</v>
      </c>
      <c r="BS3374">
        <v>0</v>
      </c>
      <c r="BT3374">
        <v>0</v>
      </c>
      <c r="BU3374">
        <v>0</v>
      </c>
      <c r="BV3374">
        <v>0</v>
      </c>
      <c r="BW3374" t="s">
        <v>0</v>
      </c>
      <c r="BX3374">
        <v>0</v>
      </c>
      <c r="BY3374">
        <v>0</v>
      </c>
      <c r="BZ3374">
        <v>0</v>
      </c>
      <c r="CA3374">
        <v>0</v>
      </c>
      <c r="CB3374" t="s">
        <v>145</v>
      </c>
    </row>
    <row r="3375" spans="67:80" x14ac:dyDescent="0.25">
      <c r="BO3375">
        <v>0</v>
      </c>
      <c r="BP3375">
        <v>0</v>
      </c>
      <c r="BQ3375">
        <v>0</v>
      </c>
      <c r="BR3375">
        <v>0</v>
      </c>
      <c r="BS3375">
        <v>0</v>
      </c>
      <c r="BT3375">
        <v>0</v>
      </c>
      <c r="BU3375">
        <v>0</v>
      </c>
      <c r="BV3375">
        <v>0</v>
      </c>
      <c r="BW3375" t="s">
        <v>0</v>
      </c>
      <c r="BX3375">
        <v>0</v>
      </c>
      <c r="BY3375">
        <v>0</v>
      </c>
      <c r="BZ3375">
        <v>0</v>
      </c>
      <c r="CA3375">
        <v>0</v>
      </c>
      <c r="CB3375" t="s">
        <v>145</v>
      </c>
    </row>
    <row r="3376" spans="67:80" x14ac:dyDescent="0.25">
      <c r="BO3376">
        <v>0</v>
      </c>
      <c r="BP3376">
        <v>0</v>
      </c>
      <c r="BQ3376">
        <v>0</v>
      </c>
      <c r="BR3376">
        <v>0</v>
      </c>
      <c r="BS3376">
        <v>0</v>
      </c>
      <c r="BT3376">
        <v>0</v>
      </c>
      <c r="BU3376">
        <v>0</v>
      </c>
      <c r="BV3376">
        <v>0</v>
      </c>
      <c r="BW3376" t="s">
        <v>0</v>
      </c>
      <c r="BX3376">
        <v>0</v>
      </c>
      <c r="BY3376">
        <v>0</v>
      </c>
      <c r="BZ3376">
        <v>0</v>
      </c>
      <c r="CA3376">
        <v>0</v>
      </c>
      <c r="CB3376" t="s">
        <v>145</v>
      </c>
    </row>
    <row r="3377" spans="67:80" x14ac:dyDescent="0.25">
      <c r="BO3377">
        <v>0</v>
      </c>
      <c r="BP3377">
        <v>0</v>
      </c>
      <c r="BQ3377">
        <v>0</v>
      </c>
      <c r="BR3377">
        <v>0</v>
      </c>
      <c r="BS3377">
        <v>0</v>
      </c>
      <c r="BT3377">
        <v>0</v>
      </c>
      <c r="BU3377">
        <v>0</v>
      </c>
      <c r="BV3377">
        <v>0</v>
      </c>
      <c r="BW3377" t="s">
        <v>0</v>
      </c>
      <c r="BX3377">
        <v>0</v>
      </c>
      <c r="BY3377">
        <v>0</v>
      </c>
      <c r="BZ3377">
        <v>0</v>
      </c>
      <c r="CA3377">
        <v>0</v>
      </c>
      <c r="CB3377" t="s">
        <v>145</v>
      </c>
    </row>
    <row r="3378" spans="67:80" x14ac:dyDescent="0.25">
      <c r="BO3378">
        <v>0</v>
      </c>
      <c r="BP3378">
        <v>0</v>
      </c>
      <c r="BQ3378">
        <v>0</v>
      </c>
      <c r="BR3378">
        <v>0</v>
      </c>
      <c r="BS3378">
        <v>0</v>
      </c>
      <c r="BT3378">
        <v>0</v>
      </c>
      <c r="BU3378">
        <v>0</v>
      </c>
      <c r="BV3378">
        <v>0</v>
      </c>
      <c r="BW3378" t="s">
        <v>0</v>
      </c>
      <c r="BX3378">
        <v>0</v>
      </c>
      <c r="BY3378">
        <v>0</v>
      </c>
      <c r="BZ3378">
        <v>0</v>
      </c>
      <c r="CA3378">
        <v>0</v>
      </c>
      <c r="CB3378" t="s">
        <v>145</v>
      </c>
    </row>
    <row r="3379" spans="67:80" x14ac:dyDescent="0.25">
      <c r="BO3379">
        <v>0</v>
      </c>
      <c r="BP3379">
        <v>0</v>
      </c>
      <c r="BQ3379">
        <v>0</v>
      </c>
      <c r="BR3379">
        <v>0</v>
      </c>
      <c r="BS3379">
        <v>0</v>
      </c>
      <c r="BT3379">
        <v>0</v>
      </c>
      <c r="BU3379">
        <v>0</v>
      </c>
      <c r="BV3379">
        <v>0</v>
      </c>
      <c r="BW3379" t="s">
        <v>0</v>
      </c>
      <c r="BX3379">
        <v>0</v>
      </c>
      <c r="BY3379">
        <v>0</v>
      </c>
      <c r="BZ3379">
        <v>0</v>
      </c>
      <c r="CA3379">
        <v>0</v>
      </c>
      <c r="CB3379" t="s">
        <v>145</v>
      </c>
    </row>
    <row r="3380" spans="67:80" x14ac:dyDescent="0.25">
      <c r="BO3380">
        <v>0</v>
      </c>
      <c r="BP3380">
        <v>0</v>
      </c>
      <c r="BQ3380">
        <v>0</v>
      </c>
      <c r="BR3380">
        <v>0</v>
      </c>
      <c r="BS3380">
        <v>0</v>
      </c>
      <c r="BT3380">
        <v>0</v>
      </c>
      <c r="BU3380">
        <v>0</v>
      </c>
      <c r="BV3380">
        <v>0</v>
      </c>
      <c r="BW3380" t="s">
        <v>0</v>
      </c>
      <c r="BX3380">
        <v>0</v>
      </c>
      <c r="BY3380">
        <v>0</v>
      </c>
      <c r="BZ3380">
        <v>0</v>
      </c>
      <c r="CA3380">
        <v>0</v>
      </c>
      <c r="CB3380" t="s">
        <v>145</v>
      </c>
    </row>
    <row r="3381" spans="67:80" x14ac:dyDescent="0.25">
      <c r="BO3381">
        <v>0</v>
      </c>
      <c r="BP3381">
        <v>0</v>
      </c>
      <c r="BQ3381">
        <v>0</v>
      </c>
      <c r="BR3381">
        <v>0</v>
      </c>
      <c r="BS3381">
        <v>0</v>
      </c>
      <c r="BT3381">
        <v>0</v>
      </c>
      <c r="BU3381">
        <v>0</v>
      </c>
      <c r="BV3381">
        <v>0</v>
      </c>
      <c r="BW3381" t="s">
        <v>0</v>
      </c>
      <c r="BX3381">
        <v>0</v>
      </c>
      <c r="BY3381">
        <v>0</v>
      </c>
      <c r="BZ3381">
        <v>0</v>
      </c>
      <c r="CA3381">
        <v>0</v>
      </c>
      <c r="CB3381" t="s">
        <v>145</v>
      </c>
    </row>
    <row r="3382" spans="67:80" x14ac:dyDescent="0.25">
      <c r="BO3382">
        <v>0</v>
      </c>
      <c r="BP3382">
        <v>0</v>
      </c>
      <c r="BQ3382">
        <v>0</v>
      </c>
      <c r="BR3382">
        <v>0</v>
      </c>
      <c r="BS3382">
        <v>0</v>
      </c>
      <c r="BT3382">
        <v>0</v>
      </c>
      <c r="BU3382">
        <v>0</v>
      </c>
      <c r="BV3382">
        <v>0</v>
      </c>
      <c r="BW3382" t="s">
        <v>0</v>
      </c>
      <c r="BX3382">
        <v>0</v>
      </c>
      <c r="BY3382">
        <v>0</v>
      </c>
      <c r="BZ3382">
        <v>0</v>
      </c>
      <c r="CA3382">
        <v>0</v>
      </c>
      <c r="CB3382" t="s">
        <v>145</v>
      </c>
    </row>
    <row r="3383" spans="67:80" x14ac:dyDescent="0.25">
      <c r="BO3383">
        <v>0</v>
      </c>
      <c r="BP3383">
        <v>0</v>
      </c>
      <c r="BQ3383">
        <v>0</v>
      </c>
      <c r="BR3383">
        <v>0</v>
      </c>
      <c r="BS3383">
        <v>0</v>
      </c>
      <c r="BT3383">
        <v>0</v>
      </c>
      <c r="BU3383">
        <v>0</v>
      </c>
      <c r="BV3383">
        <v>0</v>
      </c>
      <c r="BW3383" t="s">
        <v>0</v>
      </c>
      <c r="BX3383">
        <v>0</v>
      </c>
      <c r="BY3383">
        <v>0</v>
      </c>
      <c r="BZ3383">
        <v>0</v>
      </c>
      <c r="CA3383">
        <v>0</v>
      </c>
      <c r="CB3383" t="s">
        <v>145</v>
      </c>
    </row>
    <row r="3384" spans="67:80" x14ac:dyDescent="0.25">
      <c r="BO3384">
        <v>0</v>
      </c>
      <c r="BP3384">
        <v>0</v>
      </c>
      <c r="BQ3384">
        <v>0</v>
      </c>
      <c r="BR3384">
        <v>0</v>
      </c>
      <c r="BS3384">
        <v>0</v>
      </c>
      <c r="BT3384">
        <v>0</v>
      </c>
      <c r="BU3384">
        <v>0</v>
      </c>
      <c r="BV3384">
        <v>0</v>
      </c>
      <c r="BW3384" t="s">
        <v>0</v>
      </c>
      <c r="BX3384">
        <v>0</v>
      </c>
      <c r="BY3384">
        <v>0</v>
      </c>
      <c r="BZ3384">
        <v>0</v>
      </c>
      <c r="CA3384">
        <v>0</v>
      </c>
      <c r="CB3384" t="s">
        <v>145</v>
      </c>
    </row>
    <row r="3385" spans="67:80" x14ac:dyDescent="0.25">
      <c r="BO3385">
        <v>0</v>
      </c>
      <c r="BP3385">
        <v>0</v>
      </c>
      <c r="BQ3385">
        <v>0</v>
      </c>
      <c r="BR3385">
        <v>0</v>
      </c>
      <c r="BS3385">
        <v>0</v>
      </c>
      <c r="BT3385">
        <v>0</v>
      </c>
      <c r="BU3385">
        <v>0</v>
      </c>
      <c r="BV3385">
        <v>0</v>
      </c>
      <c r="BW3385" t="s">
        <v>0</v>
      </c>
      <c r="BX3385">
        <v>0</v>
      </c>
      <c r="BY3385">
        <v>0</v>
      </c>
      <c r="BZ3385">
        <v>0</v>
      </c>
      <c r="CA3385">
        <v>0</v>
      </c>
      <c r="CB3385" t="s">
        <v>145</v>
      </c>
    </row>
    <row r="3386" spans="67:80" x14ac:dyDescent="0.25">
      <c r="BO3386">
        <v>0</v>
      </c>
      <c r="BP3386">
        <v>0</v>
      </c>
      <c r="BQ3386">
        <v>0</v>
      </c>
      <c r="BR3386">
        <v>0</v>
      </c>
      <c r="BS3386">
        <v>0</v>
      </c>
      <c r="BT3386">
        <v>0</v>
      </c>
      <c r="BU3386">
        <v>0</v>
      </c>
      <c r="BV3386">
        <v>0</v>
      </c>
      <c r="BW3386" t="s">
        <v>0</v>
      </c>
      <c r="BX3386">
        <v>0</v>
      </c>
      <c r="BY3386">
        <v>0</v>
      </c>
      <c r="BZ3386">
        <v>0</v>
      </c>
      <c r="CA3386">
        <v>0</v>
      </c>
      <c r="CB3386" t="s">
        <v>145</v>
      </c>
    </row>
    <row r="3387" spans="67:80" x14ac:dyDescent="0.25">
      <c r="BO3387">
        <v>0</v>
      </c>
      <c r="BP3387">
        <v>0</v>
      </c>
      <c r="BQ3387">
        <v>0</v>
      </c>
      <c r="BR3387">
        <v>0</v>
      </c>
      <c r="BS3387">
        <v>0</v>
      </c>
      <c r="BT3387">
        <v>0</v>
      </c>
      <c r="BU3387">
        <v>0</v>
      </c>
      <c r="BV3387">
        <v>0</v>
      </c>
      <c r="BW3387" t="s">
        <v>0</v>
      </c>
      <c r="BX3387">
        <v>0</v>
      </c>
      <c r="BY3387">
        <v>0</v>
      </c>
      <c r="BZ3387">
        <v>0</v>
      </c>
      <c r="CA3387">
        <v>0</v>
      </c>
      <c r="CB3387" t="s">
        <v>145</v>
      </c>
    </row>
    <row r="3388" spans="67:80" x14ac:dyDescent="0.25">
      <c r="BO3388">
        <v>0</v>
      </c>
      <c r="BP3388">
        <v>0</v>
      </c>
      <c r="BQ3388">
        <v>0</v>
      </c>
      <c r="BR3388">
        <v>0</v>
      </c>
      <c r="BS3388">
        <v>0</v>
      </c>
      <c r="BT3388">
        <v>0</v>
      </c>
      <c r="BU3388">
        <v>0</v>
      </c>
      <c r="BV3388">
        <v>0</v>
      </c>
      <c r="BW3388" t="s">
        <v>0</v>
      </c>
      <c r="BX3388">
        <v>0</v>
      </c>
      <c r="BY3388">
        <v>0</v>
      </c>
      <c r="BZ3388">
        <v>0</v>
      </c>
      <c r="CA3388">
        <v>0</v>
      </c>
      <c r="CB3388" t="s">
        <v>145</v>
      </c>
    </row>
    <row r="3389" spans="67:80" x14ac:dyDescent="0.25">
      <c r="BO3389">
        <v>0</v>
      </c>
      <c r="BP3389">
        <v>0</v>
      </c>
      <c r="BQ3389">
        <v>0</v>
      </c>
      <c r="BR3389">
        <v>0</v>
      </c>
      <c r="BS3389">
        <v>0</v>
      </c>
      <c r="BT3389">
        <v>0</v>
      </c>
      <c r="BU3389">
        <v>0</v>
      </c>
      <c r="BV3389">
        <v>0</v>
      </c>
      <c r="BW3389" t="s">
        <v>0</v>
      </c>
      <c r="BX3389">
        <v>0</v>
      </c>
      <c r="BY3389">
        <v>0</v>
      </c>
      <c r="BZ3389">
        <v>0</v>
      </c>
      <c r="CA3389">
        <v>0</v>
      </c>
      <c r="CB3389" t="s">
        <v>145</v>
      </c>
    </row>
    <row r="3390" spans="67:80" x14ac:dyDescent="0.25">
      <c r="BO3390">
        <v>0</v>
      </c>
      <c r="BP3390">
        <v>0</v>
      </c>
      <c r="BQ3390">
        <v>0</v>
      </c>
      <c r="BR3390">
        <v>0</v>
      </c>
      <c r="BS3390">
        <v>0</v>
      </c>
      <c r="BT3390">
        <v>0</v>
      </c>
      <c r="BU3390">
        <v>0</v>
      </c>
      <c r="BV3390">
        <v>0</v>
      </c>
      <c r="BW3390" t="s">
        <v>0</v>
      </c>
      <c r="BX3390">
        <v>0</v>
      </c>
      <c r="BY3390">
        <v>0</v>
      </c>
      <c r="BZ3390">
        <v>0</v>
      </c>
      <c r="CA3390">
        <v>0</v>
      </c>
      <c r="CB3390" t="s">
        <v>145</v>
      </c>
    </row>
    <row r="3391" spans="67:80" x14ac:dyDescent="0.25">
      <c r="BO3391">
        <v>0</v>
      </c>
      <c r="BP3391">
        <v>0</v>
      </c>
      <c r="BQ3391">
        <v>0</v>
      </c>
      <c r="BR3391">
        <v>0</v>
      </c>
      <c r="BS3391">
        <v>0</v>
      </c>
      <c r="BT3391">
        <v>0</v>
      </c>
      <c r="BU3391">
        <v>0</v>
      </c>
      <c r="BV3391">
        <v>0</v>
      </c>
      <c r="BW3391" t="s">
        <v>0</v>
      </c>
      <c r="BX3391">
        <v>0</v>
      </c>
      <c r="BY3391">
        <v>0</v>
      </c>
      <c r="BZ3391">
        <v>0</v>
      </c>
      <c r="CA3391">
        <v>0</v>
      </c>
      <c r="CB3391" t="s">
        <v>145</v>
      </c>
    </row>
    <row r="3392" spans="67:80" x14ac:dyDescent="0.25">
      <c r="BO3392">
        <v>0</v>
      </c>
      <c r="BP3392">
        <v>0</v>
      </c>
      <c r="BQ3392">
        <v>0</v>
      </c>
      <c r="BR3392">
        <v>0</v>
      </c>
      <c r="BS3392">
        <v>0</v>
      </c>
      <c r="BT3392">
        <v>0</v>
      </c>
      <c r="BU3392">
        <v>0</v>
      </c>
      <c r="BV3392">
        <v>0</v>
      </c>
      <c r="BW3392" t="s">
        <v>0</v>
      </c>
      <c r="BX3392">
        <v>0</v>
      </c>
      <c r="BY3392">
        <v>0</v>
      </c>
      <c r="BZ3392">
        <v>0</v>
      </c>
      <c r="CA3392">
        <v>0</v>
      </c>
      <c r="CB3392" t="s">
        <v>145</v>
      </c>
    </row>
    <row r="3393" spans="67:80" x14ac:dyDescent="0.25">
      <c r="BO3393">
        <v>0</v>
      </c>
      <c r="BP3393">
        <v>0</v>
      </c>
      <c r="BQ3393">
        <v>0</v>
      </c>
      <c r="BR3393">
        <v>0</v>
      </c>
      <c r="BS3393">
        <v>0</v>
      </c>
      <c r="BT3393">
        <v>0</v>
      </c>
      <c r="BU3393">
        <v>0</v>
      </c>
      <c r="BV3393">
        <v>0</v>
      </c>
      <c r="BW3393" t="s">
        <v>0</v>
      </c>
      <c r="BX3393">
        <v>0</v>
      </c>
      <c r="BY3393">
        <v>0</v>
      </c>
      <c r="BZ3393">
        <v>0</v>
      </c>
      <c r="CA3393">
        <v>0</v>
      </c>
      <c r="CB3393" t="s">
        <v>145</v>
      </c>
    </row>
    <row r="3394" spans="67:80" x14ac:dyDescent="0.25">
      <c r="BO3394">
        <v>0</v>
      </c>
      <c r="BP3394">
        <v>0</v>
      </c>
      <c r="BQ3394">
        <v>0</v>
      </c>
      <c r="BR3394">
        <v>0</v>
      </c>
      <c r="BS3394">
        <v>0</v>
      </c>
      <c r="BT3394">
        <v>0</v>
      </c>
      <c r="BU3394">
        <v>0</v>
      </c>
      <c r="BV3394">
        <v>0</v>
      </c>
      <c r="BW3394" t="s">
        <v>0</v>
      </c>
      <c r="BX3394">
        <v>0</v>
      </c>
      <c r="BY3394">
        <v>0</v>
      </c>
      <c r="BZ3394">
        <v>0</v>
      </c>
      <c r="CA3394">
        <v>0</v>
      </c>
      <c r="CB3394" t="s">
        <v>145</v>
      </c>
    </row>
    <row r="3395" spans="67:80" x14ac:dyDescent="0.25">
      <c r="BO3395">
        <v>0</v>
      </c>
      <c r="BP3395">
        <v>0</v>
      </c>
      <c r="BQ3395">
        <v>0</v>
      </c>
      <c r="BR3395">
        <v>0</v>
      </c>
      <c r="BS3395">
        <v>0</v>
      </c>
      <c r="BT3395">
        <v>0</v>
      </c>
      <c r="BU3395">
        <v>0</v>
      </c>
      <c r="BV3395">
        <v>0</v>
      </c>
      <c r="BW3395" t="s">
        <v>0</v>
      </c>
      <c r="BX3395">
        <v>0</v>
      </c>
      <c r="BY3395">
        <v>0</v>
      </c>
      <c r="BZ3395">
        <v>0</v>
      </c>
      <c r="CA3395">
        <v>0</v>
      </c>
      <c r="CB3395" t="s">
        <v>145</v>
      </c>
    </row>
    <row r="3396" spans="67:80" x14ac:dyDescent="0.25">
      <c r="BO3396">
        <v>0</v>
      </c>
      <c r="BP3396">
        <v>0</v>
      </c>
      <c r="BQ3396">
        <v>0</v>
      </c>
      <c r="BR3396">
        <v>0</v>
      </c>
      <c r="BS3396">
        <v>0</v>
      </c>
      <c r="BT3396">
        <v>0</v>
      </c>
      <c r="BU3396">
        <v>0</v>
      </c>
      <c r="BV3396">
        <v>0</v>
      </c>
      <c r="BW3396" t="s">
        <v>0</v>
      </c>
      <c r="BX3396">
        <v>0</v>
      </c>
      <c r="BY3396">
        <v>0</v>
      </c>
      <c r="BZ3396">
        <v>0</v>
      </c>
      <c r="CA3396">
        <v>0</v>
      </c>
      <c r="CB3396" t="s">
        <v>145</v>
      </c>
    </row>
    <row r="3397" spans="67:80" x14ac:dyDescent="0.25">
      <c r="BO3397">
        <v>0</v>
      </c>
      <c r="BP3397">
        <v>0</v>
      </c>
      <c r="BQ3397">
        <v>0</v>
      </c>
      <c r="BR3397">
        <v>0</v>
      </c>
      <c r="BS3397">
        <v>0</v>
      </c>
      <c r="BT3397">
        <v>0</v>
      </c>
      <c r="BU3397">
        <v>0</v>
      </c>
      <c r="BV3397">
        <v>0</v>
      </c>
      <c r="BW3397" t="s">
        <v>0</v>
      </c>
      <c r="BX3397">
        <v>0</v>
      </c>
      <c r="BY3397">
        <v>0</v>
      </c>
      <c r="BZ3397">
        <v>0</v>
      </c>
      <c r="CA3397">
        <v>0</v>
      </c>
      <c r="CB3397" t="s">
        <v>145</v>
      </c>
    </row>
    <row r="3398" spans="67:80" x14ac:dyDescent="0.25">
      <c r="BO3398">
        <v>0</v>
      </c>
      <c r="BP3398">
        <v>0</v>
      </c>
      <c r="BQ3398">
        <v>0</v>
      </c>
      <c r="BR3398">
        <v>0</v>
      </c>
      <c r="BS3398">
        <v>0</v>
      </c>
      <c r="BT3398">
        <v>0</v>
      </c>
      <c r="BU3398">
        <v>0</v>
      </c>
      <c r="BV3398">
        <v>0</v>
      </c>
      <c r="BW3398" t="s">
        <v>0</v>
      </c>
      <c r="BX3398">
        <v>0</v>
      </c>
      <c r="BY3398">
        <v>0</v>
      </c>
      <c r="BZ3398">
        <v>0</v>
      </c>
      <c r="CA3398">
        <v>0</v>
      </c>
      <c r="CB3398" t="s">
        <v>145</v>
      </c>
    </row>
    <row r="3399" spans="67:80" x14ac:dyDescent="0.25">
      <c r="BO3399">
        <v>0</v>
      </c>
      <c r="BP3399">
        <v>0</v>
      </c>
      <c r="BQ3399">
        <v>0</v>
      </c>
      <c r="BR3399">
        <v>0</v>
      </c>
      <c r="BS3399">
        <v>0</v>
      </c>
      <c r="BT3399">
        <v>0</v>
      </c>
      <c r="BU3399">
        <v>0</v>
      </c>
      <c r="BV3399">
        <v>0</v>
      </c>
      <c r="BW3399" t="s">
        <v>0</v>
      </c>
      <c r="BX3399">
        <v>0</v>
      </c>
      <c r="BY3399">
        <v>0</v>
      </c>
      <c r="BZ3399">
        <v>0</v>
      </c>
      <c r="CA3399">
        <v>0</v>
      </c>
      <c r="CB3399" t="s">
        <v>145</v>
      </c>
    </row>
    <row r="3400" spans="67:80" x14ac:dyDescent="0.25">
      <c r="BO3400">
        <v>0</v>
      </c>
      <c r="BP3400">
        <v>0</v>
      </c>
      <c r="BQ3400">
        <v>0</v>
      </c>
      <c r="BR3400">
        <v>0</v>
      </c>
      <c r="BS3400">
        <v>0</v>
      </c>
      <c r="BT3400">
        <v>0</v>
      </c>
      <c r="BU3400">
        <v>0</v>
      </c>
      <c r="BV3400">
        <v>0</v>
      </c>
      <c r="BW3400" t="s">
        <v>0</v>
      </c>
      <c r="BX3400">
        <v>0</v>
      </c>
      <c r="BY3400">
        <v>0</v>
      </c>
      <c r="BZ3400">
        <v>0</v>
      </c>
      <c r="CA3400">
        <v>0</v>
      </c>
      <c r="CB3400" t="s">
        <v>145</v>
      </c>
    </row>
    <row r="3401" spans="67:80" x14ac:dyDescent="0.25">
      <c r="BO3401">
        <v>0</v>
      </c>
      <c r="BP3401">
        <v>0</v>
      </c>
      <c r="BQ3401">
        <v>0</v>
      </c>
      <c r="BR3401">
        <v>0</v>
      </c>
      <c r="BS3401">
        <v>0</v>
      </c>
      <c r="BT3401">
        <v>0</v>
      </c>
      <c r="BU3401">
        <v>0</v>
      </c>
      <c r="BV3401">
        <v>0</v>
      </c>
      <c r="BW3401" t="s">
        <v>0</v>
      </c>
      <c r="BX3401">
        <v>0</v>
      </c>
      <c r="BY3401">
        <v>0</v>
      </c>
      <c r="BZ3401">
        <v>0</v>
      </c>
      <c r="CA3401">
        <v>0</v>
      </c>
      <c r="CB3401" t="s">
        <v>145</v>
      </c>
    </row>
    <row r="3402" spans="67:80" x14ac:dyDescent="0.25">
      <c r="BO3402">
        <v>0</v>
      </c>
      <c r="BP3402">
        <v>0</v>
      </c>
      <c r="BQ3402">
        <v>0</v>
      </c>
      <c r="BR3402">
        <v>0</v>
      </c>
      <c r="BS3402">
        <v>0</v>
      </c>
      <c r="BT3402">
        <v>0</v>
      </c>
      <c r="BU3402">
        <v>0</v>
      </c>
      <c r="BV3402">
        <v>0</v>
      </c>
      <c r="BW3402" t="s">
        <v>0</v>
      </c>
      <c r="BX3402">
        <v>0</v>
      </c>
      <c r="BY3402">
        <v>0</v>
      </c>
      <c r="BZ3402">
        <v>0</v>
      </c>
      <c r="CA3402">
        <v>0</v>
      </c>
      <c r="CB3402" t="s">
        <v>145</v>
      </c>
    </row>
    <row r="3403" spans="67:80" x14ac:dyDescent="0.25">
      <c r="BO3403">
        <v>0</v>
      </c>
      <c r="BP3403">
        <v>0</v>
      </c>
      <c r="BQ3403">
        <v>0</v>
      </c>
      <c r="BR3403">
        <v>0</v>
      </c>
      <c r="BS3403">
        <v>0</v>
      </c>
      <c r="BT3403">
        <v>0</v>
      </c>
      <c r="BU3403">
        <v>0</v>
      </c>
      <c r="BV3403">
        <v>0</v>
      </c>
      <c r="BW3403" t="s">
        <v>0</v>
      </c>
      <c r="BX3403">
        <v>0</v>
      </c>
      <c r="BY3403">
        <v>0</v>
      </c>
      <c r="BZ3403">
        <v>0</v>
      </c>
      <c r="CA3403">
        <v>0</v>
      </c>
      <c r="CB3403" t="s">
        <v>145</v>
      </c>
    </row>
    <row r="3404" spans="67:80" x14ac:dyDescent="0.25">
      <c r="BO3404">
        <v>0</v>
      </c>
      <c r="BP3404">
        <v>0</v>
      </c>
      <c r="BQ3404">
        <v>0</v>
      </c>
      <c r="BR3404">
        <v>0</v>
      </c>
      <c r="BS3404">
        <v>0</v>
      </c>
      <c r="BT3404">
        <v>0</v>
      </c>
      <c r="BU3404">
        <v>0</v>
      </c>
      <c r="BV3404">
        <v>0</v>
      </c>
      <c r="BW3404" t="s">
        <v>0</v>
      </c>
      <c r="BX3404">
        <v>0</v>
      </c>
      <c r="BY3404">
        <v>0</v>
      </c>
      <c r="BZ3404">
        <v>0</v>
      </c>
      <c r="CA3404">
        <v>0</v>
      </c>
      <c r="CB3404" t="s">
        <v>145</v>
      </c>
    </row>
    <row r="3405" spans="67:80" x14ac:dyDescent="0.25">
      <c r="BO3405">
        <v>0</v>
      </c>
      <c r="BP3405">
        <v>0</v>
      </c>
      <c r="BQ3405">
        <v>0</v>
      </c>
      <c r="BR3405">
        <v>0</v>
      </c>
      <c r="BS3405">
        <v>0</v>
      </c>
      <c r="BT3405">
        <v>0</v>
      </c>
      <c r="BU3405">
        <v>0</v>
      </c>
      <c r="BV3405">
        <v>0</v>
      </c>
      <c r="BW3405" t="s">
        <v>0</v>
      </c>
      <c r="BX3405">
        <v>0</v>
      </c>
      <c r="BY3405">
        <v>0</v>
      </c>
      <c r="BZ3405">
        <v>0</v>
      </c>
      <c r="CA3405">
        <v>0</v>
      </c>
      <c r="CB3405" t="s">
        <v>145</v>
      </c>
    </row>
    <row r="3406" spans="67:80" x14ac:dyDescent="0.25">
      <c r="BO3406">
        <v>0</v>
      </c>
      <c r="BP3406">
        <v>0</v>
      </c>
      <c r="BQ3406">
        <v>0</v>
      </c>
      <c r="BR3406">
        <v>0</v>
      </c>
      <c r="BS3406">
        <v>0</v>
      </c>
      <c r="BT3406">
        <v>0</v>
      </c>
      <c r="BU3406">
        <v>0</v>
      </c>
      <c r="BV3406">
        <v>0</v>
      </c>
      <c r="BW3406" t="s">
        <v>0</v>
      </c>
      <c r="BX3406">
        <v>0</v>
      </c>
      <c r="BY3406">
        <v>0</v>
      </c>
      <c r="BZ3406">
        <v>0</v>
      </c>
      <c r="CA3406">
        <v>0</v>
      </c>
      <c r="CB3406" t="s">
        <v>145</v>
      </c>
    </row>
    <row r="3407" spans="67:80" x14ac:dyDescent="0.25">
      <c r="BO3407">
        <v>0</v>
      </c>
      <c r="BP3407">
        <v>0</v>
      </c>
      <c r="BQ3407">
        <v>0</v>
      </c>
      <c r="BR3407">
        <v>0</v>
      </c>
      <c r="BS3407">
        <v>0</v>
      </c>
      <c r="BT3407">
        <v>0</v>
      </c>
      <c r="BU3407">
        <v>0</v>
      </c>
      <c r="BV3407">
        <v>0</v>
      </c>
      <c r="BW3407" t="s">
        <v>0</v>
      </c>
      <c r="BX3407">
        <v>0</v>
      </c>
      <c r="BY3407">
        <v>0</v>
      </c>
      <c r="BZ3407">
        <v>0</v>
      </c>
      <c r="CA3407">
        <v>0</v>
      </c>
      <c r="CB3407" t="s">
        <v>145</v>
      </c>
    </row>
    <row r="3408" spans="67:80" x14ac:dyDescent="0.25">
      <c r="BO3408">
        <v>0</v>
      </c>
      <c r="BP3408">
        <v>0</v>
      </c>
      <c r="BQ3408">
        <v>0</v>
      </c>
      <c r="BR3408">
        <v>0</v>
      </c>
      <c r="BS3408">
        <v>0</v>
      </c>
      <c r="BT3408">
        <v>0</v>
      </c>
      <c r="BU3408">
        <v>0</v>
      </c>
      <c r="BV3408">
        <v>0</v>
      </c>
      <c r="BW3408" t="s">
        <v>0</v>
      </c>
      <c r="BX3408">
        <v>0</v>
      </c>
      <c r="BY3408">
        <v>0</v>
      </c>
      <c r="BZ3408">
        <v>0</v>
      </c>
      <c r="CA3408">
        <v>0</v>
      </c>
      <c r="CB3408" t="s">
        <v>145</v>
      </c>
    </row>
    <row r="3409" spans="67:80" x14ac:dyDescent="0.25">
      <c r="BO3409">
        <v>0</v>
      </c>
      <c r="BP3409">
        <v>0</v>
      </c>
      <c r="BQ3409">
        <v>0</v>
      </c>
      <c r="BR3409">
        <v>0</v>
      </c>
      <c r="BS3409">
        <v>0</v>
      </c>
      <c r="BT3409">
        <v>0</v>
      </c>
      <c r="BU3409">
        <v>0</v>
      </c>
      <c r="BV3409">
        <v>0</v>
      </c>
      <c r="BW3409" t="s">
        <v>0</v>
      </c>
      <c r="BX3409">
        <v>0</v>
      </c>
      <c r="BY3409">
        <v>0</v>
      </c>
      <c r="BZ3409">
        <v>0</v>
      </c>
      <c r="CA3409">
        <v>0</v>
      </c>
      <c r="CB3409" t="s">
        <v>145</v>
      </c>
    </row>
    <row r="3410" spans="67:80" x14ac:dyDescent="0.25">
      <c r="BO3410">
        <v>0</v>
      </c>
      <c r="BP3410">
        <v>0</v>
      </c>
      <c r="BQ3410">
        <v>0</v>
      </c>
      <c r="BR3410">
        <v>0</v>
      </c>
      <c r="BS3410">
        <v>0</v>
      </c>
      <c r="BT3410">
        <v>0</v>
      </c>
      <c r="BU3410">
        <v>0</v>
      </c>
      <c r="BV3410">
        <v>0</v>
      </c>
      <c r="BW3410" t="s">
        <v>0</v>
      </c>
      <c r="BX3410">
        <v>0</v>
      </c>
      <c r="BY3410">
        <v>0</v>
      </c>
      <c r="BZ3410">
        <v>0</v>
      </c>
      <c r="CA3410">
        <v>0</v>
      </c>
      <c r="CB3410" t="s">
        <v>145</v>
      </c>
    </row>
    <row r="3411" spans="67:80" x14ac:dyDescent="0.25">
      <c r="BO3411">
        <v>0</v>
      </c>
      <c r="BP3411">
        <v>0</v>
      </c>
      <c r="BQ3411">
        <v>0</v>
      </c>
      <c r="BR3411">
        <v>0</v>
      </c>
      <c r="BS3411">
        <v>0</v>
      </c>
      <c r="BT3411">
        <v>0</v>
      </c>
      <c r="BU3411">
        <v>0</v>
      </c>
      <c r="BV3411">
        <v>0</v>
      </c>
      <c r="BW3411" t="s">
        <v>0</v>
      </c>
      <c r="BX3411">
        <v>0</v>
      </c>
      <c r="BY3411">
        <v>0</v>
      </c>
      <c r="BZ3411">
        <v>0</v>
      </c>
      <c r="CA3411">
        <v>0</v>
      </c>
      <c r="CB3411" t="s">
        <v>145</v>
      </c>
    </row>
    <row r="3412" spans="67:80" x14ac:dyDescent="0.25">
      <c r="BO3412">
        <v>0</v>
      </c>
      <c r="BP3412">
        <v>0</v>
      </c>
      <c r="BQ3412">
        <v>0</v>
      </c>
      <c r="BR3412">
        <v>0</v>
      </c>
      <c r="BS3412">
        <v>0</v>
      </c>
      <c r="BT3412">
        <v>0</v>
      </c>
      <c r="BU3412">
        <v>0</v>
      </c>
      <c r="BV3412">
        <v>0</v>
      </c>
      <c r="BW3412" t="s">
        <v>0</v>
      </c>
      <c r="BX3412">
        <v>0</v>
      </c>
      <c r="BY3412">
        <v>0</v>
      </c>
      <c r="BZ3412">
        <v>0</v>
      </c>
      <c r="CA3412">
        <v>0</v>
      </c>
      <c r="CB3412" t="s">
        <v>145</v>
      </c>
    </row>
    <row r="3413" spans="67:80" x14ac:dyDescent="0.25">
      <c r="BO3413">
        <v>0</v>
      </c>
      <c r="BP3413">
        <v>0</v>
      </c>
      <c r="BQ3413">
        <v>0</v>
      </c>
      <c r="BR3413">
        <v>0</v>
      </c>
      <c r="BS3413">
        <v>0</v>
      </c>
      <c r="BT3413">
        <v>0</v>
      </c>
      <c r="BU3413">
        <v>0</v>
      </c>
      <c r="BV3413">
        <v>0</v>
      </c>
      <c r="BW3413" t="s">
        <v>0</v>
      </c>
      <c r="BX3413">
        <v>0</v>
      </c>
      <c r="BY3413">
        <v>0</v>
      </c>
      <c r="BZ3413">
        <v>0</v>
      </c>
      <c r="CA3413">
        <v>0</v>
      </c>
      <c r="CB3413" t="s">
        <v>145</v>
      </c>
    </row>
    <row r="3414" spans="67:80" x14ac:dyDescent="0.25">
      <c r="BO3414">
        <v>0</v>
      </c>
      <c r="BP3414">
        <v>0</v>
      </c>
      <c r="BQ3414">
        <v>0</v>
      </c>
      <c r="BR3414">
        <v>0</v>
      </c>
      <c r="BS3414">
        <v>0</v>
      </c>
      <c r="BT3414">
        <v>0</v>
      </c>
      <c r="BU3414">
        <v>0</v>
      </c>
      <c r="BV3414">
        <v>0</v>
      </c>
      <c r="BW3414" t="s">
        <v>0</v>
      </c>
      <c r="BX3414">
        <v>0</v>
      </c>
      <c r="BY3414">
        <v>0</v>
      </c>
      <c r="BZ3414">
        <v>0</v>
      </c>
      <c r="CA3414">
        <v>0</v>
      </c>
      <c r="CB3414" t="s">
        <v>145</v>
      </c>
    </row>
    <row r="3415" spans="67:80" x14ac:dyDescent="0.25">
      <c r="BO3415">
        <v>0</v>
      </c>
      <c r="BP3415">
        <v>0</v>
      </c>
      <c r="BQ3415">
        <v>0</v>
      </c>
      <c r="BR3415">
        <v>0</v>
      </c>
      <c r="BS3415">
        <v>0</v>
      </c>
      <c r="BT3415">
        <v>0</v>
      </c>
      <c r="BU3415">
        <v>0</v>
      </c>
      <c r="BV3415">
        <v>0</v>
      </c>
      <c r="BW3415" t="s">
        <v>0</v>
      </c>
      <c r="BX3415">
        <v>0</v>
      </c>
      <c r="BY3415">
        <v>0</v>
      </c>
      <c r="BZ3415">
        <v>0</v>
      </c>
      <c r="CA3415">
        <v>0</v>
      </c>
      <c r="CB3415" t="s">
        <v>145</v>
      </c>
    </row>
    <row r="3416" spans="67:80" x14ac:dyDescent="0.25">
      <c r="BO3416">
        <v>0</v>
      </c>
      <c r="BP3416">
        <v>0</v>
      </c>
      <c r="BQ3416">
        <v>0</v>
      </c>
      <c r="BR3416">
        <v>0</v>
      </c>
      <c r="BS3416">
        <v>0</v>
      </c>
      <c r="BT3416">
        <v>0</v>
      </c>
      <c r="BU3416">
        <v>0</v>
      </c>
      <c r="BV3416">
        <v>0</v>
      </c>
      <c r="BW3416" t="s">
        <v>0</v>
      </c>
      <c r="BX3416">
        <v>0</v>
      </c>
      <c r="BY3416">
        <v>0</v>
      </c>
      <c r="BZ3416">
        <v>0</v>
      </c>
      <c r="CA3416">
        <v>0</v>
      </c>
      <c r="CB3416" t="s">
        <v>145</v>
      </c>
    </row>
    <row r="3417" spans="67:80" x14ac:dyDescent="0.25">
      <c r="BO3417">
        <v>0</v>
      </c>
      <c r="BP3417">
        <v>0</v>
      </c>
      <c r="BQ3417">
        <v>0</v>
      </c>
      <c r="BR3417">
        <v>0</v>
      </c>
      <c r="BS3417">
        <v>0</v>
      </c>
      <c r="BT3417">
        <v>0</v>
      </c>
      <c r="BU3417">
        <v>0</v>
      </c>
      <c r="BV3417">
        <v>0</v>
      </c>
      <c r="BW3417" t="s">
        <v>0</v>
      </c>
      <c r="BX3417">
        <v>0</v>
      </c>
      <c r="BY3417">
        <v>0</v>
      </c>
      <c r="BZ3417">
        <v>0</v>
      </c>
      <c r="CA3417">
        <v>0</v>
      </c>
      <c r="CB3417" t="s">
        <v>145</v>
      </c>
    </row>
    <row r="3418" spans="67:80" x14ac:dyDescent="0.25">
      <c r="BO3418">
        <v>0</v>
      </c>
      <c r="BP3418">
        <v>0</v>
      </c>
      <c r="BQ3418">
        <v>0</v>
      </c>
      <c r="BR3418">
        <v>0</v>
      </c>
      <c r="BS3418">
        <v>0</v>
      </c>
      <c r="BT3418">
        <v>0</v>
      </c>
      <c r="BU3418">
        <v>0</v>
      </c>
      <c r="BV3418">
        <v>0</v>
      </c>
      <c r="BW3418" t="s">
        <v>0</v>
      </c>
      <c r="BX3418">
        <v>0</v>
      </c>
      <c r="BY3418">
        <v>0</v>
      </c>
      <c r="BZ3418">
        <v>0</v>
      </c>
      <c r="CA3418">
        <v>0</v>
      </c>
      <c r="CB3418" t="s">
        <v>145</v>
      </c>
    </row>
    <row r="3419" spans="67:80" x14ac:dyDescent="0.25">
      <c r="BO3419">
        <v>0</v>
      </c>
      <c r="BP3419">
        <v>0</v>
      </c>
      <c r="BQ3419">
        <v>0</v>
      </c>
      <c r="BR3419">
        <v>0</v>
      </c>
      <c r="BS3419">
        <v>0</v>
      </c>
      <c r="BT3419">
        <v>0</v>
      </c>
      <c r="BU3419">
        <v>0</v>
      </c>
      <c r="BV3419">
        <v>0</v>
      </c>
      <c r="BW3419" t="s">
        <v>0</v>
      </c>
      <c r="BX3419">
        <v>0</v>
      </c>
      <c r="BY3419">
        <v>0</v>
      </c>
      <c r="BZ3419">
        <v>0</v>
      </c>
      <c r="CA3419">
        <v>0</v>
      </c>
      <c r="CB3419" t="s">
        <v>145</v>
      </c>
    </row>
    <row r="3420" spans="67:80" x14ac:dyDescent="0.25">
      <c r="BO3420">
        <v>0</v>
      </c>
      <c r="BP3420">
        <v>0</v>
      </c>
      <c r="BQ3420">
        <v>0</v>
      </c>
      <c r="BR3420">
        <v>0</v>
      </c>
      <c r="BS3420">
        <v>0</v>
      </c>
      <c r="BT3420">
        <v>0</v>
      </c>
      <c r="BU3420">
        <v>0</v>
      </c>
      <c r="BV3420">
        <v>0</v>
      </c>
      <c r="BW3420" t="s">
        <v>0</v>
      </c>
      <c r="BX3420">
        <v>0</v>
      </c>
      <c r="BY3420">
        <v>0</v>
      </c>
      <c r="BZ3420">
        <v>0</v>
      </c>
      <c r="CA3420">
        <v>0</v>
      </c>
      <c r="CB3420" t="s">
        <v>145</v>
      </c>
    </row>
    <row r="3421" spans="67:80" x14ac:dyDescent="0.25">
      <c r="BO3421">
        <v>0</v>
      </c>
      <c r="BP3421">
        <v>0</v>
      </c>
      <c r="BQ3421">
        <v>0</v>
      </c>
      <c r="BR3421">
        <v>0</v>
      </c>
      <c r="BS3421">
        <v>0</v>
      </c>
      <c r="BT3421">
        <v>0</v>
      </c>
      <c r="BU3421">
        <v>0</v>
      </c>
      <c r="BV3421">
        <v>0</v>
      </c>
      <c r="BW3421" t="s">
        <v>0</v>
      </c>
      <c r="BX3421">
        <v>0</v>
      </c>
      <c r="BY3421">
        <v>0</v>
      </c>
      <c r="BZ3421">
        <v>0</v>
      </c>
      <c r="CA3421">
        <v>0</v>
      </c>
      <c r="CB3421" t="s">
        <v>145</v>
      </c>
    </row>
    <row r="3422" spans="67:80" x14ac:dyDescent="0.25">
      <c r="BO3422">
        <v>0</v>
      </c>
      <c r="BP3422">
        <v>0</v>
      </c>
      <c r="BQ3422">
        <v>0</v>
      </c>
      <c r="BR3422">
        <v>0</v>
      </c>
      <c r="BS3422">
        <v>0</v>
      </c>
      <c r="BT3422">
        <v>0</v>
      </c>
      <c r="BU3422">
        <v>0</v>
      </c>
      <c r="BV3422">
        <v>0</v>
      </c>
      <c r="BW3422" t="s">
        <v>0</v>
      </c>
      <c r="BX3422">
        <v>0</v>
      </c>
      <c r="BY3422">
        <v>0</v>
      </c>
      <c r="BZ3422">
        <v>0</v>
      </c>
      <c r="CA3422">
        <v>0</v>
      </c>
      <c r="CB3422" t="s">
        <v>145</v>
      </c>
    </row>
    <row r="3423" spans="67:80" x14ac:dyDescent="0.25">
      <c r="BO3423">
        <v>0</v>
      </c>
      <c r="BP3423">
        <v>0</v>
      </c>
      <c r="BQ3423">
        <v>0</v>
      </c>
      <c r="BR3423">
        <v>0</v>
      </c>
      <c r="BS3423">
        <v>0</v>
      </c>
      <c r="BT3423">
        <v>0</v>
      </c>
      <c r="BU3423">
        <v>0</v>
      </c>
      <c r="BV3423">
        <v>0</v>
      </c>
      <c r="BW3423" t="s">
        <v>0</v>
      </c>
      <c r="BX3423">
        <v>0</v>
      </c>
      <c r="BY3423">
        <v>0</v>
      </c>
      <c r="BZ3423">
        <v>0</v>
      </c>
      <c r="CA3423">
        <v>0</v>
      </c>
      <c r="CB3423" t="s">
        <v>145</v>
      </c>
    </row>
    <row r="3424" spans="67:80" x14ac:dyDescent="0.25">
      <c r="BO3424">
        <v>0</v>
      </c>
      <c r="BP3424">
        <v>0</v>
      </c>
      <c r="BQ3424">
        <v>0</v>
      </c>
      <c r="BR3424">
        <v>0</v>
      </c>
      <c r="BS3424">
        <v>0</v>
      </c>
      <c r="BT3424">
        <v>0</v>
      </c>
      <c r="BU3424">
        <v>0</v>
      </c>
      <c r="BV3424">
        <v>0</v>
      </c>
      <c r="BW3424" t="s">
        <v>0</v>
      </c>
      <c r="BX3424">
        <v>0</v>
      </c>
      <c r="BY3424">
        <v>0</v>
      </c>
      <c r="BZ3424">
        <v>0</v>
      </c>
      <c r="CA3424">
        <v>0</v>
      </c>
      <c r="CB3424" t="s">
        <v>145</v>
      </c>
    </row>
    <row r="3425" spans="67:82" x14ac:dyDescent="0.25">
      <c r="BO3425">
        <v>0</v>
      </c>
      <c r="BP3425">
        <v>0</v>
      </c>
      <c r="BQ3425">
        <v>0</v>
      </c>
      <c r="BR3425">
        <v>0</v>
      </c>
      <c r="BS3425">
        <v>0</v>
      </c>
      <c r="BT3425">
        <v>0</v>
      </c>
      <c r="BU3425">
        <v>0</v>
      </c>
      <c r="BV3425">
        <v>0</v>
      </c>
      <c r="BW3425" t="s">
        <v>0</v>
      </c>
      <c r="BX3425">
        <v>0</v>
      </c>
      <c r="BY3425">
        <v>0</v>
      </c>
      <c r="BZ3425">
        <v>0</v>
      </c>
      <c r="CA3425">
        <v>0</v>
      </c>
      <c r="CB3425" t="s">
        <v>145</v>
      </c>
    </row>
    <row r="3426" spans="67:82" x14ac:dyDescent="0.25">
      <c r="BO3426">
        <v>0</v>
      </c>
      <c r="BP3426">
        <v>0</v>
      </c>
      <c r="BQ3426">
        <v>0</v>
      </c>
      <c r="BR3426">
        <v>0</v>
      </c>
      <c r="BS3426">
        <v>0</v>
      </c>
      <c r="BT3426">
        <v>0</v>
      </c>
      <c r="BU3426">
        <v>0</v>
      </c>
      <c r="BV3426">
        <v>0</v>
      </c>
      <c r="BW3426" t="s">
        <v>0</v>
      </c>
      <c r="BX3426">
        <v>0</v>
      </c>
      <c r="BY3426">
        <v>0</v>
      </c>
      <c r="BZ3426">
        <v>0</v>
      </c>
      <c r="CA3426">
        <v>0</v>
      </c>
      <c r="CB3426" t="s">
        <v>145</v>
      </c>
    </row>
    <row r="3427" spans="67:82" x14ac:dyDescent="0.25">
      <c r="BO3427">
        <v>0</v>
      </c>
      <c r="BP3427">
        <v>0</v>
      </c>
      <c r="BQ3427">
        <v>0</v>
      </c>
      <c r="BR3427">
        <v>0</v>
      </c>
      <c r="BS3427">
        <v>0</v>
      </c>
      <c r="BT3427">
        <v>0</v>
      </c>
      <c r="BU3427">
        <v>0</v>
      </c>
      <c r="BV3427">
        <v>0</v>
      </c>
      <c r="BW3427" t="s">
        <v>0</v>
      </c>
      <c r="BX3427">
        <v>0</v>
      </c>
      <c r="BY3427">
        <v>0</v>
      </c>
      <c r="BZ3427">
        <v>0</v>
      </c>
      <c r="CA3427">
        <v>0</v>
      </c>
      <c r="CB3427" t="s">
        <v>145</v>
      </c>
      <c r="CD3427" t="s">
        <v>750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2021-09-21T01:16:34Z</dcterms:created>
  <dcterms:modified xsi:type="dcterms:W3CDTF">2022-03-23T22:52:12Z</dcterms:modified>
</cp:coreProperties>
</file>
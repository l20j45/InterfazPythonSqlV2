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4\"/>
    </mc:Choice>
  </mc:AlternateContent>
  <xr:revisionPtr revIDLastSave="0" documentId="13_ncr:1_{F4FE34BB-7FCA-401D-B27C-9A2F352AC864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10" i="1" l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61" i="1" a="1"/>
  <c r="CD65" i="1" a="1"/>
  <c r="CD69" i="1" a="1"/>
  <c r="CD73" i="1" a="1"/>
  <c r="CD77" i="1" a="1"/>
  <c r="CD81" i="1" a="1"/>
  <c r="CD85" i="1" a="1"/>
  <c r="CD89" i="1" a="1"/>
  <c r="CD97" i="1" a="1"/>
  <c r="CD101" i="1" a="1"/>
  <c r="CD105" i="1" a="1"/>
  <c r="CD109" i="1" a="1"/>
  <c r="CD113" i="1" a="1"/>
  <c r="CD117" i="1" a="1"/>
  <c r="CD121" i="1" a="1"/>
  <c r="CD125" i="1" a="1"/>
  <c r="CD129" i="1" a="1"/>
  <c r="CD137" i="1" a="1"/>
  <c r="CD141" i="1" a="1"/>
  <c r="CD149" i="1" a="1"/>
  <c r="CD157" i="1" a="1"/>
  <c r="CD161" i="1" a="1"/>
  <c r="CD169" i="1" a="1"/>
  <c r="CD177" i="1" a="1"/>
  <c r="CD185" i="1" a="1"/>
  <c r="CD193" i="1" a="1"/>
  <c r="CD106" i="1" a="1"/>
  <c r="CD158" i="1" a="1"/>
  <c r="CD170" i="1" a="1"/>
  <c r="CD178" i="1" a="1"/>
  <c r="CD190" i="1" a="1"/>
  <c r="CD198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62" i="1" a="1"/>
  <c r="CD66" i="1" a="1"/>
  <c r="CD70" i="1" a="1"/>
  <c r="CD74" i="1" a="1"/>
  <c r="CD78" i="1" a="1"/>
  <c r="CD82" i="1" a="1"/>
  <c r="CD86" i="1" a="1"/>
  <c r="CD90" i="1" a="1"/>
  <c r="CD94" i="1" a="1"/>
  <c r="CD98" i="1" a="1"/>
  <c r="CD102" i="1" a="1"/>
  <c r="CD110" i="1" a="1"/>
  <c r="CD114" i="1" a="1"/>
  <c r="CD118" i="1" a="1"/>
  <c r="CD122" i="1" a="1"/>
  <c r="CD126" i="1" a="1"/>
  <c r="CD130" i="1" a="1"/>
  <c r="CD134" i="1" a="1"/>
  <c r="CD138" i="1" a="1"/>
  <c r="CD142" i="1" a="1"/>
  <c r="CD146" i="1" a="1"/>
  <c r="CD150" i="1" a="1"/>
  <c r="CD154" i="1" a="1"/>
  <c r="CD162" i="1" a="1"/>
  <c r="CD166" i="1" a="1"/>
  <c r="CD174" i="1" a="1"/>
  <c r="CD182" i="1" a="1"/>
  <c r="CD186" i="1" a="1"/>
  <c r="CD194" i="1" a="1"/>
  <c r="CD91" i="1" a="1"/>
  <c r="CD123" i="1" a="1"/>
  <c r="CD131" i="1" a="1"/>
  <c r="CD139" i="1" a="1"/>
  <c r="CD147" i="1" a="1"/>
  <c r="CD155" i="1" a="1"/>
  <c r="CD159" i="1" a="1"/>
  <c r="CD167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63" i="1" a="1"/>
  <c r="CD67" i="1" a="1"/>
  <c r="CD71" i="1" a="1"/>
  <c r="CD75" i="1" a="1"/>
  <c r="CD79" i="1" a="1"/>
  <c r="CD83" i="1" a="1"/>
  <c r="CD87" i="1" a="1"/>
  <c r="CD95" i="1" a="1"/>
  <c r="CD99" i="1" a="1"/>
  <c r="CD103" i="1" a="1"/>
  <c r="CD107" i="1" a="1"/>
  <c r="CD111" i="1" a="1"/>
  <c r="CD115" i="1" a="1"/>
  <c r="CD119" i="1" a="1"/>
  <c r="CD127" i="1" a="1"/>
  <c r="CD135" i="1" a="1"/>
  <c r="CD143" i="1" a="1"/>
  <c r="CD151" i="1" a="1"/>
  <c r="CD163" i="1" a="1"/>
  <c r="CD171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93" i="1" a="1"/>
  <c r="CD133" i="1" a="1"/>
  <c r="CD145" i="1" a="1"/>
  <c r="CD153" i="1" a="1"/>
  <c r="CD165" i="1" a="1"/>
  <c r="CD173" i="1" a="1"/>
  <c r="CD181" i="1" a="1"/>
  <c r="CD189" i="1" a="1"/>
  <c r="CD52" i="1" a="1"/>
  <c r="CD84" i="1" a="1"/>
  <c r="CD116" i="1" a="1"/>
  <c r="CD148" i="1" a="1"/>
  <c r="CD176" i="1" a="1"/>
  <c r="CD192" i="1" a="1"/>
  <c r="CD203" i="1" a="1"/>
  <c r="CD211" i="1" a="1"/>
  <c r="CD219" i="1" a="1"/>
  <c r="CD227" i="1" a="1"/>
  <c r="CD235" i="1" a="1"/>
  <c r="CD243" i="1" a="1"/>
  <c r="CD251" i="1" a="1"/>
  <c r="CD259" i="1" a="1"/>
  <c r="CD267" i="1" a="1"/>
  <c r="CD275" i="1" a="1"/>
  <c r="CD283" i="1" a="1"/>
  <c r="CD291" i="1" a="1"/>
  <c r="CD299" i="1" a="1"/>
  <c r="CD307" i="1" a="1"/>
  <c r="CD315" i="1" a="1"/>
  <c r="CD191" i="1" a="1"/>
  <c r="CD290" i="1" a="1"/>
  <c r="CD56" i="1" a="1"/>
  <c r="CD88" i="1" a="1"/>
  <c r="CD120" i="1" a="1"/>
  <c r="CD152" i="1" a="1"/>
  <c r="CD179" i="1" a="1"/>
  <c r="CD195" i="1" a="1"/>
  <c r="CD204" i="1" a="1"/>
  <c r="CD212" i="1" a="1"/>
  <c r="CD220" i="1" a="1"/>
  <c r="CD228" i="1" a="1"/>
  <c r="CD236" i="1" a="1"/>
  <c r="CD244" i="1" a="1"/>
  <c r="CD252" i="1" a="1"/>
  <c r="CD260" i="1" a="1"/>
  <c r="CD268" i="1" a="1"/>
  <c r="CD276" i="1" a="1"/>
  <c r="CD284" i="1" a="1"/>
  <c r="CD292" i="1" a="1"/>
  <c r="CD300" i="1" a="1"/>
  <c r="CD308" i="1" a="1"/>
  <c r="CD316" i="1" a="1"/>
  <c r="CD202" i="1" a="1"/>
  <c r="CD282" i="1" a="1"/>
  <c r="CD60" i="1" a="1"/>
  <c r="CD92" i="1" a="1"/>
  <c r="CD124" i="1" a="1"/>
  <c r="CD156" i="1" a="1"/>
  <c r="CD180" i="1" a="1"/>
  <c r="CD196" i="1" a="1"/>
  <c r="CD205" i="1" a="1"/>
  <c r="CD213" i="1" a="1"/>
  <c r="CD221" i="1" a="1"/>
  <c r="CD229" i="1" a="1"/>
  <c r="CD237" i="1" a="1"/>
  <c r="CD245" i="1" a="1"/>
  <c r="CD253" i="1" a="1"/>
  <c r="CD261" i="1" a="1"/>
  <c r="CD269" i="1" a="1"/>
  <c r="CD277" i="1" a="1"/>
  <c r="CD285" i="1" a="1"/>
  <c r="CD293" i="1" a="1"/>
  <c r="CD301" i="1" a="1"/>
  <c r="CD309" i="1" a="1"/>
  <c r="CD317" i="1" a="1"/>
  <c r="CD210" i="1" a="1"/>
  <c r="CD64" i="1" a="1"/>
  <c r="CD96" i="1" a="1"/>
  <c r="CD128" i="1" a="1"/>
  <c r="CD160" i="1" a="1"/>
  <c r="CD183" i="1" a="1"/>
  <c r="CD197" i="1" a="1"/>
  <c r="CD206" i="1" a="1"/>
  <c r="CD214" i="1" a="1"/>
  <c r="CD222" i="1" a="1"/>
  <c r="CD230" i="1" a="1"/>
  <c r="CD238" i="1" a="1"/>
  <c r="CD246" i="1" a="1"/>
  <c r="CD254" i="1" a="1"/>
  <c r="CD262" i="1" a="1"/>
  <c r="CD270" i="1" a="1"/>
  <c r="CD278" i="1" a="1"/>
  <c r="CD286" i="1" a="1"/>
  <c r="CD294" i="1" a="1"/>
  <c r="CD302" i="1" a="1"/>
  <c r="CD310" i="1" a="1"/>
  <c r="CD318" i="1" a="1"/>
  <c r="CD144" i="1" a="1"/>
  <c r="CD226" i="1" a="1"/>
  <c r="CD258" i="1" a="1"/>
  <c r="CD306" i="1" a="1"/>
  <c r="CD68" i="1" a="1"/>
  <c r="CD100" i="1" a="1"/>
  <c r="CD132" i="1" a="1"/>
  <c r="CD164" i="1" a="1"/>
  <c r="CD184" i="1" a="1"/>
  <c r="CD199" i="1" a="1"/>
  <c r="CD207" i="1" a="1"/>
  <c r="CD215" i="1" a="1"/>
  <c r="CD223" i="1" a="1"/>
  <c r="CD231" i="1" a="1"/>
  <c r="CD239" i="1" a="1"/>
  <c r="CD247" i="1" a="1"/>
  <c r="CD255" i="1" a="1"/>
  <c r="CD263" i="1" a="1"/>
  <c r="CD271" i="1" a="1"/>
  <c r="CD279" i="1" a="1"/>
  <c r="CD287" i="1" a="1"/>
  <c r="CD295" i="1" a="1"/>
  <c r="CD303" i="1" a="1"/>
  <c r="CD311" i="1" a="1"/>
  <c r="CD319" i="1" a="1"/>
  <c r="CD80" i="1" a="1"/>
  <c r="CD242" i="1" a="1"/>
  <c r="CD266" i="1" a="1"/>
  <c r="CD314" i="1" a="1"/>
  <c r="CD72" i="1" a="1"/>
  <c r="CD104" i="1" a="1"/>
  <c r="CD136" i="1" a="1"/>
  <c r="CD168" i="1" a="1"/>
  <c r="CD187" i="1" a="1"/>
  <c r="CD200" i="1" a="1"/>
  <c r="CD208" i="1" a="1"/>
  <c r="CD216" i="1" a="1"/>
  <c r="CD224" i="1" a="1"/>
  <c r="CD232" i="1" a="1"/>
  <c r="CD240" i="1" a="1"/>
  <c r="CD248" i="1" a="1"/>
  <c r="CD256" i="1" a="1"/>
  <c r="CD264" i="1" a="1"/>
  <c r="CD272" i="1" a="1"/>
  <c r="CD280" i="1" a="1"/>
  <c r="CD288" i="1" a="1"/>
  <c r="CD296" i="1" a="1"/>
  <c r="CD304" i="1" a="1"/>
  <c r="CD312" i="1" a="1"/>
  <c r="CD320" i="1" a="1"/>
  <c r="CD112" i="1" a="1"/>
  <c r="CD234" i="1" a="1"/>
  <c r="CD274" i="1" a="1"/>
  <c r="CD76" i="1" a="1"/>
  <c r="CD108" i="1" a="1"/>
  <c r="CD140" i="1" a="1"/>
  <c r="CD172" i="1" a="1"/>
  <c r="CD188" i="1" a="1"/>
  <c r="CD201" i="1" a="1"/>
  <c r="CD209" i="1" a="1"/>
  <c r="CD217" i="1" a="1"/>
  <c r="CD225" i="1" a="1"/>
  <c r="CD233" i="1" a="1"/>
  <c r="CD241" i="1" a="1"/>
  <c r="CD249" i="1" a="1"/>
  <c r="CD257" i="1" a="1"/>
  <c r="CD265" i="1" a="1"/>
  <c r="CD273" i="1" a="1"/>
  <c r="CD281" i="1" a="1"/>
  <c r="CD289" i="1" a="1"/>
  <c r="CD297" i="1" a="1"/>
  <c r="CD305" i="1" a="1"/>
  <c r="CD313" i="1" a="1"/>
  <c r="CD175" i="1" a="1"/>
  <c r="CD218" i="1" a="1"/>
  <c r="CD250" i="1" a="1"/>
  <c r="CD298" i="1" a="1"/>
  <c r="CD298" i="1" l="1"/>
  <c r="CD250" i="1"/>
  <c r="CD218" i="1"/>
  <c r="CD175" i="1"/>
  <c r="CD313" i="1"/>
  <c r="CD305" i="1"/>
  <c r="CD297" i="1"/>
  <c r="CD289" i="1"/>
  <c r="CD281" i="1"/>
  <c r="CD273" i="1"/>
  <c r="CD265" i="1"/>
  <c r="CD257" i="1"/>
  <c r="CD249" i="1"/>
  <c r="CD241" i="1"/>
  <c r="CD233" i="1"/>
  <c r="CD225" i="1"/>
  <c r="CD217" i="1"/>
  <c r="CD209" i="1"/>
  <c r="CD201" i="1"/>
  <c r="CD188" i="1"/>
  <c r="CD172" i="1"/>
  <c r="CD140" i="1"/>
  <c r="CD108" i="1"/>
  <c r="CD76" i="1"/>
  <c r="CD274" i="1"/>
  <c r="CD234" i="1"/>
  <c r="CD112" i="1"/>
  <c r="CD320" i="1"/>
  <c r="CD312" i="1"/>
  <c r="CD304" i="1"/>
  <c r="CD296" i="1"/>
  <c r="CD288" i="1"/>
  <c r="CD280" i="1"/>
  <c r="CD272" i="1"/>
  <c r="CD264" i="1"/>
  <c r="CD256" i="1"/>
  <c r="CD248" i="1"/>
  <c r="CD240" i="1"/>
  <c r="CD232" i="1"/>
  <c r="CD224" i="1"/>
  <c r="CD216" i="1"/>
  <c r="CD208" i="1"/>
  <c r="CD200" i="1"/>
  <c r="CD187" i="1"/>
  <c r="CD168" i="1"/>
  <c r="CD136" i="1"/>
  <c r="CD104" i="1"/>
  <c r="CD72" i="1"/>
  <c r="CD314" i="1"/>
  <c r="CD266" i="1"/>
  <c r="CD242" i="1"/>
  <c r="CD80" i="1"/>
  <c r="CD319" i="1"/>
  <c r="CD311" i="1"/>
  <c r="CD303" i="1"/>
  <c r="CD295" i="1"/>
  <c r="CD287" i="1"/>
  <c r="CD279" i="1"/>
  <c r="CD271" i="1"/>
  <c r="CD263" i="1"/>
  <c r="CD255" i="1"/>
  <c r="CD247" i="1"/>
  <c r="CD239" i="1"/>
  <c r="CD231" i="1"/>
  <c r="CD223" i="1"/>
  <c r="CD215" i="1"/>
  <c r="CD207" i="1"/>
  <c r="CD199" i="1"/>
  <c r="CD184" i="1"/>
  <c r="CD164" i="1"/>
  <c r="CD132" i="1"/>
  <c r="CD100" i="1"/>
  <c r="CD68" i="1"/>
  <c r="CD306" i="1"/>
  <c r="CD258" i="1"/>
  <c r="CD226" i="1"/>
  <c r="CD144" i="1"/>
  <c r="CD318" i="1"/>
  <c r="CD310" i="1"/>
  <c r="CD302" i="1"/>
  <c r="CD294" i="1"/>
  <c r="CD286" i="1"/>
  <c r="CD278" i="1"/>
  <c r="CD270" i="1"/>
  <c r="CD262" i="1"/>
  <c r="CD254" i="1"/>
  <c r="CD246" i="1"/>
  <c r="CD238" i="1"/>
  <c r="CD230" i="1"/>
  <c r="CD222" i="1"/>
  <c r="CD214" i="1"/>
  <c r="CD206" i="1"/>
  <c r="CD197" i="1"/>
  <c r="CD183" i="1"/>
  <c r="CD160" i="1"/>
  <c r="CD128" i="1"/>
  <c r="CD96" i="1"/>
  <c r="CD64" i="1"/>
  <c r="CD210" i="1"/>
  <c r="CD317" i="1"/>
  <c r="CD309" i="1"/>
  <c r="CD301" i="1"/>
  <c r="CD293" i="1"/>
  <c r="CD285" i="1"/>
  <c r="CD277" i="1"/>
  <c r="CD269" i="1"/>
  <c r="CD261" i="1"/>
  <c r="CD253" i="1"/>
  <c r="CD245" i="1"/>
  <c r="CD237" i="1"/>
  <c r="CD229" i="1"/>
  <c r="CD221" i="1"/>
  <c r="CD213" i="1"/>
  <c r="CD205" i="1"/>
  <c r="CD196" i="1"/>
  <c r="CD180" i="1"/>
  <c r="CD156" i="1"/>
  <c r="CD124" i="1"/>
  <c r="CD92" i="1"/>
  <c r="CD60" i="1"/>
  <c r="CD282" i="1"/>
  <c r="CD202" i="1"/>
  <c r="CD316" i="1"/>
  <c r="CD308" i="1"/>
  <c r="CD300" i="1"/>
  <c r="CD292" i="1"/>
  <c r="CD284" i="1"/>
  <c r="CD276" i="1"/>
  <c r="CD268" i="1"/>
  <c r="CD260" i="1"/>
  <c r="CD252" i="1"/>
  <c r="CD244" i="1"/>
  <c r="CD236" i="1"/>
  <c r="CD228" i="1"/>
  <c r="CD220" i="1"/>
  <c r="CD212" i="1"/>
  <c r="CD204" i="1"/>
  <c r="CD195" i="1"/>
  <c r="CD179" i="1"/>
  <c r="CD152" i="1"/>
  <c r="CD120" i="1"/>
  <c r="CD88" i="1"/>
  <c r="CD56" i="1"/>
  <c r="CD290" i="1"/>
  <c r="CD191" i="1"/>
  <c r="CD315" i="1"/>
  <c r="CD307" i="1"/>
  <c r="CD299" i="1"/>
  <c r="CD291" i="1"/>
  <c r="CD283" i="1"/>
  <c r="CD275" i="1"/>
  <c r="CD267" i="1"/>
  <c r="CD259" i="1"/>
  <c r="CD251" i="1"/>
  <c r="CD243" i="1"/>
  <c r="CD235" i="1"/>
  <c r="CD227" i="1"/>
  <c r="CD219" i="1"/>
  <c r="CD211" i="1"/>
  <c r="CD203" i="1"/>
  <c r="CD192" i="1"/>
  <c r="CD176" i="1"/>
  <c r="CD148" i="1"/>
  <c r="CD116" i="1"/>
  <c r="CD84" i="1"/>
  <c r="CD52" i="1"/>
  <c r="CD189" i="1"/>
  <c r="CD181" i="1"/>
  <c r="CD173" i="1"/>
  <c r="CD165" i="1"/>
  <c r="CD153" i="1"/>
  <c r="CD145" i="1"/>
  <c r="CD133" i="1"/>
  <c r="CD93" i="1"/>
  <c r="CD48" i="1"/>
  <c r="CD44" i="1"/>
  <c r="CD40" i="1"/>
  <c r="CD36" i="1"/>
  <c r="CD32" i="1"/>
  <c r="CD28" i="1"/>
  <c r="CD24" i="1"/>
  <c r="CD20" i="1"/>
  <c r="CD16" i="1"/>
  <c r="CD12" i="1"/>
  <c r="CD171" i="1"/>
  <c r="CD163" i="1"/>
  <c r="CD151" i="1"/>
  <c r="CD143" i="1"/>
  <c r="CD135" i="1"/>
  <c r="CD127" i="1"/>
  <c r="CD119" i="1"/>
  <c r="CD115" i="1"/>
  <c r="CD111" i="1"/>
  <c r="CD107" i="1"/>
  <c r="CD103" i="1"/>
  <c r="CD99" i="1"/>
  <c r="CD95" i="1"/>
  <c r="CD87" i="1"/>
  <c r="CD83" i="1"/>
  <c r="CD79" i="1"/>
  <c r="CD75" i="1"/>
  <c r="CD71" i="1"/>
  <c r="CD67" i="1"/>
  <c r="CD63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167" i="1"/>
  <c r="CD159" i="1"/>
  <c r="CD155" i="1"/>
  <c r="CD147" i="1"/>
  <c r="CD139" i="1"/>
  <c r="CD131" i="1"/>
  <c r="CD123" i="1"/>
  <c r="CD91" i="1"/>
  <c r="CD194" i="1"/>
  <c r="CD186" i="1"/>
  <c r="CD182" i="1"/>
  <c r="CD174" i="1"/>
  <c r="CD166" i="1"/>
  <c r="CD162" i="1"/>
  <c r="CD154" i="1"/>
  <c r="CD150" i="1"/>
  <c r="CD146" i="1"/>
  <c r="CD142" i="1"/>
  <c r="CD138" i="1"/>
  <c r="CD134" i="1"/>
  <c r="CD130" i="1"/>
  <c r="CD126" i="1"/>
  <c r="CD122" i="1"/>
  <c r="CD118" i="1"/>
  <c r="CD114" i="1"/>
  <c r="CD110" i="1"/>
  <c r="CD102" i="1"/>
  <c r="CD98" i="1"/>
  <c r="CD94" i="1"/>
  <c r="CD90" i="1"/>
  <c r="CD86" i="1"/>
  <c r="CD82" i="1"/>
  <c r="CD78" i="1"/>
  <c r="CD74" i="1"/>
  <c r="CD70" i="1"/>
  <c r="CD66" i="1"/>
  <c r="CD62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198" i="1"/>
  <c r="CD190" i="1"/>
  <c r="CD178" i="1"/>
  <c r="CD170" i="1"/>
  <c r="CD158" i="1"/>
  <c r="CD106" i="1"/>
  <c r="CD193" i="1"/>
  <c r="CD185" i="1"/>
  <c r="CD177" i="1"/>
  <c r="CD169" i="1"/>
  <c r="CD161" i="1"/>
  <c r="CD157" i="1"/>
  <c r="CD149" i="1"/>
  <c r="CD141" i="1"/>
  <c r="CD137" i="1"/>
  <c r="CD129" i="1"/>
  <c r="CD125" i="1"/>
  <c r="CD121" i="1"/>
  <c r="CD117" i="1"/>
  <c r="CD113" i="1"/>
  <c r="CD109" i="1"/>
  <c r="CD105" i="1"/>
  <c r="CD101" i="1"/>
  <c r="CD97" i="1"/>
  <c r="CD89" i="1"/>
  <c r="CD85" i="1"/>
  <c r="CD81" i="1"/>
  <c r="CD77" i="1"/>
  <c r="CD73" i="1"/>
  <c r="CD69" i="1"/>
  <c r="CD65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8" i="1" a="1"/>
  <c r="CD6" i="1" a="1"/>
  <c r="CD7" i="1" a="1"/>
  <c r="CD8" i="1" l="1"/>
  <c r="CD7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<sst xmlns="http://schemas.openxmlformats.org/spreadsheetml/2006/main" count="18113" uniqueCount="1949">
  <si>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</si>
  <si>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</si>
  <si>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</si>
  <si>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</si>
  <si>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</si>
  <si>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</si>
  <si>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</si>
  <si>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</si>
  <si>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</si>
  <si>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</si>
  <si>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</si>
  <si>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</si>
  <si>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</si>
  <si>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</si>
  <si>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</si>
  <si>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</si>
  <si>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</si>
  <si>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</si>
  <si>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</si>
  <si>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</si>
  <si>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</si>
  <si>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</si>
  <si>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</si>
  <si>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</si>
  <si>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</si>
  <si>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</si>
  <si>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</si>
  <si>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</si>
  <si>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</si>
  <si>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</si>
  <si>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</si>
  <si>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</si>
  <si>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</si>
  <si>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</si>
  <si>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</si>
  <si>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</si>
  <si>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</si>
  <si>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</si>
  <si>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</si>
  <si>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</si>
  <si>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</si>
  <si>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</si>
  <si>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</si>
  <si>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</si>
  <si>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</si>
  <si>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</si>
  <si>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</si>
  <si>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</si>
  <si>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</si>
  <si>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</si>
  <si>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</si>
  <si>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</si>
  <si>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</si>
  <si>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</si>
  <si>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</si>
  <si>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</si>
  <si>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</si>
  <si>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</si>
  <si>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</si>
  <si>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</si>
  <si>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</si>
  <si>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</si>
  <si>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</si>
  <si>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</si>
  <si>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</si>
  <si>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</si>
  <si>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</si>
  <si>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</si>
  <si>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</si>
  <si>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</si>
  <si>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</si>
  <si>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</si>
  <si>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</si>
  <si>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</si>
  <si>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</si>
  <si>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</si>
  <si>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</si>
  <si>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</si>
  <si>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</si>
  <si>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</si>
  <si>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</si>
  <si>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</si>
  <si>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</si>
  <si>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</si>
  <si>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</si>
  <si>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</si>
  <si>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</si>
  <si>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</si>
  <si>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</si>
  <si>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</si>
  <si>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</si>
  <si>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</si>
  <si>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</si>
  <si>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</si>
  <si>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</si>
  <si>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</si>
  <si>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</si>
  <si>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</si>
  <si>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</si>
  <si>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</si>
  <si>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</si>
  <si>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</si>
  <si>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</si>
  <si>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</si>
  <si>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</si>
  <si>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</si>
  <si>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</si>
  <si>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</si>
  <si>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</si>
  <si>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</si>
  <si>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</si>
  <si>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</si>
  <si>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</si>
  <si>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</si>
  <si>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</si>
  <si>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</si>
  <si>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</si>
  <si>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</si>
  <si>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</si>
  <si>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</si>
  <si>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</si>
  <si>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</si>
  <si>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</si>
  <si>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</si>
  <si>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</si>
  <si>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</si>
  <si>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</si>
  <si>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</si>
  <si>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</si>
  <si>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</si>
  <si>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</si>
  <si>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</si>
  <si>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</si>
  <si>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</si>
  <si>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</si>
  <si>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</si>
  <si>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</si>
  <si>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</si>
  <si>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</si>
  <si>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</si>
  <si>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</si>
  <si>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</si>
  <si>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</si>
  <si>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</si>
  <si>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fbCkkp1LNPIKSNTl</t>
  </si>
  <si>
    <t>n3XvcjvDQ89SqieG</t>
  </si>
  <si>
    <t>ImBglz5h27sGcYkh</t>
  </si>
  <si>
    <t>red61nDqSFmWE7XX</t>
  </si>
  <si>
    <t>EpmA3ZgoyghamqfS</t>
  </si>
  <si>
    <t>3mzG7OPt3SUOIydL</t>
  </si>
  <si>
    <t>BnMX1aBaIZXQkotJ</t>
  </si>
  <si>
    <t>XoUqCPPyMn9OeOgM</t>
  </si>
  <si>
    <t>dv61a1khmYMLktyo</t>
  </si>
  <si>
    <t>Mphi8pEjj9UC6YPr</t>
  </si>
  <si>
    <t>t6grHbLpYqWtAXZB</t>
  </si>
  <si>
    <t>uWghJH7d1BvC73CO</t>
  </si>
  <si>
    <t>sFMYCjmbv5W2Qwq0</t>
  </si>
  <si>
    <t>eYfynH5VPver4nRF</t>
  </si>
  <si>
    <t>EKd81yN0HDW0VBv3</t>
  </si>
  <si>
    <t>qep56x72PSPMfUoy</t>
  </si>
  <si>
    <t>CLugUzkE0uE1FEgJ</t>
  </si>
  <si>
    <t>1SUw3q10K9ceAHUx</t>
  </si>
  <si>
    <t>QD0krJzKg967sQue</t>
  </si>
  <si>
    <t>Cn2rQbgmuDQwWwIS</t>
  </si>
  <si>
    <t>ylaJQKBXpCTddWaH</t>
  </si>
  <si>
    <t>0fyI8MezTgtbjkZs</t>
  </si>
  <si>
    <t>rH0eQLx6lNjDTY9Y</t>
  </si>
  <si>
    <t>d5GRcAyVDHKmj6kC</t>
  </si>
  <si>
    <t>tOKrSpEaSsnvmuB1</t>
  </si>
  <si>
    <t>6Mwh4nwDgTOcJK1i</t>
  </si>
  <si>
    <t>S3HLH08zl0VqZ2yQ</t>
  </si>
  <si>
    <t>9uVCtdIONpH65ok0</t>
  </si>
  <si>
    <t>NnZrYpZ0Awjgcvx9</t>
  </si>
  <si>
    <t>80TMCzv6ybtagzwX</t>
  </si>
  <si>
    <t>WJ5lhO80gVtdSSZY</t>
  </si>
  <si>
    <t>QWi4jxVqvznJV0Dj</t>
  </si>
  <si>
    <t>X08kGq8ZzYjfboyx</t>
  </si>
  <si>
    <t>PVqrmFGwjfvjBSzI</t>
  </si>
  <si>
    <t>ezs5GazDfp1xOZsn</t>
  </si>
  <si>
    <t>8dBXM5gq3vGuK6fv</t>
  </si>
  <si>
    <t>CFWxmpLnJEGfG9kz</t>
  </si>
  <si>
    <t>knfc6Jhvl1KaPNRw</t>
  </si>
  <si>
    <t>XWqHFQ1rbzSgFV17</t>
  </si>
  <si>
    <t>2ePJLG9v9JToiffm</t>
  </si>
  <si>
    <t>JFDQydu1eP53kawj</t>
  </si>
  <si>
    <t>fsT3SjWJOSgMj5X3</t>
  </si>
  <si>
    <t>ISjI3Drvzutc7Kng</t>
  </si>
  <si>
    <t>Suf9ZvUFk4p8xpK4</t>
  </si>
  <si>
    <t>kxmx0rs8kgmtRjtj</t>
  </si>
  <si>
    <t>mz0sXDEgQR1iNYxX</t>
  </si>
  <si>
    <t>TWlOJoUVcH8aHYkQ</t>
  </si>
  <si>
    <t>uU9nUHk1CMLmnPxw</t>
  </si>
  <si>
    <t>GHi2yGtJ9UFX1iFu</t>
  </si>
  <si>
    <t>3yzFIpqIwBec7uZN</t>
  </si>
  <si>
    <t>KjIM3MMyNY8GUg94</t>
  </si>
  <si>
    <t>J078N0Hvu8n7BeBx</t>
  </si>
  <si>
    <t>7H62xzjVtCct2G0Q</t>
  </si>
  <si>
    <t>MsrzwCGt0IEK8wpc</t>
  </si>
  <si>
    <t>rSs2ZXrPUZ5Ue4KZ</t>
  </si>
  <si>
    <t>cMMhQxuCqJkcCDhm</t>
  </si>
  <si>
    <t>TdiVnoPbqtul2Fw3</t>
  </si>
  <si>
    <t>skCREF6x3SdDWfMR</t>
  </si>
  <si>
    <t>K8chA6T0qajrRNFj</t>
  </si>
  <si>
    <t>8WoCf1tzG1wQL1T5</t>
  </si>
  <si>
    <t>5Taut0cTY59KXwFP</t>
  </si>
  <si>
    <t>uQw5WreS2wCj8zV7</t>
  </si>
  <si>
    <t>hVTxBoxXiCLrNImx</t>
  </si>
  <si>
    <t>1TqZvUZOIk4YQQFI</t>
  </si>
  <si>
    <t>UKtBmPXTL1HNulbz</t>
  </si>
  <si>
    <t>ueslqA0PDLyfCecg</t>
  </si>
  <si>
    <t>uXpqEOqZUp6K361A</t>
  </si>
  <si>
    <t>mthzlHTAMlPdZwmK</t>
  </si>
  <si>
    <t>C9h0szTylGNz8nja</t>
  </si>
  <si>
    <t>YbhiBrc4UnNVYWwo</t>
  </si>
  <si>
    <t>5UshGR90aObo6SpA</t>
  </si>
  <si>
    <t>EIB2jQRG6nhBL5tH</t>
  </si>
  <si>
    <t>v4R09WpOUJha9KbE</t>
  </si>
  <si>
    <t>otvnqBvUe0N8TvLf</t>
  </si>
  <si>
    <t>jrbfK3fqS3fpPyzc</t>
  </si>
  <si>
    <t>tp8UpCOMcSvF68Am</t>
  </si>
  <si>
    <t>CTqcMl7VM35sDjhO</t>
  </si>
  <si>
    <t>gHh3fYlHluLxBosK</t>
  </si>
  <si>
    <t>j2EzFdhf4cvPFf0J</t>
  </si>
  <si>
    <t>qfUzLAFjBOiCwlas</t>
  </si>
  <si>
    <t>TPF9i8fFdL6NXeuU</t>
  </si>
  <si>
    <t>hbGHTUXGKnGGmdvh</t>
  </si>
  <si>
    <t>gtJEbNdheKZdrWv9</t>
  </si>
  <si>
    <t>A6VNbyJu57XzmpRM</t>
  </si>
  <si>
    <t>dD9qZU8SnBerQ8cY</t>
  </si>
  <si>
    <t>EI7BaMEgzOoGAp8P</t>
  </si>
  <si>
    <t>EPgIfcQosXkpOB2e</t>
  </si>
  <si>
    <t>kRt9uf4NEjPciu5A</t>
  </si>
  <si>
    <t>wNugZnMuejiKm33r</t>
  </si>
  <si>
    <t>KWaV4oIFk8okpgxI</t>
  </si>
  <si>
    <t>NABu0dwF8XPixhqm</t>
  </si>
  <si>
    <t>hv0ashWPTPLdrB1h</t>
  </si>
  <si>
    <t>FJY3NBNTgNyKrRiW</t>
  </si>
  <si>
    <t>DImf0VhxhuQfdfZy</t>
  </si>
  <si>
    <t>QVcK6eHM5PmU1p5H</t>
  </si>
  <si>
    <t>OlTgjIGMpmyDnJGY</t>
  </si>
  <si>
    <t>hgFGivh0rtwuPYTB</t>
  </si>
  <si>
    <t>CQOliJuJ2UEpgyL5</t>
  </si>
  <si>
    <t>hE2oSqPQh5kQ9tZL</t>
  </si>
  <si>
    <t>9NxpRi4LzlgBPYgX</t>
  </si>
  <si>
    <t>SIhRWVmM8WheovF1</t>
  </si>
  <si>
    <t>ASwUO4lQSqH8e6hb</t>
  </si>
  <si>
    <t>JkFN3ujHjHwv7hqx</t>
  </si>
  <si>
    <t>vHLh7yQz2QEyrLEC</t>
  </si>
  <si>
    <t>XUJFqHcZYu1L7DQc</t>
  </si>
  <si>
    <t>sPhCCQYolsNGeveP</t>
  </si>
  <si>
    <t>tFbSsNLZBm8qpvGN</t>
  </si>
  <si>
    <t>bSYWgTswQ5meHjDS</t>
  </si>
  <si>
    <t>ZUODHOUXzOetjarX</t>
  </si>
  <si>
    <t>e6dosguA447AvSu0</t>
  </si>
  <si>
    <t>Ej8vZhOqzkNqZKvM</t>
  </si>
  <si>
    <t>acbIHsEG7DqPM3XW</t>
  </si>
  <si>
    <t>YCeKSVYvuBJoyKjd</t>
  </si>
  <si>
    <t>5Vo4KMpQaQO8ZqW4</t>
  </si>
  <si>
    <t>BNpFJ4YXgQmddmTF</t>
  </si>
  <si>
    <t>CwugCp352hw3b4GY</t>
  </si>
  <si>
    <t>oq4A17c9KqNrlT5f</t>
  </si>
  <si>
    <t>uRjE91EWsT8ZAZKT</t>
  </si>
  <si>
    <t>y5ePMckncb05WpTS</t>
  </si>
  <si>
    <t>tkeeAdhPY6dYArCA</t>
  </si>
  <si>
    <t>0EqFII7JhevPBwhT</t>
  </si>
  <si>
    <t>HeevMSn2Hp4h9pCf</t>
  </si>
  <si>
    <t>kxMlHxshKAjFrRMH</t>
  </si>
  <si>
    <t>PPNnv2qvSnBJYmUo</t>
  </si>
  <si>
    <t>FodSQPcZIVnqqs66</t>
  </si>
  <si>
    <t>srYvPMtCu9e6iCcN</t>
  </si>
  <si>
    <t>GOCWiDzN9MMxaAda</t>
  </si>
  <si>
    <t>ZCkoDczmI62T95fB</t>
  </si>
  <si>
    <t>DF6J3S5Fu2u47bFy</t>
  </si>
  <si>
    <t>x77laSLgaW1kcZjQ</t>
  </si>
  <si>
    <t>zZZFCbyuxivCjkmS</t>
  </si>
  <si>
    <t>YSnX838PYhEUqlZw</t>
  </si>
  <si>
    <t>4GStk807aYS2AItG</t>
  </si>
  <si>
    <t>btmCYQU4uBx9UM5g</t>
  </si>
  <si>
    <t>Ojasc0vdSQUajW3L</t>
  </si>
  <si>
    <t>lyVOfH3xDGlXDO1t</t>
  </si>
  <si>
    <t>LGHXK4it7jsyaC07</t>
  </si>
  <si>
    <t>4bcvsqsg18LFGET9</t>
  </si>
  <si>
    <t>0RwjjdInexEEGyfJ</t>
  </si>
  <si>
    <t>CHvdHix6EQSiiPjO</t>
  </si>
  <si>
    <t>QPgsszrSb2D9NHCq</t>
  </si>
  <si>
    <t>FgOE91oswDavcMEs</t>
  </si>
  <si>
    <t>irY09taKh10NR9Tv</t>
  </si>
  <si>
    <t>2Td4Zdj5E6pdIKtH</t>
  </si>
  <si>
    <t>Z3COfrVLUqnOuFaD</t>
  </si>
  <si>
    <t>7CroXCI3MJegGpCN</t>
  </si>
  <si>
    <t>497G9BNGr20ifWMa</t>
  </si>
  <si>
    <t>leE3kG8dVo3WjBoS</t>
  </si>
  <si>
    <t>bdQZxPOK4bQsxoaq</t>
  </si>
  <si>
    <t>zxyf2vqTgVh3RbTt</t>
  </si>
  <si>
    <t>HLvFSAcT7tZ6Dohv</t>
  </si>
  <si>
    <t>W1LBxc9g6R1JNyw6</t>
  </si>
  <si>
    <t>23pE3jlNmy3NaWah</t>
  </si>
  <si>
    <t>pHdMl7jDfjFLDUuk</t>
  </si>
  <si>
    <t>Vg8zF7XSbXfKTJ5w</t>
  </si>
  <si>
    <t>55dLohs6OGch9lu3</t>
  </si>
  <si>
    <t>YDvO1SskZfhXGoDx</t>
  </si>
  <si>
    <t>53MVQxxtNRUzqtyJ</t>
  </si>
  <si>
    <t>OVoQWXNC7Szt3Zuq</t>
  </si>
  <si>
    <t>y1r5LBz99TqarNXD</t>
  </si>
  <si>
    <t>hq3NP4PeAZm0fNol</t>
  </si>
  <si>
    <t>hLTQZiQk8x9GPSfY</t>
  </si>
  <si>
    <t>Rqah0UXnq8kRsgLC</t>
  </si>
  <si>
    <t>xNVlsgAmzHmnQQlr</t>
  </si>
  <si>
    <t>H0ZqUMUzTnVwhGQe</t>
  </si>
  <si>
    <t>gJaHWgd0gTgrNPcp</t>
  </si>
  <si>
    <t>fU9ObCarcpTjWoG0</t>
  </si>
  <si>
    <t>9caBz1E6UqasYVwh</t>
  </si>
  <si>
    <t>NqcMNKbtWcD0gmNq</t>
  </si>
  <si>
    <t>6b5VSAnljp8ycVOO</t>
  </si>
  <si>
    <t>jO8Fhk0PYi4ZHKWH</t>
  </si>
  <si>
    <t>aRlAJYw6oHtvSOpk</t>
  </si>
  <si>
    <t>7e7S3gNxXzw1z5Q2</t>
  </si>
  <si>
    <t>tnpJdxaam4VHRh1r</t>
  </si>
  <si>
    <t>BNbKYabHV8GP0UcM</t>
  </si>
  <si>
    <t>En2JQg0M6q0GoWO7</t>
  </si>
  <si>
    <t>VQTeC7NTYvIIwBOZ</t>
  </si>
  <si>
    <t>n1FFxDs6lZaVZ50R</t>
  </si>
  <si>
    <t>pHhoD5mpdsLFdOnV</t>
  </si>
  <si>
    <t>Vn7EhXSz0ZdyyFOE</t>
  </si>
  <si>
    <t>ynIu92D5BA7d73Df</t>
  </si>
  <si>
    <t>E6b5wyHgKTYk4x9B</t>
  </si>
  <si>
    <t>QScO5RgGBrtgDShz</t>
  </si>
  <si>
    <t>KwBLySQwIQJg88uA</t>
  </si>
  <si>
    <t>UOCU08QrxcOO3iZs</t>
  </si>
  <si>
    <t>PhIMfHveNcTlwQNk</t>
  </si>
  <si>
    <t>wRa8wiswb84xjCOU</t>
  </si>
  <si>
    <t>qBtwwDbrCoSu3dF3</t>
  </si>
  <si>
    <t>havcnElvCOtbnQjP</t>
  </si>
  <si>
    <t>qMxvl6EpT6jSwP5x</t>
  </si>
  <si>
    <t>T9ljDnV1U9W88hog</t>
  </si>
  <si>
    <t>QwEu8HC5fzJzHdu5</t>
  </si>
  <si>
    <t>TKw7utnNDik0E5FP</t>
  </si>
  <si>
    <t>Z7ZC1FHLzp0F334c</t>
  </si>
  <si>
    <t>VTc3faNPpb9wTurA</t>
  </si>
  <si>
    <t>0uIJuKJUkXnVuIrw</t>
  </si>
  <si>
    <t>9AjUehGs8Qx11JrV</t>
  </si>
  <si>
    <t>7jJGUPUJysoclYW4</t>
  </si>
  <si>
    <t>ZeuOp5pT32oWivYL</t>
  </si>
  <si>
    <t>iW3utP8nHTueYhEN</t>
  </si>
  <si>
    <t>5LVwxZLlPpEQCN77</t>
  </si>
  <si>
    <t>X8nwXcOwNiX5fuME</t>
  </si>
  <si>
    <t>bk7NiONnk43JUJ6m</t>
  </si>
  <si>
    <t>yRci9e4SoTVMLySy</t>
  </si>
  <si>
    <t>HY6aS6NTxSvT3mln</t>
  </si>
  <si>
    <t>wiDmlLqANWltBJjR</t>
  </si>
  <si>
    <t>bbFMfFU5LPldLFVI</t>
  </si>
  <si>
    <t>g3UbeT94gOjcHE90</t>
  </si>
  <si>
    <t>ngLFsJk0uRwndt0b</t>
  </si>
  <si>
    <t>6jrejFRqWTPMU0RP</t>
  </si>
  <si>
    <t>s0EgTP1jiYkHljmT</t>
  </si>
  <si>
    <t>K113vBZDNY0AYZgI</t>
  </si>
  <si>
    <t>144oxBDgYYmbq2KW</t>
  </si>
  <si>
    <t>kKZNiA2ww40R0X3n</t>
  </si>
  <si>
    <t>jgxeWh4PjFkrPb3t</t>
  </si>
  <si>
    <t>yPx66wVIEsZCGaJq</t>
  </si>
  <si>
    <t>HkOWOlhtg2p6w3k2</t>
  </si>
  <si>
    <t>N5UgWoeOQ6YnIm3C</t>
  </si>
  <si>
    <t>tPLVduIX2Mp4nQGh</t>
  </si>
  <si>
    <t>xWQKEpKFdqOdSMlj</t>
  </si>
  <si>
    <t>8zpAjjKwISWb5Raz</t>
  </si>
  <si>
    <t>OTs2S0FpJVGWuMOz</t>
  </si>
  <si>
    <t>aGzwrvXibL5g6r2Q</t>
  </si>
  <si>
    <t>fWfolaN84cHAjElO</t>
  </si>
  <si>
    <t>pyPJyNTHFqs1hIhp</t>
  </si>
  <si>
    <t>e9FC6G7sulfqxNNu</t>
  </si>
  <si>
    <t>zNptgNtX9sSOtUdT</t>
  </si>
  <si>
    <t>6gVLwExxd6D3NMQP</t>
  </si>
  <si>
    <t>1cZMeaYQsVNvVLZ7</t>
  </si>
  <si>
    <t>Qz7NYNC4HSkfRhGd</t>
  </si>
  <si>
    <t>CvYJjQCwrXeLfINB</t>
  </si>
  <si>
    <t>ajMe3mMNFFkeTNLx</t>
  </si>
  <si>
    <t>xND0UE4BujQbixqx</t>
  </si>
  <si>
    <t>il1H5agMWjGT9tMc</t>
  </si>
  <si>
    <t>ZpbYnVWMTdHGM2L5</t>
  </si>
  <si>
    <t>sFnIRmKpSKFRRUjq</t>
  </si>
  <si>
    <t>RkI98BJ3BMMexIYJ</t>
  </si>
  <si>
    <t>HO43KSb6bipFbCmM</t>
  </si>
  <si>
    <t>nesZtctbSSJtY1tf</t>
  </si>
  <si>
    <t>rNWc6MJIfdgOzM56</t>
  </si>
  <si>
    <t>SE1CK4BnmrToxfqG</t>
  </si>
  <si>
    <t>327pBlh9IqsULKLr</t>
  </si>
  <si>
    <t>9zVQSn9w2As2uTbZ</t>
  </si>
  <si>
    <t>KioY6Nf7XVbiPNE1</t>
  </si>
  <si>
    <t>y600zmtBoDQsEQRM</t>
  </si>
  <si>
    <t>BYvZicaxqY8bcIsK</t>
  </si>
  <si>
    <t>uGHNUYo16w9eQLUl</t>
  </si>
  <si>
    <t>sDjId4D4Ad8MGkKa</t>
  </si>
  <si>
    <t>VNQP4fGhJy6re0ZI</t>
  </si>
  <si>
    <t>LFOJLeCjXG8UZiRb</t>
  </si>
  <si>
    <t>4PaTy8eumL66TXqx</t>
  </si>
  <si>
    <t>3sPe2PrGkwCQH4LM</t>
  </si>
  <si>
    <t>HSPgEvt7x5AzUN7e</t>
  </si>
  <si>
    <t>hYfuGufNEO23AYz1</t>
  </si>
  <si>
    <t>1USxCzfZBAjpY77s</t>
  </si>
  <si>
    <t>xXyvWATMGk8v4j44</t>
  </si>
  <si>
    <t>AajcH8Lb3cA7KUCj</t>
  </si>
  <si>
    <t>m9yYd9gBvy6javsU</t>
  </si>
  <si>
    <t>szpGufRVGmKcs6Kk</t>
  </si>
  <si>
    <t>efL01GZFmp8nrtDg</t>
  </si>
  <si>
    <t>IH6a45Q0qqL5h1iT</t>
  </si>
  <si>
    <t>mZ2JQdcE1w7TeCAK</t>
  </si>
  <si>
    <t>6BzOKLVWDd9MwV3a</t>
  </si>
  <si>
    <t>NFWYsggPLAwIojjk</t>
  </si>
  <si>
    <t>T0JMWErEQ330W0jA</t>
  </si>
  <si>
    <t>lPUZm1j2C1AMTg11</t>
  </si>
  <si>
    <t>W08ndjYhfEwbSLdI</t>
  </si>
  <si>
    <t>oHSPsecSzZvoDvas</t>
  </si>
  <si>
    <t>idVuf7A4w7sKtqpu</t>
  </si>
  <si>
    <t>zrd38sHS1HiTXpdJ</t>
  </si>
  <si>
    <t>d5P6iMmHL52OB54Q</t>
  </si>
  <si>
    <t>S4CKN2GjXda6tq6z</t>
  </si>
  <si>
    <t>9T2GN3Ob7koZyLz2</t>
  </si>
  <si>
    <t>8Ecg5693YEByr5Sz</t>
  </si>
  <si>
    <t>Ha31StVvlLacq0aO</t>
  </si>
  <si>
    <t>gFCVRxvdHXeb7mXV</t>
  </si>
  <si>
    <t>RccUBFNrKq10Kfqj</t>
  </si>
  <si>
    <t>Vnjw6DxaXHr9SsFX</t>
  </si>
  <si>
    <t>vULmUUUawTG8HDfM</t>
  </si>
  <si>
    <t>5NSquN9xuREeOZKP</t>
  </si>
  <si>
    <t>aJ4HAwzngVJy9hnc</t>
  </si>
  <si>
    <t>G0aJ42CP06dJ9nDp</t>
  </si>
  <si>
    <t>wBYuL1NQXy5SrnyZ</t>
  </si>
  <si>
    <t>zGCG0GqICP05B4ol</t>
  </si>
  <si>
    <t>O2sm5EYl86QMcxb2</t>
  </si>
  <si>
    <t>L1F7xky3hofaJNL6</t>
  </si>
  <si>
    <t>YejsIzWx0zmhppVl</t>
  </si>
  <si>
    <t>25rjGlBWfgxyEcgb</t>
  </si>
  <si>
    <t>K7APk7cORPBKONLi</t>
  </si>
  <si>
    <t>8QZiFuoyXnkSwTYd</t>
  </si>
  <si>
    <t>V5fZGxSGnGOCYz86</t>
  </si>
  <si>
    <t>Iwg8u6V5EGjqkTOM</t>
  </si>
  <si>
    <t>qhRtEMMXFspgrlw3</t>
  </si>
  <si>
    <t>U81pEHQwffjUnZX7</t>
  </si>
  <si>
    <t>e37QTa29V0oDG8ET</t>
  </si>
  <si>
    <t>tbNUflRqRqQNPZpv</t>
  </si>
  <si>
    <t>eo16QxJoXGFse3Aq</t>
  </si>
  <si>
    <t>TztmQ8XeCh6LEGMH</t>
  </si>
  <si>
    <t>RFA1N9VbWVp878Oi</t>
  </si>
  <si>
    <t>AiCmZYDEJFQGTjgt</t>
  </si>
  <si>
    <t>fyLzTkj4gQXBDoZJ</t>
  </si>
  <si>
    <t>kI3TqRGKiopYPNAm</t>
  </si>
  <si>
    <t>rZdx8hGK5WRybHFe</t>
  </si>
  <si>
    <t>suTPScgYxvsnupsJ</t>
  </si>
  <si>
    <t>DFHZOpO1AGv4UCZa</t>
  </si>
  <si>
    <t>mg862nE4UmMOeaJC</t>
  </si>
  <si>
    <t>acQhRfLULmam6RAc</t>
  </si>
  <si>
    <t>YKqltrXlUjosmE88</t>
  </si>
  <si>
    <t>9933iNEEOe66pyy7</t>
  </si>
  <si>
    <t>K5oKHoAY1qoIStDE</t>
  </si>
  <si>
    <t>MZHlvkNfGHuuwBTT</t>
  </si>
  <si>
    <t>CAR2022-1001</t>
  </si>
  <si>
    <t>CAR2022-0892</t>
  </si>
  <si>
    <t>CAR2022-0888</t>
  </si>
  <si>
    <t>CAR2022-0820</t>
  </si>
  <si>
    <t>CAR2022-0824</t>
  </si>
  <si>
    <t>CAR2022-0823</t>
  </si>
  <si>
    <t>CAR2022-0644</t>
  </si>
  <si>
    <t>CAR2022-0843</t>
  </si>
  <si>
    <t>CAR2022-0865</t>
  </si>
  <si>
    <t>CAR2022-0870</t>
  </si>
  <si>
    <t>CAR2022-0872</t>
  </si>
  <si>
    <t>CAR2022-0845</t>
  </si>
  <si>
    <t>CAR2022-0834</t>
  </si>
  <si>
    <t>CAR2022-0840</t>
  </si>
  <si>
    <t>CAR2022-0694</t>
  </si>
  <si>
    <t>CAR2021-7684</t>
  </si>
  <si>
    <t>CAR2021-7648</t>
  </si>
  <si>
    <t>CAR2022-0829</t>
  </si>
  <si>
    <t>CAR2021-7662</t>
  </si>
  <si>
    <t>CAR2021-7665</t>
  </si>
  <si>
    <t>CAR2022-0005</t>
  </si>
  <si>
    <t>CAR2021-7683</t>
  </si>
  <si>
    <t>CAR2021-7667</t>
  </si>
  <si>
    <t>CAR2022-0831</t>
  </si>
  <si>
    <t>CAR2021-7682</t>
  </si>
  <si>
    <t>CAR2021-7685</t>
  </si>
  <si>
    <t>CAR2021-7626</t>
  </si>
  <si>
    <t>CAR2021-6508</t>
  </si>
  <si>
    <t>CAR2021-6434</t>
  </si>
  <si>
    <t>CAR2021-6846</t>
  </si>
  <si>
    <t>CAR2021-6831</t>
  </si>
  <si>
    <t>CAR2021-7421</t>
  </si>
  <si>
    <t>CAR2021-6832</t>
  </si>
  <si>
    <t>COM2022-0169</t>
  </si>
  <si>
    <t>COM2022-0170</t>
  </si>
  <si>
    <t>COM2021-3785</t>
  </si>
  <si>
    <t>COM2019-2239</t>
  </si>
  <si>
    <t>COM2022-0327</t>
  </si>
  <si>
    <t>COM2022-0151</t>
  </si>
  <si>
    <t>COM2019-1847</t>
  </si>
  <si>
    <t>COM2022-0184</t>
  </si>
  <si>
    <t>COM2021-2184</t>
  </si>
  <si>
    <t>CAR2021-5474</t>
  </si>
  <si>
    <t>CAR2020-4001</t>
  </si>
  <si>
    <t>CAR2020-4049</t>
  </si>
  <si>
    <t>CAR2020-2838</t>
  </si>
  <si>
    <t>CAR2021-3418</t>
  </si>
  <si>
    <t>CAR2020-2438</t>
  </si>
  <si>
    <t>CAR2021-6609</t>
  </si>
  <si>
    <t>CAR2021-6252</t>
  </si>
  <si>
    <t>CAR2021-6473</t>
  </si>
  <si>
    <t>CAR2020-3413</t>
  </si>
  <si>
    <t>CAR2020-3250</t>
  </si>
  <si>
    <t>CAR2021-2067</t>
  </si>
  <si>
    <t>CAR2020-3048</t>
  </si>
  <si>
    <t>CAR2020-3221</t>
  </si>
  <si>
    <t>CAR2021-3450</t>
  </si>
  <si>
    <t>CAR2021-6411</t>
  </si>
  <si>
    <t>CAR2021-6409</t>
  </si>
  <si>
    <t>CAR2021-6800</t>
  </si>
  <si>
    <t>CAR2021-4229</t>
  </si>
  <si>
    <t>CAR2020-4089</t>
  </si>
  <si>
    <t>CAR2020-2446</t>
  </si>
  <si>
    <t>CAR2021-1858</t>
  </si>
  <si>
    <t>CAR2020-2813</t>
  </si>
  <si>
    <t>CAR2020-3875</t>
  </si>
  <si>
    <t>CAR2022-4412</t>
  </si>
  <si>
    <t>CAR2022-2662</t>
  </si>
  <si>
    <t>CAR2021-2650</t>
  </si>
  <si>
    <t>CAR2021-4415</t>
  </si>
  <si>
    <t>CAR2021-3099</t>
  </si>
  <si>
    <t>CAR2021-3266</t>
  </si>
  <si>
    <t>CAR2021-3271</t>
  </si>
  <si>
    <t>CAR2021-3472</t>
  </si>
  <si>
    <t>CAR2021-3263</t>
  </si>
  <si>
    <t>CAR2021-3297</t>
  </si>
  <si>
    <t>CAR2021-7419</t>
  </si>
  <si>
    <t>CAR2021-3256</t>
  </si>
  <si>
    <t>CAR2020-4439</t>
  </si>
  <si>
    <t>CAR2021-3888</t>
  </si>
  <si>
    <t>CAR2021-4699</t>
  </si>
  <si>
    <t>CAR2021-4669</t>
  </si>
  <si>
    <t>CAR2021-6046</t>
  </si>
  <si>
    <t>CAR2021-4410</t>
  </si>
  <si>
    <t>CAR2021-4254</t>
  </si>
  <si>
    <t>CAR2021-7295</t>
  </si>
  <si>
    <t>CAR2021-3629</t>
  </si>
  <si>
    <t>CAR2021-4245</t>
  </si>
  <si>
    <t>CAR2021-7686</t>
  </si>
  <si>
    <t>COM2017-3142</t>
  </si>
  <si>
    <t>PAR2019-0580</t>
  </si>
  <si>
    <t>COM2020-2554</t>
  </si>
  <si>
    <t>COM2020-0965</t>
  </si>
  <si>
    <t>COM2019-2349</t>
  </si>
  <si>
    <t>COM2019-2143</t>
  </si>
  <si>
    <t>COM2019-2316</t>
  </si>
  <si>
    <t>PAR2018-1952</t>
  </si>
  <si>
    <t>PAR2019-2162</t>
  </si>
  <si>
    <t>PAR2020-3141</t>
  </si>
  <si>
    <t>PAR2019-0510</t>
  </si>
  <si>
    <t>PAR2019-2177</t>
  </si>
  <si>
    <t>COM2020-0957</t>
  </si>
  <si>
    <t>COM2017-3154</t>
  </si>
  <si>
    <t>COM2020-0307</t>
  </si>
  <si>
    <t>COM2019-2179</t>
  </si>
  <si>
    <t>COM2020-1550</t>
  </si>
  <si>
    <t>PAR2020-3196</t>
  </si>
  <si>
    <t>COM2019-2836</t>
  </si>
  <si>
    <t>COM2019-3080</t>
  </si>
  <si>
    <t>PAR2020-0559</t>
  </si>
  <si>
    <t>PAR2019-2311</t>
  </si>
  <si>
    <t>PAR2020-0502</t>
  </si>
  <si>
    <t>PAR2019-2175</t>
  </si>
  <si>
    <t>COM2022-0136</t>
  </si>
  <si>
    <t>PAR2020-0361</t>
  </si>
  <si>
    <t>PAR2020-0749</t>
  </si>
  <si>
    <t>PAR2021-3710</t>
  </si>
  <si>
    <t>COM2021-2983</t>
  </si>
  <si>
    <t>COM2019-2028</t>
  </si>
  <si>
    <t>PAR2020-2942</t>
  </si>
  <si>
    <t>COM2021-3999</t>
  </si>
  <si>
    <t>PAR2019-2421</t>
  </si>
  <si>
    <t>COM2021-3951</t>
  </si>
  <si>
    <t>CAR2021-5265</t>
  </si>
  <si>
    <t>CAR2021-6638</t>
  </si>
  <si>
    <t>CAR2020-2858</t>
  </si>
  <si>
    <t>CAR2020-3622</t>
  </si>
  <si>
    <t>CAR2020-2496</t>
  </si>
  <si>
    <t>CAR2020-2610</t>
  </si>
  <si>
    <t>CAR2021-7282</t>
  </si>
  <si>
    <t>CAR2021-6873</t>
  </si>
  <si>
    <t>CAR2021-3840</t>
  </si>
  <si>
    <t xml:space="preserve"> CAR2020-2497</t>
  </si>
  <si>
    <t>CAR2021-1428</t>
  </si>
  <si>
    <t>CAR2020-3649</t>
  </si>
  <si>
    <t>CAR2020-2478</t>
  </si>
  <si>
    <t>CAR2021-6663</t>
  </si>
  <si>
    <t>CAR2020-2890</t>
  </si>
  <si>
    <t>CAR2019-0272</t>
  </si>
  <si>
    <t>CAR2020-2683</t>
  </si>
  <si>
    <t>CAR2021-5267</t>
  </si>
  <si>
    <t>CAR2020-2862</t>
  </si>
  <si>
    <t>CAR2020-2670</t>
  </si>
  <si>
    <t>CAR2021-1878</t>
  </si>
  <si>
    <t>CAR2021-2053</t>
  </si>
  <si>
    <t>CAR2020-2849</t>
  </si>
  <si>
    <t>CAR2020-2428</t>
  </si>
  <si>
    <t>CAR2020-3876</t>
  </si>
  <si>
    <t>CAR2021-6871</t>
  </si>
  <si>
    <t>CAR2021-6870</t>
  </si>
  <si>
    <t>CAR2021-6880</t>
  </si>
  <si>
    <t>CAR2021-6872</t>
  </si>
  <si>
    <t>CAR2020-2686</t>
  </si>
  <si>
    <t>CAR2021-2055</t>
  </si>
  <si>
    <t>CAR2021-7707</t>
  </si>
  <si>
    <t>CAR2021-7082</t>
  </si>
  <si>
    <t>CAR2021-7028</t>
  </si>
  <si>
    <t>CAR2021-5637</t>
  </si>
  <si>
    <t>CAR2021-6061</t>
  </si>
  <si>
    <t>CAR2021-6490</t>
  </si>
  <si>
    <t>CAR2021-6087</t>
  </si>
  <si>
    <t>CAR2021-7495</t>
  </si>
  <si>
    <t>CAR2021-6228</t>
  </si>
  <si>
    <t>CAR2021-5639</t>
  </si>
  <si>
    <t>CAR2021-6062</t>
  </si>
  <si>
    <t>CAR2021-6081</t>
  </si>
  <si>
    <t>CAR2021-6078</t>
  </si>
  <si>
    <t>CAR2021-6653</t>
  </si>
  <si>
    <t>CAR2021-5874</t>
  </si>
  <si>
    <t>CAR2021-5860</t>
  </si>
  <si>
    <t>CAR2021-5870</t>
  </si>
  <si>
    <t>CAR2021-6491</t>
  </si>
  <si>
    <t>CAR2021-7629</t>
  </si>
  <si>
    <t>CAR2021-6868</t>
  </si>
  <si>
    <t>CAR2021-7079</t>
  </si>
  <si>
    <t>CAR2021-7276</t>
  </si>
  <si>
    <t>CAR2021-6878</t>
  </si>
  <si>
    <t>CAR2021-2023</t>
  </si>
  <si>
    <t>CAR2020-4491</t>
  </si>
  <si>
    <t>CAR2021-6043</t>
  </si>
  <si>
    <t>CAR2021-6651</t>
  </si>
  <si>
    <t>CAR2021-6882</t>
  </si>
  <si>
    <t>CAR2020-1673</t>
  </si>
  <si>
    <t>CAR2020-1667</t>
  </si>
  <si>
    <t>CAR2020-1461</t>
  </si>
  <si>
    <t>CAR2020-2225</t>
  </si>
  <si>
    <t>CAR2020-1613</t>
  </si>
  <si>
    <t>CAR2020-4691</t>
  </si>
  <si>
    <t>CAR2020-2062</t>
  </si>
  <si>
    <t>CAR2021-2248</t>
  </si>
  <si>
    <t>CAR2020-2007</t>
  </si>
  <si>
    <t>CAR2021-2186</t>
  </si>
  <si>
    <t>CAR2020-0276</t>
  </si>
  <si>
    <t>CAR2020-1280</t>
  </si>
  <si>
    <t>CAR2020-1298</t>
  </si>
  <si>
    <t>CAR2021-6213</t>
  </si>
  <si>
    <t>CAR2020-5277</t>
  </si>
  <si>
    <t>CAR2021-6646</t>
  </si>
  <si>
    <t>CAR2020-1448</t>
  </si>
  <si>
    <t>CAR2021-6093</t>
  </si>
  <si>
    <t>CAR2021-7097</t>
  </si>
  <si>
    <t>CAR2021-5658</t>
  </si>
  <si>
    <t>CAR2020-4607</t>
  </si>
  <si>
    <t>COM2021-2838</t>
  </si>
  <si>
    <t>CAR2021-6816</t>
  </si>
  <si>
    <t>CAR2021-5403</t>
  </si>
  <si>
    <t>COM2020-1563</t>
  </si>
  <si>
    <t>CAR2020-1727</t>
  </si>
  <si>
    <t>COM2021-3362</t>
  </si>
  <si>
    <t>COM2020-1920</t>
  </si>
  <si>
    <t>PAR2021-0926</t>
  </si>
  <si>
    <t>PAR2020-1780</t>
  </si>
  <si>
    <t>PAR2022-0147</t>
  </si>
  <si>
    <t>PAR2020-1591</t>
  </si>
  <si>
    <t>PAR2020-1171</t>
  </si>
  <si>
    <t>PAR2021-0750</t>
  </si>
  <si>
    <t>PAR2020-1702</t>
  </si>
  <si>
    <t>PAR2021-0729</t>
  </si>
  <si>
    <t>PAR2021-0727</t>
  </si>
  <si>
    <t>COM2021-0723</t>
  </si>
  <si>
    <t>PAR2020-0701</t>
  </si>
  <si>
    <t>PAR2021-3346</t>
  </si>
  <si>
    <t>PAR2020-1773</t>
  </si>
  <si>
    <t>PAR2021-3357</t>
  </si>
  <si>
    <t>PAR2020-1737</t>
  </si>
  <si>
    <t>PAR2020-1555</t>
  </si>
  <si>
    <t>CAR2022-0880</t>
  </si>
  <si>
    <t>CAR2021-7556</t>
  </si>
  <si>
    <t>CAR2022-0833</t>
  </si>
  <si>
    <t>CAR2022-0867</t>
  </si>
  <si>
    <t>CAR2022-7690</t>
  </si>
  <si>
    <t>CAR2022-0837</t>
  </si>
  <si>
    <t>CAR2022-0832</t>
  </si>
  <si>
    <t>CAR2021-7642</t>
  </si>
  <si>
    <t>CAR2021-7557</t>
  </si>
  <si>
    <t>CAR2021-2755</t>
  </si>
  <si>
    <t>CAR2021-7562</t>
  </si>
  <si>
    <t>CAR2022-0839</t>
  </si>
  <si>
    <t>CAR2022-0827</t>
  </si>
  <si>
    <t>CAR2022-0683</t>
  </si>
  <si>
    <t>CAR2021-7466</t>
  </si>
  <si>
    <t>CAR2021-7432</t>
  </si>
  <si>
    <t>CAR2021-7640</t>
  </si>
  <si>
    <t>CAR2021-7400</t>
  </si>
  <si>
    <t>CAR2021-7663</t>
  </si>
  <si>
    <t>CAR2019-3395</t>
  </si>
  <si>
    <t>CAR2021-4635</t>
  </si>
  <si>
    <t>CAR2021-4096</t>
  </si>
  <si>
    <t>CAR2021-4639</t>
  </si>
  <si>
    <t>CAR2021-3213</t>
  </si>
  <si>
    <t>PAR2021-2360</t>
  </si>
  <si>
    <t>PAR2020-0352</t>
  </si>
  <si>
    <t>COM2019-2195</t>
  </si>
  <si>
    <t>COM2019-3281</t>
  </si>
  <si>
    <t>COM2019-2188</t>
  </si>
  <si>
    <t>COM2019-2390</t>
  </si>
  <si>
    <t>COM2021-6437</t>
  </si>
  <si>
    <t>CAR2021-4277</t>
  </si>
  <si>
    <t>CAR2020-3205</t>
  </si>
  <si>
    <t>CAR2021-0499</t>
  </si>
  <si>
    <t>CAR2018-2625</t>
  </si>
  <si>
    <t>CAR2021-3683</t>
  </si>
  <si>
    <t>CAR2020-3699</t>
  </si>
  <si>
    <t>CAR2020-4622</t>
  </si>
  <si>
    <t>CAR2021-7652</t>
  </si>
  <si>
    <t>CAR2020-3089</t>
  </si>
  <si>
    <t>CAR2020-4014</t>
  </si>
  <si>
    <t>CAR2020-4013</t>
  </si>
  <si>
    <t>CAR2020-2638</t>
  </si>
  <si>
    <t>CAR2021-1830</t>
  </si>
  <si>
    <t>CAR2021-5228</t>
  </si>
  <si>
    <t>CAR2020-3619</t>
  </si>
  <si>
    <t>CAR2021-1832</t>
  </si>
  <si>
    <t>CAR2020-2681</t>
  </si>
  <si>
    <t>CAR2020-2690</t>
  </si>
  <si>
    <t>CAR2020-3691</t>
  </si>
  <si>
    <t>CAR2020-2807</t>
  </si>
  <si>
    <t>CAR2020-2644</t>
  </si>
  <si>
    <t>CAR2020-2682</t>
  </si>
  <si>
    <t>CAR20221-2220</t>
  </si>
  <si>
    <t>CAR2020-2656</t>
  </si>
  <si>
    <t>CAR2020-4294</t>
  </si>
  <si>
    <t>CAR2021-5861</t>
  </si>
  <si>
    <t>CAR2021-1882</t>
  </si>
  <si>
    <t>CAR2020-3033</t>
  </si>
  <si>
    <t>CAR2021-5254</t>
  </si>
  <si>
    <t>COM2021-3525</t>
  </si>
  <si>
    <t>COM2021-3914</t>
  </si>
  <si>
    <t>COM2021-3783</t>
  </si>
  <si>
    <t>COM2022-0152</t>
  </si>
  <si>
    <t>COM2021-3922</t>
  </si>
  <si>
    <t>COM2022-0186</t>
  </si>
  <si>
    <t>CAR2021-5335</t>
  </si>
  <si>
    <t>CAR2021-5668</t>
  </si>
  <si>
    <t>CAR2021-5667</t>
  </si>
  <si>
    <t>CAR2020-4488</t>
  </si>
  <si>
    <t>COM2020-3490</t>
  </si>
  <si>
    <t>COM2021-7491</t>
  </si>
  <si>
    <t>CAR2021-7492</t>
  </si>
  <si>
    <t>COM2020-3686</t>
  </si>
  <si>
    <t>COM2020-2624</t>
  </si>
  <si>
    <t>CAR2021-7030</t>
  </si>
  <si>
    <t>CAR2021-5871</t>
  </si>
  <si>
    <t>CAR2020-2623</t>
  </si>
  <si>
    <t>HUI2020-1334</t>
  </si>
  <si>
    <t>HUI2021-2480</t>
  </si>
  <si>
    <t>MEMORIAL</t>
  </si>
  <si>
    <t>DIGNITY</t>
  </si>
  <si>
    <t>IMPERIAL DE LUJO</t>
  </si>
  <si>
    <t>PRESIDENCIAL</t>
  </si>
  <si>
    <t>ZAFIRO</t>
  </si>
  <si>
    <t>ECONOLINE</t>
  </si>
  <si>
    <t>DELUX</t>
  </si>
  <si>
    <t>HUIMANGUILLO</t>
  </si>
  <si>
    <t>CUNDUACAN</t>
  </si>
  <si>
    <t>COMALCALCO</t>
  </si>
  <si>
    <t>PARAISO</t>
  </si>
  <si>
    <t>2022-12-02</t>
  </si>
  <si>
    <t>2022-07-02</t>
  </si>
  <si>
    <t>2022-02-02</t>
  </si>
  <si>
    <t>2022-09-02</t>
  </si>
  <si>
    <t>2022-10-02</t>
  </si>
  <si>
    <t>2022-08-02</t>
  </si>
  <si>
    <t>2022-04-02</t>
  </si>
  <si>
    <t>2021-12-28</t>
  </si>
  <si>
    <t>2022-12-22</t>
  </si>
  <si>
    <t>2022-08-01</t>
  </si>
  <si>
    <t>2021-12-24</t>
  </si>
  <si>
    <t>2022-05-01</t>
  </si>
  <si>
    <t>2021-12-18</t>
  </si>
  <si>
    <t>2021-10-22</t>
  </si>
  <si>
    <t>2021-10-25</t>
  </si>
  <si>
    <t>2021-11-11</t>
  </si>
  <si>
    <t>2021-10-11</t>
  </si>
  <si>
    <t>2021-03-12</t>
  </si>
  <si>
    <t>2021-09-08</t>
  </si>
  <si>
    <t>2022-01-17</t>
  </si>
  <si>
    <t>2021-11-26</t>
  </si>
  <si>
    <t>2019-08-17</t>
  </si>
  <si>
    <t>2022-01-26</t>
  </si>
  <si>
    <t>2022-12-01</t>
  </si>
  <si>
    <t>2019-07-15</t>
  </si>
  <si>
    <t>2022-01-20</t>
  </si>
  <si>
    <t>2021-06-29</t>
  </si>
  <si>
    <t>2022-02-01</t>
  </si>
  <si>
    <t>2020-10-13</t>
  </si>
  <si>
    <t>2020-10-16</t>
  </si>
  <si>
    <t>2020-02-09</t>
  </si>
  <si>
    <t>2021-10-07</t>
  </si>
  <si>
    <t>2020-08-13</t>
  </si>
  <si>
    <t>2021-10-30</t>
  </si>
  <si>
    <t>2021-10-20</t>
  </si>
  <si>
    <t>2021-10-27</t>
  </si>
  <si>
    <t>2020-09-23</t>
  </si>
  <si>
    <t>2020-09-19</t>
  </si>
  <si>
    <t>2021-05-24</t>
  </si>
  <si>
    <t>2020-10-09</t>
  </si>
  <si>
    <t>2020-09-15</t>
  </si>
  <si>
    <t>2021-07-13</t>
  </si>
  <si>
    <t>2021-10-23</t>
  </si>
  <si>
    <t>2021-08-11</t>
  </si>
  <si>
    <t>2021-07-31</t>
  </si>
  <si>
    <t>2020-10-19</t>
  </si>
  <si>
    <t>2020-08-15</t>
  </si>
  <si>
    <t>2021-08-05</t>
  </si>
  <si>
    <t>2020-04-09</t>
  </si>
  <si>
    <t>2020-12-10</t>
  </si>
  <si>
    <t>2021-06-08</t>
  </si>
  <si>
    <t>2021-06-18</t>
  </si>
  <si>
    <t>2021-06-17</t>
  </si>
  <si>
    <t>2021-03-07</t>
  </si>
  <si>
    <t>2021-07-07</t>
  </si>
  <si>
    <t>2021-07-14</t>
  </si>
  <si>
    <t>2021-08-07</t>
  </si>
  <si>
    <t>2020-07-07</t>
  </si>
  <si>
    <t>2021-08-19</t>
  </si>
  <si>
    <t>2021-08-17</t>
  </si>
  <si>
    <t>2021-12-10</t>
  </si>
  <si>
    <t>2021-04-08</t>
  </si>
  <si>
    <t>2021-01-12</t>
  </si>
  <si>
    <t>2021-07-17</t>
  </si>
  <si>
    <t>2021-02-03</t>
  </si>
  <si>
    <t>2017-04-28</t>
  </si>
  <si>
    <t>2019-03-26</t>
  </si>
  <si>
    <t>2020-10-22</t>
  </si>
  <si>
    <t>2020-06-27</t>
  </si>
  <si>
    <t>2019-08-27</t>
  </si>
  <si>
    <t>2019-12-08</t>
  </si>
  <si>
    <t>2019-08-21</t>
  </si>
  <si>
    <t>2018-06-10</t>
  </si>
  <si>
    <t>2019-08-15</t>
  </si>
  <si>
    <t>2020-11-30</t>
  </si>
  <si>
    <t>2019-02-26</t>
  </si>
  <si>
    <t>2019-08-16</t>
  </si>
  <si>
    <t>2020-06-26</t>
  </si>
  <si>
    <t>2017-05-05</t>
  </si>
  <si>
    <t>2020-01-21</t>
  </si>
  <si>
    <t>2020-08-08</t>
  </si>
  <si>
    <t>2020-08-12</t>
  </si>
  <si>
    <t>2019-10-10</t>
  </si>
  <si>
    <t>2019-11-14</t>
  </si>
  <si>
    <t>2020-05-03</t>
  </si>
  <si>
    <t>2020-02-18</t>
  </si>
  <si>
    <t>2021-10-01</t>
  </si>
  <si>
    <t>2020-05-02</t>
  </si>
  <si>
    <t>2020-03-17</t>
  </si>
  <si>
    <t>2021-11-16</t>
  </si>
  <si>
    <t>2021-09-25</t>
  </si>
  <si>
    <t>2019-07-30</t>
  </si>
  <si>
    <t>2020-09-10</t>
  </si>
  <si>
    <t>2019-03-09</t>
  </si>
  <si>
    <t>2021-08-12</t>
  </si>
  <si>
    <t>2021-11-09</t>
  </si>
  <si>
    <t>2021-05-11</t>
  </si>
  <si>
    <t>2020-03-09</t>
  </si>
  <si>
    <t>2020-02-10</t>
  </si>
  <si>
    <t>2020-08-19</t>
  </si>
  <si>
    <t>2020-08-20</t>
  </si>
  <si>
    <t>2021-11-30</t>
  </si>
  <si>
    <t>2021-12-11</t>
  </si>
  <si>
    <t>2021-07-24</t>
  </si>
  <si>
    <t>2020-09-08</t>
  </si>
  <si>
    <t>2021-04-17</t>
  </si>
  <si>
    <t>2020-08-17</t>
  </si>
  <si>
    <t>2020-05-09</t>
  </si>
  <si>
    <t>2019-05-02</t>
  </si>
  <si>
    <t>2020-08-27</t>
  </si>
  <si>
    <t>2020-08-26</t>
  </si>
  <si>
    <t>2021-12-05</t>
  </si>
  <si>
    <t>2021-03-21</t>
  </si>
  <si>
    <t>2020-09-11</t>
  </si>
  <si>
    <t>2021-11-13</t>
  </si>
  <si>
    <t>2021-05-22</t>
  </si>
  <si>
    <t>2021-12-31</t>
  </si>
  <si>
    <t>2021-11-20</t>
  </si>
  <si>
    <t>2021-11-18</t>
  </si>
  <si>
    <t>2021-10-13</t>
  </si>
  <si>
    <t>2021-10-29</t>
  </si>
  <si>
    <t>2021-10-14</t>
  </si>
  <si>
    <t>2021-10-18</t>
  </si>
  <si>
    <t>2021-04-11</t>
  </si>
  <si>
    <t>2021-06-10</t>
  </si>
  <si>
    <t>2021-11-22</t>
  </si>
  <si>
    <t>2021-11-29</t>
  </si>
  <si>
    <t>2021-05-20</t>
  </si>
  <si>
    <t>2020-07-11</t>
  </si>
  <si>
    <t>2021-11-10</t>
  </si>
  <si>
    <t>2021-04-10</t>
  </si>
  <si>
    <t>2020-07-18</t>
  </si>
  <si>
    <t>2020-11-07</t>
  </si>
  <si>
    <t>2020-06-08</t>
  </si>
  <si>
    <t>2020-07-15</t>
  </si>
  <si>
    <t>2020-11-20</t>
  </si>
  <si>
    <t>2020-01-08</t>
  </si>
  <si>
    <t>2021-02-06</t>
  </si>
  <si>
    <t>2020-05-08</t>
  </si>
  <si>
    <t>2021-10-06</t>
  </si>
  <si>
    <t>2020-01-28</t>
  </si>
  <si>
    <t>2020-02-07</t>
  </si>
  <si>
    <t>2020-06-07</t>
  </si>
  <si>
    <t>2021-10-16</t>
  </si>
  <si>
    <t>2020-11-12</t>
  </si>
  <si>
    <t>2020-09-07</t>
  </si>
  <si>
    <t>2021-10-15</t>
  </si>
  <si>
    <t>2021-11-23</t>
  </si>
  <si>
    <t>2021-09-27</t>
  </si>
  <si>
    <t>2020-10-11</t>
  </si>
  <si>
    <t>2021-06-23</t>
  </si>
  <si>
    <t>2021-09-11</t>
  </si>
  <si>
    <t>2021-09-15</t>
  </si>
  <si>
    <t>2020-11-08</t>
  </si>
  <si>
    <t>2020-03-03</t>
  </si>
  <si>
    <t>2020-07-09</t>
  </si>
  <si>
    <t>2021-06-03</t>
  </si>
  <si>
    <t>2020-08-18</t>
  </si>
  <si>
    <t>2020-02-26</t>
  </si>
  <si>
    <t>2021-02-23</t>
  </si>
  <si>
    <t>2020-02-23</t>
  </si>
  <si>
    <t>2021-02-20</t>
  </si>
  <si>
    <t>2020-01-09</t>
  </si>
  <si>
    <t>2020-08-25</t>
  </si>
  <si>
    <t>2022-11-02</t>
  </si>
  <si>
    <t>2021-12-15</t>
  </si>
  <si>
    <t>2021-12-29</t>
  </si>
  <si>
    <t>2021-12-22</t>
  </si>
  <si>
    <t>2021-06-12</t>
  </si>
  <si>
    <t>2021-04-12</t>
  </si>
  <si>
    <t>2021-02-12</t>
  </si>
  <si>
    <t>2019-12-11</t>
  </si>
  <si>
    <t>2021-08-14</t>
  </si>
  <si>
    <t>2021-07-26</t>
  </si>
  <si>
    <t>2021-07-30</t>
  </si>
  <si>
    <t>2019-08-28</t>
  </si>
  <si>
    <t>2020-01-30</t>
  </si>
  <si>
    <t>2019-08-20</t>
  </si>
  <si>
    <t>2019-12-13</t>
  </si>
  <si>
    <t>2019-08-19</t>
  </si>
  <si>
    <t>2019-08-31</t>
  </si>
  <si>
    <t>2020-09-14</t>
  </si>
  <si>
    <t>2021-02-16</t>
  </si>
  <si>
    <t>2018-11-23</t>
  </si>
  <si>
    <t>2021-07-21</t>
  </si>
  <si>
    <t>2020-06-10</t>
  </si>
  <si>
    <t>2020-11-11</t>
  </si>
  <si>
    <t>2021-12-23</t>
  </si>
  <si>
    <t>2020-12-09</t>
  </si>
  <si>
    <t>2020-10-14</t>
  </si>
  <si>
    <t>2020-08-22</t>
  </si>
  <si>
    <t>2021-09-09</t>
  </si>
  <si>
    <t>2021-12-08</t>
  </si>
  <si>
    <t>2020-08-28</t>
  </si>
  <si>
    <t>2020-08-29</t>
  </si>
  <si>
    <t>2020-08-24</t>
  </si>
  <si>
    <t>2021-08-28</t>
  </si>
  <si>
    <t>2020-10-26</t>
  </si>
  <si>
    <t>2021-07-10</t>
  </si>
  <si>
    <t>2020-09-09</t>
  </si>
  <si>
    <t>2021-01-11</t>
  </si>
  <si>
    <t>2022-01-21</t>
  </si>
  <si>
    <t>2021-09-28</t>
  </si>
  <si>
    <t>2023-01-02</t>
  </si>
  <si>
    <t>2020-08-21</t>
  </si>
  <si>
    <t>2022-11-22</t>
  </si>
  <si>
    <t>ALEJANDRA</t>
  </si>
  <si>
    <t>CONCEPCION</t>
  </si>
  <si>
    <t>EJIDO</t>
  </si>
  <si>
    <t>JUAN MANUEL</t>
  </si>
  <si>
    <t>EUGENIO</t>
  </si>
  <si>
    <t>ELSI DEL CARMEN</t>
  </si>
  <si>
    <t>JUAN ARTURO</t>
  </si>
  <si>
    <t>AMINTA</t>
  </si>
  <si>
    <t>CLAUDIA LETICIA</t>
  </si>
  <si>
    <t>ARELY</t>
  </si>
  <si>
    <t>KEYLA ELIZABETH</t>
  </si>
  <si>
    <t>CATALINA</t>
  </si>
  <si>
    <t>AMALIE</t>
  </si>
  <si>
    <t>CAROLINA</t>
  </si>
  <si>
    <t>JOSE</t>
  </si>
  <si>
    <t>ANGEL</t>
  </si>
  <si>
    <t>LEONOR</t>
  </si>
  <si>
    <t>JACINTO</t>
  </si>
  <si>
    <t>JOSE GUADALUPE</t>
  </si>
  <si>
    <t>MARISOL</t>
  </si>
  <si>
    <t>MARTHA</t>
  </si>
  <si>
    <t>ESTELA</t>
  </si>
  <si>
    <t>OFELIA</t>
  </si>
  <si>
    <t>SERAPIO</t>
  </si>
  <si>
    <t>BENJAMIN</t>
  </si>
  <si>
    <t>ISOBELINO</t>
  </si>
  <si>
    <t>JACOBINO</t>
  </si>
  <si>
    <t>NILDA PATRICIA</t>
  </si>
  <si>
    <t>JUAN PABLO</t>
  </si>
  <si>
    <t>JOSE DANIEL</t>
  </si>
  <si>
    <t>MANUEL</t>
  </si>
  <si>
    <t>HERCILIA</t>
  </si>
  <si>
    <t>NEFTALI</t>
  </si>
  <si>
    <t>OLGA LILIA</t>
  </si>
  <si>
    <t>BEGONIA</t>
  </si>
  <si>
    <t>DARWIN</t>
  </si>
  <si>
    <t>PABLO</t>
  </si>
  <si>
    <t>JORGE</t>
  </si>
  <si>
    <t>ERMELINDA</t>
  </si>
  <si>
    <t>ZORAIDA</t>
  </si>
  <si>
    <t>ANGEL DE LS</t>
  </si>
  <si>
    <t>DIEGO</t>
  </si>
  <si>
    <t>MARIA CRUZ</t>
  </si>
  <si>
    <t>MARIO</t>
  </si>
  <si>
    <t>ADELINA</t>
  </si>
  <si>
    <t>ROSA LAURA</t>
  </si>
  <si>
    <t>MARIA JESUS</t>
  </si>
  <si>
    <t>LETICIA</t>
  </si>
  <si>
    <t>GABRIEL</t>
  </si>
  <si>
    <t>ERIC</t>
  </si>
  <si>
    <t>GREGORIA DE LOS ANGELES</t>
  </si>
  <si>
    <t>EDEN</t>
  </si>
  <si>
    <t>JOVANNIEL</t>
  </si>
  <si>
    <t>ELIZABETH</t>
  </si>
  <si>
    <t>NARVI NALLELY</t>
  </si>
  <si>
    <t>MIGUEL ENRIQUE</t>
  </si>
  <si>
    <t>JULIA</t>
  </si>
  <si>
    <t>RAFAIN</t>
  </si>
  <si>
    <t>AGUSTINA</t>
  </si>
  <si>
    <t>ANDREA</t>
  </si>
  <si>
    <t>ARACELI</t>
  </si>
  <si>
    <t>MARIA DE JESUS</t>
  </si>
  <si>
    <t>JUANA</t>
  </si>
  <si>
    <t>MARIA MARIBEL</t>
  </si>
  <si>
    <t>GRACIELA</t>
  </si>
  <si>
    <t>FRANCISCO</t>
  </si>
  <si>
    <t>LEIDY VIRIDIANA</t>
  </si>
  <si>
    <t>RODRIGO ALBERTO</t>
  </si>
  <si>
    <t>FERNANDO</t>
  </si>
  <si>
    <t>MARIELA</t>
  </si>
  <si>
    <t>HILUMILANDA</t>
  </si>
  <si>
    <t>JAZMIN</t>
  </si>
  <si>
    <t>EULOGIO</t>
  </si>
  <si>
    <t>VIOLETA</t>
  </si>
  <si>
    <t>ISIDRO</t>
  </si>
  <si>
    <t>PEDRO</t>
  </si>
  <si>
    <t>LUCIO</t>
  </si>
  <si>
    <t>VERONICA</t>
  </si>
  <si>
    <t>JORGE LUIS</t>
  </si>
  <si>
    <t>CARLOS</t>
  </si>
  <si>
    <t>MIGUEL</t>
  </si>
  <si>
    <t>ELBIA</t>
  </si>
  <si>
    <t>ABIGAIL</t>
  </si>
  <si>
    <t>MARQUEZA</t>
  </si>
  <si>
    <t>LILI</t>
  </si>
  <si>
    <t>JOSE JESUS</t>
  </si>
  <si>
    <t>ANGELA</t>
  </si>
  <si>
    <t>JOSE ESTEBAN</t>
  </si>
  <si>
    <t>BARTOLO</t>
  </si>
  <si>
    <t>DANNY CRISTEL</t>
  </si>
  <si>
    <t>MERLE</t>
  </si>
  <si>
    <t>JOSE MANUEL</t>
  </si>
  <si>
    <t>MARIA</t>
  </si>
  <si>
    <t>PATRICIA DEL CARMEN</t>
  </si>
  <si>
    <t>EVERARDO</t>
  </si>
  <si>
    <t>ADELAIDA</t>
  </si>
  <si>
    <t>ANTONIO</t>
  </si>
  <si>
    <t>MARIA CELIA</t>
  </si>
  <si>
    <t>LUCIA</t>
  </si>
  <si>
    <t>WILFRIDA</t>
  </si>
  <si>
    <t>JAVIER</t>
  </si>
  <si>
    <t>JURAN</t>
  </si>
  <si>
    <t>OSCAR ENRIQUE</t>
  </si>
  <si>
    <t>ISAMARI</t>
  </si>
  <si>
    <t>HORACIO</t>
  </si>
  <si>
    <t>GRISELDA</t>
  </si>
  <si>
    <t>PASCASIO</t>
  </si>
  <si>
    <t>LAURA</t>
  </si>
  <si>
    <t>CIPRINO</t>
  </si>
  <si>
    <t>ELODIA</t>
  </si>
  <si>
    <t>ELIZABET</t>
  </si>
  <si>
    <t>DANIEL</t>
  </si>
  <si>
    <t>MARIA DEL CARMEN</t>
  </si>
  <si>
    <t>RAUL</t>
  </si>
  <si>
    <t>PATRICIA</t>
  </si>
  <si>
    <t>EDUVIEL</t>
  </si>
  <si>
    <t>JOSE DEL CARMEN</t>
  </si>
  <si>
    <t>RICARDO</t>
  </si>
  <si>
    <t>ADRIANA</t>
  </si>
  <si>
    <t>MARIA LUISA</t>
  </si>
  <si>
    <t>GUSTAVO ADOLFO</t>
  </si>
  <si>
    <t>CELIA</t>
  </si>
  <si>
    <t>LUIS ALBERTO</t>
  </si>
  <si>
    <t>MARTHA ELENA</t>
  </si>
  <si>
    <t>BERTHA</t>
  </si>
  <si>
    <t>BLANCA ESTHELA</t>
  </si>
  <si>
    <t>JULIO CESAR</t>
  </si>
  <si>
    <t>ROSARIO</t>
  </si>
  <si>
    <t>ROY</t>
  </si>
  <si>
    <t>FRANCISCA</t>
  </si>
  <si>
    <t>CORNELIA</t>
  </si>
  <si>
    <t>FLOIDE</t>
  </si>
  <si>
    <t>HILEI MARGARITA</t>
  </si>
  <si>
    <t>ADELA</t>
  </si>
  <si>
    <t>YESICA MERCEDES</t>
  </si>
  <si>
    <t>JHON ESMIR</t>
  </si>
  <si>
    <t>TOMAZA</t>
  </si>
  <si>
    <t>HENRY</t>
  </si>
  <si>
    <t>ESMERALDA</t>
  </si>
  <si>
    <t>GLORIA</t>
  </si>
  <si>
    <t>CARMEN</t>
  </si>
  <si>
    <t>MANAIN</t>
  </si>
  <si>
    <t>MODESTO</t>
  </si>
  <si>
    <t>DELLANIRA</t>
  </si>
  <si>
    <t>ROGER</t>
  </si>
  <si>
    <t>SAFONIAS</t>
  </si>
  <si>
    <t>ELISBEN</t>
  </si>
  <si>
    <t>BLANCA ESTELA</t>
  </si>
  <si>
    <t>MEDEL</t>
  </si>
  <si>
    <t>DALILA</t>
  </si>
  <si>
    <t>DELIA</t>
  </si>
  <si>
    <t>SANTANA</t>
  </si>
  <si>
    <t>GERONIMO</t>
  </si>
  <si>
    <t>ELIAZIN</t>
  </si>
  <si>
    <t>ALICIA</t>
  </si>
  <si>
    <t>IRMA</t>
  </si>
  <si>
    <t>DALIA</t>
  </si>
  <si>
    <t>MINERVA</t>
  </si>
  <si>
    <t>MAGNOLIA</t>
  </si>
  <si>
    <t>AURORA ELIZA</t>
  </si>
  <si>
    <t>ADAN</t>
  </si>
  <si>
    <t>LUIS ENRIQUE</t>
  </si>
  <si>
    <t>ODILA</t>
  </si>
  <si>
    <t>CLAUDIA</t>
  </si>
  <si>
    <t>ALADES</t>
  </si>
  <si>
    <t>BEATRIZ ADRIANA</t>
  </si>
  <si>
    <t>NORMA EDITH</t>
  </si>
  <si>
    <t>MARIA DEL ROSARIO</t>
  </si>
  <si>
    <t>ADELITA</t>
  </si>
  <si>
    <t>LORETA</t>
  </si>
  <si>
    <t>PETRA</t>
  </si>
  <si>
    <t>GABRIELA</t>
  </si>
  <si>
    <t>RIGOBERTO</t>
  </si>
  <si>
    <t>MARIA ELENA</t>
  </si>
  <si>
    <t>NORMA</t>
  </si>
  <si>
    <t>MIRIAM DEL CARMEN</t>
  </si>
  <si>
    <t>JACOBO</t>
  </si>
  <si>
    <t>RAFAEL</t>
  </si>
  <si>
    <t>ADI</t>
  </si>
  <si>
    <t>MARIBEL</t>
  </si>
  <si>
    <t>MIGDALIA</t>
  </si>
  <si>
    <t>DAVID</t>
  </si>
  <si>
    <t>MANUEL REYES</t>
  </si>
  <si>
    <t>TRINIDAD</t>
  </si>
  <si>
    <t>JUAN CARLOS</t>
  </si>
  <si>
    <t>ELIDE</t>
  </si>
  <si>
    <t>HERMINA</t>
  </si>
  <si>
    <t>TERESITA DE JESUS</t>
  </si>
  <si>
    <t>HECTOR</t>
  </si>
  <si>
    <t>CUTBERTO</t>
  </si>
  <si>
    <t>BELLANIRA</t>
  </si>
  <si>
    <t>INGRID</t>
  </si>
  <si>
    <t>JULIO</t>
  </si>
  <si>
    <t>EDI</t>
  </si>
  <si>
    <t>NOEMI</t>
  </si>
  <si>
    <t>MIGUELINA</t>
  </si>
  <si>
    <t>MARIA GUADALUPE</t>
  </si>
  <si>
    <t>ZENAIDA</t>
  </si>
  <si>
    <t>DIANA</t>
  </si>
  <si>
    <t>RAQUEL</t>
  </si>
  <si>
    <t>MARIA GLICIA</t>
  </si>
  <si>
    <t>YARI</t>
  </si>
  <si>
    <t>ROMAN</t>
  </si>
  <si>
    <t>KARINA CRISTELL</t>
  </si>
  <si>
    <t>ANTONIA</t>
  </si>
  <si>
    <t>MIRELDA</t>
  </si>
  <si>
    <t>OTOLIO</t>
  </si>
  <si>
    <t>RODRIGUEZ</t>
  </si>
  <si>
    <t>ARMANDO</t>
  </si>
  <si>
    <t>EFRAIN</t>
  </si>
  <si>
    <t>KARINA IRENE</t>
  </si>
  <si>
    <t>UBENES</t>
  </si>
  <si>
    <t>REYNA MARIA</t>
  </si>
  <si>
    <t>GUADALUPE</t>
  </si>
  <si>
    <t>ARTURO</t>
  </si>
  <si>
    <t>MATILDE</t>
  </si>
  <si>
    <t>NORMA LINDA</t>
  </si>
  <si>
    <t>VICTOR MANUEL</t>
  </si>
  <si>
    <t>LAURIANJO</t>
  </si>
  <si>
    <t>HERNAN</t>
  </si>
  <si>
    <t>ROSAURA</t>
  </si>
  <si>
    <t>MELIDA</t>
  </si>
  <si>
    <t>INEZ</t>
  </si>
  <si>
    <t>ALBERTO ISACC</t>
  </si>
  <si>
    <t>ROSA DEL CARMEN</t>
  </si>
  <si>
    <t>ROBERTO ANTONIO</t>
  </si>
  <si>
    <t>ELICEO</t>
  </si>
  <si>
    <t>WILLY DAVID</t>
  </si>
  <si>
    <t>NINIVE</t>
  </si>
  <si>
    <t>MIRELLA</t>
  </si>
  <si>
    <t>MARIA CRISTINA</t>
  </si>
  <si>
    <t>MAGALY</t>
  </si>
  <si>
    <t>ERIKA</t>
  </si>
  <si>
    <t>ERICK DAVID</t>
  </si>
  <si>
    <t>DOLORES</t>
  </si>
  <si>
    <t>PIEDAD</t>
  </si>
  <si>
    <t>JUAN</t>
  </si>
  <si>
    <t>JOSE MARIA</t>
  </si>
  <si>
    <t>JOSE JUAN</t>
  </si>
  <si>
    <t>BENEDICTO</t>
  </si>
  <si>
    <t>JORDY JACOB</t>
  </si>
  <si>
    <t>MELCHOR</t>
  </si>
  <si>
    <t>ASUNCION</t>
  </si>
  <si>
    <t>GEORGINA</t>
  </si>
  <si>
    <t>REBECA</t>
  </si>
  <si>
    <t>SARAY</t>
  </si>
  <si>
    <t>OMAR</t>
  </si>
  <si>
    <t>VICTORIA</t>
  </si>
  <si>
    <t>CRUZ</t>
  </si>
  <si>
    <t>GARCIA</t>
  </si>
  <si>
    <t>RAMOS</t>
  </si>
  <si>
    <t>GENARO</t>
  </si>
  <si>
    <t>VAZQUEZ</t>
  </si>
  <si>
    <t>TORRES</t>
  </si>
  <si>
    <t>BRITO</t>
  </si>
  <si>
    <t>DIAZ</t>
  </si>
  <si>
    <t>PALMA</t>
  </si>
  <si>
    <t>IZQUIERDO</t>
  </si>
  <si>
    <t>DE LOS SANTOS</t>
  </si>
  <si>
    <t>GALLEGOS</t>
  </si>
  <si>
    <t>DEL CARMEN</t>
  </si>
  <si>
    <t/>
  </si>
  <si>
    <t>SUAREZ</t>
  </si>
  <si>
    <t>NARANJO</t>
  </si>
  <si>
    <t>ROJAS</t>
  </si>
  <si>
    <t>GUITIERREZ</t>
  </si>
  <si>
    <t>BEAUREGARD</t>
  </si>
  <si>
    <t>NAREZ</t>
  </si>
  <si>
    <t>MORALES</t>
  </si>
  <si>
    <t>SANCHEZ</t>
  </si>
  <si>
    <t>PEREZ</t>
  </si>
  <si>
    <t>DE LA CRUZ</t>
  </si>
  <si>
    <t>AGUILAR</t>
  </si>
  <si>
    <t>JUAREZ</t>
  </si>
  <si>
    <t>SANTIAGO</t>
  </si>
  <si>
    <t>TRUJILLO</t>
  </si>
  <si>
    <t>LAZARO</t>
  </si>
  <si>
    <t>CORDOVA</t>
  </si>
  <si>
    <t>OLAN</t>
  </si>
  <si>
    <t>ZAPATA</t>
  </si>
  <si>
    <t>GAMAS</t>
  </si>
  <si>
    <t>ZAMARA</t>
  </si>
  <si>
    <t>GONZALEZ</t>
  </si>
  <si>
    <t>GUZMAN</t>
  </si>
  <si>
    <t>BICHEL</t>
  </si>
  <si>
    <t>SOSO</t>
  </si>
  <si>
    <t>FLORES</t>
  </si>
  <si>
    <t>DOMINGUEZ</t>
  </si>
  <si>
    <t>HERNANDEZ</t>
  </si>
  <si>
    <t>JIMENEZ</t>
  </si>
  <si>
    <t>ADORNO</t>
  </si>
  <si>
    <t>MENDEZ</t>
  </si>
  <si>
    <t>LEYVA</t>
  </si>
  <si>
    <t>CHABLE</t>
  </si>
  <si>
    <t>BALTAZAR</t>
  </si>
  <si>
    <t>MONTEJO</t>
  </si>
  <si>
    <t>ALMEIDA</t>
  </si>
  <si>
    <t>FLEITES</t>
  </si>
  <si>
    <t>MARTINEZ</t>
  </si>
  <si>
    <t>DEL RIO</t>
  </si>
  <si>
    <t>MACIAS</t>
  </si>
  <si>
    <t>LANDERO</t>
  </si>
  <si>
    <t>ROSALDO</t>
  </si>
  <si>
    <t>AREVALO</t>
  </si>
  <si>
    <t>OSORIO</t>
  </si>
  <si>
    <t>SERRA</t>
  </si>
  <si>
    <t>CARRASCO</t>
  </si>
  <si>
    <t>SARMIENTO</t>
  </si>
  <si>
    <t>MENDOZA</t>
  </si>
  <si>
    <t>RIVERA</t>
  </si>
  <si>
    <t>ROMERO</t>
  </si>
  <si>
    <t>LEON</t>
  </si>
  <si>
    <t>CERINO</t>
  </si>
  <si>
    <t>RUIZ</t>
  </si>
  <si>
    <t>SASTRE</t>
  </si>
  <si>
    <t>CANO</t>
  </si>
  <si>
    <t>AQUINO</t>
  </si>
  <si>
    <t>BAUTISTA</t>
  </si>
  <si>
    <t>VICENTE</t>
  </si>
  <si>
    <t>MAYO</t>
  </si>
  <si>
    <t>LOMAN</t>
  </si>
  <si>
    <t>ANGUIANO</t>
  </si>
  <si>
    <t>AGUIRRE</t>
  </si>
  <si>
    <t>CORTAZAR</t>
  </si>
  <si>
    <t>CAMPOS</t>
  </si>
  <si>
    <t>CAMACHO</t>
  </si>
  <si>
    <t>DE DIOS</t>
  </si>
  <si>
    <t>ALEJANDRO</t>
  </si>
  <si>
    <t>ACHAUTLA</t>
  </si>
  <si>
    <t>CABRERA</t>
  </si>
  <si>
    <t>CHAN</t>
  </si>
  <si>
    <t>GUILLERMO</t>
  </si>
  <si>
    <t>JERONIMO</t>
  </si>
  <si>
    <t>YSIDRO</t>
  </si>
  <si>
    <t>RICARDEZ</t>
  </si>
  <si>
    <t>PERALTA</t>
  </si>
  <si>
    <t>GONZALES</t>
  </si>
  <si>
    <t>ALCUDIA</t>
  </si>
  <si>
    <t>OLIVE</t>
  </si>
  <si>
    <t>SAMUDIO</t>
  </si>
  <si>
    <t>CARRILLO</t>
  </si>
  <si>
    <t>MARQUEZ</t>
  </si>
  <si>
    <t>DANTORIE</t>
  </si>
  <si>
    <t>PEREGRINO</t>
  </si>
  <si>
    <t>RAMIREZ</t>
  </si>
  <si>
    <t>COLLADO</t>
  </si>
  <si>
    <t>HERANDEZ</t>
  </si>
  <si>
    <t>REYES</t>
  </si>
  <si>
    <t>ALVARADO</t>
  </si>
  <si>
    <t>VASCONCELOS</t>
  </si>
  <si>
    <t>ORDAÃ‘EZ</t>
  </si>
  <si>
    <t>PRESENDA</t>
  </si>
  <si>
    <t>ORTIZ</t>
  </si>
  <si>
    <t>BARRAGAN</t>
  </si>
  <si>
    <t>MOSQUEDA</t>
  </si>
  <si>
    <t>HIDALGO</t>
  </si>
  <si>
    <t>ESPAÃ‘A</t>
  </si>
  <si>
    <t>LARA</t>
  </si>
  <si>
    <t>CASTELLANOS</t>
  </si>
  <si>
    <t>ARA</t>
  </si>
  <si>
    <t>CATARINO</t>
  </si>
  <si>
    <t>PANFILO</t>
  </si>
  <si>
    <t>VENTURA</t>
  </si>
  <si>
    <t>ULLOA</t>
  </si>
  <si>
    <t>DE LA ROSA</t>
  </si>
  <si>
    <t>COLORADO</t>
  </si>
  <si>
    <t>ARIAS</t>
  </si>
  <si>
    <t>VALENZUELA</t>
  </si>
  <si>
    <t>YZQUIERDO</t>
  </si>
  <si>
    <t>YAÃ‘EZ</t>
  </si>
  <si>
    <t>MARCHENA</t>
  </si>
  <si>
    <t>LUNA</t>
  </si>
  <si>
    <t>VELAZQUEZ</t>
  </si>
  <si>
    <t>MADRIGAL</t>
  </si>
  <si>
    <t>CORDOBA</t>
  </si>
  <si>
    <t>MARANDA</t>
  </si>
  <si>
    <t>BENZES</t>
  </si>
  <si>
    <t>SOLIS</t>
  </si>
  <si>
    <t>CRIVELLI</t>
  </si>
  <si>
    <t>GASPERIN</t>
  </si>
  <si>
    <t>BADAI</t>
  </si>
  <si>
    <t>BROCA</t>
  </si>
  <si>
    <t>ALEGRIA</t>
  </si>
  <si>
    <t>ANGULO</t>
  </si>
  <si>
    <t>SNCHEZ</t>
  </si>
  <si>
    <t>ESPINOSA</t>
  </si>
  <si>
    <t>VERDEJO</t>
  </si>
  <si>
    <t>CONTRERAS</t>
  </si>
  <si>
    <t>OVANDO</t>
  </si>
  <si>
    <t>SANTOS</t>
  </si>
  <si>
    <t>MAY</t>
  </si>
  <si>
    <t>CARRETA</t>
  </si>
  <si>
    <t>MORENO</t>
  </si>
  <si>
    <t>CALDERON</t>
  </si>
  <si>
    <t>HAZARO</t>
  </si>
  <si>
    <t>JULIAN</t>
  </si>
  <si>
    <t>MONTIEL</t>
  </si>
  <si>
    <t>VERA</t>
  </si>
  <si>
    <t>ARRIAGA</t>
  </si>
  <si>
    <t>BOLAINA</t>
  </si>
  <si>
    <t>PRESNEDA</t>
  </si>
  <si>
    <t>PELAEZ</t>
  </si>
  <si>
    <t>BENITEZ</t>
  </si>
  <si>
    <t>ZAVALA</t>
  </si>
  <si>
    <t>BELTRAN</t>
  </si>
  <si>
    <t>BARROSA</t>
  </si>
  <si>
    <t>FUENTE</t>
  </si>
  <si>
    <t>ORDUÃ‘EZ</t>
  </si>
  <si>
    <t>IGUERRA</t>
  </si>
  <si>
    <t>NARAREN</t>
  </si>
  <si>
    <t>FUENTES</t>
  </si>
  <si>
    <t>VIDAL</t>
  </si>
  <si>
    <t>ARCOS</t>
  </si>
  <si>
    <t>VILLEGA</t>
  </si>
  <si>
    <t>ZUÃ‘IGA</t>
  </si>
  <si>
    <t>CASTILLO</t>
  </si>
  <si>
    <t>SACNHEZ</t>
  </si>
  <si>
    <t>MAYORGA</t>
  </si>
  <si>
    <t>MIRANDA</t>
  </si>
  <si>
    <t>BARREDO</t>
  </si>
  <si>
    <t>TABASCO</t>
  </si>
  <si>
    <t>OSCAR</t>
  </si>
  <si>
    <t>RAMON</t>
  </si>
  <si>
    <t>NORMA ALICIA</t>
  </si>
  <si>
    <t>EDUARDO</t>
  </si>
  <si>
    <t>DULCEMARIA DE GUADALUPE</t>
  </si>
  <si>
    <t>NORIEGA</t>
  </si>
  <si>
    <t>CALLE MIGUEL ORRICO DE LOS LLANOS</t>
  </si>
  <si>
    <t>CALLE 2 MANZANA 2 LOTE 10</t>
  </si>
  <si>
    <t>PASANDO EL PUESNTE LA ANETRA A LA DERECHA ULTIMA CASA</t>
  </si>
  <si>
    <t>PROLONGACION VICENTE GUERRERO CALLEJN 1 CASA NUMERO 7</t>
  </si>
  <si>
    <t>CALLE TRINIDAD FUENTES ADRIANA INTERIOR NUMERO 20</t>
  </si>
  <si>
    <t>CALLE TRINIDAD FUENTES ADRIANO</t>
  </si>
  <si>
    <t>PROLONGACION AURELIO SOSA TORRES NUMERO 16</t>
  </si>
  <si>
    <t>PROLONGACION IGNACIO GUTIERREZ GOMEZ</t>
  </si>
  <si>
    <t>PASANDO LA TORTILLERIA ANTES DE ABARROTES</t>
  </si>
  <si>
    <t>CALLE RIO PICHUCALPO NUMERO 536</t>
  </si>
  <si>
    <t>CALLE SIN NOMBRE</t>
  </si>
  <si>
    <t>CARRETERA SANTUARIO CASA AZUL</t>
  </si>
  <si>
    <t>CALLE 1 MANZANA 1 CASA NUMERO 3</t>
  </si>
  <si>
    <t>CALLE 8 ANTES DEL PANTEON</t>
  </si>
  <si>
    <t>CALLE 1 SIN NUMERO</t>
  </si>
  <si>
    <t>CALLE EMILIANO ZAPATA NUMERO 71 CALLE 2 MANZANA 20 LOTE 32</t>
  </si>
  <si>
    <t>CALLE 3 NUMERO 112</t>
  </si>
  <si>
    <t>CALLE 3 CASA NUMERO 17</t>
  </si>
  <si>
    <t>CALLE 9 NUMERO 168</t>
  </si>
  <si>
    <t>ENFRENTE DE LA TIENDA DE ACCESORIO COLO ROSA</t>
  </si>
  <si>
    <t>CALLE 8 ZONA VERDE SIN NUMERO</t>
  </si>
  <si>
    <t>CARRETERA PRINCIPAL SIN NUMERO</t>
  </si>
  <si>
    <t>CALLE ENTRE 3 Y 6 ZONA VERDE</t>
  </si>
  <si>
    <t>CASA COLOR AMARILLO CALLE 7 NUMERO 20</t>
  </si>
  <si>
    <t>ANADOR RAMON LOPEZ VELAIDE</t>
  </si>
  <si>
    <t xml:space="preserve">ENTRE CALLE 6 Y 7 </t>
  </si>
  <si>
    <t xml:space="preserve">CALLE FELIPE ANGELES NUMERO 14 </t>
  </si>
  <si>
    <t xml:space="preserve">CARRETERA CARDENAS COATZACOALCOS </t>
  </si>
  <si>
    <t>CARRETERA A CUNDUACAN SIN NUMERO</t>
  </si>
  <si>
    <t xml:space="preserve">ENTRADA LA SECUNDARIA </t>
  </si>
  <si>
    <t>LA TRINIDAD SIN NUMERO</t>
  </si>
  <si>
    <t>CARRETERA A COCOHITAL SIN NUMERO</t>
  </si>
  <si>
    <t xml:space="preserve">CALLE JOSE MARIA MORELOS ENTRE MATAMOROS Y ZAPATA </t>
  </si>
  <si>
    <t>ATRÃS DE LA PRIMARIA</t>
  </si>
  <si>
    <t xml:space="preserve">ENTRADA DE LA ESCUELA PRIMARIA </t>
  </si>
  <si>
    <t>CALLE RENACIMIENTO 336</t>
  </si>
  <si>
    <t>CARRETERA CARLOS GREEN SIN NUMERO</t>
  </si>
  <si>
    <t xml:space="preserve">CARRETERA ARENA PRIMERA SECCION </t>
  </si>
  <si>
    <t>CARRETERA A LA COLONIA VECINAL</t>
  </si>
  <si>
    <t xml:space="preserve">CALLE FRANCISCO I MADERO </t>
  </si>
  <si>
    <t>PROLONGACION SANTOS DEGOLLADO NUMERO 16</t>
  </si>
  <si>
    <t>CALLE NICOLOSA CANO DE DOMINGUEZ NUMERO 33</t>
  </si>
  <si>
    <t xml:space="preserve">RANCHERIA BAJIO </t>
  </si>
  <si>
    <t xml:space="preserve">PERIFERICO SIN NUMERO </t>
  </si>
  <si>
    <t>CALLE NUMERO 5 CASA NUMERO 93</t>
  </si>
  <si>
    <t>CALLE 8 SIN NUMERO</t>
  </si>
  <si>
    <t>CALLE 7 NUMERO 128</t>
  </si>
  <si>
    <t>DESPUES DE LA ENTRADA DE MIAHUATLAN EL CASTAÃ‘O</t>
  </si>
  <si>
    <t>CALLE XICONTENCALL NUMERO 215</t>
  </si>
  <si>
    <t xml:space="preserve">ANDADOR PLACIDO AGUILERA </t>
  </si>
  <si>
    <t xml:space="preserve">CALLE NOE DE LA FLOR INTERIOR 2 </t>
  </si>
  <si>
    <t>PROLONGACION VICENTE GUERRERO NUMERO 46</t>
  </si>
  <si>
    <t xml:space="preserve">CALLE ABRAHAM BANDALA </t>
  </si>
  <si>
    <t>CAMINO VECINAL NUMERO 245</t>
  </si>
  <si>
    <t>FRANCISCO I MADERO</t>
  </si>
  <si>
    <t>CALLE NICOLOSA CANO DE DOMINGUEZ NUMERO 44</t>
  </si>
  <si>
    <t>CERRADA CAÃ‘AVERAL DEPARTAMENTO 5</t>
  </si>
  <si>
    <t xml:space="preserve">CALLE ERNESTO GUEVARRA EDIFICIO 7 </t>
  </si>
  <si>
    <t>ANDADOR CAMOTE  MANZANA 3 LOTE 28</t>
  </si>
  <si>
    <t xml:space="preserve">CERRADA AQUILES CALDERON MARCHENA </t>
  </si>
  <si>
    <t xml:space="preserve">CALLE NICOLASA CANO FRENTE A RETEN </t>
  </si>
  <si>
    <t>CARRETERA A CALZADA SIN NUMERO</t>
  </si>
  <si>
    <t>CARRETERA A INTERCAMBIO SIN NUMERO</t>
  </si>
  <si>
    <t>CARRETERA A MANTILLA SIN NUMERO</t>
  </si>
  <si>
    <t xml:space="preserve">CARRETERA A LA COLMENA </t>
  </si>
  <si>
    <t>CALLE MIGUEL DOMINGUEZ NUMERO 523</t>
  </si>
  <si>
    <t>CARRETERA A SAN FELIPE SIN NUMERO</t>
  </si>
  <si>
    <t>CALLE PRINCIPAL SIN NUMERO</t>
  </si>
  <si>
    <t>AVENIDA CAÃ‘AVERAL MANZANA 11 LOTE 17</t>
  </si>
  <si>
    <t>CALLE 15 XOCHIPELI MANZANA 15 LOTE 975</t>
  </si>
  <si>
    <t xml:space="preserve">CALLE 8 LOTE 6 </t>
  </si>
  <si>
    <t>CALLE SANTIAGO PEREZ AQUINO SIN NUMERO</t>
  </si>
  <si>
    <t xml:space="preserve">CALLE LIMON ESQUINA CON NARCISO MENDOZA </t>
  </si>
  <si>
    <t>CALLE PINO SUAREZ SIN NUMERO</t>
  </si>
  <si>
    <t>CARRETERA PRINCIPAL</t>
  </si>
  <si>
    <t>CARRETERA A SANTA ROSALIA SIN NUMERO</t>
  </si>
  <si>
    <t>PERIFERICO CARLOS A MOLINA NUMERO 55</t>
  </si>
  <si>
    <t>CARRETERA PRINCIPAL AL CASTAÃ‘O</t>
  </si>
  <si>
    <t>CALLE CONTANCIO NUMERO 97</t>
  </si>
  <si>
    <t>ENTRADA A LA PROVIDENCIA</t>
  </si>
  <si>
    <t>AVENIDA DESPERTAR DE UN PUEBLO</t>
  </si>
  <si>
    <t>ENTRADA PALMA HUACA SIN NUMERO</t>
  </si>
  <si>
    <t>CARRETERA A POTRERITO</t>
  </si>
  <si>
    <t xml:space="preserve">CARRETERA PRINCIPAL SIN NUMERO </t>
  </si>
  <si>
    <t>ENTRE PUENTE PEATONAL</t>
  </si>
  <si>
    <t>CALLE PRINCIPAL ENTRADA HERMANOS ALEJANDRO</t>
  </si>
  <si>
    <t>CALLE EMILIANO ZAPATA</t>
  </si>
  <si>
    <t>FRENTE A ABARROTES OCCI</t>
  </si>
  <si>
    <t>COLONIA SANTA CRUZ</t>
  </si>
  <si>
    <t>CARRETERA COMALCALCO - PARAISO</t>
  </si>
  <si>
    <t>ENTRADA SANTA CRUZ ATRÃS DE LA IGLESIA</t>
  </si>
  <si>
    <t>CARRETERA A POTRERITOS</t>
  </si>
  <si>
    <t>CARRETERA PARAISO COMALCALCO</t>
  </si>
  <si>
    <t>CARRETERA FEDERAL A PARAISO SIN NUMERO</t>
  </si>
  <si>
    <t>CARRETERA A SAN FRANCISCO</t>
  </si>
  <si>
    <t>ENFRENTE DE LA IGLESIA SAN ANTONIO DE PADUA</t>
  </si>
  <si>
    <t>ENTRADA DE LA DEPORTIVA</t>
  </si>
  <si>
    <t>CALLE RUSTICA HACIA EL FONDO ATRÃS DE LA IGLESIA</t>
  </si>
  <si>
    <t>CALLE JOSE CORDOVA CRUZ</t>
  </si>
  <si>
    <t>CARRETERA A SAN FRANCISCO SIN NUMERO</t>
  </si>
  <si>
    <t>CARRETERA VECINAL PARAISO-COMALCALCO</t>
  </si>
  <si>
    <t>CARRETERA A LA ARENA SEGUNDA SECCION</t>
  </si>
  <si>
    <t>CALLE DE LA PURIFICADORA DE AGUA</t>
  </si>
  <si>
    <t>VILLA ALDAMA</t>
  </si>
  <si>
    <t>CARRETERA A LAZARO CARDENAS</t>
  </si>
  <si>
    <t>CARRETERA A CARLOS GREEN SIN NUMERO</t>
  </si>
  <si>
    <t>CALLE DEL PANTEON</t>
  </si>
  <si>
    <t>CALLE DEL TEMPLO EBEN EZER</t>
  </si>
  <si>
    <t>CALLE ERNESTO AGUIRRE COLORADO NUMERO 549</t>
  </si>
  <si>
    <t>CARRETERA AL HABANERO</t>
  </si>
  <si>
    <t>PROLONGACION AURELIO SOSA 16 A</t>
  </si>
  <si>
    <t xml:space="preserve">CARRETERA CARDENAS HUIMANGUILLO </t>
  </si>
  <si>
    <t>PROLONGACION DEGOLLADO</t>
  </si>
  <si>
    <t>CALLE HOMBRES DEL SURESTE MANZANA 21 LOTE 22</t>
  </si>
  <si>
    <t>CALLE LA CEIBA MANZANA 7 LOTE 8</t>
  </si>
  <si>
    <t>ANDADOR HALCON MANZANA 1 LOTE 8</t>
  </si>
  <si>
    <t>CALLE CARLOS GREENE</t>
  </si>
  <si>
    <t>CALLE RIO GRIJALVA MANZANA 10 LOTE 7</t>
  </si>
  <si>
    <t>CALLE RIO USAMACINTA MANZANA 19 LOTE 2</t>
  </si>
  <si>
    <t>CALLE EL PINO SIN NUMERO</t>
  </si>
  <si>
    <t>CALLE 5 SIN NUMERO</t>
  </si>
  <si>
    <t>CALLE CARLOS COLORADO</t>
  </si>
  <si>
    <t>CALLE ABAZOLO NUMERO 123</t>
  </si>
  <si>
    <t>CALLE DE LA BLOKERA</t>
  </si>
  <si>
    <t>COLONIA PUEBLO NUEVO</t>
  </si>
  <si>
    <t>CALLE ZARAGOZA NUMERO 106</t>
  </si>
  <si>
    <t>CALLE AURELIA ROSALIA</t>
  </si>
  <si>
    <t>PRIVADA LOS NARANJOS NUMERO 111</t>
  </si>
  <si>
    <t xml:space="preserve">CERRADA SAN MIGUEL POSTE BLANCO </t>
  </si>
  <si>
    <t>CALLE DE LA PAPELERIA</t>
  </si>
  <si>
    <t>CALLE NICOLASA CANO DOMINGUEZ</t>
  </si>
  <si>
    <t>CALLE LEONA VICARIO SIN NUMERO</t>
  </si>
  <si>
    <t>CALLE BENITO JUAREZ NUMERO 283</t>
  </si>
  <si>
    <t>CALLE 2 CASA NUMERO 88</t>
  </si>
  <si>
    <t>ENTRE CALLE 9 Y CALLE 10 SIN NUMERO</t>
  </si>
  <si>
    <t>CALLE NUMERO 7 ZONA VERDE</t>
  </si>
  <si>
    <t>CALLE 6 NUMERO 180</t>
  </si>
  <si>
    <t>CALLE 7 CASA NUMERO 174</t>
  </si>
  <si>
    <t>CALLE NUMERO 6</t>
  </si>
  <si>
    <t>CALLE NUMERO 1 ZONA VERDE</t>
  </si>
  <si>
    <t>CALLE DEL BACHILLER</t>
  </si>
  <si>
    <t>CAMINO VECINAL SIN NUMERO</t>
  </si>
  <si>
    <t xml:space="preserve">ENTRADA DEL TEMPLO SALEM </t>
  </si>
  <si>
    <t>CARRETERA A SANTUARIO</t>
  </si>
  <si>
    <t>CARRETERA A AZUCENA SIN NUMERO</t>
  </si>
  <si>
    <t>CALLE 8 CASA NUMERO 231</t>
  </si>
  <si>
    <t>CALLE 8 CASA NUMERO 233</t>
  </si>
  <si>
    <t>CARRETRA A SANTUARIO</t>
  </si>
  <si>
    <t>CARRETERA AL AGUAYO SIN NUMERO</t>
  </si>
  <si>
    <t>CALLE 8</t>
  </si>
  <si>
    <t>CARRETERA PRINCIPAL A LA AZUCENA</t>
  </si>
  <si>
    <t>CALLE 7 NUMERO 168</t>
  </si>
  <si>
    <t>CALLE NUMERO 3</t>
  </si>
  <si>
    <t>CALLE ENTRE 5 Y 6 CASA NUMERO 159</t>
  </si>
  <si>
    <t>CALLE 3 NUMERO 96</t>
  </si>
  <si>
    <t>CALLE LA LLORONA SIN NUMERO</t>
  </si>
  <si>
    <t>CALLE LAZARO CARDENAS MANZANA 17 LOTE 6</t>
  </si>
  <si>
    <t>CARRETERA PERIFERICO CARLOS MOLINA</t>
  </si>
  <si>
    <t>CALLE FRANBOYANES LOS A</t>
  </si>
  <si>
    <t>CALLE TRIANO CUARTA ENTRADA DE LA IGLESIA</t>
  </si>
  <si>
    <t>FRENTE A LA FISCALIA</t>
  </si>
  <si>
    <t>COLONIA EMILIANO ZAPATA</t>
  </si>
  <si>
    <t>CALLE VENUSTIANOCARRANZA</t>
  </si>
  <si>
    <t>ANDADOR GUARAGUAO EDIFICIO 10 DEPARTAMENTO 2</t>
  </si>
  <si>
    <t>CALLE 4 ESQUINA FERNANDO VALENZUELA SIN NUMERO</t>
  </si>
  <si>
    <t>CALLE VICENTE GUERRERO ESQUINA CON JOSE MARTINEZ</t>
  </si>
  <si>
    <t xml:space="preserve">CALLE PRINCIPAL </t>
  </si>
  <si>
    <t>CERRADA NARCIZO MENDOZA NUMERO 103</t>
  </si>
  <si>
    <t>CARRETERA CARDENAS - COMALCALCO</t>
  </si>
  <si>
    <t>CARRETERA FEDERAL COMALCALCO - CARDENAS</t>
  </si>
  <si>
    <t>CALLE DE LA IGLESIA</t>
  </si>
  <si>
    <t>CALLE RIOS SECO FRENTE DEL IMSS</t>
  </si>
  <si>
    <t>CALLE GRACELIANO LOPEZ SOLARZANO</t>
  </si>
  <si>
    <t>AVENIDA CAÃ‘AVERAL MANZANA 14 LOTE 7</t>
  </si>
  <si>
    <t>CAMINO VECINAL LOS CAÃ‘ALES</t>
  </si>
  <si>
    <t>CARRETERA A LA TRINIDAD SIN NUMERO</t>
  </si>
  <si>
    <t>ENTRADA LA TRINIDAD IZQUIERDO ANTES DE LLEGAR AL TALLER</t>
  </si>
  <si>
    <t>CALLE FRANCISCO VILLA SIN NUMERO</t>
  </si>
  <si>
    <t>EJIDO MONTE ADENTRO</t>
  </si>
  <si>
    <t>ENTRADA DE LOS IZQUIERDO SIN NUMERO</t>
  </si>
  <si>
    <t>PASANDO LA ISLA</t>
  </si>
  <si>
    <t>CALLE DEL DEPOSITO EL SIX</t>
  </si>
  <si>
    <t>ENTRADA ISLA REBECA</t>
  </si>
  <si>
    <t>CARRETERA A LA UNION SIN NUMERO</t>
  </si>
  <si>
    <t>ENTRADA DEL CERRO</t>
  </si>
  <si>
    <t>CARRETERA A LA BARRA</t>
  </si>
  <si>
    <t>RANCHERIA LAS FLORES TERCERA SECCION</t>
  </si>
  <si>
    <t>ENTRANDO AL CAMPAMENTO</t>
  </si>
  <si>
    <t>ENTRADA EL CAMPAMENTO</t>
  </si>
  <si>
    <t>ENTRADA LOS PALMA PRIMER CASA</t>
  </si>
  <si>
    <t>SALIENDO DEL CAMPAMENTO</t>
  </si>
  <si>
    <t>PASANDO MOTEL LAS FLORES</t>
  </si>
  <si>
    <t>CAMINO VECINAL A LAS FLORES SIN NUMERO</t>
  </si>
  <si>
    <t>CARRETERA FEDERAL PARAISO - COMALCALCO</t>
  </si>
  <si>
    <t>CALLE 8 CASA NUMERO 747</t>
  </si>
  <si>
    <t>CARRETERA KILOMETRO 2 SIN NUMERO</t>
  </si>
  <si>
    <t>CALLE LA ESPERANZA CASA NUMERO 484</t>
  </si>
  <si>
    <t>CALLE SANTA TERESA</t>
  </si>
  <si>
    <t>CALLE PRINCIPAL POR SANTA TERESA</t>
  </si>
  <si>
    <t>CALLE PRINCIPAL</t>
  </si>
  <si>
    <t>CALLE 9</t>
  </si>
  <si>
    <t>CARRETERA AL KILOMETRO 2</t>
  </si>
  <si>
    <t>CARRETERA AL POBLADO C-27 KILOMETRO 2</t>
  </si>
  <si>
    <t>CALLE 4 AMPLIACION SIN NUMERO</t>
  </si>
  <si>
    <t>CALLE 1 FRENTE AL PANTEON</t>
  </si>
  <si>
    <t>CARRTERA PRINCIPAL SIN NUMERO</t>
  </si>
  <si>
    <t>CALLE PRINCIPAL NUMERO 2</t>
  </si>
  <si>
    <t>CALLE NUMERO 8 CASA NUMERO 245</t>
  </si>
  <si>
    <t>KILOMETRO 101 ENTRADA DESPUES DEL 33 A 250 METROS</t>
  </si>
  <si>
    <t>CALLE 10 SIN NUMERO</t>
  </si>
  <si>
    <t>CALLE 7 CASA NUMERO 181</t>
  </si>
  <si>
    <t>CALLE 8 CASA DEL FONDO</t>
  </si>
  <si>
    <t>CALLE REVOLUCION</t>
  </si>
  <si>
    <t>CALLE VICENTE SUAREZ NUMERO 400</t>
  </si>
  <si>
    <t>CALLE 8 LOTE 6</t>
  </si>
  <si>
    <t>CARRETERA AINTERCAMBIO SIN NUMERO</t>
  </si>
  <si>
    <t>CARRETERA A TULIPAN SIN NUMERO</t>
  </si>
  <si>
    <t>CALLE JUAREZ SIN NUMERO</t>
  </si>
  <si>
    <t>CALLEJON ATRÃS DEL KINDER</t>
  </si>
  <si>
    <t>PALAPA EL DANI ALADO DE MESAM</t>
  </si>
  <si>
    <t>CARRETERA AL CHIVERO ALADO DE LA PRIMARIA</t>
  </si>
  <si>
    <t>ENTRADA LOS PINOS CASA ALADO DEL TALLER</t>
  </si>
  <si>
    <t>ENTRE LETRERO MERCERD REAL</t>
  </si>
  <si>
    <t>CASA BLANCA PORTON BLANCO</t>
  </si>
  <si>
    <t>CALLE 8 NUMERO 123</t>
  </si>
  <si>
    <t>CARRETERA AL CASTAÃ‘O</t>
  </si>
  <si>
    <t>CERRADA LA TRINIDAD</t>
  </si>
  <si>
    <t>CARRETERA VILLAHERMOSA-CARDENAS</t>
  </si>
  <si>
    <t>CALLE IGNACIO ZARAGOZA NUMERO 604</t>
  </si>
  <si>
    <t>PUESTO DE POLLOS ASADOS LA CENTRAL</t>
  </si>
  <si>
    <t>CALLE NARCISO MENDOZA SIN NUMERO</t>
  </si>
  <si>
    <t>CALLE VICENTE SUAREZ GUERRERO</t>
  </si>
  <si>
    <t>CALLE SECCION 29 MANZANA: 15 LOTE 24</t>
  </si>
  <si>
    <t>PERIFERICO CARLOS A. MOLINA</t>
  </si>
  <si>
    <t>CALLE 27 DE FEBRERO</t>
  </si>
  <si>
    <t>CALLE 27 DE FEBRERO SIN NUMERO</t>
  </si>
  <si>
    <t>DESPUES DEL CECATI</t>
  </si>
  <si>
    <t>CALLE JARDIN DE TABASCO</t>
  </si>
  <si>
    <t>CALLE 4</t>
  </si>
  <si>
    <t>CERRADA 7 DE MAYO</t>
  </si>
  <si>
    <t>ANDADOR TRINIDAD FUENTES NUMERO 16</t>
  </si>
  <si>
    <t>ENTRADA A UN COSTADO DE IGLESIA</t>
  </si>
  <si>
    <t>CALLE TOMAS GARRIDO CANABAL 112</t>
  </si>
  <si>
    <t>CALLE PAPILA SIN NUMERO</t>
  </si>
  <si>
    <t>TECOLUTILLA</t>
  </si>
  <si>
    <t>COLONIA BETANIA</t>
  </si>
  <si>
    <t>CALLE LEANDRO RIVIROSA</t>
  </si>
  <si>
    <t>CALLE IGNACIO ZARAGOZA</t>
  </si>
  <si>
    <t>CALLE BELIZARIO DOMINGUEZ</t>
  </si>
  <si>
    <t>CARRETERA A LAS COLORADAS SIN NUMERO</t>
  </si>
  <si>
    <t>PROLONGACION AURELIO SOSA TORRES</t>
  </si>
  <si>
    <t>CASA CON TALLER DE MOTOS COLOR BLANCA</t>
  </si>
  <si>
    <t>CARRETERA PASO DE LOS JIMENEZ</t>
  </si>
  <si>
    <t>CALLE 6 CASA 156</t>
  </si>
  <si>
    <t>CALLE 6 NUMERO 153</t>
  </si>
  <si>
    <t>CALLE 2 NUMERO</t>
  </si>
  <si>
    <t>CALLE ZONA VERDE ENTRE  6 Y 7 SIN NUMERO</t>
  </si>
  <si>
    <t>CARRETERA AGARRILLO PUERTO</t>
  </si>
  <si>
    <t>CARLOS PELLICER CAMARA</t>
  </si>
  <si>
    <t>FRACCIONAMIENTO POMOCA</t>
  </si>
  <si>
    <t>EJIDO GENARO VAZQUEZ</t>
  </si>
  <si>
    <t>COLONIA EL TOLOQUE</t>
  </si>
  <si>
    <t>UNIDAD HABITACIONAL INFONAVIT DEPORTIVA</t>
  </si>
  <si>
    <t>COLONIA LOMA BONITA</t>
  </si>
  <si>
    <t>COLONIA SANTA MARIA DE GUADALUPE</t>
  </si>
  <si>
    <t>COLONIA CARDENAS CENTRO</t>
  </si>
  <si>
    <t>FRACCIONAMIENTO SAN PEDRO DE LOS CREDOS</t>
  </si>
  <si>
    <t>EJIDO GENARO VAZQUEZ ROJAS</t>
  </si>
  <si>
    <t>EJIDO POZA REDONDA SEGUNDA SECCION</t>
  </si>
  <si>
    <t>POBLADO C 9 FRANCISCO I MADERO</t>
  </si>
  <si>
    <t>POBLADO C 14 GENERAL PLUTARCO ELIAS CALLES</t>
  </si>
  <si>
    <t>POBLADO AL 27 EDUARDO CHAVEZ RAMIREZ</t>
  </si>
  <si>
    <t>POBLADO C 27 EDUARDO CHAVEZ</t>
  </si>
  <si>
    <t>EJIDO POZA REDONDA TERCERA SECCION</t>
  </si>
  <si>
    <t>COLONIA INGENIO BENITO JUAREZ</t>
  </si>
  <si>
    <t xml:space="preserve">EJIDO HABANERO PRIMERA SECCION </t>
  </si>
  <si>
    <t>COLONIA FRANCISCO VILLA</t>
  </si>
  <si>
    <t xml:space="preserve">RANCHELIA LA PIEDRA CUARTA SECCION </t>
  </si>
  <si>
    <t>EJIDO FELIPE CARRILLO PUERTO</t>
  </si>
  <si>
    <t xml:space="preserve">RANCHERIA LA PIEDRA CUARTA SECCION </t>
  </si>
  <si>
    <t>RANCHERIA IGNACIO ZARAGOZA</t>
  </si>
  <si>
    <t xml:space="preserve">RANCHERIA IGNACIO ZARAGOZA TERCERA SECCION </t>
  </si>
  <si>
    <t>VILLA TECOLUTILLA</t>
  </si>
  <si>
    <t xml:space="preserve">RANCHERIA PATASTAL PRIMERA SECCION </t>
  </si>
  <si>
    <t>COLONIA SUR ALDAMA</t>
  </si>
  <si>
    <t xml:space="preserve">VILLA ALDAMA </t>
  </si>
  <si>
    <t xml:space="preserve">RANCHERIA ALDAMA SEGUNDA SECCION </t>
  </si>
  <si>
    <t xml:space="preserve">COLONIA SUR ALDAMA </t>
  </si>
  <si>
    <t xml:space="preserve">RANCHERIA PATASTAL SEGUBDA SECCION </t>
  </si>
  <si>
    <t>CALZADA</t>
  </si>
  <si>
    <t xml:space="preserve">COLONIA SANTA MARIA DE GUADALUPE </t>
  </si>
  <si>
    <t>COLONIA GUADALUPE</t>
  </si>
  <si>
    <t>PERIFERICO CARLOS A MADRAZO</t>
  </si>
  <si>
    <t xml:space="preserve">COLONIA CARDENAS </t>
  </si>
  <si>
    <t xml:space="preserve">COLONIA EL BAJIO PRIMERA SECCION </t>
  </si>
  <si>
    <t>COLONIA URBANA HABANERO</t>
  </si>
  <si>
    <t xml:space="preserve">RANCHERIA HABANERO SEGUBDA SECCION </t>
  </si>
  <si>
    <t>COLONIA CENTRO</t>
  </si>
  <si>
    <t xml:space="preserve">COLONIA INFONAVIT LO,A BONITA </t>
  </si>
  <si>
    <t>COLONIA CARLOS PELLICER CAMARA SAHOP</t>
  </si>
  <si>
    <t xml:space="preserve">COLONIA EL TOLOQUE </t>
  </si>
  <si>
    <t>RANCHERIA MELCHOR OCAMPO</t>
  </si>
  <si>
    <t>COLONIA FEANCISCO I MADERO NUMERO 69</t>
  </si>
  <si>
    <t>FRACCIONAMIENTO INFONAVIT LOMA BONITA</t>
  </si>
  <si>
    <t>INFONAVIT LOMA BONITA</t>
  </si>
  <si>
    <t>COLONIA INVITAB</t>
  </si>
  <si>
    <t>EJIDO LA ESPERANZA SEGUNDA SECCION</t>
  </si>
  <si>
    <t xml:space="preserve">RANCHERIA YOLOXOCHITL SEGUNDA SECCION </t>
  </si>
  <si>
    <t xml:space="preserve">RANCHERIA YOZOYOCHITL SEGUNDA SECCION </t>
  </si>
  <si>
    <t>EJIDO SANTA LUCIA</t>
  </si>
  <si>
    <t xml:space="preserve">EJIDO BUENA VENTURA </t>
  </si>
  <si>
    <t xml:space="preserve">RANCHERIA LA PIEDRA TERCERA SECCION </t>
  </si>
  <si>
    <t>COLONIA LAZARO CARDENAS AGUASOL</t>
  </si>
  <si>
    <t>RANCHERIA MANTILLA</t>
  </si>
  <si>
    <t xml:space="preserve">EJIDO SANTO TOMAS </t>
  </si>
  <si>
    <t>FRACCIONAMIENTO LOS CAÃ‘ALES</t>
  </si>
  <si>
    <t xml:space="preserve">AMPLIACION CAÃ‘ALES TERCERA ETAPA </t>
  </si>
  <si>
    <t xml:space="preserve">COLONIA CAÃ‘ALES SEGUNDA ETAPA </t>
  </si>
  <si>
    <t>AMPLIACION CARRIZAL</t>
  </si>
  <si>
    <t xml:space="preserve">SANTA MARIA DE GUADALUPE </t>
  </si>
  <si>
    <t xml:space="preserve">POBLADO TECOMINUACAN </t>
  </si>
  <si>
    <t>RANCHERIA RIO SECO SEGUNDA SECCION</t>
  </si>
  <si>
    <t>EJIDO ONCE DE FEBRERO SEGUNDA SECCION</t>
  </si>
  <si>
    <t>RANCHERIA MIAHUATLAN SEGUNDA SECCION</t>
  </si>
  <si>
    <t>SECTOR ROMA</t>
  </si>
  <si>
    <t>RANCHERIA ZAPOTAL PRIMERA SECCION</t>
  </si>
  <si>
    <t>RANCHERIA ORIENTE SEGUNDA SECCION</t>
  </si>
  <si>
    <t>EJIDO PALESTINA</t>
  </si>
  <si>
    <t>EJIDO QUINTIN ARAUZ</t>
  </si>
  <si>
    <t>EJIDO ORIENTE SAN CAYETANO</t>
  </si>
  <si>
    <t>RANCHERIA OCCIDENTE SEGUNDA SECCION</t>
  </si>
  <si>
    <t>RANCHERIA ALIBERTAD PRIMERA SECCION</t>
  </si>
  <si>
    <t>RANCHERIA ZAPOTAL SEGUNDA SECCION</t>
  </si>
  <si>
    <t>RANCHERIA LIBERTAD PRIMERA SECCION</t>
  </si>
  <si>
    <t>RANCHERIA NORTE PRIMERA SECCION</t>
  </si>
  <si>
    <t>RANCHERIA NORTE SEGUNDA SECCION</t>
  </si>
  <si>
    <t>RANCHERIA GREGORIO MENDEZ</t>
  </si>
  <si>
    <t>RANCHERIA MOCTEZUMA TERCERA SECCION</t>
  </si>
  <si>
    <t>RANCHERIA MOCTEZUMA SEGUNDA SECCION</t>
  </si>
  <si>
    <t>POBLADO FRANCISCO I MADERO</t>
  </si>
  <si>
    <t>RANCHERIA QUITIN ARAUZ</t>
  </si>
  <si>
    <t>RANCHERIA OCCIDENTE SAN FRANCISCO</t>
  </si>
  <si>
    <t>RANCHERIA ARENA PRIMERA SECCION</t>
  </si>
  <si>
    <t>RANCHERIA TRANSITO TULAR</t>
  </si>
  <si>
    <t>RANCHERIA PATASTAL PRIMERA SECCION</t>
  </si>
  <si>
    <t>RANCHERIA EMILIANO ZAPATA</t>
  </si>
  <si>
    <t>EJIDO BAJIO SEGUNDA SECCION</t>
  </si>
  <si>
    <t xml:space="preserve">RANCHERIA HABANERO </t>
  </si>
  <si>
    <t>COLONIA JULIAN MONTEJO</t>
  </si>
  <si>
    <t>FRACCIONAMIENTO SAN FRANCISCO</t>
  </si>
  <si>
    <t>COLONIA TABSCOOB</t>
  </si>
  <si>
    <t>PROLONGACION GUADALUPE VICTORIA</t>
  </si>
  <si>
    <t>EJIDO HABANERO PRIMERA SECCION</t>
  </si>
  <si>
    <t>RANCHERIA ARROYO HONDO ABEJONAL</t>
  </si>
  <si>
    <t>FRACCIONAMIENTO BAJIO PRIMERA SECCION</t>
  </si>
  <si>
    <t>COLONIA VEREDA</t>
  </si>
  <si>
    <t>FRACCIONAMIENTO EL ENCANTO</t>
  </si>
  <si>
    <t>COLONIA SAHOP</t>
  </si>
  <si>
    <t>POBLADO C-9 LICENCIADO FRANCISCO I MADERO</t>
  </si>
  <si>
    <t>POBLADO C-20 MIGUEL HIDALGO</t>
  </si>
  <si>
    <t>POBLADO C-28 CORONEL GREGORIO MENDEZ</t>
  </si>
  <si>
    <t>POBLADO C-10 GENERAL LAZARO CARDENAS</t>
  </si>
  <si>
    <t>RANCHERIA ENCRUCIJADA TERCERA SECCION</t>
  </si>
  <si>
    <t>RANCHERIA SANTUARIO PRIMERA SECCION</t>
  </si>
  <si>
    <t xml:space="preserve">EJIDO POZA REDONDA SEGUNDA SECCION </t>
  </si>
  <si>
    <t>EJIDO ENCRUCIJADA CUARTA SECCION</t>
  </si>
  <si>
    <t>RANCHERIA SANTUARIO PRIMERA SECCION A</t>
  </si>
  <si>
    <t>RANCHERIA POZA REDONDA SEGUNDA SECCION</t>
  </si>
  <si>
    <t>RANCHERIA SANTUARIO SEGUNDA SECCION</t>
  </si>
  <si>
    <t>RANCHERIA ENCRUCIJADA QUINTA SECCION</t>
  </si>
  <si>
    <t>DALIA ALMEIDA PEREZ</t>
  </si>
  <si>
    <t>RANCHERIA SANTUARIO CUARTA SECCION</t>
  </si>
  <si>
    <t>POBLADO C-16 EMILIANO ZAPATA</t>
  </si>
  <si>
    <t>COLONIA EL SUSPIRO</t>
  </si>
  <si>
    <t>COLONIA 7 DE OCTUBRE</t>
  </si>
  <si>
    <t>FRACCIONAMIENTO BAJIO SEGUNDA SECCION</t>
  </si>
  <si>
    <t>COLONIA ALAMEDA</t>
  </si>
  <si>
    <t>EJIDO LA CHONITA</t>
  </si>
  <si>
    <t>COLONIA NUEVO PROGRESO</t>
  </si>
  <si>
    <t>RANCHERIA MIGUEL HIDALGO PRIMERA SECCION</t>
  </si>
  <si>
    <t>POBLADO 11 DE FEBRERO</t>
  </si>
  <si>
    <t>POBLADO TIERRA Y LIBERTAD</t>
  </si>
  <si>
    <t>EJIDO TIERRA Y LIBERTAD</t>
  </si>
  <si>
    <t>COLONIA INGENIO SANTA ROSALIA</t>
  </si>
  <si>
    <t>COLONIA LA PLAYITA</t>
  </si>
  <si>
    <t>EJIDO HUIMANGO SEGUNDA SECCION LA MONA</t>
  </si>
  <si>
    <t>FRACCIONAMIENTO CAÃ‘ALES</t>
  </si>
  <si>
    <t>EJIDO SAN FELIPE CARRILLO PUERTO</t>
  </si>
  <si>
    <t>EJIDO EL PROGRESO</t>
  </si>
  <si>
    <t>RANCHERIA ORIENTE SAN CAYETANO</t>
  </si>
  <si>
    <t>RANCHERIA LAS FLORES</t>
  </si>
  <si>
    <t>RANCHERIA LA UNION PRIMERA SECCION</t>
  </si>
  <si>
    <t>RANCHERIA LAS FLORES SEGUNDA SECCION</t>
  </si>
  <si>
    <t xml:space="preserve">RANCHERIA EL ESCRIBANO </t>
  </si>
  <si>
    <t>RANCHERIA ARROYO HONDO PRIMERA SECCION</t>
  </si>
  <si>
    <t>POBLADO C-27 EDUARDO CHAVEZ</t>
  </si>
  <si>
    <t>RANCHERIA MIGUEL HIDALGO ZAPOTAL SEGUNDA SECCION</t>
  </si>
  <si>
    <t>POBLADO C-29 VICENTE GUERRERO</t>
  </si>
  <si>
    <t>EJIDO NUEVA ESPERANZA</t>
  </si>
  <si>
    <t>POBLADO C-33 VEINTE DE NOVIEMBRE</t>
  </si>
  <si>
    <t>POBLADO C-14 PLUTARCO ELIAS CALLES</t>
  </si>
  <si>
    <t>COLONIA ATASTA</t>
  </si>
  <si>
    <t>FRACCIONAMIENTO CAÃ‘ALES SEGUNDA SECCION</t>
  </si>
  <si>
    <t>EJIDO SANTO TOMAS</t>
  </si>
  <si>
    <t>EJIDO CARDENAS</t>
  </si>
  <si>
    <t>CALZADA SIN NUMERO</t>
  </si>
  <si>
    <t>RANCHERIA PALESTINA</t>
  </si>
  <si>
    <t>LIBERTAD PRIMERA SECCION</t>
  </si>
  <si>
    <t>RANCHERIA INDEPENDENCIA</t>
  </si>
  <si>
    <t>MATILDE FLORES DOMINGUEZ</t>
  </si>
  <si>
    <t>RANCHERIA MIAHUTLAN</t>
  </si>
  <si>
    <t>CARRETERA FEDERAL</t>
  </si>
  <si>
    <t>CARDENAS CENTRO</t>
  </si>
  <si>
    <t>COLONIIA EL PORVENIR</t>
  </si>
  <si>
    <t>COLONIA PETROLERA</t>
  </si>
  <si>
    <t>RANCHERIA EL BAJIO PRIMERA SECCION</t>
  </si>
  <si>
    <t>COLONIA BAJIO PRIMERA SECCION</t>
  </si>
  <si>
    <t>COLONIA EL BAJIO</t>
  </si>
  <si>
    <t>TASCOB</t>
  </si>
  <si>
    <t>COLONIA VEREDA PERIFERICO</t>
  </si>
  <si>
    <t>CIUDAD TECOLUTILLA</t>
  </si>
  <si>
    <t>BELISARIO DOMINGUEZ</t>
  </si>
  <si>
    <t>COLONIA BETENIA</t>
  </si>
  <si>
    <t>RANCHERIA ENCRUCIJADA</t>
  </si>
  <si>
    <t>EJIDO ENCRUCIJADA TERCERA SECCION</t>
  </si>
  <si>
    <t>EJIDO SANTUARIO</t>
  </si>
  <si>
    <t>POBLADO AZUCENZA SEGUNDA SECCION</t>
  </si>
  <si>
    <t>POBLACO C 10 LAZARO CARDENAS</t>
  </si>
  <si>
    <t>EJIDO HUIMANGUILLO SEGUNDA LA MONA</t>
  </si>
  <si>
    <t>937 1559029</t>
  </si>
  <si>
    <t>2022-05-02</t>
  </si>
  <si>
    <t>2022-02-15</t>
  </si>
  <si>
    <t>2022-02-16</t>
  </si>
  <si>
    <t>2022-06-01</t>
  </si>
  <si>
    <t>2022-01-28</t>
  </si>
  <si>
    <t>2022-03-01</t>
  </si>
  <si>
    <t>2022-11-01</t>
  </si>
  <si>
    <t>2022-10-09</t>
  </si>
  <si>
    <t>2022-02-17</t>
  </si>
  <si>
    <t>2022-07-07</t>
  </si>
  <si>
    <t>2022-01-19</t>
  </si>
  <si>
    <t>2021-12-16</t>
  </si>
  <si>
    <t>2022-01-31</t>
  </si>
  <si>
    <t>2021-11-17</t>
  </si>
  <si>
    <t>2021-02-02</t>
  </si>
  <si>
    <t>2022-02-13</t>
  </si>
  <si>
    <t>2021-04-09</t>
  </si>
  <si>
    <t>2020-09-12</t>
  </si>
  <si>
    <t>2020-06-30</t>
  </si>
  <si>
    <t>2021-03-06</t>
  </si>
  <si>
    <t>2021-04-21</t>
  </si>
  <si>
    <t>2020-01-10</t>
  </si>
  <si>
    <t>2022-03-02</t>
  </si>
  <si>
    <t>2021-11-15</t>
  </si>
  <si>
    <t>2021-02-15</t>
  </si>
  <si>
    <t>2022-01-14</t>
  </si>
  <si>
    <t>2021-12-30</t>
  </si>
  <si>
    <t>2022-01-29</t>
  </si>
  <si>
    <t>2022-01-25</t>
  </si>
  <si>
    <t>2021-09-10</t>
  </si>
  <si>
    <t>2021-06-11</t>
  </si>
  <si>
    <t>2022-01-15</t>
  </si>
  <si>
    <t>2022-04-01</t>
  </si>
  <si>
    <t>2021-11-03</t>
  </si>
  <si>
    <t>2021-05-08</t>
  </si>
  <si>
    <t>2022-10-01</t>
  </si>
  <si>
    <t>2021-07-12</t>
  </si>
  <si>
    <t>2021-08-06</t>
  </si>
  <si>
    <t>2022-01-18</t>
  </si>
  <si>
    <t>2022-02-14</t>
  </si>
  <si>
    <t>2022-01-02</t>
  </si>
  <si>
    <t>2021-03-02</t>
  </si>
  <si>
    <t>2022-02-21</t>
  </si>
  <si>
    <t>2022-11-09</t>
  </si>
  <si>
    <t>2022-07-09</t>
  </si>
  <si>
    <t>2022-05-09</t>
  </si>
  <si>
    <t>2022-02-09</t>
  </si>
  <si>
    <t>2022-02-22</t>
  </si>
  <si>
    <t>2022-02-23</t>
  </si>
  <si>
    <t>2022-06-08</t>
  </si>
  <si>
    <t>2022-08-09</t>
  </si>
  <si>
    <t>2022-02-04</t>
  </si>
  <si>
    <t>2022-09-09</t>
  </si>
  <si>
    <t>2021-11-01</t>
  </si>
  <si>
    <t>2021-03-19</t>
  </si>
  <si>
    <t>2022-03-08</t>
  </si>
  <si>
    <t>2022-12-09</t>
  </si>
  <si>
    <t>2022-11-08</t>
  </si>
  <si>
    <t>2022-10-16</t>
  </si>
  <si>
    <t>2022-02-24</t>
  </si>
  <si>
    <t>2022-07-14</t>
  </si>
  <si>
    <t>2021-08-26</t>
  </si>
  <si>
    <t>2021-08-24</t>
  </si>
  <si>
    <t>2022-02-08</t>
  </si>
  <si>
    <t>2022-01-05</t>
  </si>
  <si>
    <t>2022-02-07</t>
  </si>
  <si>
    <t>2022-01-27</t>
  </si>
  <si>
    <t>2021-11-24</t>
  </si>
  <si>
    <t>2021-02-19</t>
  </si>
  <si>
    <t>2022-05-08</t>
  </si>
  <si>
    <t>2021-02-09</t>
  </si>
  <si>
    <t>2022-02-20</t>
  </si>
  <si>
    <t>2021-04-16</t>
  </si>
  <si>
    <t>2021-03-13</t>
  </si>
  <si>
    <t>2021-04-28</t>
  </si>
  <si>
    <t>2020-01-17</t>
  </si>
  <si>
    <t>2022-03-09</t>
  </si>
  <si>
    <t>2021-10-02</t>
  </si>
  <si>
    <t>2021-11-05</t>
  </si>
  <si>
    <t>2021-02-22</t>
  </si>
  <si>
    <t>2022-04-09</t>
  </si>
  <si>
    <t>2022-08-08</t>
  </si>
  <si>
    <t>2022-01-06</t>
  </si>
  <si>
    <t>2022-02-05</t>
  </si>
  <si>
    <t>2021-09-17</t>
  </si>
  <si>
    <t>2022-01-22</t>
  </si>
  <si>
    <t>2022-04-08</t>
  </si>
  <si>
    <t>2021-06-15</t>
  </si>
  <si>
    <t>2021-06-24</t>
  </si>
  <si>
    <t>2021-05-15</t>
  </si>
  <si>
    <t>2021-04-18</t>
  </si>
  <si>
    <t>2022-10-08</t>
  </si>
  <si>
    <t>2021-07-19</t>
  </si>
  <si>
    <t>2021-08-13</t>
  </si>
  <si>
    <t>2022-01-24</t>
  </si>
  <si>
    <t>2022-01-09</t>
  </si>
  <si>
    <t>2021-06-19</t>
  </si>
  <si>
    <t>2021-04-19</t>
  </si>
  <si>
    <t>2021-03-09</t>
  </si>
  <si>
    <t>2022-02-28</t>
  </si>
  <si>
    <t>2022-06-02</t>
  </si>
  <si>
    <t>QWYNRBIY9KVZQO</t>
  </si>
  <si>
    <t>DSYPMZPXEANHGLM</t>
  </si>
  <si>
    <t>CUZ2SKRCKVTMLTR</t>
  </si>
  <si>
    <t>TQPNUNDB8OSMS5B</t>
  </si>
  <si>
    <t>USLKFPYMMH7MCT1</t>
  </si>
  <si>
    <t>ZGSYJGLZUXA73WJ</t>
  </si>
  <si>
    <t>TGYGIVCAZFPUVXE</t>
  </si>
  <si>
    <t>XJ7NCYLLDZFLMWF</t>
  </si>
  <si>
    <t>KYMDH4NUTCJVUQD</t>
  </si>
  <si>
    <t>LMVFBKKJKSMXN4L</t>
  </si>
  <si>
    <t>QWYNRBIY9KVXQO</t>
  </si>
  <si>
    <t>RJC990KJLQSW15E</t>
  </si>
  <si>
    <t>2DFOYRA5IQNIWWH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</si>
</sst>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AP1" zoomScaleNormal="100" workbookViewId="0">
      <pane ySplit="1" topLeftCell="A287" activePane="bottomLeft" state="frozen"/>
      <selection activeCell="BP1" sqref="BP1"/>
      <selection pane="bottomLeft" activeCell="AX10" sqref="AX10:AX32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455</v>
      </c>
      <c r="C10">
        <v>3</v>
      </c>
      <c r="D10" t="s">
        <v>761</v>
      </c>
      <c r="E10" t="s">
        <v>1398</v>
      </c>
      <c r="F10" t="s">
        <v>0</v>
      </c>
      <c r="G10" t="s">
        <v>0</v>
      </c>
      <c r="H10" t="s">
        <v>772</v>
      </c>
      <c r="I10">
        <v>14800</v>
      </c>
      <c r="J10" t="s">
        <v>1</v>
      </c>
      <c r="K10">
        <v>200</v>
      </c>
      <c r="L10">
        <v>50</v>
      </c>
      <c r="M10" s="5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1226</v>
      </c>
      <c r="AC10" s="5" t="s">
        <v>1227</v>
      </c>
      <c r="AD10" s="17" t="s">
        <v>978</v>
      </c>
      <c r="AE10" t="s">
        <v>4</v>
      </c>
      <c r="AF10" t="s">
        <v>1</v>
      </c>
      <c r="AG10" t="s">
        <v>1</v>
      </c>
      <c r="AH10" t="s">
        <v>1405</v>
      </c>
      <c r="AI10" t="s">
        <v>1663</v>
      </c>
      <c r="AJ10" t="s">
        <v>1</v>
      </c>
      <c r="AK10" t="s">
        <v>1</v>
      </c>
      <c r="AL10" t="s">
        <v>1</v>
      </c>
      <c r="AM10" t="s">
        <v>1</v>
      </c>
      <c r="AN10" t="s">
        <v>1</v>
      </c>
      <c r="AO10" t="s">
        <v>1405</v>
      </c>
      <c r="AP10" t="s">
        <v>1</v>
      </c>
      <c r="AQ10" t="s">
        <v>2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11</v>
      </c>
      <c r="AX10">
        <f>Tabla1[[#This Row],[precio del paquete]]-Tabla1[[#This Row],[Saldo_Deudor]]</f>
        <v>200</v>
      </c>
      <c r="AY10">
        <v>14600</v>
      </c>
      <c r="AZ10" t="s">
        <v>3</v>
      </c>
      <c r="BA10" t="s">
        <v>3</v>
      </c>
      <c r="BB10" t="s">
        <v>3</v>
      </c>
      <c r="BC10" t="s">
        <v>776</v>
      </c>
      <c r="BD10" t="s">
        <v>1842</v>
      </c>
      <c r="BE10" t="s">
        <v>3</v>
      </c>
      <c r="BF10" t="s">
        <v>3</v>
      </c>
      <c r="BG10" t="s">
        <v>3</v>
      </c>
      <c r="BH10" t="s">
        <v>3</v>
      </c>
      <c r="BI10" t="s">
        <v>3</v>
      </c>
      <c r="BJ10" s="5" t="s">
        <v>1936</v>
      </c>
      <c r="BK10" t="s">
        <v>3</v>
      </c>
      <c r="BL10" t="s">
        <v>132</v>
      </c>
      <c r="BM10" t="s">
        <v>1</v>
      </c>
      <c r="BN10">
        <f>Tabla1[[#This Row],[precio del paquete]]</f>
        <v>14800</v>
      </c>
      <c r="BO10" t="s">
        <v>1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D10" t="str" cm="1">
        <f t="array" aca="1" ref="CD10" ca="1">eConcatenar(A10:CB10,"|")</f>
        <v>fbCkkp1LNPIKSNTl|CAR2022-1001|3|MEMORIAL|TABASCO|CARDENAS|CARDENAS|2022-12-02|14800|X|200|50|1|0|0|0|0|0|0|0|0|0|0|0|0|0|0|CRUZ|GARCIA|ALEJANDRA|SOLTERO|X|X|CALLE MIGUEL ORRICO DE LOS LLANOS|CARLOS PELLICER CAMARA|X|X|X|X|X|CALLE MIGUEL ORRICO DE LOS LLANOS|X|LUNES|X|X|X|X|X|DOMICILIO |200|14600|x|x|x|2022-10-02|2022-10-09|x|x|x|x|x|QWYNRBIY9KVZQO|x|HOMBRE|X|14800|X|X|X|X|X|X|X|X|CARDENAS|X|X|X|X|X</v>
      </c>
    </row>
    <row r="11" spans="1:82" x14ac:dyDescent="0.25">
      <c r="A11" t="s">
        <v>145</v>
      </c>
      <c r="B11" t="s">
        <v>456</v>
      </c>
      <c r="C11">
        <v>3</v>
      </c>
      <c r="D11" t="s">
        <v>761</v>
      </c>
      <c r="E11" t="s">
        <v>1398</v>
      </c>
      <c r="F11" t="s">
        <v>0</v>
      </c>
      <c r="G11" t="s">
        <v>0</v>
      </c>
      <c r="H11" t="s">
        <v>772</v>
      </c>
      <c r="I11">
        <v>14700</v>
      </c>
      <c r="J11" t="s">
        <v>1</v>
      </c>
      <c r="K11">
        <v>100</v>
      </c>
      <c r="L11">
        <v>50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7</v>
      </c>
      <c r="AC11" t="s">
        <v>1228</v>
      </c>
      <c r="AD11" s="18" t="s">
        <v>979</v>
      </c>
      <c r="AE11" t="s">
        <v>4</v>
      </c>
      <c r="AF11" t="s">
        <v>1</v>
      </c>
      <c r="AG11" t="s">
        <v>1</v>
      </c>
      <c r="AH11" t="s">
        <v>1406</v>
      </c>
      <c r="AI11" t="s">
        <v>1664</v>
      </c>
      <c r="AJ11" t="s">
        <v>1</v>
      </c>
      <c r="AK11" t="s">
        <v>1</v>
      </c>
      <c r="AL11" t="s">
        <v>1</v>
      </c>
      <c r="AM11" t="s">
        <v>1</v>
      </c>
      <c r="AN11" t="s">
        <v>1</v>
      </c>
      <c r="AO11" t="s">
        <v>1406</v>
      </c>
      <c r="AP11" t="s">
        <v>1</v>
      </c>
      <c r="AQ11" t="s">
        <v>2</v>
      </c>
      <c r="AR11" t="s">
        <v>1</v>
      </c>
      <c r="AS11" t="s">
        <v>1</v>
      </c>
      <c r="AT11" t="s">
        <v>1</v>
      </c>
      <c r="AU11" t="s">
        <v>1</v>
      </c>
      <c r="AV11" t="s">
        <v>1</v>
      </c>
      <c r="AW11" t="s">
        <v>11</v>
      </c>
      <c r="AX11">
        <f>Tabla1[[#This Row],[precio del paquete]]-Tabla1[[#This Row],[Saldo_Deudor]]</f>
        <v>0</v>
      </c>
      <c r="AY11">
        <v>14700</v>
      </c>
      <c r="AZ11" t="s">
        <v>3</v>
      </c>
      <c r="BA11" t="s">
        <v>3</v>
      </c>
      <c r="BB11" t="s">
        <v>3</v>
      </c>
      <c r="BC11" t="s">
        <v>936</v>
      </c>
      <c r="BD11" t="s">
        <v>1878</v>
      </c>
      <c r="BE11" t="s">
        <v>3</v>
      </c>
      <c r="BF11" t="s">
        <v>3</v>
      </c>
      <c r="BG11" t="s">
        <v>3</v>
      </c>
      <c r="BH11" t="s">
        <v>3</v>
      </c>
      <c r="BI11" t="s">
        <v>3</v>
      </c>
      <c r="BJ11" t="s">
        <v>1936</v>
      </c>
      <c r="BK11" t="s">
        <v>3</v>
      </c>
      <c r="BL11" t="s">
        <v>132</v>
      </c>
      <c r="BM11" t="s">
        <v>1</v>
      </c>
      <c r="BN11">
        <f>Tabla1[[#This Row],[precio del paquete]]</f>
        <v>14700</v>
      </c>
      <c r="BO11" t="s">
        <v>1</v>
      </c>
      <c r="BP11" t="s">
        <v>1</v>
      </c>
      <c r="BQ11" t="s">
        <v>1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1</v>
      </c>
      <c r="CD11" t="str" cm="1">
        <f t="array" aca="1" ref="CD11" ca="1">eConcatenar(A11:CB11,"|")</f>
        <v>n3XvcjvDQ89SqieG|CAR2022-0892|3|MEMORIAL|TABASCO|CARDENAS|CARDENAS|2022-12-02|14700|X|100|50|1|0|0|0|0|0|0|0|0|0|0|0|0|0|0|LOPEZ|RAMOS|CONCEPCION|SOLTERO|X|X|CALLE 2 MANZANA 2 LOTE 10|FRACCIONAMIENTO POMOCA|X|X|X|X|X|CALLE 2 MANZANA 2 LOTE 10|X|LUNES|X|X|X|X|X|DOMICILIO |0|14700|x|x|x|2022-11-02|2022-11-09|x|x|x|x|x|QWYNRBIY9KVZQO|x|HOMBRE|X|14700|X|X|X|X|X|X|X|X|CARDENAS|X|X|X|X|X</v>
      </c>
    </row>
    <row r="12" spans="1:82" x14ac:dyDescent="0.25">
      <c r="A12" t="s">
        <v>146</v>
      </c>
      <c r="B12" t="s">
        <v>457</v>
      </c>
      <c r="C12">
        <v>3</v>
      </c>
      <c r="D12" t="s">
        <v>761</v>
      </c>
      <c r="E12" t="s">
        <v>1398</v>
      </c>
      <c r="F12" t="s">
        <v>768</v>
      </c>
      <c r="G12" t="s">
        <v>768</v>
      </c>
      <c r="H12" t="s">
        <v>772</v>
      </c>
      <c r="I12">
        <v>14800</v>
      </c>
      <c r="J12" t="s">
        <v>1</v>
      </c>
      <c r="K12">
        <v>100</v>
      </c>
      <c r="L12">
        <v>50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1229</v>
      </c>
      <c r="AC12" t="s">
        <v>1230</v>
      </c>
      <c r="AD12" s="18" t="s">
        <v>980</v>
      </c>
      <c r="AE12" t="s">
        <v>4</v>
      </c>
      <c r="AF12" t="s">
        <v>1</v>
      </c>
      <c r="AG12" t="s">
        <v>1</v>
      </c>
      <c r="AH12" t="s">
        <v>1407</v>
      </c>
      <c r="AI12" t="s">
        <v>1665</v>
      </c>
      <c r="AJ12" t="s">
        <v>1</v>
      </c>
      <c r="AK12" t="s">
        <v>1</v>
      </c>
      <c r="AL12" t="s">
        <v>1</v>
      </c>
      <c r="AM12" t="s">
        <v>1</v>
      </c>
      <c r="AN12" t="s">
        <v>1</v>
      </c>
      <c r="AO12" t="s">
        <v>1407</v>
      </c>
      <c r="AP12" t="s">
        <v>1</v>
      </c>
      <c r="AQ12" t="s">
        <v>2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11</v>
      </c>
      <c r="AX12">
        <f>Tabla1[[#This Row],[precio del paquete]]-Tabla1[[#This Row],[Saldo_Deudor]]</f>
        <v>100</v>
      </c>
      <c r="AY12">
        <v>14700</v>
      </c>
      <c r="AZ12" t="s">
        <v>3</v>
      </c>
      <c r="BA12" t="s">
        <v>3</v>
      </c>
      <c r="BB12" t="s">
        <v>3</v>
      </c>
      <c r="BC12" t="s">
        <v>776</v>
      </c>
      <c r="BD12" t="s">
        <v>1842</v>
      </c>
      <c r="BE12" t="s">
        <v>3</v>
      </c>
      <c r="BF12" t="s">
        <v>3</v>
      </c>
      <c r="BG12" t="s">
        <v>3</v>
      </c>
      <c r="BH12" t="s">
        <v>3</v>
      </c>
      <c r="BI12" t="s">
        <v>3</v>
      </c>
      <c r="BJ12" t="s">
        <v>1936</v>
      </c>
      <c r="BK12" t="s">
        <v>3</v>
      </c>
      <c r="BL12" t="s">
        <v>132</v>
      </c>
      <c r="BM12" t="s">
        <v>1</v>
      </c>
      <c r="BN12">
        <f>Tabla1[[#This Row],[precio del paquete]]</f>
        <v>14800</v>
      </c>
      <c r="BO12" t="s">
        <v>1</v>
      </c>
      <c r="BP12" t="s">
        <v>1</v>
      </c>
      <c r="BQ12" t="s">
        <v>1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1</v>
      </c>
      <c r="CD12" t="str" cm="1">
        <f t="array" aca="1" ref="CD12" ca="1">eConcatenar(A12:CB12,"|")</f>
        <v>ImBglz5h27sGcYkh|CAR2022-0888|3|MEMORIAL|TABASCO|HUIMANGUILLO|HUIMANGUILLO|2022-12-02|14800|X|100|50|1|0|0|0|0|0|0|0|0|0|0|0|0|0|0|GENARO|VAZQUEZ|EJIDO|SOLTERO|X|X|PASANDO EL PUESNTE LA ANETRA A LA DERECHA ULTIMA CASA|EJIDO GENARO VAZQUEZ|X|X|X|X|X|PASANDO EL PUESNTE LA ANETRA A LA DERECHA ULTIMA CASA|X|LUNES|X|X|X|X|X|DOMICILIO |100|14700|x|x|x|2022-10-02|2022-10-09|x|x|x|x|x|QWYNRBIY9KVZQO|x|HOMBRE|X|14800|X|X|X|X|X|X|X|X|CARDENAS|X|X|X|X|X</v>
      </c>
    </row>
    <row r="13" spans="1:82" x14ac:dyDescent="0.25">
      <c r="A13" t="s">
        <v>147</v>
      </c>
      <c r="B13" t="s">
        <v>458</v>
      </c>
      <c r="C13">
        <v>3</v>
      </c>
      <c r="D13" t="s">
        <v>761</v>
      </c>
      <c r="E13" t="s">
        <v>1398</v>
      </c>
      <c r="F13" t="s">
        <v>0</v>
      </c>
      <c r="G13" t="s">
        <v>0</v>
      </c>
      <c r="H13" t="s">
        <v>773</v>
      </c>
      <c r="I13">
        <v>14800</v>
      </c>
      <c r="J13" t="s">
        <v>1</v>
      </c>
      <c r="K13">
        <v>800</v>
      </c>
      <c r="L13">
        <v>50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1231</v>
      </c>
      <c r="AC13" t="s">
        <v>1232</v>
      </c>
      <c r="AD13" s="18" t="s">
        <v>981</v>
      </c>
      <c r="AE13" t="s">
        <v>4</v>
      </c>
      <c r="AF13" t="s">
        <v>1</v>
      </c>
      <c r="AG13" t="s">
        <v>1</v>
      </c>
      <c r="AH13" t="s">
        <v>1408</v>
      </c>
      <c r="AI13" t="s">
        <v>1666</v>
      </c>
      <c r="AJ13" t="s">
        <v>1</v>
      </c>
      <c r="AK13" t="s">
        <v>1</v>
      </c>
      <c r="AL13" t="s">
        <v>1</v>
      </c>
      <c r="AM13" t="s">
        <v>1</v>
      </c>
      <c r="AN13" t="s">
        <v>1</v>
      </c>
      <c r="AO13" t="s">
        <v>1408</v>
      </c>
      <c r="AP13" t="s">
        <v>1</v>
      </c>
      <c r="AQ13" t="s">
        <v>2</v>
      </c>
      <c r="AR13" t="s">
        <v>1</v>
      </c>
      <c r="AS13" t="s">
        <v>1</v>
      </c>
      <c r="AT13" t="s">
        <v>1</v>
      </c>
      <c r="AU13" t="s">
        <v>1</v>
      </c>
      <c r="AV13" t="s">
        <v>1</v>
      </c>
      <c r="AW13" t="s">
        <v>11</v>
      </c>
      <c r="AX13">
        <f>Tabla1[[#This Row],[precio del paquete]]-Tabla1[[#This Row],[Saldo_Deudor]]</f>
        <v>800</v>
      </c>
      <c r="AY13">
        <v>14000</v>
      </c>
      <c r="AZ13" t="s">
        <v>3</v>
      </c>
      <c r="BA13" t="s">
        <v>3</v>
      </c>
      <c r="BB13" t="s">
        <v>3</v>
      </c>
      <c r="BC13" t="s">
        <v>773</v>
      </c>
      <c r="BD13" t="s">
        <v>1879</v>
      </c>
      <c r="BE13" t="s">
        <v>3</v>
      </c>
      <c r="BF13" t="s">
        <v>3</v>
      </c>
      <c r="BG13" t="s">
        <v>3</v>
      </c>
      <c r="BH13" t="s">
        <v>3</v>
      </c>
      <c r="BI13" t="s">
        <v>3</v>
      </c>
      <c r="BJ13" t="s">
        <v>1936</v>
      </c>
      <c r="BK13" t="s">
        <v>3</v>
      </c>
      <c r="BL13" t="s">
        <v>132</v>
      </c>
      <c r="BM13" t="s">
        <v>1</v>
      </c>
      <c r="BN13">
        <f>Tabla1[[#This Row],[precio del paquete]]</f>
        <v>14800</v>
      </c>
      <c r="BO13" t="s">
        <v>1</v>
      </c>
      <c r="BP13" t="s">
        <v>1</v>
      </c>
      <c r="BQ13" t="s">
        <v>1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1</v>
      </c>
      <c r="CD13" t="str" cm="1">
        <f t="array" aca="1" ref="CD13" ca="1">eConcatenar(A13:CB13,"|")</f>
        <v>red61nDqSFmWE7XX|CAR2022-0820|3|MEMORIAL|TABASCO|CARDENAS|CARDENAS|2022-07-02|14800|X|800|50|1|0|0|0|0|0|0|0|0|0|0|0|0|0|0|TORRES|BRITO|JUAN MANUEL|SOLTERO|X|X|PROLONGACION VICENTE GUERRERO CALLEJN 1 CASA NUMERO 7|COLONIA EL TOLOQUE|X|X|X|X|X|PROLONGACION VICENTE GUERRERO CALLEJN 1 CASA NUMERO 7|X|LUNES|X|X|X|X|X|DOMICILIO |800|14000|x|x|x|2022-07-02|2022-07-09|x|x|x|x|x|QWYNRBIY9KVZQO|x|HOMBRE|X|14800|X|X|X|X|X|X|X|X|CARDENAS|X|X|X|X|X</v>
      </c>
    </row>
    <row r="14" spans="1:82" x14ac:dyDescent="0.25">
      <c r="A14" t="s">
        <v>148</v>
      </c>
      <c r="B14" t="s">
        <v>459</v>
      </c>
      <c r="C14">
        <v>3</v>
      </c>
      <c r="D14" t="s">
        <v>762</v>
      </c>
      <c r="E14" t="s">
        <v>1398</v>
      </c>
      <c r="F14" t="s">
        <v>0</v>
      </c>
      <c r="G14" t="s">
        <v>0</v>
      </c>
      <c r="H14" t="s">
        <v>773</v>
      </c>
      <c r="I14">
        <v>24300</v>
      </c>
      <c r="J14" t="s">
        <v>1</v>
      </c>
      <c r="K14">
        <v>200</v>
      </c>
      <c r="L14">
        <v>50</v>
      </c>
      <c r="M14">
        <v>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1233</v>
      </c>
      <c r="AC14" t="s">
        <v>1234</v>
      </c>
      <c r="AD14" s="18" t="s">
        <v>982</v>
      </c>
      <c r="AE14" t="s">
        <v>4</v>
      </c>
      <c r="AF14" t="s">
        <v>1</v>
      </c>
      <c r="AG14" t="s">
        <v>1</v>
      </c>
      <c r="AH14" t="s">
        <v>1409</v>
      </c>
      <c r="AI14" t="s">
        <v>1667</v>
      </c>
      <c r="AJ14" t="s">
        <v>1</v>
      </c>
      <c r="AK14" t="s">
        <v>1</v>
      </c>
      <c r="AL14" t="s">
        <v>1</v>
      </c>
      <c r="AM14" t="s">
        <v>1</v>
      </c>
      <c r="AN14" t="s">
        <v>1</v>
      </c>
      <c r="AO14" t="s">
        <v>1409</v>
      </c>
      <c r="AP14" t="s">
        <v>1</v>
      </c>
      <c r="AQ14" t="s">
        <v>2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11</v>
      </c>
      <c r="AX14">
        <f>Tabla1[[#This Row],[precio del paquete]]-Tabla1[[#This Row],[Saldo_Deudor]]</f>
        <v>0</v>
      </c>
      <c r="AY14">
        <v>24300</v>
      </c>
      <c r="AZ14" t="s">
        <v>3</v>
      </c>
      <c r="BA14" t="s">
        <v>3</v>
      </c>
      <c r="BB14" t="s">
        <v>3</v>
      </c>
      <c r="BC14" t="s">
        <v>773</v>
      </c>
      <c r="BD14" t="s">
        <v>1879</v>
      </c>
      <c r="BE14" t="s">
        <v>3</v>
      </c>
      <c r="BF14" t="s">
        <v>3</v>
      </c>
      <c r="BG14" t="s">
        <v>3</v>
      </c>
      <c r="BH14" t="s">
        <v>3</v>
      </c>
      <c r="BI14" t="s">
        <v>3</v>
      </c>
      <c r="BJ14" t="s">
        <v>1936</v>
      </c>
      <c r="BK14" t="s">
        <v>3</v>
      </c>
      <c r="BL14" t="s">
        <v>132</v>
      </c>
      <c r="BM14" t="s">
        <v>1</v>
      </c>
      <c r="BN14">
        <f>Tabla1[[#This Row],[precio del paquete]]</f>
        <v>24300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1</v>
      </c>
      <c r="CD14" t="str" cm="1">
        <f t="array" aca="1" ref="CD14" ca="1">eConcatenar(A14:CB14,"|")</f>
        <v>EpmA3ZgoyghamqfS|CAR2022-0824|3|DIGNITY|TABASCO|CARDENAS|CARDENAS|2022-07-02|24300|X|200|50|2|0|0|0|0|0|0|0|0|0|0|0|0|0|0|DIAZ|PALMA|EUGENIO|SOLTERO|X|X|CALLE TRINIDAD FUENTES ADRIANA INTERIOR NUMERO 20|UNIDAD HABITACIONAL INFONAVIT DEPORTIVA|X|X|X|X|X|CALLE TRINIDAD FUENTES ADRIANA INTERIOR NUMERO 20|X|LUNES|X|X|X|X|X|DOMICILIO |0|24300|x|x|x|2022-07-02|2022-07-09|x|x|x|x|x|QWYNRBIY9KVZQO|x|HOMBRE|X|24300|X|X|X|X|X|X|X|X|CARDENAS|X|X|X|X|X</v>
      </c>
    </row>
    <row r="15" spans="1:82" x14ac:dyDescent="0.25">
      <c r="A15" t="s">
        <v>149</v>
      </c>
      <c r="B15" t="s">
        <v>460</v>
      </c>
      <c r="C15">
        <v>3</v>
      </c>
      <c r="D15" t="s">
        <v>761</v>
      </c>
      <c r="E15" t="s">
        <v>1398</v>
      </c>
      <c r="F15" t="s">
        <v>0</v>
      </c>
      <c r="G15" t="s">
        <v>0</v>
      </c>
      <c r="H15" t="s">
        <v>773</v>
      </c>
      <c r="I15">
        <v>14800</v>
      </c>
      <c r="J15" t="s">
        <v>1</v>
      </c>
      <c r="K15">
        <v>500</v>
      </c>
      <c r="L15">
        <v>50</v>
      </c>
      <c r="M15">
        <v>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1235</v>
      </c>
      <c r="AC15" t="s">
        <v>1236</v>
      </c>
      <c r="AD15" s="18" t="s">
        <v>983</v>
      </c>
      <c r="AE15" t="s">
        <v>4</v>
      </c>
      <c r="AF15" t="s">
        <v>1</v>
      </c>
      <c r="AG15" t="s">
        <v>1</v>
      </c>
      <c r="AH15" t="s">
        <v>1410</v>
      </c>
      <c r="AI15" t="s">
        <v>1668</v>
      </c>
      <c r="AJ15" t="s">
        <v>1</v>
      </c>
      <c r="AK15" t="s">
        <v>1</v>
      </c>
      <c r="AL15" t="s">
        <v>1</v>
      </c>
      <c r="AM15" t="s">
        <v>1</v>
      </c>
      <c r="AN15" t="s">
        <v>1</v>
      </c>
      <c r="AO15" t="s">
        <v>1410</v>
      </c>
      <c r="AP15" t="s">
        <v>1</v>
      </c>
      <c r="AQ15" t="s">
        <v>2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11</v>
      </c>
      <c r="AX15">
        <f>Tabla1[[#This Row],[precio del paquete]]-Tabla1[[#This Row],[Saldo_Deudor]]</f>
        <v>500</v>
      </c>
      <c r="AY15">
        <v>14300</v>
      </c>
      <c r="AZ15" t="s">
        <v>3</v>
      </c>
      <c r="BA15" t="s">
        <v>3</v>
      </c>
      <c r="BB15" t="s">
        <v>3</v>
      </c>
      <c r="BC15" t="s">
        <v>1835</v>
      </c>
      <c r="BD15" t="s">
        <v>1880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t="s">
        <v>1936</v>
      </c>
      <c r="BK15" t="s">
        <v>3</v>
      </c>
      <c r="BL15" t="s">
        <v>132</v>
      </c>
      <c r="BM15" t="s">
        <v>1</v>
      </c>
      <c r="BN15">
        <f>Tabla1[[#This Row],[precio del paquete]]</f>
        <v>14800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1</v>
      </c>
      <c r="CD15" t="str" cm="1">
        <f t="array" aca="1" ref="CD15" ca="1">eConcatenar(A15:CB15,"|")</f>
        <v>3mzG7OPt3SUOIydL|CAR2022-0823|3|MEMORIAL|TABASCO|CARDENAS|CARDENAS|2022-07-02|14800|X|500|50|2|0|0|0|0|0|0|0|0|0|0|0|0|0|0|IZQUIERDO|DE LOS SANTOS|ELSI DEL CARMEN|SOLTERO|X|X|CALLE TRINIDAD FUENTES ADRIANO|COLONIA LOMA BONITA|X|X|X|X|X|CALLE TRINIDAD FUENTES ADRIANO|X|LUNES|X|X|X|X|X|DOMICILIO |500|14300|x|x|x|2022-05-02|2022-05-09|x|x|x|x|x|QWYNRBIY9KVZQO|x|HOMBRE|X|14800|X|X|X|X|X|X|X|X|CARDENAS|X|X|X|X|X</v>
      </c>
    </row>
    <row r="16" spans="1:82" x14ac:dyDescent="0.25">
      <c r="A16" t="s">
        <v>150</v>
      </c>
      <c r="B16" t="s">
        <v>461</v>
      </c>
      <c r="C16">
        <v>3</v>
      </c>
      <c r="D16" t="s">
        <v>761</v>
      </c>
      <c r="E16" t="s">
        <v>1398</v>
      </c>
      <c r="F16" t="s">
        <v>0</v>
      </c>
      <c r="G16" t="s">
        <v>0</v>
      </c>
      <c r="H16" t="s">
        <v>774</v>
      </c>
      <c r="I16">
        <v>14800</v>
      </c>
      <c r="J16" t="s">
        <v>1</v>
      </c>
      <c r="K16">
        <v>1000</v>
      </c>
      <c r="L16">
        <v>50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1180</v>
      </c>
      <c r="AC16" t="s">
        <v>1237</v>
      </c>
      <c r="AD16" s="18" t="s">
        <v>984</v>
      </c>
      <c r="AE16" t="s">
        <v>4</v>
      </c>
      <c r="AF16" t="s">
        <v>1</v>
      </c>
      <c r="AG16" t="s">
        <v>1</v>
      </c>
      <c r="AH16" t="s">
        <v>1411</v>
      </c>
      <c r="AI16" t="s">
        <v>1529</v>
      </c>
      <c r="AJ16" t="s">
        <v>1</v>
      </c>
      <c r="AK16" t="s">
        <v>1</v>
      </c>
      <c r="AL16" t="s">
        <v>1</v>
      </c>
      <c r="AM16" t="s">
        <v>1</v>
      </c>
      <c r="AN16" t="s">
        <v>1</v>
      </c>
      <c r="AO16" t="s">
        <v>1411</v>
      </c>
      <c r="AP16" t="s">
        <v>1</v>
      </c>
      <c r="AQ16" t="s">
        <v>2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11</v>
      </c>
      <c r="AX16">
        <f>Tabla1[[#This Row],[precio del paquete]]-Tabla1[[#This Row],[Saldo_Deudor]]</f>
        <v>1000</v>
      </c>
      <c r="AY16">
        <v>13800</v>
      </c>
      <c r="AZ16" t="s">
        <v>3</v>
      </c>
      <c r="BA16" t="s">
        <v>3</v>
      </c>
      <c r="BB16" t="s">
        <v>3</v>
      </c>
      <c r="BC16" t="s">
        <v>774</v>
      </c>
      <c r="BD16" t="s">
        <v>1881</v>
      </c>
      <c r="BE16" t="s">
        <v>3</v>
      </c>
      <c r="BF16" t="s">
        <v>3</v>
      </c>
      <c r="BG16" t="s">
        <v>3</v>
      </c>
      <c r="BH16" t="s">
        <v>3</v>
      </c>
      <c r="BI16" t="s">
        <v>3</v>
      </c>
      <c r="BJ16" t="s">
        <v>1936</v>
      </c>
      <c r="BK16" t="s">
        <v>3</v>
      </c>
      <c r="BL16" t="s">
        <v>132</v>
      </c>
      <c r="BM16" t="s">
        <v>1</v>
      </c>
      <c r="BN16">
        <f>Tabla1[[#This Row],[precio del paquete]]</f>
        <v>14800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1</v>
      </c>
      <c r="CD16" t="str" cm="1">
        <f t="array" aca="1" ref="CD16" ca="1">eConcatenar(A16:CB16,"|")</f>
        <v>BnMX1aBaIZXQkotJ|CAR2022-0644|3|MEMORIAL|TABASCO|CARDENAS|CARDENAS|2022-02-02|14800|X|1000|50|1|0|0|0|0|0|0|0|0|0|0|0|0|0|0|ROMAN|GALLEGOS|JUAN ARTURO|SOLTERO|X|X|PROLONGACION AURELIO SOSA TORRES NUMERO 16|COLONIA PUEBLO NUEVO|X|X|X|X|X|PROLONGACION AURELIO SOSA TORRES NUMERO 16|X|LUNES|X|X|X|X|X|DOMICILIO |1000|13800|x|x|x|2022-02-02|2022-02-09|x|x|x|x|x|QWYNRBIY9KVZQO|x|HOMBRE|X|14800|X|X|X|X|X|X|X|X|CARDENAS|X|X|X|X|X</v>
      </c>
    </row>
    <row r="17" spans="1:82" x14ac:dyDescent="0.25">
      <c r="A17" t="s">
        <v>151</v>
      </c>
      <c r="B17" t="s">
        <v>462</v>
      </c>
      <c r="C17">
        <v>3</v>
      </c>
      <c r="D17" t="s">
        <v>761</v>
      </c>
      <c r="E17" t="s">
        <v>1398</v>
      </c>
      <c r="F17" t="s">
        <v>0</v>
      </c>
      <c r="G17" t="s">
        <v>0</v>
      </c>
      <c r="H17" t="s">
        <v>775</v>
      </c>
      <c r="I17">
        <v>14800</v>
      </c>
      <c r="J17" t="s">
        <v>1</v>
      </c>
      <c r="K17">
        <v>100</v>
      </c>
      <c r="L17">
        <v>50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1238</v>
      </c>
      <c r="AC17" t="s">
        <v>1239</v>
      </c>
      <c r="AD17" s="18" t="s">
        <v>985</v>
      </c>
      <c r="AE17" t="s">
        <v>4</v>
      </c>
      <c r="AF17" t="s">
        <v>1</v>
      </c>
      <c r="AG17" t="s">
        <v>1</v>
      </c>
      <c r="AH17" t="s">
        <v>1412</v>
      </c>
      <c r="AI17" t="s">
        <v>1669</v>
      </c>
      <c r="AJ17" t="s">
        <v>1</v>
      </c>
      <c r="AK17" t="s">
        <v>1</v>
      </c>
      <c r="AL17" t="s">
        <v>1</v>
      </c>
      <c r="AM17" t="s">
        <v>1</v>
      </c>
      <c r="AN17" t="s">
        <v>1</v>
      </c>
      <c r="AO17" t="s">
        <v>1412</v>
      </c>
      <c r="AP17" t="s">
        <v>1</v>
      </c>
      <c r="AQ17" t="s">
        <v>2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11</v>
      </c>
      <c r="AX17">
        <f>Tabla1[[#This Row],[precio del paquete]]-Tabla1[[#This Row],[Saldo_Deudor]]</f>
        <v>100</v>
      </c>
      <c r="AY17">
        <v>14700</v>
      </c>
      <c r="AZ17" t="s">
        <v>3</v>
      </c>
      <c r="BA17" t="s">
        <v>3</v>
      </c>
      <c r="BB17" t="s">
        <v>3</v>
      </c>
      <c r="BC17" t="s">
        <v>1835</v>
      </c>
      <c r="BD17" t="s">
        <v>1880</v>
      </c>
      <c r="BE17" t="s">
        <v>3</v>
      </c>
      <c r="BF17" t="s">
        <v>3</v>
      </c>
      <c r="BG17" t="s">
        <v>3</v>
      </c>
      <c r="BH17" t="s">
        <v>3</v>
      </c>
      <c r="BI17" t="s">
        <v>3</v>
      </c>
      <c r="BJ17" t="s">
        <v>1936</v>
      </c>
      <c r="BK17" t="s">
        <v>3</v>
      </c>
      <c r="BL17" t="s">
        <v>132</v>
      </c>
      <c r="BM17" t="s">
        <v>1</v>
      </c>
      <c r="BN17">
        <f>Tabla1[[#This Row],[precio del paquete]]</f>
        <v>14800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1</v>
      </c>
      <c r="CD17" t="str" cm="1">
        <f t="array" aca="1" ref="CD17" ca="1">eConcatenar(A17:CB17,"|")</f>
        <v>XoUqCPPyMn9OeOgM|CAR2022-0843|3|MEMORIAL|TABASCO|CARDENAS|CARDENAS|2022-09-02|14800|X|100|50|0|0|0|0|0|0|0|0|0|0|0|0|0|0|0|DEL CARMEN||AMINTA|SOLTERO|X|X|PROLONGACION IGNACIO GUTIERREZ GOMEZ|COLONIA SANTA MARIA DE GUADALUPE|X|X|X|X|X|PROLONGACION IGNACIO GUTIERREZ GOMEZ|X|LUNES|X|X|X|X|X|DOMICILIO |100|14700|x|x|x|2022-05-02|2022-05-09|x|x|x|x|x|QWYNRBIY9KVZQO|x|HOMBRE|X|14800|X|X|X|X|X|X|X|X|CARDENAS|X|X|X|X|X</v>
      </c>
    </row>
    <row r="18" spans="1:82" x14ac:dyDescent="0.25">
      <c r="A18" t="s">
        <v>152</v>
      </c>
      <c r="B18" t="s">
        <v>463</v>
      </c>
      <c r="C18">
        <v>3</v>
      </c>
      <c r="D18" t="s">
        <v>761</v>
      </c>
      <c r="E18" t="s">
        <v>1398</v>
      </c>
      <c r="F18" t="s">
        <v>0</v>
      </c>
      <c r="G18" t="s">
        <v>0</v>
      </c>
      <c r="H18" t="s">
        <v>776</v>
      </c>
      <c r="I18">
        <v>14800</v>
      </c>
      <c r="J18" t="s">
        <v>1</v>
      </c>
      <c r="K18">
        <v>100</v>
      </c>
      <c r="L18">
        <v>50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1240</v>
      </c>
      <c r="AC18" t="s">
        <v>1241</v>
      </c>
      <c r="AD18" s="18" t="s">
        <v>986</v>
      </c>
      <c r="AE18" t="s">
        <v>4</v>
      </c>
      <c r="AF18" t="s">
        <v>1</v>
      </c>
      <c r="AG18" t="s">
        <v>1</v>
      </c>
      <c r="AH18" t="s">
        <v>1412</v>
      </c>
      <c r="AI18" t="s">
        <v>1669</v>
      </c>
      <c r="AJ18" t="s">
        <v>1</v>
      </c>
      <c r="AK18" t="s">
        <v>1</v>
      </c>
      <c r="AL18" t="s">
        <v>1</v>
      </c>
      <c r="AM18" t="s">
        <v>1</v>
      </c>
      <c r="AN18" t="s">
        <v>1</v>
      </c>
      <c r="AO18" t="s">
        <v>1412</v>
      </c>
      <c r="AP18" t="s">
        <v>1</v>
      </c>
      <c r="AQ18" t="s">
        <v>2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11</v>
      </c>
      <c r="AX18">
        <f>Tabla1[[#This Row],[precio del paquete]]-Tabla1[[#This Row],[Saldo_Deudor]]</f>
        <v>200</v>
      </c>
      <c r="AY18">
        <v>14600</v>
      </c>
      <c r="AZ18" t="s">
        <v>3</v>
      </c>
      <c r="BA18" t="s">
        <v>3</v>
      </c>
      <c r="BB18" t="s">
        <v>3</v>
      </c>
      <c r="BC18" t="s">
        <v>1836</v>
      </c>
      <c r="BD18" t="s">
        <v>1882</v>
      </c>
      <c r="BE18" t="s">
        <v>3</v>
      </c>
      <c r="BF18" t="s">
        <v>3</v>
      </c>
      <c r="BG18" t="s">
        <v>3</v>
      </c>
      <c r="BH18" t="s">
        <v>3</v>
      </c>
      <c r="BI18" t="s">
        <v>3</v>
      </c>
      <c r="BJ18" t="s">
        <v>1936</v>
      </c>
      <c r="BK18" t="s">
        <v>3</v>
      </c>
      <c r="BL18" t="s">
        <v>132</v>
      </c>
      <c r="BM18" t="s">
        <v>1</v>
      </c>
      <c r="BN18">
        <f>Tabla1[[#This Row],[precio del paquete]]</f>
        <v>14800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1</v>
      </c>
      <c r="CD18" t="str" cm="1">
        <f t="array" aca="1" ref="CD18" ca="1">eConcatenar(A18:CB18,"|")</f>
        <v>dv61a1khmYMLktyo|CAR2022-0865|3|MEMORIAL|TABASCO|CARDENAS|CARDENAS|2022-10-02|14800|X|100|50|0|0|0|0|0|0|0|0|0|0|0|0|0|0|0|SUAREZ|NARANJO|CLAUDIA LETICIA|SOLTERO|X|X|PROLONGACION IGNACIO GUTIERREZ GOMEZ|COLONIA SANTA MARIA DE GUADALUPE|X|X|X|X|X|PROLONGACION IGNACIO GUTIERREZ GOMEZ|X|LUNES|X|X|X|X|X|DOMICILIO |200|14600|x|x|x|2022-02-15|2022-02-22|x|x|x|x|x|QWYNRBIY9KVZQO|x|HOMBRE|X|14800|X|X|X|X|X|X|X|X|CARDENAS|X|X|X|X|X</v>
      </c>
    </row>
    <row r="19" spans="1:82" x14ac:dyDescent="0.25">
      <c r="A19" t="s">
        <v>153</v>
      </c>
      <c r="B19" t="s">
        <v>464</v>
      </c>
      <c r="C19">
        <v>3</v>
      </c>
      <c r="D19" t="s">
        <v>761</v>
      </c>
      <c r="E19" t="s">
        <v>1398</v>
      </c>
      <c r="F19" t="s">
        <v>0</v>
      </c>
      <c r="G19" t="s">
        <v>0</v>
      </c>
      <c r="H19" t="s">
        <v>776</v>
      </c>
      <c r="I19">
        <v>14800</v>
      </c>
      <c r="J19" t="s">
        <v>1</v>
      </c>
      <c r="K19">
        <v>100</v>
      </c>
      <c r="L19">
        <v>50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1242</v>
      </c>
      <c r="AC19" t="s">
        <v>1243</v>
      </c>
      <c r="AD19" s="18" t="s">
        <v>987</v>
      </c>
      <c r="AE19" t="s">
        <v>4</v>
      </c>
      <c r="AF19" t="s">
        <v>1</v>
      </c>
      <c r="AG19" t="s">
        <v>1</v>
      </c>
      <c r="AH19" t="s">
        <v>1413</v>
      </c>
      <c r="AI19" t="s">
        <v>1670</v>
      </c>
      <c r="AJ19" t="s">
        <v>1</v>
      </c>
      <c r="AK19" t="s">
        <v>1</v>
      </c>
      <c r="AL19" t="s">
        <v>1</v>
      </c>
      <c r="AM19" t="s">
        <v>1</v>
      </c>
      <c r="AN19" t="s">
        <v>1</v>
      </c>
      <c r="AO19" t="s">
        <v>1413</v>
      </c>
      <c r="AP19" t="s">
        <v>1</v>
      </c>
      <c r="AQ19" t="s">
        <v>2</v>
      </c>
      <c r="AR19" t="s">
        <v>1</v>
      </c>
      <c r="AS19" t="s">
        <v>1</v>
      </c>
      <c r="AT19" t="s">
        <v>1</v>
      </c>
      <c r="AU19" t="s">
        <v>1</v>
      </c>
      <c r="AV19" t="s">
        <v>1</v>
      </c>
      <c r="AW19" t="s">
        <v>11</v>
      </c>
      <c r="AX19">
        <f>Tabla1[[#This Row],[precio del paquete]]-Tabla1[[#This Row],[Saldo_Deudor]]</f>
        <v>200</v>
      </c>
      <c r="AY19">
        <v>14600</v>
      </c>
      <c r="AZ19" t="s">
        <v>3</v>
      </c>
      <c r="BA19" t="s">
        <v>3</v>
      </c>
      <c r="BB19" t="s">
        <v>3</v>
      </c>
      <c r="BC19" t="s">
        <v>1836</v>
      </c>
      <c r="BD19" t="s">
        <v>1882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1936</v>
      </c>
      <c r="BK19" t="s">
        <v>3</v>
      </c>
      <c r="BL19" t="s">
        <v>132</v>
      </c>
      <c r="BM19" t="s">
        <v>1</v>
      </c>
      <c r="BN19">
        <f>Tabla1[[#This Row],[precio del paquete]]</f>
        <v>14800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1</v>
      </c>
      <c r="CD19" t="str" cm="1">
        <f t="array" aca="1" ref="CD19" ca="1">eConcatenar(A19:CB19,"|")</f>
        <v>Mphi8pEjj9UC6YPr|CAR2022-0870|3|MEMORIAL|TABASCO|CARDENAS|CARDENAS|2022-10-02|14800|X|100|50|0|0|0|0|0|0|0|0|0|0|0|0|0|0|0|ROJAS|GUITIERREZ|ARELY|SOLTERO|X|X|PASANDO LA TORTILLERIA ANTES DE ABARROTES|COLONIA CARDENAS CENTRO|X|X|X|X|X|PASANDO LA TORTILLERIA ANTES DE ABARROTES|X|LUNES|X|X|X|X|X|DOMICILIO |200|14600|x|x|x|2022-02-15|2022-02-22|x|x|x|x|x|QWYNRBIY9KVZQO|x|HOMBRE|X|14800|X|X|X|X|X|X|X|X|CARDENAS|X|X|X|X|X</v>
      </c>
    </row>
    <row r="20" spans="1:82" x14ac:dyDescent="0.25">
      <c r="A20" t="s">
        <v>154</v>
      </c>
      <c r="B20" t="s">
        <v>465</v>
      </c>
      <c r="C20">
        <v>3</v>
      </c>
      <c r="D20" t="s">
        <v>761</v>
      </c>
      <c r="E20" t="s">
        <v>1398</v>
      </c>
      <c r="F20" t="s">
        <v>0</v>
      </c>
      <c r="G20" t="s">
        <v>0</v>
      </c>
      <c r="H20" t="s">
        <v>776</v>
      </c>
      <c r="I20">
        <v>14800</v>
      </c>
      <c r="J20" t="s">
        <v>1</v>
      </c>
      <c r="K20">
        <v>300</v>
      </c>
      <c r="L20">
        <v>50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1244</v>
      </c>
      <c r="AC20" t="s">
        <v>1245</v>
      </c>
      <c r="AD20" s="18" t="s">
        <v>988</v>
      </c>
      <c r="AE20" t="s">
        <v>4</v>
      </c>
      <c r="AF20" t="s">
        <v>1</v>
      </c>
      <c r="AG20" t="s">
        <v>1</v>
      </c>
      <c r="AH20" t="s">
        <v>1414</v>
      </c>
      <c r="AI20" t="s">
        <v>1671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1414</v>
      </c>
      <c r="AP20" t="s">
        <v>1</v>
      </c>
      <c r="AQ20" t="s">
        <v>2</v>
      </c>
      <c r="AR20" t="s">
        <v>1</v>
      </c>
      <c r="AS20" t="s">
        <v>1</v>
      </c>
      <c r="AT20" t="s">
        <v>1</v>
      </c>
      <c r="AU20" t="s">
        <v>1</v>
      </c>
      <c r="AV20" t="s">
        <v>1</v>
      </c>
      <c r="AW20" t="s">
        <v>11</v>
      </c>
      <c r="AX20">
        <f>Tabla1[[#This Row],[precio del paquete]]-Tabla1[[#This Row],[Saldo_Deudor]]</f>
        <v>500</v>
      </c>
      <c r="AY20">
        <v>14300</v>
      </c>
      <c r="AZ20" t="s">
        <v>3</v>
      </c>
      <c r="BA20" t="s">
        <v>3</v>
      </c>
      <c r="BB20" t="s">
        <v>3</v>
      </c>
      <c r="BC20" t="s">
        <v>776</v>
      </c>
      <c r="BD20" t="s">
        <v>1842</v>
      </c>
      <c r="BE20" t="s">
        <v>3</v>
      </c>
      <c r="BF20" t="s">
        <v>3</v>
      </c>
      <c r="BG20" t="s">
        <v>3</v>
      </c>
      <c r="BH20" t="s">
        <v>3</v>
      </c>
      <c r="BI20" t="s">
        <v>3</v>
      </c>
      <c r="BJ20" t="s">
        <v>1936</v>
      </c>
      <c r="BK20" t="s">
        <v>3</v>
      </c>
      <c r="BL20" t="s">
        <v>132</v>
      </c>
      <c r="BM20" t="s">
        <v>1</v>
      </c>
      <c r="BN20">
        <f>Tabla1[[#This Row],[precio del paquete]]</f>
        <v>14800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1</v>
      </c>
      <c r="CD20" t="str" cm="1">
        <f t="array" aca="1" ref="CD20" ca="1">eConcatenar(A20:CB20,"|")</f>
        <v>t6grHbLpYqWtAXZB|CAR2022-0872|3|MEMORIAL|TABASCO|CARDENAS|CARDENAS|2022-10-02|14800|X|300|50|0|0|0|0|0|0|0|0|0|0|0|0|0|0|0|BEAUREGARD|NAREZ|KEYLA ELIZABETH|SOLTERO|X|X|CALLE RIO PICHUCALPO NUMERO 536|FRACCIONAMIENTO SAN PEDRO DE LOS CREDOS|X|X|X|X|X|CALLE RIO PICHUCALPO NUMERO 536|X|LUNES|X|X|X|X|X|DOMICILIO |500|14300|x|x|x|2022-10-02|2022-10-09|x|x|x|x|x|QWYNRBIY9KVZQO|x|HOMBRE|X|14800|X|X|X|X|X|X|X|X|CARDENAS|X|X|X|X|X</v>
      </c>
    </row>
    <row r="21" spans="1:82" x14ac:dyDescent="0.25">
      <c r="A21" t="s">
        <v>155</v>
      </c>
      <c r="B21" t="s">
        <v>466</v>
      </c>
      <c r="C21">
        <v>3</v>
      </c>
      <c r="D21" t="s">
        <v>762</v>
      </c>
      <c r="E21" t="s">
        <v>1398</v>
      </c>
      <c r="F21" t="s">
        <v>768</v>
      </c>
      <c r="G21" t="s">
        <v>768</v>
      </c>
      <c r="H21" t="s">
        <v>775</v>
      </c>
      <c r="I21">
        <v>24500</v>
      </c>
      <c r="J21">
        <v>2175</v>
      </c>
      <c r="K21">
        <v>200</v>
      </c>
      <c r="L21">
        <v>50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1185</v>
      </c>
      <c r="AC21" t="s">
        <v>1242</v>
      </c>
      <c r="AD21" s="18" t="s">
        <v>989</v>
      </c>
      <c r="AE21" t="s">
        <v>4</v>
      </c>
      <c r="AF21" t="s">
        <v>1</v>
      </c>
      <c r="AG21" t="s">
        <v>1</v>
      </c>
      <c r="AH21" t="s">
        <v>1415</v>
      </c>
      <c r="AI21" t="s">
        <v>1672</v>
      </c>
      <c r="AJ21" t="s">
        <v>1</v>
      </c>
      <c r="AK21" t="s">
        <v>1</v>
      </c>
      <c r="AL21" t="s">
        <v>1</v>
      </c>
      <c r="AM21" t="s">
        <v>1</v>
      </c>
      <c r="AN21" t="s">
        <v>1</v>
      </c>
      <c r="AO21" t="s">
        <v>1415</v>
      </c>
      <c r="AP21" t="s">
        <v>1</v>
      </c>
      <c r="AQ21" t="s">
        <v>2</v>
      </c>
      <c r="AR21" t="s">
        <v>1</v>
      </c>
      <c r="AS21" t="s">
        <v>1</v>
      </c>
      <c r="AT21" t="s">
        <v>1</v>
      </c>
      <c r="AU21" t="s">
        <v>1</v>
      </c>
      <c r="AV21" t="s">
        <v>1</v>
      </c>
      <c r="AW21" t="s">
        <v>11</v>
      </c>
      <c r="AX21">
        <f>Tabla1[[#This Row],[precio del paquete]]-Tabla1[[#This Row],[Saldo_Deudor]]</f>
        <v>2375</v>
      </c>
      <c r="AY21">
        <v>22125</v>
      </c>
      <c r="AZ21" t="s">
        <v>3</v>
      </c>
      <c r="BA21" t="s">
        <v>3</v>
      </c>
      <c r="BB21" t="s">
        <v>3</v>
      </c>
      <c r="BC21" t="s">
        <v>773</v>
      </c>
      <c r="BD21" t="s">
        <v>1879</v>
      </c>
      <c r="BE21" t="s">
        <v>3</v>
      </c>
      <c r="BF21" t="s">
        <v>3</v>
      </c>
      <c r="BG21" t="s">
        <v>3</v>
      </c>
      <c r="BH21" t="s">
        <v>3</v>
      </c>
      <c r="BI21" t="s">
        <v>3</v>
      </c>
      <c r="BJ21" t="s">
        <v>1936</v>
      </c>
      <c r="BK21" t="s">
        <v>3</v>
      </c>
      <c r="BL21" t="s">
        <v>132</v>
      </c>
      <c r="BM21" t="s">
        <v>1</v>
      </c>
      <c r="BN21">
        <f>Tabla1[[#This Row],[precio del paquete]]</f>
        <v>24500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1</v>
      </c>
      <c r="CD21" t="str" cm="1">
        <f t="array" aca="1" ref="CD21" ca="1">eConcatenar(A21:CB21,"|")</f>
        <v>uWghJH7d1BvC73CO|CAR2022-0845|3|DIGNITY|TABASCO|HUIMANGUILLO|HUIMANGUILLO|2022-09-02|24500|2175|200|50|1|0|0|0|0|0|0|0|0|0|0|0|0|0|0|RODRIGUEZ|ROJAS|CATALINA|SOLTERO|X|X|CALLE SIN NOMBRE|EJIDO GENARO VAZQUEZ ROJAS|X|X|X|X|X|CALLE SIN NOMBRE|X|LUNES|X|X|X|X|X|DOMICILIO |2375|22125|x|x|x|2022-07-02|2022-07-09|x|x|x|x|x|QWYNRBIY9KVZQO|x|HOMBRE|X|24500|X|X|X|X|X|X|X|X|CARDENAS|X|X|X|X|X</v>
      </c>
    </row>
    <row r="22" spans="1:82" x14ac:dyDescent="0.25">
      <c r="A22" t="s">
        <v>156</v>
      </c>
      <c r="B22" t="s">
        <v>467</v>
      </c>
      <c r="C22">
        <v>3</v>
      </c>
      <c r="D22" t="s">
        <v>761</v>
      </c>
      <c r="E22" t="s">
        <v>1398</v>
      </c>
      <c r="F22" t="s">
        <v>768</v>
      </c>
      <c r="G22" t="s">
        <v>768</v>
      </c>
      <c r="H22" t="s">
        <v>777</v>
      </c>
      <c r="I22">
        <v>14800</v>
      </c>
      <c r="J22" t="s">
        <v>1</v>
      </c>
      <c r="K22">
        <v>100</v>
      </c>
      <c r="L22">
        <v>50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1246</v>
      </c>
      <c r="AC22" t="s">
        <v>1247</v>
      </c>
      <c r="AD22" s="18" t="s">
        <v>990</v>
      </c>
      <c r="AE22" t="s">
        <v>4</v>
      </c>
      <c r="AF22" t="s">
        <v>1</v>
      </c>
      <c r="AG22" t="s">
        <v>1</v>
      </c>
      <c r="AH22" t="s">
        <v>1415</v>
      </c>
      <c r="AI22" t="s">
        <v>1672</v>
      </c>
      <c r="AJ22" t="s">
        <v>1</v>
      </c>
      <c r="AK22" t="s">
        <v>1</v>
      </c>
      <c r="AL22" t="s">
        <v>1</v>
      </c>
      <c r="AM22" t="s">
        <v>1</v>
      </c>
      <c r="AN22" t="s">
        <v>1</v>
      </c>
      <c r="AO22" t="s">
        <v>1415</v>
      </c>
      <c r="AP22" t="s">
        <v>1</v>
      </c>
      <c r="AQ22" t="s">
        <v>2</v>
      </c>
      <c r="AR22" t="s">
        <v>1</v>
      </c>
      <c r="AS22" t="s">
        <v>1</v>
      </c>
      <c r="AT22" t="s">
        <v>1</v>
      </c>
      <c r="AU22" t="s">
        <v>1</v>
      </c>
      <c r="AV22" t="s">
        <v>1</v>
      </c>
      <c r="AW22" t="s">
        <v>11</v>
      </c>
      <c r="AX22">
        <f>Tabla1[[#This Row],[precio del paquete]]-Tabla1[[#This Row],[Saldo_Deudor]]</f>
        <v>300</v>
      </c>
      <c r="AY22">
        <v>14500</v>
      </c>
      <c r="AZ22" t="s">
        <v>3</v>
      </c>
      <c r="BA22" t="s">
        <v>3</v>
      </c>
      <c r="BB22" t="s">
        <v>3</v>
      </c>
      <c r="BC22" t="s">
        <v>1836</v>
      </c>
      <c r="BD22" t="s">
        <v>1882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t="s">
        <v>1936</v>
      </c>
      <c r="BK22" t="s">
        <v>3</v>
      </c>
      <c r="BL22" t="s">
        <v>132</v>
      </c>
      <c r="BM22" t="s">
        <v>1</v>
      </c>
      <c r="BN22">
        <f>Tabla1[[#This Row],[precio del paquete]]</f>
        <v>14800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D22" t="str" cm="1">
        <f t="array" aca="1" ref="CD22" ca="1">eConcatenar(A22:CB22,"|")</f>
        <v>sFMYCjmbv5W2Qwq0|CAR2022-0834|3|MEMORIAL|TABASCO|HUIMANGUILLO|HUIMANGUILLO|2022-08-02|14800|X|100|50|1|0|0|0|0|0|0|0|0|0|0|0|0|0|0|MORALES|SANCHEZ|AMALIE|SOLTERO|X|X|CALLE SIN NOMBRE|EJIDO GENARO VAZQUEZ ROJAS|X|X|X|X|X|CALLE SIN NOMBRE|X|LUNES|X|X|X|X|X|DOMICILIO |300|14500|x|x|x|2022-02-15|2022-02-22|x|x|x|x|x|QWYNRBIY9KVZQO|x|HOMBRE|X|14800|X|X|X|X|X|X|X|X|CARDENAS|X|X|X|X|X</v>
      </c>
    </row>
    <row r="23" spans="1:82" x14ac:dyDescent="0.25">
      <c r="A23" t="s">
        <v>157</v>
      </c>
      <c r="B23" t="s">
        <v>468</v>
      </c>
      <c r="C23">
        <v>3</v>
      </c>
      <c r="D23" t="s">
        <v>761</v>
      </c>
      <c r="E23" t="s">
        <v>1398</v>
      </c>
      <c r="F23" t="s">
        <v>0</v>
      </c>
      <c r="G23" t="s">
        <v>0</v>
      </c>
      <c r="H23" t="s">
        <v>777</v>
      </c>
      <c r="I23">
        <v>14800</v>
      </c>
      <c r="J23" t="s">
        <v>1</v>
      </c>
      <c r="K23">
        <v>100</v>
      </c>
      <c r="L23">
        <v>50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1248</v>
      </c>
      <c r="AC23" t="s">
        <v>7</v>
      </c>
      <c r="AD23" s="18" t="s">
        <v>991</v>
      </c>
      <c r="AE23" t="s">
        <v>4</v>
      </c>
      <c r="AF23" t="s">
        <v>1</v>
      </c>
      <c r="AG23" t="s">
        <v>1</v>
      </c>
      <c r="AH23" t="s">
        <v>1416</v>
      </c>
      <c r="AI23" t="s">
        <v>1673</v>
      </c>
      <c r="AJ23" t="s">
        <v>1</v>
      </c>
      <c r="AK23" t="s">
        <v>1</v>
      </c>
      <c r="AL23" t="s">
        <v>1</v>
      </c>
      <c r="AM23" t="s">
        <v>1</v>
      </c>
      <c r="AN23" t="s">
        <v>1</v>
      </c>
      <c r="AO23" t="s">
        <v>1416</v>
      </c>
      <c r="AP23" t="s">
        <v>1</v>
      </c>
      <c r="AQ23" t="s">
        <v>2</v>
      </c>
      <c r="AR23" t="s">
        <v>1</v>
      </c>
      <c r="AS23" t="s">
        <v>1</v>
      </c>
      <c r="AT23" t="s">
        <v>1</v>
      </c>
      <c r="AU23" t="s">
        <v>1</v>
      </c>
      <c r="AV23" t="s">
        <v>1</v>
      </c>
      <c r="AW23" t="s">
        <v>11</v>
      </c>
      <c r="AX23">
        <f>Tabla1[[#This Row],[precio del paquete]]-Tabla1[[#This Row],[Saldo_Deudor]]</f>
        <v>300</v>
      </c>
      <c r="AY23">
        <v>14500</v>
      </c>
      <c r="AZ23" t="s">
        <v>3</v>
      </c>
      <c r="BA23" t="s">
        <v>3</v>
      </c>
      <c r="BB23" t="s">
        <v>3</v>
      </c>
      <c r="BC23" t="s">
        <v>1837</v>
      </c>
      <c r="BD23" t="s">
        <v>1883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t="s">
        <v>1936</v>
      </c>
      <c r="BK23" t="s">
        <v>3</v>
      </c>
      <c r="BL23" t="s">
        <v>132</v>
      </c>
      <c r="BM23" t="s">
        <v>1</v>
      </c>
      <c r="BN23">
        <f>Tabla1[[#This Row],[precio del paquete]]</f>
        <v>14800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1</v>
      </c>
      <c r="CD23" t="str" cm="1">
        <f t="array" aca="1" ref="CD23" ca="1">eConcatenar(A23:CB23,"|")</f>
        <v>eYfynH5VPver4nRF|CAR2022-0840|3|MEMORIAL|TABASCO|CARDENAS|CARDENAS|2022-08-02|14800|X|100|50|0|0|0|0|0|0|0|0|0|0|0|0|0|0|0|PEREZ|LOPEZ|CAROLINA|SOLTERO|X|X|CARRETERA SANTUARIO CASA AZUL|EJIDO POZA REDONDA SEGUNDA SECCION|X|X|X|X|X|CARRETERA SANTUARIO CASA AZUL|X|LUNES|X|X|X|X|X|DOMICILIO |300|14500|x|x|x|2022-02-16|2022-02-23|x|x|x|x|x|QWYNRBIY9KVZQO|x|HOMBRE|X|14800|X|X|X|X|X|X|X|X|CARDENAS|X|X|X|X|X</v>
      </c>
    </row>
    <row r="24" spans="1:82" x14ac:dyDescent="0.25">
      <c r="A24" t="s">
        <v>158</v>
      </c>
      <c r="B24" t="s">
        <v>469</v>
      </c>
      <c r="C24">
        <v>3</v>
      </c>
      <c r="D24" t="s">
        <v>761</v>
      </c>
      <c r="E24" t="s">
        <v>1398</v>
      </c>
      <c r="F24" t="s">
        <v>0</v>
      </c>
      <c r="G24" t="s">
        <v>0</v>
      </c>
      <c r="H24" t="s">
        <v>778</v>
      </c>
      <c r="I24">
        <v>14800</v>
      </c>
      <c r="J24" t="s">
        <v>1</v>
      </c>
      <c r="K24">
        <v>50</v>
      </c>
      <c r="L24">
        <v>50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1249</v>
      </c>
      <c r="AC24" t="s">
        <v>1250</v>
      </c>
      <c r="AD24" s="18" t="s">
        <v>992</v>
      </c>
      <c r="AE24" t="s">
        <v>4</v>
      </c>
      <c r="AF24" t="s">
        <v>1</v>
      </c>
      <c r="AG24" t="s">
        <v>1</v>
      </c>
      <c r="AH24" t="s">
        <v>1417</v>
      </c>
      <c r="AI24" t="s">
        <v>1674</v>
      </c>
      <c r="AJ24" t="s">
        <v>1</v>
      </c>
      <c r="AK24" t="s">
        <v>1</v>
      </c>
      <c r="AL24" t="s">
        <v>1</v>
      </c>
      <c r="AM24" t="s">
        <v>1</v>
      </c>
      <c r="AN24" t="s">
        <v>1</v>
      </c>
      <c r="AO24" t="s">
        <v>1417</v>
      </c>
      <c r="AP24" t="s">
        <v>1</v>
      </c>
      <c r="AQ24" t="s">
        <v>2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11</v>
      </c>
      <c r="AX24">
        <f>Tabla1[[#This Row],[precio del paquete]]-Tabla1[[#This Row],[Saldo_Deudor]]</f>
        <v>150</v>
      </c>
      <c r="AY24">
        <v>14650</v>
      </c>
      <c r="AZ24" t="s">
        <v>3</v>
      </c>
      <c r="BA24" t="s">
        <v>3</v>
      </c>
      <c r="BB24" t="s">
        <v>3</v>
      </c>
      <c r="BC24" t="s">
        <v>1837</v>
      </c>
      <c r="BD24" t="s">
        <v>1883</v>
      </c>
      <c r="BE24" t="s">
        <v>3</v>
      </c>
      <c r="BF24" t="s">
        <v>3</v>
      </c>
      <c r="BG24" t="s">
        <v>3</v>
      </c>
      <c r="BH24" t="s">
        <v>3</v>
      </c>
      <c r="BI24" t="s">
        <v>3</v>
      </c>
      <c r="BJ24" t="s">
        <v>1936</v>
      </c>
      <c r="BK24" t="s">
        <v>3</v>
      </c>
      <c r="BL24" t="s">
        <v>132</v>
      </c>
      <c r="BM24" t="s">
        <v>1</v>
      </c>
      <c r="BN24">
        <f>Tabla1[[#This Row],[precio del paquete]]</f>
        <v>14800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1</v>
      </c>
      <c r="CD24" t="str" cm="1">
        <f t="array" aca="1" ref="CD24" ca="1">eConcatenar(A24:CB24,"|")</f>
        <v>EKd81yN0HDW0VBv3|CAR2022-0694|3|MEMORIAL|TABASCO|CARDENAS|CARDENAS|2022-04-02|14800|X|50|50|0|0|0|0|0|0|0|0|0|0|0|0|0|0|0|DE LA CRUZ|AGUILAR|JOSE|SOLTERO|X|X|CALLE 1 MANZANA 1 CASA NUMERO 3|POBLADO C 9 FRANCISCO I MADERO|X|X|X|X|X|CALLE 1 MANZANA 1 CASA NUMERO 3|X|LUNES|X|X|X|X|X|DOMICILIO |150|14650|x|x|x|2022-02-16|2022-02-23|x|x|x|x|x|QWYNRBIY9KVZQO|x|HOMBRE|X|14800|X|X|X|X|X|X|X|X|CARDENAS|X|X|X|X|X</v>
      </c>
    </row>
    <row r="25" spans="1:82" x14ac:dyDescent="0.25">
      <c r="A25" t="s">
        <v>159</v>
      </c>
      <c r="B25" t="s">
        <v>470</v>
      </c>
      <c r="C25">
        <v>3</v>
      </c>
      <c r="D25" t="s">
        <v>761</v>
      </c>
      <c r="E25" t="s">
        <v>1398</v>
      </c>
      <c r="F25" t="s">
        <v>0</v>
      </c>
      <c r="G25" t="s">
        <v>0</v>
      </c>
      <c r="H25" t="s">
        <v>779</v>
      </c>
      <c r="I25">
        <v>14800</v>
      </c>
      <c r="J25" t="s">
        <v>1</v>
      </c>
      <c r="K25">
        <v>100</v>
      </c>
      <c r="L25">
        <v>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1251</v>
      </c>
      <c r="AC25" t="s">
        <v>1252</v>
      </c>
      <c r="AD25" s="18" t="s">
        <v>993</v>
      </c>
      <c r="AE25" t="s">
        <v>4</v>
      </c>
      <c r="AF25" t="s">
        <v>1</v>
      </c>
      <c r="AG25" t="s">
        <v>1</v>
      </c>
      <c r="AH25" t="s">
        <v>1418</v>
      </c>
      <c r="AI25" t="s">
        <v>1675</v>
      </c>
      <c r="AJ25" t="s">
        <v>1</v>
      </c>
      <c r="AK25" t="s">
        <v>1</v>
      </c>
      <c r="AL25" t="s">
        <v>1</v>
      </c>
      <c r="AM25" t="s">
        <v>1</v>
      </c>
      <c r="AN25" t="s">
        <v>1</v>
      </c>
      <c r="AO25" t="s">
        <v>1418</v>
      </c>
      <c r="AP25" t="s">
        <v>1</v>
      </c>
      <c r="AQ25" t="s">
        <v>2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11</v>
      </c>
      <c r="AX25">
        <f>Tabla1[[#This Row],[precio del paquete]]-Tabla1[[#This Row],[Saldo_Deudor]]</f>
        <v>700</v>
      </c>
      <c r="AY25">
        <v>14100</v>
      </c>
      <c r="AZ25" t="s">
        <v>3</v>
      </c>
      <c r="BA25" t="s">
        <v>3</v>
      </c>
      <c r="BB25" t="s">
        <v>3</v>
      </c>
      <c r="BC25" t="s">
        <v>1837</v>
      </c>
      <c r="BD25" t="s">
        <v>1883</v>
      </c>
      <c r="BE25" t="s">
        <v>3</v>
      </c>
      <c r="BF25" t="s">
        <v>3</v>
      </c>
      <c r="BG25" t="s">
        <v>3</v>
      </c>
      <c r="BH25" t="s">
        <v>3</v>
      </c>
      <c r="BI25" t="s">
        <v>3</v>
      </c>
      <c r="BJ25" t="s">
        <v>1936</v>
      </c>
      <c r="BK25" t="s">
        <v>3</v>
      </c>
      <c r="BL25" t="s">
        <v>132</v>
      </c>
      <c r="BM25" t="s">
        <v>1</v>
      </c>
      <c r="BN25">
        <f>Tabla1[[#This Row],[precio del paquete]]</f>
        <v>14800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1</v>
      </c>
      <c r="CD25" t="str" cm="1">
        <f t="array" aca="1" ref="CD25" ca="1">eConcatenar(A25:CB25,"|")</f>
        <v>qep56x72PSPMfUoy|CAR2021-7684|3|MEMORIAL|TABASCO|CARDENAS|CARDENAS|2021-12-28|14800|X|100|50|0|0|0|0|0|0|0|0|0|0|0|0|0|0|0|JUAREZ|SANTIAGO|ANGEL|SOLTERO|X|X|CALLE 8 ANTES DEL PANTEON|POBLADO C 14 GENERAL PLUTARCO ELIAS CALLES|X|X|X|X|X|CALLE 8 ANTES DEL PANTEON|X|LUNES|X|X|X|X|X|DOMICILIO |700|14100|x|x|x|2022-02-16|2022-02-23|x|x|x|x|x|QWYNRBIY9KVZQO|x|HOMBRE|X|14800|X|X|X|X|X|X|X|X|CARDENAS|X|X|X|X|X</v>
      </c>
    </row>
    <row r="26" spans="1:82" x14ac:dyDescent="0.25">
      <c r="A26" t="s">
        <v>160</v>
      </c>
      <c r="B26" t="s">
        <v>471</v>
      </c>
      <c r="C26">
        <v>3</v>
      </c>
      <c r="D26" t="s">
        <v>761</v>
      </c>
      <c r="E26" t="s">
        <v>1398</v>
      </c>
      <c r="F26" t="s">
        <v>0</v>
      </c>
      <c r="G26" t="s">
        <v>0</v>
      </c>
      <c r="H26" t="s">
        <v>780</v>
      </c>
      <c r="I26">
        <v>14800</v>
      </c>
      <c r="J26" t="s">
        <v>1</v>
      </c>
      <c r="K26">
        <v>150</v>
      </c>
      <c r="L26">
        <v>50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1247</v>
      </c>
      <c r="AC26" t="s">
        <v>1253</v>
      </c>
      <c r="AD26" s="18" t="s">
        <v>994</v>
      </c>
      <c r="AE26" t="s">
        <v>4</v>
      </c>
      <c r="AF26" t="s">
        <v>1</v>
      </c>
      <c r="AG26" t="s">
        <v>1</v>
      </c>
      <c r="AH26" t="s">
        <v>1419</v>
      </c>
      <c r="AI26" t="s">
        <v>1676</v>
      </c>
      <c r="AJ26" t="s">
        <v>1</v>
      </c>
      <c r="AK26" t="s">
        <v>1</v>
      </c>
      <c r="AL26" t="s">
        <v>1</v>
      </c>
      <c r="AM26" t="s">
        <v>1</v>
      </c>
      <c r="AN26" t="s">
        <v>1</v>
      </c>
      <c r="AO26" t="s">
        <v>1419</v>
      </c>
      <c r="AP26" t="s">
        <v>1</v>
      </c>
      <c r="AQ26" t="s">
        <v>2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11</v>
      </c>
      <c r="AX26">
        <f>Tabla1[[#This Row],[precio del paquete]]-Tabla1[[#This Row],[Saldo_Deudor]]</f>
        <v>850</v>
      </c>
      <c r="AY26">
        <v>13950</v>
      </c>
      <c r="AZ26" t="s">
        <v>3</v>
      </c>
      <c r="BA26" t="s">
        <v>3</v>
      </c>
      <c r="BB26" t="s">
        <v>3</v>
      </c>
      <c r="BC26" t="s">
        <v>1837</v>
      </c>
      <c r="BD26" t="s">
        <v>1883</v>
      </c>
      <c r="BE26" t="s">
        <v>3</v>
      </c>
      <c r="BF26" t="s">
        <v>3</v>
      </c>
      <c r="BG26" t="s">
        <v>3</v>
      </c>
      <c r="BH26" t="s">
        <v>3</v>
      </c>
      <c r="BI26" t="s">
        <v>3</v>
      </c>
      <c r="BJ26" t="s">
        <v>1936</v>
      </c>
      <c r="BK26" t="s">
        <v>3</v>
      </c>
      <c r="BL26" t="s">
        <v>132</v>
      </c>
      <c r="BM26" t="s">
        <v>1</v>
      </c>
      <c r="BN26">
        <f>Tabla1[[#This Row],[precio del paquete]]</f>
        <v>14800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1</v>
      </c>
      <c r="CD26" t="str" cm="1">
        <f t="array" aca="1" ref="CD26" ca="1">eConcatenar(A26:CB26,"|")</f>
        <v>CLugUzkE0uE1FEgJ|CAR2021-7648|3|MEMORIAL|TABASCO|CARDENAS|CARDENAS|2022-12-22|14800|X|150|50|0|0|0|0|0|0|0|0|0|0|0|0|0|0|0|SANCHEZ|TRUJILLO|LEONOR|SOLTERO|X|X|CALLE 1 SIN NUMERO|POBLADO AL 27 EDUARDO CHAVEZ RAMIREZ|X|X|X|X|X|CALLE 1 SIN NUMERO|X|LUNES|X|X|X|X|X|DOMICILIO |850|13950|x|x|x|2022-02-16|2022-02-23|x|x|x|x|x|QWYNRBIY9KVZQO|x|HOMBRE|X|14800|X|X|X|X|X|X|X|X|CARDENAS|X|X|X|X|X</v>
      </c>
    </row>
    <row r="27" spans="1:82" x14ac:dyDescent="0.25">
      <c r="A27" t="s">
        <v>161</v>
      </c>
      <c r="B27" t="s">
        <v>472</v>
      </c>
      <c r="C27">
        <v>3</v>
      </c>
      <c r="D27" t="s">
        <v>761</v>
      </c>
      <c r="E27" t="s">
        <v>1398</v>
      </c>
      <c r="F27" t="s">
        <v>0</v>
      </c>
      <c r="G27" t="s">
        <v>0</v>
      </c>
      <c r="H27" t="s">
        <v>781</v>
      </c>
      <c r="I27">
        <v>14800</v>
      </c>
      <c r="J27" t="s">
        <v>1</v>
      </c>
      <c r="K27">
        <v>200</v>
      </c>
      <c r="L27">
        <v>50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1254</v>
      </c>
      <c r="AC27" t="s">
        <v>1255</v>
      </c>
      <c r="AD27" s="18" t="s">
        <v>995</v>
      </c>
      <c r="AE27" t="s">
        <v>4</v>
      </c>
      <c r="AF27" t="s">
        <v>1</v>
      </c>
      <c r="AG27" t="s">
        <v>1</v>
      </c>
      <c r="AH27" t="s">
        <v>1420</v>
      </c>
      <c r="AI27" t="s">
        <v>1674</v>
      </c>
      <c r="AJ27" t="s">
        <v>1</v>
      </c>
      <c r="AK27" t="s">
        <v>1</v>
      </c>
      <c r="AL27" t="s">
        <v>1</v>
      </c>
      <c r="AM27" t="s">
        <v>1</v>
      </c>
      <c r="AN27" t="s">
        <v>1</v>
      </c>
      <c r="AO27" t="s">
        <v>1420</v>
      </c>
      <c r="AP27" t="s">
        <v>1</v>
      </c>
      <c r="AQ27" t="s">
        <v>2</v>
      </c>
      <c r="AR27" t="s">
        <v>1</v>
      </c>
      <c r="AS27" t="s">
        <v>1</v>
      </c>
      <c r="AT27" t="s">
        <v>1</v>
      </c>
      <c r="AU27" t="s">
        <v>1</v>
      </c>
      <c r="AV27" t="s">
        <v>1</v>
      </c>
      <c r="AW27" t="s">
        <v>11</v>
      </c>
      <c r="AX27">
        <f>Tabla1[[#This Row],[precio del paquete]]-Tabla1[[#This Row],[Saldo_Deudor]]</f>
        <v>300</v>
      </c>
      <c r="AY27">
        <v>14500</v>
      </c>
      <c r="AZ27" t="s">
        <v>3</v>
      </c>
      <c r="BA27" t="s">
        <v>3</v>
      </c>
      <c r="BB27" t="s">
        <v>3</v>
      </c>
      <c r="BC27" t="s">
        <v>1837</v>
      </c>
      <c r="BD27" t="s">
        <v>1883</v>
      </c>
      <c r="BE27" t="s">
        <v>3</v>
      </c>
      <c r="BF27" t="s">
        <v>3</v>
      </c>
      <c r="BG27" t="s">
        <v>3</v>
      </c>
      <c r="BH27" t="s">
        <v>3</v>
      </c>
      <c r="BI27" t="s">
        <v>3</v>
      </c>
      <c r="BJ27" t="s">
        <v>1936</v>
      </c>
      <c r="BK27" t="s">
        <v>3</v>
      </c>
      <c r="BL27" t="s">
        <v>132</v>
      </c>
      <c r="BM27" t="s">
        <v>1</v>
      </c>
      <c r="BN27">
        <f>Tabla1[[#This Row],[precio del paquete]]</f>
        <v>14800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1</v>
      </c>
      <c r="CD27" t="str" cm="1">
        <f t="array" aca="1" ref="CD27" ca="1">eConcatenar(A27:CB27,"|")</f>
        <v>1SUw3q10K9ceAHUx|CAR2022-0829|3|MEMORIAL|TABASCO|CARDENAS|CARDENAS|2022-08-01|14800|X|200|50|1|0|0|0|0|0|0|0|0|0|0|0|0|0|0|LAZARO|CORDOVA|JACINTO|SOLTERO|X|X|CALLE EMILIANO ZAPATA NUMERO 71 CALLE 2 MANZANA 20 LOTE 32|POBLADO C 9 FRANCISCO I MADERO|X|X|X|X|X|CALLE EMILIANO ZAPATA NUMERO 71 CALLE 2 MANZANA 20 LOTE 32|X|LUNES|X|X|X|X|X|DOMICILIO |300|14500|x|x|x|2022-02-16|2022-02-23|x|x|x|x|x|QWYNRBIY9KVZQO|x|HOMBRE|X|14800|X|X|X|X|X|X|X|X|CARDENAS|X|X|X|X|X</v>
      </c>
    </row>
    <row r="28" spans="1:82" x14ac:dyDescent="0.25">
      <c r="A28" t="s">
        <v>162</v>
      </c>
      <c r="B28" t="s">
        <v>473</v>
      </c>
      <c r="C28">
        <v>3</v>
      </c>
      <c r="D28" t="s">
        <v>761</v>
      </c>
      <c r="E28" t="s">
        <v>1398</v>
      </c>
      <c r="F28" t="s">
        <v>0</v>
      </c>
      <c r="G28" t="s">
        <v>0</v>
      </c>
      <c r="H28" t="s">
        <v>782</v>
      </c>
      <c r="I28">
        <v>14800</v>
      </c>
      <c r="J28" t="s">
        <v>1</v>
      </c>
      <c r="K28">
        <v>100</v>
      </c>
      <c r="L28">
        <v>50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1227</v>
      </c>
      <c r="AC28" t="s">
        <v>1256</v>
      </c>
      <c r="AD28" s="18" t="s">
        <v>996</v>
      </c>
      <c r="AE28" t="s">
        <v>4</v>
      </c>
      <c r="AF28" t="s">
        <v>1</v>
      </c>
      <c r="AG28" t="s">
        <v>1</v>
      </c>
      <c r="AH28" t="s">
        <v>1421</v>
      </c>
      <c r="AI28" t="s">
        <v>1675</v>
      </c>
      <c r="AJ28" t="s">
        <v>1</v>
      </c>
      <c r="AK28" t="s">
        <v>1</v>
      </c>
      <c r="AL28" t="s">
        <v>1</v>
      </c>
      <c r="AM28" t="s">
        <v>1</v>
      </c>
      <c r="AN28" t="s">
        <v>1</v>
      </c>
      <c r="AO28" t="s">
        <v>1421</v>
      </c>
      <c r="AP28" t="s">
        <v>1</v>
      </c>
      <c r="AQ28" t="s">
        <v>2</v>
      </c>
      <c r="AR28" t="s">
        <v>1</v>
      </c>
      <c r="AS28" t="s">
        <v>1</v>
      </c>
      <c r="AT28" t="s">
        <v>1</v>
      </c>
      <c r="AU28" t="s">
        <v>1</v>
      </c>
      <c r="AV28" t="s">
        <v>1</v>
      </c>
      <c r="AW28" t="s">
        <v>11</v>
      </c>
      <c r="AX28">
        <f>Tabla1[[#This Row],[precio del paquete]]-Tabla1[[#This Row],[Saldo_Deudor]]</f>
        <v>900</v>
      </c>
      <c r="AY28">
        <v>13900</v>
      </c>
      <c r="AZ28" t="s">
        <v>3</v>
      </c>
      <c r="BA28" t="s">
        <v>3</v>
      </c>
      <c r="BB28" t="s">
        <v>3</v>
      </c>
      <c r="BC28" t="s">
        <v>1837</v>
      </c>
      <c r="BD28" t="s">
        <v>1883</v>
      </c>
      <c r="BE28" t="s">
        <v>3</v>
      </c>
      <c r="BF28" t="s">
        <v>3</v>
      </c>
      <c r="BG28" t="s">
        <v>3</v>
      </c>
      <c r="BH28" t="s">
        <v>3</v>
      </c>
      <c r="BI28" t="s">
        <v>3</v>
      </c>
      <c r="BJ28" t="s">
        <v>1936</v>
      </c>
      <c r="BK28" t="s">
        <v>3</v>
      </c>
      <c r="BL28" t="s">
        <v>132</v>
      </c>
      <c r="BM28" t="s">
        <v>1</v>
      </c>
      <c r="BN28">
        <f>Tabla1[[#This Row],[precio del paquete]]</f>
        <v>14800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D28" t="str" cm="1">
        <f t="array" aca="1" ref="CD28" ca="1">eConcatenar(A28:CB28,"|")</f>
        <v>QD0krJzKg967sQue|CAR2021-7662|3|MEMORIAL|TABASCO|CARDENAS|CARDENAS|2021-12-24|14800|X|100|50|1|0|0|0|0|0|0|0|0|0|0|0|0|0|0|GARCIA|OLAN|JOSE GUADALUPE|SOLTERO|X|X|CALLE 3 NUMERO 112|POBLADO C 14 GENERAL PLUTARCO ELIAS CALLES|X|X|X|X|X|CALLE 3 NUMERO 112|X|LUNES|X|X|X|X|X|DOMICILIO |900|13900|x|x|x|2022-02-16|2022-02-23|x|x|x|x|x|QWYNRBIY9KVZQO|x|HOMBRE|X|14800|X|X|X|X|X|X|X|X|CARDENAS|X|X|X|X|X</v>
      </c>
    </row>
    <row r="29" spans="1:82" x14ac:dyDescent="0.25">
      <c r="A29" t="s">
        <v>163</v>
      </c>
      <c r="B29" t="s">
        <v>474</v>
      </c>
      <c r="C29">
        <v>3</v>
      </c>
      <c r="D29" t="s">
        <v>761</v>
      </c>
      <c r="E29" t="s">
        <v>1398</v>
      </c>
      <c r="F29" t="s">
        <v>0</v>
      </c>
      <c r="G29" t="s">
        <v>0</v>
      </c>
      <c r="H29" t="s">
        <v>782</v>
      </c>
      <c r="I29">
        <v>14800</v>
      </c>
      <c r="J29" t="s">
        <v>1</v>
      </c>
      <c r="K29">
        <v>200</v>
      </c>
      <c r="L29">
        <v>50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1185</v>
      </c>
      <c r="AC29" t="s">
        <v>1257</v>
      </c>
      <c r="AD29" s="18" t="s">
        <v>997</v>
      </c>
      <c r="AE29" t="s">
        <v>4</v>
      </c>
      <c r="AF29" t="s">
        <v>1</v>
      </c>
      <c r="AG29" t="s">
        <v>1</v>
      </c>
      <c r="AH29" t="s">
        <v>1422</v>
      </c>
      <c r="AI29" t="s">
        <v>1675</v>
      </c>
      <c r="AJ29" t="s">
        <v>1</v>
      </c>
      <c r="AK29" t="s">
        <v>1</v>
      </c>
      <c r="AL29" t="s">
        <v>1</v>
      </c>
      <c r="AM29" t="s">
        <v>1</v>
      </c>
      <c r="AN29" t="s">
        <v>1</v>
      </c>
      <c r="AO29" t="s">
        <v>1422</v>
      </c>
      <c r="AP29" t="s">
        <v>1</v>
      </c>
      <c r="AQ29" t="s">
        <v>2</v>
      </c>
      <c r="AR29" t="s">
        <v>1</v>
      </c>
      <c r="AS29" t="s">
        <v>1</v>
      </c>
      <c r="AT29" t="s">
        <v>1</v>
      </c>
      <c r="AU29" t="s">
        <v>1</v>
      </c>
      <c r="AV29" t="s">
        <v>1</v>
      </c>
      <c r="AW29" t="s">
        <v>11</v>
      </c>
      <c r="AX29">
        <f>Tabla1[[#This Row],[precio del paquete]]-Tabla1[[#This Row],[Saldo_Deudor]]</f>
        <v>850</v>
      </c>
      <c r="AY29">
        <v>13950</v>
      </c>
      <c r="AZ29" t="s">
        <v>3</v>
      </c>
      <c r="BA29" t="s">
        <v>3</v>
      </c>
      <c r="BB29" t="s">
        <v>3</v>
      </c>
      <c r="BC29" t="s">
        <v>1837</v>
      </c>
      <c r="BD29" t="s">
        <v>1883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1936</v>
      </c>
      <c r="BK29" t="s">
        <v>3</v>
      </c>
      <c r="BL29" t="s">
        <v>132</v>
      </c>
      <c r="BM29" t="s">
        <v>1</v>
      </c>
      <c r="BN29">
        <f>Tabla1[[#This Row],[precio del paquete]]</f>
        <v>14800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1</v>
      </c>
      <c r="CD29" t="str" cm="1">
        <f t="array" aca="1" ref="CD29" ca="1">eConcatenar(A29:CB29,"|")</f>
        <v>Cn2rQbgmuDQwWwIS|CAR2021-7665|3|MEMORIAL|TABASCO|CARDENAS|CARDENAS|2021-12-24|14800|X|200|50|1|0|0|0|0|0|0|0|0|0|0|0|0|0|0|RODRIGUEZ|ZAPATA|MARISOL|SOLTERO|X|X|CALLE 3 CASA NUMERO 17|POBLADO C 14 GENERAL PLUTARCO ELIAS CALLES|X|X|X|X|X|CALLE 3 CASA NUMERO 17|X|LUNES|X|X|X|X|X|DOMICILIO |850|13950|x|x|x|2022-02-16|2022-02-23|x|x|x|x|x|QWYNRBIY9KVZQO|x|HOMBRE|X|14800|X|X|X|X|X|X|X|X|CARDENAS|X|X|X|X|X</v>
      </c>
    </row>
    <row r="30" spans="1:82" x14ac:dyDescent="0.25">
      <c r="A30" t="s">
        <v>164</v>
      </c>
      <c r="B30" t="s">
        <v>475</v>
      </c>
      <c r="C30">
        <v>3</v>
      </c>
      <c r="D30" t="s">
        <v>761</v>
      </c>
      <c r="E30" t="s">
        <v>1398</v>
      </c>
      <c r="F30" t="s">
        <v>0</v>
      </c>
      <c r="G30" t="s">
        <v>0</v>
      </c>
      <c r="H30" t="s">
        <v>783</v>
      </c>
      <c r="I30">
        <v>14800</v>
      </c>
      <c r="J30" t="s">
        <v>1</v>
      </c>
      <c r="K30">
        <v>200</v>
      </c>
      <c r="L30">
        <v>50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1258</v>
      </c>
      <c r="AC30" t="s">
        <v>1234</v>
      </c>
      <c r="AD30" s="18" t="s">
        <v>998</v>
      </c>
      <c r="AE30" t="s">
        <v>4</v>
      </c>
      <c r="AF30" t="s">
        <v>1</v>
      </c>
      <c r="AG30" t="s">
        <v>1</v>
      </c>
      <c r="AH30" t="s">
        <v>1423</v>
      </c>
      <c r="AI30" t="s">
        <v>1677</v>
      </c>
      <c r="AJ30" t="s">
        <v>1</v>
      </c>
      <c r="AK30" t="s">
        <v>1</v>
      </c>
      <c r="AL30" t="s">
        <v>1</v>
      </c>
      <c r="AM30" t="s">
        <v>1</v>
      </c>
      <c r="AN30" t="s">
        <v>1</v>
      </c>
      <c r="AO30" t="s">
        <v>1423</v>
      </c>
      <c r="AP30" t="s">
        <v>1</v>
      </c>
      <c r="AQ30" t="s">
        <v>2</v>
      </c>
      <c r="AR30" t="s">
        <v>1</v>
      </c>
      <c r="AS30" t="s">
        <v>1</v>
      </c>
      <c r="AT30" t="s">
        <v>1</v>
      </c>
      <c r="AU30" t="s">
        <v>1</v>
      </c>
      <c r="AV30" t="s">
        <v>1</v>
      </c>
      <c r="AW30" t="s">
        <v>11</v>
      </c>
      <c r="AX30">
        <f>Tabla1[[#This Row],[precio del paquete]]-Tabla1[[#This Row],[Saldo_Deudor]]</f>
        <v>0</v>
      </c>
      <c r="AY30">
        <v>14800</v>
      </c>
      <c r="AZ30" t="s">
        <v>3</v>
      </c>
      <c r="BA30" t="s">
        <v>3</v>
      </c>
      <c r="BB30" t="s">
        <v>3</v>
      </c>
      <c r="BC30" t="s">
        <v>1837</v>
      </c>
      <c r="BD30" t="s">
        <v>1883</v>
      </c>
      <c r="BE30" t="s">
        <v>3</v>
      </c>
      <c r="BF30" t="s">
        <v>3</v>
      </c>
      <c r="BG30" t="s">
        <v>3</v>
      </c>
      <c r="BH30" t="s">
        <v>3</v>
      </c>
      <c r="BI30" t="s">
        <v>3</v>
      </c>
      <c r="BJ30" t="s">
        <v>1936</v>
      </c>
      <c r="BK30" t="s">
        <v>3</v>
      </c>
      <c r="BL30" t="s">
        <v>132</v>
      </c>
      <c r="BM30" t="s">
        <v>1</v>
      </c>
      <c r="BN30">
        <f>Tabla1[[#This Row],[precio del paquete]]</f>
        <v>14800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D30" t="str" cm="1">
        <f t="array" aca="1" ref="CD30" ca="1">eConcatenar(A30:CB30,"|")</f>
        <v>ylaJQKBXpCTddWaH|CAR2022-0005|3|MEMORIAL|TABASCO|CARDENAS|CARDENAS|2022-05-01|14800|X|200|50|1|0|0|0|0|0|0|0|0|0|0|0|0|0|0|GAMAS|PALMA|MARTHA|SOLTERO|X|X|CALLE 9 NUMERO 168|POBLADO C 27 EDUARDO CHAVEZ|X|X|X|X|X|CALLE 9 NUMERO 168|X|LUNES|X|X|X|X|X|DOMICILIO |0|14800|x|x|x|2022-02-16|2022-02-23|x|x|x|x|x|QWYNRBIY9KVZQO|x|HOMBRE|X|14800|X|X|X|X|X|X|X|X|CARDENAS|X|X|X|X|X</v>
      </c>
    </row>
    <row r="31" spans="1:82" x14ac:dyDescent="0.25">
      <c r="A31" t="s">
        <v>165</v>
      </c>
      <c r="B31" t="s">
        <v>476</v>
      </c>
      <c r="C31">
        <v>3</v>
      </c>
      <c r="D31" t="s">
        <v>761</v>
      </c>
      <c r="E31" t="s">
        <v>1398</v>
      </c>
      <c r="F31" t="s">
        <v>0</v>
      </c>
      <c r="G31" t="s">
        <v>0</v>
      </c>
      <c r="H31" t="s">
        <v>779</v>
      </c>
      <c r="I31">
        <v>14800</v>
      </c>
      <c r="J31" t="s">
        <v>1</v>
      </c>
      <c r="K31">
        <v>200</v>
      </c>
      <c r="L31">
        <v>50</v>
      </c>
      <c r="M31">
        <v>2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1227</v>
      </c>
      <c r="AC31" t="s">
        <v>1251</v>
      </c>
      <c r="AD31" s="18" t="s">
        <v>999</v>
      </c>
      <c r="AE31" t="s">
        <v>4</v>
      </c>
      <c r="AF31" t="s">
        <v>1</v>
      </c>
      <c r="AG31" t="s">
        <v>1</v>
      </c>
      <c r="AH31" t="s">
        <v>1424</v>
      </c>
      <c r="AI31" t="s">
        <v>1675</v>
      </c>
      <c r="AJ31" t="s">
        <v>1</v>
      </c>
      <c r="AK31" t="s">
        <v>1</v>
      </c>
      <c r="AL31" t="s">
        <v>1</v>
      </c>
      <c r="AM31" t="s">
        <v>1</v>
      </c>
      <c r="AN31" t="s">
        <v>1</v>
      </c>
      <c r="AO31" t="s">
        <v>1424</v>
      </c>
      <c r="AP31" t="s">
        <v>1</v>
      </c>
      <c r="AQ31" t="s">
        <v>2</v>
      </c>
      <c r="AR31" t="s">
        <v>1</v>
      </c>
      <c r="AS31" t="s">
        <v>1</v>
      </c>
      <c r="AT31" t="s">
        <v>1</v>
      </c>
      <c r="AU31" t="s">
        <v>1</v>
      </c>
      <c r="AV31" t="s">
        <v>1</v>
      </c>
      <c r="AW31" t="s">
        <v>11</v>
      </c>
      <c r="AX31">
        <f>Tabla1[[#This Row],[precio del paquete]]-Tabla1[[#This Row],[Saldo_Deudor]]</f>
        <v>700</v>
      </c>
      <c r="AY31">
        <v>14100</v>
      </c>
      <c r="AZ31" t="s">
        <v>3</v>
      </c>
      <c r="BA31" t="s">
        <v>3</v>
      </c>
      <c r="BB31" t="s">
        <v>3</v>
      </c>
      <c r="BC31" t="s">
        <v>1837</v>
      </c>
      <c r="BD31" t="s">
        <v>1883</v>
      </c>
      <c r="BE31" t="s">
        <v>3</v>
      </c>
      <c r="BF31" t="s">
        <v>3</v>
      </c>
      <c r="BG31" t="s">
        <v>3</v>
      </c>
      <c r="BH31" t="s">
        <v>3</v>
      </c>
      <c r="BI31" t="s">
        <v>3</v>
      </c>
      <c r="BJ31" t="s">
        <v>1936</v>
      </c>
      <c r="BK31" t="s">
        <v>3</v>
      </c>
      <c r="BL31" t="s">
        <v>132</v>
      </c>
      <c r="BM31" t="s">
        <v>1</v>
      </c>
      <c r="BN31">
        <f>Tabla1[[#This Row],[precio del paquete]]</f>
        <v>14800</v>
      </c>
      <c r="BO31" t="s">
        <v>1</v>
      </c>
      <c r="BP31" t="s">
        <v>1</v>
      </c>
      <c r="BQ31" t="s">
        <v>1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1</v>
      </c>
      <c r="CD31" t="str" cm="1">
        <f t="array" aca="1" ref="CD31" ca="1">eConcatenar(A31:CB31,"|")</f>
        <v>0fyI8MezTgtbjkZs|CAR2021-7683|3|MEMORIAL|TABASCO|CARDENAS|CARDENAS|2021-12-28|14800|X|200|50|2|0|0|0|0|0|0|0|0|0|0|0|0|0|0|GARCIA|JUAREZ|ESTELA|SOLTERO|X|X|ENFRENTE DE LA TIENDA DE ACCESORIO COLO ROSA|POBLADO C 14 GENERAL PLUTARCO ELIAS CALLES|X|X|X|X|X|ENFRENTE DE LA TIENDA DE ACCESORIO COLO ROSA|X|LUNES|X|X|X|X|X|DOMICILIO |700|14100|x|x|x|2022-02-16|2022-02-23|x|x|x|x|x|QWYNRBIY9KVZQO|x|HOMBRE|X|14800|X|X|X|X|X|X|X|X|CARDENAS|X|X|X|X|X</v>
      </c>
    </row>
    <row r="32" spans="1:82" x14ac:dyDescent="0.25">
      <c r="A32" t="s">
        <v>166</v>
      </c>
      <c r="B32" t="s">
        <v>477</v>
      </c>
      <c r="C32">
        <v>3</v>
      </c>
      <c r="D32" t="s">
        <v>762</v>
      </c>
      <c r="E32" t="s">
        <v>1398</v>
      </c>
      <c r="F32" t="s">
        <v>0</v>
      </c>
      <c r="G32" t="s">
        <v>0</v>
      </c>
      <c r="H32" t="s">
        <v>782</v>
      </c>
      <c r="I32">
        <v>24500</v>
      </c>
      <c r="J32" t="s">
        <v>1</v>
      </c>
      <c r="K32">
        <v>200</v>
      </c>
      <c r="L32">
        <v>50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1259</v>
      </c>
      <c r="AC32" t="s">
        <v>1255</v>
      </c>
      <c r="AD32" s="18" t="s">
        <v>1000</v>
      </c>
      <c r="AE32" t="s">
        <v>4</v>
      </c>
      <c r="AF32" t="s">
        <v>1</v>
      </c>
      <c r="AG32" t="s">
        <v>1</v>
      </c>
      <c r="AH32" t="s">
        <v>1425</v>
      </c>
      <c r="AI32" t="s">
        <v>1677</v>
      </c>
      <c r="AJ32" t="s">
        <v>1</v>
      </c>
      <c r="AK32" t="s">
        <v>1</v>
      </c>
      <c r="AL32" t="s">
        <v>1</v>
      </c>
      <c r="AM32" t="s">
        <v>1</v>
      </c>
      <c r="AN32" t="s">
        <v>1</v>
      </c>
      <c r="AO32" t="s">
        <v>1425</v>
      </c>
      <c r="AP32" t="s">
        <v>1</v>
      </c>
      <c r="AQ32" t="s">
        <v>2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11</v>
      </c>
      <c r="AX32">
        <f>Tabla1[[#This Row],[precio del paquete]]-Tabla1[[#This Row],[Saldo_Deudor]]</f>
        <v>600</v>
      </c>
      <c r="AY32">
        <v>23900</v>
      </c>
      <c r="AZ32" t="s">
        <v>3</v>
      </c>
      <c r="BA32" t="s">
        <v>3</v>
      </c>
      <c r="BB32" t="s">
        <v>3</v>
      </c>
      <c r="BC32" t="s">
        <v>1838</v>
      </c>
      <c r="BD32" t="s">
        <v>1884</v>
      </c>
      <c r="BE32" t="s">
        <v>3</v>
      </c>
      <c r="BF32" t="s">
        <v>3</v>
      </c>
      <c r="BG32" t="s">
        <v>3</v>
      </c>
      <c r="BH32" t="s">
        <v>3</v>
      </c>
      <c r="BI32" t="s">
        <v>3</v>
      </c>
      <c r="BJ32" t="s">
        <v>1936</v>
      </c>
      <c r="BK32" t="s">
        <v>3</v>
      </c>
      <c r="BL32" t="s">
        <v>132</v>
      </c>
      <c r="BM32" t="s">
        <v>1</v>
      </c>
      <c r="BN32">
        <f>Tabla1[[#This Row],[precio del paquete]]</f>
        <v>24500</v>
      </c>
      <c r="BO32" t="s">
        <v>1</v>
      </c>
      <c r="BP32" t="s">
        <v>1</v>
      </c>
      <c r="BQ32" t="s">
        <v>1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1</v>
      </c>
      <c r="CD32" t="str" cm="1">
        <f t="array" aca="1" ref="CD32" ca="1">eConcatenar(A32:CB32,"|")</f>
        <v>rH0eQLx6lNjDTY9Y|CAR2021-7667|3|DIGNITY|TABASCO|CARDENAS|CARDENAS|2021-12-24|24500|X|200|50|0|0|0|0|0|0|0|0|0|0|0|0|0|0|0|ZAMARA|CORDOVA|OFELIA|SOLTERO|X|X|CALLE 8 ZONA VERDE SIN NUMERO|POBLADO C 27 EDUARDO CHAVEZ|X|X|X|X|X|CALLE 8 ZONA VERDE SIN NUMERO|X|LUNES|X|X|X|X|X|DOMICILIO |600|23900|x|x|x|2022-06-01|2022-06-08|x|x|x|x|x|QWYNRBIY9KVZQO|x|HOMBRE|X|24500|X|X|X|X|X|X|X|X|CARDENAS|X|X|X|X|X</v>
      </c>
    </row>
    <row r="33" spans="1:82" x14ac:dyDescent="0.25">
      <c r="A33" t="s">
        <v>167</v>
      </c>
      <c r="B33" t="s">
        <v>478</v>
      </c>
      <c r="C33">
        <v>3</v>
      </c>
      <c r="D33" t="s">
        <v>761</v>
      </c>
      <c r="E33" t="s">
        <v>1398</v>
      </c>
      <c r="F33" t="s">
        <v>0</v>
      </c>
      <c r="G33" t="s">
        <v>0</v>
      </c>
      <c r="H33" t="s">
        <v>777</v>
      </c>
      <c r="I33">
        <v>14800</v>
      </c>
      <c r="J33" t="s">
        <v>1</v>
      </c>
      <c r="K33">
        <v>200</v>
      </c>
      <c r="L33">
        <v>50</v>
      </c>
      <c r="M33">
        <v>2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8</v>
      </c>
      <c r="AC33" t="s">
        <v>1260</v>
      </c>
      <c r="AD33" s="18" t="s">
        <v>1001</v>
      </c>
      <c r="AE33" t="s">
        <v>4</v>
      </c>
      <c r="AF33" t="s">
        <v>1</v>
      </c>
      <c r="AG33" t="s">
        <v>1</v>
      </c>
      <c r="AH33" t="s">
        <v>1426</v>
      </c>
      <c r="AI33" t="s">
        <v>1678</v>
      </c>
      <c r="AJ33" t="s">
        <v>1</v>
      </c>
      <c r="AK33" t="s">
        <v>1</v>
      </c>
      <c r="AL33" t="s">
        <v>1</v>
      </c>
      <c r="AM33" t="s">
        <v>1</v>
      </c>
      <c r="AN33" t="s">
        <v>1</v>
      </c>
      <c r="AO33" t="s">
        <v>1426</v>
      </c>
      <c r="AP33" t="s">
        <v>1</v>
      </c>
      <c r="AQ33" t="s">
        <v>2</v>
      </c>
      <c r="AR33" t="s">
        <v>1</v>
      </c>
      <c r="AS33" t="s">
        <v>1</v>
      </c>
      <c r="AT33" t="s">
        <v>1</v>
      </c>
      <c r="AU33" t="s">
        <v>1</v>
      </c>
      <c r="AV33" t="s">
        <v>1</v>
      </c>
      <c r="AW33" t="s">
        <v>11</v>
      </c>
      <c r="AX33">
        <f>Tabla1[[#This Row],[precio del paquete]]-Tabla1[[#This Row],[Saldo_Deudor]]</f>
        <v>200</v>
      </c>
      <c r="AY33">
        <v>14600</v>
      </c>
      <c r="AZ33" t="s">
        <v>3</v>
      </c>
      <c r="BA33" t="s">
        <v>3</v>
      </c>
      <c r="BB33" t="s">
        <v>3</v>
      </c>
      <c r="BC33" t="s">
        <v>777</v>
      </c>
      <c r="BD33" t="s">
        <v>1885</v>
      </c>
      <c r="BE33" t="s">
        <v>3</v>
      </c>
      <c r="BF33" t="s">
        <v>3</v>
      </c>
      <c r="BG33" t="s">
        <v>3</v>
      </c>
      <c r="BH33" t="s">
        <v>3</v>
      </c>
      <c r="BI33" t="s">
        <v>3</v>
      </c>
      <c r="BJ33" t="s">
        <v>1936</v>
      </c>
      <c r="BK33" t="s">
        <v>3</v>
      </c>
      <c r="BL33" t="s">
        <v>132</v>
      </c>
      <c r="BM33" t="s">
        <v>1</v>
      </c>
      <c r="BN33">
        <f>Tabla1[[#This Row],[precio del paquete]]</f>
        <v>14800</v>
      </c>
      <c r="BO33" t="s">
        <v>1</v>
      </c>
      <c r="BP33" t="s">
        <v>1</v>
      </c>
      <c r="BQ33" t="s">
        <v>1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1</v>
      </c>
      <c r="CD33" t="str" cm="1">
        <f t="array" aca="1" ref="CD33" ca="1">eConcatenar(A33:CB33,"|")</f>
        <v>d5GRcAyVDHKmj6kC|CAR2022-0831|3|MEMORIAL|TABASCO|CARDENAS|CARDENAS|2022-08-02|14800|X|200|50|2|0|0|0|0|0|0|0|0|0|0|0|0|0|0|GOMEZ|GONZALEZ|SERAPIO|SOLTERO|X|X|CARRETERA PRINCIPAL SIN NUMERO|EJIDO POZA REDONDA TERCERA SECCION|X|X|X|X|X|CARRETERA PRINCIPAL SIN NUMERO|X|LUNES|X|X|X|X|X|DOMICILIO |200|14600|x|x|x|2022-08-02|2022-08-09|x|x|x|x|x|QWYNRBIY9KVZQO|x|HOMBRE|X|14800|X|X|X|X|X|X|X|X|CARDENAS|X|X|X|X|X</v>
      </c>
    </row>
    <row r="34" spans="1:82" x14ac:dyDescent="0.25">
      <c r="A34" t="s">
        <v>168</v>
      </c>
      <c r="B34" t="s">
        <v>479</v>
      </c>
      <c r="C34">
        <v>3</v>
      </c>
      <c r="D34" t="s">
        <v>761</v>
      </c>
      <c r="E34" t="s">
        <v>1398</v>
      </c>
      <c r="F34" t="s">
        <v>0</v>
      </c>
      <c r="G34" t="s">
        <v>0</v>
      </c>
      <c r="H34" t="s">
        <v>779</v>
      </c>
      <c r="I34">
        <v>14800</v>
      </c>
      <c r="J34" t="s">
        <v>1</v>
      </c>
      <c r="K34">
        <v>200</v>
      </c>
      <c r="L34">
        <v>50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1261</v>
      </c>
      <c r="AC34" t="s">
        <v>1262</v>
      </c>
      <c r="AD34" s="18" t="s">
        <v>1002</v>
      </c>
      <c r="AE34" t="s">
        <v>4</v>
      </c>
      <c r="AF34" t="s">
        <v>1</v>
      </c>
      <c r="AG34" t="s">
        <v>1</v>
      </c>
      <c r="AH34" t="s">
        <v>1427</v>
      </c>
      <c r="AI34" t="s">
        <v>1675</v>
      </c>
      <c r="AJ34" t="s">
        <v>1</v>
      </c>
      <c r="AK34" t="s">
        <v>1</v>
      </c>
      <c r="AL34" t="s">
        <v>1</v>
      </c>
      <c r="AM34" t="s">
        <v>1</v>
      </c>
      <c r="AN34" t="s">
        <v>1</v>
      </c>
      <c r="AO34" t="s">
        <v>1427</v>
      </c>
      <c r="AP34" t="s">
        <v>1</v>
      </c>
      <c r="AQ34" t="s">
        <v>2</v>
      </c>
      <c r="AR34" t="s">
        <v>1</v>
      </c>
      <c r="AS34" t="s">
        <v>1</v>
      </c>
      <c r="AT34" t="s">
        <v>1</v>
      </c>
      <c r="AU34" t="s">
        <v>1</v>
      </c>
      <c r="AV34" t="s">
        <v>1</v>
      </c>
      <c r="AW34" t="s">
        <v>11</v>
      </c>
      <c r="AX34">
        <f>Tabla1[[#This Row],[precio del paquete]]-Tabla1[[#This Row],[Saldo_Deudor]]</f>
        <v>200</v>
      </c>
      <c r="AY34">
        <v>14600</v>
      </c>
      <c r="AZ34" t="s">
        <v>3</v>
      </c>
      <c r="BA34" t="s">
        <v>3</v>
      </c>
      <c r="BB34" t="s">
        <v>3</v>
      </c>
      <c r="BC34" t="s">
        <v>1839</v>
      </c>
      <c r="BD34" t="s">
        <v>1886</v>
      </c>
      <c r="BE34" t="s">
        <v>3</v>
      </c>
      <c r="BF34" t="s">
        <v>3</v>
      </c>
      <c r="BG34" t="s">
        <v>3</v>
      </c>
      <c r="BH34" t="s">
        <v>3</v>
      </c>
      <c r="BI34" t="s">
        <v>3</v>
      </c>
      <c r="BJ34" t="s">
        <v>1936</v>
      </c>
      <c r="BK34" t="s">
        <v>3</v>
      </c>
      <c r="BL34" t="s">
        <v>132</v>
      </c>
      <c r="BM34" t="s">
        <v>1</v>
      </c>
      <c r="BN34">
        <f>Tabla1[[#This Row],[precio del paquete]]</f>
        <v>14800</v>
      </c>
      <c r="BO34" t="s">
        <v>1</v>
      </c>
      <c r="BP34" t="s">
        <v>1</v>
      </c>
      <c r="BQ34" t="s">
        <v>1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D34" t="str" cm="1">
        <f t="array" aca="1" ref="CD34" ca="1">eConcatenar(A34:CB34,"|")</f>
        <v>tOKrSpEaSsnvmuB1|CAR2021-7682|3|MEMORIAL|TABASCO|CARDENAS|CARDENAS|2021-12-28|14800|X|200|50|2|0|0|0|0|0|0|0|0|0|0|0|0|0|0|GUZMAN|BICHEL|BENJAMIN|SOLTERO|X|X|CALLE ENTRE 3 Y 6 ZONA VERDE|POBLADO C 14 GENERAL PLUTARCO ELIAS CALLES|X|X|X|X|X|CALLE ENTRE 3 Y 6 ZONA VERDE|X|LUNES|X|X|X|X|X|DOMICILIO |200|14600|x|x|x|2022-01-28|2022-02-04|x|x|x|x|x|QWYNRBIY9KVZQO|x|HOMBRE|X|14800|X|X|X|X|X|X|X|X|CARDENAS|X|X|X|X|X</v>
      </c>
    </row>
    <row r="35" spans="1:82" x14ac:dyDescent="0.25">
      <c r="A35" t="s">
        <v>169</v>
      </c>
      <c r="B35" t="s">
        <v>480</v>
      </c>
      <c r="C35">
        <v>3</v>
      </c>
      <c r="D35" t="s">
        <v>761</v>
      </c>
      <c r="E35" t="s">
        <v>1398</v>
      </c>
      <c r="F35" t="s">
        <v>0</v>
      </c>
      <c r="G35" t="s">
        <v>0</v>
      </c>
      <c r="H35" t="s">
        <v>779</v>
      </c>
      <c r="I35">
        <v>14800</v>
      </c>
      <c r="J35" t="s">
        <v>1</v>
      </c>
      <c r="K35">
        <v>300</v>
      </c>
      <c r="L35">
        <v>50</v>
      </c>
      <c r="M35">
        <v>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1263</v>
      </c>
      <c r="AC35" t="s">
        <v>8</v>
      </c>
      <c r="AD35" s="18" t="s">
        <v>1003</v>
      </c>
      <c r="AE35" t="s">
        <v>4</v>
      </c>
      <c r="AF35" t="s">
        <v>1</v>
      </c>
      <c r="AG35" t="s">
        <v>1</v>
      </c>
      <c r="AH35" t="s">
        <v>1428</v>
      </c>
      <c r="AI35" t="s">
        <v>1675</v>
      </c>
      <c r="AJ35" t="s">
        <v>1</v>
      </c>
      <c r="AK35" t="s">
        <v>1</v>
      </c>
      <c r="AL35" t="s">
        <v>1</v>
      </c>
      <c r="AM35" t="s">
        <v>1</v>
      </c>
      <c r="AN35" t="s">
        <v>1</v>
      </c>
      <c r="AO35" t="s">
        <v>1428</v>
      </c>
      <c r="AP35" t="s">
        <v>1</v>
      </c>
      <c r="AQ35" t="s">
        <v>2</v>
      </c>
      <c r="AR35" t="s">
        <v>1</v>
      </c>
      <c r="AS35" t="s">
        <v>1</v>
      </c>
      <c r="AT35" t="s">
        <v>1</v>
      </c>
      <c r="AU35" t="s">
        <v>1</v>
      </c>
      <c r="AV35" t="s">
        <v>1</v>
      </c>
      <c r="AW35" t="s">
        <v>11</v>
      </c>
      <c r="AX35">
        <f>Tabla1[[#This Row],[precio del paquete]]-Tabla1[[#This Row],[Saldo_Deudor]]</f>
        <v>700</v>
      </c>
      <c r="AY35">
        <v>14100</v>
      </c>
      <c r="AZ35" t="s">
        <v>3</v>
      </c>
      <c r="BA35" t="s">
        <v>3</v>
      </c>
      <c r="BB35" t="s">
        <v>3</v>
      </c>
      <c r="BC35" t="s">
        <v>775</v>
      </c>
      <c r="BD35" t="s">
        <v>1887</v>
      </c>
      <c r="BE35" t="s">
        <v>3</v>
      </c>
      <c r="BF35" t="s">
        <v>3</v>
      </c>
      <c r="BG35" t="s">
        <v>3</v>
      </c>
      <c r="BH35" t="s">
        <v>3</v>
      </c>
      <c r="BI35" t="s">
        <v>3</v>
      </c>
      <c r="BJ35" t="s">
        <v>1936</v>
      </c>
      <c r="BK35" t="s">
        <v>3</v>
      </c>
      <c r="BL35" t="s">
        <v>132</v>
      </c>
      <c r="BM35" t="s">
        <v>1</v>
      </c>
      <c r="BN35">
        <f>Tabla1[[#This Row],[precio del paquete]]</f>
        <v>14800</v>
      </c>
      <c r="BO35" t="s">
        <v>1</v>
      </c>
      <c r="BP35" t="s">
        <v>1</v>
      </c>
      <c r="BQ35" t="s">
        <v>1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1</v>
      </c>
      <c r="CD35" t="str" cm="1">
        <f t="array" aca="1" ref="CD35" ca="1">eConcatenar(A35:CB35,"|")</f>
        <v>6Mwh4nwDgTOcJK1i|CAR2021-7685|3|MEMORIAL|TABASCO|CARDENAS|CARDENAS|2021-12-28|14800|X|300|50|2|0|0|0|0|0|0|0|0|0|0|0|0|0|0|SOSO|GOMEZ|ISOBELINO|SOLTERO|X|X|CASA COLOR AMARILLO CALLE 7 NUMERO 20|POBLADO C 14 GENERAL PLUTARCO ELIAS CALLES|X|X|X|X|X|CASA COLOR AMARILLO CALLE 7 NUMERO 20|X|LUNES|X|X|X|X|X|DOMICILIO |700|14100|x|x|x|2022-09-02|2022-09-09|x|x|x|x|x|QWYNRBIY9KVZQO|x|HOMBRE|X|14800|X|X|X|X|X|X|X|X|CARDENAS|X|X|X|X|X</v>
      </c>
    </row>
    <row r="36" spans="1:82" x14ac:dyDescent="0.25">
      <c r="A36" t="s">
        <v>170</v>
      </c>
      <c r="B36" t="s">
        <v>481</v>
      </c>
      <c r="C36">
        <v>3</v>
      </c>
      <c r="D36" t="s">
        <v>761</v>
      </c>
      <c r="E36" t="s">
        <v>1398</v>
      </c>
      <c r="F36" t="s">
        <v>0</v>
      </c>
      <c r="G36" t="s">
        <v>0</v>
      </c>
      <c r="H36" t="s">
        <v>784</v>
      </c>
      <c r="I36">
        <v>14800</v>
      </c>
      <c r="J36" t="s">
        <v>1</v>
      </c>
      <c r="K36">
        <v>400</v>
      </c>
      <c r="L36">
        <v>50</v>
      </c>
      <c r="M36">
        <v>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8</v>
      </c>
      <c r="AC36" t="s">
        <v>1249</v>
      </c>
      <c r="AD36" s="18" t="s">
        <v>1004</v>
      </c>
      <c r="AE36" t="s">
        <v>4</v>
      </c>
      <c r="AF36" t="s">
        <v>1</v>
      </c>
      <c r="AG36" t="s">
        <v>1</v>
      </c>
      <c r="AH36" t="s">
        <v>1429</v>
      </c>
      <c r="AI36" t="s">
        <v>1679</v>
      </c>
      <c r="AJ36" t="s">
        <v>1</v>
      </c>
      <c r="AK36" t="s">
        <v>1</v>
      </c>
      <c r="AL36" t="s">
        <v>1</v>
      </c>
      <c r="AM36" t="s">
        <v>1</v>
      </c>
      <c r="AN36" t="s">
        <v>1</v>
      </c>
      <c r="AO36" t="s">
        <v>1429</v>
      </c>
      <c r="AP36" t="s">
        <v>1</v>
      </c>
      <c r="AQ36" t="s">
        <v>2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11</v>
      </c>
      <c r="AX36">
        <f>Tabla1[[#This Row],[precio del paquete]]-Tabla1[[#This Row],[Saldo_Deudor]]</f>
        <v>800</v>
      </c>
      <c r="AY36">
        <v>14000</v>
      </c>
      <c r="AZ36" t="s">
        <v>3</v>
      </c>
      <c r="BA36" t="s">
        <v>3</v>
      </c>
      <c r="BB36" t="s">
        <v>3</v>
      </c>
      <c r="BC36" t="s">
        <v>776</v>
      </c>
      <c r="BD36" t="s">
        <v>1842</v>
      </c>
      <c r="BE36" t="s">
        <v>3</v>
      </c>
      <c r="BF36" t="s">
        <v>3</v>
      </c>
      <c r="BG36" t="s">
        <v>3</v>
      </c>
      <c r="BH36" t="s">
        <v>3</v>
      </c>
      <c r="BI36" t="s">
        <v>3</v>
      </c>
      <c r="BJ36" t="s">
        <v>1936</v>
      </c>
      <c r="BK36" t="s">
        <v>3</v>
      </c>
      <c r="BL36" t="s">
        <v>132</v>
      </c>
      <c r="BM36" t="s">
        <v>1</v>
      </c>
      <c r="BN36">
        <f>Tabla1[[#This Row],[precio del paquete]]</f>
        <v>14800</v>
      </c>
      <c r="BO36" t="s">
        <v>1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1</v>
      </c>
      <c r="CD36" t="str" cm="1">
        <f t="array" aca="1" ref="CD36" ca="1">eConcatenar(A36:CB36,"|")</f>
        <v>S3HLH08zl0VqZ2yQ|CAR2021-7626|3|MEMORIAL|TABASCO|CARDENAS|CARDENAS|2021-12-18|14800|X|400|50|2|0|0|0|0|0|0|0|0|0|0|0|0|0|0|GOMEZ|DE LA CRUZ|JACOBINO|SOLTERO|X|X|ANADOR RAMON LOPEZ VELAIDE|COLONIA INGENIO BENITO JUAREZ|X|X|X|X|X|ANADOR RAMON LOPEZ VELAIDE|X|LUNES|X|X|X|X|X|DOMICILIO |800|14000|x|x|x|2022-10-02|2022-10-09|x|x|x|x|x|QWYNRBIY9KVZQO|x|HOMBRE|X|14800|X|X|X|X|X|X|X|X|CARDENAS|X|X|X|X|X</v>
      </c>
    </row>
    <row r="37" spans="1:82" x14ac:dyDescent="0.25">
      <c r="A37" t="s">
        <v>171</v>
      </c>
      <c r="B37" t="s">
        <v>482</v>
      </c>
      <c r="C37">
        <v>3</v>
      </c>
      <c r="D37" t="s">
        <v>761</v>
      </c>
      <c r="E37" t="s">
        <v>1398</v>
      </c>
      <c r="F37" t="s">
        <v>0</v>
      </c>
      <c r="G37" t="s">
        <v>0</v>
      </c>
      <c r="H37" t="s">
        <v>785</v>
      </c>
      <c r="I37">
        <v>14800</v>
      </c>
      <c r="J37" t="s">
        <v>1</v>
      </c>
      <c r="K37">
        <v>50</v>
      </c>
      <c r="L37">
        <v>50</v>
      </c>
      <c r="M37">
        <v>2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7</v>
      </c>
      <c r="AC37" t="s">
        <v>1228</v>
      </c>
      <c r="AD37" s="18" t="s">
        <v>1005</v>
      </c>
      <c r="AE37" t="s">
        <v>4</v>
      </c>
      <c r="AF37" t="s">
        <v>1</v>
      </c>
      <c r="AG37" t="s">
        <v>1</v>
      </c>
      <c r="AH37" t="s">
        <v>1430</v>
      </c>
      <c r="AI37" t="s">
        <v>1680</v>
      </c>
      <c r="AJ37" t="s">
        <v>1</v>
      </c>
      <c r="AK37">
        <v>8771014371</v>
      </c>
      <c r="AL37" t="s">
        <v>1</v>
      </c>
      <c r="AM37" t="s">
        <v>1</v>
      </c>
      <c r="AN37" t="s">
        <v>1</v>
      </c>
      <c r="AO37" t="s">
        <v>1430</v>
      </c>
      <c r="AP37" t="s">
        <v>1</v>
      </c>
      <c r="AQ37" t="s">
        <v>2</v>
      </c>
      <c r="AR37" t="s">
        <v>1</v>
      </c>
      <c r="AS37" t="s">
        <v>1</v>
      </c>
      <c r="AT37" t="s">
        <v>1</v>
      </c>
      <c r="AU37" t="s">
        <v>1</v>
      </c>
      <c r="AV37" t="s">
        <v>1</v>
      </c>
      <c r="AW37" t="s">
        <v>11</v>
      </c>
      <c r="AX37">
        <f>Tabla1[[#This Row],[precio del paquete]]-Tabla1[[#This Row],[Saldo_Deudor]]</f>
        <v>50</v>
      </c>
      <c r="AY37">
        <v>14750</v>
      </c>
      <c r="AZ37" t="s">
        <v>3</v>
      </c>
      <c r="BA37" t="s">
        <v>3</v>
      </c>
      <c r="BB37" t="s">
        <v>3</v>
      </c>
      <c r="BC37" t="s">
        <v>785</v>
      </c>
      <c r="BD37" t="s">
        <v>892</v>
      </c>
      <c r="BE37" t="s">
        <v>3</v>
      </c>
      <c r="BF37" t="s">
        <v>3</v>
      </c>
      <c r="BG37" t="s">
        <v>3</v>
      </c>
      <c r="BH37" t="s">
        <v>3</v>
      </c>
      <c r="BI37" t="s">
        <v>3</v>
      </c>
      <c r="BJ37" t="s">
        <v>143</v>
      </c>
      <c r="BK37" t="s">
        <v>3</v>
      </c>
      <c r="BL37" t="s">
        <v>132</v>
      </c>
      <c r="BM37" t="s">
        <v>1</v>
      </c>
      <c r="BN37">
        <f>Tabla1[[#This Row],[precio del paquete]]</f>
        <v>14800</v>
      </c>
      <c r="BO37" t="s">
        <v>1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1</v>
      </c>
      <c r="CD37" t="str" cm="1">
        <f t="array" aca="1" ref="CD37" ca="1">eConcatenar(A37:CB37,"|")</f>
        <v>9uVCtdIONpH65ok0|CAR2021-6508|3|MEMORIAL|TABASCO|CARDENAS|CARDENAS|2021-10-22|14800|X|50|50|2|0|0|0|0|0|0|0|0|0|0|0|0|0|0|LOPEZ|RAMOS|NILDA PATRICIA|SOLTERO|X|X|ENTRE CALLE 6 Y 7 |EJIDO HABANERO PRIMERA SECCION |X|8771014371|X|X|X|ENTRE CALLE 6 Y 7 |X|LUNES|X|X|X|X|X|DOMICILIO |50|14750|x|x|x|2021-10-22|2021-10-29|x|x|x|x|x|NL2E7OEHPWYUH7Y|x|HOMBRE|X|14800|X|X|X|X|X|X|X|X|CARDENAS|X|X|X|X|X</v>
      </c>
    </row>
    <row r="38" spans="1:82" x14ac:dyDescent="0.25">
      <c r="A38" t="s">
        <v>172</v>
      </c>
      <c r="B38" t="s">
        <v>483</v>
      </c>
      <c r="C38">
        <v>3</v>
      </c>
      <c r="D38" t="s">
        <v>762</v>
      </c>
      <c r="E38" t="s">
        <v>1398</v>
      </c>
      <c r="F38" t="s">
        <v>0</v>
      </c>
      <c r="G38" t="s">
        <v>0</v>
      </c>
      <c r="H38" t="s">
        <v>786</v>
      </c>
      <c r="I38">
        <v>24500</v>
      </c>
      <c r="J38" t="s">
        <v>1</v>
      </c>
      <c r="K38">
        <v>450</v>
      </c>
      <c r="L38">
        <v>50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1264</v>
      </c>
      <c r="AC38" t="s">
        <v>1265</v>
      </c>
      <c r="AD38" s="18" t="s">
        <v>1006</v>
      </c>
      <c r="AE38" t="s">
        <v>4</v>
      </c>
      <c r="AF38" t="s">
        <v>1</v>
      </c>
      <c r="AG38" t="s">
        <v>1</v>
      </c>
      <c r="AH38" t="s">
        <v>1431</v>
      </c>
      <c r="AI38" t="s">
        <v>1681</v>
      </c>
      <c r="AJ38" t="s">
        <v>1</v>
      </c>
      <c r="AK38">
        <v>9371622073</v>
      </c>
      <c r="AL38" t="s">
        <v>1</v>
      </c>
      <c r="AM38" t="s">
        <v>1</v>
      </c>
      <c r="AN38" t="s">
        <v>1</v>
      </c>
      <c r="AO38" t="s">
        <v>1431</v>
      </c>
      <c r="AP38" t="s">
        <v>1</v>
      </c>
      <c r="AQ38" t="s">
        <v>2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11</v>
      </c>
      <c r="AX38">
        <f>Tabla1[[#This Row],[precio del paquete]]-Tabla1[[#This Row],[Saldo_Deudor]]</f>
        <v>3450</v>
      </c>
      <c r="AY38">
        <v>21050</v>
      </c>
      <c r="AZ38" t="s">
        <v>3</v>
      </c>
      <c r="BA38" t="s">
        <v>3</v>
      </c>
      <c r="BB38" t="s">
        <v>3</v>
      </c>
      <c r="BC38" t="s">
        <v>786</v>
      </c>
      <c r="BD38" t="s">
        <v>1888</v>
      </c>
      <c r="BE38" t="s">
        <v>3</v>
      </c>
      <c r="BF38" t="s">
        <v>3</v>
      </c>
      <c r="BG38" t="s">
        <v>3</v>
      </c>
      <c r="BH38" t="s">
        <v>3</v>
      </c>
      <c r="BI38" t="s">
        <v>3</v>
      </c>
      <c r="BJ38" t="s">
        <v>143</v>
      </c>
      <c r="BK38" t="s">
        <v>3</v>
      </c>
      <c r="BL38" t="s">
        <v>132</v>
      </c>
      <c r="BM38" t="s">
        <v>1</v>
      </c>
      <c r="BN38">
        <f>Tabla1[[#This Row],[precio del paquete]]</f>
        <v>24500</v>
      </c>
      <c r="BO38" t="s">
        <v>1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D38" t="str" cm="1">
        <f t="array" aca="1" ref="CD38" ca="1">eConcatenar(A38:CB38,"|")</f>
        <v>NnZrYpZ0Awjgcvx9|CAR2021-6434|3|DIGNITY|TABASCO|CARDENAS|CARDENAS|2021-10-25|24500|X|450|50|1|0|0|0|0|0|0|0|0|0|0|0|0|0|0|FLORES|DOMINGUEZ|JUAN PABLO|SOLTERO|X|X|CALLE FELIPE ANGELES NUMERO 14 |COLONIA FRANCISCO VILLA|X|9371622073|X|X|X|CALLE FELIPE ANGELES NUMERO 14 |X|LUNES|X|X|X|X|X|DOMICILIO |3450|21050|x|x|x|2021-10-25|2021-11-01|x|x|x|x|x|NL2E7OEHPWYUH7Y|x|HOMBRE|X|24500|X|X|X|X|X|X|X|X|CARDENAS|X|X|X|X|X</v>
      </c>
    </row>
    <row r="39" spans="1:82" x14ac:dyDescent="0.25">
      <c r="A39" t="s">
        <v>173</v>
      </c>
      <c r="B39" t="s">
        <v>484</v>
      </c>
      <c r="C39">
        <v>3</v>
      </c>
      <c r="D39" t="s">
        <v>761</v>
      </c>
      <c r="E39" t="s">
        <v>1398</v>
      </c>
      <c r="F39" t="s">
        <v>0</v>
      </c>
      <c r="G39" t="s">
        <v>0</v>
      </c>
      <c r="H39" t="s">
        <v>787</v>
      </c>
      <c r="I39">
        <v>14800</v>
      </c>
      <c r="J39" t="s">
        <v>1</v>
      </c>
      <c r="K39">
        <v>50</v>
      </c>
      <c r="L39">
        <v>50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1266</v>
      </c>
      <c r="AC39" t="s">
        <v>1267</v>
      </c>
      <c r="AD39" s="18" t="s">
        <v>1007</v>
      </c>
      <c r="AE39" t="s">
        <v>4</v>
      </c>
      <c r="AF39" t="s">
        <v>1</v>
      </c>
      <c r="AG39" t="s">
        <v>1</v>
      </c>
      <c r="AH39" t="s">
        <v>1432</v>
      </c>
      <c r="AI39" t="s">
        <v>1</v>
      </c>
      <c r="AJ39" t="s">
        <v>1</v>
      </c>
      <c r="AK39">
        <v>9371041143</v>
      </c>
      <c r="AL39" t="s">
        <v>1</v>
      </c>
      <c r="AM39" t="s">
        <v>1</v>
      </c>
      <c r="AN39" t="s">
        <v>1</v>
      </c>
      <c r="AO39" t="s">
        <v>1432</v>
      </c>
      <c r="AP39" t="s">
        <v>1</v>
      </c>
      <c r="AQ39" t="s">
        <v>2</v>
      </c>
      <c r="AR39" t="s">
        <v>1</v>
      </c>
      <c r="AS39" t="s">
        <v>1</v>
      </c>
      <c r="AT39" t="s">
        <v>1</v>
      </c>
      <c r="AU39" t="s">
        <v>1</v>
      </c>
      <c r="AV39" t="s">
        <v>1</v>
      </c>
      <c r="AW39" t="s">
        <v>11</v>
      </c>
      <c r="AX39">
        <f>Tabla1[[#This Row],[precio del paquete]]-Tabla1[[#This Row],[Saldo_Deudor]]</f>
        <v>50</v>
      </c>
      <c r="AY39">
        <v>14750</v>
      </c>
      <c r="AZ39" t="s">
        <v>3</v>
      </c>
      <c r="BA39" t="s">
        <v>3</v>
      </c>
      <c r="BB39" t="s">
        <v>3</v>
      </c>
      <c r="BC39" t="s">
        <v>787</v>
      </c>
      <c r="BD39" t="s">
        <v>890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143</v>
      </c>
      <c r="BK39" t="s">
        <v>3</v>
      </c>
      <c r="BL39" t="s">
        <v>132</v>
      </c>
      <c r="BM39" t="s">
        <v>1</v>
      </c>
      <c r="BN39">
        <f>Tabla1[[#This Row],[precio del paquete]]</f>
        <v>14800</v>
      </c>
      <c r="BO39" t="s">
        <v>1</v>
      </c>
      <c r="BP39" t="s">
        <v>1</v>
      </c>
      <c r="BQ39" t="s">
        <v>1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1</v>
      </c>
      <c r="CD39" t="str" cm="1">
        <f t="array" aca="1" ref="CD39" ca="1">eConcatenar(A39:CB39,"|")</f>
        <v>80TMCzv6ybtagzwX|CAR2021-6846|3|MEMORIAL|TABASCO|CARDENAS|CARDENAS|2021-11-11|14800|X|50|50|0|0|0|0|0|0|0|0|0|0|0|0|0|0|0|HERNANDEZ|JIMENEZ|JOSE DANIEL|SOLTERO|X|X|CARRETERA CARDENAS COATZACOALCOS |X|X|9371041143|X|X|X|CARRETERA CARDENAS COATZACOALCOS |X|LUNES|X|X|X|X|X|DOMICILIO |50|14750|x|x|x|2021-11-11|2021-11-18|x|x|x|x|x|NL2E7OEHPWYUH7Y|x|HOMBRE|X|14800|X|X|X|X|X|X|X|X|CARDENAS|X|X|X|X|X</v>
      </c>
    </row>
    <row r="40" spans="1:82" x14ac:dyDescent="0.25">
      <c r="A40" t="s">
        <v>174</v>
      </c>
      <c r="B40" t="s">
        <v>485</v>
      </c>
      <c r="C40">
        <v>3</v>
      </c>
      <c r="D40" t="s">
        <v>761</v>
      </c>
      <c r="E40" t="s">
        <v>1398</v>
      </c>
      <c r="F40" t="s">
        <v>769</v>
      </c>
      <c r="G40" t="s">
        <v>769</v>
      </c>
      <c r="H40" t="s">
        <v>788</v>
      </c>
      <c r="I40">
        <v>14800</v>
      </c>
      <c r="J40" t="s">
        <v>1</v>
      </c>
      <c r="K40">
        <v>50</v>
      </c>
      <c r="L40">
        <v>50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7</v>
      </c>
      <c r="AC40" t="s">
        <v>1227</v>
      </c>
      <c r="AD40" s="18" t="s">
        <v>1008</v>
      </c>
      <c r="AE40" t="s">
        <v>4</v>
      </c>
      <c r="AF40" t="s">
        <v>1</v>
      </c>
      <c r="AG40" t="s">
        <v>1</v>
      </c>
      <c r="AH40" t="s">
        <v>1433</v>
      </c>
      <c r="AI40" t="s">
        <v>1682</v>
      </c>
      <c r="AJ40" t="s">
        <v>1</v>
      </c>
      <c r="AK40">
        <v>9141116390</v>
      </c>
      <c r="AL40" t="s">
        <v>1</v>
      </c>
      <c r="AM40" t="s">
        <v>1</v>
      </c>
      <c r="AN40" t="s">
        <v>1</v>
      </c>
      <c r="AO40" t="s">
        <v>1433</v>
      </c>
      <c r="AP40" t="s">
        <v>1</v>
      </c>
      <c r="AQ40" t="s">
        <v>2</v>
      </c>
      <c r="AR40" t="s">
        <v>1</v>
      </c>
      <c r="AS40" t="s">
        <v>1</v>
      </c>
      <c r="AT40" t="s">
        <v>1</v>
      </c>
      <c r="AU40" t="s">
        <v>1</v>
      </c>
      <c r="AV40" t="s">
        <v>1</v>
      </c>
      <c r="AW40" t="s">
        <v>11</v>
      </c>
      <c r="AX40">
        <f>Tabla1[[#This Row],[precio del paquete]]-Tabla1[[#This Row],[Saldo_Deudor]]</f>
        <v>50</v>
      </c>
      <c r="AY40">
        <v>14750</v>
      </c>
      <c r="AZ40" t="s">
        <v>3</v>
      </c>
      <c r="BA40" t="s">
        <v>3</v>
      </c>
      <c r="BB40" t="s">
        <v>3</v>
      </c>
      <c r="BC40" t="s">
        <v>788</v>
      </c>
      <c r="BD40" t="s">
        <v>894</v>
      </c>
      <c r="BE40" t="s">
        <v>3</v>
      </c>
      <c r="BF40" t="s">
        <v>3</v>
      </c>
      <c r="BG40" t="s">
        <v>3</v>
      </c>
      <c r="BH40" t="s">
        <v>3</v>
      </c>
      <c r="BI40" t="s">
        <v>3</v>
      </c>
      <c r="BJ40" t="s">
        <v>143</v>
      </c>
      <c r="BK40" t="s">
        <v>3</v>
      </c>
      <c r="BL40" t="s">
        <v>132</v>
      </c>
      <c r="BM40" t="s">
        <v>1</v>
      </c>
      <c r="BN40">
        <f>Tabla1[[#This Row],[precio del paquete]]</f>
        <v>14800</v>
      </c>
      <c r="BO40" t="s">
        <v>1</v>
      </c>
      <c r="BP40" t="s">
        <v>1</v>
      </c>
      <c r="BQ40" t="s">
        <v>1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1</v>
      </c>
      <c r="CD40" t="str" cm="1">
        <f t="array" aca="1" ref="CD40" ca="1">eConcatenar(A40:CB40,"|")</f>
        <v>WJ5lhO80gVtdSSZY|CAR2021-6831|3|MEMORIAL|TABASCO|CUNDUACAN|CUNDUACAN|2021-10-11|14800|X|50|50|0|0|0|0|0|0|0|0|0|0|0|0|0|0|0|LOPEZ|GARCIA|MANUEL|SOLTERO|X|X|CARRETERA A CUNDUACAN SIN NUMERO|RANCHELIA LA PIEDRA CUARTA SECCION |X|9141116390|X|X|X|CARRETERA A CUNDUACAN SIN NUMERO|X|LUNES|X|X|X|X|X|DOMICILIO |50|14750|x|x|x|2021-10-11|2021-10-18|x|x|x|x|x|NL2E7OEHPWYUH7Y|x|HOMBRE|X|14800|X|X|X|X|X|X|X|X|CARDENAS|X|X|X|X|X</v>
      </c>
    </row>
    <row r="41" spans="1:82" x14ac:dyDescent="0.25">
      <c r="A41" t="s">
        <v>175</v>
      </c>
      <c r="B41" t="s">
        <v>486</v>
      </c>
      <c r="C41">
        <v>3</v>
      </c>
      <c r="D41" t="s">
        <v>761</v>
      </c>
      <c r="E41" t="s">
        <v>1398</v>
      </c>
      <c r="F41" t="s">
        <v>769</v>
      </c>
      <c r="G41" t="s">
        <v>769</v>
      </c>
      <c r="H41" t="s">
        <v>789</v>
      </c>
      <c r="I41">
        <v>14800</v>
      </c>
      <c r="J41" t="s">
        <v>1</v>
      </c>
      <c r="K41">
        <v>50</v>
      </c>
      <c r="L41">
        <v>50</v>
      </c>
      <c r="M41">
        <v>2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1268</v>
      </c>
      <c r="AC41" t="s">
        <v>1269</v>
      </c>
      <c r="AD41" s="18" t="s">
        <v>1009</v>
      </c>
      <c r="AE41" t="s">
        <v>4</v>
      </c>
      <c r="AF41" t="s">
        <v>1</v>
      </c>
      <c r="AG41" t="s">
        <v>1</v>
      </c>
      <c r="AH41" t="s">
        <v>1434</v>
      </c>
      <c r="AI41" t="s">
        <v>1683</v>
      </c>
      <c r="AJ41" t="s">
        <v>1</v>
      </c>
      <c r="AK41">
        <v>9361077794</v>
      </c>
      <c r="AL41" t="s">
        <v>1</v>
      </c>
      <c r="AM41" t="s">
        <v>1</v>
      </c>
      <c r="AN41" t="s">
        <v>1</v>
      </c>
      <c r="AO41" t="s">
        <v>1434</v>
      </c>
      <c r="AP41" t="s">
        <v>1</v>
      </c>
      <c r="AQ41" t="s">
        <v>2</v>
      </c>
      <c r="AR41" t="s">
        <v>1</v>
      </c>
      <c r="AS41" t="s">
        <v>1</v>
      </c>
      <c r="AT41" t="s">
        <v>1</v>
      </c>
      <c r="AU41" t="s">
        <v>1</v>
      </c>
      <c r="AV41" t="s">
        <v>1</v>
      </c>
      <c r="AW41" t="s">
        <v>11</v>
      </c>
      <c r="AX41">
        <f>Tabla1[[#This Row],[precio del paquete]]-Tabla1[[#This Row],[Saldo_Deudor]]</f>
        <v>50</v>
      </c>
      <c r="AY41">
        <v>14750</v>
      </c>
      <c r="AZ41" t="s">
        <v>3</v>
      </c>
      <c r="BA41" t="s">
        <v>3</v>
      </c>
      <c r="BB41" t="s">
        <v>3</v>
      </c>
      <c r="BC41" t="s">
        <v>789</v>
      </c>
      <c r="BD41" t="s">
        <v>1889</v>
      </c>
      <c r="BE41" t="s">
        <v>3</v>
      </c>
      <c r="BF41" t="s">
        <v>3</v>
      </c>
      <c r="BG41" t="s">
        <v>3</v>
      </c>
      <c r="BH41" t="s">
        <v>3</v>
      </c>
      <c r="BI41" t="s">
        <v>3</v>
      </c>
      <c r="BJ41" t="s">
        <v>143</v>
      </c>
      <c r="BK41" t="s">
        <v>3</v>
      </c>
      <c r="BL41" t="s">
        <v>132</v>
      </c>
      <c r="BM41" t="s">
        <v>1</v>
      </c>
      <c r="BN41">
        <f>Tabla1[[#This Row],[precio del paquete]]</f>
        <v>14800</v>
      </c>
      <c r="BO41" t="s">
        <v>1</v>
      </c>
      <c r="BP41" t="s">
        <v>1</v>
      </c>
      <c r="BQ41" t="s">
        <v>1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1</v>
      </c>
      <c r="CD41" t="str" cm="1">
        <f t="array" aca="1" ref="CD41" ca="1">eConcatenar(A41:CB41,"|")</f>
        <v>QWi4jxVqvznJV0Dj|CAR2021-7421|3|MEMORIAL|TABASCO|CUNDUACAN|CUNDUACAN|2021-03-12|14800|X|50|50|2|0|0|0|0|0|0|0|0|0|0|0|0|0|0|ADORNO|MENDEZ|HERCILIA|SOLTERO|X|X|ENTRADA LA SECUNDARIA |EJIDO FELIPE CARRILLO PUERTO|X|9361077794|X|X|X|ENTRADA LA SECUNDARIA |X|LUNES|X|X|X|X|X|DOMICILIO |50|14750|x|x|x|2021-03-12|2021-03-19|x|x|x|x|x|NL2E7OEHPWYUH7Y|x|HOMBRE|X|14800|X|X|X|X|X|X|X|X|CARDENAS|X|X|X|X|X</v>
      </c>
    </row>
    <row r="42" spans="1:82" x14ac:dyDescent="0.25">
      <c r="A42" t="s">
        <v>176</v>
      </c>
      <c r="B42" t="s">
        <v>487</v>
      </c>
      <c r="C42">
        <v>3</v>
      </c>
      <c r="D42" t="s">
        <v>762</v>
      </c>
      <c r="E42" t="s">
        <v>1398</v>
      </c>
      <c r="F42" t="s">
        <v>769</v>
      </c>
      <c r="G42" t="s">
        <v>769</v>
      </c>
      <c r="H42" t="s">
        <v>790</v>
      </c>
      <c r="I42">
        <v>24500</v>
      </c>
      <c r="J42" t="s">
        <v>1</v>
      </c>
      <c r="K42">
        <v>200</v>
      </c>
      <c r="L42">
        <v>50</v>
      </c>
      <c r="M42">
        <v>1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1247</v>
      </c>
      <c r="AC42" t="s">
        <v>1231</v>
      </c>
      <c r="AD42" s="18" t="s">
        <v>1010</v>
      </c>
      <c r="AE42" t="s">
        <v>4</v>
      </c>
      <c r="AF42" t="s">
        <v>1</v>
      </c>
      <c r="AG42" t="s">
        <v>1</v>
      </c>
      <c r="AH42" t="s">
        <v>1435</v>
      </c>
      <c r="AI42" t="s">
        <v>1684</v>
      </c>
      <c r="AJ42" t="s">
        <v>1</v>
      </c>
      <c r="AK42">
        <v>9141212243</v>
      </c>
      <c r="AL42" t="s">
        <v>1</v>
      </c>
      <c r="AM42" t="s">
        <v>1</v>
      </c>
      <c r="AN42" t="s">
        <v>1</v>
      </c>
      <c r="AO42" t="s">
        <v>1435</v>
      </c>
      <c r="AP42" t="s">
        <v>1</v>
      </c>
      <c r="AQ42" t="s">
        <v>2</v>
      </c>
      <c r="AR42" t="s">
        <v>1</v>
      </c>
      <c r="AS42" t="s">
        <v>1</v>
      </c>
      <c r="AT42" t="s">
        <v>1</v>
      </c>
      <c r="AU42" t="s">
        <v>1</v>
      </c>
      <c r="AV42" t="s">
        <v>1</v>
      </c>
      <c r="AW42" t="s">
        <v>11</v>
      </c>
      <c r="AX42">
        <f>Tabla1[[#This Row],[precio del paquete]]-Tabla1[[#This Row],[Saldo_Deudor]]</f>
        <v>1400</v>
      </c>
      <c r="AY42">
        <v>23100</v>
      </c>
      <c r="AZ42" t="s">
        <v>3</v>
      </c>
      <c r="BA42" t="s">
        <v>3</v>
      </c>
      <c r="BB42" t="s">
        <v>3</v>
      </c>
      <c r="BC42" t="s">
        <v>1840</v>
      </c>
      <c r="BD42" t="s">
        <v>1890</v>
      </c>
      <c r="BE42" t="s">
        <v>3</v>
      </c>
      <c r="BF42" t="s">
        <v>3</v>
      </c>
      <c r="BG42" t="s">
        <v>3</v>
      </c>
      <c r="BH42" t="s">
        <v>3</v>
      </c>
      <c r="BI42" t="s">
        <v>3</v>
      </c>
      <c r="BJ42" t="s">
        <v>143</v>
      </c>
      <c r="BK42" t="s">
        <v>3</v>
      </c>
      <c r="BL42" t="s">
        <v>132</v>
      </c>
      <c r="BM42" t="s">
        <v>1</v>
      </c>
      <c r="BN42">
        <f>Tabla1[[#This Row],[precio del paquete]]</f>
        <v>24500</v>
      </c>
      <c r="BO42" t="s">
        <v>1</v>
      </c>
      <c r="BP42" t="s">
        <v>1</v>
      </c>
      <c r="BQ42" t="s">
        <v>1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1</v>
      </c>
      <c r="CD42" t="str" cm="1">
        <f t="array" aca="1" ref="CD42" ca="1">eConcatenar(A42:CB42,"|")</f>
        <v>X08kGq8ZzYjfboyx|CAR2021-6832|3|DIGNITY|TABASCO|CUNDUACAN|CUNDUACAN|2021-09-08|24500|X|200|50|1|0|0|0|0|0|0|0|0|0|0|0|0|0|0|SANCHEZ|TORRES|NEFTALI|SOLTERO|X|X|LA TRINIDAD SIN NUMERO|RANCHERIA LA PIEDRA CUARTA SECCION |X|9141212243|X|X|X|LA TRINIDAD SIN NUMERO|X|LUNES|X|X|X|X|X|DOMICILIO |1400|23100|x|x|x|2022-03-01|2022-03-08|x|x|x|x|x|NL2E7OEHPWYUH7Y|x|HOMBRE|X|24500|X|X|X|X|X|X|X|X|CARDENAS|X|X|X|X|X</v>
      </c>
    </row>
    <row r="43" spans="1:82" x14ac:dyDescent="0.25">
      <c r="A43" t="s">
        <v>177</v>
      </c>
      <c r="B43" t="s">
        <v>488</v>
      </c>
      <c r="C43">
        <v>3</v>
      </c>
      <c r="D43" t="s">
        <v>761</v>
      </c>
      <c r="E43" t="s">
        <v>1398</v>
      </c>
      <c r="F43" t="s">
        <v>770</v>
      </c>
      <c r="G43" t="s">
        <v>770</v>
      </c>
      <c r="H43" t="s">
        <v>791</v>
      </c>
      <c r="I43">
        <v>14800</v>
      </c>
      <c r="J43" t="s">
        <v>1</v>
      </c>
      <c r="K43">
        <v>100</v>
      </c>
      <c r="L43">
        <v>50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1255</v>
      </c>
      <c r="AC43" t="s">
        <v>1249</v>
      </c>
      <c r="AD43" s="18" t="s">
        <v>1011</v>
      </c>
      <c r="AE43" t="s">
        <v>4</v>
      </c>
      <c r="AF43" t="s">
        <v>1</v>
      </c>
      <c r="AG43" t="s">
        <v>1</v>
      </c>
      <c r="AH43" t="s">
        <v>1436</v>
      </c>
      <c r="AI43" t="s">
        <v>1685</v>
      </c>
      <c r="AJ43" t="s">
        <v>1</v>
      </c>
      <c r="AK43">
        <v>9331526665</v>
      </c>
      <c r="AL43" t="s">
        <v>1</v>
      </c>
      <c r="AM43" t="s">
        <v>1</v>
      </c>
      <c r="AN43" t="s">
        <v>1</v>
      </c>
      <c r="AO43" t="s">
        <v>1436</v>
      </c>
      <c r="AP43" t="s">
        <v>1</v>
      </c>
      <c r="AQ43" t="s">
        <v>2</v>
      </c>
      <c r="AR43" t="s">
        <v>1</v>
      </c>
      <c r="AS43" t="s">
        <v>1</v>
      </c>
      <c r="AT43" t="s">
        <v>1</v>
      </c>
      <c r="AU43" t="s">
        <v>1</v>
      </c>
      <c r="AV43" t="s">
        <v>1</v>
      </c>
      <c r="AW43" t="s">
        <v>11</v>
      </c>
      <c r="AX43">
        <f>Tabla1[[#This Row],[precio del paquete]]-Tabla1[[#This Row],[Saldo_Deudor]]</f>
        <v>500</v>
      </c>
      <c r="AY43">
        <v>14300</v>
      </c>
      <c r="AZ43" t="s">
        <v>3</v>
      </c>
      <c r="BA43" t="s">
        <v>3</v>
      </c>
      <c r="BB43" t="s">
        <v>3</v>
      </c>
      <c r="BC43" t="s">
        <v>774</v>
      </c>
      <c r="BD43" t="s">
        <v>1881</v>
      </c>
      <c r="BE43" t="s">
        <v>3</v>
      </c>
      <c r="BF43" t="s">
        <v>3</v>
      </c>
      <c r="BG43" t="s">
        <v>3</v>
      </c>
      <c r="BH43" t="s">
        <v>3</v>
      </c>
      <c r="BI43" t="s">
        <v>3</v>
      </c>
      <c r="BJ43" t="s">
        <v>1937</v>
      </c>
      <c r="BK43" t="s">
        <v>3</v>
      </c>
      <c r="BL43" t="s">
        <v>132</v>
      </c>
      <c r="BM43" t="s">
        <v>1</v>
      </c>
      <c r="BN43">
        <f>Tabla1[[#This Row],[precio del paquete]]</f>
        <v>14800</v>
      </c>
      <c r="BO43" t="s">
        <v>1</v>
      </c>
      <c r="BP43" t="s">
        <v>1</v>
      </c>
      <c r="BQ43" t="s">
        <v>1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1</v>
      </c>
      <c r="CD43" t="str" cm="1">
        <f t="array" aca="1" ref="CD43" ca="1">eConcatenar(A43:CB43,"|")</f>
        <v>PVqrmFGwjfvjBSzI|COM2022-0169|3|MEMORIAL|TABASCO|COMALCALCO|COMALCALCO|2022-01-17|14800|X|100|50|0|0|0|0|0|0|0|0|0|0|0|0|0|0|0|CORDOVA|DE LA CRUZ|OLGA LILIA|SOLTERO|X|X|CARRETERA A COCOHITAL SIN NUMERO|RANCHERIA IGNACIO ZARAGOZA|X|9331526665|X|X|X|CARRETERA A COCOHITAL SIN NUMERO|X|LUNES|X|X|X|X|X|DOMICILIO |500|14300|x|x|x|2022-02-02|2022-02-09|x|x|x|x|x|DSYPMZPXEANHGLM|x|HOMBRE|X|14800|X|X|X|X|X|X|X|X|CARDENAS|X|X|X|X|X</v>
      </c>
    </row>
    <row r="44" spans="1:82" x14ac:dyDescent="0.25">
      <c r="A44" t="s">
        <v>178</v>
      </c>
      <c r="B44" t="s">
        <v>489</v>
      </c>
      <c r="C44">
        <v>3</v>
      </c>
      <c r="D44" t="s">
        <v>761</v>
      </c>
      <c r="E44" t="s">
        <v>1398</v>
      </c>
      <c r="F44" t="s">
        <v>770</v>
      </c>
      <c r="G44" t="s">
        <v>770</v>
      </c>
      <c r="H44" t="s">
        <v>791</v>
      </c>
      <c r="I44">
        <v>14800</v>
      </c>
      <c r="J44" t="s">
        <v>1</v>
      </c>
      <c r="K44">
        <v>100</v>
      </c>
      <c r="L44">
        <v>50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1270</v>
      </c>
      <c r="AC44" t="s">
        <v>1271</v>
      </c>
      <c r="AD44" s="18" t="s">
        <v>1012</v>
      </c>
      <c r="AE44" t="s">
        <v>4</v>
      </c>
      <c r="AF44" t="s">
        <v>1</v>
      </c>
      <c r="AG44" t="s">
        <v>1</v>
      </c>
      <c r="AH44" t="s">
        <v>1436</v>
      </c>
      <c r="AI44" t="s">
        <v>1686</v>
      </c>
      <c r="AJ44" t="s">
        <v>1</v>
      </c>
      <c r="AK44">
        <v>9331226079</v>
      </c>
      <c r="AL44" t="s">
        <v>1</v>
      </c>
      <c r="AM44" t="s">
        <v>1</v>
      </c>
      <c r="AN44" t="s">
        <v>1</v>
      </c>
      <c r="AO44" t="s">
        <v>1436</v>
      </c>
      <c r="AP44" t="s">
        <v>1</v>
      </c>
      <c r="AQ44" t="s">
        <v>2</v>
      </c>
      <c r="AR44" t="s">
        <v>1</v>
      </c>
      <c r="AS44" t="s">
        <v>1</v>
      </c>
      <c r="AT44" t="s">
        <v>1</v>
      </c>
      <c r="AU44" t="s">
        <v>1</v>
      </c>
      <c r="AV44" t="s">
        <v>1</v>
      </c>
      <c r="AW44" t="s">
        <v>11</v>
      </c>
      <c r="AX44">
        <f>Tabla1[[#This Row],[precio del paquete]]-Tabla1[[#This Row],[Saldo_Deudor]]</f>
        <v>400</v>
      </c>
      <c r="AY44">
        <v>14400</v>
      </c>
      <c r="AZ44" t="s">
        <v>3</v>
      </c>
      <c r="BA44" t="s">
        <v>3</v>
      </c>
      <c r="BB44" t="s">
        <v>3</v>
      </c>
      <c r="BC44" t="s">
        <v>772</v>
      </c>
      <c r="BD44" t="s">
        <v>1891</v>
      </c>
      <c r="BE44" t="s">
        <v>3</v>
      </c>
      <c r="BF44" t="s">
        <v>3</v>
      </c>
      <c r="BG44" t="s">
        <v>3</v>
      </c>
      <c r="BH44" t="s">
        <v>3</v>
      </c>
      <c r="BI44" t="s">
        <v>3</v>
      </c>
      <c r="BJ44" t="s">
        <v>1937</v>
      </c>
      <c r="BK44" t="s">
        <v>3</v>
      </c>
      <c r="BL44" t="s">
        <v>132</v>
      </c>
      <c r="BM44" t="s">
        <v>1</v>
      </c>
      <c r="BN44">
        <f>Tabla1[[#This Row],[precio del paquete]]</f>
        <v>14800</v>
      </c>
      <c r="BO44" t="s">
        <v>1</v>
      </c>
      <c r="BP44" t="s">
        <v>1</v>
      </c>
      <c r="BQ44" t="s">
        <v>1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1</v>
      </c>
      <c r="CD44" t="str" cm="1">
        <f t="array" aca="1" ref="CD44" ca="1">eConcatenar(A44:CB44,"|")</f>
        <v>ezs5GazDfp1xOZsn|COM2022-0170|3|MEMORIAL|TABASCO|COMALCALCO|COMALCALCO|2022-01-17|14800|X|100|50|0|0|0|0|0|0|0|0|0|0|0|0|0|0|0|LEYVA|CHABLE|BEGONIA|SOLTERO|X|X|CARRETERA A COCOHITAL SIN NUMERO|RANCHERIA IGNACIO ZARAGOZA TERCERA SECCION |X|9331226079|X|X|X|CARRETERA A COCOHITAL SIN NUMERO|X|LUNES|X|X|X|X|X|DOMICILIO |400|14400|x|x|x|2022-12-02|2022-12-09|x|x|x|x|x|DSYPMZPXEANHGLM|x|HOMBRE|X|14800|X|X|X|X|X|X|X|X|CARDENAS|X|X|X|X|X</v>
      </c>
    </row>
    <row r="45" spans="1:82" x14ac:dyDescent="0.25">
      <c r="A45" t="s">
        <v>179</v>
      </c>
      <c r="B45" t="s">
        <v>490</v>
      </c>
      <c r="C45">
        <v>3</v>
      </c>
      <c r="D45" t="s">
        <v>761</v>
      </c>
      <c r="E45" t="s">
        <v>1398</v>
      </c>
      <c r="F45" t="s">
        <v>770</v>
      </c>
      <c r="G45" t="s">
        <v>770</v>
      </c>
      <c r="H45" t="s">
        <v>792</v>
      </c>
      <c r="I45">
        <v>14800</v>
      </c>
      <c r="J45" t="s">
        <v>1</v>
      </c>
      <c r="K45">
        <v>100</v>
      </c>
      <c r="L45">
        <v>50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1272</v>
      </c>
      <c r="AC45" t="s">
        <v>1269</v>
      </c>
      <c r="AD45" s="18" t="s">
        <v>1013</v>
      </c>
      <c r="AE45" t="s">
        <v>4</v>
      </c>
      <c r="AF45" t="s">
        <v>1</v>
      </c>
      <c r="AG45" t="s">
        <v>1</v>
      </c>
      <c r="AH45" t="s">
        <v>1437</v>
      </c>
      <c r="AI45" t="s">
        <v>1687</v>
      </c>
      <c r="AJ45" t="s">
        <v>1</v>
      </c>
      <c r="AK45">
        <v>9331119944</v>
      </c>
      <c r="AL45" t="s">
        <v>1</v>
      </c>
      <c r="AM45" t="s">
        <v>1</v>
      </c>
      <c r="AN45" t="s">
        <v>1</v>
      </c>
      <c r="AO45" t="s">
        <v>1437</v>
      </c>
      <c r="AP45" t="s">
        <v>1</v>
      </c>
      <c r="AQ45" t="s">
        <v>2</v>
      </c>
      <c r="AR45" t="s">
        <v>1</v>
      </c>
      <c r="AS45" t="s">
        <v>1</v>
      </c>
      <c r="AT45" t="s">
        <v>1</v>
      </c>
      <c r="AU45" t="s">
        <v>1</v>
      </c>
      <c r="AV45" t="s">
        <v>1</v>
      </c>
      <c r="AW45" t="s">
        <v>11</v>
      </c>
      <c r="AX45">
        <f>Tabla1[[#This Row],[precio del paquete]]-Tabla1[[#This Row],[Saldo_Deudor]]</f>
        <v>900</v>
      </c>
      <c r="AY45">
        <v>13900</v>
      </c>
      <c r="AZ45" t="s">
        <v>3</v>
      </c>
      <c r="BA45" t="s">
        <v>3</v>
      </c>
      <c r="BB45" t="s">
        <v>3</v>
      </c>
      <c r="BC45" t="s">
        <v>772</v>
      </c>
      <c r="BD45" t="s">
        <v>1891</v>
      </c>
      <c r="BE45" t="s">
        <v>3</v>
      </c>
      <c r="BF45" t="s">
        <v>3</v>
      </c>
      <c r="BG45" t="s">
        <v>3</v>
      </c>
      <c r="BH45" t="s">
        <v>3</v>
      </c>
      <c r="BI45" t="s">
        <v>3</v>
      </c>
      <c r="BJ45" t="s">
        <v>1937</v>
      </c>
      <c r="BK45" t="s">
        <v>3</v>
      </c>
      <c r="BL45" t="s">
        <v>132</v>
      </c>
      <c r="BM45" t="s">
        <v>1</v>
      </c>
      <c r="BN45">
        <f>Tabla1[[#This Row],[precio del paquete]]</f>
        <v>14800</v>
      </c>
      <c r="BO45" t="s">
        <v>1</v>
      </c>
      <c r="BP45" t="s">
        <v>1</v>
      </c>
      <c r="BQ45" t="s">
        <v>1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1</v>
      </c>
      <c r="CD45" t="str" cm="1">
        <f t="array" aca="1" ref="CD45" ca="1">eConcatenar(A45:CB45,"|")</f>
        <v>8dBXM5gq3vGuK6fv|COM2021-3785|3|MEMORIAL|TABASCO|COMALCALCO|COMALCALCO|2021-11-26|14800|X|100|50|0|0|0|0|0|0|0|0|0|0|0|0|0|0|0|BALTAZAR|MENDEZ|DARWIN|SOLTERO|X|X|CALLE JOSE MARIA MORELOS ENTRE MATAMOROS Y ZAPATA |VILLA TECOLUTILLA|X|9331119944|X|X|X|CALLE JOSE MARIA MORELOS ENTRE MATAMOROS Y ZAPATA |X|LUNES|X|X|X|X|X|DOMICILIO |900|13900|x|x|x|2022-12-02|2022-12-09|x|x|x|x|x|DSYPMZPXEANHGLM|x|HOMBRE|X|14800|X|X|X|X|X|X|X|X|CARDENAS|X|X|X|X|X</v>
      </c>
    </row>
    <row r="46" spans="1:82" x14ac:dyDescent="0.25">
      <c r="A46" t="s">
        <v>180</v>
      </c>
      <c r="B46" t="s">
        <v>491</v>
      </c>
      <c r="C46">
        <v>3</v>
      </c>
      <c r="D46" t="s">
        <v>761</v>
      </c>
      <c r="E46" t="s">
        <v>1398</v>
      </c>
      <c r="F46" t="s">
        <v>770</v>
      </c>
      <c r="G46" t="s">
        <v>770</v>
      </c>
      <c r="H46" t="s">
        <v>793</v>
      </c>
      <c r="I46">
        <v>14800</v>
      </c>
      <c r="J46" t="s">
        <v>1</v>
      </c>
      <c r="K46">
        <v>100</v>
      </c>
      <c r="L46">
        <v>50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1359</v>
      </c>
      <c r="AC46" t="s">
        <v>1185</v>
      </c>
      <c r="AD46" s="18" t="s">
        <v>1191</v>
      </c>
      <c r="AE46" t="s">
        <v>4</v>
      </c>
      <c r="AF46" t="s">
        <v>1</v>
      </c>
      <c r="AG46" t="s">
        <v>1</v>
      </c>
      <c r="AH46" t="s">
        <v>1438</v>
      </c>
      <c r="AI46" t="s">
        <v>1688</v>
      </c>
      <c r="AJ46" t="s">
        <v>1</v>
      </c>
      <c r="AK46">
        <v>9331688149</v>
      </c>
      <c r="AL46" t="s">
        <v>1</v>
      </c>
      <c r="AM46" t="s">
        <v>1</v>
      </c>
      <c r="AN46" t="s">
        <v>1</v>
      </c>
      <c r="AO46" t="s">
        <v>1438</v>
      </c>
      <c r="AP46" t="s">
        <v>1</v>
      </c>
      <c r="AQ46" t="s">
        <v>2</v>
      </c>
      <c r="AR46" t="s">
        <v>1</v>
      </c>
      <c r="AS46" t="s">
        <v>1</v>
      </c>
      <c r="AT46" t="s">
        <v>1</v>
      </c>
      <c r="AU46" t="s">
        <v>1</v>
      </c>
      <c r="AV46" t="s">
        <v>1</v>
      </c>
      <c r="AW46" t="s">
        <v>11</v>
      </c>
      <c r="AX46">
        <f>Tabla1[[#This Row],[precio del paquete]]-Tabla1[[#This Row],[Saldo_Deudor]]</f>
        <v>13000</v>
      </c>
      <c r="AY46">
        <v>1800</v>
      </c>
      <c r="AZ46" t="s">
        <v>3</v>
      </c>
      <c r="BA46" t="s">
        <v>3</v>
      </c>
      <c r="BB46" t="s">
        <v>3</v>
      </c>
      <c r="BC46" t="s">
        <v>936</v>
      </c>
      <c r="BD46" t="s">
        <v>1878</v>
      </c>
      <c r="BE46" t="s">
        <v>3</v>
      </c>
      <c r="BF46" t="s">
        <v>3</v>
      </c>
      <c r="BG46" t="s">
        <v>3</v>
      </c>
      <c r="BH46" t="s">
        <v>3</v>
      </c>
      <c r="BI46" t="s">
        <v>3</v>
      </c>
      <c r="BJ46" t="s">
        <v>1937</v>
      </c>
      <c r="BK46" t="s">
        <v>3</v>
      </c>
      <c r="BL46" t="s">
        <v>132</v>
      </c>
      <c r="BM46" t="s">
        <v>1</v>
      </c>
      <c r="BN46">
        <f>Tabla1[[#This Row],[precio del paquete]]</f>
        <v>14800</v>
      </c>
      <c r="BO46" t="s">
        <v>1</v>
      </c>
      <c r="BP46" t="s">
        <v>1</v>
      </c>
      <c r="BQ46" t="s">
        <v>1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1</v>
      </c>
      <c r="CD46" t="str" cm="1">
        <f t="array" aca="1" ref="CD46" ca="1">eConcatenar(A46:CB46,"|")</f>
        <v>CFWxmpLnJEGfG9kz|COM2019-2239|3|MEMORIAL|TABASCO|COMALCALCO|COMALCALCO|2019-08-17|14800|X|100|50|0|0|0|0|0|0|0|0|0|0|0|0|0|0|0|BROCA|RODRIGUEZ|GUADALUPE|SOLTERO|X|X|ATRÃS DE LA PRIMARIA|RANCHERIA PATASTAL PRIMERA SECCION |X|9331688149|X|X|X|ATRÃS DE LA PRIMARIA|X|LUNES|X|X|X|X|X|DOMICILIO |13000|1800|x|x|x|2022-11-02|2022-11-09|x|x|x|x|x|DSYPMZPXEANHGLM|x|HOMBRE|X|14800|X|X|X|X|X|X|X|X|CARDENAS|X|X|X|X|X</v>
      </c>
    </row>
    <row r="47" spans="1:82" x14ac:dyDescent="0.25">
      <c r="A47" t="s">
        <v>181</v>
      </c>
      <c r="B47" t="s">
        <v>492</v>
      </c>
      <c r="C47">
        <v>3</v>
      </c>
      <c r="D47" t="s">
        <v>761</v>
      </c>
      <c r="E47" t="s">
        <v>1398</v>
      </c>
      <c r="F47" t="s">
        <v>770</v>
      </c>
      <c r="G47" t="s">
        <v>770</v>
      </c>
      <c r="H47" t="s">
        <v>794</v>
      </c>
      <c r="I47">
        <v>14800</v>
      </c>
      <c r="J47" t="s">
        <v>1</v>
      </c>
      <c r="K47">
        <v>100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1248</v>
      </c>
      <c r="AC47" t="s">
        <v>1270</v>
      </c>
      <c r="AD47" s="18" t="s">
        <v>1014</v>
      </c>
      <c r="AE47" t="s">
        <v>4</v>
      </c>
      <c r="AF47" t="s">
        <v>1</v>
      </c>
      <c r="AG47" t="s">
        <v>1</v>
      </c>
      <c r="AH47" t="s">
        <v>1439</v>
      </c>
      <c r="AI47" t="s">
        <v>1689</v>
      </c>
      <c r="AJ47" t="s">
        <v>1</v>
      </c>
      <c r="AK47">
        <v>9331562524</v>
      </c>
      <c r="AL47" t="s">
        <v>1</v>
      </c>
      <c r="AM47" t="s">
        <v>1</v>
      </c>
      <c r="AN47" t="s">
        <v>1</v>
      </c>
      <c r="AO47" t="s">
        <v>1439</v>
      </c>
      <c r="AP47" t="s">
        <v>1</v>
      </c>
      <c r="AQ47" t="s">
        <v>2</v>
      </c>
      <c r="AR47" t="s">
        <v>1</v>
      </c>
      <c r="AS47" t="s">
        <v>1</v>
      </c>
      <c r="AT47" t="s">
        <v>1</v>
      </c>
      <c r="AU47" t="s">
        <v>1</v>
      </c>
      <c r="AV47" t="s">
        <v>1</v>
      </c>
      <c r="AW47" t="s">
        <v>11</v>
      </c>
      <c r="AX47">
        <f>Tabla1[[#This Row],[precio del paquete]]-Tabla1[[#This Row],[Saldo_Deudor]]</f>
        <v>1200</v>
      </c>
      <c r="AY47">
        <v>13600</v>
      </c>
      <c r="AZ47" t="s">
        <v>3</v>
      </c>
      <c r="BA47" t="s">
        <v>3</v>
      </c>
      <c r="BB47" t="s">
        <v>3</v>
      </c>
      <c r="BC47" t="s">
        <v>936</v>
      </c>
      <c r="BD47" t="s">
        <v>1878</v>
      </c>
      <c r="BE47" t="s">
        <v>3</v>
      </c>
      <c r="BF47" t="s">
        <v>3</v>
      </c>
      <c r="BG47" t="s">
        <v>3</v>
      </c>
      <c r="BH47" t="s">
        <v>3</v>
      </c>
      <c r="BI47" t="s">
        <v>3</v>
      </c>
      <c r="BJ47" t="s">
        <v>1937</v>
      </c>
      <c r="BK47" t="s">
        <v>3</v>
      </c>
      <c r="BL47" t="s">
        <v>132</v>
      </c>
      <c r="BM47" t="s">
        <v>1</v>
      </c>
      <c r="BN47">
        <f>Tabla1[[#This Row],[precio del paquete]]</f>
        <v>14800</v>
      </c>
      <c r="BO47" t="s">
        <v>1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1</v>
      </c>
      <c r="CD47" t="str" cm="1">
        <f t="array" aca="1" ref="CD47" ca="1">eConcatenar(A47:CB47,"|")</f>
        <v>knfc6Jhvl1KaPNRw|COM2022-0327|3|MEMORIAL|TABASCO|COMALCALCO|COMALCALCO|2022-01-26|14800|X|100|50|0|0|0|0|0|0|0|0|0|0|0|0|0|0|0|PEREZ|LEYVA|PABLO|SOLTERO|X|X|ENTRADA DE LA ESCUELA PRIMARIA |COLONIA SUR ALDAMA|X|9331562524|X|X|X|ENTRADA DE LA ESCUELA PRIMARIA |X|LUNES|X|X|X|X|X|DOMICILIO |1200|13600|x|x|x|2022-11-02|2022-11-09|x|x|x|x|x|DSYPMZPXEANHGLM|x|HOMBRE|X|14800|X|X|X|X|X|X|X|X|CARDENAS|X|X|X|X|X</v>
      </c>
    </row>
    <row r="48" spans="1:82" x14ac:dyDescent="0.25">
      <c r="A48" t="s">
        <v>182</v>
      </c>
      <c r="B48" t="s">
        <v>493</v>
      </c>
      <c r="C48">
        <v>3</v>
      </c>
      <c r="D48" t="s">
        <v>761</v>
      </c>
      <c r="E48" t="s">
        <v>1398</v>
      </c>
      <c r="F48" t="s">
        <v>770</v>
      </c>
      <c r="G48" t="s">
        <v>770</v>
      </c>
      <c r="H48" t="s">
        <v>795</v>
      </c>
      <c r="I48">
        <v>14800</v>
      </c>
      <c r="J48" t="s">
        <v>1</v>
      </c>
      <c r="K48">
        <v>50</v>
      </c>
      <c r="L48">
        <v>50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1273</v>
      </c>
      <c r="AC48" t="s">
        <v>1228</v>
      </c>
      <c r="AD48" s="18" t="s">
        <v>1015</v>
      </c>
      <c r="AE48" t="s">
        <v>4</v>
      </c>
      <c r="AF48" t="s">
        <v>1</v>
      </c>
      <c r="AG48" t="s">
        <v>1</v>
      </c>
      <c r="AH48" t="s">
        <v>1440</v>
      </c>
      <c r="AI48" t="s">
        <v>1690</v>
      </c>
      <c r="AJ48" t="s">
        <v>1</v>
      </c>
      <c r="AK48">
        <v>9331304998</v>
      </c>
      <c r="AL48" t="s">
        <v>1</v>
      </c>
      <c r="AM48" t="s">
        <v>1</v>
      </c>
      <c r="AN48" t="s">
        <v>1</v>
      </c>
      <c r="AO48" t="s">
        <v>1440</v>
      </c>
      <c r="AP48" t="s">
        <v>1</v>
      </c>
      <c r="AQ48" t="s">
        <v>2</v>
      </c>
      <c r="AR48" t="s">
        <v>1</v>
      </c>
      <c r="AS48" t="s">
        <v>1</v>
      </c>
      <c r="AT48" t="s">
        <v>1</v>
      </c>
      <c r="AU48" t="s">
        <v>1</v>
      </c>
      <c r="AV48" t="s">
        <v>1</v>
      </c>
      <c r="AW48" t="s">
        <v>11</v>
      </c>
      <c r="AX48">
        <f>Tabla1[[#This Row],[precio del paquete]]-Tabla1[[#This Row],[Saldo_Deudor]]</f>
        <v>250</v>
      </c>
      <c r="AY48">
        <v>14550</v>
      </c>
      <c r="AZ48" t="s">
        <v>3</v>
      </c>
      <c r="BA48" t="s">
        <v>3</v>
      </c>
      <c r="BB48" t="s">
        <v>3</v>
      </c>
      <c r="BC48" t="s">
        <v>936</v>
      </c>
      <c r="BD48" t="s">
        <v>1878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1937</v>
      </c>
      <c r="BK48" t="s">
        <v>3</v>
      </c>
      <c r="BL48" t="s">
        <v>132</v>
      </c>
      <c r="BM48" t="s">
        <v>1</v>
      </c>
      <c r="BN48">
        <f>Tabla1[[#This Row],[precio del paquete]]</f>
        <v>14800</v>
      </c>
      <c r="BO48" t="s">
        <v>1</v>
      </c>
      <c r="BP48" t="s">
        <v>1</v>
      </c>
      <c r="BQ48" t="s">
        <v>1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1</v>
      </c>
      <c r="CD48" t="str" cm="1">
        <f t="array" aca="1" ref="CD48" ca="1">eConcatenar(A48:CB48,"|")</f>
        <v>XWqHFQ1rbzSgFV17|COM2022-0151|3|MEMORIAL|TABASCO|COMALCALCO|COMALCALCO|2022-12-01|14800|X|50|50|0|0|0|0|0|0|0|0|0|0|0|0|0|0|0|MONTEJO|RAMOS|JORGE|SOLTERO|X|X|CALLE RENACIMIENTO 336|VILLA ALDAMA |X|9331304998|X|X|X|CALLE RENACIMIENTO 336|X|LUNES|X|X|X|X|X|DOMICILIO |250|14550|x|x|x|2022-11-02|2022-11-09|x|x|x|x|x|DSYPMZPXEANHGLM|x|HOMBRE|X|14800|X|X|X|X|X|X|X|X|CARDENAS|X|X|X|X|X</v>
      </c>
    </row>
    <row r="49" spans="1:82" x14ac:dyDescent="0.25">
      <c r="A49" t="s">
        <v>183</v>
      </c>
      <c r="B49" t="s">
        <v>494</v>
      </c>
      <c r="C49">
        <v>3</v>
      </c>
      <c r="D49" t="s">
        <v>761</v>
      </c>
      <c r="E49" t="s">
        <v>1398</v>
      </c>
      <c r="F49" t="s">
        <v>770</v>
      </c>
      <c r="G49" t="s">
        <v>770</v>
      </c>
      <c r="H49" t="s">
        <v>796</v>
      </c>
      <c r="I49">
        <v>14800</v>
      </c>
      <c r="J49" t="s">
        <v>1</v>
      </c>
      <c r="K49">
        <v>300</v>
      </c>
      <c r="L49">
        <v>50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1270</v>
      </c>
      <c r="AC49" t="s">
        <v>1248</v>
      </c>
      <c r="AD49" s="18" t="s">
        <v>1016</v>
      </c>
      <c r="AE49" t="s">
        <v>4</v>
      </c>
      <c r="AF49" t="s">
        <v>1</v>
      </c>
      <c r="AG49" t="s">
        <v>1</v>
      </c>
      <c r="AH49" t="s">
        <v>1441</v>
      </c>
      <c r="AI49" t="s">
        <v>1691</v>
      </c>
      <c r="AJ49" t="s">
        <v>1</v>
      </c>
      <c r="AK49">
        <v>9331013523</v>
      </c>
      <c r="AL49" t="s">
        <v>1</v>
      </c>
      <c r="AM49" t="s">
        <v>1</v>
      </c>
      <c r="AN49" t="s">
        <v>1</v>
      </c>
      <c r="AO49" t="s">
        <v>1441</v>
      </c>
      <c r="AP49" t="s">
        <v>1</v>
      </c>
      <c r="AQ49" t="s">
        <v>2</v>
      </c>
      <c r="AR49" t="s">
        <v>1</v>
      </c>
      <c r="AS49" t="s">
        <v>1</v>
      </c>
      <c r="AT49" t="s">
        <v>1</v>
      </c>
      <c r="AU49" t="s">
        <v>1</v>
      </c>
      <c r="AV49" t="s">
        <v>1</v>
      </c>
      <c r="AW49" t="s">
        <v>11</v>
      </c>
      <c r="AX49">
        <f>Tabla1[[#This Row],[precio del paquete]]-Tabla1[[#This Row],[Saldo_Deudor]]</f>
        <v>10050</v>
      </c>
      <c r="AY49">
        <v>4750</v>
      </c>
      <c r="AZ49" t="s">
        <v>3</v>
      </c>
      <c r="BA49" t="s">
        <v>3</v>
      </c>
      <c r="BB49" t="s">
        <v>3</v>
      </c>
      <c r="BC49" t="s">
        <v>936</v>
      </c>
      <c r="BD49" t="s">
        <v>1878</v>
      </c>
      <c r="BE49" t="s">
        <v>3</v>
      </c>
      <c r="BF49" t="s">
        <v>3</v>
      </c>
      <c r="BG49" t="s">
        <v>3</v>
      </c>
      <c r="BH49" t="s">
        <v>3</v>
      </c>
      <c r="BI49" t="s">
        <v>3</v>
      </c>
      <c r="BJ49" t="s">
        <v>1937</v>
      </c>
      <c r="BK49" t="s">
        <v>3</v>
      </c>
      <c r="BL49" t="s">
        <v>132</v>
      </c>
      <c r="BM49" t="s">
        <v>1</v>
      </c>
      <c r="BN49">
        <f>Tabla1[[#This Row],[precio del paquete]]</f>
        <v>14800</v>
      </c>
      <c r="BO49" t="s">
        <v>1</v>
      </c>
      <c r="BP49" t="s">
        <v>1</v>
      </c>
      <c r="BQ49" t="s">
        <v>1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1</v>
      </c>
      <c r="CD49" t="str" cm="1">
        <f t="array" aca="1" ref="CD49" ca="1">eConcatenar(A49:CB49,"|")</f>
        <v>2ePJLG9v9JToiffm|COM2019-1847|3|MEMORIAL|TABASCO|COMALCALCO|COMALCALCO|2019-07-15|14800|X|300|50|2|0|0|0|0|0|0|0|0|0|0|0|0|0|0|LEYVA|PEREZ|ERMELINDA|SOLTERO|X|X|CARRETERA CARLOS GREEN SIN NUMERO|RANCHERIA ALDAMA SEGUNDA SECCION |X|9331013523|X|X|X|CARRETERA CARLOS GREEN SIN NUMERO|X|LUNES|X|X|X|X|X|DOMICILIO |10050|4750|x|x|x|2022-11-02|2022-11-09|x|x|x|x|x|DSYPMZPXEANHGLM|x|HOMBRE|X|14800|X|X|X|X|X|X|X|X|CARDENAS|X|X|X|X|X</v>
      </c>
    </row>
    <row r="50" spans="1:82" x14ac:dyDescent="0.25">
      <c r="A50" t="s">
        <v>184</v>
      </c>
      <c r="B50" t="s">
        <v>495</v>
      </c>
      <c r="C50">
        <v>3</v>
      </c>
      <c r="D50" t="s">
        <v>761</v>
      </c>
      <c r="E50" t="s">
        <v>1398</v>
      </c>
      <c r="F50" t="s">
        <v>770</v>
      </c>
      <c r="G50" t="s">
        <v>770</v>
      </c>
      <c r="H50" t="s">
        <v>797</v>
      </c>
      <c r="I50">
        <v>14800</v>
      </c>
      <c r="J50" t="s">
        <v>1</v>
      </c>
      <c r="K50">
        <v>100</v>
      </c>
      <c r="L50">
        <v>50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1233</v>
      </c>
      <c r="AC50" t="s">
        <v>1274</v>
      </c>
      <c r="AD50" s="18" t="s">
        <v>1017</v>
      </c>
      <c r="AE50" t="s">
        <v>4</v>
      </c>
      <c r="AF50" t="s">
        <v>1</v>
      </c>
      <c r="AG50" t="s">
        <v>1</v>
      </c>
      <c r="AH50" t="s">
        <v>1442</v>
      </c>
      <c r="AI50" t="s">
        <v>1692</v>
      </c>
      <c r="AJ50" t="s">
        <v>1</v>
      </c>
      <c r="AK50">
        <v>9331640701</v>
      </c>
      <c r="AL50" t="s">
        <v>1</v>
      </c>
      <c r="AM50" t="s">
        <v>1</v>
      </c>
      <c r="AN50" t="s">
        <v>1</v>
      </c>
      <c r="AO50" t="s">
        <v>1442</v>
      </c>
      <c r="AP50" t="s">
        <v>1</v>
      </c>
      <c r="AQ50" t="s">
        <v>2</v>
      </c>
      <c r="AR50" t="s">
        <v>1</v>
      </c>
      <c r="AS50" t="s">
        <v>1</v>
      </c>
      <c r="AT50" t="s">
        <v>1</v>
      </c>
      <c r="AU50" t="s">
        <v>1</v>
      </c>
      <c r="AV50" t="s">
        <v>1</v>
      </c>
      <c r="AW50" t="s">
        <v>11</v>
      </c>
      <c r="AX50">
        <f>Tabla1[[#This Row],[precio del paquete]]-Tabla1[[#This Row],[Saldo_Deudor]]</f>
        <v>400</v>
      </c>
      <c r="AY50">
        <v>14400</v>
      </c>
      <c r="AZ50" t="s">
        <v>3</v>
      </c>
      <c r="BA50" t="s">
        <v>3</v>
      </c>
      <c r="BB50" t="s">
        <v>3</v>
      </c>
      <c r="BC50" t="s">
        <v>936</v>
      </c>
      <c r="BD50" t="s">
        <v>1878</v>
      </c>
      <c r="BE50" t="s">
        <v>3</v>
      </c>
      <c r="BF50" t="s">
        <v>3</v>
      </c>
      <c r="BG50" t="s">
        <v>3</v>
      </c>
      <c r="BH50" t="s">
        <v>3</v>
      </c>
      <c r="BI50" t="s">
        <v>3</v>
      </c>
      <c r="BJ50" t="s">
        <v>1937</v>
      </c>
      <c r="BK50" t="s">
        <v>3</v>
      </c>
      <c r="BL50" t="s">
        <v>132</v>
      </c>
      <c r="BM50" t="s">
        <v>1</v>
      </c>
      <c r="BN50">
        <f>Tabla1[[#This Row],[precio del paquete]]</f>
        <v>14800</v>
      </c>
      <c r="BO50" t="s">
        <v>1</v>
      </c>
      <c r="BP50" t="s">
        <v>1</v>
      </c>
      <c r="BQ50" t="s">
        <v>1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1</v>
      </c>
      <c r="CD50" t="str" cm="1">
        <f t="array" aca="1" ref="CD50" ca="1">eConcatenar(A50:CB50,"|")</f>
        <v>JFDQydu1eP53kawj|COM2022-0184|3|MEMORIAL|TABASCO|COMALCALCO|COMALCALCO|2022-01-20|14800|X|100|50|0|0|0|0|0|0|0|0|0|0|0|0|0|0|0|DIAZ|ALMEIDA|ZORAIDA|SOLTERO|X|X|CARRETERA ARENA PRIMERA SECCION |COLONIA SUR ALDAMA |X|9331640701|X|X|X|CARRETERA ARENA PRIMERA SECCION |X|LUNES|X|X|X|X|X|DOMICILIO |400|14400|x|x|x|2022-11-02|2022-11-09|x|x|x|x|x|DSYPMZPXEANHGLM|x|HOMBRE|X|14800|X|X|X|X|X|X|X|X|CARDENAS|X|X|X|X|X</v>
      </c>
    </row>
    <row r="51" spans="1:82" x14ac:dyDescent="0.25">
      <c r="A51" t="s">
        <v>185</v>
      </c>
      <c r="B51" t="s">
        <v>496</v>
      </c>
      <c r="C51">
        <v>3</v>
      </c>
      <c r="D51" t="s">
        <v>761</v>
      </c>
      <c r="E51" t="s">
        <v>1398</v>
      </c>
      <c r="F51" t="s">
        <v>770</v>
      </c>
      <c r="G51" t="s">
        <v>770</v>
      </c>
      <c r="H51" t="s">
        <v>798</v>
      </c>
      <c r="I51">
        <v>14800</v>
      </c>
      <c r="J51" t="s">
        <v>1</v>
      </c>
      <c r="K51">
        <v>200</v>
      </c>
      <c r="L51">
        <v>50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1226</v>
      </c>
      <c r="AC51" t="s">
        <v>1275</v>
      </c>
      <c r="AD51" s="18" t="s">
        <v>1018</v>
      </c>
      <c r="AE51" t="s">
        <v>4</v>
      </c>
      <c r="AF51" t="s">
        <v>1</v>
      </c>
      <c r="AG51" t="s">
        <v>1</v>
      </c>
      <c r="AH51" t="s">
        <v>1443</v>
      </c>
      <c r="AI51" t="s">
        <v>1693</v>
      </c>
      <c r="AJ51" t="s">
        <v>1</v>
      </c>
      <c r="AK51">
        <v>9331020362</v>
      </c>
      <c r="AL51" t="s">
        <v>1</v>
      </c>
      <c r="AM51" t="s">
        <v>1</v>
      </c>
      <c r="AN51" t="s">
        <v>1</v>
      </c>
      <c r="AO51" t="s">
        <v>1443</v>
      </c>
      <c r="AP51" t="s">
        <v>1</v>
      </c>
      <c r="AQ51" t="s">
        <v>2</v>
      </c>
      <c r="AR51" t="s">
        <v>1</v>
      </c>
      <c r="AS51" t="s">
        <v>1</v>
      </c>
      <c r="AT51" t="s">
        <v>1</v>
      </c>
      <c r="AU51" t="s">
        <v>1</v>
      </c>
      <c r="AV51" t="s">
        <v>1</v>
      </c>
      <c r="AW51" t="s">
        <v>11</v>
      </c>
      <c r="AX51">
        <f>Tabla1[[#This Row],[precio del paquete]]-Tabla1[[#This Row],[Saldo_Deudor]]</f>
        <v>8260</v>
      </c>
      <c r="AY51">
        <v>6540</v>
      </c>
      <c r="AZ51" t="s">
        <v>3</v>
      </c>
      <c r="BA51" t="s">
        <v>3</v>
      </c>
      <c r="BB51" t="s">
        <v>3</v>
      </c>
      <c r="BC51" t="s">
        <v>1841</v>
      </c>
      <c r="BD51" t="s">
        <v>1892</v>
      </c>
      <c r="BE51" t="s">
        <v>3</v>
      </c>
      <c r="BF51" t="s">
        <v>3</v>
      </c>
      <c r="BG51" t="s">
        <v>3</v>
      </c>
      <c r="BH51" t="s">
        <v>3</v>
      </c>
      <c r="BI51" t="s">
        <v>3</v>
      </c>
      <c r="BJ51" t="s">
        <v>1937</v>
      </c>
      <c r="BK51" t="s">
        <v>3</v>
      </c>
      <c r="BL51" t="s">
        <v>132</v>
      </c>
      <c r="BM51" t="s">
        <v>1</v>
      </c>
      <c r="BN51">
        <f>Tabla1[[#This Row],[precio del paquete]]</f>
        <v>14800</v>
      </c>
      <c r="BO51" t="s">
        <v>1</v>
      </c>
      <c r="BP51" t="s">
        <v>1</v>
      </c>
      <c r="BQ51" t="s">
        <v>1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1</v>
      </c>
      <c r="CD51" t="str" cm="1">
        <f t="array" aca="1" ref="CD51" ca="1">eConcatenar(A51:CB51,"|")</f>
        <v>fsT3SjWJOSgMj5X3|COM2021-2184|3|MEMORIAL|TABASCO|COMALCALCO|COMALCALCO|2021-06-29|14800|X|200|50|1|0|0|0|0|0|0|0|0|0|0|0|0|0|0|CRUZ|FLEITES|ANGEL DE LS|SOLTERO|X|X|CARRETERA A LA COLONIA VECINAL|RANCHERIA PATASTAL SEGUBDA SECCION |X|9331020362|X|X|X|CARRETERA A LA COLONIA VECINAL|X|LUNES|X|X|X|X|X|DOMICILIO |8260|6540|x|x|x|2022-11-01|2022-11-08|x|x|x|x|x|DSYPMZPXEANHGLM|x|HOMBRE|X|14800|X|X|X|X|X|X|X|X|CARDENAS|X|X|X|X|X</v>
      </c>
    </row>
    <row r="52" spans="1:82" x14ac:dyDescent="0.25">
      <c r="A52" t="s">
        <v>186</v>
      </c>
      <c r="B52" t="s">
        <v>497</v>
      </c>
      <c r="C52">
        <v>3</v>
      </c>
      <c r="D52" t="s">
        <v>761</v>
      </c>
      <c r="E52" t="s">
        <v>1398</v>
      </c>
      <c r="F52" t="s">
        <v>0</v>
      </c>
      <c r="G52" t="s">
        <v>0</v>
      </c>
      <c r="H52" t="s">
        <v>799</v>
      </c>
      <c r="I52">
        <v>14800</v>
      </c>
      <c r="J52" t="s">
        <v>1</v>
      </c>
      <c r="K52">
        <v>200</v>
      </c>
      <c r="L52">
        <v>50</v>
      </c>
      <c r="M52">
        <v>1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1276</v>
      </c>
      <c r="AC52" t="s">
        <v>1235</v>
      </c>
      <c r="AD52" s="18" t="s">
        <v>1019</v>
      </c>
      <c r="AE52" t="s">
        <v>4</v>
      </c>
      <c r="AF52" t="s">
        <v>1</v>
      </c>
      <c r="AG52" t="s">
        <v>1</v>
      </c>
      <c r="AH52" t="s">
        <v>1444</v>
      </c>
      <c r="AI52" t="s">
        <v>1694</v>
      </c>
      <c r="AJ52" t="s">
        <v>1</v>
      </c>
      <c r="AK52" t="s">
        <v>1</v>
      </c>
      <c r="AL52" t="s">
        <v>1</v>
      </c>
      <c r="AM52" t="s">
        <v>1</v>
      </c>
      <c r="AN52" t="s">
        <v>1</v>
      </c>
      <c r="AO52" t="s">
        <v>1444</v>
      </c>
      <c r="AP52" t="s">
        <v>1</v>
      </c>
      <c r="AQ52" t="s">
        <v>2</v>
      </c>
      <c r="AR52" t="s">
        <v>1</v>
      </c>
      <c r="AS52" t="s">
        <v>1</v>
      </c>
      <c r="AT52" t="s">
        <v>1</v>
      </c>
      <c r="AU52" t="s">
        <v>1</v>
      </c>
      <c r="AV52" t="s">
        <v>1</v>
      </c>
      <c r="AW52" t="s">
        <v>11</v>
      </c>
      <c r="AX52">
        <f>Tabla1[[#This Row],[precio del paquete]]-Tabla1[[#This Row],[Saldo_Deudor]]</f>
        <v>800</v>
      </c>
      <c r="AY52">
        <v>14000</v>
      </c>
      <c r="AZ52" t="s">
        <v>3</v>
      </c>
      <c r="BA52" t="s">
        <v>3</v>
      </c>
      <c r="BB52" t="s">
        <v>3</v>
      </c>
      <c r="BC52" t="s">
        <v>1841</v>
      </c>
      <c r="BD52" t="s">
        <v>1892</v>
      </c>
      <c r="BE52" t="s">
        <v>3</v>
      </c>
      <c r="BF52" t="s">
        <v>3</v>
      </c>
      <c r="BG52" t="s">
        <v>3</v>
      </c>
      <c r="BH52" t="s">
        <v>3</v>
      </c>
      <c r="BI52" t="s">
        <v>3</v>
      </c>
      <c r="BJ52" t="s">
        <v>1938</v>
      </c>
      <c r="BK52" t="s">
        <v>3</v>
      </c>
      <c r="BL52" t="s">
        <v>132</v>
      </c>
      <c r="BM52" t="s">
        <v>1</v>
      </c>
      <c r="BN52">
        <f>Tabla1[[#This Row],[precio del paquete]]</f>
        <v>14800</v>
      </c>
      <c r="BO52" t="s">
        <v>1</v>
      </c>
      <c r="BP52" t="s">
        <v>1</v>
      </c>
      <c r="BQ52" t="s">
        <v>1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1</v>
      </c>
      <c r="CD52" t="str" cm="1">
        <f t="array" aca="1" ref="CD52" ca="1">eConcatenar(A52:CB52,"|")</f>
        <v>ISjI3Drvzutc7Kng|CAR2021-5474|3|MEMORIAL|TABASCO|CARDENAS|CARDENAS|2022-02-01|14800|X|200|50|1|0|0|0|0|0|0|0|0|0|0|0|0|0|0|MARTINEZ|IZQUIERDO|DIEGO|SOLTERO|X|X|CALLE FRANCISCO I MADERO |CALZADA|X|X|X|X|X|CALLE FRANCISCO I MADERO |X|LUNES|X|X|X|X|X|DOMICILIO |800|14000|x|x|x|2022-11-01|2022-11-08|x|x|x|x|x|CUZ2SKRCKVTMLTR|x|HOMBRE|X|14800|X|X|X|X|X|X|X|X|CARDENAS|X|X|X|X|X</v>
      </c>
    </row>
    <row r="53" spans="1:82" x14ac:dyDescent="0.25">
      <c r="A53" t="s">
        <v>187</v>
      </c>
      <c r="B53" t="s">
        <v>498</v>
      </c>
      <c r="C53">
        <v>3</v>
      </c>
      <c r="D53" t="s">
        <v>763</v>
      </c>
      <c r="E53" t="s">
        <v>1398</v>
      </c>
      <c r="F53" t="s">
        <v>0</v>
      </c>
      <c r="G53" t="s">
        <v>0</v>
      </c>
      <c r="H53" t="s">
        <v>800</v>
      </c>
      <c r="I53">
        <v>12900</v>
      </c>
      <c r="J53" t="s">
        <v>1</v>
      </c>
      <c r="K53">
        <v>200</v>
      </c>
      <c r="L53">
        <v>50</v>
      </c>
      <c r="M53">
        <v>2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1240</v>
      </c>
      <c r="AC53" t="s">
        <v>1277</v>
      </c>
      <c r="AD53" s="18" t="s">
        <v>1020</v>
      </c>
      <c r="AE53" t="s">
        <v>4</v>
      </c>
      <c r="AF53" t="s">
        <v>1</v>
      </c>
      <c r="AG53" t="s">
        <v>1</v>
      </c>
      <c r="AH53" t="s">
        <v>1445</v>
      </c>
      <c r="AI53" t="s">
        <v>1695</v>
      </c>
      <c r="AJ53" t="s">
        <v>1</v>
      </c>
      <c r="AK53">
        <v>9371256517</v>
      </c>
      <c r="AL53" t="s">
        <v>1</v>
      </c>
      <c r="AM53" t="s">
        <v>1</v>
      </c>
      <c r="AN53" t="s">
        <v>1</v>
      </c>
      <c r="AO53" t="s">
        <v>1445</v>
      </c>
      <c r="AP53" t="s">
        <v>1</v>
      </c>
      <c r="AQ53" t="s">
        <v>2</v>
      </c>
      <c r="AR53" t="s">
        <v>1</v>
      </c>
      <c r="AS53" t="s">
        <v>1</v>
      </c>
      <c r="AT53" t="s">
        <v>1</v>
      </c>
      <c r="AU53" t="s">
        <v>1</v>
      </c>
      <c r="AV53" t="s">
        <v>1</v>
      </c>
      <c r="AW53" t="s">
        <v>11</v>
      </c>
      <c r="AX53">
        <f>Tabla1[[#This Row],[precio del paquete]]-Tabla1[[#This Row],[Saldo_Deudor]]</f>
        <v>5900</v>
      </c>
      <c r="AY53">
        <v>7000</v>
      </c>
      <c r="AZ53" t="s">
        <v>3</v>
      </c>
      <c r="BA53" t="s">
        <v>3</v>
      </c>
      <c r="BB53" t="s">
        <v>3</v>
      </c>
      <c r="BC53" t="s">
        <v>1841</v>
      </c>
      <c r="BD53" t="s">
        <v>1892</v>
      </c>
      <c r="BE53" t="s">
        <v>3</v>
      </c>
      <c r="BF53" t="s">
        <v>3</v>
      </c>
      <c r="BG53" t="s">
        <v>3</v>
      </c>
      <c r="BH53" t="s">
        <v>3</v>
      </c>
      <c r="BI53" t="s">
        <v>3</v>
      </c>
      <c r="BJ53" t="s">
        <v>1938</v>
      </c>
      <c r="BK53" t="s">
        <v>3</v>
      </c>
      <c r="BL53" t="s">
        <v>132</v>
      </c>
      <c r="BM53" t="s">
        <v>1</v>
      </c>
      <c r="BN53">
        <f>Tabla1[[#This Row],[precio del paquete]]</f>
        <v>12900</v>
      </c>
      <c r="BO53" t="s">
        <v>1</v>
      </c>
      <c r="BP53" t="s">
        <v>1</v>
      </c>
      <c r="BQ53" t="s">
        <v>1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1</v>
      </c>
      <c r="CD53" t="str" cm="1">
        <f t="array" aca="1" ref="CD53" ca="1">eConcatenar(A53:CB53,"|")</f>
        <v>Suf9ZvUFk4p8xpK4|CAR2020-4001|3|IMPERIAL DE LUJO|TABASCO|CARDENAS|CARDENAS|2020-10-13|12900|X|200|50|2|0|0|0|0|0|0|0|0|0|0|0|0|0|0|SUAREZ|DEL RIO|MARIA CRUZ|SOLTERO|X|X|PROLONGACION SANTOS DEGOLLADO NUMERO 16|COLONIA SANTA MARIA DE GUADALUPE |X|9371256517|X|X|X|PROLONGACION SANTOS DEGOLLADO NUMERO 16|X|LUNES|X|X|X|X|X|DOMICILIO |5900|7000|x|x|x|2022-11-01|2022-11-08|x|x|x|x|x|CUZ2SKRCKVTMLTR|x|HOMBRE|X|12900|X|X|X|X|X|X|X|X|CARDENAS|X|X|X|X|X</v>
      </c>
    </row>
    <row r="54" spans="1:82" x14ac:dyDescent="0.25">
      <c r="A54" t="s">
        <v>188</v>
      </c>
      <c r="B54" t="s">
        <v>499</v>
      </c>
      <c r="C54">
        <v>3</v>
      </c>
      <c r="D54" t="s">
        <v>763</v>
      </c>
      <c r="E54" t="s">
        <v>1398</v>
      </c>
      <c r="F54" t="s">
        <v>0</v>
      </c>
      <c r="G54" t="s">
        <v>0</v>
      </c>
      <c r="H54" t="s">
        <v>801</v>
      </c>
      <c r="I54">
        <v>12900</v>
      </c>
      <c r="J54" t="s">
        <v>1</v>
      </c>
      <c r="K54">
        <v>100</v>
      </c>
      <c r="L54">
        <v>50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1278</v>
      </c>
      <c r="AC54" t="s">
        <v>1279</v>
      </c>
      <c r="AD54" s="18" t="s">
        <v>1021</v>
      </c>
      <c r="AE54" t="s">
        <v>4</v>
      </c>
      <c r="AF54" t="s">
        <v>1</v>
      </c>
      <c r="AG54" t="s">
        <v>1</v>
      </c>
      <c r="AH54" t="s">
        <v>1446</v>
      </c>
      <c r="AI54" t="s">
        <v>1696</v>
      </c>
      <c r="AJ54" t="s">
        <v>1</v>
      </c>
      <c r="AK54">
        <v>9371186220</v>
      </c>
      <c r="AL54" t="s">
        <v>1</v>
      </c>
      <c r="AM54" t="s">
        <v>1</v>
      </c>
      <c r="AN54" t="s">
        <v>1</v>
      </c>
      <c r="AO54" t="s">
        <v>1446</v>
      </c>
      <c r="AP54" t="s">
        <v>1</v>
      </c>
      <c r="AQ54" t="s">
        <v>2</v>
      </c>
      <c r="AR54" t="s">
        <v>1</v>
      </c>
      <c r="AS54" t="s">
        <v>1</v>
      </c>
      <c r="AT54" t="s">
        <v>1</v>
      </c>
      <c r="AU54" t="s">
        <v>1</v>
      </c>
      <c r="AV54" t="s">
        <v>1</v>
      </c>
      <c r="AW54" t="s">
        <v>11</v>
      </c>
      <c r="AX54">
        <f>Tabla1[[#This Row],[precio del paquete]]-Tabla1[[#This Row],[Saldo_Deudor]]</f>
        <v>6100</v>
      </c>
      <c r="AY54">
        <v>6800</v>
      </c>
      <c r="AZ54" t="s">
        <v>3</v>
      </c>
      <c r="BA54" t="s">
        <v>3</v>
      </c>
      <c r="BB54" t="s">
        <v>3</v>
      </c>
      <c r="BC54" t="s">
        <v>936</v>
      </c>
      <c r="BD54" t="s">
        <v>1878</v>
      </c>
      <c r="BE54" t="s">
        <v>3</v>
      </c>
      <c r="BF54" t="s">
        <v>3</v>
      </c>
      <c r="BG54" t="s">
        <v>3</v>
      </c>
      <c r="BH54" t="s">
        <v>3</v>
      </c>
      <c r="BI54" t="s">
        <v>3</v>
      </c>
      <c r="BJ54" t="s">
        <v>1938</v>
      </c>
      <c r="BK54" t="s">
        <v>3</v>
      </c>
      <c r="BL54" t="s">
        <v>132</v>
      </c>
      <c r="BM54" t="s">
        <v>1</v>
      </c>
      <c r="BN54">
        <f>Tabla1[[#This Row],[precio del paquete]]</f>
        <v>12900</v>
      </c>
      <c r="BO54" t="s">
        <v>1</v>
      </c>
      <c r="BP54" t="s">
        <v>1</v>
      </c>
      <c r="BQ54" t="s">
        <v>1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1</v>
      </c>
      <c r="CD54" t="str" cm="1">
        <f t="array" aca="1" ref="CD54" ca="1">eConcatenar(A54:CB54,"|")</f>
        <v>kxmx0rs8kgmtRjtj|CAR2020-4049|3|IMPERIAL DE LUJO|TABASCO|CARDENAS|CARDENAS|2020-10-16|12900|X|100|50|0|0|0|0|0|0|0|0|0|0|0|0|0|0|0|MACIAS|LANDERO|MARIO|SOLTERO|X|X|CALLE NICOLOSA CANO DE DOMINGUEZ NUMERO 33|COLONIA GUADALUPE|X|9371186220|X|X|X|CALLE NICOLOSA CANO DE DOMINGUEZ NUMERO 33|X|LUNES|X|X|X|X|X|DOMICILIO |6100|6800|x|x|x|2022-11-02|2022-11-09|x|x|x|x|x|CUZ2SKRCKVTMLTR|x|HOMBRE|X|12900|X|X|X|X|X|X|X|X|CARDENAS|X|X|X|X|X</v>
      </c>
    </row>
    <row r="55" spans="1:82" x14ac:dyDescent="0.25">
      <c r="A55" t="s">
        <v>189</v>
      </c>
      <c r="B55" t="s">
        <v>500</v>
      </c>
      <c r="C55">
        <v>3</v>
      </c>
      <c r="D55" t="s">
        <v>764</v>
      </c>
      <c r="E55" t="s">
        <v>1398</v>
      </c>
      <c r="F55" t="s">
        <v>0</v>
      </c>
      <c r="G55" t="s">
        <v>0</v>
      </c>
      <c r="H55" t="s">
        <v>802</v>
      </c>
      <c r="I55">
        <v>31500</v>
      </c>
      <c r="J55" t="s">
        <v>1</v>
      </c>
      <c r="K55">
        <v>500</v>
      </c>
      <c r="L55">
        <v>50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1228</v>
      </c>
      <c r="AC55" t="s">
        <v>1247</v>
      </c>
      <c r="AD55" s="18" t="s">
        <v>1022</v>
      </c>
      <c r="AE55" t="s">
        <v>4</v>
      </c>
      <c r="AF55" t="s">
        <v>1</v>
      </c>
      <c r="AG55" t="s">
        <v>1</v>
      </c>
      <c r="AH55" t="s">
        <v>1</v>
      </c>
      <c r="AI55" t="s">
        <v>1697</v>
      </c>
      <c r="AJ55" t="s">
        <v>1</v>
      </c>
      <c r="AK55">
        <v>9371666427</v>
      </c>
      <c r="AL55" t="s">
        <v>1</v>
      </c>
      <c r="AM55" t="s">
        <v>1</v>
      </c>
      <c r="AN55" t="s">
        <v>1</v>
      </c>
      <c r="AO55" t="s">
        <v>1</v>
      </c>
      <c r="AP55" t="s">
        <v>1</v>
      </c>
      <c r="AQ55" t="s">
        <v>2</v>
      </c>
      <c r="AR55" t="s">
        <v>1</v>
      </c>
      <c r="AS55" t="s">
        <v>1</v>
      </c>
      <c r="AT55" t="s">
        <v>1</v>
      </c>
      <c r="AU55" t="s">
        <v>1</v>
      </c>
      <c r="AV55" t="s">
        <v>1</v>
      </c>
      <c r="AW55" t="s">
        <v>11</v>
      </c>
      <c r="AX55">
        <f>Tabla1[[#This Row],[precio del paquete]]-Tabla1[[#This Row],[Saldo_Deudor]]</f>
        <v>16300</v>
      </c>
      <c r="AY55">
        <v>15200</v>
      </c>
      <c r="AZ55" t="s">
        <v>3</v>
      </c>
      <c r="BA55" t="s">
        <v>3</v>
      </c>
      <c r="BB55" t="s">
        <v>3</v>
      </c>
      <c r="BC55" t="s">
        <v>936</v>
      </c>
      <c r="BD55" t="s">
        <v>1878</v>
      </c>
      <c r="BE55" t="s">
        <v>3</v>
      </c>
      <c r="BF55" t="s">
        <v>3</v>
      </c>
      <c r="BG55" t="s">
        <v>3</v>
      </c>
      <c r="BH55" t="s">
        <v>3</v>
      </c>
      <c r="BI55" t="s">
        <v>3</v>
      </c>
      <c r="BJ55" t="s">
        <v>1938</v>
      </c>
      <c r="BK55" t="s">
        <v>3</v>
      </c>
      <c r="BL55" t="s">
        <v>132</v>
      </c>
      <c r="BM55" t="s">
        <v>1</v>
      </c>
      <c r="BN55">
        <f>Tabla1[[#This Row],[precio del paquete]]</f>
        <v>31500</v>
      </c>
      <c r="BO55" t="s">
        <v>1</v>
      </c>
      <c r="BP55" t="s">
        <v>1</v>
      </c>
      <c r="BQ55" t="s">
        <v>1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1</v>
      </c>
      <c r="CD55" t="str" cm="1">
        <f t="array" aca="1" ref="CD55" ca="1">eConcatenar(A55:CB55,"|")</f>
        <v>mz0sXDEgQR1iNYxX|CAR2020-2838|3|PRESIDENCIAL|TABASCO|CARDENAS|CARDENAS|2020-02-09|31500|X|500|50|1|0|0|0|0|0|0|0|0|0|0|0|0|0|0|RAMOS|SANCHEZ|ADELINA|SOLTERO|X|X|X|PERIFERICO CARLOS A MADRAZO|X|9371666427|X|X|X|X|X|LUNES|X|X|X|X|X|DOMICILIO |16300|15200|x|x|x|2022-11-02|2022-11-09|x|x|x|x|x|CUZ2SKRCKVTMLTR|x|HOMBRE|X|31500|X|X|X|X|X|X|X|X|CARDENAS|X|X|X|X|X</v>
      </c>
    </row>
    <row r="56" spans="1:82" x14ac:dyDescent="0.25">
      <c r="A56" t="s">
        <v>190</v>
      </c>
      <c r="B56" t="s">
        <v>501</v>
      </c>
      <c r="C56">
        <v>3</v>
      </c>
      <c r="D56" t="s">
        <v>761</v>
      </c>
      <c r="E56" t="s">
        <v>1398</v>
      </c>
      <c r="F56" t="s">
        <v>0</v>
      </c>
      <c r="G56" t="s">
        <v>0</v>
      </c>
      <c r="H56" t="s">
        <v>803</v>
      </c>
      <c r="I56">
        <v>14800</v>
      </c>
      <c r="J56" t="s">
        <v>1</v>
      </c>
      <c r="K56">
        <v>200</v>
      </c>
      <c r="L56">
        <v>50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1227</v>
      </c>
      <c r="AC56" t="s">
        <v>1280</v>
      </c>
      <c r="AD56" s="18" t="s">
        <v>1023</v>
      </c>
      <c r="AE56" t="s">
        <v>4</v>
      </c>
      <c r="AF56" t="s">
        <v>1</v>
      </c>
      <c r="AG56" t="s">
        <v>1</v>
      </c>
      <c r="AH56" t="s">
        <v>1447</v>
      </c>
      <c r="AI56" t="s">
        <v>1698</v>
      </c>
      <c r="AJ56" t="s">
        <v>1</v>
      </c>
      <c r="AK56">
        <v>9371193713</v>
      </c>
      <c r="AL56" t="s">
        <v>1</v>
      </c>
      <c r="AM56" t="s">
        <v>1</v>
      </c>
      <c r="AN56" t="s">
        <v>1</v>
      </c>
      <c r="AO56" t="s">
        <v>1447</v>
      </c>
      <c r="AP56" t="s">
        <v>1</v>
      </c>
      <c r="AQ56" t="s">
        <v>2</v>
      </c>
      <c r="AR56" t="s">
        <v>1</v>
      </c>
      <c r="AS56" t="s">
        <v>1</v>
      </c>
      <c r="AT56" t="s">
        <v>1</v>
      </c>
      <c r="AU56" t="s">
        <v>1</v>
      </c>
      <c r="AV56" t="s">
        <v>1</v>
      </c>
      <c r="AW56" t="s">
        <v>11</v>
      </c>
      <c r="AX56">
        <f>Tabla1[[#This Row],[precio del paquete]]-Tabla1[[#This Row],[Saldo_Deudor]]</f>
        <v>3300</v>
      </c>
      <c r="AY56">
        <v>11500</v>
      </c>
      <c r="AZ56" t="s">
        <v>3</v>
      </c>
      <c r="BA56" t="s">
        <v>3</v>
      </c>
      <c r="BB56" t="s">
        <v>3</v>
      </c>
      <c r="BC56" t="s">
        <v>936</v>
      </c>
      <c r="BD56" t="s">
        <v>1878</v>
      </c>
      <c r="BE56" t="s">
        <v>3</v>
      </c>
      <c r="BF56" t="s">
        <v>3</v>
      </c>
      <c r="BG56" t="s">
        <v>3</v>
      </c>
      <c r="BH56" t="s">
        <v>3</v>
      </c>
      <c r="BI56" t="s">
        <v>3</v>
      </c>
      <c r="BJ56" t="s">
        <v>1938</v>
      </c>
      <c r="BK56" t="s">
        <v>3</v>
      </c>
      <c r="BL56" t="s">
        <v>132</v>
      </c>
      <c r="BM56" t="s">
        <v>1</v>
      </c>
      <c r="BN56">
        <f>Tabla1[[#This Row],[precio del paquete]]</f>
        <v>14800</v>
      </c>
      <c r="BO56" t="s">
        <v>1</v>
      </c>
      <c r="BP56" t="s">
        <v>1</v>
      </c>
      <c r="BQ56" t="s">
        <v>1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1</v>
      </c>
      <c r="CD56" t="str" cm="1">
        <f t="array" aca="1" ref="CD56" ca="1">eConcatenar(A56:CB56,"|")</f>
        <v>TWlOJoUVcH8aHYkQ|CAR2021-3418|3|MEMORIAL|TABASCO|CARDENAS|CARDENAS|2021-10-07|14800|X|200|50|0|0|0|0|0|0|0|0|0|0|0|0|0|0|0|GARCIA|ROSALDO|ROSA LAURA|SOLTERO|X|X|RANCHERIA BAJIO |COLONIA CARDENAS |X|9371193713|X|X|X|RANCHERIA BAJIO |X|LUNES|X|X|X|X|X|DOMICILIO |3300|11500|x|x|x|2022-11-02|2022-11-09|x|x|x|x|x|CUZ2SKRCKVTMLTR|x|HOMBRE|X|14800|X|X|X|X|X|X|X|X|CARDENAS|X|X|X|X|X</v>
      </c>
    </row>
    <row r="57" spans="1:82" x14ac:dyDescent="0.25">
      <c r="A57" t="s">
        <v>191</v>
      </c>
      <c r="B57" t="s">
        <v>502</v>
      </c>
      <c r="C57">
        <v>3</v>
      </c>
      <c r="D57" t="s">
        <v>763</v>
      </c>
      <c r="E57" t="s">
        <v>1398</v>
      </c>
      <c r="F57" t="s">
        <v>0</v>
      </c>
      <c r="G57" t="s">
        <v>0</v>
      </c>
      <c r="H57" t="s">
        <v>804</v>
      </c>
      <c r="I57">
        <v>12900</v>
      </c>
      <c r="J57" t="s">
        <v>1</v>
      </c>
      <c r="K57">
        <v>100</v>
      </c>
      <c r="L57">
        <v>50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1281</v>
      </c>
      <c r="AC57" t="s">
        <v>1282</v>
      </c>
      <c r="AD57" s="18" t="s">
        <v>1024</v>
      </c>
      <c r="AE57" t="s">
        <v>4</v>
      </c>
      <c r="AF57" t="s">
        <v>1</v>
      </c>
      <c r="AG57" t="s">
        <v>1</v>
      </c>
      <c r="AH57" t="s">
        <v>1448</v>
      </c>
      <c r="AI57" t="s">
        <v>1699</v>
      </c>
      <c r="AJ57" t="s">
        <v>1</v>
      </c>
      <c r="AK57">
        <v>9372706968</v>
      </c>
      <c r="AL57" t="s">
        <v>1</v>
      </c>
      <c r="AM57" t="s">
        <v>1</v>
      </c>
      <c r="AN57" t="s">
        <v>1</v>
      </c>
      <c r="AO57" t="s">
        <v>1448</v>
      </c>
      <c r="AP57" t="s">
        <v>1</v>
      </c>
      <c r="AQ57" t="s">
        <v>2</v>
      </c>
      <c r="AR57" t="s">
        <v>1</v>
      </c>
      <c r="AS57" t="s">
        <v>1</v>
      </c>
      <c r="AT57" t="s">
        <v>1</v>
      </c>
      <c r="AU57" t="s">
        <v>1</v>
      </c>
      <c r="AV57" t="s">
        <v>1</v>
      </c>
      <c r="AW57" t="s">
        <v>11</v>
      </c>
      <c r="AX57">
        <f>Tabla1[[#This Row],[precio del paquete]]-Tabla1[[#This Row],[Saldo_Deudor]]</f>
        <v>8000</v>
      </c>
      <c r="AY57">
        <v>4900</v>
      </c>
      <c r="AZ57" t="s">
        <v>3</v>
      </c>
      <c r="BA57" t="s">
        <v>3</v>
      </c>
      <c r="BB57" t="s">
        <v>3</v>
      </c>
      <c r="BC57" t="s">
        <v>936</v>
      </c>
      <c r="BD57" t="s">
        <v>1878</v>
      </c>
      <c r="BE57" t="s">
        <v>3</v>
      </c>
      <c r="BF57" t="s">
        <v>3</v>
      </c>
      <c r="BG57" t="s">
        <v>3</v>
      </c>
      <c r="BH57" t="s">
        <v>3</v>
      </c>
      <c r="BI57" t="s">
        <v>3</v>
      </c>
      <c r="BJ57" t="s">
        <v>1938</v>
      </c>
      <c r="BK57" t="s">
        <v>3</v>
      </c>
      <c r="BL57" t="s">
        <v>132</v>
      </c>
      <c r="BM57" t="s">
        <v>1</v>
      </c>
      <c r="BN57">
        <f>Tabla1[[#This Row],[precio del paquete]]</f>
        <v>12900</v>
      </c>
      <c r="BO57" t="s">
        <v>1</v>
      </c>
      <c r="BP57" t="s">
        <v>1</v>
      </c>
      <c r="BQ57" t="s">
        <v>1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1</v>
      </c>
      <c r="CD57" t="str" cm="1">
        <f t="array" aca="1" ref="CD57" ca="1">eConcatenar(A57:CB57,"|")</f>
        <v>uU9nUHk1CMLmnPxw|CAR2020-2438|3|IMPERIAL DE LUJO|TABASCO|CARDENAS|CARDENAS|2020-08-13|12900|X|100|50|0|0|0|0|0|0|0|0|0|0|0|0|0|0|0|AREVALO|OSORIO|MARIA JESUS|SOLTERO|X|X|PERIFERICO SIN NUMERO |COLONIA EL BAJIO PRIMERA SECCION |X|9372706968|X|X|X|PERIFERICO SIN NUMERO |X|LUNES|X|X|X|X|X|DOMICILIO |8000|4900|x|x|x|2022-11-02|2022-11-09|x|x|x|x|x|CUZ2SKRCKVTMLTR|x|HOMBRE|X|12900|X|X|X|X|X|X|X|X|CARDENAS|X|X|X|X|X</v>
      </c>
    </row>
    <row r="58" spans="1:82" x14ac:dyDescent="0.25">
      <c r="A58" t="s">
        <v>192</v>
      </c>
      <c r="B58" t="s">
        <v>503</v>
      </c>
      <c r="C58">
        <v>3</v>
      </c>
      <c r="D58" t="s">
        <v>761</v>
      </c>
      <c r="E58" t="s">
        <v>1398</v>
      </c>
      <c r="F58" t="s">
        <v>0</v>
      </c>
      <c r="G58" t="s">
        <v>0</v>
      </c>
      <c r="H58" t="s">
        <v>805</v>
      </c>
      <c r="I58">
        <v>14800</v>
      </c>
      <c r="J58" t="s">
        <v>1</v>
      </c>
      <c r="K58">
        <v>50</v>
      </c>
      <c r="L58">
        <v>50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1283</v>
      </c>
      <c r="AC58" t="s">
        <v>1284</v>
      </c>
      <c r="AD58" s="18" t="s">
        <v>1025</v>
      </c>
      <c r="AE58" t="s">
        <v>4</v>
      </c>
      <c r="AF58" t="s">
        <v>1</v>
      </c>
      <c r="AG58" t="s">
        <v>1</v>
      </c>
      <c r="AH58" t="s">
        <v>1449</v>
      </c>
      <c r="AI58" t="s">
        <v>1700</v>
      </c>
      <c r="AJ58" t="s">
        <v>1</v>
      </c>
      <c r="AK58">
        <v>9371034892</v>
      </c>
      <c r="AL58" t="s">
        <v>1</v>
      </c>
      <c r="AM58" t="s">
        <v>1</v>
      </c>
      <c r="AN58" t="s">
        <v>1</v>
      </c>
      <c r="AO58" t="s">
        <v>1449</v>
      </c>
      <c r="AP58" t="s">
        <v>1</v>
      </c>
      <c r="AQ58" t="s">
        <v>2</v>
      </c>
      <c r="AR58" t="s">
        <v>1</v>
      </c>
      <c r="AS58" t="s">
        <v>1</v>
      </c>
      <c r="AT58" t="s">
        <v>1</v>
      </c>
      <c r="AU58" t="s">
        <v>1</v>
      </c>
      <c r="AV58" t="s">
        <v>1</v>
      </c>
      <c r="AW58" t="s">
        <v>11</v>
      </c>
      <c r="AX58">
        <f>Tabla1[[#This Row],[precio del paquete]]-Tabla1[[#This Row],[Saldo_Deudor]]</f>
        <v>750</v>
      </c>
      <c r="AY58">
        <v>14050</v>
      </c>
      <c r="AZ58" t="s">
        <v>3</v>
      </c>
      <c r="BA58" t="s">
        <v>3</v>
      </c>
      <c r="BB58" t="s">
        <v>3</v>
      </c>
      <c r="BC58" t="s">
        <v>936</v>
      </c>
      <c r="BD58" t="s">
        <v>1878</v>
      </c>
      <c r="BE58" t="s">
        <v>3</v>
      </c>
      <c r="BF58" t="s">
        <v>3</v>
      </c>
      <c r="BG58" t="s">
        <v>3</v>
      </c>
      <c r="BH58" t="s">
        <v>3</v>
      </c>
      <c r="BI58" t="s">
        <v>3</v>
      </c>
      <c r="BJ58" t="s">
        <v>1938</v>
      </c>
      <c r="BK58" t="s">
        <v>3</v>
      </c>
      <c r="BL58" t="s">
        <v>132</v>
      </c>
      <c r="BM58" t="s">
        <v>1</v>
      </c>
      <c r="BN58">
        <f>Tabla1[[#This Row],[precio del paquete]]</f>
        <v>14800</v>
      </c>
      <c r="BO58" t="s">
        <v>1</v>
      </c>
      <c r="BP58" t="s">
        <v>1</v>
      </c>
      <c r="BQ58" t="s">
        <v>1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1</v>
      </c>
      <c r="CD58" t="str" cm="1">
        <f t="array" aca="1" ref="CD58" ca="1">eConcatenar(A58:CB58,"|")</f>
        <v>GHi2yGtJ9UFX1iFu|CAR2021-6609|3|MEMORIAL|TABASCO|CARDENAS|CARDENAS|2021-10-30|14800|X|50|50|0|0|0|0|0|0|0|0|0|0|0|0|0|0|0|SERRA|CARRASCO|LETICIA|SOLTERO|X|X|CALLE NUMERO 5 CASA NUMERO 93|COLONIA URBANA HABANERO|X|9371034892|X|X|X|CALLE NUMERO 5 CASA NUMERO 93|X|LUNES|X|X|X|X|X|DOMICILIO |750|14050|x|x|x|2022-11-02|2022-11-09|x|x|x|x|x|CUZ2SKRCKVTMLTR|x|HOMBRE|X|14800|X|X|X|X|X|X|X|X|CARDENAS|X|X|X|X|X</v>
      </c>
    </row>
    <row r="59" spans="1:82" x14ac:dyDescent="0.25">
      <c r="A59" t="s">
        <v>193</v>
      </c>
      <c r="B59" t="s">
        <v>504</v>
      </c>
      <c r="C59">
        <v>3</v>
      </c>
      <c r="D59" t="s">
        <v>761</v>
      </c>
      <c r="E59" t="s">
        <v>1398</v>
      </c>
      <c r="F59" t="s">
        <v>0</v>
      </c>
      <c r="G59" t="s">
        <v>0</v>
      </c>
      <c r="H59" t="s">
        <v>806</v>
      </c>
      <c r="I59">
        <v>14800</v>
      </c>
      <c r="J59" t="s">
        <v>1</v>
      </c>
      <c r="K59">
        <v>400</v>
      </c>
      <c r="L59">
        <v>50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1285</v>
      </c>
      <c r="AC59" t="s">
        <v>1286</v>
      </c>
      <c r="AD59" s="18" t="s">
        <v>1026</v>
      </c>
      <c r="AE59" t="s">
        <v>4</v>
      </c>
      <c r="AF59" t="s">
        <v>1</v>
      </c>
      <c r="AG59" t="s">
        <v>1</v>
      </c>
      <c r="AH59" t="s">
        <v>1450</v>
      </c>
      <c r="AI59" t="s">
        <v>1680</v>
      </c>
      <c r="AJ59" t="s">
        <v>1</v>
      </c>
      <c r="AK59">
        <v>9371633537</v>
      </c>
      <c r="AL59" t="s">
        <v>1</v>
      </c>
      <c r="AM59" t="s">
        <v>1</v>
      </c>
      <c r="AN59" t="s">
        <v>1</v>
      </c>
      <c r="AO59" t="s">
        <v>1450</v>
      </c>
      <c r="AP59" t="s">
        <v>1</v>
      </c>
      <c r="AQ59" t="s">
        <v>2</v>
      </c>
      <c r="AR59" t="s">
        <v>1</v>
      </c>
      <c r="AS59" t="s">
        <v>1</v>
      </c>
      <c r="AT59" t="s">
        <v>1</v>
      </c>
      <c r="AU59" t="s">
        <v>1</v>
      </c>
      <c r="AV59" t="s">
        <v>1</v>
      </c>
      <c r="AW59" t="s">
        <v>11</v>
      </c>
      <c r="AX59">
        <f>Tabla1[[#This Row],[precio del paquete]]-Tabla1[[#This Row],[Saldo_Deudor]]</f>
        <v>1900</v>
      </c>
      <c r="AY59">
        <v>12900</v>
      </c>
      <c r="AZ59" t="s">
        <v>3</v>
      </c>
      <c r="BA59" t="s">
        <v>3</v>
      </c>
      <c r="BB59" t="s">
        <v>3</v>
      </c>
      <c r="BC59" t="s">
        <v>936</v>
      </c>
      <c r="BD59" t="s">
        <v>1878</v>
      </c>
      <c r="BE59" t="s">
        <v>3</v>
      </c>
      <c r="BF59" t="s">
        <v>3</v>
      </c>
      <c r="BG59" t="s">
        <v>3</v>
      </c>
      <c r="BH59" t="s">
        <v>3</v>
      </c>
      <c r="BI59" t="s">
        <v>3</v>
      </c>
      <c r="BJ59" t="s">
        <v>1938</v>
      </c>
      <c r="BK59" t="s">
        <v>3</v>
      </c>
      <c r="BL59" t="s">
        <v>132</v>
      </c>
      <c r="BM59" t="s">
        <v>1</v>
      </c>
      <c r="BN59">
        <f>Tabla1[[#This Row],[precio del paquete]]</f>
        <v>14800</v>
      </c>
      <c r="BO59" t="s">
        <v>1</v>
      </c>
      <c r="BP59" t="s">
        <v>1</v>
      </c>
      <c r="BQ59" t="s">
        <v>1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1</v>
      </c>
      <c r="CD59" t="str" cm="1">
        <f t="array" aca="1" ref="CD59" ca="1">eConcatenar(A59:CB59,"|")</f>
        <v>3yzFIpqIwBec7uZN|CAR2021-6252|3|MEMORIAL|TABASCO|CARDENAS|CARDENAS|2021-10-20|14800|X|400|50|0|0|0|0|0|0|0|0|0|0|0|0|0|0|0|SARMIENTO|MENDOZA|GABRIEL|SOLTERO|X|X|CALLE 8 SIN NUMERO|EJIDO HABANERO PRIMERA SECCION |X|9371633537|X|X|X|CALLE 8 SIN NUMERO|X|LUNES|X|X|X|X|X|DOMICILIO |1900|12900|x|x|x|2022-11-02|2022-11-09|x|x|x|x|x|CUZ2SKRCKVTMLTR|x|HOMBRE|X|14800|X|X|X|X|X|X|X|X|CARDENAS|X|X|X|X|X</v>
      </c>
    </row>
    <row r="60" spans="1:82" x14ac:dyDescent="0.25">
      <c r="A60" t="s">
        <v>194</v>
      </c>
      <c r="B60" t="s">
        <v>505</v>
      </c>
      <c r="C60">
        <v>3</v>
      </c>
      <c r="D60" t="s">
        <v>761</v>
      </c>
      <c r="E60" t="s">
        <v>1398</v>
      </c>
      <c r="F60" t="s">
        <v>0</v>
      </c>
      <c r="G60" t="s">
        <v>0</v>
      </c>
      <c r="H60" t="s">
        <v>807</v>
      </c>
      <c r="I60">
        <v>14800</v>
      </c>
      <c r="J60" t="s">
        <v>1</v>
      </c>
      <c r="K60">
        <v>100</v>
      </c>
      <c r="L60">
        <v>50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1260</v>
      </c>
      <c r="AC60" t="s">
        <v>1287</v>
      </c>
      <c r="AD60" s="18" t="s">
        <v>1027</v>
      </c>
      <c r="AE60" t="s">
        <v>4</v>
      </c>
      <c r="AF60" t="s">
        <v>1</v>
      </c>
      <c r="AG60" t="s">
        <v>1</v>
      </c>
      <c r="AH60" t="s">
        <v>1451</v>
      </c>
      <c r="AI60" t="s">
        <v>1700</v>
      </c>
      <c r="AJ60" t="s">
        <v>1</v>
      </c>
      <c r="AK60">
        <v>9371265882</v>
      </c>
      <c r="AL60" t="s">
        <v>1</v>
      </c>
      <c r="AM60" t="s">
        <v>1</v>
      </c>
      <c r="AN60" t="s">
        <v>1</v>
      </c>
      <c r="AO60" t="s">
        <v>1451</v>
      </c>
      <c r="AP60" t="s">
        <v>1</v>
      </c>
      <c r="AQ60" t="s">
        <v>2</v>
      </c>
      <c r="AR60" t="s">
        <v>1</v>
      </c>
      <c r="AS60" t="s">
        <v>1</v>
      </c>
      <c r="AT60" t="s">
        <v>1</v>
      </c>
      <c r="AU60" t="s">
        <v>1</v>
      </c>
      <c r="AV60" t="s">
        <v>1</v>
      </c>
      <c r="AW60" t="s">
        <v>11</v>
      </c>
      <c r="AX60">
        <f>Tabla1[[#This Row],[precio del paquete]]-Tabla1[[#This Row],[Saldo_Deudor]]</f>
        <v>1600</v>
      </c>
      <c r="AY60">
        <v>13200</v>
      </c>
      <c r="AZ60" t="s">
        <v>3</v>
      </c>
      <c r="BA60" t="s">
        <v>3</v>
      </c>
      <c r="BB60" t="s">
        <v>3</v>
      </c>
      <c r="BC60" t="s">
        <v>936</v>
      </c>
      <c r="BD60" t="s">
        <v>1878</v>
      </c>
      <c r="BE60" t="s">
        <v>3</v>
      </c>
      <c r="BF60" t="s">
        <v>3</v>
      </c>
      <c r="BG60" t="s">
        <v>3</v>
      </c>
      <c r="BH60" t="s">
        <v>3</v>
      </c>
      <c r="BI60" t="s">
        <v>3</v>
      </c>
      <c r="BJ60" t="s">
        <v>1937</v>
      </c>
      <c r="BK60" t="s">
        <v>3</v>
      </c>
      <c r="BL60" t="s">
        <v>132</v>
      </c>
      <c r="BM60" t="s">
        <v>1</v>
      </c>
      <c r="BN60">
        <f>Tabla1[[#This Row],[precio del paquete]]</f>
        <v>14800</v>
      </c>
      <c r="BO60" t="s">
        <v>1</v>
      </c>
      <c r="BP60" t="s">
        <v>1</v>
      </c>
      <c r="BQ60" t="s">
        <v>1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1</v>
      </c>
      <c r="CD60" t="str" cm="1">
        <f t="array" aca="1" ref="CD60" ca="1">eConcatenar(A60:CB60,"|")</f>
        <v>KjIM3MMyNY8GUg94|CAR2021-6473|3|MEMORIAL|TABASCO|CARDENAS|CARDENAS|2021-10-27|14800|X|100|50|0|0|0|0|0|0|0|0|0|0|0|0|0|0|0|GONZALEZ|RIVERA|ERIC|SOLTERO|X|X|CALLE 7 NUMERO 128|COLONIA URBANA HABANERO|X|9371265882|X|X|X|CALLE 7 NUMERO 128|X|LUNES|X|X|X|X|X|DOMICILIO |1600|13200|x|x|x|2022-11-02|2022-11-09|x|x|x|x|x|DSYPMZPXEANHGLM|x|HOMBRE|X|14800|X|X|X|X|X|X|X|X|CARDENAS|X|X|X|X|X</v>
      </c>
    </row>
    <row r="61" spans="1:82" x14ac:dyDescent="0.25">
      <c r="A61" t="s">
        <v>195</v>
      </c>
      <c r="B61" t="s">
        <v>506</v>
      </c>
      <c r="C61">
        <v>3</v>
      </c>
      <c r="D61" t="s">
        <v>763</v>
      </c>
      <c r="E61" t="s">
        <v>1398</v>
      </c>
      <c r="F61" t="s">
        <v>0</v>
      </c>
      <c r="G61" t="s">
        <v>0</v>
      </c>
      <c r="H61" t="s">
        <v>808</v>
      </c>
      <c r="I61">
        <v>12900</v>
      </c>
      <c r="J61" t="s">
        <v>1</v>
      </c>
      <c r="K61">
        <v>100</v>
      </c>
      <c r="L61">
        <v>50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1227</v>
      </c>
      <c r="AC61" t="s">
        <v>1288</v>
      </c>
      <c r="AD61" s="18" t="s">
        <v>1025</v>
      </c>
      <c r="AE61" t="s">
        <v>4</v>
      </c>
      <c r="AF61" t="s">
        <v>1</v>
      </c>
      <c r="AG61" t="s">
        <v>1</v>
      </c>
      <c r="AH61" t="s">
        <v>1452</v>
      </c>
      <c r="AI61" t="s">
        <v>1701</v>
      </c>
      <c r="AJ61" t="s">
        <v>1</v>
      </c>
      <c r="AK61">
        <v>9371712431</v>
      </c>
      <c r="AL61" t="s">
        <v>1</v>
      </c>
      <c r="AM61" t="s">
        <v>1</v>
      </c>
      <c r="AN61" t="s">
        <v>1</v>
      </c>
      <c r="AO61" t="s">
        <v>1452</v>
      </c>
      <c r="AP61" t="s">
        <v>1</v>
      </c>
      <c r="AQ61" t="s">
        <v>2</v>
      </c>
      <c r="AR61" t="s">
        <v>1</v>
      </c>
      <c r="AS61" t="s">
        <v>1</v>
      </c>
      <c r="AT61" t="s">
        <v>1</v>
      </c>
      <c r="AU61" t="s">
        <v>1</v>
      </c>
      <c r="AV61" t="s">
        <v>1</v>
      </c>
      <c r="AW61" t="s">
        <v>11</v>
      </c>
      <c r="AX61">
        <f>Tabla1[[#This Row],[precio del paquete]]-Tabla1[[#This Row],[Saldo_Deudor]]</f>
        <v>7650</v>
      </c>
      <c r="AY61">
        <v>5250</v>
      </c>
      <c r="AZ61" t="s">
        <v>3</v>
      </c>
      <c r="BA61" t="s">
        <v>3</v>
      </c>
      <c r="BB61" t="s">
        <v>3</v>
      </c>
      <c r="BC61" t="s">
        <v>936</v>
      </c>
      <c r="BD61" t="s">
        <v>1878</v>
      </c>
      <c r="BE61" t="s">
        <v>3</v>
      </c>
      <c r="BF61" t="s">
        <v>3</v>
      </c>
      <c r="BG61" t="s">
        <v>3</v>
      </c>
      <c r="BH61" t="s">
        <v>3</v>
      </c>
      <c r="BI61" t="s">
        <v>3</v>
      </c>
      <c r="BJ61" t="s">
        <v>1937</v>
      </c>
      <c r="BK61" t="s">
        <v>3</v>
      </c>
      <c r="BL61" t="s">
        <v>132</v>
      </c>
      <c r="BM61" t="s">
        <v>1</v>
      </c>
      <c r="BN61">
        <f>Tabla1[[#This Row],[precio del paquete]]</f>
        <v>12900</v>
      </c>
      <c r="BO61" t="s">
        <v>1</v>
      </c>
      <c r="BP61" t="s">
        <v>1</v>
      </c>
      <c r="BQ61" t="s">
        <v>1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1</v>
      </c>
      <c r="CD61" t="str" cm="1">
        <f t="array" aca="1" ref="CD61" ca="1">eConcatenar(A61:CB61,"|")</f>
        <v>J078N0Hvu8n7BeBx|CAR2020-3413|3|IMPERIAL DE LUJO|TABASCO|CARDENAS|CARDENAS|2020-09-23|12900|X|100|50|0|0|0|0|0|0|0|0|0|0|0|0|0|0|0|GARCIA|ROMERO|LETICIA|SOLTERO|X|X|DESPUES DE LA ENTRADA DE MIAHUATLAN EL CASTAÃ‘O|RANCHERIA HABANERO SEGUBDA SECCION |X|9371712431|X|X|X|DESPUES DE LA ENTRADA DE MIAHUATLAN EL CASTAÃ‘O|X|LUNES|X|X|X|X|X|DOMICILIO |7650|5250|x|x|x|2022-11-02|2022-11-09|x|x|x|x|x|DSYPMZPXEANHGLM|x|HOMBRE|X|12900|X|X|X|X|X|X|X|X|CARDENAS|X|X|X|X|X</v>
      </c>
    </row>
    <row r="62" spans="1:82" x14ac:dyDescent="0.25">
      <c r="A62" t="s">
        <v>196</v>
      </c>
      <c r="B62" t="s">
        <v>507</v>
      </c>
      <c r="C62">
        <v>3</v>
      </c>
      <c r="D62" t="s">
        <v>763</v>
      </c>
      <c r="E62" t="s">
        <v>1398</v>
      </c>
      <c r="F62" t="s">
        <v>0</v>
      </c>
      <c r="G62" t="s">
        <v>0</v>
      </c>
      <c r="H62" t="s">
        <v>809</v>
      </c>
      <c r="I62">
        <v>12900</v>
      </c>
      <c r="J62" t="s">
        <v>1</v>
      </c>
      <c r="K62">
        <v>50</v>
      </c>
      <c r="L62">
        <v>50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1260</v>
      </c>
      <c r="AC62" t="s">
        <v>1232</v>
      </c>
      <c r="AD62" s="18" t="s">
        <v>1028</v>
      </c>
      <c r="AE62" t="s">
        <v>4</v>
      </c>
      <c r="AF62" t="s">
        <v>1</v>
      </c>
      <c r="AG62" t="s">
        <v>1</v>
      </c>
      <c r="AH62" t="s">
        <v>1453</v>
      </c>
      <c r="AI62" t="s">
        <v>1702</v>
      </c>
      <c r="AJ62" t="s">
        <v>1</v>
      </c>
      <c r="AK62">
        <v>9371018219</v>
      </c>
      <c r="AL62" t="s">
        <v>1</v>
      </c>
      <c r="AM62" t="s">
        <v>1</v>
      </c>
      <c r="AN62" t="s">
        <v>1</v>
      </c>
      <c r="AO62" t="s">
        <v>1453</v>
      </c>
      <c r="AP62" t="s">
        <v>1</v>
      </c>
      <c r="AQ62" t="s">
        <v>2</v>
      </c>
      <c r="AR62" t="s">
        <v>1</v>
      </c>
      <c r="AS62" t="s">
        <v>1</v>
      </c>
      <c r="AT62" t="s">
        <v>1</v>
      </c>
      <c r="AU62" t="s">
        <v>1</v>
      </c>
      <c r="AV62" t="s">
        <v>1</v>
      </c>
      <c r="AW62" t="s">
        <v>11</v>
      </c>
      <c r="AX62">
        <f>Tabla1[[#This Row],[precio del paquete]]-Tabla1[[#This Row],[Saldo_Deudor]]</f>
        <v>3600</v>
      </c>
      <c r="AY62">
        <v>9300</v>
      </c>
      <c r="AZ62" t="s">
        <v>3</v>
      </c>
      <c r="BA62" t="s">
        <v>3</v>
      </c>
      <c r="BB62" t="s">
        <v>3</v>
      </c>
      <c r="BC62" t="s">
        <v>936</v>
      </c>
      <c r="BD62" t="s">
        <v>1878</v>
      </c>
      <c r="BE62" t="s">
        <v>3</v>
      </c>
      <c r="BF62" t="s">
        <v>3</v>
      </c>
      <c r="BG62" t="s">
        <v>3</v>
      </c>
      <c r="BH62" t="s">
        <v>3</v>
      </c>
      <c r="BI62" t="s">
        <v>3</v>
      </c>
      <c r="BJ62" t="s">
        <v>1937</v>
      </c>
      <c r="BK62" t="s">
        <v>3</v>
      </c>
      <c r="BL62" t="s">
        <v>132</v>
      </c>
      <c r="BM62" t="s">
        <v>1</v>
      </c>
      <c r="BN62">
        <f>Tabla1[[#This Row],[precio del paquete]]</f>
        <v>12900</v>
      </c>
      <c r="BO62" t="s">
        <v>1</v>
      </c>
      <c r="BP62" t="s">
        <v>1</v>
      </c>
      <c r="BQ62" t="s">
        <v>1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1</v>
      </c>
      <c r="CD62" t="str" cm="1">
        <f t="array" aca="1" ref="CD62" ca="1">eConcatenar(A62:CB62,"|")</f>
        <v>7H62xzjVtCct2G0Q|CAR2020-3250|3|IMPERIAL DE LUJO|TABASCO|CARDENAS|CARDENAS|2020-09-19|12900|X|50|50|0|0|0|0|0|0|0|0|0|0|0|0|0|0|0|GONZALEZ|BRITO|GREGORIA DE LOS ANGELES|SOLTERO|X|X|CALLE XICONTENCALL NUMERO 215|COLONIA CENTRO|X|9371018219|X|X|X|CALLE XICONTENCALL NUMERO 215|X|LUNES|X|X|X|X|X|DOMICILIO |3600|9300|x|x|x|2022-11-02|2022-11-09|x|x|x|x|x|DSYPMZPXEANHGLM|x|HOMBRE|X|12900|X|X|X|X|X|X|X|X|CARDENAS|X|X|X|X|X</v>
      </c>
    </row>
    <row r="63" spans="1:82" x14ac:dyDescent="0.25">
      <c r="A63" t="s">
        <v>197</v>
      </c>
      <c r="B63" t="s">
        <v>508</v>
      </c>
      <c r="C63">
        <v>3</v>
      </c>
      <c r="D63" t="s">
        <v>761</v>
      </c>
      <c r="E63" t="s">
        <v>1398</v>
      </c>
      <c r="F63" t="s">
        <v>0</v>
      </c>
      <c r="G63" t="s">
        <v>0</v>
      </c>
      <c r="H63" t="s">
        <v>810</v>
      </c>
      <c r="I63">
        <v>14800</v>
      </c>
      <c r="J63" t="s">
        <v>1</v>
      </c>
      <c r="K63">
        <v>100</v>
      </c>
      <c r="L63">
        <v>50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1234</v>
      </c>
      <c r="AC63" t="s">
        <v>1266</v>
      </c>
      <c r="AD63" s="18" t="s">
        <v>1029</v>
      </c>
      <c r="AE63" t="s">
        <v>4</v>
      </c>
      <c r="AF63" t="s">
        <v>1</v>
      </c>
      <c r="AG63" t="s">
        <v>1</v>
      </c>
      <c r="AH63" t="s">
        <v>1454</v>
      </c>
      <c r="AI63" t="s">
        <v>1703</v>
      </c>
      <c r="AJ63" t="s">
        <v>1</v>
      </c>
      <c r="AK63">
        <v>9371219049</v>
      </c>
      <c r="AL63" t="s">
        <v>1</v>
      </c>
      <c r="AM63" t="s">
        <v>1</v>
      </c>
      <c r="AN63" t="s">
        <v>1</v>
      </c>
      <c r="AO63" t="s">
        <v>1454</v>
      </c>
      <c r="AP63" t="s">
        <v>1</v>
      </c>
      <c r="AQ63" t="s">
        <v>2</v>
      </c>
      <c r="AR63" t="s">
        <v>1</v>
      </c>
      <c r="AS63" t="s">
        <v>1</v>
      </c>
      <c r="AT63" t="s">
        <v>1</v>
      </c>
      <c r="AU63" t="s">
        <v>1</v>
      </c>
      <c r="AV63" t="s">
        <v>1</v>
      </c>
      <c r="AW63" t="s">
        <v>11</v>
      </c>
      <c r="AX63">
        <f>Tabla1[[#This Row],[precio del paquete]]-Tabla1[[#This Row],[Saldo_Deudor]]</f>
        <v>5500</v>
      </c>
      <c r="AY63">
        <v>9300</v>
      </c>
      <c r="AZ63" t="s">
        <v>3</v>
      </c>
      <c r="BA63" t="s">
        <v>3</v>
      </c>
      <c r="BB63" t="s">
        <v>3</v>
      </c>
      <c r="BC63" t="s">
        <v>936</v>
      </c>
      <c r="BD63" t="s">
        <v>1878</v>
      </c>
      <c r="BE63" t="s">
        <v>3</v>
      </c>
      <c r="BF63" t="s">
        <v>3</v>
      </c>
      <c r="BG63" t="s">
        <v>3</v>
      </c>
      <c r="BH63" t="s">
        <v>3</v>
      </c>
      <c r="BI63" t="s">
        <v>3</v>
      </c>
      <c r="BJ63" t="s">
        <v>1937</v>
      </c>
      <c r="BK63" t="s">
        <v>3</v>
      </c>
      <c r="BL63" t="s">
        <v>132</v>
      </c>
      <c r="BM63" t="s">
        <v>1</v>
      </c>
      <c r="BN63">
        <f>Tabla1[[#This Row],[precio del paquete]]</f>
        <v>14800</v>
      </c>
      <c r="BO63" t="s">
        <v>1</v>
      </c>
      <c r="BP63" t="s">
        <v>1</v>
      </c>
      <c r="BQ63" t="s">
        <v>1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1</v>
      </c>
      <c r="CD63" t="str" cm="1">
        <f t="array" aca="1" ref="CD63" ca="1">eConcatenar(A63:CB63,"|")</f>
        <v>MsrzwCGt0IEK8wpc|CAR2021-2067|3|MEMORIAL|TABASCO|CARDENAS|CARDENAS|2021-05-24|14800|X|100|50|0|0|0|0|0|0|0|0|0|0|0|0|0|0|0|PALMA|HERNANDEZ|EDEN|SOLTERO|X|X|ANDADOR PLACIDO AGUILERA |COLONIA INFONAVIT LO,A BONITA |X|9371219049|X|X|X|ANDADOR PLACIDO AGUILERA |X|LUNES|X|X|X|X|X|DOMICILIO |5500|9300|x|x|x|2022-11-02|2022-11-09|x|x|x|x|x|DSYPMZPXEANHGLM|x|HOMBRE|X|14800|X|X|X|X|X|X|X|X|CARDENAS|X|X|X|X|X</v>
      </c>
    </row>
    <row r="64" spans="1:82" x14ac:dyDescent="0.25">
      <c r="A64" t="s">
        <v>198</v>
      </c>
      <c r="B64" t="s">
        <v>509</v>
      </c>
      <c r="C64">
        <v>3</v>
      </c>
      <c r="D64" t="s">
        <v>763</v>
      </c>
      <c r="E64" t="s">
        <v>1398</v>
      </c>
      <c r="F64" t="s">
        <v>0</v>
      </c>
      <c r="G64" t="s">
        <v>0</v>
      </c>
      <c r="H64" t="s">
        <v>811</v>
      </c>
      <c r="I64">
        <v>12900</v>
      </c>
      <c r="J64" t="s">
        <v>1</v>
      </c>
      <c r="K64">
        <v>100</v>
      </c>
      <c r="L64">
        <v>50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1266</v>
      </c>
      <c r="AC64" t="s">
        <v>1267</v>
      </c>
      <c r="AD64" s="18" t="s">
        <v>1030</v>
      </c>
      <c r="AE64" t="s">
        <v>4</v>
      </c>
      <c r="AF64" t="s">
        <v>1</v>
      </c>
      <c r="AG64" t="s">
        <v>1</v>
      </c>
      <c r="AH64" t="s">
        <v>1455</v>
      </c>
      <c r="AI64" t="s">
        <v>1704</v>
      </c>
      <c r="AJ64" t="s">
        <v>1</v>
      </c>
      <c r="AK64">
        <v>5610660864</v>
      </c>
      <c r="AL64" t="s">
        <v>1</v>
      </c>
      <c r="AM64" t="s">
        <v>1</v>
      </c>
      <c r="AN64" t="s">
        <v>1</v>
      </c>
      <c r="AO64" t="s">
        <v>1455</v>
      </c>
      <c r="AP64" t="s">
        <v>1</v>
      </c>
      <c r="AQ64" t="s">
        <v>2</v>
      </c>
      <c r="AR64" t="s">
        <v>1</v>
      </c>
      <c r="AS64" t="s">
        <v>1</v>
      </c>
      <c r="AT64" t="s">
        <v>1</v>
      </c>
      <c r="AU64" t="s">
        <v>1</v>
      </c>
      <c r="AV64" t="s">
        <v>1</v>
      </c>
      <c r="AW64" t="s">
        <v>11</v>
      </c>
      <c r="AX64">
        <f>Tabla1[[#This Row],[precio del paquete]]-Tabla1[[#This Row],[Saldo_Deudor]]</f>
        <v>4300</v>
      </c>
      <c r="AY64">
        <v>8600</v>
      </c>
      <c r="AZ64" t="s">
        <v>3</v>
      </c>
      <c r="BA64" t="s">
        <v>3</v>
      </c>
      <c r="BB64" t="s">
        <v>3</v>
      </c>
      <c r="BC64" t="s">
        <v>1842</v>
      </c>
      <c r="BD64" t="s">
        <v>1893</v>
      </c>
      <c r="BE64" t="s">
        <v>3</v>
      </c>
      <c r="BF64" t="s">
        <v>3</v>
      </c>
      <c r="BG64" t="s">
        <v>3</v>
      </c>
      <c r="BH64" t="s">
        <v>3</v>
      </c>
      <c r="BI64" t="s">
        <v>3</v>
      </c>
      <c r="BJ64" t="s">
        <v>1937</v>
      </c>
      <c r="BK64" t="s">
        <v>3</v>
      </c>
      <c r="BL64" t="s">
        <v>132</v>
      </c>
      <c r="BM64" t="s">
        <v>1</v>
      </c>
      <c r="BN64">
        <f>Tabla1[[#This Row],[precio del paquete]]</f>
        <v>12900</v>
      </c>
      <c r="BO64" t="s">
        <v>1</v>
      </c>
      <c r="BP64" t="s">
        <v>1</v>
      </c>
      <c r="BQ64" t="s">
        <v>1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1</v>
      </c>
      <c r="CD64" t="str" cm="1">
        <f t="array" aca="1" ref="CD64" ca="1">eConcatenar(A64:CB64,"|")</f>
        <v>rSs2ZXrPUZ5Ue4KZ|CAR2020-3048|3|IMPERIAL DE LUJO|TABASCO|CARDENAS|CARDENAS|2020-10-09|12900|X|100|50|0|0|0|0|0|0|0|0|0|0|0|0|0|0|0|HERNANDEZ|JIMENEZ|JOVANNIEL|SOLTERO|X|X|CALLE NOE DE LA FLOR INTERIOR 2 |COLONIA CARLOS PELLICER CAMARA SAHOP|X|5610660864|X|X|X|CALLE NOE DE LA FLOR INTERIOR 2 |X|LUNES|X|X|X|X|X|DOMICILIO |4300|8600|x|x|x|2022-10-09|2022-10-16|x|x|x|x|x|DSYPMZPXEANHGLM|x|HOMBRE|X|12900|X|X|X|X|X|X|X|X|CARDENAS|X|X|X|X|X</v>
      </c>
    </row>
    <row r="65" spans="1:82" x14ac:dyDescent="0.25">
      <c r="A65" t="s">
        <v>199</v>
      </c>
      <c r="B65" t="s">
        <v>510</v>
      </c>
      <c r="C65">
        <v>3</v>
      </c>
      <c r="D65" t="s">
        <v>763</v>
      </c>
      <c r="E65" t="s">
        <v>1398</v>
      </c>
      <c r="F65" t="s">
        <v>0</v>
      </c>
      <c r="G65" t="s">
        <v>0</v>
      </c>
      <c r="H65" t="s">
        <v>812</v>
      </c>
      <c r="I65">
        <v>12900</v>
      </c>
      <c r="J65" t="s">
        <v>1</v>
      </c>
      <c r="K65">
        <v>200</v>
      </c>
      <c r="L65">
        <v>50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1260</v>
      </c>
      <c r="AC65" t="s">
        <v>1289</v>
      </c>
      <c r="AD65" s="18" t="s">
        <v>1058</v>
      </c>
      <c r="AE65" t="s">
        <v>4</v>
      </c>
      <c r="AF65" t="s">
        <v>1</v>
      </c>
      <c r="AG65" t="s">
        <v>1</v>
      </c>
      <c r="AH65" t="s">
        <v>1456</v>
      </c>
      <c r="AI65" t="s">
        <v>1705</v>
      </c>
      <c r="AJ65" t="s">
        <v>1</v>
      </c>
      <c r="AK65">
        <v>9372727346</v>
      </c>
      <c r="AL65" t="s">
        <v>1</v>
      </c>
      <c r="AM65" t="s">
        <v>1</v>
      </c>
      <c r="AN65" t="s">
        <v>1</v>
      </c>
      <c r="AO65" t="s">
        <v>1456</v>
      </c>
      <c r="AP65" t="s">
        <v>1</v>
      </c>
      <c r="AQ65" t="s">
        <v>2</v>
      </c>
      <c r="AR65" t="s">
        <v>1</v>
      </c>
      <c r="AS65" t="s">
        <v>1</v>
      </c>
      <c r="AT65" t="s">
        <v>1</v>
      </c>
      <c r="AU65" t="s">
        <v>1</v>
      </c>
      <c r="AV65" t="s">
        <v>1</v>
      </c>
      <c r="AW65" t="s">
        <v>11</v>
      </c>
      <c r="AX65">
        <f>Tabla1[[#This Row],[precio del paquete]]-Tabla1[[#This Row],[Saldo_Deudor]]</f>
        <v>11800</v>
      </c>
      <c r="AY65">
        <v>1100</v>
      </c>
      <c r="AZ65" t="s">
        <v>3</v>
      </c>
      <c r="BA65" t="s">
        <v>3</v>
      </c>
      <c r="BB65" t="s">
        <v>3</v>
      </c>
      <c r="BC65" t="s">
        <v>936</v>
      </c>
      <c r="BD65" t="s">
        <v>1878</v>
      </c>
      <c r="BE65" t="s">
        <v>3</v>
      </c>
      <c r="BF65" t="s">
        <v>3</v>
      </c>
      <c r="BG65" t="s">
        <v>3</v>
      </c>
      <c r="BH65" t="s">
        <v>3</v>
      </c>
      <c r="BI65" t="s">
        <v>3</v>
      </c>
      <c r="BJ65" t="s">
        <v>1937</v>
      </c>
      <c r="BK65" t="s">
        <v>3</v>
      </c>
      <c r="BL65" t="s">
        <v>132</v>
      </c>
      <c r="BM65" t="s">
        <v>1</v>
      </c>
      <c r="BN65">
        <f>Tabla1[[#This Row],[precio del paquete]]</f>
        <v>12900</v>
      </c>
      <c r="BO65" t="s">
        <v>1</v>
      </c>
      <c r="BP65" t="s">
        <v>1</v>
      </c>
      <c r="BQ65" t="s">
        <v>1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1</v>
      </c>
      <c r="CD65" t="str" cm="1">
        <f t="array" aca="1" ref="CD65" ca="1">eConcatenar(A65:CB65,"|")</f>
        <v>cMMhQxuCqJkcCDhm|CAR2020-3221|3|IMPERIAL DE LUJO|TABASCO|CARDENAS|CARDENAS|2020-09-15|12900|X|200|50|0|0|0|0|0|0|0|0|0|0|0|0|0|0|0|GONZALEZ|LEON|MIGUEL|SOLTERO|X|X|PROLONGACION VICENTE GUERRERO NUMERO 46|COLONIA EL TOLOQUE |X|9372727346|X|X|X|PROLONGACION VICENTE GUERRERO NUMERO 46|X|LUNES|X|X|X|X|X|DOMICILIO |11800|1100|x|x|x|2022-11-02|2022-11-09|x|x|x|x|x|DSYPMZPXEANHGLM|x|HOMBRE|X|12900|X|X|X|X|X|X|X|X|CARDENAS|X|X|X|X|X</v>
      </c>
    </row>
    <row r="66" spans="1:82" x14ac:dyDescent="0.25">
      <c r="A66" t="s">
        <v>200</v>
      </c>
      <c r="B66" t="s">
        <v>511</v>
      </c>
      <c r="C66">
        <v>3</v>
      </c>
      <c r="D66" t="s">
        <v>761</v>
      </c>
      <c r="E66" t="s">
        <v>1398</v>
      </c>
      <c r="F66" t="s">
        <v>0</v>
      </c>
      <c r="G66" t="s">
        <v>0</v>
      </c>
      <c r="H66" t="s">
        <v>813</v>
      </c>
      <c r="I66">
        <v>14800</v>
      </c>
      <c r="J66" t="s">
        <v>1</v>
      </c>
      <c r="K66">
        <v>100</v>
      </c>
      <c r="L66">
        <v>50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1290</v>
      </c>
      <c r="AC66" t="s">
        <v>1291</v>
      </c>
      <c r="AD66" s="18" t="s">
        <v>1031</v>
      </c>
      <c r="AE66" t="s">
        <v>4</v>
      </c>
      <c r="AF66" t="s">
        <v>1</v>
      </c>
      <c r="AG66" t="s">
        <v>1</v>
      </c>
      <c r="AH66" t="s">
        <v>1457</v>
      </c>
      <c r="AI66" t="s">
        <v>1702</v>
      </c>
      <c r="AJ66" t="s">
        <v>1</v>
      </c>
      <c r="AK66">
        <v>9371056731</v>
      </c>
      <c r="AL66" t="s">
        <v>1</v>
      </c>
      <c r="AM66" t="s">
        <v>1</v>
      </c>
      <c r="AN66" t="s">
        <v>1</v>
      </c>
      <c r="AO66" t="s">
        <v>1457</v>
      </c>
      <c r="AP66" t="s">
        <v>1</v>
      </c>
      <c r="AQ66" t="s">
        <v>2</v>
      </c>
      <c r="AR66" t="s">
        <v>1</v>
      </c>
      <c r="AS66" t="s">
        <v>1</v>
      </c>
      <c r="AT66" t="s">
        <v>1</v>
      </c>
      <c r="AU66" t="s">
        <v>1</v>
      </c>
      <c r="AV66" t="s">
        <v>1</v>
      </c>
      <c r="AW66" t="s">
        <v>11</v>
      </c>
      <c r="AX66">
        <f>Tabla1[[#This Row],[precio del paquete]]-Tabla1[[#This Row],[Saldo_Deudor]]</f>
        <v>2800</v>
      </c>
      <c r="AY66">
        <v>12000</v>
      </c>
      <c r="AZ66" t="s">
        <v>3</v>
      </c>
      <c r="BA66" t="s">
        <v>3</v>
      </c>
      <c r="BB66" t="s">
        <v>3</v>
      </c>
      <c r="BC66" t="s">
        <v>936</v>
      </c>
      <c r="BD66" t="s">
        <v>1878</v>
      </c>
      <c r="BE66" t="s">
        <v>3</v>
      </c>
      <c r="BF66" t="s">
        <v>3</v>
      </c>
      <c r="BG66" t="s">
        <v>3</v>
      </c>
      <c r="BH66" t="s">
        <v>3</v>
      </c>
      <c r="BI66" t="s">
        <v>3</v>
      </c>
      <c r="BJ66" t="s">
        <v>1937</v>
      </c>
      <c r="BK66" t="s">
        <v>3</v>
      </c>
      <c r="BL66" t="s">
        <v>132</v>
      </c>
      <c r="BM66" t="s">
        <v>1</v>
      </c>
      <c r="BN66">
        <f>Tabla1[[#This Row],[precio del paquete]]</f>
        <v>14800</v>
      </c>
      <c r="BO66" t="s">
        <v>1</v>
      </c>
      <c r="BP66" t="s">
        <v>1</v>
      </c>
      <c r="BQ66" t="s">
        <v>1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1</v>
      </c>
      <c r="CD66" t="str" cm="1">
        <f t="array" aca="1" ref="CD66" ca="1">eConcatenar(A66:CB66,"|")</f>
        <v>TdiVnoPbqtul2Fw3|CAR2021-3450|3|MEMORIAL|TABASCO|CARDENAS|CARDENAS|2021-07-13|14800|X|100|50|0|0|0|0|0|0|0|0|0|0|0|0|0|0|0|CERINO|RUIZ|ELIZABETH|SOLTERO|X|X|CALLE ABRAHAM BANDALA |COLONIA CENTRO|X|9371056731|X|X|X|CALLE ABRAHAM BANDALA |X|LUNES|X|X|X|X|X|DOMICILIO |2800|12000|x|x|x|2022-11-02|2022-11-09|x|x|x|x|x|DSYPMZPXEANHGLM|x|HOMBRE|X|14800|X|X|X|X|X|X|X|X|CARDENAS|X|X|X|X|X</v>
      </c>
    </row>
    <row r="67" spans="1:82" x14ac:dyDescent="0.25">
      <c r="A67" t="s">
        <v>201</v>
      </c>
      <c r="B67" t="s">
        <v>512</v>
      </c>
      <c r="C67">
        <v>3</v>
      </c>
      <c r="D67" t="s">
        <v>761</v>
      </c>
      <c r="E67" t="s">
        <v>1398</v>
      </c>
      <c r="F67" t="s">
        <v>0</v>
      </c>
      <c r="G67" t="s">
        <v>0</v>
      </c>
      <c r="H67" t="s">
        <v>814</v>
      </c>
      <c r="I67">
        <v>14800</v>
      </c>
      <c r="J67" t="s">
        <v>1</v>
      </c>
      <c r="K67">
        <v>200</v>
      </c>
      <c r="L67">
        <v>50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1276</v>
      </c>
      <c r="AC67" t="s">
        <v>1247</v>
      </c>
      <c r="AD67" s="18" t="s">
        <v>1032</v>
      </c>
      <c r="AE67" t="s">
        <v>4</v>
      </c>
      <c r="AF67" t="s">
        <v>1</v>
      </c>
      <c r="AG67" t="s">
        <v>1</v>
      </c>
      <c r="AH67" t="s">
        <v>1458</v>
      </c>
      <c r="AI67" t="s">
        <v>1706</v>
      </c>
      <c r="AJ67" t="s">
        <v>1</v>
      </c>
      <c r="AK67">
        <v>9371678862</v>
      </c>
      <c r="AL67" t="s">
        <v>1</v>
      </c>
      <c r="AM67" t="s">
        <v>1</v>
      </c>
      <c r="AN67" t="s">
        <v>1</v>
      </c>
      <c r="AO67" t="s">
        <v>1458</v>
      </c>
      <c r="AP67" t="s">
        <v>1</v>
      </c>
      <c r="AQ67" t="s">
        <v>2</v>
      </c>
      <c r="AR67" t="s">
        <v>1</v>
      </c>
      <c r="AS67" t="s">
        <v>1</v>
      </c>
      <c r="AT67" t="s">
        <v>1</v>
      </c>
      <c r="AU67" t="s">
        <v>1</v>
      </c>
      <c r="AV67" t="s">
        <v>1</v>
      </c>
      <c r="AW67" t="s">
        <v>11</v>
      </c>
      <c r="AX67">
        <f>Tabla1[[#This Row],[precio del paquete]]-Tabla1[[#This Row],[Saldo_Deudor]]</f>
        <v>1700</v>
      </c>
      <c r="AY67">
        <v>13100</v>
      </c>
      <c r="AZ67" t="s">
        <v>3</v>
      </c>
      <c r="BA67" t="s">
        <v>3</v>
      </c>
      <c r="BB67" t="s">
        <v>3</v>
      </c>
      <c r="BC67" t="s">
        <v>936</v>
      </c>
      <c r="BD67" t="s">
        <v>1878</v>
      </c>
      <c r="BE67" t="s">
        <v>3</v>
      </c>
      <c r="BF67" t="s">
        <v>3</v>
      </c>
      <c r="BG67" t="s">
        <v>3</v>
      </c>
      <c r="BH67" t="s">
        <v>3</v>
      </c>
      <c r="BI67" t="s">
        <v>3</v>
      </c>
      <c r="BJ67" t="s">
        <v>1937</v>
      </c>
      <c r="BK67" t="s">
        <v>3</v>
      </c>
      <c r="BL67" t="s">
        <v>132</v>
      </c>
      <c r="BM67" t="s">
        <v>1</v>
      </c>
      <c r="BN67">
        <f>Tabla1[[#This Row],[precio del paquete]]</f>
        <v>14800</v>
      </c>
      <c r="BO67" t="s">
        <v>1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1</v>
      </c>
      <c r="CD67" t="str" cm="1">
        <f t="array" aca="1" ref="CD67" ca="1">eConcatenar(A67:CB67,"|")</f>
        <v>skCREF6x3SdDWfMR|CAR2021-6411|3|MEMORIAL|TABASCO|CARDENAS|CARDENAS|2021-10-23|14800|X|200|50|0|0|0|0|0|0|0|0|0|0|0|0|0|0|0|MARTINEZ|SANCHEZ|NARVI NALLELY|SOLTERO|X|X|CAMINO VECINAL NUMERO 245|RANCHERIA MELCHOR OCAMPO|X|9371678862|X|X|X|CAMINO VECINAL NUMERO 245|X|LUNES|X|X|X|X|X|DOMICILIO |1700|13100|x|x|x|2022-11-02|2022-11-09|x|x|x|x|x|DSYPMZPXEANHGLM|x|HOMBRE|X|14800|X|X|X|X|X|X|X|X|CARDENAS|X|X|X|X|X</v>
      </c>
    </row>
    <row r="68" spans="1:82" x14ac:dyDescent="0.25">
      <c r="A68" t="s">
        <v>202</v>
      </c>
      <c r="B68" t="s">
        <v>513</v>
      </c>
      <c r="C68">
        <v>3</v>
      </c>
      <c r="D68" t="s">
        <v>761</v>
      </c>
      <c r="E68" t="s">
        <v>1398</v>
      </c>
      <c r="F68" t="s">
        <v>0</v>
      </c>
      <c r="G68" t="s">
        <v>0</v>
      </c>
      <c r="H68" t="s">
        <v>814</v>
      </c>
      <c r="I68">
        <v>14800</v>
      </c>
      <c r="J68" t="s">
        <v>1</v>
      </c>
      <c r="K68">
        <v>200</v>
      </c>
      <c r="L68">
        <v>50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7</v>
      </c>
      <c r="AC68" t="s">
        <v>1292</v>
      </c>
      <c r="AD68" s="18" t="s">
        <v>1033</v>
      </c>
      <c r="AE68" t="s">
        <v>4</v>
      </c>
      <c r="AF68" t="s">
        <v>1</v>
      </c>
      <c r="AG68" t="s">
        <v>1</v>
      </c>
      <c r="AH68" t="s">
        <v>1458</v>
      </c>
      <c r="AI68" t="s">
        <v>1706</v>
      </c>
      <c r="AJ68" t="s">
        <v>1</v>
      </c>
      <c r="AK68">
        <v>9371163324</v>
      </c>
      <c r="AL68" t="s">
        <v>1</v>
      </c>
      <c r="AM68" t="s">
        <v>1</v>
      </c>
      <c r="AN68" t="s">
        <v>1</v>
      </c>
      <c r="AO68" t="s">
        <v>1458</v>
      </c>
      <c r="AP68" t="s">
        <v>1</v>
      </c>
      <c r="AQ68" t="s">
        <v>2</v>
      </c>
      <c r="AR68" t="s">
        <v>1</v>
      </c>
      <c r="AS68" t="s">
        <v>1</v>
      </c>
      <c r="AT68" t="s">
        <v>1</v>
      </c>
      <c r="AU68" t="s">
        <v>1</v>
      </c>
      <c r="AV68" t="s">
        <v>1</v>
      </c>
      <c r="AW68" t="s">
        <v>11</v>
      </c>
      <c r="AX68">
        <f>Tabla1[[#This Row],[precio del paquete]]-Tabla1[[#This Row],[Saldo_Deudor]]</f>
        <v>1700</v>
      </c>
      <c r="AY68">
        <v>13100</v>
      </c>
      <c r="AZ68" t="s">
        <v>3</v>
      </c>
      <c r="BA68" t="s">
        <v>3</v>
      </c>
      <c r="BB68" t="s">
        <v>3</v>
      </c>
      <c r="BC68" t="s">
        <v>936</v>
      </c>
      <c r="BD68" t="s">
        <v>1878</v>
      </c>
      <c r="BE68" t="s">
        <v>3</v>
      </c>
      <c r="BF68" t="s">
        <v>3</v>
      </c>
      <c r="BG68" t="s">
        <v>3</v>
      </c>
      <c r="BH68" t="s">
        <v>3</v>
      </c>
      <c r="BI68" t="s">
        <v>3</v>
      </c>
      <c r="BJ68" t="s">
        <v>1937</v>
      </c>
      <c r="BK68" t="s">
        <v>3</v>
      </c>
      <c r="BL68" t="s">
        <v>132</v>
      </c>
      <c r="BM68" t="s">
        <v>1</v>
      </c>
      <c r="BN68">
        <f>Tabla1[[#This Row],[precio del paquete]]</f>
        <v>14800</v>
      </c>
      <c r="BO68" t="s">
        <v>1</v>
      </c>
      <c r="BP68" t="s">
        <v>1</v>
      </c>
      <c r="BQ68" t="s">
        <v>1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1</v>
      </c>
      <c r="CD68" t="str" cm="1">
        <f t="array" aca="1" ref="CD68" ca="1">eConcatenar(A68:CB68,"|")</f>
        <v>K8chA6T0qajrRNFj|CAR2021-6409|3|MEMORIAL|TABASCO|CARDENAS|CARDENAS|2021-10-23|14800|X|200|50|0|0|0|0|0|0|0|0|0|0|0|0|0|0|0|LOPEZ|SASTRE|MIGUEL ENRIQUE|SOLTERO|X|X|CAMINO VECINAL NUMERO 245|RANCHERIA MELCHOR OCAMPO|X|9371163324|X|X|X|CAMINO VECINAL NUMERO 245|X|LUNES|X|X|X|X|X|DOMICILIO |1700|13100|x|x|x|2022-11-02|2022-11-09|x|x|x|x|x|DSYPMZPXEANHGLM|x|HOMBRE|X|14800|X|X|X|X|X|X|X|X|CARDENAS|X|X|X|X|X</v>
      </c>
    </row>
    <row r="69" spans="1:82" x14ac:dyDescent="0.25">
      <c r="A69" t="s">
        <v>203</v>
      </c>
      <c r="B69" t="s">
        <v>514</v>
      </c>
      <c r="C69">
        <v>3</v>
      </c>
      <c r="D69" t="s">
        <v>761</v>
      </c>
      <c r="E69" t="s">
        <v>1398</v>
      </c>
      <c r="F69" t="s">
        <v>0</v>
      </c>
      <c r="G69" t="s">
        <v>0</v>
      </c>
      <c r="H69" t="s">
        <v>815</v>
      </c>
      <c r="I69">
        <v>14800</v>
      </c>
      <c r="J69" t="s">
        <v>1</v>
      </c>
      <c r="K69">
        <v>400</v>
      </c>
      <c r="L69">
        <v>50</v>
      </c>
      <c r="M69">
        <v>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1293</v>
      </c>
      <c r="AC69" t="s">
        <v>1294</v>
      </c>
      <c r="AD69" s="18" t="s">
        <v>1034</v>
      </c>
      <c r="AE69" t="s">
        <v>4</v>
      </c>
      <c r="AF69" t="s">
        <v>1</v>
      </c>
      <c r="AG69" t="s">
        <v>1</v>
      </c>
      <c r="AH69" t="s">
        <v>1459</v>
      </c>
      <c r="AI69" t="s">
        <v>1707</v>
      </c>
      <c r="AJ69" t="s">
        <v>1</v>
      </c>
      <c r="AK69">
        <v>9371499282</v>
      </c>
      <c r="AL69" t="s">
        <v>1</v>
      </c>
      <c r="AM69" t="s">
        <v>1</v>
      </c>
      <c r="AN69" t="s">
        <v>1</v>
      </c>
      <c r="AO69" t="s">
        <v>1459</v>
      </c>
      <c r="AP69" t="s">
        <v>1</v>
      </c>
      <c r="AQ69" t="s">
        <v>2</v>
      </c>
      <c r="AR69" t="s">
        <v>1</v>
      </c>
      <c r="AS69" t="s">
        <v>1</v>
      </c>
      <c r="AT69" t="s">
        <v>1</v>
      </c>
      <c r="AU69" t="s">
        <v>1</v>
      </c>
      <c r="AV69" t="s">
        <v>1</v>
      </c>
      <c r="AW69" t="s">
        <v>11</v>
      </c>
      <c r="AX69">
        <f>Tabla1[[#This Row],[precio del paquete]]-Tabla1[[#This Row],[Saldo_Deudor]]</f>
        <v>1500</v>
      </c>
      <c r="AY69">
        <v>13300</v>
      </c>
      <c r="AZ69" t="s">
        <v>3</v>
      </c>
      <c r="BA69" t="s">
        <v>3</v>
      </c>
      <c r="BB69" t="s">
        <v>3</v>
      </c>
      <c r="BC69" t="s">
        <v>936</v>
      </c>
      <c r="BD69" t="s">
        <v>1878</v>
      </c>
      <c r="BE69" t="s">
        <v>3</v>
      </c>
      <c r="BF69" t="s">
        <v>3</v>
      </c>
      <c r="BG69" t="s">
        <v>3</v>
      </c>
      <c r="BH69" t="s">
        <v>3</v>
      </c>
      <c r="BI69" t="s">
        <v>3</v>
      </c>
      <c r="BJ69" t="s">
        <v>1937</v>
      </c>
      <c r="BK69" t="s">
        <v>3</v>
      </c>
      <c r="BL69" t="s">
        <v>132</v>
      </c>
      <c r="BM69" t="s">
        <v>1</v>
      </c>
      <c r="BN69">
        <f>Tabla1[[#This Row],[precio del paquete]]</f>
        <v>14800</v>
      </c>
      <c r="BO69" t="s">
        <v>1</v>
      </c>
      <c r="BP69" t="s">
        <v>1</v>
      </c>
      <c r="BQ69" t="s">
        <v>1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1</v>
      </c>
      <c r="CD69" t="str" cm="1">
        <f t="array" aca="1" ref="CD69" ca="1">eConcatenar(A69:CB69,"|")</f>
        <v>8WoCf1tzG1wQL1T5|CAR2021-6800|3|MEMORIAL|TABASCO|CARDENAS|CARDENAS|2021-08-11|14800|X|400|50|2|0|0|0|0|0|0|0|0|0|0|0|0|0|0|CANO|AQUINO|JULIA|SOLTERO|X|X|FRANCISCO I MADERO|COLONIA FEANCISCO I MADERO NUMERO 69|X|9371499282|X|X|X|FRANCISCO I MADERO|X|LUNES|X|X|X|X|X|DOMICILIO |1500|13300|x|x|x|2022-11-02|2022-11-09|x|x|x|x|x|DSYPMZPXEANHGLM|x|HOMBRE|X|14800|X|X|X|X|X|X|X|X|CARDENAS|X|X|X|X|X</v>
      </c>
    </row>
    <row r="70" spans="1:82" x14ac:dyDescent="0.25">
      <c r="A70" t="s">
        <v>204</v>
      </c>
      <c r="B70" t="s">
        <v>515</v>
      </c>
      <c r="C70">
        <v>3</v>
      </c>
      <c r="D70" t="s">
        <v>761</v>
      </c>
      <c r="E70" t="s">
        <v>1398</v>
      </c>
      <c r="F70" t="s">
        <v>0</v>
      </c>
      <c r="G70" t="s">
        <v>0</v>
      </c>
      <c r="H70" t="s">
        <v>816</v>
      </c>
      <c r="I70">
        <v>14800</v>
      </c>
      <c r="J70" t="s">
        <v>1</v>
      </c>
      <c r="K70">
        <v>200</v>
      </c>
      <c r="L70">
        <v>50</v>
      </c>
      <c r="M70">
        <v>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1226</v>
      </c>
      <c r="AC70" t="s">
        <v>1248</v>
      </c>
      <c r="AD70" s="18" t="s">
        <v>1035</v>
      </c>
      <c r="AE70" t="s">
        <v>4</v>
      </c>
      <c r="AF70" t="s">
        <v>1</v>
      </c>
      <c r="AG70" t="s">
        <v>1</v>
      </c>
      <c r="AH70" t="s">
        <v>1460</v>
      </c>
      <c r="AI70" t="s">
        <v>1696</v>
      </c>
      <c r="AJ70" t="s">
        <v>1</v>
      </c>
      <c r="AK70">
        <v>9371608934</v>
      </c>
      <c r="AL70" t="s">
        <v>1</v>
      </c>
      <c r="AM70" t="s">
        <v>1</v>
      </c>
      <c r="AN70" t="s">
        <v>1</v>
      </c>
      <c r="AO70" t="s">
        <v>1460</v>
      </c>
      <c r="AP70" t="s">
        <v>1</v>
      </c>
      <c r="AQ70" t="s">
        <v>2</v>
      </c>
      <c r="AR70" t="s">
        <v>1</v>
      </c>
      <c r="AS70" t="s">
        <v>1</v>
      </c>
      <c r="AT70" t="s">
        <v>1</v>
      </c>
      <c r="AU70" t="s">
        <v>1</v>
      </c>
      <c r="AV70" t="s">
        <v>1</v>
      </c>
      <c r="AW70" t="s">
        <v>11</v>
      </c>
      <c r="AX70">
        <f>Tabla1[[#This Row],[precio del paquete]]-Tabla1[[#This Row],[Saldo_Deudor]]</f>
        <v>2200</v>
      </c>
      <c r="AY70">
        <v>12600</v>
      </c>
      <c r="AZ70" t="s">
        <v>3</v>
      </c>
      <c r="BA70" t="s">
        <v>3</v>
      </c>
      <c r="BB70" t="s">
        <v>3</v>
      </c>
      <c r="BC70" t="s">
        <v>936</v>
      </c>
      <c r="BD70" t="s">
        <v>1878</v>
      </c>
      <c r="BE70" t="s">
        <v>3</v>
      </c>
      <c r="BF70" t="s">
        <v>3</v>
      </c>
      <c r="BG70" t="s">
        <v>3</v>
      </c>
      <c r="BH70" t="s">
        <v>3</v>
      </c>
      <c r="BI70" t="s">
        <v>3</v>
      </c>
      <c r="BJ70" t="s">
        <v>1937</v>
      </c>
      <c r="BK70" t="s">
        <v>3</v>
      </c>
      <c r="BL70" t="s">
        <v>132</v>
      </c>
      <c r="BM70" t="s">
        <v>1</v>
      </c>
      <c r="BN70">
        <f>Tabla1[[#This Row],[precio del paquete]]</f>
        <v>14800</v>
      </c>
      <c r="BO70" t="s">
        <v>1</v>
      </c>
      <c r="BP70" t="s">
        <v>1</v>
      </c>
      <c r="BQ70" t="s">
        <v>1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1</v>
      </c>
      <c r="CD70" t="str" cm="1">
        <f t="array" aca="1" ref="CD70" ca="1">eConcatenar(A70:CB70,"|")</f>
        <v>5Taut0cTY59KXwFP|CAR2021-4229|3|MEMORIAL|TABASCO|CARDENAS|CARDENAS|2021-07-31|14800|X|200|50|2|0|0|0|0|0|0|0|0|0|0|0|0|0|0|CRUZ|PEREZ|RAFAIN|SOLTERO|X|X|CALLE NICOLOSA CANO DE DOMINGUEZ NUMERO 44|COLONIA GUADALUPE|X|9371608934|X|X|X|CALLE NICOLOSA CANO DE DOMINGUEZ NUMERO 44|X|LUNES|X|X|X|X|X|DOMICILIO |2200|12600|x|x|x|2022-11-02|2022-11-09|x|x|x|x|x|DSYPMZPXEANHGLM|x|HOMBRE|X|14800|X|X|X|X|X|X|X|X|CARDENAS|X|X|X|X|X</v>
      </c>
    </row>
    <row r="71" spans="1:82" x14ac:dyDescent="0.25">
      <c r="A71" t="s">
        <v>205</v>
      </c>
      <c r="B71" t="s">
        <v>516</v>
      </c>
      <c r="C71">
        <v>3</v>
      </c>
      <c r="D71" t="s">
        <v>763</v>
      </c>
      <c r="E71" t="s">
        <v>1398</v>
      </c>
      <c r="F71" t="s">
        <v>0</v>
      </c>
      <c r="G71" t="s">
        <v>0</v>
      </c>
      <c r="H71" t="s">
        <v>817</v>
      </c>
      <c r="I71">
        <v>12900</v>
      </c>
      <c r="J71" t="s">
        <v>1</v>
      </c>
      <c r="K71">
        <v>100</v>
      </c>
      <c r="L71">
        <v>50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1295</v>
      </c>
      <c r="AC71" t="s">
        <v>1296</v>
      </c>
      <c r="AD71" s="18" t="s">
        <v>1036</v>
      </c>
      <c r="AE71" t="s">
        <v>4</v>
      </c>
      <c r="AF71" t="s">
        <v>1</v>
      </c>
      <c r="AG71" t="s">
        <v>1</v>
      </c>
      <c r="AH71" t="s">
        <v>1461</v>
      </c>
      <c r="AI71" t="s">
        <v>1708</v>
      </c>
      <c r="AJ71" t="s">
        <v>1</v>
      </c>
      <c r="AK71">
        <v>9371250067</v>
      </c>
      <c r="AL71" t="s">
        <v>1</v>
      </c>
      <c r="AM71" t="s">
        <v>1</v>
      </c>
      <c r="AN71" t="s">
        <v>1</v>
      </c>
      <c r="AO71" t="s">
        <v>1461</v>
      </c>
      <c r="AP71" t="s">
        <v>1</v>
      </c>
      <c r="AQ71" t="s">
        <v>2</v>
      </c>
      <c r="AR71" t="s">
        <v>1</v>
      </c>
      <c r="AS71" t="s">
        <v>1</v>
      </c>
      <c r="AT71" t="s">
        <v>1</v>
      </c>
      <c r="AU71" t="s">
        <v>1</v>
      </c>
      <c r="AV71" t="s">
        <v>1</v>
      </c>
      <c r="AW71" t="s">
        <v>11</v>
      </c>
      <c r="AX71">
        <f>Tabla1[[#This Row],[precio del paquete]]-Tabla1[[#This Row],[Saldo_Deudor]]</f>
        <v>6100</v>
      </c>
      <c r="AY71">
        <v>6800</v>
      </c>
      <c r="AZ71" t="s">
        <v>3</v>
      </c>
      <c r="BA71" t="s">
        <v>3</v>
      </c>
      <c r="BB71" t="s">
        <v>3</v>
      </c>
      <c r="BC71" t="s">
        <v>936</v>
      </c>
      <c r="BD71" t="s">
        <v>1878</v>
      </c>
      <c r="BE71" t="s">
        <v>3</v>
      </c>
      <c r="BF71" t="s">
        <v>3</v>
      </c>
      <c r="BG71" t="s">
        <v>3</v>
      </c>
      <c r="BH71" t="s">
        <v>3</v>
      </c>
      <c r="BI71" t="s">
        <v>3</v>
      </c>
      <c r="BJ71" t="s">
        <v>1937</v>
      </c>
      <c r="BK71" t="s">
        <v>3</v>
      </c>
      <c r="BL71" t="s">
        <v>132</v>
      </c>
      <c r="BM71" t="s">
        <v>1</v>
      </c>
      <c r="BN71">
        <f>Tabla1[[#This Row],[precio del paquete]]</f>
        <v>12900</v>
      </c>
      <c r="BO71" t="s">
        <v>1</v>
      </c>
      <c r="BP71" t="s">
        <v>1</v>
      </c>
      <c r="BQ71" t="s">
        <v>1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1</v>
      </c>
      <c r="CD71" t="str" cm="1">
        <f t="array" aca="1" ref="CD71" ca="1">eConcatenar(A71:CB71,"|")</f>
        <v>uQw5WreS2wCj8zV7|CAR2020-4089|3|IMPERIAL DE LUJO|TABASCO|CARDENAS|CARDENAS|2020-10-19|12900|X|100|50|0|0|0|0|0|0|0|0|0|0|0|0|0|0|0|BAUTISTA|VICENTE|AGUSTINA|SOLTERO|X|X|CERRADA CAÃ‘AVERAL DEPARTAMENTO 5|FRACCIONAMIENTO INFONAVIT LOMA BONITA|X|9371250067|X|X|X|CERRADA CAÃ‘AVERAL DEPARTAMENTO 5|X|LUNES|X|X|X|X|X|DOMICILIO |6100|6800|x|x|x|2022-11-02|2022-11-09|x|x|x|x|x|DSYPMZPXEANHGLM|x|HOMBRE|X|12900|X|X|X|X|X|X|X|X|CARDENAS|X|X|X|X|X</v>
      </c>
    </row>
    <row r="72" spans="1:82" x14ac:dyDescent="0.25">
      <c r="A72" t="s">
        <v>206</v>
      </c>
      <c r="B72" t="s">
        <v>517</v>
      </c>
      <c r="C72">
        <v>3</v>
      </c>
      <c r="D72" t="s">
        <v>763</v>
      </c>
      <c r="E72" t="s">
        <v>1398</v>
      </c>
      <c r="F72" t="s">
        <v>0</v>
      </c>
      <c r="G72" t="s">
        <v>0</v>
      </c>
      <c r="H72" t="s">
        <v>818</v>
      </c>
      <c r="I72">
        <v>12900</v>
      </c>
      <c r="J72" t="s">
        <v>1</v>
      </c>
      <c r="K72">
        <v>50</v>
      </c>
      <c r="L72">
        <v>50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1248</v>
      </c>
      <c r="AC72" t="s">
        <v>1226</v>
      </c>
      <c r="AD72" s="18" t="s">
        <v>1037</v>
      </c>
      <c r="AE72" t="s">
        <v>4</v>
      </c>
      <c r="AF72" t="s">
        <v>1</v>
      </c>
      <c r="AG72" t="s">
        <v>1</v>
      </c>
      <c r="AH72" t="s">
        <v>1462</v>
      </c>
      <c r="AI72" t="s">
        <v>1709</v>
      </c>
      <c r="AJ72" t="s">
        <v>1</v>
      </c>
      <c r="AK72" t="s">
        <v>1</v>
      </c>
      <c r="AL72" t="s">
        <v>1</v>
      </c>
      <c r="AM72" t="s">
        <v>1</v>
      </c>
      <c r="AN72" t="s">
        <v>1</v>
      </c>
      <c r="AO72" t="s">
        <v>1462</v>
      </c>
      <c r="AP72" t="s">
        <v>1</v>
      </c>
      <c r="AQ72" t="s">
        <v>2</v>
      </c>
      <c r="AR72" t="s">
        <v>1</v>
      </c>
      <c r="AS72" t="s">
        <v>1</v>
      </c>
      <c r="AT72" t="s">
        <v>1</v>
      </c>
      <c r="AU72" t="s">
        <v>1</v>
      </c>
      <c r="AV72" t="s">
        <v>1</v>
      </c>
      <c r="AW72" t="s">
        <v>11</v>
      </c>
      <c r="AX72">
        <f>Tabla1[[#This Row],[precio del paquete]]-Tabla1[[#This Row],[Saldo_Deudor]]</f>
        <v>4100</v>
      </c>
      <c r="AY72">
        <v>8800</v>
      </c>
      <c r="AZ72" t="s">
        <v>3</v>
      </c>
      <c r="BA72" t="s">
        <v>3</v>
      </c>
      <c r="BB72" t="s">
        <v>3</v>
      </c>
      <c r="BC72" t="s">
        <v>936</v>
      </c>
      <c r="BD72" t="s">
        <v>1878</v>
      </c>
      <c r="BE72" t="s">
        <v>3</v>
      </c>
      <c r="BF72" t="s">
        <v>3</v>
      </c>
      <c r="BG72" t="s">
        <v>3</v>
      </c>
      <c r="BH72" t="s">
        <v>3</v>
      </c>
      <c r="BI72" t="s">
        <v>3</v>
      </c>
      <c r="BJ72" t="s">
        <v>1937</v>
      </c>
      <c r="BK72" t="s">
        <v>3</v>
      </c>
      <c r="BL72" t="s">
        <v>132</v>
      </c>
      <c r="BM72" t="s">
        <v>1</v>
      </c>
      <c r="BN72">
        <f>Tabla1[[#This Row],[precio del paquete]]</f>
        <v>12900</v>
      </c>
      <c r="BO72" t="s">
        <v>1</v>
      </c>
      <c r="BP72" t="s">
        <v>1</v>
      </c>
      <c r="BQ72" t="s">
        <v>1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1</v>
      </c>
      <c r="CD72" t="str" cm="1">
        <f t="array" aca="1" ref="CD72" ca="1">eConcatenar(A72:CB72,"|")</f>
        <v>hVTxBoxXiCLrNImx|CAR2020-2446|3|IMPERIAL DE LUJO|TABASCO|CARDENAS|CARDENAS|2020-08-15|12900|X|50|50|0|0|0|0|0|0|0|0|0|0|0|0|0|0|0|PEREZ|CRUZ|ANDREA|SOLTERO|X|X|CALLE ERNESTO GUEVARRA EDIFICIO 7 |INFONAVIT LOMA BONITA|X|X|X|X|X|CALLE ERNESTO GUEVARRA EDIFICIO 7 |X|LUNES|X|X|X|X|X|DOMICILIO |4100|8800|x|x|x|2022-11-02|2022-11-09|x|x|x|x|x|DSYPMZPXEANHGLM|x|HOMBRE|X|12900|X|X|X|X|X|X|X|X|CARDENAS|X|X|X|X|X</v>
      </c>
    </row>
    <row r="73" spans="1:82" x14ac:dyDescent="0.25">
      <c r="A73" t="s">
        <v>207</v>
      </c>
      <c r="B73" t="s">
        <v>518</v>
      </c>
      <c r="C73">
        <v>3</v>
      </c>
      <c r="D73" t="s">
        <v>762</v>
      </c>
      <c r="E73" t="s">
        <v>1398</v>
      </c>
      <c r="F73" t="s">
        <v>0</v>
      </c>
      <c r="G73" t="s">
        <v>0</v>
      </c>
      <c r="H73" t="s">
        <v>819</v>
      </c>
      <c r="I73">
        <v>24500</v>
      </c>
      <c r="J73" t="s">
        <v>1</v>
      </c>
      <c r="K73">
        <v>400</v>
      </c>
      <c r="L73">
        <v>50</v>
      </c>
      <c r="M73">
        <v>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1230</v>
      </c>
      <c r="AC73" t="s">
        <v>1297</v>
      </c>
      <c r="AD73" s="18" t="s">
        <v>1025</v>
      </c>
      <c r="AE73" t="s">
        <v>4</v>
      </c>
      <c r="AF73" t="s">
        <v>1</v>
      </c>
      <c r="AG73" t="s">
        <v>1</v>
      </c>
      <c r="AH73" t="s">
        <v>1463</v>
      </c>
      <c r="AI73" t="s">
        <v>1710</v>
      </c>
      <c r="AJ73" t="s">
        <v>1</v>
      </c>
      <c r="AK73">
        <v>9371685096</v>
      </c>
      <c r="AL73" t="s">
        <v>1</v>
      </c>
      <c r="AM73" t="s">
        <v>1</v>
      </c>
      <c r="AN73" t="s">
        <v>1</v>
      </c>
      <c r="AO73" t="s">
        <v>1463</v>
      </c>
      <c r="AP73" t="s">
        <v>1</v>
      </c>
      <c r="AQ73" t="s">
        <v>2</v>
      </c>
      <c r="AR73" t="s">
        <v>1</v>
      </c>
      <c r="AS73" t="s">
        <v>1</v>
      </c>
      <c r="AT73" t="s">
        <v>1</v>
      </c>
      <c r="AU73" t="s">
        <v>1</v>
      </c>
      <c r="AV73" t="s">
        <v>1</v>
      </c>
      <c r="AW73" t="s">
        <v>11</v>
      </c>
      <c r="AX73">
        <f>Tabla1[[#This Row],[precio del paquete]]-Tabla1[[#This Row],[Saldo_Deudor]]</f>
        <v>2600</v>
      </c>
      <c r="AY73">
        <v>21900</v>
      </c>
      <c r="AZ73" t="s">
        <v>3</v>
      </c>
      <c r="BA73" t="s">
        <v>3</v>
      </c>
      <c r="BB73" t="s">
        <v>3</v>
      </c>
      <c r="BC73" t="s">
        <v>936</v>
      </c>
      <c r="BD73" t="s">
        <v>1878</v>
      </c>
      <c r="BE73" t="s">
        <v>3</v>
      </c>
      <c r="BF73" t="s">
        <v>3</v>
      </c>
      <c r="BG73" t="s">
        <v>3</v>
      </c>
      <c r="BH73" t="s">
        <v>3</v>
      </c>
      <c r="BI73" t="s">
        <v>3</v>
      </c>
      <c r="BJ73" t="s">
        <v>1937</v>
      </c>
      <c r="BK73" t="s">
        <v>3</v>
      </c>
      <c r="BL73" t="s">
        <v>132</v>
      </c>
      <c r="BM73" t="s">
        <v>1</v>
      </c>
      <c r="BN73">
        <f>Tabla1[[#This Row],[precio del paquete]]</f>
        <v>24500</v>
      </c>
      <c r="BO73" t="s">
        <v>1</v>
      </c>
      <c r="BP73" t="s">
        <v>1</v>
      </c>
      <c r="BQ73" t="s">
        <v>1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1</v>
      </c>
      <c r="CD73" t="str" cm="1">
        <f t="array" aca="1" ref="CD73" ca="1">eConcatenar(A73:CB73,"|")</f>
        <v>1TqZvUZOIk4YQQFI|CAR2021-1858|3|DIGNITY|TABASCO|CARDENAS|CARDENAS|2021-08-05|24500|X|400|50|2|0|0|0|0|0|0|0|0|0|0|0|0|0|0|VAZQUEZ|MAYO|LETICIA|SOLTERO|X|X|ANDADOR CAMOTE  MANZANA 3 LOTE 28|COLONIA INVITAB|X|9371685096|X|X|X|ANDADOR CAMOTE  MANZANA 3 LOTE 28|X|LUNES|X|X|X|X|X|DOMICILIO |2600|21900|x|x|x|2022-11-02|2022-11-09|x|x|x|x|x|DSYPMZPXEANHGLM|x|HOMBRE|X|24500|X|X|X|X|X|X|X|X|CARDENAS|X|X|X|X|X</v>
      </c>
    </row>
    <row r="74" spans="1:82" x14ac:dyDescent="0.25">
      <c r="A74" t="s">
        <v>208</v>
      </c>
      <c r="B74" t="s">
        <v>519</v>
      </c>
      <c r="C74">
        <v>3</v>
      </c>
      <c r="D74" t="s">
        <v>765</v>
      </c>
      <c r="E74" t="s">
        <v>1398</v>
      </c>
      <c r="F74" t="s">
        <v>0</v>
      </c>
      <c r="G74" t="s">
        <v>0</v>
      </c>
      <c r="H74" t="s">
        <v>820</v>
      </c>
      <c r="I74">
        <v>24500</v>
      </c>
      <c r="J74" t="s">
        <v>1</v>
      </c>
      <c r="K74">
        <v>400</v>
      </c>
      <c r="L74">
        <v>50</v>
      </c>
      <c r="M74">
        <v>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1298</v>
      </c>
      <c r="AC74" t="s">
        <v>1233</v>
      </c>
      <c r="AD74" s="18" t="s">
        <v>1038</v>
      </c>
      <c r="AE74" t="s">
        <v>4</v>
      </c>
      <c r="AF74" t="s">
        <v>1</v>
      </c>
      <c r="AG74" t="s">
        <v>1</v>
      </c>
      <c r="AH74" t="s">
        <v>1464</v>
      </c>
      <c r="AI74" t="s">
        <v>1702</v>
      </c>
      <c r="AJ74" t="s">
        <v>1</v>
      </c>
      <c r="AK74">
        <v>9371390565</v>
      </c>
      <c r="AL74" t="s">
        <v>1</v>
      </c>
      <c r="AM74" t="s">
        <v>1</v>
      </c>
      <c r="AN74" t="s">
        <v>1</v>
      </c>
      <c r="AO74" t="s">
        <v>1464</v>
      </c>
      <c r="AP74" t="s">
        <v>1</v>
      </c>
      <c r="AQ74" t="s">
        <v>2</v>
      </c>
      <c r="AR74" t="s">
        <v>1</v>
      </c>
      <c r="AS74" t="s">
        <v>1</v>
      </c>
      <c r="AT74" t="s">
        <v>1</v>
      </c>
      <c r="AU74" t="s">
        <v>1</v>
      </c>
      <c r="AV74" t="s">
        <v>1</v>
      </c>
      <c r="AW74" t="s">
        <v>11</v>
      </c>
      <c r="AX74">
        <f>Tabla1[[#This Row],[precio del paquete]]-Tabla1[[#This Row],[Saldo_Deudor]]</f>
        <v>11100</v>
      </c>
      <c r="AY74">
        <v>13400</v>
      </c>
      <c r="AZ74" t="s">
        <v>3</v>
      </c>
      <c r="BA74" t="s">
        <v>3</v>
      </c>
      <c r="BB74" t="s">
        <v>3</v>
      </c>
      <c r="BC74" t="s">
        <v>936</v>
      </c>
      <c r="BD74" t="s">
        <v>1878</v>
      </c>
      <c r="BE74" t="s">
        <v>3</v>
      </c>
      <c r="BF74" t="s">
        <v>3</v>
      </c>
      <c r="BG74" t="s">
        <v>3</v>
      </c>
      <c r="BH74" t="s">
        <v>3</v>
      </c>
      <c r="BI74" t="s">
        <v>3</v>
      </c>
      <c r="BJ74" t="s">
        <v>1937</v>
      </c>
      <c r="BK74" t="s">
        <v>3</v>
      </c>
      <c r="BL74" t="s">
        <v>132</v>
      </c>
      <c r="BM74" t="s">
        <v>1</v>
      </c>
      <c r="BN74">
        <f>Tabla1[[#This Row],[precio del paquete]]</f>
        <v>24500</v>
      </c>
      <c r="BO74" t="s">
        <v>1</v>
      </c>
      <c r="BP74" t="s">
        <v>1</v>
      </c>
      <c r="BQ74" t="s">
        <v>1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1</v>
      </c>
      <c r="CD74" t="str" cm="1">
        <f t="array" aca="1" ref="CD74" ca="1">eConcatenar(A74:CB74,"|")</f>
        <v>UKtBmPXTL1HNulbz|CAR2020-2813|3|ZAFIRO|TABASCO|CARDENAS|CARDENAS|2020-04-09|24500|X|400|50|2|0|0|0|0|0|0|0|0|0|0|0|0|0|0|LOMAN|DIAZ|ARACELI|SOLTERO|X|X|CERRADA AQUILES CALDERON MARCHENA |COLONIA CENTRO|X|9371390565|X|X|X|CERRADA AQUILES CALDERON MARCHENA |X|LUNES|X|X|X|X|X|DOMICILIO |11100|13400|x|x|x|2022-11-02|2022-11-09|x|x|x|x|x|DSYPMZPXEANHGLM|x|HOMBRE|X|24500|X|X|X|X|X|X|X|X|CARDENAS|X|X|X|X|X</v>
      </c>
    </row>
    <row r="75" spans="1:82" x14ac:dyDescent="0.25">
      <c r="A75" t="s">
        <v>209</v>
      </c>
      <c r="B75" t="s">
        <v>520</v>
      </c>
      <c r="C75">
        <v>3</v>
      </c>
      <c r="D75" t="s">
        <v>763</v>
      </c>
      <c r="E75" t="s">
        <v>1398</v>
      </c>
      <c r="F75" t="s">
        <v>0</v>
      </c>
      <c r="G75" t="s">
        <v>0</v>
      </c>
      <c r="H75" t="s">
        <v>821</v>
      </c>
      <c r="I75">
        <v>12900</v>
      </c>
      <c r="J75" t="s">
        <v>1</v>
      </c>
      <c r="K75">
        <v>200</v>
      </c>
      <c r="L75">
        <v>50</v>
      </c>
      <c r="M75">
        <v>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7</v>
      </c>
      <c r="AC75" t="s">
        <v>1299</v>
      </c>
      <c r="AD75" s="18" t="s">
        <v>1039</v>
      </c>
      <c r="AE75" t="s">
        <v>4</v>
      </c>
      <c r="AF75" t="s">
        <v>1</v>
      </c>
      <c r="AG75" t="s">
        <v>1</v>
      </c>
      <c r="AH75" t="s">
        <v>1465</v>
      </c>
      <c r="AI75" t="s">
        <v>1695</v>
      </c>
      <c r="AJ75" t="s">
        <v>1</v>
      </c>
      <c r="AK75">
        <v>9371081040</v>
      </c>
      <c r="AL75" t="s">
        <v>1</v>
      </c>
      <c r="AM75" t="s">
        <v>1</v>
      </c>
      <c r="AN75" t="s">
        <v>1</v>
      </c>
      <c r="AO75" t="s">
        <v>1465</v>
      </c>
      <c r="AP75" t="s">
        <v>1</v>
      </c>
      <c r="AQ75" t="s">
        <v>2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11</v>
      </c>
      <c r="AX75">
        <f>Tabla1[[#This Row],[precio del paquete]]-Tabla1[[#This Row],[Saldo_Deudor]]</f>
        <v>5800</v>
      </c>
      <c r="AY75">
        <v>7100</v>
      </c>
      <c r="AZ75" t="s">
        <v>3</v>
      </c>
      <c r="BA75" t="s">
        <v>3</v>
      </c>
      <c r="BB75" t="s">
        <v>3</v>
      </c>
      <c r="BC75" t="s">
        <v>936</v>
      </c>
      <c r="BD75" t="s">
        <v>1878</v>
      </c>
      <c r="BE75" t="s">
        <v>3</v>
      </c>
      <c r="BF75" t="s">
        <v>3</v>
      </c>
      <c r="BG75" t="s">
        <v>3</v>
      </c>
      <c r="BH75" t="s">
        <v>3</v>
      </c>
      <c r="BI75" t="s">
        <v>3</v>
      </c>
      <c r="BJ75" t="s">
        <v>1937</v>
      </c>
      <c r="BK75" t="s">
        <v>3</v>
      </c>
      <c r="BL75" t="s">
        <v>132</v>
      </c>
      <c r="BM75" t="s">
        <v>1</v>
      </c>
      <c r="BN75">
        <f>Tabla1[[#This Row],[precio del paquete]]</f>
        <v>12900</v>
      </c>
      <c r="BO75" t="s">
        <v>1</v>
      </c>
      <c r="BP75" t="s">
        <v>1</v>
      </c>
      <c r="BQ75" t="s">
        <v>1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1</v>
      </c>
      <c r="CD75" t="str" cm="1">
        <f t="array" aca="1" ref="CD75" ca="1">eConcatenar(A75:CB75,"|")</f>
        <v>ueslqA0PDLyfCecg|CAR2020-3875|3|IMPERIAL DE LUJO|TABASCO|CARDENAS|CARDENAS|2020-12-10|12900|X|200|50|2|0|0|0|0|0|0|0|0|0|0|0|0|0|0|LOPEZ|ANGUIANO|MARIA DE JESUS|SOLTERO|X|X|CALLE NICOLASA CANO FRENTE A RETEN |COLONIA SANTA MARIA DE GUADALUPE |X|9371081040|X|X|X|CALLE NICOLASA CANO FRENTE A RETEN |X|LUNES|X|X|X|X|X|DOMICILIO |5800|7100|x|x|x|2022-11-02|2022-11-09|x|x|x|x|x|DSYPMZPXEANHGLM|x|HOMBRE|X|12900|X|X|X|X|X|X|X|X|CARDENAS|X|X|X|X|X</v>
      </c>
    </row>
    <row r="76" spans="1:82" x14ac:dyDescent="0.25">
      <c r="A76" t="s">
        <v>210</v>
      </c>
      <c r="B76" t="s">
        <v>521</v>
      </c>
      <c r="C76">
        <v>3</v>
      </c>
      <c r="D76" t="s">
        <v>761</v>
      </c>
      <c r="E76" t="s">
        <v>1398</v>
      </c>
      <c r="F76" t="s">
        <v>769</v>
      </c>
      <c r="G76" t="s">
        <v>769</v>
      </c>
      <c r="H76" t="s">
        <v>822</v>
      </c>
      <c r="I76">
        <v>14800</v>
      </c>
      <c r="J76" t="s">
        <v>1</v>
      </c>
      <c r="K76">
        <v>200</v>
      </c>
      <c r="L76">
        <v>50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7</v>
      </c>
      <c r="AC76" t="s">
        <v>1247</v>
      </c>
      <c r="AD76" s="18" t="s">
        <v>1399</v>
      </c>
      <c r="AE76" t="s">
        <v>4</v>
      </c>
      <c r="AF76" t="s">
        <v>1</v>
      </c>
      <c r="AG76" t="s">
        <v>1</v>
      </c>
      <c r="AH76" t="s">
        <v>1433</v>
      </c>
      <c r="AI76" t="s">
        <v>1711</v>
      </c>
      <c r="AJ76" t="s">
        <v>1</v>
      </c>
      <c r="AK76">
        <v>9371421075</v>
      </c>
      <c r="AL76" t="s">
        <v>1</v>
      </c>
      <c r="AM76" t="s">
        <v>1</v>
      </c>
      <c r="AN76" t="s">
        <v>1</v>
      </c>
      <c r="AO76" t="s">
        <v>1433</v>
      </c>
      <c r="AP76" t="s">
        <v>1</v>
      </c>
      <c r="AQ76" t="s">
        <v>2</v>
      </c>
      <c r="AR76" t="s">
        <v>1</v>
      </c>
      <c r="AS76" t="s">
        <v>1</v>
      </c>
      <c r="AT76" t="s">
        <v>1</v>
      </c>
      <c r="AU76" t="s">
        <v>1</v>
      </c>
      <c r="AV76" t="s">
        <v>1</v>
      </c>
      <c r="AW76" t="s">
        <v>11</v>
      </c>
      <c r="AX76">
        <f>Tabla1[[#This Row],[precio del paquete]]-Tabla1[[#This Row],[Saldo_Deudor]]</f>
        <v>7300</v>
      </c>
      <c r="AY76">
        <v>7500</v>
      </c>
      <c r="AZ76" t="s">
        <v>3</v>
      </c>
      <c r="BA76" t="s">
        <v>3</v>
      </c>
      <c r="BB76" t="s">
        <v>3</v>
      </c>
      <c r="BC76" t="s">
        <v>1837</v>
      </c>
      <c r="BD76" t="s">
        <v>1883</v>
      </c>
      <c r="BE76" t="s">
        <v>3</v>
      </c>
      <c r="BF76" t="s">
        <v>3</v>
      </c>
      <c r="BG76" t="s">
        <v>3</v>
      </c>
      <c r="BH76" t="s">
        <v>3</v>
      </c>
      <c r="BI76" t="s">
        <v>3</v>
      </c>
      <c r="BJ76" t="s">
        <v>1939</v>
      </c>
      <c r="BK76" t="s">
        <v>3</v>
      </c>
      <c r="BL76" t="s">
        <v>132</v>
      </c>
      <c r="BM76" t="s">
        <v>1</v>
      </c>
      <c r="BN76">
        <f>Tabla1[[#This Row],[precio del paquete]]</f>
        <v>14800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1</v>
      </c>
      <c r="CD76" t="str" cm="1">
        <f t="array" aca="1" ref="CD76" ca="1">eConcatenar(A76:CB76,"|")</f>
        <v>uXpqEOqZUp6K361A|CAR2022-4412|3|MEMORIAL|TABASCO|CUNDUACAN|CUNDUACAN|2021-06-08|14800|X|200|50|0|0|0|0|0|0|0|0|0|0|0|0|0|0|0|LOPEZ|SANCHEZ|OSCAR|SOLTERO|X|X|CARRETERA A CUNDUACAN SIN NUMERO|EJIDO LA ESPERANZA SEGUNDA SECCION|X|9371421075|X|X|X|CARRETERA A CUNDUACAN SIN NUMERO|X|LUNES|X|X|X|X|X|DOMICILIO |7300|7500|x|x|x|2022-02-16|2022-02-23|x|x|x|x|x|TQPNUNDB8OSMS5B|x|HOMBRE|X|14800|X|X|X|X|X|X|X|X|CARDENAS|X|X|X|X|X</v>
      </c>
    </row>
    <row r="77" spans="1:82" x14ac:dyDescent="0.25">
      <c r="A77" t="s">
        <v>211</v>
      </c>
      <c r="B77" t="s">
        <v>522</v>
      </c>
      <c r="C77">
        <v>3</v>
      </c>
      <c r="D77" t="s">
        <v>761</v>
      </c>
      <c r="E77" t="s">
        <v>1398</v>
      </c>
      <c r="F77" t="s">
        <v>769</v>
      </c>
      <c r="G77" t="s">
        <v>769</v>
      </c>
      <c r="H77" t="s">
        <v>823</v>
      </c>
      <c r="I77">
        <v>14800</v>
      </c>
      <c r="J77" t="s">
        <v>1</v>
      </c>
      <c r="K77">
        <v>300</v>
      </c>
      <c r="L77">
        <v>50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1266</v>
      </c>
      <c r="AC77" t="s">
        <v>1266</v>
      </c>
      <c r="AD77" s="18" t="s">
        <v>1040</v>
      </c>
      <c r="AE77" t="s">
        <v>4</v>
      </c>
      <c r="AF77" t="s">
        <v>1</v>
      </c>
      <c r="AG77" t="s">
        <v>1</v>
      </c>
      <c r="AH77" t="s">
        <v>1466</v>
      </c>
      <c r="AI77" t="s">
        <v>1712</v>
      </c>
      <c r="AJ77" t="s">
        <v>1</v>
      </c>
      <c r="AK77">
        <v>9373740787</v>
      </c>
      <c r="AL77" t="s">
        <v>1</v>
      </c>
      <c r="AM77" t="s">
        <v>1</v>
      </c>
      <c r="AN77" t="s">
        <v>1</v>
      </c>
      <c r="AO77" t="s">
        <v>1466</v>
      </c>
      <c r="AP77" t="s">
        <v>1</v>
      </c>
      <c r="AQ77" t="s">
        <v>2</v>
      </c>
      <c r="AR77" t="s">
        <v>1</v>
      </c>
      <c r="AS77" t="s">
        <v>1</v>
      </c>
      <c r="AT77" t="s">
        <v>1</v>
      </c>
      <c r="AU77" t="s">
        <v>1</v>
      </c>
      <c r="AV77" t="s">
        <v>1</v>
      </c>
      <c r="AW77" t="s">
        <v>11</v>
      </c>
      <c r="AX77">
        <f>Tabla1[[#This Row],[precio del paquete]]-Tabla1[[#This Row],[Saldo_Deudor]]</f>
        <v>3500</v>
      </c>
      <c r="AY77">
        <v>11300</v>
      </c>
      <c r="AZ77" t="s">
        <v>3</v>
      </c>
      <c r="BA77" t="s">
        <v>3</v>
      </c>
      <c r="BB77" t="s">
        <v>3</v>
      </c>
      <c r="BC77" t="s">
        <v>1837</v>
      </c>
      <c r="BD77" t="s">
        <v>1883</v>
      </c>
      <c r="BE77" t="s">
        <v>3</v>
      </c>
      <c r="BF77" t="s">
        <v>3</v>
      </c>
      <c r="BG77" t="s">
        <v>3</v>
      </c>
      <c r="BH77" t="s">
        <v>3</v>
      </c>
      <c r="BI77" t="s">
        <v>3</v>
      </c>
      <c r="BJ77" t="s">
        <v>1939</v>
      </c>
      <c r="BK77" t="s">
        <v>3</v>
      </c>
      <c r="BL77" t="s">
        <v>132</v>
      </c>
      <c r="BM77" t="s">
        <v>1</v>
      </c>
      <c r="BN77">
        <f>Tabla1[[#This Row],[precio del paquete]]</f>
        <v>14800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1</v>
      </c>
      <c r="CD77" t="str" cm="1">
        <f t="array" aca="1" ref="CD77" ca="1">eConcatenar(A77:CB77,"|")</f>
        <v>mthzlHTAMlPdZwmK|CAR2022-2662|3|MEMORIAL|TABASCO|CUNDUACAN|CUNDUACAN|2021-06-18|14800|X|300|50|1|0|0|0|0|0|0|0|0|0|0|0|0|0|0|HERNANDEZ|HERNANDEZ|JUANA|SOLTERO|X|X|CARRETERA A CALZADA SIN NUMERO|RANCHERIA YOLOXOCHITL SEGUNDA SECCION |X|9373740787|X|X|X|CARRETERA A CALZADA SIN NUMERO|X|LUNES|X|X|X|X|X|DOMICILIO |3500|11300|x|x|x|2022-02-16|2022-02-23|x|x|x|x|x|TQPNUNDB8OSMS5B|x|HOMBRE|X|14800|X|X|X|X|X|X|X|X|CARDENAS|X|X|X|X|X</v>
      </c>
    </row>
    <row r="78" spans="1:82" x14ac:dyDescent="0.25">
      <c r="A78" t="s">
        <v>212</v>
      </c>
      <c r="B78" t="s">
        <v>523</v>
      </c>
      <c r="C78">
        <v>3</v>
      </c>
      <c r="D78" t="s">
        <v>761</v>
      </c>
      <c r="E78" t="s">
        <v>1398</v>
      </c>
      <c r="F78" t="s">
        <v>769</v>
      </c>
      <c r="G78" t="s">
        <v>769</v>
      </c>
      <c r="H78" t="s">
        <v>824</v>
      </c>
      <c r="I78">
        <v>14800</v>
      </c>
      <c r="J78" t="s">
        <v>1</v>
      </c>
      <c r="K78">
        <v>200</v>
      </c>
      <c r="L78">
        <v>50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1300</v>
      </c>
      <c r="AC78" t="s">
        <v>1301</v>
      </c>
      <c r="AD78" s="18" t="s">
        <v>1041</v>
      </c>
      <c r="AE78" t="s">
        <v>4</v>
      </c>
      <c r="AF78" t="s">
        <v>1</v>
      </c>
      <c r="AG78" t="s">
        <v>1</v>
      </c>
      <c r="AH78" t="s">
        <v>1</v>
      </c>
      <c r="AI78" t="s">
        <v>1713</v>
      </c>
      <c r="AJ78" t="s">
        <v>1</v>
      </c>
      <c r="AK78">
        <v>9141291455</v>
      </c>
      <c r="AL78" t="s">
        <v>1</v>
      </c>
      <c r="AM78" t="s">
        <v>1</v>
      </c>
      <c r="AN78" t="s">
        <v>1</v>
      </c>
      <c r="AO78" t="s">
        <v>1</v>
      </c>
      <c r="AP78" t="s">
        <v>1</v>
      </c>
      <c r="AQ78" t="s">
        <v>2</v>
      </c>
      <c r="AR78" t="s">
        <v>1</v>
      </c>
      <c r="AS78" t="s">
        <v>1</v>
      </c>
      <c r="AT78" t="s">
        <v>1</v>
      </c>
      <c r="AU78" t="s">
        <v>1</v>
      </c>
      <c r="AV78" t="s">
        <v>1</v>
      </c>
      <c r="AW78" t="s">
        <v>11</v>
      </c>
      <c r="AX78">
        <f>Tabla1[[#This Row],[precio del paquete]]-Tabla1[[#This Row],[Saldo_Deudor]]</f>
        <v>3600</v>
      </c>
      <c r="AY78">
        <v>11200</v>
      </c>
      <c r="AZ78" t="s">
        <v>3</v>
      </c>
      <c r="BA78" t="s">
        <v>3</v>
      </c>
      <c r="BB78" t="s">
        <v>3</v>
      </c>
      <c r="BC78" t="s">
        <v>1837</v>
      </c>
      <c r="BD78" t="s">
        <v>1883</v>
      </c>
      <c r="BE78" t="s">
        <v>3</v>
      </c>
      <c r="BF78" t="s">
        <v>3</v>
      </c>
      <c r="BG78" t="s">
        <v>3</v>
      </c>
      <c r="BH78" t="s">
        <v>3</v>
      </c>
      <c r="BI78" t="s">
        <v>3</v>
      </c>
      <c r="BJ78" t="s">
        <v>1939</v>
      </c>
      <c r="BK78" t="s">
        <v>3</v>
      </c>
      <c r="BL78" t="s">
        <v>132</v>
      </c>
      <c r="BM78" t="s">
        <v>1</v>
      </c>
      <c r="BN78">
        <f>Tabla1[[#This Row],[precio del paquete]]</f>
        <v>14800</v>
      </c>
      <c r="BO78" t="s">
        <v>1</v>
      </c>
      <c r="BP78" t="s">
        <v>1</v>
      </c>
      <c r="BQ78" t="s">
        <v>1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1</v>
      </c>
      <c r="CD78" t="str" cm="1">
        <f t="array" aca="1" ref="CD78" ca="1">eConcatenar(A78:CB78,"|")</f>
        <v>C9h0szTylGNz8nja|CAR2021-2650|3|MEMORIAL|TABASCO|CUNDUACAN|CUNDUACAN|2021-06-17|14800|X|200|50|1|0|0|0|0|0|0|0|0|0|0|0|0|0|0|AGUIRRE|CORTAZAR|MARIA MARIBEL|SOLTERO|X|X|X|RANCHERIA YOZOYOCHITL SEGUNDA SECCION |X|9141291455|X|X|X|X|X|LUNES|X|X|X|X|X|DOMICILIO |3600|11200|x|x|x|2022-02-16|2022-02-23|x|x|x|x|x|TQPNUNDB8OSMS5B|x|HOMBRE|X|14800|X|X|X|X|X|X|X|X|CARDENAS|X|X|X|X|X</v>
      </c>
    </row>
    <row r="79" spans="1:82" x14ac:dyDescent="0.25">
      <c r="A79" t="s">
        <v>213</v>
      </c>
      <c r="B79" t="s">
        <v>524</v>
      </c>
      <c r="C79">
        <v>3</v>
      </c>
      <c r="D79" t="s">
        <v>762</v>
      </c>
      <c r="E79" t="s">
        <v>1398</v>
      </c>
      <c r="F79" t="s">
        <v>769</v>
      </c>
      <c r="G79" t="s">
        <v>769</v>
      </c>
      <c r="H79" t="s">
        <v>822</v>
      </c>
      <c r="I79">
        <v>24500</v>
      </c>
      <c r="J79" t="s">
        <v>1</v>
      </c>
      <c r="K79">
        <v>100</v>
      </c>
      <c r="L79">
        <v>50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1267</v>
      </c>
      <c r="AC79" t="s">
        <v>7</v>
      </c>
      <c r="AD79" s="18" t="s">
        <v>1042</v>
      </c>
      <c r="AE79" t="s">
        <v>4</v>
      </c>
      <c r="AF79" t="s">
        <v>1</v>
      </c>
      <c r="AG79" t="s">
        <v>1</v>
      </c>
      <c r="AH79" t="s">
        <v>1467</v>
      </c>
      <c r="AI79" t="s">
        <v>1714</v>
      </c>
      <c r="AJ79" t="s">
        <v>1</v>
      </c>
      <c r="AK79">
        <v>9378788708</v>
      </c>
      <c r="AL79" t="s">
        <v>1</v>
      </c>
      <c r="AM79" t="s">
        <v>1</v>
      </c>
      <c r="AN79" t="s">
        <v>1</v>
      </c>
      <c r="AO79" t="s">
        <v>1467</v>
      </c>
      <c r="AP79" t="s">
        <v>1</v>
      </c>
      <c r="AQ79" t="s">
        <v>2</v>
      </c>
      <c r="AR79" t="s">
        <v>1</v>
      </c>
      <c r="AS79" t="s">
        <v>1</v>
      </c>
      <c r="AT79" t="s">
        <v>1</v>
      </c>
      <c r="AU79" t="s">
        <v>1</v>
      </c>
      <c r="AV79" t="s">
        <v>1</v>
      </c>
      <c r="AW79" t="s">
        <v>11</v>
      </c>
      <c r="AX79">
        <f>Tabla1[[#This Row],[precio del paquete]]-Tabla1[[#This Row],[Saldo_Deudor]]</f>
        <v>2700</v>
      </c>
      <c r="AY79">
        <v>21800</v>
      </c>
      <c r="AZ79" t="s">
        <v>3</v>
      </c>
      <c r="BA79" t="s">
        <v>3</v>
      </c>
      <c r="BB79" t="s">
        <v>3</v>
      </c>
      <c r="BC79" t="s">
        <v>1837</v>
      </c>
      <c r="BD79" t="s">
        <v>1883</v>
      </c>
      <c r="BE79" t="s">
        <v>3</v>
      </c>
      <c r="BF79" t="s">
        <v>3</v>
      </c>
      <c r="BG79" t="s">
        <v>3</v>
      </c>
      <c r="BH79" t="s">
        <v>3</v>
      </c>
      <c r="BI79" t="s">
        <v>3</v>
      </c>
      <c r="BJ79" t="s">
        <v>1939</v>
      </c>
      <c r="BK79" t="s">
        <v>3</v>
      </c>
      <c r="BL79" t="s">
        <v>132</v>
      </c>
      <c r="BM79" t="s">
        <v>1</v>
      </c>
      <c r="BN79">
        <f>Tabla1[[#This Row],[precio del paquete]]</f>
        <v>24500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1</v>
      </c>
      <c r="CD79" t="str" cm="1">
        <f t="array" aca="1" ref="CD79" ca="1">eConcatenar(A79:CB79,"|")</f>
        <v>YbhiBrc4UnNVYWwo|CAR2021-4415|3|DIGNITY|TABASCO|CUNDUACAN|CUNDUACAN|2021-06-08|24500|X|100|50|0|0|0|0|0|0|0|0|0|0|0|0|0|0|0|JIMENEZ|LOPEZ|GRACIELA|SOLTERO|X|X|CARRETERA A INTERCAMBIO SIN NUMERO|EJIDO SANTA LUCIA|X|9378788708|X|X|X|CARRETERA A INTERCAMBIO SIN NUMERO|X|LUNES|X|X|X|X|X|DOMICILIO |2700|21800|x|x|x|2022-02-16|2022-02-23|x|x|x|x|x|TQPNUNDB8OSMS5B|x|HOMBRE|X|24500|X|X|X|X|X|X|X|X|CARDENAS|X|X|X|X|X</v>
      </c>
    </row>
    <row r="80" spans="1:82" x14ac:dyDescent="0.25">
      <c r="A80" t="s">
        <v>214</v>
      </c>
      <c r="B80" t="s">
        <v>525</v>
      </c>
      <c r="C80">
        <v>3</v>
      </c>
      <c r="D80" t="s">
        <v>761</v>
      </c>
      <c r="E80" t="s">
        <v>1398</v>
      </c>
      <c r="F80" t="s">
        <v>124</v>
      </c>
      <c r="G80" t="s">
        <v>124</v>
      </c>
      <c r="H80" t="s">
        <v>825</v>
      </c>
      <c r="I80">
        <v>14800</v>
      </c>
      <c r="J80" t="s">
        <v>1</v>
      </c>
      <c r="K80">
        <v>100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1302</v>
      </c>
      <c r="AC80" t="s">
        <v>1249</v>
      </c>
      <c r="AD80" s="18" t="s">
        <v>1043</v>
      </c>
      <c r="AE80" t="s">
        <v>4</v>
      </c>
      <c r="AF80" t="s">
        <v>1</v>
      </c>
      <c r="AG80" t="s">
        <v>1</v>
      </c>
      <c r="AH80" t="s">
        <v>1468</v>
      </c>
      <c r="AI80" t="s">
        <v>1715</v>
      </c>
      <c r="AJ80" t="s">
        <v>1</v>
      </c>
      <c r="AK80">
        <v>93767035</v>
      </c>
      <c r="AL80" t="s">
        <v>1</v>
      </c>
      <c r="AM80" t="s">
        <v>1</v>
      </c>
      <c r="AN80" t="s">
        <v>1</v>
      </c>
      <c r="AO80" t="s">
        <v>1468</v>
      </c>
      <c r="AP80" t="s">
        <v>1</v>
      </c>
      <c r="AQ80" t="s">
        <v>2</v>
      </c>
      <c r="AR80" t="s">
        <v>1</v>
      </c>
      <c r="AS80" t="s">
        <v>1</v>
      </c>
      <c r="AT80" t="s">
        <v>1</v>
      </c>
      <c r="AU80" t="s">
        <v>1</v>
      </c>
      <c r="AV80" t="s">
        <v>1</v>
      </c>
      <c r="AW80" t="s">
        <v>11</v>
      </c>
      <c r="AX80">
        <f>Tabla1[[#This Row],[precio del paquete]]-Tabla1[[#This Row],[Saldo_Deudor]]</f>
        <v>2300</v>
      </c>
      <c r="AY80">
        <v>12500</v>
      </c>
      <c r="AZ80" t="s">
        <v>3</v>
      </c>
      <c r="BA80" t="s">
        <v>3</v>
      </c>
      <c r="BB80" t="s">
        <v>3</v>
      </c>
      <c r="BC80" t="s">
        <v>1837</v>
      </c>
      <c r="BD80" t="s">
        <v>1883</v>
      </c>
      <c r="BE80" t="s">
        <v>3</v>
      </c>
      <c r="BF80" t="s">
        <v>3</v>
      </c>
      <c r="BG80" t="s">
        <v>3</v>
      </c>
      <c r="BH80" t="s">
        <v>3</v>
      </c>
      <c r="BI80" t="s">
        <v>3</v>
      </c>
      <c r="BJ80" t="s">
        <v>1939</v>
      </c>
      <c r="BK80" t="s">
        <v>3</v>
      </c>
      <c r="BL80" t="s">
        <v>132</v>
      </c>
      <c r="BM80" t="s">
        <v>1</v>
      </c>
      <c r="BN80">
        <f>Tabla1[[#This Row],[precio del paquete]]</f>
        <v>14800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1</v>
      </c>
      <c r="CD80" t="str" cm="1">
        <f t="array" aca="1" ref="CD80" ca="1">eConcatenar(A80:CB80,"|")</f>
        <v>5UshGR90aObo6SpA|CAR2021-3099|3|MEMORIAL|TABASCO|CUNDUACAN |CUNDUACAN |2021-03-07|14800|X|100|50|0|0|0|0|0|0|0|0|0|0|0|0|0|0|0|CAMPOS|DE LA CRUZ|FRANCISCO|SOLTERO|X|X|CARRETERA A MANTILLA SIN NUMERO|EJIDO BUENA VENTURA |X|93767035|X|X|X|CARRETERA A MANTILLA SIN NUMERO|X|LUNES|X|X|X|X|X|DOMICILIO |2300|12500|x|x|x|2022-02-16|2022-02-23|x|x|x|x|x|TQPNUNDB8OSMS5B|x|HOMBRE|X|14800|X|X|X|X|X|X|X|X|CARDENAS|X|X|X|X|X</v>
      </c>
    </row>
    <row r="81" spans="1:82" x14ac:dyDescent="0.25">
      <c r="A81" t="s">
        <v>215</v>
      </c>
      <c r="B81" t="s">
        <v>526</v>
      </c>
      <c r="C81">
        <v>3</v>
      </c>
      <c r="D81" t="s">
        <v>761</v>
      </c>
      <c r="E81" t="s">
        <v>1398</v>
      </c>
      <c r="F81" t="s">
        <v>769</v>
      </c>
      <c r="G81" t="s">
        <v>769</v>
      </c>
      <c r="H81" t="s">
        <v>826</v>
      </c>
      <c r="I81">
        <v>14800</v>
      </c>
      <c r="J81" t="s">
        <v>1</v>
      </c>
      <c r="K81">
        <v>100</v>
      </c>
      <c r="L81">
        <v>50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1233</v>
      </c>
      <c r="AC81" t="s">
        <v>7</v>
      </c>
      <c r="AD81" s="18" t="s">
        <v>1044</v>
      </c>
      <c r="AE81" t="s">
        <v>4</v>
      </c>
      <c r="AF81" t="s">
        <v>1</v>
      </c>
      <c r="AG81" t="s">
        <v>1</v>
      </c>
      <c r="AH81" t="s">
        <v>1426</v>
      </c>
      <c r="AI81" t="s">
        <v>1716</v>
      </c>
      <c r="AJ81" t="s">
        <v>1</v>
      </c>
      <c r="AK81">
        <v>9141106894</v>
      </c>
      <c r="AL81" t="s">
        <v>1</v>
      </c>
      <c r="AM81" t="s">
        <v>1</v>
      </c>
      <c r="AN81" t="s">
        <v>1</v>
      </c>
      <c r="AO81" t="s">
        <v>1426</v>
      </c>
      <c r="AP81" t="s">
        <v>1</v>
      </c>
      <c r="AQ81" t="s">
        <v>2</v>
      </c>
      <c r="AR81" t="s">
        <v>1</v>
      </c>
      <c r="AS81" t="s">
        <v>1</v>
      </c>
      <c r="AT81" t="s">
        <v>1</v>
      </c>
      <c r="AU81" t="s">
        <v>1</v>
      </c>
      <c r="AV81" t="s">
        <v>1</v>
      </c>
      <c r="AW81" t="s">
        <v>11</v>
      </c>
      <c r="AX81">
        <f>Tabla1[[#This Row],[precio del paquete]]-Tabla1[[#This Row],[Saldo_Deudor]]</f>
        <v>3100</v>
      </c>
      <c r="AY81">
        <v>11700</v>
      </c>
      <c r="AZ81" t="s">
        <v>3</v>
      </c>
      <c r="BA81" t="s">
        <v>3</v>
      </c>
      <c r="BB81" t="s">
        <v>3</v>
      </c>
      <c r="BC81" t="s">
        <v>1837</v>
      </c>
      <c r="BD81" t="s">
        <v>1883</v>
      </c>
      <c r="BE81" t="s">
        <v>3</v>
      </c>
      <c r="BF81" t="s">
        <v>3</v>
      </c>
      <c r="BG81" t="s">
        <v>3</v>
      </c>
      <c r="BH81" t="s">
        <v>3</v>
      </c>
      <c r="BI81" t="s">
        <v>3</v>
      </c>
      <c r="BJ81" t="s">
        <v>1939</v>
      </c>
      <c r="BK81" t="s">
        <v>3</v>
      </c>
      <c r="BL81" t="s">
        <v>132</v>
      </c>
      <c r="BM81" t="s">
        <v>1</v>
      </c>
      <c r="BN81">
        <f>Tabla1[[#This Row],[precio del paquete]]</f>
        <v>14800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1</v>
      </c>
      <c r="CD81" t="str" cm="1">
        <f t="array" aca="1" ref="CD81" ca="1">eConcatenar(A81:CB81,"|")</f>
        <v>EIB2jQRG6nhBL5tH|CAR2021-3266|3|MEMORIAL|TABASCO|CUNDUACAN|CUNDUACAN|2021-07-07|14800|X|100|50|1|0|0|0|0|0|0|0|0|0|0|0|0|0|0|DIAZ|LOPEZ|LEIDY VIRIDIANA|SOLTERO|X|X|CARRETERA PRINCIPAL SIN NUMERO|RANCHERIA LA PIEDRA TERCERA SECCION |X|9141106894|X|X|X|CARRETERA PRINCIPAL SIN NUMERO|X|LUNES|X|X|X|X|X|DOMICILIO |3100|11700|x|x|x|2022-02-16|2022-02-23|x|x|x|x|x|TQPNUNDB8OSMS5B|x|HOMBRE|X|14800|X|X|X|X|X|X|X|X|CARDENAS|X|X|X|X|X</v>
      </c>
    </row>
    <row r="82" spans="1:82" x14ac:dyDescent="0.25">
      <c r="A82" t="s">
        <v>216</v>
      </c>
      <c r="B82" t="s">
        <v>527</v>
      </c>
      <c r="C82">
        <v>3</v>
      </c>
      <c r="D82" t="s">
        <v>761</v>
      </c>
      <c r="E82" t="s">
        <v>1398</v>
      </c>
      <c r="F82" t="s">
        <v>769</v>
      </c>
      <c r="G82" t="s">
        <v>769</v>
      </c>
      <c r="H82" t="s">
        <v>826</v>
      </c>
      <c r="I82">
        <v>14800</v>
      </c>
      <c r="J82" t="s">
        <v>1</v>
      </c>
      <c r="K82">
        <v>200</v>
      </c>
      <c r="L82">
        <v>50</v>
      </c>
      <c r="M82">
        <v>1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1233</v>
      </c>
      <c r="AC82" t="s">
        <v>7</v>
      </c>
      <c r="AD82" s="18" t="s">
        <v>1045</v>
      </c>
      <c r="AE82" t="s">
        <v>4</v>
      </c>
      <c r="AF82" t="s">
        <v>1</v>
      </c>
      <c r="AG82" t="s">
        <v>1</v>
      </c>
      <c r="AH82" t="s">
        <v>1469</v>
      </c>
      <c r="AI82" t="s">
        <v>1469</v>
      </c>
      <c r="AJ82" t="s">
        <v>1</v>
      </c>
      <c r="AK82">
        <v>9141102870</v>
      </c>
      <c r="AL82" t="s">
        <v>1</v>
      </c>
      <c r="AM82" t="s">
        <v>1</v>
      </c>
      <c r="AN82" t="s">
        <v>1</v>
      </c>
      <c r="AO82" t="s">
        <v>1469</v>
      </c>
      <c r="AP82" t="s">
        <v>1</v>
      </c>
      <c r="AQ82" t="s">
        <v>2</v>
      </c>
      <c r="AR82" t="s">
        <v>1</v>
      </c>
      <c r="AS82" t="s">
        <v>1</v>
      </c>
      <c r="AT82" t="s">
        <v>1</v>
      </c>
      <c r="AU82" t="s">
        <v>1</v>
      </c>
      <c r="AV82" t="s">
        <v>1</v>
      </c>
      <c r="AW82" t="s">
        <v>11</v>
      </c>
      <c r="AX82">
        <f>Tabla1[[#This Row],[precio del paquete]]-Tabla1[[#This Row],[Saldo_Deudor]]</f>
        <v>3200</v>
      </c>
      <c r="AY82">
        <v>11600</v>
      </c>
      <c r="AZ82" t="s">
        <v>3</v>
      </c>
      <c r="BA82" t="s">
        <v>3</v>
      </c>
      <c r="BB82" t="s">
        <v>3</v>
      </c>
      <c r="BC82" t="s">
        <v>1837</v>
      </c>
      <c r="BD82" t="s">
        <v>1883</v>
      </c>
      <c r="BE82" t="s">
        <v>3</v>
      </c>
      <c r="BF82" t="s">
        <v>3</v>
      </c>
      <c r="BG82" t="s">
        <v>3</v>
      </c>
      <c r="BH82" t="s">
        <v>3</v>
      </c>
      <c r="BI82" t="s">
        <v>3</v>
      </c>
      <c r="BJ82" t="s">
        <v>1939</v>
      </c>
      <c r="BK82" t="s">
        <v>3</v>
      </c>
      <c r="BL82" t="s">
        <v>132</v>
      </c>
      <c r="BM82" t="s">
        <v>1</v>
      </c>
      <c r="BN82">
        <f>Tabla1[[#This Row],[precio del paquete]]</f>
        <v>14800</v>
      </c>
      <c r="BO82" t="s">
        <v>1</v>
      </c>
      <c r="BP82" t="s">
        <v>1</v>
      </c>
      <c r="BQ82" t="s">
        <v>1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1</v>
      </c>
      <c r="CD82" t="str" cm="1">
        <f t="array" aca="1" ref="CD82" ca="1">eConcatenar(A82:CB82,"|")</f>
        <v>v4R09WpOUJha9KbE|CAR2021-3271|3|MEMORIAL|TABASCO|CUNDUACAN|CUNDUACAN|2021-07-07|14800|X|200|50|1|0|0|0|0|0|0|0|0|0|0|0|0|0|0|DIAZ|LOPEZ|RODRIGO ALBERTO|SOLTERO|X|X|CARRETERA A LA COLMENA |CARRETERA A LA COLMENA |X|9141102870|X|X|X|CARRETERA A LA COLMENA |X|LUNES|X|X|X|X|X|DOMICILIO |3200|11600|x|x|x|2022-02-16|2022-02-23|x|x|x|x|x|TQPNUNDB8OSMS5B|x|HOMBRE|X|14800|X|X|X|X|X|X|X|X|CARDENAS|X|X|X|X|X</v>
      </c>
    </row>
    <row r="83" spans="1:82" x14ac:dyDescent="0.25">
      <c r="A83" t="s">
        <v>217</v>
      </c>
      <c r="B83" t="s">
        <v>528</v>
      </c>
      <c r="C83">
        <v>3</v>
      </c>
      <c r="D83" t="s">
        <v>761</v>
      </c>
      <c r="E83" t="s">
        <v>1398</v>
      </c>
      <c r="F83" t="s">
        <v>769</v>
      </c>
      <c r="G83" t="s">
        <v>769</v>
      </c>
      <c r="H83" t="s">
        <v>827</v>
      </c>
      <c r="I83">
        <v>14800</v>
      </c>
      <c r="J83" t="s">
        <v>1</v>
      </c>
      <c r="K83">
        <v>100</v>
      </c>
      <c r="L83">
        <v>50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1322</v>
      </c>
      <c r="AC83" t="s">
        <v>1078</v>
      </c>
      <c r="AD83" s="18" t="s">
        <v>1400</v>
      </c>
      <c r="AE83" t="s">
        <v>4</v>
      </c>
      <c r="AF83" t="s">
        <v>1</v>
      </c>
      <c r="AG83" t="s">
        <v>1</v>
      </c>
      <c r="AH83" t="s">
        <v>1470</v>
      </c>
      <c r="AI83" t="s">
        <v>1717</v>
      </c>
      <c r="AJ83" t="s">
        <v>1</v>
      </c>
      <c r="AK83">
        <v>9373742275</v>
      </c>
      <c r="AL83" t="s">
        <v>1</v>
      </c>
      <c r="AM83" t="s">
        <v>1</v>
      </c>
      <c r="AN83" t="s">
        <v>1</v>
      </c>
      <c r="AO83" t="s">
        <v>1470</v>
      </c>
      <c r="AP83" t="s">
        <v>1</v>
      </c>
      <c r="AQ83" t="s">
        <v>2</v>
      </c>
      <c r="AR83" t="s">
        <v>1</v>
      </c>
      <c r="AS83" t="s">
        <v>1</v>
      </c>
      <c r="AT83" t="s">
        <v>1</v>
      </c>
      <c r="AU83" t="s">
        <v>1</v>
      </c>
      <c r="AV83" t="s">
        <v>1</v>
      </c>
      <c r="AW83" t="s">
        <v>11</v>
      </c>
      <c r="AX83">
        <f>Tabla1[[#This Row],[precio del paquete]]-Tabla1[[#This Row],[Saldo_Deudor]]</f>
        <v>3100</v>
      </c>
      <c r="AY83">
        <v>11700</v>
      </c>
      <c r="AZ83" t="s">
        <v>3</v>
      </c>
      <c r="BA83" t="s">
        <v>3</v>
      </c>
      <c r="BB83" t="s">
        <v>3</v>
      </c>
      <c r="BC83" t="s">
        <v>1837</v>
      </c>
      <c r="BD83" t="s">
        <v>1883</v>
      </c>
      <c r="BE83" t="s">
        <v>3</v>
      </c>
      <c r="BF83" t="s">
        <v>3</v>
      </c>
      <c r="BG83" t="s">
        <v>3</v>
      </c>
      <c r="BH83" t="s">
        <v>3</v>
      </c>
      <c r="BI83" t="s">
        <v>3</v>
      </c>
      <c r="BJ83" t="s">
        <v>1939</v>
      </c>
      <c r="BK83" t="s">
        <v>3</v>
      </c>
      <c r="BL83" t="s">
        <v>132</v>
      </c>
      <c r="BM83" t="s">
        <v>1</v>
      </c>
      <c r="BN83">
        <f>Tabla1[[#This Row],[precio del paquete]]</f>
        <v>14800</v>
      </c>
      <c r="BO83" t="s">
        <v>1</v>
      </c>
      <c r="BP83" t="s">
        <v>1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1</v>
      </c>
      <c r="CD83" t="str" cm="1">
        <f t="array" aca="1" ref="CD83" ca="1">eConcatenar(A83:CB83,"|")</f>
        <v>otvnqBvUe0N8TvLf|CAR2021-3472|3|MEMORIAL|TABASCO|CUNDUACAN|CUNDUACAN|2021-07-14|14800|X|100|50|1|0|0|0|0|0|0|0|0|0|0|0|0|0|0|RAMIREZ|JAVIER|RAMON|SOLTERO|X|X|CALLE MIGUEL DOMINGUEZ NUMERO 523|COLONIA LAZARO CARDENAS AGUASOL|X|9373742275|X|X|X|CALLE MIGUEL DOMINGUEZ NUMERO 523|X|LUNES|X|X|X|X|X|DOMICILIO |3100|11700|x|x|x|2022-02-16|2022-02-23|x|x|x|x|x|TQPNUNDB8OSMS5B|x|HOMBRE|X|14800|X|X|X|X|X|X|X|X|CARDENAS|X|X|X|X|X</v>
      </c>
    </row>
    <row r="84" spans="1:82" x14ac:dyDescent="0.25">
      <c r="A84" t="s">
        <v>218</v>
      </c>
      <c r="B84" t="s">
        <v>529</v>
      </c>
      <c r="C84">
        <v>3</v>
      </c>
      <c r="D84" t="s">
        <v>761</v>
      </c>
      <c r="E84" t="s">
        <v>1398</v>
      </c>
      <c r="F84" t="s">
        <v>769</v>
      </c>
      <c r="G84" t="s">
        <v>769</v>
      </c>
      <c r="H84" t="s">
        <v>826</v>
      </c>
      <c r="I84">
        <v>14800</v>
      </c>
      <c r="J84" t="s">
        <v>1</v>
      </c>
      <c r="K84">
        <v>100</v>
      </c>
      <c r="L84">
        <v>50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1303</v>
      </c>
      <c r="AC84" t="s">
        <v>1266</v>
      </c>
      <c r="AD84" s="18" t="s">
        <v>1046</v>
      </c>
      <c r="AE84" t="s">
        <v>4</v>
      </c>
      <c r="AF84" t="s">
        <v>1</v>
      </c>
      <c r="AG84" t="s">
        <v>1</v>
      </c>
      <c r="AH84" t="s">
        <v>1426</v>
      </c>
      <c r="AI84" t="s">
        <v>1718</v>
      </c>
      <c r="AJ84" t="s">
        <v>1</v>
      </c>
      <c r="AK84">
        <v>9141302565</v>
      </c>
      <c r="AL84" t="s">
        <v>1</v>
      </c>
      <c r="AM84" t="s">
        <v>1</v>
      </c>
      <c r="AN84" t="s">
        <v>1</v>
      </c>
      <c r="AO84" t="s">
        <v>1426</v>
      </c>
      <c r="AP84" t="s">
        <v>1</v>
      </c>
      <c r="AQ84" t="s">
        <v>2</v>
      </c>
      <c r="AR84" t="s">
        <v>1</v>
      </c>
      <c r="AS84" t="s">
        <v>1</v>
      </c>
      <c r="AT84" t="s">
        <v>1</v>
      </c>
      <c r="AU84" t="s">
        <v>1</v>
      </c>
      <c r="AV84" t="s">
        <v>1</v>
      </c>
      <c r="AW84" t="s">
        <v>11</v>
      </c>
      <c r="AX84">
        <f>Tabla1[[#This Row],[precio del paquete]]-Tabla1[[#This Row],[Saldo_Deudor]]</f>
        <v>2700</v>
      </c>
      <c r="AY84">
        <v>12100</v>
      </c>
      <c r="AZ84" t="s">
        <v>3</v>
      </c>
      <c r="BA84" t="s">
        <v>3</v>
      </c>
      <c r="BB84" t="s">
        <v>3</v>
      </c>
      <c r="BC84" t="s">
        <v>1843</v>
      </c>
      <c r="BD84" t="s">
        <v>1894</v>
      </c>
      <c r="BE84" t="s">
        <v>3</v>
      </c>
      <c r="BF84" t="s">
        <v>3</v>
      </c>
      <c r="BG84" t="s">
        <v>3</v>
      </c>
      <c r="BH84" t="s">
        <v>3</v>
      </c>
      <c r="BI84" t="s">
        <v>3</v>
      </c>
      <c r="BJ84" t="s">
        <v>1939</v>
      </c>
      <c r="BK84" t="s">
        <v>3</v>
      </c>
      <c r="BL84" t="s">
        <v>132</v>
      </c>
      <c r="BM84" t="s">
        <v>1</v>
      </c>
      <c r="BN84">
        <f>Tabla1[[#This Row],[precio del paquete]]</f>
        <v>14800</v>
      </c>
      <c r="BO84" t="s">
        <v>1</v>
      </c>
      <c r="BP84" t="s">
        <v>1</v>
      </c>
      <c r="BQ84" t="s">
        <v>1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1</v>
      </c>
      <c r="CD84" t="str" cm="1">
        <f t="array" aca="1" ref="CD84" ca="1">eConcatenar(A84:CB84,"|")</f>
        <v>jrbfK3fqS3fpPyzc|CAR2021-3263|3|MEMORIAL|TABASCO|CUNDUACAN|CUNDUACAN|2021-07-07|14800|X|100|50|1|0|0|0|0|0|0|0|0|0|0|0|0|0|0|CAMACHO|HERNANDEZ|FERNANDO|SOLTERO|X|X|CARRETERA PRINCIPAL SIN NUMERO|RANCHERIA MANTILLA|X|9141302565|X|X|X|CARRETERA PRINCIPAL SIN NUMERO|X|LUNES|X|X|X|X|X|DOMICILIO |2700|12100|x|x|x|2022-02-17|2022-02-24|x|x|x|x|x|TQPNUNDB8OSMS5B|x|HOMBRE|X|14800|X|X|X|X|X|X|X|X|CARDENAS|X|X|X|X|X</v>
      </c>
    </row>
    <row r="85" spans="1:82" x14ac:dyDescent="0.25">
      <c r="A85" t="s">
        <v>219</v>
      </c>
      <c r="B85" t="s">
        <v>530</v>
      </c>
      <c r="C85">
        <v>3</v>
      </c>
      <c r="D85" t="s">
        <v>761</v>
      </c>
      <c r="E85" t="s">
        <v>1398</v>
      </c>
      <c r="F85" t="s">
        <v>769</v>
      </c>
      <c r="G85" t="s">
        <v>769</v>
      </c>
      <c r="H85" t="s">
        <v>828</v>
      </c>
      <c r="I85">
        <v>14800</v>
      </c>
      <c r="J85" t="s">
        <v>1</v>
      </c>
      <c r="K85">
        <v>100</v>
      </c>
      <c r="L85">
        <v>50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1185</v>
      </c>
      <c r="AC85" t="s">
        <v>1296</v>
      </c>
      <c r="AD85" s="18" t="s">
        <v>979</v>
      </c>
      <c r="AE85" t="s">
        <v>4</v>
      </c>
      <c r="AF85" t="s">
        <v>1</v>
      </c>
      <c r="AG85" t="s">
        <v>1</v>
      </c>
      <c r="AH85" t="s">
        <v>1471</v>
      </c>
      <c r="AI85" t="s">
        <v>1719</v>
      </c>
      <c r="AJ85" t="s">
        <v>1</v>
      </c>
      <c r="AK85">
        <v>9141089104</v>
      </c>
      <c r="AL85" t="s">
        <v>1</v>
      </c>
      <c r="AM85" t="s">
        <v>1</v>
      </c>
      <c r="AN85" t="s">
        <v>1</v>
      </c>
      <c r="AO85" t="s">
        <v>1471</v>
      </c>
      <c r="AP85" t="s">
        <v>1</v>
      </c>
      <c r="AQ85" t="s">
        <v>2</v>
      </c>
      <c r="AR85" t="s">
        <v>1</v>
      </c>
      <c r="AS85" t="s">
        <v>1</v>
      </c>
      <c r="AT85" t="s">
        <v>1</v>
      </c>
      <c r="AU85" t="s">
        <v>1</v>
      </c>
      <c r="AV85" t="s">
        <v>1</v>
      </c>
      <c r="AW85" t="s">
        <v>11</v>
      </c>
      <c r="AX85">
        <f>Tabla1[[#This Row],[precio del paquete]]-Tabla1[[#This Row],[Saldo_Deudor]]</f>
        <v>6400</v>
      </c>
      <c r="AY85">
        <v>8400</v>
      </c>
      <c r="AZ85" t="s">
        <v>3</v>
      </c>
      <c r="BA85" t="s">
        <v>3</v>
      </c>
      <c r="BB85" t="s">
        <v>3</v>
      </c>
      <c r="BC85" t="s">
        <v>1843</v>
      </c>
      <c r="BD85" t="s">
        <v>1894</v>
      </c>
      <c r="BE85" t="s">
        <v>3</v>
      </c>
      <c r="BF85" t="s">
        <v>3</v>
      </c>
      <c r="BG85" t="s">
        <v>3</v>
      </c>
      <c r="BH85" t="s">
        <v>3</v>
      </c>
      <c r="BI85" t="s">
        <v>3</v>
      </c>
      <c r="BJ85" t="s">
        <v>1939</v>
      </c>
      <c r="BK85" t="s">
        <v>3</v>
      </c>
      <c r="BL85" t="s">
        <v>132</v>
      </c>
      <c r="BM85" t="s">
        <v>1</v>
      </c>
      <c r="BN85">
        <f>Tabla1[[#This Row],[precio del paquete]]</f>
        <v>14800</v>
      </c>
      <c r="BO85" t="s">
        <v>1</v>
      </c>
      <c r="BP85" t="s">
        <v>1</v>
      </c>
      <c r="BQ85" t="s">
        <v>1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1</v>
      </c>
      <c r="CD85" t="str" cm="1">
        <f t="array" aca="1" ref="CD85" ca="1">eConcatenar(A85:CB85,"|")</f>
        <v>tp8UpCOMcSvF68Am|CAR2021-3297|3|MEMORIAL|TABASCO|CUNDUACAN|CUNDUACAN|2021-08-07|14800|X|100|50|1|0|0|0|0|0|0|0|0|0|0|0|0|0|0|RODRIGUEZ|VICENTE|CONCEPCION|SOLTERO|X|X|CARRETERA A SAN FELIPE SIN NUMERO|EJIDO SANTO TOMAS |X|9141089104|X|X|X|CARRETERA A SAN FELIPE SIN NUMERO|X|LUNES|X|X|X|X|X|DOMICILIO |6400|8400|x|x|x|2022-02-17|2022-02-24|x|x|x|x|x|TQPNUNDB8OSMS5B|x|HOMBRE|X|14800|X|X|X|X|X|X|X|X|CARDENAS|X|X|X|X|X</v>
      </c>
    </row>
    <row r="86" spans="1:82" x14ac:dyDescent="0.25">
      <c r="A86" t="s">
        <v>220</v>
      </c>
      <c r="B86" t="s">
        <v>531</v>
      </c>
      <c r="C86">
        <v>3</v>
      </c>
      <c r="D86" t="s">
        <v>761</v>
      </c>
      <c r="E86" t="s">
        <v>1398</v>
      </c>
      <c r="F86" t="s">
        <v>769</v>
      </c>
      <c r="G86" t="s">
        <v>769</v>
      </c>
      <c r="H86" t="s">
        <v>789</v>
      </c>
      <c r="I86">
        <v>14800</v>
      </c>
      <c r="J86" t="s">
        <v>1</v>
      </c>
      <c r="K86">
        <v>50</v>
      </c>
      <c r="L86">
        <v>50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1304</v>
      </c>
      <c r="AC86" t="s">
        <v>1227</v>
      </c>
      <c r="AD86" s="18" t="s">
        <v>1047</v>
      </c>
      <c r="AE86" t="s">
        <v>4</v>
      </c>
      <c r="AF86" t="s">
        <v>1</v>
      </c>
      <c r="AG86" t="s">
        <v>1</v>
      </c>
      <c r="AH86" t="s">
        <v>1472</v>
      </c>
      <c r="AI86" t="s">
        <v>1683</v>
      </c>
      <c r="AJ86" t="s">
        <v>1</v>
      </c>
      <c r="AK86">
        <v>9331104457</v>
      </c>
      <c r="AL86" t="s">
        <v>1</v>
      </c>
      <c r="AM86" t="s">
        <v>1</v>
      </c>
      <c r="AN86" t="s">
        <v>1</v>
      </c>
      <c r="AO86" t="s">
        <v>1472</v>
      </c>
      <c r="AP86" t="s">
        <v>1</v>
      </c>
      <c r="AQ86" t="s">
        <v>2</v>
      </c>
      <c r="AR86" t="s">
        <v>1</v>
      </c>
      <c r="AS86" t="s">
        <v>1</v>
      </c>
      <c r="AT86" t="s">
        <v>1</v>
      </c>
      <c r="AU86" t="s">
        <v>1</v>
      </c>
      <c r="AV86" t="s">
        <v>1</v>
      </c>
      <c r="AW86" t="s">
        <v>11</v>
      </c>
      <c r="AX86">
        <f>Tabla1[[#This Row],[precio del paquete]]-Tabla1[[#This Row],[Saldo_Deudor]]</f>
        <v>550</v>
      </c>
      <c r="AY86">
        <v>14250</v>
      </c>
      <c r="AZ86" t="s">
        <v>3</v>
      </c>
      <c r="BA86" t="s">
        <v>3</v>
      </c>
      <c r="BB86" t="s">
        <v>3</v>
      </c>
      <c r="BC86" t="s">
        <v>1843</v>
      </c>
      <c r="BD86" t="s">
        <v>1894</v>
      </c>
      <c r="BE86" t="s">
        <v>3</v>
      </c>
      <c r="BF86" t="s">
        <v>3</v>
      </c>
      <c r="BG86" t="s">
        <v>3</v>
      </c>
      <c r="BH86" t="s">
        <v>3</v>
      </c>
      <c r="BI86" t="s">
        <v>3</v>
      </c>
      <c r="BJ86" t="s">
        <v>1939</v>
      </c>
      <c r="BK86" t="s">
        <v>3</v>
      </c>
      <c r="BL86" t="s">
        <v>132</v>
      </c>
      <c r="BM86" t="s">
        <v>1</v>
      </c>
      <c r="BN86">
        <f>Tabla1[[#This Row],[precio del paquete]]</f>
        <v>14800</v>
      </c>
      <c r="BO86" t="s">
        <v>1</v>
      </c>
      <c r="BP86" t="s">
        <v>1</v>
      </c>
      <c r="BQ86" t="s">
        <v>1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1</v>
      </c>
      <c r="CD86" t="str" cm="1">
        <f t="array" aca="1" ref="CD86" ca="1">eConcatenar(A86:CB86,"|")</f>
        <v>CTqcMl7VM35sDjhO|CAR2021-7419|3|MEMORIAL|TABASCO|CUNDUACAN|CUNDUACAN|2021-03-12|14800|X|50|50|0|0|0|0|0|0|0|0|0|0|0|0|0|0|0|DE DIOS|GARCIA|MARIELA|SOLTERO|X|X|CALLE PRINCIPAL SIN NUMERO|EJIDO FELIPE CARRILLO PUERTO|X|9331104457|X|X|X|CALLE PRINCIPAL SIN NUMERO|X|LUNES|X|X|X|X|X|DOMICILIO |550|14250|x|x|x|2022-02-17|2022-02-24|x|x|x|x|x|TQPNUNDB8OSMS5B|x|HOMBRE|X|14800|X|X|X|X|X|X|X|X|CARDENAS|X|X|X|X|X</v>
      </c>
    </row>
    <row r="87" spans="1:82" x14ac:dyDescent="0.25">
      <c r="A87" t="s">
        <v>221</v>
      </c>
      <c r="B87" t="s">
        <v>532</v>
      </c>
      <c r="C87">
        <v>3</v>
      </c>
      <c r="D87" t="s">
        <v>761</v>
      </c>
      <c r="E87" t="s">
        <v>1398</v>
      </c>
      <c r="F87" t="s">
        <v>0</v>
      </c>
      <c r="G87" t="s">
        <v>0</v>
      </c>
      <c r="H87" t="s">
        <v>826</v>
      </c>
      <c r="I87">
        <v>14800</v>
      </c>
      <c r="J87" t="s">
        <v>1</v>
      </c>
      <c r="K87">
        <v>200</v>
      </c>
      <c r="L87">
        <v>50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1305</v>
      </c>
      <c r="AC87" t="s">
        <v>1266</v>
      </c>
      <c r="AD87" s="18" t="s">
        <v>1048</v>
      </c>
      <c r="AE87" t="s">
        <v>4</v>
      </c>
      <c r="AF87" t="s">
        <v>1</v>
      </c>
      <c r="AG87" t="s">
        <v>1</v>
      </c>
      <c r="AH87" t="s">
        <v>1473</v>
      </c>
      <c r="AI87" t="s">
        <v>1720</v>
      </c>
      <c r="AJ87" t="s">
        <v>1</v>
      </c>
      <c r="AK87">
        <v>9371252839</v>
      </c>
      <c r="AL87" t="s">
        <v>1</v>
      </c>
      <c r="AM87" t="s">
        <v>1</v>
      </c>
      <c r="AN87" t="s">
        <v>1</v>
      </c>
      <c r="AO87" t="s">
        <v>1473</v>
      </c>
      <c r="AP87" t="s">
        <v>1</v>
      </c>
      <c r="AQ87" t="s">
        <v>2</v>
      </c>
      <c r="AR87" t="s">
        <v>1</v>
      </c>
      <c r="AS87" t="s">
        <v>1</v>
      </c>
      <c r="AT87" t="s">
        <v>1</v>
      </c>
      <c r="AU87" t="s">
        <v>1</v>
      </c>
      <c r="AV87" t="s">
        <v>1</v>
      </c>
      <c r="AW87" t="s">
        <v>11</v>
      </c>
      <c r="AX87">
        <f>Tabla1[[#This Row],[precio del paquete]]-Tabla1[[#This Row],[Saldo_Deudor]]</f>
        <v>3700</v>
      </c>
      <c r="AY87">
        <v>11100</v>
      </c>
      <c r="AZ87" t="s">
        <v>3</v>
      </c>
      <c r="BA87" t="s">
        <v>3</v>
      </c>
      <c r="BB87" t="s">
        <v>3</v>
      </c>
      <c r="BC87" t="s">
        <v>826</v>
      </c>
      <c r="BD87" t="s">
        <v>827</v>
      </c>
      <c r="BE87" t="s">
        <v>3</v>
      </c>
      <c r="BF87" t="s">
        <v>3</v>
      </c>
      <c r="BG87" t="s">
        <v>3</v>
      </c>
      <c r="BH87" t="s">
        <v>3</v>
      </c>
      <c r="BI87" t="s">
        <v>3</v>
      </c>
      <c r="BJ87" t="s">
        <v>1939</v>
      </c>
      <c r="BK87" t="s">
        <v>3</v>
      </c>
      <c r="BL87" t="s">
        <v>132</v>
      </c>
      <c r="BM87" t="s">
        <v>1</v>
      </c>
      <c r="BN87">
        <f>Tabla1[[#This Row],[precio del paquete]]</f>
        <v>14800</v>
      </c>
      <c r="BO87" t="s">
        <v>1</v>
      </c>
      <c r="BP87" t="s">
        <v>1</v>
      </c>
      <c r="BQ87" t="s">
        <v>1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1</v>
      </c>
      <c r="CD87" t="str" cm="1">
        <f t="array" aca="1" ref="CD87" ca="1">eConcatenar(A87:CB87,"|")</f>
        <v>gHh3fYlHluLxBosK|CAR2021-3256|3|MEMORIAL|TABASCO|CARDENAS|CARDENAS|2021-07-07|14800|X|200|50|1|0|0|0|0|0|0|0|0|0|0|0|0|0|0|ALEJANDRO|HERNANDEZ|HILUMILANDA|SOLTERO|X|X|AVENIDA CAÃ‘AVERAL MANZANA 11 LOTE 17|FRACCIONAMIENTO LOS CAÃ‘ALES|X|9371252839|X|X|X|AVENIDA CAÃ‘AVERAL MANZANA 11 LOTE 17|X|LUNES|X|X|X|X|X|DOMICILIO |3700|11100|x|x|x|2021-07-07|2021-07-14|x|x|x|x|x|TQPNUNDB8OSMS5B|x|HOMBRE|X|14800|X|X|X|X|X|X|X|X|CARDENAS|X|X|X|X|X</v>
      </c>
    </row>
    <row r="88" spans="1:82" x14ac:dyDescent="0.25">
      <c r="A88" t="s">
        <v>222</v>
      </c>
      <c r="B88" t="s">
        <v>533</v>
      </c>
      <c r="C88">
        <v>3</v>
      </c>
      <c r="D88" t="s">
        <v>761</v>
      </c>
      <c r="E88" t="s">
        <v>1398</v>
      </c>
      <c r="F88" t="s">
        <v>0</v>
      </c>
      <c r="G88" t="s">
        <v>0</v>
      </c>
      <c r="H88" t="s">
        <v>829</v>
      </c>
      <c r="I88">
        <v>12900</v>
      </c>
      <c r="J88" t="s">
        <v>1</v>
      </c>
      <c r="K88">
        <v>100</v>
      </c>
      <c r="L88">
        <v>50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1247</v>
      </c>
      <c r="AC88" t="s">
        <v>1404</v>
      </c>
      <c r="AD88" s="18" t="s">
        <v>1401</v>
      </c>
      <c r="AE88" t="s">
        <v>4</v>
      </c>
      <c r="AF88" t="s">
        <v>1</v>
      </c>
      <c r="AG88" t="s">
        <v>1</v>
      </c>
      <c r="AH88" t="s">
        <v>1474</v>
      </c>
      <c r="AI88" t="s">
        <v>1721</v>
      </c>
      <c r="AJ88" t="s">
        <v>1</v>
      </c>
      <c r="AK88">
        <v>9371703780</v>
      </c>
      <c r="AL88" t="s">
        <v>1</v>
      </c>
      <c r="AM88" t="s">
        <v>1</v>
      </c>
      <c r="AN88" t="s">
        <v>1</v>
      </c>
      <c r="AO88" t="s">
        <v>1474</v>
      </c>
      <c r="AP88" t="s">
        <v>1</v>
      </c>
      <c r="AQ88" t="s">
        <v>2</v>
      </c>
      <c r="AR88" t="s">
        <v>1</v>
      </c>
      <c r="AS88" t="s">
        <v>1</v>
      </c>
      <c r="AT88" t="s">
        <v>1</v>
      </c>
      <c r="AU88" t="s">
        <v>1</v>
      </c>
      <c r="AV88" t="s">
        <v>1</v>
      </c>
      <c r="AW88" t="s">
        <v>11</v>
      </c>
      <c r="AX88">
        <f>Tabla1[[#This Row],[precio del paquete]]-Tabla1[[#This Row],[Saldo_Deudor]]</f>
        <v>4800</v>
      </c>
      <c r="AY88">
        <v>8100</v>
      </c>
      <c r="AZ88" t="s">
        <v>3</v>
      </c>
      <c r="BA88" t="s">
        <v>3</v>
      </c>
      <c r="BB88" t="s">
        <v>3</v>
      </c>
      <c r="BC88" t="s">
        <v>826</v>
      </c>
      <c r="BD88" t="s">
        <v>827</v>
      </c>
      <c r="BE88" t="s">
        <v>3</v>
      </c>
      <c r="BF88" t="s">
        <v>3</v>
      </c>
      <c r="BG88" t="s">
        <v>3</v>
      </c>
      <c r="BH88" t="s">
        <v>3</v>
      </c>
      <c r="BI88" t="s">
        <v>3</v>
      </c>
      <c r="BJ88" t="s">
        <v>1939</v>
      </c>
      <c r="BK88" t="s">
        <v>3</v>
      </c>
      <c r="BL88" t="s">
        <v>132</v>
      </c>
      <c r="BM88" t="s">
        <v>1</v>
      </c>
      <c r="BN88">
        <f>Tabla1[[#This Row],[precio del paquete]]</f>
        <v>12900</v>
      </c>
      <c r="BO88" t="s">
        <v>1</v>
      </c>
      <c r="BP88" t="s">
        <v>1</v>
      </c>
      <c r="BQ88" t="s">
        <v>1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1</v>
      </c>
      <c r="CD88" t="str" cm="1">
        <f t="array" aca="1" ref="CD88" ca="1">eConcatenar(A88:CB88,"|")</f>
        <v>j2EzFdhf4cvPFf0J|CAR2020-4439|3|MEMORIAL|TABASCO|CARDENAS|CARDENAS|2020-07-07|12900|X|100|50|1|0|0|0|0|0|0|0|0|0|0|0|0|0|0|SANCHEZ|NORIEGA|NORMA ALICIA|SOLTERO|X|X|CALLE 15 XOCHIPELI MANZANA 15 LOTE 975|AMPLIACION CAÃ‘ALES TERCERA ETAPA |X|9371703780|X|X|X|CALLE 15 XOCHIPELI MANZANA 15 LOTE 975|X|LUNES|X|X|X|X|X|DOMICILIO |4800|8100|x|x|x|2021-07-07|2021-07-14|x|x|x|x|x|TQPNUNDB8OSMS5B|x|HOMBRE|X|12900|X|X|X|X|X|X|X|X|CARDENAS|X|X|X|X|X</v>
      </c>
    </row>
    <row r="89" spans="1:82" x14ac:dyDescent="0.25">
      <c r="A89" t="s">
        <v>223</v>
      </c>
      <c r="B89" t="s">
        <v>534</v>
      </c>
      <c r="C89">
        <v>3</v>
      </c>
      <c r="D89" t="s">
        <v>761</v>
      </c>
      <c r="E89" t="s">
        <v>1398</v>
      </c>
      <c r="F89" t="s">
        <v>0</v>
      </c>
      <c r="G89" t="s">
        <v>0</v>
      </c>
      <c r="H89" t="s">
        <v>798</v>
      </c>
      <c r="I89">
        <v>14800</v>
      </c>
      <c r="J89" t="s">
        <v>1</v>
      </c>
      <c r="K89">
        <v>100</v>
      </c>
      <c r="L89">
        <v>50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1258</v>
      </c>
      <c r="AC89" t="s">
        <v>1260</v>
      </c>
      <c r="AD89" s="18" t="s">
        <v>1049</v>
      </c>
      <c r="AE89" t="s">
        <v>4</v>
      </c>
      <c r="AF89" t="s">
        <v>1</v>
      </c>
      <c r="AG89" t="s">
        <v>1</v>
      </c>
      <c r="AH89" t="s">
        <v>1475</v>
      </c>
      <c r="AI89" t="s">
        <v>1722</v>
      </c>
      <c r="AJ89" t="s">
        <v>1</v>
      </c>
      <c r="AK89">
        <v>9371381798</v>
      </c>
      <c r="AL89" t="s">
        <v>1</v>
      </c>
      <c r="AM89" t="s">
        <v>1</v>
      </c>
      <c r="AN89" t="s">
        <v>1</v>
      </c>
      <c r="AO89" t="s">
        <v>1475</v>
      </c>
      <c r="AP89" t="s">
        <v>1</v>
      </c>
      <c r="AQ89" t="s">
        <v>2</v>
      </c>
      <c r="AR89" t="s">
        <v>1</v>
      </c>
      <c r="AS89" t="s">
        <v>1</v>
      </c>
      <c r="AT89" t="s">
        <v>1</v>
      </c>
      <c r="AU89" t="s">
        <v>1</v>
      </c>
      <c r="AV89" t="s">
        <v>1</v>
      </c>
      <c r="AW89" t="s">
        <v>11</v>
      </c>
      <c r="AX89">
        <f>Tabla1[[#This Row],[precio del paquete]]-Tabla1[[#This Row],[Saldo_Deudor]]</f>
        <v>3400</v>
      </c>
      <c r="AY89">
        <v>11400</v>
      </c>
      <c r="AZ89" t="s">
        <v>3</v>
      </c>
      <c r="BA89" t="s">
        <v>3</v>
      </c>
      <c r="BB89" t="s">
        <v>3</v>
      </c>
      <c r="BC89" t="s">
        <v>1844</v>
      </c>
      <c r="BD89" t="s">
        <v>1895</v>
      </c>
      <c r="BE89" t="s">
        <v>3</v>
      </c>
      <c r="BF89" t="s">
        <v>3</v>
      </c>
      <c r="BG89" t="s">
        <v>3</v>
      </c>
      <c r="BH89" t="s">
        <v>3</v>
      </c>
      <c r="BI89" t="s">
        <v>3</v>
      </c>
      <c r="BJ89" t="s">
        <v>1939</v>
      </c>
      <c r="BK89" t="s">
        <v>3</v>
      </c>
      <c r="BL89" t="s">
        <v>132</v>
      </c>
      <c r="BM89" t="s">
        <v>1</v>
      </c>
      <c r="BN89">
        <f>Tabla1[[#This Row],[precio del paquete]]</f>
        <v>14800</v>
      </c>
      <c r="BO89" t="s">
        <v>1</v>
      </c>
      <c r="BP89" t="s">
        <v>1</v>
      </c>
      <c r="BQ89" t="s">
        <v>1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1</v>
      </c>
      <c r="CD89" t="str" cm="1">
        <f t="array" aca="1" ref="CD89" ca="1">eConcatenar(A89:CB89,"|")</f>
        <v>qfUzLAFjBOiCwlas|CAR2021-3888|3|MEMORIAL|TABASCO|CARDENAS|CARDENAS|2021-06-29|14800|X|100|50|0|0|0|0|0|0|0|0|0|0|0|0|0|0|0|GAMAS|GONZALEZ|JAZMIN|SOLTERO|X|X|CALLE 8 LOTE 6 |COLONIA CAÃ‘ALES SEGUNDA ETAPA |X|9371381798|X|X|X|CALLE 8 LOTE 6 |X|LUNES|X|X|X|X|X|DOMICILIO |3400|11400|x|x|x|2022-07-07|2022-07-14|x|x|x|x|x|TQPNUNDB8OSMS5B|x|HOMBRE|X|14800|X|X|X|X|X|X|X|X|CARDENAS|X|X|X|X|X</v>
      </c>
    </row>
    <row r="90" spans="1:82" x14ac:dyDescent="0.25">
      <c r="A90" t="s">
        <v>224</v>
      </c>
      <c r="B90" t="s">
        <v>535</v>
      </c>
      <c r="C90">
        <v>3</v>
      </c>
      <c r="D90" t="s">
        <v>761</v>
      </c>
      <c r="E90" t="s">
        <v>1398</v>
      </c>
      <c r="F90" t="s">
        <v>0</v>
      </c>
      <c r="G90" t="s">
        <v>0</v>
      </c>
      <c r="H90" t="s">
        <v>830</v>
      </c>
      <c r="I90">
        <v>14800</v>
      </c>
      <c r="J90" t="s">
        <v>1</v>
      </c>
      <c r="K90">
        <v>100</v>
      </c>
      <c r="L90">
        <v>50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1306</v>
      </c>
      <c r="AC90" t="s">
        <v>1307</v>
      </c>
      <c r="AD90" s="18" t="s">
        <v>1050</v>
      </c>
      <c r="AE90" t="s">
        <v>4</v>
      </c>
      <c r="AF90" t="s">
        <v>1</v>
      </c>
      <c r="AG90" t="s">
        <v>1</v>
      </c>
      <c r="AH90" t="s">
        <v>1476</v>
      </c>
      <c r="AI90" t="s">
        <v>1723</v>
      </c>
      <c r="AJ90" t="s">
        <v>1</v>
      </c>
      <c r="AK90">
        <v>9371200585</v>
      </c>
      <c r="AL90" t="s">
        <v>1</v>
      </c>
      <c r="AM90" t="s">
        <v>1</v>
      </c>
      <c r="AN90" t="s">
        <v>1</v>
      </c>
      <c r="AO90" t="s">
        <v>1476</v>
      </c>
      <c r="AP90" t="s">
        <v>1</v>
      </c>
      <c r="AQ90" t="s">
        <v>2</v>
      </c>
      <c r="AR90" t="s">
        <v>1</v>
      </c>
      <c r="AS90" t="s">
        <v>1</v>
      </c>
      <c r="AT90" t="s">
        <v>1</v>
      </c>
      <c r="AU90" t="s">
        <v>1</v>
      </c>
      <c r="AV90" t="s">
        <v>1</v>
      </c>
      <c r="AW90" t="s">
        <v>11</v>
      </c>
      <c r="AX90">
        <f>Tabla1[[#This Row],[precio del paquete]]-Tabla1[[#This Row],[Saldo_Deudor]]</f>
        <v>2150</v>
      </c>
      <c r="AY90">
        <v>12650</v>
      </c>
      <c r="AZ90" t="s">
        <v>3</v>
      </c>
      <c r="BA90" t="s">
        <v>3</v>
      </c>
      <c r="BB90" t="s">
        <v>3</v>
      </c>
      <c r="BC90" t="s">
        <v>830</v>
      </c>
      <c r="BD90" t="s">
        <v>1896</v>
      </c>
      <c r="BE90" t="s">
        <v>3</v>
      </c>
      <c r="BF90" t="s">
        <v>3</v>
      </c>
      <c r="BG90" t="s">
        <v>3</v>
      </c>
      <c r="BH90" t="s">
        <v>3</v>
      </c>
      <c r="BI90" t="s">
        <v>3</v>
      </c>
      <c r="BJ90" t="s">
        <v>1939</v>
      </c>
      <c r="BK90" t="s">
        <v>3</v>
      </c>
      <c r="BL90" t="s">
        <v>132</v>
      </c>
      <c r="BM90" t="s">
        <v>1</v>
      </c>
      <c r="BN90">
        <f>Tabla1[[#This Row],[precio del paquete]]</f>
        <v>14800</v>
      </c>
      <c r="BO90" t="s">
        <v>1</v>
      </c>
      <c r="BP90" t="s">
        <v>1</v>
      </c>
      <c r="BQ90" t="s">
        <v>1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1</v>
      </c>
      <c r="CD90" t="str" cm="1">
        <f t="array" aca="1" ref="CD90" ca="1">eConcatenar(A90:CB90,"|")</f>
        <v>TPF9i8fFdL6NXeuU|CAR2021-4699|3|MEMORIAL|TABASCO|CARDENAS|CARDENAS|2021-08-19|14800|X|100|50|0|0|0|0|0|0|0|0|0|0|0|0|0|0|0|ACHAUTLA|CABRERA|EULOGIO|SOLTERO|X|X|CALLE SANTIAGO PEREZ AQUINO SIN NUMERO|AMPLIACION CARRIZAL|X|9371200585|X|X|X|CALLE SANTIAGO PEREZ AQUINO SIN NUMERO|X|LUNES|X|X|X|X|X|DOMICILIO |2150|12650|x|x|x|2021-08-19|2021-08-26|x|x|x|x|x|TQPNUNDB8OSMS5B|x|HOMBRE|X|14800|X|X|X|X|X|X|X|X|CARDENAS|X|X|X|X|X</v>
      </c>
    </row>
    <row r="91" spans="1:82" x14ac:dyDescent="0.25">
      <c r="A91" t="s">
        <v>225</v>
      </c>
      <c r="B91" t="s">
        <v>536</v>
      </c>
      <c r="C91">
        <v>3</v>
      </c>
      <c r="D91" t="s">
        <v>761</v>
      </c>
      <c r="E91" t="s">
        <v>1398</v>
      </c>
      <c r="F91" t="s">
        <v>10</v>
      </c>
      <c r="G91" t="s">
        <v>10</v>
      </c>
      <c r="H91" t="s">
        <v>831</v>
      </c>
      <c r="I91">
        <v>14800</v>
      </c>
      <c r="J91" t="s">
        <v>1</v>
      </c>
      <c r="K91">
        <v>200</v>
      </c>
      <c r="L91">
        <v>50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1228</v>
      </c>
      <c r="AC91" t="s">
        <v>1228</v>
      </c>
      <c r="AD91" s="18" t="s">
        <v>1051</v>
      </c>
      <c r="AE91" t="s">
        <v>4</v>
      </c>
      <c r="AF91" t="s">
        <v>1</v>
      </c>
      <c r="AG91" t="s">
        <v>1</v>
      </c>
      <c r="AH91" t="s">
        <v>1477</v>
      </c>
      <c r="AI91" t="s">
        <v>1724</v>
      </c>
      <c r="AJ91" t="s">
        <v>1</v>
      </c>
      <c r="AK91">
        <v>9371701886</v>
      </c>
      <c r="AL91" t="s">
        <v>1</v>
      </c>
      <c r="AM91" t="s">
        <v>1</v>
      </c>
      <c r="AN91" t="s">
        <v>1</v>
      </c>
      <c r="AO91" t="s">
        <v>1477</v>
      </c>
      <c r="AP91" t="s">
        <v>1</v>
      </c>
      <c r="AQ91" t="s">
        <v>2</v>
      </c>
      <c r="AR91" t="s">
        <v>1</v>
      </c>
      <c r="AS91" t="s">
        <v>1</v>
      </c>
      <c r="AT91" t="s">
        <v>1</v>
      </c>
      <c r="AU91" t="s">
        <v>1</v>
      </c>
      <c r="AV91" t="s">
        <v>1</v>
      </c>
      <c r="AW91" t="s">
        <v>11</v>
      </c>
      <c r="AX91">
        <f>Tabla1[[#This Row],[precio del paquete]]-Tabla1[[#This Row],[Saldo_Deudor]]</f>
        <v>2600</v>
      </c>
      <c r="AY91">
        <v>12200</v>
      </c>
      <c r="AZ91" t="s">
        <v>3</v>
      </c>
      <c r="BA91" t="s">
        <v>3</v>
      </c>
      <c r="BB91" t="s">
        <v>3</v>
      </c>
      <c r="BC91" t="s">
        <v>831</v>
      </c>
      <c r="BD91" t="s">
        <v>1897</v>
      </c>
      <c r="BE91" t="s">
        <v>3</v>
      </c>
      <c r="BF91" t="s">
        <v>3</v>
      </c>
      <c r="BG91" t="s">
        <v>3</v>
      </c>
      <c r="BH91" t="s">
        <v>3</v>
      </c>
      <c r="BI91" t="s">
        <v>3</v>
      </c>
      <c r="BJ91" t="s">
        <v>1939</v>
      </c>
      <c r="BK91" t="s">
        <v>3</v>
      </c>
      <c r="BL91" t="s">
        <v>132</v>
      </c>
      <c r="BM91" t="s">
        <v>1</v>
      </c>
      <c r="BN91">
        <f>Tabla1[[#This Row],[precio del paquete]]</f>
        <v>14800</v>
      </c>
      <c r="BO91" t="s">
        <v>1</v>
      </c>
      <c r="BP91" t="s">
        <v>1</v>
      </c>
      <c r="BQ91" t="s">
        <v>1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1</v>
      </c>
      <c r="CD91" t="str" cm="1">
        <f t="array" aca="1" ref="CD91" ca="1">eConcatenar(A91:CB91,"|")</f>
        <v>hbGHTUXGKnGGmdvh|CAR2021-4669|3|MEMORIAL|TABASCO|CARDENAS |CARDENAS |2021-08-17|14800|X|200|50|1|0|0|0|0|0|0|0|0|0|0|0|0|0|0|RAMOS|RAMOS|VIOLETA|SOLTERO|X|X|CALLE LIMON ESQUINA CON NARCISO MENDOZA |SANTA MARIA DE GUADALUPE |X|9371701886|X|X|X|CALLE LIMON ESQUINA CON NARCISO MENDOZA |X|LUNES|X|X|X|X|X|DOMICILIO |2600|12200|x|x|x|2021-08-17|2021-08-24|x|x|x|x|x|TQPNUNDB8OSMS5B|x|HOMBRE|X|14800|X|X|X|X|X|X|X|X|CARDENAS|X|X|X|X|X</v>
      </c>
    </row>
    <row r="92" spans="1:82" x14ac:dyDescent="0.25">
      <c r="A92" t="s">
        <v>226</v>
      </c>
      <c r="B92" t="s">
        <v>537</v>
      </c>
      <c r="C92">
        <v>3</v>
      </c>
      <c r="D92" t="s">
        <v>761</v>
      </c>
      <c r="E92" t="s">
        <v>1398</v>
      </c>
      <c r="F92" t="s">
        <v>768</v>
      </c>
      <c r="G92" t="s">
        <v>768</v>
      </c>
      <c r="H92" t="s">
        <v>832</v>
      </c>
      <c r="I92">
        <v>14800</v>
      </c>
      <c r="J92" t="s">
        <v>1</v>
      </c>
      <c r="K92">
        <v>1000</v>
      </c>
      <c r="L92">
        <v>50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1308</v>
      </c>
      <c r="AC92" t="s">
        <v>1309</v>
      </c>
      <c r="AD92" s="18" t="s">
        <v>1052</v>
      </c>
      <c r="AE92" t="s">
        <v>4</v>
      </c>
      <c r="AF92" t="s">
        <v>1</v>
      </c>
      <c r="AG92" t="s">
        <v>1</v>
      </c>
      <c r="AH92" t="s">
        <v>1478</v>
      </c>
      <c r="AI92" t="s">
        <v>1725</v>
      </c>
      <c r="AJ92" t="s">
        <v>1</v>
      </c>
      <c r="AK92">
        <v>9341174344</v>
      </c>
      <c r="AL92" t="s">
        <v>1</v>
      </c>
      <c r="AM92" t="s">
        <v>1</v>
      </c>
      <c r="AN92" t="s">
        <v>1</v>
      </c>
      <c r="AO92" t="s">
        <v>1478</v>
      </c>
      <c r="AP92" t="s">
        <v>1</v>
      </c>
      <c r="AQ92" t="s">
        <v>2</v>
      </c>
      <c r="AR92" t="s">
        <v>1</v>
      </c>
      <c r="AS92" t="s">
        <v>1</v>
      </c>
      <c r="AT92" t="s">
        <v>1</v>
      </c>
      <c r="AU92" t="s">
        <v>1</v>
      </c>
      <c r="AV92" t="s">
        <v>1</v>
      </c>
      <c r="AW92" t="s">
        <v>11</v>
      </c>
      <c r="AX92">
        <f>Tabla1[[#This Row],[precio del paquete]]-Tabla1[[#This Row],[Saldo_Deudor]]</f>
        <v>3000</v>
      </c>
      <c r="AY92">
        <v>11800</v>
      </c>
      <c r="AZ92" t="s">
        <v>3</v>
      </c>
      <c r="BA92" t="s">
        <v>3</v>
      </c>
      <c r="BB92" t="s">
        <v>3</v>
      </c>
      <c r="BC92" t="s">
        <v>831</v>
      </c>
      <c r="BD92" t="s">
        <v>1897</v>
      </c>
      <c r="BE92" t="s">
        <v>3</v>
      </c>
      <c r="BF92" t="s">
        <v>3</v>
      </c>
      <c r="BG92" t="s">
        <v>3</v>
      </c>
      <c r="BH92" t="s">
        <v>3</v>
      </c>
      <c r="BI92" t="s">
        <v>3</v>
      </c>
      <c r="BJ92" t="s">
        <v>1940</v>
      </c>
      <c r="BK92" t="s">
        <v>3</v>
      </c>
      <c r="BL92" t="s">
        <v>132</v>
      </c>
      <c r="BM92" t="s">
        <v>1</v>
      </c>
      <c r="BN92">
        <f>Tabla1[[#This Row],[precio del paquete]]</f>
        <v>14800</v>
      </c>
      <c r="BO92" t="s">
        <v>1</v>
      </c>
      <c r="BP92" t="s">
        <v>1</v>
      </c>
      <c r="BQ92" t="s">
        <v>1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1</v>
      </c>
      <c r="CD92" t="str" cm="1">
        <f t="array" aca="1" ref="CD92" ca="1">eConcatenar(A92:CB92,"|")</f>
        <v>gtJEbNdheKZdrWv9|CAR2021-6046|3|MEMORIAL|TABASCO|HUIMANGUILLO|HUIMANGUILLO|2021-12-10|14800|X|1000|50|0|0|0|0|0|0|0|0|0|0|0|0|0|0|0|CHAN|GUILLERMO|ISIDRO|SOLTERO|X|X|CALLE PINO SUAREZ SIN NUMERO|POBLADO TECOMINUACAN |X|9341174344|X|X|X|CALLE PINO SUAREZ SIN NUMERO|X|LUNES|X|X|X|X|X|DOMICILIO |3000|11800|x|x|x|2021-08-17|2021-08-24|x|x|x|x|x|USLKFPYMMH7MCT1|x|HOMBRE|X|14800|X|X|X|X|X|X|X|X|CARDENAS|X|X|X|X|X</v>
      </c>
    </row>
    <row r="93" spans="1:82" x14ac:dyDescent="0.25">
      <c r="A93" t="s">
        <v>227</v>
      </c>
      <c r="B93" t="s">
        <v>538</v>
      </c>
      <c r="C93">
        <v>3</v>
      </c>
      <c r="D93" t="s">
        <v>761</v>
      </c>
      <c r="E93" t="s">
        <v>1398</v>
      </c>
      <c r="F93" t="s">
        <v>0</v>
      </c>
      <c r="G93" t="s">
        <v>0</v>
      </c>
      <c r="H93" t="s">
        <v>822</v>
      </c>
      <c r="I93">
        <v>14800</v>
      </c>
      <c r="J93" t="s">
        <v>1</v>
      </c>
      <c r="K93">
        <v>200</v>
      </c>
      <c r="L93">
        <v>50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1310</v>
      </c>
      <c r="AC93" t="s">
        <v>1311</v>
      </c>
      <c r="AD93" s="18" t="s">
        <v>1053</v>
      </c>
      <c r="AE93" t="s">
        <v>4</v>
      </c>
      <c r="AF93" t="s">
        <v>1</v>
      </c>
      <c r="AG93" t="s">
        <v>1</v>
      </c>
      <c r="AH93" t="s">
        <v>1479</v>
      </c>
      <c r="AI93" t="s">
        <v>1726</v>
      </c>
      <c r="AJ93" t="s">
        <v>1</v>
      </c>
      <c r="AK93">
        <v>9371649323</v>
      </c>
      <c r="AL93" t="s">
        <v>1</v>
      </c>
      <c r="AM93" t="s">
        <v>1</v>
      </c>
      <c r="AN93" t="s">
        <v>1</v>
      </c>
      <c r="AO93" t="s">
        <v>1479</v>
      </c>
      <c r="AP93" t="s">
        <v>1</v>
      </c>
      <c r="AQ93" t="s">
        <v>2</v>
      </c>
      <c r="AR93" t="s">
        <v>1</v>
      </c>
      <c r="AS93" t="s">
        <v>1</v>
      </c>
      <c r="AT93" t="s">
        <v>1</v>
      </c>
      <c r="AU93" t="s">
        <v>1</v>
      </c>
      <c r="AV93" t="s">
        <v>1</v>
      </c>
      <c r="AW93" t="s">
        <v>11</v>
      </c>
      <c r="AX93">
        <f>Tabla1[[#This Row],[precio del paquete]]-Tabla1[[#This Row],[Saldo_Deudor]]</f>
        <v>1900</v>
      </c>
      <c r="AY93">
        <v>12900</v>
      </c>
      <c r="AZ93" t="s">
        <v>3</v>
      </c>
      <c r="BA93" t="s">
        <v>3</v>
      </c>
      <c r="BB93" t="s">
        <v>3</v>
      </c>
      <c r="BC93" t="s">
        <v>799</v>
      </c>
      <c r="BD93" t="s">
        <v>1898</v>
      </c>
      <c r="BE93" t="s">
        <v>3</v>
      </c>
      <c r="BF93" t="s">
        <v>3</v>
      </c>
      <c r="BG93" t="s">
        <v>3</v>
      </c>
      <c r="BH93" t="s">
        <v>3</v>
      </c>
      <c r="BI93" t="s">
        <v>3</v>
      </c>
      <c r="BJ93" t="s">
        <v>1939</v>
      </c>
      <c r="BK93" t="s">
        <v>3</v>
      </c>
      <c r="BL93" t="s">
        <v>132</v>
      </c>
      <c r="BM93" t="s">
        <v>1</v>
      </c>
      <c r="BN93">
        <f>Tabla1[[#This Row],[precio del paquete]]</f>
        <v>14800</v>
      </c>
      <c r="BO93" t="s">
        <v>1</v>
      </c>
      <c r="BP93" t="s">
        <v>1</v>
      </c>
      <c r="BQ93" t="s">
        <v>1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1</v>
      </c>
      <c r="CD93" t="str" cm="1">
        <f t="array" aca="1" ref="CD93" ca="1">eConcatenar(A93:CB93,"|")</f>
        <v>A6VNbyJu57XzmpRM|CAR2021-4410|3|MEMORIAL|TABASCO|CARDENAS|CARDENAS|2021-06-08|14800|X|200|50|0|0|0|0|0|0|0|0|0|0|0|0|0|0|0|JERONIMO|YSIDRO|PEDRO|SOLTERO|X|X|CARRETERA PRINCIPAL|RANCHERIA RIO SECO SEGUNDA SECCION|X|9371649323|X|X|X|CARRETERA PRINCIPAL|X|LUNES|X|X|X|X|X|DOMICILIO |1900|12900|x|x|x|2022-02-01|2022-02-08|x|x|x|x|x|TQPNUNDB8OSMS5B|x|HOMBRE|X|14800|X|X|X|X|X|X|X|X|CARDENAS|X|X|X|X|X</v>
      </c>
    </row>
    <row r="94" spans="1:82" x14ac:dyDescent="0.25">
      <c r="A94" t="s">
        <v>228</v>
      </c>
      <c r="B94" t="s">
        <v>539</v>
      </c>
      <c r="C94">
        <v>3</v>
      </c>
      <c r="D94" t="s">
        <v>761</v>
      </c>
      <c r="E94" t="s">
        <v>1398</v>
      </c>
      <c r="F94" t="s">
        <v>0</v>
      </c>
      <c r="G94" t="s">
        <v>0</v>
      </c>
      <c r="H94" t="s">
        <v>833</v>
      </c>
      <c r="I94">
        <v>14800</v>
      </c>
      <c r="J94" t="s">
        <v>1</v>
      </c>
      <c r="K94">
        <v>100</v>
      </c>
      <c r="L94">
        <v>50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1185</v>
      </c>
      <c r="AC94" t="s">
        <v>1312</v>
      </c>
      <c r="AD94" s="18" t="s">
        <v>1054</v>
      </c>
      <c r="AE94" t="s">
        <v>4</v>
      </c>
      <c r="AF94" t="s">
        <v>1</v>
      </c>
      <c r="AG94" t="s">
        <v>1</v>
      </c>
      <c r="AH94" t="s">
        <v>1480</v>
      </c>
      <c r="AI94" t="s">
        <v>1727</v>
      </c>
      <c r="AJ94" t="s">
        <v>1</v>
      </c>
      <c r="AK94">
        <v>9371090501</v>
      </c>
      <c r="AL94" t="s">
        <v>1</v>
      </c>
      <c r="AM94" t="s">
        <v>1</v>
      </c>
      <c r="AN94" t="s">
        <v>1</v>
      </c>
      <c r="AO94" t="s">
        <v>1480</v>
      </c>
      <c r="AP94" t="s">
        <v>1</v>
      </c>
      <c r="AQ94" t="s">
        <v>2</v>
      </c>
      <c r="AR94" t="s">
        <v>1</v>
      </c>
      <c r="AS94" t="s">
        <v>1</v>
      </c>
      <c r="AT94" t="s">
        <v>1</v>
      </c>
      <c r="AU94" t="s">
        <v>1</v>
      </c>
      <c r="AV94" t="s">
        <v>1</v>
      </c>
      <c r="AW94" t="s">
        <v>11</v>
      </c>
      <c r="AX94">
        <f>Tabla1[[#This Row],[precio del paquete]]-Tabla1[[#This Row],[Saldo_Deudor]]</f>
        <v>1800</v>
      </c>
      <c r="AY94">
        <v>13000</v>
      </c>
      <c r="AZ94" t="s">
        <v>3</v>
      </c>
      <c r="BA94" t="s">
        <v>3</v>
      </c>
      <c r="BB94" t="s">
        <v>3</v>
      </c>
      <c r="BC94" t="s">
        <v>1845</v>
      </c>
      <c r="BD94" t="s">
        <v>794</v>
      </c>
      <c r="BE94" t="s">
        <v>3</v>
      </c>
      <c r="BF94" t="s">
        <v>3</v>
      </c>
      <c r="BG94" t="s">
        <v>3</v>
      </c>
      <c r="BH94" t="s">
        <v>3</v>
      </c>
      <c r="BI94" t="s">
        <v>3</v>
      </c>
      <c r="BJ94" t="s">
        <v>1939</v>
      </c>
      <c r="BK94" t="s">
        <v>3</v>
      </c>
      <c r="BL94" t="s">
        <v>132</v>
      </c>
      <c r="BM94" t="s">
        <v>1</v>
      </c>
      <c r="BN94">
        <f>Tabla1[[#This Row],[precio del paquete]]</f>
        <v>14800</v>
      </c>
      <c r="BO94" t="s">
        <v>1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D94" t="str" cm="1">
        <f t="array" aca="1" ref="CD94" ca="1">eConcatenar(A94:CB94,"|")</f>
        <v>dD9qZU8SnBerQ8cY|CAR2021-4254|3|MEMORIAL|TABASCO|CARDENAS|CARDENAS|2021-04-08|14800|X|100|50|0|0|0|0|0|0|0|0|0|0|0|0|0|0|0|RODRIGUEZ|RICARDEZ|LUCIO|SOLTERO|X|X|CARRETERA A SANTA ROSALIA SIN NUMERO|EJIDO ONCE DE FEBRERO SEGUNDA SECCION|X|9371090501|X|X|X|CARRETERA A SANTA ROSALIA SIN NUMERO|X|LUNES|X|X|X|X|X|DOMICILIO |1800|13000|x|x|x|2022-01-19|2022-01-26|x|x|x|x|x|TQPNUNDB8OSMS5B|x|HOMBRE|X|14800|X|X|X|X|X|X|X|X|CARDENAS|X|X|X|X|X</v>
      </c>
    </row>
    <row r="95" spans="1:82" x14ac:dyDescent="0.25">
      <c r="A95" t="s">
        <v>229</v>
      </c>
      <c r="B95" t="s">
        <v>540</v>
      </c>
      <c r="C95">
        <v>3</v>
      </c>
      <c r="D95" t="s">
        <v>761</v>
      </c>
      <c r="E95" t="s">
        <v>1398</v>
      </c>
      <c r="F95" t="s">
        <v>0</v>
      </c>
      <c r="G95" t="s">
        <v>0</v>
      </c>
      <c r="H95" t="s">
        <v>834</v>
      </c>
      <c r="I95">
        <v>14800</v>
      </c>
      <c r="J95" t="s">
        <v>1</v>
      </c>
      <c r="K95">
        <v>50</v>
      </c>
      <c r="L95">
        <v>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1266</v>
      </c>
      <c r="AC95" t="s">
        <v>1313</v>
      </c>
      <c r="AD95" s="18" t="s">
        <v>1055</v>
      </c>
      <c r="AE95" t="s">
        <v>4</v>
      </c>
      <c r="AF95" t="s">
        <v>1</v>
      </c>
      <c r="AG95" t="s">
        <v>1</v>
      </c>
      <c r="AH95" t="s">
        <v>1481</v>
      </c>
      <c r="AI95" t="s">
        <v>1726</v>
      </c>
      <c r="AJ95" t="s">
        <v>1</v>
      </c>
      <c r="AK95">
        <v>9371268926</v>
      </c>
      <c r="AL95" t="s">
        <v>1</v>
      </c>
      <c r="AM95" t="s">
        <v>1</v>
      </c>
      <c r="AN95" t="s">
        <v>1</v>
      </c>
      <c r="AO95" t="s">
        <v>1481</v>
      </c>
      <c r="AP95" t="s">
        <v>1</v>
      </c>
      <c r="AQ95" t="s">
        <v>2</v>
      </c>
      <c r="AR95" t="s">
        <v>1</v>
      </c>
      <c r="AS95" t="s">
        <v>1</v>
      </c>
      <c r="AT95" t="s">
        <v>1</v>
      </c>
      <c r="AU95" t="s">
        <v>1</v>
      </c>
      <c r="AV95" t="s">
        <v>1</v>
      </c>
      <c r="AW95" t="s">
        <v>11</v>
      </c>
      <c r="AX95">
        <f>Tabla1[[#This Row],[precio del paquete]]-Tabla1[[#This Row],[Saldo_Deudor]]</f>
        <v>150</v>
      </c>
      <c r="AY95">
        <v>14650</v>
      </c>
      <c r="AZ95" t="s">
        <v>3</v>
      </c>
      <c r="BA95" t="s">
        <v>3</v>
      </c>
      <c r="BB95" t="s">
        <v>3</v>
      </c>
      <c r="BC95" t="s">
        <v>938</v>
      </c>
      <c r="BD95" t="s">
        <v>1899</v>
      </c>
      <c r="BE95" t="s">
        <v>3</v>
      </c>
      <c r="BF95" t="s">
        <v>3</v>
      </c>
      <c r="BG95" t="s">
        <v>3</v>
      </c>
      <c r="BH95" t="s">
        <v>3</v>
      </c>
      <c r="BI95" t="s">
        <v>3</v>
      </c>
      <c r="BJ95" t="s">
        <v>1939</v>
      </c>
      <c r="BK95" t="s">
        <v>3</v>
      </c>
      <c r="BL95" t="s">
        <v>132</v>
      </c>
      <c r="BM95" t="s">
        <v>1</v>
      </c>
      <c r="BN95">
        <f>Tabla1[[#This Row],[precio del paquete]]</f>
        <v>14800</v>
      </c>
      <c r="BO95" t="s">
        <v>1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1</v>
      </c>
      <c r="CD95" t="str" cm="1">
        <f t="array" aca="1" ref="CD95" ca="1">eConcatenar(A95:CB95,"|")</f>
        <v>EI7BaMEgzOoGAp8P|CAR2021-7295|3|MEMORIAL|TABASCO|CARDENAS|CARDENAS|2021-01-12|14800|X|50|50|0|0|0|0|0|0|0|0|0|0|0|0|0|0|0|HERNANDEZ|PERALTA|VERONICA|SOLTERO|X|X|PERIFERICO CARLOS A MOLINA NUMERO 55|RANCHERIA RIO SECO SEGUNDA SECCION|X|9371268926|X|X|X|PERIFERICO CARLOS A MOLINA NUMERO 55|X|LUNES|X|X|X|X|X|DOMICILIO |150|14650|x|x|x|2021-12-29|2022-01-05|x|x|x|x|x|TQPNUNDB8OSMS5B|x|HOMBRE|X|14800|X|X|X|X|X|X|X|X|CARDENAS|X|X|X|X|X</v>
      </c>
    </row>
    <row r="96" spans="1:82" x14ac:dyDescent="0.25">
      <c r="A96" t="s">
        <v>230</v>
      </c>
      <c r="B96" t="s">
        <v>541</v>
      </c>
      <c r="C96">
        <v>3</v>
      </c>
      <c r="D96" t="s">
        <v>761</v>
      </c>
      <c r="E96" t="s">
        <v>1398</v>
      </c>
      <c r="F96" t="s">
        <v>769</v>
      </c>
      <c r="G96" t="s">
        <v>769</v>
      </c>
      <c r="H96" t="s">
        <v>835</v>
      </c>
      <c r="I96">
        <v>14800</v>
      </c>
      <c r="J96" t="s">
        <v>1</v>
      </c>
      <c r="K96">
        <v>50</v>
      </c>
      <c r="L96">
        <v>50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1266</v>
      </c>
      <c r="AC96" t="s">
        <v>1228</v>
      </c>
      <c r="AD96" s="18" t="s">
        <v>1056</v>
      </c>
      <c r="AE96" t="s">
        <v>4</v>
      </c>
      <c r="AF96" t="s">
        <v>1</v>
      </c>
      <c r="AG96" t="s">
        <v>1</v>
      </c>
      <c r="AH96" t="s">
        <v>1482</v>
      </c>
      <c r="AI96" t="s">
        <v>1728</v>
      </c>
      <c r="AJ96" t="s">
        <v>1</v>
      </c>
      <c r="AK96">
        <v>9371238192</v>
      </c>
      <c r="AL96" t="s">
        <v>1</v>
      </c>
      <c r="AM96" t="s">
        <v>1</v>
      </c>
      <c r="AN96" t="s">
        <v>1</v>
      </c>
      <c r="AO96" t="s">
        <v>1482</v>
      </c>
      <c r="AP96" t="s">
        <v>1</v>
      </c>
      <c r="AQ96" t="s">
        <v>2</v>
      </c>
      <c r="AR96" t="s">
        <v>1</v>
      </c>
      <c r="AS96" t="s">
        <v>1</v>
      </c>
      <c r="AT96" t="s">
        <v>1</v>
      </c>
      <c r="AU96" t="s">
        <v>1</v>
      </c>
      <c r="AV96" t="s">
        <v>1</v>
      </c>
      <c r="AW96" t="s">
        <v>11</v>
      </c>
      <c r="AX96">
        <f>Tabla1[[#This Row],[precio del paquete]]-Tabla1[[#This Row],[Saldo_Deudor]]</f>
        <v>1000</v>
      </c>
      <c r="AY96">
        <v>13800</v>
      </c>
      <c r="AZ96" t="s">
        <v>3</v>
      </c>
      <c r="BA96" t="s">
        <v>3</v>
      </c>
      <c r="BB96" t="s">
        <v>3</v>
      </c>
      <c r="BC96" t="s">
        <v>1846</v>
      </c>
      <c r="BD96" t="s">
        <v>959</v>
      </c>
      <c r="BE96" t="s">
        <v>3</v>
      </c>
      <c r="BF96" t="s">
        <v>3</v>
      </c>
      <c r="BG96" t="s">
        <v>3</v>
      </c>
      <c r="BH96" t="s">
        <v>3</v>
      </c>
      <c r="BI96" t="s">
        <v>3</v>
      </c>
      <c r="BJ96" t="s">
        <v>1939</v>
      </c>
      <c r="BK96" t="s">
        <v>3</v>
      </c>
      <c r="BL96" t="s">
        <v>132</v>
      </c>
      <c r="BM96" t="s">
        <v>1</v>
      </c>
      <c r="BN96">
        <f>Tabla1[[#This Row],[precio del paquete]]</f>
        <v>14800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1</v>
      </c>
      <c r="CD96" t="str" cm="1">
        <f t="array" aca="1" ref="CD96" ca="1">eConcatenar(A96:CB96,"|")</f>
        <v>EPgIfcQosXkpOB2e|CAR2021-3629|3|MEMORIAL|TABASCO|CUNDUACAN|CUNDUACAN|2021-07-17|14800|X|50|50|0|0|0|0|0|0|0|0|0|0|0|0|0|0|0|HERNANDEZ|RAMOS|JORGE LUIS|SOLTERO|X|X|CARRETERA PRINCIPAL AL CASTAÃ‘O|RANCHERIA MIAHUATLAN SEGUNDA SECCION|X|9371238192|X|X|X|CARRETERA PRINCIPAL AL CASTAÃ‘O|X|LUNES|X|X|X|X|X|DOMICILIO |1000|13800|x|x|x|2021-12-16|2021-12-23|x|x|x|x|x|TQPNUNDB8OSMS5B|x|HOMBRE|X|14800|X|X|X|X|X|X|X|X|CARDENAS|X|X|X|X|X</v>
      </c>
    </row>
    <row r="97" spans="1:82" x14ac:dyDescent="0.25">
      <c r="A97" t="s">
        <v>231</v>
      </c>
      <c r="B97" t="s">
        <v>542</v>
      </c>
      <c r="C97">
        <v>3</v>
      </c>
      <c r="D97" t="s">
        <v>761</v>
      </c>
      <c r="E97" t="s">
        <v>1398</v>
      </c>
      <c r="F97" t="s">
        <v>0</v>
      </c>
      <c r="G97" t="s">
        <v>0</v>
      </c>
      <c r="H97" t="s">
        <v>836</v>
      </c>
      <c r="I97">
        <v>14800</v>
      </c>
      <c r="J97" t="s">
        <v>1</v>
      </c>
      <c r="K97">
        <v>100</v>
      </c>
      <c r="L97">
        <v>50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1288</v>
      </c>
      <c r="AC97" t="s">
        <v>1314</v>
      </c>
      <c r="AD97" s="18" t="s">
        <v>1057</v>
      </c>
      <c r="AE97" t="s">
        <v>4</v>
      </c>
      <c r="AF97" t="s">
        <v>1</v>
      </c>
      <c r="AG97" t="s">
        <v>1</v>
      </c>
      <c r="AH97" t="s">
        <v>1483</v>
      </c>
      <c r="AI97" t="s">
        <v>1670</v>
      </c>
      <c r="AJ97" t="s">
        <v>1</v>
      </c>
      <c r="AK97">
        <v>9932179366</v>
      </c>
      <c r="AL97" t="s">
        <v>1</v>
      </c>
      <c r="AM97" t="s">
        <v>1</v>
      </c>
      <c r="AN97" t="s">
        <v>1</v>
      </c>
      <c r="AO97" t="s">
        <v>1483</v>
      </c>
      <c r="AP97" t="s">
        <v>1</v>
      </c>
      <c r="AQ97" t="s">
        <v>2</v>
      </c>
      <c r="AR97" t="s">
        <v>1</v>
      </c>
      <c r="AS97" t="s">
        <v>1</v>
      </c>
      <c r="AT97" t="s">
        <v>1</v>
      </c>
      <c r="AU97" t="s">
        <v>1</v>
      </c>
      <c r="AV97" t="s">
        <v>1</v>
      </c>
      <c r="AW97" t="s">
        <v>11</v>
      </c>
      <c r="AX97">
        <f>Tabla1[[#This Row],[precio del paquete]]-Tabla1[[#This Row],[Saldo_Deudor]]</f>
        <v>1900</v>
      </c>
      <c r="AY97">
        <v>12900</v>
      </c>
      <c r="AZ97" t="s">
        <v>3</v>
      </c>
      <c r="BA97" t="s">
        <v>3</v>
      </c>
      <c r="BB97" t="s">
        <v>3</v>
      </c>
      <c r="BC97" t="s">
        <v>939</v>
      </c>
      <c r="BD97" t="s">
        <v>938</v>
      </c>
      <c r="BE97" t="s">
        <v>3</v>
      </c>
      <c r="BF97" t="s">
        <v>3</v>
      </c>
      <c r="BG97" t="s">
        <v>3</v>
      </c>
      <c r="BH97" t="s">
        <v>3</v>
      </c>
      <c r="BI97" t="s">
        <v>3</v>
      </c>
      <c r="BJ97" t="s">
        <v>1939</v>
      </c>
      <c r="BK97" t="s">
        <v>3</v>
      </c>
      <c r="BL97" t="s">
        <v>132</v>
      </c>
      <c r="BM97" t="s">
        <v>1</v>
      </c>
      <c r="BN97">
        <f>Tabla1[[#This Row],[precio del paquete]]</f>
        <v>14800</v>
      </c>
      <c r="BO97" t="s">
        <v>1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1</v>
      </c>
      <c r="CD97" t="str" cm="1">
        <f t="array" aca="1" ref="CD97" ca="1">eConcatenar(A97:CB97,"|")</f>
        <v>kRt9uf4NEjPciu5A|CAR2021-4245|3|MEMORIAL|TABASCO|CARDENAS|CARDENAS|2021-02-03|14800|X|100|50|0|0|0|0|0|0|0|0|0|0|0|0|0|0|0|ROMERO|GONZALES|CARLOS|SOLTERO|X|X|CALLE CONTANCIO NUMERO 97|COLONIA CARDENAS CENTRO|X|9932179366|X|X|X|CALLE CONTANCIO NUMERO 97|X|LUNES|X|X|X|X|X|DOMICILIO |1900|12900|x|x|x|2021-12-22|2021-12-29|x|x|x|x|x|TQPNUNDB8OSMS5B|x|HOMBRE|X|14800|X|X|X|X|X|X|X|X|CARDENAS|X|X|X|X|X</v>
      </c>
    </row>
    <row r="98" spans="1:82" x14ac:dyDescent="0.25">
      <c r="A98" t="s">
        <v>232</v>
      </c>
      <c r="B98" t="s">
        <v>543</v>
      </c>
      <c r="C98">
        <v>3</v>
      </c>
      <c r="D98" t="s">
        <v>761</v>
      </c>
      <c r="E98" t="s">
        <v>1398</v>
      </c>
      <c r="F98" t="s">
        <v>769</v>
      </c>
      <c r="G98" t="s">
        <v>769</v>
      </c>
      <c r="H98" t="s">
        <v>779</v>
      </c>
      <c r="I98">
        <v>14800</v>
      </c>
      <c r="J98" t="s">
        <v>1</v>
      </c>
      <c r="K98">
        <v>100</v>
      </c>
      <c r="L98">
        <v>50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1227</v>
      </c>
      <c r="AC98" t="s">
        <v>1293</v>
      </c>
      <c r="AD98" s="18" t="s">
        <v>1058</v>
      </c>
      <c r="AE98" t="s">
        <v>4</v>
      </c>
      <c r="AF98" t="s">
        <v>1</v>
      </c>
      <c r="AG98" t="s">
        <v>1</v>
      </c>
      <c r="AH98" t="s">
        <v>1484</v>
      </c>
      <c r="AI98" t="s">
        <v>1729</v>
      </c>
      <c r="AJ98" t="s">
        <v>1</v>
      </c>
      <c r="AK98">
        <v>9141149504</v>
      </c>
      <c r="AL98" t="s">
        <v>1</v>
      </c>
      <c r="AM98" t="s">
        <v>1</v>
      </c>
      <c r="AN98" t="s">
        <v>1</v>
      </c>
      <c r="AO98" t="s">
        <v>1484</v>
      </c>
      <c r="AP98" t="s">
        <v>1</v>
      </c>
      <c r="AQ98" t="s">
        <v>2</v>
      </c>
      <c r="AR98" t="s">
        <v>1</v>
      </c>
      <c r="AS98" t="s">
        <v>1</v>
      </c>
      <c r="AT98" t="s">
        <v>1</v>
      </c>
      <c r="AU98" t="s">
        <v>1</v>
      </c>
      <c r="AV98" t="s">
        <v>1</v>
      </c>
      <c r="AW98" t="s">
        <v>11</v>
      </c>
      <c r="AX98">
        <f>Tabla1[[#This Row],[precio del paquete]]-Tabla1[[#This Row],[Saldo_Deudor]]</f>
        <v>500</v>
      </c>
      <c r="AY98">
        <v>14300</v>
      </c>
      <c r="AZ98" t="s">
        <v>3</v>
      </c>
      <c r="BA98" t="s">
        <v>3</v>
      </c>
      <c r="BB98" t="s">
        <v>3</v>
      </c>
      <c r="BC98" t="s">
        <v>1847</v>
      </c>
      <c r="BD98" t="s">
        <v>1900</v>
      </c>
      <c r="BE98" t="s">
        <v>3</v>
      </c>
      <c r="BF98" t="s">
        <v>3</v>
      </c>
      <c r="BG98" t="s">
        <v>3</v>
      </c>
      <c r="BH98" t="s">
        <v>3</v>
      </c>
      <c r="BI98" t="s">
        <v>3</v>
      </c>
      <c r="BJ98" t="s">
        <v>143</v>
      </c>
      <c r="BK98" t="s">
        <v>3</v>
      </c>
      <c r="BL98" t="s">
        <v>132</v>
      </c>
      <c r="BM98" t="s">
        <v>1</v>
      </c>
      <c r="BN98">
        <f>Tabla1[[#This Row],[precio del paquete]]</f>
        <v>14800</v>
      </c>
      <c r="BO98" t="s">
        <v>1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1</v>
      </c>
      <c r="CD98" t="str" cm="1">
        <f t="array" aca="1" ref="CD98" ca="1">eConcatenar(A98:CB98,"|")</f>
        <v>wNugZnMuejiKm33r|CAR2021-7686|3|MEMORIAL|TABASCO|CUNDUACAN|CUNDUACAN|2021-12-28|14800|X|100|50|0|0|0|0|0|0|0|0|0|0|0|0|0|0|0|GARCIA|CANO|MIGUEL|SOLTERO|X|X|ENTRADA A LA PROVIDENCIA|SECTOR ROMA|X|9141149504|X|X|X|ENTRADA A LA PROVIDENCIA|X|LUNES|X|X|X|X|X|DOMICILIO |500|14300|x|x|x|2022-01-31|2022-02-07|x|x|x|x|x|NL2E7OEHPWYUH7Y|x|HOMBRE|X|14800|X|X|X|X|X|X|X|X|CARDENAS|X|X|X|X|X</v>
      </c>
    </row>
    <row r="99" spans="1:82" x14ac:dyDescent="0.25">
      <c r="A99" t="s">
        <v>233</v>
      </c>
      <c r="B99" t="s">
        <v>544</v>
      </c>
      <c r="C99">
        <v>3</v>
      </c>
      <c r="D99" t="s">
        <v>765</v>
      </c>
      <c r="E99" t="s">
        <v>1398</v>
      </c>
      <c r="F99" t="s">
        <v>770</v>
      </c>
      <c r="G99" t="s">
        <v>770</v>
      </c>
      <c r="H99" t="s">
        <v>837</v>
      </c>
      <c r="I99">
        <v>19800</v>
      </c>
      <c r="J99" t="s">
        <v>1</v>
      </c>
      <c r="K99">
        <v>200</v>
      </c>
      <c r="L99">
        <v>50</v>
      </c>
      <c r="M99">
        <v>1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1235</v>
      </c>
      <c r="AC99" t="s">
        <v>1315</v>
      </c>
      <c r="AD99" s="18" t="s">
        <v>1059</v>
      </c>
      <c r="AE99" t="s">
        <v>4</v>
      </c>
      <c r="AF99" t="s">
        <v>1</v>
      </c>
      <c r="AG99" t="s">
        <v>1</v>
      </c>
      <c r="AH99" t="s">
        <v>1485</v>
      </c>
      <c r="AI99" t="s">
        <v>1730</v>
      </c>
      <c r="AJ99" t="s">
        <v>1</v>
      </c>
      <c r="AK99">
        <v>9335938965</v>
      </c>
      <c r="AL99" t="s">
        <v>1</v>
      </c>
      <c r="AM99" t="s">
        <v>1</v>
      </c>
      <c r="AN99" t="s">
        <v>1</v>
      </c>
      <c r="AO99" t="s">
        <v>1485</v>
      </c>
      <c r="AP99" t="s">
        <v>1</v>
      </c>
      <c r="AQ99" t="s">
        <v>2</v>
      </c>
      <c r="AR99" t="s">
        <v>1</v>
      </c>
      <c r="AS99" t="s">
        <v>1</v>
      </c>
      <c r="AT99" t="s">
        <v>1</v>
      </c>
      <c r="AU99" t="s">
        <v>1</v>
      </c>
      <c r="AV99" t="s">
        <v>1</v>
      </c>
      <c r="AW99" t="s">
        <v>11</v>
      </c>
      <c r="AX99">
        <f>Tabla1[[#This Row],[precio del paquete]]-Tabla1[[#This Row],[Saldo_Deudor]]</f>
        <v>13300</v>
      </c>
      <c r="AY99">
        <v>6500</v>
      </c>
      <c r="AZ99" t="s">
        <v>3</v>
      </c>
      <c r="BA99" t="s">
        <v>3</v>
      </c>
      <c r="BB99" t="s">
        <v>3</v>
      </c>
      <c r="BC99" t="s">
        <v>797</v>
      </c>
      <c r="BD99" t="s">
        <v>1901</v>
      </c>
      <c r="BE99" t="s">
        <v>3</v>
      </c>
      <c r="BF99" t="s">
        <v>3</v>
      </c>
      <c r="BG99" t="s">
        <v>3</v>
      </c>
      <c r="BH99" t="s">
        <v>3</v>
      </c>
      <c r="BI99" t="s">
        <v>3</v>
      </c>
      <c r="BJ99" t="s">
        <v>1941</v>
      </c>
      <c r="BK99" t="s">
        <v>3</v>
      </c>
      <c r="BL99" t="s">
        <v>132</v>
      </c>
      <c r="BM99" t="s">
        <v>1</v>
      </c>
      <c r="BN99">
        <f>Tabla1[[#This Row],[precio del paquete]]</f>
        <v>19800</v>
      </c>
      <c r="BO99" t="s">
        <v>1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1</v>
      </c>
      <c r="CD99" t="str" cm="1">
        <f t="array" aca="1" ref="CD99" ca="1">eConcatenar(A99:CB99,"|")</f>
        <v>KWaV4oIFk8okpgxI|COM2017-3142|3|ZAFIRO|TABASCO|COMALCALCO|COMALCALCO|2017-04-28|19800|X|200|50|1|0|0|0|0|0|0|0|0|0|0|0|0|0|0|IZQUIERDO|ALCUDIA|ELBIA|SOLTERO|X|X|AVENIDA DESPERTAR DE UN PUEBLO|RANCHERIA ZAPOTAL PRIMERA SECCION|X|9335938965|X|X|X|AVENIDA DESPERTAR DE UN PUEBLO|X|LUNES|X|X|X|X|X|DOMICILIO |13300|6500|x|x|x|2022-01-20|2022-01-27|x|x|x|x|x|ZGSYJGLZUXA73WJ|x|HOMBRE|X|19800|X|X|X|X|X|X|X|X|CARDENAS|X|X|X|X|X</v>
      </c>
    </row>
    <row r="100" spans="1:82" x14ac:dyDescent="0.25">
      <c r="A100" t="s">
        <v>234</v>
      </c>
      <c r="B100" t="s">
        <v>545</v>
      </c>
      <c r="C100">
        <v>3</v>
      </c>
      <c r="D100" t="s">
        <v>766</v>
      </c>
      <c r="E100" t="s">
        <v>1398</v>
      </c>
      <c r="F100" t="s">
        <v>771</v>
      </c>
      <c r="G100" t="s">
        <v>771</v>
      </c>
      <c r="H100" t="s">
        <v>838</v>
      </c>
      <c r="I100">
        <v>12900</v>
      </c>
      <c r="J100" t="s">
        <v>1</v>
      </c>
      <c r="K100">
        <v>200</v>
      </c>
      <c r="L100">
        <v>50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1247</v>
      </c>
      <c r="AC100" t="s">
        <v>1249</v>
      </c>
      <c r="AD100" s="18" t="s">
        <v>1060</v>
      </c>
      <c r="AE100" t="s">
        <v>4</v>
      </c>
      <c r="AF100" t="s">
        <v>1</v>
      </c>
      <c r="AG100" t="s">
        <v>1</v>
      </c>
      <c r="AH100" t="s">
        <v>1486</v>
      </c>
      <c r="AI100" t="s">
        <v>1731</v>
      </c>
      <c r="AJ100" t="s">
        <v>1</v>
      </c>
      <c r="AK100">
        <v>9332090066</v>
      </c>
      <c r="AL100" t="s">
        <v>1</v>
      </c>
      <c r="AM100" t="s">
        <v>1</v>
      </c>
      <c r="AN100" t="s">
        <v>1</v>
      </c>
      <c r="AO100" t="s">
        <v>1486</v>
      </c>
      <c r="AP100" t="s">
        <v>1</v>
      </c>
      <c r="AQ100" t="s">
        <v>2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11</v>
      </c>
      <c r="AX100">
        <f>Tabla1[[#This Row],[precio del paquete]]-Tabla1[[#This Row],[Saldo_Deudor]]</f>
        <v>7100</v>
      </c>
      <c r="AY100">
        <v>5800</v>
      </c>
      <c r="AZ100" t="s">
        <v>3</v>
      </c>
      <c r="BA100" t="s">
        <v>3</v>
      </c>
      <c r="BB100" t="s">
        <v>3</v>
      </c>
      <c r="BC100" t="s">
        <v>1848</v>
      </c>
      <c r="BD100" t="s">
        <v>1902</v>
      </c>
      <c r="BE100" t="s">
        <v>3</v>
      </c>
      <c r="BF100" t="s">
        <v>3</v>
      </c>
      <c r="BG100" t="s">
        <v>3</v>
      </c>
      <c r="BH100" t="s">
        <v>3</v>
      </c>
      <c r="BI100" t="s">
        <v>3</v>
      </c>
      <c r="BJ100" t="s">
        <v>1941</v>
      </c>
      <c r="BK100" t="s">
        <v>3</v>
      </c>
      <c r="BL100" t="s">
        <v>132</v>
      </c>
      <c r="BM100" t="s">
        <v>1</v>
      </c>
      <c r="BN100">
        <f>Tabla1[[#This Row],[precio del paquete]]</f>
        <v>12900</v>
      </c>
      <c r="BO100" t="s">
        <v>1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1</v>
      </c>
      <c r="CD100" t="str" cm="1">
        <f t="array" aca="1" ref="CD100" ca="1">eConcatenar(A100:CB100,"|")</f>
        <v>NABu0dwF8XPixhqm|PAR2019-0580|3|ECONOLINE|TABASCO|PARAISO|PARAISO|2019-03-26|12900|X|200|50|1|0|0|0|0|0|0|0|0|0|0|0|0|0|0|SANCHEZ|DE LA CRUZ|ABIGAIL|SOLTERO|X|X|ENTRADA PALMA HUACA SIN NUMERO|RANCHERIA ORIENTE SEGUNDA SECCION|X|9332090066|X|X|X|ENTRADA PALMA HUACA SIN NUMERO|X|LUNES|X|X|X|X|X|DOMICILIO |7100|5800|x|x|x|2021-11-17|2021-11-24|x|x|x|x|x|ZGSYJGLZUXA73WJ|x|HOMBRE|X|12900|X|X|X|X|X|X|X|X|CARDENAS|X|X|X|X|X</v>
      </c>
    </row>
    <row r="101" spans="1:82" x14ac:dyDescent="0.25">
      <c r="A101" t="s">
        <v>235</v>
      </c>
      <c r="B101" t="s">
        <v>546</v>
      </c>
      <c r="C101">
        <v>3</v>
      </c>
      <c r="D101" t="s">
        <v>766</v>
      </c>
      <c r="E101" t="s">
        <v>1398</v>
      </c>
      <c r="F101" t="s">
        <v>770</v>
      </c>
      <c r="G101" t="s">
        <v>770</v>
      </c>
      <c r="H101" t="s">
        <v>839</v>
      </c>
      <c r="I101">
        <v>12900</v>
      </c>
      <c r="J101" t="s">
        <v>1</v>
      </c>
      <c r="K101">
        <v>100</v>
      </c>
      <c r="L101">
        <v>50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1266</v>
      </c>
      <c r="AC101" t="s">
        <v>1265</v>
      </c>
      <c r="AD101" s="18" t="s">
        <v>1061</v>
      </c>
      <c r="AE101" t="s">
        <v>4</v>
      </c>
      <c r="AF101" t="s">
        <v>1</v>
      </c>
      <c r="AG101" t="s">
        <v>1</v>
      </c>
      <c r="AH101" t="s">
        <v>1487</v>
      </c>
      <c r="AI101" t="s">
        <v>1730</v>
      </c>
      <c r="AJ101" t="s">
        <v>1</v>
      </c>
      <c r="AK101">
        <v>9331463676</v>
      </c>
      <c r="AL101" t="s">
        <v>1</v>
      </c>
      <c r="AM101" t="s">
        <v>1</v>
      </c>
      <c r="AN101" t="s">
        <v>1</v>
      </c>
      <c r="AO101" t="s">
        <v>1487</v>
      </c>
      <c r="AP101" t="s">
        <v>1</v>
      </c>
      <c r="AQ101" t="s">
        <v>2</v>
      </c>
      <c r="AR101" t="s">
        <v>1</v>
      </c>
      <c r="AS101" t="s">
        <v>1</v>
      </c>
      <c r="AT101" t="s">
        <v>1</v>
      </c>
      <c r="AU101" t="s">
        <v>1</v>
      </c>
      <c r="AV101" t="s">
        <v>1</v>
      </c>
      <c r="AW101" t="s">
        <v>11</v>
      </c>
      <c r="AX101">
        <f>Tabla1[[#This Row],[precio del paquete]]-Tabla1[[#This Row],[Saldo_Deudor]]</f>
        <v>1900</v>
      </c>
      <c r="AY101">
        <v>11000</v>
      </c>
      <c r="AZ101" t="s">
        <v>3</v>
      </c>
      <c r="BA101" t="s">
        <v>3</v>
      </c>
      <c r="BB101" t="s">
        <v>3</v>
      </c>
      <c r="BC101" t="s">
        <v>942</v>
      </c>
      <c r="BD101" t="s">
        <v>1903</v>
      </c>
      <c r="BE101" t="s">
        <v>3</v>
      </c>
      <c r="BF101" t="s">
        <v>3</v>
      </c>
      <c r="BG101" t="s">
        <v>3</v>
      </c>
      <c r="BH101" t="s">
        <v>3</v>
      </c>
      <c r="BI101" t="s">
        <v>3</v>
      </c>
      <c r="BJ101" t="s">
        <v>1941</v>
      </c>
      <c r="BK101" t="s">
        <v>3</v>
      </c>
      <c r="BL101" t="s">
        <v>132</v>
      </c>
      <c r="BM101" t="s">
        <v>1</v>
      </c>
      <c r="BN101">
        <f>Tabla1[[#This Row],[precio del paquete]]</f>
        <v>12900</v>
      </c>
      <c r="BO101" t="s">
        <v>1</v>
      </c>
      <c r="BP101" t="s">
        <v>1</v>
      </c>
      <c r="BQ101" t="s">
        <v>1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1</v>
      </c>
      <c r="CD101" t="str" cm="1">
        <f t="array" aca="1" ref="CD101" ca="1">eConcatenar(A101:CB101,"|")</f>
        <v>hv0ashWPTPLdrB1h|COM2020-2554|3|ECONOLINE|TABASCO|COMALCALCO|COMALCALCO|2020-10-22|12900|X|100|50|1|0|0|0|0|0|0|0|0|0|0|0|0|0|0|HERNANDEZ|DOMINGUEZ|MARQUEZA|SOLTERO|X|X|CARRETERA A POTRERITO|RANCHERIA ZAPOTAL PRIMERA SECCION|X|9331463676|X|X|X|CARRETERA A POTRERITO|X|LUNES|X|X|X|X|X|DOMICILIO |1900|11000|x|x|x|2021-02-12|2021-02-19|x|x|x|x|x|ZGSYJGLZUXA73WJ|x|HOMBRE|X|12900|X|X|X|X|X|X|X|X|CARDENAS|X|X|X|X|X</v>
      </c>
    </row>
    <row r="102" spans="1:82" x14ac:dyDescent="0.25">
      <c r="A102" t="s">
        <v>236</v>
      </c>
      <c r="B102" t="s">
        <v>547</v>
      </c>
      <c r="C102">
        <v>3</v>
      </c>
      <c r="D102" t="s">
        <v>763</v>
      </c>
      <c r="E102" t="s">
        <v>1398</v>
      </c>
      <c r="F102" t="s">
        <v>770</v>
      </c>
      <c r="G102" t="s">
        <v>770</v>
      </c>
      <c r="H102" t="s">
        <v>840</v>
      </c>
      <c r="I102">
        <v>12900</v>
      </c>
      <c r="J102" t="s">
        <v>1</v>
      </c>
      <c r="K102">
        <v>200</v>
      </c>
      <c r="L102">
        <v>50</v>
      </c>
      <c r="M102">
        <v>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1236</v>
      </c>
      <c r="AC102" t="s">
        <v>1249</v>
      </c>
      <c r="AD102" s="18" t="s">
        <v>1062</v>
      </c>
      <c r="AE102" t="s">
        <v>4</v>
      </c>
      <c r="AF102" t="s">
        <v>1</v>
      </c>
      <c r="AG102" t="s">
        <v>1</v>
      </c>
      <c r="AH102" t="s">
        <v>1488</v>
      </c>
      <c r="AI102" t="s">
        <v>1730</v>
      </c>
      <c r="AJ102" t="s">
        <v>1</v>
      </c>
      <c r="AK102">
        <v>9331360135</v>
      </c>
      <c r="AL102" t="s">
        <v>1</v>
      </c>
      <c r="AM102" t="s">
        <v>1</v>
      </c>
      <c r="AN102" t="s">
        <v>1</v>
      </c>
      <c r="AO102" t="s">
        <v>1488</v>
      </c>
      <c r="AP102" t="s">
        <v>1</v>
      </c>
      <c r="AQ102" t="s">
        <v>2</v>
      </c>
      <c r="AR102" t="s">
        <v>1</v>
      </c>
      <c r="AS102" t="s">
        <v>1</v>
      </c>
      <c r="AT102" t="s">
        <v>1</v>
      </c>
      <c r="AU102" t="s">
        <v>1</v>
      </c>
      <c r="AV102" t="s">
        <v>1</v>
      </c>
      <c r="AW102" t="s">
        <v>11</v>
      </c>
      <c r="AX102">
        <f>Tabla1[[#This Row],[precio del paquete]]-Tabla1[[#This Row],[Saldo_Deudor]]</f>
        <v>3800</v>
      </c>
      <c r="AY102">
        <v>9100</v>
      </c>
      <c r="AZ102" t="s">
        <v>3</v>
      </c>
      <c r="BA102" t="s">
        <v>3</v>
      </c>
      <c r="BB102" t="s">
        <v>3</v>
      </c>
      <c r="BC102" t="s">
        <v>828</v>
      </c>
      <c r="BD102" t="s">
        <v>944</v>
      </c>
      <c r="BE102" t="s">
        <v>3</v>
      </c>
      <c r="BF102" t="s">
        <v>3</v>
      </c>
      <c r="BG102" t="s">
        <v>3</v>
      </c>
      <c r="BH102" t="s">
        <v>3</v>
      </c>
      <c r="BI102" t="s">
        <v>3</v>
      </c>
      <c r="BJ102" t="s">
        <v>1941</v>
      </c>
      <c r="BK102" t="s">
        <v>3</v>
      </c>
      <c r="BL102" t="s">
        <v>132</v>
      </c>
      <c r="BM102" t="s">
        <v>1</v>
      </c>
      <c r="BN102">
        <f>Tabla1[[#This Row],[precio del paquete]]</f>
        <v>12900</v>
      </c>
      <c r="BO102" t="s">
        <v>1</v>
      </c>
      <c r="BP102" t="s">
        <v>1</v>
      </c>
      <c r="BQ102" t="s">
        <v>1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1</v>
      </c>
      <c r="CD102" t="str" cm="1">
        <f t="array" aca="1" ref="CD102" ca="1">eConcatenar(A102:CB102,"|")</f>
        <v>FJY3NBNTgNyKrRiW|COM2020-0965|3|IMPERIAL DE LUJO|TABASCO|COMALCALCO|COMALCALCO|2020-06-27|12900|X|200|50|2|0|0|0|0|0|0|0|0|0|0|0|0|0|0|DE LOS SANTOS|DE LA CRUZ|LILI|SOLTERO|X|X|CARRETERA PRINCIPAL SIN NUMERO |RANCHERIA ZAPOTAL PRIMERA SECCION|X|9331360135|X|X|X|CARRETERA PRINCIPAL SIN NUMERO |X|LUNES|X|X|X|X|X|DOMICILIO |3800|9100|x|x|x|2021-08-07|2021-08-14|x|x|x|x|x|ZGSYJGLZUXA73WJ|x|HOMBRE|X|12900|X|X|X|X|X|X|X|X|CARDENAS|X|X|X|X|X</v>
      </c>
    </row>
    <row r="103" spans="1:82" x14ac:dyDescent="0.25">
      <c r="A103" t="s">
        <v>237</v>
      </c>
      <c r="B103" t="s">
        <v>548</v>
      </c>
      <c r="C103">
        <v>3</v>
      </c>
      <c r="D103" t="s">
        <v>766</v>
      </c>
      <c r="E103" t="s">
        <v>1398</v>
      </c>
      <c r="F103" t="s">
        <v>770</v>
      </c>
      <c r="G103" t="s">
        <v>770</v>
      </c>
      <c r="H103" t="s">
        <v>841</v>
      </c>
      <c r="I103">
        <v>12900</v>
      </c>
      <c r="J103" t="s">
        <v>1</v>
      </c>
      <c r="K103">
        <v>400</v>
      </c>
      <c r="L103">
        <v>50</v>
      </c>
      <c r="M103">
        <v>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1316</v>
      </c>
      <c r="AC103" t="s">
        <v>1234</v>
      </c>
      <c r="AD103" s="18" t="s">
        <v>1014</v>
      </c>
      <c r="AE103" t="s">
        <v>4</v>
      </c>
      <c r="AF103" t="s">
        <v>1</v>
      </c>
      <c r="AG103" t="s">
        <v>1</v>
      </c>
      <c r="AH103" t="s">
        <v>1489</v>
      </c>
      <c r="AI103" t="s">
        <v>1732</v>
      </c>
      <c r="AJ103" t="s">
        <v>1</v>
      </c>
      <c r="AK103">
        <v>9333338287</v>
      </c>
      <c r="AL103" t="s">
        <v>1</v>
      </c>
      <c r="AM103" t="s">
        <v>1</v>
      </c>
      <c r="AN103" t="s">
        <v>1</v>
      </c>
      <c r="AO103" t="s">
        <v>1489</v>
      </c>
      <c r="AP103" t="s">
        <v>1</v>
      </c>
      <c r="AQ103" t="s">
        <v>2</v>
      </c>
      <c r="AR103" t="s">
        <v>1</v>
      </c>
      <c r="AS103" t="s">
        <v>1</v>
      </c>
      <c r="AT103" t="s">
        <v>1</v>
      </c>
      <c r="AU103" t="s">
        <v>1</v>
      </c>
      <c r="AV103" t="s">
        <v>1</v>
      </c>
      <c r="AW103" t="s">
        <v>11</v>
      </c>
      <c r="AX103">
        <f>Tabla1[[#This Row],[precio del paquete]]-Tabla1[[#This Row],[Saldo_Deudor]]</f>
        <v>12000</v>
      </c>
      <c r="AY103">
        <v>900</v>
      </c>
      <c r="AZ103" t="s">
        <v>3</v>
      </c>
      <c r="BA103" t="s">
        <v>3</v>
      </c>
      <c r="BB103" t="s">
        <v>3</v>
      </c>
      <c r="BC103" t="s">
        <v>891</v>
      </c>
      <c r="BD103" t="s">
        <v>806</v>
      </c>
      <c r="BE103" t="s">
        <v>3</v>
      </c>
      <c r="BF103" t="s">
        <v>3</v>
      </c>
      <c r="BG103" t="s">
        <v>3</v>
      </c>
      <c r="BH103" t="s">
        <v>3</v>
      </c>
      <c r="BI103" t="s">
        <v>3</v>
      </c>
      <c r="BJ103" t="s">
        <v>1941</v>
      </c>
      <c r="BK103" t="s">
        <v>3</v>
      </c>
      <c r="BL103" t="s">
        <v>132</v>
      </c>
      <c r="BM103" t="s">
        <v>1</v>
      </c>
      <c r="BN103">
        <f>Tabla1[[#This Row],[precio del paquete]]</f>
        <v>12900</v>
      </c>
      <c r="BO103" t="s">
        <v>1</v>
      </c>
      <c r="BP103" t="s">
        <v>1</v>
      </c>
      <c r="BQ103" t="s">
        <v>1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1</v>
      </c>
      <c r="CD103" t="str" cm="1">
        <f t="array" aca="1" ref="CD103" ca="1">eConcatenar(A103:CB103,"|")</f>
        <v>DImf0VhxhuQfdfZy|COM2019-2349|3|ECONOLINE|TABASCO|COMALCALCO|COMALCALCO|2019-08-27|12900|X|400|50|2|0|0|0|0|0|0|0|0|0|0|0|0|0|0|OLIVE|PALMA|PABLO|SOLTERO|X|X|ENTRE PUENTE PEATONAL|EJIDO PALESTINA|X|9333338287|X|X|X|ENTRE PUENTE PEATONAL|X|LUNES|X|X|X|X|X|DOMICILIO |12000|900|x|x|x|2021-10-13|2021-10-20|x|x|x|x|x|ZGSYJGLZUXA73WJ|x|HOMBRE|X|12900|X|X|X|X|X|X|X|X|CARDENAS|X|X|X|X|X</v>
      </c>
    </row>
    <row r="104" spans="1:82" x14ac:dyDescent="0.25">
      <c r="A104" t="s">
        <v>238</v>
      </c>
      <c r="B104" t="s">
        <v>549</v>
      </c>
      <c r="C104">
        <v>3</v>
      </c>
      <c r="D104" t="s">
        <v>766</v>
      </c>
      <c r="E104" t="s">
        <v>1398</v>
      </c>
      <c r="F104" t="s">
        <v>770</v>
      </c>
      <c r="G104" t="s">
        <v>770</v>
      </c>
      <c r="H104" t="s">
        <v>842</v>
      </c>
      <c r="I104">
        <v>12900</v>
      </c>
      <c r="J104" t="s">
        <v>1</v>
      </c>
      <c r="K104">
        <v>200</v>
      </c>
      <c r="L104">
        <v>50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1305</v>
      </c>
      <c r="AC104" t="s">
        <v>8</v>
      </c>
      <c r="AD104" s="18" t="s">
        <v>1063</v>
      </c>
      <c r="AE104" t="s">
        <v>4</v>
      </c>
      <c r="AF104" t="s">
        <v>1</v>
      </c>
      <c r="AG104" t="s">
        <v>1</v>
      </c>
      <c r="AH104" t="s">
        <v>1490</v>
      </c>
      <c r="AI104" t="s">
        <v>1733</v>
      </c>
      <c r="AJ104" t="s">
        <v>1</v>
      </c>
      <c r="AK104">
        <v>9331332665</v>
      </c>
      <c r="AL104" t="s">
        <v>1</v>
      </c>
      <c r="AM104" t="s">
        <v>1</v>
      </c>
      <c r="AN104" t="s">
        <v>1</v>
      </c>
      <c r="AO104" t="s">
        <v>1490</v>
      </c>
      <c r="AP104" t="s">
        <v>1</v>
      </c>
      <c r="AQ104" t="s">
        <v>2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11</v>
      </c>
      <c r="AX104">
        <f>Tabla1[[#This Row],[precio del paquete]]-Tabla1[[#This Row],[Saldo_Deudor]]</f>
        <v>4600</v>
      </c>
      <c r="AY104">
        <v>8300</v>
      </c>
      <c r="AZ104" t="s">
        <v>3</v>
      </c>
      <c r="BA104" t="s">
        <v>3</v>
      </c>
      <c r="BB104" t="s">
        <v>3</v>
      </c>
      <c r="BC104" t="s">
        <v>783</v>
      </c>
      <c r="BD104" t="s">
        <v>1904</v>
      </c>
      <c r="BE104" t="s">
        <v>3</v>
      </c>
      <c r="BF104" t="s">
        <v>3</v>
      </c>
      <c r="BG104" t="s">
        <v>3</v>
      </c>
      <c r="BH104" t="s">
        <v>3</v>
      </c>
      <c r="BI104" t="s">
        <v>3</v>
      </c>
      <c r="BJ104" t="s">
        <v>1941</v>
      </c>
      <c r="BK104" t="s">
        <v>3</v>
      </c>
      <c r="BL104" t="s">
        <v>132</v>
      </c>
      <c r="BM104" t="s">
        <v>1</v>
      </c>
      <c r="BN104">
        <f>Tabla1[[#This Row],[precio del paquete]]</f>
        <v>12900</v>
      </c>
      <c r="BO104" t="s">
        <v>1</v>
      </c>
      <c r="BP104" t="s">
        <v>1</v>
      </c>
      <c r="BQ104" t="s">
        <v>1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1</v>
      </c>
      <c r="CD104" t="str" cm="1">
        <f t="array" aca="1" ref="CD104" ca="1">eConcatenar(A104:CB104,"|")</f>
        <v>QVcK6eHM5PmU1p5H|COM2019-2143|3|ECONOLINE|TABASCO|COMALCALCO|COMALCALCO|2019-12-08|12900|X|200|50|1|0|0|0|0|0|0|0|0|0|0|0|0|0|0|ALEJANDRO|GOMEZ|JOSE JESUS|SOLTERO|X|X|CALLE PRINCIPAL ENTRADA HERMANOS ALEJANDRO|EJIDO QUINTIN ARAUZ|X|9331332665|X|X|X|CALLE PRINCIPAL ENTRADA HERMANOS ALEJANDRO|X|LUNES|X|X|X|X|X|DOMICILIO |4600|8300|x|x|x|2022-05-01|2022-05-08|x|x|x|x|x|ZGSYJGLZUXA73WJ|x|HOMBRE|X|12900|X|X|X|X|X|X|X|X|CARDENAS|X|X|X|X|X</v>
      </c>
    </row>
    <row r="105" spans="1:82" x14ac:dyDescent="0.25">
      <c r="A105" t="s">
        <v>239</v>
      </c>
      <c r="B105" t="s">
        <v>550</v>
      </c>
      <c r="C105">
        <v>3</v>
      </c>
      <c r="D105" t="s">
        <v>766</v>
      </c>
      <c r="E105" t="s">
        <v>1398</v>
      </c>
      <c r="F105" t="s">
        <v>770</v>
      </c>
      <c r="G105" t="s">
        <v>770</v>
      </c>
      <c r="H105" t="s">
        <v>843</v>
      </c>
      <c r="I105">
        <v>12900</v>
      </c>
      <c r="J105" t="s">
        <v>1</v>
      </c>
      <c r="K105">
        <v>200</v>
      </c>
      <c r="L105">
        <v>50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1248</v>
      </c>
      <c r="AC105" t="s">
        <v>1317</v>
      </c>
      <c r="AD105" s="18" t="s">
        <v>1064</v>
      </c>
      <c r="AE105" t="s">
        <v>4</v>
      </c>
      <c r="AF105" t="s">
        <v>1</v>
      </c>
      <c r="AG105" t="s">
        <v>1</v>
      </c>
      <c r="AH105" t="s">
        <v>1491</v>
      </c>
      <c r="AI105" t="s">
        <v>1734</v>
      </c>
      <c r="AJ105" t="s">
        <v>1</v>
      </c>
      <c r="AK105">
        <v>9333278312</v>
      </c>
      <c r="AL105" t="s">
        <v>1</v>
      </c>
      <c r="AM105" t="s">
        <v>1</v>
      </c>
      <c r="AN105" t="s">
        <v>1</v>
      </c>
      <c r="AO105" t="s">
        <v>1491</v>
      </c>
      <c r="AP105" t="s">
        <v>1</v>
      </c>
      <c r="AQ105" t="s">
        <v>2</v>
      </c>
      <c r="AR105" t="s">
        <v>1</v>
      </c>
      <c r="AS105" t="s">
        <v>1</v>
      </c>
      <c r="AT105" t="s">
        <v>1</v>
      </c>
      <c r="AU105" t="s">
        <v>1</v>
      </c>
      <c r="AV105" t="s">
        <v>1</v>
      </c>
      <c r="AW105" t="s">
        <v>11</v>
      </c>
      <c r="AX105">
        <f>Tabla1[[#This Row],[precio del paquete]]-Tabla1[[#This Row],[Saldo_Deudor]]</f>
        <v>5500</v>
      </c>
      <c r="AY105">
        <v>7400</v>
      </c>
      <c r="AZ105" t="s">
        <v>3</v>
      </c>
      <c r="BA105" t="s">
        <v>3</v>
      </c>
      <c r="BB105" t="s">
        <v>3</v>
      </c>
      <c r="BC105" t="s">
        <v>783</v>
      </c>
      <c r="BD105" t="s">
        <v>1904</v>
      </c>
      <c r="BE105" t="s">
        <v>3</v>
      </c>
      <c r="BF105" t="s">
        <v>3</v>
      </c>
      <c r="BG105" t="s">
        <v>3</v>
      </c>
      <c r="BH105" t="s">
        <v>3</v>
      </c>
      <c r="BI105" t="s">
        <v>3</v>
      </c>
      <c r="BJ105" t="s">
        <v>1941</v>
      </c>
      <c r="BK105" t="s">
        <v>3</v>
      </c>
      <c r="BL105" t="s">
        <v>132</v>
      </c>
      <c r="BM105" t="s">
        <v>1</v>
      </c>
      <c r="BN105">
        <f>Tabla1[[#This Row],[precio del paquete]]</f>
        <v>12900</v>
      </c>
      <c r="BO105" t="s">
        <v>1</v>
      </c>
      <c r="BP105" t="s">
        <v>1</v>
      </c>
      <c r="BQ105" t="s">
        <v>1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1</v>
      </c>
      <c r="CD105" t="str" cm="1">
        <f t="array" aca="1" ref="CD105" ca="1">eConcatenar(A105:CB105,"|")</f>
        <v>OlTgjIGMpmyDnJGY|COM2019-2316|3|ECONOLINE|TABASCO|COMALCALCO|COMALCALCO|2019-08-21|12900|X|200|50|1|0|0|0|0|0|0|0|0|0|0|0|0|0|0|PEREZ|SAMUDIO|ANGELA|SOLTERO|X|X|CALLE EMILIANO ZAPATA|EJIDO ORIENTE SAN CAYETANO|X|9333278312|X|X|X|CALLE EMILIANO ZAPATA|X|LUNES|X|X|X|X|X|DOMICILIO |5500|7400|x|x|x|2022-05-01|2022-05-08|x|x|x|x|x|ZGSYJGLZUXA73WJ|x|HOMBRE|X|12900|X|X|X|X|X|X|X|X|CARDENAS|X|X|X|X|X</v>
      </c>
    </row>
    <row r="106" spans="1:82" x14ac:dyDescent="0.25">
      <c r="A106" t="s">
        <v>240</v>
      </c>
      <c r="B106" t="s">
        <v>551</v>
      </c>
      <c r="C106">
        <v>3</v>
      </c>
      <c r="D106" t="s">
        <v>766</v>
      </c>
      <c r="E106" t="s">
        <v>1398</v>
      </c>
      <c r="F106" t="s">
        <v>771</v>
      </c>
      <c r="G106" t="s">
        <v>771</v>
      </c>
      <c r="H106" t="s">
        <v>844</v>
      </c>
      <c r="I106">
        <v>12900</v>
      </c>
      <c r="J106" t="s">
        <v>1</v>
      </c>
      <c r="K106">
        <v>100</v>
      </c>
      <c r="L106">
        <v>50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1318</v>
      </c>
      <c r="AC106" t="s">
        <v>1312</v>
      </c>
      <c r="AD106" s="18" t="s">
        <v>1065</v>
      </c>
      <c r="AE106" t="s">
        <v>4</v>
      </c>
      <c r="AF106" t="s">
        <v>1</v>
      </c>
      <c r="AG106" t="s">
        <v>1</v>
      </c>
      <c r="AH106" t="s">
        <v>1492</v>
      </c>
      <c r="AI106" t="s">
        <v>1735</v>
      </c>
      <c r="AJ106" t="s">
        <v>1</v>
      </c>
      <c r="AK106" t="s">
        <v>1</v>
      </c>
      <c r="AL106" t="s">
        <v>1</v>
      </c>
      <c r="AM106" t="s">
        <v>1</v>
      </c>
      <c r="AN106" t="s">
        <v>1</v>
      </c>
      <c r="AO106" t="s">
        <v>1492</v>
      </c>
      <c r="AP106" t="s">
        <v>1</v>
      </c>
      <c r="AQ106" t="s">
        <v>2</v>
      </c>
      <c r="AR106" t="s">
        <v>1</v>
      </c>
      <c r="AS106" t="s">
        <v>1</v>
      </c>
      <c r="AT106" t="s">
        <v>1</v>
      </c>
      <c r="AU106" t="s">
        <v>1</v>
      </c>
      <c r="AV106" t="s">
        <v>1</v>
      </c>
      <c r="AW106" t="s">
        <v>11</v>
      </c>
      <c r="AX106">
        <f>Tabla1[[#This Row],[precio del paquete]]-Tabla1[[#This Row],[Saldo_Deudor]]</f>
        <v>5420</v>
      </c>
      <c r="AY106">
        <v>7480</v>
      </c>
      <c r="AZ106" t="s">
        <v>3</v>
      </c>
      <c r="BA106" t="s">
        <v>3</v>
      </c>
      <c r="BB106" t="s">
        <v>3</v>
      </c>
      <c r="BC106" t="s">
        <v>1849</v>
      </c>
      <c r="BD106" t="s">
        <v>1905</v>
      </c>
      <c r="BE106" t="s">
        <v>3</v>
      </c>
      <c r="BF106" t="s">
        <v>3</v>
      </c>
      <c r="BG106" t="s">
        <v>3</v>
      </c>
      <c r="BH106" t="s">
        <v>3</v>
      </c>
      <c r="BI106" t="s">
        <v>3</v>
      </c>
      <c r="BJ106" t="s">
        <v>1941</v>
      </c>
      <c r="BK106" t="s">
        <v>3</v>
      </c>
      <c r="BL106" t="s">
        <v>132</v>
      </c>
      <c r="BM106" t="s">
        <v>1</v>
      </c>
      <c r="BN106">
        <f>Tabla1[[#This Row],[precio del paquete]]</f>
        <v>12900</v>
      </c>
      <c r="BO106" t="s">
        <v>1</v>
      </c>
      <c r="BP106" t="s">
        <v>1</v>
      </c>
      <c r="BQ106" t="s">
        <v>1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1</v>
      </c>
      <c r="CD106" t="str" cm="1">
        <f t="array" aca="1" ref="CD106" ca="1">eConcatenar(A106:CB106,"|")</f>
        <v>hgFGivh0rtwuPYTB|PAR2018-1952|3|ECONOLINE|TABASCO|PARAISO|PARAISO|2018-06-10|12900|X|100|50|1|0|0|0|0|0|0|0|0|0|0|0|0|0|0|CARRILLO|RICARDEZ|JOSE ESTEBAN|SOLTERO|X|X|FRENTE A ABARROTES OCCI|RANCHERIA OCCIDENTE SEGUNDA SECCION|X|X|X|X|X|FRENTE A ABARROTES OCCI|X|LUNES|X|X|X|X|X|DOMICILIO |5420|7480|x|x|x|2021-02-02|2021-02-09|x|x|x|x|x|ZGSYJGLZUXA73WJ|x|HOMBRE|X|12900|X|X|X|X|X|X|X|X|CARDENAS|X|X|X|X|X</v>
      </c>
    </row>
    <row r="107" spans="1:82" x14ac:dyDescent="0.25">
      <c r="A107" t="s">
        <v>241</v>
      </c>
      <c r="B107" t="s">
        <v>552</v>
      </c>
      <c r="C107">
        <v>3</v>
      </c>
      <c r="D107" t="s">
        <v>766</v>
      </c>
      <c r="E107" t="s">
        <v>1398</v>
      </c>
      <c r="F107" t="s">
        <v>771</v>
      </c>
      <c r="G107" t="s">
        <v>771</v>
      </c>
      <c r="H107" t="s">
        <v>845</v>
      </c>
      <c r="I107">
        <v>12900</v>
      </c>
      <c r="J107" t="s">
        <v>1</v>
      </c>
      <c r="K107">
        <v>100</v>
      </c>
      <c r="L107">
        <v>50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1248</v>
      </c>
      <c r="AC107" t="s">
        <v>1265</v>
      </c>
      <c r="AD107" s="18" t="s">
        <v>1066</v>
      </c>
      <c r="AE107" t="s">
        <v>4</v>
      </c>
      <c r="AF107" t="s">
        <v>1</v>
      </c>
      <c r="AG107" t="s">
        <v>1</v>
      </c>
      <c r="AH107" t="s">
        <v>1493</v>
      </c>
      <c r="AI107" t="s">
        <v>1736</v>
      </c>
      <c r="AJ107" t="s">
        <v>1</v>
      </c>
      <c r="AK107" t="s">
        <v>1</v>
      </c>
      <c r="AL107" t="s">
        <v>1</v>
      </c>
      <c r="AM107" t="s">
        <v>1</v>
      </c>
      <c r="AN107" t="s">
        <v>1</v>
      </c>
      <c r="AO107" t="s">
        <v>1493</v>
      </c>
      <c r="AP107" t="s">
        <v>1</v>
      </c>
      <c r="AQ107" t="s">
        <v>2</v>
      </c>
      <c r="AR107" t="s">
        <v>1</v>
      </c>
      <c r="AS107" t="s">
        <v>1</v>
      </c>
      <c r="AT107" t="s">
        <v>1</v>
      </c>
      <c r="AU107" t="s">
        <v>1</v>
      </c>
      <c r="AV107" t="s">
        <v>1</v>
      </c>
      <c r="AW107" t="s">
        <v>11</v>
      </c>
      <c r="AX107">
        <f>Tabla1[[#This Row],[precio del paquete]]-Tabla1[[#This Row],[Saldo_Deudor]]</f>
        <v>5800</v>
      </c>
      <c r="AY107">
        <v>7100</v>
      </c>
      <c r="AZ107" t="s">
        <v>3</v>
      </c>
      <c r="BA107" t="s">
        <v>3</v>
      </c>
      <c r="BB107" t="s">
        <v>3</v>
      </c>
      <c r="BC107" t="s">
        <v>774</v>
      </c>
      <c r="BD107" t="s">
        <v>1881</v>
      </c>
      <c r="BE107" t="s">
        <v>3</v>
      </c>
      <c r="BF107" t="s">
        <v>3</v>
      </c>
      <c r="BG107" t="s">
        <v>3</v>
      </c>
      <c r="BH107" t="s">
        <v>3</v>
      </c>
      <c r="BI107" t="s">
        <v>3</v>
      </c>
      <c r="BJ107" t="s">
        <v>1941</v>
      </c>
      <c r="BK107" t="s">
        <v>3</v>
      </c>
      <c r="BL107" t="s">
        <v>132</v>
      </c>
      <c r="BM107" t="s">
        <v>1</v>
      </c>
      <c r="BN107">
        <f>Tabla1[[#This Row],[precio del paquete]]</f>
        <v>12900</v>
      </c>
      <c r="BO107" t="s">
        <v>1</v>
      </c>
      <c r="BP107" t="s">
        <v>1</v>
      </c>
      <c r="BQ107" t="s">
        <v>1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1</v>
      </c>
      <c r="CD107" t="str" cm="1">
        <f t="array" aca="1" ref="CD107" ca="1">eConcatenar(A107:CB107,"|")</f>
        <v>CQOliJuJ2UEpgyL5|PAR2019-2162|3|ECONOLINE|TABASCO|PARAISO|PARAISO|2019-08-15|12900|X|100|50|0|0|0|0|0|0|0|0|0|0|0|0|0|0|0|PEREZ|DOMINGUEZ|BARTOLO|SOLTERO|X|X|COLONIA SANTA CRUZ|RANCHERIA ALIBERTAD PRIMERA SECCION|X|X|X|X|X|COLONIA SANTA CRUZ|X|LUNES|X|X|X|X|X|DOMICILIO |5800|7100|x|x|x|2022-02-02|2022-02-09|x|x|x|x|x|ZGSYJGLZUXA73WJ|x|HOMBRE|X|12900|X|X|X|X|X|X|X|X|CARDENAS|X|X|X|X|X</v>
      </c>
    </row>
    <row r="108" spans="1:82" x14ac:dyDescent="0.25">
      <c r="A108" t="s">
        <v>242</v>
      </c>
      <c r="B108" t="s">
        <v>553</v>
      </c>
      <c r="C108">
        <v>3</v>
      </c>
      <c r="D108" t="s">
        <v>766</v>
      </c>
      <c r="E108" t="s">
        <v>1398</v>
      </c>
      <c r="F108" t="s">
        <v>770</v>
      </c>
      <c r="G108" t="s">
        <v>770</v>
      </c>
      <c r="H108" t="s">
        <v>846</v>
      </c>
      <c r="I108">
        <v>12900</v>
      </c>
      <c r="J108" t="s">
        <v>1</v>
      </c>
      <c r="K108">
        <v>400</v>
      </c>
      <c r="L108">
        <v>50</v>
      </c>
      <c r="M108">
        <v>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1266</v>
      </c>
      <c r="AC108" t="s">
        <v>1266</v>
      </c>
      <c r="AD108" s="18" t="s">
        <v>1067</v>
      </c>
      <c r="AE108" t="s">
        <v>4</v>
      </c>
      <c r="AF108" t="s">
        <v>1</v>
      </c>
      <c r="AG108" t="s">
        <v>1</v>
      </c>
      <c r="AH108" t="s">
        <v>1479</v>
      </c>
      <c r="AI108" t="s">
        <v>1737</v>
      </c>
      <c r="AJ108" t="s">
        <v>1</v>
      </c>
      <c r="AK108">
        <v>9331570536</v>
      </c>
      <c r="AL108" t="s">
        <v>1</v>
      </c>
      <c r="AM108" t="s">
        <v>1</v>
      </c>
      <c r="AN108" t="s">
        <v>1</v>
      </c>
      <c r="AO108" t="s">
        <v>1479</v>
      </c>
      <c r="AP108" t="s">
        <v>1</v>
      </c>
      <c r="AQ108" t="s">
        <v>2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11</v>
      </c>
      <c r="AX108">
        <f>Tabla1[[#This Row],[precio del paquete]]-Tabla1[[#This Row],[Saldo_Deudor]]</f>
        <v>5400</v>
      </c>
      <c r="AY108">
        <v>7500</v>
      </c>
      <c r="AZ108" t="s">
        <v>3</v>
      </c>
      <c r="BA108" t="s">
        <v>3</v>
      </c>
      <c r="BB108" t="s">
        <v>3</v>
      </c>
      <c r="BC108" t="s">
        <v>1850</v>
      </c>
      <c r="BD108" t="s">
        <v>1906</v>
      </c>
      <c r="BE108" t="s">
        <v>3</v>
      </c>
      <c r="BF108" t="s">
        <v>3</v>
      </c>
      <c r="BG108" t="s">
        <v>3</v>
      </c>
      <c r="BH108" t="s">
        <v>3</v>
      </c>
      <c r="BI108" t="s">
        <v>3</v>
      </c>
      <c r="BJ108" t="s">
        <v>1941</v>
      </c>
      <c r="BK108" t="s">
        <v>3</v>
      </c>
      <c r="BL108" t="s">
        <v>132</v>
      </c>
      <c r="BM108" t="s">
        <v>1</v>
      </c>
      <c r="BN108">
        <f>Tabla1[[#This Row],[precio del paquete]]</f>
        <v>12900</v>
      </c>
      <c r="BO108" t="s">
        <v>1</v>
      </c>
      <c r="BP108" t="s">
        <v>1</v>
      </c>
      <c r="BQ108" t="s">
        <v>1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1</v>
      </c>
      <c r="CD108" t="str" cm="1">
        <f t="array" aca="1" ref="CD108" ca="1">eConcatenar(A108:CB108,"|")</f>
        <v>hE2oSqPQh5kQ9tZL|PAR2020-3141|3|ECONOLINE|TABASCO|COMALCALCO|COMALCALCO|2020-11-30|12900|X|400|50|2|0|0|0|0|0|0|0|0|0|0|0|0|0|0|HERNANDEZ|HERNANDEZ|DANNY CRISTEL|SOLTERO|X|X|CARRETERA PRINCIPAL|RANCHERIA ZAPOTAL SEGUNDA SECCION|X|9331570536|X|X|X|CARRETERA PRINCIPAL|X|LUNES|X|X|X|X|X|DOMICILIO |5400|7500|x|x|x|2022-02-13|2022-02-20|x|x|x|x|x|ZGSYJGLZUXA73WJ|x|HOMBRE|X|12900|X|X|X|X|X|X|X|X|CARDENAS|X|X|X|X|X</v>
      </c>
    </row>
    <row r="109" spans="1:82" x14ac:dyDescent="0.25">
      <c r="A109" t="s">
        <v>243</v>
      </c>
      <c r="B109" t="s">
        <v>554</v>
      </c>
      <c r="C109">
        <v>3</v>
      </c>
      <c r="D109" t="s">
        <v>766</v>
      </c>
      <c r="E109" t="s">
        <v>1398</v>
      </c>
      <c r="F109" t="s">
        <v>771</v>
      </c>
      <c r="G109" t="s">
        <v>771</v>
      </c>
      <c r="H109" t="s">
        <v>847</v>
      </c>
      <c r="I109">
        <v>12900</v>
      </c>
      <c r="J109" t="s">
        <v>1</v>
      </c>
      <c r="K109">
        <v>100</v>
      </c>
      <c r="L109">
        <v>50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1265</v>
      </c>
      <c r="AC109" t="s">
        <v>1319</v>
      </c>
      <c r="AD109" s="18" t="s">
        <v>1068</v>
      </c>
      <c r="AE109" t="s">
        <v>4</v>
      </c>
      <c r="AF109" t="s">
        <v>1</v>
      </c>
      <c r="AG109" t="s">
        <v>1</v>
      </c>
      <c r="AH109" t="s">
        <v>1494</v>
      </c>
      <c r="AI109" t="s">
        <v>1731</v>
      </c>
      <c r="AJ109" t="s">
        <v>1</v>
      </c>
      <c r="AK109">
        <v>9331075081</v>
      </c>
      <c r="AL109" t="s">
        <v>1</v>
      </c>
      <c r="AM109" t="s">
        <v>1</v>
      </c>
      <c r="AN109" t="s">
        <v>1</v>
      </c>
      <c r="AO109" t="s">
        <v>1494</v>
      </c>
      <c r="AP109" t="s">
        <v>1</v>
      </c>
      <c r="AQ109" t="s">
        <v>2</v>
      </c>
      <c r="AR109" t="s">
        <v>1</v>
      </c>
      <c r="AS109" t="s">
        <v>1</v>
      </c>
      <c r="AT109" t="s">
        <v>1</v>
      </c>
      <c r="AU109" t="s">
        <v>1</v>
      </c>
      <c r="AV109" t="s">
        <v>1</v>
      </c>
      <c r="AW109" t="s">
        <v>11</v>
      </c>
      <c r="AX109">
        <f>Tabla1[[#This Row],[precio del paquete]]-Tabla1[[#This Row],[Saldo_Deudor]]</f>
        <v>6250</v>
      </c>
      <c r="AY109">
        <v>6650</v>
      </c>
      <c r="AZ109" t="s">
        <v>3</v>
      </c>
      <c r="BA109" t="s">
        <v>3</v>
      </c>
      <c r="BB109" t="s">
        <v>3</v>
      </c>
      <c r="BC109" t="s">
        <v>1851</v>
      </c>
      <c r="BD109" t="s">
        <v>1907</v>
      </c>
      <c r="BE109" t="s">
        <v>3</v>
      </c>
      <c r="BF109" t="s">
        <v>3</v>
      </c>
      <c r="BG109" t="s">
        <v>3</v>
      </c>
      <c r="BH109" t="s">
        <v>3</v>
      </c>
      <c r="BI109" t="s">
        <v>3</v>
      </c>
      <c r="BJ109" t="s">
        <v>1941</v>
      </c>
      <c r="BK109" t="s">
        <v>3</v>
      </c>
      <c r="BL109" t="s">
        <v>132</v>
      </c>
      <c r="BM109" t="s">
        <v>1</v>
      </c>
      <c r="BN109">
        <f>Tabla1[[#This Row],[precio del paquete]]</f>
        <v>12900</v>
      </c>
      <c r="BO109" t="s">
        <v>1</v>
      </c>
      <c r="BP109" t="s">
        <v>1</v>
      </c>
      <c r="BQ109" t="s">
        <v>1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1</v>
      </c>
      <c r="CD109" t="str" cm="1">
        <f t="array" aca="1" ref="CD109" ca="1">eConcatenar(A109:CB109,"|")</f>
        <v>9NxpRi4LzlgBPYgX|PAR2019-0510|3|ECONOLINE|TABASCO|PARAISO|PARAISO|2019-02-26|12900|X|100|50|0|0|0|0|0|0|0|0|0|0|0|0|0|0|0|DOMINGUEZ|MARQUEZ|MERLE|SOLTERO|X|X|CARRETERA COMALCALCO - PARAISO|RANCHERIA ORIENTE SEGUNDA SECCION|X|9331075081|X|X|X|CARRETERA COMALCALCO - PARAISO|X|LUNES|X|X|X|X|X|DOMICILIO |6250|6650|x|x|x|2021-04-09|2021-04-16|x|x|x|x|x|ZGSYJGLZUXA73WJ|x|HOMBRE|X|12900|X|X|X|X|X|X|X|X|CARDENAS|X|X|X|X|X</v>
      </c>
    </row>
    <row r="110" spans="1:82" x14ac:dyDescent="0.25">
      <c r="A110" t="s">
        <v>244</v>
      </c>
      <c r="B110" t="s">
        <v>555</v>
      </c>
      <c r="C110">
        <v>3</v>
      </c>
      <c r="D110" t="s">
        <v>766</v>
      </c>
      <c r="E110" t="s">
        <v>1398</v>
      </c>
      <c r="F110" t="s">
        <v>771</v>
      </c>
      <c r="G110" t="s">
        <v>771</v>
      </c>
      <c r="H110" t="s">
        <v>848</v>
      </c>
      <c r="I110">
        <v>12900</v>
      </c>
      <c r="J110" t="s">
        <v>1</v>
      </c>
      <c r="K110">
        <v>100</v>
      </c>
      <c r="L110">
        <v>50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1008</v>
      </c>
      <c r="AC110" t="s">
        <v>1271</v>
      </c>
      <c r="AD110" s="18" t="s">
        <v>992</v>
      </c>
      <c r="AE110" t="s">
        <v>4</v>
      </c>
      <c r="AF110" t="s">
        <v>1</v>
      </c>
      <c r="AG110" t="s">
        <v>1</v>
      </c>
      <c r="AH110" t="s">
        <v>1495</v>
      </c>
      <c r="AI110" t="s">
        <v>1738</v>
      </c>
      <c r="AJ110" t="s">
        <v>1</v>
      </c>
      <c r="AK110">
        <v>9331030051</v>
      </c>
      <c r="AL110" t="s">
        <v>1</v>
      </c>
      <c r="AM110" t="s">
        <v>1</v>
      </c>
      <c r="AN110" t="s">
        <v>1</v>
      </c>
      <c r="AO110" t="s">
        <v>1495</v>
      </c>
      <c r="AP110" t="s">
        <v>1</v>
      </c>
      <c r="AQ110" t="s">
        <v>2</v>
      </c>
      <c r="AR110" t="s">
        <v>1</v>
      </c>
      <c r="AS110" t="s">
        <v>1</v>
      </c>
      <c r="AT110" t="s">
        <v>1</v>
      </c>
      <c r="AU110" t="s">
        <v>1</v>
      </c>
      <c r="AV110" t="s">
        <v>1</v>
      </c>
      <c r="AW110" t="s">
        <v>11</v>
      </c>
      <c r="AX110">
        <f>Tabla1[[#This Row],[precio del paquete]]-Tabla1[[#This Row],[Saldo_Deudor]]</f>
        <v>2200</v>
      </c>
      <c r="AY110">
        <v>10700</v>
      </c>
      <c r="AZ110" t="s">
        <v>3</v>
      </c>
      <c r="BA110" t="s">
        <v>3</v>
      </c>
      <c r="BB110" t="s">
        <v>3</v>
      </c>
      <c r="BC110" t="s">
        <v>1852</v>
      </c>
      <c r="BD110" t="s">
        <v>809</v>
      </c>
      <c r="BE110" t="s">
        <v>3</v>
      </c>
      <c r="BF110" t="s">
        <v>3</v>
      </c>
      <c r="BG110" t="s">
        <v>3</v>
      </c>
      <c r="BH110" t="s">
        <v>3</v>
      </c>
      <c r="BI110" t="s">
        <v>3</v>
      </c>
      <c r="BJ110" t="s">
        <v>1941</v>
      </c>
      <c r="BK110" t="s">
        <v>3</v>
      </c>
      <c r="BL110" t="s">
        <v>132</v>
      </c>
      <c r="BM110" t="s">
        <v>1</v>
      </c>
      <c r="BN110">
        <f>Tabla1[[#This Row],[precio del paquete]]</f>
        <v>12900</v>
      </c>
      <c r="BO110" t="s">
        <v>1</v>
      </c>
      <c r="BP110" t="s">
        <v>1</v>
      </c>
      <c r="BQ110" t="s">
        <v>1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1</v>
      </c>
      <c r="CD110" t="str" cm="1">
        <f t="array" aca="1" ref="CD110" ca="1">eConcatenar(A110:CB110,"|")</f>
        <v>SIhRWVmM8WheovF1|PAR2019-2177|3|ECONOLINE|TABASCO|PARAISO|PARAISO|2019-08-16|12900|X|100|50|0|0|0|0|0|0|0|0|0|0|0|0|0|0|0|MANUEL|CHABLE|JOSE|SOLTERO|X|X|ENTRADA SANTA CRUZ ATRÃS DE LA IGLESIA|RANCHERIA LIBERTAD PRIMERA SECCION|X|9331030051|X|X|X|ENTRADA SANTA CRUZ ATRÃS DE LA IGLESIA|X|LUNES|X|X|X|X|X|DOMICILIO |2200|10700|x|x|x|2020-09-12|2020-09-19|x|x|x|x|x|ZGSYJGLZUXA73WJ|x|HOMBRE|X|12900|X|X|X|X|X|X|X|X|CARDENAS|X|X|X|X|X</v>
      </c>
    </row>
    <row r="111" spans="1:82" x14ac:dyDescent="0.25">
      <c r="A111" t="s">
        <v>245</v>
      </c>
      <c r="B111" t="s">
        <v>556</v>
      </c>
      <c r="C111">
        <v>3</v>
      </c>
      <c r="D111" t="s">
        <v>766</v>
      </c>
      <c r="E111" t="s">
        <v>1398</v>
      </c>
      <c r="F111" t="s">
        <v>770</v>
      </c>
      <c r="G111" t="s">
        <v>770</v>
      </c>
      <c r="H111" t="s">
        <v>849</v>
      </c>
      <c r="I111">
        <v>12900</v>
      </c>
      <c r="J111">
        <v>1650</v>
      </c>
      <c r="K111">
        <v>200</v>
      </c>
      <c r="L111">
        <v>50</v>
      </c>
      <c r="M111">
        <v>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1246</v>
      </c>
      <c r="AC111" t="s">
        <v>7</v>
      </c>
      <c r="AD111" s="18" t="s">
        <v>1053</v>
      </c>
      <c r="AE111" t="s">
        <v>4</v>
      </c>
      <c r="AF111" t="s">
        <v>1</v>
      </c>
      <c r="AG111" t="s">
        <v>1</v>
      </c>
      <c r="AH111" t="s">
        <v>1496</v>
      </c>
      <c r="AI111" t="s">
        <v>1737</v>
      </c>
      <c r="AJ111" t="s">
        <v>1</v>
      </c>
      <c r="AK111">
        <v>9332093251</v>
      </c>
      <c r="AL111" t="s">
        <v>1</v>
      </c>
      <c r="AM111" t="s">
        <v>1</v>
      </c>
      <c r="AN111" t="s">
        <v>1</v>
      </c>
      <c r="AO111" t="s">
        <v>1496</v>
      </c>
      <c r="AP111" t="s">
        <v>1</v>
      </c>
      <c r="AQ111" t="s">
        <v>2</v>
      </c>
      <c r="AR111" t="s">
        <v>1</v>
      </c>
      <c r="AS111" t="s">
        <v>1</v>
      </c>
      <c r="AT111" t="s">
        <v>1</v>
      </c>
      <c r="AU111" t="s">
        <v>1</v>
      </c>
      <c r="AV111" t="s">
        <v>1</v>
      </c>
      <c r="AW111" t="s">
        <v>11</v>
      </c>
      <c r="AX111">
        <f>Tabla1[[#This Row],[precio del paquete]]-Tabla1[[#This Row],[Saldo_Deudor]]</f>
        <v>2350</v>
      </c>
      <c r="AY111">
        <v>10550</v>
      </c>
      <c r="AZ111" t="s">
        <v>3</v>
      </c>
      <c r="BA111" t="s">
        <v>3</v>
      </c>
      <c r="BB111" t="s">
        <v>3</v>
      </c>
      <c r="BC111" t="s">
        <v>1853</v>
      </c>
      <c r="BD111" t="s">
        <v>829</v>
      </c>
      <c r="BE111" t="s">
        <v>3</v>
      </c>
      <c r="BF111" t="s">
        <v>3</v>
      </c>
      <c r="BG111" t="s">
        <v>3</v>
      </c>
      <c r="BH111" t="s">
        <v>3</v>
      </c>
      <c r="BI111" t="s">
        <v>3</v>
      </c>
      <c r="BJ111" t="s">
        <v>1941</v>
      </c>
      <c r="BK111" t="s">
        <v>3</v>
      </c>
      <c r="BL111" t="s">
        <v>132</v>
      </c>
      <c r="BM111" t="s">
        <v>1</v>
      </c>
      <c r="BN111">
        <f>Tabla1[[#This Row],[precio del paquete]]</f>
        <v>12900</v>
      </c>
      <c r="BO111" t="s">
        <v>1</v>
      </c>
      <c r="BP111" t="s">
        <v>1</v>
      </c>
      <c r="BQ111" t="s">
        <v>1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1</v>
      </c>
      <c r="CD111" t="str" cm="1">
        <f t="array" aca="1" ref="CD111" ca="1">eConcatenar(A111:CB111,"|")</f>
        <v>ASwUO4lQSqH8e6hb|COM2020-0957|3|ECONOLINE|TABASCO|COMALCALCO|COMALCALCO|2020-06-26|12900|1650|200|50|2|0|0|0|0|0|0|0|0|0|0|0|0|0|0|MORALES|LOPEZ|PEDRO|SOLTERO|X|X|CARRETERA A POTRERITOS|RANCHERIA ZAPOTAL SEGUNDA SECCION|X|9332093251|X|X|X|CARRETERA A POTRERITOS|X|LUNES|X|X|X|X|X|DOMICILIO |2350|10550|x|x|x|2020-06-30|2020-07-07|x|x|x|x|x|ZGSYJGLZUXA73WJ|x|HOMBRE|X|12900|X|X|X|X|X|X|X|X|CARDENAS|X|X|X|X|X</v>
      </c>
    </row>
    <row r="112" spans="1:82" x14ac:dyDescent="0.25">
      <c r="A112" t="s">
        <v>246</v>
      </c>
      <c r="B112" t="s">
        <v>557</v>
      </c>
      <c r="C112">
        <v>3</v>
      </c>
      <c r="D112" t="s">
        <v>766</v>
      </c>
      <c r="E112" t="s">
        <v>1398</v>
      </c>
      <c r="F112" t="s">
        <v>770</v>
      </c>
      <c r="G112" t="s">
        <v>770</v>
      </c>
      <c r="H112" t="s">
        <v>850</v>
      </c>
      <c r="I112">
        <v>12900</v>
      </c>
      <c r="J112" t="s">
        <v>1</v>
      </c>
      <c r="K112">
        <v>200</v>
      </c>
      <c r="L112">
        <v>50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1256</v>
      </c>
      <c r="AC112" t="s">
        <v>1266</v>
      </c>
      <c r="AD112" s="18" t="s">
        <v>1070</v>
      </c>
      <c r="AE112" t="s">
        <v>4</v>
      </c>
      <c r="AF112" t="s">
        <v>1</v>
      </c>
      <c r="AG112" t="s">
        <v>1</v>
      </c>
      <c r="AH112" t="s">
        <v>1497</v>
      </c>
      <c r="AI112" t="s">
        <v>1739</v>
      </c>
      <c r="AJ112" t="s">
        <v>1</v>
      </c>
      <c r="AK112" t="s">
        <v>1</v>
      </c>
      <c r="AL112" t="s">
        <v>1</v>
      </c>
      <c r="AM112" t="s">
        <v>1</v>
      </c>
      <c r="AN112" t="s">
        <v>1</v>
      </c>
      <c r="AO112" t="s">
        <v>1497</v>
      </c>
      <c r="AP112" t="s">
        <v>1</v>
      </c>
      <c r="AQ112" t="s">
        <v>2</v>
      </c>
      <c r="AR112" t="s">
        <v>1</v>
      </c>
      <c r="AS112" t="s">
        <v>1</v>
      </c>
      <c r="AT112" t="s">
        <v>1</v>
      </c>
      <c r="AU112" t="s">
        <v>1</v>
      </c>
      <c r="AV112" t="s">
        <v>1</v>
      </c>
      <c r="AW112" t="s">
        <v>11</v>
      </c>
      <c r="AX112">
        <f>Tabla1[[#This Row],[precio del paquete]]-Tabla1[[#This Row],[Saldo_Deudor]]</f>
        <v>6600</v>
      </c>
      <c r="AY112">
        <v>6300</v>
      </c>
      <c r="AZ112" t="s">
        <v>3</v>
      </c>
      <c r="BA112" t="s">
        <v>3</v>
      </c>
      <c r="BB112" t="s">
        <v>3</v>
      </c>
      <c r="BC112" t="s">
        <v>1854</v>
      </c>
      <c r="BD112" t="s">
        <v>1908</v>
      </c>
      <c r="BE112" t="s">
        <v>3</v>
      </c>
      <c r="BF112" t="s">
        <v>3</v>
      </c>
      <c r="BG112" t="s">
        <v>3</v>
      </c>
      <c r="BH112" t="s">
        <v>3</v>
      </c>
      <c r="BI112" t="s">
        <v>3</v>
      </c>
      <c r="BJ112" t="s">
        <v>1941</v>
      </c>
      <c r="BK112" t="s">
        <v>3</v>
      </c>
      <c r="BL112" t="s">
        <v>132</v>
      </c>
      <c r="BM112" t="s">
        <v>1</v>
      </c>
      <c r="BN112">
        <f>Tabla1[[#This Row],[precio del paquete]]</f>
        <v>12900</v>
      </c>
      <c r="BO112" t="s">
        <v>1</v>
      </c>
      <c r="BP112" t="s">
        <v>1</v>
      </c>
      <c r="BQ112" t="s">
        <v>1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1</v>
      </c>
      <c r="CD112" t="str" cm="1">
        <f t="array" aca="1" ref="CD112" ca="1">eConcatenar(A112:CB112,"|")</f>
        <v>JkFN3ujHjHwv7hqx|COM2017-3154|3|ECONOLINE|TABASCO|COMALCALCO|COMALCALCO|2017-05-05|12900|X|200|50|1|0|0|0|0|0|0|0|0|0|0|0|0|0|0|OLAN|HERNANDEZ|MARIA|SOLTERO|X|X|CARRETERA PARAISO COMALCALCO|RANCHERIA NORTE PRIMERA SECCION|X|X|X|X|X|CARRETERA PARAISO COMALCALCO|X|LUNES|X|X|X|X|X|DOMICILIO |6600|6300|x|x|x|2021-03-06|2021-03-13|x|x|x|x|x|ZGSYJGLZUXA73WJ|x|HOMBRE|X|12900|X|X|X|X|X|X|X|X|CARDENAS|X|X|X|X|X</v>
      </c>
    </row>
    <row r="113" spans="1:82" x14ac:dyDescent="0.25">
      <c r="A113" t="s">
        <v>247</v>
      </c>
      <c r="B113" t="s">
        <v>558</v>
      </c>
      <c r="C113">
        <v>3</v>
      </c>
      <c r="D113" t="s">
        <v>766</v>
      </c>
      <c r="E113" t="s">
        <v>1398</v>
      </c>
      <c r="F113" t="s">
        <v>770</v>
      </c>
      <c r="G113" t="s">
        <v>770</v>
      </c>
      <c r="H113" t="s">
        <v>851</v>
      </c>
      <c r="I113">
        <v>12900</v>
      </c>
      <c r="J113" t="s">
        <v>1</v>
      </c>
      <c r="K113">
        <v>200</v>
      </c>
      <c r="L113">
        <v>50</v>
      </c>
      <c r="M113">
        <v>1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1320</v>
      </c>
      <c r="AC113" t="s">
        <v>1236</v>
      </c>
      <c r="AD113" s="18" t="s">
        <v>1071</v>
      </c>
      <c r="AE113" t="s">
        <v>4</v>
      </c>
      <c r="AF113" t="s">
        <v>1</v>
      </c>
      <c r="AG113" t="s">
        <v>1</v>
      </c>
      <c r="AH113" t="s">
        <v>1498</v>
      </c>
      <c r="AI113" t="s">
        <v>1740</v>
      </c>
      <c r="AJ113" t="s">
        <v>1</v>
      </c>
      <c r="AK113">
        <v>9331052670</v>
      </c>
      <c r="AL113" t="s">
        <v>1</v>
      </c>
      <c r="AM113" t="s">
        <v>1</v>
      </c>
      <c r="AN113" t="s">
        <v>1</v>
      </c>
      <c r="AO113" t="s">
        <v>1498</v>
      </c>
      <c r="AP113" t="s">
        <v>1</v>
      </c>
      <c r="AQ113" t="s">
        <v>2</v>
      </c>
      <c r="AR113" t="s">
        <v>1</v>
      </c>
      <c r="AS113" t="s">
        <v>1</v>
      </c>
      <c r="AT113" t="s">
        <v>1</v>
      </c>
      <c r="AU113" t="s">
        <v>1</v>
      </c>
      <c r="AV113" t="s">
        <v>1</v>
      </c>
      <c r="AW113" t="s">
        <v>11</v>
      </c>
      <c r="AX113">
        <f>Tabla1[[#This Row],[precio del paquete]]-Tabla1[[#This Row],[Saldo_Deudor]]</f>
        <v>1700</v>
      </c>
      <c r="AY113">
        <v>11200</v>
      </c>
      <c r="AZ113" t="s">
        <v>3</v>
      </c>
      <c r="BA113" t="s">
        <v>3</v>
      </c>
      <c r="BB113" t="s">
        <v>3</v>
      </c>
      <c r="BC113" t="s">
        <v>1846</v>
      </c>
      <c r="BD113" t="s">
        <v>959</v>
      </c>
      <c r="BE113" t="s">
        <v>3</v>
      </c>
      <c r="BF113" t="s">
        <v>3</v>
      </c>
      <c r="BG113" t="s">
        <v>3</v>
      </c>
      <c r="BH113" t="s">
        <v>3</v>
      </c>
      <c r="BI113" t="s">
        <v>3</v>
      </c>
      <c r="BJ113" t="s">
        <v>1941</v>
      </c>
      <c r="BK113" t="s">
        <v>3</v>
      </c>
      <c r="BL113" t="s">
        <v>132</v>
      </c>
      <c r="BM113" t="s">
        <v>1</v>
      </c>
      <c r="BN113">
        <f>Tabla1[[#This Row],[precio del paquete]]</f>
        <v>12900</v>
      </c>
      <c r="BO113" t="s">
        <v>1</v>
      </c>
      <c r="BP113" t="s">
        <v>1</v>
      </c>
      <c r="BQ113" t="s">
        <v>1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1</v>
      </c>
      <c r="CD113" t="str" cm="1">
        <f t="array" aca="1" ref="CD113" ca="1">eConcatenar(A113:CB113,"|")</f>
        <v>vHLh7yQz2QEyrLEC|COM2020-0307|3|ECONOLINE|TABASCO|COMALCALCO|COMALCALCO|2020-01-21|12900|X|200|50|1|0|0|0|0|0|0|0|0|0|0|0|0|0|0|DANTORIE|DE LOS SANTOS|PATRICIA DEL CARMEN|SOLTERO|X|X|CARRETERA FEDERAL A PARAISO SIN NUMERO|RANCHERIA NORTE SEGUNDA SECCION|X|9331052670|X|X|X|CARRETERA FEDERAL A PARAISO SIN NUMERO|X|LUNES|X|X|X|X|X|DOMICILIO |1700|11200|x|x|x|2021-12-16|2021-12-23|x|x|x|x|x|ZGSYJGLZUXA73WJ|x|HOMBRE|X|12900|X|X|X|X|X|X|X|X|CARDENAS|X|X|X|X|X</v>
      </c>
    </row>
    <row r="114" spans="1:82" x14ac:dyDescent="0.25">
      <c r="A114" t="s">
        <v>248</v>
      </c>
      <c r="B114" t="s">
        <v>559</v>
      </c>
      <c r="C114">
        <v>3</v>
      </c>
      <c r="D114" t="s">
        <v>766</v>
      </c>
      <c r="E114" t="s">
        <v>1398</v>
      </c>
      <c r="F114" t="s">
        <v>770</v>
      </c>
      <c r="G114" t="s">
        <v>770</v>
      </c>
      <c r="H114" t="s">
        <v>848</v>
      </c>
      <c r="I114">
        <v>12900</v>
      </c>
      <c r="J114" t="s">
        <v>1</v>
      </c>
      <c r="K114">
        <v>200</v>
      </c>
      <c r="L114">
        <v>50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1288</v>
      </c>
      <c r="AC114" t="s">
        <v>1248</v>
      </c>
      <c r="AD114" s="18" t="s">
        <v>1072</v>
      </c>
      <c r="AE114" t="s">
        <v>4</v>
      </c>
      <c r="AF114" t="s">
        <v>1</v>
      </c>
      <c r="AG114" t="s">
        <v>1</v>
      </c>
      <c r="AH114" t="s">
        <v>1494</v>
      </c>
      <c r="AI114" t="s">
        <v>1740</v>
      </c>
      <c r="AJ114" t="s">
        <v>1</v>
      </c>
      <c r="AK114">
        <v>9331634511</v>
      </c>
      <c r="AL114" t="s">
        <v>1</v>
      </c>
      <c r="AM114" t="s">
        <v>1</v>
      </c>
      <c r="AN114" t="s">
        <v>1</v>
      </c>
      <c r="AO114" t="s">
        <v>1494</v>
      </c>
      <c r="AP114" t="s">
        <v>1</v>
      </c>
      <c r="AQ114" t="s">
        <v>2</v>
      </c>
      <c r="AR114" t="s">
        <v>1</v>
      </c>
      <c r="AS114" t="s">
        <v>1</v>
      </c>
      <c r="AT114" t="s">
        <v>1</v>
      </c>
      <c r="AU114" t="s">
        <v>1</v>
      </c>
      <c r="AV114" t="s">
        <v>1</v>
      </c>
      <c r="AW114" t="s">
        <v>11</v>
      </c>
      <c r="AX114">
        <f>Tabla1[[#This Row],[precio del paquete]]-Tabla1[[#This Row],[Saldo_Deudor]]</f>
        <v>4600</v>
      </c>
      <c r="AY114">
        <v>8300</v>
      </c>
      <c r="AZ114" t="s">
        <v>3</v>
      </c>
      <c r="BA114" t="s">
        <v>3</v>
      </c>
      <c r="BB114" t="s">
        <v>3</v>
      </c>
      <c r="BC114" t="s">
        <v>1855</v>
      </c>
      <c r="BD114" t="s">
        <v>1909</v>
      </c>
      <c r="BE114" t="s">
        <v>3</v>
      </c>
      <c r="BF114" t="s">
        <v>3</v>
      </c>
      <c r="BG114" t="s">
        <v>3</v>
      </c>
      <c r="BH114" t="s">
        <v>3</v>
      </c>
      <c r="BI114" t="s">
        <v>3</v>
      </c>
      <c r="BJ114" t="s">
        <v>1941</v>
      </c>
      <c r="BK114" t="s">
        <v>3</v>
      </c>
      <c r="BL114" t="s">
        <v>132</v>
      </c>
      <c r="BM114" t="s">
        <v>1</v>
      </c>
      <c r="BN114">
        <f>Tabla1[[#This Row],[precio del paquete]]</f>
        <v>12900</v>
      </c>
      <c r="BO114" t="s">
        <v>1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1</v>
      </c>
      <c r="CD114" t="str" cm="1">
        <f t="array" aca="1" ref="CD114" ca="1">eConcatenar(A114:CB114,"|")</f>
        <v>XUJFqHcZYu1L7DQc|COM2019-2179|3|ECONOLINE|TABASCO|COMALCALCO|COMALCALCO|2019-08-16|12900|X|200|50|1|0|0|0|0|0|0|0|0|0|0|0|0|0|0|ROMERO|PEREZ|EVERARDO|SOLTERO|X|X|CARRETERA COMALCALCO - PARAISO|RANCHERIA NORTE SEGUNDA SECCION|X|9331634511|X|X|X|CARRETERA COMALCALCO - PARAISO|X|LUNES|X|X|X|X|X|DOMICILIO |4600|8300|x|x|x|2021-04-21|2021-04-28|x|x|x|x|x|ZGSYJGLZUXA73WJ|x|HOMBRE|X|12900|X|X|X|X|X|X|X|X|CARDENAS|X|X|X|X|X</v>
      </c>
    </row>
    <row r="115" spans="1:82" x14ac:dyDescent="0.25">
      <c r="A115" t="s">
        <v>249</v>
      </c>
      <c r="B115" t="s">
        <v>560</v>
      </c>
      <c r="C115">
        <v>3</v>
      </c>
      <c r="D115" t="s">
        <v>761</v>
      </c>
      <c r="E115" t="s">
        <v>1398</v>
      </c>
      <c r="F115" t="s">
        <v>770</v>
      </c>
      <c r="G115" t="s">
        <v>770</v>
      </c>
      <c r="H115" t="s">
        <v>852</v>
      </c>
      <c r="I115">
        <v>14800</v>
      </c>
      <c r="J115" t="s">
        <v>1</v>
      </c>
      <c r="K115">
        <v>200</v>
      </c>
      <c r="L115">
        <v>50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1255</v>
      </c>
      <c r="AC115" t="s">
        <v>1276</v>
      </c>
      <c r="AD115" s="18" t="s">
        <v>1073</v>
      </c>
      <c r="AE115" t="s">
        <v>4</v>
      </c>
      <c r="AF115" t="s">
        <v>1</v>
      </c>
      <c r="AG115" t="s">
        <v>1</v>
      </c>
      <c r="AH115" t="s">
        <v>1488</v>
      </c>
      <c r="AI115" t="s">
        <v>1741</v>
      </c>
      <c r="AJ115" t="s">
        <v>1</v>
      </c>
      <c r="AK115" t="s">
        <v>1</v>
      </c>
      <c r="AL115" t="s">
        <v>1</v>
      </c>
      <c r="AM115" t="s">
        <v>1</v>
      </c>
      <c r="AN115" t="s">
        <v>1</v>
      </c>
      <c r="AO115" t="s">
        <v>1488</v>
      </c>
      <c r="AP115" t="s">
        <v>1</v>
      </c>
      <c r="AQ115" t="s">
        <v>2</v>
      </c>
      <c r="AR115" t="s">
        <v>1</v>
      </c>
      <c r="AS115" t="s">
        <v>1</v>
      </c>
      <c r="AT115" t="s">
        <v>1</v>
      </c>
      <c r="AU115" t="s">
        <v>1</v>
      </c>
      <c r="AV115" t="s">
        <v>1</v>
      </c>
      <c r="AW115" t="s">
        <v>11</v>
      </c>
      <c r="AX115">
        <f>Tabla1[[#This Row],[precio del paquete]]-Tabla1[[#This Row],[Saldo_Deudor]]</f>
        <v>2800</v>
      </c>
      <c r="AY115">
        <v>12000</v>
      </c>
      <c r="AZ115" t="s">
        <v>3</v>
      </c>
      <c r="BA115" t="s">
        <v>3</v>
      </c>
      <c r="BB115" t="s">
        <v>3</v>
      </c>
      <c r="BC115" t="s">
        <v>1856</v>
      </c>
      <c r="BD115" t="s">
        <v>1910</v>
      </c>
      <c r="BE115" t="s">
        <v>3</v>
      </c>
      <c r="BF115" t="s">
        <v>3</v>
      </c>
      <c r="BG115" t="s">
        <v>3</v>
      </c>
      <c r="BH115" t="s">
        <v>3</v>
      </c>
      <c r="BI115" t="s">
        <v>3</v>
      </c>
      <c r="BJ115" t="s">
        <v>1941</v>
      </c>
      <c r="BK115" t="s">
        <v>3</v>
      </c>
      <c r="BL115" t="s">
        <v>132</v>
      </c>
      <c r="BM115" t="s">
        <v>1</v>
      </c>
      <c r="BN115">
        <f>Tabla1[[#This Row],[precio del paquete]]</f>
        <v>14800</v>
      </c>
      <c r="BO115" t="s">
        <v>1</v>
      </c>
      <c r="BP115" t="s">
        <v>1</v>
      </c>
      <c r="BQ115" t="s">
        <v>1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1</v>
      </c>
      <c r="CD115" t="str" cm="1">
        <f t="array" aca="1" ref="CD115" ca="1">eConcatenar(A115:CB115,"|")</f>
        <v>sPhCCQYolsNGeveP|COM2020-1550|3|MEMORIAL|TABASCO|COMALCALCO|COMALCALCO|2020-08-08|14800|X|200|50|1|0|0|0|0|0|0|0|0|0|0|0|0|0|0|CORDOVA|MARTINEZ|ADELAIDA|SOLTERO|X|X|CARRETERA PRINCIPAL SIN NUMERO |RANCHERIA GREGORIO MENDEZ|X|X|X|X|X|CARRETERA PRINCIPAL SIN NUMERO |X|LUNES|X|X|X|X|X|DOMICILIO |2800|12000|x|x|x|2020-01-10|2020-01-17|x|x|x|x|x|ZGSYJGLZUXA73WJ|x|HOMBRE|X|14800|X|X|X|X|X|X|X|X|CARDENAS|X|X|X|X|X</v>
      </c>
    </row>
    <row r="116" spans="1:82" x14ac:dyDescent="0.25">
      <c r="A116" t="s">
        <v>250</v>
      </c>
      <c r="B116" t="s">
        <v>561</v>
      </c>
      <c r="C116">
        <v>3</v>
      </c>
      <c r="D116" t="s">
        <v>766</v>
      </c>
      <c r="E116" t="s">
        <v>1398</v>
      </c>
      <c r="F116" t="s">
        <v>771</v>
      </c>
      <c r="G116" t="s">
        <v>771</v>
      </c>
      <c r="H116" t="s">
        <v>853</v>
      </c>
      <c r="I116">
        <v>12900</v>
      </c>
      <c r="J116" t="s">
        <v>1</v>
      </c>
      <c r="K116">
        <v>200</v>
      </c>
      <c r="L116">
        <v>50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1266</v>
      </c>
      <c r="AC116" t="s">
        <v>1255</v>
      </c>
      <c r="AD116" s="18" t="s">
        <v>1074</v>
      </c>
      <c r="AE116" t="s">
        <v>4</v>
      </c>
      <c r="AF116" t="s">
        <v>1</v>
      </c>
      <c r="AG116" t="s">
        <v>1</v>
      </c>
      <c r="AH116" t="s">
        <v>1499</v>
      </c>
      <c r="AI116" t="s">
        <v>1742</v>
      </c>
      <c r="AJ116" t="s">
        <v>1</v>
      </c>
      <c r="AK116">
        <v>9331248820</v>
      </c>
      <c r="AL116" t="s">
        <v>1</v>
      </c>
      <c r="AM116" t="s">
        <v>1</v>
      </c>
      <c r="AN116" t="s">
        <v>1</v>
      </c>
      <c r="AO116" t="s">
        <v>1499</v>
      </c>
      <c r="AP116" t="s">
        <v>1</v>
      </c>
      <c r="AQ116" t="s">
        <v>2</v>
      </c>
      <c r="AR116" t="s">
        <v>1</v>
      </c>
      <c r="AS116" t="s">
        <v>1</v>
      </c>
      <c r="AT116" t="s">
        <v>1</v>
      </c>
      <c r="AU116" t="s">
        <v>1</v>
      </c>
      <c r="AV116" t="s">
        <v>1</v>
      </c>
      <c r="AW116" t="s">
        <v>11</v>
      </c>
      <c r="AX116">
        <f>Tabla1[[#This Row],[precio del paquete]]-Tabla1[[#This Row],[Saldo_Deudor]]</f>
        <v>400</v>
      </c>
      <c r="AY116">
        <v>12500</v>
      </c>
      <c r="AZ116" t="s">
        <v>3</v>
      </c>
      <c r="BA116" t="s">
        <v>3</v>
      </c>
      <c r="BB116" t="s">
        <v>3</v>
      </c>
      <c r="BC116" t="s">
        <v>1835</v>
      </c>
      <c r="BD116" t="s">
        <v>1880</v>
      </c>
      <c r="BE116" t="s">
        <v>3</v>
      </c>
      <c r="BF116" t="s">
        <v>3</v>
      </c>
      <c r="BG116" t="s">
        <v>3</v>
      </c>
      <c r="BH116" t="s">
        <v>3</v>
      </c>
      <c r="BI116" t="s">
        <v>3</v>
      </c>
      <c r="BJ116" t="s">
        <v>1941</v>
      </c>
      <c r="BK116" t="s">
        <v>3</v>
      </c>
      <c r="BL116" t="s">
        <v>132</v>
      </c>
      <c r="BM116" t="s">
        <v>1</v>
      </c>
      <c r="BN116">
        <f>Tabla1[[#This Row],[precio del paquete]]</f>
        <v>12900</v>
      </c>
      <c r="BO116" t="s">
        <v>1</v>
      </c>
      <c r="BP116" t="s">
        <v>1</v>
      </c>
      <c r="BQ116" t="s">
        <v>1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1</v>
      </c>
      <c r="CD116" t="str" cm="1">
        <f t="array" aca="1" ref="CD116" ca="1">eConcatenar(A116:CB116,"|")</f>
        <v>tFbSsNLZBm8qpvGN|PAR2020-3196|3|ECONOLINE|TABASCO|PARAISO|PARAISO|2020-08-12|12900|X|200|50|1|0|0|0|0|0|0|0|0|0|0|0|0|0|0|HERNANDEZ|CORDOVA|ANTONIO|SOLTERO|X|X|CARRETERA A SAN FRANCISCO|RANCHERIA MOCTEZUMA TERCERA SECCION|X|9331248820|X|X|X|CARRETERA A SAN FRANCISCO|X|LUNES|X|X|X|X|X|DOMICILIO |400|12500|x|x|x|2022-05-02|2022-05-09|x|x|x|x|x|ZGSYJGLZUXA73WJ|x|HOMBRE|X|12900|X|X|X|X|X|X|X|X|CARDENAS|X|X|X|X|X</v>
      </c>
    </row>
    <row r="117" spans="1:82" x14ac:dyDescent="0.25">
      <c r="A117" t="s">
        <v>251</v>
      </c>
      <c r="B117" t="s">
        <v>562</v>
      </c>
      <c r="C117">
        <v>3</v>
      </c>
      <c r="D117" t="s">
        <v>766</v>
      </c>
      <c r="E117" t="s">
        <v>1398</v>
      </c>
      <c r="F117" t="s">
        <v>770</v>
      </c>
      <c r="G117" t="s">
        <v>770</v>
      </c>
      <c r="H117" t="s">
        <v>854</v>
      </c>
      <c r="I117">
        <v>12900</v>
      </c>
      <c r="J117" t="s">
        <v>1</v>
      </c>
      <c r="K117">
        <v>200</v>
      </c>
      <c r="L117">
        <v>50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1266</v>
      </c>
      <c r="AC117" t="s">
        <v>1321</v>
      </c>
      <c r="AD117" s="18" t="s">
        <v>1075</v>
      </c>
      <c r="AE117" t="s">
        <v>4</v>
      </c>
      <c r="AF117" t="s">
        <v>1</v>
      </c>
      <c r="AG117" t="s">
        <v>1</v>
      </c>
      <c r="AH117" t="s">
        <v>1479</v>
      </c>
      <c r="AI117" t="s">
        <v>1730</v>
      </c>
      <c r="AJ117" t="s">
        <v>1</v>
      </c>
      <c r="AK117">
        <v>9331225992</v>
      </c>
      <c r="AL117" t="s">
        <v>1</v>
      </c>
      <c r="AM117" t="s">
        <v>1</v>
      </c>
      <c r="AN117" t="s">
        <v>1</v>
      </c>
      <c r="AO117" t="s">
        <v>1479</v>
      </c>
      <c r="AP117" t="s">
        <v>1</v>
      </c>
      <c r="AQ117" t="s">
        <v>2</v>
      </c>
      <c r="AR117" t="s">
        <v>1</v>
      </c>
      <c r="AS117" t="s">
        <v>1</v>
      </c>
      <c r="AT117" t="s">
        <v>1</v>
      </c>
      <c r="AU117" t="s">
        <v>1</v>
      </c>
      <c r="AV117" t="s">
        <v>1</v>
      </c>
      <c r="AW117" t="s">
        <v>11</v>
      </c>
      <c r="AX117">
        <f>Tabla1[[#This Row],[precio del paquete]]-Tabla1[[#This Row],[Saldo_Deudor]]</f>
        <v>8700</v>
      </c>
      <c r="AY117">
        <v>4200</v>
      </c>
      <c r="AZ117" t="s">
        <v>3</v>
      </c>
      <c r="BA117" t="s">
        <v>3</v>
      </c>
      <c r="BB117" t="s">
        <v>3</v>
      </c>
      <c r="BC117" t="s">
        <v>797</v>
      </c>
      <c r="BD117" t="s">
        <v>1901</v>
      </c>
      <c r="BE117" t="s">
        <v>3</v>
      </c>
      <c r="BF117" t="s">
        <v>3</v>
      </c>
      <c r="BG117" t="s">
        <v>3</v>
      </c>
      <c r="BH117" t="s">
        <v>3</v>
      </c>
      <c r="BI117" t="s">
        <v>3</v>
      </c>
      <c r="BJ117" t="s">
        <v>1941</v>
      </c>
      <c r="BK117" t="s">
        <v>3</v>
      </c>
      <c r="BL117" t="s">
        <v>132</v>
      </c>
      <c r="BM117" t="s">
        <v>1</v>
      </c>
      <c r="BN117">
        <f>Tabla1[[#This Row],[precio del paquete]]</f>
        <v>12900</v>
      </c>
      <c r="BO117" t="s">
        <v>1</v>
      </c>
      <c r="BP117" t="s">
        <v>1</v>
      </c>
      <c r="BQ117" t="s">
        <v>1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1</v>
      </c>
      <c r="CD117" t="str" cm="1">
        <f t="array" aca="1" ref="CD117" ca="1">eConcatenar(A117:CB117,"|")</f>
        <v>bSYWgTswQ5meHjDS|COM2019-2836|3|ECONOLINE|TABASCO|COMALCALCO|COMALCALCO|2019-10-10|12900|X|200|50|1|0|0|0|0|0|0|0|0|0|0|0|0|0|0|HERNANDEZ|PEREGRINO|MARIA CELIA|SOLTERO|X|X|CARRETERA PRINCIPAL|RANCHERIA ZAPOTAL PRIMERA SECCION|X|9331225992|X|X|X|CARRETERA PRINCIPAL|X|LUNES|X|X|X|X|X|DOMICILIO |8700|4200|x|x|x|2022-01-20|2022-01-27|x|x|x|x|x|ZGSYJGLZUXA73WJ|x|HOMBRE|X|12900|X|X|X|X|X|X|X|X|CARDENAS|X|X|X|X|X</v>
      </c>
    </row>
    <row r="118" spans="1:82" x14ac:dyDescent="0.25">
      <c r="A118" t="s">
        <v>252</v>
      </c>
      <c r="B118" t="s">
        <v>563</v>
      </c>
      <c r="C118">
        <v>3</v>
      </c>
      <c r="D118" t="s">
        <v>766</v>
      </c>
      <c r="E118" t="s">
        <v>1398</v>
      </c>
      <c r="F118" t="s">
        <v>770</v>
      </c>
      <c r="G118" t="s">
        <v>770</v>
      </c>
      <c r="H118" t="s">
        <v>855</v>
      </c>
      <c r="I118">
        <v>12900</v>
      </c>
      <c r="J118" t="s">
        <v>1</v>
      </c>
      <c r="K118">
        <v>200</v>
      </c>
      <c r="L118">
        <v>50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1078</v>
      </c>
      <c r="AC118" t="s">
        <v>1264</v>
      </c>
      <c r="AD118" s="18" t="s">
        <v>1076</v>
      </c>
      <c r="AE118" t="s">
        <v>4</v>
      </c>
      <c r="AF118" t="s">
        <v>1</v>
      </c>
      <c r="AG118" t="s">
        <v>1</v>
      </c>
      <c r="AH118" t="s">
        <v>1500</v>
      </c>
      <c r="AI118" t="s">
        <v>1743</v>
      </c>
      <c r="AJ118" t="s">
        <v>1</v>
      </c>
      <c r="AK118">
        <v>9333033583</v>
      </c>
      <c r="AL118" t="s">
        <v>1</v>
      </c>
      <c r="AM118" t="s">
        <v>1</v>
      </c>
      <c r="AN118" t="s">
        <v>1</v>
      </c>
      <c r="AO118" t="s">
        <v>1500</v>
      </c>
      <c r="AP118" t="s">
        <v>1</v>
      </c>
      <c r="AQ118" t="s">
        <v>2</v>
      </c>
      <c r="AR118" t="s">
        <v>1</v>
      </c>
      <c r="AS118" t="s">
        <v>1</v>
      </c>
      <c r="AT118" t="s">
        <v>1</v>
      </c>
      <c r="AU118" t="s">
        <v>1</v>
      </c>
      <c r="AV118" t="s">
        <v>1</v>
      </c>
      <c r="AW118" t="s">
        <v>11</v>
      </c>
      <c r="AX118">
        <f>Tabla1[[#This Row],[precio del paquete]]-Tabla1[[#This Row],[Saldo_Deudor]]</f>
        <v>6800</v>
      </c>
      <c r="AY118">
        <v>6100</v>
      </c>
      <c r="AZ118" t="s">
        <v>3</v>
      </c>
      <c r="BA118" t="s">
        <v>3</v>
      </c>
      <c r="BB118" t="s">
        <v>3</v>
      </c>
      <c r="BC118" t="s">
        <v>1838</v>
      </c>
      <c r="BD118" t="s">
        <v>1884</v>
      </c>
      <c r="BE118" t="s">
        <v>3</v>
      </c>
      <c r="BF118" t="s">
        <v>3</v>
      </c>
      <c r="BG118" t="s">
        <v>3</v>
      </c>
      <c r="BH118" t="s">
        <v>3</v>
      </c>
      <c r="BI118" t="s">
        <v>3</v>
      </c>
      <c r="BJ118" t="s">
        <v>1941</v>
      </c>
      <c r="BK118" t="s">
        <v>3</v>
      </c>
      <c r="BL118" t="s">
        <v>132</v>
      </c>
      <c r="BM118" t="s">
        <v>1</v>
      </c>
      <c r="BN118">
        <f>Tabla1[[#This Row],[precio del paquete]]</f>
        <v>12900</v>
      </c>
      <c r="BO118" t="s">
        <v>1</v>
      </c>
      <c r="BP118" t="s">
        <v>1</v>
      </c>
      <c r="BQ118" t="s">
        <v>1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1</v>
      </c>
      <c r="CD118" t="str" cm="1">
        <f t="array" aca="1" ref="CD118" ca="1">eConcatenar(A118:CB118,"|")</f>
        <v>ZUODHOUXzOetjarX|COM2019-3080|3|ECONOLINE|TABASCO|COMALCALCO|COMALCALCO|2019-11-14|12900|X|200|50|1|0|0|0|0|0|0|0|0|0|0|0|0|0|0|JAVIER|FLORES|LUCIA|SOLTERO|X|X|ENFRENTE DE LA IGLESIA SAN ANTONIO DE PADUA|RANCHERIA MOCTEZUMA SEGUNDA SECCION|X|9333033583|X|X|X|ENFRENTE DE LA IGLESIA SAN ANTONIO DE PADUA|X|LUNES|X|X|X|X|X|DOMICILIO |6800|6100|x|x|x|2022-06-01|2022-06-08|x|x|x|x|x|ZGSYJGLZUXA73WJ|x|HOMBRE|X|12900|X|X|X|X|X|X|X|X|CARDENAS|X|X|X|X|X</v>
      </c>
    </row>
    <row r="119" spans="1:82" x14ac:dyDescent="0.25">
      <c r="A119" t="s">
        <v>253</v>
      </c>
      <c r="B119" t="s">
        <v>564</v>
      </c>
      <c r="C119">
        <v>3</v>
      </c>
      <c r="D119" t="s">
        <v>763</v>
      </c>
      <c r="E119" t="s">
        <v>1398</v>
      </c>
      <c r="F119" t="s">
        <v>771</v>
      </c>
      <c r="G119" t="s">
        <v>771</v>
      </c>
      <c r="H119" t="s">
        <v>856</v>
      </c>
      <c r="I119">
        <v>12900</v>
      </c>
      <c r="J119" t="s">
        <v>1</v>
      </c>
      <c r="K119">
        <v>200</v>
      </c>
      <c r="L119">
        <v>50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1266</v>
      </c>
      <c r="AC119" t="s">
        <v>1267</v>
      </c>
      <c r="AD119" s="18" t="s">
        <v>1077</v>
      </c>
      <c r="AE119" t="s">
        <v>4</v>
      </c>
      <c r="AF119" t="s">
        <v>1</v>
      </c>
      <c r="AG119" t="s">
        <v>1</v>
      </c>
      <c r="AH119" t="s">
        <v>1501</v>
      </c>
      <c r="AI119" t="s">
        <v>1738</v>
      </c>
      <c r="AJ119" t="s">
        <v>1</v>
      </c>
      <c r="AK119">
        <v>9331024549</v>
      </c>
      <c r="AL119" t="s">
        <v>1</v>
      </c>
      <c r="AM119" t="s">
        <v>1</v>
      </c>
      <c r="AN119" t="s">
        <v>1</v>
      </c>
      <c r="AO119" t="s">
        <v>1501</v>
      </c>
      <c r="AP119" t="s">
        <v>1</v>
      </c>
      <c r="AQ119" t="s">
        <v>2</v>
      </c>
      <c r="AR119" t="s">
        <v>1</v>
      </c>
      <c r="AS119" t="s">
        <v>1</v>
      </c>
      <c r="AT119" t="s">
        <v>1</v>
      </c>
      <c r="AU119" t="s">
        <v>1</v>
      </c>
      <c r="AV119" t="s">
        <v>1</v>
      </c>
      <c r="AW119" t="s">
        <v>11</v>
      </c>
      <c r="AX119">
        <f>Tabla1[[#This Row],[precio del paquete]]-Tabla1[[#This Row],[Saldo_Deudor]]</f>
        <v>8650</v>
      </c>
      <c r="AY119">
        <v>4250</v>
      </c>
      <c r="AZ119" t="s">
        <v>3</v>
      </c>
      <c r="BA119" t="s">
        <v>3</v>
      </c>
      <c r="BB119" t="s">
        <v>3</v>
      </c>
      <c r="BC119" t="s">
        <v>774</v>
      </c>
      <c r="BD119" t="s">
        <v>1881</v>
      </c>
      <c r="BE119" t="s">
        <v>3</v>
      </c>
      <c r="BF119" t="s">
        <v>3</v>
      </c>
      <c r="BG119" t="s">
        <v>3</v>
      </c>
      <c r="BH119" t="s">
        <v>3</v>
      </c>
      <c r="BI119" t="s">
        <v>3</v>
      </c>
      <c r="BJ119" t="s">
        <v>1941</v>
      </c>
      <c r="BK119" t="s">
        <v>3</v>
      </c>
      <c r="BL119" t="s">
        <v>132</v>
      </c>
      <c r="BM119" t="s">
        <v>1</v>
      </c>
      <c r="BN119">
        <f>Tabla1[[#This Row],[precio del paquete]]</f>
        <v>12900</v>
      </c>
      <c r="BO119" t="s">
        <v>1</v>
      </c>
      <c r="BP119" t="s">
        <v>1</v>
      </c>
      <c r="BQ119" t="s">
        <v>1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1</v>
      </c>
      <c r="CD119" t="str" cm="1">
        <f t="array" aca="1" ref="CD119" ca="1">eConcatenar(A119:CB119,"|")</f>
        <v>e6dosguA447AvSu0|PAR2020-0559|3|IMPERIAL DE LUJO|TABASCO|PARAISO|PARAISO|2020-05-03|12900|X|200|50|1|0|0|0|0|0|0|0|0|0|0|0|0|0|0|HERNANDEZ|JIMENEZ|WILFRIDA|SOLTERO|X|X|ENTRADA DE LA DEPORTIVA|RANCHERIA LIBERTAD PRIMERA SECCION|X|9331024549|X|X|X|ENTRADA DE LA DEPORTIVA|X|LUNES|X|X|X|X|X|DOMICILIO |8650|4250|x|x|x|2022-02-02|2022-02-09|x|x|x|x|x|ZGSYJGLZUXA73WJ|x|HOMBRE|X|12900|X|X|X|X|X|X|X|X|CARDENAS|X|X|X|X|X</v>
      </c>
    </row>
    <row r="120" spans="1:82" x14ac:dyDescent="0.25">
      <c r="A120" t="s">
        <v>254</v>
      </c>
      <c r="B120" t="s">
        <v>565</v>
      </c>
      <c r="C120">
        <v>3</v>
      </c>
      <c r="D120" t="s">
        <v>766</v>
      </c>
      <c r="E120" t="s">
        <v>1398</v>
      </c>
      <c r="F120" t="s">
        <v>771</v>
      </c>
      <c r="G120" t="s">
        <v>771</v>
      </c>
      <c r="H120" t="s">
        <v>841</v>
      </c>
      <c r="I120">
        <v>12900</v>
      </c>
      <c r="J120" t="s">
        <v>1</v>
      </c>
      <c r="K120">
        <v>200</v>
      </c>
      <c r="L120">
        <v>50</v>
      </c>
      <c r="M120">
        <v>1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1271</v>
      </c>
      <c r="AC120" t="s">
        <v>1322</v>
      </c>
      <c r="AD120" s="18" t="s">
        <v>1078</v>
      </c>
      <c r="AE120" t="s">
        <v>4</v>
      </c>
      <c r="AF120" t="s">
        <v>1</v>
      </c>
      <c r="AG120" t="s">
        <v>1</v>
      </c>
      <c r="AH120" t="s">
        <v>1502</v>
      </c>
      <c r="AI120" t="s">
        <v>1738</v>
      </c>
      <c r="AJ120" t="s">
        <v>1</v>
      </c>
      <c r="AK120">
        <v>9331361078</v>
      </c>
      <c r="AL120" t="s">
        <v>1</v>
      </c>
      <c r="AM120" t="s">
        <v>1</v>
      </c>
      <c r="AN120" t="s">
        <v>1</v>
      </c>
      <c r="AO120" t="s">
        <v>1502</v>
      </c>
      <c r="AP120" t="s">
        <v>1</v>
      </c>
      <c r="AQ120" t="s">
        <v>2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11</v>
      </c>
      <c r="AX120">
        <f>Tabla1[[#This Row],[precio del paquete]]-Tabla1[[#This Row],[Saldo_Deudor]]</f>
        <v>10600</v>
      </c>
      <c r="AY120">
        <v>2300</v>
      </c>
      <c r="AZ120" t="s">
        <v>3</v>
      </c>
      <c r="BA120" t="s">
        <v>3</v>
      </c>
      <c r="BB120" t="s">
        <v>3</v>
      </c>
      <c r="BC120" t="s">
        <v>774</v>
      </c>
      <c r="BD120" t="s">
        <v>1881</v>
      </c>
      <c r="BE120" t="s">
        <v>3</v>
      </c>
      <c r="BF120" t="s">
        <v>3</v>
      </c>
      <c r="BG120" t="s">
        <v>3</v>
      </c>
      <c r="BH120" t="s">
        <v>3</v>
      </c>
      <c r="BI120" t="s">
        <v>3</v>
      </c>
      <c r="BJ120" t="s">
        <v>1941</v>
      </c>
      <c r="BK120" t="s">
        <v>3</v>
      </c>
      <c r="BL120" t="s">
        <v>132</v>
      </c>
      <c r="BM120" t="s">
        <v>1</v>
      </c>
      <c r="BN120">
        <f>Tabla1[[#This Row],[precio del paquete]]</f>
        <v>12900</v>
      </c>
      <c r="BO120" t="s">
        <v>1</v>
      </c>
      <c r="BP120" t="s">
        <v>1</v>
      </c>
      <c r="BQ120" t="s">
        <v>1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D120" t="str" cm="1">
        <f t="array" aca="1" ref="CD120" ca="1">eConcatenar(A120:CB120,"|")</f>
        <v>Ej8vZhOqzkNqZKvM|PAR2019-2311|3|ECONOLINE|TABASCO|PARAISO|PARAISO|2019-08-27|12900|X|200|50|1|0|0|0|0|0|0|0|0|0|0|0|0|0|0|CHABLE|RAMIREZ|JAVIER|SOLTERO|X|X|CALLE RUSTICA HACIA EL FONDO ATRÃS DE LA IGLESIA|RANCHERIA LIBERTAD PRIMERA SECCION|X|9331361078|X|X|X|CALLE RUSTICA HACIA EL FONDO ATRÃS DE LA IGLESIA|X|LUNES|X|X|X|X|X|DOMICILIO |10600|2300|x|x|x|2022-02-02|2022-02-09|x|x|x|x|x|ZGSYJGLZUXA73WJ|x|HOMBRE|X|12900|X|X|X|X|X|X|X|X|CARDENAS|X|X|X|X|X</v>
      </c>
    </row>
    <row r="121" spans="1:82" x14ac:dyDescent="0.25">
      <c r="A121" t="s">
        <v>255</v>
      </c>
      <c r="B121" t="s">
        <v>566</v>
      </c>
      <c r="C121">
        <v>3</v>
      </c>
      <c r="D121" t="s">
        <v>763</v>
      </c>
      <c r="E121" t="s">
        <v>1398</v>
      </c>
      <c r="F121" t="s">
        <v>771</v>
      </c>
      <c r="G121" t="s">
        <v>771</v>
      </c>
      <c r="H121" t="s">
        <v>857</v>
      </c>
      <c r="I121">
        <v>12900</v>
      </c>
      <c r="J121" t="s">
        <v>1</v>
      </c>
      <c r="K121">
        <v>200</v>
      </c>
      <c r="L121">
        <v>50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1255</v>
      </c>
      <c r="AC121" t="s">
        <v>1247</v>
      </c>
      <c r="AD121" s="18" t="s">
        <v>1079</v>
      </c>
      <c r="AE121" t="s">
        <v>4</v>
      </c>
      <c r="AF121" t="s">
        <v>1</v>
      </c>
      <c r="AG121" t="s">
        <v>1</v>
      </c>
      <c r="AH121" t="s">
        <v>1503</v>
      </c>
      <c r="AI121" t="s">
        <v>1744</v>
      </c>
      <c r="AJ121" t="s">
        <v>1</v>
      </c>
      <c r="AK121">
        <v>9331536848</v>
      </c>
      <c r="AL121" t="s">
        <v>1</v>
      </c>
      <c r="AM121" t="s">
        <v>1</v>
      </c>
      <c r="AN121" t="s">
        <v>1</v>
      </c>
      <c r="AO121" t="s">
        <v>1503</v>
      </c>
      <c r="AP121" t="s">
        <v>1</v>
      </c>
      <c r="AQ121" t="s">
        <v>2</v>
      </c>
      <c r="AR121" t="s">
        <v>1</v>
      </c>
      <c r="AS121" t="s">
        <v>1</v>
      </c>
      <c r="AT121" t="s">
        <v>1</v>
      </c>
      <c r="AU121" t="s">
        <v>1</v>
      </c>
      <c r="AV121" t="s">
        <v>1</v>
      </c>
      <c r="AW121" t="s">
        <v>11</v>
      </c>
      <c r="AX121">
        <f>Tabla1[[#This Row],[precio del paquete]]-Tabla1[[#This Row],[Saldo_Deudor]]</f>
        <v>5300</v>
      </c>
      <c r="AY121">
        <v>7600</v>
      </c>
      <c r="AZ121" t="s">
        <v>3</v>
      </c>
      <c r="BA121" t="s">
        <v>3</v>
      </c>
      <c r="BB121" t="s">
        <v>3</v>
      </c>
      <c r="BC121" t="s">
        <v>797</v>
      </c>
      <c r="BD121" t="s">
        <v>1901</v>
      </c>
      <c r="BE121" t="s">
        <v>3</v>
      </c>
      <c r="BF121" t="s">
        <v>3</v>
      </c>
      <c r="BG121" t="s">
        <v>3</v>
      </c>
      <c r="BH121" t="s">
        <v>3</v>
      </c>
      <c r="BI121" t="s">
        <v>3</v>
      </c>
      <c r="BJ121" t="s">
        <v>1941</v>
      </c>
      <c r="BK121" t="s">
        <v>3</v>
      </c>
      <c r="BL121" t="s">
        <v>132</v>
      </c>
      <c r="BM121" t="s">
        <v>1</v>
      </c>
      <c r="BN121">
        <f>Tabla1[[#This Row],[precio del paquete]]</f>
        <v>12900</v>
      </c>
      <c r="BO121" t="s">
        <v>1</v>
      </c>
      <c r="BP121" t="s">
        <v>1</v>
      </c>
      <c r="BQ121" t="s">
        <v>1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1</v>
      </c>
      <c r="CD121" t="str" cm="1">
        <f t="array" aca="1" ref="CD121" ca="1">eConcatenar(A121:CB121,"|")</f>
        <v>acbIHsEG7DqPM3XW|PAR2020-0502|3|IMPERIAL DE LUJO|TABASCO|PARAISO|PARAISO|2020-02-18|12900|X|200|50|1|0|0|0|0|0|0|0|0|0|0|0|0|0|0|CORDOVA|SANCHEZ|JURAN|SOLTERO|X|X|CALLE JOSE CORDOVA CRUZ|POBLADO FRANCISCO I MADERO|X|9331536848|X|X|X|CALLE JOSE CORDOVA CRUZ|X|LUNES|X|X|X|X|X|DOMICILIO |5300|7600|x|x|x|2022-01-20|2022-01-27|x|x|x|x|x|ZGSYJGLZUXA73WJ|x|HOMBRE|X|12900|X|X|X|X|X|X|X|X|CARDENAS|X|X|X|X|X</v>
      </c>
    </row>
    <row r="122" spans="1:82" x14ac:dyDescent="0.25">
      <c r="A122" t="s">
        <v>256</v>
      </c>
      <c r="B122" t="s">
        <v>567</v>
      </c>
      <c r="C122">
        <v>3</v>
      </c>
      <c r="D122" t="s">
        <v>761</v>
      </c>
      <c r="E122" t="s">
        <v>1398</v>
      </c>
      <c r="F122" t="s">
        <v>771</v>
      </c>
      <c r="G122" t="s">
        <v>771</v>
      </c>
      <c r="H122" t="s">
        <v>848</v>
      </c>
      <c r="I122">
        <v>14800</v>
      </c>
      <c r="J122" t="s">
        <v>1</v>
      </c>
      <c r="K122">
        <v>200</v>
      </c>
      <c r="L122">
        <v>50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1323</v>
      </c>
      <c r="AC122" t="s">
        <v>1246</v>
      </c>
      <c r="AD122" s="18" t="s">
        <v>1080</v>
      </c>
      <c r="AE122" t="s">
        <v>4</v>
      </c>
      <c r="AF122" t="s">
        <v>1</v>
      </c>
      <c r="AG122" t="s">
        <v>1</v>
      </c>
      <c r="AH122" t="s">
        <v>1479</v>
      </c>
      <c r="AI122" t="s">
        <v>1745</v>
      </c>
      <c r="AJ122" t="s">
        <v>1</v>
      </c>
      <c r="AK122">
        <v>9331017381</v>
      </c>
      <c r="AL122" t="s">
        <v>1</v>
      </c>
      <c r="AM122" t="s">
        <v>1</v>
      </c>
      <c r="AN122" t="s">
        <v>1</v>
      </c>
      <c r="AO122" t="s">
        <v>1479</v>
      </c>
      <c r="AP122" t="s">
        <v>1</v>
      </c>
      <c r="AQ122" t="s">
        <v>2</v>
      </c>
      <c r="AR122" t="s">
        <v>1</v>
      </c>
      <c r="AS122" t="s">
        <v>1</v>
      </c>
      <c r="AT122" t="s">
        <v>1</v>
      </c>
      <c r="AU122" t="s">
        <v>1</v>
      </c>
      <c r="AV122" t="s">
        <v>1</v>
      </c>
      <c r="AW122" t="s">
        <v>11</v>
      </c>
      <c r="AX122">
        <f>Tabla1[[#This Row],[precio del paquete]]-Tabla1[[#This Row],[Saldo_Deudor]]</f>
        <v>2400</v>
      </c>
      <c r="AY122">
        <v>12400</v>
      </c>
      <c r="AZ122" t="s">
        <v>3</v>
      </c>
      <c r="BA122" t="s">
        <v>3</v>
      </c>
      <c r="BB122" t="s">
        <v>3</v>
      </c>
      <c r="BC122" t="s">
        <v>774</v>
      </c>
      <c r="BD122" t="s">
        <v>1881</v>
      </c>
      <c r="BE122" t="s">
        <v>3</v>
      </c>
      <c r="BF122" t="s">
        <v>3</v>
      </c>
      <c r="BG122" t="s">
        <v>3</v>
      </c>
      <c r="BH122" t="s">
        <v>3</v>
      </c>
      <c r="BI122" t="s">
        <v>3</v>
      </c>
      <c r="BJ122" t="s">
        <v>1941</v>
      </c>
      <c r="BK122" t="s">
        <v>3</v>
      </c>
      <c r="BL122" t="s">
        <v>132</v>
      </c>
      <c r="BM122" t="s">
        <v>1</v>
      </c>
      <c r="BN122">
        <f>Tabla1[[#This Row],[precio del paquete]]</f>
        <v>14800</v>
      </c>
      <c r="BO122" t="s">
        <v>1</v>
      </c>
      <c r="BP122" t="s">
        <v>1</v>
      </c>
      <c r="BQ122" t="s">
        <v>1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1</v>
      </c>
      <c r="CD122" t="str" cm="1">
        <f t="array" aca="1" ref="CD122" ca="1">eConcatenar(A122:CB122,"|")</f>
        <v>YCeKSVYvuBJoyKjd|PAR2019-2175|3|MEMORIAL|TABASCO|PARAISO|PARAISO|2019-08-16|14800|X|200|50|1|0|0|0|0|0|0|0|0|0|0|0|0|0|0|COLLADO|MORALES|OSCAR ENRIQUE|SOLTERO|X|X|CARRETERA PRINCIPAL|RANCHERIA QUITIN ARAUZ|X|9331017381|X|X|X|CARRETERA PRINCIPAL|X|LUNES|X|X|X|X|X|DOMICILIO |2400|12400|x|x|x|2022-02-02|2022-02-09|x|x|x|x|x|ZGSYJGLZUXA73WJ|x|HOMBRE|X|14800|X|X|X|X|X|X|X|X|CARDENAS|X|X|X|X|X</v>
      </c>
    </row>
    <row r="123" spans="1:82" x14ac:dyDescent="0.25">
      <c r="A123" t="s">
        <v>257</v>
      </c>
      <c r="B123" t="s">
        <v>568</v>
      </c>
      <c r="C123">
        <v>3</v>
      </c>
      <c r="D123" t="s">
        <v>761</v>
      </c>
      <c r="E123" t="s">
        <v>1398</v>
      </c>
      <c r="F123" t="s">
        <v>770</v>
      </c>
      <c r="G123" t="s">
        <v>770</v>
      </c>
      <c r="H123" t="s">
        <v>858</v>
      </c>
      <c r="I123">
        <v>14800</v>
      </c>
      <c r="J123" t="s">
        <v>1</v>
      </c>
      <c r="K123">
        <v>200</v>
      </c>
      <c r="L123">
        <v>50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1266</v>
      </c>
      <c r="AC123" t="s">
        <v>1271</v>
      </c>
      <c r="AD123" s="18" t="s">
        <v>1081</v>
      </c>
      <c r="AE123" t="s">
        <v>4</v>
      </c>
      <c r="AF123" t="s">
        <v>1</v>
      </c>
      <c r="AG123" t="s">
        <v>1</v>
      </c>
      <c r="AH123" t="s">
        <v>1504</v>
      </c>
      <c r="AI123" t="s">
        <v>1737</v>
      </c>
      <c r="AJ123" t="s">
        <v>1</v>
      </c>
      <c r="AK123">
        <v>9331121168</v>
      </c>
      <c r="AL123" t="s">
        <v>1</v>
      </c>
      <c r="AM123" t="s">
        <v>1</v>
      </c>
      <c r="AN123" t="s">
        <v>1</v>
      </c>
      <c r="AO123" t="s">
        <v>1504</v>
      </c>
      <c r="AP123" t="s">
        <v>1</v>
      </c>
      <c r="AQ123" t="s">
        <v>2</v>
      </c>
      <c r="AR123" t="s">
        <v>1</v>
      </c>
      <c r="AS123" t="s">
        <v>1</v>
      </c>
      <c r="AT123" t="s">
        <v>1</v>
      </c>
      <c r="AU123" t="s">
        <v>1</v>
      </c>
      <c r="AV123" t="s">
        <v>1</v>
      </c>
      <c r="AW123" t="s">
        <v>11</v>
      </c>
      <c r="AX123">
        <f>Tabla1[[#This Row],[precio del paquete]]-Tabla1[[#This Row],[Saldo_Deudor]]</f>
        <v>500</v>
      </c>
      <c r="AY123">
        <v>14300</v>
      </c>
      <c r="AZ123" t="s">
        <v>3</v>
      </c>
      <c r="BA123" t="s">
        <v>3</v>
      </c>
      <c r="BB123" t="s">
        <v>3</v>
      </c>
      <c r="BC123" t="s">
        <v>1857</v>
      </c>
      <c r="BD123" t="s">
        <v>1911</v>
      </c>
      <c r="BE123" t="s">
        <v>3</v>
      </c>
      <c r="BF123" t="s">
        <v>3</v>
      </c>
      <c r="BG123" t="s">
        <v>3</v>
      </c>
      <c r="BH123" t="s">
        <v>3</v>
      </c>
      <c r="BI123" t="s">
        <v>3</v>
      </c>
      <c r="BJ123" t="s">
        <v>1941</v>
      </c>
      <c r="BK123" t="s">
        <v>3</v>
      </c>
      <c r="BL123" t="s">
        <v>132</v>
      </c>
      <c r="BM123" t="s">
        <v>1</v>
      </c>
      <c r="BN123">
        <f>Tabla1[[#This Row],[precio del paquete]]</f>
        <v>14800</v>
      </c>
      <c r="BO123" t="s">
        <v>1</v>
      </c>
      <c r="BP123" t="s">
        <v>1</v>
      </c>
      <c r="BQ123" t="s">
        <v>1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1</v>
      </c>
      <c r="CD123" t="str" cm="1">
        <f t="array" aca="1" ref="CD123" ca="1">eConcatenar(A123:CB123,"|")</f>
        <v>5Vo4KMpQaQO8ZqW4|COM2022-0136|3|MEMORIAL|TABASCO|COMALCALCO|COMALCALCO|2021-10-01|14800|X|200|50|1|0|0|0|0|0|0|0|0|0|0|0|0|0|0|HERNANDEZ|CHABLE|ISAMARI|SOLTERO|X|X|CARRETERA A SAN FRANCISCO SIN NUMERO|RANCHERIA ZAPOTAL SEGUNDA SECCION|X|9331121168|X|X|X|CARRETERA A SAN FRANCISCO SIN NUMERO|X|LUNES|X|X|X|X|X|DOMICILIO |500|14300|x|x|x|2022-03-02|2022-03-09|x|x|x|x|x|ZGSYJGLZUXA73WJ|x|HOMBRE|X|14800|X|X|X|X|X|X|X|X|CARDENAS|X|X|X|X|X</v>
      </c>
    </row>
    <row r="124" spans="1:82" x14ac:dyDescent="0.25">
      <c r="A124" t="s">
        <v>258</v>
      </c>
      <c r="B124" t="s">
        <v>569</v>
      </c>
      <c r="C124">
        <v>3</v>
      </c>
      <c r="D124" t="s">
        <v>763</v>
      </c>
      <c r="E124" t="s">
        <v>1398</v>
      </c>
      <c r="F124" t="s">
        <v>771</v>
      </c>
      <c r="G124" t="s">
        <v>771</v>
      </c>
      <c r="H124" t="s">
        <v>859</v>
      </c>
      <c r="I124">
        <v>12900</v>
      </c>
      <c r="J124" t="s">
        <v>1</v>
      </c>
      <c r="K124">
        <v>200</v>
      </c>
      <c r="L124">
        <v>50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1324</v>
      </c>
      <c r="AC124" t="s">
        <v>1266</v>
      </c>
      <c r="AD124" s="18" t="s">
        <v>1082</v>
      </c>
      <c r="AE124" t="s">
        <v>4</v>
      </c>
      <c r="AF124" t="s">
        <v>1</v>
      </c>
      <c r="AG124" t="s">
        <v>1</v>
      </c>
      <c r="AH124" t="s">
        <v>1491</v>
      </c>
      <c r="AI124" t="s">
        <v>1746</v>
      </c>
      <c r="AJ124" t="s">
        <v>1</v>
      </c>
      <c r="AK124">
        <v>9372096719</v>
      </c>
      <c r="AL124" t="s">
        <v>1</v>
      </c>
      <c r="AM124" t="s">
        <v>1</v>
      </c>
      <c r="AN124" t="s">
        <v>1</v>
      </c>
      <c r="AO124" t="s">
        <v>1491</v>
      </c>
      <c r="AP124" t="s">
        <v>1</v>
      </c>
      <c r="AQ124" t="s">
        <v>2</v>
      </c>
      <c r="AR124" t="s">
        <v>1</v>
      </c>
      <c r="AS124" t="s">
        <v>1</v>
      </c>
      <c r="AT124" t="s">
        <v>1</v>
      </c>
      <c r="AU124" t="s">
        <v>1</v>
      </c>
      <c r="AV124" t="s">
        <v>1</v>
      </c>
      <c r="AW124" t="s">
        <v>11</v>
      </c>
      <c r="AX124">
        <f>Tabla1[[#This Row],[precio del paquete]]-Tabla1[[#This Row],[Saldo_Deudor]]</f>
        <v>5750</v>
      </c>
      <c r="AY124">
        <v>7150</v>
      </c>
      <c r="AZ124" t="s">
        <v>3</v>
      </c>
      <c r="BA124" t="s">
        <v>3</v>
      </c>
      <c r="BB124" t="s">
        <v>3</v>
      </c>
      <c r="BC124" t="s">
        <v>1857</v>
      </c>
      <c r="BD124" t="s">
        <v>1911</v>
      </c>
      <c r="BE124" t="s">
        <v>3</v>
      </c>
      <c r="BF124" t="s">
        <v>3</v>
      </c>
      <c r="BG124" t="s">
        <v>3</v>
      </c>
      <c r="BH124" t="s">
        <v>3</v>
      </c>
      <c r="BI124" t="s">
        <v>3</v>
      </c>
      <c r="BJ124" t="s">
        <v>1941</v>
      </c>
      <c r="BK124" t="s">
        <v>3</v>
      </c>
      <c r="BL124" t="s">
        <v>132</v>
      </c>
      <c r="BM124" t="s">
        <v>1</v>
      </c>
      <c r="BN124">
        <f>Tabla1[[#This Row],[precio del paquete]]</f>
        <v>12900</v>
      </c>
      <c r="BO124" t="s">
        <v>1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1</v>
      </c>
      <c r="CD124" t="str" cm="1">
        <f t="array" aca="1" ref="CD124" ca="1">eConcatenar(A124:CB124,"|")</f>
        <v>BNpFJ4YXgQmddmTF|PAR2020-0361|3|IMPERIAL DE LUJO|TABASCO|PARAISO|PARAISO|2020-05-02|12900|X|200|50|1|0|0|0|0|0|0|0|0|0|0|0|0|0|0|HERANDEZ|HERNANDEZ|HORACIO|SOLTERO|X|X|CALLE EMILIANO ZAPATA|RANCHERIA OCCIDENTE SAN FRANCISCO|X|9372096719|X|X|X|CALLE EMILIANO ZAPATA|X|LUNES|X|X|X|X|X|DOMICILIO |5750|7150|x|x|x|2022-03-02|2022-03-09|x|x|x|x|x|ZGSYJGLZUXA73WJ|x|HOMBRE|X|12900|X|X|X|X|X|X|X|X|CARDENAS|X|X|X|X|X</v>
      </c>
    </row>
    <row r="125" spans="1:82" x14ac:dyDescent="0.25">
      <c r="A125" t="s">
        <v>259</v>
      </c>
      <c r="B125" t="s">
        <v>570</v>
      </c>
      <c r="C125">
        <v>3</v>
      </c>
      <c r="D125" t="s">
        <v>766</v>
      </c>
      <c r="E125" t="s">
        <v>1398</v>
      </c>
      <c r="F125" t="s">
        <v>771</v>
      </c>
      <c r="G125" t="s">
        <v>771</v>
      </c>
      <c r="H125" t="s">
        <v>860</v>
      </c>
      <c r="I125">
        <v>12900</v>
      </c>
      <c r="J125" t="s">
        <v>1</v>
      </c>
      <c r="K125">
        <v>200</v>
      </c>
      <c r="L125">
        <v>50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1078</v>
      </c>
      <c r="AC125" t="s">
        <v>1266</v>
      </c>
      <c r="AD125" s="18" t="s">
        <v>1047</v>
      </c>
      <c r="AE125" t="s">
        <v>4</v>
      </c>
      <c r="AF125" t="s">
        <v>1</v>
      </c>
      <c r="AG125" t="s">
        <v>1</v>
      </c>
      <c r="AH125" t="s">
        <v>1505</v>
      </c>
      <c r="AI125" t="s">
        <v>1744</v>
      </c>
      <c r="AJ125" t="s">
        <v>1</v>
      </c>
      <c r="AK125">
        <v>9334062345</v>
      </c>
      <c r="AL125" t="s">
        <v>1</v>
      </c>
      <c r="AM125" t="s">
        <v>1</v>
      </c>
      <c r="AN125" t="s">
        <v>1</v>
      </c>
      <c r="AO125" t="s">
        <v>1505</v>
      </c>
      <c r="AP125" t="s">
        <v>1</v>
      </c>
      <c r="AQ125" t="s">
        <v>2</v>
      </c>
      <c r="AR125" t="s">
        <v>1</v>
      </c>
      <c r="AS125" t="s">
        <v>1</v>
      </c>
      <c r="AT125" t="s">
        <v>1</v>
      </c>
      <c r="AU125" t="s">
        <v>1</v>
      </c>
      <c r="AV125" t="s">
        <v>1</v>
      </c>
      <c r="AW125" t="s">
        <v>11</v>
      </c>
      <c r="AX125">
        <f>Tabla1[[#This Row],[precio del paquete]]-Tabla1[[#This Row],[Saldo_Deudor]]</f>
        <v>6400</v>
      </c>
      <c r="AY125">
        <v>6500</v>
      </c>
      <c r="AZ125" t="s">
        <v>3</v>
      </c>
      <c r="BA125" t="s">
        <v>3</v>
      </c>
      <c r="BB125" t="s">
        <v>3</v>
      </c>
      <c r="BC125" t="s">
        <v>1857</v>
      </c>
      <c r="BD125" t="s">
        <v>1911</v>
      </c>
      <c r="BE125" t="s">
        <v>3</v>
      </c>
      <c r="BF125" t="s">
        <v>3</v>
      </c>
      <c r="BG125" t="s">
        <v>3</v>
      </c>
      <c r="BH125" t="s">
        <v>3</v>
      </c>
      <c r="BI125" t="s">
        <v>3</v>
      </c>
      <c r="BJ125" t="s">
        <v>1941</v>
      </c>
      <c r="BK125" t="s">
        <v>3</v>
      </c>
      <c r="BL125" t="s">
        <v>132</v>
      </c>
      <c r="BM125" t="s">
        <v>1</v>
      </c>
      <c r="BN125">
        <f>Tabla1[[#This Row],[precio del paquete]]</f>
        <v>12900</v>
      </c>
      <c r="BO125" t="s">
        <v>1</v>
      </c>
      <c r="BP125" t="s">
        <v>1</v>
      </c>
      <c r="BQ125" t="s">
        <v>1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1</v>
      </c>
      <c r="CD125" t="str" cm="1">
        <f t="array" aca="1" ref="CD125" ca="1">eConcatenar(A125:CB125,"|")</f>
        <v>CwugCp352hw3b4GY|PAR2020-0749|3|ECONOLINE|TABASCO|PARAISO|PARAISO|2020-03-17|12900|X|200|50|1|0|0|0|0|0|0|0|0|0|0|0|0|0|0|JAVIER|HERNANDEZ|MARIELA|SOLTERO|X|X|CARRETERA VECINAL PARAISO-COMALCALCO|POBLADO FRANCISCO I MADERO|X|9334062345|X|X|X|CARRETERA VECINAL PARAISO-COMALCALCO|X|LUNES|X|X|X|X|X|DOMICILIO |6400|6500|x|x|x|2022-03-02|2022-03-09|x|x|x|x|x|ZGSYJGLZUXA73WJ|x|HOMBRE|X|12900|X|X|X|X|X|X|X|X|CARDENAS|X|X|X|X|X</v>
      </c>
    </row>
    <row r="126" spans="1:82" x14ac:dyDescent="0.25">
      <c r="A126" t="s">
        <v>260</v>
      </c>
      <c r="B126" t="s">
        <v>571</v>
      </c>
      <c r="C126">
        <v>3</v>
      </c>
      <c r="D126" t="s">
        <v>761</v>
      </c>
      <c r="E126" t="s">
        <v>1398</v>
      </c>
      <c r="F126" t="s">
        <v>771</v>
      </c>
      <c r="G126" t="s">
        <v>771</v>
      </c>
      <c r="H126" t="s">
        <v>861</v>
      </c>
      <c r="I126">
        <v>14800</v>
      </c>
      <c r="J126" t="s">
        <v>1</v>
      </c>
      <c r="K126">
        <v>200</v>
      </c>
      <c r="L126">
        <v>50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1227</v>
      </c>
      <c r="AC126" t="s">
        <v>1291</v>
      </c>
      <c r="AD126" s="18" t="s">
        <v>1083</v>
      </c>
      <c r="AE126" t="s">
        <v>4</v>
      </c>
      <c r="AF126" t="s">
        <v>1</v>
      </c>
      <c r="AG126" t="s">
        <v>1</v>
      </c>
      <c r="AH126" t="s">
        <v>1506</v>
      </c>
      <c r="AI126" t="s">
        <v>1747</v>
      </c>
      <c r="AJ126" t="s">
        <v>1</v>
      </c>
      <c r="AK126">
        <v>9331054361</v>
      </c>
      <c r="AL126" t="s">
        <v>1</v>
      </c>
      <c r="AM126" t="s">
        <v>1</v>
      </c>
      <c r="AN126" t="s">
        <v>1</v>
      </c>
      <c r="AO126" t="s">
        <v>1506</v>
      </c>
      <c r="AP126" t="s">
        <v>1</v>
      </c>
      <c r="AQ126" t="s">
        <v>2</v>
      </c>
      <c r="AR126" t="s">
        <v>1</v>
      </c>
      <c r="AS126" t="s">
        <v>1</v>
      </c>
      <c r="AT126" t="s">
        <v>1</v>
      </c>
      <c r="AU126" t="s">
        <v>1</v>
      </c>
      <c r="AV126" t="s">
        <v>1</v>
      </c>
      <c r="AW126" t="s">
        <v>11</v>
      </c>
      <c r="AX126">
        <f>Tabla1[[#This Row],[precio del paquete]]-Tabla1[[#This Row],[Saldo_Deudor]]</f>
        <v>200</v>
      </c>
      <c r="AY126">
        <v>14600</v>
      </c>
      <c r="AZ126" t="s">
        <v>3</v>
      </c>
      <c r="BA126" t="s">
        <v>3</v>
      </c>
      <c r="BB126" t="s">
        <v>3</v>
      </c>
      <c r="BC126" t="s">
        <v>1858</v>
      </c>
      <c r="BD126" t="s">
        <v>897</v>
      </c>
      <c r="BE126" t="s">
        <v>3</v>
      </c>
      <c r="BF126" t="s">
        <v>3</v>
      </c>
      <c r="BG126" t="s">
        <v>3</v>
      </c>
      <c r="BH126" t="s">
        <v>3</v>
      </c>
      <c r="BI126" t="s">
        <v>3</v>
      </c>
      <c r="BJ126" t="s">
        <v>1937</v>
      </c>
      <c r="BK126" t="s">
        <v>3</v>
      </c>
      <c r="BL126" t="s">
        <v>132</v>
      </c>
      <c r="BM126" t="s">
        <v>1</v>
      </c>
      <c r="BN126">
        <f>Tabla1[[#This Row],[precio del paquete]]</f>
        <v>14800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1</v>
      </c>
      <c r="CD126" t="str" cm="1">
        <f t="array" aca="1" ref="CD126" ca="1">eConcatenar(A126:CB126,"|")</f>
        <v>oq4A17c9KqNrlT5f|PAR2021-3710|3|MEMORIAL|TABASCO|PARAISO|PARAISO|2021-11-16|14800|X|200|50|1|0|0|0|0|0|0|0|0|0|0|0|0|0|0|GARCIA|RUIZ|GRISELDA|SOLTERO|X|X|CARRETERA A LA ARENA SEGUNDA SECCION|RANCHERIA ARENA PRIMERA SECCION|X|9331054361|X|X|X|CARRETERA A LA ARENA SEGUNDA SECCION|X|LUNES|X|X|X|X|X|DOMICILIO |200|14600|x|x|x|2021-11-15|2021-11-22|x|x|x|x|x|DSYPMZPXEANHGLM|x|HOMBRE|X|14800|X|X|X|X|X|X|X|X|CARDENAS|X|X|X|X|X</v>
      </c>
    </row>
    <row r="127" spans="1:82" x14ac:dyDescent="0.25">
      <c r="A127" t="s">
        <v>261</v>
      </c>
      <c r="B127" t="s">
        <v>572</v>
      </c>
      <c r="C127">
        <v>3</v>
      </c>
      <c r="D127" t="s">
        <v>762</v>
      </c>
      <c r="E127" t="s">
        <v>1398</v>
      </c>
      <c r="F127" t="s">
        <v>770</v>
      </c>
      <c r="G127" t="s">
        <v>770</v>
      </c>
      <c r="H127" t="s">
        <v>862</v>
      </c>
      <c r="I127">
        <v>24500</v>
      </c>
      <c r="J127" t="s">
        <v>1</v>
      </c>
      <c r="K127">
        <v>100</v>
      </c>
      <c r="L127">
        <v>50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1256</v>
      </c>
      <c r="AC127" t="s">
        <v>1265</v>
      </c>
      <c r="AD127" s="18" t="s">
        <v>1084</v>
      </c>
      <c r="AE127" t="s">
        <v>4</v>
      </c>
      <c r="AF127" t="s">
        <v>1</v>
      </c>
      <c r="AG127" t="s">
        <v>1</v>
      </c>
      <c r="AH127" t="s">
        <v>1507</v>
      </c>
      <c r="AI127" t="s">
        <v>1508</v>
      </c>
      <c r="AJ127" t="s">
        <v>1</v>
      </c>
      <c r="AK127">
        <v>9171149828</v>
      </c>
      <c r="AL127" t="s">
        <v>1</v>
      </c>
      <c r="AM127" t="s">
        <v>1</v>
      </c>
      <c r="AN127" t="s">
        <v>1</v>
      </c>
      <c r="AO127" t="s">
        <v>1507</v>
      </c>
      <c r="AP127" t="s">
        <v>1</v>
      </c>
      <c r="AQ127" t="s">
        <v>2</v>
      </c>
      <c r="AR127" t="s">
        <v>1</v>
      </c>
      <c r="AS127" t="s">
        <v>1</v>
      </c>
      <c r="AT127" t="s">
        <v>1</v>
      </c>
      <c r="AU127" t="s">
        <v>1</v>
      </c>
      <c r="AV127" t="s">
        <v>1</v>
      </c>
      <c r="AW127" t="s">
        <v>11</v>
      </c>
      <c r="AX127">
        <f>Tabla1[[#This Row],[precio del paquete]]-Tabla1[[#This Row],[Saldo_Deudor]]</f>
        <v>100</v>
      </c>
      <c r="AY127">
        <v>24400</v>
      </c>
      <c r="AZ127" t="s">
        <v>3</v>
      </c>
      <c r="BA127" t="s">
        <v>3</v>
      </c>
      <c r="BB127" t="s">
        <v>3</v>
      </c>
      <c r="BC127" t="s">
        <v>862</v>
      </c>
      <c r="BD127" t="s">
        <v>1912</v>
      </c>
      <c r="BE127" t="s">
        <v>3</v>
      </c>
      <c r="BF127" t="s">
        <v>3</v>
      </c>
      <c r="BG127" t="s">
        <v>3</v>
      </c>
      <c r="BH127" t="s">
        <v>3</v>
      </c>
      <c r="BI127" t="s">
        <v>3</v>
      </c>
      <c r="BJ127" t="s">
        <v>1937</v>
      </c>
      <c r="BK127" t="s">
        <v>3</v>
      </c>
      <c r="BL127" t="s">
        <v>132</v>
      </c>
      <c r="BM127" t="s">
        <v>1</v>
      </c>
      <c r="BN127">
        <f>Tabla1[[#This Row],[precio del paquete]]</f>
        <v>24500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1</v>
      </c>
      <c r="CD127" t="str" cm="1">
        <f t="array" aca="1" ref="CD127" ca="1">eConcatenar(A127:CB127,"|")</f>
        <v>uRjE91EWsT8ZAZKT|COM2021-2983|3|DIGNITY|TABASCO|COMALCALCO|COMALCALCO|2021-09-25|24500|X|100|50|0|0|0|0|0|0|0|0|0|0|0|0|0|0|0|OLAN|DOMINGUEZ|PASCASIO|SOLTERO|X|X|CALLE DE LA PURIFICADORA DE AGUA|VILLA ALDAMA|X|9171149828|X|X|X|CALLE DE LA PURIFICADORA DE AGUA|X|LUNES|X|X|X|X|X|DOMICILIO |100|24400|x|x|x|2021-09-25|2021-10-02|x|x|x|x|x|DSYPMZPXEANHGLM|x|HOMBRE|X|24500|X|X|X|X|X|X|X|X|CARDENAS|X|X|X|X|X</v>
      </c>
    </row>
    <row r="128" spans="1:82" x14ac:dyDescent="0.25">
      <c r="A128" t="s">
        <v>262</v>
      </c>
      <c r="B128" t="s">
        <v>573</v>
      </c>
      <c r="C128">
        <v>3</v>
      </c>
      <c r="D128" t="s">
        <v>766</v>
      </c>
      <c r="E128" t="s">
        <v>1398</v>
      </c>
      <c r="F128" t="s">
        <v>770</v>
      </c>
      <c r="G128" t="s">
        <v>770</v>
      </c>
      <c r="H128" t="s">
        <v>863</v>
      </c>
      <c r="I128">
        <v>12900</v>
      </c>
      <c r="J128" t="s">
        <v>1</v>
      </c>
      <c r="K128">
        <v>100</v>
      </c>
      <c r="L128">
        <v>50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1249</v>
      </c>
      <c r="AC128" t="s">
        <v>1227</v>
      </c>
      <c r="AD128" s="18" t="s">
        <v>1085</v>
      </c>
      <c r="AE128" t="s">
        <v>4</v>
      </c>
      <c r="AF128" t="s">
        <v>1</v>
      </c>
      <c r="AG128" t="s">
        <v>1</v>
      </c>
      <c r="AH128" t="s">
        <v>1508</v>
      </c>
      <c r="AI128" t="s">
        <v>1508</v>
      </c>
      <c r="AJ128" t="s">
        <v>1</v>
      </c>
      <c r="AK128">
        <v>9331516702</v>
      </c>
      <c r="AL128" t="s">
        <v>1</v>
      </c>
      <c r="AM128" t="s">
        <v>1</v>
      </c>
      <c r="AN128" t="s">
        <v>1</v>
      </c>
      <c r="AO128" t="s">
        <v>1508</v>
      </c>
      <c r="AP128" t="s">
        <v>1</v>
      </c>
      <c r="AQ128" t="s">
        <v>2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11</v>
      </c>
      <c r="AX128">
        <f>Tabla1[[#This Row],[precio del paquete]]-Tabla1[[#This Row],[Saldo_Deudor]]</f>
        <v>7000</v>
      </c>
      <c r="AY128">
        <v>5900</v>
      </c>
      <c r="AZ128" t="s">
        <v>3</v>
      </c>
      <c r="BA128" t="s">
        <v>3</v>
      </c>
      <c r="BB128" t="s">
        <v>3</v>
      </c>
      <c r="BC128" t="s">
        <v>892</v>
      </c>
      <c r="BD128" t="s">
        <v>1913</v>
      </c>
      <c r="BE128" t="s">
        <v>3</v>
      </c>
      <c r="BF128" t="s">
        <v>3</v>
      </c>
      <c r="BG128" t="s">
        <v>3</v>
      </c>
      <c r="BH128" t="s">
        <v>3</v>
      </c>
      <c r="BI128" t="s">
        <v>3</v>
      </c>
      <c r="BJ128" t="s">
        <v>1937</v>
      </c>
      <c r="BK128" t="s">
        <v>3</v>
      </c>
      <c r="BL128" t="s">
        <v>132</v>
      </c>
      <c r="BM128" t="s">
        <v>1</v>
      </c>
      <c r="BN128">
        <f>Tabla1[[#This Row],[precio del paquete]]</f>
        <v>12900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D128" t="str" cm="1">
        <f t="array" aca="1" ref="CD128" ca="1">eConcatenar(A128:CB128,"|")</f>
        <v>y5ePMckncb05WpTS|COM2019-2028|3|ECONOLINE|TABASCO|COMALCALCO|COMALCALCO|2019-07-30|12900|X|100|50|0|0|0|0|0|0|0|0|0|0|0|0|0|0|0|DE LA CRUZ|GARCIA|LAURA|SOLTERO|X|X|VILLA ALDAMA|VILLA ALDAMA|X|9331516702|X|X|X|VILLA ALDAMA|X|LUNES|X|X|X|X|X|DOMICILIO |7000|5900|x|x|x|2021-10-29|2021-11-05|x|x|x|x|x|DSYPMZPXEANHGLM|x|HOMBRE|X|12900|X|X|X|X|X|X|X|X|CARDENAS|X|X|X|X|X</v>
      </c>
    </row>
    <row r="129" spans="1:82" x14ac:dyDescent="0.25">
      <c r="A129" t="s">
        <v>263</v>
      </c>
      <c r="B129" t="s">
        <v>574</v>
      </c>
      <c r="C129">
        <v>3</v>
      </c>
      <c r="D129" t="s">
        <v>763</v>
      </c>
      <c r="E129" t="s">
        <v>1398</v>
      </c>
      <c r="F129" t="s">
        <v>771</v>
      </c>
      <c r="G129" t="s">
        <v>771</v>
      </c>
      <c r="H129" t="s">
        <v>864</v>
      </c>
      <c r="I129">
        <v>12900</v>
      </c>
      <c r="J129" t="s">
        <v>1</v>
      </c>
      <c r="K129">
        <v>200</v>
      </c>
      <c r="L129">
        <v>50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1315</v>
      </c>
      <c r="AC129" t="s">
        <v>1185</v>
      </c>
      <c r="AD129" s="18" t="s">
        <v>1086</v>
      </c>
      <c r="AE129" t="s">
        <v>4</v>
      </c>
      <c r="AF129" t="s">
        <v>1</v>
      </c>
      <c r="AG129" t="s">
        <v>1</v>
      </c>
      <c r="AH129" t="s">
        <v>1509</v>
      </c>
      <c r="AI129" t="s">
        <v>1748</v>
      </c>
      <c r="AJ129" t="s">
        <v>1</v>
      </c>
      <c r="AK129">
        <v>9331514070</v>
      </c>
      <c r="AL129" t="s">
        <v>1</v>
      </c>
      <c r="AM129" t="s">
        <v>1</v>
      </c>
      <c r="AN129" t="s">
        <v>1</v>
      </c>
      <c r="AO129" t="s">
        <v>1509</v>
      </c>
      <c r="AP129" t="s">
        <v>1</v>
      </c>
      <c r="AQ129" t="s">
        <v>2</v>
      </c>
      <c r="AR129" t="s">
        <v>1</v>
      </c>
      <c r="AS129" t="s">
        <v>1</v>
      </c>
      <c r="AT129" t="s">
        <v>1</v>
      </c>
      <c r="AU129" t="s">
        <v>1</v>
      </c>
      <c r="AV129" t="s">
        <v>1</v>
      </c>
      <c r="AW129" t="s">
        <v>11</v>
      </c>
      <c r="AX129">
        <f>Tabla1[[#This Row],[precio del paquete]]-Tabla1[[#This Row],[Saldo_Deudor]]</f>
        <v>2500</v>
      </c>
      <c r="AY129">
        <v>10400</v>
      </c>
      <c r="AZ129" t="s">
        <v>3</v>
      </c>
      <c r="BA129" t="s">
        <v>3</v>
      </c>
      <c r="BB129" t="s">
        <v>3</v>
      </c>
      <c r="BC129" t="s">
        <v>1859</v>
      </c>
      <c r="BD129" t="s">
        <v>1914</v>
      </c>
      <c r="BE129" t="s">
        <v>3</v>
      </c>
      <c r="BF129" t="s">
        <v>3</v>
      </c>
      <c r="BG129" t="s">
        <v>3</v>
      </c>
      <c r="BH129" t="s">
        <v>3</v>
      </c>
      <c r="BI129" t="s">
        <v>3</v>
      </c>
      <c r="BJ129" t="s">
        <v>1937</v>
      </c>
      <c r="BK129" t="s">
        <v>3</v>
      </c>
      <c r="BL129" t="s">
        <v>132</v>
      </c>
      <c r="BM129" t="s">
        <v>1</v>
      </c>
      <c r="BN129">
        <f>Tabla1[[#This Row],[precio del paquete]]</f>
        <v>12900</v>
      </c>
      <c r="BO129" t="s">
        <v>1</v>
      </c>
      <c r="BP129" t="s">
        <v>1</v>
      </c>
      <c r="BQ129" t="s">
        <v>1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1</v>
      </c>
      <c r="CD129" t="str" cm="1">
        <f t="array" aca="1" ref="CD129" ca="1">eConcatenar(A129:CB129,"|")</f>
        <v>tkeeAdhPY6dYArCA|PAR2020-2942|3|IMPERIAL DE LUJO|TABASCO|PARAISO|PARAISO|2020-09-10|12900|X|200|50|1|0|0|0|0|0|0|0|0|0|0|0|0|0|0|ALCUDIA|RODRIGUEZ|CIPRINO|SOLTERO|X|X|CARRETERA A LAZARO CARDENAS|RANCHERIA TRANSITO TULAR|X|9331514070|X|X|X|CARRETERA A LAZARO CARDENAS|X|LUNES|X|X|X|X|X|DOMICILIO |2500|10400|x|x|x|2021-02-15|2021-02-22|x|x|x|x|x|DSYPMZPXEANHGLM|x|HOMBRE|X|12900|X|X|X|X|X|X|X|X|CARDENAS|X|X|X|X|X</v>
      </c>
    </row>
    <row r="130" spans="1:82" x14ac:dyDescent="0.25">
      <c r="A130" t="s">
        <v>264</v>
      </c>
      <c r="B130" t="s">
        <v>575</v>
      </c>
      <c r="C130">
        <v>3</v>
      </c>
      <c r="D130" t="s">
        <v>761</v>
      </c>
      <c r="E130" t="s">
        <v>1398</v>
      </c>
      <c r="F130" t="s">
        <v>770</v>
      </c>
      <c r="G130" t="s">
        <v>770</v>
      </c>
      <c r="H130" t="s">
        <v>779</v>
      </c>
      <c r="I130">
        <v>14800</v>
      </c>
      <c r="J130" t="s">
        <v>1</v>
      </c>
      <c r="K130">
        <v>2000</v>
      </c>
      <c r="L130">
        <v>50</v>
      </c>
      <c r="M130">
        <v>2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1269</v>
      </c>
      <c r="AC130" t="s">
        <v>1304</v>
      </c>
      <c r="AD130" s="18" t="s">
        <v>1087</v>
      </c>
      <c r="AE130" t="s">
        <v>4</v>
      </c>
      <c r="AF130" t="s">
        <v>1</v>
      </c>
      <c r="AG130" t="s">
        <v>1</v>
      </c>
      <c r="AH130" t="s">
        <v>1510</v>
      </c>
      <c r="AI130" t="s">
        <v>1508</v>
      </c>
      <c r="AJ130" t="s">
        <v>1</v>
      </c>
      <c r="AK130">
        <v>9331171214</v>
      </c>
      <c r="AL130" t="s">
        <v>1</v>
      </c>
      <c r="AM130" t="s">
        <v>1</v>
      </c>
      <c r="AN130" t="s">
        <v>1</v>
      </c>
      <c r="AO130" t="s">
        <v>1510</v>
      </c>
      <c r="AP130" t="s">
        <v>1</v>
      </c>
      <c r="AQ130" t="s">
        <v>2</v>
      </c>
      <c r="AR130" t="s">
        <v>1</v>
      </c>
      <c r="AS130" t="s">
        <v>1</v>
      </c>
      <c r="AT130" t="s">
        <v>1</v>
      </c>
      <c r="AU130" t="s">
        <v>1</v>
      </c>
      <c r="AV130" t="s">
        <v>1</v>
      </c>
      <c r="AW130" t="s">
        <v>11</v>
      </c>
      <c r="AX130">
        <f>Tabla1[[#This Row],[precio del paquete]]-Tabla1[[#This Row],[Saldo_Deudor]]</f>
        <v>2400</v>
      </c>
      <c r="AY130">
        <v>12400</v>
      </c>
      <c r="AZ130" t="s">
        <v>3</v>
      </c>
      <c r="BA130" t="s">
        <v>3</v>
      </c>
      <c r="BB130" t="s">
        <v>3</v>
      </c>
      <c r="BC130" t="s">
        <v>1835</v>
      </c>
      <c r="BD130" t="s">
        <v>1880</v>
      </c>
      <c r="BE130" t="s">
        <v>3</v>
      </c>
      <c r="BF130" t="s">
        <v>3</v>
      </c>
      <c r="BG130" t="s">
        <v>3</v>
      </c>
      <c r="BH130" t="s">
        <v>3</v>
      </c>
      <c r="BI130" t="s">
        <v>3</v>
      </c>
      <c r="BJ130" t="s">
        <v>1937</v>
      </c>
      <c r="BK130" t="s">
        <v>3</v>
      </c>
      <c r="BL130" t="s">
        <v>132</v>
      </c>
      <c r="BM130" t="s">
        <v>1</v>
      </c>
      <c r="BN130">
        <f>Tabla1[[#This Row],[precio del paquete]]</f>
        <v>14800</v>
      </c>
      <c r="BO130" t="s">
        <v>1</v>
      </c>
      <c r="BP130" t="s">
        <v>1</v>
      </c>
      <c r="BQ130" t="s">
        <v>1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1</v>
      </c>
      <c r="CD130" t="str" cm="1">
        <f t="array" aca="1" ref="CD130" ca="1">eConcatenar(A130:CB130,"|")</f>
        <v>0EqFII7JhevPBwhT|COM2021-3999|3|MEMORIAL|TABASCO|COMALCALCO|COMALCALCO|2021-12-28|14800|X|2000|50|2|0|0|0|0|0|0|0|0|0|0|0|0|0|0|MENDEZ|DE DIOS|ELODIA|SOLTERO|X|X|CARRETERA A CARLOS GREEN SIN NUMERO|VILLA ALDAMA|X|9331171214|X|X|X|CARRETERA A CARLOS GREEN SIN NUMERO|X|LUNES|X|X|X|X|X|DOMICILIO |2400|12400|x|x|x|2022-05-02|2022-05-09|x|x|x|x|x|DSYPMZPXEANHGLM|x|HOMBRE|X|14800|X|X|X|X|X|X|X|X|CARDENAS|X|X|X|X|X</v>
      </c>
    </row>
    <row r="131" spans="1:82" x14ac:dyDescent="0.25">
      <c r="A131" t="s">
        <v>265</v>
      </c>
      <c r="B131" t="s">
        <v>576</v>
      </c>
      <c r="C131">
        <v>3</v>
      </c>
      <c r="D131" t="s">
        <v>765</v>
      </c>
      <c r="E131" t="s">
        <v>1398</v>
      </c>
      <c r="F131" t="s">
        <v>771</v>
      </c>
      <c r="G131" t="s">
        <v>771</v>
      </c>
      <c r="H131" t="s">
        <v>865</v>
      </c>
      <c r="I131">
        <v>19800</v>
      </c>
      <c r="J131" t="s">
        <v>1</v>
      </c>
      <c r="K131">
        <v>400</v>
      </c>
      <c r="L131">
        <v>50</v>
      </c>
      <c r="M131">
        <v>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1325</v>
      </c>
      <c r="AC131" t="s">
        <v>1226</v>
      </c>
      <c r="AD131" s="18" t="s">
        <v>1088</v>
      </c>
      <c r="AE131" t="s">
        <v>4</v>
      </c>
      <c r="AF131" t="s">
        <v>1</v>
      </c>
      <c r="AG131" t="s">
        <v>1</v>
      </c>
      <c r="AH131" t="s">
        <v>1511</v>
      </c>
      <c r="AI131" t="s">
        <v>1749</v>
      </c>
      <c r="AJ131" t="s">
        <v>1</v>
      </c>
      <c r="AK131">
        <v>9331645251</v>
      </c>
      <c r="AL131" t="s">
        <v>1</v>
      </c>
      <c r="AM131" t="s">
        <v>1</v>
      </c>
      <c r="AN131" t="s">
        <v>1</v>
      </c>
      <c r="AO131" t="s">
        <v>1511</v>
      </c>
      <c r="AP131" t="s">
        <v>1</v>
      </c>
      <c r="AQ131" t="s">
        <v>2</v>
      </c>
      <c r="AR131" t="s">
        <v>1</v>
      </c>
      <c r="AS131" t="s">
        <v>1</v>
      </c>
      <c r="AT131" t="s">
        <v>1</v>
      </c>
      <c r="AU131" t="s">
        <v>1</v>
      </c>
      <c r="AV131" t="s">
        <v>1</v>
      </c>
      <c r="AW131" t="s">
        <v>11</v>
      </c>
      <c r="AX131">
        <f>Tabla1[[#This Row],[precio del paquete]]-Tabla1[[#This Row],[Saldo_Deudor]]</f>
        <v>8100</v>
      </c>
      <c r="AY131">
        <v>11700</v>
      </c>
      <c r="AZ131" t="s">
        <v>3</v>
      </c>
      <c r="BA131" t="s">
        <v>3</v>
      </c>
      <c r="BB131" t="s">
        <v>3</v>
      </c>
      <c r="BC131" t="s">
        <v>1835</v>
      </c>
      <c r="BD131" t="s">
        <v>1880</v>
      </c>
      <c r="BE131" t="s">
        <v>3</v>
      </c>
      <c r="BF131" t="s">
        <v>3</v>
      </c>
      <c r="BG131" t="s">
        <v>3</v>
      </c>
      <c r="BH131" t="s">
        <v>3</v>
      </c>
      <c r="BI131" t="s">
        <v>3</v>
      </c>
      <c r="BJ131" t="s">
        <v>1937</v>
      </c>
      <c r="BK131" t="s">
        <v>3</v>
      </c>
      <c r="BL131" t="s">
        <v>132</v>
      </c>
      <c r="BM131" t="s">
        <v>1</v>
      </c>
      <c r="BN131">
        <f>Tabla1[[#This Row],[precio del paquete]]</f>
        <v>19800</v>
      </c>
      <c r="BO131" t="s">
        <v>1</v>
      </c>
      <c r="BP131" t="s">
        <v>1</v>
      </c>
      <c r="BQ131" t="s">
        <v>1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1</v>
      </c>
      <c r="CD131" t="str" cm="1">
        <f t="array" aca="1" ref="CD131" ca="1">eConcatenar(A131:CB131,"|")</f>
        <v>HeevMSn2Hp4h9pCf|PAR2019-2421|3|ZAFIRO|TABASCO|PARAISO|PARAISO|2019-03-09|19800|X|400|50|2|0|0|0|0|0|0|0|0|0|0|0|0|0|0|REYES|CRUZ|ELIZABET|SOLTERO|X|X|CALLE DEL PANTEON|RANCHERIA PATASTAL PRIMERA SECCION|X|9331645251|X|X|X|CALLE DEL PANTEON|X|LUNES|X|X|X|X|X|DOMICILIO |8100|11700|x|x|x|2022-05-02|2022-05-09|x|x|x|x|x|DSYPMZPXEANHGLM|x|HOMBRE|X|19800|X|X|X|X|X|X|X|X|CARDENAS|X|X|X|X|X</v>
      </c>
    </row>
    <row r="132" spans="1:82" x14ac:dyDescent="0.25">
      <c r="A132" t="s">
        <v>266</v>
      </c>
      <c r="B132" t="s">
        <v>577</v>
      </c>
      <c r="C132">
        <v>3</v>
      </c>
      <c r="D132" t="s">
        <v>761</v>
      </c>
      <c r="E132" t="s">
        <v>1398</v>
      </c>
      <c r="F132" t="s">
        <v>770</v>
      </c>
      <c r="G132" t="s">
        <v>770</v>
      </c>
      <c r="H132" t="s">
        <v>866</v>
      </c>
      <c r="I132">
        <v>14800</v>
      </c>
      <c r="J132" t="s">
        <v>1</v>
      </c>
      <c r="K132">
        <v>400</v>
      </c>
      <c r="L132">
        <v>50</v>
      </c>
      <c r="M132">
        <v>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1326</v>
      </c>
      <c r="AC132" t="s">
        <v>1255</v>
      </c>
      <c r="AD132" s="18" t="s">
        <v>1089</v>
      </c>
      <c r="AE132" t="s">
        <v>4</v>
      </c>
      <c r="AF132" t="s">
        <v>1</v>
      </c>
      <c r="AG132" t="s">
        <v>1</v>
      </c>
      <c r="AH132" t="s">
        <v>1512</v>
      </c>
      <c r="AI132" t="s">
        <v>1750</v>
      </c>
      <c r="AJ132" t="s">
        <v>1</v>
      </c>
      <c r="AK132">
        <v>9331251026</v>
      </c>
      <c r="AL132" t="s">
        <v>1</v>
      </c>
      <c r="AM132" t="s">
        <v>1</v>
      </c>
      <c r="AN132" t="s">
        <v>1</v>
      </c>
      <c r="AO132" t="s">
        <v>1512</v>
      </c>
      <c r="AP132" t="s">
        <v>1</v>
      </c>
      <c r="AQ132" t="s">
        <v>2</v>
      </c>
      <c r="AR132" t="s">
        <v>1</v>
      </c>
      <c r="AS132" t="s">
        <v>1</v>
      </c>
      <c r="AT132" t="s">
        <v>1</v>
      </c>
      <c r="AU132" t="s">
        <v>1</v>
      </c>
      <c r="AV132" t="s">
        <v>1</v>
      </c>
      <c r="AW132" t="s">
        <v>11</v>
      </c>
      <c r="AX132">
        <f>Tabla1[[#This Row],[precio del paquete]]-Tabla1[[#This Row],[Saldo_Deudor]]</f>
        <v>1700</v>
      </c>
      <c r="AY132">
        <v>13100</v>
      </c>
      <c r="AZ132" t="s">
        <v>3</v>
      </c>
      <c r="BA132" t="s">
        <v>3</v>
      </c>
      <c r="BB132" t="s">
        <v>3</v>
      </c>
      <c r="BC132" t="s">
        <v>778</v>
      </c>
      <c r="BD132" t="s">
        <v>1915</v>
      </c>
      <c r="BE132" t="s">
        <v>3</v>
      </c>
      <c r="BF132" t="s">
        <v>3</v>
      </c>
      <c r="BG132" t="s">
        <v>3</v>
      </c>
      <c r="BH132" t="s">
        <v>3</v>
      </c>
      <c r="BI132" t="s">
        <v>3</v>
      </c>
      <c r="BJ132" t="s">
        <v>1937</v>
      </c>
      <c r="BK132" t="s">
        <v>3</v>
      </c>
      <c r="BL132" t="s">
        <v>132</v>
      </c>
      <c r="BM132" t="s">
        <v>1</v>
      </c>
      <c r="BN132">
        <f>Tabla1[[#This Row],[precio del paquete]]</f>
        <v>14800</v>
      </c>
      <c r="BO132" t="s">
        <v>1</v>
      </c>
      <c r="BP132" t="s">
        <v>1</v>
      </c>
      <c r="BQ132" t="s">
        <v>1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1</v>
      </c>
      <c r="CD132" t="str" cm="1">
        <f t="array" aca="1" ref="CD132" ca="1">eConcatenar(A132:CB132,"|")</f>
        <v>kxMlHxshKAjFrRMH|COM2021-3951|3|MEMORIAL|TABASCO|COMALCALCO|COMALCALCO|2021-08-12|14800|X|400|50|2|0|0|0|0|0|0|0|0|0|0|0|0|0|0|ALVARADO|CORDOVA|DANIEL|SOLTERO|X|X|CALLE DEL TEMPLO EBEN EZER|RANCHERIA EMILIANO ZAPATA|X|9331251026|X|X|X|CALLE DEL TEMPLO EBEN EZER|X|LUNES|X|X|X|X|X|DOMICILIO |1700|13100|x|x|x|2022-04-02|2022-04-09|x|x|x|x|x|DSYPMZPXEANHGLM|x|HOMBRE|X|14800|X|X|X|X|X|X|X|X|CARDENAS|X|X|X|X|X</v>
      </c>
    </row>
    <row r="133" spans="1:82" x14ac:dyDescent="0.25">
      <c r="A133" t="s">
        <v>267</v>
      </c>
      <c r="B133" t="s">
        <v>578</v>
      </c>
      <c r="C133">
        <v>3</v>
      </c>
      <c r="D133" t="s">
        <v>761</v>
      </c>
      <c r="E133" t="s">
        <v>1398</v>
      </c>
      <c r="F133" t="s">
        <v>0</v>
      </c>
      <c r="G133" t="s">
        <v>0</v>
      </c>
      <c r="H133" t="s">
        <v>867</v>
      </c>
      <c r="I133">
        <v>14800</v>
      </c>
      <c r="J133" t="s">
        <v>1</v>
      </c>
      <c r="K133">
        <v>400</v>
      </c>
      <c r="L133">
        <v>50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1257</v>
      </c>
      <c r="AC133" t="s">
        <v>1327</v>
      </c>
      <c r="AD133" s="18" t="s">
        <v>1090</v>
      </c>
      <c r="AE133" t="s">
        <v>4</v>
      </c>
      <c r="AF133" t="s">
        <v>1</v>
      </c>
      <c r="AG133" t="s">
        <v>1</v>
      </c>
      <c r="AH133" t="s">
        <v>1513</v>
      </c>
      <c r="AI133" t="s">
        <v>1529</v>
      </c>
      <c r="AJ133" t="s">
        <v>1</v>
      </c>
      <c r="AK133">
        <v>9371104611</v>
      </c>
      <c r="AL133" t="s">
        <v>1</v>
      </c>
      <c r="AM133" t="s">
        <v>1</v>
      </c>
      <c r="AN133" t="s">
        <v>1</v>
      </c>
      <c r="AO133" t="s">
        <v>1513</v>
      </c>
      <c r="AP133" t="s">
        <v>1</v>
      </c>
      <c r="AQ133" t="s">
        <v>2</v>
      </c>
      <c r="AR133" t="s">
        <v>1</v>
      </c>
      <c r="AS133" t="s">
        <v>1</v>
      </c>
      <c r="AT133" t="s">
        <v>1</v>
      </c>
      <c r="AU133" t="s">
        <v>1</v>
      </c>
      <c r="AV133" t="s">
        <v>1</v>
      </c>
      <c r="AW133" t="s">
        <v>11</v>
      </c>
      <c r="AX133">
        <f>Tabla1[[#This Row],[precio del paquete]]-Tabla1[[#This Row],[Saldo_Deudor]]</f>
        <v>3100</v>
      </c>
      <c r="AY133">
        <v>11700</v>
      </c>
      <c r="AZ133" t="s">
        <v>3</v>
      </c>
      <c r="BA133" t="s">
        <v>3</v>
      </c>
      <c r="BB133" t="s">
        <v>3</v>
      </c>
      <c r="BC133" t="s">
        <v>1835</v>
      </c>
      <c r="BD133" t="s">
        <v>1880</v>
      </c>
      <c r="BE133" t="s">
        <v>3</v>
      </c>
      <c r="BF133" t="s">
        <v>3</v>
      </c>
      <c r="BG133" t="s">
        <v>3</v>
      </c>
      <c r="BH133" t="s">
        <v>3</v>
      </c>
      <c r="BI133" t="s">
        <v>3</v>
      </c>
      <c r="BJ133" t="s">
        <v>1938</v>
      </c>
      <c r="BK133" t="s">
        <v>3</v>
      </c>
      <c r="BL133" t="s">
        <v>132</v>
      </c>
      <c r="BM133" t="s">
        <v>1</v>
      </c>
      <c r="BN133">
        <f>Tabla1[[#This Row],[precio del paquete]]</f>
        <v>14800</v>
      </c>
      <c r="BO133" t="s">
        <v>1</v>
      </c>
      <c r="BP133" t="s">
        <v>1</v>
      </c>
      <c r="BQ133" t="s">
        <v>1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1</v>
      </c>
      <c r="CD133" t="str" cm="1">
        <f t="array" aca="1" ref="CD133" ca="1">eConcatenar(A133:CB133,"|")</f>
        <v>PPNnv2qvSnBJYmUo|CAR2021-5265|3|MEMORIAL|TABASCO|CARDENAS|CARDENAS|2021-11-09|14800|X|400|50|1|0|0|0|0|0|0|0|0|0|0|0|0|0|0|ZAPATA|VASCONCELOS|MARIA DEL CARMEN|SOLTERO|X|X|CALLE ERNESTO AGUIRRE COLORADO NUMERO 549|COLONIA PUEBLO NUEVO|X|9371104611|X|X|X|CALLE ERNESTO AGUIRRE COLORADO NUMERO 549|X|LUNES|X|X|X|X|X|DOMICILIO |3100|11700|x|x|x|2022-05-02|2022-05-09|x|x|x|x|x|CUZ2SKRCKVTMLTR|x|HOMBRE|X|14800|X|X|X|X|X|X|X|X|CARDENAS|X|X|X|X|X</v>
      </c>
    </row>
    <row r="134" spans="1:82" x14ac:dyDescent="0.25">
      <c r="A134" t="s">
        <v>268</v>
      </c>
      <c r="B134" t="s">
        <v>579</v>
      </c>
      <c r="C134">
        <v>3</v>
      </c>
      <c r="D134" t="s">
        <v>761</v>
      </c>
      <c r="E134" t="s">
        <v>1398</v>
      </c>
      <c r="F134" t="s">
        <v>0</v>
      </c>
      <c r="G134" t="s">
        <v>0</v>
      </c>
      <c r="H134" t="s">
        <v>868</v>
      </c>
      <c r="I134">
        <v>14800</v>
      </c>
      <c r="J134" t="s">
        <v>1</v>
      </c>
      <c r="K134">
        <v>1000</v>
      </c>
      <c r="L134">
        <v>50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1267</v>
      </c>
      <c r="AC134" t="s">
        <v>1256</v>
      </c>
      <c r="AD134" s="18" t="s">
        <v>1091</v>
      </c>
      <c r="AE134" t="s">
        <v>4</v>
      </c>
      <c r="AF134" t="s">
        <v>1</v>
      </c>
      <c r="AG134" t="s">
        <v>1</v>
      </c>
      <c r="AH134" t="s">
        <v>1514</v>
      </c>
      <c r="AI134" t="s">
        <v>1751</v>
      </c>
      <c r="AJ134" t="s">
        <v>1</v>
      </c>
      <c r="AK134">
        <v>9373692326</v>
      </c>
      <c r="AL134" t="s">
        <v>1</v>
      </c>
      <c r="AM134" t="s">
        <v>1</v>
      </c>
      <c r="AN134" t="s">
        <v>1</v>
      </c>
      <c r="AO134" t="s">
        <v>1514</v>
      </c>
      <c r="AP134" t="s">
        <v>1</v>
      </c>
      <c r="AQ134" t="s">
        <v>2</v>
      </c>
      <c r="AR134" t="s">
        <v>1</v>
      </c>
      <c r="AS134" t="s">
        <v>1</v>
      </c>
      <c r="AT134" t="s">
        <v>1</v>
      </c>
      <c r="AU134" t="s">
        <v>1</v>
      </c>
      <c r="AV134" t="s">
        <v>1</v>
      </c>
      <c r="AW134" t="s">
        <v>11</v>
      </c>
      <c r="AX134">
        <f>Tabla1[[#This Row],[precio del paquete]]-Tabla1[[#This Row],[Saldo_Deudor]]</f>
        <v>2000</v>
      </c>
      <c r="AY134">
        <v>12800</v>
      </c>
      <c r="AZ134" t="s">
        <v>3</v>
      </c>
      <c r="BA134" t="s">
        <v>3</v>
      </c>
      <c r="BB134" t="s">
        <v>3</v>
      </c>
      <c r="BC134" t="s">
        <v>781</v>
      </c>
      <c r="BD134" t="s">
        <v>1916</v>
      </c>
      <c r="BE134" t="s">
        <v>3</v>
      </c>
      <c r="BF134" t="s">
        <v>3</v>
      </c>
      <c r="BG134" t="s">
        <v>3</v>
      </c>
      <c r="BH134" t="s">
        <v>3</v>
      </c>
      <c r="BI134" t="s">
        <v>3</v>
      </c>
      <c r="BJ134" t="s">
        <v>1938</v>
      </c>
      <c r="BK134" t="s">
        <v>3</v>
      </c>
      <c r="BL134" t="s">
        <v>132</v>
      </c>
      <c r="BM134" t="s">
        <v>1</v>
      </c>
      <c r="BN134">
        <f>Tabla1[[#This Row],[precio del paquete]]</f>
        <v>14800</v>
      </c>
      <c r="BO134" t="s">
        <v>1</v>
      </c>
      <c r="BP134" t="s">
        <v>1</v>
      </c>
      <c r="BQ134" t="s">
        <v>1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1</v>
      </c>
      <c r="CD134" t="str" cm="1">
        <f t="array" aca="1" ref="CD134" ca="1">eConcatenar(A134:CB134,"|")</f>
        <v>FodSQPcZIVnqqs66|CAR2021-6638|3|MEMORIAL|TABASCO|CARDENAS|CARDENAS|2021-05-11|14800|X|1000|50|1|0|0|0|0|0|0|0|0|0|0|0|0|0|0|JIMENEZ|OLAN|RAUL|SOLTERO|X|X|CARRETERA AL HABANERO|EJIDO BAJIO SEGUNDA SECCION|X|9373692326|X|X|X|CARRETERA AL HABANERO|X|LUNES|X|X|X|X|X|DOMICILIO |2000|12800|x|x|x|2022-08-01|2022-08-08|x|x|x|x|x|CUZ2SKRCKVTMLTR|x|HOMBRE|X|14800|X|X|X|X|X|X|X|X|CARDENAS|X|X|X|X|X</v>
      </c>
    </row>
    <row r="135" spans="1:82" x14ac:dyDescent="0.25">
      <c r="A135" t="s">
        <v>269</v>
      </c>
      <c r="B135" t="s">
        <v>580</v>
      </c>
      <c r="C135">
        <v>3</v>
      </c>
      <c r="D135" t="s">
        <v>763</v>
      </c>
      <c r="E135" t="s">
        <v>1398</v>
      </c>
      <c r="F135" t="s">
        <v>0</v>
      </c>
      <c r="G135" t="s">
        <v>0</v>
      </c>
      <c r="H135" t="s">
        <v>869</v>
      </c>
      <c r="I135">
        <v>12900</v>
      </c>
      <c r="J135" t="s">
        <v>1</v>
      </c>
      <c r="K135">
        <v>200</v>
      </c>
      <c r="L135">
        <v>50</v>
      </c>
      <c r="M135">
        <v>1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1397</v>
      </c>
      <c r="AC135" t="s">
        <v>1248</v>
      </c>
      <c r="AD135" s="18" t="s">
        <v>1403</v>
      </c>
      <c r="AE135" t="s">
        <v>4</v>
      </c>
      <c r="AF135" t="s">
        <v>1</v>
      </c>
      <c r="AG135" t="s">
        <v>1</v>
      </c>
      <c r="AH135" t="s">
        <v>1515</v>
      </c>
      <c r="AI135" t="s">
        <v>1669</v>
      </c>
      <c r="AJ135" t="s">
        <v>1</v>
      </c>
      <c r="AK135">
        <v>9375933008</v>
      </c>
      <c r="AL135" t="s">
        <v>1</v>
      </c>
      <c r="AM135" t="s">
        <v>1</v>
      </c>
      <c r="AN135" t="s">
        <v>1</v>
      </c>
      <c r="AO135" t="s">
        <v>1515</v>
      </c>
      <c r="AP135" t="s">
        <v>1</v>
      </c>
      <c r="AQ135" t="s">
        <v>2</v>
      </c>
      <c r="AR135" t="s">
        <v>1</v>
      </c>
      <c r="AS135" t="s">
        <v>1</v>
      </c>
      <c r="AT135" t="s">
        <v>1</v>
      </c>
      <c r="AU135" t="s">
        <v>1</v>
      </c>
      <c r="AV135" t="s">
        <v>1</v>
      </c>
      <c r="AW135" t="s">
        <v>11</v>
      </c>
      <c r="AX135">
        <f>Tabla1[[#This Row],[precio del paquete]]-Tabla1[[#This Row],[Saldo_Deudor]]</f>
        <v>4550</v>
      </c>
      <c r="AY135">
        <v>8350</v>
      </c>
      <c r="AZ135" t="s">
        <v>3</v>
      </c>
      <c r="BA135" t="s">
        <v>3</v>
      </c>
      <c r="BB135" t="s">
        <v>3</v>
      </c>
      <c r="BC135" t="s">
        <v>1860</v>
      </c>
      <c r="BD135" t="s">
        <v>973</v>
      </c>
      <c r="BE135" t="s">
        <v>3</v>
      </c>
      <c r="BF135" t="s">
        <v>3</v>
      </c>
      <c r="BG135" t="s">
        <v>3</v>
      </c>
      <c r="BH135" t="s">
        <v>3</v>
      </c>
      <c r="BI135" t="s">
        <v>3</v>
      </c>
      <c r="BJ135" t="s">
        <v>1938</v>
      </c>
      <c r="BK135" t="s">
        <v>3</v>
      </c>
      <c r="BL135" t="s">
        <v>132</v>
      </c>
      <c r="BM135" t="s">
        <v>1</v>
      </c>
      <c r="BN135">
        <f>Tabla1[[#This Row],[precio del paquete]]</f>
        <v>12900</v>
      </c>
      <c r="BO135" t="s">
        <v>1</v>
      </c>
      <c r="BP135" t="s">
        <v>1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1</v>
      </c>
      <c r="CD135" t="str" cm="1">
        <f t="array" aca="1" ref="CD135" ca="1">eConcatenar(A135:CB135,"|")</f>
        <v>srYvPMtCu9e6iCcN|CAR2020-2858|3|IMPERIAL DE LUJO|TABASCO|CARDENAS|CARDENAS|2020-03-09|12900|X|200|50|1|0|0|0|0|0|0|0|0|0|0|0|0|0|0|BARREDO|PEREZ|DULCEMARIA DE GUADALUPE|SOLTERO|X|X|PROLONGACION AURELIO SOSA 16 A|COLONIA SANTA MARIA DE GUADALUPE|X|9375933008|X|X|X|PROLONGACION AURELIO SOSA 16 A|X|LUNES|X|X|X|X|X|DOMICILIO |4550|8350|x|x|x|2022-01-14|2022-01-21|x|x|x|x|x|CUZ2SKRCKVTMLTR|x|HOMBRE|X|12900|X|X|X|X|X|X|X|X|CARDENAS|X|X|X|X|X</v>
      </c>
    </row>
    <row r="136" spans="1:82" x14ac:dyDescent="0.25">
      <c r="A136" t="s">
        <v>270</v>
      </c>
      <c r="B136" t="s">
        <v>581</v>
      </c>
      <c r="C136">
        <v>3</v>
      </c>
      <c r="D136" t="s">
        <v>763</v>
      </c>
      <c r="E136" t="s">
        <v>1398</v>
      </c>
      <c r="F136" t="s">
        <v>0</v>
      </c>
      <c r="G136" t="s">
        <v>0</v>
      </c>
      <c r="H136" t="s">
        <v>870</v>
      </c>
      <c r="I136">
        <v>12900</v>
      </c>
      <c r="J136" t="s">
        <v>1</v>
      </c>
      <c r="K136">
        <v>100</v>
      </c>
      <c r="L136">
        <v>50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1251</v>
      </c>
      <c r="AC136" t="s">
        <v>1321</v>
      </c>
      <c r="AD136" s="18" t="s">
        <v>1092</v>
      </c>
      <c r="AE136" t="s">
        <v>4</v>
      </c>
      <c r="AF136" t="s">
        <v>1</v>
      </c>
      <c r="AG136" t="s">
        <v>1</v>
      </c>
      <c r="AH136" t="s">
        <v>1516</v>
      </c>
      <c r="AI136" t="s">
        <v>1752</v>
      </c>
      <c r="AJ136" t="s">
        <v>1</v>
      </c>
      <c r="AK136">
        <v>9932846228</v>
      </c>
      <c r="AL136" t="s">
        <v>1</v>
      </c>
      <c r="AM136" t="s">
        <v>1</v>
      </c>
      <c r="AN136" t="s">
        <v>1</v>
      </c>
      <c r="AO136" t="s">
        <v>1516</v>
      </c>
      <c r="AP136" t="s">
        <v>1</v>
      </c>
      <c r="AQ136" t="s">
        <v>2</v>
      </c>
      <c r="AR136" t="s">
        <v>1</v>
      </c>
      <c r="AS136" t="s">
        <v>1</v>
      </c>
      <c r="AT136" t="s">
        <v>1</v>
      </c>
      <c r="AU136" t="s">
        <v>1</v>
      </c>
      <c r="AV136" t="s">
        <v>1</v>
      </c>
      <c r="AW136" t="s">
        <v>11</v>
      </c>
      <c r="AX136">
        <f>Tabla1[[#This Row],[precio del paquete]]-Tabla1[[#This Row],[Saldo_Deudor]]</f>
        <v>5500</v>
      </c>
      <c r="AY136">
        <v>7400</v>
      </c>
      <c r="AZ136" t="s">
        <v>3</v>
      </c>
      <c r="BA136" t="s">
        <v>3</v>
      </c>
      <c r="BB136" t="s">
        <v>3</v>
      </c>
      <c r="BC136" t="s">
        <v>799</v>
      </c>
      <c r="BD136" t="s">
        <v>1898</v>
      </c>
      <c r="BE136" t="s">
        <v>3</v>
      </c>
      <c r="BF136" t="s">
        <v>3</v>
      </c>
      <c r="BG136" t="s">
        <v>3</v>
      </c>
      <c r="BH136" t="s">
        <v>3</v>
      </c>
      <c r="BI136" t="s">
        <v>3</v>
      </c>
      <c r="BJ136" t="s">
        <v>1938</v>
      </c>
      <c r="BK136" t="s">
        <v>3</v>
      </c>
      <c r="BL136" t="s">
        <v>132</v>
      </c>
      <c r="BM136" t="s">
        <v>1</v>
      </c>
      <c r="BN136">
        <f>Tabla1[[#This Row],[precio del paquete]]</f>
        <v>12900</v>
      </c>
      <c r="BO136" t="s">
        <v>1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1</v>
      </c>
      <c r="CD136" t="str" cm="1">
        <f t="array" aca="1" ref="CD136" ca="1">eConcatenar(A136:CB136,"|")</f>
        <v>GOCWiDzN9MMxaAda|CAR2020-3622|3|IMPERIAL DE LUJO|TABASCO|CARDENAS|CARDENAS|2020-02-10|12900|X|100|50|1|0|0|0|0|0|0|0|0|0|0|0|0|0|0|JUAREZ|PEREGRINO|PATRICIA|SOLTERO|X|X|CARRETERA CARDENAS HUIMANGUILLO |RANCHERIA HABANERO |X|9932846228|X|X|X|CARRETERA CARDENAS HUIMANGUILLO |X|LUNES|X|X|X|X|X|DOMICILIO |5500|7400|x|x|x|2022-02-01|2022-02-08|x|x|x|x|x|CUZ2SKRCKVTMLTR|x|HOMBRE|X|12900|X|X|X|X|X|X|X|X|CARDENAS|X|X|X|X|X</v>
      </c>
    </row>
    <row r="137" spans="1:82" x14ac:dyDescent="0.25">
      <c r="A137" t="s">
        <v>271</v>
      </c>
      <c r="B137" t="s">
        <v>582</v>
      </c>
      <c r="C137">
        <v>3</v>
      </c>
      <c r="D137" t="s">
        <v>763</v>
      </c>
      <c r="E137" t="s">
        <v>1398</v>
      </c>
      <c r="F137" t="s">
        <v>0</v>
      </c>
      <c r="G137" t="s">
        <v>0</v>
      </c>
      <c r="H137" t="s">
        <v>871</v>
      </c>
      <c r="I137">
        <v>12900</v>
      </c>
      <c r="J137" t="s">
        <v>1</v>
      </c>
      <c r="K137">
        <v>200</v>
      </c>
      <c r="L137">
        <v>50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1294</v>
      </c>
      <c r="AC137" t="s">
        <v>1273</v>
      </c>
      <c r="AD137" s="18" t="s">
        <v>1093</v>
      </c>
      <c r="AE137" t="s">
        <v>4</v>
      </c>
      <c r="AF137" t="s">
        <v>1</v>
      </c>
      <c r="AG137" t="s">
        <v>1</v>
      </c>
      <c r="AH137" t="s">
        <v>1517</v>
      </c>
      <c r="AI137" t="s">
        <v>1666</v>
      </c>
      <c r="AJ137" t="s">
        <v>1</v>
      </c>
      <c r="AK137">
        <v>9371207358</v>
      </c>
      <c r="AL137" t="s">
        <v>1</v>
      </c>
      <c r="AM137" t="s">
        <v>1</v>
      </c>
      <c r="AN137" t="s">
        <v>1</v>
      </c>
      <c r="AO137" t="s">
        <v>1517</v>
      </c>
      <c r="AP137" t="s">
        <v>1</v>
      </c>
      <c r="AQ137" t="s">
        <v>2</v>
      </c>
      <c r="AR137" t="s">
        <v>1</v>
      </c>
      <c r="AS137" t="s">
        <v>1</v>
      </c>
      <c r="AT137" t="s">
        <v>1</v>
      </c>
      <c r="AU137" t="s">
        <v>1</v>
      </c>
      <c r="AV137" t="s">
        <v>1</v>
      </c>
      <c r="AW137" t="s">
        <v>11</v>
      </c>
      <c r="AX137">
        <f>Tabla1[[#This Row],[precio del paquete]]-Tabla1[[#This Row],[Saldo_Deudor]]</f>
        <v>6800</v>
      </c>
      <c r="AY137">
        <v>6100</v>
      </c>
      <c r="AZ137" t="s">
        <v>3</v>
      </c>
      <c r="BA137" t="s">
        <v>3</v>
      </c>
      <c r="BB137" t="s">
        <v>3</v>
      </c>
      <c r="BC137" t="s">
        <v>773</v>
      </c>
      <c r="BD137" t="s">
        <v>1879</v>
      </c>
      <c r="BE137" t="s">
        <v>3</v>
      </c>
      <c r="BF137" t="s">
        <v>3</v>
      </c>
      <c r="BG137" t="s">
        <v>3</v>
      </c>
      <c r="BH137" t="s">
        <v>3</v>
      </c>
      <c r="BI137" t="s">
        <v>3</v>
      </c>
      <c r="BJ137" t="s">
        <v>1938</v>
      </c>
      <c r="BK137" t="s">
        <v>3</v>
      </c>
      <c r="BL137" t="s">
        <v>132</v>
      </c>
      <c r="BM137" t="s">
        <v>1</v>
      </c>
      <c r="BN137">
        <f>Tabla1[[#This Row],[precio del paquete]]</f>
        <v>12900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1</v>
      </c>
      <c r="CD137" t="str" cm="1">
        <f t="array" aca="1" ref="CD137" ca="1">eConcatenar(A137:CB137,"|")</f>
        <v>ZCkoDczmI62T95fB|CAR2020-2496|3|IMPERIAL DE LUJO|TABASCO|CARDENAS|CARDENAS|2020-08-19|12900|X|200|50|1|0|0|0|0|0|0|0|0|0|0|0|0|0|0|AQUINO|MONTEJO|EDUVIEL|SOLTERO|X|X|PROLONGACION DEGOLLADO|COLONIA EL TOLOQUE|X|9371207358|X|X|X|PROLONGACION DEGOLLADO|X|LUNES|X|X|X|X|X|DOMICILIO |6800|6100|x|x|x|2022-07-02|2022-07-09|x|x|x|x|x|CUZ2SKRCKVTMLTR|x|HOMBRE|X|12900|X|X|X|X|X|X|X|X|CARDENAS|X|X|X|X|X</v>
      </c>
    </row>
    <row r="138" spans="1:82" x14ac:dyDescent="0.25">
      <c r="A138" t="s">
        <v>272</v>
      </c>
      <c r="B138" t="s">
        <v>583</v>
      </c>
      <c r="C138">
        <v>3</v>
      </c>
      <c r="D138" t="s">
        <v>763</v>
      </c>
      <c r="E138" t="s">
        <v>1398</v>
      </c>
      <c r="F138" t="s">
        <v>0</v>
      </c>
      <c r="G138" t="s">
        <v>0</v>
      </c>
      <c r="H138" t="s">
        <v>872</v>
      </c>
      <c r="I138">
        <v>12900</v>
      </c>
      <c r="J138" t="s">
        <v>1</v>
      </c>
      <c r="K138">
        <v>200</v>
      </c>
      <c r="L138">
        <v>50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1226</v>
      </c>
      <c r="AC138" t="s">
        <v>1328</v>
      </c>
      <c r="AD138" s="18" t="s">
        <v>1071</v>
      </c>
      <c r="AE138" t="s">
        <v>4</v>
      </c>
      <c r="AF138" t="s">
        <v>1</v>
      </c>
      <c r="AG138" t="s">
        <v>1</v>
      </c>
      <c r="AH138" t="s">
        <v>1518</v>
      </c>
      <c r="AI138" t="s">
        <v>1753</v>
      </c>
      <c r="AJ138" t="s">
        <v>1</v>
      </c>
      <c r="AK138">
        <v>9371676790</v>
      </c>
      <c r="AL138" t="s">
        <v>1</v>
      </c>
      <c r="AM138" t="s">
        <v>1</v>
      </c>
      <c r="AN138" t="s">
        <v>1</v>
      </c>
      <c r="AO138" t="s">
        <v>1518</v>
      </c>
      <c r="AP138" t="s">
        <v>1</v>
      </c>
      <c r="AQ138" t="s">
        <v>2</v>
      </c>
      <c r="AR138" t="s">
        <v>1</v>
      </c>
      <c r="AS138" t="s">
        <v>1</v>
      </c>
      <c r="AT138" t="s">
        <v>1</v>
      </c>
      <c r="AU138" t="s">
        <v>1</v>
      </c>
      <c r="AV138" t="s">
        <v>1</v>
      </c>
      <c r="AW138" t="s">
        <v>11</v>
      </c>
      <c r="AX138">
        <f>Tabla1[[#This Row],[precio del paquete]]-Tabla1[[#This Row],[Saldo_Deudor]]</f>
        <v>6400</v>
      </c>
      <c r="AY138">
        <v>6500</v>
      </c>
      <c r="AZ138" t="s">
        <v>3</v>
      </c>
      <c r="BA138" t="s">
        <v>3</v>
      </c>
      <c r="BB138" t="s">
        <v>3</v>
      </c>
      <c r="BC138" t="s">
        <v>1835</v>
      </c>
      <c r="BD138" t="s">
        <v>1880</v>
      </c>
      <c r="BE138" t="s">
        <v>3</v>
      </c>
      <c r="BF138" t="s">
        <v>3</v>
      </c>
      <c r="BG138" t="s">
        <v>3</v>
      </c>
      <c r="BH138" t="s">
        <v>3</v>
      </c>
      <c r="BI138" t="s">
        <v>3</v>
      </c>
      <c r="BJ138" t="s">
        <v>1938</v>
      </c>
      <c r="BK138" t="s">
        <v>3</v>
      </c>
      <c r="BL138" t="s">
        <v>132</v>
      </c>
      <c r="BM138" t="s">
        <v>1</v>
      </c>
      <c r="BN138">
        <f>Tabla1[[#This Row],[precio del paquete]]</f>
        <v>12900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1</v>
      </c>
      <c r="CD138" t="str" cm="1">
        <f t="array" aca="1" ref="CD138" ca="1">eConcatenar(A138:CB138,"|")</f>
        <v>DF6J3S5Fu2u47bFy|CAR2020-2610|3|IMPERIAL DE LUJO|TABASCO|CARDENAS|CARDENAS|2020-08-20|12900|X|200|50|1|0|0|0|0|0|0|0|0|0|0|0|0|0|0|CRUZ|ORDAÃ‘EZ|PATRICIA DEL CARMEN|SOLTERO|X|X|CALLE HOMBRES DEL SURESTE MANZANA 21 LOTE 22|COLONIA JULIAN MONTEJO|X|9371676790|X|X|X|CALLE HOMBRES DEL SURESTE MANZANA 21 LOTE 22|X|LUNES|X|X|X|X|X|DOMICILIO |6400|6500|x|x|x|2022-05-02|2022-05-09|x|x|x|x|x|CUZ2SKRCKVTMLTR|x|HOMBRE|X|12900|X|X|X|X|X|X|X|X|CARDENAS|X|X|X|X|X</v>
      </c>
    </row>
    <row r="139" spans="1:82" x14ac:dyDescent="0.25">
      <c r="A139" t="s">
        <v>273</v>
      </c>
      <c r="B139" t="s">
        <v>584</v>
      </c>
      <c r="C139">
        <v>3</v>
      </c>
      <c r="D139" t="s">
        <v>761</v>
      </c>
      <c r="E139" t="s">
        <v>1398</v>
      </c>
      <c r="F139" t="s">
        <v>0</v>
      </c>
      <c r="G139" t="s">
        <v>0</v>
      </c>
      <c r="H139" t="s">
        <v>873</v>
      </c>
      <c r="I139">
        <v>14800</v>
      </c>
      <c r="J139" t="s">
        <v>1</v>
      </c>
      <c r="K139">
        <v>50</v>
      </c>
      <c r="L139">
        <v>50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1329</v>
      </c>
      <c r="AC139" t="s">
        <v>1266</v>
      </c>
      <c r="AD139" s="18" t="s">
        <v>1094</v>
      </c>
      <c r="AE139" t="s">
        <v>4</v>
      </c>
      <c r="AF139" t="s">
        <v>1</v>
      </c>
      <c r="AG139" t="s">
        <v>1</v>
      </c>
      <c r="AH139" t="s">
        <v>1479</v>
      </c>
      <c r="AI139" t="s">
        <v>1728</v>
      </c>
      <c r="AJ139" t="s">
        <v>1</v>
      </c>
      <c r="AK139">
        <v>9371293876</v>
      </c>
      <c r="AL139" t="s">
        <v>1</v>
      </c>
      <c r="AM139" t="s">
        <v>1</v>
      </c>
      <c r="AN139" t="s">
        <v>1</v>
      </c>
      <c r="AO139" t="s">
        <v>1479</v>
      </c>
      <c r="AP139" t="s">
        <v>1</v>
      </c>
      <c r="AQ139" t="s">
        <v>2</v>
      </c>
      <c r="AR139" t="s">
        <v>1</v>
      </c>
      <c r="AS139" t="s">
        <v>1</v>
      </c>
      <c r="AT139" t="s">
        <v>1</v>
      </c>
      <c r="AU139" t="s">
        <v>1</v>
      </c>
      <c r="AV139" t="s">
        <v>1</v>
      </c>
      <c r="AW139" t="s">
        <v>11</v>
      </c>
      <c r="AX139">
        <f>Tabla1[[#This Row],[precio del paquete]]-Tabla1[[#This Row],[Saldo_Deudor]]</f>
        <v>550</v>
      </c>
      <c r="AY139">
        <v>14250</v>
      </c>
      <c r="AZ139" t="s">
        <v>3</v>
      </c>
      <c r="BA139" t="s">
        <v>3</v>
      </c>
      <c r="BB139" t="s">
        <v>3</v>
      </c>
      <c r="BC139" t="s">
        <v>1835</v>
      </c>
      <c r="BD139" t="s">
        <v>1880</v>
      </c>
      <c r="BE139" t="s">
        <v>3</v>
      </c>
      <c r="BF139" t="s">
        <v>3</v>
      </c>
      <c r="BG139" t="s">
        <v>3</v>
      </c>
      <c r="BH139" t="s">
        <v>3</v>
      </c>
      <c r="BI139" t="s">
        <v>3</v>
      </c>
      <c r="BJ139" t="s">
        <v>1938</v>
      </c>
      <c r="BK139" t="s">
        <v>3</v>
      </c>
      <c r="BL139" t="s">
        <v>132</v>
      </c>
      <c r="BM139" t="s">
        <v>1</v>
      </c>
      <c r="BN139">
        <f>Tabla1[[#This Row],[precio del paquete]]</f>
        <v>14800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1</v>
      </c>
      <c r="CD139" t="str" cm="1">
        <f t="array" aca="1" ref="CD139" ca="1">eConcatenar(A139:CB139,"|")</f>
        <v>x77laSLgaW1kcZjQ|CAR2021-7282|3|MEMORIAL|TABASCO|CARDENAS|CARDENAS|2021-11-30|14800|X|50|50|1|0|0|0|0|0|0|0|0|0|0|0|0|0|0|PRESENDA|HERNANDEZ|JOSE DEL CARMEN|SOLTERO|X|X|CARRETERA PRINCIPAL|RANCHERIA MIAHUATLAN SEGUNDA SECCION|X|9371293876|X|X|X|CARRETERA PRINCIPAL|X|LUNES|X|X|X|X|X|DOMICILIO |550|14250|x|x|x|2022-05-02|2022-05-09|x|x|x|x|x|CUZ2SKRCKVTMLTR|x|HOMBRE|X|14800|X|X|X|X|X|X|X|X|CARDENAS|X|X|X|X|X</v>
      </c>
    </row>
    <row r="140" spans="1:82" x14ac:dyDescent="0.25">
      <c r="A140" t="s">
        <v>274</v>
      </c>
      <c r="B140" t="s">
        <v>585</v>
      </c>
      <c r="C140">
        <v>3</v>
      </c>
      <c r="D140" t="s">
        <v>761</v>
      </c>
      <c r="E140" t="s">
        <v>1398</v>
      </c>
      <c r="F140" t="s">
        <v>0</v>
      </c>
      <c r="G140" t="s">
        <v>0</v>
      </c>
      <c r="H140" t="s">
        <v>874</v>
      </c>
      <c r="I140">
        <v>14800</v>
      </c>
      <c r="J140" t="s">
        <v>1</v>
      </c>
      <c r="K140">
        <v>200</v>
      </c>
      <c r="L140">
        <v>50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1256</v>
      </c>
      <c r="AC140" t="s">
        <v>1330</v>
      </c>
      <c r="AD140" s="18" t="s">
        <v>1095</v>
      </c>
      <c r="AE140" t="s">
        <v>4</v>
      </c>
      <c r="AF140" t="s">
        <v>1</v>
      </c>
      <c r="AG140" t="s">
        <v>1</v>
      </c>
      <c r="AH140" t="s">
        <v>1519</v>
      </c>
      <c r="AI140" t="s">
        <v>1754</v>
      </c>
      <c r="AJ140" t="s">
        <v>1</v>
      </c>
      <c r="AK140">
        <v>9371290226</v>
      </c>
      <c r="AL140" t="s">
        <v>1</v>
      </c>
      <c r="AM140" t="s">
        <v>1</v>
      </c>
      <c r="AN140" t="s">
        <v>1</v>
      </c>
      <c r="AO140" t="s">
        <v>1519</v>
      </c>
      <c r="AP140" t="s">
        <v>1</v>
      </c>
      <c r="AQ140" t="s">
        <v>2</v>
      </c>
      <c r="AR140" t="s">
        <v>1</v>
      </c>
      <c r="AS140" t="s">
        <v>1</v>
      </c>
      <c r="AT140" t="s">
        <v>1</v>
      </c>
      <c r="AU140" t="s">
        <v>1</v>
      </c>
      <c r="AV140" t="s">
        <v>1</v>
      </c>
      <c r="AW140" t="s">
        <v>11</v>
      </c>
      <c r="AX140">
        <f>Tabla1[[#This Row],[precio del paquete]]-Tabla1[[#This Row],[Saldo_Deudor]]</f>
        <v>600</v>
      </c>
      <c r="AY140">
        <v>14200</v>
      </c>
      <c r="AZ140" t="s">
        <v>3</v>
      </c>
      <c r="BA140" t="s">
        <v>3</v>
      </c>
      <c r="BB140" t="s">
        <v>3</v>
      </c>
      <c r="BC140" t="s">
        <v>1835</v>
      </c>
      <c r="BD140" t="s">
        <v>1880</v>
      </c>
      <c r="BE140" t="s">
        <v>3</v>
      </c>
      <c r="BF140" t="s">
        <v>3</v>
      </c>
      <c r="BG140" t="s">
        <v>3</v>
      </c>
      <c r="BH140" t="s">
        <v>3</v>
      </c>
      <c r="BI140" t="s">
        <v>3</v>
      </c>
      <c r="BJ140" t="s">
        <v>1938</v>
      </c>
      <c r="BK140" t="s">
        <v>3</v>
      </c>
      <c r="BL140" t="s">
        <v>132</v>
      </c>
      <c r="BM140" t="s">
        <v>1</v>
      </c>
      <c r="BN140">
        <f>Tabla1[[#This Row],[precio del paquete]]</f>
        <v>14800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1</v>
      </c>
      <c r="CD140" t="str" cm="1">
        <f t="array" aca="1" ref="CD140" ca="1">eConcatenar(A140:CB140,"|")</f>
        <v>zZZFCbyuxivCjkmS|CAR2021-6873|3|MEMORIAL|TABASCO|CARDENAS|CARDENAS|2021-12-11|14800|X|200|50|1|0|0|0|0|0|0|0|0|0|0|0|0|0|0|OLAN|ORTIZ|RICARDO|SOLTERO|X|X|CALLE LA CEIBA MANZANA 7 LOTE 8|FRACCIONAMIENTO SAN FRANCISCO|X|9371290226|X|X|X|CALLE LA CEIBA MANZANA 7 LOTE 8|X|LUNES|X|X|X|X|X|DOMICILIO |600|14200|x|x|x|2022-05-02|2022-05-09|x|x|x|x|x|CUZ2SKRCKVTMLTR|x|HOMBRE|X|14800|X|X|X|X|X|X|X|X|CARDENAS|X|X|X|X|X</v>
      </c>
    </row>
    <row r="141" spans="1:82" x14ac:dyDescent="0.25">
      <c r="A141" t="s">
        <v>275</v>
      </c>
      <c r="B141" t="s">
        <v>586</v>
      </c>
      <c r="C141">
        <v>3</v>
      </c>
      <c r="D141" t="s">
        <v>761</v>
      </c>
      <c r="E141" t="s">
        <v>1398</v>
      </c>
      <c r="F141" t="s">
        <v>0</v>
      </c>
      <c r="G141" t="s">
        <v>0</v>
      </c>
      <c r="H141" t="s">
        <v>875</v>
      </c>
      <c r="I141">
        <v>14800</v>
      </c>
      <c r="J141" t="s">
        <v>1</v>
      </c>
      <c r="K141">
        <v>200</v>
      </c>
      <c r="L141">
        <v>50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1331</v>
      </c>
      <c r="AC141" t="s">
        <v>1332</v>
      </c>
      <c r="AD141" s="18" t="s">
        <v>1096</v>
      </c>
      <c r="AE141" t="s">
        <v>4</v>
      </c>
      <c r="AF141" t="s">
        <v>1</v>
      </c>
      <c r="AG141" t="s">
        <v>1</v>
      </c>
      <c r="AH141" t="s">
        <v>1520</v>
      </c>
      <c r="AI141" t="s">
        <v>1667</v>
      </c>
      <c r="AJ141" t="s">
        <v>1</v>
      </c>
      <c r="AK141">
        <v>9371644836</v>
      </c>
      <c r="AL141" t="s">
        <v>1</v>
      </c>
      <c r="AM141" t="s">
        <v>1</v>
      </c>
      <c r="AN141" t="s">
        <v>1</v>
      </c>
      <c r="AO141" t="s">
        <v>1520</v>
      </c>
      <c r="AP141" t="s">
        <v>1</v>
      </c>
      <c r="AQ141" t="s">
        <v>2</v>
      </c>
      <c r="AR141" t="s">
        <v>1</v>
      </c>
      <c r="AS141" t="s">
        <v>1</v>
      </c>
      <c r="AT141" t="s">
        <v>1</v>
      </c>
      <c r="AU141" t="s">
        <v>1</v>
      </c>
      <c r="AV141" t="s">
        <v>1</v>
      </c>
      <c r="AW141" t="s">
        <v>11</v>
      </c>
      <c r="AX141">
        <f>Tabla1[[#This Row],[precio del paquete]]-Tabla1[[#This Row],[Saldo_Deudor]]</f>
        <v>3550</v>
      </c>
      <c r="AY141">
        <v>11250</v>
      </c>
      <c r="AZ141" t="s">
        <v>3</v>
      </c>
      <c r="BA141" t="s">
        <v>3</v>
      </c>
      <c r="BB141" t="s">
        <v>3</v>
      </c>
      <c r="BC141" t="s">
        <v>1861</v>
      </c>
      <c r="BD141" t="s">
        <v>1917</v>
      </c>
      <c r="BE141" t="s">
        <v>3</v>
      </c>
      <c r="BF141" t="s">
        <v>3</v>
      </c>
      <c r="BG141" t="s">
        <v>3</v>
      </c>
      <c r="BH141" t="s">
        <v>3</v>
      </c>
      <c r="BI141" t="s">
        <v>3</v>
      </c>
      <c r="BJ141" t="s">
        <v>1938</v>
      </c>
      <c r="BK141" t="s">
        <v>3</v>
      </c>
      <c r="BL141" t="s">
        <v>132</v>
      </c>
      <c r="BM141" t="s">
        <v>1</v>
      </c>
      <c r="BN141">
        <f>Tabla1[[#This Row],[precio del paquete]]</f>
        <v>14800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1</v>
      </c>
      <c r="CD141" t="str" cm="1">
        <f t="array" aca="1" ref="CD141" ca="1">eConcatenar(A141:CB141,"|")</f>
        <v>YSnX838PYhEUqlZw|CAR2021-3840|3|MEMORIAL|TABASCO|CARDENAS|CARDENAS|2021-07-24|14800|X|200|50|1|0|0|0|0|0|0|0|0|0|0|0|0|0|0|BARRAGAN|MOSQUEDA|ADRIANA|SOLTERO|X|X|ANDADOR HALCON MANZANA 1 LOTE 8|UNIDAD HABITACIONAL INFONAVIT DEPORTIVA|X|9371644836|X|X|X|ANDADOR HALCON MANZANA 1 LOTE 8|X|LUNES|X|X|X|X|X|DOMICILIO |3550|11250|x|x|x|2021-12-30|2022-01-06|x|x|x|x|x|CUZ2SKRCKVTMLTR|x|HOMBRE|X|14800|X|X|X|X|X|X|X|X|CARDENAS|X|X|X|X|X</v>
      </c>
    </row>
    <row r="142" spans="1:82" x14ac:dyDescent="0.25">
      <c r="A142" t="s">
        <v>276</v>
      </c>
      <c r="B142" t="s">
        <v>587</v>
      </c>
      <c r="C142">
        <v>3</v>
      </c>
      <c r="D142" t="s">
        <v>763</v>
      </c>
      <c r="E142" t="s">
        <v>1398</v>
      </c>
      <c r="F142" t="s">
        <v>0</v>
      </c>
      <c r="G142" t="s">
        <v>0</v>
      </c>
      <c r="H142" t="s">
        <v>876</v>
      </c>
      <c r="I142">
        <v>12900</v>
      </c>
      <c r="J142" t="s">
        <v>1</v>
      </c>
      <c r="K142">
        <v>100</v>
      </c>
      <c r="L142">
        <v>50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1226</v>
      </c>
      <c r="AC142" t="s">
        <v>1226</v>
      </c>
      <c r="AD142" s="18" t="s">
        <v>1097</v>
      </c>
      <c r="AE142" t="s">
        <v>4</v>
      </c>
      <c r="AF142" t="s">
        <v>1</v>
      </c>
      <c r="AG142" t="s">
        <v>1</v>
      </c>
      <c r="AH142" t="s">
        <v>1521</v>
      </c>
      <c r="AI142" t="s">
        <v>1670</v>
      </c>
      <c r="AJ142" t="s">
        <v>1</v>
      </c>
      <c r="AK142">
        <v>9371227492</v>
      </c>
      <c r="AL142" t="s">
        <v>1</v>
      </c>
      <c r="AM142" t="s">
        <v>1</v>
      </c>
      <c r="AN142" t="s">
        <v>1</v>
      </c>
      <c r="AO142" t="s">
        <v>1521</v>
      </c>
      <c r="AP142" t="s">
        <v>1</v>
      </c>
      <c r="AQ142" t="s">
        <v>2</v>
      </c>
      <c r="AR142" t="s">
        <v>1</v>
      </c>
      <c r="AS142" t="s">
        <v>1</v>
      </c>
      <c r="AT142" t="s">
        <v>1</v>
      </c>
      <c r="AU142" t="s">
        <v>1</v>
      </c>
      <c r="AV142" t="s">
        <v>1</v>
      </c>
      <c r="AW142" t="s">
        <v>11</v>
      </c>
      <c r="AX142">
        <f>Tabla1[[#This Row],[precio del paquete]]-Tabla1[[#This Row],[Saldo_Deudor]]</f>
        <v>3950</v>
      </c>
      <c r="AY142">
        <v>8950</v>
      </c>
      <c r="AZ142" t="s">
        <v>3</v>
      </c>
      <c r="BA142" t="s">
        <v>3</v>
      </c>
      <c r="BB142" t="s">
        <v>3</v>
      </c>
      <c r="BC142" t="s">
        <v>1835</v>
      </c>
      <c r="BD142" t="s">
        <v>1880</v>
      </c>
      <c r="BE142" t="s">
        <v>3</v>
      </c>
      <c r="BF142" t="s">
        <v>3</v>
      </c>
      <c r="BG142" t="s">
        <v>3</v>
      </c>
      <c r="BH142" t="s">
        <v>3</v>
      </c>
      <c r="BI142" t="s">
        <v>3</v>
      </c>
      <c r="BJ142" t="s">
        <v>1938</v>
      </c>
      <c r="BK142" t="s">
        <v>3</v>
      </c>
      <c r="BL142" t="s">
        <v>132</v>
      </c>
      <c r="BM142" t="s">
        <v>1</v>
      </c>
      <c r="BN142">
        <f>Tabla1[[#This Row],[precio del paquete]]</f>
        <v>12900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1</v>
      </c>
      <c r="CD142" t="str" cm="1">
        <f t="array" aca="1" ref="CD142" ca="1">eConcatenar(A142:CB142,"|")</f>
        <v>4GStk807aYS2AItG| CAR2020-2497|3|IMPERIAL DE LUJO|TABASCO|CARDENAS|CARDENAS|2020-09-08|12900|X|100|50|1|0|0|0|0|0|0|0|0|0|0|0|0|0|0|CRUZ|CRUZ|MARIA LUISA|SOLTERO|X|X|CALLE CARLOS GREENE|COLONIA CARDENAS CENTRO|X|9371227492|X|X|X|CALLE CARLOS GREENE|X|LUNES|X|X|X|X|X|DOMICILIO |3950|8950|x|x|x|2022-05-02|2022-05-09|x|x|x|x|x|CUZ2SKRCKVTMLTR|x|HOMBRE|X|12900|X|X|X|X|X|X|X|X|CARDENAS|X|X|X|X|X</v>
      </c>
    </row>
    <row r="143" spans="1:82" x14ac:dyDescent="0.25">
      <c r="A143" t="s">
        <v>277</v>
      </c>
      <c r="B143" t="s">
        <v>588</v>
      </c>
      <c r="C143">
        <v>3</v>
      </c>
      <c r="D143" t="s">
        <v>761</v>
      </c>
      <c r="E143" t="s">
        <v>1398</v>
      </c>
      <c r="F143" t="s">
        <v>0</v>
      </c>
      <c r="G143" t="s">
        <v>0</v>
      </c>
      <c r="H143" t="s">
        <v>877</v>
      </c>
      <c r="I143">
        <v>14800</v>
      </c>
      <c r="J143" t="s">
        <v>1</v>
      </c>
      <c r="K143">
        <v>300</v>
      </c>
      <c r="L143">
        <v>50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1246</v>
      </c>
      <c r="AC143" t="s">
        <v>1246</v>
      </c>
      <c r="AD143" s="18" t="s">
        <v>1098</v>
      </c>
      <c r="AE143" t="s">
        <v>4</v>
      </c>
      <c r="AF143" t="s">
        <v>1</v>
      </c>
      <c r="AG143" t="s">
        <v>1</v>
      </c>
      <c r="AH143" t="s">
        <v>1522</v>
      </c>
      <c r="AI143" t="s">
        <v>1755</v>
      </c>
      <c r="AJ143" t="s">
        <v>1</v>
      </c>
      <c r="AK143">
        <v>9934007070</v>
      </c>
      <c r="AL143" t="s">
        <v>1</v>
      </c>
      <c r="AM143" t="s">
        <v>1</v>
      </c>
      <c r="AN143" t="s">
        <v>1</v>
      </c>
      <c r="AO143" t="s">
        <v>1522</v>
      </c>
      <c r="AP143" t="s">
        <v>1</v>
      </c>
      <c r="AQ143" t="s">
        <v>2</v>
      </c>
      <c r="AR143" t="s">
        <v>1</v>
      </c>
      <c r="AS143" t="s">
        <v>1</v>
      </c>
      <c r="AT143" t="s">
        <v>1</v>
      </c>
      <c r="AU143" t="s">
        <v>1</v>
      </c>
      <c r="AV143" t="s">
        <v>1</v>
      </c>
      <c r="AW143" t="s">
        <v>11</v>
      </c>
      <c r="AX143">
        <f>Tabla1[[#This Row],[precio del paquete]]-Tabla1[[#This Row],[Saldo_Deudor]]</f>
        <v>3200</v>
      </c>
      <c r="AY143">
        <v>11600</v>
      </c>
      <c r="AZ143" t="s">
        <v>3</v>
      </c>
      <c r="BA143" t="s">
        <v>3</v>
      </c>
      <c r="BB143" t="s">
        <v>3</v>
      </c>
      <c r="BC143" t="s">
        <v>778</v>
      </c>
      <c r="BD143" t="s">
        <v>1915</v>
      </c>
      <c r="BE143" t="s">
        <v>3</v>
      </c>
      <c r="BF143" t="s">
        <v>3</v>
      </c>
      <c r="BG143" t="s">
        <v>3</v>
      </c>
      <c r="BH143" t="s">
        <v>3</v>
      </c>
      <c r="BI143" t="s">
        <v>3</v>
      </c>
      <c r="BJ143" t="s">
        <v>1938</v>
      </c>
      <c r="BK143" t="s">
        <v>3</v>
      </c>
      <c r="BL143" t="s">
        <v>132</v>
      </c>
      <c r="BM143" t="s">
        <v>1</v>
      </c>
      <c r="BN143">
        <f>Tabla1[[#This Row],[precio del paquete]]</f>
        <v>14800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1</v>
      </c>
      <c r="CD143" t="str" cm="1">
        <f t="array" aca="1" ref="CD143" ca="1">eConcatenar(A143:CB143,"|")</f>
        <v>btmCYQU4uBx9UM5g|CAR2021-1428|3|MEMORIAL|TABASCO|CARDENAS|CARDENAS|2021-04-17|14800|X|300|50|1|0|0|0|0|0|0|0|0|0|0|0|0|0|0|MORALES|MORALES|GUSTAVO ADOLFO|SOLTERO|X|X|CALLE RIO GRIJALVA MANZANA 10 LOTE 7|COLONIA TABSCOOB|X|9934007070|X|X|X|CALLE RIO GRIJALVA MANZANA 10 LOTE 7|X|LUNES|X|X|X|X|X|DOMICILIO |3200|11600|x|x|x|2022-04-02|2022-04-09|x|x|x|x|x|CUZ2SKRCKVTMLTR|x|HOMBRE|X|14800|X|X|X|X|X|X|X|X|CARDENAS|X|X|X|X|X</v>
      </c>
    </row>
    <row r="144" spans="1:82" x14ac:dyDescent="0.25">
      <c r="A144" t="s">
        <v>278</v>
      </c>
      <c r="B144" t="s">
        <v>589</v>
      </c>
      <c r="C144">
        <v>3</v>
      </c>
      <c r="D144" t="s">
        <v>763</v>
      </c>
      <c r="E144" t="s">
        <v>1398</v>
      </c>
      <c r="F144" t="s">
        <v>0</v>
      </c>
      <c r="G144" t="s">
        <v>0</v>
      </c>
      <c r="H144" t="s">
        <v>870</v>
      </c>
      <c r="I144">
        <v>12900</v>
      </c>
      <c r="J144" t="s">
        <v>1</v>
      </c>
      <c r="K144">
        <v>200</v>
      </c>
      <c r="L144">
        <v>50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7</v>
      </c>
      <c r="AC144" t="s">
        <v>1269</v>
      </c>
      <c r="AD144" s="18" t="s">
        <v>1099</v>
      </c>
      <c r="AE144" t="s">
        <v>4</v>
      </c>
      <c r="AF144" t="s">
        <v>1</v>
      </c>
      <c r="AG144" t="s">
        <v>1</v>
      </c>
      <c r="AH144" t="s">
        <v>1523</v>
      </c>
      <c r="AI144" t="s">
        <v>1755</v>
      </c>
      <c r="AJ144" t="s">
        <v>1</v>
      </c>
      <c r="AK144">
        <v>9371248675</v>
      </c>
      <c r="AL144" t="s">
        <v>1</v>
      </c>
      <c r="AM144" t="s">
        <v>1</v>
      </c>
      <c r="AN144" t="s">
        <v>1</v>
      </c>
      <c r="AO144" t="s">
        <v>1523</v>
      </c>
      <c r="AP144" t="s">
        <v>1</v>
      </c>
      <c r="AQ144" t="s">
        <v>2</v>
      </c>
      <c r="AR144" t="s">
        <v>1</v>
      </c>
      <c r="AS144" t="s">
        <v>1</v>
      </c>
      <c r="AT144" t="s">
        <v>1</v>
      </c>
      <c r="AU144" t="s">
        <v>1</v>
      </c>
      <c r="AV144" t="s">
        <v>1</v>
      </c>
      <c r="AW144" t="s">
        <v>11</v>
      </c>
      <c r="AX144">
        <f>Tabla1[[#This Row],[precio del paquete]]-Tabla1[[#This Row],[Saldo_Deudor]]</f>
        <v>4100</v>
      </c>
      <c r="AY144">
        <v>8800</v>
      </c>
      <c r="AZ144" t="s">
        <v>3</v>
      </c>
      <c r="BA144" t="s">
        <v>3</v>
      </c>
      <c r="BB144" t="s">
        <v>3</v>
      </c>
      <c r="BC144" t="s">
        <v>778</v>
      </c>
      <c r="BD144" t="s">
        <v>1915</v>
      </c>
      <c r="BE144" t="s">
        <v>3</v>
      </c>
      <c r="BF144" t="s">
        <v>3</v>
      </c>
      <c r="BG144" t="s">
        <v>3</v>
      </c>
      <c r="BH144" t="s">
        <v>3</v>
      </c>
      <c r="BI144" t="s">
        <v>3</v>
      </c>
      <c r="BJ144" t="s">
        <v>1938</v>
      </c>
      <c r="BK144" t="s">
        <v>3</v>
      </c>
      <c r="BL144" t="s">
        <v>132</v>
      </c>
      <c r="BM144" t="s">
        <v>1</v>
      </c>
      <c r="BN144">
        <f>Tabla1[[#This Row],[precio del paquete]]</f>
        <v>12900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1</v>
      </c>
      <c r="CD144" t="str" cm="1">
        <f t="array" aca="1" ref="CD144" ca="1">eConcatenar(A144:CB144,"|")</f>
        <v>Ojasc0vdSQUajW3L|CAR2020-3649|3|IMPERIAL DE LUJO|TABASCO|CARDENAS|CARDENAS|2020-02-10|12900|X|200|50|1|0|0|0|0|0|0|0|0|0|0|0|0|0|0|LOPEZ|MENDEZ|CELIA|SOLTERO|X|X|CALLE RIO USAMACINTA MANZANA 19 LOTE 2|COLONIA TABSCOOB|X|9371248675|X|X|X|CALLE RIO USAMACINTA MANZANA 19 LOTE 2|X|LUNES|X|X|X|X|X|DOMICILIO |4100|8800|x|x|x|2022-04-02|2022-04-09|x|x|x|x|x|CUZ2SKRCKVTMLTR|x|HOMBRE|X|12900|X|X|X|X|X|X|X|X|CARDENAS|X|X|X|X|X</v>
      </c>
    </row>
    <row r="145" spans="1:82" x14ac:dyDescent="0.25">
      <c r="A145" t="s">
        <v>279</v>
      </c>
      <c r="B145" t="s">
        <v>590</v>
      </c>
      <c r="C145">
        <v>3</v>
      </c>
      <c r="D145" t="s">
        <v>766</v>
      </c>
      <c r="E145" t="s">
        <v>1398</v>
      </c>
      <c r="F145" t="s">
        <v>0</v>
      </c>
      <c r="G145" t="s">
        <v>0</v>
      </c>
      <c r="H145" t="s">
        <v>878</v>
      </c>
      <c r="I145">
        <v>12900</v>
      </c>
      <c r="J145" t="s">
        <v>1</v>
      </c>
      <c r="K145">
        <v>200</v>
      </c>
      <c r="L145">
        <v>50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1266</v>
      </c>
      <c r="AC145" t="s">
        <v>1269</v>
      </c>
      <c r="AD145" s="18" t="s">
        <v>1100</v>
      </c>
      <c r="AE145" t="s">
        <v>4</v>
      </c>
      <c r="AF145" t="s">
        <v>1</v>
      </c>
      <c r="AG145" t="s">
        <v>1</v>
      </c>
      <c r="AH145" t="s">
        <v>1524</v>
      </c>
      <c r="AI145" t="s">
        <v>1756</v>
      </c>
      <c r="AJ145" t="s">
        <v>1</v>
      </c>
      <c r="AK145">
        <v>9932540041</v>
      </c>
      <c r="AL145" t="s">
        <v>1</v>
      </c>
      <c r="AM145" t="s">
        <v>1</v>
      </c>
      <c r="AN145" t="s">
        <v>1</v>
      </c>
      <c r="AO145" t="s">
        <v>1524</v>
      </c>
      <c r="AP145" t="s">
        <v>1</v>
      </c>
      <c r="AQ145" t="s">
        <v>2</v>
      </c>
      <c r="AR145" t="s">
        <v>1</v>
      </c>
      <c r="AS145" t="s">
        <v>1</v>
      </c>
      <c r="AT145" t="s">
        <v>1</v>
      </c>
      <c r="AU145" t="s">
        <v>1</v>
      </c>
      <c r="AV145" t="s">
        <v>1</v>
      </c>
      <c r="AW145" t="s">
        <v>11</v>
      </c>
      <c r="AX145">
        <f>Tabla1[[#This Row],[precio del paquete]]-Tabla1[[#This Row],[Saldo_Deudor]]</f>
        <v>6200</v>
      </c>
      <c r="AY145">
        <v>6700</v>
      </c>
      <c r="AZ145" t="s">
        <v>3</v>
      </c>
      <c r="BA145" t="s">
        <v>3</v>
      </c>
      <c r="BB145" t="s">
        <v>3</v>
      </c>
      <c r="BC145" t="s">
        <v>778</v>
      </c>
      <c r="BD145" t="s">
        <v>1915</v>
      </c>
      <c r="BE145" t="s">
        <v>3</v>
      </c>
      <c r="BF145" t="s">
        <v>3</v>
      </c>
      <c r="BG145" t="s">
        <v>3</v>
      </c>
      <c r="BH145" t="s">
        <v>3</v>
      </c>
      <c r="BI145" t="s">
        <v>3</v>
      </c>
      <c r="BJ145" t="s">
        <v>1938</v>
      </c>
      <c r="BK145" t="s">
        <v>3</v>
      </c>
      <c r="BL145" t="s">
        <v>132</v>
      </c>
      <c r="BM145" t="s">
        <v>1</v>
      </c>
      <c r="BN145">
        <f>Tabla1[[#This Row],[precio del paquete]]</f>
        <v>12900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1</v>
      </c>
      <c r="CD145" t="str" cm="1">
        <f t="array" aca="1" ref="CD145" ca="1">eConcatenar(A145:CB145,"|")</f>
        <v>lyVOfH3xDGlXDO1t|CAR2020-2478|3|ECONOLINE|TABASCO|CARDENAS|CARDENAS|2020-08-17|12900|X|200|50|1|0|0|0|0|0|0|0|0|0|0|0|0|0|0|HERNANDEZ|MENDEZ|LUIS ALBERTO|SOLTERO|X|X|CALLE EL PINO SIN NUMERO|PROLONGACION GUADALUPE VICTORIA|X|9932540041|X|X|X|CALLE EL PINO SIN NUMERO|X|LUNES|X|X|X|X|X|DOMICILIO |6200|6700|x|x|x|2022-04-02|2022-04-09|x|x|x|x|x|CUZ2SKRCKVTMLTR|x|HOMBRE|X|12900|X|X|X|X|X|X|X|X|CARDENAS|X|X|X|X|X</v>
      </c>
    </row>
    <row r="146" spans="1:82" x14ac:dyDescent="0.25">
      <c r="A146" t="s">
        <v>280</v>
      </c>
      <c r="B146" t="s">
        <v>591</v>
      </c>
      <c r="C146">
        <v>3</v>
      </c>
      <c r="D146" t="s">
        <v>762</v>
      </c>
      <c r="E146" t="s">
        <v>1398</v>
      </c>
      <c r="F146" t="s">
        <v>0</v>
      </c>
      <c r="G146" t="s">
        <v>0</v>
      </c>
      <c r="H146" t="s">
        <v>868</v>
      </c>
      <c r="I146">
        <v>24500</v>
      </c>
      <c r="J146" t="s">
        <v>1</v>
      </c>
      <c r="K146">
        <v>600</v>
      </c>
      <c r="L146">
        <v>50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1228</v>
      </c>
      <c r="AC146" t="s">
        <v>1266</v>
      </c>
      <c r="AD146" s="18" t="s">
        <v>1101</v>
      </c>
      <c r="AE146" t="s">
        <v>4</v>
      </c>
      <c r="AF146" t="s">
        <v>1</v>
      </c>
      <c r="AG146" t="s">
        <v>1</v>
      </c>
      <c r="AH146" t="s">
        <v>1525</v>
      </c>
      <c r="AI146" t="s">
        <v>1757</v>
      </c>
      <c r="AJ146" t="s">
        <v>1</v>
      </c>
      <c r="AK146">
        <v>9371233169</v>
      </c>
      <c r="AL146" t="s">
        <v>1</v>
      </c>
      <c r="AM146" t="s">
        <v>1</v>
      </c>
      <c r="AN146" t="s">
        <v>1</v>
      </c>
      <c r="AO146" t="s">
        <v>1525</v>
      </c>
      <c r="AP146" t="s">
        <v>1</v>
      </c>
      <c r="AQ146" t="s">
        <v>2</v>
      </c>
      <c r="AR146" t="s">
        <v>1</v>
      </c>
      <c r="AS146" t="s">
        <v>1</v>
      </c>
      <c r="AT146" t="s">
        <v>1</v>
      </c>
      <c r="AU146" t="s">
        <v>1</v>
      </c>
      <c r="AV146" t="s">
        <v>1</v>
      </c>
      <c r="AW146" t="s">
        <v>11</v>
      </c>
      <c r="AX146">
        <f>Tabla1[[#This Row],[precio del paquete]]-Tabla1[[#This Row],[Saldo_Deudor]]</f>
        <v>1600</v>
      </c>
      <c r="AY146">
        <v>22900</v>
      </c>
      <c r="AZ146" t="s">
        <v>3</v>
      </c>
      <c r="BA146" t="s">
        <v>3</v>
      </c>
      <c r="BB146" t="s">
        <v>3</v>
      </c>
      <c r="BC146" t="s">
        <v>778</v>
      </c>
      <c r="BD146" t="s">
        <v>1915</v>
      </c>
      <c r="BE146" t="s">
        <v>3</v>
      </c>
      <c r="BF146" t="s">
        <v>3</v>
      </c>
      <c r="BG146" t="s">
        <v>3</v>
      </c>
      <c r="BH146" t="s">
        <v>3</v>
      </c>
      <c r="BI146" t="s">
        <v>3</v>
      </c>
      <c r="BJ146" t="s">
        <v>1938</v>
      </c>
      <c r="BK146" t="s">
        <v>3</v>
      </c>
      <c r="BL146" t="s">
        <v>132</v>
      </c>
      <c r="BM146" t="s">
        <v>1</v>
      </c>
      <c r="BN146">
        <f>Tabla1[[#This Row],[precio del paquete]]</f>
        <v>24500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1</v>
      </c>
      <c r="CD146" t="str" cm="1">
        <f t="array" aca="1" ref="CD146" ca="1">eConcatenar(A146:CB146,"|")</f>
        <v>LGHXK4it7jsyaC07|CAR2021-6663|3|DIGNITY|TABASCO|CARDENAS|CARDENAS|2021-05-11|24500|X|600|50|1|0|0|0|0|0|0|0|0|0|0|0|0|0|0|RAMOS|HERNANDEZ|MARTHA ELENA|SOLTERO|X|X|CALLE 5 SIN NUMERO|EJIDO HABANERO PRIMERA SECCION|X|9371233169|X|X|X|CALLE 5 SIN NUMERO|X|LUNES|X|X|X|X|X|DOMICILIO |1600|22900|x|x|x|2022-04-02|2022-04-09|x|x|x|x|x|CUZ2SKRCKVTMLTR|x|HOMBRE|X|24500|X|X|X|X|X|X|X|X|CARDENAS|X|X|X|X|X</v>
      </c>
    </row>
    <row r="147" spans="1:82" x14ac:dyDescent="0.25">
      <c r="A147" t="s">
        <v>281</v>
      </c>
      <c r="B147" t="s">
        <v>592</v>
      </c>
      <c r="C147">
        <v>3</v>
      </c>
      <c r="D147" t="s">
        <v>763</v>
      </c>
      <c r="E147" t="s">
        <v>1398</v>
      </c>
      <c r="F147" t="s">
        <v>0</v>
      </c>
      <c r="G147" t="s">
        <v>0</v>
      </c>
      <c r="H147" t="s">
        <v>879</v>
      </c>
      <c r="I147">
        <v>12900</v>
      </c>
      <c r="J147" t="s">
        <v>1</v>
      </c>
      <c r="K147">
        <v>100</v>
      </c>
      <c r="L147">
        <v>50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1267</v>
      </c>
      <c r="AC147" t="s">
        <v>1185</v>
      </c>
      <c r="AD147" s="18" t="s">
        <v>1053</v>
      </c>
      <c r="AE147" t="s">
        <v>4</v>
      </c>
      <c r="AF147" t="s">
        <v>1</v>
      </c>
      <c r="AG147" t="s">
        <v>1</v>
      </c>
      <c r="AH147" t="s">
        <v>1526</v>
      </c>
      <c r="AI147" t="s">
        <v>1669</v>
      </c>
      <c r="AJ147" t="s">
        <v>1</v>
      </c>
      <c r="AK147" t="s">
        <v>1</v>
      </c>
      <c r="AL147" t="s">
        <v>1</v>
      </c>
      <c r="AM147" t="s">
        <v>1</v>
      </c>
      <c r="AN147" t="s">
        <v>1</v>
      </c>
      <c r="AO147" t="s">
        <v>1526</v>
      </c>
      <c r="AP147" t="s">
        <v>1</v>
      </c>
      <c r="AQ147" t="s">
        <v>2</v>
      </c>
      <c r="AR147" t="s">
        <v>1</v>
      </c>
      <c r="AS147" t="s">
        <v>1</v>
      </c>
      <c r="AT147" t="s">
        <v>1</v>
      </c>
      <c r="AU147" t="s">
        <v>1</v>
      </c>
      <c r="AV147" t="s">
        <v>1</v>
      </c>
      <c r="AW147" t="s">
        <v>11</v>
      </c>
      <c r="AX147">
        <f>Tabla1[[#This Row],[precio del paquete]]-Tabla1[[#This Row],[Saldo_Deudor]]</f>
        <v>7650</v>
      </c>
      <c r="AY147">
        <v>5250</v>
      </c>
      <c r="AZ147" t="s">
        <v>3</v>
      </c>
      <c r="BA147" t="s">
        <v>3</v>
      </c>
      <c r="BB147" t="s">
        <v>3</v>
      </c>
      <c r="BC147" t="s">
        <v>778</v>
      </c>
      <c r="BD147" t="s">
        <v>1915</v>
      </c>
      <c r="BE147" t="s">
        <v>3</v>
      </c>
      <c r="BF147" t="s">
        <v>3</v>
      </c>
      <c r="BG147" t="s">
        <v>3</v>
      </c>
      <c r="BH147" t="s">
        <v>3</v>
      </c>
      <c r="BI147" t="s">
        <v>3</v>
      </c>
      <c r="BJ147" t="s">
        <v>1938</v>
      </c>
      <c r="BK147" t="s">
        <v>3</v>
      </c>
      <c r="BL147" t="s">
        <v>132</v>
      </c>
      <c r="BM147" t="s">
        <v>1</v>
      </c>
      <c r="BN147">
        <f>Tabla1[[#This Row],[precio del paquete]]</f>
        <v>12900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1</v>
      </c>
      <c r="CD147" t="str" cm="1">
        <f t="array" aca="1" ref="CD147" ca="1">eConcatenar(A147:CB147,"|")</f>
        <v>4bcvsqsg18LFGET9|CAR2020-2890|3|IMPERIAL DE LUJO|TABASCO|CARDENAS|CARDENAS|2020-05-09|12900|X|100|50|0|0|0|0|0|0|0|0|0|0|0|0|0|0|0|JIMENEZ|RODRIGUEZ|PEDRO|SOLTERO|X|X|CALLE CARLOS COLORADO|COLONIA SANTA MARIA DE GUADALUPE|X|X|X|X|X|CALLE CARLOS COLORADO|X|LUNES|X|X|X|X|X|DOMICILIO |7650|5250|x|x|x|2022-04-02|2022-04-09|x|x|x|x|x|CUZ2SKRCKVTMLTR|x|HOMBRE|X|12900|X|X|X|X|X|X|X|X|CARDENAS|X|X|X|X|X</v>
      </c>
    </row>
    <row r="148" spans="1:82" x14ac:dyDescent="0.25">
      <c r="A148" t="s">
        <v>282</v>
      </c>
      <c r="B148" t="s">
        <v>593</v>
      </c>
      <c r="C148">
        <v>3</v>
      </c>
      <c r="D148" t="s">
        <v>766</v>
      </c>
      <c r="E148" t="s">
        <v>1398</v>
      </c>
      <c r="F148" t="s">
        <v>0</v>
      </c>
      <c r="G148" t="s">
        <v>0</v>
      </c>
      <c r="H148" t="s">
        <v>880</v>
      </c>
      <c r="I148">
        <v>12900</v>
      </c>
      <c r="J148" t="s">
        <v>1</v>
      </c>
      <c r="K148">
        <v>100</v>
      </c>
      <c r="L148">
        <v>50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1260</v>
      </c>
      <c r="AC148" t="s">
        <v>1282</v>
      </c>
      <c r="AD148" s="18" t="s">
        <v>1102</v>
      </c>
      <c r="AE148" t="s">
        <v>4</v>
      </c>
      <c r="AF148" t="s">
        <v>1</v>
      </c>
      <c r="AG148" t="s">
        <v>1</v>
      </c>
      <c r="AH148" t="s">
        <v>1527</v>
      </c>
      <c r="AI148" t="s">
        <v>1493</v>
      </c>
      <c r="AJ148" t="s">
        <v>1</v>
      </c>
      <c r="AK148">
        <v>9371637200</v>
      </c>
      <c r="AL148" t="s">
        <v>1</v>
      </c>
      <c r="AM148" t="s">
        <v>1</v>
      </c>
      <c r="AN148" t="s">
        <v>1</v>
      </c>
      <c r="AO148" t="s">
        <v>1527</v>
      </c>
      <c r="AP148" t="s">
        <v>1</v>
      </c>
      <c r="AQ148" t="s">
        <v>2</v>
      </c>
      <c r="AR148" t="s">
        <v>1</v>
      </c>
      <c r="AS148" t="s">
        <v>1</v>
      </c>
      <c r="AT148" t="s">
        <v>1</v>
      </c>
      <c r="AU148" t="s">
        <v>1</v>
      </c>
      <c r="AV148" t="s">
        <v>1</v>
      </c>
      <c r="AW148" t="s">
        <v>11</v>
      </c>
      <c r="AX148">
        <f>Tabla1[[#This Row],[precio del paquete]]-Tabla1[[#This Row],[Saldo_Deudor]]</f>
        <v>9800</v>
      </c>
      <c r="AY148">
        <v>3100</v>
      </c>
      <c r="AZ148" t="s">
        <v>3</v>
      </c>
      <c r="BA148" t="s">
        <v>3</v>
      </c>
      <c r="BB148" t="s">
        <v>3</v>
      </c>
      <c r="BC148" t="s">
        <v>781</v>
      </c>
      <c r="BD148" t="s">
        <v>1916</v>
      </c>
      <c r="BE148" t="s">
        <v>3</v>
      </c>
      <c r="BF148" t="s">
        <v>3</v>
      </c>
      <c r="BG148" t="s">
        <v>3</v>
      </c>
      <c r="BH148" t="s">
        <v>3</v>
      </c>
      <c r="BI148" t="s">
        <v>3</v>
      </c>
      <c r="BJ148" t="s">
        <v>1938</v>
      </c>
      <c r="BK148" t="s">
        <v>3</v>
      </c>
      <c r="BL148" t="s">
        <v>132</v>
      </c>
      <c r="BM148" t="s">
        <v>1</v>
      </c>
      <c r="BN148">
        <f>Tabla1[[#This Row],[precio del paquete]]</f>
        <v>12900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1</v>
      </c>
      <c r="CD148" t="str" cm="1">
        <f t="array" aca="1" ref="CD148" ca="1">eConcatenar(A148:CB148,"|")</f>
        <v>0RwjjdInexEEGyfJ|CAR2019-0272|3|ECONOLINE|TABASCO|CARDENAS|CARDENAS|2019-05-02|12900|X|100|50|0|0|0|0|0|0|0|0|0|0|0|0|0|0|0|GONZALEZ|OSORIO|BERTHA|SOLTERO|X|X|CALLE ABAZOLO NUMERO 123|COLONIA SANTA CRUZ|X|9371637200|X|X|X|CALLE ABAZOLO NUMERO 123|X|LUNES|X|X|X|X|X|DOMICILIO |9800|3100|x|x|x|2022-08-01|2022-08-08|x|x|x|x|x|CUZ2SKRCKVTMLTR|x|HOMBRE|X|12900|X|X|X|X|X|X|X|X|CARDENAS|X|X|X|X|X</v>
      </c>
    </row>
    <row r="149" spans="1:82" x14ac:dyDescent="0.25">
      <c r="A149" t="s">
        <v>283</v>
      </c>
      <c r="B149" t="s">
        <v>594</v>
      </c>
      <c r="C149">
        <v>3</v>
      </c>
      <c r="D149" t="s">
        <v>766</v>
      </c>
      <c r="E149" t="s">
        <v>1398</v>
      </c>
      <c r="F149" t="s">
        <v>0</v>
      </c>
      <c r="G149" t="s">
        <v>0</v>
      </c>
      <c r="H149" t="s">
        <v>881</v>
      </c>
      <c r="I149">
        <v>12900</v>
      </c>
      <c r="J149" t="s">
        <v>1</v>
      </c>
      <c r="K149">
        <v>100</v>
      </c>
      <c r="L149">
        <v>50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1333</v>
      </c>
      <c r="AC149" t="s">
        <v>7</v>
      </c>
      <c r="AD149" s="18" t="s">
        <v>1053</v>
      </c>
      <c r="AE149" t="s">
        <v>4</v>
      </c>
      <c r="AF149" t="s">
        <v>1</v>
      </c>
      <c r="AG149" t="s">
        <v>1</v>
      </c>
      <c r="AH149" t="s">
        <v>1528</v>
      </c>
      <c r="AI149" t="s">
        <v>1758</v>
      </c>
      <c r="AJ149" t="s">
        <v>1</v>
      </c>
      <c r="AK149">
        <v>9371023749</v>
      </c>
      <c r="AL149" t="s">
        <v>1</v>
      </c>
      <c r="AM149" t="s">
        <v>1</v>
      </c>
      <c r="AN149" t="s">
        <v>1</v>
      </c>
      <c r="AO149" t="s">
        <v>1528</v>
      </c>
      <c r="AP149" t="s">
        <v>1</v>
      </c>
      <c r="AQ149" t="s">
        <v>2</v>
      </c>
      <c r="AR149" t="s">
        <v>1</v>
      </c>
      <c r="AS149" t="s">
        <v>1</v>
      </c>
      <c r="AT149" t="s">
        <v>1</v>
      </c>
      <c r="AU149" t="s">
        <v>1</v>
      </c>
      <c r="AV149" t="s">
        <v>1</v>
      </c>
      <c r="AW149" t="s">
        <v>11</v>
      </c>
      <c r="AX149">
        <f>Tabla1[[#This Row],[precio del paquete]]-Tabla1[[#This Row],[Saldo_Deudor]]</f>
        <v>5050</v>
      </c>
      <c r="AY149">
        <v>7850</v>
      </c>
      <c r="AZ149" t="s">
        <v>3</v>
      </c>
      <c r="BA149" t="s">
        <v>3</v>
      </c>
      <c r="BB149" t="s">
        <v>3</v>
      </c>
      <c r="BC149" t="s">
        <v>1839</v>
      </c>
      <c r="BD149" t="s">
        <v>1886</v>
      </c>
      <c r="BE149" t="s">
        <v>3</v>
      </c>
      <c r="BF149" t="s">
        <v>3</v>
      </c>
      <c r="BG149" t="s">
        <v>3</v>
      </c>
      <c r="BH149" t="s">
        <v>3</v>
      </c>
      <c r="BI149" t="s">
        <v>3</v>
      </c>
      <c r="BJ149" t="s">
        <v>1938</v>
      </c>
      <c r="BK149" t="s">
        <v>3</v>
      </c>
      <c r="BL149" t="s">
        <v>132</v>
      </c>
      <c r="BM149" t="s">
        <v>1</v>
      </c>
      <c r="BN149">
        <f>Tabla1[[#This Row],[precio del paquete]]</f>
        <v>12900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1</v>
      </c>
      <c r="CD149" t="str" cm="1">
        <f t="array" aca="1" ref="CD149" ca="1">eConcatenar(A149:CB149,"|")</f>
        <v>CHvdHix6EQSiiPjO|CAR2020-2683|3|ECONOLINE|TABASCO|CARDENAS|CARDENAS|2020-08-27|12900|X|100|50|0|0|0|0|0|0|0|0|0|0|0|0|0|0|0|HIDALGO|LOPEZ|PEDRO|SOLTERO|X|X|CALLE DE LA BLOKERA|RANCHERIA ARROYO HONDO ABEJONAL|X|9371023749|X|X|X|CALLE DE LA BLOKERA|X|LUNES|X|X|X|X|X|DOMICILIO |5050|7850|x|x|x|2022-01-28|2022-02-04|x|x|x|x|x|CUZ2SKRCKVTMLTR|x|HOMBRE|X|12900|X|X|X|X|X|X|X|X|CARDENAS|X|X|X|X|X</v>
      </c>
    </row>
    <row r="150" spans="1:82" x14ac:dyDescent="0.25">
      <c r="A150" t="s">
        <v>284</v>
      </c>
      <c r="B150" t="s">
        <v>595</v>
      </c>
      <c r="C150">
        <v>3</v>
      </c>
      <c r="D150" t="s">
        <v>761</v>
      </c>
      <c r="E150" t="s">
        <v>1398</v>
      </c>
      <c r="F150" t="s">
        <v>0</v>
      </c>
      <c r="G150" t="s">
        <v>0</v>
      </c>
      <c r="H150" t="s">
        <v>867</v>
      </c>
      <c r="I150">
        <v>14800</v>
      </c>
      <c r="J150" t="s">
        <v>1</v>
      </c>
      <c r="K150">
        <v>50</v>
      </c>
      <c r="L150">
        <v>50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1334</v>
      </c>
      <c r="AC150" t="s">
        <v>7</v>
      </c>
      <c r="AD150" s="18" t="s">
        <v>1103</v>
      </c>
      <c r="AE150" t="s">
        <v>4</v>
      </c>
      <c r="AF150" t="s">
        <v>1</v>
      </c>
      <c r="AG150" t="s">
        <v>1</v>
      </c>
      <c r="AH150" t="s">
        <v>1529</v>
      </c>
      <c r="AI150" t="s">
        <v>1529</v>
      </c>
      <c r="AJ150" t="s">
        <v>1</v>
      </c>
      <c r="AK150">
        <v>9371255360</v>
      </c>
      <c r="AL150" t="s">
        <v>1</v>
      </c>
      <c r="AM150" t="s">
        <v>1</v>
      </c>
      <c r="AN150" t="s">
        <v>1</v>
      </c>
      <c r="AO150" t="s">
        <v>1529</v>
      </c>
      <c r="AP150" t="s">
        <v>1</v>
      </c>
      <c r="AQ150" t="s">
        <v>2</v>
      </c>
      <c r="AR150" t="s">
        <v>1</v>
      </c>
      <c r="AS150" t="s">
        <v>1</v>
      </c>
      <c r="AT150" t="s">
        <v>1</v>
      </c>
      <c r="AU150" t="s">
        <v>1</v>
      </c>
      <c r="AV150" t="s">
        <v>1</v>
      </c>
      <c r="AW150" t="s">
        <v>11</v>
      </c>
      <c r="AX150">
        <f>Tabla1[[#This Row],[precio del paquete]]-Tabla1[[#This Row],[Saldo_Deudor]]</f>
        <v>1450</v>
      </c>
      <c r="AY150">
        <v>13350</v>
      </c>
      <c r="AZ150" t="s">
        <v>3</v>
      </c>
      <c r="BA150" t="s">
        <v>3</v>
      </c>
      <c r="BB150" t="s">
        <v>3</v>
      </c>
      <c r="BC150" t="s">
        <v>1835</v>
      </c>
      <c r="BD150" t="s">
        <v>1880</v>
      </c>
      <c r="BE150" t="s">
        <v>3</v>
      </c>
      <c r="BF150" t="s">
        <v>3</v>
      </c>
      <c r="BG150" t="s">
        <v>3</v>
      </c>
      <c r="BH150" t="s">
        <v>3</v>
      </c>
      <c r="BI150" t="s">
        <v>3</v>
      </c>
      <c r="BJ150" t="s">
        <v>1938</v>
      </c>
      <c r="BK150" t="s">
        <v>3</v>
      </c>
      <c r="BL150" t="s">
        <v>132</v>
      </c>
      <c r="BM150" t="s">
        <v>1</v>
      </c>
      <c r="BN150">
        <f>Tabla1[[#This Row],[precio del paquete]]</f>
        <v>14800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1</v>
      </c>
      <c r="CD150" t="str" cm="1">
        <f t="array" aca="1" ref="CD150" ca="1">eConcatenar(A150:CB150,"|")</f>
        <v>QPgsszrSb2D9NHCq|CAR2021-5267|3|MEMORIAL|TABASCO|CARDENAS|CARDENAS|2021-11-09|14800|X|50|50|0|0|0|0|0|0|0|0|0|0|0|0|0|0|0|ESPAÃ‘A|LOPEZ|BLANCA ESTHELA|SOLTERO|X|X|COLONIA PUEBLO NUEVO|COLONIA PUEBLO NUEVO|X|9371255360|X|X|X|COLONIA PUEBLO NUEVO|X|LUNES|X|X|X|X|X|DOMICILIO |1450|13350|x|x|x|2022-05-02|2022-05-09|x|x|x|x|x|CUZ2SKRCKVTMLTR|x|HOMBRE|X|14800|X|X|X|X|X|X|X|X|CARDENAS|X|X|X|X|X</v>
      </c>
    </row>
    <row r="151" spans="1:82" x14ac:dyDescent="0.25">
      <c r="A151" t="s">
        <v>285</v>
      </c>
      <c r="B151" t="s">
        <v>596</v>
      </c>
      <c r="C151">
        <v>3</v>
      </c>
      <c r="D151" t="s">
        <v>766</v>
      </c>
      <c r="E151" t="s">
        <v>1398</v>
      </c>
      <c r="F151" t="s">
        <v>0</v>
      </c>
      <c r="G151" t="s">
        <v>0</v>
      </c>
      <c r="H151" t="s">
        <v>869</v>
      </c>
      <c r="I151">
        <v>12900</v>
      </c>
      <c r="J151" t="s">
        <v>1</v>
      </c>
      <c r="K151">
        <v>100</v>
      </c>
      <c r="L151">
        <v>50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1255</v>
      </c>
      <c r="AC151" t="s">
        <v>1255</v>
      </c>
      <c r="AD151" s="18" t="s">
        <v>1104</v>
      </c>
      <c r="AE151" t="s">
        <v>4</v>
      </c>
      <c r="AF151" t="s">
        <v>1</v>
      </c>
      <c r="AG151" t="s">
        <v>1</v>
      </c>
      <c r="AH151" t="s">
        <v>1530</v>
      </c>
      <c r="AI151" t="s">
        <v>1670</v>
      </c>
      <c r="AJ151" t="s">
        <v>1</v>
      </c>
      <c r="AK151">
        <v>9371440911</v>
      </c>
      <c r="AL151" t="s">
        <v>1</v>
      </c>
      <c r="AM151" t="s">
        <v>1</v>
      </c>
      <c r="AN151" t="s">
        <v>1</v>
      </c>
      <c r="AO151" t="s">
        <v>1530</v>
      </c>
      <c r="AP151" t="s">
        <v>1</v>
      </c>
      <c r="AQ151" t="s">
        <v>2</v>
      </c>
      <c r="AR151" t="s">
        <v>1</v>
      </c>
      <c r="AS151" t="s">
        <v>1</v>
      </c>
      <c r="AT151" t="s">
        <v>1</v>
      </c>
      <c r="AU151" t="s">
        <v>1</v>
      </c>
      <c r="AV151" t="s">
        <v>1</v>
      </c>
      <c r="AW151" t="s">
        <v>11</v>
      </c>
      <c r="AX151">
        <f>Tabla1[[#This Row],[precio del paquete]]-Tabla1[[#This Row],[Saldo_Deudor]]</f>
        <v>3200</v>
      </c>
      <c r="AY151">
        <v>9700</v>
      </c>
      <c r="AZ151" t="s">
        <v>3</v>
      </c>
      <c r="BA151" t="s">
        <v>3</v>
      </c>
      <c r="BB151" t="s">
        <v>3</v>
      </c>
      <c r="BC151" t="s">
        <v>1862</v>
      </c>
      <c r="BD151" t="s">
        <v>1918</v>
      </c>
      <c r="BE151" t="s">
        <v>3</v>
      </c>
      <c r="BF151" t="s">
        <v>3</v>
      </c>
      <c r="BG151" t="s">
        <v>3</v>
      </c>
      <c r="BH151" t="s">
        <v>3</v>
      </c>
      <c r="BI151" t="s">
        <v>3</v>
      </c>
      <c r="BJ151" t="s">
        <v>1938</v>
      </c>
      <c r="BK151" t="s">
        <v>3</v>
      </c>
      <c r="BL151" t="s">
        <v>132</v>
      </c>
      <c r="BM151" t="s">
        <v>1</v>
      </c>
      <c r="BN151">
        <f>Tabla1[[#This Row],[precio del paquete]]</f>
        <v>12900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1</v>
      </c>
      <c r="CD151" t="str" cm="1">
        <f t="array" aca="1" ref="CD151" ca="1">eConcatenar(A151:CB151,"|")</f>
        <v>FgOE91oswDavcMEs|CAR2020-2862|3|ECONOLINE|TABASCO|CARDENAS|CARDENAS|2020-03-09|12900|X|100|50|0|0|0|0|0|0|0|0|0|0|0|0|0|0|0|CORDOVA|CORDOVA|JULIO CESAR|SOLTERO|X|X|CALLE ZARAGOZA NUMERO 106|COLONIA CARDENAS CENTRO|X|9371440911|X|X|X|CALLE ZARAGOZA NUMERO 106|X|LUNES|X|X|X|X|X|DOMICILIO |3200|9700|x|x|x|2022-01-29|2022-02-05|x|x|x|x|x|CUZ2SKRCKVTMLTR|x|HOMBRE|X|12900|X|X|X|X|X|X|X|X|CARDENAS|X|X|X|X|X</v>
      </c>
    </row>
    <row r="152" spans="1:82" x14ac:dyDescent="0.25">
      <c r="A152" t="s">
        <v>286</v>
      </c>
      <c r="B152" t="s">
        <v>597</v>
      </c>
      <c r="C152">
        <v>3</v>
      </c>
      <c r="D152" t="s">
        <v>766</v>
      </c>
      <c r="E152" t="s">
        <v>1398</v>
      </c>
      <c r="F152" t="s">
        <v>0</v>
      </c>
      <c r="G152" t="s">
        <v>0</v>
      </c>
      <c r="H152" t="s">
        <v>882</v>
      </c>
      <c r="I152">
        <v>12900</v>
      </c>
      <c r="J152" t="s">
        <v>1</v>
      </c>
      <c r="K152">
        <v>100</v>
      </c>
      <c r="L152">
        <v>50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1335</v>
      </c>
      <c r="AC152" t="s">
        <v>1336</v>
      </c>
      <c r="AD152" s="18" t="s">
        <v>1105</v>
      </c>
      <c r="AE152" t="s">
        <v>4</v>
      </c>
      <c r="AF152" t="s">
        <v>1</v>
      </c>
      <c r="AG152" t="s">
        <v>1</v>
      </c>
      <c r="AH152" t="s">
        <v>1531</v>
      </c>
      <c r="AI152" t="s">
        <v>1759</v>
      </c>
      <c r="AJ152" t="s">
        <v>1</v>
      </c>
      <c r="AK152">
        <v>9371154508</v>
      </c>
      <c r="AL152" t="s">
        <v>1</v>
      </c>
      <c r="AM152" t="s">
        <v>1</v>
      </c>
      <c r="AN152" t="s">
        <v>1</v>
      </c>
      <c r="AO152" t="s">
        <v>1531</v>
      </c>
      <c r="AP152" t="s">
        <v>1</v>
      </c>
      <c r="AQ152" t="s">
        <v>2</v>
      </c>
      <c r="AR152" t="s">
        <v>1</v>
      </c>
      <c r="AS152" t="s">
        <v>1</v>
      </c>
      <c r="AT152" t="s">
        <v>1</v>
      </c>
      <c r="AU152" t="s">
        <v>1</v>
      </c>
      <c r="AV152" t="s">
        <v>1</v>
      </c>
      <c r="AW152" t="s">
        <v>11</v>
      </c>
      <c r="AX152">
        <f>Tabla1[[#This Row],[precio del paquete]]-Tabla1[[#This Row],[Saldo_Deudor]]</f>
        <v>7100</v>
      </c>
      <c r="AY152">
        <v>5800</v>
      </c>
      <c r="AZ152" t="s">
        <v>3</v>
      </c>
      <c r="BA152" t="s">
        <v>3</v>
      </c>
      <c r="BB152" t="s">
        <v>3</v>
      </c>
      <c r="BC152" t="s">
        <v>1862</v>
      </c>
      <c r="BD152" t="s">
        <v>1918</v>
      </c>
      <c r="BE152" t="s">
        <v>3</v>
      </c>
      <c r="BF152" t="s">
        <v>3</v>
      </c>
      <c r="BG152" t="s">
        <v>3</v>
      </c>
      <c r="BH152" t="s">
        <v>3</v>
      </c>
      <c r="BI152" t="s">
        <v>3</v>
      </c>
      <c r="BJ152" t="s">
        <v>1938</v>
      </c>
      <c r="BK152" t="s">
        <v>3</v>
      </c>
      <c r="BL152" t="s">
        <v>132</v>
      </c>
      <c r="BM152" t="s">
        <v>1</v>
      </c>
      <c r="BN152">
        <f>Tabla1[[#This Row],[precio del paquete]]</f>
        <v>12900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1</v>
      </c>
      <c r="CD152" t="str" cm="1">
        <f t="array" aca="1" ref="CD152" ca="1">eConcatenar(A152:CB152,"|")</f>
        <v>irY09taKh10NR9Tv|CAR2020-2670|3|ECONOLINE|TABASCO|CARDENAS|CARDENAS|2020-08-26|12900|X|100|50|0|0|0|0|0|0|0|0|0|0|0|0|0|0|0|LARA|CASTELLANOS|ROSARIO|SOLTERO|X|X|CALLE AURELIA ROSALIA|FRACCIONAMIENTO BAJIO PRIMERA SECCION|X|9371154508|X|X|X|CALLE AURELIA ROSALIA|X|LUNES|X|X|X|X|X|DOMICILIO |7100|5800|x|x|x|2022-01-29|2022-02-05|x|x|x|x|x|CUZ2SKRCKVTMLTR|x|HOMBRE|X|12900|X|X|X|X|X|X|X|X|CARDENAS|X|X|X|X|X</v>
      </c>
    </row>
    <row r="153" spans="1:82" x14ac:dyDescent="0.25">
      <c r="A153" t="s">
        <v>287</v>
      </c>
      <c r="B153" t="s">
        <v>598</v>
      </c>
      <c r="C153">
        <v>3</v>
      </c>
      <c r="D153" t="s">
        <v>761</v>
      </c>
      <c r="E153" t="s">
        <v>1398</v>
      </c>
      <c r="F153" t="s">
        <v>0</v>
      </c>
      <c r="G153" t="s">
        <v>0</v>
      </c>
      <c r="H153" t="s">
        <v>883</v>
      </c>
      <c r="I153">
        <v>14800</v>
      </c>
      <c r="J153" t="s">
        <v>1</v>
      </c>
      <c r="K153">
        <v>300</v>
      </c>
      <c r="L153">
        <v>50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1255</v>
      </c>
      <c r="AC153" t="s">
        <v>1267</v>
      </c>
      <c r="AD153" s="18" t="s">
        <v>1106</v>
      </c>
      <c r="AE153" t="s">
        <v>4</v>
      </c>
      <c r="AF153" t="s">
        <v>1</v>
      </c>
      <c r="AG153" t="s">
        <v>1</v>
      </c>
      <c r="AH153" t="s">
        <v>1488</v>
      </c>
      <c r="AI153" t="s">
        <v>1760</v>
      </c>
      <c r="AJ153" t="s">
        <v>1</v>
      </c>
      <c r="AK153">
        <v>9371403740</v>
      </c>
      <c r="AL153" t="s">
        <v>1</v>
      </c>
      <c r="AM153" t="s">
        <v>1</v>
      </c>
      <c r="AN153" t="s">
        <v>1</v>
      </c>
      <c r="AO153" t="s">
        <v>1488</v>
      </c>
      <c r="AP153" t="s">
        <v>1</v>
      </c>
      <c r="AQ153" t="s">
        <v>2</v>
      </c>
      <c r="AR153" t="s">
        <v>1</v>
      </c>
      <c r="AS153" t="s">
        <v>1</v>
      </c>
      <c r="AT153" t="s">
        <v>1</v>
      </c>
      <c r="AU153" t="s">
        <v>1</v>
      </c>
      <c r="AV153" t="s">
        <v>1</v>
      </c>
      <c r="AW153" t="s">
        <v>11</v>
      </c>
      <c r="AX153">
        <f>Tabla1[[#This Row],[precio del paquete]]-Tabla1[[#This Row],[Saldo_Deudor]]</f>
        <v>2600</v>
      </c>
      <c r="AY153">
        <v>12200</v>
      </c>
      <c r="AZ153" t="s">
        <v>3</v>
      </c>
      <c r="BA153" t="s">
        <v>3</v>
      </c>
      <c r="BB153" t="s">
        <v>3</v>
      </c>
      <c r="BC153" t="s">
        <v>1863</v>
      </c>
      <c r="BD153" t="s">
        <v>799</v>
      </c>
      <c r="BE153" t="s">
        <v>3</v>
      </c>
      <c r="BF153" t="s">
        <v>3</v>
      </c>
      <c r="BG153" t="s">
        <v>3</v>
      </c>
      <c r="BH153" t="s">
        <v>3</v>
      </c>
      <c r="BI153" t="s">
        <v>3</v>
      </c>
      <c r="BJ153" t="s">
        <v>1938</v>
      </c>
      <c r="BK153" t="s">
        <v>3</v>
      </c>
      <c r="BL153" t="s">
        <v>132</v>
      </c>
      <c r="BM153" t="s">
        <v>1</v>
      </c>
      <c r="BN153">
        <f>Tabla1[[#This Row],[precio del paquete]]</f>
        <v>14800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1</v>
      </c>
      <c r="CD153" t="str" cm="1">
        <f t="array" aca="1" ref="CD153" ca="1">eConcatenar(A153:CB153,"|")</f>
        <v>2Td4Zdj5E6pdIKtH|CAR2021-1878|3|MEMORIAL|TABASCO|CARDENAS|CARDENAS|2021-12-05|14800|X|300|50|0|0|0|0|0|0|0|0|0|0|0|0|0|0|0|CORDOVA|JIMENEZ|ROY|SOLTERO|X|X|CARRETERA PRINCIPAL SIN NUMERO |COLONIA VEREDA|X|9371403740|X|X|X|CARRETERA PRINCIPAL SIN NUMERO |X|LUNES|X|X|X|X|X|DOMICILIO |2600|12200|x|x|x|2022-01-25|2022-02-01|x|x|x|x|x|CUZ2SKRCKVTMLTR|x|HOMBRE|X|14800|X|X|X|X|X|X|X|X|CARDENAS|X|X|X|X|X</v>
      </c>
    </row>
    <row r="154" spans="1:82" x14ac:dyDescent="0.25">
      <c r="A154" t="s">
        <v>288</v>
      </c>
      <c r="B154" t="s">
        <v>599</v>
      </c>
      <c r="C154">
        <v>3</v>
      </c>
      <c r="D154" t="s">
        <v>761</v>
      </c>
      <c r="E154" t="s">
        <v>1398</v>
      </c>
      <c r="F154" t="s">
        <v>0</v>
      </c>
      <c r="G154" t="s">
        <v>0</v>
      </c>
      <c r="H154" t="s">
        <v>884</v>
      </c>
      <c r="I154">
        <v>14800</v>
      </c>
      <c r="J154" t="s">
        <v>1</v>
      </c>
      <c r="K154">
        <v>500</v>
      </c>
      <c r="L154">
        <v>50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1228</v>
      </c>
      <c r="AC154" t="s">
        <v>1266</v>
      </c>
      <c r="AD154" s="18" t="s">
        <v>1107</v>
      </c>
      <c r="AE154" t="s">
        <v>4</v>
      </c>
      <c r="AF154" t="s">
        <v>1</v>
      </c>
      <c r="AG154" t="s">
        <v>1</v>
      </c>
      <c r="AH154" t="s">
        <v>1532</v>
      </c>
      <c r="AI154" t="s">
        <v>1761</v>
      </c>
      <c r="AJ154" t="s">
        <v>1</v>
      </c>
      <c r="AK154">
        <v>9371550066</v>
      </c>
      <c r="AL154" t="s">
        <v>1</v>
      </c>
      <c r="AM154" t="s">
        <v>1</v>
      </c>
      <c r="AN154" t="s">
        <v>1</v>
      </c>
      <c r="AO154" t="s">
        <v>1532</v>
      </c>
      <c r="AP154" t="s">
        <v>1</v>
      </c>
      <c r="AQ154" t="s">
        <v>2</v>
      </c>
      <c r="AR154" t="s">
        <v>1</v>
      </c>
      <c r="AS154" t="s">
        <v>1</v>
      </c>
      <c r="AT154" t="s">
        <v>1</v>
      </c>
      <c r="AU154" t="s">
        <v>1</v>
      </c>
      <c r="AV154" t="s">
        <v>1</v>
      </c>
      <c r="AW154" t="s">
        <v>11</v>
      </c>
      <c r="AX154">
        <f>Tabla1[[#This Row],[precio del paquete]]-Tabla1[[#This Row],[Saldo_Deudor]]</f>
        <v>2900</v>
      </c>
      <c r="AY154">
        <v>11900</v>
      </c>
      <c r="AZ154" t="s">
        <v>3</v>
      </c>
      <c r="BA154" t="s">
        <v>3</v>
      </c>
      <c r="BB154" t="s">
        <v>3</v>
      </c>
      <c r="BC154" t="s">
        <v>1835</v>
      </c>
      <c r="BD154" t="s">
        <v>1880</v>
      </c>
      <c r="BE154" t="s">
        <v>3</v>
      </c>
      <c r="BF154" t="s">
        <v>3</v>
      </c>
      <c r="BG154" t="s">
        <v>3</v>
      </c>
      <c r="BH154" t="s">
        <v>3</v>
      </c>
      <c r="BI154" t="s">
        <v>3</v>
      </c>
      <c r="BJ154" t="s">
        <v>1938</v>
      </c>
      <c r="BK154" t="s">
        <v>3</v>
      </c>
      <c r="BL154" t="s">
        <v>132</v>
      </c>
      <c r="BM154" t="s">
        <v>1</v>
      </c>
      <c r="BN154">
        <f>Tabla1[[#This Row],[precio del paquete]]</f>
        <v>14800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1</v>
      </c>
      <c r="CD154" t="str" cm="1">
        <f t="array" aca="1" ref="CD154" ca="1">eConcatenar(A154:CB154,"|")</f>
        <v>Z3COfrVLUqnOuFaD|CAR2021-2053|3|MEMORIAL|TABASCO|CARDENAS|CARDENAS|2021-03-21|14800|X|500|50|1|0|0|0|0|0|0|0|0|0|0|0|0|0|0|RAMOS|HERNANDEZ|FRANCISCA|SOLTERO|X|X|PRIVADA LOS NARANJOS NUMERO 111|FRACCIONAMIENTO EL ENCANTO|X|9371550066|X|X|X|PRIVADA LOS NARANJOS NUMERO 111|X|LUNES|X|X|X|X|X|DOMICILIO |2900|11900|x|x|x|2022-05-02|2022-05-09|x|x|x|x|x|CUZ2SKRCKVTMLTR|x|HOMBRE|X|14800|X|X|X|X|X|X|X|X|CARDENAS|X|X|X|X|X</v>
      </c>
    </row>
    <row r="155" spans="1:82" x14ac:dyDescent="0.25">
      <c r="A155" t="s">
        <v>289</v>
      </c>
      <c r="B155" t="s">
        <v>600</v>
      </c>
      <c r="C155">
        <v>3</v>
      </c>
      <c r="D155" t="s">
        <v>766</v>
      </c>
      <c r="E155" t="s">
        <v>1398</v>
      </c>
      <c r="F155" t="s">
        <v>0</v>
      </c>
      <c r="G155" t="s">
        <v>0</v>
      </c>
      <c r="H155" t="s">
        <v>869</v>
      </c>
      <c r="I155">
        <v>12900</v>
      </c>
      <c r="J155" t="s">
        <v>1</v>
      </c>
      <c r="K155">
        <v>200</v>
      </c>
      <c r="L155">
        <v>50</v>
      </c>
      <c r="M155">
        <v>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7</v>
      </c>
      <c r="AC155" t="s">
        <v>7</v>
      </c>
      <c r="AD155" s="18" t="s">
        <v>1108</v>
      </c>
      <c r="AE155" t="s">
        <v>4</v>
      </c>
      <c r="AF155" t="s">
        <v>1</v>
      </c>
      <c r="AG155" t="s">
        <v>1</v>
      </c>
      <c r="AH155" t="s">
        <v>1533</v>
      </c>
      <c r="AI155" t="s">
        <v>1759</v>
      </c>
      <c r="AJ155" t="s">
        <v>1</v>
      </c>
      <c r="AK155">
        <v>9371093551</v>
      </c>
      <c r="AL155" t="s">
        <v>1</v>
      </c>
      <c r="AM155" t="s">
        <v>1</v>
      </c>
      <c r="AN155" t="s">
        <v>1</v>
      </c>
      <c r="AO155" t="s">
        <v>1533</v>
      </c>
      <c r="AP155" t="s">
        <v>1</v>
      </c>
      <c r="AQ155" t="s">
        <v>2</v>
      </c>
      <c r="AR155" t="s">
        <v>1</v>
      </c>
      <c r="AS155" t="s">
        <v>1</v>
      </c>
      <c r="AT155" t="s">
        <v>1</v>
      </c>
      <c r="AU155" t="s">
        <v>1</v>
      </c>
      <c r="AV155" t="s">
        <v>1</v>
      </c>
      <c r="AW155" t="s">
        <v>11</v>
      </c>
      <c r="AX155">
        <f>Tabla1[[#This Row],[precio del paquete]]-Tabla1[[#This Row],[Saldo_Deudor]]</f>
        <v>5200</v>
      </c>
      <c r="AY155">
        <v>7700</v>
      </c>
      <c r="AZ155" t="s">
        <v>3</v>
      </c>
      <c r="BA155" t="s">
        <v>3</v>
      </c>
      <c r="BB155" t="s">
        <v>3</v>
      </c>
      <c r="BC155" t="s">
        <v>1851</v>
      </c>
      <c r="BD155" t="s">
        <v>1907</v>
      </c>
      <c r="BE155" t="s">
        <v>3</v>
      </c>
      <c r="BF155" t="s">
        <v>3</v>
      </c>
      <c r="BG155" t="s">
        <v>3</v>
      </c>
      <c r="BH155" t="s">
        <v>3</v>
      </c>
      <c r="BI155" t="s">
        <v>3</v>
      </c>
      <c r="BJ155" t="s">
        <v>1938</v>
      </c>
      <c r="BK155" t="s">
        <v>3</v>
      </c>
      <c r="BL155" t="s">
        <v>132</v>
      </c>
      <c r="BM155" t="s">
        <v>1</v>
      </c>
      <c r="BN155">
        <f>Tabla1[[#This Row],[precio del paquete]]</f>
        <v>12900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1</v>
      </c>
      <c r="CD155" t="str" cm="1">
        <f t="array" aca="1" ref="CD155" ca="1">eConcatenar(A155:CB155,"|")</f>
        <v>7CroXCI3MJegGpCN|CAR2020-2849|3|ECONOLINE|TABASCO|CARDENAS|CARDENAS|2020-03-09|12900|X|200|50|2|0|0|0|0|0|0|0|0|0|0|0|0|0|0|LOPEZ|LOPEZ|CORNELIA|SOLTERO|X|X|CERRADA SAN MIGUEL POSTE BLANCO |FRACCIONAMIENTO BAJIO PRIMERA SECCION|X|9371093551|X|X|X|CERRADA SAN MIGUEL POSTE BLANCO |X|LUNES|X|X|X|X|X|DOMICILIO |5200|7700|x|x|x|2021-04-09|2021-04-16|x|x|x|x|x|CUZ2SKRCKVTMLTR|x|HOMBRE|X|12900|X|X|X|X|X|X|X|X|CARDENAS|X|X|X|X|X</v>
      </c>
    </row>
    <row r="156" spans="1:82" x14ac:dyDescent="0.25">
      <c r="A156" t="s">
        <v>290</v>
      </c>
      <c r="B156" t="s">
        <v>601</v>
      </c>
      <c r="C156">
        <v>3</v>
      </c>
      <c r="D156" t="s">
        <v>766</v>
      </c>
      <c r="E156" t="s">
        <v>1398</v>
      </c>
      <c r="F156" t="s">
        <v>0</v>
      </c>
      <c r="G156" t="s">
        <v>0</v>
      </c>
      <c r="H156" t="s">
        <v>818</v>
      </c>
      <c r="I156">
        <v>12900</v>
      </c>
      <c r="J156" t="s">
        <v>1</v>
      </c>
      <c r="K156">
        <v>400</v>
      </c>
      <c r="L156">
        <v>50</v>
      </c>
      <c r="M156">
        <v>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1286</v>
      </c>
      <c r="AC156" t="s">
        <v>1325</v>
      </c>
      <c r="AD156" s="18" t="s">
        <v>1109</v>
      </c>
      <c r="AE156" t="s">
        <v>4</v>
      </c>
      <c r="AF156" t="s">
        <v>1</v>
      </c>
      <c r="AG156" t="s">
        <v>1</v>
      </c>
      <c r="AH156" t="s">
        <v>1534</v>
      </c>
      <c r="AI156" t="s">
        <v>1762</v>
      </c>
      <c r="AJ156" t="s">
        <v>1</v>
      </c>
      <c r="AK156">
        <v>9371391806</v>
      </c>
      <c r="AL156" t="s">
        <v>1</v>
      </c>
      <c r="AM156" t="s">
        <v>1</v>
      </c>
      <c r="AN156" t="s">
        <v>1</v>
      </c>
      <c r="AO156" t="s">
        <v>1534</v>
      </c>
      <c r="AP156" t="s">
        <v>1</v>
      </c>
      <c r="AQ156" t="s">
        <v>2</v>
      </c>
      <c r="AR156" t="s">
        <v>1</v>
      </c>
      <c r="AS156" t="s">
        <v>1</v>
      </c>
      <c r="AT156" t="s">
        <v>1</v>
      </c>
      <c r="AU156" t="s">
        <v>1</v>
      </c>
      <c r="AV156" t="s">
        <v>1</v>
      </c>
      <c r="AW156" t="s">
        <v>11</v>
      </c>
      <c r="AX156">
        <f>Tabla1[[#This Row],[precio del paquete]]-Tabla1[[#This Row],[Saldo_Deudor]]</f>
        <v>4200</v>
      </c>
      <c r="AY156">
        <v>8700</v>
      </c>
      <c r="AZ156" t="s">
        <v>3</v>
      </c>
      <c r="BA156" t="s">
        <v>3</v>
      </c>
      <c r="BB156" t="s">
        <v>3</v>
      </c>
      <c r="BC156" t="s">
        <v>1864</v>
      </c>
      <c r="BD156" t="s">
        <v>1919</v>
      </c>
      <c r="BE156" t="s">
        <v>3</v>
      </c>
      <c r="BF156" t="s">
        <v>3</v>
      </c>
      <c r="BG156" t="s">
        <v>3</v>
      </c>
      <c r="BH156" t="s">
        <v>3</v>
      </c>
      <c r="BI156" t="s">
        <v>3</v>
      </c>
      <c r="BJ156" t="s">
        <v>1938</v>
      </c>
      <c r="BK156" t="s">
        <v>3</v>
      </c>
      <c r="BL156" t="s">
        <v>132</v>
      </c>
      <c r="BM156" t="s">
        <v>1</v>
      </c>
      <c r="BN156">
        <f>Tabla1[[#This Row],[precio del paquete]]</f>
        <v>12900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1</v>
      </c>
      <c r="CD156" t="str" cm="1">
        <f t="array" aca="1" ref="CD156" ca="1">eConcatenar(A156:CB156,"|")</f>
        <v>497G9BNGr20ifWMa|CAR2020-2428|3|ECONOLINE|TABASCO|CARDENAS|CARDENAS|2020-08-15|12900|X|400|50|2|0|0|0|0|0|0|0|0|0|0|0|0|0|0|MENDOZA|REYES|FLOIDE|SOLTERO|X|X|CALLE DE LA PAPELERIA|COLONIA SAHOP|X|9371391806|X|X|X|CALLE DE LA PAPELERIA|X|LUNES|X|X|X|X|X|DOMICILIO |4200|8700|x|x|x|2021-09-10|2021-09-17|x|x|x|x|x|CUZ2SKRCKVTMLTR|x|HOMBRE|X|12900|X|X|X|X|X|X|X|X|CARDENAS|X|X|X|X|X</v>
      </c>
    </row>
    <row r="157" spans="1:82" x14ac:dyDescent="0.25">
      <c r="A157" t="s">
        <v>291</v>
      </c>
      <c r="B157" t="s">
        <v>602</v>
      </c>
      <c r="C157">
        <v>3</v>
      </c>
      <c r="D157" t="s">
        <v>765</v>
      </c>
      <c r="E157" t="s">
        <v>1398</v>
      </c>
      <c r="F157" t="s">
        <v>0</v>
      </c>
      <c r="G157" t="s">
        <v>0</v>
      </c>
      <c r="H157" t="s">
        <v>885</v>
      </c>
      <c r="I157">
        <v>19800</v>
      </c>
      <c r="J157" t="s">
        <v>1</v>
      </c>
      <c r="K157">
        <v>400</v>
      </c>
      <c r="L157">
        <v>50</v>
      </c>
      <c r="M157">
        <v>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1185</v>
      </c>
      <c r="AC157" t="s">
        <v>1336</v>
      </c>
      <c r="AD157" s="18" t="s">
        <v>1110</v>
      </c>
      <c r="AE157" t="s">
        <v>4</v>
      </c>
      <c r="AF157" t="s">
        <v>1</v>
      </c>
      <c r="AG157" t="s">
        <v>1</v>
      </c>
      <c r="AH157" t="s">
        <v>1535</v>
      </c>
      <c r="AI157" t="s">
        <v>1669</v>
      </c>
      <c r="AJ157" t="s">
        <v>1</v>
      </c>
      <c r="AK157">
        <v>9371202692</v>
      </c>
      <c r="AL157" t="s">
        <v>1</v>
      </c>
      <c r="AM157" t="s">
        <v>1</v>
      </c>
      <c r="AN157" t="s">
        <v>1</v>
      </c>
      <c r="AO157" t="s">
        <v>1535</v>
      </c>
      <c r="AP157" t="s">
        <v>1</v>
      </c>
      <c r="AQ157" t="s">
        <v>2</v>
      </c>
      <c r="AR157" t="s">
        <v>1</v>
      </c>
      <c r="AS157" t="s">
        <v>1</v>
      </c>
      <c r="AT157" t="s">
        <v>1</v>
      </c>
      <c r="AU157" t="s">
        <v>1</v>
      </c>
      <c r="AV157" t="s">
        <v>1</v>
      </c>
      <c r="AW157" t="s">
        <v>11</v>
      </c>
      <c r="AX157">
        <f>Tabla1[[#This Row],[precio del paquete]]-Tabla1[[#This Row],[Saldo_Deudor]]</f>
        <v>2400</v>
      </c>
      <c r="AY157">
        <v>17400</v>
      </c>
      <c r="AZ157" t="s">
        <v>3</v>
      </c>
      <c r="BA157" t="s">
        <v>3</v>
      </c>
      <c r="BB157" t="s">
        <v>3</v>
      </c>
      <c r="BC157" t="s">
        <v>1865</v>
      </c>
      <c r="BD157" t="s">
        <v>823</v>
      </c>
      <c r="BE157" t="s">
        <v>3</v>
      </c>
      <c r="BF157" t="s">
        <v>3</v>
      </c>
      <c r="BG157" t="s">
        <v>3</v>
      </c>
      <c r="BH157" t="s">
        <v>3</v>
      </c>
      <c r="BI157" t="s">
        <v>3</v>
      </c>
      <c r="BJ157" t="s">
        <v>1938</v>
      </c>
      <c r="BK157" t="s">
        <v>3</v>
      </c>
      <c r="BL157" t="s">
        <v>132</v>
      </c>
      <c r="BM157" t="s">
        <v>1</v>
      </c>
      <c r="BN157">
        <f>Tabla1[[#This Row],[precio del paquete]]</f>
        <v>19800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1</v>
      </c>
      <c r="CD157" t="str" cm="1">
        <f t="array" aca="1" ref="CD157" ca="1">eConcatenar(A157:CB157,"|")</f>
        <v>leE3kG8dVo3WjBoS|CAR2020-3876|3|ZAFIRO|TABASCO|CARDENAS|CARDENAS|2020-09-11|19800|X|400|50|2|0|0|0|0|0|0|0|0|0|0|0|0|0|0|RODRIGUEZ|CASTELLANOS|HILEI MARGARITA|SOLTERO|X|X|CALLE NICOLASA CANO DOMINGUEZ|COLONIA SANTA MARIA DE GUADALUPE|X|9371202692|X|X|X|CALLE NICOLASA CANO DOMINGUEZ|X|LUNES|X|X|X|X|X|DOMICILIO |2400|17400|x|x|x|2021-06-11|2021-06-18|x|x|x|x|x|CUZ2SKRCKVTMLTR|x|HOMBRE|X|19800|X|X|X|X|X|X|X|X|CARDENAS|X|X|X|X|X</v>
      </c>
    </row>
    <row r="158" spans="1:82" x14ac:dyDescent="0.25">
      <c r="A158" t="s">
        <v>292</v>
      </c>
      <c r="B158" t="s">
        <v>603</v>
      </c>
      <c r="C158">
        <v>3</v>
      </c>
      <c r="D158" t="s">
        <v>761</v>
      </c>
      <c r="E158" t="s">
        <v>1398</v>
      </c>
      <c r="F158" t="s">
        <v>0</v>
      </c>
      <c r="G158" t="s">
        <v>0</v>
      </c>
      <c r="H158" t="s">
        <v>874</v>
      </c>
      <c r="I158">
        <v>14800</v>
      </c>
      <c r="J158" t="s">
        <v>1</v>
      </c>
      <c r="K158">
        <v>50</v>
      </c>
      <c r="L158">
        <v>50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1248</v>
      </c>
      <c r="AC158" t="s">
        <v>1248</v>
      </c>
      <c r="AD158" s="18" t="s">
        <v>1111</v>
      </c>
      <c r="AE158" t="s">
        <v>4</v>
      </c>
      <c r="AF158" t="s">
        <v>1</v>
      </c>
      <c r="AG158" t="s">
        <v>1</v>
      </c>
      <c r="AH158" t="s">
        <v>1536</v>
      </c>
      <c r="AI158" t="s">
        <v>1763</v>
      </c>
      <c r="AJ158" t="s">
        <v>1</v>
      </c>
      <c r="AK158">
        <v>9371708407</v>
      </c>
      <c r="AL158" t="s">
        <v>1</v>
      </c>
      <c r="AM158" t="s">
        <v>1</v>
      </c>
      <c r="AN158" t="s">
        <v>1</v>
      </c>
      <c r="AO158" t="s">
        <v>1536</v>
      </c>
      <c r="AP158" t="s">
        <v>1</v>
      </c>
      <c r="AQ158" t="s">
        <v>2</v>
      </c>
      <c r="AR158" t="s">
        <v>1</v>
      </c>
      <c r="AS158" t="s">
        <v>1</v>
      </c>
      <c r="AT158" t="s">
        <v>1</v>
      </c>
      <c r="AU158" t="s">
        <v>1</v>
      </c>
      <c r="AV158" t="s">
        <v>1</v>
      </c>
      <c r="AW158" t="s">
        <v>11</v>
      </c>
      <c r="AX158">
        <f>Tabla1[[#This Row],[precio del paquete]]-Tabla1[[#This Row],[Saldo_Deudor]]</f>
        <v>750</v>
      </c>
      <c r="AY158">
        <v>14050</v>
      </c>
      <c r="AZ158" t="s">
        <v>3</v>
      </c>
      <c r="BA158" t="s">
        <v>3</v>
      </c>
      <c r="BB158" t="s">
        <v>3</v>
      </c>
      <c r="BC158" t="s">
        <v>772</v>
      </c>
      <c r="BD158" t="s">
        <v>1891</v>
      </c>
      <c r="BE158" t="s">
        <v>3</v>
      </c>
      <c r="BF158" t="s">
        <v>3</v>
      </c>
      <c r="BG158" t="s">
        <v>3</v>
      </c>
      <c r="BH158" t="s">
        <v>3</v>
      </c>
      <c r="BI158" t="s">
        <v>3</v>
      </c>
      <c r="BJ158" t="s">
        <v>1942</v>
      </c>
      <c r="BK158" t="s">
        <v>3</v>
      </c>
      <c r="BL158" t="s">
        <v>132</v>
      </c>
      <c r="BM158" t="s">
        <v>1</v>
      </c>
      <c r="BN158">
        <f>Tabla1[[#This Row],[precio del paquete]]</f>
        <v>14800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1</v>
      </c>
      <c r="CD158" t="str" cm="1">
        <f t="array" aca="1" ref="CD158" ca="1">eConcatenar(A158:CB158,"|")</f>
        <v>bdQZxPOK4bQsxoaq|CAR2021-6871|3|MEMORIAL|TABASCO|CARDENAS|CARDENAS|2021-12-11|14800|X|50|50|0|0|0|0|0|0|0|0|0|0|0|0|0|0|0|PEREZ|PEREZ|ADELA|SOLTERO|X|X|CALLE LEONA VICARIO SIN NUMERO|POBLADO C-9 LICENCIADO FRANCISCO I MADERO|X|9371708407|X|X|X|CALLE LEONA VICARIO SIN NUMERO|X|LUNES|X|X|X|X|X|DOMICILIO |750|14050|x|x|x|2022-12-02|2022-12-09|x|x|x|x|x|TGYGIVCAZFPUVXE|x|HOMBRE|X|14800|X|X|X|X|X|X|X|X|CARDENAS|X|X|X|X|X</v>
      </c>
    </row>
    <row r="159" spans="1:82" x14ac:dyDescent="0.25">
      <c r="A159" t="s">
        <v>293</v>
      </c>
      <c r="B159" t="s">
        <v>604</v>
      </c>
      <c r="C159">
        <v>3</v>
      </c>
      <c r="D159" t="s">
        <v>761</v>
      </c>
      <c r="E159" t="s">
        <v>1398</v>
      </c>
      <c r="F159" t="s">
        <v>0</v>
      </c>
      <c r="G159" t="s">
        <v>0</v>
      </c>
      <c r="H159" t="s">
        <v>874</v>
      </c>
      <c r="I159">
        <v>14800</v>
      </c>
      <c r="J159" t="s">
        <v>1</v>
      </c>
      <c r="K159">
        <v>200</v>
      </c>
      <c r="L159">
        <v>50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1337</v>
      </c>
      <c r="AC159" t="s">
        <v>1256</v>
      </c>
      <c r="AD159" s="18" t="s">
        <v>1069</v>
      </c>
      <c r="AE159" t="s">
        <v>4</v>
      </c>
      <c r="AF159" t="s">
        <v>1</v>
      </c>
      <c r="AG159" t="s">
        <v>1</v>
      </c>
      <c r="AH159" t="s">
        <v>1537</v>
      </c>
      <c r="AI159" t="s">
        <v>1763</v>
      </c>
      <c r="AJ159" t="s">
        <v>1</v>
      </c>
      <c r="AK159">
        <v>9371252553</v>
      </c>
      <c r="AL159" t="s">
        <v>1</v>
      </c>
      <c r="AM159" t="s">
        <v>1</v>
      </c>
      <c r="AN159" t="s">
        <v>1</v>
      </c>
      <c r="AO159" t="s">
        <v>1537</v>
      </c>
      <c r="AP159" t="s">
        <v>1</v>
      </c>
      <c r="AQ159" t="s">
        <v>2</v>
      </c>
      <c r="AR159" t="s">
        <v>1</v>
      </c>
      <c r="AS159" t="s">
        <v>1</v>
      </c>
      <c r="AT159" t="s">
        <v>1</v>
      </c>
      <c r="AU159" t="s">
        <v>1</v>
      </c>
      <c r="AV159" t="s">
        <v>1</v>
      </c>
      <c r="AW159" t="s">
        <v>11</v>
      </c>
      <c r="AX159">
        <f>Tabla1[[#This Row],[precio del paquete]]-Tabla1[[#This Row],[Saldo_Deudor]]</f>
        <v>1200</v>
      </c>
      <c r="AY159">
        <v>13600</v>
      </c>
      <c r="AZ159" t="s">
        <v>3</v>
      </c>
      <c r="BA159" t="s">
        <v>3</v>
      </c>
      <c r="BB159" t="s">
        <v>3</v>
      </c>
      <c r="BC159" t="s">
        <v>772</v>
      </c>
      <c r="BD159" t="s">
        <v>1891</v>
      </c>
      <c r="BE159" t="s">
        <v>3</v>
      </c>
      <c r="BF159" t="s">
        <v>3</v>
      </c>
      <c r="BG159" t="s">
        <v>3</v>
      </c>
      <c r="BH159" t="s">
        <v>3</v>
      </c>
      <c r="BI159" t="s">
        <v>3</v>
      </c>
      <c r="BJ159" t="s">
        <v>1942</v>
      </c>
      <c r="BK159" t="s">
        <v>3</v>
      </c>
      <c r="BL159" t="s">
        <v>132</v>
      </c>
      <c r="BM159" t="s">
        <v>1</v>
      </c>
      <c r="BN159">
        <f>Tabla1[[#This Row],[precio del paquete]]</f>
        <v>14800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1</v>
      </c>
      <c r="CD159" t="str" cm="1">
        <f t="array" aca="1" ref="CD159" ca="1">eConcatenar(A159:CB159,"|")</f>
        <v>zxyf2vqTgVh3RbTt|CAR2021-6870|3|MEMORIAL|TABASCO|CARDENAS|CARDENAS|2021-12-11|14800|X|200|50|0|0|0|0|0|0|0|0|0|0|0|0|0|0|0|ARA|OLAN|JOSE MANUEL|SOLTERO|X|X|CALLE BENITO JUAREZ NUMERO 283|POBLADO C-9 LICENCIADO FRANCISCO I MADERO|X|9371252553|X|X|X|CALLE BENITO JUAREZ NUMERO 283|X|LUNES|X|X|X|X|X|DOMICILIO |1200|13600|x|x|x|2022-12-02|2022-12-09|x|x|x|x|x|TGYGIVCAZFPUVXE|x|HOMBRE|X|14800|X|X|X|X|X|X|X|X|CARDENAS|X|X|X|X|X</v>
      </c>
    </row>
    <row r="160" spans="1:82" x14ac:dyDescent="0.25">
      <c r="A160" t="s">
        <v>294</v>
      </c>
      <c r="B160" t="s">
        <v>605</v>
      </c>
      <c r="C160">
        <v>3</v>
      </c>
      <c r="D160" t="s">
        <v>761</v>
      </c>
      <c r="E160" t="s">
        <v>1398</v>
      </c>
      <c r="F160" t="s">
        <v>0</v>
      </c>
      <c r="G160" t="s">
        <v>0</v>
      </c>
      <c r="H160" t="s">
        <v>886</v>
      </c>
      <c r="I160">
        <v>14800</v>
      </c>
      <c r="J160" t="s">
        <v>1</v>
      </c>
      <c r="K160">
        <v>100</v>
      </c>
      <c r="L160">
        <v>50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7</v>
      </c>
      <c r="AC160" t="s">
        <v>1326</v>
      </c>
      <c r="AD160" s="18" t="s">
        <v>1112</v>
      </c>
      <c r="AE160" t="s">
        <v>4</v>
      </c>
      <c r="AF160" t="s">
        <v>1</v>
      </c>
      <c r="AG160" t="s">
        <v>1</v>
      </c>
      <c r="AH160" t="s">
        <v>1538</v>
      </c>
      <c r="AI160" t="s">
        <v>1763</v>
      </c>
      <c r="AJ160" t="s">
        <v>1</v>
      </c>
      <c r="AK160">
        <v>9381863446</v>
      </c>
      <c r="AL160" t="s">
        <v>1</v>
      </c>
      <c r="AM160" t="s">
        <v>1</v>
      </c>
      <c r="AN160" t="s">
        <v>1</v>
      </c>
      <c r="AO160" t="s">
        <v>1538</v>
      </c>
      <c r="AP160" t="s">
        <v>1</v>
      </c>
      <c r="AQ160" t="s">
        <v>2</v>
      </c>
      <c r="AR160" t="s">
        <v>1</v>
      </c>
      <c r="AS160" t="s">
        <v>1</v>
      </c>
      <c r="AT160" t="s">
        <v>1</v>
      </c>
      <c r="AU160" t="s">
        <v>1</v>
      </c>
      <c r="AV160" t="s">
        <v>1</v>
      </c>
      <c r="AW160" t="s">
        <v>11</v>
      </c>
      <c r="AX160">
        <f>Tabla1[[#This Row],[precio del paquete]]-Tabla1[[#This Row],[Saldo_Deudor]]</f>
        <v>700</v>
      </c>
      <c r="AY160">
        <v>14100</v>
      </c>
      <c r="AZ160" t="s">
        <v>3</v>
      </c>
      <c r="BA160" t="s">
        <v>3</v>
      </c>
      <c r="BB160" t="s">
        <v>3</v>
      </c>
      <c r="BC160" t="s">
        <v>1835</v>
      </c>
      <c r="BD160" t="s">
        <v>1880</v>
      </c>
      <c r="BE160" t="s">
        <v>3</v>
      </c>
      <c r="BF160" t="s">
        <v>3</v>
      </c>
      <c r="BG160" t="s">
        <v>3</v>
      </c>
      <c r="BH160" t="s">
        <v>3</v>
      </c>
      <c r="BI160" t="s">
        <v>3</v>
      </c>
      <c r="BJ160" t="s">
        <v>1942</v>
      </c>
      <c r="BK160" t="s">
        <v>3</v>
      </c>
      <c r="BL160" t="s">
        <v>132</v>
      </c>
      <c r="BM160" t="s">
        <v>1</v>
      </c>
      <c r="BN160">
        <f>Tabla1[[#This Row],[precio del paquete]]</f>
        <v>14800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1</v>
      </c>
      <c r="CD160" t="str" cm="1">
        <f t="array" aca="1" ref="CD160" ca="1">eConcatenar(A160:CB160,"|")</f>
        <v>HLvFSAcT7tZ6Dohv|CAR2021-6880|3|MEMORIAL|TABASCO|CARDENAS|CARDENAS|2021-11-13|14800|X|100|50|0|0|0|0|0|0|0|0|0|0|0|0|0|0|0|LOPEZ|ALVARADO|YESICA MERCEDES|SOLTERO|X|X|CALLE 2 CASA NUMERO 88|POBLADO C-9 LICENCIADO FRANCISCO I MADERO|X|9381863446|X|X|X|CALLE 2 CASA NUMERO 88|X|LUNES|X|X|X|X|X|DOMICILIO |700|14100|x|x|x|2022-05-02|2022-05-09|x|x|x|x|x|TGYGIVCAZFPUVXE|x|HOMBRE|X|14800|X|X|X|X|X|X|X|X|CARDENAS|X|X|X|X|X</v>
      </c>
    </row>
    <row r="161" spans="1:82" x14ac:dyDescent="0.25">
      <c r="A161" t="s">
        <v>295</v>
      </c>
      <c r="B161" t="s">
        <v>606</v>
      </c>
      <c r="C161">
        <v>3</v>
      </c>
      <c r="D161" t="s">
        <v>761</v>
      </c>
      <c r="E161" t="s">
        <v>1398</v>
      </c>
      <c r="F161" t="s">
        <v>0</v>
      </c>
      <c r="G161" t="s">
        <v>0</v>
      </c>
      <c r="H161" t="s">
        <v>874</v>
      </c>
      <c r="I161">
        <v>14800</v>
      </c>
      <c r="J161" t="s">
        <v>1</v>
      </c>
      <c r="K161">
        <v>100</v>
      </c>
      <c r="L161">
        <v>50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1236</v>
      </c>
      <c r="AC161" t="s">
        <v>1249</v>
      </c>
      <c r="AD161" s="18" t="s">
        <v>1113</v>
      </c>
      <c r="AE161" t="s">
        <v>4</v>
      </c>
      <c r="AF161" t="s">
        <v>1</v>
      </c>
      <c r="AG161" t="s">
        <v>1</v>
      </c>
      <c r="AH161" t="s">
        <v>1539</v>
      </c>
      <c r="AI161" t="s">
        <v>1763</v>
      </c>
      <c r="AJ161" t="s">
        <v>1</v>
      </c>
      <c r="AK161">
        <v>9372713397</v>
      </c>
      <c r="AL161" t="s">
        <v>1</v>
      </c>
      <c r="AM161" t="s">
        <v>1</v>
      </c>
      <c r="AN161" t="s">
        <v>1</v>
      </c>
      <c r="AO161" t="s">
        <v>1539</v>
      </c>
      <c r="AP161" t="s">
        <v>1</v>
      </c>
      <c r="AQ161" t="s">
        <v>2</v>
      </c>
      <c r="AR161" t="s">
        <v>1</v>
      </c>
      <c r="AS161" t="s">
        <v>1</v>
      </c>
      <c r="AT161" t="s">
        <v>1</v>
      </c>
      <c r="AU161" t="s">
        <v>1</v>
      </c>
      <c r="AV161" t="s">
        <v>1</v>
      </c>
      <c r="AW161" t="s">
        <v>11</v>
      </c>
      <c r="AX161">
        <f>Tabla1[[#This Row],[precio del paquete]]-Tabla1[[#This Row],[Saldo_Deudor]]</f>
        <v>900</v>
      </c>
      <c r="AY161">
        <v>13900</v>
      </c>
      <c r="AZ161" t="s">
        <v>3</v>
      </c>
      <c r="BA161" t="s">
        <v>3</v>
      </c>
      <c r="BB161" t="s">
        <v>3</v>
      </c>
      <c r="BC161" t="s">
        <v>1835</v>
      </c>
      <c r="BD161" t="s">
        <v>1880</v>
      </c>
      <c r="BE161" t="s">
        <v>3</v>
      </c>
      <c r="BF161" t="s">
        <v>3</v>
      </c>
      <c r="BG161" t="s">
        <v>3</v>
      </c>
      <c r="BH161" t="s">
        <v>3</v>
      </c>
      <c r="BI161" t="s">
        <v>3</v>
      </c>
      <c r="BJ161" t="s">
        <v>1942</v>
      </c>
      <c r="BK161" t="s">
        <v>3</v>
      </c>
      <c r="BL161" t="s">
        <v>132</v>
      </c>
      <c r="BM161" t="s">
        <v>1</v>
      </c>
      <c r="BN161">
        <f>Tabla1[[#This Row],[precio del paquete]]</f>
        <v>14800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1</v>
      </c>
      <c r="CD161" t="str" cm="1">
        <f t="array" aca="1" ref="CD161" ca="1">eConcatenar(A161:CB161,"|")</f>
        <v>W1LBxc9g6R1JNyw6|CAR2021-6872|3|MEMORIAL|TABASCO|CARDENAS|CARDENAS|2021-12-11|14800|X|100|50|0|0|0|0|0|0|0|0|0|0|0|0|0|0|0|DE LOS SANTOS|DE LA CRUZ|JHON ESMIR|SOLTERO|X|X|ENTRE CALLE 9 Y CALLE 10 SIN NUMERO|POBLADO C-9 LICENCIADO FRANCISCO I MADERO|X|9372713397|X|X|X|ENTRE CALLE 9 Y CALLE 10 SIN NUMERO|X|LUNES|X|X|X|X|X|DOMICILIO |900|13900|x|x|x|2022-05-02|2022-05-09|x|x|x|x|x|TGYGIVCAZFPUVXE|x|HOMBRE|X|14800|X|X|X|X|X|X|X|X|CARDENAS|X|X|X|X|X</v>
      </c>
    </row>
    <row r="162" spans="1:82" x14ac:dyDescent="0.25">
      <c r="A162" t="s">
        <v>296</v>
      </c>
      <c r="B162" t="s">
        <v>607</v>
      </c>
      <c r="C162">
        <v>3</v>
      </c>
      <c r="D162" t="s">
        <v>761</v>
      </c>
      <c r="E162" t="s">
        <v>1398</v>
      </c>
      <c r="F162" t="s">
        <v>0</v>
      </c>
      <c r="G162" t="s">
        <v>0</v>
      </c>
      <c r="H162" t="s">
        <v>881</v>
      </c>
      <c r="I162">
        <v>14800</v>
      </c>
      <c r="J162" t="s">
        <v>1</v>
      </c>
      <c r="K162">
        <v>100</v>
      </c>
      <c r="L162">
        <v>50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1338</v>
      </c>
      <c r="AC162" t="s">
        <v>1339</v>
      </c>
      <c r="AD162" s="18" t="s">
        <v>1114</v>
      </c>
      <c r="AE162" t="s">
        <v>4</v>
      </c>
      <c r="AF162" t="s">
        <v>1</v>
      </c>
      <c r="AG162" t="s">
        <v>1</v>
      </c>
      <c r="AH162" t="s">
        <v>1540</v>
      </c>
      <c r="AI162" t="s">
        <v>1764</v>
      </c>
      <c r="AJ162" t="s">
        <v>1</v>
      </c>
      <c r="AK162">
        <v>9371288834</v>
      </c>
      <c r="AL162" t="s">
        <v>1</v>
      </c>
      <c r="AM162" t="s">
        <v>1</v>
      </c>
      <c r="AN162" t="s">
        <v>1</v>
      </c>
      <c r="AO162" t="s">
        <v>1540</v>
      </c>
      <c r="AP162" t="s">
        <v>1</v>
      </c>
      <c r="AQ162" t="s">
        <v>2</v>
      </c>
      <c r="AR162" t="s">
        <v>1</v>
      </c>
      <c r="AS162" t="s">
        <v>1</v>
      </c>
      <c r="AT162" t="s">
        <v>1</v>
      </c>
      <c r="AU162" t="s">
        <v>1</v>
      </c>
      <c r="AV162" t="s">
        <v>1</v>
      </c>
      <c r="AW162" t="s">
        <v>11</v>
      </c>
      <c r="AX162">
        <f>Tabla1[[#This Row],[precio del paquete]]-Tabla1[[#This Row],[Saldo_Deudor]]</f>
        <v>10000</v>
      </c>
      <c r="AY162">
        <v>4800</v>
      </c>
      <c r="AZ162" t="s">
        <v>3</v>
      </c>
      <c r="BA162" t="s">
        <v>3</v>
      </c>
      <c r="BB162" t="s">
        <v>3</v>
      </c>
      <c r="BC162" t="s">
        <v>1866</v>
      </c>
      <c r="BD162" t="s">
        <v>1920</v>
      </c>
      <c r="BE162" t="s">
        <v>3</v>
      </c>
      <c r="BF162" t="s">
        <v>3</v>
      </c>
      <c r="BG162" t="s">
        <v>3</v>
      </c>
      <c r="BH162" t="s">
        <v>3</v>
      </c>
      <c r="BI162" t="s">
        <v>3</v>
      </c>
      <c r="BJ162" t="s">
        <v>1942</v>
      </c>
      <c r="BK162" t="s">
        <v>3</v>
      </c>
      <c r="BL162" t="s">
        <v>132</v>
      </c>
      <c r="BM162" t="s">
        <v>1</v>
      </c>
      <c r="BN162">
        <f>Tabla1[[#This Row],[precio del paquete]]</f>
        <v>14800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1</v>
      </c>
      <c r="CD162" t="str" cm="1">
        <f t="array" aca="1" ref="CD162" ca="1">eConcatenar(A162:CB162,"|")</f>
        <v>23pE3jlNmy3NaWah|CAR2020-2686|3|MEMORIAL|TABASCO|CARDENAS|CARDENAS|2020-08-27|14800|X|100|50|0|0|0|0|0|0|0|0|0|0|0|0|0|0|0|CATARINO|PANFILO|TOMAZA|SOLTERO|X|X|CALLE NUMERO 7 ZONA VERDE|POBLADO C-20 MIGUEL HIDALGO|X|9371288834|X|X|X|CALLE NUMERO 7 ZONA VERDE|X|LUNES|X|X|X|X|X|DOMICILIO |10000|4800|x|x|x|2022-01-15|2022-01-22|x|x|x|x|x|TGYGIVCAZFPUVXE|x|HOMBRE|X|14800|X|X|X|X|X|X|X|X|CARDENAS|X|X|X|X|X</v>
      </c>
    </row>
    <row r="163" spans="1:82" x14ac:dyDescent="0.25">
      <c r="A163" t="s">
        <v>297</v>
      </c>
      <c r="B163" t="s">
        <v>608</v>
      </c>
      <c r="C163">
        <v>3</v>
      </c>
      <c r="D163" t="s">
        <v>761</v>
      </c>
      <c r="E163" t="s">
        <v>1398</v>
      </c>
      <c r="F163" t="s">
        <v>0</v>
      </c>
      <c r="G163" t="s">
        <v>0</v>
      </c>
      <c r="H163" t="s">
        <v>887</v>
      </c>
      <c r="I163">
        <v>14800</v>
      </c>
      <c r="J163" t="s">
        <v>1</v>
      </c>
      <c r="K163">
        <v>100</v>
      </c>
      <c r="L163">
        <v>50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1269</v>
      </c>
      <c r="AC163" t="s">
        <v>7</v>
      </c>
      <c r="AD163" s="18" t="s">
        <v>1115</v>
      </c>
      <c r="AE163" t="s">
        <v>4</v>
      </c>
      <c r="AF163" t="s">
        <v>1</v>
      </c>
      <c r="AG163" t="s">
        <v>1</v>
      </c>
      <c r="AH163" t="s">
        <v>1541</v>
      </c>
      <c r="AI163" t="s">
        <v>1765</v>
      </c>
      <c r="AJ163" t="s">
        <v>1</v>
      </c>
      <c r="AK163">
        <v>9371003671</v>
      </c>
      <c r="AL163" t="s">
        <v>1</v>
      </c>
      <c r="AM163" t="s">
        <v>1</v>
      </c>
      <c r="AN163" t="s">
        <v>1</v>
      </c>
      <c r="AO163" t="s">
        <v>1541</v>
      </c>
      <c r="AP163" t="s">
        <v>1</v>
      </c>
      <c r="AQ163" t="s">
        <v>2</v>
      </c>
      <c r="AR163" t="s">
        <v>1</v>
      </c>
      <c r="AS163" t="s">
        <v>1</v>
      </c>
      <c r="AT163" t="s">
        <v>1</v>
      </c>
      <c r="AU163" t="s">
        <v>1</v>
      </c>
      <c r="AV163" t="s">
        <v>1</v>
      </c>
      <c r="AW163" t="s">
        <v>11</v>
      </c>
      <c r="AX163">
        <f>Tabla1[[#This Row],[precio del paquete]]-Tabla1[[#This Row],[Saldo_Deudor]]</f>
        <v>800</v>
      </c>
      <c r="AY163">
        <v>14000</v>
      </c>
      <c r="AZ163" t="s">
        <v>3</v>
      </c>
      <c r="BA163" t="s">
        <v>3</v>
      </c>
      <c r="BB163" t="s">
        <v>3</v>
      </c>
      <c r="BC163" t="s">
        <v>1862</v>
      </c>
      <c r="BD163" t="s">
        <v>1918</v>
      </c>
      <c r="BE163" t="s">
        <v>3</v>
      </c>
      <c r="BF163" t="s">
        <v>3</v>
      </c>
      <c r="BG163" t="s">
        <v>3</v>
      </c>
      <c r="BH163" t="s">
        <v>3</v>
      </c>
      <c r="BI163" t="s">
        <v>3</v>
      </c>
      <c r="BJ163" t="s">
        <v>1942</v>
      </c>
      <c r="BK163" t="s">
        <v>3</v>
      </c>
      <c r="BL163" t="s">
        <v>132</v>
      </c>
      <c r="BM163" t="s">
        <v>1</v>
      </c>
      <c r="BN163">
        <f>Tabla1[[#This Row],[precio del paquete]]</f>
        <v>14800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1</v>
      </c>
      <c r="CD163" t="str" cm="1">
        <f t="array" aca="1" ref="CD163" ca="1">eConcatenar(A163:CB163,"|")</f>
        <v>pHdMl7jDfjFLDUuk|CAR2021-2055|3|MEMORIAL|TABASCO|CARDENAS|CARDENAS|2021-05-22|14800|X|100|50|0|0|0|0|0|0|0|0|0|0|0|0|0|0|0|MENDEZ|LOPEZ|HENRY|SOLTERO|X|X|CALLE 6 NUMERO 180|POBLADO C-28 CORONEL GREGORIO MENDEZ|X|9371003671|X|X|X|CALLE 6 NUMERO 180|X|LUNES|X|X|X|X|X|DOMICILIO |800|14000|x|x|x|2022-01-29|2022-02-05|x|x|x|x|x|TGYGIVCAZFPUVXE|x|HOMBRE|X|14800|X|X|X|X|X|X|X|X|CARDENAS|X|X|X|X|X</v>
      </c>
    </row>
    <row r="164" spans="1:82" x14ac:dyDescent="0.25">
      <c r="A164" t="s">
        <v>298</v>
      </c>
      <c r="B164" t="s">
        <v>609</v>
      </c>
      <c r="C164">
        <v>3</v>
      </c>
      <c r="D164" t="s">
        <v>761</v>
      </c>
      <c r="E164" t="s">
        <v>1398</v>
      </c>
      <c r="F164" t="s">
        <v>0</v>
      </c>
      <c r="G164" t="s">
        <v>0</v>
      </c>
      <c r="H164" t="s">
        <v>888</v>
      </c>
      <c r="I164">
        <v>14800</v>
      </c>
      <c r="J164" t="s">
        <v>1</v>
      </c>
      <c r="K164">
        <v>500</v>
      </c>
      <c r="L164">
        <v>50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1330</v>
      </c>
      <c r="AC164" t="s">
        <v>1340</v>
      </c>
      <c r="AD164" s="18" t="s">
        <v>1116</v>
      </c>
      <c r="AE164" t="s">
        <v>4</v>
      </c>
      <c r="AF164" t="s">
        <v>1</v>
      </c>
      <c r="AG164" t="s">
        <v>1</v>
      </c>
      <c r="AH164" t="s">
        <v>1542</v>
      </c>
      <c r="AI164" t="s">
        <v>1766</v>
      </c>
      <c r="AJ164" t="s">
        <v>1</v>
      </c>
      <c r="AK164">
        <v>9371192532</v>
      </c>
      <c r="AL164" t="s">
        <v>1</v>
      </c>
      <c r="AM164" t="s">
        <v>1</v>
      </c>
      <c r="AN164" t="s">
        <v>1</v>
      </c>
      <c r="AO164" t="s">
        <v>1542</v>
      </c>
      <c r="AP164" t="s">
        <v>1</v>
      </c>
      <c r="AQ164" t="s">
        <v>2</v>
      </c>
      <c r="AR164" t="s">
        <v>1</v>
      </c>
      <c r="AS164" t="s">
        <v>1</v>
      </c>
      <c r="AT164" t="s">
        <v>1</v>
      </c>
      <c r="AU164" t="s">
        <v>1</v>
      </c>
      <c r="AV164" t="s">
        <v>1</v>
      </c>
      <c r="AW164" t="s">
        <v>11</v>
      </c>
      <c r="AX164">
        <f>Tabla1[[#This Row],[precio del paquete]]-Tabla1[[#This Row],[Saldo_Deudor]]</f>
        <v>900</v>
      </c>
      <c r="AY164">
        <v>13900</v>
      </c>
      <c r="AZ164" t="s">
        <v>3</v>
      </c>
      <c r="BA164" t="s">
        <v>3</v>
      </c>
      <c r="BB164" t="s">
        <v>3</v>
      </c>
      <c r="BC164" t="s">
        <v>936</v>
      </c>
      <c r="BD164" t="s">
        <v>1878</v>
      </c>
      <c r="BE164" t="s">
        <v>3</v>
      </c>
      <c r="BF164" t="s">
        <v>3</v>
      </c>
      <c r="BG164" t="s">
        <v>3</v>
      </c>
      <c r="BH164" t="s">
        <v>3</v>
      </c>
      <c r="BI164" t="s">
        <v>3</v>
      </c>
      <c r="BJ164" t="s">
        <v>1942</v>
      </c>
      <c r="BK164" t="s">
        <v>3</v>
      </c>
      <c r="BL164" t="s">
        <v>132</v>
      </c>
      <c r="BM164" t="s">
        <v>1</v>
      </c>
      <c r="BN164">
        <f>Tabla1[[#This Row],[precio del paquete]]</f>
        <v>14800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1</v>
      </c>
      <c r="CD164" t="str" cm="1">
        <f t="array" aca="1" ref="CD164" ca="1">eConcatenar(A164:CB164,"|")</f>
        <v>Vg8zF7XSbXfKTJ5w|CAR2021-7707|3|MEMORIAL|TABASCO|CARDENAS|CARDENAS|2021-12-31|14800|X|500|50|0|0|0|0|0|0|0|0|0|0|0|0|0|0|0|ORTIZ|VENTURA|ESMERALDA|SOLTERO|X|X|CALLE 7 CASA NUMERO 174|POBLADO C-10 GENERAL LAZARO CARDENAS|X|9371192532|X|X|X|CALLE 7 CASA NUMERO 174|X|LUNES|X|X|X|X|X|DOMICILIO |900|13900|x|x|x|2022-11-02|2022-11-09|x|x|x|x|x|TGYGIVCAZFPUVXE|x|HOMBRE|X|14800|X|X|X|X|X|X|X|X|CARDENAS|X|X|X|X|X</v>
      </c>
    </row>
    <row r="165" spans="1:82" x14ac:dyDescent="0.25">
      <c r="A165" t="s">
        <v>299</v>
      </c>
      <c r="B165" t="s">
        <v>610</v>
      </c>
      <c r="C165">
        <v>3</v>
      </c>
      <c r="D165" t="s">
        <v>761</v>
      </c>
      <c r="E165" t="s">
        <v>1398</v>
      </c>
      <c r="F165" t="s">
        <v>0</v>
      </c>
      <c r="G165" t="s">
        <v>0</v>
      </c>
      <c r="H165" t="s">
        <v>889</v>
      </c>
      <c r="I165">
        <v>14800</v>
      </c>
      <c r="J165" t="s">
        <v>1</v>
      </c>
      <c r="K165">
        <v>200</v>
      </c>
      <c r="L165">
        <v>50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1266</v>
      </c>
      <c r="AC165" t="s">
        <v>1341</v>
      </c>
      <c r="AD165" s="18" t="s">
        <v>1117</v>
      </c>
      <c r="AE165" t="s">
        <v>4</v>
      </c>
      <c r="AF165" t="s">
        <v>1</v>
      </c>
      <c r="AG165" t="s">
        <v>1</v>
      </c>
      <c r="AH165" t="s">
        <v>1543</v>
      </c>
      <c r="AI165" t="s">
        <v>1766</v>
      </c>
      <c r="AJ165" t="s">
        <v>1</v>
      </c>
      <c r="AK165">
        <v>9371164462</v>
      </c>
      <c r="AL165" t="s">
        <v>1</v>
      </c>
      <c r="AM165" t="s">
        <v>1</v>
      </c>
      <c r="AN165" t="s">
        <v>1</v>
      </c>
      <c r="AO165" t="s">
        <v>1543</v>
      </c>
      <c r="AP165" t="s">
        <v>1</v>
      </c>
      <c r="AQ165" t="s">
        <v>2</v>
      </c>
      <c r="AR165" t="s">
        <v>1</v>
      </c>
      <c r="AS165" t="s">
        <v>1</v>
      </c>
      <c r="AT165" t="s">
        <v>1</v>
      </c>
      <c r="AU165" t="s">
        <v>1</v>
      </c>
      <c r="AV165" t="s">
        <v>1</v>
      </c>
      <c r="AW165" t="s">
        <v>11</v>
      </c>
      <c r="AX165">
        <f>Tabla1[[#This Row],[precio del paquete]]-Tabla1[[#This Row],[Saldo_Deudor]]</f>
        <v>800</v>
      </c>
      <c r="AY165">
        <v>14000</v>
      </c>
      <c r="AZ165" t="s">
        <v>3</v>
      </c>
      <c r="BA165" t="s">
        <v>3</v>
      </c>
      <c r="BB165" t="s">
        <v>3</v>
      </c>
      <c r="BC165" t="s">
        <v>936</v>
      </c>
      <c r="BD165" t="s">
        <v>1878</v>
      </c>
      <c r="BE165" t="s">
        <v>3</v>
      </c>
      <c r="BF165" t="s">
        <v>3</v>
      </c>
      <c r="BG165" t="s">
        <v>3</v>
      </c>
      <c r="BH165" t="s">
        <v>3</v>
      </c>
      <c r="BI165" t="s">
        <v>3</v>
      </c>
      <c r="BJ165" t="s">
        <v>1942</v>
      </c>
      <c r="BK165" t="s">
        <v>3</v>
      </c>
      <c r="BL165" t="s">
        <v>132</v>
      </c>
      <c r="BM165" t="s">
        <v>1</v>
      </c>
      <c r="BN165">
        <f>Tabla1[[#This Row],[precio del paquete]]</f>
        <v>14800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1</v>
      </c>
      <c r="CD165" t="str" cm="1">
        <f t="array" aca="1" ref="CD165" ca="1">eConcatenar(A165:CB165,"|")</f>
        <v>55dLohs6OGch9lu3|CAR2021-7082|3|MEMORIAL|TABASCO|CARDENAS|CARDENAS|2021-11-20|14800|X|200|50|0|0|0|0|0|0|0|0|0|0|0|0|0|0|0|HERNANDEZ|ULLOA|GLORIA|SOLTERO|X|X|CALLE NUMERO 6|POBLADO C-10 GENERAL LAZARO CARDENAS|X|9371164462|X|X|X|CALLE NUMERO 6|X|LUNES|X|X|X|X|X|DOMICILIO |800|14000|x|x|x|2022-11-02|2022-11-09|x|x|x|x|x|TGYGIVCAZFPUVXE|x|HOMBRE|X|14800|X|X|X|X|X|X|X|X|CARDENAS|X|X|X|X|X</v>
      </c>
    </row>
    <row r="166" spans="1:82" x14ac:dyDescent="0.25">
      <c r="A166" t="s">
        <v>300</v>
      </c>
      <c r="B166" t="s">
        <v>611</v>
      </c>
      <c r="C166">
        <v>3</v>
      </c>
      <c r="D166" t="s">
        <v>761</v>
      </c>
      <c r="E166" t="s">
        <v>1398</v>
      </c>
      <c r="F166" t="s">
        <v>0</v>
      </c>
      <c r="G166" t="s">
        <v>0</v>
      </c>
      <c r="H166" t="s">
        <v>890</v>
      </c>
      <c r="I166">
        <v>14800</v>
      </c>
      <c r="J166" t="s">
        <v>1</v>
      </c>
      <c r="K166">
        <v>100</v>
      </c>
      <c r="L166">
        <v>50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1260</v>
      </c>
      <c r="AC166" t="s">
        <v>1291</v>
      </c>
      <c r="AD166" s="18" t="s">
        <v>1118</v>
      </c>
      <c r="AE166" t="s">
        <v>4</v>
      </c>
      <c r="AF166" t="s">
        <v>1</v>
      </c>
      <c r="AG166" t="s">
        <v>1</v>
      </c>
      <c r="AH166" t="s">
        <v>1544</v>
      </c>
      <c r="AI166" t="s">
        <v>1766</v>
      </c>
      <c r="AJ166" t="s">
        <v>1</v>
      </c>
      <c r="AK166">
        <v>9371398910</v>
      </c>
      <c r="AL166" t="s">
        <v>1</v>
      </c>
      <c r="AM166" t="s">
        <v>1</v>
      </c>
      <c r="AN166" t="s">
        <v>1</v>
      </c>
      <c r="AO166" t="s">
        <v>1544</v>
      </c>
      <c r="AP166" t="s">
        <v>1</v>
      </c>
      <c r="AQ166" t="s">
        <v>2</v>
      </c>
      <c r="AR166" t="s">
        <v>1</v>
      </c>
      <c r="AS166" t="s">
        <v>1</v>
      </c>
      <c r="AT166" t="s">
        <v>1</v>
      </c>
      <c r="AU166" t="s">
        <v>1</v>
      </c>
      <c r="AV166" t="s">
        <v>1</v>
      </c>
      <c r="AW166" t="s">
        <v>11</v>
      </c>
      <c r="AX166">
        <f>Tabla1[[#This Row],[precio del paquete]]-Tabla1[[#This Row],[Saldo_Deudor]]</f>
        <v>1300</v>
      </c>
      <c r="AY166">
        <v>13500</v>
      </c>
      <c r="AZ166" t="s">
        <v>3</v>
      </c>
      <c r="BA166" t="s">
        <v>3</v>
      </c>
      <c r="BB166" t="s">
        <v>3</v>
      </c>
      <c r="BC166" t="s">
        <v>936</v>
      </c>
      <c r="BD166" t="s">
        <v>1878</v>
      </c>
      <c r="BE166" t="s">
        <v>3</v>
      </c>
      <c r="BF166" t="s">
        <v>3</v>
      </c>
      <c r="BG166" t="s">
        <v>3</v>
      </c>
      <c r="BH166" t="s">
        <v>3</v>
      </c>
      <c r="BI166" t="s">
        <v>3</v>
      </c>
      <c r="BJ166" t="s">
        <v>1942</v>
      </c>
      <c r="BK166" t="s">
        <v>3</v>
      </c>
      <c r="BL166" t="s">
        <v>132</v>
      </c>
      <c r="BM166" t="s">
        <v>1</v>
      </c>
      <c r="BN166">
        <f>Tabla1[[#This Row],[precio del paquete]]</f>
        <v>14800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1</v>
      </c>
      <c r="CD166" t="str" cm="1">
        <f t="array" aca="1" ref="CD166" ca="1">eConcatenar(A166:CB166,"|")</f>
        <v>YDvO1SskZfhXGoDx|CAR2021-7028|3|MEMORIAL|TABASCO|CARDENAS|CARDENAS|2021-11-18|14800|X|100|50|0|0|0|0|0|0|0|0|0|0|0|0|0|0|0|GONZALEZ|RUIZ|CARMEN|SOLTERO|X|X|CALLE NUMERO 1 ZONA VERDE|POBLADO C-10 GENERAL LAZARO CARDENAS|X|9371398910|X|X|X|CALLE NUMERO 1 ZONA VERDE|X|LUNES|X|X|X|X|X|DOMICILIO |1300|13500|x|x|x|2022-11-02|2022-11-09|x|x|x|x|x|TGYGIVCAZFPUVXE|x|HOMBRE|X|14800|X|X|X|X|X|X|X|X|CARDENAS|X|X|X|X|X</v>
      </c>
    </row>
    <row r="167" spans="1:82" x14ac:dyDescent="0.25">
      <c r="A167" t="s">
        <v>301</v>
      </c>
      <c r="B167" t="s">
        <v>612</v>
      </c>
      <c r="C167">
        <v>3</v>
      </c>
      <c r="D167" t="s">
        <v>761</v>
      </c>
      <c r="E167" t="s">
        <v>1398</v>
      </c>
      <c r="F167" t="s">
        <v>0</v>
      </c>
      <c r="G167" t="s">
        <v>0</v>
      </c>
      <c r="H167" t="s">
        <v>862</v>
      </c>
      <c r="I167">
        <v>14800</v>
      </c>
      <c r="J167" t="s">
        <v>1</v>
      </c>
      <c r="K167">
        <v>100</v>
      </c>
      <c r="L167">
        <v>50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1249</v>
      </c>
      <c r="AC167" t="s">
        <v>1281</v>
      </c>
      <c r="AD167" s="18" t="s">
        <v>1074</v>
      </c>
      <c r="AE167" t="s">
        <v>4</v>
      </c>
      <c r="AF167" t="s">
        <v>1</v>
      </c>
      <c r="AG167" t="s">
        <v>1</v>
      </c>
      <c r="AH167" t="s">
        <v>1545</v>
      </c>
      <c r="AI167" t="s">
        <v>1767</v>
      </c>
      <c r="AJ167" t="s">
        <v>1</v>
      </c>
      <c r="AK167">
        <v>9372273700</v>
      </c>
      <c r="AL167" t="s">
        <v>1</v>
      </c>
      <c r="AM167" t="s">
        <v>1</v>
      </c>
      <c r="AN167" t="s">
        <v>1</v>
      </c>
      <c r="AO167" t="s">
        <v>1545</v>
      </c>
      <c r="AP167" t="s">
        <v>1</v>
      </c>
      <c r="AQ167" t="s">
        <v>2</v>
      </c>
      <c r="AR167" t="s">
        <v>1</v>
      </c>
      <c r="AS167" t="s">
        <v>1</v>
      </c>
      <c r="AT167" t="s">
        <v>1</v>
      </c>
      <c r="AU167" t="s">
        <v>1</v>
      </c>
      <c r="AV167" t="s">
        <v>1</v>
      </c>
      <c r="AW167" t="s">
        <v>11</v>
      </c>
      <c r="AX167">
        <f>Tabla1[[#This Row],[precio del paquete]]-Tabla1[[#This Row],[Saldo_Deudor]]</f>
        <v>2100</v>
      </c>
      <c r="AY167">
        <v>12700</v>
      </c>
      <c r="AZ167" t="s">
        <v>3</v>
      </c>
      <c r="BA167" t="s">
        <v>3</v>
      </c>
      <c r="BB167" t="s">
        <v>3</v>
      </c>
      <c r="BC167" t="s">
        <v>936</v>
      </c>
      <c r="BD167" t="s">
        <v>1878</v>
      </c>
      <c r="BE167" t="s">
        <v>3</v>
      </c>
      <c r="BF167" t="s">
        <v>3</v>
      </c>
      <c r="BG167" t="s">
        <v>3</v>
      </c>
      <c r="BH167" t="s">
        <v>3</v>
      </c>
      <c r="BI167" t="s">
        <v>3</v>
      </c>
      <c r="BJ167" t="s">
        <v>1942</v>
      </c>
      <c r="BK167" t="s">
        <v>3</v>
      </c>
      <c r="BL167" t="s">
        <v>132</v>
      </c>
      <c r="BM167" t="s">
        <v>1</v>
      </c>
      <c r="BN167">
        <f>Tabla1[[#This Row],[precio del paquete]]</f>
        <v>14800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1</v>
      </c>
      <c r="CD167" t="str" cm="1">
        <f t="array" aca="1" ref="CD167" ca="1">eConcatenar(A167:CB167,"|")</f>
        <v>53MVQxxtNRUzqtyJ|CAR2021-5637|3|MEMORIAL|TABASCO|CARDENAS|CARDENAS|2021-09-25|14800|X|100|50|0|0|0|0|0|0|0|0|0|0|0|0|0|0|0|DE LA CRUZ|AREVALO|ANTONIO|SOLTERO|X|X|CALLE DEL BACHILLER|RANCHERIA ENCRUCIJADA TERCERA SECCION|X|9372273700|X|X|X|CALLE DEL BACHILLER|X|LUNES|X|X|X|X|X|DOMICILIO |2100|12700|x|x|x|2022-11-02|2022-11-09|x|x|x|x|x|TGYGIVCAZFPUVXE|x|HOMBRE|X|14800|X|X|X|X|X|X|X|X|CARDENAS|X|X|X|X|X</v>
      </c>
    </row>
    <row r="168" spans="1:82" x14ac:dyDescent="0.25">
      <c r="A168" t="s">
        <v>302</v>
      </c>
      <c r="B168" t="s">
        <v>613</v>
      </c>
      <c r="C168">
        <v>3</v>
      </c>
      <c r="D168" t="s">
        <v>761</v>
      </c>
      <c r="E168" t="s">
        <v>1398</v>
      </c>
      <c r="F168" t="s">
        <v>0</v>
      </c>
      <c r="G168" t="s">
        <v>0</v>
      </c>
      <c r="H168" t="s">
        <v>891</v>
      </c>
      <c r="I168">
        <v>14800</v>
      </c>
      <c r="J168" t="s">
        <v>1</v>
      </c>
      <c r="K168">
        <v>200</v>
      </c>
      <c r="L168">
        <v>50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1265</v>
      </c>
      <c r="AC168" t="s">
        <v>1342</v>
      </c>
      <c r="AD168" s="18" t="s">
        <v>1119</v>
      </c>
      <c r="AE168" t="s">
        <v>4</v>
      </c>
      <c r="AF168" t="s">
        <v>1</v>
      </c>
      <c r="AG168" t="s">
        <v>1</v>
      </c>
      <c r="AH168" t="s">
        <v>1546</v>
      </c>
      <c r="AI168" t="s">
        <v>1768</v>
      </c>
      <c r="AJ168" t="s">
        <v>1</v>
      </c>
      <c r="AK168">
        <v>93331583173</v>
      </c>
      <c r="AL168" t="s">
        <v>1</v>
      </c>
      <c r="AM168" t="s">
        <v>1</v>
      </c>
      <c r="AN168" t="s">
        <v>1</v>
      </c>
      <c r="AO168" t="s">
        <v>1546</v>
      </c>
      <c r="AP168" t="s">
        <v>1</v>
      </c>
      <c r="AQ168" t="s">
        <v>2</v>
      </c>
      <c r="AR168" t="s">
        <v>1</v>
      </c>
      <c r="AS168" t="s">
        <v>1</v>
      </c>
      <c r="AT168" t="s">
        <v>1</v>
      </c>
      <c r="AU168" t="s">
        <v>1</v>
      </c>
      <c r="AV168" t="s">
        <v>1</v>
      </c>
      <c r="AW168" t="s">
        <v>11</v>
      </c>
      <c r="AX168">
        <f>Tabla1[[#This Row],[precio del paquete]]-Tabla1[[#This Row],[Saldo_Deudor]]</f>
        <v>2700</v>
      </c>
      <c r="AY168">
        <v>12100</v>
      </c>
      <c r="AZ168" t="s">
        <v>3</v>
      </c>
      <c r="BA168" t="s">
        <v>3</v>
      </c>
      <c r="BB168" t="s">
        <v>3</v>
      </c>
      <c r="BC168" t="s">
        <v>936</v>
      </c>
      <c r="BD168" t="s">
        <v>1878</v>
      </c>
      <c r="BE168" t="s">
        <v>3</v>
      </c>
      <c r="BF168" t="s">
        <v>3</v>
      </c>
      <c r="BG168" t="s">
        <v>3</v>
      </c>
      <c r="BH168" t="s">
        <v>3</v>
      </c>
      <c r="BI168" t="s">
        <v>3</v>
      </c>
      <c r="BJ168" t="s">
        <v>1942</v>
      </c>
      <c r="BK168" t="s">
        <v>3</v>
      </c>
      <c r="BL168" t="s">
        <v>132</v>
      </c>
      <c r="BM168" t="s">
        <v>1</v>
      </c>
      <c r="BN168">
        <f>Tabla1[[#This Row],[precio del paquete]]</f>
        <v>14800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1</v>
      </c>
      <c r="CD168" t="str" cm="1">
        <f t="array" aca="1" ref="CD168" ca="1">eConcatenar(A168:CB168,"|")</f>
        <v>OVoQWXNC7Szt3Zuq|CAR2021-6061|3|MEMORIAL|TABASCO|CARDENAS|CARDENAS|2021-10-13|14800|X|200|50|0|0|0|0|0|0|0|0|0|0|0|0|0|0|0|DOMINGUEZ|DE LA ROSA|MANAIN|SOLTERO|X|X|CAMINO VECINAL SIN NUMERO|RANCHERIA SANTUARIO PRIMERA SECCION|X|93331583173|X|X|X|CAMINO VECINAL SIN NUMERO|X|LUNES|X|X|X|X|X|DOMICILIO |2700|12100|x|x|x|2022-11-02|2022-11-09|x|x|x|x|x|TGYGIVCAZFPUVXE|x|HOMBRE|X|14800|X|X|X|X|X|X|X|X|CARDENAS|X|X|X|X|X</v>
      </c>
    </row>
    <row r="169" spans="1:82" x14ac:dyDescent="0.25">
      <c r="A169" t="s">
        <v>303</v>
      </c>
      <c r="B169" t="s">
        <v>614</v>
      </c>
      <c r="C169">
        <v>3</v>
      </c>
      <c r="D169" t="s">
        <v>761</v>
      </c>
      <c r="E169" t="s">
        <v>1398</v>
      </c>
      <c r="F169" t="s">
        <v>769</v>
      </c>
      <c r="G169" t="s">
        <v>769</v>
      </c>
      <c r="H169" t="s">
        <v>892</v>
      </c>
      <c r="I169">
        <v>14800</v>
      </c>
      <c r="J169" t="s">
        <v>1</v>
      </c>
      <c r="K169">
        <v>50</v>
      </c>
      <c r="L169">
        <v>50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1255</v>
      </c>
      <c r="AC169" t="s">
        <v>1267</v>
      </c>
      <c r="AD169" s="18" t="s">
        <v>1120</v>
      </c>
      <c r="AE169" t="s">
        <v>4</v>
      </c>
      <c r="AF169" t="s">
        <v>1</v>
      </c>
      <c r="AG169" t="s">
        <v>1</v>
      </c>
      <c r="AH169" t="s">
        <v>1479</v>
      </c>
      <c r="AI169" t="s">
        <v>1769</v>
      </c>
      <c r="AJ169" t="s">
        <v>1</v>
      </c>
      <c r="AK169">
        <v>9331662917</v>
      </c>
      <c r="AL169" t="s">
        <v>1</v>
      </c>
      <c r="AM169" t="s">
        <v>1</v>
      </c>
      <c r="AN169" t="s">
        <v>1</v>
      </c>
      <c r="AO169" t="s">
        <v>1479</v>
      </c>
      <c r="AP169" t="s">
        <v>1</v>
      </c>
      <c r="AQ169" t="s">
        <v>2</v>
      </c>
      <c r="AR169" t="s">
        <v>1</v>
      </c>
      <c r="AS169" t="s">
        <v>1</v>
      </c>
      <c r="AT169" t="s">
        <v>1</v>
      </c>
      <c r="AU169" t="s">
        <v>1</v>
      </c>
      <c r="AV169" t="s">
        <v>1</v>
      </c>
      <c r="AW169" t="s">
        <v>11</v>
      </c>
      <c r="AX169">
        <f>Tabla1[[#This Row],[precio del paquete]]-Tabla1[[#This Row],[Saldo_Deudor]]</f>
        <v>1000</v>
      </c>
      <c r="AY169">
        <v>13800</v>
      </c>
      <c r="AZ169" t="s">
        <v>3</v>
      </c>
      <c r="BA169" t="s">
        <v>3</v>
      </c>
      <c r="BB169" t="s">
        <v>3</v>
      </c>
      <c r="BC169" t="s">
        <v>936</v>
      </c>
      <c r="BD169" t="s">
        <v>1878</v>
      </c>
      <c r="BE169" t="s">
        <v>3</v>
      </c>
      <c r="BF169" t="s">
        <v>3</v>
      </c>
      <c r="BG169" t="s">
        <v>3</v>
      </c>
      <c r="BH169" t="s">
        <v>3</v>
      </c>
      <c r="BI169" t="s">
        <v>3</v>
      </c>
      <c r="BJ169" t="s">
        <v>1942</v>
      </c>
      <c r="BK169" t="s">
        <v>3</v>
      </c>
      <c r="BL169" t="s">
        <v>132</v>
      </c>
      <c r="BM169" t="s">
        <v>1</v>
      </c>
      <c r="BN169">
        <f>Tabla1[[#This Row],[precio del paquete]]</f>
        <v>14800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1</v>
      </c>
      <c r="CD169" t="str" cm="1">
        <f t="array" aca="1" ref="CD169" ca="1">eConcatenar(A169:CB169,"|")</f>
        <v>y1r5LBz99TqarNXD|CAR2021-6490|3|MEMORIAL|TABASCO|CUNDUACAN|CUNDUACAN|2021-10-29|14800|X|50|50|0|0|0|0|0|0|0|0|0|0|0|0|0|0|0|CORDOVA|JIMENEZ|MODESTO|SOLTERO|X|X|CARRETERA PRINCIPAL|EJIDO POZA REDONDA SEGUNDA SECCION |X|9331662917|X|X|X|CARRETERA PRINCIPAL|X|LUNES|X|X|X|X|X|DOMICILIO |1000|13800|x|x|x|2022-11-02|2022-11-09|x|x|x|x|x|TGYGIVCAZFPUVXE|x|HOMBRE|X|14800|X|X|X|X|X|X|X|X|CARDENAS|X|X|X|X|X</v>
      </c>
    </row>
    <row r="170" spans="1:82" x14ac:dyDescent="0.25">
      <c r="A170" t="s">
        <v>304</v>
      </c>
      <c r="B170" t="s">
        <v>615</v>
      </c>
      <c r="C170">
        <v>3</v>
      </c>
      <c r="D170" t="s">
        <v>761</v>
      </c>
      <c r="E170" t="s">
        <v>1398</v>
      </c>
      <c r="F170" t="s">
        <v>0</v>
      </c>
      <c r="G170" t="s">
        <v>0</v>
      </c>
      <c r="H170" t="s">
        <v>893</v>
      </c>
      <c r="I170">
        <v>14800</v>
      </c>
      <c r="J170" t="s">
        <v>1</v>
      </c>
      <c r="K170">
        <v>150</v>
      </c>
      <c r="L170">
        <v>50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1266</v>
      </c>
      <c r="AC170" t="s">
        <v>1326</v>
      </c>
      <c r="AD170" s="18" t="s">
        <v>1121</v>
      </c>
      <c r="AE170" t="s">
        <v>4</v>
      </c>
      <c r="AF170" t="s">
        <v>1</v>
      </c>
      <c r="AG170" t="s">
        <v>1</v>
      </c>
      <c r="AH170" t="s">
        <v>1479</v>
      </c>
      <c r="AI170" t="s">
        <v>1768</v>
      </c>
      <c r="AJ170" t="s">
        <v>1</v>
      </c>
      <c r="AK170">
        <v>9373771766</v>
      </c>
      <c r="AL170" t="s">
        <v>1</v>
      </c>
      <c r="AM170" t="s">
        <v>1</v>
      </c>
      <c r="AN170" t="s">
        <v>1</v>
      </c>
      <c r="AO170" t="s">
        <v>1479</v>
      </c>
      <c r="AP170" t="s">
        <v>1</v>
      </c>
      <c r="AQ170" t="s">
        <v>2</v>
      </c>
      <c r="AR170" t="s">
        <v>1</v>
      </c>
      <c r="AS170" t="s">
        <v>1</v>
      </c>
      <c r="AT170" t="s">
        <v>1</v>
      </c>
      <c r="AU170" t="s">
        <v>1</v>
      </c>
      <c r="AV170" t="s">
        <v>1</v>
      </c>
      <c r="AW170" t="s">
        <v>11</v>
      </c>
      <c r="AX170">
        <f>Tabla1[[#This Row],[precio del paquete]]-Tabla1[[#This Row],[Saldo_Deudor]]</f>
        <v>1750</v>
      </c>
      <c r="AY170">
        <v>13050</v>
      </c>
      <c r="AZ170" t="s">
        <v>3</v>
      </c>
      <c r="BA170" t="s">
        <v>3</v>
      </c>
      <c r="BB170" t="s">
        <v>3</v>
      </c>
      <c r="BC170" t="s">
        <v>973</v>
      </c>
      <c r="BD170" t="s">
        <v>1839</v>
      </c>
      <c r="BE170" t="s">
        <v>3</v>
      </c>
      <c r="BF170" t="s">
        <v>3</v>
      </c>
      <c r="BG170" t="s">
        <v>3</v>
      </c>
      <c r="BH170" t="s">
        <v>3</v>
      </c>
      <c r="BI170" t="s">
        <v>3</v>
      </c>
      <c r="BJ170" t="s">
        <v>1942</v>
      </c>
      <c r="BK170" t="s">
        <v>3</v>
      </c>
      <c r="BL170" t="s">
        <v>132</v>
      </c>
      <c r="BM170" t="s">
        <v>1</v>
      </c>
      <c r="BN170">
        <f>Tabla1[[#This Row],[precio del paquete]]</f>
        <v>14800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1</v>
      </c>
      <c r="CD170" t="str" cm="1">
        <f t="array" aca="1" ref="CD170" ca="1">eConcatenar(A170:CB170,"|")</f>
        <v>hq3NP4PeAZm0fNol|CAR2021-6087|3|MEMORIAL|TABASCO|CARDENAS|CARDENAS|2021-10-14|14800|X|150|50|0|0|0|0|0|0|0|0|0|0|0|0|0|0|0|HERNANDEZ|ALVARADO|DELLANIRA|SOLTERO|X|X|CARRETERA PRINCIPAL|RANCHERIA SANTUARIO PRIMERA SECCION|X|9373771766|X|X|X|CARRETERA PRINCIPAL|X|LUNES|X|X|X|X|X|DOMICILIO |1750|13050|x|x|x|2022-01-21|2022-01-28|x|x|x|x|x|TGYGIVCAZFPUVXE|x|HOMBRE|X|14800|X|X|X|X|X|X|X|X|CARDENAS|X|X|X|X|X</v>
      </c>
    </row>
    <row r="171" spans="1:82" x14ac:dyDescent="0.25">
      <c r="A171" t="s">
        <v>305</v>
      </c>
      <c r="B171" t="s">
        <v>616</v>
      </c>
      <c r="C171">
        <v>3</v>
      </c>
      <c r="D171" t="s">
        <v>761</v>
      </c>
      <c r="E171" t="s">
        <v>1398</v>
      </c>
      <c r="F171" t="s">
        <v>0</v>
      </c>
      <c r="G171" t="s">
        <v>0</v>
      </c>
      <c r="H171" t="s">
        <v>866</v>
      </c>
      <c r="I171">
        <v>14800</v>
      </c>
      <c r="J171" t="s">
        <v>1</v>
      </c>
      <c r="K171">
        <v>100</v>
      </c>
      <c r="L171">
        <v>50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1254</v>
      </c>
      <c r="AC171" t="s">
        <v>1343</v>
      </c>
      <c r="AD171" s="18" t="s">
        <v>1122</v>
      </c>
      <c r="AE171" t="s">
        <v>4</v>
      </c>
      <c r="AF171" t="s">
        <v>1</v>
      </c>
      <c r="AG171" t="s">
        <v>1</v>
      </c>
      <c r="AH171" t="s">
        <v>1547</v>
      </c>
      <c r="AI171" t="s">
        <v>1767</v>
      </c>
      <c r="AJ171" t="s">
        <v>1</v>
      </c>
      <c r="AK171">
        <v>9331641029</v>
      </c>
      <c r="AL171" t="s">
        <v>1</v>
      </c>
      <c r="AM171" t="s">
        <v>1</v>
      </c>
      <c r="AN171" t="s">
        <v>1</v>
      </c>
      <c r="AO171" t="s">
        <v>1547</v>
      </c>
      <c r="AP171" t="s">
        <v>1</v>
      </c>
      <c r="AQ171" t="s">
        <v>2</v>
      </c>
      <c r="AR171" t="s">
        <v>1</v>
      </c>
      <c r="AS171" t="s">
        <v>1</v>
      </c>
      <c r="AT171" t="s">
        <v>1</v>
      </c>
      <c r="AU171" t="s">
        <v>1</v>
      </c>
      <c r="AV171" t="s">
        <v>1</v>
      </c>
      <c r="AW171" t="s">
        <v>11</v>
      </c>
      <c r="AX171">
        <f>Tabla1[[#This Row],[precio del paquete]]-Tabla1[[#This Row],[Saldo_Deudor]]</f>
        <v>500</v>
      </c>
      <c r="AY171">
        <v>14300</v>
      </c>
      <c r="AZ171" t="s">
        <v>3</v>
      </c>
      <c r="BA171" t="s">
        <v>3</v>
      </c>
      <c r="BB171" t="s">
        <v>3</v>
      </c>
      <c r="BC171" t="s">
        <v>1835</v>
      </c>
      <c r="BD171" t="s">
        <v>1880</v>
      </c>
      <c r="BE171" t="s">
        <v>3</v>
      </c>
      <c r="BF171" t="s">
        <v>3</v>
      </c>
      <c r="BG171" t="s">
        <v>3</v>
      </c>
      <c r="BH171" t="s">
        <v>3</v>
      </c>
      <c r="BI171" t="s">
        <v>3</v>
      </c>
      <c r="BJ171" t="s">
        <v>1942</v>
      </c>
      <c r="BK171" t="s">
        <v>3</v>
      </c>
      <c r="BL171" t="s">
        <v>132</v>
      </c>
      <c r="BM171" t="s">
        <v>1</v>
      </c>
      <c r="BN171">
        <f>Tabla1[[#This Row],[precio del paquete]]</f>
        <v>14800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1</v>
      </c>
      <c r="CD171" t="str" cm="1">
        <f t="array" aca="1" ref="CD171" ca="1">eConcatenar(A171:CB171,"|")</f>
        <v>hLTQZiQk8x9GPSfY|CAR2021-7495|3|MEMORIAL|TABASCO|CARDENAS|CARDENAS|2021-08-12|14800|X|100|50|0|0|0|0|0|0|0|0|0|0|0|0|0|0|0|LAZARO|COLORADO|ROGER|SOLTERO|X|X|ENTRADA DEL TEMPLO SALEM |RANCHERIA ENCRUCIJADA TERCERA SECCION|X|9331641029|X|X|X|ENTRADA DEL TEMPLO SALEM |X|LUNES|X|X|X|X|X|DOMICILIO |500|14300|x|x|x|2022-05-02|2022-05-09|x|x|x|x|x|TGYGIVCAZFPUVXE|x|HOMBRE|X|14800|X|X|X|X|X|X|X|X|CARDENAS|X|X|X|X|X</v>
      </c>
    </row>
    <row r="172" spans="1:82" x14ac:dyDescent="0.25">
      <c r="A172" t="s">
        <v>306</v>
      </c>
      <c r="B172" t="s">
        <v>617</v>
      </c>
      <c r="C172">
        <v>3</v>
      </c>
      <c r="D172" t="s">
        <v>761</v>
      </c>
      <c r="E172" t="s">
        <v>1398</v>
      </c>
      <c r="F172" t="s">
        <v>0</v>
      </c>
      <c r="G172" t="s">
        <v>0</v>
      </c>
      <c r="H172" t="s">
        <v>894</v>
      </c>
      <c r="I172">
        <v>14800</v>
      </c>
      <c r="J172" t="s">
        <v>1</v>
      </c>
      <c r="K172">
        <v>500</v>
      </c>
      <c r="L172">
        <v>50</v>
      </c>
      <c r="M172">
        <v>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1228</v>
      </c>
      <c r="AC172" t="s">
        <v>1340</v>
      </c>
      <c r="AD172" s="18" t="s">
        <v>1123</v>
      </c>
      <c r="AE172" t="s">
        <v>4</v>
      </c>
      <c r="AF172" t="s">
        <v>1</v>
      </c>
      <c r="AG172" t="s">
        <v>1</v>
      </c>
      <c r="AH172" t="s">
        <v>1426</v>
      </c>
      <c r="AI172" t="s">
        <v>1770</v>
      </c>
      <c r="AJ172" t="s">
        <v>1</v>
      </c>
      <c r="AK172">
        <v>9372700277</v>
      </c>
      <c r="AL172" t="s">
        <v>1</v>
      </c>
      <c r="AM172" t="s">
        <v>1</v>
      </c>
      <c r="AN172" t="s">
        <v>1</v>
      </c>
      <c r="AO172" t="s">
        <v>1426</v>
      </c>
      <c r="AP172" t="s">
        <v>1</v>
      </c>
      <c r="AQ172" t="s">
        <v>2</v>
      </c>
      <c r="AR172" t="s">
        <v>1</v>
      </c>
      <c r="AS172" t="s">
        <v>1</v>
      </c>
      <c r="AT172" t="s">
        <v>1</v>
      </c>
      <c r="AU172" t="s">
        <v>1</v>
      </c>
      <c r="AV172" t="s">
        <v>1</v>
      </c>
      <c r="AW172" t="s">
        <v>11</v>
      </c>
      <c r="AX172">
        <f>Tabla1[[#This Row],[precio del paquete]]-Tabla1[[#This Row],[Saldo_Deudor]]</f>
        <v>2100</v>
      </c>
      <c r="AY172">
        <v>12700</v>
      </c>
      <c r="AZ172" t="s">
        <v>3</v>
      </c>
      <c r="BA172" t="s">
        <v>3</v>
      </c>
      <c r="BB172" t="s">
        <v>3</v>
      </c>
      <c r="BC172" t="s">
        <v>778</v>
      </c>
      <c r="BD172" t="s">
        <v>1915</v>
      </c>
      <c r="BE172" t="s">
        <v>3</v>
      </c>
      <c r="BF172" t="s">
        <v>3</v>
      </c>
      <c r="BG172" t="s">
        <v>3</v>
      </c>
      <c r="BH172" t="s">
        <v>3</v>
      </c>
      <c r="BI172" t="s">
        <v>3</v>
      </c>
      <c r="BJ172" t="s">
        <v>1942</v>
      </c>
      <c r="BK172" t="s">
        <v>3</v>
      </c>
      <c r="BL172" t="s">
        <v>132</v>
      </c>
      <c r="BM172" t="s">
        <v>1</v>
      </c>
      <c r="BN172">
        <f>Tabla1[[#This Row],[precio del paquete]]</f>
        <v>14800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1</v>
      </c>
      <c r="CD172" t="str" cm="1">
        <f t="array" aca="1" ref="CD172" ca="1">eConcatenar(A172:CB172,"|")</f>
        <v>Rqah0UXnq8kRsgLC|CAR2021-6228|3|MEMORIAL|TABASCO|CARDENAS|CARDENAS|2021-10-18|14800|X|500|50|2|0|0|0|0|0|0|0|0|0|0|0|0|0|0|RAMOS|VENTURA|SAFONIAS|SOLTERO|X|X|CARRETERA PRINCIPAL SIN NUMERO|EJIDO ENCRUCIJADA CUARTA SECCION|X|9372700277|X|X|X|CARRETERA PRINCIPAL SIN NUMERO|X|LUNES|X|X|X|X|X|DOMICILIO |2100|12700|x|x|x|2022-04-02|2022-04-09|x|x|x|x|x|TGYGIVCAZFPUVXE|x|HOMBRE|X|14800|X|X|X|X|X|X|X|X|CARDENAS|X|X|X|X|X</v>
      </c>
    </row>
    <row r="173" spans="1:82" x14ac:dyDescent="0.25">
      <c r="A173" t="s">
        <v>307</v>
      </c>
      <c r="B173" t="s">
        <v>618</v>
      </c>
      <c r="C173">
        <v>3</v>
      </c>
      <c r="D173" t="s">
        <v>761</v>
      </c>
      <c r="E173" t="s">
        <v>1398</v>
      </c>
      <c r="F173" t="s">
        <v>0</v>
      </c>
      <c r="G173" t="s">
        <v>0</v>
      </c>
      <c r="H173" t="s">
        <v>862</v>
      </c>
      <c r="I173">
        <v>14800</v>
      </c>
      <c r="J173" t="s">
        <v>1</v>
      </c>
      <c r="K173">
        <v>200</v>
      </c>
      <c r="L173">
        <v>50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1247</v>
      </c>
      <c r="AC173" t="s">
        <v>1344</v>
      </c>
      <c r="AD173" s="18" t="s">
        <v>1124</v>
      </c>
      <c r="AE173" t="s">
        <v>4</v>
      </c>
      <c r="AF173" t="s">
        <v>1</v>
      </c>
      <c r="AG173" t="s">
        <v>1</v>
      </c>
      <c r="AH173" t="s">
        <v>1548</v>
      </c>
      <c r="AI173" t="s">
        <v>1767</v>
      </c>
      <c r="AJ173" t="s">
        <v>1</v>
      </c>
      <c r="AK173">
        <v>9371201672</v>
      </c>
      <c r="AL173" t="s">
        <v>1</v>
      </c>
      <c r="AM173" t="s">
        <v>1</v>
      </c>
      <c r="AN173" t="s">
        <v>1</v>
      </c>
      <c r="AO173" t="s">
        <v>1548</v>
      </c>
      <c r="AP173" t="s">
        <v>1</v>
      </c>
      <c r="AQ173" t="s">
        <v>2</v>
      </c>
      <c r="AR173" t="s">
        <v>1</v>
      </c>
      <c r="AS173" t="s">
        <v>1</v>
      </c>
      <c r="AT173" t="s">
        <v>1</v>
      </c>
      <c r="AU173" t="s">
        <v>1</v>
      </c>
      <c r="AV173" t="s">
        <v>1</v>
      </c>
      <c r="AW173" t="s">
        <v>11</v>
      </c>
      <c r="AX173">
        <f>Tabla1[[#This Row],[precio del paquete]]-Tabla1[[#This Row],[Saldo_Deudor]]</f>
        <v>2200</v>
      </c>
      <c r="AY173">
        <v>12600</v>
      </c>
      <c r="AZ173" t="s">
        <v>3</v>
      </c>
      <c r="BA173" t="s">
        <v>3</v>
      </c>
      <c r="BB173" t="s">
        <v>3</v>
      </c>
      <c r="BC173" t="s">
        <v>1835</v>
      </c>
      <c r="BD173" t="s">
        <v>1880</v>
      </c>
      <c r="BE173" t="s">
        <v>3</v>
      </c>
      <c r="BF173" t="s">
        <v>3</v>
      </c>
      <c r="BG173" t="s">
        <v>3</v>
      </c>
      <c r="BH173" t="s">
        <v>3</v>
      </c>
      <c r="BI173" t="s">
        <v>3</v>
      </c>
      <c r="BJ173" t="s">
        <v>1942</v>
      </c>
      <c r="BK173" t="s">
        <v>3</v>
      </c>
      <c r="BL173" t="s">
        <v>132</v>
      </c>
      <c r="BM173" t="s">
        <v>1</v>
      </c>
      <c r="BN173">
        <f>Tabla1[[#This Row],[precio del paquete]]</f>
        <v>14800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1</v>
      </c>
      <c r="CD173" t="str" cm="1">
        <f t="array" aca="1" ref="CD173" ca="1">eConcatenar(A173:CB173,"|")</f>
        <v>xNVlsgAmzHmnQQlr|CAR2021-5639|3|MEMORIAL|TABASCO|CARDENAS|CARDENAS|2021-09-25|14800|X|200|50|2|0|0|0|0|0|0|0|0|0|0|0|0|0|0|SANCHEZ|ARIAS|ELISBEN|SOLTERO|X|X|CARRETERA A SANTUARIO|RANCHERIA ENCRUCIJADA TERCERA SECCION|X|9371201672|X|X|X|CARRETERA A SANTUARIO|X|LUNES|X|X|X|X|X|DOMICILIO |2200|12600|x|x|x|2022-05-02|2022-05-09|x|x|x|x|x|TGYGIVCAZFPUVXE|x|HOMBRE|X|14800|X|X|X|X|X|X|X|X|CARDENAS|X|X|X|X|X</v>
      </c>
    </row>
    <row r="174" spans="1:82" x14ac:dyDescent="0.25">
      <c r="A174" t="s">
        <v>308</v>
      </c>
      <c r="B174" t="s">
        <v>619</v>
      </c>
      <c r="C174">
        <v>3</v>
      </c>
      <c r="D174" t="s">
        <v>761</v>
      </c>
      <c r="E174" t="s">
        <v>1398</v>
      </c>
      <c r="F174" t="s">
        <v>0</v>
      </c>
      <c r="G174" t="s">
        <v>0</v>
      </c>
      <c r="H174" t="s">
        <v>891</v>
      </c>
      <c r="I174">
        <v>14800</v>
      </c>
      <c r="J174" t="s">
        <v>1</v>
      </c>
      <c r="K174">
        <v>100</v>
      </c>
      <c r="L174">
        <v>50</v>
      </c>
      <c r="M174">
        <v>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1288</v>
      </c>
      <c r="AC174" t="s">
        <v>1248</v>
      </c>
      <c r="AD174" s="18" t="s">
        <v>1090</v>
      </c>
      <c r="AE174" t="s">
        <v>4</v>
      </c>
      <c r="AF174" t="s">
        <v>1</v>
      </c>
      <c r="AG174" t="s">
        <v>1</v>
      </c>
      <c r="AH174" t="s">
        <v>1426</v>
      </c>
      <c r="AI174" t="s">
        <v>1767</v>
      </c>
      <c r="AJ174" t="s">
        <v>1</v>
      </c>
      <c r="AK174">
        <v>9333252956</v>
      </c>
      <c r="AL174" t="s">
        <v>1</v>
      </c>
      <c r="AM174" t="s">
        <v>1</v>
      </c>
      <c r="AN174" t="s">
        <v>1</v>
      </c>
      <c r="AO174" t="s">
        <v>1426</v>
      </c>
      <c r="AP174" t="s">
        <v>1</v>
      </c>
      <c r="AQ174" t="s">
        <v>2</v>
      </c>
      <c r="AR174" t="s">
        <v>1</v>
      </c>
      <c r="AS174" t="s">
        <v>1</v>
      </c>
      <c r="AT174" t="s">
        <v>1</v>
      </c>
      <c r="AU174" t="s">
        <v>1</v>
      </c>
      <c r="AV174" t="s">
        <v>1</v>
      </c>
      <c r="AW174" t="s">
        <v>11</v>
      </c>
      <c r="AX174">
        <f>Tabla1[[#This Row],[precio del paquete]]-Tabla1[[#This Row],[Saldo_Deudor]]</f>
        <v>2100</v>
      </c>
      <c r="AY174">
        <v>12700</v>
      </c>
      <c r="AZ174" t="s">
        <v>3</v>
      </c>
      <c r="BA174" t="s">
        <v>3</v>
      </c>
      <c r="BB174" t="s">
        <v>3</v>
      </c>
      <c r="BC174" t="s">
        <v>1835</v>
      </c>
      <c r="BD174" t="s">
        <v>1880</v>
      </c>
      <c r="BE174" t="s">
        <v>3</v>
      </c>
      <c r="BF174" t="s">
        <v>3</v>
      </c>
      <c r="BG174" t="s">
        <v>3</v>
      </c>
      <c r="BH174" t="s">
        <v>3</v>
      </c>
      <c r="BI174" t="s">
        <v>3</v>
      </c>
      <c r="BJ174" t="s">
        <v>1942</v>
      </c>
      <c r="BK174" t="s">
        <v>3</v>
      </c>
      <c r="BL174" t="s">
        <v>132</v>
      </c>
      <c r="BM174" t="s">
        <v>1</v>
      </c>
      <c r="BN174">
        <f>Tabla1[[#This Row],[precio del paquete]]</f>
        <v>14800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1</v>
      </c>
      <c r="CD174" t="str" cm="1">
        <f t="array" aca="1" ref="CD174" ca="1">eConcatenar(A174:CB174,"|")</f>
        <v>H0ZqUMUzTnVwhGQe|CAR2021-6062|3|MEMORIAL|TABASCO|CARDENAS|CARDENAS|2021-10-13|14800|X|100|50|2|0|0|0|0|0|0|0|0|0|0|0|0|0|0|ROMERO|PEREZ|MARIA DEL CARMEN|SOLTERO|X|X|CARRETERA PRINCIPAL SIN NUMERO|RANCHERIA ENCRUCIJADA TERCERA SECCION|X|9333252956|X|X|X|CARRETERA PRINCIPAL SIN NUMERO|X|LUNES|X|X|X|X|X|DOMICILIO |2100|12700|x|x|x|2022-05-02|2022-05-09|x|x|x|x|x|TGYGIVCAZFPUVXE|x|HOMBRE|X|14800|X|X|X|X|X|X|X|X|CARDENAS|X|X|X|X|X</v>
      </c>
    </row>
    <row r="175" spans="1:82" x14ac:dyDescent="0.25">
      <c r="A175" t="s">
        <v>309</v>
      </c>
      <c r="B175" t="s">
        <v>620</v>
      </c>
      <c r="C175">
        <v>3</v>
      </c>
      <c r="D175" t="s">
        <v>767</v>
      </c>
      <c r="E175" t="s">
        <v>1398</v>
      </c>
      <c r="F175" t="s">
        <v>0</v>
      </c>
      <c r="G175" t="s">
        <v>0</v>
      </c>
      <c r="H175" t="s">
        <v>893</v>
      </c>
      <c r="I175">
        <v>35000</v>
      </c>
      <c r="J175" t="s">
        <v>1</v>
      </c>
      <c r="K175">
        <v>400</v>
      </c>
      <c r="L175">
        <v>50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1288</v>
      </c>
      <c r="AC175" t="s">
        <v>1248</v>
      </c>
      <c r="AD175" s="18" t="s">
        <v>1125</v>
      </c>
      <c r="AE175" t="s">
        <v>4</v>
      </c>
      <c r="AF175" t="s">
        <v>1</v>
      </c>
      <c r="AG175" t="s">
        <v>1</v>
      </c>
      <c r="AH175" t="s">
        <v>1479</v>
      </c>
      <c r="AI175" t="s">
        <v>1771</v>
      </c>
      <c r="AJ175" t="s">
        <v>1</v>
      </c>
      <c r="AK175">
        <v>9331349715</v>
      </c>
      <c r="AL175" t="s">
        <v>1</v>
      </c>
      <c r="AM175" t="s">
        <v>1</v>
      </c>
      <c r="AN175" t="s">
        <v>1</v>
      </c>
      <c r="AO175" t="s">
        <v>1479</v>
      </c>
      <c r="AP175" t="s">
        <v>1</v>
      </c>
      <c r="AQ175" t="s">
        <v>2</v>
      </c>
      <c r="AR175" t="s">
        <v>1</v>
      </c>
      <c r="AS175" t="s">
        <v>1</v>
      </c>
      <c r="AT175" t="s">
        <v>1</v>
      </c>
      <c r="AU175" t="s">
        <v>1</v>
      </c>
      <c r="AV175" t="s">
        <v>1</v>
      </c>
      <c r="AW175" t="s">
        <v>11</v>
      </c>
      <c r="AX175">
        <f>Tabla1[[#This Row],[precio del paquete]]-Tabla1[[#This Row],[Saldo_Deudor]]</f>
        <v>2100</v>
      </c>
      <c r="AY175">
        <v>32900</v>
      </c>
      <c r="AZ175" t="s">
        <v>3</v>
      </c>
      <c r="BA175" t="s">
        <v>3</v>
      </c>
      <c r="BB175" t="s">
        <v>3</v>
      </c>
      <c r="BC175" t="s">
        <v>1835</v>
      </c>
      <c r="BD175" t="s">
        <v>1880</v>
      </c>
      <c r="BE175" t="s">
        <v>3</v>
      </c>
      <c r="BF175" t="s">
        <v>3</v>
      </c>
      <c r="BG175" t="s">
        <v>3</v>
      </c>
      <c r="BH175" t="s">
        <v>3</v>
      </c>
      <c r="BI175" t="s">
        <v>3</v>
      </c>
      <c r="BJ175" t="s">
        <v>1942</v>
      </c>
      <c r="BK175" t="s">
        <v>3</v>
      </c>
      <c r="BL175" t="s">
        <v>132</v>
      </c>
      <c r="BM175" t="s">
        <v>1</v>
      </c>
      <c r="BN175">
        <f>Tabla1[[#This Row],[precio del paquete]]</f>
        <v>35000</v>
      </c>
      <c r="BO175" t="s">
        <v>1</v>
      </c>
      <c r="BP175" t="s">
        <v>1</v>
      </c>
      <c r="BQ175" t="s">
        <v>1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1</v>
      </c>
      <c r="CD175" t="str" cm="1">
        <f t="array" aca="1" ref="CD175" ca="1">eConcatenar(A175:CB175,"|")</f>
        <v>gJaHWgd0gTgrNPcp|CAR2021-6081|3|DELUX|TABASCO|CARDENAS|CARDENAS|2021-10-14|35000|X|400|50|2|0|0|0|0|0|0|0|0|0|0|0|0|0|0|ROMERO|PEREZ|BLANCA ESTELA|SOLTERO|X|X|CARRETERA PRINCIPAL|RANCHERIA SANTUARIO PRIMERA SECCION A|X|9331349715|X|X|X|CARRETERA PRINCIPAL|X|LUNES|X|X|X|X|X|DOMICILIO |2100|32900|x|x|x|2022-05-02|2022-05-09|x|x|x|x|x|TGYGIVCAZFPUVXE|x|HOMBRE|X|35000|X|X|X|X|X|X|X|X|CARDENAS|X|X|X|X|X</v>
      </c>
    </row>
    <row r="176" spans="1:82" x14ac:dyDescent="0.25">
      <c r="A176" t="s">
        <v>310</v>
      </c>
      <c r="B176" t="s">
        <v>621</v>
      </c>
      <c r="C176">
        <v>3</v>
      </c>
      <c r="D176" t="s">
        <v>762</v>
      </c>
      <c r="E176" t="s">
        <v>1398</v>
      </c>
      <c r="F176" t="s">
        <v>0</v>
      </c>
      <c r="G176" t="s">
        <v>0</v>
      </c>
      <c r="H176" t="s">
        <v>893</v>
      </c>
      <c r="I176">
        <v>24500</v>
      </c>
      <c r="J176" t="s">
        <v>1</v>
      </c>
      <c r="K176">
        <v>2000</v>
      </c>
      <c r="L176">
        <v>50</v>
      </c>
      <c r="M176">
        <v>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1267</v>
      </c>
      <c r="AC176" t="s">
        <v>1248</v>
      </c>
      <c r="AD176" s="18" t="s">
        <v>1008</v>
      </c>
      <c r="AE176" t="s">
        <v>4</v>
      </c>
      <c r="AF176" t="s">
        <v>1</v>
      </c>
      <c r="AG176" t="s">
        <v>1</v>
      </c>
      <c r="AH176" t="s">
        <v>1549</v>
      </c>
      <c r="AI176" t="s">
        <v>1771</v>
      </c>
      <c r="AJ176" t="s">
        <v>1</v>
      </c>
      <c r="AK176">
        <v>9331123606</v>
      </c>
      <c r="AL176" t="s">
        <v>1</v>
      </c>
      <c r="AM176" t="s">
        <v>1</v>
      </c>
      <c r="AN176" t="s">
        <v>1</v>
      </c>
      <c r="AO176" t="s">
        <v>1549</v>
      </c>
      <c r="AP176" t="s">
        <v>1</v>
      </c>
      <c r="AQ176" t="s">
        <v>2</v>
      </c>
      <c r="AR176" t="s">
        <v>1</v>
      </c>
      <c r="AS176" t="s">
        <v>1</v>
      </c>
      <c r="AT176" t="s">
        <v>1</v>
      </c>
      <c r="AU176" t="s">
        <v>1</v>
      </c>
      <c r="AV176" t="s">
        <v>1</v>
      </c>
      <c r="AW176" t="s">
        <v>11</v>
      </c>
      <c r="AX176">
        <f>Tabla1[[#This Row],[precio del paquete]]-Tabla1[[#This Row],[Saldo_Deudor]]</f>
        <v>3700</v>
      </c>
      <c r="AY176">
        <v>20800</v>
      </c>
      <c r="AZ176" t="s">
        <v>3</v>
      </c>
      <c r="BA176" t="s">
        <v>3</v>
      </c>
      <c r="BB176" t="s">
        <v>3</v>
      </c>
      <c r="BC176" t="s">
        <v>774</v>
      </c>
      <c r="BD176" t="s">
        <v>1881</v>
      </c>
      <c r="BE176" t="s">
        <v>3</v>
      </c>
      <c r="BF176" t="s">
        <v>3</v>
      </c>
      <c r="BG176" t="s">
        <v>3</v>
      </c>
      <c r="BH176" t="s">
        <v>3</v>
      </c>
      <c r="BI176" t="s">
        <v>3</v>
      </c>
      <c r="BJ176" t="s">
        <v>1942</v>
      </c>
      <c r="BK176" t="s">
        <v>3</v>
      </c>
      <c r="BL176" t="s">
        <v>132</v>
      </c>
      <c r="BM176" t="s">
        <v>1</v>
      </c>
      <c r="BN176">
        <f>Tabla1[[#This Row],[precio del paquete]]</f>
        <v>24500</v>
      </c>
      <c r="BO176" t="s">
        <v>1</v>
      </c>
      <c r="BP176" t="s">
        <v>1</v>
      </c>
      <c r="BQ176" t="s">
        <v>1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1</v>
      </c>
      <c r="CD176" t="str" cm="1">
        <f t="array" aca="1" ref="CD176" ca="1">eConcatenar(A176:CB176,"|")</f>
        <v>fU9ObCarcpTjWoG0|CAR2021-6078|3|DIGNITY|TABASCO|CARDENAS|CARDENAS|2021-10-14|24500|X|2000|50|2|0|0|0|0|0|0|0|0|0|0|0|0|0|0|JIMENEZ|PEREZ|MANUEL|SOLTERO|X|X|CARRETERA A AZUCENA SIN NUMERO|RANCHERIA SANTUARIO PRIMERA SECCION A|X|9331123606|X|X|X|CARRETERA A AZUCENA SIN NUMERO|X|LUNES|X|X|X|X|X|DOMICILIO |3700|20800|x|x|x|2022-02-02|2022-02-09|x|x|x|x|x|TGYGIVCAZFPUVXE|x|HOMBRE|X|24500|X|X|X|X|X|X|X|X|CARDENAS|X|X|X|X|X</v>
      </c>
    </row>
    <row r="177" spans="1:82" x14ac:dyDescent="0.25">
      <c r="A177" t="s">
        <v>311</v>
      </c>
      <c r="B177" t="s">
        <v>622</v>
      </c>
      <c r="C177">
        <v>3</v>
      </c>
      <c r="D177" t="s">
        <v>761</v>
      </c>
      <c r="E177" t="s">
        <v>1398</v>
      </c>
      <c r="F177" t="s">
        <v>0</v>
      </c>
      <c r="G177" t="s">
        <v>0</v>
      </c>
      <c r="H177" t="s">
        <v>895</v>
      </c>
      <c r="I177">
        <v>14800</v>
      </c>
      <c r="J177" t="s">
        <v>1</v>
      </c>
      <c r="K177">
        <v>400</v>
      </c>
      <c r="L177">
        <v>50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1345</v>
      </c>
      <c r="AC177" t="s">
        <v>1248</v>
      </c>
      <c r="AD177" s="18" t="s">
        <v>1126</v>
      </c>
      <c r="AE177" t="s">
        <v>4</v>
      </c>
      <c r="AF177" t="s">
        <v>1</v>
      </c>
      <c r="AG177" t="s">
        <v>1</v>
      </c>
      <c r="AH177" t="s">
        <v>1466</v>
      </c>
      <c r="AI177" t="s">
        <v>1771</v>
      </c>
      <c r="AJ177" t="s">
        <v>1</v>
      </c>
      <c r="AK177">
        <v>9372835453</v>
      </c>
      <c r="AL177" t="s">
        <v>1</v>
      </c>
      <c r="AM177" t="s">
        <v>1</v>
      </c>
      <c r="AN177" t="s">
        <v>1</v>
      </c>
      <c r="AO177" t="s">
        <v>1466</v>
      </c>
      <c r="AP177" t="s">
        <v>1</v>
      </c>
      <c r="AQ177" t="s">
        <v>2</v>
      </c>
      <c r="AR177" t="s">
        <v>1</v>
      </c>
      <c r="AS177" t="s">
        <v>1</v>
      </c>
      <c r="AT177" t="s">
        <v>1</v>
      </c>
      <c r="AU177" t="s">
        <v>1</v>
      </c>
      <c r="AV177" t="s">
        <v>1</v>
      </c>
      <c r="AW177" t="s">
        <v>11</v>
      </c>
      <c r="AX177">
        <f>Tabla1[[#This Row],[precio del paquete]]-Tabla1[[#This Row],[Saldo_Deudor]]</f>
        <v>800</v>
      </c>
      <c r="AY177">
        <v>14000</v>
      </c>
      <c r="AZ177" t="s">
        <v>3</v>
      </c>
      <c r="BA177" t="s">
        <v>3</v>
      </c>
      <c r="BB177" t="s">
        <v>3</v>
      </c>
      <c r="BC177" t="s">
        <v>1835</v>
      </c>
      <c r="BD177" t="s">
        <v>1880</v>
      </c>
      <c r="BE177" t="s">
        <v>3</v>
      </c>
      <c r="BF177" t="s">
        <v>3</v>
      </c>
      <c r="BG177" t="s">
        <v>3</v>
      </c>
      <c r="BH177" t="s">
        <v>3</v>
      </c>
      <c r="BI177" t="s">
        <v>3</v>
      </c>
      <c r="BJ177" t="s">
        <v>1942</v>
      </c>
      <c r="BK177" t="s">
        <v>3</v>
      </c>
      <c r="BL177" t="s">
        <v>132</v>
      </c>
      <c r="BM177" t="s">
        <v>1</v>
      </c>
      <c r="BN177">
        <f>Tabla1[[#This Row],[precio del paquete]]</f>
        <v>14800</v>
      </c>
      <c r="BO177" t="s">
        <v>1</v>
      </c>
      <c r="BP177" t="s">
        <v>1</v>
      </c>
      <c r="BQ177" t="s">
        <v>1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1</v>
      </c>
      <c r="CD177" t="str" cm="1">
        <f t="array" aca="1" ref="CD177" ca="1">eConcatenar(A177:CB177,"|")</f>
        <v>9caBz1E6UqasYVwh|CAR2021-6653|3|MEMORIAL|TABASCO|CARDENAS|CARDENAS|2021-04-11|14800|X|400|50|2|0|0|0|0|0|0|0|0|0|0|0|0|0|0|VALENZUELA|PEREZ|MEDEL|SOLTERO|X|X|CARRETERA A CALZADA SIN NUMERO|RANCHERIA SANTUARIO PRIMERA SECCION A|X|9372835453|X|X|X|CARRETERA A CALZADA SIN NUMERO|X|LUNES|X|X|X|X|X|DOMICILIO |800|14000|x|x|x|2022-05-02|2022-05-09|x|x|x|x|x|TGYGIVCAZFPUVXE|x|HOMBRE|X|14800|X|X|X|X|X|X|X|X|CARDENAS|X|X|X|X|X</v>
      </c>
    </row>
    <row r="178" spans="1:82" x14ac:dyDescent="0.25">
      <c r="A178" t="s">
        <v>312</v>
      </c>
      <c r="B178" t="s">
        <v>623</v>
      </c>
      <c r="C178">
        <v>3</v>
      </c>
      <c r="D178" t="s">
        <v>761</v>
      </c>
      <c r="E178" t="s">
        <v>1398</v>
      </c>
      <c r="F178" t="s">
        <v>0</v>
      </c>
      <c r="G178" t="s">
        <v>0</v>
      </c>
      <c r="H178" t="s">
        <v>896</v>
      </c>
      <c r="I178">
        <v>14800</v>
      </c>
      <c r="J178" t="s">
        <v>1</v>
      </c>
      <c r="K178">
        <v>50</v>
      </c>
      <c r="L178">
        <v>50</v>
      </c>
      <c r="M178">
        <v>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1266</v>
      </c>
      <c r="AC178" t="s">
        <v>1341</v>
      </c>
      <c r="AD178" s="18" t="s">
        <v>1127</v>
      </c>
      <c r="AE178" t="s">
        <v>4</v>
      </c>
      <c r="AF178" t="s">
        <v>1</v>
      </c>
      <c r="AG178" t="s">
        <v>1</v>
      </c>
      <c r="AH178" t="s">
        <v>1450</v>
      </c>
      <c r="AI178" t="s">
        <v>1766</v>
      </c>
      <c r="AJ178" t="s">
        <v>1</v>
      </c>
      <c r="AK178">
        <v>9371090866</v>
      </c>
      <c r="AL178" t="s">
        <v>1</v>
      </c>
      <c r="AM178" t="s">
        <v>1</v>
      </c>
      <c r="AN178" t="s">
        <v>1</v>
      </c>
      <c r="AO178" t="s">
        <v>1450</v>
      </c>
      <c r="AP178" t="s">
        <v>1</v>
      </c>
      <c r="AQ178" t="s">
        <v>2</v>
      </c>
      <c r="AR178" t="s">
        <v>1</v>
      </c>
      <c r="AS178" t="s">
        <v>1</v>
      </c>
      <c r="AT178" t="s">
        <v>1</v>
      </c>
      <c r="AU178" t="s">
        <v>1</v>
      </c>
      <c r="AV178" t="s">
        <v>1</v>
      </c>
      <c r="AW178" t="s">
        <v>11</v>
      </c>
      <c r="AX178">
        <f>Tabla1[[#This Row],[precio del paquete]]-Tabla1[[#This Row],[Saldo_Deudor]]</f>
        <v>2050</v>
      </c>
      <c r="AY178">
        <v>12750</v>
      </c>
      <c r="AZ178" t="s">
        <v>3</v>
      </c>
      <c r="BA178" t="s">
        <v>3</v>
      </c>
      <c r="BB178" t="s">
        <v>3</v>
      </c>
      <c r="BC178" t="s">
        <v>1867</v>
      </c>
      <c r="BD178" t="s">
        <v>1921</v>
      </c>
      <c r="BE178" t="s">
        <v>3</v>
      </c>
      <c r="BF178" t="s">
        <v>3</v>
      </c>
      <c r="BG178" t="s">
        <v>3</v>
      </c>
      <c r="BH178" t="s">
        <v>3</v>
      </c>
      <c r="BI178" t="s">
        <v>3</v>
      </c>
      <c r="BJ178" t="s">
        <v>1942</v>
      </c>
      <c r="BK178" t="s">
        <v>3</v>
      </c>
      <c r="BL178" t="s">
        <v>132</v>
      </c>
      <c r="BM178" t="s">
        <v>1</v>
      </c>
      <c r="BN178">
        <f>Tabla1[[#This Row],[precio del paquete]]</f>
        <v>14800</v>
      </c>
      <c r="BO178" t="s">
        <v>1</v>
      </c>
      <c r="BP178" t="s">
        <v>1</v>
      </c>
      <c r="BQ178" t="s">
        <v>1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0</v>
      </c>
      <c r="BX178" t="s">
        <v>1</v>
      </c>
      <c r="BY178" t="s">
        <v>1</v>
      </c>
      <c r="BZ178" t="s">
        <v>1</v>
      </c>
      <c r="CA178" t="s">
        <v>1</v>
      </c>
      <c r="CB178" t="s">
        <v>1</v>
      </c>
      <c r="CD178" t="str" cm="1">
        <f t="array" aca="1" ref="CD178" ca="1">eConcatenar(A178:CB178,"|")</f>
        <v>NqcMNKbtWcD0gmNq|CAR2021-5874|3|MEMORIAL|TABASCO|CARDENAS|CARDENAS|2021-06-10|14800|X|50|50|2|0|0|0|0|0|0|0|0|0|0|0|0|0|0|HERNANDEZ|ULLOA|DALILA|SOLTERO|X|X|CALLE 8 SIN NUMERO|POBLADO C-10 GENERAL LAZARO CARDENAS|X|9371090866|X|X|X|CALLE 8 SIN NUMERO|X|LUNES|X|X|X|X|X|DOMICILIO |2050|12750|x|x|x|2022-04-01|2022-04-08|x|x|x|x|x|TGYGIVCAZFPUVXE|x|HOMBRE|X|14800|X|X|X|X|X|X|X|X|CARDENAS|X|X|X|X|X</v>
      </c>
    </row>
    <row r="179" spans="1:82" x14ac:dyDescent="0.25">
      <c r="A179" t="s">
        <v>313</v>
      </c>
      <c r="B179" t="s">
        <v>624</v>
      </c>
      <c r="C179">
        <v>3</v>
      </c>
      <c r="D179" t="s">
        <v>761</v>
      </c>
      <c r="E179" t="s">
        <v>1398</v>
      </c>
      <c r="F179" t="s">
        <v>0</v>
      </c>
      <c r="G179" t="s">
        <v>0</v>
      </c>
      <c r="H179" t="s">
        <v>896</v>
      </c>
      <c r="I179">
        <v>14800</v>
      </c>
      <c r="J179" t="s">
        <v>1</v>
      </c>
      <c r="K179">
        <v>100</v>
      </c>
      <c r="L179">
        <v>50</v>
      </c>
      <c r="M179">
        <v>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1340</v>
      </c>
      <c r="AC179" t="s">
        <v>1249</v>
      </c>
      <c r="AD179" s="18" t="s">
        <v>1128</v>
      </c>
      <c r="AE179" t="s">
        <v>4</v>
      </c>
      <c r="AF179" t="s">
        <v>1</v>
      </c>
      <c r="AG179" t="s">
        <v>1</v>
      </c>
      <c r="AH179" t="s">
        <v>1550</v>
      </c>
      <c r="AI179" t="s">
        <v>1766</v>
      </c>
      <c r="AJ179" t="s">
        <v>1</v>
      </c>
      <c r="AK179">
        <v>9371674831</v>
      </c>
      <c r="AL179" t="s">
        <v>1</v>
      </c>
      <c r="AM179" t="s">
        <v>1</v>
      </c>
      <c r="AN179" t="s">
        <v>1</v>
      </c>
      <c r="AO179" t="s">
        <v>1550</v>
      </c>
      <c r="AP179" t="s">
        <v>1</v>
      </c>
      <c r="AQ179" t="s">
        <v>2</v>
      </c>
      <c r="AR179" t="s">
        <v>1</v>
      </c>
      <c r="AS179" t="s">
        <v>1</v>
      </c>
      <c r="AT179" t="s">
        <v>1</v>
      </c>
      <c r="AU179" t="s">
        <v>1</v>
      </c>
      <c r="AV179" t="s">
        <v>1</v>
      </c>
      <c r="AW179" t="s">
        <v>11</v>
      </c>
      <c r="AX179">
        <f>Tabla1[[#This Row],[precio del paquete]]-Tabla1[[#This Row],[Saldo_Deudor]]</f>
        <v>2300</v>
      </c>
      <c r="AY179">
        <v>12500</v>
      </c>
      <c r="AZ179" t="s">
        <v>3</v>
      </c>
      <c r="BA179" t="s">
        <v>3</v>
      </c>
      <c r="BB179" t="s">
        <v>3</v>
      </c>
      <c r="BC179" t="s">
        <v>778</v>
      </c>
      <c r="BD179" t="s">
        <v>1915</v>
      </c>
      <c r="BE179" t="s">
        <v>3</v>
      </c>
      <c r="BF179" t="s">
        <v>3</v>
      </c>
      <c r="BG179" t="s">
        <v>3</v>
      </c>
      <c r="BH179" t="s">
        <v>3</v>
      </c>
      <c r="BI179" t="s">
        <v>3</v>
      </c>
      <c r="BJ179" t="s">
        <v>1942</v>
      </c>
      <c r="BK179" t="s">
        <v>3</v>
      </c>
      <c r="BL179" t="s">
        <v>132</v>
      </c>
      <c r="BM179" t="s">
        <v>1</v>
      </c>
      <c r="BN179">
        <f>Tabla1[[#This Row],[precio del paquete]]</f>
        <v>14800</v>
      </c>
      <c r="BO179" t="s">
        <v>1</v>
      </c>
      <c r="BP179" t="s">
        <v>1</v>
      </c>
      <c r="BQ179" t="s">
        <v>1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0</v>
      </c>
      <c r="BX179" t="s">
        <v>1</v>
      </c>
      <c r="BY179" t="s">
        <v>1</v>
      </c>
      <c r="BZ179" t="s">
        <v>1</v>
      </c>
      <c r="CA179" t="s">
        <v>1</v>
      </c>
      <c r="CB179" t="s">
        <v>1</v>
      </c>
      <c r="CD179" t="str" cm="1">
        <f t="array" aca="1" ref="CD179" ca="1">eConcatenar(A179:CB179,"|")</f>
        <v>6b5VSAnljp8ycVOO|CAR2021-5860|3|MEMORIAL|TABASCO|CARDENAS|CARDENAS|2021-06-10|14800|X|100|50|2|0|0|0|0|0|0|0|0|0|0|0|0|0|0|VENTURA|DE LA CRUZ|DELIA|SOLTERO|X|X|CALLE 8 CASA NUMERO 231|POBLADO C-10 GENERAL LAZARO CARDENAS|X|9371674831|X|X|X|CALLE 8 CASA NUMERO 231|X|LUNES|X|X|X|X|X|DOMICILIO |2300|12500|x|x|x|2022-04-02|2022-04-09|x|x|x|x|x|TGYGIVCAZFPUVXE|x|HOMBRE|X|14800|X|X|X|X|X|X|X|X|CARDENAS|X|X|X|X|X</v>
      </c>
    </row>
    <row r="180" spans="1:82" x14ac:dyDescent="0.25">
      <c r="A180" t="s">
        <v>314</v>
      </c>
      <c r="B180" t="s">
        <v>625</v>
      </c>
      <c r="C180">
        <v>3</v>
      </c>
      <c r="D180" t="s">
        <v>761</v>
      </c>
      <c r="E180" t="s">
        <v>1398</v>
      </c>
      <c r="F180" t="s">
        <v>0</v>
      </c>
      <c r="G180" t="s">
        <v>0</v>
      </c>
      <c r="H180" t="s">
        <v>896</v>
      </c>
      <c r="I180">
        <v>14800</v>
      </c>
      <c r="J180" t="s">
        <v>1</v>
      </c>
      <c r="K180">
        <v>200</v>
      </c>
      <c r="L180">
        <v>50</v>
      </c>
      <c r="M180">
        <v>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1255</v>
      </c>
      <c r="AC180" t="s">
        <v>1276</v>
      </c>
      <c r="AD180" s="18" t="s">
        <v>1129</v>
      </c>
      <c r="AE180" t="s">
        <v>4</v>
      </c>
      <c r="AF180" t="s">
        <v>1</v>
      </c>
      <c r="AG180" t="s">
        <v>1</v>
      </c>
      <c r="AH180" t="s">
        <v>1551</v>
      </c>
      <c r="AI180" t="s">
        <v>1766</v>
      </c>
      <c r="AJ180" t="s">
        <v>1</v>
      </c>
      <c r="AK180">
        <v>6562627204</v>
      </c>
      <c r="AL180" t="s">
        <v>1</v>
      </c>
      <c r="AM180" t="s">
        <v>1</v>
      </c>
      <c r="AN180" t="s">
        <v>1</v>
      </c>
      <c r="AO180" t="s">
        <v>1551</v>
      </c>
      <c r="AP180" t="s">
        <v>1</v>
      </c>
      <c r="AQ180" t="s">
        <v>2</v>
      </c>
      <c r="AR180" t="s">
        <v>1</v>
      </c>
      <c r="AS180" t="s">
        <v>1</v>
      </c>
      <c r="AT180" t="s">
        <v>1</v>
      </c>
      <c r="AU180" t="s">
        <v>1</v>
      </c>
      <c r="AV180" t="s">
        <v>1</v>
      </c>
      <c r="AW180" t="s">
        <v>11</v>
      </c>
      <c r="AX180">
        <f>Tabla1[[#This Row],[precio del paquete]]-Tabla1[[#This Row],[Saldo_Deudor]]</f>
        <v>3500</v>
      </c>
      <c r="AY180">
        <v>11300</v>
      </c>
      <c r="AZ180" t="s">
        <v>3</v>
      </c>
      <c r="BA180" t="s">
        <v>3</v>
      </c>
      <c r="BB180" t="s">
        <v>3</v>
      </c>
      <c r="BC180" t="s">
        <v>778</v>
      </c>
      <c r="BD180" t="s">
        <v>1915</v>
      </c>
      <c r="BE180" t="s">
        <v>3</v>
      </c>
      <c r="BF180" t="s">
        <v>3</v>
      </c>
      <c r="BG180" t="s">
        <v>3</v>
      </c>
      <c r="BH180" t="s">
        <v>3</v>
      </c>
      <c r="BI180" t="s">
        <v>3</v>
      </c>
      <c r="BJ180" t="s">
        <v>1942</v>
      </c>
      <c r="BK180" t="s">
        <v>3</v>
      </c>
      <c r="BL180" t="s">
        <v>132</v>
      </c>
      <c r="BM180" t="s">
        <v>1</v>
      </c>
      <c r="BN180">
        <f>Tabla1[[#This Row],[precio del paquete]]</f>
        <v>14800</v>
      </c>
      <c r="BO180" t="s">
        <v>1</v>
      </c>
      <c r="BP180" t="s">
        <v>1</v>
      </c>
      <c r="BQ180" t="s">
        <v>1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0</v>
      </c>
      <c r="BX180" t="s">
        <v>1</v>
      </c>
      <c r="BY180" t="s">
        <v>1</v>
      </c>
      <c r="BZ180" t="s">
        <v>1</v>
      </c>
      <c r="CA180" t="s">
        <v>1</v>
      </c>
      <c r="CB180" t="s">
        <v>1</v>
      </c>
      <c r="CD180" t="str" cm="1">
        <f t="array" aca="1" ref="CD180" ca="1">eConcatenar(A180:CB180,"|")</f>
        <v>jO8Fhk0PYi4ZHKWH|CAR2021-5870|3|MEMORIAL|TABASCO|CARDENAS|CARDENAS|2021-06-10|14800|X|200|50|2|0|0|0|0|0|0|0|0|0|0|0|0|0|0|CORDOVA|MARTINEZ|SANTANA|SOLTERO|X|X|CALLE 8 CASA NUMERO 233|POBLADO C-10 GENERAL LAZARO CARDENAS|X|6562627204|X|X|X|CALLE 8 CASA NUMERO 233|X|LUNES|X|X|X|X|X|DOMICILIO |3500|11300|x|x|x|2022-04-02|2022-04-09|x|x|x|x|x|TGYGIVCAZFPUVXE|x|HOMBRE|X|14800|X|X|X|X|X|X|X|X|CARDENAS|X|X|X|X|X</v>
      </c>
    </row>
    <row r="181" spans="1:82" x14ac:dyDescent="0.25">
      <c r="A181" t="s">
        <v>315</v>
      </c>
      <c r="B181" t="s">
        <v>626</v>
      </c>
      <c r="C181">
        <v>3</v>
      </c>
      <c r="D181" t="s">
        <v>761</v>
      </c>
      <c r="E181" t="s">
        <v>1398</v>
      </c>
      <c r="F181" t="s">
        <v>0</v>
      </c>
      <c r="G181" t="s">
        <v>0</v>
      </c>
      <c r="H181" t="s">
        <v>892</v>
      </c>
      <c r="I181">
        <v>14800</v>
      </c>
      <c r="J181" t="s">
        <v>1</v>
      </c>
      <c r="K181">
        <v>150</v>
      </c>
      <c r="L181">
        <v>50</v>
      </c>
      <c r="M181">
        <v>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1255</v>
      </c>
      <c r="AC181" t="s">
        <v>1246</v>
      </c>
      <c r="AD181" s="18" t="s">
        <v>1130</v>
      </c>
      <c r="AE181" t="s">
        <v>4</v>
      </c>
      <c r="AF181" t="s">
        <v>1</v>
      </c>
      <c r="AG181" t="s">
        <v>1</v>
      </c>
      <c r="AH181" t="s">
        <v>1552</v>
      </c>
      <c r="AI181" t="s">
        <v>1772</v>
      </c>
      <c r="AJ181" t="s">
        <v>1</v>
      </c>
      <c r="AK181">
        <v>9371273617</v>
      </c>
      <c r="AL181" t="s">
        <v>1</v>
      </c>
      <c r="AM181" t="s">
        <v>1</v>
      </c>
      <c r="AN181" t="s">
        <v>1</v>
      </c>
      <c r="AO181" t="s">
        <v>1552</v>
      </c>
      <c r="AP181" t="s">
        <v>1</v>
      </c>
      <c r="AQ181" t="s">
        <v>2</v>
      </c>
      <c r="AR181" t="s">
        <v>1</v>
      </c>
      <c r="AS181" t="s">
        <v>1</v>
      </c>
      <c r="AT181" t="s">
        <v>1</v>
      </c>
      <c r="AU181" t="s">
        <v>1</v>
      </c>
      <c r="AV181" t="s">
        <v>1</v>
      </c>
      <c r="AW181" t="s">
        <v>11</v>
      </c>
      <c r="AX181">
        <f>Tabla1[[#This Row],[precio del paquete]]-Tabla1[[#This Row],[Saldo_Deudor]]</f>
        <v>2050</v>
      </c>
      <c r="AY181">
        <v>12750</v>
      </c>
      <c r="AZ181" t="s">
        <v>3</v>
      </c>
      <c r="BA181" t="s">
        <v>3</v>
      </c>
      <c r="BB181" t="s">
        <v>3</v>
      </c>
      <c r="BC181" t="s">
        <v>1835</v>
      </c>
      <c r="BD181" t="s">
        <v>1880</v>
      </c>
      <c r="BE181" t="s">
        <v>3</v>
      </c>
      <c r="BF181" t="s">
        <v>3</v>
      </c>
      <c r="BG181" t="s">
        <v>3</v>
      </c>
      <c r="BH181" t="s">
        <v>3</v>
      </c>
      <c r="BI181" t="s">
        <v>3</v>
      </c>
      <c r="BJ181" t="s">
        <v>1942</v>
      </c>
      <c r="BK181" t="s">
        <v>3</v>
      </c>
      <c r="BL181" t="s">
        <v>132</v>
      </c>
      <c r="BM181" t="s">
        <v>1</v>
      </c>
      <c r="BN181">
        <f>Tabla1[[#This Row],[precio del paquete]]</f>
        <v>14800</v>
      </c>
      <c r="BO181" t="s">
        <v>1</v>
      </c>
      <c r="BP181" t="s">
        <v>1</v>
      </c>
      <c r="BQ181" t="s">
        <v>1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0</v>
      </c>
      <c r="BX181" t="s">
        <v>1</v>
      </c>
      <c r="BY181" t="s">
        <v>1</v>
      </c>
      <c r="BZ181" t="s">
        <v>1</v>
      </c>
      <c r="CA181" t="s">
        <v>1</v>
      </c>
      <c r="CB181" t="s">
        <v>1</v>
      </c>
      <c r="CD181" t="str" cm="1">
        <f t="array" aca="1" ref="CD181" ca="1">eConcatenar(A181:CB181,"|")</f>
        <v>aRlAJYw6oHtvSOpk|CAR2021-6491|3|MEMORIAL|TABASCO|CARDENAS|CARDENAS|2021-10-29|14800|X|150|50|2|0|0|0|0|0|0|0|0|0|0|0|0|0|0|CORDOVA|MORALES|GERONIMO|SOLTERO|X|X|CARRETRA A SANTUARIO|RANCHERIA POZA REDONDA SEGUNDA SECCION|X|9371273617|X|X|X|CARRETRA A SANTUARIO|X|LUNES|X|X|X|X|X|DOMICILIO |2050|12750|x|x|x|2022-05-02|2022-05-09|x|x|x|x|x|TGYGIVCAZFPUVXE|x|HOMBRE|X|14800|X|X|X|X|X|X|X|X|CARDENAS|X|X|X|X|X</v>
      </c>
    </row>
    <row r="182" spans="1:82" x14ac:dyDescent="0.25">
      <c r="A182" t="s">
        <v>316</v>
      </c>
      <c r="B182" t="s">
        <v>627</v>
      </c>
      <c r="C182">
        <v>3</v>
      </c>
      <c r="D182" t="s">
        <v>761</v>
      </c>
      <c r="E182" t="s">
        <v>1398</v>
      </c>
      <c r="F182" t="s">
        <v>0</v>
      </c>
      <c r="G182" t="s">
        <v>0</v>
      </c>
      <c r="H182" t="s">
        <v>784</v>
      </c>
      <c r="I182">
        <v>14800</v>
      </c>
      <c r="J182" t="s">
        <v>1</v>
      </c>
      <c r="K182">
        <v>200</v>
      </c>
      <c r="L182">
        <v>50</v>
      </c>
      <c r="M182">
        <v>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1346</v>
      </c>
      <c r="AC182" t="s">
        <v>1239</v>
      </c>
      <c r="AD182" s="18" t="s">
        <v>1131</v>
      </c>
      <c r="AE182" t="s">
        <v>4</v>
      </c>
      <c r="AF182" t="s">
        <v>1</v>
      </c>
      <c r="AG182" t="s">
        <v>1</v>
      </c>
      <c r="AH182" t="s">
        <v>1553</v>
      </c>
      <c r="AI182" t="s">
        <v>1773</v>
      </c>
      <c r="AJ182" t="s">
        <v>1</v>
      </c>
      <c r="AK182">
        <v>9371701908</v>
      </c>
      <c r="AL182" t="s">
        <v>1</v>
      </c>
      <c r="AM182" t="s">
        <v>1</v>
      </c>
      <c r="AN182" t="s">
        <v>1</v>
      </c>
      <c r="AO182" t="s">
        <v>1553</v>
      </c>
      <c r="AP182" t="s">
        <v>1</v>
      </c>
      <c r="AQ182" t="s">
        <v>2</v>
      </c>
      <c r="AR182" t="s">
        <v>1</v>
      </c>
      <c r="AS182" t="s">
        <v>1</v>
      </c>
      <c r="AT182" t="s">
        <v>1</v>
      </c>
      <c r="AU182" t="s">
        <v>1</v>
      </c>
      <c r="AV182" t="s">
        <v>1</v>
      </c>
      <c r="AW182" t="s">
        <v>11</v>
      </c>
      <c r="AX182">
        <f>Tabla1[[#This Row],[precio del paquete]]-Tabla1[[#This Row],[Saldo_Deudor]]</f>
        <v>550</v>
      </c>
      <c r="AY182">
        <v>14250</v>
      </c>
      <c r="AZ182" t="s">
        <v>3</v>
      </c>
      <c r="BA182" t="s">
        <v>3</v>
      </c>
      <c r="BB182" t="s">
        <v>3</v>
      </c>
      <c r="BC182" t="s">
        <v>1835</v>
      </c>
      <c r="BD182" t="s">
        <v>1880</v>
      </c>
      <c r="BE182" t="s">
        <v>3</v>
      </c>
      <c r="BF182" t="s">
        <v>3</v>
      </c>
      <c r="BG182" t="s">
        <v>3</v>
      </c>
      <c r="BH182" t="s">
        <v>3</v>
      </c>
      <c r="BI182" t="s">
        <v>3</v>
      </c>
      <c r="BJ182" t="s">
        <v>1942</v>
      </c>
      <c r="BK182" t="s">
        <v>3</v>
      </c>
      <c r="BL182" t="s">
        <v>132</v>
      </c>
      <c r="BM182" t="s">
        <v>1</v>
      </c>
      <c r="BN182">
        <f>Tabla1[[#This Row],[precio del paquete]]</f>
        <v>14800</v>
      </c>
      <c r="BO182" t="s">
        <v>1</v>
      </c>
      <c r="BP182" t="s">
        <v>1</v>
      </c>
      <c r="BQ182" t="s">
        <v>1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0</v>
      </c>
      <c r="BX182" t="s">
        <v>1</v>
      </c>
      <c r="BY182" t="s">
        <v>1</v>
      </c>
      <c r="BZ182" t="s">
        <v>1</v>
      </c>
      <c r="CA182" t="s">
        <v>1</v>
      </c>
      <c r="CB182" t="s">
        <v>1</v>
      </c>
      <c r="CD182" t="str" cm="1">
        <f t="array" aca="1" ref="CD182" ca="1">eConcatenar(A182:CB182,"|")</f>
        <v>7e7S3gNxXzw1z5Q2|CAR2021-7629|3|MEMORIAL|TABASCO|CARDENAS|CARDENAS|2021-12-18|14800|X|200|50|2|0|0|0|0|0|0|0|0|0|0|0|0|0|0|YZQUIERDO||ELIAZIN|SOLTERO|X|X|CARRETERA AL AGUAYO SIN NUMERO|RANCHERIA SANTUARIO SEGUNDA SECCION|X|9371701908|X|X|X|CARRETERA AL AGUAYO SIN NUMERO|X|LUNES|X|X|X|X|X|DOMICILIO |550|14250|x|x|x|2022-05-02|2022-05-09|x|x|x|x|x|TGYGIVCAZFPUVXE|x|HOMBRE|X|14800|X|X|X|X|X|X|X|X|CARDENAS|X|X|X|X|X</v>
      </c>
    </row>
    <row r="183" spans="1:82" x14ac:dyDescent="0.25">
      <c r="A183" t="s">
        <v>317</v>
      </c>
      <c r="B183" t="s">
        <v>628</v>
      </c>
      <c r="C183">
        <v>3</v>
      </c>
      <c r="D183" t="s">
        <v>761</v>
      </c>
      <c r="E183" t="s">
        <v>1398</v>
      </c>
      <c r="F183" t="s">
        <v>0</v>
      </c>
      <c r="G183" t="s">
        <v>0</v>
      </c>
      <c r="H183" t="s">
        <v>874</v>
      </c>
      <c r="I183">
        <v>14800</v>
      </c>
      <c r="J183" t="s">
        <v>1</v>
      </c>
      <c r="K183">
        <v>500</v>
      </c>
      <c r="L183">
        <v>50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1249</v>
      </c>
      <c r="AC183" t="s">
        <v>1347</v>
      </c>
      <c r="AD183" s="18" t="s">
        <v>1132</v>
      </c>
      <c r="AE183" t="s">
        <v>4</v>
      </c>
      <c r="AF183" t="s">
        <v>1</v>
      </c>
      <c r="AG183" t="s">
        <v>1</v>
      </c>
      <c r="AH183" t="s">
        <v>1554</v>
      </c>
      <c r="AI183" t="s">
        <v>1763</v>
      </c>
      <c r="AJ183" t="s">
        <v>1</v>
      </c>
      <c r="AK183">
        <v>9373776956</v>
      </c>
      <c r="AL183" t="s">
        <v>1</v>
      </c>
      <c r="AM183" t="s">
        <v>1</v>
      </c>
      <c r="AN183" t="s">
        <v>1</v>
      </c>
      <c r="AO183" t="s">
        <v>1554</v>
      </c>
      <c r="AP183" t="s">
        <v>1</v>
      </c>
      <c r="AQ183" t="s">
        <v>2</v>
      </c>
      <c r="AR183" t="s">
        <v>1</v>
      </c>
      <c r="AS183" t="s">
        <v>1</v>
      </c>
      <c r="AT183" t="s">
        <v>1</v>
      </c>
      <c r="AU183" t="s">
        <v>1</v>
      </c>
      <c r="AV183" t="s">
        <v>1</v>
      </c>
      <c r="AW183" t="s">
        <v>11</v>
      </c>
      <c r="AX183">
        <f>Tabla1[[#This Row],[precio del paquete]]-Tabla1[[#This Row],[Saldo_Deudor]]</f>
        <v>1300</v>
      </c>
      <c r="AY183">
        <v>13500</v>
      </c>
      <c r="AZ183" t="s">
        <v>3</v>
      </c>
      <c r="BA183" t="s">
        <v>3</v>
      </c>
      <c r="BB183" t="s">
        <v>3</v>
      </c>
      <c r="BC183" t="s">
        <v>1835</v>
      </c>
      <c r="BD183" t="s">
        <v>1880</v>
      </c>
      <c r="BE183" t="s">
        <v>3</v>
      </c>
      <c r="BF183" t="s">
        <v>3</v>
      </c>
      <c r="BG183" t="s">
        <v>3</v>
      </c>
      <c r="BH183" t="s">
        <v>3</v>
      </c>
      <c r="BI183" t="s">
        <v>3</v>
      </c>
      <c r="BJ183" t="s">
        <v>1942</v>
      </c>
      <c r="BK183" t="s">
        <v>3</v>
      </c>
      <c r="BL183" t="s">
        <v>132</v>
      </c>
      <c r="BM183" t="s">
        <v>1</v>
      </c>
      <c r="BN183">
        <f>Tabla1[[#This Row],[precio del paquete]]</f>
        <v>14800</v>
      </c>
      <c r="BO183" t="s">
        <v>1</v>
      </c>
      <c r="BP183" t="s">
        <v>1</v>
      </c>
      <c r="BQ183" t="s">
        <v>1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0</v>
      </c>
      <c r="BX183" t="s">
        <v>1</v>
      </c>
      <c r="BY183" t="s">
        <v>1</v>
      </c>
      <c r="BZ183" t="s">
        <v>1</v>
      </c>
      <c r="CA183" t="s">
        <v>1</v>
      </c>
      <c r="CB183" t="s">
        <v>1</v>
      </c>
      <c r="CD183" t="str" cm="1">
        <f t="array" aca="1" ref="CD183" ca="1">eConcatenar(A183:CB183,"|")</f>
        <v>tnpJdxaam4VHRh1r|CAR2021-6868|3|MEMORIAL|TABASCO|CARDENAS|CARDENAS|2021-12-11|14800|X|500|50|2|0|0|0|0|0|0|0|0|0|0|0|0|0|0|DE LA CRUZ|YAÃ‘EZ|ALICIA|SOLTERO|X|X|CALLE 8|POBLADO C-9 LICENCIADO FRANCISCO I MADERO|X|9373776956|X|X|X|CALLE 8|X|LUNES|X|X|X|X|X|DOMICILIO |1300|13500|x|x|x|2022-05-02|2022-05-09|x|x|x|x|x|TGYGIVCAZFPUVXE|x|HOMBRE|X|14800|X|X|X|X|X|X|X|X|CARDENAS|X|X|X|X|X</v>
      </c>
    </row>
    <row r="184" spans="1:82" x14ac:dyDescent="0.25">
      <c r="A184" t="s">
        <v>318</v>
      </c>
      <c r="B184" t="s">
        <v>629</v>
      </c>
      <c r="C184">
        <v>3</v>
      </c>
      <c r="D184" t="s">
        <v>761</v>
      </c>
      <c r="E184" t="s">
        <v>1398</v>
      </c>
      <c r="F184" t="s">
        <v>0</v>
      </c>
      <c r="G184" t="s">
        <v>0</v>
      </c>
      <c r="H184" t="s">
        <v>897</v>
      </c>
      <c r="I184">
        <v>24500</v>
      </c>
      <c r="J184" t="s">
        <v>1</v>
      </c>
      <c r="K184">
        <v>400</v>
      </c>
      <c r="L184">
        <v>50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1248</v>
      </c>
      <c r="AC184" t="s">
        <v>1249</v>
      </c>
      <c r="AD184" s="18" t="s">
        <v>1133</v>
      </c>
      <c r="AE184" t="s">
        <v>4</v>
      </c>
      <c r="AF184" t="s">
        <v>1</v>
      </c>
      <c r="AG184" t="s">
        <v>1</v>
      </c>
      <c r="AH184" t="s">
        <v>1555</v>
      </c>
      <c r="AI184" t="s">
        <v>1774</v>
      </c>
      <c r="AJ184" t="s">
        <v>1</v>
      </c>
      <c r="AK184">
        <v>9371642382</v>
      </c>
      <c r="AL184" t="s">
        <v>1</v>
      </c>
      <c r="AM184" t="s">
        <v>1</v>
      </c>
      <c r="AN184" t="s">
        <v>1</v>
      </c>
      <c r="AO184" t="s">
        <v>1555</v>
      </c>
      <c r="AP184" t="s">
        <v>1</v>
      </c>
      <c r="AQ184" t="s">
        <v>2</v>
      </c>
      <c r="AR184" t="s">
        <v>1</v>
      </c>
      <c r="AS184" t="s">
        <v>1</v>
      </c>
      <c r="AT184" t="s">
        <v>1</v>
      </c>
      <c r="AU184" t="s">
        <v>1</v>
      </c>
      <c r="AV184" t="s">
        <v>1</v>
      </c>
      <c r="AW184" t="s">
        <v>11</v>
      </c>
      <c r="AX184">
        <f>Tabla1[[#This Row],[precio del paquete]]-Tabla1[[#This Row],[Saldo_Deudor]]</f>
        <v>1000</v>
      </c>
      <c r="AY184">
        <v>23500</v>
      </c>
      <c r="AZ184" t="s">
        <v>3</v>
      </c>
      <c r="BA184" t="s">
        <v>3</v>
      </c>
      <c r="BB184" t="s">
        <v>3</v>
      </c>
      <c r="BC184" t="s">
        <v>973</v>
      </c>
      <c r="BD184" t="s">
        <v>1839</v>
      </c>
      <c r="BE184" t="s">
        <v>3</v>
      </c>
      <c r="BF184" t="s">
        <v>3</v>
      </c>
      <c r="BG184" t="s">
        <v>3</v>
      </c>
      <c r="BH184" t="s">
        <v>3</v>
      </c>
      <c r="BI184" t="s">
        <v>3</v>
      </c>
      <c r="BJ184" t="s">
        <v>1942</v>
      </c>
      <c r="BK184" t="s">
        <v>3</v>
      </c>
      <c r="BL184" t="s">
        <v>132</v>
      </c>
      <c r="BM184" t="s">
        <v>1</v>
      </c>
      <c r="BN184">
        <f>Tabla1[[#This Row],[precio del paquete]]</f>
        <v>24500</v>
      </c>
      <c r="BO184" t="s">
        <v>1</v>
      </c>
      <c r="BP184" t="s">
        <v>1</v>
      </c>
      <c r="BQ184" t="s">
        <v>1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0</v>
      </c>
      <c r="BX184" t="s">
        <v>1</v>
      </c>
      <c r="BY184" t="s">
        <v>1</v>
      </c>
      <c r="BZ184" t="s">
        <v>1</v>
      </c>
      <c r="CA184" t="s">
        <v>1</v>
      </c>
      <c r="CB184" t="s">
        <v>1</v>
      </c>
      <c r="CD184" t="str" cm="1">
        <f t="array" aca="1" ref="CD184" ca="1">eConcatenar(A184:CB184,"|")</f>
        <v>BNbKYabHV8GP0UcM|CAR2021-7079|3|MEMORIAL|TABASCO|CARDENAS|CARDENAS|2021-11-22|24500|X|400|50|2|0|0|0|0|0|0|0|0|0|0|0|0|0|0|PEREZ|DE LA CRUZ|IRMA|SOLTERO|X|X|CARRETERA PRINCIPAL A LA AZUCENA|RANCHERIA ENCRUCIJADA QUINTA SECCION|X|9371642382|X|X|X|CARRETERA PRINCIPAL A LA AZUCENA|X|LUNES|X|X|X|X|X|DOMICILIO |1000|23500|x|x|x|2022-01-21|2022-01-28|x|x|x|x|x|TGYGIVCAZFPUVXE|x|HOMBRE|X|24500|X|X|X|X|X|X|X|X|CARDENAS|X|X|X|X|X</v>
      </c>
    </row>
    <row r="185" spans="1:82" x14ac:dyDescent="0.25">
      <c r="A185" t="s">
        <v>319</v>
      </c>
      <c r="B185" t="s">
        <v>630</v>
      </c>
      <c r="C185">
        <v>3</v>
      </c>
      <c r="D185" t="s">
        <v>761</v>
      </c>
      <c r="E185" t="s">
        <v>1398</v>
      </c>
      <c r="F185" t="s">
        <v>0</v>
      </c>
      <c r="G185" t="s">
        <v>0</v>
      </c>
      <c r="H185" t="s">
        <v>898</v>
      </c>
      <c r="I185">
        <v>14800</v>
      </c>
      <c r="J185" t="s">
        <v>1</v>
      </c>
      <c r="K185">
        <v>100</v>
      </c>
      <c r="L185">
        <v>50</v>
      </c>
      <c r="M185">
        <v>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1274</v>
      </c>
      <c r="AC185" t="s">
        <v>1248</v>
      </c>
      <c r="AD185" s="18" t="s">
        <v>1134</v>
      </c>
      <c r="AE185" t="s">
        <v>4</v>
      </c>
      <c r="AF185" t="s">
        <v>1</v>
      </c>
      <c r="AG185" t="s">
        <v>1</v>
      </c>
      <c r="AH185" t="s">
        <v>1556</v>
      </c>
      <c r="AI185" t="s">
        <v>1775</v>
      </c>
      <c r="AJ185" t="s">
        <v>1</v>
      </c>
      <c r="AK185">
        <v>9372702369</v>
      </c>
      <c r="AL185" t="s">
        <v>1</v>
      </c>
      <c r="AM185" t="s">
        <v>1</v>
      </c>
      <c r="AN185" t="s">
        <v>1</v>
      </c>
      <c r="AO185" t="s">
        <v>1556</v>
      </c>
      <c r="AP185" t="s">
        <v>1</v>
      </c>
      <c r="AQ185" t="s">
        <v>2</v>
      </c>
      <c r="AR185" t="s">
        <v>1</v>
      </c>
      <c r="AS185" t="s">
        <v>1</v>
      </c>
      <c r="AT185" t="s">
        <v>1</v>
      </c>
      <c r="AU185" t="s">
        <v>1</v>
      </c>
      <c r="AV185" t="s">
        <v>1</v>
      </c>
      <c r="AW185" t="s">
        <v>11</v>
      </c>
      <c r="AX185">
        <f>Tabla1[[#This Row],[precio del paquete]]-Tabla1[[#This Row],[Saldo_Deudor]]</f>
        <v>900</v>
      </c>
      <c r="AY185">
        <v>13900</v>
      </c>
      <c r="AZ185" t="s">
        <v>3</v>
      </c>
      <c r="BA185" t="s">
        <v>3</v>
      </c>
      <c r="BB185" t="s">
        <v>3</v>
      </c>
      <c r="BC185" t="s">
        <v>1840</v>
      </c>
      <c r="BD185" t="s">
        <v>1890</v>
      </c>
      <c r="BE185" t="s">
        <v>3</v>
      </c>
      <c r="BF185" t="s">
        <v>3</v>
      </c>
      <c r="BG185" t="s">
        <v>3</v>
      </c>
      <c r="BH185" t="s">
        <v>3</v>
      </c>
      <c r="BI185" t="s">
        <v>3</v>
      </c>
      <c r="BJ185" t="s">
        <v>1942</v>
      </c>
      <c r="BK185" t="s">
        <v>3</v>
      </c>
      <c r="BL185" t="s">
        <v>132</v>
      </c>
      <c r="BM185" t="s">
        <v>1</v>
      </c>
      <c r="BN185">
        <f>Tabla1[[#This Row],[precio del paquete]]</f>
        <v>14800</v>
      </c>
      <c r="BO185" t="s">
        <v>1</v>
      </c>
      <c r="BP185" t="s">
        <v>1</v>
      </c>
      <c r="BQ185" t="s">
        <v>1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0</v>
      </c>
      <c r="BX185" t="s">
        <v>1</v>
      </c>
      <c r="BY185" t="s">
        <v>1</v>
      </c>
      <c r="BZ185" t="s">
        <v>1</v>
      </c>
      <c r="CA185" t="s">
        <v>1</v>
      </c>
      <c r="CB185" t="s">
        <v>1</v>
      </c>
      <c r="CD185" t="str" cm="1">
        <f t="array" aca="1" ref="CD185" ca="1">eConcatenar(A185:CB185,"|")</f>
        <v>En2JQg0M6q0GoWO7|CAR2021-7276|3|MEMORIAL|TABASCO|CARDENAS|CARDENAS|2021-11-29|14800|X|100|50|2|0|0|0|0|0|0|0|0|0|0|0|0|0|0|ALMEIDA|PEREZ|DALIA|SOLTERO|X|X|CALLE 7 NUMERO 168|DALIA ALMEIDA PEREZ|X|9372702369|X|X|X|CALLE 7 NUMERO 168|X|LUNES|X|X|X|X|X|DOMICILIO |900|13900|x|x|x|2022-03-01|2022-03-08|x|x|x|x|x|TGYGIVCAZFPUVXE|x|HOMBRE|X|14800|X|X|X|X|X|X|X|X|CARDENAS|X|X|X|X|X</v>
      </c>
    </row>
    <row r="186" spans="1:82" x14ac:dyDescent="0.25">
      <c r="A186" t="s">
        <v>320</v>
      </c>
      <c r="B186" t="s">
        <v>631</v>
      </c>
      <c r="C186">
        <v>3</v>
      </c>
      <c r="D186" t="s">
        <v>762</v>
      </c>
      <c r="E186" t="s">
        <v>1398</v>
      </c>
      <c r="F186" t="s">
        <v>0</v>
      </c>
      <c r="G186" t="s">
        <v>0</v>
      </c>
      <c r="H186" t="s">
        <v>886</v>
      </c>
      <c r="I186">
        <v>24500</v>
      </c>
      <c r="J186" t="s">
        <v>1</v>
      </c>
      <c r="K186">
        <v>100</v>
      </c>
      <c r="L186">
        <v>50</v>
      </c>
      <c r="M186">
        <v>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1231</v>
      </c>
      <c r="AC186" t="s">
        <v>1249</v>
      </c>
      <c r="AD186" s="18" t="s">
        <v>1135</v>
      </c>
      <c r="AE186" t="s">
        <v>4</v>
      </c>
      <c r="AF186" t="s">
        <v>1</v>
      </c>
      <c r="AG186" t="s">
        <v>1</v>
      </c>
      <c r="AH186" t="s">
        <v>1557</v>
      </c>
      <c r="AI186" t="s">
        <v>1763</v>
      </c>
      <c r="AJ186" t="s">
        <v>1</v>
      </c>
      <c r="AK186">
        <v>9371894481</v>
      </c>
      <c r="AL186" t="s">
        <v>1</v>
      </c>
      <c r="AM186" t="s">
        <v>1</v>
      </c>
      <c r="AN186" t="s">
        <v>1</v>
      </c>
      <c r="AO186" t="s">
        <v>1557</v>
      </c>
      <c r="AP186" t="s">
        <v>1</v>
      </c>
      <c r="AQ186" t="s">
        <v>2</v>
      </c>
      <c r="AR186" t="s">
        <v>1</v>
      </c>
      <c r="AS186" t="s">
        <v>1</v>
      </c>
      <c r="AT186" t="s">
        <v>1</v>
      </c>
      <c r="AU186" t="s">
        <v>1</v>
      </c>
      <c r="AV186" t="s">
        <v>1</v>
      </c>
      <c r="AW186" t="s">
        <v>11</v>
      </c>
      <c r="AX186">
        <f>Tabla1[[#This Row],[precio del paquete]]-Tabla1[[#This Row],[Saldo_Deudor]]</f>
        <v>700</v>
      </c>
      <c r="AY186">
        <v>23800</v>
      </c>
      <c r="AZ186" t="s">
        <v>3</v>
      </c>
      <c r="BA186" t="s">
        <v>3</v>
      </c>
      <c r="BB186" t="s">
        <v>3</v>
      </c>
      <c r="BC186" t="s">
        <v>1835</v>
      </c>
      <c r="BD186" t="s">
        <v>1880</v>
      </c>
      <c r="BE186" t="s">
        <v>3</v>
      </c>
      <c r="BF186" t="s">
        <v>3</v>
      </c>
      <c r="BG186" t="s">
        <v>3</v>
      </c>
      <c r="BH186" t="s">
        <v>3</v>
      </c>
      <c r="BI186" t="s">
        <v>3</v>
      </c>
      <c r="BJ186" t="s">
        <v>1942</v>
      </c>
      <c r="BK186" t="s">
        <v>3</v>
      </c>
      <c r="BL186" t="s">
        <v>132</v>
      </c>
      <c r="BM186" t="s">
        <v>1</v>
      </c>
      <c r="BN186">
        <f>Tabla1[[#This Row],[precio del paquete]]</f>
        <v>24500</v>
      </c>
      <c r="BO186" t="s">
        <v>1</v>
      </c>
      <c r="BP186" t="s">
        <v>1</v>
      </c>
      <c r="BQ186" t="s">
        <v>1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0</v>
      </c>
      <c r="BX186" t="s">
        <v>1</v>
      </c>
      <c r="BY186" t="s">
        <v>1</v>
      </c>
      <c r="BZ186" t="s">
        <v>1</v>
      </c>
      <c r="CA186" t="s">
        <v>1</v>
      </c>
      <c r="CB186" t="s">
        <v>1</v>
      </c>
      <c r="CD186" t="str" cm="1">
        <f t="array" aca="1" ref="CD186" ca="1">eConcatenar(A186:CB186,"|")</f>
        <v>VQTeC7NTYvIIwBOZ|CAR2021-6878|3|DIGNITY|TABASCO|CARDENAS|CARDENAS|2021-11-13|24500|X|100|50|2|0|0|0|0|0|0|0|0|0|0|0|0|0|0|TORRES|DE LA CRUZ|MINERVA|SOLTERO|X|X|CALLE NUMERO 3|POBLADO C-9 LICENCIADO FRANCISCO I MADERO|X|9371894481|X|X|X|CALLE NUMERO 3|X|LUNES|X|X|X|X|X|DOMICILIO |700|23800|x|x|x|2022-05-02|2022-05-09|x|x|x|x|x|TGYGIVCAZFPUVXE|x|HOMBRE|X|24500|X|X|X|X|X|X|X|X|CARDENAS|X|X|X|X|X</v>
      </c>
    </row>
    <row r="187" spans="1:82" x14ac:dyDescent="0.25">
      <c r="A187" t="s">
        <v>321</v>
      </c>
      <c r="B187" t="s">
        <v>632</v>
      </c>
      <c r="C187">
        <v>3</v>
      </c>
      <c r="D187" t="s">
        <v>762</v>
      </c>
      <c r="E187" t="s">
        <v>1398</v>
      </c>
      <c r="F187" t="s">
        <v>0</v>
      </c>
      <c r="G187" t="s">
        <v>0</v>
      </c>
      <c r="H187" t="s">
        <v>899</v>
      </c>
      <c r="I187">
        <v>24500</v>
      </c>
      <c r="J187" t="s">
        <v>1</v>
      </c>
      <c r="K187">
        <v>500</v>
      </c>
      <c r="L187">
        <v>50</v>
      </c>
      <c r="M187">
        <v>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1269</v>
      </c>
      <c r="AC187" t="s">
        <v>7</v>
      </c>
      <c r="AD187" s="18" t="s">
        <v>1136</v>
      </c>
      <c r="AE187" t="s">
        <v>4</v>
      </c>
      <c r="AF187" t="s">
        <v>1</v>
      </c>
      <c r="AG187" t="s">
        <v>1</v>
      </c>
      <c r="AH187" t="s">
        <v>1558</v>
      </c>
      <c r="AI187" t="s">
        <v>1765</v>
      </c>
      <c r="AJ187" t="s">
        <v>1</v>
      </c>
      <c r="AK187">
        <v>9373789115</v>
      </c>
      <c r="AL187" t="s">
        <v>1</v>
      </c>
      <c r="AM187" t="s">
        <v>1</v>
      </c>
      <c r="AN187" t="s">
        <v>1</v>
      </c>
      <c r="AO187" t="s">
        <v>1558</v>
      </c>
      <c r="AP187" t="s">
        <v>1</v>
      </c>
      <c r="AQ187" t="s">
        <v>2</v>
      </c>
      <c r="AR187" t="s">
        <v>1</v>
      </c>
      <c r="AS187" t="s">
        <v>1</v>
      </c>
      <c r="AT187" t="s">
        <v>1</v>
      </c>
      <c r="AU187" t="s">
        <v>1</v>
      </c>
      <c r="AV187" t="s">
        <v>1</v>
      </c>
      <c r="AW187" t="s">
        <v>11</v>
      </c>
      <c r="AX187">
        <f>Tabla1[[#This Row],[precio del paquete]]-Tabla1[[#This Row],[Saldo_Deudor]]</f>
        <v>2100</v>
      </c>
      <c r="AY187">
        <v>22400</v>
      </c>
      <c r="AZ187" t="s">
        <v>3</v>
      </c>
      <c r="BA187" t="s">
        <v>3</v>
      </c>
      <c r="BB187" t="s">
        <v>3</v>
      </c>
      <c r="BC187" t="s">
        <v>1865</v>
      </c>
      <c r="BD187" t="s">
        <v>823</v>
      </c>
      <c r="BE187" t="s">
        <v>3</v>
      </c>
      <c r="BF187" t="s">
        <v>3</v>
      </c>
      <c r="BG187" t="s">
        <v>3</v>
      </c>
      <c r="BH187" t="s">
        <v>3</v>
      </c>
      <c r="BI187" t="s">
        <v>3</v>
      </c>
      <c r="BJ187" t="s">
        <v>1942</v>
      </c>
      <c r="BK187" t="s">
        <v>3</v>
      </c>
      <c r="BL187" t="s">
        <v>132</v>
      </c>
      <c r="BM187" t="s">
        <v>1</v>
      </c>
      <c r="BN187">
        <f>Tabla1[[#This Row],[precio del paquete]]</f>
        <v>24500</v>
      </c>
      <c r="BO187" t="s">
        <v>1</v>
      </c>
      <c r="BP187" t="s">
        <v>1</v>
      </c>
      <c r="BQ187" t="s">
        <v>1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0</v>
      </c>
      <c r="BX187" t="s">
        <v>1</v>
      </c>
      <c r="BY187" t="s">
        <v>1</v>
      </c>
      <c r="BZ187" t="s">
        <v>1</v>
      </c>
      <c r="CA187" t="s">
        <v>1</v>
      </c>
      <c r="CB187" t="s">
        <v>1</v>
      </c>
      <c r="CD187" t="str" cm="1">
        <f t="array" aca="1" ref="CD187" ca="1">eConcatenar(A187:CB187,"|")</f>
        <v>n1FFxDs6lZaVZ50R|CAR2021-2023|3|DIGNITY|TABASCO|CARDENAS|CARDENAS|2021-05-20|24500|X|500|50|2|0|0|0|0|0|0|0|0|0|0|0|0|0|0|MENDEZ|LOPEZ|MAGNOLIA|SOLTERO|X|X|CALLE ENTRE 5 Y 6 CASA NUMERO 159|POBLADO C-28 CORONEL GREGORIO MENDEZ|X|9373789115|X|X|X|CALLE ENTRE 5 Y 6 CASA NUMERO 159|X|LUNES|X|X|X|X|X|DOMICILIO |2100|22400|x|x|x|2021-06-11|2021-06-18|x|x|x|x|x|TGYGIVCAZFPUVXE|x|HOMBRE|X|24500|X|X|X|X|X|X|X|X|CARDENAS|X|X|X|X|X</v>
      </c>
    </row>
    <row r="188" spans="1:82" x14ac:dyDescent="0.25">
      <c r="A188" t="s">
        <v>322</v>
      </c>
      <c r="B188" t="s">
        <v>633</v>
      </c>
      <c r="C188">
        <v>3</v>
      </c>
      <c r="D188" t="s">
        <v>766</v>
      </c>
      <c r="E188" t="s">
        <v>1398</v>
      </c>
      <c r="F188" t="s">
        <v>0</v>
      </c>
      <c r="G188" t="s">
        <v>0</v>
      </c>
      <c r="H188" t="s">
        <v>900</v>
      </c>
      <c r="I188">
        <v>12900</v>
      </c>
      <c r="J188" t="s">
        <v>1</v>
      </c>
      <c r="K188">
        <v>200</v>
      </c>
      <c r="L188">
        <v>50</v>
      </c>
      <c r="M188">
        <v>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1255</v>
      </c>
      <c r="AC188" t="s">
        <v>1247</v>
      </c>
      <c r="AD188" s="18" t="s">
        <v>1137</v>
      </c>
      <c r="AE188" t="s">
        <v>4</v>
      </c>
      <c r="AF188" t="s">
        <v>1</v>
      </c>
      <c r="AG188" t="s">
        <v>1</v>
      </c>
      <c r="AH188" t="s">
        <v>1426</v>
      </c>
      <c r="AI188" t="s">
        <v>1776</v>
      </c>
      <c r="AJ188" t="s">
        <v>1</v>
      </c>
      <c r="AK188">
        <v>9371044470</v>
      </c>
      <c r="AL188" t="s">
        <v>1</v>
      </c>
      <c r="AM188" t="s">
        <v>1</v>
      </c>
      <c r="AN188" t="s">
        <v>1</v>
      </c>
      <c r="AO188" t="s">
        <v>1426</v>
      </c>
      <c r="AP188" t="s">
        <v>1</v>
      </c>
      <c r="AQ188" t="s">
        <v>2</v>
      </c>
      <c r="AR188" t="s">
        <v>1</v>
      </c>
      <c r="AS188" t="s">
        <v>1</v>
      </c>
      <c r="AT188" t="s">
        <v>1</v>
      </c>
      <c r="AU188" t="s">
        <v>1</v>
      </c>
      <c r="AV188" t="s">
        <v>1</v>
      </c>
      <c r="AW188" t="s">
        <v>11</v>
      </c>
      <c r="AX188">
        <f>Tabla1[[#This Row],[precio del paquete]]-Tabla1[[#This Row],[Saldo_Deudor]]</f>
        <v>1600</v>
      </c>
      <c r="AY188">
        <v>11300</v>
      </c>
      <c r="AZ188" t="s">
        <v>3</v>
      </c>
      <c r="BA188" t="s">
        <v>3</v>
      </c>
      <c r="BB188" t="s">
        <v>3</v>
      </c>
      <c r="BC188" t="s">
        <v>822</v>
      </c>
      <c r="BD188" t="s">
        <v>1922</v>
      </c>
      <c r="BE188" t="s">
        <v>3</v>
      </c>
      <c r="BF188" t="s">
        <v>3</v>
      </c>
      <c r="BG188" t="s">
        <v>3</v>
      </c>
      <c r="BH188" t="s">
        <v>3</v>
      </c>
      <c r="BI188" t="s">
        <v>3</v>
      </c>
      <c r="BJ188" t="s">
        <v>1942</v>
      </c>
      <c r="BK188" t="s">
        <v>3</v>
      </c>
      <c r="BL188" t="s">
        <v>132</v>
      </c>
      <c r="BM188" t="s">
        <v>1</v>
      </c>
      <c r="BN188">
        <f>Tabla1[[#This Row],[precio del paquete]]</f>
        <v>12900</v>
      </c>
      <c r="BO188" t="s">
        <v>1</v>
      </c>
      <c r="BP188" t="s">
        <v>1</v>
      </c>
      <c r="BQ188" t="s">
        <v>1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0</v>
      </c>
      <c r="BX188" t="s">
        <v>1</v>
      </c>
      <c r="BY188" t="s">
        <v>1</v>
      </c>
      <c r="BZ188" t="s">
        <v>1</v>
      </c>
      <c r="CA188" t="s">
        <v>1</v>
      </c>
      <c r="CB188" t="s">
        <v>1</v>
      </c>
      <c r="CD188" t="str" cm="1">
        <f t="array" aca="1" ref="CD188" ca="1">eConcatenar(A188:CB188,"|")</f>
        <v>pHhoD5mpdsLFdOnV|CAR2020-4491|3|ECONOLINE|TABASCO|CARDENAS|CARDENAS|2020-07-11|12900|X|200|50|2|0|0|0|0|0|0|0|0|0|0|0|0|0|0|CORDOVA|SANCHEZ|AURORA ELIZA|SOLTERO|X|X|CARRETERA PRINCIPAL SIN NUMERO|RANCHERIA SANTUARIO CUARTA SECCION|X|9371044470|X|X|X|CARRETERA PRINCIPAL SIN NUMERO|X|LUNES|X|X|X|X|X|DOMICILIO |1600|11300|x|x|x|2021-06-08|2021-06-15|x|x|x|x|x|TGYGIVCAZFPUVXE|x|HOMBRE|X|12900|X|X|X|X|X|X|X|X|CARDENAS|X|X|X|X|X</v>
      </c>
    </row>
    <row r="189" spans="1:82" x14ac:dyDescent="0.25">
      <c r="A189" t="s">
        <v>323</v>
      </c>
      <c r="B189" t="s">
        <v>634</v>
      </c>
      <c r="C189">
        <v>3</v>
      </c>
      <c r="D189" t="s">
        <v>761</v>
      </c>
      <c r="E189" t="s">
        <v>1398</v>
      </c>
      <c r="F189" t="s">
        <v>0</v>
      </c>
      <c r="G189" t="s">
        <v>0</v>
      </c>
      <c r="H189" t="s">
        <v>901</v>
      </c>
      <c r="I189">
        <v>14800</v>
      </c>
      <c r="J189" t="s">
        <v>1</v>
      </c>
      <c r="K189">
        <v>100</v>
      </c>
      <c r="L189">
        <v>50</v>
      </c>
      <c r="M189">
        <v>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1269</v>
      </c>
      <c r="AC189" t="s">
        <v>1287</v>
      </c>
      <c r="AD189" s="18" t="s">
        <v>1138</v>
      </c>
      <c r="AE189" t="s">
        <v>4</v>
      </c>
      <c r="AF189" t="s">
        <v>1</v>
      </c>
      <c r="AG189" t="s">
        <v>1</v>
      </c>
      <c r="AH189" t="s">
        <v>1559</v>
      </c>
      <c r="AI189" t="s">
        <v>1777</v>
      </c>
      <c r="AJ189" t="s">
        <v>1</v>
      </c>
      <c r="AK189">
        <v>9371670197</v>
      </c>
      <c r="AL189" t="s">
        <v>1</v>
      </c>
      <c r="AM189" t="s">
        <v>1</v>
      </c>
      <c r="AN189" t="s">
        <v>1</v>
      </c>
      <c r="AO189" t="s">
        <v>1559</v>
      </c>
      <c r="AP189" t="s">
        <v>1</v>
      </c>
      <c r="AQ189" t="s">
        <v>2</v>
      </c>
      <c r="AR189" t="s">
        <v>1</v>
      </c>
      <c r="AS189" t="s">
        <v>1</v>
      </c>
      <c r="AT189" t="s">
        <v>1</v>
      </c>
      <c r="AU189" t="s">
        <v>1</v>
      </c>
      <c r="AV189" t="s">
        <v>1</v>
      </c>
      <c r="AW189" t="s">
        <v>11</v>
      </c>
      <c r="AX189">
        <f>Tabla1[[#This Row],[precio del paquete]]-Tabla1[[#This Row],[Saldo_Deudor]]</f>
        <v>5100</v>
      </c>
      <c r="AY189">
        <v>9700</v>
      </c>
      <c r="AZ189" t="s">
        <v>3</v>
      </c>
      <c r="BA189" t="s">
        <v>3</v>
      </c>
      <c r="BB189" t="s">
        <v>3</v>
      </c>
      <c r="BC189" t="s">
        <v>1866</v>
      </c>
      <c r="BD189" t="s">
        <v>1920</v>
      </c>
      <c r="BE189" t="s">
        <v>3</v>
      </c>
      <c r="BF189" t="s">
        <v>3</v>
      </c>
      <c r="BG189" t="s">
        <v>3</v>
      </c>
      <c r="BH189" t="s">
        <v>3</v>
      </c>
      <c r="BI189" t="s">
        <v>3</v>
      </c>
      <c r="BJ189" t="s">
        <v>1942</v>
      </c>
      <c r="BK189" t="s">
        <v>3</v>
      </c>
      <c r="BL189" t="s">
        <v>132</v>
      </c>
      <c r="BM189" t="s">
        <v>1</v>
      </c>
      <c r="BN189">
        <f>Tabla1[[#This Row],[precio del paquete]]</f>
        <v>14800</v>
      </c>
      <c r="BO189" t="s">
        <v>1</v>
      </c>
      <c r="BP189" t="s">
        <v>1</v>
      </c>
      <c r="BQ189" t="s">
        <v>1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0</v>
      </c>
      <c r="BX189" t="s">
        <v>1</v>
      </c>
      <c r="BY189" t="s">
        <v>1</v>
      </c>
      <c r="BZ189" t="s">
        <v>1</v>
      </c>
      <c r="CA189" t="s">
        <v>1</v>
      </c>
      <c r="CB189" t="s">
        <v>1</v>
      </c>
      <c r="CD189" t="str" cm="1">
        <f t="array" aca="1" ref="CD189" ca="1">eConcatenar(A189:CB189,"|")</f>
        <v>Vn7EhXSz0ZdyyFOE|CAR2021-6043|3|MEMORIAL|TABASCO|CARDENAS|CARDENAS|2021-11-10|14800|X|100|50|2|0|0|0|0|0|0|0|0|0|0|0|0|0|0|MENDEZ|RIVERA|ADAN|SOLTERO|X|X|CALLE 3 NUMERO 96|POBLADO C-16 EMILIANO ZAPATA|X|9371670197|X|X|X|CALLE 3 NUMERO 96|X|LUNES|X|X|X|X|X|DOMICILIO |5100|9700|x|x|x|2022-01-15|2022-01-22|x|x|x|x|x|TGYGIVCAZFPUVXE|x|HOMBRE|X|14800|X|X|X|X|X|X|X|X|CARDENAS|X|X|X|X|X</v>
      </c>
    </row>
    <row r="190" spans="1:82" x14ac:dyDescent="0.25">
      <c r="A190" t="s">
        <v>324</v>
      </c>
      <c r="B190" t="s">
        <v>635</v>
      </c>
      <c r="C190">
        <v>3</v>
      </c>
      <c r="D190" t="s">
        <v>761</v>
      </c>
      <c r="E190" t="s">
        <v>1398</v>
      </c>
      <c r="F190" t="s">
        <v>0</v>
      </c>
      <c r="G190" t="s">
        <v>0</v>
      </c>
      <c r="H190" t="s">
        <v>902</v>
      </c>
      <c r="I190">
        <v>14800</v>
      </c>
      <c r="J190" t="s">
        <v>1</v>
      </c>
      <c r="K190">
        <v>200</v>
      </c>
      <c r="L190">
        <v>50</v>
      </c>
      <c r="M190">
        <v>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1185</v>
      </c>
      <c r="AC190" t="s">
        <v>1231</v>
      </c>
      <c r="AD190" s="18" t="s">
        <v>1139</v>
      </c>
      <c r="AE190" t="s">
        <v>4</v>
      </c>
      <c r="AF190" t="s">
        <v>1</v>
      </c>
      <c r="AG190" t="s">
        <v>1</v>
      </c>
      <c r="AH190" t="s">
        <v>1560</v>
      </c>
      <c r="AI190" t="s">
        <v>1778</v>
      </c>
      <c r="AJ190" t="s">
        <v>1</v>
      </c>
      <c r="AK190">
        <v>9371060963</v>
      </c>
      <c r="AL190" t="s">
        <v>1</v>
      </c>
      <c r="AM190" t="s">
        <v>1</v>
      </c>
      <c r="AN190" t="s">
        <v>1</v>
      </c>
      <c r="AO190" t="s">
        <v>1560</v>
      </c>
      <c r="AP190" t="s">
        <v>1</v>
      </c>
      <c r="AQ190" t="s">
        <v>2</v>
      </c>
      <c r="AR190" t="s">
        <v>1</v>
      </c>
      <c r="AS190" t="s">
        <v>1</v>
      </c>
      <c r="AT190" t="s">
        <v>1</v>
      </c>
      <c r="AU190" t="s">
        <v>1</v>
      </c>
      <c r="AV190" t="s">
        <v>1</v>
      </c>
      <c r="AW190" t="s">
        <v>11</v>
      </c>
      <c r="AX190">
        <f>Tabla1[[#This Row],[precio del paquete]]-Tabla1[[#This Row],[Saldo_Deudor]]</f>
        <v>600</v>
      </c>
      <c r="AY190">
        <v>14200</v>
      </c>
      <c r="AZ190" t="s">
        <v>3</v>
      </c>
      <c r="BA190" t="s">
        <v>3</v>
      </c>
      <c r="BB190" t="s">
        <v>3</v>
      </c>
      <c r="BC190" t="s">
        <v>959</v>
      </c>
      <c r="BD190" t="s">
        <v>1861</v>
      </c>
      <c r="BE190" t="s">
        <v>3</v>
      </c>
      <c r="BF190" t="s">
        <v>3</v>
      </c>
      <c r="BG190" t="s">
        <v>3</v>
      </c>
      <c r="BH190" t="s">
        <v>3</v>
      </c>
      <c r="BI190" t="s">
        <v>3</v>
      </c>
      <c r="BJ190" t="s">
        <v>1942</v>
      </c>
      <c r="BK190" t="s">
        <v>3</v>
      </c>
      <c r="BL190" t="s">
        <v>132</v>
      </c>
      <c r="BM190" t="s">
        <v>1</v>
      </c>
      <c r="BN190">
        <f>Tabla1[[#This Row],[precio del paquete]]</f>
        <v>14800</v>
      </c>
      <c r="BO190" t="s">
        <v>1</v>
      </c>
      <c r="BP190" t="s">
        <v>1</v>
      </c>
      <c r="BQ190" t="s">
        <v>1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0</v>
      </c>
      <c r="BX190" t="s">
        <v>1</v>
      </c>
      <c r="BY190" t="s">
        <v>1</v>
      </c>
      <c r="BZ190" t="s">
        <v>1</v>
      </c>
      <c r="CA190" t="s">
        <v>1</v>
      </c>
      <c r="CB190" t="s">
        <v>1</v>
      </c>
      <c r="CD190" t="str" cm="1">
        <f t="array" aca="1" ref="CD190" ca="1">eConcatenar(A190:CB190,"|")</f>
        <v>ynIu92D5BA7d73Df|CAR2021-6651|3|MEMORIAL|TABASCO|CARDENAS|CARDENAS|2021-04-10|14800|X|200|50|2|0|0|0|0|0|0|0|0|0|0|0|0|0|0|RODRIGUEZ|TORRES|LUIS ENRIQUE|SOLTERO|X|X|CALLE LA LLORONA SIN NUMERO|COLONIA EL SUSPIRO|X|9371060963|X|X|X|CALLE LA LLORONA SIN NUMERO|X|LUNES|X|X|X|X|X|DOMICILIO |600|14200|x|x|x|2021-12-23|2021-12-30|x|x|x|x|x|TGYGIVCAZFPUVXE|x|HOMBRE|X|14800|X|X|X|X|X|X|X|X|CARDENAS|X|X|X|X|X</v>
      </c>
    </row>
    <row r="191" spans="1:82" x14ac:dyDescent="0.25">
      <c r="A191" t="s">
        <v>325</v>
      </c>
      <c r="B191" t="s">
        <v>636</v>
      </c>
      <c r="C191">
        <v>3</v>
      </c>
      <c r="D191" t="s">
        <v>761</v>
      </c>
      <c r="E191" t="s">
        <v>1398</v>
      </c>
      <c r="F191" t="s">
        <v>0</v>
      </c>
      <c r="G191" t="s">
        <v>0</v>
      </c>
      <c r="H191" t="s">
        <v>886</v>
      </c>
      <c r="I191">
        <v>14800</v>
      </c>
      <c r="J191" t="s">
        <v>1</v>
      </c>
      <c r="K191">
        <v>100</v>
      </c>
      <c r="L191">
        <v>50</v>
      </c>
      <c r="M191">
        <v>2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1228</v>
      </c>
      <c r="AC191" t="s">
        <v>1247</v>
      </c>
      <c r="AD191" s="18" t="s">
        <v>1140</v>
      </c>
      <c r="AE191" t="s">
        <v>4</v>
      </c>
      <c r="AF191" t="s">
        <v>1</v>
      </c>
      <c r="AG191" t="s">
        <v>1</v>
      </c>
      <c r="AH191" t="s">
        <v>1561</v>
      </c>
      <c r="AI191" t="s">
        <v>1763</v>
      </c>
      <c r="AJ191" t="s">
        <v>1</v>
      </c>
      <c r="AK191">
        <v>9371097917</v>
      </c>
      <c r="AL191" t="s">
        <v>1</v>
      </c>
      <c r="AM191" t="s">
        <v>1</v>
      </c>
      <c r="AN191" t="s">
        <v>1</v>
      </c>
      <c r="AO191" t="s">
        <v>1561</v>
      </c>
      <c r="AP191" t="s">
        <v>1</v>
      </c>
      <c r="AQ191" t="s">
        <v>2</v>
      </c>
      <c r="AR191" t="s">
        <v>1</v>
      </c>
      <c r="AS191" t="s">
        <v>1</v>
      </c>
      <c r="AT191" t="s">
        <v>1</v>
      </c>
      <c r="AU191" t="s">
        <v>1</v>
      </c>
      <c r="AV191" t="s">
        <v>1</v>
      </c>
      <c r="AW191" t="s">
        <v>11</v>
      </c>
      <c r="AX191">
        <f>Tabla1[[#This Row],[precio del paquete]]-Tabla1[[#This Row],[Saldo_Deudor]]</f>
        <v>700</v>
      </c>
      <c r="AY191">
        <v>14100</v>
      </c>
      <c r="AZ191" t="s">
        <v>3</v>
      </c>
      <c r="BA191" t="s">
        <v>3</v>
      </c>
      <c r="BB191" t="s">
        <v>3</v>
      </c>
      <c r="BC191" t="s">
        <v>1835</v>
      </c>
      <c r="BD191" t="s">
        <v>1880</v>
      </c>
      <c r="BE191" t="s">
        <v>3</v>
      </c>
      <c r="BF191" t="s">
        <v>3</v>
      </c>
      <c r="BG191" t="s">
        <v>3</v>
      </c>
      <c r="BH191" t="s">
        <v>3</v>
      </c>
      <c r="BI191" t="s">
        <v>3</v>
      </c>
      <c r="BJ191" t="s">
        <v>1942</v>
      </c>
      <c r="BK191" t="s">
        <v>3</v>
      </c>
      <c r="BL191" t="s">
        <v>132</v>
      </c>
      <c r="BM191" t="s">
        <v>1</v>
      </c>
      <c r="BN191">
        <f>Tabla1[[#This Row],[precio del paquete]]</f>
        <v>14800</v>
      </c>
      <c r="BO191" t="s">
        <v>1</v>
      </c>
      <c r="BP191" t="s">
        <v>1</v>
      </c>
      <c r="BQ191" t="s">
        <v>1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0</v>
      </c>
      <c r="BX191" t="s">
        <v>1</v>
      </c>
      <c r="BY191" t="s">
        <v>1</v>
      </c>
      <c r="BZ191" t="s">
        <v>1</v>
      </c>
      <c r="CA191" t="s">
        <v>1</v>
      </c>
      <c r="CB191" t="s">
        <v>1</v>
      </c>
      <c r="CD191" t="str" cm="1">
        <f t="array" aca="1" ref="CD191" ca="1">eConcatenar(A191:CB191,"|")</f>
        <v>E6b5wyHgKTYk4x9B|CAR2021-6882|3|MEMORIAL|TABASCO|CARDENAS|CARDENAS|2021-11-13|14800|X|100|50|2|0|0|0|0|0|0|0|0|0|0|0|0|0|0|RAMOS|SANCHEZ|ODILA|SOLTERO|X|X|CALLE LAZARO CARDENAS MANZANA 17 LOTE 6|POBLADO C-9 LICENCIADO FRANCISCO I MADERO|X|9371097917|X|X|X|CALLE LAZARO CARDENAS MANZANA 17 LOTE 6|X|LUNES|X|X|X|X|X|DOMICILIO |700|14100|x|x|x|2022-05-02|2022-05-09|x|x|x|x|x|TGYGIVCAZFPUVXE|x|HOMBRE|X|14800|X|X|X|X|X|X|X|X|CARDENAS|X|X|X|X|X</v>
      </c>
    </row>
    <row r="192" spans="1:82" x14ac:dyDescent="0.25">
      <c r="A192" t="s">
        <v>326</v>
      </c>
      <c r="B192" t="s">
        <v>637</v>
      </c>
      <c r="C192">
        <v>3</v>
      </c>
      <c r="D192" t="s">
        <v>766</v>
      </c>
      <c r="E192" t="s">
        <v>1398</v>
      </c>
      <c r="F192" t="s">
        <v>0</v>
      </c>
      <c r="G192" t="s">
        <v>0</v>
      </c>
      <c r="H192" t="s">
        <v>903</v>
      </c>
      <c r="I192">
        <v>12900</v>
      </c>
      <c r="J192" t="s">
        <v>1</v>
      </c>
      <c r="K192">
        <v>200</v>
      </c>
      <c r="L192">
        <v>50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7</v>
      </c>
      <c r="AC192" t="s">
        <v>1348</v>
      </c>
      <c r="AD192" s="18" t="s">
        <v>1141</v>
      </c>
      <c r="AE192" t="s">
        <v>4</v>
      </c>
      <c r="AF192" t="s">
        <v>1</v>
      </c>
      <c r="AG192" t="s">
        <v>1</v>
      </c>
      <c r="AH192" t="s">
        <v>1562</v>
      </c>
      <c r="AI192" t="s">
        <v>1779</v>
      </c>
      <c r="AJ192" t="s">
        <v>1</v>
      </c>
      <c r="AK192">
        <v>9371016055</v>
      </c>
      <c r="AL192" t="s">
        <v>1</v>
      </c>
      <c r="AM192" t="s">
        <v>1</v>
      </c>
      <c r="AN192" t="s">
        <v>1</v>
      </c>
      <c r="AO192" t="s">
        <v>1562</v>
      </c>
      <c r="AP192" t="s">
        <v>1</v>
      </c>
      <c r="AQ192" t="s">
        <v>2</v>
      </c>
      <c r="AR192" t="s">
        <v>1</v>
      </c>
      <c r="AS192" t="s">
        <v>1</v>
      </c>
      <c r="AT192" t="s">
        <v>1</v>
      </c>
      <c r="AU192" t="s">
        <v>1</v>
      </c>
      <c r="AV192" t="s">
        <v>1</v>
      </c>
      <c r="AW192" t="s">
        <v>11</v>
      </c>
      <c r="AX192">
        <f>Tabla1[[#This Row],[precio del paquete]]-Tabla1[[#This Row],[Saldo_Deudor]]</f>
        <v>2700</v>
      </c>
      <c r="AY192">
        <v>10200</v>
      </c>
      <c r="AZ192" t="s">
        <v>3</v>
      </c>
      <c r="BA192" t="s">
        <v>3</v>
      </c>
      <c r="BB192" t="s">
        <v>3</v>
      </c>
      <c r="BC192" t="s">
        <v>824</v>
      </c>
      <c r="BD192" t="s">
        <v>1923</v>
      </c>
      <c r="BE192" t="s">
        <v>3</v>
      </c>
      <c r="BF192" t="s">
        <v>3</v>
      </c>
      <c r="BG192" t="s">
        <v>3</v>
      </c>
      <c r="BH192" t="s">
        <v>3</v>
      </c>
      <c r="BI192" t="s">
        <v>3</v>
      </c>
      <c r="BJ192" t="s">
        <v>1943</v>
      </c>
      <c r="BK192" t="s">
        <v>3</v>
      </c>
      <c r="BL192" t="s">
        <v>132</v>
      </c>
      <c r="BM192" t="s">
        <v>1</v>
      </c>
      <c r="BN192">
        <f>Tabla1[[#This Row],[precio del paquete]]</f>
        <v>12900</v>
      </c>
      <c r="BO192" t="s">
        <v>1</v>
      </c>
      <c r="BP192" t="s">
        <v>1</v>
      </c>
      <c r="BQ192" t="s">
        <v>1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0</v>
      </c>
      <c r="BX192" t="s">
        <v>1</v>
      </c>
      <c r="BY192" t="s">
        <v>1</v>
      </c>
      <c r="BZ192" t="s">
        <v>1</v>
      </c>
      <c r="CA192" t="s">
        <v>1</v>
      </c>
      <c r="CB192" t="s">
        <v>1</v>
      </c>
      <c r="CD192" t="str" cm="1">
        <f t="array" aca="1" ref="CD192" ca="1">eConcatenar(A192:CB192,"|")</f>
        <v>QScO5RgGBrtgDShz|CAR2020-1673|3|ECONOLINE|TABASCO|CARDENAS|CARDENAS|2020-07-18|12900|X|200|50|0|0|0|0|0|0|0|0|0|0|0|0|0|0|0|LOPEZ|MARCHENA|CLAUDIA|SOLTERO|X|X|CARRETERA PERIFERICO CARLOS MOLINA|COLONIA 7 DE OCTUBRE|X|9371016055|X|X|X|CARRETERA PERIFERICO CARLOS MOLINA|X|LUNES|X|X|X|X|X|DOMICILIO |2700|10200|x|x|x|2021-06-17|2021-06-24|x|x|x|x|x|XJ7NCYLLDZFLMWF|x|HOMBRE|X|12900|X|X|X|X|X|X|X|X|CARDENAS|X|X|X|X|X</v>
      </c>
    </row>
    <row r="193" spans="1:82" x14ac:dyDescent="0.25">
      <c r="A193" t="s">
        <v>327</v>
      </c>
      <c r="B193" t="s">
        <v>638</v>
      </c>
      <c r="C193">
        <v>3</v>
      </c>
      <c r="D193" t="s">
        <v>766</v>
      </c>
      <c r="E193" t="s">
        <v>1398</v>
      </c>
      <c r="F193" t="s">
        <v>0</v>
      </c>
      <c r="G193" t="s">
        <v>0</v>
      </c>
      <c r="H193" t="s">
        <v>903</v>
      </c>
      <c r="I193">
        <v>12900</v>
      </c>
      <c r="J193" t="s">
        <v>1</v>
      </c>
      <c r="K193">
        <v>100</v>
      </c>
      <c r="L193">
        <v>50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1266</v>
      </c>
      <c r="AC193" t="s">
        <v>1265</v>
      </c>
      <c r="AD193" s="18" t="s">
        <v>1090</v>
      </c>
      <c r="AE193" t="s">
        <v>4</v>
      </c>
      <c r="AF193" t="s">
        <v>1</v>
      </c>
      <c r="AG193" t="s">
        <v>1</v>
      </c>
      <c r="AH193" t="s">
        <v>1563</v>
      </c>
      <c r="AI193" t="s">
        <v>1669</v>
      </c>
      <c r="AJ193" t="s">
        <v>1</v>
      </c>
      <c r="AK193">
        <v>9372276099</v>
      </c>
      <c r="AL193" t="s">
        <v>1</v>
      </c>
      <c r="AM193" t="s">
        <v>1</v>
      </c>
      <c r="AN193" t="s">
        <v>1</v>
      </c>
      <c r="AO193" t="s">
        <v>1563</v>
      </c>
      <c r="AP193" t="s">
        <v>1</v>
      </c>
      <c r="AQ193" t="s">
        <v>2</v>
      </c>
      <c r="AR193" t="s">
        <v>1</v>
      </c>
      <c r="AS193" t="s">
        <v>1</v>
      </c>
      <c r="AT193" t="s">
        <v>1</v>
      </c>
      <c r="AU193" t="s">
        <v>1</v>
      </c>
      <c r="AV193" t="s">
        <v>1</v>
      </c>
      <c r="AW193" t="s">
        <v>11</v>
      </c>
      <c r="AX193">
        <f>Tabla1[[#This Row],[precio del paquete]]-Tabla1[[#This Row],[Saldo_Deudor]]</f>
        <v>2400</v>
      </c>
      <c r="AY193">
        <v>10500</v>
      </c>
      <c r="AZ193" t="s">
        <v>3</v>
      </c>
      <c r="BA193" t="s">
        <v>3</v>
      </c>
      <c r="BB193" t="s">
        <v>3</v>
      </c>
      <c r="BC193" t="s">
        <v>824</v>
      </c>
      <c r="BD193" t="s">
        <v>1923</v>
      </c>
      <c r="BE193" t="s">
        <v>3</v>
      </c>
      <c r="BF193" t="s">
        <v>3</v>
      </c>
      <c r="BG193" t="s">
        <v>3</v>
      </c>
      <c r="BH193" t="s">
        <v>3</v>
      </c>
      <c r="BI193" t="s">
        <v>3</v>
      </c>
      <c r="BJ193" t="s">
        <v>1943</v>
      </c>
      <c r="BK193" t="s">
        <v>3</v>
      </c>
      <c r="BL193" t="s">
        <v>132</v>
      </c>
      <c r="BM193" t="s">
        <v>1</v>
      </c>
      <c r="BN193">
        <f>Tabla1[[#This Row],[precio del paquete]]</f>
        <v>12900</v>
      </c>
      <c r="BO193" t="s">
        <v>1</v>
      </c>
      <c r="BP193" t="s">
        <v>1</v>
      </c>
      <c r="BQ193" t="s">
        <v>1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0</v>
      </c>
      <c r="BX193" t="s">
        <v>1</v>
      </c>
      <c r="BY193" t="s">
        <v>1</v>
      </c>
      <c r="BZ193" t="s">
        <v>1</v>
      </c>
      <c r="CA193" t="s">
        <v>1</v>
      </c>
      <c r="CB193" t="s">
        <v>1</v>
      </c>
      <c r="CD193" t="str" cm="1">
        <f t="array" aca="1" ref="CD193" ca="1">eConcatenar(A193:CB193,"|")</f>
        <v>KwBLySQwIQJg88uA|CAR2020-1667|3|ECONOLINE|TABASCO|CARDENAS|CARDENAS|2020-07-18|12900|X|100|50|0|0|0|0|0|0|0|0|0|0|0|0|0|0|0|HERNANDEZ|DOMINGUEZ|MARIA DEL CARMEN|SOLTERO|X|X|CALLE FRANBOYANES LOS A|COLONIA SANTA MARIA DE GUADALUPE|X|9372276099|X|X|X|CALLE FRANBOYANES LOS A|X|LUNES|X|X|X|X|X|DOMICILIO |2400|10500|x|x|x|2021-06-17|2021-06-24|x|x|x|x|x|XJ7NCYLLDZFLMWF|x|HOMBRE|X|12900|X|X|X|X|X|X|X|X|CARDENAS|X|X|X|X|X</v>
      </c>
    </row>
    <row r="194" spans="1:82" x14ac:dyDescent="0.25">
      <c r="A194" t="s">
        <v>328</v>
      </c>
      <c r="B194" t="s">
        <v>639</v>
      </c>
      <c r="C194">
        <v>3</v>
      </c>
      <c r="D194" t="s">
        <v>766</v>
      </c>
      <c r="E194" t="s">
        <v>1398</v>
      </c>
      <c r="F194" t="s">
        <v>0</v>
      </c>
      <c r="G194" t="s">
        <v>0</v>
      </c>
      <c r="H194" t="s">
        <v>904</v>
      </c>
      <c r="I194">
        <v>12900</v>
      </c>
      <c r="J194" t="s">
        <v>1</v>
      </c>
      <c r="K194">
        <v>100</v>
      </c>
      <c r="L194">
        <v>50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1254</v>
      </c>
      <c r="AC194" t="s">
        <v>1248</v>
      </c>
      <c r="AD194" s="18" t="s">
        <v>1142</v>
      </c>
      <c r="AE194" t="s">
        <v>4</v>
      </c>
      <c r="AF194" t="s">
        <v>1</v>
      </c>
      <c r="AG194" t="s">
        <v>1</v>
      </c>
      <c r="AH194" t="s">
        <v>1564</v>
      </c>
      <c r="AI194" t="s">
        <v>1780</v>
      </c>
      <c r="AJ194" t="s">
        <v>1</v>
      </c>
      <c r="AK194">
        <v>9371906003</v>
      </c>
      <c r="AL194" t="s">
        <v>1</v>
      </c>
      <c r="AM194" t="s">
        <v>1</v>
      </c>
      <c r="AN194" t="s">
        <v>1</v>
      </c>
      <c r="AO194" t="s">
        <v>1564</v>
      </c>
      <c r="AP194" t="s">
        <v>1</v>
      </c>
      <c r="AQ194" t="s">
        <v>2</v>
      </c>
      <c r="AR194" t="s">
        <v>1</v>
      </c>
      <c r="AS194" t="s">
        <v>1</v>
      </c>
      <c r="AT194" t="s">
        <v>1</v>
      </c>
      <c r="AU194" t="s">
        <v>1</v>
      </c>
      <c r="AV194" t="s">
        <v>1</v>
      </c>
      <c r="AW194" t="s">
        <v>11</v>
      </c>
      <c r="AX194">
        <f>Tabla1[[#This Row],[precio del paquete]]-Tabla1[[#This Row],[Saldo_Deudor]]</f>
        <v>2800</v>
      </c>
      <c r="AY194">
        <v>10100</v>
      </c>
      <c r="AZ194" t="s">
        <v>3</v>
      </c>
      <c r="BA194" t="s">
        <v>3</v>
      </c>
      <c r="BB194" t="s">
        <v>3</v>
      </c>
      <c r="BC194" t="s">
        <v>1868</v>
      </c>
      <c r="BD194" t="s">
        <v>901</v>
      </c>
      <c r="BE194" t="s">
        <v>3</v>
      </c>
      <c r="BF194" t="s">
        <v>3</v>
      </c>
      <c r="BG194" t="s">
        <v>3</v>
      </c>
      <c r="BH194" t="s">
        <v>3</v>
      </c>
      <c r="BI194" t="s">
        <v>3</v>
      </c>
      <c r="BJ194" t="s">
        <v>1943</v>
      </c>
      <c r="BK194" t="s">
        <v>3</v>
      </c>
      <c r="BL194" t="s">
        <v>132</v>
      </c>
      <c r="BM194" t="s">
        <v>1</v>
      </c>
      <c r="BN194">
        <f>Tabla1[[#This Row],[precio del paquete]]</f>
        <v>12900</v>
      </c>
      <c r="BO194" t="s">
        <v>1</v>
      </c>
      <c r="BP194" t="s">
        <v>1</v>
      </c>
      <c r="BQ194" t="s">
        <v>1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0</v>
      </c>
      <c r="BX194" t="s">
        <v>1</v>
      </c>
      <c r="BY194" t="s">
        <v>1</v>
      </c>
      <c r="BZ194" t="s">
        <v>1</v>
      </c>
      <c r="CA194" t="s">
        <v>1</v>
      </c>
      <c r="CB194" t="s">
        <v>1</v>
      </c>
      <c r="CD194" t="str" cm="1">
        <f t="array" aca="1" ref="CD194" ca="1">eConcatenar(A194:CB194,"|")</f>
        <v>UOCU08QrxcOO3iZs|CAR2020-1461|3|ECONOLINE|TABASCO|CARDENAS|CARDENAS|2020-11-07|12900|X|100|50|0|0|0|0|0|0|0|0|0|0|0|0|0|0|0|LAZARO|PEREZ|ALADES|SOLTERO|X|X|CALLE TRIANO CUARTA ENTRADA DE LA IGLESIA|FRACCIONAMIENTO BAJIO SEGUNDA SECCION|X|9371906003|X|X|X|CALLE TRIANO CUARTA ENTRADA DE LA IGLESIA|X|LUNES|X|X|X|X|X|DOMICILIO |2800|10100|x|x|x|2021-11-03|2021-11-10|x|x|x|x|x|XJ7NCYLLDZFLMWF|x|HOMBRE|X|12900|X|X|X|X|X|X|X|X|CARDENAS|X|X|X|X|X</v>
      </c>
    </row>
    <row r="195" spans="1:82" x14ac:dyDescent="0.25">
      <c r="A195" t="s">
        <v>329</v>
      </c>
      <c r="B195" t="s">
        <v>640</v>
      </c>
      <c r="C195">
        <v>3</v>
      </c>
      <c r="D195" t="s">
        <v>766</v>
      </c>
      <c r="E195" t="s">
        <v>1398</v>
      </c>
      <c r="F195" t="s">
        <v>0</v>
      </c>
      <c r="G195" t="s">
        <v>0</v>
      </c>
      <c r="H195" t="s">
        <v>905</v>
      </c>
      <c r="I195">
        <v>12900</v>
      </c>
      <c r="J195" t="s">
        <v>1</v>
      </c>
      <c r="K195">
        <v>100</v>
      </c>
      <c r="L195">
        <v>50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1349</v>
      </c>
      <c r="AC195" t="s">
        <v>1250</v>
      </c>
      <c r="AD195" s="18" t="s">
        <v>1143</v>
      </c>
      <c r="AE195" t="s">
        <v>4</v>
      </c>
      <c r="AF195" t="s">
        <v>1</v>
      </c>
      <c r="AG195" t="s">
        <v>1</v>
      </c>
      <c r="AH195" t="s">
        <v>1565</v>
      </c>
      <c r="AI195" t="s">
        <v>1669</v>
      </c>
      <c r="AJ195" t="s">
        <v>1</v>
      </c>
      <c r="AK195">
        <v>9371093181</v>
      </c>
      <c r="AL195" t="s">
        <v>1</v>
      </c>
      <c r="AM195" t="s">
        <v>1</v>
      </c>
      <c r="AN195" t="s">
        <v>1</v>
      </c>
      <c r="AO195" t="s">
        <v>1565</v>
      </c>
      <c r="AP195" t="s">
        <v>1</v>
      </c>
      <c r="AQ195" t="s">
        <v>2</v>
      </c>
      <c r="AR195" t="s">
        <v>1</v>
      </c>
      <c r="AS195" t="s">
        <v>1</v>
      </c>
      <c r="AT195" t="s">
        <v>1</v>
      </c>
      <c r="AU195" t="s">
        <v>1</v>
      </c>
      <c r="AV195" t="s">
        <v>1</v>
      </c>
      <c r="AW195" t="s">
        <v>11</v>
      </c>
      <c r="AX195">
        <f>Tabla1[[#This Row],[precio del paquete]]-Tabla1[[#This Row],[Saldo_Deudor]]</f>
        <v>5040</v>
      </c>
      <c r="AY195">
        <v>7860</v>
      </c>
      <c r="AZ195" t="s">
        <v>3</v>
      </c>
      <c r="BA195" t="s">
        <v>3</v>
      </c>
      <c r="BB195" t="s">
        <v>3</v>
      </c>
      <c r="BC195" t="s">
        <v>1869</v>
      </c>
      <c r="BD195" t="s">
        <v>1924</v>
      </c>
      <c r="BE195" t="s">
        <v>3</v>
      </c>
      <c r="BF195" t="s">
        <v>3</v>
      </c>
      <c r="BG195" t="s">
        <v>3</v>
      </c>
      <c r="BH195" t="s">
        <v>3</v>
      </c>
      <c r="BI195" t="s">
        <v>3</v>
      </c>
      <c r="BJ195" t="s">
        <v>1943</v>
      </c>
      <c r="BK195" t="s">
        <v>3</v>
      </c>
      <c r="BL195" t="s">
        <v>132</v>
      </c>
      <c r="BM195" t="s">
        <v>1</v>
      </c>
      <c r="BN195">
        <f>Tabla1[[#This Row],[precio del paquete]]</f>
        <v>12900</v>
      </c>
      <c r="BO195" t="s">
        <v>1</v>
      </c>
      <c r="BP195" t="s">
        <v>1</v>
      </c>
      <c r="BQ195" t="s">
        <v>1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0</v>
      </c>
      <c r="BX195" t="s">
        <v>1</v>
      </c>
      <c r="BY195" t="s">
        <v>1</v>
      </c>
      <c r="BZ195" t="s">
        <v>1</v>
      </c>
      <c r="CA195" t="s">
        <v>1</v>
      </c>
      <c r="CB195" t="s">
        <v>1</v>
      </c>
      <c r="CD195" t="str" cm="1">
        <f t="array" aca="1" ref="CD195" ca="1">eConcatenar(A195:CB195,"|")</f>
        <v>PhIMfHveNcTlwQNk|CAR2020-2225|3|ECONOLINE|TABASCO|CARDENAS|CARDENAS|2020-06-08|12900|X|100|50|0|0|0|0|0|0|0|0|0|0|0|0|0|0|0|LUNA|AGUILAR|BEATRIZ ADRIANA|SOLTERO|X|X|FRENTE A LA FISCALIA|COLONIA SANTA MARIA DE GUADALUPE|X|9371093181|X|X|X|FRENTE A LA FISCALIA|X|LUNES|X|X|X|X|X|DOMICILIO |5040|7860|x|x|x|2021-05-08|2021-05-15|x|x|x|x|x|XJ7NCYLLDZFLMWF|x|HOMBRE|X|12900|X|X|X|X|X|X|X|X|CARDENAS|X|X|X|X|X</v>
      </c>
    </row>
    <row r="196" spans="1:82" x14ac:dyDescent="0.25">
      <c r="A196" t="s">
        <v>330</v>
      </c>
      <c r="B196" t="s">
        <v>641</v>
      </c>
      <c r="C196">
        <v>3</v>
      </c>
      <c r="D196" t="s">
        <v>766</v>
      </c>
      <c r="E196" t="s">
        <v>1398</v>
      </c>
      <c r="F196" t="s">
        <v>0</v>
      </c>
      <c r="G196" t="s">
        <v>0</v>
      </c>
      <c r="H196" t="s">
        <v>906</v>
      </c>
      <c r="I196">
        <v>12900</v>
      </c>
      <c r="J196" t="s">
        <v>1</v>
      </c>
      <c r="K196">
        <v>50</v>
      </c>
      <c r="L196">
        <v>50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1350</v>
      </c>
      <c r="AC196" t="s">
        <v>1297</v>
      </c>
      <c r="AD196" s="18" t="s">
        <v>1144</v>
      </c>
      <c r="AE196" t="s">
        <v>4</v>
      </c>
      <c r="AF196" t="s">
        <v>1</v>
      </c>
      <c r="AG196" t="s">
        <v>1</v>
      </c>
      <c r="AH196" t="s">
        <v>1566</v>
      </c>
      <c r="AI196" t="s">
        <v>1566</v>
      </c>
      <c r="AJ196" t="s">
        <v>1</v>
      </c>
      <c r="AK196">
        <v>9371462132</v>
      </c>
      <c r="AL196" t="s">
        <v>1</v>
      </c>
      <c r="AM196" t="s">
        <v>1</v>
      </c>
      <c r="AN196" t="s">
        <v>1</v>
      </c>
      <c r="AO196" t="s">
        <v>1566</v>
      </c>
      <c r="AP196" t="s">
        <v>1</v>
      </c>
      <c r="AQ196" t="s">
        <v>2</v>
      </c>
      <c r="AR196" t="s">
        <v>1</v>
      </c>
      <c r="AS196" t="s">
        <v>1</v>
      </c>
      <c r="AT196" t="s">
        <v>1</v>
      </c>
      <c r="AU196" t="s">
        <v>1</v>
      </c>
      <c r="AV196" t="s">
        <v>1</v>
      </c>
      <c r="AW196" t="s">
        <v>11</v>
      </c>
      <c r="AX196">
        <f>Tabla1[[#This Row],[precio del paquete]]-Tabla1[[#This Row],[Saldo_Deudor]]</f>
        <v>3350</v>
      </c>
      <c r="AY196">
        <v>9550</v>
      </c>
      <c r="AZ196" t="s">
        <v>3</v>
      </c>
      <c r="BA196" t="s">
        <v>3</v>
      </c>
      <c r="BB196" t="s">
        <v>3</v>
      </c>
      <c r="BC196" t="s">
        <v>895</v>
      </c>
      <c r="BD196" t="s">
        <v>1925</v>
      </c>
      <c r="BE196" t="s">
        <v>3</v>
      </c>
      <c r="BF196" t="s">
        <v>3</v>
      </c>
      <c r="BG196" t="s">
        <v>3</v>
      </c>
      <c r="BH196" t="s">
        <v>3</v>
      </c>
      <c r="BI196" t="s">
        <v>3</v>
      </c>
      <c r="BJ196" t="s">
        <v>1943</v>
      </c>
      <c r="BK196" t="s">
        <v>3</v>
      </c>
      <c r="BL196" t="s">
        <v>132</v>
      </c>
      <c r="BM196" t="s">
        <v>1</v>
      </c>
      <c r="BN196">
        <f>Tabla1[[#This Row],[precio del paquete]]</f>
        <v>12900</v>
      </c>
      <c r="BO196" t="s">
        <v>1</v>
      </c>
      <c r="BP196" t="s">
        <v>1</v>
      </c>
      <c r="BQ196" t="s">
        <v>1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0</v>
      </c>
      <c r="BX196" t="s">
        <v>1</v>
      </c>
      <c r="BY196" t="s">
        <v>1</v>
      </c>
      <c r="BZ196" t="s">
        <v>1</v>
      </c>
      <c r="CA196" t="s">
        <v>1</v>
      </c>
      <c r="CB196" t="s">
        <v>1</v>
      </c>
      <c r="CD196" t="str" cm="1">
        <f t="array" aca="1" ref="CD196" ca="1">eConcatenar(A196:CB196,"|")</f>
        <v>wRa8wiswb84xjCOU|CAR2020-1613|3|ECONOLINE|TABASCO|CARDENAS|CARDENAS|2020-07-15|12900|X|50|50|0|0|0|0|0|0|0|0|0|0|0|0|0|0|0|VELAZQUEZ|MAYO|NORMA EDITH|SOLTERO|X|X|COLONIA EMILIANO ZAPATA|COLONIA EMILIANO ZAPATA|X|9371462132|X|X|X|COLONIA EMILIANO ZAPATA|X|LUNES|X|X|X|X|X|DOMICILIO |3350|9550|x|x|x|2021-04-11|2021-04-18|x|x|x|x|x|XJ7NCYLLDZFLMWF|x|HOMBRE|X|12900|X|X|X|X|X|X|X|X|CARDENAS|X|X|X|X|X</v>
      </c>
    </row>
    <row r="197" spans="1:82" x14ac:dyDescent="0.25">
      <c r="A197" t="s">
        <v>331</v>
      </c>
      <c r="B197" t="s">
        <v>642</v>
      </c>
      <c r="C197">
        <v>3</v>
      </c>
      <c r="D197" t="s">
        <v>763</v>
      </c>
      <c r="E197" t="s">
        <v>1398</v>
      </c>
      <c r="F197" t="s">
        <v>0</v>
      </c>
      <c r="G197" t="s">
        <v>0</v>
      </c>
      <c r="H197" t="s">
        <v>907</v>
      </c>
      <c r="I197">
        <v>12900</v>
      </c>
      <c r="J197" t="s">
        <v>1</v>
      </c>
      <c r="K197">
        <v>200</v>
      </c>
      <c r="L197">
        <v>50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1351</v>
      </c>
      <c r="AC197" t="s">
        <v>1267</v>
      </c>
      <c r="AD197" s="18" t="s">
        <v>1145</v>
      </c>
      <c r="AE197" t="s">
        <v>4</v>
      </c>
      <c r="AF197" t="s">
        <v>1</v>
      </c>
      <c r="AG197" t="s">
        <v>1</v>
      </c>
      <c r="AH197" t="s">
        <v>1567</v>
      </c>
      <c r="AI197" t="s">
        <v>1670</v>
      </c>
      <c r="AJ197" t="s">
        <v>1</v>
      </c>
      <c r="AK197">
        <v>9371670216</v>
      </c>
      <c r="AL197" t="s">
        <v>1</v>
      </c>
      <c r="AM197" t="s">
        <v>1</v>
      </c>
      <c r="AN197" t="s">
        <v>1</v>
      </c>
      <c r="AO197" t="s">
        <v>1567</v>
      </c>
      <c r="AP197" t="s">
        <v>1</v>
      </c>
      <c r="AQ197" t="s">
        <v>2</v>
      </c>
      <c r="AR197" t="s">
        <v>1</v>
      </c>
      <c r="AS197" t="s">
        <v>1</v>
      </c>
      <c r="AT197" t="s">
        <v>1</v>
      </c>
      <c r="AU197" t="s">
        <v>1</v>
      </c>
      <c r="AV197" t="s">
        <v>1</v>
      </c>
      <c r="AW197" t="s">
        <v>11</v>
      </c>
      <c r="AX197">
        <f>Tabla1[[#This Row],[precio del paquete]]-Tabla1[[#This Row],[Saldo_Deudor]]</f>
        <v>2900</v>
      </c>
      <c r="AY197">
        <v>10000</v>
      </c>
      <c r="AZ197" t="s">
        <v>3</v>
      </c>
      <c r="BA197" t="s">
        <v>3</v>
      </c>
      <c r="BB197" t="s">
        <v>3</v>
      </c>
      <c r="BC197" t="s">
        <v>1857</v>
      </c>
      <c r="BD197" t="s">
        <v>1911</v>
      </c>
      <c r="BE197" t="s">
        <v>3</v>
      </c>
      <c r="BF197" t="s">
        <v>3</v>
      </c>
      <c r="BG197" t="s">
        <v>3</v>
      </c>
      <c r="BH197" t="s">
        <v>3</v>
      </c>
      <c r="BI197" t="s">
        <v>3</v>
      </c>
      <c r="BJ197" t="s">
        <v>1943</v>
      </c>
      <c r="BK197" t="s">
        <v>3</v>
      </c>
      <c r="BL197" t="s">
        <v>132</v>
      </c>
      <c r="BM197" t="s">
        <v>1</v>
      </c>
      <c r="BN197">
        <f>Tabla1[[#This Row],[precio del paquete]]</f>
        <v>12900</v>
      </c>
      <c r="BO197" t="s">
        <v>1</v>
      </c>
      <c r="BP197" t="s">
        <v>1</v>
      </c>
      <c r="BQ197" t="s">
        <v>1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0</v>
      </c>
      <c r="BX197" t="s">
        <v>1</v>
      </c>
      <c r="BY197" t="s">
        <v>1</v>
      </c>
      <c r="BZ197" t="s">
        <v>1</v>
      </c>
      <c r="CA197" t="s">
        <v>1</v>
      </c>
      <c r="CB197" t="s">
        <v>1</v>
      </c>
      <c r="CD197" t="str" cm="1">
        <f t="array" aca="1" ref="CD197" ca="1">eConcatenar(A197:CB197,"|")</f>
        <v>qBtwwDbrCoSu3dF3|CAR2020-4691|3|IMPERIAL DE LUJO|TABASCO|CARDENAS|CARDENAS|2020-11-20|12900|X|200|50|1|0|0|0|0|0|0|0|0|0|0|0|0|0|0|MADRIGAL|JIMENEZ|MARIA DEL ROSARIO|SOLTERO|X|X|CALLE VENUSTIANOCARRANZA|COLONIA CARDENAS CENTRO|X|9371670216|X|X|X|CALLE VENUSTIANOCARRANZA|X|LUNES|X|X|X|X|X|DOMICILIO |2900|10000|x|x|x|2022-03-02|2022-03-09|x|x|x|x|x|XJ7NCYLLDZFLMWF|x|HOMBRE|X|12900|X|X|X|X|X|X|X|X|CARDENAS|X|X|X|X|X</v>
      </c>
    </row>
    <row r="198" spans="1:82" x14ac:dyDescent="0.25">
      <c r="A198" t="s">
        <v>332</v>
      </c>
      <c r="B198" t="s">
        <v>643</v>
      </c>
      <c r="C198">
        <v>3</v>
      </c>
      <c r="D198" t="s">
        <v>766</v>
      </c>
      <c r="E198" t="s">
        <v>1398</v>
      </c>
      <c r="F198" t="s">
        <v>0</v>
      </c>
      <c r="G198" t="s">
        <v>0</v>
      </c>
      <c r="H198" t="s">
        <v>908</v>
      </c>
      <c r="I198">
        <v>12900</v>
      </c>
      <c r="J198" t="s">
        <v>1</v>
      </c>
      <c r="K198">
        <v>200</v>
      </c>
      <c r="L198">
        <v>50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1352</v>
      </c>
      <c r="AC198" t="s">
        <v>1248</v>
      </c>
      <c r="AD198" s="18" t="s">
        <v>1146</v>
      </c>
      <c r="AE198" t="s">
        <v>4</v>
      </c>
      <c r="AF198" t="s">
        <v>1</v>
      </c>
      <c r="AG198" t="s">
        <v>1</v>
      </c>
      <c r="AH198" t="s">
        <v>1568</v>
      </c>
      <c r="AI198" t="s">
        <v>1667</v>
      </c>
      <c r="AJ198" t="s">
        <v>1</v>
      </c>
      <c r="AK198">
        <v>9371034688</v>
      </c>
      <c r="AL198" t="s">
        <v>1</v>
      </c>
      <c r="AM198" t="s">
        <v>1</v>
      </c>
      <c r="AN198" t="s">
        <v>1</v>
      </c>
      <c r="AO198" t="s">
        <v>1568</v>
      </c>
      <c r="AP198" t="s">
        <v>1</v>
      </c>
      <c r="AQ198" t="s">
        <v>2</v>
      </c>
      <c r="AR198" t="s">
        <v>1</v>
      </c>
      <c r="AS198" t="s">
        <v>1</v>
      </c>
      <c r="AT198" t="s">
        <v>1</v>
      </c>
      <c r="AU198" t="s">
        <v>1</v>
      </c>
      <c r="AV198" t="s">
        <v>1</v>
      </c>
      <c r="AW198" t="s">
        <v>11</v>
      </c>
      <c r="AX198">
        <f>Tabla1[[#This Row],[precio del paquete]]-Tabla1[[#This Row],[Saldo_Deudor]]</f>
        <v>2050</v>
      </c>
      <c r="AY198">
        <v>10850</v>
      </c>
      <c r="AZ198" t="s">
        <v>3</v>
      </c>
      <c r="BA198" t="s">
        <v>3</v>
      </c>
      <c r="BB198" t="s">
        <v>3</v>
      </c>
      <c r="BC198" t="s">
        <v>830</v>
      </c>
      <c r="BD198" t="s">
        <v>1896</v>
      </c>
      <c r="BE198" t="s">
        <v>3</v>
      </c>
      <c r="BF198" t="s">
        <v>3</v>
      </c>
      <c r="BG198" t="s">
        <v>3</v>
      </c>
      <c r="BH198" t="s">
        <v>3</v>
      </c>
      <c r="BI198" t="s">
        <v>3</v>
      </c>
      <c r="BJ198" t="s">
        <v>1943</v>
      </c>
      <c r="BK198" t="s">
        <v>3</v>
      </c>
      <c r="BL198" t="s">
        <v>132</v>
      </c>
      <c r="BM198" t="s">
        <v>1</v>
      </c>
      <c r="BN198">
        <f>Tabla1[[#This Row],[precio del paquete]]</f>
        <v>12900</v>
      </c>
      <c r="BO198" t="s">
        <v>1</v>
      </c>
      <c r="BP198" t="s">
        <v>1</v>
      </c>
      <c r="BQ198" t="s">
        <v>1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0</v>
      </c>
      <c r="BX198" t="s">
        <v>1</v>
      </c>
      <c r="BY198" t="s">
        <v>1</v>
      </c>
      <c r="BZ198" t="s">
        <v>1</v>
      </c>
      <c r="CA198" t="s">
        <v>1</v>
      </c>
      <c r="CB198" t="s">
        <v>1</v>
      </c>
      <c r="CD198" t="str" cm="1">
        <f t="array" aca="1" ref="CD198" ca="1">eConcatenar(A198:CB198,"|")</f>
        <v>havcnElvCOtbnQjP|CAR2020-2062|3|ECONOLINE|TABASCO|CARDENAS|CARDENAS|2020-01-08|12900|X|200|50|1|0|0|0|0|0|0|0|0|0|0|0|0|0|0|CORDOBA|PEREZ|ADELITA|SOLTERO|X|X|ANDADOR GUARAGUAO EDIFICIO 10 DEPARTAMENTO 2|UNIDAD HABITACIONAL INFONAVIT DEPORTIVA|X|9371034688|X|X|X|ANDADOR GUARAGUAO EDIFICIO 10 DEPARTAMENTO 2|X|LUNES|X|X|X|X|X|DOMICILIO |2050|10850|x|x|x|2021-08-19|2021-08-26|x|x|x|x|x|XJ7NCYLLDZFLMWF|x|HOMBRE|X|12900|X|X|X|X|X|X|X|X|CARDENAS|X|X|X|X|X</v>
      </c>
    </row>
    <row r="199" spans="1:82" x14ac:dyDescent="0.25">
      <c r="A199" t="s">
        <v>333</v>
      </c>
      <c r="B199" t="s">
        <v>644</v>
      </c>
      <c r="C199">
        <v>3</v>
      </c>
      <c r="D199" t="s">
        <v>761</v>
      </c>
      <c r="E199" t="s">
        <v>1398</v>
      </c>
      <c r="F199" t="s">
        <v>0</v>
      </c>
      <c r="G199" t="s">
        <v>0</v>
      </c>
      <c r="H199" t="s">
        <v>909</v>
      </c>
      <c r="I199">
        <v>14800</v>
      </c>
      <c r="J199" t="s">
        <v>1</v>
      </c>
      <c r="K199">
        <v>100</v>
      </c>
      <c r="L199">
        <v>50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1353</v>
      </c>
      <c r="AC199" t="s">
        <v>1256</v>
      </c>
      <c r="AD199" s="18" t="s">
        <v>1147</v>
      </c>
      <c r="AE199" t="s">
        <v>4</v>
      </c>
      <c r="AF199" t="s">
        <v>1</v>
      </c>
      <c r="AG199" t="s">
        <v>1</v>
      </c>
      <c r="AH199" t="s">
        <v>1569</v>
      </c>
      <c r="AI199" t="s">
        <v>1781</v>
      </c>
      <c r="AJ199" t="s">
        <v>1</v>
      </c>
      <c r="AK199">
        <v>9372703856</v>
      </c>
      <c r="AL199" t="s">
        <v>1</v>
      </c>
      <c r="AM199" t="s">
        <v>1</v>
      </c>
      <c r="AN199" t="s">
        <v>1</v>
      </c>
      <c r="AO199" t="s">
        <v>1569</v>
      </c>
      <c r="AP199" t="s">
        <v>1</v>
      </c>
      <c r="AQ199" t="s">
        <v>2</v>
      </c>
      <c r="AR199" t="s">
        <v>1</v>
      </c>
      <c r="AS199" t="s">
        <v>1</v>
      </c>
      <c r="AT199" t="s">
        <v>1</v>
      </c>
      <c r="AU199" t="s">
        <v>1</v>
      </c>
      <c r="AV199" t="s">
        <v>1</v>
      </c>
      <c r="AW199" t="s">
        <v>11</v>
      </c>
      <c r="AX199">
        <f>Tabla1[[#This Row],[precio del paquete]]-Tabla1[[#This Row],[Saldo_Deudor]]</f>
        <v>950</v>
      </c>
      <c r="AY199">
        <v>13850</v>
      </c>
      <c r="AZ199" t="s">
        <v>3</v>
      </c>
      <c r="BA199" t="s">
        <v>3</v>
      </c>
      <c r="BB199" t="s">
        <v>3</v>
      </c>
      <c r="BC199" t="s">
        <v>896</v>
      </c>
      <c r="BD199" t="s">
        <v>824</v>
      </c>
      <c r="BE199" t="s">
        <v>3</v>
      </c>
      <c r="BF199" t="s">
        <v>3</v>
      </c>
      <c r="BG199" t="s">
        <v>3</v>
      </c>
      <c r="BH199" t="s">
        <v>3</v>
      </c>
      <c r="BI199" t="s">
        <v>3</v>
      </c>
      <c r="BJ199" t="s">
        <v>1943</v>
      </c>
      <c r="BK199" t="s">
        <v>3</v>
      </c>
      <c r="BL199" t="s">
        <v>132</v>
      </c>
      <c r="BM199" t="s">
        <v>1</v>
      </c>
      <c r="BN199">
        <f>Tabla1[[#This Row],[precio del paquete]]</f>
        <v>14800</v>
      </c>
      <c r="BO199" t="s">
        <v>1</v>
      </c>
      <c r="BP199" t="s">
        <v>1</v>
      </c>
      <c r="BQ199" t="s">
        <v>1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0</v>
      </c>
      <c r="BX199" t="s">
        <v>1</v>
      </c>
      <c r="BY199" t="s">
        <v>1</v>
      </c>
      <c r="BZ199" t="s">
        <v>1</v>
      </c>
      <c r="CA199" t="s">
        <v>1</v>
      </c>
      <c r="CB199" t="s">
        <v>1</v>
      </c>
      <c r="CD199" t="str" cm="1">
        <f t="array" aca="1" ref="CD199" ca="1">eConcatenar(A199:CB199,"|")</f>
        <v>qMxvl6EpT6jSwP5x|CAR2021-2248|3|MEMORIAL|TABASCO|CARDENAS|CARDENAS|2021-02-06|14800|X|100|50|1|0|0|0|0|0|0|0|0|0|0|0|0|0|0|MARANDA|OLAN|LORETA|SOLTERO|X|X|CALLE 4 ESQUINA FERNANDO VALENZUELA SIN NUMERO|COLONIA ALAMEDA|X|9372703856|X|X|X|CALLE 4 ESQUINA FERNANDO VALENZUELA SIN NUMERO|X|LUNES|X|X|X|X|X|DOMICILIO |950|13850|x|x|x|2021-06-10|2021-06-17|x|x|x|x|x|XJ7NCYLLDZFLMWF|x|HOMBRE|X|14800|X|X|X|X|X|X|X|X|CARDENAS|X|X|X|X|X</v>
      </c>
    </row>
    <row r="200" spans="1:82" x14ac:dyDescent="0.25">
      <c r="A200" t="s">
        <v>334</v>
      </c>
      <c r="B200" t="s">
        <v>645</v>
      </c>
      <c r="C200">
        <v>3</v>
      </c>
      <c r="D200" t="s">
        <v>765</v>
      </c>
      <c r="E200" t="s">
        <v>1398</v>
      </c>
      <c r="F200" t="s">
        <v>0</v>
      </c>
      <c r="G200" t="s">
        <v>0</v>
      </c>
      <c r="H200" t="s">
        <v>910</v>
      </c>
      <c r="I200">
        <v>19800</v>
      </c>
      <c r="J200" t="s">
        <v>1</v>
      </c>
      <c r="K200">
        <v>500</v>
      </c>
      <c r="L200">
        <v>50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1343</v>
      </c>
      <c r="AC200" t="s">
        <v>1252</v>
      </c>
      <c r="AD200" s="18" t="s">
        <v>1148</v>
      </c>
      <c r="AE200" t="s">
        <v>4</v>
      </c>
      <c r="AF200" t="s">
        <v>1</v>
      </c>
      <c r="AG200" t="s">
        <v>1</v>
      </c>
      <c r="AH200" t="s">
        <v>1570</v>
      </c>
      <c r="AI200" t="s">
        <v>1670</v>
      </c>
      <c r="AJ200" t="s">
        <v>1</v>
      </c>
      <c r="AK200">
        <v>9371902108</v>
      </c>
      <c r="AL200" t="s">
        <v>1</v>
      </c>
      <c r="AM200" t="s">
        <v>1</v>
      </c>
      <c r="AN200" t="s">
        <v>1</v>
      </c>
      <c r="AO200" t="s">
        <v>1570</v>
      </c>
      <c r="AP200" t="s">
        <v>1</v>
      </c>
      <c r="AQ200" t="s">
        <v>2</v>
      </c>
      <c r="AR200" t="s">
        <v>1</v>
      </c>
      <c r="AS200" t="s">
        <v>1</v>
      </c>
      <c r="AT200" t="s">
        <v>1</v>
      </c>
      <c r="AU200" t="s">
        <v>1</v>
      </c>
      <c r="AV200" t="s">
        <v>1</v>
      </c>
      <c r="AW200" t="s">
        <v>11</v>
      </c>
      <c r="AX200">
        <f>Tabla1[[#This Row],[precio del paquete]]-Tabla1[[#This Row],[Saldo_Deudor]]</f>
        <v>7800</v>
      </c>
      <c r="AY200">
        <v>12000</v>
      </c>
      <c r="AZ200" t="s">
        <v>3</v>
      </c>
      <c r="BA200" t="s">
        <v>3</v>
      </c>
      <c r="BB200" t="s">
        <v>3</v>
      </c>
      <c r="BC200" t="s">
        <v>776</v>
      </c>
      <c r="BD200" t="s">
        <v>1842</v>
      </c>
      <c r="BE200" t="s">
        <v>3</v>
      </c>
      <c r="BF200" t="s">
        <v>3</v>
      </c>
      <c r="BG200" t="s">
        <v>3</v>
      </c>
      <c r="BH200" t="s">
        <v>3</v>
      </c>
      <c r="BI200" t="s">
        <v>3</v>
      </c>
      <c r="BJ200" t="s">
        <v>1943</v>
      </c>
      <c r="BK200" t="s">
        <v>3</v>
      </c>
      <c r="BL200" t="s">
        <v>132</v>
      </c>
      <c r="BM200" t="s">
        <v>1</v>
      </c>
      <c r="BN200">
        <f>Tabla1[[#This Row],[precio del paquete]]</f>
        <v>19800</v>
      </c>
      <c r="BO200" t="s">
        <v>1</v>
      </c>
      <c r="BP200" t="s">
        <v>1</v>
      </c>
      <c r="BQ200" t="s">
        <v>1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0</v>
      </c>
      <c r="BX200" t="s">
        <v>1</v>
      </c>
      <c r="BY200" t="s">
        <v>1</v>
      </c>
      <c r="BZ200" t="s">
        <v>1</v>
      </c>
      <c r="CA200" t="s">
        <v>1</v>
      </c>
      <c r="CB200" t="s">
        <v>1</v>
      </c>
      <c r="CD200" t="str" cm="1">
        <f t="array" aca="1" ref="CD200" ca="1">eConcatenar(A200:CB200,"|")</f>
        <v>T9ljDnV1U9W88hog|CAR2020-2007|3|ZAFIRO|TABASCO|CARDENAS|CARDENAS|2020-05-08|19800|X|500|50|2|0|0|0|0|0|0|0|0|0|0|0|0|0|0|COLORADO|SANTIAGO|PETRA|SOLTERO|X|X|CALLE VICENTE GUERRERO ESQUINA CON JOSE MARTINEZ|COLONIA CARDENAS CENTRO|X|9371902108|X|X|X|CALLE VICENTE GUERRERO ESQUINA CON JOSE MARTINEZ|X|LUNES|X|X|X|X|X|DOMICILIO |7800|12000|x|x|x|2022-10-02|2022-10-09|x|x|x|x|x|XJ7NCYLLDZFLMWF|x|HOMBRE|X|19800|X|X|X|X|X|X|X|X|CARDENAS|X|X|X|X|X</v>
      </c>
    </row>
    <row r="201" spans="1:82" x14ac:dyDescent="0.25">
      <c r="A201" t="s">
        <v>335</v>
      </c>
      <c r="B201" t="s">
        <v>646</v>
      </c>
      <c r="C201">
        <v>3</v>
      </c>
      <c r="D201" t="s">
        <v>761</v>
      </c>
      <c r="E201" t="s">
        <v>1398</v>
      </c>
      <c r="F201" t="s">
        <v>0</v>
      </c>
      <c r="G201" t="s">
        <v>0</v>
      </c>
      <c r="H201" t="s">
        <v>911</v>
      </c>
      <c r="I201">
        <v>14800</v>
      </c>
      <c r="J201" t="s">
        <v>1</v>
      </c>
      <c r="K201">
        <v>100</v>
      </c>
      <c r="L201">
        <v>50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1269</v>
      </c>
      <c r="AC201" t="s">
        <v>1354</v>
      </c>
      <c r="AD201" s="18" t="s">
        <v>1149</v>
      </c>
      <c r="AE201" t="s">
        <v>4</v>
      </c>
      <c r="AF201" t="s">
        <v>1</v>
      </c>
      <c r="AG201" t="s">
        <v>1</v>
      </c>
      <c r="AH201" t="s">
        <v>1426</v>
      </c>
      <c r="AI201" t="s">
        <v>1782</v>
      </c>
      <c r="AJ201" t="s">
        <v>1</v>
      </c>
      <c r="AK201">
        <v>5550595867</v>
      </c>
      <c r="AL201" t="s">
        <v>1</v>
      </c>
      <c r="AM201" t="s">
        <v>1</v>
      </c>
      <c r="AN201" t="s">
        <v>1</v>
      </c>
      <c r="AO201" t="s">
        <v>1426</v>
      </c>
      <c r="AP201" t="s">
        <v>1</v>
      </c>
      <c r="AQ201" t="s">
        <v>2</v>
      </c>
      <c r="AR201" t="s">
        <v>1</v>
      </c>
      <c r="AS201" t="s">
        <v>1</v>
      </c>
      <c r="AT201" t="s">
        <v>1</v>
      </c>
      <c r="AU201" t="s">
        <v>1</v>
      </c>
      <c r="AV201" t="s">
        <v>1</v>
      </c>
      <c r="AW201" t="s">
        <v>11</v>
      </c>
      <c r="AX201">
        <f>Tabla1[[#This Row],[precio del paquete]]-Tabla1[[#This Row],[Saldo_Deudor]]</f>
        <v>2300</v>
      </c>
      <c r="AY201">
        <v>12500</v>
      </c>
      <c r="AZ201" t="s">
        <v>3</v>
      </c>
      <c r="BA201" t="s">
        <v>3</v>
      </c>
      <c r="BB201" t="s">
        <v>3</v>
      </c>
      <c r="BC201" t="s">
        <v>773</v>
      </c>
      <c r="BD201" t="s">
        <v>1879</v>
      </c>
      <c r="BE201" t="s">
        <v>3</v>
      </c>
      <c r="BF201" t="s">
        <v>3</v>
      </c>
      <c r="BG201" t="s">
        <v>3</v>
      </c>
      <c r="BH201" t="s">
        <v>3</v>
      </c>
      <c r="BI201" t="s">
        <v>3</v>
      </c>
      <c r="BJ201" t="s">
        <v>1943</v>
      </c>
      <c r="BK201" t="s">
        <v>3</v>
      </c>
      <c r="BL201" t="s">
        <v>132</v>
      </c>
      <c r="BM201" t="s">
        <v>1</v>
      </c>
      <c r="BN201">
        <f>Tabla1[[#This Row],[precio del paquete]]</f>
        <v>14800</v>
      </c>
      <c r="BO201" t="s">
        <v>1</v>
      </c>
      <c r="BP201" t="s">
        <v>1</v>
      </c>
      <c r="BQ201" t="s">
        <v>1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0</v>
      </c>
      <c r="BX201" t="s">
        <v>1</v>
      </c>
      <c r="BY201" t="s">
        <v>1</v>
      </c>
      <c r="BZ201" t="s">
        <v>1</v>
      </c>
      <c r="CA201" t="s">
        <v>1</v>
      </c>
      <c r="CB201" t="s">
        <v>1</v>
      </c>
      <c r="CD201" t="str" cm="1">
        <f t="array" aca="1" ref="CD201" ca="1">eConcatenar(A201:CB201,"|")</f>
        <v>QwEu8HC5fzJzHdu5|CAR2021-2186|3|MEMORIAL|TABASCO|CARDENAS|CARDENAS|2021-10-06|14800|X|100|50|0|0|0|0|0|0|0|0|0|0|0|0|0|0|0|MENDEZ|BENZES|GABRIELA|SOLTERO|X|X|CARRETERA PRINCIPAL SIN NUMERO|EJIDO LA CHONITA|X|5550595867|X|X|X|CARRETERA PRINCIPAL SIN NUMERO|X|LUNES|X|X|X|X|X|DOMICILIO |2300|12500|x|x|x|2022-07-02|2022-07-09|x|x|x|x|x|XJ7NCYLLDZFLMWF|x|HOMBRE|X|14800|X|X|X|X|X|X|X|X|CARDENAS|X|X|X|X|X</v>
      </c>
    </row>
    <row r="202" spans="1:82" x14ac:dyDescent="0.25">
      <c r="A202" t="s">
        <v>336</v>
      </c>
      <c r="B202" t="s">
        <v>647</v>
      </c>
      <c r="C202">
        <v>3</v>
      </c>
      <c r="D202" t="s">
        <v>763</v>
      </c>
      <c r="E202" t="s">
        <v>1398</v>
      </c>
      <c r="F202" t="s">
        <v>0</v>
      </c>
      <c r="G202" t="s">
        <v>0</v>
      </c>
      <c r="H202" t="s">
        <v>912</v>
      </c>
      <c r="I202">
        <v>12900</v>
      </c>
      <c r="J202" t="s">
        <v>1</v>
      </c>
      <c r="K202">
        <v>100</v>
      </c>
      <c r="L202">
        <v>50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1266</v>
      </c>
      <c r="AC202" t="s">
        <v>1265</v>
      </c>
      <c r="AD202" s="18" t="s">
        <v>1150</v>
      </c>
      <c r="AE202" t="s">
        <v>4</v>
      </c>
      <c r="AF202" t="s">
        <v>1</v>
      </c>
      <c r="AG202" t="s">
        <v>1</v>
      </c>
      <c r="AH202" t="s">
        <v>1571</v>
      </c>
      <c r="AI202" t="s">
        <v>1764</v>
      </c>
      <c r="AJ202" t="s">
        <v>1</v>
      </c>
      <c r="AK202">
        <v>9373740139</v>
      </c>
      <c r="AL202" t="s">
        <v>1</v>
      </c>
      <c r="AM202" t="s">
        <v>1</v>
      </c>
      <c r="AN202" t="s">
        <v>1</v>
      </c>
      <c r="AO202" t="s">
        <v>1571</v>
      </c>
      <c r="AP202" t="s">
        <v>1</v>
      </c>
      <c r="AQ202" t="s">
        <v>2</v>
      </c>
      <c r="AR202" t="s">
        <v>1</v>
      </c>
      <c r="AS202" t="s">
        <v>1</v>
      </c>
      <c r="AT202" t="s">
        <v>1</v>
      </c>
      <c r="AU202" t="s">
        <v>1</v>
      </c>
      <c r="AV202" t="s">
        <v>1</v>
      </c>
      <c r="AW202" t="s">
        <v>11</v>
      </c>
      <c r="AX202">
        <f>Tabla1[[#This Row],[precio del paquete]]-Tabla1[[#This Row],[Saldo_Deudor]]</f>
        <v>5600</v>
      </c>
      <c r="AY202">
        <v>7300</v>
      </c>
      <c r="AZ202" t="s">
        <v>3</v>
      </c>
      <c r="BA202" t="s">
        <v>3</v>
      </c>
      <c r="BB202" t="s">
        <v>3</v>
      </c>
      <c r="BC202" t="s">
        <v>1863</v>
      </c>
      <c r="BD202" t="s">
        <v>799</v>
      </c>
      <c r="BE202" t="s">
        <v>3</v>
      </c>
      <c r="BF202" t="s">
        <v>3</v>
      </c>
      <c r="BG202" t="s">
        <v>3</v>
      </c>
      <c r="BH202" t="s">
        <v>3</v>
      </c>
      <c r="BI202" t="s">
        <v>3</v>
      </c>
      <c r="BJ202" t="s">
        <v>1943</v>
      </c>
      <c r="BK202" t="s">
        <v>3</v>
      </c>
      <c r="BL202" t="s">
        <v>132</v>
      </c>
      <c r="BM202" t="s">
        <v>1</v>
      </c>
      <c r="BN202">
        <f>Tabla1[[#This Row],[precio del paquete]]</f>
        <v>12900</v>
      </c>
      <c r="BO202" t="s">
        <v>1</v>
      </c>
      <c r="BP202" t="s">
        <v>1</v>
      </c>
      <c r="BQ202" t="s">
        <v>1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0</v>
      </c>
      <c r="BX202" t="s">
        <v>1</v>
      </c>
      <c r="BY202" t="s">
        <v>1</v>
      </c>
      <c r="BZ202" t="s">
        <v>1</v>
      </c>
      <c r="CA202" t="s">
        <v>1</v>
      </c>
      <c r="CB202" t="s">
        <v>1</v>
      </c>
      <c r="CD202" t="str" cm="1">
        <f t="array" aca="1" ref="CD202" ca="1">eConcatenar(A202:CB202,"|")</f>
        <v>TKw7utnNDik0E5FP|CAR2020-0276|3|IMPERIAL DE LUJO|TABASCO|CARDENAS|CARDENAS|2020-01-28|12900|X|100|50|0|0|0|0|0|0|0|0|0|0|0|0|0|0|0|HERNANDEZ|DOMINGUEZ|RIGOBERTO|SOLTERO|X|X|CALLE PRINCIPAL |POBLADO C-20 MIGUEL HIDALGO|X|9373740139|X|X|X|CALLE PRINCIPAL |X|LUNES|X|X|X|X|X|DOMICILIO |5600|7300|x|x|x|2022-01-25|2022-02-01|x|x|x|x|x|XJ7NCYLLDZFLMWF|x|HOMBRE|X|12900|X|X|X|X|X|X|X|X|CARDENAS|X|X|X|X|X</v>
      </c>
    </row>
    <row r="203" spans="1:82" x14ac:dyDescent="0.25">
      <c r="A203" t="s">
        <v>337</v>
      </c>
      <c r="B203" t="s">
        <v>648</v>
      </c>
      <c r="C203">
        <v>3</v>
      </c>
      <c r="D203" t="s">
        <v>766</v>
      </c>
      <c r="E203" t="s">
        <v>1398</v>
      </c>
      <c r="F203" t="s">
        <v>0</v>
      </c>
      <c r="G203" t="s">
        <v>0</v>
      </c>
      <c r="H203" t="s">
        <v>913</v>
      </c>
      <c r="I203">
        <v>12900</v>
      </c>
      <c r="J203" t="s">
        <v>1</v>
      </c>
      <c r="K203">
        <v>200</v>
      </c>
      <c r="L203">
        <v>50</v>
      </c>
      <c r="M203">
        <v>2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1248</v>
      </c>
      <c r="AC203" t="s">
        <v>1279</v>
      </c>
      <c r="AD203" s="18" t="s">
        <v>1151</v>
      </c>
      <c r="AE203" t="s">
        <v>4</v>
      </c>
      <c r="AF203" t="s">
        <v>1</v>
      </c>
      <c r="AG203" t="s">
        <v>1</v>
      </c>
      <c r="AH203" t="s">
        <v>1572</v>
      </c>
      <c r="AI203" t="s">
        <v>1783</v>
      </c>
      <c r="AJ203" t="s">
        <v>1</v>
      </c>
      <c r="AK203">
        <v>9372271695</v>
      </c>
      <c r="AL203" t="s">
        <v>1</v>
      </c>
      <c r="AM203" t="s">
        <v>1</v>
      </c>
      <c r="AN203" t="s">
        <v>1</v>
      </c>
      <c r="AO203" t="s">
        <v>1572</v>
      </c>
      <c r="AP203" t="s">
        <v>1</v>
      </c>
      <c r="AQ203" t="s">
        <v>2</v>
      </c>
      <c r="AR203" t="s">
        <v>1</v>
      </c>
      <c r="AS203" t="s">
        <v>1</v>
      </c>
      <c r="AT203" t="s">
        <v>1</v>
      </c>
      <c r="AU203" t="s">
        <v>1</v>
      </c>
      <c r="AV203" t="s">
        <v>1</v>
      </c>
      <c r="AW203" t="s">
        <v>11</v>
      </c>
      <c r="AX203">
        <f>Tabla1[[#This Row],[precio del paquete]]-Tabla1[[#This Row],[Saldo_Deudor]]</f>
        <v>7100</v>
      </c>
      <c r="AY203">
        <v>5800</v>
      </c>
      <c r="AZ203" t="s">
        <v>3</v>
      </c>
      <c r="BA203" t="s">
        <v>3</v>
      </c>
      <c r="BB203" t="s">
        <v>3</v>
      </c>
      <c r="BC203" t="s">
        <v>1841</v>
      </c>
      <c r="BD203" t="s">
        <v>1892</v>
      </c>
      <c r="BE203" t="s">
        <v>3</v>
      </c>
      <c r="BF203" t="s">
        <v>3</v>
      </c>
      <c r="BG203" t="s">
        <v>3</v>
      </c>
      <c r="BH203" t="s">
        <v>3</v>
      </c>
      <c r="BI203" t="s">
        <v>3</v>
      </c>
      <c r="BJ203" t="s">
        <v>1943</v>
      </c>
      <c r="BK203" t="s">
        <v>3</v>
      </c>
      <c r="BL203" t="s">
        <v>132</v>
      </c>
      <c r="BM203" t="s">
        <v>1</v>
      </c>
      <c r="BN203">
        <f>Tabla1[[#This Row],[precio del paquete]]</f>
        <v>12900</v>
      </c>
      <c r="BO203" t="s">
        <v>1</v>
      </c>
      <c r="BP203" t="s">
        <v>1</v>
      </c>
      <c r="BQ203" t="s">
        <v>1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0</v>
      </c>
      <c r="BX203" t="s">
        <v>1</v>
      </c>
      <c r="BY203" t="s">
        <v>1</v>
      </c>
      <c r="BZ203" t="s">
        <v>1</v>
      </c>
      <c r="CA203" t="s">
        <v>1</v>
      </c>
      <c r="CB203" t="s">
        <v>1</v>
      </c>
      <c r="CD203" t="str" cm="1">
        <f t="array" aca="1" ref="CD203" ca="1">eConcatenar(A203:CB203,"|")</f>
        <v>Z7ZC1FHLzp0F334c|CAR2020-1280|3|ECONOLINE|TABASCO|CARDENAS|CARDENAS|2020-02-07|12900|X|200|50|2|0|0|0|0|0|0|0|0|0|0|0|0|0|0|PEREZ|LANDERO|MARIA ELENA|SOLTERO|X|X|CERRADA NARCIZO MENDOZA NUMERO 103|COLONIA NUEVO PROGRESO|X|9372271695|X|X|X|CERRADA NARCIZO MENDOZA NUMERO 103|X|LUNES|X|X|X|X|X|DOMICILIO |7100|5800|x|x|x|2022-11-01|2022-11-08|x|x|x|x|x|XJ7NCYLLDZFLMWF|x|HOMBRE|X|12900|X|X|X|X|X|X|X|X|CARDENAS|X|X|X|X|X</v>
      </c>
    </row>
    <row r="204" spans="1:82" x14ac:dyDescent="0.25">
      <c r="A204" t="s">
        <v>338</v>
      </c>
      <c r="B204" t="s">
        <v>649</v>
      </c>
      <c r="C204">
        <v>3</v>
      </c>
      <c r="D204" t="s">
        <v>761</v>
      </c>
      <c r="E204" t="s">
        <v>1398</v>
      </c>
      <c r="F204" t="s">
        <v>0</v>
      </c>
      <c r="G204" t="s">
        <v>0</v>
      </c>
      <c r="H204" t="s">
        <v>914</v>
      </c>
      <c r="I204">
        <v>14800</v>
      </c>
      <c r="J204" t="s">
        <v>1</v>
      </c>
      <c r="K204">
        <v>3400</v>
      </c>
      <c r="L204">
        <v>50</v>
      </c>
      <c r="M204">
        <v>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7</v>
      </c>
      <c r="AC204" t="s">
        <v>1260</v>
      </c>
      <c r="AD204" s="18" t="s">
        <v>1076</v>
      </c>
      <c r="AE204" t="s">
        <v>4</v>
      </c>
      <c r="AF204" t="s">
        <v>1</v>
      </c>
      <c r="AG204" t="s">
        <v>1</v>
      </c>
      <c r="AH204" t="s">
        <v>1573</v>
      </c>
      <c r="AI204" t="s">
        <v>1784</v>
      </c>
      <c r="AJ204" t="s">
        <v>1</v>
      </c>
      <c r="AK204">
        <v>9372285160</v>
      </c>
      <c r="AL204" t="s">
        <v>1</v>
      </c>
      <c r="AM204" t="s">
        <v>1</v>
      </c>
      <c r="AN204" t="s">
        <v>1</v>
      </c>
      <c r="AO204" t="s">
        <v>1573</v>
      </c>
      <c r="AP204" t="s">
        <v>1</v>
      </c>
      <c r="AQ204" t="s">
        <v>2</v>
      </c>
      <c r="AR204" t="s">
        <v>1</v>
      </c>
      <c r="AS204" t="s">
        <v>1</v>
      </c>
      <c r="AT204" t="s">
        <v>1</v>
      </c>
      <c r="AU204" t="s">
        <v>1</v>
      </c>
      <c r="AV204" t="s">
        <v>1</v>
      </c>
      <c r="AW204" t="s">
        <v>11</v>
      </c>
      <c r="AX204">
        <f>Tabla1[[#This Row],[precio del paquete]]-Tabla1[[#This Row],[Saldo_Deudor]]</f>
        <v>3400</v>
      </c>
      <c r="AY204">
        <v>11400</v>
      </c>
      <c r="AZ204" t="s">
        <v>3</v>
      </c>
      <c r="BA204" t="s">
        <v>3</v>
      </c>
      <c r="BB204" t="s">
        <v>3</v>
      </c>
      <c r="BC204" t="s">
        <v>1870</v>
      </c>
      <c r="BD204" t="s">
        <v>1926</v>
      </c>
      <c r="BE204" t="s">
        <v>3</v>
      </c>
      <c r="BF204" t="s">
        <v>3</v>
      </c>
      <c r="BG204" t="s">
        <v>3</v>
      </c>
      <c r="BH204" t="s">
        <v>3</v>
      </c>
      <c r="BI204" t="s">
        <v>3</v>
      </c>
      <c r="BJ204" t="s">
        <v>1943</v>
      </c>
      <c r="BK204" t="s">
        <v>3</v>
      </c>
      <c r="BL204" t="s">
        <v>132</v>
      </c>
      <c r="BM204" t="s">
        <v>1</v>
      </c>
      <c r="BN204">
        <f>Tabla1[[#This Row],[precio del paquete]]</f>
        <v>14800</v>
      </c>
      <c r="BO204" t="s">
        <v>1</v>
      </c>
      <c r="BP204" t="s">
        <v>1</v>
      </c>
      <c r="BQ204" t="s">
        <v>1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0</v>
      </c>
      <c r="BX204" t="s">
        <v>1</v>
      </c>
      <c r="BY204" t="s">
        <v>1</v>
      </c>
      <c r="BZ204" t="s">
        <v>1</v>
      </c>
      <c r="CA204" t="s">
        <v>1</v>
      </c>
      <c r="CB204" t="s">
        <v>1</v>
      </c>
      <c r="CD204" t="str" cm="1">
        <f t="array" aca="1" ref="CD204" ca="1">eConcatenar(A204:CB204,"|")</f>
        <v>VTc3faNPpb9wTurA|CAR2020-1298|3|MEMORIAL|TABASCO|CARDENAS|CARDENAS|2020-06-07|14800|X|3400|50|2|0|0|0|0|0|0|0|0|0|0|0|0|0|0|LOPEZ|GONZALEZ|LUCIA|SOLTERO|X|X|CARRETERA CARDENAS - COMALCALCO|RANCHERIA MIGUEL HIDALGO PRIMERA SECCION|X|9372285160|X|X|X|CARRETERA CARDENAS - COMALCALCO|X|LUNES|X|X|X|X|X|DOMICILIO |3400|11400|x|x|x|2022-10-01|2022-10-08|x|x|x|x|x|XJ7NCYLLDZFLMWF|x|HOMBRE|X|14800|X|X|X|X|X|X|X|X|CARDENAS|X|X|X|X|X</v>
      </c>
    </row>
    <row r="205" spans="1:82" x14ac:dyDescent="0.25">
      <c r="A205" t="s">
        <v>339</v>
      </c>
      <c r="B205" t="s">
        <v>650</v>
      </c>
      <c r="C205">
        <v>3</v>
      </c>
      <c r="D205" t="s">
        <v>761</v>
      </c>
      <c r="E205" t="s">
        <v>1398</v>
      </c>
      <c r="F205" t="s">
        <v>769</v>
      </c>
      <c r="G205" t="s">
        <v>769</v>
      </c>
      <c r="H205" t="s">
        <v>915</v>
      </c>
      <c r="I205">
        <v>14800</v>
      </c>
      <c r="J205" t="s">
        <v>1</v>
      </c>
      <c r="K205">
        <v>400</v>
      </c>
      <c r="L205">
        <v>50</v>
      </c>
      <c r="M205">
        <v>2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1256</v>
      </c>
      <c r="AC205" t="s">
        <v>1343</v>
      </c>
      <c r="AD205" s="18" t="s">
        <v>1152</v>
      </c>
      <c r="AE205" t="s">
        <v>4</v>
      </c>
      <c r="AF205" t="s">
        <v>1</v>
      </c>
      <c r="AG205" t="s">
        <v>1</v>
      </c>
      <c r="AH205" t="s">
        <v>1574</v>
      </c>
      <c r="AI205" t="s">
        <v>1785</v>
      </c>
      <c r="AJ205" t="s">
        <v>1</v>
      </c>
      <c r="AK205">
        <v>9841123861</v>
      </c>
      <c r="AL205" t="s">
        <v>1</v>
      </c>
      <c r="AM205" t="s">
        <v>1</v>
      </c>
      <c r="AN205" t="s">
        <v>1</v>
      </c>
      <c r="AO205" t="s">
        <v>1574</v>
      </c>
      <c r="AP205" t="s">
        <v>1</v>
      </c>
      <c r="AQ205" t="s">
        <v>2</v>
      </c>
      <c r="AR205" t="s">
        <v>1</v>
      </c>
      <c r="AS205" t="s">
        <v>1</v>
      </c>
      <c r="AT205" t="s">
        <v>1</v>
      </c>
      <c r="AU205" t="s">
        <v>1</v>
      </c>
      <c r="AV205" t="s">
        <v>1</v>
      </c>
      <c r="AW205" t="s">
        <v>11</v>
      </c>
      <c r="AX205">
        <f>Tabla1[[#This Row],[precio del paquete]]-Tabla1[[#This Row],[Saldo_Deudor]]</f>
        <v>1600</v>
      </c>
      <c r="AY205">
        <v>13200</v>
      </c>
      <c r="AZ205" t="s">
        <v>3</v>
      </c>
      <c r="BA205" t="s">
        <v>3</v>
      </c>
      <c r="BB205" t="s">
        <v>3</v>
      </c>
      <c r="BC205" t="s">
        <v>777</v>
      </c>
      <c r="BD205" t="s">
        <v>1885</v>
      </c>
      <c r="BE205" t="s">
        <v>3</v>
      </c>
      <c r="BF205" t="s">
        <v>3</v>
      </c>
      <c r="BG205" t="s">
        <v>3</v>
      </c>
      <c r="BH205" t="s">
        <v>3</v>
      </c>
      <c r="BI205" t="s">
        <v>3</v>
      </c>
      <c r="BJ205" t="s">
        <v>1943</v>
      </c>
      <c r="BK205" t="s">
        <v>3</v>
      </c>
      <c r="BL205" t="s">
        <v>132</v>
      </c>
      <c r="BM205" t="s">
        <v>1</v>
      </c>
      <c r="BN205">
        <f>Tabla1[[#This Row],[precio del paquete]]</f>
        <v>14800</v>
      </c>
      <c r="BO205" t="s">
        <v>1</v>
      </c>
      <c r="BP205" t="s">
        <v>1</v>
      </c>
      <c r="BQ205" t="s">
        <v>1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0</v>
      </c>
      <c r="BX205" t="s">
        <v>1</v>
      </c>
      <c r="BY205" t="s">
        <v>1</v>
      </c>
      <c r="BZ205" t="s">
        <v>1</v>
      </c>
      <c r="CA205" t="s">
        <v>1</v>
      </c>
      <c r="CB205" t="s">
        <v>1</v>
      </c>
      <c r="CD205" t="str" cm="1">
        <f t="array" aca="1" ref="CD205" ca="1">eConcatenar(A205:CB205,"|")</f>
        <v>0uIJuKJUkXnVuIrw|CAR2021-6213|3|MEMORIAL|TABASCO|CUNDUACAN|CUNDUACAN|2021-10-16|14800|X|400|50|2|0|0|0|0|0|0|0|0|0|0|0|0|0|0|OLAN|COLORADO|NORMA|SOLTERO|X|X|CARRETERA FEDERAL COMALCALCO - CARDENAS|POBLADO 11 DE FEBRERO|X|9841123861|X|X|X|CARRETERA FEDERAL COMALCALCO - CARDENAS|X|LUNES|X|X|X|X|X|DOMICILIO |1600|13200|x|x|x|2022-08-02|2022-08-09|x|x|x|x|x|XJ7NCYLLDZFLMWF|x|HOMBRE|X|14800|X|X|X|X|X|X|X|X|CARDENAS|X|X|X|X|X</v>
      </c>
    </row>
    <row r="206" spans="1:82" x14ac:dyDescent="0.25">
      <c r="A206" t="s">
        <v>340</v>
      </c>
      <c r="B206" t="s">
        <v>651</v>
      </c>
      <c r="C206">
        <v>3</v>
      </c>
      <c r="D206" t="s">
        <v>763</v>
      </c>
      <c r="E206" t="s">
        <v>1398</v>
      </c>
      <c r="F206" t="s">
        <v>769</v>
      </c>
      <c r="G206" t="s">
        <v>769</v>
      </c>
      <c r="H206" t="s">
        <v>916</v>
      </c>
      <c r="I206">
        <v>12900</v>
      </c>
      <c r="J206" t="s">
        <v>1</v>
      </c>
      <c r="K206">
        <v>400</v>
      </c>
      <c r="L206">
        <v>50</v>
      </c>
      <c r="M206">
        <v>2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1247</v>
      </c>
      <c r="AC206" t="s">
        <v>1266</v>
      </c>
      <c r="AD206" s="18" t="s">
        <v>1153</v>
      </c>
      <c r="AE206" t="s">
        <v>4</v>
      </c>
      <c r="AF206" t="s">
        <v>1</v>
      </c>
      <c r="AG206" t="s">
        <v>1</v>
      </c>
      <c r="AH206" t="s">
        <v>1575</v>
      </c>
      <c r="AI206" t="s">
        <v>1786</v>
      </c>
      <c r="AJ206" t="s">
        <v>1</v>
      </c>
      <c r="AK206">
        <v>9141383851</v>
      </c>
      <c r="AL206" t="s">
        <v>1</v>
      </c>
      <c r="AM206" t="s">
        <v>1</v>
      </c>
      <c r="AN206" t="s">
        <v>1</v>
      </c>
      <c r="AO206" t="s">
        <v>1575</v>
      </c>
      <c r="AP206" t="s">
        <v>1</v>
      </c>
      <c r="AQ206" t="s">
        <v>2</v>
      </c>
      <c r="AR206" t="s">
        <v>1</v>
      </c>
      <c r="AS206" t="s">
        <v>1</v>
      </c>
      <c r="AT206" t="s">
        <v>1</v>
      </c>
      <c r="AU206" t="s">
        <v>1</v>
      </c>
      <c r="AV206" t="s">
        <v>1</v>
      </c>
      <c r="AW206" t="s">
        <v>11</v>
      </c>
      <c r="AX206">
        <f>Tabla1[[#This Row],[precio del paquete]]-Tabla1[[#This Row],[Saldo_Deudor]]</f>
        <v>6500</v>
      </c>
      <c r="AY206">
        <v>6400</v>
      </c>
      <c r="AZ206" t="s">
        <v>3</v>
      </c>
      <c r="BA206" t="s">
        <v>3</v>
      </c>
      <c r="BB206" t="s">
        <v>3</v>
      </c>
      <c r="BC206" t="s">
        <v>777</v>
      </c>
      <c r="BD206" t="s">
        <v>1885</v>
      </c>
      <c r="BE206" t="s">
        <v>3</v>
      </c>
      <c r="BF206" t="s">
        <v>3</v>
      </c>
      <c r="BG206" t="s">
        <v>3</v>
      </c>
      <c r="BH206" t="s">
        <v>3</v>
      </c>
      <c r="BI206" t="s">
        <v>3</v>
      </c>
      <c r="BJ206" t="s">
        <v>1943</v>
      </c>
      <c r="BK206" t="s">
        <v>3</v>
      </c>
      <c r="BL206" t="s">
        <v>132</v>
      </c>
      <c r="BM206" t="s">
        <v>1</v>
      </c>
      <c r="BN206">
        <f>Tabla1[[#This Row],[precio del paquete]]</f>
        <v>12900</v>
      </c>
      <c r="BO206" t="s">
        <v>1</v>
      </c>
      <c r="BP206" t="s">
        <v>1</v>
      </c>
      <c r="BQ206" t="s">
        <v>1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0</v>
      </c>
      <c r="BX206" t="s">
        <v>1</v>
      </c>
      <c r="BY206" t="s">
        <v>1</v>
      </c>
      <c r="BZ206" t="s">
        <v>1</v>
      </c>
      <c r="CA206" t="s">
        <v>1</v>
      </c>
      <c r="CB206" t="s">
        <v>1</v>
      </c>
      <c r="CD206" t="str" cm="1">
        <f t="array" aca="1" ref="CD206" ca="1">eConcatenar(A206:CB206,"|")</f>
        <v>9AjUehGs8Qx11JrV|CAR2020-5277|3|IMPERIAL DE LUJO|TABASCO|CUNDUACAN|CUNDUACAN|2020-11-12|12900|X|400|50|2|0|0|0|0|0|0|0|0|0|0|0|0|0|0|SANCHEZ|HERNANDEZ|MIRIAM DEL CARMEN|SOLTERO|X|X|CALLE DE LA IGLESIA|POBLADO TIERRA Y LIBERTAD|X|9141383851|X|X|X|CALLE DE LA IGLESIA|X|LUNES|X|X|X|X|X|DOMICILIO |6500|6400|x|x|x|2022-08-02|2022-08-09|x|x|x|x|x|XJ7NCYLLDZFLMWF|x|HOMBRE|X|12900|X|X|X|X|X|X|X|X|CARDENAS|X|X|X|X|X</v>
      </c>
    </row>
    <row r="207" spans="1:82" x14ac:dyDescent="0.25">
      <c r="A207" t="s">
        <v>341</v>
      </c>
      <c r="B207" t="s">
        <v>652</v>
      </c>
      <c r="C207">
        <v>3</v>
      </c>
      <c r="D207" t="s">
        <v>761</v>
      </c>
      <c r="E207" t="s">
        <v>1398</v>
      </c>
      <c r="F207" t="s">
        <v>769</v>
      </c>
      <c r="G207" t="s">
        <v>769</v>
      </c>
      <c r="H207" t="s">
        <v>895</v>
      </c>
      <c r="I207">
        <v>14800</v>
      </c>
      <c r="J207" t="s">
        <v>1</v>
      </c>
      <c r="K207">
        <v>500</v>
      </c>
      <c r="L207">
        <v>50</v>
      </c>
      <c r="M207">
        <v>2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1247</v>
      </c>
      <c r="AC207" t="s">
        <v>1355</v>
      </c>
      <c r="AD207" s="18" t="s">
        <v>1154</v>
      </c>
      <c r="AE207" t="s">
        <v>4</v>
      </c>
      <c r="AF207" t="s">
        <v>1</v>
      </c>
      <c r="AG207" t="s">
        <v>1</v>
      </c>
      <c r="AH207" t="s">
        <v>1575</v>
      </c>
      <c r="AI207" t="s">
        <v>1787</v>
      </c>
      <c r="AJ207" t="s">
        <v>1</v>
      </c>
      <c r="AK207">
        <v>9371186274</v>
      </c>
      <c r="AL207" t="s">
        <v>1</v>
      </c>
      <c r="AM207" t="s">
        <v>1</v>
      </c>
      <c r="AN207" t="s">
        <v>1</v>
      </c>
      <c r="AO207" t="s">
        <v>1575</v>
      </c>
      <c r="AP207" t="s">
        <v>1</v>
      </c>
      <c r="AQ207" t="s">
        <v>2</v>
      </c>
      <c r="AR207" t="s">
        <v>1</v>
      </c>
      <c r="AS207" t="s">
        <v>1</v>
      </c>
      <c r="AT207" t="s">
        <v>1</v>
      </c>
      <c r="AU207" t="s">
        <v>1</v>
      </c>
      <c r="AV207" t="s">
        <v>1</v>
      </c>
      <c r="AW207" t="s">
        <v>11</v>
      </c>
      <c r="AX207">
        <f>Tabla1[[#This Row],[precio del paquete]]-Tabla1[[#This Row],[Saldo_Deudor]]</f>
        <v>2500</v>
      </c>
      <c r="AY207">
        <v>12300</v>
      </c>
      <c r="AZ207" t="s">
        <v>3</v>
      </c>
      <c r="BA207" t="s">
        <v>3</v>
      </c>
      <c r="BB207" t="s">
        <v>3</v>
      </c>
      <c r="BC207" t="s">
        <v>1871</v>
      </c>
      <c r="BD207" t="s">
        <v>1927</v>
      </c>
      <c r="BE207" t="s">
        <v>3</v>
      </c>
      <c r="BF207" t="s">
        <v>3</v>
      </c>
      <c r="BG207" t="s">
        <v>3</v>
      </c>
      <c r="BH207" t="s">
        <v>3</v>
      </c>
      <c r="BI207" t="s">
        <v>3</v>
      </c>
      <c r="BJ207" t="s">
        <v>1943</v>
      </c>
      <c r="BK207" t="s">
        <v>3</v>
      </c>
      <c r="BL207" t="s">
        <v>132</v>
      </c>
      <c r="BM207" t="s">
        <v>1</v>
      </c>
      <c r="BN207">
        <f>Tabla1[[#This Row],[precio del paquete]]</f>
        <v>14800</v>
      </c>
      <c r="BO207" t="s">
        <v>1</v>
      </c>
      <c r="BP207" t="s">
        <v>1</v>
      </c>
      <c r="BQ207" t="s">
        <v>1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0</v>
      </c>
      <c r="BX207" t="s">
        <v>1</v>
      </c>
      <c r="BY207" t="s">
        <v>1</v>
      </c>
      <c r="BZ207" t="s">
        <v>1</v>
      </c>
      <c r="CA207" t="s">
        <v>1</v>
      </c>
      <c r="CB207" t="s">
        <v>1</v>
      </c>
      <c r="CD207" t="str" cm="1">
        <f t="array" aca="1" ref="CD207" ca="1">eConcatenar(A207:CB207,"|")</f>
        <v>7jJGUPUJysoclYW4|CAR2021-6646|3|MEMORIAL|TABASCO|CUNDUACAN|CUNDUACAN|2021-04-11|14800|X|500|50|2|0|0|0|0|0|0|0|0|0|0|0|0|0|0|SANCHEZ|SOLIS|JACOBO|SOLTERO|X|X|CALLE DE LA IGLESIA|EJIDO TIERRA Y LIBERTAD|X|9371186274|X|X|X|CALLE DE LA IGLESIA|X|LUNES|X|X|X|X|X|DOMICILIO |2500|12300|x|x|x|2021-07-12|2021-07-19|x|x|x|x|x|XJ7NCYLLDZFLMWF|x|HOMBRE|X|14800|X|X|X|X|X|X|X|X|CARDENAS|X|X|X|X|X</v>
      </c>
    </row>
    <row r="208" spans="1:82" x14ac:dyDescent="0.25">
      <c r="A208" t="s">
        <v>342</v>
      </c>
      <c r="B208" t="s">
        <v>653</v>
      </c>
      <c r="C208">
        <v>3</v>
      </c>
      <c r="D208" t="s">
        <v>766</v>
      </c>
      <c r="E208" t="s">
        <v>1398</v>
      </c>
      <c r="F208" t="s">
        <v>0</v>
      </c>
      <c r="G208" t="s">
        <v>0</v>
      </c>
      <c r="H208" t="s">
        <v>917</v>
      </c>
      <c r="I208">
        <v>12900</v>
      </c>
      <c r="J208" t="s">
        <v>1</v>
      </c>
      <c r="K208">
        <v>200</v>
      </c>
      <c r="L208">
        <v>50</v>
      </c>
      <c r="M208">
        <v>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1356</v>
      </c>
      <c r="AC208" t="s">
        <v>1357</v>
      </c>
      <c r="AD208" s="18" t="s">
        <v>1155</v>
      </c>
      <c r="AE208" t="s">
        <v>4</v>
      </c>
      <c r="AF208" t="s">
        <v>1</v>
      </c>
      <c r="AG208" t="s">
        <v>1</v>
      </c>
      <c r="AH208" t="s">
        <v>1576</v>
      </c>
      <c r="AI208" t="s">
        <v>1788</v>
      </c>
      <c r="AJ208" t="s">
        <v>1</v>
      </c>
      <c r="AK208">
        <v>9932083219</v>
      </c>
      <c r="AL208" t="s">
        <v>1</v>
      </c>
      <c r="AM208" t="s">
        <v>1</v>
      </c>
      <c r="AN208" t="s">
        <v>1</v>
      </c>
      <c r="AO208" t="s">
        <v>1576</v>
      </c>
      <c r="AP208" t="s">
        <v>1</v>
      </c>
      <c r="AQ208" t="s">
        <v>2</v>
      </c>
      <c r="AR208" t="s">
        <v>1</v>
      </c>
      <c r="AS208" t="s">
        <v>1</v>
      </c>
      <c r="AT208" t="s">
        <v>1</v>
      </c>
      <c r="AU208" t="s">
        <v>1</v>
      </c>
      <c r="AV208" t="s">
        <v>1</v>
      </c>
      <c r="AW208" t="s">
        <v>11</v>
      </c>
      <c r="AX208">
        <f>Tabla1[[#This Row],[precio del paquete]]-Tabla1[[#This Row],[Saldo_Deudor]]</f>
        <v>4600</v>
      </c>
      <c r="AY208">
        <v>8300</v>
      </c>
      <c r="AZ208" t="s">
        <v>3</v>
      </c>
      <c r="BA208" t="s">
        <v>3</v>
      </c>
      <c r="BB208" t="s">
        <v>3</v>
      </c>
      <c r="BC208" t="s">
        <v>1872</v>
      </c>
      <c r="BD208" t="s">
        <v>1928</v>
      </c>
      <c r="BE208" t="s">
        <v>3</v>
      </c>
      <c r="BF208" t="s">
        <v>3</v>
      </c>
      <c r="BG208" t="s">
        <v>3</v>
      </c>
      <c r="BH208" t="s">
        <v>3</v>
      </c>
      <c r="BI208" t="s">
        <v>3</v>
      </c>
      <c r="BJ208" t="s">
        <v>1943</v>
      </c>
      <c r="BK208" t="s">
        <v>3</v>
      </c>
      <c r="BL208" t="s">
        <v>132</v>
      </c>
      <c r="BM208" t="s">
        <v>1</v>
      </c>
      <c r="BN208">
        <f>Tabla1[[#This Row],[precio del paquete]]</f>
        <v>12900</v>
      </c>
      <c r="BO208" t="s">
        <v>1</v>
      </c>
      <c r="BP208" t="s">
        <v>1</v>
      </c>
      <c r="BQ208" t="s">
        <v>1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0</v>
      </c>
      <c r="BX208" t="s">
        <v>1</v>
      </c>
      <c r="BY208" t="s">
        <v>1</v>
      </c>
      <c r="BZ208" t="s">
        <v>1</v>
      </c>
      <c r="CA208" t="s">
        <v>1</v>
      </c>
      <c r="CB208" t="s">
        <v>1</v>
      </c>
      <c r="CD208" t="str" cm="1">
        <f t="array" aca="1" ref="CD208" ca="1">eConcatenar(A208:CB208,"|")</f>
        <v>ZeuOp5pT32oWivYL|CAR2020-1448|3|ECONOLINE|TABASCO|CARDENAS|CARDENAS|2020-09-07|12900|X|200|50|2|0|0|0|0|0|0|0|0|0|0|0|0|0|0|CRIVELLI|GASPERIN|RAFAEL|SOLTERO|X|X|CALLE RIOS SECO FRENTE DEL IMSS|COLONIA INGENIO SANTA ROSALIA|X|9932083219|X|X|X|CALLE RIOS SECO FRENTE DEL IMSS|X|LUNES|X|X|X|X|X|DOMICILIO |4600|8300|x|x|x|2021-08-06|2021-08-13|x|x|x|x|x|XJ7NCYLLDZFLMWF|x|HOMBRE|X|12900|X|X|X|X|X|X|X|X|CARDENAS|X|X|X|X|X</v>
      </c>
    </row>
    <row r="209" spans="1:82" x14ac:dyDescent="0.25">
      <c r="A209" t="s">
        <v>343</v>
      </c>
      <c r="B209" t="s">
        <v>654</v>
      </c>
      <c r="C209">
        <v>3</v>
      </c>
      <c r="D209" t="s">
        <v>761</v>
      </c>
      <c r="E209" t="s">
        <v>1398</v>
      </c>
      <c r="F209" t="s">
        <v>0</v>
      </c>
      <c r="G209" t="s">
        <v>0</v>
      </c>
      <c r="H209" t="s">
        <v>918</v>
      </c>
      <c r="I209">
        <v>14800</v>
      </c>
      <c r="J209" t="s">
        <v>1</v>
      </c>
      <c r="K209">
        <v>100</v>
      </c>
      <c r="L209">
        <v>50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1248</v>
      </c>
      <c r="AC209" t="s">
        <v>1231</v>
      </c>
      <c r="AD209" s="18" t="s">
        <v>1156</v>
      </c>
      <c r="AE209" t="s">
        <v>4</v>
      </c>
      <c r="AF209" t="s">
        <v>1</v>
      </c>
      <c r="AG209" t="s">
        <v>1</v>
      </c>
      <c r="AH209" t="s">
        <v>1577</v>
      </c>
      <c r="AI209" t="s">
        <v>1789</v>
      </c>
      <c r="AJ209" t="s">
        <v>1</v>
      </c>
      <c r="AK209">
        <v>9371442289</v>
      </c>
      <c r="AL209" t="s">
        <v>1</v>
      </c>
      <c r="AM209" t="s">
        <v>1</v>
      </c>
      <c r="AN209" t="s">
        <v>1</v>
      </c>
      <c r="AO209" t="s">
        <v>1577</v>
      </c>
      <c r="AP209" t="s">
        <v>1</v>
      </c>
      <c r="AQ209" t="s">
        <v>2</v>
      </c>
      <c r="AR209" t="s">
        <v>1</v>
      </c>
      <c r="AS209" t="s">
        <v>1</v>
      </c>
      <c r="AT209" t="s">
        <v>1</v>
      </c>
      <c r="AU209" t="s">
        <v>1</v>
      </c>
      <c r="AV209" t="s">
        <v>1</v>
      </c>
      <c r="AW209" t="s">
        <v>11</v>
      </c>
      <c r="AX209">
        <f>Tabla1[[#This Row],[precio del paquete]]-Tabla1[[#This Row],[Saldo_Deudor]]</f>
        <v>1100</v>
      </c>
      <c r="AY209">
        <v>13700</v>
      </c>
      <c r="AZ209" t="s">
        <v>3</v>
      </c>
      <c r="BA209" t="s">
        <v>3</v>
      </c>
      <c r="BB209" t="s">
        <v>3</v>
      </c>
      <c r="BC209" t="s">
        <v>777</v>
      </c>
      <c r="BD209" t="s">
        <v>1885</v>
      </c>
      <c r="BE209" t="s">
        <v>3</v>
      </c>
      <c r="BF209" t="s">
        <v>3</v>
      </c>
      <c r="BG209" t="s">
        <v>3</v>
      </c>
      <c r="BH209" t="s">
        <v>3</v>
      </c>
      <c r="BI209" t="s">
        <v>3</v>
      </c>
      <c r="BJ209" t="s">
        <v>1944</v>
      </c>
      <c r="BK209" t="s">
        <v>3</v>
      </c>
      <c r="BL209" t="s">
        <v>132</v>
      </c>
      <c r="BM209" t="s">
        <v>1</v>
      </c>
      <c r="BN209">
        <f>Tabla1[[#This Row],[precio del paquete]]</f>
        <v>14800</v>
      </c>
      <c r="BO209" t="s">
        <v>1</v>
      </c>
      <c r="BP209" t="s">
        <v>1</v>
      </c>
      <c r="BQ209" t="s">
        <v>1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0</v>
      </c>
      <c r="BX209" t="s">
        <v>1</v>
      </c>
      <c r="BY209" t="s">
        <v>1</v>
      </c>
      <c r="BZ209" t="s">
        <v>1</v>
      </c>
      <c r="CA209" t="s">
        <v>1</v>
      </c>
      <c r="CB209" t="s">
        <v>1</v>
      </c>
      <c r="CD209" t="str" cm="1">
        <f t="array" aca="1" ref="CD209" ca="1">eConcatenar(A209:CB209,"|")</f>
        <v>iW3utP8nHTueYhEN|CAR2021-6093|3|MEMORIAL|TABASCO|CARDENAS|CARDENAS|2021-10-15|14800|X|100|50|1|0|0|0|0|0|0|0|0|0|0|0|0|0|0|PEREZ|TORRES|ADI|SOLTERO|X|X|CALLE GRACELIANO LOPEZ SOLARZANO|COLONIA LA PLAYITA|X|9371442289|X|X|X|CALLE GRACELIANO LOPEZ SOLARZANO|X|LUNES|X|X|X|X|X|DOMICILIO |1100|13700|x|x|x|2022-08-02|2022-08-09|x|x|x|x|x|KYMDH4NUTCJVUQD|x|HOMBRE|X|14800|X|X|X|X|X|X|X|X|CARDENAS|X|X|X|X|X</v>
      </c>
    </row>
    <row r="210" spans="1:82" x14ac:dyDescent="0.25">
      <c r="A210" t="s">
        <v>344</v>
      </c>
      <c r="B210" t="s">
        <v>655</v>
      </c>
      <c r="C210">
        <v>3</v>
      </c>
      <c r="D210" t="s">
        <v>761</v>
      </c>
      <c r="E210" t="s">
        <v>1398</v>
      </c>
      <c r="F210" t="s">
        <v>769</v>
      </c>
      <c r="G210" t="s">
        <v>769</v>
      </c>
      <c r="H210" t="s">
        <v>919</v>
      </c>
      <c r="I210">
        <v>14800</v>
      </c>
      <c r="J210" t="s">
        <v>1</v>
      </c>
      <c r="K210">
        <v>100</v>
      </c>
      <c r="L210">
        <v>50</v>
      </c>
      <c r="M210">
        <v>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1231</v>
      </c>
      <c r="AC210" t="s">
        <v>1240</v>
      </c>
      <c r="AD210" s="18" t="s">
        <v>1157</v>
      </c>
      <c r="AE210" t="s">
        <v>4</v>
      </c>
      <c r="AF210" t="s">
        <v>1</v>
      </c>
      <c r="AG210" t="s">
        <v>1</v>
      </c>
      <c r="AH210" t="s">
        <v>140</v>
      </c>
      <c r="AI210" t="s">
        <v>1790</v>
      </c>
      <c r="AJ210" t="s">
        <v>1</v>
      </c>
      <c r="AK210">
        <v>9141145469</v>
      </c>
      <c r="AL210" t="s">
        <v>1</v>
      </c>
      <c r="AM210" t="s">
        <v>1</v>
      </c>
      <c r="AN210" t="s">
        <v>1</v>
      </c>
      <c r="AO210" t="s">
        <v>140</v>
      </c>
      <c r="AP210" t="s">
        <v>1</v>
      </c>
      <c r="AQ210" t="s">
        <v>2</v>
      </c>
      <c r="AR210" t="s">
        <v>1</v>
      </c>
      <c r="AS210" t="s">
        <v>1</v>
      </c>
      <c r="AT210" t="s">
        <v>1</v>
      </c>
      <c r="AU210" t="s">
        <v>1</v>
      </c>
      <c r="AV210" t="s">
        <v>1</v>
      </c>
      <c r="AW210" t="s">
        <v>11</v>
      </c>
      <c r="AX210">
        <f>Tabla1[[#This Row],[precio del paquete]]-Tabla1[[#This Row],[Saldo_Deudor]]</f>
        <v>800</v>
      </c>
      <c r="AY210">
        <v>14000</v>
      </c>
      <c r="AZ210" t="s">
        <v>3</v>
      </c>
      <c r="BA210" t="s">
        <v>3</v>
      </c>
      <c r="BB210" t="s">
        <v>3</v>
      </c>
      <c r="BC210" t="s">
        <v>777</v>
      </c>
      <c r="BD210" t="s">
        <v>1885</v>
      </c>
      <c r="BE210" t="s">
        <v>3</v>
      </c>
      <c r="BF210" t="s">
        <v>3</v>
      </c>
      <c r="BG210" t="s">
        <v>3</v>
      </c>
      <c r="BH210" t="s">
        <v>3</v>
      </c>
      <c r="BI210" t="s">
        <v>3</v>
      </c>
      <c r="BJ210" t="s">
        <v>1944</v>
      </c>
      <c r="BK210" t="s">
        <v>3</v>
      </c>
      <c r="BL210" t="s">
        <v>132</v>
      </c>
      <c r="BM210" t="s">
        <v>1</v>
      </c>
      <c r="BN210">
        <f>Tabla1[[#This Row],[precio del paquete]]</f>
        <v>14800</v>
      </c>
      <c r="BO210" t="s">
        <v>1</v>
      </c>
      <c r="BP210" t="s">
        <v>1</v>
      </c>
      <c r="BQ210" t="s">
        <v>1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0</v>
      </c>
      <c r="BX210" t="s">
        <v>1</v>
      </c>
      <c r="BY210" t="s">
        <v>1</v>
      </c>
      <c r="BZ210" t="s">
        <v>1</v>
      </c>
      <c r="CA210" t="s">
        <v>1</v>
      </c>
      <c r="CB210" t="s">
        <v>1</v>
      </c>
      <c r="CD210" t="str" cm="1">
        <f t="array" aca="1" ref="CD210" ca="1">eConcatenar(A210:CB210,"|")</f>
        <v>5LVwxZLlPpEQCN77|CAR2021-7097|3|MEMORIAL|TABASCO|CUNDUACAN|CUNDUACAN|2021-11-23|14800|X|100|50|1|0|0|0|0|0|0|0|0|0|0|0|0|0|0|TORRES|SUAREZ|MARIBEL|SOLTERO|X|X|CARRETERA A BENITO JUAREZ|EJIDO HUIMANGO SEGUNDA SECCION LA MONA|X|9141145469|X|X|X|CARRETERA A BENITO JUAREZ|X|LUNES|X|X|X|X|X|DOMICILIO |800|14000|x|x|x|2022-08-02|2022-08-09|x|x|x|x|x|KYMDH4NUTCJVUQD|x|HOMBRE|X|14800|X|X|X|X|X|X|X|X|CARDENAS|X|X|X|X|X</v>
      </c>
    </row>
    <row r="211" spans="1:82" x14ac:dyDescent="0.25">
      <c r="A211" t="s">
        <v>345</v>
      </c>
      <c r="B211" t="s">
        <v>656</v>
      </c>
      <c r="C211">
        <v>3</v>
      </c>
      <c r="D211" t="s">
        <v>761</v>
      </c>
      <c r="E211" t="s">
        <v>1398</v>
      </c>
      <c r="F211" t="s">
        <v>0</v>
      </c>
      <c r="G211" t="s">
        <v>0</v>
      </c>
      <c r="H211" t="s">
        <v>920</v>
      </c>
      <c r="I211">
        <v>14800</v>
      </c>
      <c r="J211" t="s">
        <v>1</v>
      </c>
      <c r="K211">
        <v>100</v>
      </c>
      <c r="L211">
        <v>50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1241</v>
      </c>
      <c r="AC211" t="s">
        <v>1247</v>
      </c>
      <c r="AD211" s="18" t="s">
        <v>1034</v>
      </c>
      <c r="AE211" t="s">
        <v>4</v>
      </c>
      <c r="AF211" t="s">
        <v>1</v>
      </c>
      <c r="AG211" t="s">
        <v>1</v>
      </c>
      <c r="AH211" t="s">
        <v>1578</v>
      </c>
      <c r="AI211" t="s">
        <v>1791</v>
      </c>
      <c r="AJ211" t="s">
        <v>1</v>
      </c>
      <c r="AK211">
        <v>9371051223</v>
      </c>
      <c r="AL211" t="s">
        <v>1</v>
      </c>
      <c r="AM211" t="s">
        <v>1</v>
      </c>
      <c r="AN211" t="s">
        <v>1</v>
      </c>
      <c r="AO211" t="s">
        <v>1578</v>
      </c>
      <c r="AP211" t="s">
        <v>1</v>
      </c>
      <c r="AQ211" t="s">
        <v>2</v>
      </c>
      <c r="AR211" t="s">
        <v>1</v>
      </c>
      <c r="AS211" t="s">
        <v>1</v>
      </c>
      <c r="AT211" t="s">
        <v>1</v>
      </c>
      <c r="AU211" t="s">
        <v>1</v>
      </c>
      <c r="AV211" t="s">
        <v>1</v>
      </c>
      <c r="AW211" t="s">
        <v>11</v>
      </c>
      <c r="AX211">
        <f>Tabla1[[#This Row],[precio del paquete]]-Tabla1[[#This Row],[Saldo_Deudor]]</f>
        <v>900</v>
      </c>
      <c r="AY211">
        <v>13900</v>
      </c>
      <c r="AZ211" t="s">
        <v>3</v>
      </c>
      <c r="BA211" t="s">
        <v>3</v>
      </c>
      <c r="BB211" t="s">
        <v>3</v>
      </c>
      <c r="BC211" t="s">
        <v>1845</v>
      </c>
      <c r="BD211" t="s">
        <v>794</v>
      </c>
      <c r="BE211" t="s">
        <v>3</v>
      </c>
      <c r="BF211" t="s">
        <v>3</v>
      </c>
      <c r="BG211" t="s">
        <v>3</v>
      </c>
      <c r="BH211" t="s">
        <v>3</v>
      </c>
      <c r="BI211" t="s">
        <v>3</v>
      </c>
      <c r="BJ211" t="s">
        <v>1944</v>
      </c>
      <c r="BK211" t="s">
        <v>3</v>
      </c>
      <c r="BL211" t="s">
        <v>132</v>
      </c>
      <c r="BM211" t="s">
        <v>1</v>
      </c>
      <c r="BN211">
        <f>Tabla1[[#This Row],[precio del paquete]]</f>
        <v>14800</v>
      </c>
      <c r="BO211" t="s">
        <v>1</v>
      </c>
      <c r="BP211" t="s">
        <v>1</v>
      </c>
      <c r="BQ211" t="s">
        <v>1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0</v>
      </c>
      <c r="BX211" t="s">
        <v>1</v>
      </c>
      <c r="BY211" t="s">
        <v>1</v>
      </c>
      <c r="BZ211" t="s">
        <v>1</v>
      </c>
      <c r="CA211" t="s">
        <v>1</v>
      </c>
      <c r="CB211" t="s">
        <v>1</v>
      </c>
      <c r="CD211" t="str" cm="1">
        <f t="array" aca="1" ref="CD211" ca="1">eConcatenar(A211:CB211,"|")</f>
        <v>X8nwXcOwNiX5fuME|CAR2021-5658|3|MEMORIAL|TABASCO|CARDENAS|CARDENAS|2021-09-27|14800|X|100|50|1|0|0|0|0|0|0|0|0|0|0|0|0|0|0|NARANJO|SANCHEZ|JULIA|SOLTERO|X|X|AVENIDA CAÃ‘AVERAL MANZANA 14 LOTE 7|FRACCIONAMIENTO CAÃ‘ALES|X|9371051223|X|X|X|AVENIDA CAÃ‘AVERAL MANZANA 14 LOTE 7|X|LUNES|X|X|X|X|X|DOMICILIO |900|13900|x|x|x|2022-01-19|2022-01-26|x|x|x|x|x|KYMDH4NUTCJVUQD|x|HOMBRE|X|14800|X|X|X|X|X|X|X|X|CARDENAS|X|X|X|X|X</v>
      </c>
    </row>
    <row r="212" spans="1:82" x14ac:dyDescent="0.25">
      <c r="A212" t="s">
        <v>346</v>
      </c>
      <c r="B212" t="s">
        <v>657</v>
      </c>
      <c r="C212">
        <v>3</v>
      </c>
      <c r="D212" t="s">
        <v>766</v>
      </c>
      <c r="E212" t="s">
        <v>1398</v>
      </c>
      <c r="F212" t="s">
        <v>0</v>
      </c>
      <c r="G212" t="s">
        <v>0</v>
      </c>
      <c r="H212" t="s">
        <v>921</v>
      </c>
      <c r="I212">
        <v>12900</v>
      </c>
      <c r="J212" t="s">
        <v>1</v>
      </c>
      <c r="K212">
        <v>200</v>
      </c>
      <c r="L212">
        <v>50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1294</v>
      </c>
      <c r="AC212" t="s">
        <v>1247</v>
      </c>
      <c r="AD212" s="18" t="s">
        <v>1158</v>
      </c>
      <c r="AE212" t="s">
        <v>4</v>
      </c>
      <c r="AF212" t="s">
        <v>1</v>
      </c>
      <c r="AG212" t="s">
        <v>1</v>
      </c>
      <c r="AH212" t="s">
        <v>1579</v>
      </c>
      <c r="AI212" t="s">
        <v>1723</v>
      </c>
      <c r="AJ212" t="s">
        <v>1</v>
      </c>
      <c r="AK212">
        <v>9371662307</v>
      </c>
      <c r="AL212" t="s">
        <v>1</v>
      </c>
      <c r="AM212" t="s">
        <v>1</v>
      </c>
      <c r="AN212" t="s">
        <v>1</v>
      </c>
      <c r="AO212" t="s">
        <v>1579</v>
      </c>
      <c r="AP212" t="s">
        <v>1</v>
      </c>
      <c r="AQ212" t="s">
        <v>2</v>
      </c>
      <c r="AR212" t="s">
        <v>1</v>
      </c>
      <c r="AS212" t="s">
        <v>1</v>
      </c>
      <c r="AT212" t="s">
        <v>1</v>
      </c>
      <c r="AU212" t="s">
        <v>1</v>
      </c>
      <c r="AV212" t="s">
        <v>1</v>
      </c>
      <c r="AW212" t="s">
        <v>11</v>
      </c>
      <c r="AX212">
        <f>Tabla1[[#This Row],[precio del paquete]]-Tabla1[[#This Row],[Saldo_Deudor]]</f>
        <v>5360</v>
      </c>
      <c r="AY212">
        <v>7540</v>
      </c>
      <c r="AZ212" t="s">
        <v>3</v>
      </c>
      <c r="BA212" t="s">
        <v>3</v>
      </c>
      <c r="BB212" t="s">
        <v>3</v>
      </c>
      <c r="BC212" t="s">
        <v>774</v>
      </c>
      <c r="BD212" t="s">
        <v>1881</v>
      </c>
      <c r="BE212" t="s">
        <v>3</v>
      </c>
      <c r="BF212" t="s">
        <v>3</v>
      </c>
      <c r="BG212" t="s">
        <v>3</v>
      </c>
      <c r="BH212" t="s">
        <v>3</v>
      </c>
      <c r="BI212" t="s">
        <v>3</v>
      </c>
      <c r="BJ212" t="s">
        <v>1944</v>
      </c>
      <c r="BK212" t="s">
        <v>3</v>
      </c>
      <c r="BL212" t="s">
        <v>132</v>
      </c>
      <c r="BM212" t="s">
        <v>1</v>
      </c>
      <c r="BN212">
        <f>Tabla1[[#This Row],[precio del paquete]]</f>
        <v>12900</v>
      </c>
      <c r="BO212" t="s">
        <v>1</v>
      </c>
      <c r="BP212" t="s">
        <v>1</v>
      </c>
      <c r="BQ212" t="s">
        <v>1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0</v>
      </c>
      <c r="BX212" t="s">
        <v>1</v>
      </c>
      <c r="BY212" t="s">
        <v>1</v>
      </c>
      <c r="BZ212" t="s">
        <v>1</v>
      </c>
      <c r="CA212" t="s">
        <v>1</v>
      </c>
      <c r="CB212" t="s">
        <v>1</v>
      </c>
      <c r="CD212" t="str" cm="1">
        <f t="array" aca="1" ref="CD212" ca="1">eConcatenar(A212:CB212,"|")</f>
        <v>bk7NiONnk43JUJ6m|CAR2020-4607|3|ECONOLINE|TABASCO|CARDENAS|CARDENAS|2020-10-11|12900|X|200|50|1|0|0|0|0|0|0|0|0|0|0|0|0|0|0|AQUINO|SANCHEZ|MIGDALIA|SOLTERO|X|X|CAMINO VECINAL LOS CAÃ‘ALES|AMPLIACION CARRIZAL|X|9371662307|X|X|X|CAMINO VECINAL LOS CAÃ‘ALES|X|LUNES|X|X|X|X|X|DOMICILIO |5360|7540|x|x|x|2022-02-02|2022-02-09|x|x|x|x|x|KYMDH4NUTCJVUQD|x|HOMBRE|X|12900|X|X|X|X|X|X|X|X|CARDENAS|X|X|X|X|X</v>
      </c>
    </row>
    <row r="213" spans="1:82" x14ac:dyDescent="0.25">
      <c r="A213" t="s">
        <v>347</v>
      </c>
      <c r="B213" t="s">
        <v>658</v>
      </c>
      <c r="C213">
        <v>3</v>
      </c>
      <c r="D213" t="s">
        <v>761</v>
      </c>
      <c r="E213" t="s">
        <v>1398</v>
      </c>
      <c r="F213" t="s">
        <v>770</v>
      </c>
      <c r="G213" t="s">
        <v>770</v>
      </c>
      <c r="H213" t="s">
        <v>922</v>
      </c>
      <c r="I213">
        <v>14800</v>
      </c>
      <c r="J213" t="s">
        <v>1</v>
      </c>
      <c r="K213">
        <v>100</v>
      </c>
      <c r="L213">
        <v>50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1266</v>
      </c>
      <c r="AC213" t="s">
        <v>1358</v>
      </c>
      <c r="AD213" s="18" t="s">
        <v>1090</v>
      </c>
      <c r="AE213" t="s">
        <v>4</v>
      </c>
      <c r="AF213" t="s">
        <v>1</v>
      </c>
      <c r="AG213" t="s">
        <v>1</v>
      </c>
      <c r="AH213" t="s">
        <v>1580</v>
      </c>
      <c r="AI213" t="s">
        <v>1792</v>
      </c>
      <c r="AJ213" t="s">
        <v>1</v>
      </c>
      <c r="AK213">
        <v>9331016927</v>
      </c>
      <c r="AL213" t="s">
        <v>1</v>
      </c>
      <c r="AM213" t="s">
        <v>1</v>
      </c>
      <c r="AN213" t="s">
        <v>1</v>
      </c>
      <c r="AO213" t="s">
        <v>1580</v>
      </c>
      <c r="AP213" t="s">
        <v>1</v>
      </c>
      <c r="AQ213" t="s">
        <v>2</v>
      </c>
      <c r="AR213" t="s">
        <v>1</v>
      </c>
      <c r="AS213" t="s">
        <v>1</v>
      </c>
      <c r="AT213" t="s">
        <v>1</v>
      </c>
      <c r="AU213" t="s">
        <v>1</v>
      </c>
      <c r="AV213" t="s">
        <v>1</v>
      </c>
      <c r="AW213" t="s">
        <v>11</v>
      </c>
      <c r="AX213">
        <f>Tabla1[[#This Row],[precio del paquete]]-Tabla1[[#This Row],[Saldo_Deudor]]</f>
        <v>1150</v>
      </c>
      <c r="AY213">
        <v>13650</v>
      </c>
      <c r="AZ213" t="s">
        <v>3</v>
      </c>
      <c r="BA213" t="s">
        <v>3</v>
      </c>
      <c r="BB213" t="s">
        <v>3</v>
      </c>
      <c r="BC213" t="s">
        <v>1873</v>
      </c>
      <c r="BD213" t="s">
        <v>1863</v>
      </c>
      <c r="BE213" t="s">
        <v>3</v>
      </c>
      <c r="BF213" t="s">
        <v>3</v>
      </c>
      <c r="BG213" t="s">
        <v>3</v>
      </c>
      <c r="BH213" t="s">
        <v>3</v>
      </c>
      <c r="BI213" t="s">
        <v>3</v>
      </c>
      <c r="BJ213" t="s">
        <v>1944</v>
      </c>
      <c r="BK213" t="s">
        <v>3</v>
      </c>
      <c r="BL213" t="s">
        <v>132</v>
      </c>
      <c r="BM213" t="s">
        <v>1</v>
      </c>
      <c r="BN213">
        <f>Tabla1[[#This Row],[precio del paquete]]</f>
        <v>14800</v>
      </c>
      <c r="BO213" t="s">
        <v>1</v>
      </c>
      <c r="BP213" t="s">
        <v>1</v>
      </c>
      <c r="BQ213" t="s">
        <v>1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0</v>
      </c>
      <c r="BX213" t="s">
        <v>1</v>
      </c>
      <c r="BY213" t="s">
        <v>1</v>
      </c>
      <c r="BZ213" t="s">
        <v>1</v>
      </c>
      <c r="CA213" t="s">
        <v>1</v>
      </c>
      <c r="CB213" t="s">
        <v>1</v>
      </c>
      <c r="CD213" t="str" cm="1">
        <f t="array" aca="1" ref="CD213" ca="1">eConcatenar(A213:CB213,"|")</f>
        <v>yRci9e4SoTVMLySy|COM2021-2838|3|MEMORIAL|TABASCO|COMALCALCO|COMALCALCO|2021-06-23|14800|X|100|50|1|0|0|0|0|0|0|0|0|0|0|0|0|0|0|HERNANDEZ|BADAI|MARIA DEL CARMEN|SOLTERO|X|X|CARRETERA A LA TRINIDAD SIN NUMERO|EJIDO SAN FELIPE CARRILLO PUERTO|X|9331016927|X|X|X|CARRETERA A LA TRINIDAD SIN NUMERO|X|LUNES|X|X|X|X|X|DOMICILIO |1150|13650|x|x|x|2022-01-18|2022-01-25|x|x|x|x|x|KYMDH4NUTCJVUQD|x|HOMBRE|X|14800|X|X|X|X|X|X|X|X|CARDENAS|X|X|X|X|X</v>
      </c>
    </row>
    <row r="214" spans="1:82" x14ac:dyDescent="0.25">
      <c r="A214" t="s">
        <v>348</v>
      </c>
      <c r="B214" t="s">
        <v>659</v>
      </c>
      <c r="C214">
        <v>3</v>
      </c>
      <c r="D214" t="s">
        <v>761</v>
      </c>
      <c r="E214" t="s">
        <v>1398</v>
      </c>
      <c r="F214" t="s">
        <v>769</v>
      </c>
      <c r="G214" t="s">
        <v>769</v>
      </c>
      <c r="H214" t="s">
        <v>923</v>
      </c>
      <c r="I214">
        <v>14800</v>
      </c>
      <c r="J214" t="s">
        <v>1</v>
      </c>
      <c r="K214">
        <v>200</v>
      </c>
      <c r="L214">
        <v>50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1359</v>
      </c>
      <c r="AC214" t="s">
        <v>1360</v>
      </c>
      <c r="AD214" s="18" t="s">
        <v>1138</v>
      </c>
      <c r="AE214" t="s">
        <v>4</v>
      </c>
      <c r="AF214" t="s">
        <v>1</v>
      </c>
      <c r="AG214" t="s">
        <v>1</v>
      </c>
      <c r="AH214" t="s">
        <v>1472</v>
      </c>
      <c r="AI214" t="s">
        <v>1793</v>
      </c>
      <c r="AJ214" t="s">
        <v>1</v>
      </c>
      <c r="AK214">
        <v>9141205640</v>
      </c>
      <c r="AL214" t="s">
        <v>1</v>
      </c>
      <c r="AM214" t="s">
        <v>1</v>
      </c>
      <c r="AN214" t="s">
        <v>1</v>
      </c>
      <c r="AO214" t="s">
        <v>1472</v>
      </c>
      <c r="AP214" t="s">
        <v>1</v>
      </c>
      <c r="AQ214" t="s">
        <v>2</v>
      </c>
      <c r="AR214" t="s">
        <v>1</v>
      </c>
      <c r="AS214" t="s">
        <v>1</v>
      </c>
      <c r="AT214" t="s">
        <v>1</v>
      </c>
      <c r="AU214" t="s">
        <v>1</v>
      </c>
      <c r="AV214" t="s">
        <v>1</v>
      </c>
      <c r="AW214" t="s">
        <v>11</v>
      </c>
      <c r="AX214">
        <f>Tabla1[[#This Row],[precio del paquete]]-Tabla1[[#This Row],[Saldo_Deudor]]</f>
        <v>1400</v>
      </c>
      <c r="AY214">
        <v>13400</v>
      </c>
      <c r="AZ214" t="s">
        <v>3</v>
      </c>
      <c r="BA214" t="s">
        <v>3</v>
      </c>
      <c r="BB214" t="s">
        <v>3</v>
      </c>
      <c r="BC214" t="s">
        <v>777</v>
      </c>
      <c r="BD214" t="s">
        <v>1885</v>
      </c>
      <c r="BE214" t="s">
        <v>3</v>
      </c>
      <c r="BF214" t="s">
        <v>3</v>
      </c>
      <c r="BG214" t="s">
        <v>3</v>
      </c>
      <c r="BH214" t="s">
        <v>3</v>
      </c>
      <c r="BI214" t="s">
        <v>3</v>
      </c>
      <c r="BJ214" t="s">
        <v>1944</v>
      </c>
      <c r="BK214" t="s">
        <v>3</v>
      </c>
      <c r="BL214" t="s">
        <v>132</v>
      </c>
      <c r="BM214" t="s">
        <v>1</v>
      </c>
      <c r="BN214">
        <f>Tabla1[[#This Row],[precio del paquete]]</f>
        <v>14800</v>
      </c>
      <c r="BO214" t="s">
        <v>1</v>
      </c>
      <c r="BP214" t="s">
        <v>1</v>
      </c>
      <c r="BQ214" t="s">
        <v>1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0</v>
      </c>
      <c r="BX214" t="s">
        <v>1</v>
      </c>
      <c r="BY214" t="s">
        <v>1</v>
      </c>
      <c r="BZ214" t="s">
        <v>1</v>
      </c>
      <c r="CA214" t="s">
        <v>1</v>
      </c>
      <c r="CB214" t="s">
        <v>1</v>
      </c>
      <c r="CD214" t="str" cm="1">
        <f t="array" aca="1" ref="CD214" ca="1">eConcatenar(A214:CB214,"|")</f>
        <v>HY6aS6NTxSvT3mln|CAR2021-6816|3|MEMORIAL|TABASCO|CUNDUACAN|CUNDUACAN|2021-09-11|14800|X|200|50|1|0|0|0|0|0|0|0|0|0|0|0|0|0|0|BROCA|ALEGRIA|ADAN|SOLTERO|X|X|CALLE PRINCIPAL SIN NUMERO|EJIDO EL PROGRESO|X|9141205640|X|X|X|CALLE PRINCIPAL SIN NUMERO|X|LUNES|X|X|X|X|X|DOMICILIO |1400|13400|x|x|x|2022-08-02|2022-08-09|x|x|x|x|x|KYMDH4NUTCJVUQD|x|HOMBRE|X|14800|X|X|X|X|X|X|X|X|CARDENAS|X|X|X|X|X</v>
      </c>
    </row>
    <row r="215" spans="1:82" x14ac:dyDescent="0.25">
      <c r="A215" t="s">
        <v>349</v>
      </c>
      <c r="B215" t="s">
        <v>660</v>
      </c>
      <c r="C215">
        <v>3</v>
      </c>
      <c r="D215" t="s">
        <v>761</v>
      </c>
      <c r="E215" t="s">
        <v>1398</v>
      </c>
      <c r="F215" t="s">
        <v>769</v>
      </c>
      <c r="G215" t="s">
        <v>769</v>
      </c>
      <c r="H215" t="s">
        <v>924</v>
      </c>
      <c r="I215">
        <v>14800</v>
      </c>
      <c r="J215" t="s">
        <v>1</v>
      </c>
      <c r="K215">
        <v>200</v>
      </c>
      <c r="L215">
        <v>50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7</v>
      </c>
      <c r="AC215" t="s">
        <v>1246</v>
      </c>
      <c r="AD215" s="18" t="s">
        <v>1159</v>
      </c>
      <c r="AE215" t="s">
        <v>4</v>
      </c>
      <c r="AF215" t="s">
        <v>1</v>
      </c>
      <c r="AG215" t="s">
        <v>1</v>
      </c>
      <c r="AH215" t="s">
        <v>1581</v>
      </c>
      <c r="AI215" t="s">
        <v>1726</v>
      </c>
      <c r="AJ215" t="s">
        <v>1</v>
      </c>
      <c r="AK215">
        <v>9141282449</v>
      </c>
      <c r="AL215" t="s">
        <v>1</v>
      </c>
      <c r="AM215" t="s">
        <v>1</v>
      </c>
      <c r="AN215" t="s">
        <v>1</v>
      </c>
      <c r="AO215" t="s">
        <v>1581</v>
      </c>
      <c r="AP215" t="s">
        <v>1</v>
      </c>
      <c r="AQ215" t="s">
        <v>2</v>
      </c>
      <c r="AR215" t="s">
        <v>1</v>
      </c>
      <c r="AS215" t="s">
        <v>1</v>
      </c>
      <c r="AT215" t="s">
        <v>1</v>
      </c>
      <c r="AU215" t="s">
        <v>1</v>
      </c>
      <c r="AV215" t="s">
        <v>1</v>
      </c>
      <c r="AW215" t="s">
        <v>11</v>
      </c>
      <c r="AX215">
        <f>Tabla1[[#This Row],[precio del paquete]]-Tabla1[[#This Row],[Saldo_Deudor]]</f>
        <v>1400</v>
      </c>
      <c r="AY215">
        <v>13400</v>
      </c>
      <c r="AZ215" t="s">
        <v>3</v>
      </c>
      <c r="BA215" t="s">
        <v>3</v>
      </c>
      <c r="BB215" t="s">
        <v>3</v>
      </c>
      <c r="BC215" t="s">
        <v>791</v>
      </c>
      <c r="BD215" t="s">
        <v>1929</v>
      </c>
      <c r="BE215" t="s">
        <v>3</v>
      </c>
      <c r="BF215" t="s">
        <v>3</v>
      </c>
      <c r="BG215" t="s">
        <v>3</v>
      </c>
      <c r="BH215" t="s">
        <v>3</v>
      </c>
      <c r="BI215" t="s">
        <v>3</v>
      </c>
      <c r="BJ215" t="s">
        <v>1944</v>
      </c>
      <c r="BK215" t="s">
        <v>3</v>
      </c>
      <c r="BL215" t="s">
        <v>132</v>
      </c>
      <c r="BM215" t="s">
        <v>1</v>
      </c>
      <c r="BN215">
        <f>Tabla1[[#This Row],[precio del paquete]]</f>
        <v>14800</v>
      </c>
      <c r="BO215" t="s">
        <v>1</v>
      </c>
      <c r="BP215" t="s">
        <v>1</v>
      </c>
      <c r="BQ215" t="s">
        <v>1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0</v>
      </c>
      <c r="BX215" t="s">
        <v>1</v>
      </c>
      <c r="BY215" t="s">
        <v>1</v>
      </c>
      <c r="BZ215" t="s">
        <v>1</v>
      </c>
      <c r="CA215" t="s">
        <v>1</v>
      </c>
      <c r="CB215" t="s">
        <v>1</v>
      </c>
      <c r="CD215" t="str" cm="1">
        <f t="array" aca="1" ref="CD215" ca="1">eConcatenar(A215:CB215,"|")</f>
        <v>wiDmlLqANWltBJjR|CAR2021-5403|3|MEMORIAL|TABASCO|CUNDUACAN|CUNDUACAN|2021-09-15|14800|X|200|50|1|0|0|0|0|0|0|0|0|0|0|0|0|0|0|LOPEZ|MORALES|DAVID|SOLTERO|X|X|ENTRADA LA TRINIDAD IZQUIERDO ANTES DE LLEGAR AL TALLER|RANCHERIA RIO SECO SEGUNDA SECCION|X|9141282449|X|X|X|ENTRADA LA TRINIDAD IZQUIERDO ANTES DE LLEGAR AL TALLER|X|LUNES|X|X|X|X|X|DOMICILIO |1400|13400|x|x|x|2022-01-17|2022-01-24|x|x|x|x|x|KYMDH4NUTCJVUQD|x|HOMBRE|X|14800|X|X|X|X|X|X|X|X|CARDENAS|X|X|X|X|X</v>
      </c>
    </row>
    <row r="216" spans="1:82" x14ac:dyDescent="0.25">
      <c r="A216" t="s">
        <v>350</v>
      </c>
      <c r="B216" t="s">
        <v>661</v>
      </c>
      <c r="C216">
        <v>3</v>
      </c>
      <c r="D216" t="s">
        <v>763</v>
      </c>
      <c r="E216" t="s">
        <v>1398</v>
      </c>
      <c r="F216" t="s">
        <v>770</v>
      </c>
      <c r="G216" t="s">
        <v>770</v>
      </c>
      <c r="H216" t="s">
        <v>925</v>
      </c>
      <c r="I216">
        <v>12900</v>
      </c>
      <c r="J216" t="s">
        <v>1</v>
      </c>
      <c r="K216">
        <v>200</v>
      </c>
      <c r="L216">
        <v>50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1266</v>
      </c>
      <c r="AC216" t="s">
        <v>1247</v>
      </c>
      <c r="AD216" s="18" t="s">
        <v>1089</v>
      </c>
      <c r="AE216" t="s">
        <v>4</v>
      </c>
      <c r="AF216" t="s">
        <v>1</v>
      </c>
      <c r="AG216" t="s">
        <v>1</v>
      </c>
      <c r="AH216" t="s">
        <v>1582</v>
      </c>
      <c r="AI216" t="s">
        <v>1794</v>
      </c>
      <c r="AJ216" t="s">
        <v>1</v>
      </c>
      <c r="AK216">
        <v>9331533402</v>
      </c>
      <c r="AL216" t="s">
        <v>1</v>
      </c>
      <c r="AM216" t="s">
        <v>1</v>
      </c>
      <c r="AN216" t="s">
        <v>1</v>
      </c>
      <c r="AO216" t="s">
        <v>1582</v>
      </c>
      <c r="AP216" t="s">
        <v>1</v>
      </c>
      <c r="AQ216" t="s">
        <v>2</v>
      </c>
      <c r="AR216" t="s">
        <v>1</v>
      </c>
      <c r="AS216" t="s">
        <v>1</v>
      </c>
      <c r="AT216" t="s">
        <v>1</v>
      </c>
      <c r="AU216" t="s">
        <v>1</v>
      </c>
      <c r="AV216" t="s">
        <v>1</v>
      </c>
      <c r="AW216" t="s">
        <v>11</v>
      </c>
      <c r="AX216">
        <f>Tabla1[[#This Row],[precio del paquete]]-Tabla1[[#This Row],[Saldo_Deudor]]</f>
        <v>11000</v>
      </c>
      <c r="AY216">
        <v>1900</v>
      </c>
      <c r="AZ216" t="s">
        <v>3</v>
      </c>
      <c r="BA216" t="s">
        <v>3</v>
      </c>
      <c r="BB216" t="s">
        <v>3</v>
      </c>
      <c r="BC216" t="s">
        <v>1874</v>
      </c>
      <c r="BD216" t="s">
        <v>1877</v>
      </c>
      <c r="BE216" t="s">
        <v>3</v>
      </c>
      <c r="BF216" t="s">
        <v>3</v>
      </c>
      <c r="BG216" t="s">
        <v>3</v>
      </c>
      <c r="BH216" t="s">
        <v>3</v>
      </c>
      <c r="BI216" t="s">
        <v>3</v>
      </c>
      <c r="BJ216" t="s">
        <v>1945</v>
      </c>
      <c r="BK216" t="s">
        <v>3</v>
      </c>
      <c r="BL216" t="s">
        <v>132</v>
      </c>
      <c r="BM216" t="s">
        <v>1</v>
      </c>
      <c r="BN216">
        <f>Tabla1[[#This Row],[precio del paquete]]</f>
        <v>12900</v>
      </c>
      <c r="BO216" t="s">
        <v>1</v>
      </c>
      <c r="BP216" t="s">
        <v>1</v>
      </c>
      <c r="BQ216" t="s">
        <v>1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0</v>
      </c>
      <c r="BX216" t="s">
        <v>1</v>
      </c>
      <c r="BY216" t="s">
        <v>1</v>
      </c>
      <c r="BZ216" t="s">
        <v>1</v>
      </c>
      <c r="CA216" t="s">
        <v>1</v>
      </c>
      <c r="CB216" t="s">
        <v>1</v>
      </c>
      <c r="CD216" t="str" cm="1">
        <f t="array" aca="1" ref="CD216" ca="1">eConcatenar(A216:CB216,"|")</f>
        <v>bbFMfFU5LPldLFVI|COM2020-1563|3|IMPERIAL DE LUJO|TABASCO|COMALCALCO|COMALCALCO|2020-11-08|12900|X|200|50|0|0|0|0|0|0|0|0|0|0|0|0|0|0|0|HERNANDEZ|SANCHEZ|DANIEL|SOLTERO|X|X|CALLE FRANCISCO VILLA SIN NUMERO|RANCHERIA ORIENTE SAN CAYETANO|X|9331533402|X|X|X|CALLE FRANCISCO VILLA SIN NUMERO|X|LUNES|X|X|X|X|X|DOMICILIO |11000|1900|x|x|x|2022-02-14|2022-02-21|x|x|x|x|x|LMVFBKKJKSMXN4L|x|HOMBRE|X|12900|X|X|X|X|X|X|X|X|CARDENAS|X|X|X|X|X</v>
      </c>
    </row>
    <row r="217" spans="1:82" x14ac:dyDescent="0.25">
      <c r="A217" t="s">
        <v>351</v>
      </c>
      <c r="B217" t="s">
        <v>662</v>
      </c>
      <c r="C217">
        <v>3</v>
      </c>
      <c r="D217" t="s">
        <v>763</v>
      </c>
      <c r="E217" t="s">
        <v>1398</v>
      </c>
      <c r="F217" t="s">
        <v>770</v>
      </c>
      <c r="G217" t="s">
        <v>770</v>
      </c>
      <c r="H217" t="s">
        <v>926</v>
      </c>
      <c r="I217">
        <v>12900</v>
      </c>
      <c r="J217" t="s">
        <v>1</v>
      </c>
      <c r="K217">
        <v>200</v>
      </c>
      <c r="L217">
        <v>50</v>
      </c>
      <c r="M217">
        <v>1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1235</v>
      </c>
      <c r="AC217" t="s">
        <v>1361</v>
      </c>
      <c r="AD217" s="18" t="s">
        <v>1160</v>
      </c>
      <c r="AE217" t="s">
        <v>4</v>
      </c>
      <c r="AF217" t="s">
        <v>1</v>
      </c>
      <c r="AG217" t="s">
        <v>1</v>
      </c>
      <c r="AH217" t="s">
        <v>1583</v>
      </c>
      <c r="AI217" t="s">
        <v>1583</v>
      </c>
      <c r="AJ217" t="s">
        <v>1</v>
      </c>
      <c r="AK217" t="s">
        <v>1</v>
      </c>
      <c r="AL217" t="s">
        <v>1</v>
      </c>
      <c r="AM217" t="s">
        <v>1</v>
      </c>
      <c r="AN217" t="s">
        <v>1</v>
      </c>
      <c r="AO217" t="s">
        <v>1583</v>
      </c>
      <c r="AP217" t="s">
        <v>1</v>
      </c>
      <c r="AQ217" t="s">
        <v>2</v>
      </c>
      <c r="AR217" t="s">
        <v>1</v>
      </c>
      <c r="AS217" t="s">
        <v>1</v>
      </c>
      <c r="AT217" t="s">
        <v>1</v>
      </c>
      <c r="AU217" t="s">
        <v>1</v>
      </c>
      <c r="AV217" t="s">
        <v>1</v>
      </c>
      <c r="AW217" t="s">
        <v>11</v>
      </c>
      <c r="AX217">
        <f>Tabla1[[#This Row],[precio del paquete]]-Tabla1[[#This Row],[Saldo_Deudor]]</f>
        <v>8300</v>
      </c>
      <c r="AY217">
        <v>4600</v>
      </c>
      <c r="AZ217" t="s">
        <v>3</v>
      </c>
      <c r="BA217" t="s">
        <v>3</v>
      </c>
      <c r="BB217" t="s">
        <v>3</v>
      </c>
      <c r="BC217" t="s">
        <v>1874</v>
      </c>
      <c r="BD217" t="s">
        <v>1877</v>
      </c>
      <c r="BE217" t="s">
        <v>3</v>
      </c>
      <c r="BF217" t="s">
        <v>3</v>
      </c>
      <c r="BG217" t="s">
        <v>3</v>
      </c>
      <c r="BH217" t="s">
        <v>3</v>
      </c>
      <c r="BI217" t="s">
        <v>3</v>
      </c>
      <c r="BJ217" t="s">
        <v>1945</v>
      </c>
      <c r="BK217" t="s">
        <v>3</v>
      </c>
      <c r="BL217" t="s">
        <v>132</v>
      </c>
      <c r="BM217" t="s">
        <v>1</v>
      </c>
      <c r="BN217">
        <f>Tabla1[[#This Row],[precio del paquete]]</f>
        <v>12900</v>
      </c>
      <c r="BO217" t="s">
        <v>1</v>
      </c>
      <c r="BP217" t="s">
        <v>1</v>
      </c>
      <c r="BQ217" t="s">
        <v>1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0</v>
      </c>
      <c r="BX217" t="s">
        <v>1</v>
      </c>
      <c r="BY217" t="s">
        <v>1</v>
      </c>
      <c r="BZ217" t="s">
        <v>1</v>
      </c>
      <c r="CA217" t="s">
        <v>1</v>
      </c>
      <c r="CB217" t="s">
        <v>1</v>
      </c>
      <c r="CD217" t="str" cm="1">
        <f t="array" aca="1" ref="CD217" ca="1">eConcatenar(A217:CB217,"|")</f>
        <v>g3UbeT94gOjcHE90|CAR2020-1727|3|IMPERIAL DE LUJO|TABASCO|COMALCALCO|COMALCALCO|2020-03-03|12900|X|200|50|1|0|0|0|0|0|0|0|0|0|0|0|0|0|0|IZQUIERDO|ANGULO|MANUEL REYES|SOLTERO|X|X|EJIDO MONTE ADENTRO|EJIDO MONTE ADENTRO|X|X|X|X|X|EJIDO MONTE ADENTRO|X|LUNES|X|X|X|X|X|DOMICILIO |8300|4600|x|x|x|2022-02-14|2022-02-21|x|x|x|x|x|LMVFBKKJKSMXN4L|x|HOMBRE|X|12900|X|X|X|X|X|X|X|X|CARDENAS|X|X|X|X|X</v>
      </c>
    </row>
    <row r="218" spans="1:82" x14ac:dyDescent="0.25">
      <c r="A218" t="s">
        <v>352</v>
      </c>
      <c r="B218" t="s">
        <v>663</v>
      </c>
      <c r="C218">
        <v>3</v>
      </c>
      <c r="D218" t="s">
        <v>761</v>
      </c>
      <c r="E218" t="s">
        <v>1398</v>
      </c>
      <c r="F218" t="s">
        <v>770</v>
      </c>
      <c r="G218" t="s">
        <v>770</v>
      </c>
      <c r="H218" t="s">
        <v>786</v>
      </c>
      <c r="I218">
        <v>14800</v>
      </c>
      <c r="J218" t="s">
        <v>1</v>
      </c>
      <c r="K218">
        <v>100</v>
      </c>
      <c r="L218">
        <v>50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1235</v>
      </c>
      <c r="AC218" t="s">
        <v>1362</v>
      </c>
      <c r="AD218" s="18" t="s">
        <v>1021</v>
      </c>
      <c r="AE218" t="s">
        <v>4</v>
      </c>
      <c r="AF218" t="s">
        <v>1</v>
      </c>
      <c r="AG218" t="s">
        <v>1</v>
      </c>
      <c r="AH218" t="s">
        <v>1584</v>
      </c>
      <c r="AI218" t="s">
        <v>1795</v>
      </c>
      <c r="AJ218" t="s">
        <v>1</v>
      </c>
      <c r="AK218">
        <v>9331329705</v>
      </c>
      <c r="AL218" t="s">
        <v>1</v>
      </c>
      <c r="AM218" t="s">
        <v>1</v>
      </c>
      <c r="AN218" t="s">
        <v>1</v>
      </c>
      <c r="AO218" t="s">
        <v>1584</v>
      </c>
      <c r="AP218" t="s">
        <v>1</v>
      </c>
      <c r="AQ218" t="s">
        <v>2</v>
      </c>
      <c r="AR218" t="s">
        <v>1</v>
      </c>
      <c r="AS218" t="s">
        <v>1</v>
      </c>
      <c r="AT218" t="s">
        <v>1</v>
      </c>
      <c r="AU218" t="s">
        <v>1</v>
      </c>
      <c r="AV218" t="s">
        <v>1</v>
      </c>
      <c r="AW218" t="s">
        <v>11</v>
      </c>
      <c r="AX218">
        <f>Tabla1[[#This Row],[precio del paquete]]-Tabla1[[#This Row],[Saldo_Deudor]]</f>
        <v>1500</v>
      </c>
      <c r="AY218">
        <v>13300</v>
      </c>
      <c r="AZ218" t="s">
        <v>3</v>
      </c>
      <c r="BA218" t="s">
        <v>3</v>
      </c>
      <c r="BB218" t="s">
        <v>3</v>
      </c>
      <c r="BC218" t="s">
        <v>1874</v>
      </c>
      <c r="BD218" t="s">
        <v>1877</v>
      </c>
      <c r="BE218" t="s">
        <v>3</v>
      </c>
      <c r="BF218" t="s">
        <v>3</v>
      </c>
      <c r="BG218" t="s">
        <v>3</v>
      </c>
      <c r="BH218" t="s">
        <v>3</v>
      </c>
      <c r="BI218" t="s">
        <v>3</v>
      </c>
      <c r="BJ218" t="s">
        <v>1945</v>
      </c>
      <c r="BK218" t="s">
        <v>3</v>
      </c>
      <c r="BL218" t="s">
        <v>132</v>
      </c>
      <c r="BM218" t="s">
        <v>1</v>
      </c>
      <c r="BN218">
        <f>Tabla1[[#This Row],[precio del paquete]]</f>
        <v>14800</v>
      </c>
      <c r="BO218" t="s">
        <v>1</v>
      </c>
      <c r="BP218" t="s">
        <v>1</v>
      </c>
      <c r="BQ218" t="s">
        <v>1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0</v>
      </c>
      <c r="BX218" t="s">
        <v>1</v>
      </c>
      <c r="BY218" t="s">
        <v>1</v>
      </c>
      <c r="BZ218" t="s">
        <v>1</v>
      </c>
      <c r="CA218" t="s">
        <v>1</v>
      </c>
      <c r="CB218" t="s">
        <v>1</v>
      </c>
      <c r="CD218" t="str" cm="1">
        <f t="array" aca="1" ref="CD218" ca="1">eConcatenar(A218:CB218,"|")</f>
        <v>ngLFsJk0uRwndt0b|COM2021-3362|3|MEMORIAL|TABASCO|COMALCALCO|COMALCALCO|2021-10-25|14800|X|100|50|0|0|0|0|0|0|0|0|0|0|0|0|0|0|0|IZQUIERDO|SNCHEZ|MARIO|SOLTERO|X|X|ENTRADA DE LOS IZQUIERDO SIN NUMERO|RANCHERIA LAS FLORES|X|9331329705|X|X|X|ENTRADA DE LOS IZQUIERDO SIN NUMERO|X|LUNES|X|X|X|X|X|DOMICILIO |1500|13300|x|x|x|2022-02-14|2022-02-21|x|x|x|x|x|LMVFBKKJKSMXN4L|x|HOMBRE|X|14800|X|X|X|X|X|X|X|X|CARDENAS|X|X|X|X|X</v>
      </c>
    </row>
    <row r="219" spans="1:82" x14ac:dyDescent="0.25">
      <c r="A219" t="s">
        <v>353</v>
      </c>
      <c r="B219" t="s">
        <v>664</v>
      </c>
      <c r="C219">
        <v>3</v>
      </c>
      <c r="D219" t="s">
        <v>763</v>
      </c>
      <c r="E219" t="s">
        <v>1398</v>
      </c>
      <c r="F219" t="s">
        <v>770</v>
      </c>
      <c r="G219" t="s">
        <v>770</v>
      </c>
      <c r="H219" t="s">
        <v>927</v>
      </c>
      <c r="I219">
        <v>12900</v>
      </c>
      <c r="J219" t="s">
        <v>1</v>
      </c>
      <c r="K219">
        <v>500</v>
      </c>
      <c r="L219">
        <v>50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1274</v>
      </c>
      <c r="AC219" t="s">
        <v>1267</v>
      </c>
      <c r="AD219" s="18" t="s">
        <v>1161</v>
      </c>
      <c r="AE219" t="s">
        <v>4</v>
      </c>
      <c r="AF219" t="s">
        <v>1</v>
      </c>
      <c r="AG219" t="s">
        <v>1</v>
      </c>
      <c r="AH219" t="s">
        <v>1585</v>
      </c>
      <c r="AI219" t="s">
        <v>1796</v>
      </c>
      <c r="AJ219" t="s">
        <v>1</v>
      </c>
      <c r="AK219">
        <v>9331378347</v>
      </c>
      <c r="AL219" t="s">
        <v>1</v>
      </c>
      <c r="AM219" t="s">
        <v>1</v>
      </c>
      <c r="AN219" t="s">
        <v>1</v>
      </c>
      <c r="AO219" t="s">
        <v>1585</v>
      </c>
      <c r="AP219" t="s">
        <v>1</v>
      </c>
      <c r="AQ219" t="s">
        <v>2</v>
      </c>
      <c r="AR219" t="s">
        <v>1</v>
      </c>
      <c r="AS219" t="s">
        <v>1</v>
      </c>
      <c r="AT219" t="s">
        <v>1</v>
      </c>
      <c r="AU219" t="s">
        <v>1</v>
      </c>
      <c r="AV219" t="s">
        <v>1</v>
      </c>
      <c r="AW219" t="s">
        <v>11</v>
      </c>
      <c r="AX219">
        <f>Tabla1[[#This Row],[precio del paquete]]-Tabla1[[#This Row],[Saldo_Deudor]]</f>
        <v>8000</v>
      </c>
      <c r="AY219">
        <v>4900</v>
      </c>
      <c r="AZ219" t="s">
        <v>3</v>
      </c>
      <c r="BA219" t="s">
        <v>3</v>
      </c>
      <c r="BB219" t="s">
        <v>3</v>
      </c>
      <c r="BC219" t="s">
        <v>1874</v>
      </c>
      <c r="BD219" t="s">
        <v>1877</v>
      </c>
      <c r="BE219" t="s">
        <v>3</v>
      </c>
      <c r="BF219" t="s">
        <v>3</v>
      </c>
      <c r="BG219" t="s">
        <v>3</v>
      </c>
      <c r="BH219" t="s">
        <v>3</v>
      </c>
      <c r="BI219" t="s">
        <v>3</v>
      </c>
      <c r="BJ219" t="s">
        <v>1945</v>
      </c>
      <c r="BK219" t="s">
        <v>3</v>
      </c>
      <c r="BL219" t="s">
        <v>132</v>
      </c>
      <c r="BM219" t="s">
        <v>1</v>
      </c>
      <c r="BN219">
        <f>Tabla1[[#This Row],[precio del paquete]]</f>
        <v>12900</v>
      </c>
      <c r="BO219" t="s">
        <v>1</v>
      </c>
      <c r="BP219" t="s">
        <v>1</v>
      </c>
      <c r="BQ219" t="s">
        <v>1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0</v>
      </c>
      <c r="BX219" t="s">
        <v>1</v>
      </c>
      <c r="BY219" t="s">
        <v>1</v>
      </c>
      <c r="BZ219" t="s">
        <v>1</v>
      </c>
      <c r="CA219" t="s">
        <v>1</v>
      </c>
      <c r="CB219" t="s">
        <v>1</v>
      </c>
      <c r="CD219" t="str" cm="1">
        <f t="array" aca="1" ref="CD219" ca="1">eConcatenar(A219:CB219,"|")</f>
        <v>6jrejFRqWTPMU0RP|COM2020-1920|3|IMPERIAL DE LUJO|TABASCO|COMALCALCO|COMALCALCO|2020-07-09|12900|X|500|50|2|0|0|0|0|0|0|0|0|0|0|0|0|0|0|ALMEIDA|JIMENEZ|TRINIDAD|SOLTERO|X|X|PASANDO LA ISLA|RANCHERIA LA UNION PRIMERA SECCION|X|9331378347|X|X|X|PASANDO LA ISLA|X|LUNES|X|X|X|X|X|DOMICILIO |8000|4900|x|x|x|2022-02-14|2022-02-21|x|x|x|x|x|LMVFBKKJKSMXN4L|x|HOMBRE|X|12900|X|X|X|X|X|X|X|X|CARDENAS|X|X|X|X|X</v>
      </c>
    </row>
    <row r="220" spans="1:82" x14ac:dyDescent="0.25">
      <c r="A220" t="s">
        <v>354</v>
      </c>
      <c r="B220" t="s">
        <v>665</v>
      </c>
      <c r="C220">
        <v>3</v>
      </c>
      <c r="D220" t="s">
        <v>763</v>
      </c>
      <c r="E220" t="s">
        <v>1398</v>
      </c>
      <c r="F220" t="s">
        <v>771</v>
      </c>
      <c r="G220" t="s">
        <v>771</v>
      </c>
      <c r="H220" t="s">
        <v>928</v>
      </c>
      <c r="I220">
        <v>12900</v>
      </c>
      <c r="J220" t="s">
        <v>1</v>
      </c>
      <c r="K220">
        <v>100</v>
      </c>
      <c r="L220">
        <v>50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1185</v>
      </c>
      <c r="AC220" t="s">
        <v>1344</v>
      </c>
      <c r="AD220" s="18" t="s">
        <v>1162</v>
      </c>
      <c r="AE220" t="s">
        <v>4</v>
      </c>
      <c r="AF220" t="s">
        <v>1</v>
      </c>
      <c r="AG220" t="s">
        <v>1</v>
      </c>
      <c r="AH220" t="s">
        <v>1586</v>
      </c>
      <c r="AI220" t="s">
        <v>1591</v>
      </c>
      <c r="AJ220" t="s">
        <v>1</v>
      </c>
      <c r="AK220">
        <v>9331218153</v>
      </c>
      <c r="AL220" t="s">
        <v>1</v>
      </c>
      <c r="AM220" t="s">
        <v>1</v>
      </c>
      <c r="AN220" t="s">
        <v>1</v>
      </c>
      <c r="AO220" t="s">
        <v>1586</v>
      </c>
      <c r="AP220" t="s">
        <v>1</v>
      </c>
      <c r="AQ220" t="s">
        <v>2</v>
      </c>
      <c r="AR220" t="s">
        <v>1</v>
      </c>
      <c r="AS220" t="s">
        <v>1</v>
      </c>
      <c r="AT220" t="s">
        <v>1</v>
      </c>
      <c r="AU220" t="s">
        <v>1</v>
      </c>
      <c r="AV220" t="s">
        <v>1</v>
      </c>
      <c r="AW220" t="s">
        <v>11</v>
      </c>
      <c r="AX220">
        <f>Tabla1[[#This Row],[precio del paquete]]-Tabla1[[#This Row],[Saldo_Deudor]]</f>
        <v>5200</v>
      </c>
      <c r="AY220">
        <v>7700</v>
      </c>
      <c r="AZ220" t="s">
        <v>3</v>
      </c>
      <c r="BA220" t="s">
        <v>3</v>
      </c>
      <c r="BB220" t="s">
        <v>3</v>
      </c>
      <c r="BC220" t="s">
        <v>1874</v>
      </c>
      <c r="BD220" t="s">
        <v>1877</v>
      </c>
      <c r="BE220" t="s">
        <v>3</v>
      </c>
      <c r="BF220" t="s">
        <v>3</v>
      </c>
      <c r="BG220" t="s">
        <v>3</v>
      </c>
      <c r="BH220" t="s">
        <v>3</v>
      </c>
      <c r="BI220" t="s">
        <v>3</v>
      </c>
      <c r="BJ220" t="s">
        <v>1945</v>
      </c>
      <c r="BK220" t="s">
        <v>3</v>
      </c>
      <c r="BL220" t="s">
        <v>132</v>
      </c>
      <c r="BM220" t="s">
        <v>1</v>
      </c>
      <c r="BN220">
        <f>Tabla1[[#This Row],[precio del paquete]]</f>
        <v>12900</v>
      </c>
      <c r="BO220" t="s">
        <v>1</v>
      </c>
      <c r="BP220" t="s">
        <v>1</v>
      </c>
      <c r="BQ220" t="s">
        <v>1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0</v>
      </c>
      <c r="BX220" t="s">
        <v>1</v>
      </c>
      <c r="BY220" t="s">
        <v>1</v>
      </c>
      <c r="BZ220" t="s">
        <v>1</v>
      </c>
      <c r="CA220" t="s">
        <v>1</v>
      </c>
      <c r="CB220" t="s">
        <v>1</v>
      </c>
      <c r="CD220" t="str" cm="1">
        <f t="array" aca="1" ref="CD220" ca="1">eConcatenar(A220:CB220,"|")</f>
        <v>s0EgTP1jiYkHljmT|PAR2021-0926|3|IMPERIAL DE LUJO|TABASCO|PARAISO|PARAISO|2021-06-03|12900|X|100|50|0|0|0|0|0|0|0|0|0|0|0|0|0|0|0|RODRIGUEZ|ARIAS|JUAN CARLOS|SOLTERO|X|X|CALLE DEL DEPOSITO EL SIX|RANCHERIA LAS FLORES TERCERA SECCION|X|9331218153|X|X|X|CALLE DEL DEPOSITO EL SIX|X|LUNES|X|X|X|X|X|DOMICILIO |5200|7700|x|x|x|2022-02-14|2022-02-21|x|x|x|x|x|LMVFBKKJKSMXN4L|x|HOMBRE|X|12900|X|X|X|X|X|X|X|X|CARDENAS|X|X|X|X|X</v>
      </c>
    </row>
    <row r="221" spans="1:82" x14ac:dyDescent="0.25">
      <c r="A221" t="s">
        <v>355</v>
      </c>
      <c r="B221" t="s">
        <v>666</v>
      </c>
      <c r="C221">
        <v>3</v>
      </c>
      <c r="D221" t="s">
        <v>763</v>
      </c>
      <c r="E221" t="s">
        <v>1398</v>
      </c>
      <c r="F221" t="s">
        <v>771</v>
      </c>
      <c r="G221" t="s">
        <v>771</v>
      </c>
      <c r="H221" t="s">
        <v>802</v>
      </c>
      <c r="I221">
        <v>12900</v>
      </c>
      <c r="J221" t="s">
        <v>1</v>
      </c>
      <c r="K221">
        <v>100</v>
      </c>
      <c r="L221">
        <v>50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1185</v>
      </c>
      <c r="AC221" t="s">
        <v>1256</v>
      </c>
      <c r="AD221" s="18" t="s">
        <v>1163</v>
      </c>
      <c r="AE221" t="s">
        <v>4</v>
      </c>
      <c r="AF221" t="s">
        <v>1</v>
      </c>
      <c r="AG221" t="s">
        <v>1</v>
      </c>
      <c r="AH221" t="s">
        <v>1587</v>
      </c>
      <c r="AI221" t="s">
        <v>1591</v>
      </c>
      <c r="AJ221" t="s">
        <v>1</v>
      </c>
      <c r="AK221">
        <v>9331088416</v>
      </c>
      <c r="AL221" t="s">
        <v>1</v>
      </c>
      <c r="AM221" t="s">
        <v>1</v>
      </c>
      <c r="AN221" t="s">
        <v>1</v>
      </c>
      <c r="AO221" t="s">
        <v>1587</v>
      </c>
      <c r="AP221" t="s">
        <v>1</v>
      </c>
      <c r="AQ221" t="s">
        <v>2</v>
      </c>
      <c r="AR221" t="s">
        <v>1</v>
      </c>
      <c r="AS221" t="s">
        <v>1</v>
      </c>
      <c r="AT221" t="s">
        <v>1</v>
      </c>
      <c r="AU221" t="s">
        <v>1</v>
      </c>
      <c r="AV221" t="s">
        <v>1</v>
      </c>
      <c r="AW221" t="s">
        <v>11</v>
      </c>
      <c r="AX221">
        <f>Tabla1[[#This Row],[precio del paquete]]-Tabla1[[#This Row],[Saldo_Deudor]]</f>
        <v>7900</v>
      </c>
      <c r="AY221">
        <v>5000</v>
      </c>
      <c r="AZ221" t="s">
        <v>3</v>
      </c>
      <c r="BA221" t="s">
        <v>3</v>
      </c>
      <c r="BB221" t="s">
        <v>3</v>
      </c>
      <c r="BC221" t="s">
        <v>1874</v>
      </c>
      <c r="BD221" t="s">
        <v>1877</v>
      </c>
      <c r="BE221" t="s">
        <v>3</v>
      </c>
      <c r="BF221" t="s">
        <v>3</v>
      </c>
      <c r="BG221" t="s">
        <v>3</v>
      </c>
      <c r="BH221" t="s">
        <v>3</v>
      </c>
      <c r="BI221" t="s">
        <v>3</v>
      </c>
      <c r="BJ221" t="s">
        <v>1945</v>
      </c>
      <c r="BK221" t="s">
        <v>3</v>
      </c>
      <c r="BL221" t="s">
        <v>132</v>
      </c>
      <c r="BM221" t="s">
        <v>1</v>
      </c>
      <c r="BN221">
        <f>Tabla1[[#This Row],[precio del paquete]]</f>
        <v>12900</v>
      </c>
      <c r="BO221" t="s">
        <v>1</v>
      </c>
      <c r="BP221" t="s">
        <v>1</v>
      </c>
      <c r="BQ221" t="s">
        <v>1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0</v>
      </c>
      <c r="BX221" t="s">
        <v>1</v>
      </c>
      <c r="BY221" t="s">
        <v>1</v>
      </c>
      <c r="BZ221" t="s">
        <v>1</v>
      </c>
      <c r="CA221" t="s">
        <v>1</v>
      </c>
      <c r="CB221" t="s">
        <v>1</v>
      </c>
      <c r="CD221" t="str" cm="1">
        <f t="array" aca="1" ref="CD221" ca="1">eConcatenar(A221:CB221,"|")</f>
        <v>K113vBZDNY0AYZgI|PAR2020-1780|3|IMPERIAL DE LUJO|TABASCO|PARAISO|PARAISO|2020-02-09|12900|X|100|50|0|0|0|0|0|0|0|0|0|0|0|0|0|0|0|RODRIGUEZ|OLAN|ELIDE|SOLTERO|X|X|ENTRADA ISLA REBECA|RANCHERIA LAS FLORES TERCERA SECCION|X|9331088416|X|X|X|ENTRADA ISLA REBECA|X|LUNES|X|X|X|X|X|DOMICILIO |7900|5000|x|x|x|2022-02-14|2022-02-21|x|x|x|x|x|LMVFBKKJKSMXN4L|x|HOMBRE|X|12900|X|X|X|X|X|X|X|X|CARDENAS|X|X|X|X|X</v>
      </c>
    </row>
    <row r="222" spans="1:82" x14ac:dyDescent="0.25">
      <c r="A222" t="s">
        <v>356</v>
      </c>
      <c r="B222" t="s">
        <v>667</v>
      </c>
      <c r="C222">
        <v>3</v>
      </c>
      <c r="D222" t="s">
        <v>761</v>
      </c>
      <c r="E222" t="s">
        <v>1398</v>
      </c>
      <c r="F222" t="s">
        <v>771</v>
      </c>
      <c r="G222" t="s">
        <v>771</v>
      </c>
      <c r="H222" t="s">
        <v>795</v>
      </c>
      <c r="I222">
        <v>14800</v>
      </c>
      <c r="J222" t="s">
        <v>1</v>
      </c>
      <c r="K222">
        <v>200</v>
      </c>
      <c r="L222">
        <v>50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1233</v>
      </c>
      <c r="AC222" t="s">
        <v>1265</v>
      </c>
      <c r="AD222" s="18" t="s">
        <v>1402</v>
      </c>
      <c r="AE222" t="s">
        <v>4</v>
      </c>
      <c r="AF222" t="s">
        <v>1</v>
      </c>
      <c r="AG222" t="s">
        <v>1</v>
      </c>
      <c r="AH222" t="s">
        <v>1588</v>
      </c>
      <c r="AI222" t="s">
        <v>1591</v>
      </c>
      <c r="AJ222" t="s">
        <v>1</v>
      </c>
      <c r="AK222">
        <v>9331368448</v>
      </c>
      <c r="AL222" t="s">
        <v>1</v>
      </c>
      <c r="AM222" t="s">
        <v>1</v>
      </c>
      <c r="AN222" t="s">
        <v>1</v>
      </c>
      <c r="AO222" t="s">
        <v>1588</v>
      </c>
      <c r="AP222" t="s">
        <v>1</v>
      </c>
      <c r="AQ222" t="s">
        <v>2</v>
      </c>
      <c r="AR222" t="s">
        <v>1</v>
      </c>
      <c r="AS222" t="s">
        <v>1</v>
      </c>
      <c r="AT222" t="s">
        <v>1</v>
      </c>
      <c r="AU222" t="s">
        <v>1</v>
      </c>
      <c r="AV222" t="s">
        <v>1</v>
      </c>
      <c r="AW222" t="s">
        <v>11</v>
      </c>
      <c r="AX222">
        <f>Tabla1[[#This Row],[precio del paquete]]-Tabla1[[#This Row],[Saldo_Deudor]]</f>
        <v>400</v>
      </c>
      <c r="AY222">
        <v>14400</v>
      </c>
      <c r="AZ222" t="s">
        <v>3</v>
      </c>
      <c r="BA222" t="s">
        <v>3</v>
      </c>
      <c r="BB222" t="s">
        <v>3</v>
      </c>
      <c r="BC222" t="s">
        <v>1874</v>
      </c>
      <c r="BD222" t="s">
        <v>1877</v>
      </c>
      <c r="BE222" t="s">
        <v>3</v>
      </c>
      <c r="BF222" t="s">
        <v>3</v>
      </c>
      <c r="BG222" t="s">
        <v>3</v>
      </c>
      <c r="BH222" t="s">
        <v>3</v>
      </c>
      <c r="BI222" t="s">
        <v>3</v>
      </c>
      <c r="BJ222" t="s">
        <v>1945</v>
      </c>
      <c r="BK222" t="s">
        <v>3</v>
      </c>
      <c r="BL222" t="s">
        <v>132</v>
      </c>
      <c r="BM222" t="s">
        <v>1</v>
      </c>
      <c r="BN222">
        <f>Tabla1[[#This Row],[precio del paquete]]</f>
        <v>14800</v>
      </c>
      <c r="BO222" t="s">
        <v>1</v>
      </c>
      <c r="BP222" t="s">
        <v>1</v>
      </c>
      <c r="BQ222" t="s">
        <v>1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0</v>
      </c>
      <c r="BX222" t="s">
        <v>1</v>
      </c>
      <c r="BY222" t="s">
        <v>1</v>
      </c>
      <c r="BZ222" t="s">
        <v>1</v>
      </c>
      <c r="CA222" t="s">
        <v>1</v>
      </c>
      <c r="CB222" t="s">
        <v>1</v>
      </c>
      <c r="CD222" t="str" cm="1">
        <f t="array" aca="1" ref="CD222" ca="1">eConcatenar(A222:CB222,"|")</f>
        <v>144oxBDgYYmbq2KW|PAR2022-0147|3|MEMORIAL|TABASCO|PARAISO|PARAISO|2022-12-01|14800|X|200|50|1|0|0|0|0|0|0|0|0|0|0|0|0|0|0|DIAZ|DOMINGUEZ|EDUARDO|SOLTERO|X|X|CARRETERA A LA UNION SIN NUMERO|RANCHERIA LAS FLORES TERCERA SECCION|X|9331368448|X|X|X|CARRETERA A LA UNION SIN NUMERO|X|LUNES|X|X|X|X|X|DOMICILIO |400|14400|x|x|x|2022-02-14|2022-02-21|x|x|x|x|x|LMVFBKKJKSMXN4L|x|HOMBRE|X|14800|X|X|X|X|X|X|X|X|CARDENAS|X|X|X|X|X</v>
      </c>
    </row>
    <row r="223" spans="1:82" x14ac:dyDescent="0.25">
      <c r="A223" t="s">
        <v>357</v>
      </c>
      <c r="B223" t="s">
        <v>668</v>
      </c>
      <c r="C223">
        <v>3</v>
      </c>
      <c r="D223" t="s">
        <v>766</v>
      </c>
      <c r="E223" t="s">
        <v>1398</v>
      </c>
      <c r="F223" t="s">
        <v>771</v>
      </c>
      <c r="G223" t="s">
        <v>771</v>
      </c>
      <c r="H223" t="s">
        <v>929</v>
      </c>
      <c r="I223">
        <v>12900</v>
      </c>
      <c r="J223" t="s">
        <v>1</v>
      </c>
      <c r="K223">
        <v>100</v>
      </c>
      <c r="L223">
        <v>50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1233</v>
      </c>
      <c r="AC223" t="s">
        <v>1185</v>
      </c>
      <c r="AD223" s="18" t="s">
        <v>1074</v>
      </c>
      <c r="AE223" t="s">
        <v>4</v>
      </c>
      <c r="AF223" t="s">
        <v>1</v>
      </c>
      <c r="AG223" t="s">
        <v>1</v>
      </c>
      <c r="AH223" t="s">
        <v>1589</v>
      </c>
      <c r="AI223" t="s">
        <v>1591</v>
      </c>
      <c r="AJ223" t="s">
        <v>1</v>
      </c>
      <c r="AK223">
        <v>9331364516</v>
      </c>
      <c r="AL223" t="s">
        <v>1</v>
      </c>
      <c r="AM223" t="s">
        <v>1</v>
      </c>
      <c r="AN223" t="s">
        <v>1</v>
      </c>
      <c r="AO223" t="s">
        <v>1589</v>
      </c>
      <c r="AP223" t="s">
        <v>1</v>
      </c>
      <c r="AQ223" t="s">
        <v>2</v>
      </c>
      <c r="AR223" t="s">
        <v>1</v>
      </c>
      <c r="AS223" t="s">
        <v>1</v>
      </c>
      <c r="AT223" t="s">
        <v>1</v>
      </c>
      <c r="AU223" t="s">
        <v>1</v>
      </c>
      <c r="AV223" t="s">
        <v>1</v>
      </c>
      <c r="AW223" t="s">
        <v>11</v>
      </c>
      <c r="AX223">
        <f>Tabla1[[#This Row],[precio del paquete]]-Tabla1[[#This Row],[Saldo_Deudor]]</f>
        <v>7700</v>
      </c>
      <c r="AY223">
        <v>5200</v>
      </c>
      <c r="AZ223" t="s">
        <v>3</v>
      </c>
      <c r="BA223" t="s">
        <v>3</v>
      </c>
      <c r="BB223" t="s">
        <v>3</v>
      </c>
      <c r="BC223" t="s">
        <v>1874</v>
      </c>
      <c r="BD223" t="s">
        <v>1877</v>
      </c>
      <c r="BE223" t="s">
        <v>3</v>
      </c>
      <c r="BF223" t="s">
        <v>3</v>
      </c>
      <c r="BG223" t="s">
        <v>3</v>
      </c>
      <c r="BH223" t="s">
        <v>3</v>
      </c>
      <c r="BI223" t="s">
        <v>3</v>
      </c>
      <c r="BJ223" t="s">
        <v>1945</v>
      </c>
      <c r="BK223" t="s">
        <v>3</v>
      </c>
      <c r="BL223" t="s">
        <v>132</v>
      </c>
      <c r="BM223" t="s">
        <v>1</v>
      </c>
      <c r="BN223">
        <f>Tabla1[[#This Row],[precio del paquete]]</f>
        <v>12900</v>
      </c>
      <c r="BO223" t="s">
        <v>1</v>
      </c>
      <c r="BP223" t="s">
        <v>1</v>
      </c>
      <c r="BQ223" t="s">
        <v>1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0</v>
      </c>
      <c r="BX223" t="s">
        <v>1</v>
      </c>
      <c r="BY223" t="s">
        <v>1</v>
      </c>
      <c r="BZ223" t="s">
        <v>1</v>
      </c>
      <c r="CA223" t="s">
        <v>1</v>
      </c>
      <c r="CB223" t="s">
        <v>1</v>
      </c>
      <c r="CD223" t="str" cm="1">
        <f t="array" aca="1" ref="CD223" ca="1">eConcatenar(A223:CB223,"|")</f>
        <v>kKZNiA2ww40R0X3n|PAR2020-1591|3|ECONOLINE|TABASCO|PARAISO|PARAISO|2020-08-18|12900|X|100|50|0|0|0|0|0|0|0|0|0|0|0|0|0|0|0|DIAZ|RODRIGUEZ|ANTONIO|SOLTERO|X|X|ENTRADA DEL CERRO|RANCHERIA LAS FLORES TERCERA SECCION|X|9331364516|X|X|X|ENTRADA DEL CERRO|X|LUNES|X|X|X|X|X|DOMICILIO |7700|5200|x|x|x|2022-02-14|2022-02-21|x|x|x|x|x|LMVFBKKJKSMXN4L|x|HOMBRE|X|12900|X|X|X|X|X|X|X|X|CARDENAS|X|X|X|X|X</v>
      </c>
    </row>
    <row r="224" spans="1:82" x14ac:dyDescent="0.25">
      <c r="A224" t="s">
        <v>358</v>
      </c>
      <c r="B224" t="s">
        <v>669</v>
      </c>
      <c r="C224">
        <v>3</v>
      </c>
      <c r="D224" t="s">
        <v>766</v>
      </c>
      <c r="E224" t="s">
        <v>1398</v>
      </c>
      <c r="F224" t="s">
        <v>771</v>
      </c>
      <c r="G224" t="s">
        <v>771</v>
      </c>
      <c r="H224" t="s">
        <v>904</v>
      </c>
      <c r="I224">
        <v>12900</v>
      </c>
      <c r="J224" t="s">
        <v>1</v>
      </c>
      <c r="K224">
        <v>100</v>
      </c>
      <c r="L224">
        <v>50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1265</v>
      </c>
      <c r="AC224" t="s">
        <v>1265</v>
      </c>
      <c r="AD224" s="18" t="s">
        <v>1164</v>
      </c>
      <c r="AE224" t="s">
        <v>4</v>
      </c>
      <c r="AF224" t="s">
        <v>1</v>
      </c>
      <c r="AG224" t="s">
        <v>1</v>
      </c>
      <c r="AH224" t="s">
        <v>1590</v>
      </c>
      <c r="AI224" t="s">
        <v>1591</v>
      </c>
      <c r="AJ224" t="s">
        <v>1</v>
      </c>
      <c r="AK224" t="s">
        <v>1</v>
      </c>
      <c r="AL224" t="s">
        <v>1</v>
      </c>
      <c r="AM224" t="s">
        <v>1</v>
      </c>
      <c r="AN224" t="s">
        <v>1</v>
      </c>
      <c r="AO224" t="s">
        <v>1590</v>
      </c>
      <c r="AP224" t="s">
        <v>1</v>
      </c>
      <c r="AQ224" t="s">
        <v>2</v>
      </c>
      <c r="AR224" t="s">
        <v>1</v>
      </c>
      <c r="AS224" t="s">
        <v>1</v>
      </c>
      <c r="AT224" t="s">
        <v>1</v>
      </c>
      <c r="AU224" t="s">
        <v>1</v>
      </c>
      <c r="AV224" t="s">
        <v>1</v>
      </c>
      <c r="AW224" t="s">
        <v>11</v>
      </c>
      <c r="AX224">
        <f>Tabla1[[#This Row],[precio del paquete]]-Tabla1[[#This Row],[Saldo_Deudor]]</f>
        <v>8500</v>
      </c>
      <c r="AY224">
        <v>4400</v>
      </c>
      <c r="AZ224" t="s">
        <v>3</v>
      </c>
      <c r="BA224" t="s">
        <v>3</v>
      </c>
      <c r="BB224" t="s">
        <v>3</v>
      </c>
      <c r="BC224" t="s">
        <v>1874</v>
      </c>
      <c r="BD224" t="s">
        <v>1877</v>
      </c>
      <c r="BE224" t="s">
        <v>3</v>
      </c>
      <c r="BF224" t="s">
        <v>3</v>
      </c>
      <c r="BG224" t="s">
        <v>3</v>
      </c>
      <c r="BH224" t="s">
        <v>3</v>
      </c>
      <c r="BI224" t="s">
        <v>3</v>
      </c>
      <c r="BJ224" t="s">
        <v>1945</v>
      </c>
      <c r="BK224" t="s">
        <v>3</v>
      </c>
      <c r="BL224" t="s">
        <v>132</v>
      </c>
      <c r="BM224" t="s">
        <v>1</v>
      </c>
      <c r="BN224">
        <f>Tabla1[[#This Row],[precio del paquete]]</f>
        <v>12900</v>
      </c>
      <c r="BO224" t="s">
        <v>1</v>
      </c>
      <c r="BP224" t="s">
        <v>1</v>
      </c>
      <c r="BQ224" t="s">
        <v>1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0</v>
      </c>
      <c r="BX224" t="s">
        <v>1</v>
      </c>
      <c r="BY224" t="s">
        <v>1</v>
      </c>
      <c r="BZ224" t="s">
        <v>1</v>
      </c>
      <c r="CA224" t="s">
        <v>1</v>
      </c>
      <c r="CB224" t="s">
        <v>1</v>
      </c>
      <c r="CD224" t="str" cm="1">
        <f t="array" aca="1" ref="CD224" ca="1">eConcatenar(A224:CB224,"|")</f>
        <v>jgxeWh4PjFkrPb3t|PAR2020-1171|3|ECONOLINE|TABASCO|PARAISO|PARAISO|2020-11-07|12900|X|100|50|0|0|0|0|0|0|0|0|0|0|0|0|0|0|0|DOMINGUEZ|DOMINGUEZ|HERMINA|SOLTERO|X|X|CARRETERA A LA BARRA|RANCHERIA LAS FLORES TERCERA SECCION|X|X|X|X|X|CARRETERA A LA BARRA|X|LUNES|X|X|X|X|X|DOMICILIO |8500|4400|x|x|x|2022-02-14|2022-02-21|x|x|x|x|x|LMVFBKKJKSMXN4L|x|HOMBRE|X|12900|X|X|X|X|X|X|X|X|CARDENAS|X|X|X|X|X</v>
      </c>
    </row>
    <row r="225" spans="1:82" x14ac:dyDescent="0.25">
      <c r="A225" t="s">
        <v>359</v>
      </c>
      <c r="B225" t="s">
        <v>670</v>
      </c>
      <c r="C225">
        <v>3</v>
      </c>
      <c r="D225" t="s">
        <v>766</v>
      </c>
      <c r="E225" t="s">
        <v>1398</v>
      </c>
      <c r="F225" t="s">
        <v>771</v>
      </c>
      <c r="G225" t="s">
        <v>771</v>
      </c>
      <c r="H225" t="s">
        <v>930</v>
      </c>
      <c r="I225">
        <v>12900</v>
      </c>
      <c r="J225" t="s">
        <v>1</v>
      </c>
      <c r="K225">
        <v>100</v>
      </c>
      <c r="L225">
        <v>50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1248</v>
      </c>
      <c r="AC225" t="s">
        <v>1361</v>
      </c>
      <c r="AD225" s="18" t="s">
        <v>1089</v>
      </c>
      <c r="AE225" t="s">
        <v>4</v>
      </c>
      <c r="AF225" t="s">
        <v>1</v>
      </c>
      <c r="AG225" t="s">
        <v>1</v>
      </c>
      <c r="AH225" t="s">
        <v>1591</v>
      </c>
      <c r="AI225" t="s">
        <v>1591</v>
      </c>
      <c r="AJ225" t="s">
        <v>1</v>
      </c>
      <c r="AK225">
        <v>9335694899</v>
      </c>
      <c r="AL225" t="s">
        <v>1</v>
      </c>
      <c r="AM225" t="s">
        <v>1</v>
      </c>
      <c r="AN225" t="s">
        <v>1</v>
      </c>
      <c r="AO225" t="s">
        <v>1591</v>
      </c>
      <c r="AP225" t="s">
        <v>1</v>
      </c>
      <c r="AQ225" t="s">
        <v>2</v>
      </c>
      <c r="AR225" t="s">
        <v>1</v>
      </c>
      <c r="AS225" t="s">
        <v>1</v>
      </c>
      <c r="AT225" t="s">
        <v>1</v>
      </c>
      <c r="AU225" t="s">
        <v>1</v>
      </c>
      <c r="AV225" t="s">
        <v>1</v>
      </c>
      <c r="AW225" t="s">
        <v>11</v>
      </c>
      <c r="AX225">
        <f>Tabla1[[#This Row],[precio del paquete]]-Tabla1[[#This Row],[Saldo_Deudor]]</f>
        <v>5200</v>
      </c>
      <c r="AY225">
        <v>7700</v>
      </c>
      <c r="AZ225" t="s">
        <v>3</v>
      </c>
      <c r="BA225" t="s">
        <v>3</v>
      </c>
      <c r="BB225" t="s">
        <v>3</v>
      </c>
      <c r="BC225" t="s">
        <v>1874</v>
      </c>
      <c r="BD225" t="s">
        <v>1877</v>
      </c>
      <c r="BE225" t="s">
        <v>3</v>
      </c>
      <c r="BF225" t="s">
        <v>3</v>
      </c>
      <c r="BG225" t="s">
        <v>3</v>
      </c>
      <c r="BH225" t="s">
        <v>3</v>
      </c>
      <c r="BI225" t="s">
        <v>3</v>
      </c>
      <c r="BJ225" t="s">
        <v>1945</v>
      </c>
      <c r="BK225" t="s">
        <v>3</v>
      </c>
      <c r="BL225" t="s">
        <v>132</v>
      </c>
      <c r="BM225" t="s">
        <v>1</v>
      </c>
      <c r="BN225">
        <f>Tabla1[[#This Row],[precio del paquete]]</f>
        <v>12900</v>
      </c>
      <c r="BO225" t="s">
        <v>1</v>
      </c>
      <c r="BP225" t="s">
        <v>1</v>
      </c>
      <c r="BQ225" t="s">
        <v>1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0</v>
      </c>
      <c r="BX225" t="s">
        <v>1</v>
      </c>
      <c r="BY225" t="s">
        <v>1</v>
      </c>
      <c r="BZ225" t="s">
        <v>1</v>
      </c>
      <c r="CA225" t="s">
        <v>1</v>
      </c>
      <c r="CB225" t="s">
        <v>1</v>
      </c>
      <c r="CD225" t="str" cm="1">
        <f t="array" aca="1" ref="CD225" ca="1">eConcatenar(A225:CB225,"|")</f>
        <v>yPx66wVIEsZCGaJq|PAR2021-0750|3|ECONOLINE|TABASCO|PARAISO|PARAISO|2020-02-26|12900|X|100|50|0|0|0|0|0|0|0|0|0|0|0|0|0|0|0|PEREZ|ANGULO|DANIEL|SOLTERO|X|X|RANCHERIA LAS FLORES TERCERA SECCION|RANCHERIA LAS FLORES TERCERA SECCION|X|9335694899|X|X|X|RANCHERIA LAS FLORES TERCERA SECCION|X|LUNES|X|X|X|X|X|DOMICILIO |5200|7700|x|x|x|2022-02-14|2022-02-21|x|x|x|x|x|LMVFBKKJKSMXN4L|x|HOMBRE|X|12900|X|X|X|X|X|X|X|X|CARDENAS|X|X|X|X|X</v>
      </c>
    </row>
    <row r="226" spans="1:82" x14ac:dyDescent="0.25">
      <c r="A226" t="s">
        <v>360</v>
      </c>
      <c r="B226" t="s">
        <v>671</v>
      </c>
      <c r="C226">
        <v>3</v>
      </c>
      <c r="D226" t="s">
        <v>766</v>
      </c>
      <c r="E226" t="s">
        <v>1398</v>
      </c>
      <c r="F226" t="s">
        <v>771</v>
      </c>
      <c r="G226" t="s">
        <v>771</v>
      </c>
      <c r="H226" t="s">
        <v>872</v>
      </c>
      <c r="I226">
        <v>12900</v>
      </c>
      <c r="J226" t="s">
        <v>1</v>
      </c>
      <c r="K226">
        <v>100</v>
      </c>
      <c r="L226">
        <v>50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1185</v>
      </c>
      <c r="AC226" t="s">
        <v>1248</v>
      </c>
      <c r="AD226" s="18" t="s">
        <v>979</v>
      </c>
      <c r="AE226" t="s">
        <v>4</v>
      </c>
      <c r="AF226" t="s">
        <v>1</v>
      </c>
      <c r="AG226" t="s">
        <v>1</v>
      </c>
      <c r="AH226" t="s">
        <v>1592</v>
      </c>
      <c r="AI226" t="s">
        <v>1591</v>
      </c>
      <c r="AJ226" t="s">
        <v>1</v>
      </c>
      <c r="AK226">
        <v>9331117420</v>
      </c>
      <c r="AL226" t="s">
        <v>1</v>
      </c>
      <c r="AM226" t="s">
        <v>1</v>
      </c>
      <c r="AN226" t="s">
        <v>1</v>
      </c>
      <c r="AO226" t="s">
        <v>1592</v>
      </c>
      <c r="AP226" t="s">
        <v>1</v>
      </c>
      <c r="AQ226" t="s">
        <v>2</v>
      </c>
      <c r="AR226" t="s">
        <v>1</v>
      </c>
      <c r="AS226" t="s">
        <v>1</v>
      </c>
      <c r="AT226" t="s">
        <v>1</v>
      </c>
      <c r="AU226" t="s">
        <v>1</v>
      </c>
      <c r="AV226" t="s">
        <v>1</v>
      </c>
      <c r="AW226" t="s">
        <v>11</v>
      </c>
      <c r="AX226">
        <f>Tabla1[[#This Row],[precio del paquete]]-Tabla1[[#This Row],[Saldo_Deudor]]</f>
        <v>7000</v>
      </c>
      <c r="AY226">
        <v>5900</v>
      </c>
      <c r="AZ226" t="s">
        <v>3</v>
      </c>
      <c r="BA226" t="s">
        <v>3</v>
      </c>
      <c r="BB226" t="s">
        <v>3</v>
      </c>
      <c r="BC226" t="s">
        <v>1874</v>
      </c>
      <c r="BD226" t="s">
        <v>1877</v>
      </c>
      <c r="BE226" t="s">
        <v>3</v>
      </c>
      <c r="BF226" t="s">
        <v>3</v>
      </c>
      <c r="BG226" t="s">
        <v>3</v>
      </c>
      <c r="BH226" t="s">
        <v>3</v>
      </c>
      <c r="BI226" t="s">
        <v>3</v>
      </c>
      <c r="BJ226" t="s">
        <v>1945</v>
      </c>
      <c r="BK226" t="s">
        <v>3</v>
      </c>
      <c r="BL226" t="s">
        <v>132</v>
      </c>
      <c r="BM226" t="s">
        <v>1</v>
      </c>
      <c r="BN226">
        <f>Tabla1[[#This Row],[precio del paquete]]</f>
        <v>12900</v>
      </c>
      <c r="BO226" t="s">
        <v>1</v>
      </c>
      <c r="BP226" t="s">
        <v>1</v>
      </c>
      <c r="BQ226" t="s">
        <v>1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0</v>
      </c>
      <c r="BX226" t="s">
        <v>1</v>
      </c>
      <c r="BY226" t="s">
        <v>1</v>
      </c>
      <c r="BZ226" t="s">
        <v>1</v>
      </c>
      <c r="CA226" t="s">
        <v>1</v>
      </c>
      <c r="CB226" t="s">
        <v>1</v>
      </c>
      <c r="CD226" t="str" cm="1">
        <f t="array" aca="1" ref="CD226" ca="1">eConcatenar(A226:CB226,"|")</f>
        <v>HkOWOlhtg2p6w3k2|PAR2020-1702|3|ECONOLINE|TABASCO|PARAISO|PARAISO|2020-08-20|12900|X|100|50|0|0|0|0|0|0|0|0|0|0|0|0|0|0|0|RODRIGUEZ|PEREZ|CONCEPCION|SOLTERO|X|X|ENTRANDO AL CAMPAMENTO|RANCHERIA LAS FLORES TERCERA SECCION|X|9331117420|X|X|X|ENTRANDO AL CAMPAMENTO|X|LUNES|X|X|X|X|X|DOMICILIO |7000|5900|x|x|x|2022-02-14|2022-02-21|x|x|x|x|x|LMVFBKKJKSMXN4L|x|HOMBRE|X|12900|X|X|X|X|X|X|X|X|CARDENAS|X|X|X|X|X</v>
      </c>
    </row>
    <row r="227" spans="1:82" x14ac:dyDescent="0.25">
      <c r="A227" t="s">
        <v>361</v>
      </c>
      <c r="B227" t="s">
        <v>672</v>
      </c>
      <c r="C227">
        <v>3</v>
      </c>
      <c r="D227" t="s">
        <v>763</v>
      </c>
      <c r="E227" t="s">
        <v>1398</v>
      </c>
      <c r="F227" t="s">
        <v>771</v>
      </c>
      <c r="G227" t="s">
        <v>771</v>
      </c>
      <c r="H227" t="s">
        <v>931</v>
      </c>
      <c r="I227">
        <v>12900</v>
      </c>
      <c r="J227" t="s">
        <v>1</v>
      </c>
      <c r="K227">
        <v>100</v>
      </c>
      <c r="L227">
        <v>50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1363</v>
      </c>
      <c r="AC227" t="s">
        <v>1364</v>
      </c>
      <c r="AD227" s="18" t="s">
        <v>1042</v>
      </c>
      <c r="AE227" t="s">
        <v>4</v>
      </c>
      <c r="AF227" t="s">
        <v>1</v>
      </c>
      <c r="AG227" t="s">
        <v>1</v>
      </c>
      <c r="AH227" t="s">
        <v>1593</v>
      </c>
      <c r="AI227" t="s">
        <v>1797</v>
      </c>
      <c r="AJ227" t="s">
        <v>1</v>
      </c>
      <c r="AK227">
        <v>9331346203</v>
      </c>
      <c r="AL227" t="s">
        <v>1</v>
      </c>
      <c r="AM227" t="s">
        <v>1</v>
      </c>
      <c r="AN227" t="s">
        <v>1</v>
      </c>
      <c r="AO227" t="s">
        <v>1593</v>
      </c>
      <c r="AP227" t="s">
        <v>1</v>
      </c>
      <c r="AQ227" t="s">
        <v>2</v>
      </c>
      <c r="AR227" t="s">
        <v>1</v>
      </c>
      <c r="AS227" t="s">
        <v>1</v>
      </c>
      <c r="AT227" t="s">
        <v>1</v>
      </c>
      <c r="AU227" t="s">
        <v>1</v>
      </c>
      <c r="AV227" t="s">
        <v>1</v>
      </c>
      <c r="AW227" t="s">
        <v>11</v>
      </c>
      <c r="AX227">
        <f>Tabla1[[#This Row],[precio del paquete]]-Tabla1[[#This Row],[Saldo_Deudor]]</f>
        <v>5400</v>
      </c>
      <c r="AY227">
        <v>7500</v>
      </c>
      <c r="AZ227" t="s">
        <v>3</v>
      </c>
      <c r="BA227" t="s">
        <v>3</v>
      </c>
      <c r="BB227" t="s">
        <v>3</v>
      </c>
      <c r="BC227" t="s">
        <v>1874</v>
      </c>
      <c r="BD227" t="s">
        <v>1877</v>
      </c>
      <c r="BE227" t="s">
        <v>3</v>
      </c>
      <c r="BF227" t="s">
        <v>3</v>
      </c>
      <c r="BG227" t="s">
        <v>3</v>
      </c>
      <c r="BH227" t="s">
        <v>3</v>
      </c>
      <c r="BI227" t="s">
        <v>3</v>
      </c>
      <c r="BJ227" t="s">
        <v>1945</v>
      </c>
      <c r="BK227" t="s">
        <v>3</v>
      </c>
      <c r="BL227" t="s">
        <v>132</v>
      </c>
      <c r="BM227" t="s">
        <v>1</v>
      </c>
      <c r="BN227">
        <f>Tabla1[[#This Row],[precio del paquete]]</f>
        <v>12900</v>
      </c>
      <c r="BO227" t="s">
        <v>1</v>
      </c>
      <c r="BP227" t="s">
        <v>1</v>
      </c>
      <c r="BQ227" t="s">
        <v>1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0</v>
      </c>
      <c r="BX227" t="s">
        <v>1</v>
      </c>
      <c r="BY227" t="s">
        <v>1</v>
      </c>
      <c r="BZ227" t="s">
        <v>1</v>
      </c>
      <c r="CA227" t="s">
        <v>1</v>
      </c>
      <c r="CB227" t="s">
        <v>1</v>
      </c>
      <c r="CD227" t="str" cm="1">
        <f t="array" aca="1" ref="CD227" ca="1">eConcatenar(A227:CB227,"|")</f>
        <v>N5UgWoeOQ6YnIm3C|PAR2021-0729|3|IMPERIAL DE LUJO|TABASCO|PARAISO|PARAISO|2021-02-23|12900|X|100|50|0|0|0|0|0|0|0|0|0|0|0|0|0|0|0|ESPINOSA|VERDEJO|GRACIELA|SOLTERO|X|X|ENTRADA EL CAMPAMENTO|RANCHERIA LAS FLORES SEGUNDA SECCION|X|9331346203|X|X|X|ENTRADA EL CAMPAMENTO|X|LUNES|X|X|X|X|X|DOMICILIO |5400|7500|x|x|x|2022-02-14|2022-02-21|x|x|x|x|x|LMVFBKKJKSMXN4L|x|HOMBRE|X|12900|X|X|X|X|X|X|X|X|CARDENAS|X|X|X|X|X</v>
      </c>
    </row>
    <row r="228" spans="1:82" x14ac:dyDescent="0.25">
      <c r="A228" t="s">
        <v>362</v>
      </c>
      <c r="B228" t="s">
        <v>673</v>
      </c>
      <c r="C228">
        <v>3</v>
      </c>
      <c r="D228" t="s">
        <v>763</v>
      </c>
      <c r="E228" t="s">
        <v>1398</v>
      </c>
      <c r="F228" t="s">
        <v>771</v>
      </c>
      <c r="G228" t="s">
        <v>771</v>
      </c>
      <c r="H228" t="s">
        <v>932</v>
      </c>
      <c r="I228">
        <v>12900</v>
      </c>
      <c r="J228" t="s">
        <v>1</v>
      </c>
      <c r="K228">
        <v>100</v>
      </c>
      <c r="L228">
        <v>50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1249</v>
      </c>
      <c r="AC228" t="s">
        <v>1249</v>
      </c>
      <c r="AD228" s="18" t="s">
        <v>1165</v>
      </c>
      <c r="AE228" t="s">
        <v>4</v>
      </c>
      <c r="AF228" t="s">
        <v>1</v>
      </c>
      <c r="AG228" t="s">
        <v>1</v>
      </c>
      <c r="AH228" t="s">
        <v>1594</v>
      </c>
      <c r="AI228" t="s">
        <v>1797</v>
      </c>
      <c r="AJ228" t="s">
        <v>1</v>
      </c>
      <c r="AK228">
        <v>9331350856</v>
      </c>
      <c r="AL228" t="s">
        <v>1</v>
      </c>
      <c r="AM228" t="s">
        <v>1</v>
      </c>
      <c r="AN228" t="s">
        <v>1</v>
      </c>
      <c r="AO228" t="s">
        <v>1594</v>
      </c>
      <c r="AP228" t="s">
        <v>1</v>
      </c>
      <c r="AQ228" t="s">
        <v>2</v>
      </c>
      <c r="AR228" t="s">
        <v>1</v>
      </c>
      <c r="AS228" t="s">
        <v>1</v>
      </c>
      <c r="AT228" t="s">
        <v>1</v>
      </c>
      <c r="AU228" t="s">
        <v>1</v>
      </c>
      <c r="AV228" t="s">
        <v>1</v>
      </c>
      <c r="AW228" t="s">
        <v>11</v>
      </c>
      <c r="AX228">
        <f>Tabla1[[#This Row],[precio del paquete]]-Tabla1[[#This Row],[Saldo_Deudor]]</f>
        <v>5000</v>
      </c>
      <c r="AY228">
        <v>7900</v>
      </c>
      <c r="AZ228" t="s">
        <v>3</v>
      </c>
      <c r="BA228" t="s">
        <v>3</v>
      </c>
      <c r="BB228" t="s">
        <v>3</v>
      </c>
      <c r="BC228" t="s">
        <v>1874</v>
      </c>
      <c r="BD228" t="s">
        <v>1877</v>
      </c>
      <c r="BE228" t="s">
        <v>3</v>
      </c>
      <c r="BF228" t="s">
        <v>3</v>
      </c>
      <c r="BG228" t="s">
        <v>3</v>
      </c>
      <c r="BH228" t="s">
        <v>3</v>
      </c>
      <c r="BI228" t="s">
        <v>3</v>
      </c>
      <c r="BJ228" t="s">
        <v>1945</v>
      </c>
      <c r="BK228" t="s">
        <v>3</v>
      </c>
      <c r="BL228" t="s">
        <v>132</v>
      </c>
      <c r="BM228" t="s">
        <v>1</v>
      </c>
      <c r="BN228">
        <f>Tabla1[[#This Row],[precio del paquete]]</f>
        <v>12900</v>
      </c>
      <c r="BO228" t="s">
        <v>1</v>
      </c>
      <c r="BP228" t="s">
        <v>1</v>
      </c>
      <c r="BQ228" t="s">
        <v>1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0</v>
      </c>
      <c r="BX228" t="s">
        <v>1</v>
      </c>
      <c r="BY228" t="s">
        <v>1</v>
      </c>
      <c r="BZ228" t="s">
        <v>1</v>
      </c>
      <c r="CA228" t="s">
        <v>1</v>
      </c>
      <c r="CB228" t="s">
        <v>1</v>
      </c>
      <c r="CD228" t="str" cm="1">
        <f t="array" aca="1" ref="CD228" ca="1">eConcatenar(A228:CB228,"|")</f>
        <v>tPLVduIX2Mp4nQGh|PAR2021-0727|3|IMPERIAL DE LUJO|TABASCO|PARAISO|PARAISO|2020-02-23|12900|X|100|50|0|0|0|0|0|0|0|0|0|0|0|0|0|0|0|DE LA CRUZ|DE LA CRUZ|TERESITA DE JESUS|SOLTERO|X|X|ENTRADA LOS PALMA PRIMER CASA|RANCHERIA LAS FLORES SEGUNDA SECCION|X|9331350856|X|X|X|ENTRADA LOS PALMA PRIMER CASA|X|LUNES|X|X|X|X|X|DOMICILIO |5000|7900|x|x|x|2022-02-14|2022-02-21|x|x|x|x|x|LMVFBKKJKSMXN4L|x|HOMBRE|X|12900|X|X|X|X|X|X|X|X|CARDENAS|X|X|X|X|X</v>
      </c>
    </row>
    <row r="229" spans="1:82" x14ac:dyDescent="0.25">
      <c r="A229" t="s">
        <v>363</v>
      </c>
      <c r="B229" t="s">
        <v>674</v>
      </c>
      <c r="C229">
        <v>3</v>
      </c>
      <c r="D229" t="s">
        <v>763</v>
      </c>
      <c r="E229" t="s">
        <v>1398</v>
      </c>
      <c r="F229" t="s">
        <v>771</v>
      </c>
      <c r="G229" t="s">
        <v>771</v>
      </c>
      <c r="H229" t="s">
        <v>931</v>
      </c>
      <c r="I229">
        <v>12900</v>
      </c>
      <c r="J229" t="s">
        <v>1</v>
      </c>
      <c r="K229">
        <v>100</v>
      </c>
      <c r="L229">
        <v>50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1318</v>
      </c>
      <c r="AC229" t="s">
        <v>1336</v>
      </c>
      <c r="AD229" s="18" t="s">
        <v>1064</v>
      </c>
      <c r="AE229" t="s">
        <v>4</v>
      </c>
      <c r="AF229" t="s">
        <v>1</v>
      </c>
      <c r="AG229" t="s">
        <v>1</v>
      </c>
      <c r="AH229" t="s">
        <v>1595</v>
      </c>
      <c r="AI229" t="s">
        <v>1797</v>
      </c>
      <c r="AJ229" t="s">
        <v>1</v>
      </c>
      <c r="AK229">
        <v>9334062380</v>
      </c>
      <c r="AL229" t="s">
        <v>1</v>
      </c>
      <c r="AM229" t="s">
        <v>1</v>
      </c>
      <c r="AN229" t="s">
        <v>1</v>
      </c>
      <c r="AO229" t="s">
        <v>1595</v>
      </c>
      <c r="AP229" t="s">
        <v>1</v>
      </c>
      <c r="AQ229" t="s">
        <v>2</v>
      </c>
      <c r="AR229" t="s">
        <v>1</v>
      </c>
      <c r="AS229" t="s">
        <v>1</v>
      </c>
      <c r="AT229" t="s">
        <v>1</v>
      </c>
      <c r="AU229" t="s">
        <v>1</v>
      </c>
      <c r="AV229" t="s">
        <v>1</v>
      </c>
      <c r="AW229" t="s">
        <v>11</v>
      </c>
      <c r="AX229">
        <f>Tabla1[[#This Row],[precio del paquete]]-Tabla1[[#This Row],[Saldo_Deudor]]</f>
        <v>6400</v>
      </c>
      <c r="AY229">
        <v>6500</v>
      </c>
      <c r="AZ229" t="s">
        <v>3</v>
      </c>
      <c r="BA229" t="s">
        <v>3</v>
      </c>
      <c r="BB229" t="s">
        <v>3</v>
      </c>
      <c r="BC229" t="s">
        <v>1874</v>
      </c>
      <c r="BD229" t="s">
        <v>1877</v>
      </c>
      <c r="BE229" t="s">
        <v>3</v>
      </c>
      <c r="BF229" t="s">
        <v>3</v>
      </c>
      <c r="BG229" t="s">
        <v>3</v>
      </c>
      <c r="BH229" t="s">
        <v>3</v>
      </c>
      <c r="BI229" t="s">
        <v>3</v>
      </c>
      <c r="BJ229" t="s">
        <v>1945</v>
      </c>
      <c r="BK229" t="s">
        <v>3</v>
      </c>
      <c r="BL229" t="s">
        <v>132</v>
      </c>
      <c r="BM229" t="s">
        <v>1</v>
      </c>
      <c r="BN229">
        <f>Tabla1[[#This Row],[precio del paquete]]</f>
        <v>12900</v>
      </c>
      <c r="BO229" t="s">
        <v>1</v>
      </c>
      <c r="BP229" t="s">
        <v>1</v>
      </c>
      <c r="BQ229" t="s">
        <v>1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0</v>
      </c>
      <c r="BX229" t="s">
        <v>1</v>
      </c>
      <c r="BY229" t="s">
        <v>1</v>
      </c>
      <c r="BZ229" t="s">
        <v>1</v>
      </c>
      <c r="CA229" t="s">
        <v>1</v>
      </c>
      <c r="CB229" t="s">
        <v>1</v>
      </c>
      <c r="CD229" t="str" cm="1">
        <f t="array" aca="1" ref="CD229" ca="1">eConcatenar(A229:CB229,"|")</f>
        <v>xWQKEpKFdqOdSMlj|COM2021-0723|3|IMPERIAL DE LUJO|TABASCO|PARAISO|PARAISO|2021-02-23|12900|X|100|50|0|0|0|0|0|0|0|0|0|0|0|0|0|0|0|CARRILLO|CASTELLANOS|ANGELA|SOLTERO|X|X|SALIENDO DEL CAMPAMENTO|RANCHERIA LAS FLORES SEGUNDA SECCION|X|9334062380|X|X|X|SALIENDO DEL CAMPAMENTO|X|LUNES|X|X|X|X|X|DOMICILIO |6400|6500|x|x|x|2022-02-14|2022-02-21|x|x|x|x|x|LMVFBKKJKSMXN4L|x|HOMBRE|X|12900|X|X|X|X|X|X|X|X|CARDENAS|X|X|X|X|X</v>
      </c>
    </row>
    <row r="230" spans="1:82" x14ac:dyDescent="0.25">
      <c r="A230" t="s">
        <v>364</v>
      </c>
      <c r="B230" t="s">
        <v>675</v>
      </c>
      <c r="C230">
        <v>3</v>
      </c>
      <c r="D230" t="s">
        <v>763</v>
      </c>
      <c r="E230" t="s">
        <v>1398</v>
      </c>
      <c r="F230" t="s">
        <v>771</v>
      </c>
      <c r="G230" t="s">
        <v>771</v>
      </c>
      <c r="H230" t="s">
        <v>933</v>
      </c>
      <c r="I230">
        <v>12900</v>
      </c>
      <c r="J230" t="s">
        <v>1</v>
      </c>
      <c r="K230">
        <v>100</v>
      </c>
      <c r="L230">
        <v>50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1344</v>
      </c>
      <c r="AC230" t="s">
        <v>1130</v>
      </c>
      <c r="AD230" s="18" t="s">
        <v>1166</v>
      </c>
      <c r="AE230" t="s">
        <v>4</v>
      </c>
      <c r="AF230" t="s">
        <v>1</v>
      </c>
      <c r="AG230" t="s">
        <v>1</v>
      </c>
      <c r="AH230" t="s">
        <v>1596</v>
      </c>
      <c r="AI230" t="s">
        <v>1797</v>
      </c>
      <c r="AJ230" t="s">
        <v>1</v>
      </c>
      <c r="AK230">
        <v>9331334811</v>
      </c>
      <c r="AL230" t="s">
        <v>1</v>
      </c>
      <c r="AM230" t="s">
        <v>1</v>
      </c>
      <c r="AN230" t="s">
        <v>1</v>
      </c>
      <c r="AO230" t="s">
        <v>1596</v>
      </c>
      <c r="AP230" t="s">
        <v>1</v>
      </c>
      <c r="AQ230" t="s">
        <v>2</v>
      </c>
      <c r="AR230" t="s">
        <v>1</v>
      </c>
      <c r="AS230" t="s">
        <v>1</v>
      </c>
      <c r="AT230" t="s">
        <v>1</v>
      </c>
      <c r="AU230" t="s">
        <v>1</v>
      </c>
      <c r="AV230" t="s">
        <v>1</v>
      </c>
      <c r="AW230" t="s">
        <v>11</v>
      </c>
      <c r="AX230">
        <f>Tabla1[[#This Row],[precio del paquete]]-Tabla1[[#This Row],[Saldo_Deudor]]</f>
        <v>6600</v>
      </c>
      <c r="AY230">
        <v>6300</v>
      </c>
      <c r="AZ230" t="s">
        <v>3</v>
      </c>
      <c r="BA230" t="s">
        <v>3</v>
      </c>
      <c r="BB230" t="s">
        <v>3</v>
      </c>
      <c r="BC230" t="s">
        <v>1874</v>
      </c>
      <c r="BD230" t="s">
        <v>1877</v>
      </c>
      <c r="BE230" t="s">
        <v>3</v>
      </c>
      <c r="BF230" t="s">
        <v>3</v>
      </c>
      <c r="BG230" t="s">
        <v>3</v>
      </c>
      <c r="BH230" t="s">
        <v>3</v>
      </c>
      <c r="BI230" t="s">
        <v>3</v>
      </c>
      <c r="BJ230" t="s">
        <v>1945</v>
      </c>
      <c r="BK230" t="s">
        <v>3</v>
      </c>
      <c r="BL230" t="s">
        <v>132</v>
      </c>
      <c r="BM230" t="s">
        <v>1</v>
      </c>
      <c r="BN230">
        <f>Tabla1[[#This Row],[precio del paquete]]</f>
        <v>12900</v>
      </c>
      <c r="BO230" t="s">
        <v>1</v>
      </c>
      <c r="BP230" t="s">
        <v>1</v>
      </c>
      <c r="BQ230" t="s">
        <v>1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0</v>
      </c>
      <c r="BX230" t="s">
        <v>1</v>
      </c>
      <c r="BY230" t="s">
        <v>1</v>
      </c>
      <c r="BZ230" t="s">
        <v>1</v>
      </c>
      <c r="CA230" t="s">
        <v>1</v>
      </c>
      <c r="CB230" t="s">
        <v>1</v>
      </c>
      <c r="CD230" t="str" cm="1">
        <f t="array" aca="1" ref="CD230" ca="1">eConcatenar(A230:CB230,"|")</f>
        <v>8zpAjjKwISWb5Raz|PAR2020-0701|3|IMPERIAL DE LUJO|TABASCO|PARAISO|PARAISO|2021-02-20|12900|X|100|50|0|0|0|0|0|0|0|0|0|0|0|0|0|0|0|ARIAS|GERONIMO|HECTOR|SOLTERO|X|X|PASANDO MOTEL LAS FLORES|RANCHERIA LAS FLORES SEGUNDA SECCION|X|9331334811|X|X|X|PASANDO MOTEL LAS FLORES|X|LUNES|X|X|X|X|X|DOMICILIO |6600|6300|x|x|x|2022-02-14|2022-02-21|x|x|x|x|x|LMVFBKKJKSMXN4L|x|HOMBRE|X|12900|X|X|X|X|X|X|X|X|CARDENAS|X|X|X|X|X</v>
      </c>
    </row>
    <row r="231" spans="1:82" x14ac:dyDescent="0.25">
      <c r="A231" t="s">
        <v>365</v>
      </c>
      <c r="B231" t="s">
        <v>676</v>
      </c>
      <c r="C231">
        <v>3</v>
      </c>
      <c r="D231" t="s">
        <v>761</v>
      </c>
      <c r="E231" t="s">
        <v>1398</v>
      </c>
      <c r="F231" t="s">
        <v>771</v>
      </c>
      <c r="G231" t="s">
        <v>771</v>
      </c>
      <c r="H231" t="s">
        <v>785</v>
      </c>
      <c r="I231">
        <v>14800</v>
      </c>
      <c r="J231" t="s">
        <v>1</v>
      </c>
      <c r="K231">
        <v>100</v>
      </c>
      <c r="L231">
        <v>50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1365</v>
      </c>
      <c r="AC231" t="s">
        <v>1227</v>
      </c>
      <c r="AD231" s="18" t="s">
        <v>1167</v>
      </c>
      <c r="AE231" t="s">
        <v>4</v>
      </c>
      <c r="AF231" t="s">
        <v>1</v>
      </c>
      <c r="AG231" t="s">
        <v>1</v>
      </c>
      <c r="AH231" t="s">
        <v>1597</v>
      </c>
      <c r="AI231" t="s">
        <v>1798</v>
      </c>
      <c r="AJ231" t="s">
        <v>1</v>
      </c>
      <c r="AK231">
        <v>9331071400</v>
      </c>
      <c r="AL231" t="s">
        <v>1</v>
      </c>
      <c r="AM231" t="s">
        <v>1</v>
      </c>
      <c r="AN231" t="s">
        <v>1</v>
      </c>
      <c r="AO231" t="s">
        <v>1597</v>
      </c>
      <c r="AP231" t="s">
        <v>1</v>
      </c>
      <c r="AQ231" t="s">
        <v>2</v>
      </c>
      <c r="AR231" t="s">
        <v>1</v>
      </c>
      <c r="AS231" t="s">
        <v>1</v>
      </c>
      <c r="AT231" t="s">
        <v>1</v>
      </c>
      <c r="AU231" t="s">
        <v>1</v>
      </c>
      <c r="AV231" t="s">
        <v>1</v>
      </c>
      <c r="AW231" t="s">
        <v>11</v>
      </c>
      <c r="AX231">
        <f>Tabla1[[#This Row],[precio del paquete]]-Tabla1[[#This Row],[Saldo_Deudor]]</f>
        <v>1900</v>
      </c>
      <c r="AY231">
        <v>12900</v>
      </c>
      <c r="AZ231" t="s">
        <v>3</v>
      </c>
      <c r="BA231" t="s">
        <v>3</v>
      </c>
      <c r="BB231" t="s">
        <v>3</v>
      </c>
      <c r="BC231" t="s">
        <v>1874</v>
      </c>
      <c r="BD231" t="s">
        <v>1877</v>
      </c>
      <c r="BE231" t="s">
        <v>3</v>
      </c>
      <c r="BF231" t="s">
        <v>3</v>
      </c>
      <c r="BG231" t="s">
        <v>3</v>
      </c>
      <c r="BH231" t="s">
        <v>3</v>
      </c>
      <c r="BI231" t="s">
        <v>3</v>
      </c>
      <c r="BJ231" t="s">
        <v>1945</v>
      </c>
      <c r="BK231" t="s">
        <v>3</v>
      </c>
      <c r="BL231" t="s">
        <v>132</v>
      </c>
      <c r="BM231" t="s">
        <v>1</v>
      </c>
      <c r="BN231">
        <f>Tabla1[[#This Row],[precio del paquete]]</f>
        <v>14800</v>
      </c>
      <c r="BO231" t="s">
        <v>1</v>
      </c>
      <c r="BP231" t="s">
        <v>1</v>
      </c>
      <c r="BQ231" t="s">
        <v>1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0</v>
      </c>
      <c r="BX231" t="s">
        <v>1</v>
      </c>
      <c r="BY231" t="s">
        <v>1</v>
      </c>
      <c r="BZ231" t="s">
        <v>1</v>
      </c>
      <c r="CA231" t="s">
        <v>1</v>
      </c>
      <c r="CB231" t="s">
        <v>1</v>
      </c>
      <c r="CD231" t="str" cm="1">
        <f t="array" aca="1" ref="CD231" ca="1">eConcatenar(A231:CB231,"|")</f>
        <v>OTs2S0FpJVGWuMOz|PAR2021-3346|3|MEMORIAL|TABASCO|PARAISO|PARAISO|2021-10-22|14800|X|100|50|0|0|0|0|0|0|0|0|0|0|0|0|0|0|0|CONTRERAS|GARCIA|CUTBERTO|SOLTERO|X|X|CAMINO VECINAL A LAS FLORES SIN NUMERO|RANCHERIA EL ESCRIBANO |X|9331071400|X|X|X|CAMINO VECINAL A LAS FLORES SIN NUMERO|X|LUNES|X|X|X|X|X|DOMICILIO |1900|12900|x|x|x|2022-02-14|2022-02-21|x|x|x|x|x|LMVFBKKJKSMXN4L|x|HOMBRE|X|14800|X|X|X|X|X|X|X|X|CARDENAS|X|X|X|X|X</v>
      </c>
    </row>
    <row r="232" spans="1:82" x14ac:dyDescent="0.25">
      <c r="A232" t="s">
        <v>366</v>
      </c>
      <c r="B232" t="s">
        <v>677</v>
      </c>
      <c r="C232">
        <v>3</v>
      </c>
      <c r="D232" t="s">
        <v>766</v>
      </c>
      <c r="E232" t="s">
        <v>1398</v>
      </c>
      <c r="F232" t="s">
        <v>771</v>
      </c>
      <c r="G232" t="s">
        <v>771</v>
      </c>
      <c r="H232" t="s">
        <v>934</v>
      </c>
      <c r="I232">
        <v>12900</v>
      </c>
      <c r="J232" t="s">
        <v>1</v>
      </c>
      <c r="K232">
        <v>100</v>
      </c>
      <c r="L232">
        <v>50</v>
      </c>
      <c r="M232">
        <v>1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1228</v>
      </c>
      <c r="AC232" t="s">
        <v>1273</v>
      </c>
      <c r="AD232" s="18" t="s">
        <v>1168</v>
      </c>
      <c r="AE232" t="s">
        <v>4</v>
      </c>
      <c r="AF232" t="s">
        <v>1</v>
      </c>
      <c r="AG232" t="s">
        <v>1</v>
      </c>
      <c r="AH232" t="s">
        <v>1479</v>
      </c>
      <c r="AI232" t="s">
        <v>1798</v>
      </c>
      <c r="AJ232" t="s">
        <v>1</v>
      </c>
      <c r="AK232">
        <v>9332276177</v>
      </c>
      <c r="AL232" t="s">
        <v>1</v>
      </c>
      <c r="AM232" t="s">
        <v>1</v>
      </c>
      <c r="AN232" t="s">
        <v>1</v>
      </c>
      <c r="AO232" t="s">
        <v>1479</v>
      </c>
      <c r="AP232" t="s">
        <v>1</v>
      </c>
      <c r="AQ232" t="s">
        <v>2</v>
      </c>
      <c r="AR232" t="s">
        <v>1</v>
      </c>
      <c r="AS232" t="s">
        <v>1</v>
      </c>
      <c r="AT232" t="s">
        <v>1</v>
      </c>
      <c r="AU232" t="s">
        <v>1</v>
      </c>
      <c r="AV232" t="s">
        <v>1</v>
      </c>
      <c r="AW232" t="s">
        <v>11</v>
      </c>
      <c r="AX232">
        <f>Tabla1[[#This Row],[precio del paquete]]-Tabla1[[#This Row],[Saldo_Deudor]]</f>
        <v>7650</v>
      </c>
      <c r="AY232">
        <v>5250</v>
      </c>
      <c r="AZ232" t="s">
        <v>3</v>
      </c>
      <c r="BA232" t="s">
        <v>3</v>
      </c>
      <c r="BB232" t="s">
        <v>3</v>
      </c>
      <c r="BC232" t="s">
        <v>1874</v>
      </c>
      <c r="BD232" t="s">
        <v>1877</v>
      </c>
      <c r="BE232" t="s">
        <v>3</v>
      </c>
      <c r="BF232" t="s">
        <v>3</v>
      </c>
      <c r="BG232" t="s">
        <v>3</v>
      </c>
      <c r="BH232" t="s">
        <v>3</v>
      </c>
      <c r="BI232" t="s">
        <v>3</v>
      </c>
      <c r="BJ232" t="s">
        <v>1945</v>
      </c>
      <c r="BK232" t="s">
        <v>3</v>
      </c>
      <c r="BL232" t="s">
        <v>132</v>
      </c>
      <c r="BM232" t="s">
        <v>1</v>
      </c>
      <c r="BN232">
        <f>Tabla1[[#This Row],[precio del paquete]]</f>
        <v>12900</v>
      </c>
      <c r="BO232" t="s">
        <v>1</v>
      </c>
      <c r="BP232" t="s">
        <v>1</v>
      </c>
      <c r="BQ232" t="s">
        <v>1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0</v>
      </c>
      <c r="BX232" t="s">
        <v>1</v>
      </c>
      <c r="BY232" t="s">
        <v>1</v>
      </c>
      <c r="BZ232" t="s">
        <v>1</v>
      </c>
      <c r="CA232" t="s">
        <v>1</v>
      </c>
      <c r="CB232" t="s">
        <v>1</v>
      </c>
      <c r="CD232" t="str" cm="1">
        <f t="array" aca="1" ref="CD232" ca="1">eConcatenar(A232:CB232,"|")</f>
        <v>aGzwrvXibL5g6r2Q|PAR2020-1773|3|ECONOLINE|TABASCO|PARAISO|PARAISO|2020-01-09|12900|X|100|50|1|0|0|0|0|0|0|0|0|0|0|0|0|0|0|RAMOS|MONTEJO|BELLANIRA|SOLTERO|X|X|CARRETERA PRINCIPAL|RANCHERIA EL ESCRIBANO |X|9332276177|X|X|X|CARRETERA PRINCIPAL|X|LUNES|X|X|X|X|X|DOMICILIO |7650|5250|x|x|x|2022-02-14|2022-02-21|x|x|x|x|x|LMVFBKKJKSMXN4L|x|HOMBRE|X|12900|X|X|X|X|X|X|X|X|CARDENAS|X|X|X|X|X</v>
      </c>
    </row>
    <row r="233" spans="1:82" x14ac:dyDescent="0.25">
      <c r="A233" t="s">
        <v>367</v>
      </c>
      <c r="B233" t="s">
        <v>678</v>
      </c>
      <c r="C233">
        <v>3</v>
      </c>
      <c r="D233" t="s">
        <v>761</v>
      </c>
      <c r="E233" t="s">
        <v>1398</v>
      </c>
      <c r="F233" t="s">
        <v>771</v>
      </c>
      <c r="G233" t="s">
        <v>771</v>
      </c>
      <c r="H233" t="s">
        <v>814</v>
      </c>
      <c r="I233">
        <v>14800</v>
      </c>
      <c r="J233" t="s">
        <v>1</v>
      </c>
      <c r="K233">
        <v>100</v>
      </c>
      <c r="L233">
        <v>50</v>
      </c>
      <c r="M233">
        <v>1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1366</v>
      </c>
      <c r="AC233" t="s">
        <v>1295</v>
      </c>
      <c r="AD233" s="18" t="s">
        <v>1169</v>
      </c>
      <c r="AE233" t="s">
        <v>4</v>
      </c>
      <c r="AF233" t="s">
        <v>1</v>
      </c>
      <c r="AG233" t="s">
        <v>1</v>
      </c>
      <c r="AH233" t="s">
        <v>1472</v>
      </c>
      <c r="AI233" t="s">
        <v>1798</v>
      </c>
      <c r="AJ233" t="s">
        <v>1</v>
      </c>
      <c r="AK233">
        <v>9934846932</v>
      </c>
      <c r="AL233" t="s">
        <v>1</v>
      </c>
      <c r="AM233" t="s">
        <v>1</v>
      </c>
      <c r="AN233" t="s">
        <v>1</v>
      </c>
      <c r="AO233" t="s">
        <v>1472</v>
      </c>
      <c r="AP233" t="s">
        <v>1</v>
      </c>
      <c r="AQ233" t="s">
        <v>2</v>
      </c>
      <c r="AR233" t="s">
        <v>1</v>
      </c>
      <c r="AS233" t="s">
        <v>1</v>
      </c>
      <c r="AT233" t="s">
        <v>1</v>
      </c>
      <c r="AU233" t="s">
        <v>1</v>
      </c>
      <c r="AV233" t="s">
        <v>1</v>
      </c>
      <c r="AW233" t="s">
        <v>11</v>
      </c>
      <c r="AX233">
        <f>Tabla1[[#This Row],[precio del paquete]]-Tabla1[[#This Row],[Saldo_Deudor]]</f>
        <v>1500</v>
      </c>
      <c r="AY233">
        <v>13300</v>
      </c>
      <c r="AZ233" t="s">
        <v>3</v>
      </c>
      <c r="BA233" t="s">
        <v>3</v>
      </c>
      <c r="BB233" t="s">
        <v>3</v>
      </c>
      <c r="BC233" t="s">
        <v>1874</v>
      </c>
      <c r="BD233" t="s">
        <v>1877</v>
      </c>
      <c r="BE233" t="s">
        <v>3</v>
      </c>
      <c r="BF233" t="s">
        <v>3</v>
      </c>
      <c r="BG233" t="s">
        <v>3</v>
      </c>
      <c r="BH233" t="s">
        <v>3</v>
      </c>
      <c r="BI233" t="s">
        <v>3</v>
      </c>
      <c r="BJ233" t="s">
        <v>1945</v>
      </c>
      <c r="BK233" t="s">
        <v>3</v>
      </c>
      <c r="BL233" t="s">
        <v>132</v>
      </c>
      <c r="BM233" t="s">
        <v>1</v>
      </c>
      <c r="BN233">
        <f>Tabla1[[#This Row],[precio del paquete]]</f>
        <v>14800</v>
      </c>
      <c r="BO233" t="s">
        <v>1</v>
      </c>
      <c r="BP233" t="s">
        <v>1</v>
      </c>
      <c r="BQ233" t="s">
        <v>1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0</v>
      </c>
      <c r="BX233" t="s">
        <v>1</v>
      </c>
      <c r="BY233" t="s">
        <v>1</v>
      </c>
      <c r="BZ233" t="s">
        <v>1</v>
      </c>
      <c r="CA233" t="s">
        <v>1</v>
      </c>
      <c r="CB233" t="s">
        <v>1</v>
      </c>
      <c r="CD233" t="str" cm="1">
        <f t="array" aca="1" ref="CD233" ca="1">eConcatenar(A233:CB233,"|")</f>
        <v>fWfolaN84cHAjElO|PAR2021-3357|3|MEMORIAL|TABASCO|PARAISO|PARAISO|2021-10-23|14800|X|100|50|1|0|0|0|0|0|0|0|0|0|0|0|0|0|0|OVANDO|BAUTISTA|INGRID|SOLTERO|X|X|CALLE PRINCIPAL SIN NUMERO|RANCHERIA EL ESCRIBANO |X|9934846932|X|X|X|CALLE PRINCIPAL SIN NUMERO|X|LUNES|X|X|X|X|X|DOMICILIO |1500|13300|x|x|x|2022-02-14|2022-02-21|x|x|x|x|x|LMVFBKKJKSMXN4L|x|HOMBRE|X|14800|X|X|X|X|X|X|X|X|CARDENAS|X|X|X|X|X</v>
      </c>
    </row>
    <row r="234" spans="1:82" x14ac:dyDescent="0.25">
      <c r="A234" t="s">
        <v>368</v>
      </c>
      <c r="B234" t="s">
        <v>679</v>
      </c>
      <c r="C234">
        <v>3</v>
      </c>
      <c r="D234" t="s">
        <v>766</v>
      </c>
      <c r="E234" t="s">
        <v>1398</v>
      </c>
      <c r="F234" t="s">
        <v>771</v>
      </c>
      <c r="G234" t="s">
        <v>771</v>
      </c>
      <c r="H234" t="s">
        <v>935</v>
      </c>
      <c r="I234">
        <v>12900</v>
      </c>
      <c r="J234" t="s">
        <v>1</v>
      </c>
      <c r="K234">
        <v>100</v>
      </c>
      <c r="L234">
        <v>50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1233</v>
      </c>
      <c r="AC234" t="s">
        <v>8</v>
      </c>
      <c r="AD234" s="18" t="s">
        <v>1170</v>
      </c>
      <c r="AE234" t="s">
        <v>4</v>
      </c>
      <c r="AF234" t="s">
        <v>1</v>
      </c>
      <c r="AG234" t="s">
        <v>1</v>
      </c>
      <c r="AH234" t="s">
        <v>1479</v>
      </c>
      <c r="AI234" t="s">
        <v>1738</v>
      </c>
      <c r="AJ234" t="s">
        <v>1</v>
      </c>
      <c r="AK234">
        <v>9331290190</v>
      </c>
      <c r="AL234" t="s">
        <v>1</v>
      </c>
      <c r="AM234" t="s">
        <v>1</v>
      </c>
      <c r="AN234" t="s">
        <v>1</v>
      </c>
      <c r="AO234" t="s">
        <v>1479</v>
      </c>
      <c r="AP234" t="s">
        <v>1</v>
      </c>
      <c r="AQ234" t="s">
        <v>2</v>
      </c>
      <c r="AR234" t="s">
        <v>1</v>
      </c>
      <c r="AS234" t="s">
        <v>1</v>
      </c>
      <c r="AT234" t="s">
        <v>1</v>
      </c>
      <c r="AU234" t="s">
        <v>1</v>
      </c>
      <c r="AV234" t="s">
        <v>1</v>
      </c>
      <c r="AW234" t="s">
        <v>11</v>
      </c>
      <c r="AX234">
        <f>Tabla1[[#This Row],[precio del paquete]]-Tabla1[[#This Row],[Saldo_Deudor]]</f>
        <v>7900</v>
      </c>
      <c r="AY234">
        <v>5000</v>
      </c>
      <c r="AZ234" t="s">
        <v>3</v>
      </c>
      <c r="BA234" t="s">
        <v>3</v>
      </c>
      <c r="BB234" t="s">
        <v>3</v>
      </c>
      <c r="BC234" t="s">
        <v>1874</v>
      </c>
      <c r="BD234" t="s">
        <v>1877</v>
      </c>
      <c r="BE234" t="s">
        <v>3</v>
      </c>
      <c r="BF234" t="s">
        <v>3</v>
      </c>
      <c r="BG234" t="s">
        <v>3</v>
      </c>
      <c r="BH234" t="s">
        <v>3</v>
      </c>
      <c r="BI234" t="s">
        <v>3</v>
      </c>
      <c r="BJ234" t="s">
        <v>1945</v>
      </c>
      <c r="BK234" t="s">
        <v>3</v>
      </c>
      <c r="BL234" t="s">
        <v>132</v>
      </c>
      <c r="BM234" t="s">
        <v>1</v>
      </c>
      <c r="BN234">
        <f>Tabla1[[#This Row],[precio del paquete]]</f>
        <v>12900</v>
      </c>
      <c r="BO234" t="s">
        <v>1</v>
      </c>
      <c r="BP234" t="s">
        <v>1</v>
      </c>
      <c r="BQ234" t="s">
        <v>1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0</v>
      </c>
      <c r="BX234" t="s">
        <v>1</v>
      </c>
      <c r="BY234" t="s">
        <v>1</v>
      </c>
      <c r="BZ234" t="s">
        <v>1</v>
      </c>
      <c r="CA234" t="s">
        <v>1</v>
      </c>
      <c r="CB234" t="s">
        <v>1</v>
      </c>
      <c r="CD234" t="str" cm="1">
        <f t="array" aca="1" ref="CD234" ca="1">eConcatenar(A234:CB234,"|")</f>
        <v>pyPJyNTHFqs1hIhp|PAR2020-1737|3|ECONOLINE|TABASCO|PARAISO|PARAISO|2020-08-25|12900|X|100|50|0|0|0|0|0|0|0|0|0|0|0|0|0|0|0|DIAZ|GOMEZ|JULIO|SOLTERO|X|X|CARRETERA PRINCIPAL|RANCHERIA LIBERTAD PRIMERA SECCION|X|9331290190|X|X|X|CARRETERA PRINCIPAL|X|LUNES|X|X|X|X|X|DOMICILIO |7900|5000|x|x|x|2022-02-14|2022-02-21|x|x|x|x|x|LMVFBKKJKSMXN4L|x|HOMBRE|X|12900|X|X|X|X|X|X|X|X|CARDENAS|X|X|X|X|X</v>
      </c>
    </row>
    <row r="235" spans="1:82" x14ac:dyDescent="0.25">
      <c r="A235" t="s">
        <v>369</v>
      </c>
      <c r="B235" t="s">
        <v>680</v>
      </c>
      <c r="C235">
        <v>3</v>
      </c>
      <c r="D235" t="s">
        <v>766</v>
      </c>
      <c r="E235" t="s">
        <v>1398</v>
      </c>
      <c r="F235" t="s">
        <v>771</v>
      </c>
      <c r="G235" t="s">
        <v>771</v>
      </c>
      <c r="H235" t="s">
        <v>852</v>
      </c>
      <c r="I235">
        <v>12900</v>
      </c>
      <c r="J235" t="s">
        <v>1</v>
      </c>
      <c r="K235">
        <v>100</v>
      </c>
      <c r="L235">
        <v>50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7</v>
      </c>
      <c r="AC235" t="s">
        <v>1361</v>
      </c>
      <c r="AD235" s="18" t="s">
        <v>1171</v>
      </c>
      <c r="AE235" t="s">
        <v>4</v>
      </c>
      <c r="AF235" t="s">
        <v>1</v>
      </c>
      <c r="AG235" t="s">
        <v>1</v>
      </c>
      <c r="AH235" t="s">
        <v>1598</v>
      </c>
      <c r="AI235" t="s">
        <v>1745</v>
      </c>
      <c r="AJ235" t="s">
        <v>1</v>
      </c>
      <c r="AK235">
        <v>9331249391</v>
      </c>
      <c r="AL235" t="s">
        <v>1</v>
      </c>
      <c r="AM235" t="s">
        <v>1</v>
      </c>
      <c r="AN235" t="s">
        <v>1</v>
      </c>
      <c r="AO235" t="s">
        <v>1598</v>
      </c>
      <c r="AP235" t="s">
        <v>1</v>
      </c>
      <c r="AQ235" t="s">
        <v>2</v>
      </c>
      <c r="AR235" t="s">
        <v>1</v>
      </c>
      <c r="AS235" t="s">
        <v>1</v>
      </c>
      <c r="AT235" t="s">
        <v>1</v>
      </c>
      <c r="AU235" t="s">
        <v>1</v>
      </c>
      <c r="AV235" t="s">
        <v>1</v>
      </c>
      <c r="AW235" t="s">
        <v>11</v>
      </c>
      <c r="AX235">
        <f>Tabla1[[#This Row],[precio del paquete]]-Tabla1[[#This Row],[Saldo_Deudor]]</f>
        <v>8000</v>
      </c>
      <c r="AY235">
        <v>4900</v>
      </c>
      <c r="AZ235" t="s">
        <v>3</v>
      </c>
      <c r="BA235" t="s">
        <v>3</v>
      </c>
      <c r="BB235" t="s">
        <v>3</v>
      </c>
      <c r="BC235" t="s">
        <v>1874</v>
      </c>
      <c r="BD235" t="s">
        <v>1877</v>
      </c>
      <c r="BE235" t="s">
        <v>3</v>
      </c>
      <c r="BF235" t="s">
        <v>3</v>
      </c>
      <c r="BG235" t="s">
        <v>3</v>
      </c>
      <c r="BH235" t="s">
        <v>3</v>
      </c>
      <c r="BI235" t="s">
        <v>3</v>
      </c>
      <c r="BJ235" t="s">
        <v>1945</v>
      </c>
      <c r="BK235" t="s">
        <v>3</v>
      </c>
      <c r="BL235" t="s">
        <v>132</v>
      </c>
      <c r="BM235" t="s">
        <v>1</v>
      </c>
      <c r="BN235">
        <f>Tabla1[[#This Row],[precio del paquete]]</f>
        <v>12900</v>
      </c>
      <c r="BO235" t="s">
        <v>1</v>
      </c>
      <c r="BP235" t="s">
        <v>1</v>
      </c>
      <c r="BQ235" t="s">
        <v>1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0</v>
      </c>
      <c r="BX235" t="s">
        <v>1</v>
      </c>
      <c r="BY235" t="s">
        <v>1</v>
      </c>
      <c r="BZ235" t="s">
        <v>1</v>
      </c>
      <c r="CA235" t="s">
        <v>1</v>
      </c>
      <c r="CB235" t="s">
        <v>1</v>
      </c>
      <c r="CD235" t="str" cm="1">
        <f t="array" aca="1" ref="CD235" ca="1">eConcatenar(A235:CB235,"|")</f>
        <v>e9FC6G7sulfqxNNu|PAR2020-1555|3|ECONOLINE|TABASCO|PARAISO|PARAISO|2020-08-08|12900|X|100|50|0|0|0|0|0|0|0|0|0|0|0|0|0|0|0|LOPEZ|ANGULO|EDI|SOLTERO|X|X|CARRETERA FEDERAL PARAISO - COMALCALCO|RANCHERIA QUITIN ARAUZ|X|9331249391|X|X|X|CARRETERA FEDERAL PARAISO - COMALCALCO|X|LUNES|X|X|X|X|X|DOMICILIO |8000|4900|x|x|x|2022-02-14|2022-02-21|x|x|x|x|x|LMVFBKKJKSMXN4L|x|HOMBRE|X|12900|X|X|X|X|X|X|X|X|CARDENAS|X|X|X|X|X</v>
      </c>
    </row>
    <row r="236" spans="1:82" x14ac:dyDescent="0.25">
      <c r="A236" t="s">
        <v>370</v>
      </c>
      <c r="B236" t="s">
        <v>681</v>
      </c>
      <c r="C236">
        <v>3</v>
      </c>
      <c r="D236" t="s">
        <v>761</v>
      </c>
      <c r="E236" t="s">
        <v>1398</v>
      </c>
      <c r="F236" t="s">
        <v>0</v>
      </c>
      <c r="G236" t="s">
        <v>0</v>
      </c>
      <c r="H236" t="s">
        <v>936</v>
      </c>
      <c r="I236">
        <v>14800</v>
      </c>
      <c r="J236" t="s">
        <v>1</v>
      </c>
      <c r="K236">
        <v>100</v>
      </c>
      <c r="L236">
        <v>50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1367</v>
      </c>
      <c r="AC236" t="s">
        <v>1368</v>
      </c>
      <c r="AD236" s="18" t="s">
        <v>1025</v>
      </c>
      <c r="AE236" t="s">
        <v>4</v>
      </c>
      <c r="AF236" t="s">
        <v>1</v>
      </c>
      <c r="AG236" t="s">
        <v>1</v>
      </c>
      <c r="AH236" t="s">
        <v>1599</v>
      </c>
      <c r="AI236" t="s">
        <v>1765</v>
      </c>
      <c r="AJ236" t="s">
        <v>1</v>
      </c>
      <c r="AK236">
        <v>9371708203</v>
      </c>
      <c r="AL236" t="s">
        <v>1</v>
      </c>
      <c r="AM236" t="s">
        <v>1</v>
      </c>
      <c r="AN236" t="s">
        <v>1</v>
      </c>
      <c r="AO236" t="s">
        <v>1599</v>
      </c>
      <c r="AP236" t="s">
        <v>1</v>
      </c>
      <c r="AQ236" t="s">
        <v>2</v>
      </c>
      <c r="AR236" t="s">
        <v>1</v>
      </c>
      <c r="AS236" t="s">
        <v>1</v>
      </c>
      <c r="AT236" t="s">
        <v>1</v>
      </c>
      <c r="AU236" t="s">
        <v>1</v>
      </c>
      <c r="AV236" t="s">
        <v>1</v>
      </c>
      <c r="AW236" t="s">
        <v>11</v>
      </c>
      <c r="AX236">
        <f>Tabla1[[#This Row],[precio del paquete]]-Tabla1[[#This Row],[Saldo_Deudor]]</f>
        <v>200</v>
      </c>
      <c r="AY236">
        <v>14600</v>
      </c>
      <c r="AZ236" t="s">
        <v>3</v>
      </c>
      <c r="BA236" t="s">
        <v>3</v>
      </c>
      <c r="BB236" t="s">
        <v>3</v>
      </c>
      <c r="BC236" t="s">
        <v>1843</v>
      </c>
      <c r="BD236" t="s">
        <v>1894</v>
      </c>
      <c r="BE236" t="s">
        <v>3</v>
      </c>
      <c r="BF236" t="s">
        <v>3</v>
      </c>
      <c r="BG236" t="s">
        <v>3</v>
      </c>
      <c r="BH236" t="s">
        <v>3</v>
      </c>
      <c r="BI236" t="s">
        <v>3</v>
      </c>
      <c r="BJ236" t="s">
        <v>1946</v>
      </c>
      <c r="BK236" t="s">
        <v>3</v>
      </c>
      <c r="BL236" t="s">
        <v>132</v>
      </c>
      <c r="BM236" t="s">
        <v>1</v>
      </c>
      <c r="BN236">
        <f>Tabla1[[#This Row],[precio del paquete]]</f>
        <v>14800</v>
      </c>
      <c r="BO236" t="s">
        <v>1</v>
      </c>
      <c r="BP236" t="s">
        <v>1</v>
      </c>
      <c r="BQ236" t="s">
        <v>1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0</v>
      </c>
      <c r="BX236" t="s">
        <v>1</v>
      </c>
      <c r="BY236" t="s">
        <v>1</v>
      </c>
      <c r="BZ236" t="s">
        <v>1</v>
      </c>
      <c r="CA236" t="s">
        <v>1</v>
      </c>
      <c r="CB236" t="s">
        <v>1</v>
      </c>
      <c r="CD236" t="str" cm="1">
        <f t="array" aca="1" ref="CD236" ca="1">eConcatenar(A236:CB236,"|")</f>
        <v>zNptgNtX9sSOtUdT|CAR2022-0880|3|MEMORIAL|TABASCO|CARDENAS|CARDENAS|2022-11-02|14800|X|100|50|0|0|0|0|0|0|0|0|0|0|0|0|0|0|0|SANTOS|MAY|LETICIA|SOLTERO|X|X|CALLE 8 CASA NUMERO 747|POBLADO C-28 CORONEL GREGORIO MENDEZ|X|9371708203|X|X|X|CALLE 8 CASA NUMERO 747|X|LUNES|X|X|X|X|X|DOMICILIO |200|14600|x|x|x|2022-02-17|2022-02-24|x|x|x|x|x|QWYNRBIY9KVXQO|x|HOMBRE|X|14800|X|X|X|X|X|X|X|X|CARDENAS|X|X|X|X|X</v>
      </c>
    </row>
    <row r="237" spans="1:82" x14ac:dyDescent="0.25">
      <c r="A237" t="s">
        <v>371</v>
      </c>
      <c r="B237" t="s">
        <v>682</v>
      </c>
      <c r="C237">
        <v>3</v>
      </c>
      <c r="D237" t="s">
        <v>762</v>
      </c>
      <c r="E237" t="s">
        <v>1398</v>
      </c>
      <c r="F237" t="s">
        <v>0</v>
      </c>
      <c r="G237" t="s">
        <v>0</v>
      </c>
      <c r="H237" t="s">
        <v>937</v>
      </c>
      <c r="I237">
        <v>24500</v>
      </c>
      <c r="J237" t="s">
        <v>1</v>
      </c>
      <c r="K237">
        <v>200</v>
      </c>
      <c r="L237">
        <v>50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1228</v>
      </c>
      <c r="AC237" t="s">
        <v>8</v>
      </c>
      <c r="AD237" s="18" t="s">
        <v>1172</v>
      </c>
      <c r="AE237" t="s">
        <v>4</v>
      </c>
      <c r="AF237" t="s">
        <v>1</v>
      </c>
      <c r="AG237" t="s">
        <v>1</v>
      </c>
      <c r="AH237" t="s">
        <v>1600</v>
      </c>
      <c r="AI237" t="s">
        <v>1765</v>
      </c>
      <c r="AJ237" t="s">
        <v>1</v>
      </c>
      <c r="AK237">
        <v>9372720198</v>
      </c>
      <c r="AL237" t="s">
        <v>1</v>
      </c>
      <c r="AM237" t="s">
        <v>1</v>
      </c>
      <c r="AN237" t="s">
        <v>1</v>
      </c>
      <c r="AO237" t="s">
        <v>1600</v>
      </c>
      <c r="AP237" t="s">
        <v>1</v>
      </c>
      <c r="AQ237" t="s">
        <v>2</v>
      </c>
      <c r="AR237" t="s">
        <v>1</v>
      </c>
      <c r="AS237" t="s">
        <v>1</v>
      </c>
      <c r="AT237" t="s">
        <v>1</v>
      </c>
      <c r="AU237" t="s">
        <v>1</v>
      </c>
      <c r="AV237" t="s">
        <v>1</v>
      </c>
      <c r="AW237" t="s">
        <v>11</v>
      </c>
      <c r="AX237">
        <f>Tabla1[[#This Row],[precio del paquete]]-Tabla1[[#This Row],[Saldo_Deudor]]</f>
        <v>900</v>
      </c>
      <c r="AY237">
        <v>23600</v>
      </c>
      <c r="AZ237" t="s">
        <v>3</v>
      </c>
      <c r="BA237" t="s">
        <v>3</v>
      </c>
      <c r="BB237" t="s">
        <v>3</v>
      </c>
      <c r="BC237" t="s">
        <v>1843</v>
      </c>
      <c r="BD237" t="s">
        <v>1894</v>
      </c>
      <c r="BE237" t="s">
        <v>3</v>
      </c>
      <c r="BF237" t="s">
        <v>3</v>
      </c>
      <c r="BG237" t="s">
        <v>3</v>
      </c>
      <c r="BH237" t="s">
        <v>3</v>
      </c>
      <c r="BI237" t="s">
        <v>3</v>
      </c>
      <c r="BJ237" t="s">
        <v>1946</v>
      </c>
      <c r="BK237" t="s">
        <v>3</v>
      </c>
      <c r="BL237" t="s">
        <v>132</v>
      </c>
      <c r="BM237" t="s">
        <v>1</v>
      </c>
      <c r="BN237">
        <f>Tabla1[[#This Row],[precio del paquete]]</f>
        <v>24500</v>
      </c>
      <c r="BO237" t="s">
        <v>1</v>
      </c>
      <c r="BP237" t="s">
        <v>1</v>
      </c>
      <c r="BQ237" t="s">
        <v>1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0</v>
      </c>
      <c r="BX237" t="s">
        <v>1</v>
      </c>
      <c r="BY237" t="s">
        <v>1</v>
      </c>
      <c r="BZ237" t="s">
        <v>1</v>
      </c>
      <c r="CA237" t="s">
        <v>1</v>
      </c>
      <c r="CB237" t="s">
        <v>1</v>
      </c>
      <c r="CD237" t="str" cm="1">
        <f t="array" aca="1" ref="CD237" ca="1">eConcatenar(A237:CB237,"|")</f>
        <v>6gVLwExxd6D3NMQP|CAR2021-7556|3|DIGNITY|TABASCO|CARDENAS|CARDENAS|2021-12-15|24500|X|200|50|0|0|0|0|0|0|0|0|0|0|0|0|0|0|0|RAMOS|GOMEZ|NOEMI|SOLTERO|X|X|CARRETERA KILOMETRO 2 SIN NUMERO|POBLADO C-28 CORONEL GREGORIO MENDEZ|X|9372720198|X|X|X|CARRETERA KILOMETRO 2 SIN NUMERO|X|LUNES|X|X|X|X|X|DOMICILIO |900|23600|x|x|x|2022-02-17|2022-02-24|x|x|x|x|x|QWYNRBIY9KVXQO|x|HOMBRE|X|24500|X|X|X|X|X|X|X|X|CARDENAS|X|X|X|X|X</v>
      </c>
    </row>
    <row r="238" spans="1:82" x14ac:dyDescent="0.25">
      <c r="A238" t="s">
        <v>372</v>
      </c>
      <c r="B238" t="s">
        <v>683</v>
      </c>
      <c r="C238">
        <v>3</v>
      </c>
      <c r="D238" t="s">
        <v>761</v>
      </c>
      <c r="E238" t="s">
        <v>1398</v>
      </c>
      <c r="F238" t="s">
        <v>0</v>
      </c>
      <c r="G238" t="s">
        <v>0</v>
      </c>
      <c r="H238" t="s">
        <v>777</v>
      </c>
      <c r="I238">
        <v>14800</v>
      </c>
      <c r="J238" t="s">
        <v>1</v>
      </c>
      <c r="K238">
        <v>100</v>
      </c>
      <c r="L238">
        <v>50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1359</v>
      </c>
      <c r="AC238" t="s">
        <v>1256</v>
      </c>
      <c r="AD238" s="18" t="s">
        <v>1043</v>
      </c>
      <c r="AE238" t="s">
        <v>4</v>
      </c>
      <c r="AF238" t="s">
        <v>1</v>
      </c>
      <c r="AG238" t="s">
        <v>1</v>
      </c>
      <c r="AH238" t="s">
        <v>1601</v>
      </c>
      <c r="AI238" t="s">
        <v>1799</v>
      </c>
      <c r="AJ238" t="s">
        <v>1</v>
      </c>
      <c r="AK238">
        <v>9371650716</v>
      </c>
      <c r="AL238" t="s">
        <v>1</v>
      </c>
      <c r="AM238" t="s">
        <v>1</v>
      </c>
      <c r="AN238" t="s">
        <v>1</v>
      </c>
      <c r="AO238" t="s">
        <v>1601</v>
      </c>
      <c r="AP238" t="s">
        <v>1</v>
      </c>
      <c r="AQ238" t="s">
        <v>2</v>
      </c>
      <c r="AR238" t="s">
        <v>1</v>
      </c>
      <c r="AS238" t="s">
        <v>1</v>
      </c>
      <c r="AT238" t="s">
        <v>1</v>
      </c>
      <c r="AU238" t="s">
        <v>1</v>
      </c>
      <c r="AV238" t="s">
        <v>1</v>
      </c>
      <c r="AW238" t="s">
        <v>11</v>
      </c>
      <c r="AX238">
        <f>Tabla1[[#This Row],[precio del paquete]]-Tabla1[[#This Row],[Saldo_Deudor]]</f>
        <v>200</v>
      </c>
      <c r="AY238">
        <v>14600</v>
      </c>
      <c r="AZ238" t="s">
        <v>3</v>
      </c>
      <c r="BA238" t="s">
        <v>3</v>
      </c>
      <c r="BB238" t="s">
        <v>3</v>
      </c>
      <c r="BC238" t="s">
        <v>1843</v>
      </c>
      <c r="BD238" t="s">
        <v>1894</v>
      </c>
      <c r="BE238" t="s">
        <v>3</v>
      </c>
      <c r="BF238" t="s">
        <v>3</v>
      </c>
      <c r="BG238" t="s">
        <v>3</v>
      </c>
      <c r="BH238" t="s">
        <v>3</v>
      </c>
      <c r="BI238" t="s">
        <v>3</v>
      </c>
      <c r="BJ238" t="s">
        <v>1946</v>
      </c>
      <c r="BK238" t="s">
        <v>3</v>
      </c>
      <c r="BL238" t="s">
        <v>132</v>
      </c>
      <c r="BM238" t="s">
        <v>1</v>
      </c>
      <c r="BN238">
        <f>Tabla1[[#This Row],[precio del paquete]]</f>
        <v>14800</v>
      </c>
      <c r="BO238" t="s">
        <v>1</v>
      </c>
      <c r="BP238" t="s">
        <v>1</v>
      </c>
      <c r="BQ238" t="s">
        <v>1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0</v>
      </c>
      <c r="BX238" t="s">
        <v>1</v>
      </c>
      <c r="BY238" t="s">
        <v>1</v>
      </c>
      <c r="BZ238" t="s">
        <v>1</v>
      </c>
      <c r="CA238" t="s">
        <v>1</v>
      </c>
      <c r="CB238" t="s">
        <v>1</v>
      </c>
      <c r="CD238" t="str" cm="1">
        <f t="array" aca="1" ref="CD238" ca="1">eConcatenar(A238:CB238,"|")</f>
        <v>1cZMeaYQsVNvVLZ7|CAR2022-0833|3|MEMORIAL|TABASCO|CARDENAS|CARDENAS|2022-08-02|14800|X|100|50|0|0|0|0|0|0|0|0|0|0|0|0|0|0|0|BROCA|OLAN|FRANCISCO|SOLTERO|X|X|CALLE LA ESPERANZA CASA NUMERO 484|RANCHERIA ARROYO HONDO PRIMERA SECCION|X|9371650716|X|X|X|CALLE LA ESPERANZA CASA NUMERO 484|X|LUNES|X|X|X|X|X|DOMICILIO |200|14600|x|x|x|2022-02-17|2022-02-24|x|x|x|x|x|QWYNRBIY9KVXQO|x|HOMBRE|X|14800|X|X|X|X|X|X|X|X|CARDENAS|X|X|X|X|X</v>
      </c>
    </row>
    <row r="239" spans="1:82" x14ac:dyDescent="0.25">
      <c r="A239" t="s">
        <v>373</v>
      </c>
      <c r="B239" t="s">
        <v>684</v>
      </c>
      <c r="C239">
        <v>3</v>
      </c>
      <c r="D239" t="s">
        <v>761</v>
      </c>
      <c r="E239" t="s">
        <v>1398</v>
      </c>
      <c r="F239" t="s">
        <v>0</v>
      </c>
      <c r="G239" t="s">
        <v>0</v>
      </c>
      <c r="H239" t="s">
        <v>776</v>
      </c>
      <c r="I239">
        <v>14800</v>
      </c>
      <c r="J239" t="s">
        <v>1</v>
      </c>
      <c r="K239">
        <v>100</v>
      </c>
      <c r="L239">
        <v>50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1267</v>
      </c>
      <c r="AC239" t="s">
        <v>1304</v>
      </c>
      <c r="AD239" s="18" t="s">
        <v>1008</v>
      </c>
      <c r="AE239" t="s">
        <v>4</v>
      </c>
      <c r="AF239" t="s">
        <v>1</v>
      </c>
      <c r="AG239" t="s">
        <v>1</v>
      </c>
      <c r="AH239" t="s">
        <v>1426</v>
      </c>
      <c r="AI239" t="s">
        <v>1799</v>
      </c>
      <c r="AJ239" t="s">
        <v>1</v>
      </c>
      <c r="AK239">
        <v>9371014230</v>
      </c>
      <c r="AL239" t="s">
        <v>1</v>
      </c>
      <c r="AM239" t="s">
        <v>1</v>
      </c>
      <c r="AN239" t="s">
        <v>1</v>
      </c>
      <c r="AO239" t="s">
        <v>1426</v>
      </c>
      <c r="AP239" t="s">
        <v>1</v>
      </c>
      <c r="AQ239" t="s">
        <v>2</v>
      </c>
      <c r="AR239" t="s">
        <v>1</v>
      </c>
      <c r="AS239" t="s">
        <v>1</v>
      </c>
      <c r="AT239" t="s">
        <v>1</v>
      </c>
      <c r="AU239" t="s">
        <v>1</v>
      </c>
      <c r="AV239" t="s">
        <v>1</v>
      </c>
      <c r="AW239" t="s">
        <v>11</v>
      </c>
      <c r="AX239">
        <f>Tabla1[[#This Row],[precio del paquete]]-Tabla1[[#This Row],[Saldo_Deudor]]</f>
        <v>200</v>
      </c>
      <c r="AY239">
        <v>14600</v>
      </c>
      <c r="AZ239" t="s">
        <v>3</v>
      </c>
      <c r="BA239" t="s">
        <v>3</v>
      </c>
      <c r="BB239" t="s">
        <v>3</v>
      </c>
      <c r="BC239" t="s">
        <v>1843</v>
      </c>
      <c r="BD239" t="s">
        <v>1894</v>
      </c>
      <c r="BE239" t="s">
        <v>3</v>
      </c>
      <c r="BF239" t="s">
        <v>3</v>
      </c>
      <c r="BG239" t="s">
        <v>3</v>
      </c>
      <c r="BH239" t="s">
        <v>3</v>
      </c>
      <c r="BI239" t="s">
        <v>3</v>
      </c>
      <c r="BJ239" t="s">
        <v>1946</v>
      </c>
      <c r="BK239" t="s">
        <v>3</v>
      </c>
      <c r="BL239" t="s">
        <v>132</v>
      </c>
      <c r="BM239" t="s">
        <v>1</v>
      </c>
      <c r="BN239">
        <f>Tabla1[[#This Row],[precio del paquete]]</f>
        <v>14800</v>
      </c>
      <c r="BO239" t="s">
        <v>1</v>
      </c>
      <c r="BP239" t="s">
        <v>1</v>
      </c>
      <c r="BQ239" t="s">
        <v>1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0</v>
      </c>
      <c r="BX239" t="s">
        <v>1</v>
      </c>
      <c r="BY239" t="s">
        <v>1</v>
      </c>
      <c r="BZ239" t="s">
        <v>1</v>
      </c>
      <c r="CA239" t="s">
        <v>1</v>
      </c>
      <c r="CB239" t="s">
        <v>1</v>
      </c>
      <c r="CD239" t="str" cm="1">
        <f t="array" aca="1" ref="CD239" ca="1">eConcatenar(A239:CB239,"|")</f>
        <v>Qz7NYNC4HSkfRhGd|CAR2022-0867|3|MEMORIAL|TABASCO|CARDENAS|CARDENAS|2022-10-02|14800|X|100|50|0|0|0|0|0|0|0|0|0|0|0|0|0|0|0|JIMENEZ|DE DIOS|MANUEL|SOLTERO|X|X|CARRETERA PRINCIPAL SIN NUMERO|RANCHERIA ARROYO HONDO PRIMERA SECCION|X|9371014230|X|X|X|CARRETERA PRINCIPAL SIN NUMERO|X|LUNES|X|X|X|X|X|DOMICILIO |200|14600|x|x|x|2022-02-17|2022-02-24|x|x|x|x|x|QWYNRBIY9KVXQO|x|HOMBRE|X|14800|X|X|X|X|X|X|X|X|CARDENAS|X|X|X|X|X</v>
      </c>
    </row>
    <row r="240" spans="1:82" x14ac:dyDescent="0.25">
      <c r="A240" t="s">
        <v>374</v>
      </c>
      <c r="B240" t="s">
        <v>685</v>
      </c>
      <c r="C240">
        <v>3</v>
      </c>
      <c r="D240" t="s">
        <v>761</v>
      </c>
      <c r="E240" t="s">
        <v>1398</v>
      </c>
      <c r="F240" t="s">
        <v>0</v>
      </c>
      <c r="G240" t="s">
        <v>0</v>
      </c>
      <c r="H240" t="s">
        <v>938</v>
      </c>
      <c r="I240">
        <v>14800</v>
      </c>
      <c r="J240" t="s">
        <v>1</v>
      </c>
      <c r="K240">
        <v>300</v>
      </c>
      <c r="L240">
        <v>50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1265</v>
      </c>
      <c r="AC240" t="s">
        <v>7</v>
      </c>
      <c r="AD240" s="18" t="s">
        <v>1173</v>
      </c>
      <c r="AE240" t="s">
        <v>4</v>
      </c>
      <c r="AF240" t="s">
        <v>1</v>
      </c>
      <c r="AG240" t="s">
        <v>1</v>
      </c>
      <c r="AH240" t="s">
        <v>1602</v>
      </c>
      <c r="AI240" t="s">
        <v>1799</v>
      </c>
      <c r="AJ240" t="s">
        <v>1</v>
      </c>
      <c r="AK240">
        <v>9371010521</v>
      </c>
      <c r="AL240" t="s">
        <v>1</v>
      </c>
      <c r="AM240" t="s">
        <v>1</v>
      </c>
      <c r="AN240" t="s">
        <v>1</v>
      </c>
      <c r="AO240" t="s">
        <v>1602</v>
      </c>
      <c r="AP240" t="s">
        <v>1</v>
      </c>
      <c r="AQ240" t="s">
        <v>2</v>
      </c>
      <c r="AR240" t="s">
        <v>1</v>
      </c>
      <c r="AS240" t="s">
        <v>1</v>
      </c>
      <c r="AT240" t="s">
        <v>1</v>
      </c>
      <c r="AU240" t="s">
        <v>1</v>
      </c>
      <c r="AV240" t="s">
        <v>1</v>
      </c>
      <c r="AW240" t="s">
        <v>11</v>
      </c>
      <c r="AX240">
        <f>Tabla1[[#This Row],[precio del paquete]]-Tabla1[[#This Row],[Saldo_Deudor]]</f>
        <v>1400</v>
      </c>
      <c r="AY240">
        <v>13400</v>
      </c>
      <c r="AZ240" t="s">
        <v>3</v>
      </c>
      <c r="BA240" t="s">
        <v>3</v>
      </c>
      <c r="BB240" t="s">
        <v>3</v>
      </c>
      <c r="BC240" t="s">
        <v>938</v>
      </c>
      <c r="BD240" t="s">
        <v>1899</v>
      </c>
      <c r="BE240" t="s">
        <v>3</v>
      </c>
      <c r="BF240" t="s">
        <v>3</v>
      </c>
      <c r="BG240" t="s">
        <v>3</v>
      </c>
      <c r="BH240" t="s">
        <v>3</v>
      </c>
      <c r="BI240" t="s">
        <v>3</v>
      </c>
      <c r="BJ240" t="s">
        <v>1946</v>
      </c>
      <c r="BK240" t="s">
        <v>3</v>
      </c>
      <c r="BL240" t="s">
        <v>132</v>
      </c>
      <c r="BM240" t="s">
        <v>1</v>
      </c>
      <c r="BN240">
        <f>Tabla1[[#This Row],[precio del paquete]]</f>
        <v>14800</v>
      </c>
      <c r="BO240" t="s">
        <v>1</v>
      </c>
      <c r="BP240" t="s">
        <v>1</v>
      </c>
      <c r="BQ240" t="s">
        <v>1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0</v>
      </c>
      <c r="BX240" t="s">
        <v>1</v>
      </c>
      <c r="BY240" t="s">
        <v>1</v>
      </c>
      <c r="BZ240" t="s">
        <v>1</v>
      </c>
      <c r="CA240" t="s">
        <v>1</v>
      </c>
      <c r="CB240" t="s">
        <v>1</v>
      </c>
      <c r="CD240" t="str" cm="1">
        <f t="array" aca="1" ref="CD240" ca="1">eConcatenar(A240:CB240,"|")</f>
        <v>CvYJjQCwrXeLfINB|CAR2022-7690|3|MEMORIAL|TABASCO|CARDENAS|CARDENAS|2021-12-29|14800|X|300|50|0|0|0|0|0|0|0|0|0|0|0|0|0|0|0|DOMINGUEZ|LOPEZ|MIGUELINA|SOLTERO|X|X|CALLE SANTA TERESA|RANCHERIA ARROYO HONDO PRIMERA SECCION|X|9371010521|X|X|X|CALLE SANTA TERESA|X|LUNES|X|X|X|X|X|DOMICILIO |1400|13400|x|x|x|2021-12-29|2022-01-05|x|x|x|x|x|QWYNRBIY9KVXQO|x|HOMBRE|X|14800|X|X|X|X|X|X|X|X|CARDENAS|X|X|X|X|X</v>
      </c>
    </row>
    <row r="241" spans="1:82" x14ac:dyDescent="0.25">
      <c r="A241" t="s">
        <v>375</v>
      </c>
      <c r="B241" t="s">
        <v>686</v>
      </c>
      <c r="C241">
        <v>3</v>
      </c>
      <c r="D241" t="s">
        <v>761</v>
      </c>
      <c r="E241" t="s">
        <v>1398</v>
      </c>
      <c r="F241" t="s">
        <v>0</v>
      </c>
      <c r="G241" t="s">
        <v>0</v>
      </c>
      <c r="H241" t="s">
        <v>777</v>
      </c>
      <c r="I241">
        <v>14800</v>
      </c>
      <c r="J241" t="s">
        <v>1</v>
      </c>
      <c r="K241">
        <v>100</v>
      </c>
      <c r="L241">
        <v>50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1369</v>
      </c>
      <c r="AC241" t="s">
        <v>1256</v>
      </c>
      <c r="AD241" s="18" t="s">
        <v>1174</v>
      </c>
      <c r="AE241" t="s">
        <v>4</v>
      </c>
      <c r="AF241" t="s">
        <v>1</v>
      </c>
      <c r="AG241" t="s">
        <v>1</v>
      </c>
      <c r="AH241" t="s">
        <v>1603</v>
      </c>
      <c r="AI241" t="s">
        <v>1799</v>
      </c>
      <c r="AJ241" t="s">
        <v>1</v>
      </c>
      <c r="AK241">
        <v>9934300549</v>
      </c>
      <c r="AL241" t="s">
        <v>1</v>
      </c>
      <c r="AM241" t="s">
        <v>1</v>
      </c>
      <c r="AN241" t="s">
        <v>1</v>
      </c>
      <c r="AO241" t="s">
        <v>1603</v>
      </c>
      <c r="AP241" t="s">
        <v>1</v>
      </c>
      <c r="AQ241" t="s">
        <v>2</v>
      </c>
      <c r="AR241" t="s">
        <v>1</v>
      </c>
      <c r="AS241" t="s">
        <v>1</v>
      </c>
      <c r="AT241" t="s">
        <v>1</v>
      </c>
      <c r="AU241" t="s">
        <v>1</v>
      </c>
      <c r="AV241" t="s">
        <v>1</v>
      </c>
      <c r="AW241" t="s">
        <v>11</v>
      </c>
      <c r="AX241">
        <f>Tabla1[[#This Row],[precio del paquete]]-Tabla1[[#This Row],[Saldo_Deudor]]</f>
        <v>300</v>
      </c>
      <c r="AY241">
        <v>14500</v>
      </c>
      <c r="AZ241" t="s">
        <v>3</v>
      </c>
      <c r="BA241" t="s">
        <v>3</v>
      </c>
      <c r="BB241" t="s">
        <v>3</v>
      </c>
      <c r="BC241" t="s">
        <v>1843</v>
      </c>
      <c r="BD241" t="s">
        <v>1894</v>
      </c>
      <c r="BE241" t="s">
        <v>3</v>
      </c>
      <c r="BF241" t="s">
        <v>3</v>
      </c>
      <c r="BG241" t="s">
        <v>3</v>
      </c>
      <c r="BH241" t="s">
        <v>3</v>
      </c>
      <c r="BI241" t="s">
        <v>3</v>
      </c>
      <c r="BJ241" t="s">
        <v>1946</v>
      </c>
      <c r="BK241" t="s">
        <v>3</v>
      </c>
      <c r="BL241" t="s">
        <v>132</v>
      </c>
      <c r="BM241" t="s">
        <v>1</v>
      </c>
      <c r="BN241">
        <f>Tabla1[[#This Row],[precio del paquete]]</f>
        <v>14800</v>
      </c>
      <c r="BO241" t="s">
        <v>1</v>
      </c>
      <c r="BP241" t="s">
        <v>1</v>
      </c>
      <c r="BQ241" t="s">
        <v>1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0</v>
      </c>
      <c r="BX241" t="s">
        <v>1</v>
      </c>
      <c r="BY241" t="s">
        <v>1</v>
      </c>
      <c r="BZ241" t="s">
        <v>1</v>
      </c>
      <c r="CA241" t="s">
        <v>1</v>
      </c>
      <c r="CB241" t="s">
        <v>1</v>
      </c>
      <c r="CD241" t="str" cm="1">
        <f t="array" aca="1" ref="CD241" ca="1">eConcatenar(A241:CB241,"|")</f>
        <v>ajMe3mMNFFkeTNLx|CAR2022-0837|3|MEMORIAL|TABASCO|CARDENAS|CARDENAS|2022-08-02|14800|X|100|50|1|0|0|0|0|0|0|0|0|0|0|0|0|0|0|CARRETA|OLAN|MARIA GUADALUPE|SOLTERO|X|X|CALLE PRINCIPAL POR SANTA TERESA|RANCHERIA ARROYO HONDO PRIMERA SECCION|X|9934300549|X|X|X|CALLE PRINCIPAL POR SANTA TERESA|X|LUNES|X|X|X|X|X|DOMICILIO |300|14500|x|x|x|2022-02-17|2022-02-24|x|x|x|x|x|QWYNRBIY9KVXQO|x|HOMBRE|X|14800|X|X|X|X|X|X|X|X|CARDENAS|X|X|X|X|X</v>
      </c>
    </row>
    <row r="242" spans="1:82" x14ac:dyDescent="0.25">
      <c r="A242" t="s">
        <v>376</v>
      </c>
      <c r="B242" t="s">
        <v>687</v>
      </c>
      <c r="C242">
        <v>3</v>
      </c>
      <c r="D242" t="s">
        <v>761</v>
      </c>
      <c r="E242" t="s">
        <v>1398</v>
      </c>
      <c r="F242" t="s">
        <v>0</v>
      </c>
      <c r="G242" t="s">
        <v>0</v>
      </c>
      <c r="H242" t="s">
        <v>777</v>
      </c>
      <c r="I242">
        <v>14800</v>
      </c>
      <c r="J242" t="s">
        <v>1</v>
      </c>
      <c r="K242">
        <v>100</v>
      </c>
      <c r="L242">
        <v>50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1255</v>
      </c>
      <c r="AC242" t="s">
        <v>1359</v>
      </c>
      <c r="AD242" s="18" t="s">
        <v>1175</v>
      </c>
      <c r="AE242" t="s">
        <v>4</v>
      </c>
      <c r="AF242" t="s">
        <v>1</v>
      </c>
      <c r="AG242" t="s">
        <v>1</v>
      </c>
      <c r="AH242" t="s">
        <v>1604</v>
      </c>
      <c r="AI242" t="s">
        <v>1799</v>
      </c>
      <c r="AJ242" t="s">
        <v>1</v>
      </c>
      <c r="AK242">
        <v>9993465807</v>
      </c>
      <c r="AL242" t="s">
        <v>1</v>
      </c>
      <c r="AM242" t="s">
        <v>1</v>
      </c>
      <c r="AN242" t="s">
        <v>1</v>
      </c>
      <c r="AO242" t="s">
        <v>1604</v>
      </c>
      <c r="AP242" t="s">
        <v>1</v>
      </c>
      <c r="AQ242" t="s">
        <v>2</v>
      </c>
      <c r="AR242" t="s">
        <v>1</v>
      </c>
      <c r="AS242" t="s">
        <v>1</v>
      </c>
      <c r="AT242" t="s">
        <v>1</v>
      </c>
      <c r="AU242" t="s">
        <v>1</v>
      </c>
      <c r="AV242" t="s">
        <v>1</v>
      </c>
      <c r="AW242" t="s">
        <v>11</v>
      </c>
      <c r="AX242">
        <f>Tabla1[[#This Row],[precio del paquete]]-Tabla1[[#This Row],[Saldo_Deudor]]</f>
        <v>300</v>
      </c>
      <c r="AY242">
        <v>14500</v>
      </c>
      <c r="AZ242" t="s">
        <v>3</v>
      </c>
      <c r="BA242" t="s">
        <v>3</v>
      </c>
      <c r="BB242" t="s">
        <v>3</v>
      </c>
      <c r="BC242" t="s">
        <v>1843</v>
      </c>
      <c r="BD242" t="s">
        <v>1894</v>
      </c>
      <c r="BE242" t="s">
        <v>3</v>
      </c>
      <c r="BF242" t="s">
        <v>3</v>
      </c>
      <c r="BG242" t="s">
        <v>3</v>
      </c>
      <c r="BH242" t="s">
        <v>3</v>
      </c>
      <c r="BI242" t="s">
        <v>3</v>
      </c>
      <c r="BJ242" t="s">
        <v>1946</v>
      </c>
      <c r="BK242" t="s">
        <v>3</v>
      </c>
      <c r="BL242" t="s">
        <v>132</v>
      </c>
      <c r="BM242" t="s">
        <v>1</v>
      </c>
      <c r="BN242">
        <f>Tabla1[[#This Row],[precio del paquete]]</f>
        <v>14800</v>
      </c>
      <c r="BO242" t="s">
        <v>1</v>
      </c>
      <c r="BP242" t="s">
        <v>1</v>
      </c>
      <c r="BQ242" t="s">
        <v>1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0</v>
      </c>
      <c r="BX242" t="s">
        <v>1</v>
      </c>
      <c r="BY242" t="s">
        <v>1</v>
      </c>
      <c r="BZ242" t="s">
        <v>1</v>
      </c>
      <c r="CA242" t="s">
        <v>1</v>
      </c>
      <c r="CB242" t="s">
        <v>1</v>
      </c>
      <c r="CD242" t="str" cm="1">
        <f t="array" aca="1" ref="CD242" ca="1">eConcatenar(A242:CB242,"|")</f>
        <v>xND0UE4BujQbixqx|CAR2022-0832|3|MEMORIAL|TABASCO|CARDENAS|CARDENAS|2022-08-02|14800|X|100|50|1|0|0|0|0|0|0|0|0|0|0|0|0|0|0|CORDOVA|BROCA|ZENAIDA|SOLTERO|X|X|CALLE PRINCIPAL|RANCHERIA ARROYO HONDO PRIMERA SECCION|X|9993465807|X|X|X|CALLE PRINCIPAL|X|LUNES|X|X|X|X|X|DOMICILIO |300|14500|x|x|x|2022-02-17|2022-02-24|x|x|x|x|x|QWYNRBIY9KVXQO|x|HOMBRE|X|14800|X|X|X|X|X|X|X|X|CARDENAS|X|X|X|X|X</v>
      </c>
    </row>
    <row r="243" spans="1:82" x14ac:dyDescent="0.25">
      <c r="A243" t="s">
        <v>377</v>
      </c>
      <c r="B243" t="s">
        <v>688</v>
      </c>
      <c r="C243">
        <v>3</v>
      </c>
      <c r="D243" t="s">
        <v>761</v>
      </c>
      <c r="E243" t="s">
        <v>1398</v>
      </c>
      <c r="F243" t="s">
        <v>0</v>
      </c>
      <c r="G243" t="s">
        <v>0</v>
      </c>
      <c r="H243" t="s">
        <v>939</v>
      </c>
      <c r="I243">
        <v>14800</v>
      </c>
      <c r="J243" t="s">
        <v>1</v>
      </c>
      <c r="K243">
        <v>50</v>
      </c>
      <c r="L243">
        <v>50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1267</v>
      </c>
      <c r="AC243" t="s">
        <v>7</v>
      </c>
      <c r="AD243" s="18" t="s">
        <v>1176</v>
      </c>
      <c r="AE243" t="s">
        <v>4</v>
      </c>
      <c r="AF243" t="s">
        <v>1</v>
      </c>
      <c r="AG243" t="s">
        <v>1</v>
      </c>
      <c r="AH243" t="s">
        <v>1605</v>
      </c>
      <c r="AI243" t="s">
        <v>1800</v>
      </c>
      <c r="AJ243" t="s">
        <v>1</v>
      </c>
      <c r="AK243">
        <v>9371534009</v>
      </c>
      <c r="AL243" t="s">
        <v>1</v>
      </c>
      <c r="AM243" t="s">
        <v>1</v>
      </c>
      <c r="AN243" t="s">
        <v>1</v>
      </c>
      <c r="AO243" t="s">
        <v>1605</v>
      </c>
      <c r="AP243" t="s">
        <v>1</v>
      </c>
      <c r="AQ243" t="s">
        <v>2</v>
      </c>
      <c r="AR243" t="s">
        <v>1</v>
      </c>
      <c r="AS243" t="s">
        <v>1</v>
      </c>
      <c r="AT243" t="s">
        <v>1</v>
      </c>
      <c r="AU243" t="s">
        <v>1</v>
      </c>
      <c r="AV243" t="s">
        <v>1</v>
      </c>
      <c r="AW243" t="s">
        <v>11</v>
      </c>
      <c r="AX243">
        <f>Tabla1[[#This Row],[precio del paquete]]-Tabla1[[#This Row],[Saldo_Deudor]]</f>
        <v>50</v>
      </c>
      <c r="AY243">
        <v>14750</v>
      </c>
      <c r="AZ243" t="s">
        <v>3</v>
      </c>
      <c r="BA243" t="s">
        <v>3</v>
      </c>
      <c r="BB243" t="s">
        <v>3</v>
      </c>
      <c r="BC243" t="s">
        <v>939</v>
      </c>
      <c r="BD243" t="s">
        <v>938</v>
      </c>
      <c r="BE243" t="s">
        <v>3</v>
      </c>
      <c r="BF243" t="s">
        <v>3</v>
      </c>
      <c r="BG243" t="s">
        <v>3</v>
      </c>
      <c r="BH243" t="s">
        <v>3</v>
      </c>
      <c r="BI243" t="s">
        <v>3</v>
      </c>
      <c r="BJ243" t="s">
        <v>1946</v>
      </c>
      <c r="BK243" t="s">
        <v>3</v>
      </c>
      <c r="BL243" t="s">
        <v>132</v>
      </c>
      <c r="BM243" t="s">
        <v>1</v>
      </c>
      <c r="BN243">
        <f>Tabla1[[#This Row],[precio del paquete]]</f>
        <v>14800</v>
      </c>
      <c r="BO243" t="s">
        <v>1</v>
      </c>
      <c r="BP243" t="s">
        <v>1</v>
      </c>
      <c r="BQ243" t="s">
        <v>1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0</v>
      </c>
      <c r="BX243" t="s">
        <v>1</v>
      </c>
      <c r="BY243" t="s">
        <v>1</v>
      </c>
      <c r="BZ243" t="s">
        <v>1</v>
      </c>
      <c r="CA243" t="s">
        <v>1</v>
      </c>
      <c r="CB243" t="s">
        <v>1</v>
      </c>
      <c r="CD243" t="str" cm="1">
        <f t="array" aca="1" ref="CD243" ca="1">eConcatenar(A243:CB243,"|")</f>
        <v>il1H5agMWjGT9tMc|CAR2021-7642|3|MEMORIAL|TABASCO|CARDENAS|CARDENAS|2021-12-22|14800|X|50|50|0|0|0|0|0|0|0|0|0|0|0|0|0|0|0|JIMENEZ|LOPEZ|DIANA|SOLTERO|X|X|CALLE 9|POBLADO C-27 EDUARDO CHAVEZ|X|9371534009|X|X|X|CALLE 9|X|LUNES|X|X|X|X|X|DOMICILIO |50|14750|x|x|x|2021-12-22|2021-12-29|x|x|x|x|x|QWYNRBIY9KVXQO|x|HOMBRE|X|14800|X|X|X|X|X|X|X|X|CARDENAS|X|X|X|X|X</v>
      </c>
    </row>
    <row r="244" spans="1:82" x14ac:dyDescent="0.25">
      <c r="A244" t="s">
        <v>378</v>
      </c>
      <c r="B244" t="s">
        <v>689</v>
      </c>
      <c r="C244">
        <v>3</v>
      </c>
      <c r="D244" t="s">
        <v>761</v>
      </c>
      <c r="E244" t="s">
        <v>1398</v>
      </c>
      <c r="F244" t="s">
        <v>0</v>
      </c>
      <c r="G244" t="s">
        <v>0</v>
      </c>
      <c r="H244" t="s">
        <v>937</v>
      </c>
      <c r="I244">
        <v>14800</v>
      </c>
      <c r="J244" t="s">
        <v>1</v>
      </c>
      <c r="K244">
        <v>200</v>
      </c>
      <c r="L244">
        <v>50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1246</v>
      </c>
      <c r="AC244" t="s">
        <v>1370</v>
      </c>
      <c r="AD244" s="18" t="s">
        <v>1177</v>
      </c>
      <c r="AE244" t="s">
        <v>4</v>
      </c>
      <c r="AF244" t="s">
        <v>1</v>
      </c>
      <c r="AG244" t="s">
        <v>1</v>
      </c>
      <c r="AH244" t="s">
        <v>1606</v>
      </c>
      <c r="AI244" t="s">
        <v>1765</v>
      </c>
      <c r="AJ244" t="s">
        <v>1</v>
      </c>
      <c r="AK244">
        <v>9371208368</v>
      </c>
      <c r="AL244" t="s">
        <v>1</v>
      </c>
      <c r="AM244" t="s">
        <v>1</v>
      </c>
      <c r="AN244" t="s">
        <v>1</v>
      </c>
      <c r="AO244" t="s">
        <v>1606</v>
      </c>
      <c r="AP244" t="s">
        <v>1</v>
      </c>
      <c r="AQ244" t="s">
        <v>2</v>
      </c>
      <c r="AR244" t="s">
        <v>1</v>
      </c>
      <c r="AS244" t="s">
        <v>1</v>
      </c>
      <c r="AT244" t="s">
        <v>1</v>
      </c>
      <c r="AU244" t="s">
        <v>1</v>
      </c>
      <c r="AV244" t="s">
        <v>1</v>
      </c>
      <c r="AW244" t="s">
        <v>11</v>
      </c>
      <c r="AX244">
        <f>Tabla1[[#This Row],[precio del paquete]]-Tabla1[[#This Row],[Saldo_Deudor]]</f>
        <v>700</v>
      </c>
      <c r="AY244">
        <v>14100</v>
      </c>
      <c r="AZ244" t="s">
        <v>3</v>
      </c>
      <c r="BA244" t="s">
        <v>3</v>
      </c>
      <c r="BB244" t="s">
        <v>3</v>
      </c>
      <c r="BC244" t="s">
        <v>776</v>
      </c>
      <c r="BD244" t="s">
        <v>1842</v>
      </c>
      <c r="BE244" t="s">
        <v>3</v>
      </c>
      <c r="BF244" t="s">
        <v>3</v>
      </c>
      <c r="BG244" t="s">
        <v>3</v>
      </c>
      <c r="BH244" t="s">
        <v>3</v>
      </c>
      <c r="BI244" t="s">
        <v>3</v>
      </c>
      <c r="BJ244" t="s">
        <v>1946</v>
      </c>
      <c r="BK244" t="s">
        <v>3</v>
      </c>
      <c r="BL244" t="s">
        <v>132</v>
      </c>
      <c r="BM244" t="s">
        <v>1</v>
      </c>
      <c r="BN244">
        <f>Tabla1[[#This Row],[precio del paquete]]</f>
        <v>14800</v>
      </c>
      <c r="BO244" t="s">
        <v>1</v>
      </c>
      <c r="BP244" t="s">
        <v>1</v>
      </c>
      <c r="BQ244" t="s">
        <v>1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0</v>
      </c>
      <c r="BX244" t="s">
        <v>1</v>
      </c>
      <c r="BY244" t="s">
        <v>1</v>
      </c>
      <c r="BZ244" t="s">
        <v>1</v>
      </c>
      <c r="CA244" t="s">
        <v>1</v>
      </c>
      <c r="CB244" t="s">
        <v>1</v>
      </c>
      <c r="CD244" t="str" cm="1">
        <f t="array" aca="1" ref="CD244" ca="1">eConcatenar(A244:CB244,"|")</f>
        <v>ZpbYnVWMTdHGM2L5|CAR2021-7557|3|MEMORIAL|TABASCO|CARDENAS|CARDENAS|2021-12-15|14800|X|200|50|0|0|0|0|0|0|0|0|0|0|0|0|0|0|0|MORALES|MORENO|RAQUEL|SOLTERO|X|X|CARRETERA AL KILOMETRO 2|POBLADO C-28 CORONEL GREGORIO MENDEZ|X|9371208368|X|X|X|CARRETERA AL KILOMETRO 2|X|LUNES|X|X|X|X|X|DOMICILIO |700|14100|x|x|x|2022-10-02|2022-10-09|x|x|x|x|x|QWYNRBIY9KVXQO|x|HOMBRE|X|14800|X|X|X|X|X|X|X|X|CARDENAS|X|X|X|X|X</v>
      </c>
    </row>
    <row r="245" spans="1:82" x14ac:dyDescent="0.25">
      <c r="A245" t="s">
        <v>379</v>
      </c>
      <c r="B245" t="s">
        <v>690</v>
      </c>
      <c r="C245">
        <v>3</v>
      </c>
      <c r="D245" t="s">
        <v>761</v>
      </c>
      <c r="E245" t="s">
        <v>1398</v>
      </c>
      <c r="F245" t="s">
        <v>0</v>
      </c>
      <c r="G245" t="s">
        <v>0</v>
      </c>
      <c r="H245" t="s">
        <v>937</v>
      </c>
      <c r="I245">
        <v>14800</v>
      </c>
      <c r="J245" t="s">
        <v>1</v>
      </c>
      <c r="K245">
        <v>100</v>
      </c>
      <c r="L245">
        <v>50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1371</v>
      </c>
      <c r="AC245" t="s">
        <v>1226</v>
      </c>
      <c r="AD245" s="18" t="s">
        <v>1021</v>
      </c>
      <c r="AE245" t="s">
        <v>4</v>
      </c>
      <c r="AF245" t="s">
        <v>1</v>
      </c>
      <c r="AG245" t="s">
        <v>1</v>
      </c>
      <c r="AH245" t="s">
        <v>1607</v>
      </c>
      <c r="AI245" t="s">
        <v>1765</v>
      </c>
      <c r="AJ245" t="s">
        <v>1</v>
      </c>
      <c r="AK245">
        <v>9371237627</v>
      </c>
      <c r="AL245" t="s">
        <v>1</v>
      </c>
      <c r="AM245" t="s">
        <v>1</v>
      </c>
      <c r="AN245" t="s">
        <v>1</v>
      </c>
      <c r="AO245" t="s">
        <v>1607</v>
      </c>
      <c r="AP245" t="s">
        <v>1</v>
      </c>
      <c r="AQ245" t="s">
        <v>2</v>
      </c>
      <c r="AR245" t="s">
        <v>1</v>
      </c>
      <c r="AS245" t="s">
        <v>1</v>
      </c>
      <c r="AT245" t="s">
        <v>1</v>
      </c>
      <c r="AU245" t="s">
        <v>1</v>
      </c>
      <c r="AV245" t="s">
        <v>1</v>
      </c>
      <c r="AW245" t="s">
        <v>11</v>
      </c>
      <c r="AX245">
        <f>Tabla1[[#This Row],[precio del paquete]]-Tabla1[[#This Row],[Saldo_Deudor]]</f>
        <v>300</v>
      </c>
      <c r="AY245">
        <v>14500</v>
      </c>
      <c r="AZ245" t="s">
        <v>3</v>
      </c>
      <c r="BA245" t="s">
        <v>3</v>
      </c>
      <c r="BB245" t="s">
        <v>3</v>
      </c>
      <c r="BC245" t="s">
        <v>1875</v>
      </c>
      <c r="BD245" t="s">
        <v>1930</v>
      </c>
      <c r="BE245" t="s">
        <v>3</v>
      </c>
      <c r="BF245" t="s">
        <v>3</v>
      </c>
      <c r="BG245" t="s">
        <v>3</v>
      </c>
      <c r="BH245" t="s">
        <v>3</v>
      </c>
      <c r="BI245" t="s">
        <v>3</v>
      </c>
      <c r="BJ245" t="s">
        <v>1946</v>
      </c>
      <c r="BK245" t="s">
        <v>3</v>
      </c>
      <c r="BL245" t="s">
        <v>132</v>
      </c>
      <c r="BM245" t="s">
        <v>1</v>
      </c>
      <c r="BN245">
        <f>Tabla1[[#This Row],[precio del paquete]]</f>
        <v>14800</v>
      </c>
      <c r="BO245" t="s">
        <v>1</v>
      </c>
      <c r="BP245" t="s">
        <v>1</v>
      </c>
      <c r="BQ245" t="s">
        <v>1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0</v>
      </c>
      <c r="BX245" t="s">
        <v>1</v>
      </c>
      <c r="BY245" t="s">
        <v>1</v>
      </c>
      <c r="BZ245" t="s">
        <v>1</v>
      </c>
      <c r="CA245" t="s">
        <v>1</v>
      </c>
      <c r="CB245" t="s">
        <v>1</v>
      </c>
      <c r="CD245" t="str" cm="1">
        <f t="array" aca="1" ref="CD245" ca="1">eConcatenar(A245:CB245,"|")</f>
        <v>sFnIRmKpSKFRRUjq|CAR2021-2755|3|MEMORIAL|TABASCO|CARDENAS|CARDENAS|2021-12-15|14800|X|100|50|0|0|0|0|0|0|0|0|0|0|0|0|0|0|0|CALDERON|CRUZ|MARIO|SOLTERO|X|X|CARRETERA AL POBLADO C-27 KILOMETRO 2|POBLADO C-28 CORONEL GREGORIO MENDEZ|X|9371237627|X|X|X|CARRETERA AL POBLADO C-27 KILOMETRO 2|X|LUNES|X|X|X|X|X|DOMICILIO |300|14500|x|x|x|2022-01-02|2022-01-09|x|x|x|x|x|QWYNRBIY9KVXQO|x|HOMBRE|X|14800|X|X|X|X|X|X|X|X|CARDENAS|X|X|X|X|X</v>
      </c>
    </row>
    <row r="246" spans="1:82" x14ac:dyDescent="0.25">
      <c r="A246" t="s">
        <v>380</v>
      </c>
      <c r="B246" t="s">
        <v>691</v>
      </c>
      <c r="C246">
        <v>3</v>
      </c>
      <c r="D246" t="s">
        <v>761</v>
      </c>
      <c r="E246" t="s">
        <v>1398</v>
      </c>
      <c r="F246" t="s">
        <v>0</v>
      </c>
      <c r="G246" t="s">
        <v>0</v>
      </c>
      <c r="H246" t="s">
        <v>937</v>
      </c>
      <c r="I246">
        <v>14800</v>
      </c>
      <c r="J246" t="s">
        <v>1</v>
      </c>
      <c r="K246">
        <v>1000</v>
      </c>
      <c r="L246">
        <v>50</v>
      </c>
      <c r="M246">
        <v>1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1249</v>
      </c>
      <c r="AC246" t="s">
        <v>1267</v>
      </c>
      <c r="AD246" s="18" t="s">
        <v>1178</v>
      </c>
      <c r="AE246" t="s">
        <v>4</v>
      </c>
      <c r="AF246" t="s">
        <v>1</v>
      </c>
      <c r="AG246" t="s">
        <v>1</v>
      </c>
      <c r="AH246" t="s">
        <v>1608</v>
      </c>
      <c r="AI246" t="s">
        <v>1765</v>
      </c>
      <c r="AJ246" t="s">
        <v>1</v>
      </c>
      <c r="AK246">
        <v>9371421524</v>
      </c>
      <c r="AL246" t="s">
        <v>1</v>
      </c>
      <c r="AM246" t="s">
        <v>1</v>
      </c>
      <c r="AN246" t="s">
        <v>1</v>
      </c>
      <c r="AO246" t="s">
        <v>1608</v>
      </c>
      <c r="AP246" t="s">
        <v>1</v>
      </c>
      <c r="AQ246" t="s">
        <v>2</v>
      </c>
      <c r="AR246" t="s">
        <v>1</v>
      </c>
      <c r="AS246" t="s">
        <v>1</v>
      </c>
      <c r="AT246" t="s">
        <v>1</v>
      </c>
      <c r="AU246" t="s">
        <v>1</v>
      </c>
      <c r="AV246" t="s">
        <v>1</v>
      </c>
      <c r="AW246" t="s">
        <v>11</v>
      </c>
      <c r="AX246">
        <f>Tabla1[[#This Row],[precio del paquete]]-Tabla1[[#This Row],[Saldo_Deudor]]</f>
        <v>1600</v>
      </c>
      <c r="AY246">
        <v>13200</v>
      </c>
      <c r="AZ246" t="s">
        <v>3</v>
      </c>
      <c r="BA246" t="s">
        <v>3</v>
      </c>
      <c r="BB246" t="s">
        <v>3</v>
      </c>
      <c r="BC246" t="s">
        <v>1857</v>
      </c>
      <c r="BD246" t="s">
        <v>1911</v>
      </c>
      <c r="BE246" t="s">
        <v>3</v>
      </c>
      <c r="BF246" t="s">
        <v>3</v>
      </c>
      <c r="BG246" t="s">
        <v>3</v>
      </c>
      <c r="BH246" t="s">
        <v>3</v>
      </c>
      <c r="BI246" t="s">
        <v>3</v>
      </c>
      <c r="BJ246" t="s">
        <v>1946</v>
      </c>
      <c r="BK246" t="s">
        <v>3</v>
      </c>
      <c r="BL246" t="s">
        <v>132</v>
      </c>
      <c r="BM246" t="s">
        <v>1</v>
      </c>
      <c r="BN246">
        <f>Tabla1[[#This Row],[precio del paquete]]</f>
        <v>14800</v>
      </c>
      <c r="BO246" t="s">
        <v>1</v>
      </c>
      <c r="BP246" t="s">
        <v>1</v>
      </c>
      <c r="BQ246" t="s">
        <v>1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0</v>
      </c>
      <c r="BX246" t="s">
        <v>1</v>
      </c>
      <c r="BY246" t="s">
        <v>1</v>
      </c>
      <c r="BZ246" t="s">
        <v>1</v>
      </c>
      <c r="CA246" t="s">
        <v>1</v>
      </c>
      <c r="CB246" t="s">
        <v>1</v>
      </c>
      <c r="CD246" t="str" cm="1">
        <f t="array" aca="1" ref="CD246" ca="1">eConcatenar(A246:CB246,"|")</f>
        <v>RkI98BJ3BMMexIYJ|CAR2021-7562|3|MEMORIAL|TABASCO|CARDENAS|CARDENAS|2021-12-15|14800|X|1000|50|1|0|0|0|0|0|0|0|0|0|0|0|0|0|0|DE LA CRUZ|JIMENEZ|MARIA GLICIA|SOLTERO|X|X|CALLE 4 AMPLIACION SIN NUMERO|POBLADO C-28 CORONEL GREGORIO MENDEZ|X|9371421524|X|X|X|CALLE 4 AMPLIACION SIN NUMERO|X|LUNES|X|X|X|X|X|DOMICILIO |1600|13200|x|x|x|2022-03-02|2022-03-09|x|x|x|x|x|QWYNRBIY9KVXQO|x|HOMBRE|X|14800|X|X|X|X|X|X|X|X|CARDENAS|X|X|X|X|X</v>
      </c>
    </row>
    <row r="247" spans="1:82" x14ac:dyDescent="0.25">
      <c r="A247" t="s">
        <v>381</v>
      </c>
      <c r="B247" t="s">
        <v>692</v>
      </c>
      <c r="C247">
        <v>3</v>
      </c>
      <c r="D247" t="s">
        <v>761</v>
      </c>
      <c r="E247" t="s">
        <v>1398</v>
      </c>
      <c r="F247" t="s">
        <v>0</v>
      </c>
      <c r="G247" t="s">
        <v>0</v>
      </c>
      <c r="H247" t="s">
        <v>777</v>
      </c>
      <c r="I247">
        <v>14800</v>
      </c>
      <c r="J247" t="s">
        <v>1</v>
      </c>
      <c r="K247">
        <v>100</v>
      </c>
      <c r="L247">
        <v>50</v>
      </c>
      <c r="M247">
        <v>1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1161</v>
      </c>
      <c r="AC247" t="s">
        <v>1265</v>
      </c>
      <c r="AD247" s="18" t="s">
        <v>1179</v>
      </c>
      <c r="AE247" t="s">
        <v>4</v>
      </c>
      <c r="AF247" t="s">
        <v>1</v>
      </c>
      <c r="AG247" t="s">
        <v>1</v>
      </c>
      <c r="AH247" t="s">
        <v>1609</v>
      </c>
      <c r="AI247" t="s">
        <v>1763</v>
      </c>
      <c r="AJ247" t="s">
        <v>1</v>
      </c>
      <c r="AK247">
        <v>9988201852</v>
      </c>
      <c r="AL247" t="s">
        <v>1</v>
      </c>
      <c r="AM247" t="s">
        <v>1</v>
      </c>
      <c r="AN247" t="s">
        <v>1</v>
      </c>
      <c r="AO247" t="s">
        <v>1609</v>
      </c>
      <c r="AP247" t="s">
        <v>1</v>
      </c>
      <c r="AQ247" t="s">
        <v>2</v>
      </c>
      <c r="AR247" t="s">
        <v>1</v>
      </c>
      <c r="AS247" t="s">
        <v>1</v>
      </c>
      <c r="AT247" t="s">
        <v>1</v>
      </c>
      <c r="AU247" t="s">
        <v>1</v>
      </c>
      <c r="AV247" t="s">
        <v>1</v>
      </c>
      <c r="AW247" t="s">
        <v>11</v>
      </c>
      <c r="AX247">
        <f>Tabla1[[#This Row],[precio del paquete]]-Tabla1[[#This Row],[Saldo_Deudor]]</f>
        <v>100</v>
      </c>
      <c r="AY247">
        <v>14700</v>
      </c>
      <c r="AZ247" t="s">
        <v>3</v>
      </c>
      <c r="BA247" t="s">
        <v>3</v>
      </c>
      <c r="BB247" t="s">
        <v>3</v>
      </c>
      <c r="BC247" t="s">
        <v>777</v>
      </c>
      <c r="BD247" t="s">
        <v>1885</v>
      </c>
      <c r="BE247" t="s">
        <v>3</v>
      </c>
      <c r="BF247" t="s">
        <v>3</v>
      </c>
      <c r="BG247" t="s">
        <v>3</v>
      </c>
      <c r="BH247" t="s">
        <v>3</v>
      </c>
      <c r="BI247" t="s">
        <v>3</v>
      </c>
      <c r="BJ247" t="s">
        <v>1946</v>
      </c>
      <c r="BK247" t="s">
        <v>3</v>
      </c>
      <c r="BL247" t="s">
        <v>132</v>
      </c>
      <c r="BM247" t="s">
        <v>1</v>
      </c>
      <c r="BN247">
        <f>Tabla1[[#This Row],[precio del paquete]]</f>
        <v>14800</v>
      </c>
      <c r="BO247" t="s">
        <v>1</v>
      </c>
      <c r="BP247" t="s">
        <v>1</v>
      </c>
      <c r="BQ247" t="s">
        <v>1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0</v>
      </c>
      <c r="BX247" t="s">
        <v>1</v>
      </c>
      <c r="BY247" t="s">
        <v>1</v>
      </c>
      <c r="BZ247" t="s">
        <v>1</v>
      </c>
      <c r="CA247" t="s">
        <v>1</v>
      </c>
      <c r="CB247" t="s">
        <v>1</v>
      </c>
      <c r="CD247" t="str" cm="1">
        <f t="array" aca="1" ref="CD247" ca="1">eConcatenar(A247:CB247,"|")</f>
        <v>HO43KSb6bipFbCmM|CAR2022-0839|3|MEMORIAL|TABASCO|CARDENAS|CARDENAS|2022-08-02|14800|X|100|50|1|0|0|0|0|0|0|0|0|0|0|0|0|0|0|TRINIDAD|DOMINGUEZ|YARI|SOLTERO|X|X|CALLE 1 FRENTE AL PANTEON|POBLADO C-9 LICENCIADO FRANCISCO I MADERO|X|9988201852|X|X|X|CALLE 1 FRENTE AL PANTEON|X|LUNES|X|X|X|X|X|DOMICILIO |100|14700|x|x|x|2022-08-02|2022-08-09|x|x|x|x|x|QWYNRBIY9KVXQO|x|HOMBRE|X|14800|X|X|X|X|X|X|X|X|CARDENAS|X|X|X|X|X</v>
      </c>
    </row>
    <row r="248" spans="1:82" x14ac:dyDescent="0.25">
      <c r="A248" t="s">
        <v>382</v>
      </c>
      <c r="B248" t="s">
        <v>693</v>
      </c>
      <c r="C248">
        <v>3</v>
      </c>
      <c r="D248" t="s">
        <v>761</v>
      </c>
      <c r="E248" t="s">
        <v>1398</v>
      </c>
      <c r="F248" t="s">
        <v>0</v>
      </c>
      <c r="G248" t="s">
        <v>0</v>
      </c>
      <c r="H248" t="s">
        <v>777</v>
      </c>
      <c r="I248">
        <v>14800</v>
      </c>
      <c r="J248" t="s">
        <v>1</v>
      </c>
      <c r="K248">
        <v>200</v>
      </c>
      <c r="L248">
        <v>50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1369</v>
      </c>
      <c r="AC248" t="s">
        <v>1</v>
      </c>
      <c r="AD248" s="18" t="s">
        <v>1180</v>
      </c>
      <c r="AE248" t="s">
        <v>4</v>
      </c>
      <c r="AF248" t="s">
        <v>1</v>
      </c>
      <c r="AG248" t="s">
        <v>1</v>
      </c>
      <c r="AH248" t="s">
        <v>1610</v>
      </c>
      <c r="AI248" t="s">
        <v>1799</v>
      </c>
      <c r="AJ248" t="s">
        <v>1</v>
      </c>
      <c r="AK248">
        <v>9371041661</v>
      </c>
      <c r="AL248" t="s">
        <v>1</v>
      </c>
      <c r="AM248" t="s">
        <v>1</v>
      </c>
      <c r="AN248" t="s">
        <v>1</v>
      </c>
      <c r="AO248" t="s">
        <v>1610</v>
      </c>
      <c r="AP248" t="s">
        <v>1</v>
      </c>
      <c r="AQ248" t="s">
        <v>2</v>
      </c>
      <c r="AR248" t="s">
        <v>1</v>
      </c>
      <c r="AS248" t="s">
        <v>1</v>
      </c>
      <c r="AT248" t="s">
        <v>1</v>
      </c>
      <c r="AU248" t="s">
        <v>1</v>
      </c>
      <c r="AV248" t="s">
        <v>1</v>
      </c>
      <c r="AW248" t="s">
        <v>11</v>
      </c>
      <c r="AX248">
        <f>Tabla1[[#This Row],[precio del paquete]]-Tabla1[[#This Row],[Saldo_Deudor]]</f>
        <v>200</v>
      </c>
      <c r="AY248">
        <v>14600</v>
      </c>
      <c r="AZ248" t="s">
        <v>3</v>
      </c>
      <c r="BA248" t="s">
        <v>3</v>
      </c>
      <c r="BB248" t="s">
        <v>3</v>
      </c>
      <c r="BC248" t="s">
        <v>777</v>
      </c>
      <c r="BD248" t="s">
        <v>1885</v>
      </c>
      <c r="BE248" t="s">
        <v>3</v>
      </c>
      <c r="BF248" t="s">
        <v>3</v>
      </c>
      <c r="BG248" t="s">
        <v>3</v>
      </c>
      <c r="BH248" t="s">
        <v>3</v>
      </c>
      <c r="BI248" t="s">
        <v>3</v>
      </c>
      <c r="BJ248" t="s">
        <v>1946</v>
      </c>
      <c r="BK248" t="s">
        <v>3</v>
      </c>
      <c r="BL248" t="s">
        <v>132</v>
      </c>
      <c r="BM248" t="s">
        <v>1</v>
      </c>
      <c r="BN248">
        <f>Tabla1[[#This Row],[precio del paquete]]</f>
        <v>14800</v>
      </c>
      <c r="BO248" t="s">
        <v>1</v>
      </c>
      <c r="BP248" t="s">
        <v>1</v>
      </c>
      <c r="BQ248" t="s">
        <v>1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0</v>
      </c>
      <c r="BX248" t="s">
        <v>1</v>
      </c>
      <c r="BY248" t="s">
        <v>1</v>
      </c>
      <c r="BZ248" t="s">
        <v>1</v>
      </c>
      <c r="CA248" t="s">
        <v>1</v>
      </c>
      <c r="CB248" t="s">
        <v>1</v>
      </c>
      <c r="CD248" t="str" cm="1">
        <f t="array" aca="1" ref="CD248" ca="1">eConcatenar(A248:CB248,"|")</f>
        <v>nesZtctbSSJtY1tf|CAR2022-0827|3|MEMORIAL|TABASCO|CARDENAS|CARDENAS|2022-08-02|14800|X|200|50|2|0|0|0|0|0|0|0|0|0|0|0|0|0|0|CARRETA|X|ROMAN|SOLTERO|X|X|CARRTERA PRINCIPAL SIN NUMERO|RANCHERIA ARROYO HONDO PRIMERA SECCION|X|9371041661|X|X|X|CARRTERA PRINCIPAL SIN NUMERO|X|LUNES|X|X|X|X|X|DOMICILIO |200|14600|x|x|x|2022-08-02|2022-08-09|x|x|x|x|x|QWYNRBIY9KVXQO|x|HOMBRE|X|14800|X|X|X|X|X|X|X|X|CARDENAS|X|X|X|X|X</v>
      </c>
    </row>
    <row r="249" spans="1:82" x14ac:dyDescent="0.25">
      <c r="A249" t="s">
        <v>383</v>
      </c>
      <c r="B249" t="s">
        <v>694</v>
      </c>
      <c r="C249">
        <v>3</v>
      </c>
      <c r="D249" t="s">
        <v>761</v>
      </c>
      <c r="E249" t="s">
        <v>1398</v>
      </c>
      <c r="F249" t="s">
        <v>0</v>
      </c>
      <c r="G249" t="s">
        <v>0</v>
      </c>
      <c r="H249" t="s">
        <v>778</v>
      </c>
      <c r="I249">
        <v>14800</v>
      </c>
      <c r="J249" t="s">
        <v>1</v>
      </c>
      <c r="K249">
        <v>50</v>
      </c>
      <c r="L249">
        <v>50</v>
      </c>
      <c r="M249">
        <v>2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1228</v>
      </c>
      <c r="AC249" t="s">
        <v>1266</v>
      </c>
      <c r="AD249" s="18" t="s">
        <v>1089</v>
      </c>
      <c r="AE249" t="s">
        <v>4</v>
      </c>
      <c r="AF249" t="s">
        <v>1</v>
      </c>
      <c r="AG249" t="s">
        <v>1</v>
      </c>
      <c r="AH249" t="s">
        <v>1611</v>
      </c>
      <c r="AI249" t="s">
        <v>1801</v>
      </c>
      <c r="AJ249" t="s">
        <v>1</v>
      </c>
      <c r="AK249">
        <v>9371141704</v>
      </c>
      <c r="AL249" t="s">
        <v>1</v>
      </c>
      <c r="AM249" t="s">
        <v>1</v>
      </c>
      <c r="AN249" t="s">
        <v>1</v>
      </c>
      <c r="AO249" t="s">
        <v>1611</v>
      </c>
      <c r="AP249" t="s">
        <v>1</v>
      </c>
      <c r="AQ249" t="s">
        <v>2</v>
      </c>
      <c r="AR249" t="s">
        <v>1</v>
      </c>
      <c r="AS249" t="s">
        <v>1</v>
      </c>
      <c r="AT249" t="s">
        <v>1</v>
      </c>
      <c r="AU249" t="s">
        <v>1</v>
      </c>
      <c r="AV249" t="s">
        <v>1</v>
      </c>
      <c r="AW249" t="s">
        <v>11</v>
      </c>
      <c r="AX249">
        <f>Tabla1[[#This Row],[precio del paquete]]-Tabla1[[#This Row],[Saldo_Deudor]]</f>
        <v>50</v>
      </c>
      <c r="AY249">
        <v>14750</v>
      </c>
      <c r="AZ249" t="s">
        <v>3</v>
      </c>
      <c r="BA249" t="s">
        <v>3</v>
      </c>
      <c r="BB249" t="s">
        <v>3</v>
      </c>
      <c r="BC249" t="s">
        <v>778</v>
      </c>
      <c r="BD249" t="s">
        <v>1915</v>
      </c>
      <c r="BE249" t="s">
        <v>3</v>
      </c>
      <c r="BF249" t="s">
        <v>3</v>
      </c>
      <c r="BG249" t="s">
        <v>3</v>
      </c>
      <c r="BH249" t="s">
        <v>3</v>
      </c>
      <c r="BI249" t="s">
        <v>3</v>
      </c>
      <c r="BJ249" t="s">
        <v>1946</v>
      </c>
      <c r="BK249" t="s">
        <v>3</v>
      </c>
      <c r="BL249" t="s">
        <v>132</v>
      </c>
      <c r="BM249" t="s">
        <v>1</v>
      </c>
      <c r="BN249">
        <f>Tabla1[[#This Row],[precio del paquete]]</f>
        <v>14800</v>
      </c>
      <c r="BO249" t="s">
        <v>1</v>
      </c>
      <c r="BP249" t="s">
        <v>1</v>
      </c>
      <c r="BQ249" t="s">
        <v>1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0</v>
      </c>
      <c r="BX249" t="s">
        <v>1</v>
      </c>
      <c r="BY249" t="s">
        <v>1</v>
      </c>
      <c r="BZ249" t="s">
        <v>1</v>
      </c>
      <c r="CA249" t="s">
        <v>1</v>
      </c>
      <c r="CB249" t="s">
        <v>1</v>
      </c>
      <c r="CD249" t="str" cm="1">
        <f t="array" aca="1" ref="CD249" ca="1">eConcatenar(A249:CB249,"|")</f>
        <v>rNWc6MJIfdgOzM56|CAR2022-0683|3|MEMORIAL|TABASCO|CARDENAS|CARDENAS|2022-04-02|14800|X|50|50|2|0|0|0|0|0|0|0|0|0|0|0|0|0|0|RAMOS|HERNANDEZ|DANIEL|SOLTERO|X|X|CALLE PRINCIPAL NUMERO 2|RANCHERIA MIGUEL HIDALGO ZAPOTAL SEGUNDA SECCION|X|9371141704|X|X|X|CALLE PRINCIPAL NUMERO 2|X|LUNES|X|X|X|X|X|DOMICILIO |50|14750|x|x|x|2022-04-02|2022-04-09|x|x|x|x|x|QWYNRBIY9KVXQO|x|HOMBRE|X|14800|X|X|X|X|X|X|X|X|CARDENAS|X|X|X|X|X</v>
      </c>
    </row>
    <row r="250" spans="1:82" x14ac:dyDescent="0.25">
      <c r="A250" t="s">
        <v>384</v>
      </c>
      <c r="B250" t="s">
        <v>695</v>
      </c>
      <c r="C250">
        <v>3</v>
      </c>
      <c r="D250" t="s">
        <v>762</v>
      </c>
      <c r="E250" t="s">
        <v>1398</v>
      </c>
      <c r="F250" t="s">
        <v>0</v>
      </c>
      <c r="G250" t="s">
        <v>0</v>
      </c>
      <c r="H250" t="s">
        <v>940</v>
      </c>
      <c r="I250">
        <v>24500</v>
      </c>
      <c r="J250" t="s">
        <v>1</v>
      </c>
      <c r="K250">
        <v>100</v>
      </c>
      <c r="L250">
        <v>50</v>
      </c>
      <c r="M250">
        <v>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1227</v>
      </c>
      <c r="AC250" t="s">
        <v>1266</v>
      </c>
      <c r="AD250" s="18" t="s">
        <v>1181</v>
      </c>
      <c r="AE250" t="s">
        <v>4</v>
      </c>
      <c r="AF250" t="s">
        <v>1</v>
      </c>
      <c r="AG250" t="s">
        <v>1</v>
      </c>
      <c r="AH250" t="s">
        <v>1612</v>
      </c>
      <c r="AI250" t="s">
        <v>1802</v>
      </c>
      <c r="AJ250" t="s">
        <v>1</v>
      </c>
      <c r="AK250">
        <v>9371648086</v>
      </c>
      <c r="AL250" t="s">
        <v>1</v>
      </c>
      <c r="AM250" t="s">
        <v>1</v>
      </c>
      <c r="AN250" t="s">
        <v>1</v>
      </c>
      <c r="AO250" t="s">
        <v>1612</v>
      </c>
      <c r="AP250" t="s">
        <v>1</v>
      </c>
      <c r="AQ250" t="s">
        <v>2</v>
      </c>
      <c r="AR250" t="s">
        <v>1</v>
      </c>
      <c r="AS250" t="s">
        <v>1</v>
      </c>
      <c r="AT250" t="s">
        <v>1</v>
      </c>
      <c r="AU250" t="s">
        <v>1</v>
      </c>
      <c r="AV250" t="s">
        <v>1</v>
      </c>
      <c r="AW250" t="s">
        <v>11</v>
      </c>
      <c r="AX250">
        <f>Tabla1[[#This Row],[precio del paquete]]-Tabla1[[#This Row],[Saldo_Deudor]]</f>
        <v>100</v>
      </c>
      <c r="AY250">
        <v>24400</v>
      </c>
      <c r="AZ250" t="s">
        <v>3</v>
      </c>
      <c r="BA250" t="s">
        <v>3</v>
      </c>
      <c r="BB250" t="s">
        <v>3</v>
      </c>
      <c r="BC250" t="s">
        <v>940</v>
      </c>
      <c r="BD250" t="s">
        <v>1931</v>
      </c>
      <c r="BE250" t="s">
        <v>3</v>
      </c>
      <c r="BF250" t="s">
        <v>3</v>
      </c>
      <c r="BG250" t="s">
        <v>3</v>
      </c>
      <c r="BH250" t="s">
        <v>3</v>
      </c>
      <c r="BI250" t="s">
        <v>3</v>
      </c>
      <c r="BJ250" t="s">
        <v>1946</v>
      </c>
      <c r="BK250" t="s">
        <v>3</v>
      </c>
      <c r="BL250" t="s">
        <v>132</v>
      </c>
      <c r="BM250" t="s">
        <v>1</v>
      </c>
      <c r="BN250">
        <f>Tabla1[[#This Row],[precio del paquete]]</f>
        <v>24500</v>
      </c>
      <c r="BO250" t="s">
        <v>1</v>
      </c>
      <c r="BP250" t="s">
        <v>1</v>
      </c>
      <c r="BQ250" t="s">
        <v>1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0</v>
      </c>
      <c r="BX250" t="s">
        <v>1</v>
      </c>
      <c r="BY250" t="s">
        <v>1</v>
      </c>
      <c r="BZ250" t="s">
        <v>1</v>
      </c>
      <c r="CA250" t="s">
        <v>1</v>
      </c>
      <c r="CB250" t="s">
        <v>1</v>
      </c>
      <c r="CD250" t="str" cm="1">
        <f t="array" aca="1" ref="CD250" ca="1">eConcatenar(A250:CB250,"|")</f>
        <v>SE1CK4BnmrToxfqG|CAR2021-7466|3|DIGNITY|TABASCO|CARDENAS|CARDENAS|2021-06-12|24500|X|100|50|2|0|0|0|0|0|0|0|0|0|0|0|0|0|0|GARCIA|HERNANDEZ|KARINA CRISTELL|SOLTERO|X|X|CALLE NUMERO 8 CASA NUMERO 245|POBLADO C-29 VICENTE GUERRERO|X|9371648086|X|X|X|CALLE NUMERO 8 CASA NUMERO 245|X|LUNES|X|X|X|X|X|DOMICILIO |100|24400|x|x|x|2021-06-12|2021-06-19|x|x|x|x|x|QWYNRBIY9KVXQO|x|HOMBRE|X|24500|X|X|X|X|X|X|X|X|CARDENAS|X|X|X|X|X</v>
      </c>
    </row>
    <row r="251" spans="1:82" x14ac:dyDescent="0.25">
      <c r="A251" t="s">
        <v>385</v>
      </c>
      <c r="B251" t="s">
        <v>696</v>
      </c>
      <c r="C251">
        <v>3</v>
      </c>
      <c r="D251" t="s">
        <v>761</v>
      </c>
      <c r="E251" t="s">
        <v>1398</v>
      </c>
      <c r="F251" t="s">
        <v>0</v>
      </c>
      <c r="G251" t="s">
        <v>0</v>
      </c>
      <c r="H251" t="s">
        <v>941</v>
      </c>
      <c r="I251">
        <v>14800</v>
      </c>
      <c r="J251" t="s">
        <v>1</v>
      </c>
      <c r="K251">
        <v>500</v>
      </c>
      <c r="L251">
        <v>50</v>
      </c>
      <c r="M251">
        <v>2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1273</v>
      </c>
      <c r="AC251" t="s">
        <v>7</v>
      </c>
      <c r="AD251" s="18" t="s">
        <v>1166</v>
      </c>
      <c r="AE251" t="s">
        <v>4</v>
      </c>
      <c r="AF251" t="s">
        <v>1</v>
      </c>
      <c r="AG251" t="s">
        <v>1</v>
      </c>
      <c r="AH251" t="s">
        <v>1613</v>
      </c>
      <c r="AI251" t="s">
        <v>1803</v>
      </c>
      <c r="AJ251" t="s">
        <v>1</v>
      </c>
      <c r="AK251" t="s">
        <v>1834</v>
      </c>
      <c r="AL251" t="s">
        <v>1</v>
      </c>
      <c r="AM251" t="s">
        <v>1</v>
      </c>
      <c r="AN251" t="s">
        <v>1</v>
      </c>
      <c r="AO251" t="s">
        <v>1613</v>
      </c>
      <c r="AP251" t="s">
        <v>1</v>
      </c>
      <c r="AQ251" t="s">
        <v>2</v>
      </c>
      <c r="AR251" t="s">
        <v>1</v>
      </c>
      <c r="AS251" t="s">
        <v>1</v>
      </c>
      <c r="AT251" t="s">
        <v>1</v>
      </c>
      <c r="AU251" t="s">
        <v>1</v>
      </c>
      <c r="AV251" t="s">
        <v>1</v>
      </c>
      <c r="AW251" t="s">
        <v>11</v>
      </c>
      <c r="AX251">
        <f>Tabla1[[#This Row],[precio del paquete]]-Tabla1[[#This Row],[Saldo_Deudor]]</f>
        <v>500</v>
      </c>
      <c r="AY251">
        <v>14300</v>
      </c>
      <c r="AZ251" t="s">
        <v>3</v>
      </c>
      <c r="BA251" t="s">
        <v>3</v>
      </c>
      <c r="BB251" t="s">
        <v>3</v>
      </c>
      <c r="BC251" t="s">
        <v>941</v>
      </c>
      <c r="BD251" t="s">
        <v>1932</v>
      </c>
      <c r="BE251" t="s">
        <v>3</v>
      </c>
      <c r="BF251" t="s">
        <v>3</v>
      </c>
      <c r="BG251" t="s">
        <v>3</v>
      </c>
      <c r="BH251" t="s">
        <v>3</v>
      </c>
      <c r="BI251" t="s">
        <v>3</v>
      </c>
      <c r="BJ251" t="s">
        <v>1946</v>
      </c>
      <c r="BK251" t="s">
        <v>3</v>
      </c>
      <c r="BL251" t="s">
        <v>132</v>
      </c>
      <c r="BM251" t="s">
        <v>1</v>
      </c>
      <c r="BN251">
        <f>Tabla1[[#This Row],[precio del paquete]]</f>
        <v>14800</v>
      </c>
      <c r="BO251" t="s">
        <v>1</v>
      </c>
      <c r="BP251" t="s">
        <v>1</v>
      </c>
      <c r="BQ251" t="s">
        <v>1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0</v>
      </c>
      <c r="BX251" t="s">
        <v>1</v>
      </c>
      <c r="BY251" t="s">
        <v>1</v>
      </c>
      <c r="BZ251" t="s">
        <v>1</v>
      </c>
      <c r="CA251" t="s">
        <v>1</v>
      </c>
      <c r="CB251" t="s">
        <v>1</v>
      </c>
      <c r="CD251" t="str" cm="1">
        <f t="array" aca="1" ref="CD251" ca="1">eConcatenar(A251:CB251,"|")</f>
        <v>327pBlh9IqsULKLr|CAR2021-7432|3|MEMORIAL|TABASCO|CARDENAS|CARDENAS|2021-04-12|14800|X|500|50|2|0|0|0|0|0|0|0|0|0|0|0|0|0|0|MONTEJO|LOPEZ|HECTOR|SOLTERO|X|X|KILOMETRO 101 ENTRADA DESPUES DEL 33 A 250 METROS|EJIDO NUEVA ESPERANZA|X|937 1559029|X|X|X|KILOMETRO 101 ENTRADA DESPUES DEL 33 A 250 METROS|X|LUNES|X|X|X|X|X|DOMICILIO |500|14300|x|x|x|2021-04-12|2021-04-19|x|x|x|x|x|QWYNRBIY9KVXQO|x|HOMBRE|X|14800|X|X|X|X|X|X|X|X|CARDENAS|X|X|X|X|X</v>
      </c>
    </row>
    <row r="252" spans="1:82" x14ac:dyDescent="0.25">
      <c r="A252" t="s">
        <v>386</v>
      </c>
      <c r="B252" t="s">
        <v>697</v>
      </c>
      <c r="C252">
        <v>3</v>
      </c>
      <c r="D252" t="s">
        <v>761</v>
      </c>
      <c r="E252" t="s">
        <v>1398</v>
      </c>
      <c r="F252" t="s">
        <v>0</v>
      </c>
      <c r="G252" t="s">
        <v>0</v>
      </c>
      <c r="H252" t="s">
        <v>939</v>
      </c>
      <c r="I252">
        <v>14800</v>
      </c>
      <c r="J252" t="s">
        <v>1</v>
      </c>
      <c r="K252">
        <v>300</v>
      </c>
      <c r="L252">
        <v>50</v>
      </c>
      <c r="M252">
        <v>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1255</v>
      </c>
      <c r="AC252" t="s">
        <v>1</v>
      </c>
      <c r="AD252" s="18" t="s">
        <v>1182</v>
      </c>
      <c r="AE252" t="s">
        <v>4</v>
      </c>
      <c r="AF252" t="s">
        <v>1</v>
      </c>
      <c r="AG252" t="s">
        <v>1</v>
      </c>
      <c r="AH252" t="s">
        <v>1614</v>
      </c>
      <c r="AI252" t="s">
        <v>1800</v>
      </c>
      <c r="AJ252" t="s">
        <v>1</v>
      </c>
      <c r="AK252">
        <v>9371214618</v>
      </c>
      <c r="AL252" t="s">
        <v>1</v>
      </c>
      <c r="AM252" t="s">
        <v>1</v>
      </c>
      <c r="AN252" t="s">
        <v>1</v>
      </c>
      <c r="AO252" t="s">
        <v>1614</v>
      </c>
      <c r="AP252" t="s">
        <v>1</v>
      </c>
      <c r="AQ252" t="s">
        <v>2</v>
      </c>
      <c r="AR252" t="s">
        <v>1</v>
      </c>
      <c r="AS252" t="s">
        <v>1</v>
      </c>
      <c r="AT252" t="s">
        <v>1</v>
      </c>
      <c r="AU252" t="s">
        <v>1</v>
      </c>
      <c r="AV252" t="s">
        <v>1</v>
      </c>
      <c r="AW252" t="s">
        <v>11</v>
      </c>
      <c r="AX252">
        <f>Tabla1[[#This Row],[precio del paquete]]-Tabla1[[#This Row],[Saldo_Deudor]]</f>
        <v>500</v>
      </c>
      <c r="AY252">
        <v>14300</v>
      </c>
      <c r="AZ252" t="s">
        <v>3</v>
      </c>
      <c r="BA252" t="s">
        <v>3</v>
      </c>
      <c r="BB252" t="s">
        <v>3</v>
      </c>
      <c r="BC252" t="s">
        <v>797</v>
      </c>
      <c r="BD252" t="s">
        <v>1901</v>
      </c>
      <c r="BE252" t="s">
        <v>3</v>
      </c>
      <c r="BF252" t="s">
        <v>3</v>
      </c>
      <c r="BG252" t="s">
        <v>3</v>
      </c>
      <c r="BH252" t="s">
        <v>3</v>
      </c>
      <c r="BI252" t="s">
        <v>3</v>
      </c>
      <c r="BJ252" t="s">
        <v>1946</v>
      </c>
      <c r="BK252" t="s">
        <v>3</v>
      </c>
      <c r="BL252" t="s">
        <v>132</v>
      </c>
      <c r="BM252" t="s">
        <v>1</v>
      </c>
      <c r="BN252">
        <f>Tabla1[[#This Row],[precio del paquete]]</f>
        <v>14800</v>
      </c>
      <c r="BO252" t="s">
        <v>1</v>
      </c>
      <c r="BP252" t="s">
        <v>1</v>
      </c>
      <c r="BQ252" t="s">
        <v>1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0</v>
      </c>
      <c r="BX252" t="s">
        <v>1</v>
      </c>
      <c r="BY252" t="s">
        <v>1</v>
      </c>
      <c r="BZ252" t="s">
        <v>1</v>
      </c>
      <c r="CA252" t="s">
        <v>1</v>
      </c>
      <c r="CB252" t="s">
        <v>1</v>
      </c>
      <c r="CD252" t="str" cm="1">
        <f t="array" aca="1" ref="CD252" ca="1">eConcatenar(A252:CB252,"|")</f>
        <v>9zVQSn9w2As2uTbZ|CAR2021-7640|3|MEMORIAL|TABASCO|CARDENAS|CARDENAS|2021-12-22|14800|X|300|50|2|0|0|0|0|0|0|0|0|0|0|0|0|0|0|CORDOVA|X|ANTONIA|SOLTERO|X|X|CALLE 10 SIN NUMERO|POBLADO C-27 EDUARDO CHAVEZ|X|9371214618|X|X|X|CALLE 10 SIN NUMERO|X|LUNES|X|X|X|X|X|DOMICILIO |500|14300|x|x|x|2022-01-20|2022-01-27|x|x|x|x|x|QWYNRBIY9KVXQO|x|HOMBRE|X|14800|X|X|X|X|X|X|X|X|CARDENAS|X|X|X|X|X</v>
      </c>
    </row>
    <row r="253" spans="1:82" x14ac:dyDescent="0.25">
      <c r="A253" t="s">
        <v>387</v>
      </c>
      <c r="B253" t="s">
        <v>698</v>
      </c>
      <c r="C253">
        <v>3</v>
      </c>
      <c r="D253" t="s">
        <v>761</v>
      </c>
      <c r="E253" t="s">
        <v>1398</v>
      </c>
      <c r="F253" t="s">
        <v>0</v>
      </c>
      <c r="G253" t="s">
        <v>0</v>
      </c>
      <c r="H253" t="s">
        <v>942</v>
      </c>
      <c r="I253">
        <v>14800</v>
      </c>
      <c r="J253" t="s">
        <v>1</v>
      </c>
      <c r="K253">
        <v>80</v>
      </c>
      <c r="L253">
        <v>50</v>
      </c>
      <c r="M253">
        <v>2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1246</v>
      </c>
      <c r="AC253" t="s">
        <v>7</v>
      </c>
      <c r="AD253" s="18" t="s">
        <v>979</v>
      </c>
      <c r="AE253" t="s">
        <v>4</v>
      </c>
      <c r="AF253" t="s">
        <v>1</v>
      </c>
      <c r="AG253" t="s">
        <v>1</v>
      </c>
      <c r="AH253" t="s">
        <v>1615</v>
      </c>
      <c r="AI253" t="s">
        <v>1804</v>
      </c>
      <c r="AJ253" t="s">
        <v>1</v>
      </c>
      <c r="AK253">
        <v>9371250957</v>
      </c>
      <c r="AL253" t="s">
        <v>1</v>
      </c>
      <c r="AM253" t="s">
        <v>1</v>
      </c>
      <c r="AN253" t="s">
        <v>1</v>
      </c>
      <c r="AO253" t="s">
        <v>1615</v>
      </c>
      <c r="AP253" t="s">
        <v>1</v>
      </c>
      <c r="AQ253" t="s">
        <v>2</v>
      </c>
      <c r="AR253" t="s">
        <v>1</v>
      </c>
      <c r="AS253" t="s">
        <v>1</v>
      </c>
      <c r="AT253" t="s">
        <v>1</v>
      </c>
      <c r="AU253" t="s">
        <v>1</v>
      </c>
      <c r="AV253" t="s">
        <v>1</v>
      </c>
      <c r="AW253" t="s">
        <v>11</v>
      </c>
      <c r="AX253">
        <f>Tabla1[[#This Row],[precio del paquete]]-Tabla1[[#This Row],[Saldo_Deudor]]</f>
        <v>50</v>
      </c>
      <c r="AY253">
        <v>14750</v>
      </c>
      <c r="AZ253" t="s">
        <v>3</v>
      </c>
      <c r="BA253" t="s">
        <v>3</v>
      </c>
      <c r="BB253" t="s">
        <v>3</v>
      </c>
      <c r="BC253" t="s">
        <v>942</v>
      </c>
      <c r="BD253" t="s">
        <v>1903</v>
      </c>
      <c r="BE253" t="s">
        <v>3</v>
      </c>
      <c r="BF253" t="s">
        <v>3</v>
      </c>
      <c r="BG253" t="s">
        <v>3</v>
      </c>
      <c r="BH253" t="s">
        <v>3</v>
      </c>
      <c r="BI253" t="s">
        <v>3</v>
      </c>
      <c r="BJ253" t="s">
        <v>1946</v>
      </c>
      <c r="BK253" t="s">
        <v>3</v>
      </c>
      <c r="BL253" t="s">
        <v>132</v>
      </c>
      <c r="BM253" t="s">
        <v>1</v>
      </c>
      <c r="BN253">
        <f>Tabla1[[#This Row],[precio del paquete]]</f>
        <v>14800</v>
      </c>
      <c r="BO253" t="s">
        <v>1</v>
      </c>
      <c r="BP253" t="s">
        <v>1</v>
      </c>
      <c r="BQ253" t="s">
        <v>1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0</v>
      </c>
      <c r="BX253" t="s">
        <v>1</v>
      </c>
      <c r="BY253" t="s">
        <v>1</v>
      </c>
      <c r="BZ253" t="s">
        <v>1</v>
      </c>
      <c r="CA253" t="s">
        <v>1</v>
      </c>
      <c r="CB253" t="s">
        <v>1</v>
      </c>
      <c r="CD253" t="str" cm="1">
        <f t="array" aca="1" ref="CD253" ca="1">eConcatenar(A253:CB253,"|")</f>
        <v>KioY6Nf7XVbiPNE1|CAR2021-7400|3|MEMORIAL|TABASCO|CARDENAS|CARDENAS|2021-02-12|14800|X|80|50|2|0|0|0|0|0|0|0|0|0|0|0|0|0|0|MORALES|LOPEZ|CONCEPCION|SOLTERO|X|X|CALLE 7 CASA NUMERO 181|POBLADO C-33 VEINTE DE NOVIEMBRE|X|9371250957|X|X|X|CALLE 7 CASA NUMERO 181|X|LUNES|X|X|X|X|X|DOMICILIO |50|14750|x|x|x|2021-02-12|2021-02-19|x|x|x|x|x|QWYNRBIY9KVXQO|x|HOMBRE|X|14800|X|X|X|X|X|X|X|X|CARDENAS|X|X|X|X|X</v>
      </c>
    </row>
    <row r="254" spans="1:82" x14ac:dyDescent="0.25">
      <c r="A254" t="s">
        <v>388</v>
      </c>
      <c r="B254" t="s">
        <v>699</v>
      </c>
      <c r="C254">
        <v>3</v>
      </c>
      <c r="D254" t="s">
        <v>761</v>
      </c>
      <c r="E254" t="s">
        <v>1398</v>
      </c>
      <c r="F254" t="s">
        <v>0</v>
      </c>
      <c r="G254" t="s">
        <v>0</v>
      </c>
      <c r="H254" t="s">
        <v>782</v>
      </c>
      <c r="I254">
        <v>14800</v>
      </c>
      <c r="J254" t="s">
        <v>1</v>
      </c>
      <c r="K254">
        <v>100</v>
      </c>
      <c r="L254">
        <v>50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1372</v>
      </c>
      <c r="AC254" t="s">
        <v>7</v>
      </c>
      <c r="AD254" s="18" t="s">
        <v>1183</v>
      </c>
      <c r="AE254" t="s">
        <v>4</v>
      </c>
      <c r="AF254" t="s">
        <v>1</v>
      </c>
      <c r="AG254" t="s">
        <v>1</v>
      </c>
      <c r="AH254" t="s">
        <v>1616</v>
      </c>
      <c r="AI254" t="s">
        <v>1805</v>
      </c>
      <c r="AJ254" t="s">
        <v>1</v>
      </c>
      <c r="AK254">
        <v>9984118821</v>
      </c>
      <c r="AL254" t="s">
        <v>1</v>
      </c>
      <c r="AM254" t="s">
        <v>1</v>
      </c>
      <c r="AN254" t="s">
        <v>1</v>
      </c>
      <c r="AO254" t="s">
        <v>1616</v>
      </c>
      <c r="AP254" t="s">
        <v>1</v>
      </c>
      <c r="AQ254" t="s">
        <v>2</v>
      </c>
      <c r="AR254" t="s">
        <v>1</v>
      </c>
      <c r="AS254" t="s">
        <v>1</v>
      </c>
      <c r="AT254" t="s">
        <v>1</v>
      </c>
      <c r="AU254" t="s">
        <v>1</v>
      </c>
      <c r="AV254" t="s">
        <v>1</v>
      </c>
      <c r="AW254" t="s">
        <v>11</v>
      </c>
      <c r="AX254">
        <f>Tabla1[[#This Row],[precio del paquete]]-Tabla1[[#This Row],[Saldo_Deudor]]</f>
        <v>500</v>
      </c>
      <c r="AY254">
        <v>14300</v>
      </c>
      <c r="AZ254" t="s">
        <v>3</v>
      </c>
      <c r="BA254" t="s">
        <v>3</v>
      </c>
      <c r="BB254" t="s">
        <v>3</v>
      </c>
      <c r="BC254" t="s">
        <v>774</v>
      </c>
      <c r="BD254" t="s">
        <v>1881</v>
      </c>
      <c r="BE254" t="s">
        <v>3</v>
      </c>
      <c r="BF254" t="s">
        <v>3</v>
      </c>
      <c r="BG254" t="s">
        <v>3</v>
      </c>
      <c r="BH254" t="s">
        <v>3</v>
      </c>
      <c r="BI254" t="s">
        <v>3</v>
      </c>
      <c r="BJ254" t="s">
        <v>1946</v>
      </c>
      <c r="BK254" t="s">
        <v>3</v>
      </c>
      <c r="BL254" t="s">
        <v>132</v>
      </c>
      <c r="BM254" t="s">
        <v>1</v>
      </c>
      <c r="BN254">
        <f>Tabla1[[#This Row],[precio del paquete]]</f>
        <v>14800</v>
      </c>
      <c r="BO254" t="s">
        <v>1</v>
      </c>
      <c r="BP254" t="s">
        <v>1</v>
      </c>
      <c r="BQ254" t="s">
        <v>1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0</v>
      </c>
      <c r="BX254" t="s">
        <v>1</v>
      </c>
      <c r="BY254" t="s">
        <v>1</v>
      </c>
      <c r="BZ254" t="s">
        <v>1</v>
      </c>
      <c r="CA254" t="s">
        <v>1</v>
      </c>
      <c r="CB254" t="s">
        <v>1</v>
      </c>
      <c r="CD254" t="str" cm="1">
        <f t="array" aca="1" ref="CD254" ca="1">eConcatenar(A254:CB254,"|")</f>
        <v>y600zmtBoDQsEQRM|CAR2021-7663|3|MEMORIAL|TABASCO|CARDENAS|CARDENAS|2021-12-24|14800|X|100|50|1|0|0|0|0|0|0|0|0|0|0|0|0|0|0|HAZARO|LOPEZ|MIRELDA|SOLTERO|X|X|CALLE 8 CASA DEL FONDO|POBLADO C-14 PLUTARCO ELIAS CALLES|X|9984118821|X|X|X|CALLE 8 CASA DEL FONDO|X|LUNES|X|X|X|X|X|DOMICILIO |500|14300|x|x|x|2022-02-02|2022-02-09|x|x|x|x|x|QWYNRBIY9KVXQO|x|HOMBRE|X|14800|X|X|X|X|X|X|X|X|CARDENAS|X|X|X|X|X</v>
      </c>
    </row>
    <row r="255" spans="1:82" x14ac:dyDescent="0.25">
      <c r="A255" t="s">
        <v>389</v>
      </c>
      <c r="B255" t="s">
        <v>700</v>
      </c>
      <c r="C255">
        <v>3</v>
      </c>
      <c r="D255" t="s">
        <v>766</v>
      </c>
      <c r="E255" t="s">
        <v>1398</v>
      </c>
      <c r="F255" t="s">
        <v>0</v>
      </c>
      <c r="G255" t="s">
        <v>0</v>
      </c>
      <c r="H255" t="s">
        <v>943</v>
      </c>
      <c r="I255">
        <v>12900</v>
      </c>
      <c r="J255" t="s">
        <v>1</v>
      </c>
      <c r="K255">
        <v>200</v>
      </c>
      <c r="L255">
        <v>50</v>
      </c>
      <c r="M255">
        <v>1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1373</v>
      </c>
      <c r="AC255" t="s">
        <v>1257</v>
      </c>
      <c r="AD255" s="18" t="s">
        <v>1184</v>
      </c>
      <c r="AE255" t="s">
        <v>4</v>
      </c>
      <c r="AF255" t="s">
        <v>1</v>
      </c>
      <c r="AG255" t="s">
        <v>1</v>
      </c>
      <c r="AH255" t="s">
        <v>1617</v>
      </c>
      <c r="AI255" t="s">
        <v>1806</v>
      </c>
      <c r="AJ255" t="s">
        <v>1</v>
      </c>
      <c r="AK255">
        <v>9933430361</v>
      </c>
      <c r="AL255" t="s">
        <v>1</v>
      </c>
      <c r="AM255" t="s">
        <v>1</v>
      </c>
      <c r="AN255" t="s">
        <v>1</v>
      </c>
      <c r="AO255" t="s">
        <v>1617</v>
      </c>
      <c r="AP255" t="s">
        <v>1</v>
      </c>
      <c r="AQ255" t="s">
        <v>2</v>
      </c>
      <c r="AR255" t="s">
        <v>1</v>
      </c>
      <c r="AS255" t="s">
        <v>1</v>
      </c>
      <c r="AT255" t="s">
        <v>1</v>
      </c>
      <c r="AU255" t="s">
        <v>1</v>
      </c>
      <c r="AV255" t="s">
        <v>1</v>
      </c>
      <c r="AW255" t="s">
        <v>11</v>
      </c>
      <c r="AX255">
        <f>Tabla1[[#This Row],[precio del paquete]]-Tabla1[[#This Row],[Saldo_Deudor]]</f>
        <v>4350</v>
      </c>
      <c r="AY255">
        <v>8550</v>
      </c>
      <c r="AZ255" t="s">
        <v>3</v>
      </c>
      <c r="BA255" t="s">
        <v>3</v>
      </c>
      <c r="BB255" t="s">
        <v>3</v>
      </c>
      <c r="BC255" t="s">
        <v>1873</v>
      </c>
      <c r="BD255" t="s">
        <v>1863</v>
      </c>
      <c r="BE255" t="s">
        <v>3</v>
      </c>
      <c r="BF255" t="s">
        <v>3</v>
      </c>
      <c r="BG255" t="s">
        <v>3</v>
      </c>
      <c r="BH255" t="s">
        <v>3</v>
      </c>
      <c r="BI255" t="s">
        <v>3</v>
      </c>
      <c r="BJ255" t="s">
        <v>1947</v>
      </c>
      <c r="BK255" t="s">
        <v>3</v>
      </c>
      <c r="BL255" t="s">
        <v>132</v>
      </c>
      <c r="BM255" t="s">
        <v>1</v>
      </c>
      <c r="BN255">
        <f>Tabla1[[#This Row],[precio del paquete]]</f>
        <v>12900</v>
      </c>
      <c r="BO255" t="s">
        <v>1</v>
      </c>
      <c r="BP255" t="s">
        <v>1</v>
      </c>
      <c r="BQ255" t="s">
        <v>1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0</v>
      </c>
      <c r="BX255" t="s">
        <v>1</v>
      </c>
      <c r="BY255" t="s">
        <v>1</v>
      </c>
      <c r="BZ255" t="s">
        <v>1</v>
      </c>
      <c r="CA255" t="s">
        <v>1</v>
      </c>
      <c r="CB255" t="s">
        <v>1</v>
      </c>
      <c r="CD255" t="str" cm="1">
        <f t="array" aca="1" ref="CD255" ca="1">eConcatenar(A255:CB255,"|")</f>
        <v>BYvZicaxqY8bcIsK|CAR2019-3395|3|ECONOLINE|TABASCO|CARDENAS|CARDENAS|2019-12-11|12900|X|200|50|1|0|0|0|0|0|0|0|0|0|0|0|0|0|0|JULIAN|ZAPATA|OTOLIO|SOLTERO|X|X|CALLE REVOLUCION|COLONIA ATASTA|X|9933430361|X|X|X|CALLE REVOLUCION|X|LUNES|X|X|X|X|X|DOMICILIO |4350|8550|x|x|x|2022-01-18|2022-01-25|x|x|x|x|x|RJC990KJLQSW15E|x|HOMBRE|X|12900|X|X|X|X|X|X|X|X|CARDENAS|X|X|X|X|X</v>
      </c>
    </row>
    <row r="256" spans="1:82" x14ac:dyDescent="0.25">
      <c r="A256" t="s">
        <v>390</v>
      </c>
      <c r="B256" t="s">
        <v>535</v>
      </c>
      <c r="C256">
        <v>3</v>
      </c>
      <c r="D256" t="s">
        <v>761</v>
      </c>
      <c r="E256" t="s">
        <v>1398</v>
      </c>
      <c r="F256" t="s">
        <v>0</v>
      </c>
      <c r="G256" t="s">
        <v>0</v>
      </c>
      <c r="H256" t="s">
        <v>830</v>
      </c>
      <c r="I256">
        <v>14800</v>
      </c>
      <c r="J256" t="s">
        <v>1</v>
      </c>
      <c r="K256">
        <v>100</v>
      </c>
      <c r="L256">
        <v>50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1306</v>
      </c>
      <c r="AC256" t="s">
        <v>1239</v>
      </c>
      <c r="AD256" s="18" t="s">
        <v>1050</v>
      </c>
      <c r="AE256" t="s">
        <v>4</v>
      </c>
      <c r="AF256" t="s">
        <v>1</v>
      </c>
      <c r="AG256" t="s">
        <v>1</v>
      </c>
      <c r="AH256" t="s">
        <v>1476</v>
      </c>
      <c r="AI256" t="s">
        <v>1723</v>
      </c>
      <c r="AJ256" t="s">
        <v>1</v>
      </c>
      <c r="AK256">
        <v>9371200685</v>
      </c>
      <c r="AL256" t="s">
        <v>1</v>
      </c>
      <c r="AM256" t="s">
        <v>1</v>
      </c>
      <c r="AN256" t="s">
        <v>1</v>
      </c>
      <c r="AO256" t="s">
        <v>1476</v>
      </c>
      <c r="AP256" t="s">
        <v>1</v>
      </c>
      <c r="AQ256" t="s">
        <v>2</v>
      </c>
      <c r="AR256" t="s">
        <v>1</v>
      </c>
      <c r="AS256" t="s">
        <v>1</v>
      </c>
      <c r="AT256" t="s">
        <v>1</v>
      </c>
      <c r="AU256" t="s">
        <v>1</v>
      </c>
      <c r="AV256" t="s">
        <v>1</v>
      </c>
      <c r="AW256" t="s">
        <v>11</v>
      </c>
      <c r="AX256">
        <f>Tabla1[[#This Row],[precio del paquete]]-Tabla1[[#This Row],[Saldo_Deudor]]</f>
        <v>2100</v>
      </c>
      <c r="AY256">
        <v>12700</v>
      </c>
      <c r="AZ256" t="s">
        <v>3</v>
      </c>
      <c r="BA256" t="s">
        <v>3</v>
      </c>
      <c r="BB256" t="s">
        <v>3</v>
      </c>
      <c r="BC256" t="s">
        <v>797</v>
      </c>
      <c r="BD256" t="s">
        <v>1901</v>
      </c>
      <c r="BE256" t="s">
        <v>3</v>
      </c>
      <c r="BF256" t="s">
        <v>3</v>
      </c>
      <c r="BG256" t="s">
        <v>3</v>
      </c>
      <c r="BH256" t="s">
        <v>3</v>
      </c>
      <c r="BI256" t="s">
        <v>3</v>
      </c>
      <c r="BJ256" t="s">
        <v>1939</v>
      </c>
      <c r="BK256" t="s">
        <v>3</v>
      </c>
      <c r="BL256" t="s">
        <v>132</v>
      </c>
      <c r="BM256" t="s">
        <v>1</v>
      </c>
      <c r="BN256">
        <f>Tabla1[[#This Row],[precio del paquete]]</f>
        <v>14800</v>
      </c>
      <c r="BO256" t="s">
        <v>1</v>
      </c>
      <c r="BP256" t="s">
        <v>1</v>
      </c>
      <c r="BQ256" t="s">
        <v>1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0</v>
      </c>
      <c r="BX256" t="s">
        <v>1</v>
      </c>
      <c r="BY256" t="s">
        <v>1</v>
      </c>
      <c r="BZ256" t="s">
        <v>1</v>
      </c>
      <c r="CA256" t="s">
        <v>1</v>
      </c>
      <c r="CB256" t="s">
        <v>1</v>
      </c>
      <c r="CD256" t="str" cm="1">
        <f t="array" aca="1" ref="CD256" ca="1">eConcatenar(A256:CB256,"|")</f>
        <v>uGHNUYo16w9eQLUl|CAR2021-4699|3|MEMORIAL|TABASCO|CARDENAS|CARDENAS|2021-08-19|14800|X|100|50|0|0|0|0|0|0|0|0|0|0|0|0|0|0|0|ACHAUTLA||EULOGIO|SOLTERO|X|X|CALLE SANTIAGO PEREZ AQUINO SIN NUMERO|AMPLIACION CARRIZAL|X|9371200685|X|X|X|CALLE SANTIAGO PEREZ AQUINO SIN NUMERO|X|LUNES|X|X|X|X|X|DOMICILIO |2100|12700|x|x|x|2022-01-20|2022-01-27|x|x|x|x|x|TQPNUNDB8OSMS5B|x|HOMBRE|X|14800|X|X|X|X|X|X|X|X|CARDENAS|X|X|X|X|X</v>
      </c>
    </row>
    <row r="257" spans="1:82" x14ac:dyDescent="0.25">
      <c r="A257" t="s">
        <v>391</v>
      </c>
      <c r="B257" t="s">
        <v>701</v>
      </c>
      <c r="C257">
        <v>3</v>
      </c>
      <c r="D257" t="s">
        <v>761</v>
      </c>
      <c r="E257" t="s">
        <v>1398</v>
      </c>
      <c r="F257" t="s">
        <v>0</v>
      </c>
      <c r="G257" t="s">
        <v>0</v>
      </c>
      <c r="H257" t="s">
        <v>944</v>
      </c>
      <c r="I257">
        <v>14800</v>
      </c>
      <c r="J257" t="s">
        <v>1</v>
      </c>
      <c r="K257">
        <v>100</v>
      </c>
      <c r="L257">
        <v>50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7</v>
      </c>
      <c r="AC257" t="s">
        <v>1248</v>
      </c>
      <c r="AD257" s="18" t="s">
        <v>1069</v>
      </c>
      <c r="AE257" t="s">
        <v>4</v>
      </c>
      <c r="AF257" t="s">
        <v>1</v>
      </c>
      <c r="AG257" t="s">
        <v>1</v>
      </c>
      <c r="AH257" t="s">
        <v>1618</v>
      </c>
      <c r="AI257" t="s">
        <v>1783</v>
      </c>
      <c r="AJ257" t="s">
        <v>1</v>
      </c>
      <c r="AK257">
        <v>9371756908</v>
      </c>
      <c r="AL257" t="s">
        <v>1</v>
      </c>
      <c r="AM257" t="s">
        <v>1</v>
      </c>
      <c r="AN257" t="s">
        <v>1</v>
      </c>
      <c r="AO257" t="s">
        <v>1618</v>
      </c>
      <c r="AP257" t="s">
        <v>1</v>
      </c>
      <c r="AQ257" t="s">
        <v>2</v>
      </c>
      <c r="AR257" t="s">
        <v>1</v>
      </c>
      <c r="AS257" t="s">
        <v>1</v>
      </c>
      <c r="AT257" t="s">
        <v>1</v>
      </c>
      <c r="AU257" t="s">
        <v>1</v>
      </c>
      <c r="AV257" t="s">
        <v>1</v>
      </c>
      <c r="AW257" t="s">
        <v>11</v>
      </c>
      <c r="AX257">
        <f>Tabla1[[#This Row],[precio del paquete]]-Tabla1[[#This Row],[Saldo_Deudor]]</f>
        <v>1600</v>
      </c>
      <c r="AY257">
        <v>13200</v>
      </c>
      <c r="AZ257" t="s">
        <v>3</v>
      </c>
      <c r="BA257" t="s">
        <v>3</v>
      </c>
      <c r="BB257" t="s">
        <v>3</v>
      </c>
      <c r="BC257" t="s">
        <v>1857</v>
      </c>
      <c r="BD257" t="s">
        <v>1911</v>
      </c>
      <c r="BE257" t="s">
        <v>3</v>
      </c>
      <c r="BF257" t="s">
        <v>3</v>
      </c>
      <c r="BG257" t="s">
        <v>3</v>
      </c>
      <c r="BH257" t="s">
        <v>3</v>
      </c>
      <c r="BI257" t="s">
        <v>3</v>
      </c>
      <c r="BJ257" t="s">
        <v>1939</v>
      </c>
      <c r="BK257" t="s">
        <v>3</v>
      </c>
      <c r="BL257" t="s">
        <v>132</v>
      </c>
      <c r="BM257" t="s">
        <v>1</v>
      </c>
      <c r="BN257">
        <f>Tabla1[[#This Row],[precio del paquete]]</f>
        <v>14800</v>
      </c>
      <c r="BO257" t="s">
        <v>1</v>
      </c>
      <c r="BP257" t="s">
        <v>1</v>
      </c>
      <c r="BQ257" t="s">
        <v>1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0</v>
      </c>
      <c r="BX257" t="s">
        <v>1</v>
      </c>
      <c r="BY257" t="s">
        <v>1</v>
      </c>
      <c r="BZ257" t="s">
        <v>1</v>
      </c>
      <c r="CA257" t="s">
        <v>1</v>
      </c>
      <c r="CB257" t="s">
        <v>1</v>
      </c>
      <c r="CD257" t="str" cm="1">
        <f t="array" aca="1" ref="CD257" ca="1">eConcatenar(A257:CB257,"|")</f>
        <v>sDjId4D4Ad8MGkKa|CAR2021-4635|3|MEMORIAL|TABASCO|CARDENAS|CARDENAS|2021-08-14|14800|X|100|50|0|0|0|0|0|0|0|0|0|0|0|0|0|0|0|LOPEZ|PEREZ|JOSE MANUEL|SOLTERO|X|X|CALLE VICENTE SUAREZ NUMERO 400|COLONIA NUEVO PROGRESO|X|9371756908|X|X|X|CALLE VICENTE SUAREZ NUMERO 400|X|LUNES|X|X|X|X|X|DOMICILIO |1600|13200|x|x|x|2022-03-02|2022-03-09|x|x|x|x|x|TQPNUNDB8OSMS5B|x|HOMBRE|X|14800|X|X|X|X|X|X|X|X|CARDENAS|X|X|X|X|X</v>
      </c>
    </row>
    <row r="258" spans="1:82" x14ac:dyDescent="0.25">
      <c r="A258" t="s">
        <v>392</v>
      </c>
      <c r="B258" t="s">
        <v>534</v>
      </c>
      <c r="C258">
        <v>3</v>
      </c>
      <c r="D258" t="s">
        <v>761</v>
      </c>
      <c r="E258" t="s">
        <v>1398</v>
      </c>
      <c r="F258" t="s">
        <v>0</v>
      </c>
      <c r="G258" t="s">
        <v>0</v>
      </c>
      <c r="H258" t="s">
        <v>945</v>
      </c>
      <c r="I258">
        <v>14800</v>
      </c>
      <c r="J258" t="s">
        <v>1</v>
      </c>
      <c r="K258">
        <v>100</v>
      </c>
      <c r="L258">
        <v>50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1258</v>
      </c>
      <c r="AC258" t="s">
        <v>1260</v>
      </c>
      <c r="AD258" s="18" t="s">
        <v>1049</v>
      </c>
      <c r="AE258" t="s">
        <v>4</v>
      </c>
      <c r="AF258" t="s">
        <v>1</v>
      </c>
      <c r="AG258" t="s">
        <v>1</v>
      </c>
      <c r="AH258" t="s">
        <v>1619</v>
      </c>
      <c r="AI258" t="s">
        <v>1807</v>
      </c>
      <c r="AJ258" t="s">
        <v>1</v>
      </c>
      <c r="AK258">
        <v>9371381798</v>
      </c>
      <c r="AL258" t="s">
        <v>1</v>
      </c>
      <c r="AM258" t="s">
        <v>1</v>
      </c>
      <c r="AN258" t="s">
        <v>1</v>
      </c>
      <c r="AO258" t="s">
        <v>1619</v>
      </c>
      <c r="AP258" t="s">
        <v>1</v>
      </c>
      <c r="AQ258" t="s">
        <v>2</v>
      </c>
      <c r="AR258" t="s">
        <v>1</v>
      </c>
      <c r="AS258" t="s">
        <v>1</v>
      </c>
      <c r="AT258" t="s">
        <v>1</v>
      </c>
      <c r="AU258" t="s">
        <v>1</v>
      </c>
      <c r="AV258" t="s">
        <v>1</v>
      </c>
      <c r="AW258" t="s">
        <v>11</v>
      </c>
      <c r="AX258">
        <f>Tabla1[[#This Row],[precio del paquete]]-Tabla1[[#This Row],[Saldo_Deudor]]</f>
        <v>3300</v>
      </c>
      <c r="AY258">
        <v>11500</v>
      </c>
      <c r="AZ258" t="s">
        <v>3</v>
      </c>
      <c r="BA258" t="s">
        <v>3</v>
      </c>
      <c r="BB258" t="s">
        <v>3</v>
      </c>
      <c r="BC258" t="s">
        <v>1876</v>
      </c>
      <c r="BD258" t="s">
        <v>1933</v>
      </c>
      <c r="BE258" t="s">
        <v>3</v>
      </c>
      <c r="BF258" t="s">
        <v>3</v>
      </c>
      <c r="BG258" t="s">
        <v>3</v>
      </c>
      <c r="BH258" t="s">
        <v>3</v>
      </c>
      <c r="BI258" t="s">
        <v>3</v>
      </c>
      <c r="BJ258" t="s">
        <v>1939</v>
      </c>
      <c r="BK258" t="s">
        <v>3</v>
      </c>
      <c r="BL258" t="s">
        <v>132</v>
      </c>
      <c r="BM258" t="s">
        <v>1</v>
      </c>
      <c r="BN258">
        <f>Tabla1[[#This Row],[precio del paquete]]</f>
        <v>14800</v>
      </c>
      <c r="BO258" t="s">
        <v>1</v>
      </c>
      <c r="BP258" t="s">
        <v>1</v>
      </c>
      <c r="BQ258" t="s">
        <v>1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0</v>
      </c>
      <c r="BX258" t="s">
        <v>1</v>
      </c>
      <c r="BY258" t="s">
        <v>1</v>
      </c>
      <c r="BZ258" t="s">
        <v>1</v>
      </c>
      <c r="CA258" t="s">
        <v>1</v>
      </c>
      <c r="CB258" t="s">
        <v>1</v>
      </c>
      <c r="CD258" t="str" cm="1">
        <f t="array" aca="1" ref="CD258" ca="1">eConcatenar(A258:CB258,"|")</f>
        <v>VNQP4fGhJy6re0ZI|CAR2021-3888|3|MEMORIAL|TABASCO|CARDENAS|CARDENAS|2021-07-26|14800|X|100|50|0|0|0|0|0|0|0|0|0|0|0|0|0|0|0|GAMAS|GONZALEZ|JAZMIN|SOLTERO|X|X|CALLE 8 LOTE 6|FRACCIONAMIENTO CAÃ‘ALES SEGUNDA SECCION|X|9371381798|X|X|X|CALLE 8 LOTE 6|X|LUNES|X|X|X|X|X|DOMICILIO |3300|11500|x|x|x|2021-03-02|2021-03-09|x|x|x|x|x|TQPNUNDB8OSMS5B|x|HOMBRE|X|14800|X|X|X|X|X|X|X|X|CARDENAS|X|X|X|X|X</v>
      </c>
    </row>
    <row r="259" spans="1:82" x14ac:dyDescent="0.25">
      <c r="A259" t="s">
        <v>393</v>
      </c>
      <c r="B259" t="s">
        <v>530</v>
      </c>
      <c r="C259">
        <v>3</v>
      </c>
      <c r="D259" t="s">
        <v>761</v>
      </c>
      <c r="E259" t="s">
        <v>1398</v>
      </c>
      <c r="F259" t="s">
        <v>0</v>
      </c>
      <c r="G259" t="s">
        <v>0</v>
      </c>
      <c r="H259" t="s">
        <v>828</v>
      </c>
      <c r="I259">
        <v>14800</v>
      </c>
      <c r="J259" t="s">
        <v>1</v>
      </c>
      <c r="K259">
        <v>100</v>
      </c>
      <c r="L259">
        <v>50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1296</v>
      </c>
      <c r="AC259" t="s">
        <v>979</v>
      </c>
      <c r="AD259" s="18" t="s">
        <v>1185</v>
      </c>
      <c r="AE259" t="s">
        <v>4</v>
      </c>
      <c r="AF259" t="s">
        <v>1</v>
      </c>
      <c r="AG259" t="s">
        <v>1</v>
      </c>
      <c r="AH259" t="s">
        <v>1471</v>
      </c>
      <c r="AI259" t="s">
        <v>1808</v>
      </c>
      <c r="AJ259" t="s">
        <v>1</v>
      </c>
      <c r="AK259">
        <v>9141089104</v>
      </c>
      <c r="AL259" t="s">
        <v>1</v>
      </c>
      <c r="AM259" t="s">
        <v>1</v>
      </c>
      <c r="AN259" t="s">
        <v>1</v>
      </c>
      <c r="AO259" t="s">
        <v>1471</v>
      </c>
      <c r="AP259" t="s">
        <v>1</v>
      </c>
      <c r="AQ259" t="s">
        <v>2</v>
      </c>
      <c r="AR259" t="s">
        <v>1</v>
      </c>
      <c r="AS259" t="s">
        <v>1</v>
      </c>
      <c r="AT259" t="s">
        <v>1</v>
      </c>
      <c r="AU259" t="s">
        <v>1</v>
      </c>
      <c r="AV259" t="s">
        <v>1</v>
      </c>
      <c r="AW259" t="s">
        <v>11</v>
      </c>
      <c r="AX259">
        <f>Tabla1[[#This Row],[precio del paquete]]-Tabla1[[#This Row],[Saldo_Deudor]]</f>
        <v>6200</v>
      </c>
      <c r="AY259">
        <v>8600</v>
      </c>
      <c r="AZ259" t="s">
        <v>3</v>
      </c>
      <c r="BA259" t="s">
        <v>3</v>
      </c>
      <c r="BB259" t="s">
        <v>3</v>
      </c>
      <c r="BC259" t="s">
        <v>1857</v>
      </c>
      <c r="BD259" t="s">
        <v>1911</v>
      </c>
      <c r="BE259" t="s">
        <v>3</v>
      </c>
      <c r="BF259" t="s">
        <v>3</v>
      </c>
      <c r="BG259" t="s">
        <v>3</v>
      </c>
      <c r="BH259" t="s">
        <v>3</v>
      </c>
      <c r="BI259" t="s">
        <v>3</v>
      </c>
      <c r="BJ259" t="s">
        <v>1939</v>
      </c>
      <c r="BK259" t="s">
        <v>3</v>
      </c>
      <c r="BL259" t="s">
        <v>132</v>
      </c>
      <c r="BM259" t="s">
        <v>1</v>
      </c>
      <c r="BN259">
        <f>Tabla1[[#This Row],[precio del paquete]]</f>
        <v>14800</v>
      </c>
      <c r="BO259" t="s">
        <v>1</v>
      </c>
      <c r="BP259" t="s">
        <v>1</v>
      </c>
      <c r="BQ259" t="s">
        <v>1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0</v>
      </c>
      <c r="BX259" t="s">
        <v>1</v>
      </c>
      <c r="BY259" t="s">
        <v>1</v>
      </c>
      <c r="BZ259" t="s">
        <v>1</v>
      </c>
      <c r="CA259" t="s">
        <v>1</v>
      </c>
      <c r="CB259" t="s">
        <v>1</v>
      </c>
      <c r="CD259" t="str" cm="1">
        <f t="array" aca="1" ref="CD259" ca="1">eConcatenar(A259:CB259,"|")</f>
        <v>LFOJLeCjXG8UZiRb|CAR2021-3297|3|MEMORIAL|TABASCO|CARDENAS|CARDENAS|2021-08-07|14800|X|100|50|0|0|0|0|0|0|0|0|0|0|0|0|0|0|0|VICENTE|CONCEPCION|RODRIGUEZ|SOLTERO|X|X|CARRETERA A SAN FELIPE SIN NUMERO|EJIDO SANTO TOMAS|X|9141089104|X|X|X|CARRETERA A SAN FELIPE SIN NUMERO|X|LUNES|X|X|X|X|X|DOMICILIO |6200|8600|x|x|x|2022-03-02|2022-03-09|x|x|x|x|x|TQPNUNDB8OSMS5B|x|HOMBRE|X|14800|X|X|X|X|X|X|X|X|CARDENAS|X|X|X|X|X</v>
      </c>
    </row>
    <row r="260" spans="1:82" x14ac:dyDescent="0.25">
      <c r="A260" t="s">
        <v>394</v>
      </c>
      <c r="B260" t="s">
        <v>531</v>
      </c>
      <c r="C260">
        <v>3</v>
      </c>
      <c r="D260" t="s">
        <v>761</v>
      </c>
      <c r="E260" t="s">
        <v>1398</v>
      </c>
      <c r="F260" t="s">
        <v>0</v>
      </c>
      <c r="G260" t="s">
        <v>0</v>
      </c>
      <c r="H260" t="s">
        <v>789</v>
      </c>
      <c r="I260">
        <v>14800</v>
      </c>
      <c r="J260" t="s">
        <v>1</v>
      </c>
      <c r="K260">
        <v>100</v>
      </c>
      <c r="L260">
        <v>50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1304</v>
      </c>
      <c r="AC260" t="s">
        <v>1227</v>
      </c>
      <c r="AD260" s="18" t="s">
        <v>1047</v>
      </c>
      <c r="AE260" t="s">
        <v>4</v>
      </c>
      <c r="AF260" t="s">
        <v>1</v>
      </c>
      <c r="AG260" t="s">
        <v>1</v>
      </c>
      <c r="AH260" t="s">
        <v>1472</v>
      </c>
      <c r="AI260" t="s">
        <v>1683</v>
      </c>
      <c r="AJ260" t="s">
        <v>1</v>
      </c>
      <c r="AK260">
        <v>9331104487</v>
      </c>
      <c r="AL260" t="s">
        <v>1</v>
      </c>
      <c r="AM260" t="s">
        <v>1</v>
      </c>
      <c r="AN260" t="s">
        <v>1</v>
      </c>
      <c r="AO260" t="s">
        <v>1472</v>
      </c>
      <c r="AP260" t="s">
        <v>1</v>
      </c>
      <c r="AQ260" t="s">
        <v>2</v>
      </c>
      <c r="AR260" t="s">
        <v>1</v>
      </c>
      <c r="AS260" t="s">
        <v>1</v>
      </c>
      <c r="AT260" t="s">
        <v>1</v>
      </c>
      <c r="AU260" t="s">
        <v>1</v>
      </c>
      <c r="AV260" t="s">
        <v>1</v>
      </c>
      <c r="AW260" t="s">
        <v>11</v>
      </c>
      <c r="AX260">
        <f>Tabla1[[#This Row],[precio del paquete]]-Tabla1[[#This Row],[Saldo_Deudor]]</f>
        <v>450</v>
      </c>
      <c r="AY260">
        <v>14350</v>
      </c>
      <c r="AZ260" t="s">
        <v>3</v>
      </c>
      <c r="BA260" t="s">
        <v>3</v>
      </c>
      <c r="BB260" t="s">
        <v>3</v>
      </c>
      <c r="BC260" t="s">
        <v>1857</v>
      </c>
      <c r="BD260" t="s">
        <v>1911</v>
      </c>
      <c r="BE260" t="s">
        <v>3</v>
      </c>
      <c r="BF260" t="s">
        <v>3</v>
      </c>
      <c r="BG260" t="s">
        <v>3</v>
      </c>
      <c r="BH260" t="s">
        <v>3</v>
      </c>
      <c r="BI260" t="s">
        <v>3</v>
      </c>
      <c r="BJ260" t="s">
        <v>1939</v>
      </c>
      <c r="BK260" t="s">
        <v>3</v>
      </c>
      <c r="BL260" t="s">
        <v>132</v>
      </c>
      <c r="BM260" t="s">
        <v>1</v>
      </c>
      <c r="BN260">
        <f>Tabla1[[#This Row],[precio del paquete]]</f>
        <v>14800</v>
      </c>
      <c r="BO260" t="s">
        <v>1</v>
      </c>
      <c r="BP260" t="s">
        <v>1</v>
      </c>
      <c r="BQ260" t="s">
        <v>1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0</v>
      </c>
      <c r="BX260" t="s">
        <v>1</v>
      </c>
      <c r="BY260" t="s">
        <v>1</v>
      </c>
      <c r="BZ260" t="s">
        <v>1</v>
      </c>
      <c r="CA260" t="s">
        <v>1</v>
      </c>
      <c r="CB260" t="s">
        <v>1</v>
      </c>
      <c r="CD260" t="str" cm="1">
        <f t="array" aca="1" ref="CD260" ca="1">eConcatenar(A260:CB260,"|")</f>
        <v>4PaTy8eumL66TXqx|CAR2021-7419|3|MEMORIAL|TABASCO|CARDENAS|CARDENAS|2021-03-12|14800|X|100|50|0|0|0|0|0|0|0|0|0|0|0|0|0|0|0|DE DIOS|GARCIA|MARIELA|SOLTERO|X|X|CALLE PRINCIPAL SIN NUMERO|EJIDO FELIPE CARRILLO PUERTO|X|9331104487|X|X|X|CALLE PRINCIPAL SIN NUMERO|X|LUNES|X|X|X|X|X|DOMICILIO |450|14350|x|x|x|2022-03-02|2022-03-09|x|x|x|x|x|TQPNUNDB8OSMS5B|x|HOMBRE|X|14800|X|X|X|X|X|X|X|X|CARDENAS|X|X|X|X|X</v>
      </c>
    </row>
    <row r="261" spans="1:82" x14ac:dyDescent="0.25">
      <c r="A261" t="s">
        <v>395</v>
      </c>
      <c r="B261" t="s">
        <v>702</v>
      </c>
      <c r="C261">
        <v>3</v>
      </c>
      <c r="D261" t="s">
        <v>761</v>
      </c>
      <c r="E261" t="s">
        <v>1398</v>
      </c>
      <c r="F261" t="s">
        <v>0</v>
      </c>
      <c r="G261" t="s">
        <v>0</v>
      </c>
      <c r="H261" t="s">
        <v>946</v>
      </c>
      <c r="I261">
        <v>14800</v>
      </c>
      <c r="J261" t="s">
        <v>1</v>
      </c>
      <c r="K261">
        <v>100</v>
      </c>
      <c r="L261">
        <v>50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1249</v>
      </c>
      <c r="AC261" t="s">
        <v>1267</v>
      </c>
      <c r="AD261" s="18" t="s">
        <v>1186</v>
      </c>
      <c r="AE261" t="s">
        <v>4</v>
      </c>
      <c r="AF261" t="s">
        <v>1</v>
      </c>
      <c r="AG261" t="s">
        <v>1</v>
      </c>
      <c r="AH261" t="s">
        <v>1426</v>
      </c>
      <c r="AI261" t="s">
        <v>1809</v>
      </c>
      <c r="AJ261" t="s">
        <v>1</v>
      </c>
      <c r="AK261">
        <v>9371554614</v>
      </c>
      <c r="AL261" t="s">
        <v>1</v>
      </c>
      <c r="AM261" t="s">
        <v>1</v>
      </c>
      <c r="AN261" t="s">
        <v>1</v>
      </c>
      <c r="AO261" t="s">
        <v>1426</v>
      </c>
      <c r="AP261" t="s">
        <v>1</v>
      </c>
      <c r="AQ261" t="s">
        <v>2</v>
      </c>
      <c r="AR261" t="s">
        <v>1</v>
      </c>
      <c r="AS261" t="s">
        <v>1</v>
      </c>
      <c r="AT261" t="s">
        <v>1</v>
      </c>
      <c r="AU261" t="s">
        <v>1</v>
      </c>
      <c r="AV261" t="s">
        <v>1</v>
      </c>
      <c r="AW261" t="s">
        <v>11</v>
      </c>
      <c r="AX261">
        <f>Tabla1[[#This Row],[precio del paquete]]-Tabla1[[#This Row],[Saldo_Deudor]]</f>
        <v>1800</v>
      </c>
      <c r="AY261">
        <v>13000</v>
      </c>
      <c r="AZ261" t="s">
        <v>3</v>
      </c>
      <c r="BA261" t="s">
        <v>3</v>
      </c>
      <c r="BB261" t="s">
        <v>3</v>
      </c>
      <c r="BC261" t="s">
        <v>1857</v>
      </c>
      <c r="BD261" t="s">
        <v>1911</v>
      </c>
      <c r="BE261" t="s">
        <v>3</v>
      </c>
      <c r="BF261" t="s">
        <v>3</v>
      </c>
      <c r="BG261" t="s">
        <v>3</v>
      </c>
      <c r="BH261" t="s">
        <v>3</v>
      </c>
      <c r="BI261" t="s">
        <v>3</v>
      </c>
      <c r="BJ261" t="s">
        <v>1939</v>
      </c>
      <c r="BK261" t="s">
        <v>3</v>
      </c>
      <c r="BL261" t="s">
        <v>132</v>
      </c>
      <c r="BM261" t="s">
        <v>1</v>
      </c>
      <c r="BN261">
        <f>Tabla1[[#This Row],[precio del paquete]]</f>
        <v>14800</v>
      </c>
      <c r="BO261" t="s">
        <v>1</v>
      </c>
      <c r="BP261" t="s">
        <v>1</v>
      </c>
      <c r="BQ261" t="s">
        <v>1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0</v>
      </c>
      <c r="BX261" t="s">
        <v>1</v>
      </c>
      <c r="BY261" t="s">
        <v>1</v>
      </c>
      <c r="BZ261" t="s">
        <v>1</v>
      </c>
      <c r="CA261" t="s">
        <v>1</v>
      </c>
      <c r="CB261" t="s">
        <v>1</v>
      </c>
      <c r="CD261" t="str" cm="1">
        <f t="array" aca="1" ref="CD261" ca="1">eConcatenar(A261:CB261,"|")</f>
        <v>3sPe2PrGkwCQH4LM|CAR2021-4096|3|MEMORIAL|TABASCO|CARDENAS|CARDENAS|2021-07-30|14800|X|100|50|0|0|0|0|0|0|0|0|0|0|0|0|0|0|0|DE LA CRUZ|JIMENEZ|ARMANDO|SOLTERO|X|X|CARRETERA PRINCIPAL SIN NUMERO|EJIDO CARDENAS|X|9371554614|X|X|X|CARRETERA PRINCIPAL SIN NUMERO|X|LUNES|X|X|X|X|X|DOMICILIO |1800|13000|x|x|x|2022-03-02|2022-03-09|x|x|x|x|x|TQPNUNDB8OSMS5B|x|HOMBRE|X|14800|X|X|X|X|X|X|X|X|CARDENAS|X|X|X|X|X</v>
      </c>
    </row>
    <row r="262" spans="1:82" x14ac:dyDescent="0.25">
      <c r="A262" t="s">
        <v>396</v>
      </c>
      <c r="B262" t="s">
        <v>524</v>
      </c>
      <c r="C262">
        <v>3</v>
      </c>
      <c r="D262" t="s">
        <v>762</v>
      </c>
      <c r="E262" t="s">
        <v>1398</v>
      </c>
      <c r="F262" t="s">
        <v>0</v>
      </c>
      <c r="G262" t="s">
        <v>0</v>
      </c>
      <c r="H262" t="s">
        <v>822</v>
      </c>
      <c r="I262">
        <v>25500</v>
      </c>
      <c r="J262" t="s">
        <v>1</v>
      </c>
      <c r="K262">
        <v>100</v>
      </c>
      <c r="L262">
        <v>50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1267</v>
      </c>
      <c r="AC262" t="s">
        <v>7</v>
      </c>
      <c r="AD262" s="18" t="s">
        <v>1042</v>
      </c>
      <c r="AE262" t="s">
        <v>4</v>
      </c>
      <c r="AF262" t="s">
        <v>1</v>
      </c>
      <c r="AG262" t="s">
        <v>1</v>
      </c>
      <c r="AH262" t="s">
        <v>1620</v>
      </c>
      <c r="AI262" t="s">
        <v>1714</v>
      </c>
      <c r="AJ262" t="s">
        <v>1</v>
      </c>
      <c r="AK262">
        <v>9373788708</v>
      </c>
      <c r="AL262" t="s">
        <v>1</v>
      </c>
      <c r="AM262" t="s">
        <v>1</v>
      </c>
      <c r="AN262" t="s">
        <v>1</v>
      </c>
      <c r="AO262" t="s">
        <v>1620</v>
      </c>
      <c r="AP262" t="s">
        <v>1</v>
      </c>
      <c r="AQ262" t="s">
        <v>2</v>
      </c>
      <c r="AR262" t="s">
        <v>1</v>
      </c>
      <c r="AS262" t="s">
        <v>1</v>
      </c>
      <c r="AT262" t="s">
        <v>1</v>
      </c>
      <c r="AU262" t="s">
        <v>1</v>
      </c>
      <c r="AV262" t="s">
        <v>1</v>
      </c>
      <c r="AW262" t="s">
        <v>11</v>
      </c>
      <c r="AX262">
        <f>Tabla1[[#This Row],[precio del paquete]]-Tabla1[[#This Row],[Saldo_Deudor]]</f>
        <v>4100</v>
      </c>
      <c r="AY262">
        <v>21400</v>
      </c>
      <c r="AZ262" t="s">
        <v>3</v>
      </c>
      <c r="BA262" t="s">
        <v>3</v>
      </c>
      <c r="BB262" t="s">
        <v>3</v>
      </c>
      <c r="BC262" t="s">
        <v>774</v>
      </c>
      <c r="BD262" t="s">
        <v>1881</v>
      </c>
      <c r="BE262" t="s">
        <v>3</v>
      </c>
      <c r="BF262" t="s">
        <v>3</v>
      </c>
      <c r="BG262" t="s">
        <v>3</v>
      </c>
      <c r="BH262" t="s">
        <v>3</v>
      </c>
      <c r="BI262" t="s">
        <v>3</v>
      </c>
      <c r="BJ262" t="s">
        <v>1939</v>
      </c>
      <c r="BK262" t="s">
        <v>3</v>
      </c>
      <c r="BL262" t="s">
        <v>132</v>
      </c>
      <c r="BM262" t="s">
        <v>1</v>
      </c>
      <c r="BN262">
        <f>Tabla1[[#This Row],[precio del paquete]]</f>
        <v>25500</v>
      </c>
      <c r="BO262" t="s">
        <v>1</v>
      </c>
      <c r="BP262" t="s">
        <v>1</v>
      </c>
      <c r="BQ262" t="s">
        <v>1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0</v>
      </c>
      <c r="BX262" t="s">
        <v>1</v>
      </c>
      <c r="BY262" t="s">
        <v>1</v>
      </c>
      <c r="BZ262" t="s">
        <v>1</v>
      </c>
      <c r="CA262" t="s">
        <v>1</v>
      </c>
      <c r="CB262" t="s">
        <v>1</v>
      </c>
      <c r="CD262" t="str" cm="1">
        <f t="array" aca="1" ref="CD262" ca="1">eConcatenar(A262:CB262,"|")</f>
        <v>HSPgEvt7x5AzUN7e|CAR2021-4415|3|DIGNITY|TABASCO|CARDENAS|CARDENAS|2021-06-08|25500|X|100|50|0|0|0|0|0|0|0|0|0|0|0|0|0|0|0|JIMENEZ|LOPEZ|GRACIELA|SOLTERO|X|X|CARRETERA AINTERCAMBIO SIN NUMERO|EJIDO SANTA LUCIA|X|9373788708|X|X|X|CARRETERA AINTERCAMBIO SIN NUMERO|X|LUNES|X|X|X|X|X|DOMICILIO |4100|21400|x|x|x|2022-02-02|2022-02-09|x|x|x|x|x|TQPNUNDB8OSMS5B|x|HOMBRE|X|25500|X|X|X|X|X|X|X|X|CARDENAS|X|X|X|X|X</v>
      </c>
    </row>
    <row r="263" spans="1:82" x14ac:dyDescent="0.25">
      <c r="A263" t="s">
        <v>397</v>
      </c>
      <c r="B263" t="s">
        <v>703</v>
      </c>
      <c r="C263">
        <v>3</v>
      </c>
      <c r="D263" t="s">
        <v>761</v>
      </c>
      <c r="E263" t="s">
        <v>1398</v>
      </c>
      <c r="F263" t="s">
        <v>0</v>
      </c>
      <c r="G263" t="s">
        <v>0</v>
      </c>
      <c r="H263" t="s">
        <v>944</v>
      </c>
      <c r="I263">
        <v>14800</v>
      </c>
      <c r="J263" t="s">
        <v>1</v>
      </c>
      <c r="K263">
        <v>100</v>
      </c>
      <c r="L263">
        <v>50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1246</v>
      </c>
      <c r="AC263" t="s">
        <v>1293</v>
      </c>
      <c r="AD263" s="18" t="s">
        <v>1187</v>
      </c>
      <c r="AE263" t="s">
        <v>4</v>
      </c>
      <c r="AF263" t="s">
        <v>1</v>
      </c>
      <c r="AG263" t="s">
        <v>1</v>
      </c>
      <c r="AH263" t="s">
        <v>1621</v>
      </c>
      <c r="AI263" t="s">
        <v>1714</v>
      </c>
      <c r="AJ263" t="s">
        <v>1</v>
      </c>
      <c r="AK263">
        <v>9141222400</v>
      </c>
      <c r="AL263" t="s">
        <v>1</v>
      </c>
      <c r="AM263" t="s">
        <v>1</v>
      </c>
      <c r="AN263" t="s">
        <v>1</v>
      </c>
      <c r="AO263" t="s">
        <v>1621</v>
      </c>
      <c r="AP263" t="s">
        <v>1</v>
      </c>
      <c r="AQ263" t="s">
        <v>2</v>
      </c>
      <c r="AR263" t="s">
        <v>1</v>
      </c>
      <c r="AS263" t="s">
        <v>1</v>
      </c>
      <c r="AT263" t="s">
        <v>1</v>
      </c>
      <c r="AU263" t="s">
        <v>1</v>
      </c>
      <c r="AV263" t="s">
        <v>1</v>
      </c>
      <c r="AW263" t="s">
        <v>11</v>
      </c>
      <c r="AX263">
        <f>Tabla1[[#This Row],[precio del paquete]]-Tabla1[[#This Row],[Saldo_Deudor]]</f>
        <v>1350</v>
      </c>
      <c r="AY263">
        <v>13450</v>
      </c>
      <c r="AZ263" t="s">
        <v>3</v>
      </c>
      <c r="BA263" t="s">
        <v>3</v>
      </c>
      <c r="BB263" t="s">
        <v>3</v>
      </c>
      <c r="BC263" t="s">
        <v>774</v>
      </c>
      <c r="BD263" t="s">
        <v>1881</v>
      </c>
      <c r="BE263" t="s">
        <v>3</v>
      </c>
      <c r="BF263" t="s">
        <v>3</v>
      </c>
      <c r="BG263" t="s">
        <v>3</v>
      </c>
      <c r="BH263" t="s">
        <v>3</v>
      </c>
      <c r="BI263" t="s">
        <v>3</v>
      </c>
      <c r="BJ263" t="s">
        <v>1939</v>
      </c>
      <c r="BK263" t="s">
        <v>3</v>
      </c>
      <c r="BL263" t="s">
        <v>132</v>
      </c>
      <c r="BM263" t="s">
        <v>1</v>
      </c>
      <c r="BN263">
        <f>Tabla1[[#This Row],[precio del paquete]]</f>
        <v>14800</v>
      </c>
      <c r="BO263" t="s">
        <v>1</v>
      </c>
      <c r="BP263" t="s">
        <v>1</v>
      </c>
      <c r="BQ263" t="s">
        <v>1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0</v>
      </c>
      <c r="BX263" t="s">
        <v>1</v>
      </c>
      <c r="BY263" t="s">
        <v>1</v>
      </c>
      <c r="BZ263" t="s">
        <v>1</v>
      </c>
      <c r="CA263" t="s">
        <v>1</v>
      </c>
      <c r="CB263" t="s">
        <v>1</v>
      </c>
      <c r="CD263" t="str" cm="1">
        <f t="array" aca="1" ref="CD263" ca="1">eConcatenar(A263:CB263,"|")</f>
        <v>hYfuGufNEO23AYz1|CAR2021-4639|3|MEMORIAL|TABASCO|CARDENAS|CARDENAS|2021-08-14|14800|X|100|50|0|0|0|0|0|0|0|0|0|0|0|0|0|0|0|MORALES|CANO|EFRAIN|SOLTERO|X|X|CARRETERA A TULIPAN SIN NUMERO|EJIDO SANTA LUCIA|X|9141222400|X|X|X|CARRETERA A TULIPAN SIN NUMERO|X|LUNES|X|X|X|X|X|DOMICILIO |1350|13450|x|x|x|2022-02-02|2022-02-09|x|x|x|x|x|TQPNUNDB8OSMS5B|x|HOMBRE|X|14800|X|X|X|X|X|X|X|X|CARDENAS|X|X|X|X|X</v>
      </c>
    </row>
    <row r="264" spans="1:82" x14ac:dyDescent="0.25">
      <c r="A264" t="s">
        <v>398</v>
      </c>
      <c r="B264" t="s">
        <v>704</v>
      </c>
      <c r="C264">
        <v>3</v>
      </c>
      <c r="D264" t="s">
        <v>761</v>
      </c>
      <c r="E264" t="s">
        <v>1398</v>
      </c>
      <c r="F264" t="s">
        <v>0</v>
      </c>
      <c r="G264" t="s">
        <v>0</v>
      </c>
      <c r="H264" t="s">
        <v>825</v>
      </c>
      <c r="I264">
        <v>14800</v>
      </c>
      <c r="J264" t="s">
        <v>1</v>
      </c>
      <c r="K264">
        <v>100</v>
      </c>
      <c r="L264">
        <v>50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7</v>
      </c>
      <c r="AC264" t="s">
        <v>1226</v>
      </c>
      <c r="AD264" s="18" t="s">
        <v>1188</v>
      </c>
      <c r="AE264" t="s">
        <v>4</v>
      </c>
      <c r="AF264" t="s">
        <v>1</v>
      </c>
      <c r="AG264" t="s">
        <v>1</v>
      </c>
      <c r="AH264" t="s">
        <v>1622</v>
      </c>
      <c r="AI264" t="s">
        <v>1810</v>
      </c>
      <c r="AJ264" t="s">
        <v>1</v>
      </c>
      <c r="AK264">
        <v>9372296434</v>
      </c>
      <c r="AL264" t="s">
        <v>1</v>
      </c>
      <c r="AM264" t="s">
        <v>1</v>
      </c>
      <c r="AN264" t="s">
        <v>1</v>
      </c>
      <c r="AO264" t="s">
        <v>1622</v>
      </c>
      <c r="AP264" t="s">
        <v>1</v>
      </c>
      <c r="AQ264" t="s">
        <v>2</v>
      </c>
      <c r="AR264" t="s">
        <v>1</v>
      </c>
      <c r="AS264" t="s">
        <v>1</v>
      </c>
      <c r="AT264" t="s">
        <v>1</v>
      </c>
      <c r="AU264" t="s">
        <v>1</v>
      </c>
      <c r="AV264" t="s">
        <v>1</v>
      </c>
      <c r="AW264" t="s">
        <v>11</v>
      </c>
      <c r="AX264">
        <f>Tabla1[[#This Row],[precio del paquete]]-Tabla1[[#This Row],[Saldo_Deudor]]</f>
        <v>3400</v>
      </c>
      <c r="AY264">
        <v>11400</v>
      </c>
      <c r="AZ264" t="s">
        <v>3</v>
      </c>
      <c r="BA264" t="s">
        <v>3</v>
      </c>
      <c r="BB264" t="s">
        <v>3</v>
      </c>
      <c r="BC264" t="s">
        <v>774</v>
      </c>
      <c r="BD264" t="s">
        <v>1881</v>
      </c>
      <c r="BE264" t="s">
        <v>3</v>
      </c>
      <c r="BF264" t="s">
        <v>3</v>
      </c>
      <c r="BG264" t="s">
        <v>3</v>
      </c>
      <c r="BH264" t="s">
        <v>3</v>
      </c>
      <c r="BI264" t="s">
        <v>3</v>
      </c>
      <c r="BJ264" t="s">
        <v>1939</v>
      </c>
      <c r="BK264" t="s">
        <v>3</v>
      </c>
      <c r="BL264" t="s">
        <v>132</v>
      </c>
      <c r="BM264" t="s">
        <v>1</v>
      </c>
      <c r="BN264">
        <f>Tabla1[[#This Row],[precio del paquete]]</f>
        <v>14800</v>
      </c>
      <c r="BO264" t="s">
        <v>1</v>
      </c>
      <c r="BP264" t="s">
        <v>1</v>
      </c>
      <c r="BQ264" t="s">
        <v>1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0</v>
      </c>
      <c r="BX264" t="s">
        <v>1</v>
      </c>
      <c r="BY264" t="s">
        <v>1</v>
      </c>
      <c r="BZ264" t="s">
        <v>1</v>
      </c>
      <c r="CA264" t="s">
        <v>1</v>
      </c>
      <c r="CB264" t="s">
        <v>1</v>
      </c>
      <c r="CD264" t="str" cm="1">
        <f t="array" aca="1" ref="CD264" ca="1">eConcatenar(A264:CB264,"|")</f>
        <v>1USxCzfZBAjpY77s|CAR2021-3213|3|MEMORIAL|TABASCO|CARDENAS|CARDENAS|2021-03-07|14800|X|100|50|0|0|0|0|0|0|0|0|0|0|0|0|0|0|0|LOPEZ|CRUZ|KARINA IRENE|SOLTERO|X|X|CALLE JUAREZ SIN NUMERO|CALZADA SIN NUMERO|X|9372296434|X|X|X|CALLE JUAREZ SIN NUMERO|X|LUNES|X|X|X|X|X|DOMICILIO |3400|11400|x|x|x|2022-02-02|2022-02-09|x|x|x|x|x|TQPNUNDB8OSMS5B|x|HOMBRE|X|14800|X|X|X|X|X|X|X|X|CARDENAS|X|X|X|X|X</v>
      </c>
    </row>
    <row r="265" spans="1:82" x14ac:dyDescent="0.25">
      <c r="A265" t="s">
        <v>399</v>
      </c>
      <c r="B265" t="s">
        <v>705</v>
      </c>
      <c r="C265">
        <v>3</v>
      </c>
      <c r="D265" t="s">
        <v>761</v>
      </c>
      <c r="E265" t="s">
        <v>1398</v>
      </c>
      <c r="F265" t="s">
        <v>771</v>
      </c>
      <c r="G265" t="s">
        <v>771</v>
      </c>
      <c r="H265" t="s">
        <v>947</v>
      </c>
      <c r="I265">
        <v>14800</v>
      </c>
      <c r="J265" t="s">
        <v>1</v>
      </c>
      <c r="K265">
        <v>100</v>
      </c>
      <c r="L265">
        <v>50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1374</v>
      </c>
      <c r="AC265" t="s">
        <v>1255</v>
      </c>
      <c r="AD265" s="18" t="s">
        <v>1189</v>
      </c>
      <c r="AE265" t="s">
        <v>4</v>
      </c>
      <c r="AF265" t="s">
        <v>1</v>
      </c>
      <c r="AG265" t="s">
        <v>1</v>
      </c>
      <c r="AH265" t="s">
        <v>1623</v>
      </c>
      <c r="AI265" t="s">
        <v>1811</v>
      </c>
      <c r="AJ265" t="s">
        <v>1</v>
      </c>
      <c r="AK265">
        <v>9331518466</v>
      </c>
      <c r="AL265" t="s">
        <v>1</v>
      </c>
      <c r="AM265" t="s">
        <v>1</v>
      </c>
      <c r="AN265" t="s">
        <v>1</v>
      </c>
      <c r="AO265" t="s">
        <v>1623</v>
      </c>
      <c r="AP265" t="s">
        <v>1</v>
      </c>
      <c r="AQ265" t="s">
        <v>2</v>
      </c>
      <c r="AR265" t="s">
        <v>1</v>
      </c>
      <c r="AS265" t="s">
        <v>1</v>
      </c>
      <c r="AT265" t="s">
        <v>1</v>
      </c>
      <c r="AU265" t="s">
        <v>1</v>
      </c>
      <c r="AV265" t="s">
        <v>1</v>
      </c>
      <c r="AW265" t="s">
        <v>11</v>
      </c>
      <c r="AX265">
        <f>Tabla1[[#This Row],[precio del paquete]]-Tabla1[[#This Row],[Saldo_Deudor]]</f>
        <v>12700</v>
      </c>
      <c r="AY265">
        <v>2100</v>
      </c>
      <c r="AZ265" t="s">
        <v>3</v>
      </c>
      <c r="BA265" t="s">
        <v>3</v>
      </c>
      <c r="BB265" t="s">
        <v>3</v>
      </c>
      <c r="BC265" t="s">
        <v>775</v>
      </c>
      <c r="BD265" t="s">
        <v>1887</v>
      </c>
      <c r="BE265" t="s">
        <v>3</v>
      </c>
      <c r="BF265" t="s">
        <v>3</v>
      </c>
      <c r="BG265" t="s">
        <v>3</v>
      </c>
      <c r="BH265" t="s">
        <v>3</v>
      </c>
      <c r="BI265" t="s">
        <v>3</v>
      </c>
      <c r="BJ265" t="s">
        <v>1941</v>
      </c>
      <c r="BK265" t="s">
        <v>3</v>
      </c>
      <c r="BL265" t="s">
        <v>132</v>
      </c>
      <c r="BM265" t="s">
        <v>1</v>
      </c>
      <c r="BN265">
        <f>Tabla1[[#This Row],[precio del paquete]]</f>
        <v>14800</v>
      </c>
      <c r="BO265" t="s">
        <v>1</v>
      </c>
      <c r="BP265" t="s">
        <v>1</v>
      </c>
      <c r="BQ265" t="s">
        <v>1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0</v>
      </c>
      <c r="BX265" t="s">
        <v>1</v>
      </c>
      <c r="BY265" t="s">
        <v>1</v>
      </c>
      <c r="BZ265" t="s">
        <v>1</v>
      </c>
      <c r="CA265" t="s">
        <v>1</v>
      </c>
      <c r="CB265" t="s">
        <v>1</v>
      </c>
      <c r="CD265" t="str" cm="1">
        <f t="array" aca="1" ref="CD265" ca="1">eConcatenar(A265:CB265,"|")</f>
        <v>xXyvWATMGk8v4j44|PAR2021-2360|3|MEMORIAL|TABASCO|PARAISO|PARAISO|2019-08-28|14800|X|100|50|0|0|0|0|0|0|0|0|0|0|0|0|0|0|0|MONTIEL|CORDOVA|UBENES|SOLTERO|X|X|CALLEJON ATRÃS DEL KINDER|RANCHERIA PALESTINA|X|9331518466|X|X|X|CALLEJON ATRÃS DEL KINDER|X|LUNES|X|X|X|X|X|DOMICILIO |12700|2100|x|x|x|2022-09-02|2022-09-09|x|x|x|x|x|ZGSYJGLZUXA73WJ|x|HOMBRE|X|14800|X|X|X|X|X|X|X|X|CARDENAS|X|X|X|X|X</v>
      </c>
    </row>
    <row r="266" spans="1:82" x14ac:dyDescent="0.25">
      <c r="A266" t="s">
        <v>400</v>
      </c>
      <c r="B266" t="s">
        <v>706</v>
      </c>
      <c r="C266">
        <v>3</v>
      </c>
      <c r="D266" t="s">
        <v>761</v>
      </c>
      <c r="E266" t="s">
        <v>1398</v>
      </c>
      <c r="F266" t="s">
        <v>771</v>
      </c>
      <c r="G266" t="s">
        <v>771</v>
      </c>
      <c r="H266" t="s">
        <v>948</v>
      </c>
      <c r="I266">
        <v>14800</v>
      </c>
      <c r="J266" t="s">
        <v>1</v>
      </c>
      <c r="K266">
        <v>100</v>
      </c>
      <c r="L266">
        <v>50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1267</v>
      </c>
      <c r="AC266" t="s">
        <v>1226</v>
      </c>
      <c r="AD266" s="18" t="s">
        <v>1190</v>
      </c>
      <c r="AE266" t="s">
        <v>4</v>
      </c>
      <c r="AF266" t="s">
        <v>1</v>
      </c>
      <c r="AG266" t="s">
        <v>1</v>
      </c>
      <c r="AH266" t="s">
        <v>1624</v>
      </c>
      <c r="AI266" t="s">
        <v>1812</v>
      </c>
      <c r="AJ266" t="s">
        <v>1</v>
      </c>
      <c r="AK266">
        <v>9331664721</v>
      </c>
      <c r="AL266" t="s">
        <v>1</v>
      </c>
      <c r="AM266" t="s">
        <v>1</v>
      </c>
      <c r="AN266" t="s">
        <v>1</v>
      </c>
      <c r="AO266" t="s">
        <v>1624</v>
      </c>
      <c r="AP266" t="s">
        <v>1</v>
      </c>
      <c r="AQ266" t="s">
        <v>2</v>
      </c>
      <c r="AR266" t="s">
        <v>1</v>
      </c>
      <c r="AS266" t="s">
        <v>1</v>
      </c>
      <c r="AT266" t="s">
        <v>1</v>
      </c>
      <c r="AU266" t="s">
        <v>1</v>
      </c>
      <c r="AV266" t="s">
        <v>1</v>
      </c>
      <c r="AW266" t="s">
        <v>11</v>
      </c>
      <c r="AX266">
        <f>Tabla1[[#This Row],[precio del paquete]]-Tabla1[[#This Row],[Saldo_Deudor]]</f>
        <v>7700</v>
      </c>
      <c r="AY266">
        <v>7100</v>
      </c>
      <c r="AZ266" t="s">
        <v>3</v>
      </c>
      <c r="BA266" t="s">
        <v>3</v>
      </c>
      <c r="BB266" t="s">
        <v>3</v>
      </c>
      <c r="BC266" t="s">
        <v>775</v>
      </c>
      <c r="BD266" t="s">
        <v>1887</v>
      </c>
      <c r="BE266" t="s">
        <v>3</v>
      </c>
      <c r="BF266" t="s">
        <v>3</v>
      </c>
      <c r="BG266" t="s">
        <v>3</v>
      </c>
      <c r="BH266" t="s">
        <v>3</v>
      </c>
      <c r="BI266" t="s">
        <v>3</v>
      </c>
      <c r="BJ266" t="s">
        <v>1941</v>
      </c>
      <c r="BK266" t="s">
        <v>3</v>
      </c>
      <c r="BL266" t="s">
        <v>132</v>
      </c>
      <c r="BM266" t="s">
        <v>1</v>
      </c>
      <c r="BN266">
        <f>Tabla1[[#This Row],[precio del paquete]]</f>
        <v>14800</v>
      </c>
      <c r="BO266" t="s">
        <v>1</v>
      </c>
      <c r="BP266" t="s">
        <v>1</v>
      </c>
      <c r="BQ266" t="s">
        <v>1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0</v>
      </c>
      <c r="BX266" t="s">
        <v>1</v>
      </c>
      <c r="BY266" t="s">
        <v>1</v>
      </c>
      <c r="BZ266" t="s">
        <v>1</v>
      </c>
      <c r="CA266" t="s">
        <v>1</v>
      </c>
      <c r="CB266" t="s">
        <v>1</v>
      </c>
      <c r="CD266" t="str" cm="1">
        <f t="array" aca="1" ref="CD266" ca="1">eConcatenar(A266:CB266,"|")</f>
        <v>AajcH8Lb3cA7KUCj|PAR2020-0352|3|MEMORIAL|TABASCO|PARAISO|PARAISO|2020-01-30|14800|X|100|50|0|0|0|0|0|0|0|0|0|0|0|0|0|0|0|JIMENEZ|CRUZ|REYNA MARIA|SOLTERO|X|X|PALAPA EL DANI ALADO DE MESAM|LIBERTAD PRIMERA SECCION|X|9331664721|X|X|X|PALAPA EL DANI ALADO DE MESAM|X|LUNES|X|X|X|X|X|DOMICILIO |7700|7100|x|x|x|2022-09-02|2022-09-09|x|x|x|x|x|ZGSYJGLZUXA73WJ|x|HOMBRE|X|14800|X|X|X|X|X|X|X|X|CARDENAS|X|X|X|X|X</v>
      </c>
    </row>
    <row r="267" spans="1:82" x14ac:dyDescent="0.25">
      <c r="A267" t="s">
        <v>401</v>
      </c>
      <c r="B267" t="s">
        <v>707</v>
      </c>
      <c r="C267">
        <v>3</v>
      </c>
      <c r="D267" t="s">
        <v>761</v>
      </c>
      <c r="E267" t="s">
        <v>1398</v>
      </c>
      <c r="F267" t="s">
        <v>771</v>
      </c>
      <c r="G267" t="s">
        <v>771</v>
      </c>
      <c r="H267" t="s">
        <v>949</v>
      </c>
      <c r="I267">
        <v>14800</v>
      </c>
      <c r="J267" t="s">
        <v>1</v>
      </c>
      <c r="K267">
        <v>100</v>
      </c>
      <c r="L267">
        <v>50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1271</v>
      </c>
      <c r="AC267" t="s">
        <v>8</v>
      </c>
      <c r="AD267" t="s">
        <v>992</v>
      </c>
      <c r="AE267" t="s">
        <v>4</v>
      </c>
      <c r="AF267" t="s">
        <v>1</v>
      </c>
      <c r="AG267" t="s">
        <v>1</v>
      </c>
      <c r="AH267" t="s">
        <v>1625</v>
      </c>
      <c r="AI267" t="s">
        <v>1812</v>
      </c>
      <c r="AJ267" t="s">
        <v>1</v>
      </c>
      <c r="AK267">
        <v>9331529800</v>
      </c>
      <c r="AL267" t="s">
        <v>1</v>
      </c>
      <c r="AM267" t="s">
        <v>1</v>
      </c>
      <c r="AN267" t="s">
        <v>1</v>
      </c>
      <c r="AO267" t="s">
        <v>1625</v>
      </c>
      <c r="AP267" t="s">
        <v>1</v>
      </c>
      <c r="AQ267" t="s">
        <v>2</v>
      </c>
      <c r="AR267" t="s">
        <v>1</v>
      </c>
      <c r="AS267" t="s">
        <v>1</v>
      </c>
      <c r="AT267" t="s">
        <v>1</v>
      </c>
      <c r="AU267" t="s">
        <v>1</v>
      </c>
      <c r="AV267" t="s">
        <v>1</v>
      </c>
      <c r="AW267" t="s">
        <v>11</v>
      </c>
      <c r="AX267">
        <f>Tabla1[[#This Row],[precio del paquete]]-Tabla1[[#This Row],[Saldo_Deudor]]</f>
        <v>11100</v>
      </c>
      <c r="AY267">
        <v>3700</v>
      </c>
      <c r="AZ267" t="s">
        <v>3</v>
      </c>
      <c r="BA267" t="s">
        <v>3</v>
      </c>
      <c r="BB267" t="s">
        <v>3</v>
      </c>
      <c r="BC267" t="s">
        <v>775</v>
      </c>
      <c r="BD267" t="s">
        <v>1887</v>
      </c>
      <c r="BE267" t="s">
        <v>3</v>
      </c>
      <c r="BF267" t="s">
        <v>3</v>
      </c>
      <c r="BG267" t="s">
        <v>3</v>
      </c>
      <c r="BH267" t="s">
        <v>3</v>
      </c>
      <c r="BI267" t="s">
        <v>3</v>
      </c>
      <c r="BJ267" t="s">
        <v>1941</v>
      </c>
      <c r="BK267" t="s">
        <v>3</v>
      </c>
      <c r="BL267" t="s">
        <v>132</v>
      </c>
      <c r="BM267" t="s">
        <v>1</v>
      </c>
      <c r="BN267">
        <f>Tabla1[[#This Row],[precio del paquete]]</f>
        <v>14800</v>
      </c>
      <c r="BO267" t="s">
        <v>1</v>
      </c>
      <c r="BP267" t="s">
        <v>1</v>
      </c>
      <c r="BQ267" t="s">
        <v>1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0</v>
      </c>
      <c r="BX267" t="s">
        <v>1</v>
      </c>
      <c r="BY267" t="s">
        <v>1</v>
      </c>
      <c r="BZ267" t="s">
        <v>1</v>
      </c>
      <c r="CA267" t="s">
        <v>1</v>
      </c>
      <c r="CB267" t="s">
        <v>1</v>
      </c>
      <c r="CD267" t="str" cm="1">
        <f t="array" aca="1" ref="CD267" ca="1">eConcatenar(A267:CB267,"|")</f>
        <v>m9yYd9gBvy6javsU|COM2019-2195|3|MEMORIAL|TABASCO|PARAISO|PARAISO|2019-08-20|14800|X|100|50|0|0|0|0|0|0|0|0|0|0|0|0|0|0|0|CHABLE|GOMEZ|JOSE|SOLTERO|X|X|CARRETERA AL CHIVERO ALADO DE LA PRIMARIA|LIBERTAD PRIMERA SECCION|X|9331529800|X|X|X|CARRETERA AL CHIVERO ALADO DE LA PRIMARIA|X|LUNES|X|X|X|X|X|DOMICILIO |11100|3700|x|x|x|2022-09-02|2022-09-09|x|x|x|x|x|ZGSYJGLZUXA73WJ|x|HOMBRE|X|14800|X|X|X|X|X|X|X|X|CARDENAS|X|X|X|X|X</v>
      </c>
    </row>
    <row r="268" spans="1:82" x14ac:dyDescent="0.25">
      <c r="A268" t="s">
        <v>402</v>
      </c>
      <c r="B268" t="s">
        <v>708</v>
      </c>
      <c r="C268">
        <v>3</v>
      </c>
      <c r="D268" t="s">
        <v>766</v>
      </c>
      <c r="E268" t="s">
        <v>1398</v>
      </c>
      <c r="F268" t="s">
        <v>771</v>
      </c>
      <c r="G268" t="s">
        <v>771</v>
      </c>
      <c r="H268" t="s">
        <v>950</v>
      </c>
      <c r="I268">
        <v>12900</v>
      </c>
      <c r="J268" t="s">
        <v>1</v>
      </c>
      <c r="K268">
        <v>100</v>
      </c>
      <c r="L268">
        <v>50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1233</v>
      </c>
      <c r="AC268" t="s">
        <v>1269</v>
      </c>
      <c r="AD268" t="s">
        <v>1191</v>
      </c>
      <c r="AE268" t="s">
        <v>4</v>
      </c>
      <c r="AF268" t="s">
        <v>1</v>
      </c>
      <c r="AG268" t="s">
        <v>1</v>
      </c>
      <c r="AH268" t="s">
        <v>1626</v>
      </c>
      <c r="AI268" t="s">
        <v>1813</v>
      </c>
      <c r="AJ268" t="s">
        <v>1</v>
      </c>
      <c r="AK268">
        <v>9332093260</v>
      </c>
      <c r="AL268" t="s">
        <v>1</v>
      </c>
      <c r="AM268" t="s">
        <v>1</v>
      </c>
      <c r="AN268" t="s">
        <v>1</v>
      </c>
      <c r="AO268" t="s">
        <v>1626</v>
      </c>
      <c r="AP268" t="s">
        <v>1</v>
      </c>
      <c r="AQ268" t="s">
        <v>2</v>
      </c>
      <c r="AR268" t="s">
        <v>1</v>
      </c>
      <c r="AS268" t="s">
        <v>1</v>
      </c>
      <c r="AT268" t="s">
        <v>1</v>
      </c>
      <c r="AU268" t="s">
        <v>1</v>
      </c>
      <c r="AV268" t="s">
        <v>1</v>
      </c>
      <c r="AW268" t="s">
        <v>11</v>
      </c>
      <c r="AX268">
        <f>Tabla1[[#This Row],[precio del paquete]]-Tabla1[[#This Row],[Saldo_Deudor]]</f>
        <v>6400</v>
      </c>
      <c r="AY268">
        <v>6500</v>
      </c>
      <c r="AZ268" t="s">
        <v>3</v>
      </c>
      <c r="BA268" t="s">
        <v>3</v>
      </c>
      <c r="BB268" t="s">
        <v>3</v>
      </c>
      <c r="BC268" t="s">
        <v>774</v>
      </c>
      <c r="BD268" t="s">
        <v>1881</v>
      </c>
      <c r="BE268" t="s">
        <v>3</v>
      </c>
      <c r="BF268" t="s">
        <v>3</v>
      </c>
      <c r="BG268" t="s">
        <v>3</v>
      </c>
      <c r="BH268" t="s">
        <v>3</v>
      </c>
      <c r="BI268" t="s">
        <v>3</v>
      </c>
      <c r="BJ268" t="s">
        <v>1941</v>
      </c>
      <c r="BK268" t="s">
        <v>3</v>
      </c>
      <c r="BL268" t="s">
        <v>132</v>
      </c>
      <c r="BM268" t="s">
        <v>1</v>
      </c>
      <c r="BN268">
        <f>Tabla1[[#This Row],[precio del paquete]]</f>
        <v>12900</v>
      </c>
      <c r="BO268" t="s">
        <v>1</v>
      </c>
      <c r="BP268" t="s">
        <v>1</v>
      </c>
      <c r="BQ268" t="s">
        <v>1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0</v>
      </c>
      <c r="BX268" t="s">
        <v>1</v>
      </c>
      <c r="BY268" t="s">
        <v>1</v>
      </c>
      <c r="BZ268" t="s">
        <v>1</v>
      </c>
      <c r="CA268" t="s">
        <v>1</v>
      </c>
      <c r="CB268" t="s">
        <v>1</v>
      </c>
      <c r="CD268" t="str" cm="1">
        <f t="array" aca="1" ref="CD268" ca="1">eConcatenar(A268:CB268,"|")</f>
        <v>szpGufRVGmKcs6Kk|COM2019-3281|3|ECONOLINE|TABASCO|PARAISO|PARAISO|2019-12-13|12900|X|100|50|0|0|0|0|0|0|0|0|0|0|0|0|0|0|0|DIAZ|MENDEZ|GUADALUPE|SOLTERO|X|X|ENTRADA LOS PINOS CASA ALADO DEL TALLER|RANCHERIA INDEPENDENCIA|X|9332093260|X|X|X|ENTRADA LOS PINOS CASA ALADO DEL TALLER|X|LUNES|X|X|X|X|X|DOMICILIO |6400|6500|x|x|x|2022-02-02|2022-02-09|x|x|x|x|x|ZGSYJGLZUXA73WJ|x|HOMBRE|X|12900|X|X|X|X|X|X|X|X|CARDENAS|X|X|X|X|X</v>
      </c>
    </row>
    <row r="269" spans="1:82" x14ac:dyDescent="0.25">
      <c r="A269" t="s">
        <v>403</v>
      </c>
      <c r="B269" t="s">
        <v>709</v>
      </c>
      <c r="C269">
        <v>3</v>
      </c>
      <c r="D269" t="s">
        <v>766</v>
      </c>
      <c r="E269" t="s">
        <v>1398</v>
      </c>
      <c r="F269" t="s">
        <v>771</v>
      </c>
      <c r="G269" t="s">
        <v>771</v>
      </c>
      <c r="H269" t="s">
        <v>951</v>
      </c>
      <c r="I269">
        <v>12900</v>
      </c>
      <c r="J269" t="s">
        <v>1</v>
      </c>
      <c r="K269">
        <v>100</v>
      </c>
      <c r="L269">
        <v>50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1265</v>
      </c>
      <c r="AC269" t="s">
        <v>1248</v>
      </c>
      <c r="AD269" t="s">
        <v>1192</v>
      </c>
      <c r="AE269" t="s">
        <v>4</v>
      </c>
      <c r="AF269" t="s">
        <v>1</v>
      </c>
      <c r="AG269" t="s">
        <v>1</v>
      </c>
      <c r="AH269" t="s">
        <v>1627</v>
      </c>
      <c r="AI269" t="s">
        <v>1733</v>
      </c>
      <c r="AJ269" t="s">
        <v>1</v>
      </c>
      <c r="AK269">
        <v>9331637896</v>
      </c>
      <c r="AL269" t="s">
        <v>1</v>
      </c>
      <c r="AM269" t="s">
        <v>1</v>
      </c>
      <c r="AN269" t="s">
        <v>1</v>
      </c>
      <c r="AO269" t="s">
        <v>1627</v>
      </c>
      <c r="AP269" t="s">
        <v>1</v>
      </c>
      <c r="AQ269" t="s">
        <v>2</v>
      </c>
      <c r="AR269" t="s">
        <v>1</v>
      </c>
      <c r="AS269" t="s">
        <v>1</v>
      </c>
      <c r="AT269" t="s">
        <v>1</v>
      </c>
      <c r="AU269" t="s">
        <v>1</v>
      </c>
      <c r="AV269" t="s">
        <v>1</v>
      </c>
      <c r="AW269" t="s">
        <v>11</v>
      </c>
      <c r="AX269">
        <f>Tabla1[[#This Row],[precio del paquete]]-Tabla1[[#This Row],[Saldo_Deudor]]</f>
        <v>10500</v>
      </c>
      <c r="AY269">
        <v>2400</v>
      </c>
      <c r="AZ269" t="s">
        <v>3</v>
      </c>
      <c r="BA269" t="s">
        <v>3</v>
      </c>
      <c r="BB269" t="s">
        <v>3</v>
      </c>
      <c r="BC269" t="s">
        <v>775</v>
      </c>
      <c r="BD269" t="s">
        <v>1887</v>
      </c>
      <c r="BE269" t="s">
        <v>3</v>
      </c>
      <c r="BF269" t="s">
        <v>3</v>
      </c>
      <c r="BG269" t="s">
        <v>3</v>
      </c>
      <c r="BH269" t="s">
        <v>3</v>
      </c>
      <c r="BI269" t="s">
        <v>3</v>
      </c>
      <c r="BJ269" t="s">
        <v>1941</v>
      </c>
      <c r="BK269" t="s">
        <v>3</v>
      </c>
      <c r="BL269" t="s">
        <v>132</v>
      </c>
      <c r="BM269" t="s">
        <v>1</v>
      </c>
      <c r="BN269">
        <f>Tabla1[[#This Row],[precio del paquete]]</f>
        <v>12900</v>
      </c>
      <c r="BO269" t="s">
        <v>1</v>
      </c>
      <c r="BP269" t="s">
        <v>1</v>
      </c>
      <c r="BQ269" t="s">
        <v>1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0</v>
      </c>
      <c r="BX269" t="s">
        <v>1</v>
      </c>
      <c r="BY269" t="s">
        <v>1</v>
      </c>
      <c r="BZ269" t="s">
        <v>1</v>
      </c>
      <c r="CA269" t="s">
        <v>1</v>
      </c>
      <c r="CB269" t="s">
        <v>1</v>
      </c>
      <c r="CD269" t="str" cm="1">
        <f t="array" aca="1" ref="CD269" ca="1">eConcatenar(A269:CB269,"|")</f>
        <v>efL01GZFmp8nrtDg|COM2019-2188|3|ECONOLINE|TABASCO|PARAISO|PARAISO|2019-08-19|12900|X|100|50|0|0|0|0|0|0|0|0|0|0|0|0|0|0|0|DOMINGUEZ|PEREZ|ARTURO|SOLTERO|X|X|ENTRE LETRERO MERCERD REAL|EJIDO QUINTIN ARAUZ|X|9331637896|X|X|X|ENTRE LETRERO MERCERD REAL|X|LUNES|X|X|X|X|X|DOMICILIO |10500|2400|x|x|x|2022-09-02|2022-09-09|x|x|x|x|x|ZGSYJGLZUXA73WJ|x|HOMBRE|X|12900|X|X|X|X|X|X|X|X|CARDENAS|X|X|X|X|X</v>
      </c>
    </row>
    <row r="270" spans="1:82" x14ac:dyDescent="0.25">
      <c r="A270" t="s">
        <v>404</v>
      </c>
      <c r="B270" t="s">
        <v>710</v>
      </c>
      <c r="C270">
        <v>3</v>
      </c>
      <c r="D270" t="s">
        <v>766</v>
      </c>
      <c r="E270" t="s">
        <v>1398</v>
      </c>
      <c r="F270" t="s">
        <v>771</v>
      </c>
      <c r="G270" t="s">
        <v>771</v>
      </c>
      <c r="H270" t="s">
        <v>952</v>
      </c>
      <c r="I270">
        <v>12900</v>
      </c>
      <c r="J270" t="s">
        <v>1</v>
      </c>
      <c r="K270">
        <v>100</v>
      </c>
      <c r="L270">
        <v>50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1264</v>
      </c>
      <c r="AC270" t="s">
        <v>1265</v>
      </c>
      <c r="AD270" t="s">
        <v>1193</v>
      </c>
      <c r="AE270" t="s">
        <v>4</v>
      </c>
      <c r="AF270" t="s">
        <v>1</v>
      </c>
      <c r="AG270" t="s">
        <v>1</v>
      </c>
      <c r="AH270" t="s">
        <v>1628</v>
      </c>
      <c r="AI270" t="s">
        <v>1814</v>
      </c>
      <c r="AJ270" t="s">
        <v>1</v>
      </c>
      <c r="AK270">
        <v>9334066562</v>
      </c>
      <c r="AL270" t="s">
        <v>1</v>
      </c>
      <c r="AM270" t="s">
        <v>1</v>
      </c>
      <c r="AN270" t="s">
        <v>1</v>
      </c>
      <c r="AO270" t="s">
        <v>1628</v>
      </c>
      <c r="AP270" t="s">
        <v>1</v>
      </c>
      <c r="AQ270" t="s">
        <v>2</v>
      </c>
      <c r="AR270" t="s">
        <v>1</v>
      </c>
      <c r="AS270" t="s">
        <v>1</v>
      </c>
      <c r="AT270" t="s">
        <v>1</v>
      </c>
      <c r="AU270" t="s">
        <v>1</v>
      </c>
      <c r="AV270" t="s">
        <v>1</v>
      </c>
      <c r="AW270" t="s">
        <v>11</v>
      </c>
      <c r="AX270">
        <f>Tabla1[[#This Row],[precio del paquete]]-Tabla1[[#This Row],[Saldo_Deudor]]</f>
        <v>9350</v>
      </c>
      <c r="AY270">
        <v>3550</v>
      </c>
      <c r="AZ270" t="s">
        <v>3</v>
      </c>
      <c r="BA270" t="s">
        <v>3</v>
      </c>
      <c r="BB270" t="s">
        <v>3</v>
      </c>
      <c r="BC270" t="s">
        <v>775</v>
      </c>
      <c r="BD270" t="s">
        <v>1887</v>
      </c>
      <c r="BE270" t="s">
        <v>3</v>
      </c>
      <c r="BF270" t="s">
        <v>3</v>
      </c>
      <c r="BG270" t="s">
        <v>3</v>
      </c>
      <c r="BH270" t="s">
        <v>3</v>
      </c>
      <c r="BI270" t="s">
        <v>3</v>
      </c>
      <c r="BJ270" t="s">
        <v>1941</v>
      </c>
      <c r="BK270" t="s">
        <v>3</v>
      </c>
      <c r="BL270" t="s">
        <v>132</v>
      </c>
      <c r="BM270" t="s">
        <v>1</v>
      </c>
      <c r="BN270">
        <f>Tabla1[[#This Row],[precio del paquete]]</f>
        <v>12900</v>
      </c>
      <c r="BO270" t="s">
        <v>1</v>
      </c>
      <c r="BP270" t="s">
        <v>1</v>
      </c>
      <c r="BQ270" t="s">
        <v>1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0</v>
      </c>
      <c r="BX270" t="s">
        <v>1</v>
      </c>
      <c r="BY270" t="s">
        <v>1</v>
      </c>
      <c r="BZ270" t="s">
        <v>1</v>
      </c>
      <c r="CA270" t="s">
        <v>1</v>
      </c>
      <c r="CB270" t="s">
        <v>1</v>
      </c>
      <c r="CD270" t="str" cm="1">
        <f t="array" aca="1" ref="CD270" ca="1">eConcatenar(A270:CB270,"|")</f>
        <v>IH6a45Q0qqL5h1iT|COM2019-2390|3|ECONOLINE|TABASCO|PARAISO|PARAISO|2019-08-31|12900|X|100|50|0|0|0|0|0|0|0|0|0|0|0|0|0|0|0|FLORES|DOMINGUEZ|MATILDE|SOLTERO|X|X|CASA BLANCA PORTON BLANCO|MATILDE FLORES DOMINGUEZ|X|9334066562|X|X|X|CASA BLANCA PORTON BLANCO|X|LUNES|X|X|X|X|X|DOMICILIO |9350|3550|x|x|x|2022-09-02|2022-09-09|x|x|x|x|x|ZGSYJGLZUXA73WJ|x|HOMBRE|X|12900|X|X|X|X|X|X|X|X|CARDENAS|X|X|X|X|X</v>
      </c>
    </row>
    <row r="271" spans="1:82" x14ac:dyDescent="0.25">
      <c r="A271" t="s">
        <v>405</v>
      </c>
      <c r="B271" t="s">
        <v>711</v>
      </c>
      <c r="C271">
        <v>3</v>
      </c>
      <c r="D271" t="s">
        <v>761</v>
      </c>
      <c r="E271" t="s">
        <v>1398</v>
      </c>
      <c r="F271" t="s">
        <v>0</v>
      </c>
      <c r="G271" t="s">
        <v>0</v>
      </c>
      <c r="H271" t="s">
        <v>786</v>
      </c>
      <c r="I271">
        <v>14800</v>
      </c>
      <c r="J271" t="s">
        <v>1</v>
      </c>
      <c r="K271">
        <v>100</v>
      </c>
      <c r="L271">
        <v>50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1293</v>
      </c>
      <c r="AC271" t="s">
        <v>1375</v>
      </c>
      <c r="AD271" t="s">
        <v>1194</v>
      </c>
      <c r="AE271" t="s">
        <v>4</v>
      </c>
      <c r="AF271" t="s">
        <v>1</v>
      </c>
      <c r="AG271" t="s">
        <v>1</v>
      </c>
      <c r="AH271" t="s">
        <v>1629</v>
      </c>
      <c r="AI271" t="s">
        <v>1757</v>
      </c>
      <c r="AJ271" t="s">
        <v>1</v>
      </c>
      <c r="AK271">
        <v>9371050645</v>
      </c>
      <c r="AL271" t="s">
        <v>1</v>
      </c>
      <c r="AM271" t="s">
        <v>1</v>
      </c>
      <c r="AN271" t="s">
        <v>1</v>
      </c>
      <c r="AO271" t="s">
        <v>1629</v>
      </c>
      <c r="AP271" t="s">
        <v>1</v>
      </c>
      <c r="AQ271" t="s">
        <v>2</v>
      </c>
      <c r="AR271" t="s">
        <v>1</v>
      </c>
      <c r="AS271" t="s">
        <v>1</v>
      </c>
      <c r="AT271" t="s">
        <v>1</v>
      </c>
      <c r="AU271" t="s">
        <v>1</v>
      </c>
      <c r="AV271" t="s">
        <v>1</v>
      </c>
      <c r="AW271" t="s">
        <v>11</v>
      </c>
      <c r="AX271">
        <f>Tabla1[[#This Row],[precio del paquete]]-Tabla1[[#This Row],[Saldo_Deudor]]</f>
        <v>560</v>
      </c>
      <c r="AY271">
        <v>14240</v>
      </c>
      <c r="AZ271" t="s">
        <v>3</v>
      </c>
      <c r="BA271" t="s">
        <v>3</v>
      </c>
      <c r="BB271" t="s">
        <v>3</v>
      </c>
      <c r="BC271" t="s">
        <v>772</v>
      </c>
      <c r="BD271" t="s">
        <v>1891</v>
      </c>
      <c r="BE271" t="s">
        <v>3</v>
      </c>
      <c r="BF271" t="s">
        <v>3</v>
      </c>
      <c r="BG271" t="s">
        <v>3</v>
      </c>
      <c r="BH271" t="s">
        <v>3</v>
      </c>
      <c r="BI271" t="s">
        <v>3</v>
      </c>
      <c r="BJ271" t="s">
        <v>1941</v>
      </c>
      <c r="BK271" t="s">
        <v>3</v>
      </c>
      <c r="BL271" t="s">
        <v>132</v>
      </c>
      <c r="BM271" t="s">
        <v>1</v>
      </c>
      <c r="BN271">
        <f>Tabla1[[#This Row],[precio del paquete]]</f>
        <v>14800</v>
      </c>
      <c r="BO271" t="s">
        <v>1</v>
      </c>
      <c r="BP271" t="s">
        <v>1</v>
      </c>
      <c r="BQ271" t="s">
        <v>1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0</v>
      </c>
      <c r="BX271" t="s">
        <v>1</v>
      </c>
      <c r="BY271" t="s">
        <v>1</v>
      </c>
      <c r="BZ271" t="s">
        <v>1</v>
      </c>
      <c r="CA271" t="s">
        <v>1</v>
      </c>
      <c r="CB271" t="s">
        <v>1</v>
      </c>
      <c r="CD271" t="str" cm="1">
        <f t="array" aca="1" ref="CD271" ca="1">eConcatenar(A271:CB271,"|")</f>
        <v>mZ2JQdcE1w7TeCAK|COM2021-6437|3|MEMORIAL|TABASCO|CARDENAS|CARDENAS|2021-10-25|14800|X|100|50|0|0|0|0|0|0|0|0|0|0|0|0|0|0|0|CANO|VERA|NORMA LINDA|SOLTERO|X|X|CALLE 8 NUMERO 123|EJIDO HABANERO PRIMERA SECCION|X|9371050645|X|X|X|CALLE 8 NUMERO 123|X|LUNES|X|X|X|X|X|DOMICILIO |560|14240|x|x|x|2022-12-02|2022-12-09|x|x|x|x|x|ZGSYJGLZUXA73WJ|x|HOMBRE|X|14800|X|X|X|X|X|X|X|X|CARDENAS|X|X|X|X|X</v>
      </c>
    </row>
    <row r="272" spans="1:82" x14ac:dyDescent="0.25">
      <c r="A272" t="s">
        <v>406</v>
      </c>
      <c r="B272" t="s">
        <v>712</v>
      </c>
      <c r="C272">
        <v>3</v>
      </c>
      <c r="D272" t="s">
        <v>761</v>
      </c>
      <c r="E272" t="s">
        <v>1398</v>
      </c>
      <c r="F272" t="s">
        <v>0</v>
      </c>
      <c r="G272" t="s">
        <v>0</v>
      </c>
      <c r="H272" t="s">
        <v>833</v>
      </c>
      <c r="I272">
        <v>14800</v>
      </c>
      <c r="J272" t="s">
        <v>1</v>
      </c>
      <c r="K272">
        <v>100</v>
      </c>
      <c r="L272">
        <v>50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1276</v>
      </c>
      <c r="AC272" t="s">
        <v>1376</v>
      </c>
      <c r="AD272" t="s">
        <v>1195</v>
      </c>
      <c r="AE272" t="s">
        <v>4</v>
      </c>
      <c r="AF272" t="s">
        <v>1</v>
      </c>
      <c r="AG272" t="s">
        <v>1</v>
      </c>
      <c r="AH272" t="s">
        <v>1426</v>
      </c>
      <c r="AI272" t="s">
        <v>1757</v>
      </c>
      <c r="AJ272" t="s">
        <v>1</v>
      </c>
      <c r="AK272">
        <v>9373780794</v>
      </c>
      <c r="AL272" t="s">
        <v>1</v>
      </c>
      <c r="AM272" t="s">
        <v>1</v>
      </c>
      <c r="AN272" t="s">
        <v>1</v>
      </c>
      <c r="AO272" t="s">
        <v>1426</v>
      </c>
      <c r="AP272" t="s">
        <v>1</v>
      </c>
      <c r="AQ272" t="s">
        <v>2</v>
      </c>
      <c r="AR272" t="s">
        <v>1</v>
      </c>
      <c r="AS272" t="s">
        <v>1</v>
      </c>
      <c r="AT272" t="s">
        <v>1</v>
      </c>
      <c r="AU272" t="s">
        <v>1</v>
      </c>
      <c r="AV272" t="s">
        <v>1</v>
      </c>
      <c r="AW272" t="s">
        <v>11</v>
      </c>
      <c r="AX272">
        <f>Tabla1[[#This Row],[precio del paquete]]-Tabla1[[#This Row],[Saldo_Deudor]]</f>
        <v>2300</v>
      </c>
      <c r="AY272">
        <v>12500</v>
      </c>
      <c r="AZ272" t="s">
        <v>3</v>
      </c>
      <c r="BA272" t="s">
        <v>3</v>
      </c>
      <c r="BB272" t="s">
        <v>3</v>
      </c>
      <c r="BC272" t="s">
        <v>772</v>
      </c>
      <c r="BD272" t="s">
        <v>1891</v>
      </c>
      <c r="BE272" t="s">
        <v>3</v>
      </c>
      <c r="BF272" t="s">
        <v>3</v>
      </c>
      <c r="BG272" t="s">
        <v>3</v>
      </c>
      <c r="BH272" t="s">
        <v>3</v>
      </c>
      <c r="BI272" t="s">
        <v>3</v>
      </c>
      <c r="BJ272" t="s">
        <v>1941</v>
      </c>
      <c r="BK272" t="s">
        <v>3</v>
      </c>
      <c r="BL272" t="s">
        <v>132</v>
      </c>
      <c r="BM272" t="s">
        <v>1</v>
      </c>
      <c r="BN272">
        <f>Tabla1[[#This Row],[precio del paquete]]</f>
        <v>14800</v>
      </c>
      <c r="BO272" t="s">
        <v>1</v>
      </c>
      <c r="BP272" t="s">
        <v>1</v>
      </c>
      <c r="BQ272" t="s">
        <v>1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0</v>
      </c>
      <c r="BX272" t="s">
        <v>1</v>
      </c>
      <c r="BY272" t="s">
        <v>1</v>
      </c>
      <c r="BZ272" t="s">
        <v>1</v>
      </c>
      <c r="CA272" t="s">
        <v>1</v>
      </c>
      <c r="CB272" t="s">
        <v>1</v>
      </c>
      <c r="CD272" t="str" cm="1">
        <f t="array" aca="1" ref="CD272" ca="1">eConcatenar(A272:CB272,"|")</f>
        <v>6BzOKLVWDd9MwV3a|CAR2021-4277|3|MEMORIAL|TABASCO|CARDENAS|CARDENAS|2021-04-08|14800|X|100|50|0|0|0|0|0|0|0|0|0|0|0|0|0|0|0|MARTINEZ|ARRIAGA|VICTOR MANUEL|SOLTERO|X|X|CARRETERA PRINCIPAL SIN NUMERO|EJIDO HABANERO PRIMERA SECCION|X|9373780794|X|X|X|CARRETERA PRINCIPAL SIN NUMERO|X|LUNES|X|X|X|X|X|DOMICILIO |2300|12500|x|x|x|2022-12-02|2022-12-09|x|x|x|x|x|ZGSYJGLZUXA73WJ|x|HOMBRE|X|14800|X|X|X|X|X|X|X|X|CARDENAS|X|X|X|X|X</v>
      </c>
    </row>
    <row r="273" spans="1:82" x14ac:dyDescent="0.25">
      <c r="A273" t="s">
        <v>407</v>
      </c>
      <c r="B273" t="s">
        <v>713</v>
      </c>
      <c r="C273">
        <v>3</v>
      </c>
      <c r="D273" t="s">
        <v>761</v>
      </c>
      <c r="E273" t="s">
        <v>1398</v>
      </c>
      <c r="F273" t="s">
        <v>0</v>
      </c>
      <c r="G273" t="s">
        <v>0</v>
      </c>
      <c r="H273" t="s">
        <v>953</v>
      </c>
      <c r="I273">
        <v>14800</v>
      </c>
      <c r="J273" t="s">
        <v>1</v>
      </c>
      <c r="K273">
        <v>100</v>
      </c>
      <c r="L273">
        <v>50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8</v>
      </c>
      <c r="AC273" t="s">
        <v>1377</v>
      </c>
      <c r="AD273" t="s">
        <v>1196</v>
      </c>
      <c r="AE273" t="s">
        <v>4</v>
      </c>
      <c r="AF273" t="s">
        <v>1</v>
      </c>
      <c r="AG273" t="s">
        <v>1</v>
      </c>
      <c r="AH273" t="s">
        <v>1426</v>
      </c>
      <c r="AI273" t="s">
        <v>1757</v>
      </c>
      <c r="AJ273" t="s">
        <v>1</v>
      </c>
      <c r="AK273" t="s">
        <v>1</v>
      </c>
      <c r="AL273" t="s">
        <v>1</v>
      </c>
      <c r="AM273" t="s">
        <v>1</v>
      </c>
      <c r="AN273" t="s">
        <v>1</v>
      </c>
      <c r="AO273" t="s">
        <v>1426</v>
      </c>
      <c r="AP273" t="s">
        <v>1</v>
      </c>
      <c r="AQ273" t="s">
        <v>2</v>
      </c>
      <c r="AR273" t="s">
        <v>1</v>
      </c>
      <c r="AS273" t="s">
        <v>1</v>
      </c>
      <c r="AT273" t="s">
        <v>1</v>
      </c>
      <c r="AU273" t="s">
        <v>1</v>
      </c>
      <c r="AV273" t="s">
        <v>1</v>
      </c>
      <c r="AW273" t="s">
        <v>11</v>
      </c>
      <c r="AX273">
        <f>Tabla1[[#This Row],[precio del paquete]]-Tabla1[[#This Row],[Saldo_Deudor]]</f>
        <v>7300</v>
      </c>
      <c r="AY273">
        <v>7500</v>
      </c>
      <c r="AZ273" t="s">
        <v>3</v>
      </c>
      <c r="BA273" t="s">
        <v>3</v>
      </c>
      <c r="BB273" t="s">
        <v>3</v>
      </c>
      <c r="BC273" t="s">
        <v>772</v>
      </c>
      <c r="BD273" t="s">
        <v>1891</v>
      </c>
      <c r="BE273" t="s">
        <v>3</v>
      </c>
      <c r="BF273" t="s">
        <v>3</v>
      </c>
      <c r="BG273" t="s">
        <v>3</v>
      </c>
      <c r="BH273" t="s">
        <v>3</v>
      </c>
      <c r="BI273" t="s">
        <v>3</v>
      </c>
      <c r="BJ273" t="s">
        <v>1938</v>
      </c>
      <c r="BK273" t="s">
        <v>3</v>
      </c>
      <c r="BL273" t="s">
        <v>132</v>
      </c>
      <c r="BM273" t="s">
        <v>1</v>
      </c>
      <c r="BN273">
        <f>Tabla1[[#This Row],[precio del paquete]]</f>
        <v>14800</v>
      </c>
      <c r="BO273" t="s">
        <v>1</v>
      </c>
      <c r="BP273" t="s">
        <v>1</v>
      </c>
      <c r="BQ273" t="s">
        <v>1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0</v>
      </c>
      <c r="BX273" t="s">
        <v>1</v>
      </c>
      <c r="BY273" t="s">
        <v>1</v>
      </c>
      <c r="BZ273" t="s">
        <v>1</v>
      </c>
      <c r="CA273" t="s">
        <v>1</v>
      </c>
      <c r="CB273" t="s">
        <v>1</v>
      </c>
      <c r="CD273" t="str" cm="1">
        <f t="array" aca="1" ref="CD273" ca="1">eConcatenar(A273:CB273,"|")</f>
        <v>NFWYsggPLAwIojjk|CAR2020-3205|3|MEMORIAL|TABASCO|CARDENAS|CARDENAS|2020-09-14|14800|X|100|50|0|0|0|0|0|0|0|0|0|0|0|0|0|0|0|GOMEZ|BOLAINA|LAURIANJO|SOLTERO|X|X|CARRETERA PRINCIPAL SIN NUMERO|EJIDO HABANERO PRIMERA SECCION|X|X|X|X|X|CARRETERA PRINCIPAL SIN NUMERO|X|LUNES|X|X|X|X|X|DOMICILIO |7300|7500|x|x|x|2022-12-02|2022-12-09|x|x|x|x|x|CUZ2SKRCKVTMLTR|x|HOMBRE|X|14800|X|X|X|X|X|X|X|X|CARDENAS|X|X|X|X|X</v>
      </c>
    </row>
    <row r="274" spans="1:82" x14ac:dyDescent="0.25">
      <c r="A274" t="s">
        <v>408</v>
      </c>
      <c r="B274" t="s">
        <v>714</v>
      </c>
      <c r="C274">
        <v>3</v>
      </c>
      <c r="D274" t="s">
        <v>761</v>
      </c>
      <c r="E274" t="s">
        <v>1398</v>
      </c>
      <c r="F274" t="s">
        <v>0</v>
      </c>
      <c r="G274" t="s">
        <v>0</v>
      </c>
      <c r="H274" t="s">
        <v>954</v>
      </c>
      <c r="I274">
        <v>14800</v>
      </c>
      <c r="J274" t="s">
        <v>1</v>
      </c>
      <c r="K274">
        <v>100</v>
      </c>
      <c r="L274">
        <v>50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8</v>
      </c>
      <c r="AC274" t="s">
        <v>1248</v>
      </c>
      <c r="AD274" t="s">
        <v>1197</v>
      </c>
      <c r="AE274" t="s">
        <v>4</v>
      </c>
      <c r="AF274" t="s">
        <v>1</v>
      </c>
      <c r="AG274" t="s">
        <v>1</v>
      </c>
      <c r="AH274" t="s">
        <v>1426</v>
      </c>
      <c r="AI274" t="s">
        <v>1757</v>
      </c>
      <c r="AJ274" t="s">
        <v>1</v>
      </c>
      <c r="AK274">
        <v>9371421069</v>
      </c>
      <c r="AL274" t="s">
        <v>1</v>
      </c>
      <c r="AM274" t="s">
        <v>1</v>
      </c>
      <c r="AN274" t="s">
        <v>1</v>
      </c>
      <c r="AO274" t="s">
        <v>1426</v>
      </c>
      <c r="AP274" t="s">
        <v>1</v>
      </c>
      <c r="AQ274" t="s">
        <v>2</v>
      </c>
      <c r="AR274" t="s">
        <v>1</v>
      </c>
      <c r="AS274" t="s">
        <v>1</v>
      </c>
      <c r="AT274" t="s">
        <v>1</v>
      </c>
      <c r="AU274" t="s">
        <v>1</v>
      </c>
      <c r="AV274" t="s">
        <v>1</v>
      </c>
      <c r="AW274" t="s">
        <v>11</v>
      </c>
      <c r="AX274">
        <f>Tabla1[[#This Row],[precio del paquete]]-Tabla1[[#This Row],[Saldo_Deudor]]</f>
        <v>8950</v>
      </c>
      <c r="AY274">
        <v>5850</v>
      </c>
      <c r="AZ274" t="s">
        <v>3</v>
      </c>
      <c r="BA274" t="s">
        <v>3</v>
      </c>
      <c r="BB274" t="s">
        <v>3</v>
      </c>
      <c r="BC274" t="s">
        <v>772</v>
      </c>
      <c r="BD274" t="s">
        <v>1891</v>
      </c>
      <c r="BE274" t="s">
        <v>3</v>
      </c>
      <c r="BF274" t="s">
        <v>3</v>
      </c>
      <c r="BG274" t="s">
        <v>3</v>
      </c>
      <c r="BH274" t="s">
        <v>3</v>
      </c>
      <c r="BI274" t="s">
        <v>3</v>
      </c>
      <c r="BJ274" t="s">
        <v>1938</v>
      </c>
      <c r="BK274" t="s">
        <v>3</v>
      </c>
      <c r="BL274" t="s">
        <v>132</v>
      </c>
      <c r="BM274" t="s">
        <v>1</v>
      </c>
      <c r="BN274">
        <f>Tabla1[[#This Row],[precio del paquete]]</f>
        <v>14800</v>
      </c>
      <c r="BO274" t="s">
        <v>1</v>
      </c>
      <c r="BP274" t="s">
        <v>1</v>
      </c>
      <c r="BQ274" t="s">
        <v>1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0</v>
      </c>
      <c r="BX274" t="s">
        <v>1</v>
      </c>
      <c r="BY274" t="s">
        <v>1</v>
      </c>
      <c r="BZ274" t="s">
        <v>1</v>
      </c>
      <c r="CA274" t="s">
        <v>1</v>
      </c>
      <c r="CB274" t="s">
        <v>1</v>
      </c>
      <c r="CD274" t="str" cm="1">
        <f t="array" aca="1" ref="CD274" ca="1">eConcatenar(A274:CB274,"|")</f>
        <v>T0JMWErEQ330W0jA|CAR2021-0499|3|MEMORIAL|TABASCO|CARDENAS|CARDENAS|2021-02-16|14800|X|100|50|0|0|0|0|0|0|0|0|0|0|0|0|0|0|0|GOMEZ|PEREZ|HERNAN|SOLTERO|X|X|CARRETERA PRINCIPAL SIN NUMERO|EJIDO HABANERO PRIMERA SECCION|X|9371421069|X|X|X|CARRETERA PRINCIPAL SIN NUMERO|X|LUNES|X|X|X|X|X|DOMICILIO |8950|5850|x|x|x|2022-12-02|2022-12-09|x|x|x|x|x|CUZ2SKRCKVTMLTR|x|HOMBRE|X|14800|X|X|X|X|X|X|X|X|CARDENAS|X|X|X|X|X</v>
      </c>
    </row>
    <row r="275" spans="1:82" x14ac:dyDescent="0.25">
      <c r="A275" t="s">
        <v>409</v>
      </c>
      <c r="B275" t="s">
        <v>715</v>
      </c>
      <c r="C275">
        <v>3</v>
      </c>
      <c r="D275" t="s">
        <v>766</v>
      </c>
      <c r="E275" t="s">
        <v>1398</v>
      </c>
      <c r="F275" t="s">
        <v>0</v>
      </c>
      <c r="G275" t="s">
        <v>0</v>
      </c>
      <c r="H275" t="s">
        <v>955</v>
      </c>
      <c r="I275">
        <v>12900</v>
      </c>
      <c r="J275" t="s">
        <v>1</v>
      </c>
      <c r="K275">
        <v>100</v>
      </c>
      <c r="L275">
        <v>50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1378</v>
      </c>
      <c r="AC275" t="s">
        <v>1248</v>
      </c>
      <c r="AD275" t="s">
        <v>1136</v>
      </c>
      <c r="AE275" t="s">
        <v>4</v>
      </c>
      <c r="AF275" t="s">
        <v>1</v>
      </c>
      <c r="AG275" t="s">
        <v>1</v>
      </c>
      <c r="AH275" t="s">
        <v>1630</v>
      </c>
      <c r="AI275" t="s">
        <v>1815</v>
      </c>
      <c r="AJ275" t="s">
        <v>1</v>
      </c>
      <c r="AK275">
        <v>9371531605</v>
      </c>
      <c r="AL275" t="s">
        <v>1</v>
      </c>
      <c r="AM275" t="s">
        <v>1</v>
      </c>
      <c r="AN275" t="s">
        <v>1</v>
      </c>
      <c r="AO275" t="s">
        <v>1630</v>
      </c>
      <c r="AP275" t="s">
        <v>1</v>
      </c>
      <c r="AQ275" t="s">
        <v>2</v>
      </c>
      <c r="AR275" t="s">
        <v>1</v>
      </c>
      <c r="AS275" t="s">
        <v>1</v>
      </c>
      <c r="AT275" t="s">
        <v>1</v>
      </c>
      <c r="AU275" t="s">
        <v>1</v>
      </c>
      <c r="AV275" t="s">
        <v>1</v>
      </c>
      <c r="AW275" t="s">
        <v>11</v>
      </c>
      <c r="AX275">
        <f>Tabla1[[#This Row],[precio del paquete]]-Tabla1[[#This Row],[Saldo_Deudor]]</f>
        <v>6200</v>
      </c>
      <c r="AY275">
        <v>6700</v>
      </c>
      <c r="AZ275" t="s">
        <v>3</v>
      </c>
      <c r="BA275" t="s">
        <v>3</v>
      </c>
      <c r="BB275" t="s">
        <v>3</v>
      </c>
      <c r="BC275" t="s">
        <v>772</v>
      </c>
      <c r="BD275" t="s">
        <v>1891</v>
      </c>
      <c r="BE275" t="s">
        <v>3</v>
      </c>
      <c r="BF275" t="s">
        <v>3</v>
      </c>
      <c r="BG275" t="s">
        <v>3</v>
      </c>
      <c r="BH275" t="s">
        <v>3</v>
      </c>
      <c r="BI275" t="s">
        <v>3</v>
      </c>
      <c r="BJ275" t="s">
        <v>1938</v>
      </c>
      <c r="BK275" t="s">
        <v>3</v>
      </c>
      <c r="BL275" t="s">
        <v>132</v>
      </c>
      <c r="BM275" t="s">
        <v>1</v>
      </c>
      <c r="BN275">
        <f>Tabla1[[#This Row],[precio del paquete]]</f>
        <v>12900</v>
      </c>
      <c r="BO275" t="s">
        <v>1</v>
      </c>
      <c r="BP275" t="s">
        <v>1</v>
      </c>
      <c r="BQ275" t="s">
        <v>1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0</v>
      </c>
      <c r="BX275" t="s">
        <v>1</v>
      </c>
      <c r="BY275" t="s">
        <v>1</v>
      </c>
      <c r="BZ275" t="s">
        <v>1</v>
      </c>
      <c r="CA275" t="s">
        <v>1</v>
      </c>
      <c r="CB275" t="s">
        <v>1</v>
      </c>
      <c r="CD275" t="str" cm="1">
        <f t="array" aca="1" ref="CD275" ca="1">eConcatenar(A275:CB275,"|")</f>
        <v>lPUZm1j2C1AMTg11|CAR2018-2625|3|ECONOLINE|TABASCO|CARDENAS|CARDENAS|2018-11-23|12900|X|100|50|0|0|0|0|0|0|0|0|0|0|0|0|0|0|0|PRESNEDA|PEREZ|MAGNOLIA|SOLTERO|X|X|CARRETERA AL CASTAÃ‘O|RANCHERIA MIAHUTLAN|X|9371531605|X|X|X|CARRETERA AL CASTAÃ‘O|X|LUNES|X|X|X|X|X|DOMICILIO |6200|6700|x|x|x|2022-12-02|2022-12-09|x|x|x|x|x|CUZ2SKRCKVTMLTR|x|HOMBRE|X|12900|X|X|X|X|X|X|X|X|CARDENAS|X|X|X|X|X</v>
      </c>
    </row>
    <row r="276" spans="1:82" x14ac:dyDescent="0.25">
      <c r="A276" t="s">
        <v>410</v>
      </c>
      <c r="B276" t="s">
        <v>716</v>
      </c>
      <c r="C276">
        <v>3</v>
      </c>
      <c r="D276" t="s">
        <v>761</v>
      </c>
      <c r="E276" t="s">
        <v>1398</v>
      </c>
      <c r="F276" t="s">
        <v>0</v>
      </c>
      <c r="G276" t="s">
        <v>0</v>
      </c>
      <c r="H276" t="s">
        <v>956</v>
      </c>
      <c r="I276">
        <v>14800</v>
      </c>
      <c r="J276" t="s">
        <v>1</v>
      </c>
      <c r="K276">
        <v>100</v>
      </c>
      <c r="L276">
        <v>50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1266</v>
      </c>
      <c r="AC276" t="s">
        <v>1267</v>
      </c>
      <c r="AD276" t="s">
        <v>1070</v>
      </c>
      <c r="AE276" t="s">
        <v>4</v>
      </c>
      <c r="AF276" t="s">
        <v>1</v>
      </c>
      <c r="AG276" t="s">
        <v>1</v>
      </c>
      <c r="AH276" t="s">
        <v>1630</v>
      </c>
      <c r="AI276" t="s">
        <v>1815</v>
      </c>
      <c r="AJ276" t="s">
        <v>1</v>
      </c>
      <c r="AK276">
        <v>9141022492</v>
      </c>
      <c r="AL276" t="s">
        <v>1</v>
      </c>
      <c r="AM276" t="s">
        <v>1</v>
      </c>
      <c r="AN276" t="s">
        <v>1</v>
      </c>
      <c r="AO276" t="s">
        <v>1630</v>
      </c>
      <c r="AP276" t="s">
        <v>1</v>
      </c>
      <c r="AQ276" t="s">
        <v>2</v>
      </c>
      <c r="AR276" t="s">
        <v>1</v>
      </c>
      <c r="AS276" t="s">
        <v>1</v>
      </c>
      <c r="AT276" t="s">
        <v>1</v>
      </c>
      <c r="AU276" t="s">
        <v>1</v>
      </c>
      <c r="AV276" t="s">
        <v>1</v>
      </c>
      <c r="AW276" t="s">
        <v>11</v>
      </c>
      <c r="AX276">
        <f>Tabla1[[#This Row],[precio del paquete]]-Tabla1[[#This Row],[Saldo_Deudor]]</f>
        <v>2950</v>
      </c>
      <c r="AY276">
        <v>11850</v>
      </c>
      <c r="AZ276" t="s">
        <v>3</v>
      </c>
      <c r="BA276" t="s">
        <v>3</v>
      </c>
      <c r="BB276" t="s">
        <v>3</v>
      </c>
      <c r="BC276" t="s">
        <v>772</v>
      </c>
      <c r="BD276" t="s">
        <v>1891</v>
      </c>
      <c r="BE276" t="s">
        <v>3</v>
      </c>
      <c r="BF276" t="s">
        <v>3</v>
      </c>
      <c r="BG276" t="s">
        <v>3</v>
      </c>
      <c r="BH276" t="s">
        <v>3</v>
      </c>
      <c r="BI276" t="s">
        <v>3</v>
      </c>
      <c r="BJ276" t="s">
        <v>1938</v>
      </c>
      <c r="BK276" t="s">
        <v>3</v>
      </c>
      <c r="BL276" t="s">
        <v>132</v>
      </c>
      <c r="BM276" t="s">
        <v>1</v>
      </c>
      <c r="BN276">
        <f>Tabla1[[#This Row],[precio del paquete]]</f>
        <v>14800</v>
      </c>
      <c r="BO276" t="s">
        <v>1</v>
      </c>
      <c r="BP276" t="s">
        <v>1</v>
      </c>
      <c r="BQ276" t="s">
        <v>1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0</v>
      </c>
      <c r="BX276" t="s">
        <v>1</v>
      </c>
      <c r="BY276" t="s">
        <v>1</v>
      </c>
      <c r="BZ276" t="s">
        <v>1</v>
      </c>
      <c r="CA276" t="s">
        <v>1</v>
      </c>
      <c r="CB276" t="s">
        <v>1</v>
      </c>
      <c r="CD276" t="str" cm="1">
        <f t="array" aca="1" ref="CD276" ca="1">eConcatenar(A276:CB276,"|")</f>
        <v>W08ndjYhfEwbSLdI|CAR2021-3683|3|MEMORIAL|TABASCO|CARDENAS|CARDENAS|2021-07-21|14800|X|100|50|0|0|0|0|0|0|0|0|0|0|0|0|0|0|0|HERNANDEZ|JIMENEZ|MARIA|SOLTERO|X|X|CARRETERA AL CASTAÃ‘O|RANCHERIA MIAHUTLAN|X|9141022492|X|X|X|CARRETERA AL CASTAÃ‘O|X|LUNES|X|X|X|X|X|DOMICILIO |2950|11850|x|x|x|2022-12-02|2022-12-09|x|x|x|x|x|CUZ2SKRCKVTMLTR|x|HOMBRE|X|14800|X|X|X|X|X|X|X|X|CARDENAS|X|X|X|X|X</v>
      </c>
    </row>
    <row r="277" spans="1:82" x14ac:dyDescent="0.25">
      <c r="A277" t="s">
        <v>411</v>
      </c>
      <c r="B277" t="s">
        <v>717</v>
      </c>
      <c r="C277">
        <v>3</v>
      </c>
      <c r="D277" t="s">
        <v>766</v>
      </c>
      <c r="E277" t="s">
        <v>1398</v>
      </c>
      <c r="F277" t="s">
        <v>0</v>
      </c>
      <c r="G277" t="s">
        <v>0</v>
      </c>
      <c r="H277" t="s">
        <v>957</v>
      </c>
      <c r="I277">
        <v>12900</v>
      </c>
      <c r="J277" t="s">
        <v>1</v>
      </c>
      <c r="K277">
        <v>100</v>
      </c>
      <c r="L277">
        <v>50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1349</v>
      </c>
      <c r="AC277" t="s">
        <v>1231</v>
      </c>
      <c r="AD277" t="s">
        <v>1198</v>
      </c>
      <c r="AE277" t="s">
        <v>4</v>
      </c>
      <c r="AF277" t="s">
        <v>1</v>
      </c>
      <c r="AG277" t="s">
        <v>1</v>
      </c>
      <c r="AH277" t="s">
        <v>1631</v>
      </c>
      <c r="AI277" t="s">
        <v>1815</v>
      </c>
      <c r="AJ277" t="s">
        <v>1</v>
      </c>
      <c r="AK277">
        <v>9371700146</v>
      </c>
      <c r="AL277" t="s">
        <v>1</v>
      </c>
      <c r="AM277" t="s">
        <v>1</v>
      </c>
      <c r="AN277" t="s">
        <v>1</v>
      </c>
      <c r="AO277" t="s">
        <v>1631</v>
      </c>
      <c r="AP277" t="s">
        <v>1</v>
      </c>
      <c r="AQ277" t="s">
        <v>2</v>
      </c>
      <c r="AR277" t="s">
        <v>1</v>
      </c>
      <c r="AS277" t="s">
        <v>1</v>
      </c>
      <c r="AT277" t="s">
        <v>1</v>
      </c>
      <c r="AU277" t="s">
        <v>1</v>
      </c>
      <c r="AV277" t="s">
        <v>1</v>
      </c>
      <c r="AW277" t="s">
        <v>11</v>
      </c>
      <c r="AX277">
        <f>Tabla1[[#This Row],[precio del paquete]]-Tabla1[[#This Row],[Saldo_Deudor]]</f>
        <v>3750</v>
      </c>
      <c r="AY277">
        <v>9150</v>
      </c>
      <c r="AZ277" t="s">
        <v>3</v>
      </c>
      <c r="BA277" t="s">
        <v>3</v>
      </c>
      <c r="BB277" t="s">
        <v>3</v>
      </c>
      <c r="BC277" t="s">
        <v>772</v>
      </c>
      <c r="BD277" t="s">
        <v>1891</v>
      </c>
      <c r="BE277" t="s">
        <v>3</v>
      </c>
      <c r="BF277" t="s">
        <v>3</v>
      </c>
      <c r="BG277" t="s">
        <v>3</v>
      </c>
      <c r="BH277" t="s">
        <v>3</v>
      </c>
      <c r="BI277" t="s">
        <v>3</v>
      </c>
      <c r="BJ277" t="s">
        <v>1938</v>
      </c>
      <c r="BK277" t="s">
        <v>3</v>
      </c>
      <c r="BL277" t="s">
        <v>132</v>
      </c>
      <c r="BM277" t="s">
        <v>1</v>
      </c>
      <c r="BN277">
        <f>Tabla1[[#This Row],[precio del paquete]]</f>
        <v>12900</v>
      </c>
      <c r="BO277" t="s">
        <v>1</v>
      </c>
      <c r="BP277" t="s">
        <v>1</v>
      </c>
      <c r="BQ277" t="s">
        <v>1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0</v>
      </c>
      <c r="BX277" t="s">
        <v>1</v>
      </c>
      <c r="BY277" t="s">
        <v>1</v>
      </c>
      <c r="BZ277" t="s">
        <v>1</v>
      </c>
      <c r="CA277" t="s">
        <v>1</v>
      </c>
      <c r="CB277" t="s">
        <v>1</v>
      </c>
      <c r="CD277" t="str" cm="1">
        <f t="array" aca="1" ref="CD277" ca="1">eConcatenar(A277:CB277,"|")</f>
        <v>oHSPsecSzZvoDvas|CAR2020-3699|3|ECONOLINE|TABASCO|CARDENAS|CARDENAS|2020-06-10|12900|X|100|50|0|0|0|0|0|0|0|0|0|0|0|0|0|0|0|LUNA|TORRES|ROSAURA|SOLTERO|X|X|CERRADA LA TRINIDAD|RANCHERIA MIAHUTLAN|X|9371700146|X|X|X|CERRADA LA TRINIDAD|X|LUNES|X|X|X|X|X|DOMICILIO |3750|9150|x|x|x|2022-12-02|2022-12-09|x|x|x|x|x|CUZ2SKRCKVTMLTR|x|HOMBRE|X|12900|X|X|X|X|X|X|X|X|CARDENAS|X|X|X|X|X</v>
      </c>
    </row>
    <row r="278" spans="1:82" x14ac:dyDescent="0.25">
      <c r="A278" t="s">
        <v>412</v>
      </c>
      <c r="B278" t="s">
        <v>718</v>
      </c>
      <c r="C278">
        <v>3</v>
      </c>
      <c r="D278" t="s">
        <v>763</v>
      </c>
      <c r="E278" t="s">
        <v>1398</v>
      </c>
      <c r="F278" t="s">
        <v>0</v>
      </c>
      <c r="G278" t="s">
        <v>0</v>
      </c>
      <c r="H278" t="s">
        <v>958</v>
      </c>
      <c r="I278">
        <v>12900</v>
      </c>
      <c r="J278" t="s">
        <v>1</v>
      </c>
      <c r="K278">
        <v>100</v>
      </c>
      <c r="L278">
        <v>50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1360</v>
      </c>
      <c r="AC278" t="s">
        <v>1313</v>
      </c>
      <c r="AD278" t="s">
        <v>1182</v>
      </c>
      <c r="AE278" t="s">
        <v>4</v>
      </c>
      <c r="AF278" t="s">
        <v>1</v>
      </c>
      <c r="AG278" t="s">
        <v>1</v>
      </c>
      <c r="AH278" t="s">
        <v>1632</v>
      </c>
      <c r="AI278" t="s">
        <v>1816</v>
      </c>
      <c r="AJ278" t="s">
        <v>1</v>
      </c>
      <c r="AK278">
        <v>9371419310</v>
      </c>
      <c r="AL278" t="s">
        <v>1</v>
      </c>
      <c r="AM278" t="s">
        <v>1</v>
      </c>
      <c r="AN278" t="s">
        <v>1</v>
      </c>
      <c r="AO278" t="s">
        <v>1632</v>
      </c>
      <c r="AP278" t="s">
        <v>1</v>
      </c>
      <c r="AQ278" t="s">
        <v>2</v>
      </c>
      <c r="AR278" t="s">
        <v>1</v>
      </c>
      <c r="AS278" t="s">
        <v>1</v>
      </c>
      <c r="AT278" t="s">
        <v>1</v>
      </c>
      <c r="AU278" t="s">
        <v>1</v>
      </c>
      <c r="AV278" t="s">
        <v>1</v>
      </c>
      <c r="AW278" t="s">
        <v>11</v>
      </c>
      <c r="AX278">
        <f>Tabla1[[#This Row],[precio del paquete]]-Tabla1[[#This Row],[Saldo_Deudor]]</f>
        <v>6000</v>
      </c>
      <c r="AY278">
        <v>6900</v>
      </c>
      <c r="AZ278" t="s">
        <v>3</v>
      </c>
      <c r="BA278" t="s">
        <v>3</v>
      </c>
      <c r="BB278" t="s">
        <v>3</v>
      </c>
      <c r="BC278" t="s">
        <v>772</v>
      </c>
      <c r="BD278" t="s">
        <v>1891</v>
      </c>
      <c r="BE278" t="s">
        <v>3</v>
      </c>
      <c r="BF278" t="s">
        <v>3</v>
      </c>
      <c r="BG278" t="s">
        <v>3</v>
      </c>
      <c r="BH278" t="s">
        <v>3</v>
      </c>
      <c r="BI278" t="s">
        <v>3</v>
      </c>
      <c r="BJ278" t="s">
        <v>1938</v>
      </c>
      <c r="BK278" t="s">
        <v>3</v>
      </c>
      <c r="BL278" t="s">
        <v>132</v>
      </c>
      <c r="BM278" t="s">
        <v>1</v>
      </c>
      <c r="BN278">
        <f>Tabla1[[#This Row],[precio del paquete]]</f>
        <v>12900</v>
      </c>
      <c r="BO278" t="s">
        <v>1</v>
      </c>
      <c r="BP278" t="s">
        <v>1</v>
      </c>
      <c r="BQ278" t="s">
        <v>1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0</v>
      </c>
      <c r="BX278" t="s">
        <v>1</v>
      </c>
      <c r="BY278" t="s">
        <v>1</v>
      </c>
      <c r="BZ278" t="s">
        <v>1</v>
      </c>
      <c r="CA278" t="s">
        <v>1</v>
      </c>
      <c r="CB278" t="s">
        <v>1</v>
      </c>
      <c r="CD278" t="str" cm="1">
        <f t="array" aca="1" ref="CD278" ca="1">eConcatenar(A278:CB278,"|")</f>
        <v>idVuf7A4w7sKtqpu|CAR2020-4622|3|IMPERIAL DE LUJO|TABASCO|CARDENAS|CARDENAS|2020-11-11|12900|X|100|50|0|0|0|0|0|0|0|0|0|0|0|0|0|0|0|ALEGRIA|PERALTA|ANTONIA|SOLTERO|X|X|CARRETERA VILLAHERMOSA-CARDENAS|CARRETERA FEDERAL|X|9371419310|X|X|X|CARRETERA VILLAHERMOSA-CARDENAS|X|LUNES|X|X|X|X|X|DOMICILIO |6000|6900|x|x|x|2022-12-02|2022-12-09|x|x|x|x|x|CUZ2SKRCKVTMLTR|x|HOMBRE|X|12900|X|X|X|X|X|X|X|X|CARDENAS|X|X|X|X|X</v>
      </c>
    </row>
    <row r="279" spans="1:82" x14ac:dyDescent="0.25">
      <c r="A279" t="s">
        <v>413</v>
      </c>
      <c r="B279" t="s">
        <v>719</v>
      </c>
      <c r="C279">
        <v>3</v>
      </c>
      <c r="D279" t="s">
        <v>761</v>
      </c>
      <c r="E279" t="s">
        <v>1398</v>
      </c>
      <c r="F279" t="s">
        <v>0</v>
      </c>
      <c r="G279" t="s">
        <v>0</v>
      </c>
      <c r="H279" t="s">
        <v>959</v>
      </c>
      <c r="I279">
        <v>14800</v>
      </c>
      <c r="J279" t="s">
        <v>1</v>
      </c>
      <c r="K279">
        <v>100</v>
      </c>
      <c r="L279">
        <v>50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1234</v>
      </c>
      <c r="AC279" t="s">
        <v>1315</v>
      </c>
      <c r="AD279" t="s">
        <v>1199</v>
      </c>
      <c r="AE279" t="s">
        <v>4</v>
      </c>
      <c r="AF279" t="s">
        <v>1</v>
      </c>
      <c r="AG279" t="s">
        <v>1</v>
      </c>
      <c r="AH279" t="s">
        <v>1633</v>
      </c>
      <c r="AI279" t="s">
        <v>1817</v>
      </c>
      <c r="AJ279" t="s">
        <v>1</v>
      </c>
      <c r="AK279">
        <v>9371027313</v>
      </c>
      <c r="AL279" t="s">
        <v>1</v>
      </c>
      <c r="AM279" t="s">
        <v>1</v>
      </c>
      <c r="AN279" t="s">
        <v>1</v>
      </c>
      <c r="AO279" t="s">
        <v>1633</v>
      </c>
      <c r="AP279" t="s">
        <v>1</v>
      </c>
      <c r="AQ279" t="s">
        <v>2</v>
      </c>
      <c r="AR279" t="s">
        <v>1</v>
      </c>
      <c r="AS279" t="s">
        <v>1</v>
      </c>
      <c r="AT279" t="s">
        <v>1</v>
      </c>
      <c r="AU279" t="s">
        <v>1</v>
      </c>
      <c r="AV279" t="s">
        <v>1</v>
      </c>
      <c r="AW279" t="s">
        <v>11</v>
      </c>
      <c r="AX279">
        <f>Tabla1[[#This Row],[precio del paquete]]-Tabla1[[#This Row],[Saldo_Deudor]]</f>
        <v>950</v>
      </c>
      <c r="AY279">
        <v>13850</v>
      </c>
      <c r="AZ279" t="s">
        <v>3</v>
      </c>
      <c r="BA279" t="s">
        <v>3</v>
      </c>
      <c r="BB279" t="s">
        <v>3</v>
      </c>
      <c r="BC279" t="s">
        <v>772</v>
      </c>
      <c r="BD279" t="s">
        <v>1891</v>
      </c>
      <c r="BE279" t="s">
        <v>3</v>
      </c>
      <c r="BF279" t="s">
        <v>3</v>
      </c>
      <c r="BG279" t="s">
        <v>3</v>
      </c>
      <c r="BH279" t="s">
        <v>3</v>
      </c>
      <c r="BI279" t="s">
        <v>3</v>
      </c>
      <c r="BJ279" t="s">
        <v>1938</v>
      </c>
      <c r="BK279" t="s">
        <v>3</v>
      </c>
      <c r="BL279" t="s">
        <v>132</v>
      </c>
      <c r="BM279" t="s">
        <v>1</v>
      </c>
      <c r="BN279">
        <f>Tabla1[[#This Row],[precio del paquete]]</f>
        <v>14800</v>
      </c>
      <c r="BO279" t="s">
        <v>1</v>
      </c>
      <c r="BP279" t="s">
        <v>1</v>
      </c>
      <c r="BQ279" t="s">
        <v>1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0</v>
      </c>
      <c r="BX279" t="s">
        <v>1</v>
      </c>
      <c r="BY279" t="s">
        <v>1</v>
      </c>
      <c r="BZ279" t="s">
        <v>1</v>
      </c>
      <c r="CA279" t="s">
        <v>1</v>
      </c>
      <c r="CB279" t="s">
        <v>1</v>
      </c>
      <c r="CD279" t="str" cm="1">
        <f t="array" aca="1" ref="CD279" ca="1">eConcatenar(A279:CB279,"|")</f>
        <v>zrd38sHS1HiTXpdJ|CAR2021-7652|3|MEMORIAL|TABASCO|CARDENAS|CARDENAS|2021-12-23|14800|X|100|50|0|0|0|0|0|0|0|0|0|0|0|0|0|0|0|PALMA|ALCUDIA|MELIDA|SOLTERO|X|X|CALLE IGNACIO ZARAGOZA NUMERO 604|CARDENAS CENTRO|X|9371027313|X|X|X|CALLE IGNACIO ZARAGOZA NUMERO 604|X|LUNES|X|X|X|X|X|DOMICILIO |950|13850|x|x|x|2022-12-02|2022-12-09|x|x|x|x|x|CUZ2SKRCKVTMLTR|x|HOMBRE|X|14800|X|X|X|X|X|X|X|X|CARDENAS|X|X|X|X|X</v>
      </c>
    </row>
    <row r="280" spans="1:82" x14ac:dyDescent="0.25">
      <c r="A280" t="s">
        <v>414</v>
      </c>
      <c r="B280" t="s">
        <v>720</v>
      </c>
      <c r="C280">
        <v>3</v>
      </c>
      <c r="D280" t="s">
        <v>766</v>
      </c>
      <c r="E280" t="s">
        <v>1398</v>
      </c>
      <c r="F280" t="s">
        <v>0</v>
      </c>
      <c r="G280" t="s">
        <v>0</v>
      </c>
      <c r="H280" t="s">
        <v>960</v>
      </c>
      <c r="I280">
        <v>12900</v>
      </c>
      <c r="J280" t="s">
        <v>1</v>
      </c>
      <c r="K280">
        <v>100</v>
      </c>
      <c r="L280">
        <v>50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1379</v>
      </c>
      <c r="AC280" t="s">
        <v>1239</v>
      </c>
      <c r="AD280" t="s">
        <v>1200</v>
      </c>
      <c r="AE280" t="s">
        <v>4</v>
      </c>
      <c r="AF280" t="s">
        <v>1</v>
      </c>
      <c r="AG280" t="s">
        <v>1</v>
      </c>
      <c r="AH280" t="s">
        <v>1529</v>
      </c>
      <c r="AI280" t="s">
        <v>1817</v>
      </c>
      <c r="AJ280" t="s">
        <v>1</v>
      </c>
      <c r="AK280">
        <v>9372297713</v>
      </c>
      <c r="AL280" t="s">
        <v>1</v>
      </c>
      <c r="AM280" t="s">
        <v>1</v>
      </c>
      <c r="AN280" t="s">
        <v>1</v>
      </c>
      <c r="AO280" t="s">
        <v>1529</v>
      </c>
      <c r="AP280" t="s">
        <v>1</v>
      </c>
      <c r="AQ280" t="s">
        <v>2</v>
      </c>
      <c r="AR280" t="s">
        <v>1</v>
      </c>
      <c r="AS280" t="s">
        <v>1</v>
      </c>
      <c r="AT280" t="s">
        <v>1</v>
      </c>
      <c r="AU280" t="s">
        <v>1</v>
      </c>
      <c r="AV280" t="s">
        <v>1</v>
      </c>
      <c r="AW280" t="s">
        <v>11</v>
      </c>
      <c r="AX280">
        <f>Tabla1[[#This Row],[precio del paquete]]-Tabla1[[#This Row],[Saldo_Deudor]]</f>
        <v>6500</v>
      </c>
      <c r="AY280">
        <v>6400</v>
      </c>
      <c r="AZ280" t="s">
        <v>3</v>
      </c>
      <c r="BA280" t="s">
        <v>3</v>
      </c>
      <c r="BB280" t="s">
        <v>3</v>
      </c>
      <c r="BC280" t="s">
        <v>772</v>
      </c>
      <c r="BD280" t="s">
        <v>1891</v>
      </c>
      <c r="BE280" t="s">
        <v>3</v>
      </c>
      <c r="BF280" t="s">
        <v>3</v>
      </c>
      <c r="BG280" t="s">
        <v>3</v>
      </c>
      <c r="BH280" t="s">
        <v>3</v>
      </c>
      <c r="BI280" t="s">
        <v>3</v>
      </c>
      <c r="BJ280" t="s">
        <v>1938</v>
      </c>
      <c r="BK280" t="s">
        <v>3</v>
      </c>
      <c r="BL280" t="s">
        <v>132</v>
      </c>
      <c r="BM280" t="s">
        <v>1</v>
      </c>
      <c r="BN280">
        <f>Tabla1[[#This Row],[precio del paquete]]</f>
        <v>12900</v>
      </c>
      <c r="BO280" t="s">
        <v>1</v>
      </c>
      <c r="BP280" t="s">
        <v>1</v>
      </c>
      <c r="BQ280" t="s">
        <v>1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0</v>
      </c>
      <c r="BX280" t="s">
        <v>1</v>
      </c>
      <c r="BY280" t="s">
        <v>1</v>
      </c>
      <c r="BZ280" t="s">
        <v>1</v>
      </c>
      <c r="CA280" t="s">
        <v>1</v>
      </c>
      <c r="CB280" t="s">
        <v>1</v>
      </c>
      <c r="CD280" t="str" cm="1">
        <f t="array" aca="1" ref="CD280" ca="1">eConcatenar(A280:CB280,"|")</f>
        <v>d5P6iMmHL52OB54Q|CAR2020-3089|3|ECONOLINE|TABASCO|CARDENAS|CARDENAS|2020-12-09|12900|X|100|50|0|0|0|0|0|0|0|0|0|0|0|0|0|0|0|PELAEZ||INEZ|SOLTERO|X|X|COLONIA PUEBLO NUEVO|CARDENAS CENTRO|X|9372297713|X|X|X|COLONIA PUEBLO NUEVO|X|LUNES|X|X|X|X|X|DOMICILIO |6500|6400|x|x|x|2022-12-02|2022-12-09|x|x|x|x|x|CUZ2SKRCKVTMLTR|x|HOMBRE|X|12900|X|X|X|X|X|X|X|X|CARDENAS|X|X|X|X|X</v>
      </c>
    </row>
    <row r="281" spans="1:82" x14ac:dyDescent="0.25">
      <c r="A281" t="s">
        <v>415</v>
      </c>
      <c r="B281" t="s">
        <v>721</v>
      </c>
      <c r="C281">
        <v>3</v>
      </c>
      <c r="D281" t="s">
        <v>765</v>
      </c>
      <c r="E281" t="s">
        <v>1398</v>
      </c>
      <c r="F281" t="s">
        <v>0</v>
      </c>
      <c r="G281" t="s">
        <v>0</v>
      </c>
      <c r="H281" t="s">
        <v>961</v>
      </c>
      <c r="I281">
        <v>19800</v>
      </c>
      <c r="J281" t="s">
        <v>1</v>
      </c>
      <c r="K281">
        <v>100</v>
      </c>
      <c r="L281">
        <v>50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1380</v>
      </c>
      <c r="AC281" t="s">
        <v>1291</v>
      </c>
      <c r="AD281" t="s">
        <v>1201</v>
      </c>
      <c r="AE281" t="s">
        <v>4</v>
      </c>
      <c r="AF281" t="s">
        <v>1</v>
      </c>
      <c r="AG281" t="s">
        <v>1</v>
      </c>
      <c r="AH281" t="s">
        <v>1529</v>
      </c>
      <c r="AI281" t="s">
        <v>1817</v>
      </c>
      <c r="AJ281" t="s">
        <v>1</v>
      </c>
      <c r="AK281">
        <v>9372728222</v>
      </c>
      <c r="AL281" t="s">
        <v>1</v>
      </c>
      <c r="AM281" t="s">
        <v>1</v>
      </c>
      <c r="AN281" t="s">
        <v>1</v>
      </c>
      <c r="AO281" t="s">
        <v>1529</v>
      </c>
      <c r="AP281" t="s">
        <v>1</v>
      </c>
      <c r="AQ281" t="s">
        <v>2</v>
      </c>
      <c r="AR281" t="s">
        <v>1</v>
      </c>
      <c r="AS281" t="s">
        <v>1</v>
      </c>
      <c r="AT281" t="s">
        <v>1</v>
      </c>
      <c r="AU281" t="s">
        <v>1</v>
      </c>
      <c r="AV281" t="s">
        <v>1</v>
      </c>
      <c r="AW281" t="s">
        <v>11</v>
      </c>
      <c r="AX281">
        <f>Tabla1[[#This Row],[precio del paquete]]-Tabla1[[#This Row],[Saldo_Deudor]]</f>
        <v>6500</v>
      </c>
      <c r="AY281">
        <v>13300</v>
      </c>
      <c r="AZ281" t="s">
        <v>3</v>
      </c>
      <c r="BA281" t="s">
        <v>3</v>
      </c>
      <c r="BB281" t="s">
        <v>3</v>
      </c>
      <c r="BC281" t="s">
        <v>772</v>
      </c>
      <c r="BD281" t="s">
        <v>1891</v>
      </c>
      <c r="BE281" t="s">
        <v>3</v>
      </c>
      <c r="BF281" t="s">
        <v>3</v>
      </c>
      <c r="BG281" t="s">
        <v>3</v>
      </c>
      <c r="BH281" t="s">
        <v>3</v>
      </c>
      <c r="BI281" t="s">
        <v>3</v>
      </c>
      <c r="BJ281" t="s">
        <v>1938</v>
      </c>
      <c r="BK281" t="s">
        <v>3</v>
      </c>
      <c r="BL281" t="s">
        <v>132</v>
      </c>
      <c r="BM281" t="s">
        <v>1</v>
      </c>
      <c r="BN281">
        <f>Tabla1[[#This Row],[precio del paquete]]</f>
        <v>19800</v>
      </c>
      <c r="BO281" t="s">
        <v>1</v>
      </c>
      <c r="BP281" t="s">
        <v>1</v>
      </c>
      <c r="BQ281" t="s">
        <v>1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0</v>
      </c>
      <c r="BX281" t="s">
        <v>1</v>
      </c>
      <c r="BY281" t="s">
        <v>1</v>
      </c>
      <c r="BZ281" t="s">
        <v>1</v>
      </c>
      <c r="CA281" t="s">
        <v>1</v>
      </c>
      <c r="CB281" t="s">
        <v>1</v>
      </c>
      <c r="CD281" t="str" cm="1">
        <f t="array" aca="1" ref="CD281" ca="1">eConcatenar(A281:CB281,"|")</f>
        <v>S4CKN2GjXda6tq6z|CAR2020-4014|3|ZAFIRO|TABASCO|CARDENAS|CARDENAS|2020-10-14|19800|X|100|50|0|0|0|0|0|0|0|0|0|0|0|0|0|0|0|BENITEZ|RUIZ|ALBERTO ISACC|SOLTERO|X|X|COLONIA PUEBLO NUEVO|CARDENAS CENTRO|X|9372728222|X|X|X|COLONIA PUEBLO NUEVO|X|LUNES|X|X|X|X|X|DOMICILIO |6500|13300|x|x|x|2022-12-02|2022-12-09|x|x|x|x|x|CUZ2SKRCKVTMLTR|x|HOMBRE|X|19800|X|X|X|X|X|X|X|X|CARDENAS|X|X|X|X|X</v>
      </c>
    </row>
    <row r="282" spans="1:82" x14ac:dyDescent="0.25">
      <c r="A282" t="s">
        <v>416</v>
      </c>
      <c r="B282" t="s">
        <v>722</v>
      </c>
      <c r="C282">
        <v>3</v>
      </c>
      <c r="D282" t="s">
        <v>766</v>
      </c>
      <c r="E282" t="s">
        <v>1398</v>
      </c>
      <c r="F282" t="s">
        <v>0</v>
      </c>
      <c r="G282" t="s">
        <v>0</v>
      </c>
      <c r="H282" t="s">
        <v>961</v>
      </c>
      <c r="I282">
        <v>12900</v>
      </c>
      <c r="J282" t="s">
        <v>1</v>
      </c>
      <c r="K282">
        <v>100</v>
      </c>
      <c r="L282">
        <v>50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7</v>
      </c>
      <c r="AC282" t="s">
        <v>1248</v>
      </c>
      <c r="AD282" t="s">
        <v>1202</v>
      </c>
      <c r="AE282" t="s">
        <v>4</v>
      </c>
      <c r="AF282" t="s">
        <v>1</v>
      </c>
      <c r="AG282" t="s">
        <v>1</v>
      </c>
      <c r="AH282" t="s">
        <v>1529</v>
      </c>
      <c r="AI282" t="s">
        <v>1817</v>
      </c>
      <c r="AJ282" t="s">
        <v>1</v>
      </c>
      <c r="AK282">
        <v>9372285450</v>
      </c>
      <c r="AL282" t="s">
        <v>1</v>
      </c>
      <c r="AM282" t="s">
        <v>1</v>
      </c>
      <c r="AN282" t="s">
        <v>1</v>
      </c>
      <c r="AO282" t="s">
        <v>1529</v>
      </c>
      <c r="AP282" t="s">
        <v>1</v>
      </c>
      <c r="AQ282" t="s">
        <v>2</v>
      </c>
      <c r="AR282" t="s">
        <v>1</v>
      </c>
      <c r="AS282" t="s">
        <v>1</v>
      </c>
      <c r="AT282" t="s">
        <v>1</v>
      </c>
      <c r="AU282" t="s">
        <v>1</v>
      </c>
      <c r="AV282" t="s">
        <v>1</v>
      </c>
      <c r="AW282" t="s">
        <v>11</v>
      </c>
      <c r="AX282">
        <f>Tabla1[[#This Row],[precio del paquete]]-Tabla1[[#This Row],[Saldo_Deudor]]</f>
        <v>-450</v>
      </c>
      <c r="AY282">
        <v>13350</v>
      </c>
      <c r="AZ282" t="s">
        <v>3</v>
      </c>
      <c r="BA282" t="s">
        <v>3</v>
      </c>
      <c r="BB282" t="s">
        <v>3</v>
      </c>
      <c r="BC282" t="s">
        <v>772</v>
      </c>
      <c r="BD282" t="s">
        <v>1891</v>
      </c>
      <c r="BE282" t="s">
        <v>3</v>
      </c>
      <c r="BF282" t="s">
        <v>3</v>
      </c>
      <c r="BG282" t="s">
        <v>3</v>
      </c>
      <c r="BH282" t="s">
        <v>3</v>
      </c>
      <c r="BI282" t="s">
        <v>3</v>
      </c>
      <c r="BJ282" t="s">
        <v>1938</v>
      </c>
      <c r="BK282" t="s">
        <v>3</v>
      </c>
      <c r="BL282" t="s">
        <v>132</v>
      </c>
      <c r="BM282" t="s">
        <v>1</v>
      </c>
      <c r="BN282">
        <f>Tabla1[[#This Row],[precio del paquete]]</f>
        <v>12900</v>
      </c>
      <c r="BO282" t="s">
        <v>1</v>
      </c>
      <c r="BP282" t="s">
        <v>1</v>
      </c>
      <c r="BQ282" t="s">
        <v>1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0</v>
      </c>
      <c r="BX282" t="s">
        <v>1</v>
      </c>
      <c r="BY282" t="s">
        <v>1</v>
      </c>
      <c r="BZ282" t="s">
        <v>1</v>
      </c>
      <c r="CA282" t="s">
        <v>1</v>
      </c>
      <c r="CB282" t="s">
        <v>1</v>
      </c>
      <c r="CD282" t="str" cm="1">
        <f t="array" aca="1" ref="CD282" ca="1">eConcatenar(A282:CB282,"|")</f>
        <v>9T2GN3Ob7koZyLz2|CAR2020-4013|3|ECONOLINE|TABASCO|CARDENAS|CARDENAS|2020-10-14|12900|X|100|50|0|0|0|0|0|0|0|0|0|0|0|0|0|0|0|LOPEZ|PEREZ|ROSA DEL CARMEN|SOLTERO|X|X|COLONIA PUEBLO NUEVO|CARDENAS CENTRO|X|9372285450|X|X|X|COLONIA PUEBLO NUEVO|X|LUNES|X|X|X|X|X|DOMICILIO |-450|13350|x|x|x|2022-12-02|2022-12-09|x|x|x|x|x|CUZ2SKRCKVTMLTR|x|HOMBRE|X|12900|X|X|X|X|X|X|X|X|CARDENAS|X|X|X|X|X</v>
      </c>
    </row>
    <row r="283" spans="1:82" x14ac:dyDescent="0.25">
      <c r="A283" t="s">
        <v>417</v>
      </c>
      <c r="B283" t="s">
        <v>723</v>
      </c>
      <c r="C283">
        <v>3</v>
      </c>
      <c r="D283" t="s">
        <v>761</v>
      </c>
      <c r="E283" t="s">
        <v>1398</v>
      </c>
      <c r="F283" t="s">
        <v>0</v>
      </c>
      <c r="G283" t="s">
        <v>0</v>
      </c>
      <c r="H283" t="s">
        <v>962</v>
      </c>
      <c r="I283">
        <v>14800</v>
      </c>
      <c r="J283" t="s">
        <v>1</v>
      </c>
      <c r="K283">
        <v>100</v>
      </c>
      <c r="L283">
        <v>50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1237</v>
      </c>
      <c r="AC283" t="s">
        <v>1228</v>
      </c>
      <c r="AD283" t="s">
        <v>1069</v>
      </c>
      <c r="AE283" t="s">
        <v>4</v>
      </c>
      <c r="AF283" t="s">
        <v>1</v>
      </c>
      <c r="AG283" t="s">
        <v>1</v>
      </c>
      <c r="AH283" t="s">
        <v>1634</v>
      </c>
      <c r="AI283" t="s">
        <v>1817</v>
      </c>
      <c r="AJ283" t="s">
        <v>1</v>
      </c>
      <c r="AK283">
        <v>9371196389</v>
      </c>
      <c r="AL283" t="s">
        <v>1</v>
      </c>
      <c r="AM283" t="s">
        <v>1</v>
      </c>
      <c r="AN283" t="s">
        <v>1</v>
      </c>
      <c r="AO283" t="s">
        <v>1634</v>
      </c>
      <c r="AP283" t="s">
        <v>1</v>
      </c>
      <c r="AQ283" t="s">
        <v>2</v>
      </c>
      <c r="AR283" t="s">
        <v>1</v>
      </c>
      <c r="AS283" t="s">
        <v>1</v>
      </c>
      <c r="AT283" t="s">
        <v>1</v>
      </c>
      <c r="AU283" t="s">
        <v>1</v>
      </c>
      <c r="AV283" t="s">
        <v>1</v>
      </c>
      <c r="AW283" t="s">
        <v>11</v>
      </c>
      <c r="AX283">
        <f>Tabla1[[#This Row],[precio del paquete]]-Tabla1[[#This Row],[Saldo_Deudor]]</f>
        <v>5700</v>
      </c>
      <c r="AY283">
        <v>9100</v>
      </c>
      <c r="AZ283" t="s">
        <v>3</v>
      </c>
      <c r="BA283" t="s">
        <v>3</v>
      </c>
      <c r="BB283" t="s">
        <v>3</v>
      </c>
      <c r="BC283" t="s">
        <v>772</v>
      </c>
      <c r="BD283" t="s">
        <v>1891</v>
      </c>
      <c r="BE283" t="s">
        <v>3</v>
      </c>
      <c r="BF283" t="s">
        <v>3</v>
      </c>
      <c r="BG283" t="s">
        <v>3</v>
      </c>
      <c r="BH283" t="s">
        <v>3</v>
      </c>
      <c r="BI283" t="s">
        <v>3</v>
      </c>
      <c r="BJ283" t="s">
        <v>1938</v>
      </c>
      <c r="BK283" t="s">
        <v>3</v>
      </c>
      <c r="BL283" t="s">
        <v>132</v>
      </c>
      <c r="BM283" t="s">
        <v>1</v>
      </c>
      <c r="BN283">
        <f>Tabla1[[#This Row],[precio del paquete]]</f>
        <v>14800</v>
      </c>
      <c r="BO283" t="s">
        <v>1</v>
      </c>
      <c r="BP283" t="s">
        <v>1</v>
      </c>
      <c r="BQ283" t="s">
        <v>1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0</v>
      </c>
      <c r="BX283" t="s">
        <v>1</v>
      </c>
      <c r="BY283" t="s">
        <v>1</v>
      </c>
      <c r="BZ283" t="s">
        <v>1</v>
      </c>
      <c r="CA283" t="s">
        <v>1</v>
      </c>
      <c r="CB283" t="s">
        <v>1</v>
      </c>
      <c r="CD283" t="str" cm="1">
        <f t="array" aca="1" ref="CD283" ca="1">eConcatenar(A283:CB283,"|")</f>
        <v>8Ecg5693YEByr5Sz|CAR2020-2638|3|MEMORIAL|TABASCO|CARDENAS|CARDENAS|2020-08-22|14800|X|100|50|0|0|0|0|0|0|0|0|0|0|0|0|0|0|0|GALLEGOS|RAMOS|JOSE MANUEL|SOLTERO|X|X|PUESTO DE POLLOS ASADOS LA CENTRAL|CARDENAS CENTRO|X|9371196389|X|X|X|PUESTO DE POLLOS ASADOS LA CENTRAL|X|LUNES|X|X|X|X|X|DOMICILIO |5700|9100|x|x|x|2022-12-02|2022-12-09|x|x|x|x|x|CUZ2SKRCKVTMLTR|x|HOMBRE|X|14800|X|X|X|X|X|X|X|X|CARDENAS|X|X|X|X|X</v>
      </c>
    </row>
    <row r="284" spans="1:82" x14ac:dyDescent="0.25">
      <c r="A284" t="s">
        <v>418</v>
      </c>
      <c r="B284" t="s">
        <v>724</v>
      </c>
      <c r="C284">
        <v>3</v>
      </c>
      <c r="D284" t="s">
        <v>761</v>
      </c>
      <c r="E284" t="s">
        <v>1398</v>
      </c>
      <c r="F284" t="s">
        <v>0</v>
      </c>
      <c r="G284" t="s">
        <v>0</v>
      </c>
      <c r="H284" t="s">
        <v>822</v>
      </c>
      <c r="I284">
        <v>14800</v>
      </c>
      <c r="J284" t="s">
        <v>1</v>
      </c>
      <c r="K284">
        <v>100</v>
      </c>
      <c r="L284">
        <v>50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1161</v>
      </c>
      <c r="AC284" t="s">
        <v>1227</v>
      </c>
      <c r="AD284" t="s">
        <v>1104</v>
      </c>
      <c r="AE284" t="s">
        <v>4</v>
      </c>
      <c r="AF284" t="s">
        <v>1</v>
      </c>
      <c r="AG284" t="s">
        <v>1</v>
      </c>
      <c r="AH284" t="s">
        <v>1635</v>
      </c>
      <c r="AI284" t="s">
        <v>1669</v>
      </c>
      <c r="AJ284" t="s">
        <v>1</v>
      </c>
      <c r="AK284">
        <v>9371051538</v>
      </c>
      <c r="AL284" t="s">
        <v>1</v>
      </c>
      <c r="AM284" t="s">
        <v>1</v>
      </c>
      <c r="AN284" t="s">
        <v>1</v>
      </c>
      <c r="AO284" t="s">
        <v>1635</v>
      </c>
      <c r="AP284" t="s">
        <v>1</v>
      </c>
      <c r="AQ284" t="s">
        <v>2</v>
      </c>
      <c r="AR284" t="s">
        <v>1</v>
      </c>
      <c r="AS284" t="s">
        <v>1</v>
      </c>
      <c r="AT284" t="s">
        <v>1</v>
      </c>
      <c r="AU284" t="s">
        <v>1</v>
      </c>
      <c r="AV284" t="s">
        <v>1</v>
      </c>
      <c r="AW284" t="s">
        <v>11</v>
      </c>
      <c r="AX284">
        <f>Tabla1[[#This Row],[precio del paquete]]-Tabla1[[#This Row],[Saldo_Deudor]]</f>
        <v>9200</v>
      </c>
      <c r="AY284">
        <v>5600</v>
      </c>
      <c r="AZ284" t="s">
        <v>3</v>
      </c>
      <c r="BA284" t="s">
        <v>3</v>
      </c>
      <c r="BB284" t="s">
        <v>3</v>
      </c>
      <c r="BC284" t="s">
        <v>772</v>
      </c>
      <c r="BD284" t="s">
        <v>1891</v>
      </c>
      <c r="BE284" t="s">
        <v>3</v>
      </c>
      <c r="BF284" t="s">
        <v>3</v>
      </c>
      <c r="BG284" t="s">
        <v>3</v>
      </c>
      <c r="BH284" t="s">
        <v>3</v>
      </c>
      <c r="BI284" t="s">
        <v>3</v>
      </c>
      <c r="BJ284" t="s">
        <v>1938</v>
      </c>
      <c r="BK284" t="s">
        <v>3</v>
      </c>
      <c r="BL284" t="s">
        <v>132</v>
      </c>
      <c r="BM284" t="s">
        <v>1</v>
      </c>
      <c r="BN284">
        <f>Tabla1[[#This Row],[precio del paquete]]</f>
        <v>14800</v>
      </c>
      <c r="BO284" t="s">
        <v>1</v>
      </c>
      <c r="BP284" t="s">
        <v>1</v>
      </c>
      <c r="BQ284" t="s">
        <v>1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0</v>
      </c>
      <c r="BX284" t="s">
        <v>1</v>
      </c>
      <c r="BY284" t="s">
        <v>1</v>
      </c>
      <c r="BZ284" t="s">
        <v>1</v>
      </c>
      <c r="CA284" t="s">
        <v>1</v>
      </c>
      <c r="CB284" t="s">
        <v>1</v>
      </c>
      <c r="CD284" t="str" cm="1">
        <f t="array" aca="1" ref="CD284" ca="1">eConcatenar(A284:CB284,"|")</f>
        <v>Ha31StVvlLacq0aO|CAR2021-1830|3|MEMORIAL|TABASCO|CARDENAS|CARDENAS|2021-06-08|14800|X|100|50|0|0|0|0|0|0|0|0|0|0|0|0|0|0|0|TRINIDAD|GARCIA|JULIO CESAR|SOLTERO|X|X|CALLE NARCISO MENDOZA SIN NUMERO|COLONIA SANTA MARIA DE GUADALUPE|X|9371051538|X|X|X|CALLE NARCISO MENDOZA SIN NUMERO|X|LUNES|X|X|X|X|X|DOMICILIO |9200|5600|x|x|x|2022-12-02|2022-12-09|x|x|x|x|x|CUZ2SKRCKVTMLTR|x|HOMBRE|X|14800|X|X|X|X|X|X|X|X|CARDENAS|X|X|X|X|X</v>
      </c>
    </row>
    <row r="285" spans="1:82" x14ac:dyDescent="0.25">
      <c r="A285" t="s">
        <v>419</v>
      </c>
      <c r="B285" t="s">
        <v>725</v>
      </c>
      <c r="C285">
        <v>3</v>
      </c>
      <c r="D285" t="s">
        <v>761</v>
      </c>
      <c r="E285" t="s">
        <v>1398</v>
      </c>
      <c r="F285" t="s">
        <v>0</v>
      </c>
      <c r="G285" t="s">
        <v>0</v>
      </c>
      <c r="H285" t="s">
        <v>963</v>
      </c>
      <c r="I285">
        <v>14800</v>
      </c>
      <c r="J285" t="s">
        <v>1</v>
      </c>
      <c r="K285">
        <v>100</v>
      </c>
      <c r="L285">
        <v>50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1381</v>
      </c>
      <c r="AC285" t="s">
        <v>1377</v>
      </c>
      <c r="AD285" t="s">
        <v>1053</v>
      </c>
      <c r="AE285" t="s">
        <v>4</v>
      </c>
      <c r="AF285" t="s">
        <v>1</v>
      </c>
      <c r="AG285" t="s">
        <v>1</v>
      </c>
      <c r="AH285" t="s">
        <v>1621</v>
      </c>
      <c r="AI285" t="s">
        <v>1818</v>
      </c>
      <c r="AJ285" t="s">
        <v>1</v>
      </c>
      <c r="AK285">
        <v>9372705523</v>
      </c>
      <c r="AL285" t="s">
        <v>1</v>
      </c>
      <c r="AM285" t="s">
        <v>1</v>
      </c>
      <c r="AN285" t="s">
        <v>1</v>
      </c>
      <c r="AO285" t="s">
        <v>1621</v>
      </c>
      <c r="AP285" t="s">
        <v>1</v>
      </c>
      <c r="AQ285" t="s">
        <v>2</v>
      </c>
      <c r="AR285" t="s">
        <v>1</v>
      </c>
      <c r="AS285" t="s">
        <v>1</v>
      </c>
      <c r="AT285" t="s">
        <v>1</v>
      </c>
      <c r="AU285" t="s">
        <v>1</v>
      </c>
      <c r="AV285" t="s">
        <v>1</v>
      </c>
      <c r="AW285" t="s">
        <v>11</v>
      </c>
      <c r="AX285">
        <f>Tabla1[[#This Row],[precio del paquete]]-Tabla1[[#This Row],[Saldo_Deudor]]</f>
        <v>2300</v>
      </c>
      <c r="AY285">
        <v>12500</v>
      </c>
      <c r="AZ285" t="s">
        <v>3</v>
      </c>
      <c r="BA285" t="s">
        <v>3</v>
      </c>
      <c r="BB285" t="s">
        <v>3</v>
      </c>
      <c r="BC285" t="s">
        <v>772</v>
      </c>
      <c r="BD285" t="s">
        <v>1891</v>
      </c>
      <c r="BE285" t="s">
        <v>3</v>
      </c>
      <c r="BF285" t="s">
        <v>3</v>
      </c>
      <c r="BG285" t="s">
        <v>3</v>
      </c>
      <c r="BH285" t="s">
        <v>3</v>
      </c>
      <c r="BI285" t="s">
        <v>3</v>
      </c>
      <c r="BJ285" t="s">
        <v>1938</v>
      </c>
      <c r="BK285" t="s">
        <v>3</v>
      </c>
      <c r="BL285" t="s">
        <v>132</v>
      </c>
      <c r="BM285" t="s">
        <v>1</v>
      </c>
      <c r="BN285">
        <f>Tabla1[[#This Row],[precio del paquete]]</f>
        <v>14800</v>
      </c>
      <c r="BO285" t="s">
        <v>1</v>
      </c>
      <c r="BP285" t="s">
        <v>1</v>
      </c>
      <c r="BQ285" t="s">
        <v>1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0</v>
      </c>
      <c r="BX285" t="s">
        <v>1</v>
      </c>
      <c r="BY285" t="s">
        <v>1</v>
      </c>
      <c r="BZ285" t="s">
        <v>1</v>
      </c>
      <c r="CA285" t="s">
        <v>1</v>
      </c>
      <c r="CB285" t="s">
        <v>1</v>
      </c>
      <c r="CD285" t="str" cm="1">
        <f t="array" aca="1" ref="CD285" ca="1">eConcatenar(A285:CB285,"|")</f>
        <v>gFCVRxvdHXeb7mXV|CAR2021-5228|3|MEMORIAL|TABASCO|CARDENAS|CARDENAS|2021-09-09|14800|X|100|50|0|0|0|0|0|0|0|0|0|0|0|0|0|0|0|ZAVALA|BOLAINA|PEDRO|SOLTERO|X|X|CARRETERA A TULIPAN SIN NUMERO|COLONIIA EL PORVENIR|X|9372705523|X|X|X|CARRETERA A TULIPAN SIN NUMERO|X|LUNES|X|X|X|X|X|DOMICILIO |2300|12500|x|x|x|2022-12-02|2022-12-09|x|x|x|x|x|CUZ2SKRCKVTMLTR|x|HOMBRE|X|14800|X|X|X|X|X|X|X|X|CARDENAS|X|X|X|X|X</v>
      </c>
    </row>
    <row r="286" spans="1:82" x14ac:dyDescent="0.25">
      <c r="A286" t="s">
        <v>420</v>
      </c>
      <c r="B286" t="s">
        <v>726</v>
      </c>
      <c r="C286">
        <v>3</v>
      </c>
      <c r="D286" t="s">
        <v>763</v>
      </c>
      <c r="E286" t="s">
        <v>1398</v>
      </c>
      <c r="F286" t="s">
        <v>0</v>
      </c>
      <c r="G286" t="s">
        <v>0</v>
      </c>
      <c r="H286" t="s">
        <v>870</v>
      </c>
      <c r="I286">
        <v>12900</v>
      </c>
      <c r="J286" t="s">
        <v>1</v>
      </c>
      <c r="K286">
        <v>100</v>
      </c>
      <c r="L286">
        <v>50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1382</v>
      </c>
      <c r="AC286" t="s">
        <v>1270</v>
      </c>
      <c r="AD286" t="s">
        <v>1014</v>
      </c>
      <c r="AE286" t="s">
        <v>4</v>
      </c>
      <c r="AF286" t="s">
        <v>1</v>
      </c>
      <c r="AG286" t="s">
        <v>1</v>
      </c>
      <c r="AH286" t="s">
        <v>1636</v>
      </c>
      <c r="AI286" t="s">
        <v>1666</v>
      </c>
      <c r="AJ286" t="s">
        <v>1</v>
      </c>
      <c r="AK286">
        <v>9371750642</v>
      </c>
      <c r="AL286" t="s">
        <v>1</v>
      </c>
      <c r="AM286" t="s">
        <v>1</v>
      </c>
      <c r="AN286" t="s">
        <v>1</v>
      </c>
      <c r="AO286" t="s">
        <v>1636</v>
      </c>
      <c r="AP286" t="s">
        <v>1</v>
      </c>
      <c r="AQ286" t="s">
        <v>2</v>
      </c>
      <c r="AR286" t="s">
        <v>1</v>
      </c>
      <c r="AS286" t="s">
        <v>1</v>
      </c>
      <c r="AT286" t="s">
        <v>1</v>
      </c>
      <c r="AU286" t="s">
        <v>1</v>
      </c>
      <c r="AV286" t="s">
        <v>1</v>
      </c>
      <c r="AW286" t="s">
        <v>11</v>
      </c>
      <c r="AX286">
        <f>Tabla1[[#This Row],[precio del paquete]]-Tabla1[[#This Row],[Saldo_Deudor]]</f>
        <v>6900</v>
      </c>
      <c r="AY286">
        <v>6000</v>
      </c>
      <c r="AZ286" t="s">
        <v>3</v>
      </c>
      <c r="BA286" t="s">
        <v>3</v>
      </c>
      <c r="BB286" t="s">
        <v>3</v>
      </c>
      <c r="BC286" t="s">
        <v>772</v>
      </c>
      <c r="BD286" t="s">
        <v>1891</v>
      </c>
      <c r="BE286" t="s">
        <v>3</v>
      </c>
      <c r="BF286" t="s">
        <v>3</v>
      </c>
      <c r="BG286" t="s">
        <v>3</v>
      </c>
      <c r="BH286" t="s">
        <v>3</v>
      </c>
      <c r="BI286" t="s">
        <v>3</v>
      </c>
      <c r="BJ286" t="s">
        <v>1938</v>
      </c>
      <c r="BK286" t="s">
        <v>3</v>
      </c>
      <c r="BL286" t="s">
        <v>132</v>
      </c>
      <c r="BM286" t="s">
        <v>1</v>
      </c>
      <c r="BN286">
        <f>Tabla1[[#This Row],[precio del paquete]]</f>
        <v>12900</v>
      </c>
      <c r="BO286" t="s">
        <v>1</v>
      </c>
      <c r="BP286" t="s">
        <v>1</v>
      </c>
      <c r="BQ286" t="s">
        <v>1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0</v>
      </c>
      <c r="BX286" t="s">
        <v>1</v>
      </c>
      <c r="BY286" t="s">
        <v>1</v>
      </c>
      <c r="BZ286" t="s">
        <v>1</v>
      </c>
      <c r="CA286" t="s">
        <v>1</v>
      </c>
      <c r="CB286" t="s">
        <v>1</v>
      </c>
      <c r="CD286" t="str" cm="1">
        <f t="array" aca="1" ref="CD286" ca="1">eConcatenar(A286:CB286,"|")</f>
        <v>RccUBFNrKq10Kfqj|CAR2020-3619|3|IMPERIAL DE LUJO|TABASCO|CARDENAS|CARDENAS|2020-02-10|12900|X|100|50|0|0|0|0|0|0|0|0|0|0|0|0|0|0|0|BELTRAN|LEYVA|PABLO|SOLTERO|X|X|CALLE VICENTE SUAREZ GUERRERO|COLONIA EL TOLOQUE|X|9371750642|X|X|X|CALLE VICENTE SUAREZ GUERRERO|X|LUNES|X|X|X|X|X|DOMICILIO |6900|6000|x|x|x|2022-12-02|2022-12-09|x|x|x|x|x|CUZ2SKRCKVTMLTR|x|HOMBRE|X|12900|X|X|X|X|X|X|X|X|CARDENAS|X|X|X|X|X</v>
      </c>
    </row>
    <row r="287" spans="1:82" x14ac:dyDescent="0.25">
      <c r="A287" t="s">
        <v>421</v>
      </c>
      <c r="B287" t="s">
        <v>727</v>
      </c>
      <c r="C287">
        <v>3</v>
      </c>
      <c r="D287" t="s">
        <v>761</v>
      </c>
      <c r="E287" t="s">
        <v>1398</v>
      </c>
      <c r="F287" t="s">
        <v>0</v>
      </c>
      <c r="G287" t="s">
        <v>0</v>
      </c>
      <c r="H287" t="s">
        <v>964</v>
      </c>
      <c r="I287">
        <v>14800</v>
      </c>
      <c r="J287" t="s">
        <v>1</v>
      </c>
      <c r="K287">
        <v>400</v>
      </c>
      <c r="L287">
        <v>50</v>
      </c>
      <c r="M287">
        <v>2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1383</v>
      </c>
      <c r="AC287" t="s">
        <v>1267</v>
      </c>
      <c r="AD287" t="s">
        <v>1203</v>
      </c>
      <c r="AE287" t="s">
        <v>4</v>
      </c>
      <c r="AF287" t="s">
        <v>1</v>
      </c>
      <c r="AG287" t="s">
        <v>1</v>
      </c>
      <c r="AH287" t="s">
        <v>1637</v>
      </c>
      <c r="AI287" t="s">
        <v>1819</v>
      </c>
      <c r="AJ287" t="s">
        <v>1</v>
      </c>
      <c r="AK287">
        <v>9371003516</v>
      </c>
      <c r="AL287" t="s">
        <v>1</v>
      </c>
      <c r="AM287" t="s">
        <v>1</v>
      </c>
      <c r="AN287" t="s">
        <v>1</v>
      </c>
      <c r="AO287" t="s">
        <v>1637</v>
      </c>
      <c r="AP287" t="s">
        <v>1</v>
      </c>
      <c r="AQ287" t="s">
        <v>2</v>
      </c>
      <c r="AR287" t="s">
        <v>1</v>
      </c>
      <c r="AS287" t="s">
        <v>1</v>
      </c>
      <c r="AT287" t="s">
        <v>1</v>
      </c>
      <c r="AU287" t="s">
        <v>1</v>
      </c>
      <c r="AV287" t="s">
        <v>1</v>
      </c>
      <c r="AW287" t="s">
        <v>11</v>
      </c>
      <c r="AX287">
        <f>Tabla1[[#This Row],[precio del paquete]]-Tabla1[[#This Row],[Saldo_Deudor]]</f>
        <v>3700</v>
      </c>
      <c r="AY287">
        <v>11100</v>
      </c>
      <c r="AZ287" t="s">
        <v>3</v>
      </c>
      <c r="BA287" t="s">
        <v>3</v>
      </c>
      <c r="BB287" t="s">
        <v>3</v>
      </c>
      <c r="BC287" t="s">
        <v>772</v>
      </c>
      <c r="BD287" t="s">
        <v>1891</v>
      </c>
      <c r="BE287" t="s">
        <v>3</v>
      </c>
      <c r="BF287" t="s">
        <v>3</v>
      </c>
      <c r="BG287" t="s">
        <v>3</v>
      </c>
      <c r="BH287" t="s">
        <v>3</v>
      </c>
      <c r="BI287" t="s">
        <v>3</v>
      </c>
      <c r="BJ287" t="s">
        <v>1938</v>
      </c>
      <c r="BK287" t="s">
        <v>3</v>
      </c>
      <c r="BL287" t="s">
        <v>132</v>
      </c>
      <c r="BM287" t="s">
        <v>1</v>
      </c>
      <c r="BN287">
        <f>Tabla1[[#This Row],[precio del paquete]]</f>
        <v>14800</v>
      </c>
      <c r="BO287" t="s">
        <v>1</v>
      </c>
      <c r="BP287" t="s">
        <v>1</v>
      </c>
      <c r="BQ287" t="s">
        <v>1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0</v>
      </c>
      <c r="BX287" t="s">
        <v>1</v>
      </c>
      <c r="BY287" t="s">
        <v>1</v>
      </c>
      <c r="BZ287" t="s">
        <v>1</v>
      </c>
      <c r="CA287" t="s">
        <v>1</v>
      </c>
      <c r="CB287" t="s">
        <v>1</v>
      </c>
      <c r="CD287" t="str" cm="1">
        <f t="array" aca="1" ref="CD287" ca="1">eConcatenar(A287:CB287,"|")</f>
        <v>Vnjw6DxaXHr9SsFX|CAR2021-1832|3|MEMORIAL|TABASCO|CARDENAS|CARDENAS|2021-12-08|14800|X|400|50|2|0|0|0|0|0|0|0|0|0|0|0|0|0|0|BARROSA|JIMENEZ|ROBERTO ANTONIO|SOLTERO|X|X|CALLE SECCION 29 MANZANA: 15 LOTE 24|COLONIA PETROLERA|X|9371003516|X|X|X|CALLE SECCION 29 MANZANA: 15 LOTE 24|X|LUNES|X|X|X|X|X|DOMICILIO |3700|11100|x|x|x|2022-12-02|2022-12-09|x|x|x|x|x|CUZ2SKRCKVTMLTR|x|HOMBRE|X|14800|X|X|X|X|X|X|X|X|CARDENAS|X|X|X|X|X</v>
      </c>
    </row>
    <row r="288" spans="1:82" x14ac:dyDescent="0.25">
      <c r="A288" t="s">
        <v>422</v>
      </c>
      <c r="B288" t="s">
        <v>728</v>
      </c>
      <c r="C288">
        <v>3</v>
      </c>
      <c r="D288" t="s">
        <v>761</v>
      </c>
      <c r="E288" t="s">
        <v>1398</v>
      </c>
      <c r="F288" t="s">
        <v>0</v>
      </c>
      <c r="G288" t="s">
        <v>0</v>
      </c>
      <c r="H288" t="s">
        <v>881</v>
      </c>
      <c r="I288">
        <v>14800</v>
      </c>
      <c r="J288" t="s">
        <v>1</v>
      </c>
      <c r="K288">
        <v>100</v>
      </c>
      <c r="L288">
        <v>50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1230</v>
      </c>
      <c r="AC288" t="s">
        <v>1384</v>
      </c>
      <c r="AD288" t="s">
        <v>996</v>
      </c>
      <c r="AE288" t="s">
        <v>4</v>
      </c>
      <c r="AF288" t="s">
        <v>1</v>
      </c>
      <c r="AG288" t="s">
        <v>1</v>
      </c>
      <c r="AH288" t="s">
        <v>1638</v>
      </c>
      <c r="AI288" t="s">
        <v>1669</v>
      </c>
      <c r="AJ288" t="s">
        <v>1</v>
      </c>
      <c r="AK288">
        <v>9371423089</v>
      </c>
      <c r="AL288" t="s">
        <v>1</v>
      </c>
      <c r="AM288" t="s">
        <v>1</v>
      </c>
      <c r="AN288" t="s">
        <v>1</v>
      </c>
      <c r="AO288" t="s">
        <v>1638</v>
      </c>
      <c r="AP288" t="s">
        <v>1</v>
      </c>
      <c r="AQ288" t="s">
        <v>2</v>
      </c>
      <c r="AR288" t="s">
        <v>1</v>
      </c>
      <c r="AS288" t="s">
        <v>1</v>
      </c>
      <c r="AT288" t="s">
        <v>1</v>
      </c>
      <c r="AU288" t="s">
        <v>1</v>
      </c>
      <c r="AV288" t="s">
        <v>1</v>
      </c>
      <c r="AW288" t="s">
        <v>11</v>
      </c>
      <c r="AX288">
        <f>Tabla1[[#This Row],[precio del paquete]]-Tabla1[[#This Row],[Saldo_Deudor]]</f>
        <v>10000</v>
      </c>
      <c r="AY288">
        <v>4800</v>
      </c>
      <c r="AZ288" t="s">
        <v>3</v>
      </c>
      <c r="BA288" t="s">
        <v>3</v>
      </c>
      <c r="BB288" t="s">
        <v>3</v>
      </c>
      <c r="BC288" t="s">
        <v>772</v>
      </c>
      <c r="BD288" t="s">
        <v>1891</v>
      </c>
      <c r="BE288" t="s">
        <v>3</v>
      </c>
      <c r="BF288" t="s">
        <v>3</v>
      </c>
      <c r="BG288" t="s">
        <v>3</v>
      </c>
      <c r="BH288" t="s">
        <v>3</v>
      </c>
      <c r="BI288" t="s">
        <v>3</v>
      </c>
      <c r="BJ288" t="s">
        <v>1938</v>
      </c>
      <c r="BK288" t="s">
        <v>3</v>
      </c>
      <c r="BL288" t="s">
        <v>132</v>
      </c>
      <c r="BM288" t="s">
        <v>1</v>
      </c>
      <c r="BN288">
        <f>Tabla1[[#This Row],[precio del paquete]]</f>
        <v>14800</v>
      </c>
      <c r="BO288" t="s">
        <v>1</v>
      </c>
      <c r="BP288" t="s">
        <v>1</v>
      </c>
      <c r="BQ288" t="s">
        <v>1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0</v>
      </c>
      <c r="BX288" t="s">
        <v>1</v>
      </c>
      <c r="BY288" t="s">
        <v>1</v>
      </c>
      <c r="BZ288" t="s">
        <v>1</v>
      </c>
      <c r="CA288" t="s">
        <v>1</v>
      </c>
      <c r="CB288" t="s">
        <v>1</v>
      </c>
      <c r="CD288" t="str" cm="1">
        <f t="array" aca="1" ref="CD288" ca="1">eConcatenar(A288:CB288,"|")</f>
        <v>vULmUUUawTG8HDfM|CAR2020-2681|3|MEMORIAL|TABASCO|CARDENAS|CARDENAS|2020-08-27|14800|X|100|50|0|0|0|0|0|0|0|0|0|0|0|0|0|0|0|VAZQUEZ|FUENTE|JOSE GUADALUPE|SOLTERO|X|X|PERIFERICO CARLOS A. MOLINA|COLONIA SANTA MARIA DE GUADALUPE|X|9371423089|X|X|X|PERIFERICO CARLOS A. MOLINA|X|LUNES|X|X|X|X|X|DOMICILIO |10000|4800|x|x|x|2022-12-02|2022-12-09|x|x|x|x|x|CUZ2SKRCKVTMLTR|x|HOMBRE|X|14800|X|X|X|X|X|X|X|X|CARDENAS|X|X|X|X|X</v>
      </c>
    </row>
    <row r="289" spans="1:82" x14ac:dyDescent="0.25">
      <c r="A289" t="s">
        <v>423</v>
      </c>
      <c r="B289" t="s">
        <v>729</v>
      </c>
      <c r="C289">
        <v>3</v>
      </c>
      <c r="D289" t="s">
        <v>761</v>
      </c>
      <c r="E289" t="s">
        <v>1398</v>
      </c>
      <c r="F289" t="s">
        <v>0</v>
      </c>
      <c r="G289" t="s">
        <v>0</v>
      </c>
      <c r="H289" t="s">
        <v>965</v>
      </c>
      <c r="I289">
        <v>14800</v>
      </c>
      <c r="J289" t="s">
        <v>1</v>
      </c>
      <c r="K289">
        <v>100</v>
      </c>
      <c r="L289">
        <v>50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1343</v>
      </c>
      <c r="AC289" t="s">
        <v>1266</v>
      </c>
      <c r="AD289" t="s">
        <v>1204</v>
      </c>
      <c r="AE289" t="s">
        <v>4</v>
      </c>
      <c r="AF289" t="s">
        <v>1</v>
      </c>
      <c r="AG289" t="s">
        <v>1</v>
      </c>
      <c r="AH289" t="s">
        <v>1639</v>
      </c>
      <c r="AI289" t="s">
        <v>1820</v>
      </c>
      <c r="AJ289" t="s">
        <v>1</v>
      </c>
      <c r="AK289">
        <v>9371435865</v>
      </c>
      <c r="AL289" t="s">
        <v>1</v>
      </c>
      <c r="AM289" t="s">
        <v>1</v>
      </c>
      <c r="AN289" t="s">
        <v>1</v>
      </c>
      <c r="AO289" t="s">
        <v>1639</v>
      </c>
      <c r="AP289" t="s">
        <v>1</v>
      </c>
      <c r="AQ289" t="s">
        <v>2</v>
      </c>
      <c r="AR289" t="s">
        <v>1</v>
      </c>
      <c r="AS289" t="s">
        <v>1</v>
      </c>
      <c r="AT289" t="s">
        <v>1</v>
      </c>
      <c r="AU289" t="s">
        <v>1</v>
      </c>
      <c r="AV289" t="s">
        <v>1</v>
      </c>
      <c r="AW289" t="s">
        <v>11</v>
      </c>
      <c r="AX289">
        <f>Tabla1[[#This Row],[precio del paquete]]-Tabla1[[#This Row],[Saldo_Deudor]]</f>
        <v>9300</v>
      </c>
      <c r="AY289">
        <v>5500</v>
      </c>
      <c r="AZ289" t="s">
        <v>3</v>
      </c>
      <c r="BA289" t="s">
        <v>3</v>
      </c>
      <c r="BB289" t="s">
        <v>3</v>
      </c>
      <c r="BC289" t="s">
        <v>772</v>
      </c>
      <c r="BD289" t="s">
        <v>1891</v>
      </c>
      <c r="BE289" t="s">
        <v>3</v>
      </c>
      <c r="BF289" t="s">
        <v>3</v>
      </c>
      <c r="BG289" t="s">
        <v>3</v>
      </c>
      <c r="BH289" t="s">
        <v>3</v>
      </c>
      <c r="BI289" t="s">
        <v>3</v>
      </c>
      <c r="BJ289" t="s">
        <v>1938</v>
      </c>
      <c r="BK289" t="s">
        <v>3</v>
      </c>
      <c r="BL289" t="s">
        <v>132</v>
      </c>
      <c r="BM289" t="s">
        <v>1</v>
      </c>
      <c r="BN289">
        <f>Tabla1[[#This Row],[precio del paquete]]</f>
        <v>14800</v>
      </c>
      <c r="BO289" t="s">
        <v>1</v>
      </c>
      <c r="BP289" t="s">
        <v>1</v>
      </c>
      <c r="BQ289" t="s">
        <v>1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0</v>
      </c>
      <c r="BX289" t="s">
        <v>1</v>
      </c>
      <c r="BY289" t="s">
        <v>1</v>
      </c>
      <c r="BZ289" t="s">
        <v>1</v>
      </c>
      <c r="CA289" t="s">
        <v>1</v>
      </c>
      <c r="CB289" t="s">
        <v>1</v>
      </c>
      <c r="CD289" t="str" cm="1">
        <f t="array" aca="1" ref="CD289" ca="1">eConcatenar(A289:CB289,"|")</f>
        <v>5NSquN9xuREeOZKP|CAR2020-2690|3|MEMORIAL|TABASCO|CARDENAS|CARDENAS|2020-08-28|14800|X|100|50|0|0|0|0|0|0|0|0|0|0|0|0|0|0|0|COLORADO|HERNANDEZ|ELICEO|SOLTERO|X|X|CALLE 27 DE FEBRERO|RANCHERIA EL BAJIO PRIMERA SECCION|X|9371435865|X|X|X|CALLE 27 DE FEBRERO|X|LUNES|X|X|X|X|X|DOMICILIO |9300|5500|x|x|x|2022-12-02|2022-12-09|x|x|x|x|x|CUZ2SKRCKVTMLTR|x|HOMBRE|X|14800|X|X|X|X|X|X|X|X|CARDENAS|X|X|X|X|X</v>
      </c>
    </row>
    <row r="290" spans="1:82" x14ac:dyDescent="0.25">
      <c r="A290" t="s">
        <v>424</v>
      </c>
      <c r="B290" t="s">
        <v>730</v>
      </c>
      <c r="C290">
        <v>3</v>
      </c>
      <c r="D290" t="s">
        <v>763</v>
      </c>
      <c r="E290" t="s">
        <v>1398</v>
      </c>
      <c r="F290" t="s">
        <v>0</v>
      </c>
      <c r="G290" t="s">
        <v>0</v>
      </c>
      <c r="H290" t="s">
        <v>957</v>
      </c>
      <c r="I290">
        <v>12900</v>
      </c>
      <c r="J290" t="s">
        <v>1</v>
      </c>
      <c r="K290">
        <v>100</v>
      </c>
      <c r="L290">
        <v>50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1276</v>
      </c>
      <c r="AC290" t="s">
        <v>1333</v>
      </c>
      <c r="AD290" t="s">
        <v>1205</v>
      </c>
      <c r="AE290" t="s">
        <v>4</v>
      </c>
      <c r="AF290" t="s">
        <v>1</v>
      </c>
      <c r="AG290" t="s">
        <v>1</v>
      </c>
      <c r="AH290" t="s">
        <v>1640</v>
      </c>
      <c r="AI290" t="s">
        <v>1821</v>
      </c>
      <c r="AJ290" t="s">
        <v>1</v>
      </c>
      <c r="AK290">
        <v>9371536538</v>
      </c>
      <c r="AL290" t="s">
        <v>1</v>
      </c>
      <c r="AM290" t="s">
        <v>1</v>
      </c>
      <c r="AN290" t="s">
        <v>1</v>
      </c>
      <c r="AO290" t="s">
        <v>1640</v>
      </c>
      <c r="AP290" t="s">
        <v>1</v>
      </c>
      <c r="AQ290" t="s">
        <v>2</v>
      </c>
      <c r="AR290" t="s">
        <v>1</v>
      </c>
      <c r="AS290" t="s">
        <v>1</v>
      </c>
      <c r="AT290" t="s">
        <v>1</v>
      </c>
      <c r="AU290" t="s">
        <v>1</v>
      </c>
      <c r="AV290" t="s">
        <v>1</v>
      </c>
      <c r="AW290" t="s">
        <v>11</v>
      </c>
      <c r="AX290">
        <f>Tabla1[[#This Row],[precio del paquete]]-Tabla1[[#This Row],[Saldo_Deudor]]</f>
        <v>4100</v>
      </c>
      <c r="AY290">
        <v>8800</v>
      </c>
      <c r="AZ290" t="s">
        <v>3</v>
      </c>
      <c r="BA290" t="s">
        <v>3</v>
      </c>
      <c r="BB290" t="s">
        <v>3</v>
      </c>
      <c r="BC290" t="s">
        <v>772</v>
      </c>
      <c r="BD290" t="s">
        <v>1891</v>
      </c>
      <c r="BE290" t="s">
        <v>3</v>
      </c>
      <c r="BF290" t="s">
        <v>3</v>
      </c>
      <c r="BG290" t="s">
        <v>3</v>
      </c>
      <c r="BH290" t="s">
        <v>3</v>
      </c>
      <c r="BI290" t="s">
        <v>3</v>
      </c>
      <c r="BJ290" t="s">
        <v>1938</v>
      </c>
      <c r="BK290" t="s">
        <v>3</v>
      </c>
      <c r="BL290" t="s">
        <v>132</v>
      </c>
      <c r="BM290" t="s">
        <v>1</v>
      </c>
      <c r="BN290">
        <f>Tabla1[[#This Row],[precio del paquete]]</f>
        <v>12900</v>
      </c>
      <c r="BO290" t="s">
        <v>1</v>
      </c>
      <c r="BP290" t="s">
        <v>1</v>
      </c>
      <c r="BQ290" t="s">
        <v>1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0</v>
      </c>
      <c r="BX290" t="s">
        <v>1</v>
      </c>
      <c r="BY290" t="s">
        <v>1</v>
      </c>
      <c r="BZ290" t="s">
        <v>1</v>
      </c>
      <c r="CA290" t="s">
        <v>1</v>
      </c>
      <c r="CB290" t="s">
        <v>1</v>
      </c>
      <c r="CD290" t="str" cm="1">
        <f t="array" aca="1" ref="CD290" ca="1">eConcatenar(A290:CB290,"|")</f>
        <v>aJ4HAwzngVJy9hnc|CAR2020-3691|3|IMPERIAL DE LUJO|TABASCO|CARDENAS|CARDENAS|2020-06-10|12900|X|100|50|0|0|0|0|0|0|0|0|0|0|0|0|0|0|0|MARTINEZ|HIDALGO|WILLY DAVID|SOLTERO|X|X|CALLE 27 DE FEBRERO SIN NUMERO|COLONIA BAJIO PRIMERA SECCION|X|9371536538|X|X|X|CALLE 27 DE FEBRERO SIN NUMERO|X|LUNES|X|X|X|X|X|DOMICILIO |4100|8800|x|x|x|2022-12-02|2022-12-09|x|x|x|x|x|CUZ2SKRCKVTMLTR|x|HOMBRE|X|12900|X|X|X|X|X|X|X|X|CARDENAS|X|X|X|X|X</v>
      </c>
    </row>
    <row r="291" spans="1:82" x14ac:dyDescent="0.25">
      <c r="A291" t="s">
        <v>425</v>
      </c>
      <c r="B291" t="s">
        <v>731</v>
      </c>
      <c r="C291">
        <v>3</v>
      </c>
      <c r="D291" t="s">
        <v>766</v>
      </c>
      <c r="E291" t="s">
        <v>1398</v>
      </c>
      <c r="F291" t="s">
        <v>0</v>
      </c>
      <c r="G291" t="s">
        <v>0</v>
      </c>
      <c r="H291" t="s">
        <v>966</v>
      </c>
      <c r="I291">
        <v>12900</v>
      </c>
      <c r="J291" t="s">
        <v>1</v>
      </c>
      <c r="K291">
        <v>100</v>
      </c>
      <c r="L291">
        <v>50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1365</v>
      </c>
      <c r="AC291" t="s">
        <v>1385</v>
      </c>
      <c r="AD291" t="s">
        <v>1206</v>
      </c>
      <c r="AE291" t="s">
        <v>4</v>
      </c>
      <c r="AF291" t="s">
        <v>1</v>
      </c>
      <c r="AG291" t="s">
        <v>1</v>
      </c>
      <c r="AH291" t="s">
        <v>1640</v>
      </c>
      <c r="AI291" t="s">
        <v>1821</v>
      </c>
      <c r="AJ291" t="s">
        <v>1</v>
      </c>
      <c r="AK291">
        <v>9372284367</v>
      </c>
      <c r="AL291" t="s">
        <v>1</v>
      </c>
      <c r="AM291" t="s">
        <v>1</v>
      </c>
      <c r="AN291" t="s">
        <v>1</v>
      </c>
      <c r="AO291" t="s">
        <v>1640</v>
      </c>
      <c r="AP291" t="s">
        <v>1</v>
      </c>
      <c r="AQ291" t="s">
        <v>2</v>
      </c>
      <c r="AR291" t="s">
        <v>1</v>
      </c>
      <c r="AS291" t="s">
        <v>1</v>
      </c>
      <c r="AT291" t="s">
        <v>1</v>
      </c>
      <c r="AU291" t="s">
        <v>1</v>
      </c>
      <c r="AV291" t="s">
        <v>1</v>
      </c>
      <c r="AW291" t="s">
        <v>11</v>
      </c>
      <c r="AX291">
        <f>Tabla1[[#This Row],[precio del paquete]]-Tabla1[[#This Row],[Saldo_Deudor]]</f>
        <v>7505</v>
      </c>
      <c r="AY291">
        <v>5395</v>
      </c>
      <c r="AZ291" t="s">
        <v>3</v>
      </c>
      <c r="BA291" t="s">
        <v>3</v>
      </c>
      <c r="BB291" t="s">
        <v>3</v>
      </c>
      <c r="BC291" t="s">
        <v>772</v>
      </c>
      <c r="BD291" t="s">
        <v>1891</v>
      </c>
      <c r="BE291" t="s">
        <v>3</v>
      </c>
      <c r="BF291" t="s">
        <v>3</v>
      </c>
      <c r="BG291" t="s">
        <v>3</v>
      </c>
      <c r="BH291" t="s">
        <v>3</v>
      </c>
      <c r="BI291" t="s">
        <v>3</v>
      </c>
      <c r="BJ291" t="s">
        <v>1938</v>
      </c>
      <c r="BK291" t="s">
        <v>3</v>
      </c>
      <c r="BL291" t="s">
        <v>132</v>
      </c>
      <c r="BM291" t="s">
        <v>1</v>
      </c>
      <c r="BN291">
        <f>Tabla1[[#This Row],[precio del paquete]]</f>
        <v>12900</v>
      </c>
      <c r="BO291" t="s">
        <v>1</v>
      </c>
      <c r="BP291" t="s">
        <v>1</v>
      </c>
      <c r="BQ291" t="s">
        <v>1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0</v>
      </c>
      <c r="BX291" t="s">
        <v>1</v>
      </c>
      <c r="BY291" t="s">
        <v>1</v>
      </c>
      <c r="BZ291" t="s">
        <v>1</v>
      </c>
      <c r="CA291" t="s">
        <v>1</v>
      </c>
      <c r="CB291" t="s">
        <v>1</v>
      </c>
      <c r="CD291" t="str" cm="1">
        <f t="array" aca="1" ref="CD291" ca="1">eConcatenar(A291:CB291,"|")</f>
        <v>G0aJ42CP06dJ9nDp|CAR2020-2807|3|ECONOLINE|TABASCO|CARDENAS|CARDENAS|2020-08-29|12900|X|100|50|0|0|0|0|0|0|0|0|0|0|0|0|0|0|0|CONTRERAS|ORDUÃ‘EZ|NINIVE|SOLTERO|X|X|CALLE 27 DE FEBRERO SIN NUMERO|COLONIA BAJIO PRIMERA SECCION|X|9372284367|X|X|X|CALLE 27 DE FEBRERO SIN NUMERO|X|LUNES|X|X|X|X|X|DOMICILIO |7505|5395|x|x|x|2022-12-02|2022-12-09|x|x|x|x|x|CUZ2SKRCKVTMLTR|x|HOMBRE|X|12900|X|X|X|X|X|X|X|X|CARDENAS|X|X|X|X|X</v>
      </c>
    </row>
    <row r="292" spans="1:82" x14ac:dyDescent="0.25">
      <c r="A292" t="s">
        <v>426</v>
      </c>
      <c r="B292" t="s">
        <v>732</v>
      </c>
      <c r="C292">
        <v>3</v>
      </c>
      <c r="D292" t="s">
        <v>766</v>
      </c>
      <c r="E292" t="s">
        <v>1398</v>
      </c>
      <c r="F292" t="s">
        <v>0</v>
      </c>
      <c r="G292" t="s">
        <v>0</v>
      </c>
      <c r="H292" t="s">
        <v>967</v>
      </c>
      <c r="I292">
        <v>12900</v>
      </c>
      <c r="J292" t="s">
        <v>1</v>
      </c>
      <c r="K292">
        <v>100</v>
      </c>
      <c r="L292">
        <v>50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7</v>
      </c>
      <c r="AC292" t="s">
        <v>1386</v>
      </c>
      <c r="AD292" t="s">
        <v>1207</v>
      </c>
      <c r="AE292" t="s">
        <v>4</v>
      </c>
      <c r="AF292" t="s">
        <v>1</v>
      </c>
      <c r="AG292" t="s">
        <v>1</v>
      </c>
      <c r="AH292" t="s">
        <v>1641</v>
      </c>
      <c r="AI292" t="s">
        <v>1822</v>
      </c>
      <c r="AJ292" t="s">
        <v>1</v>
      </c>
      <c r="AK292">
        <v>9371638220</v>
      </c>
      <c r="AL292" t="s">
        <v>1</v>
      </c>
      <c r="AM292" t="s">
        <v>1</v>
      </c>
      <c r="AN292" t="s">
        <v>1</v>
      </c>
      <c r="AO292" t="s">
        <v>1641</v>
      </c>
      <c r="AP292" t="s">
        <v>1</v>
      </c>
      <c r="AQ292" t="s">
        <v>2</v>
      </c>
      <c r="AR292" t="s">
        <v>1</v>
      </c>
      <c r="AS292" t="s">
        <v>1</v>
      </c>
      <c r="AT292" t="s">
        <v>1</v>
      </c>
      <c r="AU292" t="s">
        <v>1</v>
      </c>
      <c r="AV292" t="s">
        <v>1</v>
      </c>
      <c r="AW292" t="s">
        <v>11</v>
      </c>
      <c r="AX292">
        <f>Tabla1[[#This Row],[precio del paquete]]-Tabla1[[#This Row],[Saldo_Deudor]]</f>
        <v>7000</v>
      </c>
      <c r="AY292">
        <v>5900</v>
      </c>
      <c r="AZ292" t="s">
        <v>3</v>
      </c>
      <c r="BA292" t="s">
        <v>3</v>
      </c>
      <c r="BB292" t="s">
        <v>3</v>
      </c>
      <c r="BC292" t="s">
        <v>772</v>
      </c>
      <c r="BD292" t="s">
        <v>1891</v>
      </c>
      <c r="BE292" t="s">
        <v>3</v>
      </c>
      <c r="BF292" t="s">
        <v>3</v>
      </c>
      <c r="BG292" t="s">
        <v>3</v>
      </c>
      <c r="BH292" t="s">
        <v>3</v>
      </c>
      <c r="BI292" t="s">
        <v>3</v>
      </c>
      <c r="BJ292" t="s">
        <v>1938</v>
      </c>
      <c r="BK292" t="s">
        <v>3</v>
      </c>
      <c r="BL292" t="s">
        <v>132</v>
      </c>
      <c r="BM292" t="s">
        <v>1</v>
      </c>
      <c r="BN292">
        <f>Tabla1[[#This Row],[precio del paquete]]</f>
        <v>12900</v>
      </c>
      <c r="BO292" t="s">
        <v>1</v>
      </c>
      <c r="BP292" t="s">
        <v>1</v>
      </c>
      <c r="BQ292" t="s">
        <v>1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0</v>
      </c>
      <c r="BX292" t="s">
        <v>1</v>
      </c>
      <c r="BY292" t="s">
        <v>1</v>
      </c>
      <c r="BZ292" t="s">
        <v>1</v>
      </c>
      <c r="CA292" t="s">
        <v>1</v>
      </c>
      <c r="CB292" t="s">
        <v>1</v>
      </c>
      <c r="CD292" t="str" cm="1">
        <f t="array" aca="1" ref="CD292" ca="1">eConcatenar(A292:CB292,"|")</f>
        <v>wBYuL1NQXy5SrnyZ|CAR2020-2644|3|ECONOLINE|TABASCO|CARDENAS|CARDENAS|2020-08-24|12900|X|100|50|0|0|0|0|0|0|0|0|0|0|0|0|0|0|0|LOPEZ|IGUERRA|MIRELLA|SOLTERO|X|X|DESPUES DEL CECATI|COLONIA EL BAJIO|X|9371638220|X|X|X|DESPUES DEL CECATI|X|LUNES|X|X|X|X|X|DOMICILIO |7000|5900|x|x|x|2022-12-02|2022-12-09|x|x|x|x|x|CUZ2SKRCKVTMLTR|x|HOMBRE|X|12900|X|X|X|X|X|X|X|X|CARDENAS|X|X|X|X|X</v>
      </c>
    </row>
    <row r="293" spans="1:82" x14ac:dyDescent="0.25">
      <c r="A293" t="s">
        <v>427</v>
      </c>
      <c r="B293" t="s">
        <v>733</v>
      </c>
      <c r="C293">
        <v>3</v>
      </c>
      <c r="D293" t="s">
        <v>765</v>
      </c>
      <c r="E293" t="s">
        <v>1398</v>
      </c>
      <c r="F293" t="s">
        <v>0</v>
      </c>
      <c r="G293" t="s">
        <v>0</v>
      </c>
      <c r="H293" t="s">
        <v>881</v>
      </c>
      <c r="I293">
        <v>19800</v>
      </c>
      <c r="J293" t="s">
        <v>1</v>
      </c>
      <c r="K293">
        <v>100</v>
      </c>
      <c r="L293">
        <v>50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1228</v>
      </c>
      <c r="AC293" t="s">
        <v>1387</v>
      </c>
      <c r="AD293" t="s">
        <v>1053</v>
      </c>
      <c r="AE293" t="s">
        <v>4</v>
      </c>
      <c r="AF293" t="s">
        <v>1</v>
      </c>
      <c r="AG293" t="s">
        <v>1</v>
      </c>
      <c r="AH293" t="s">
        <v>1642</v>
      </c>
      <c r="AI293" t="s">
        <v>1753</v>
      </c>
      <c r="AJ293" t="s">
        <v>1</v>
      </c>
      <c r="AK293">
        <v>9371281521</v>
      </c>
      <c r="AL293" t="s">
        <v>1</v>
      </c>
      <c r="AM293" t="s">
        <v>1</v>
      </c>
      <c r="AN293" t="s">
        <v>1</v>
      </c>
      <c r="AO293" t="s">
        <v>1642</v>
      </c>
      <c r="AP293" t="s">
        <v>1</v>
      </c>
      <c r="AQ293" t="s">
        <v>2</v>
      </c>
      <c r="AR293" t="s">
        <v>1</v>
      </c>
      <c r="AS293" t="s">
        <v>1</v>
      </c>
      <c r="AT293" t="s">
        <v>1</v>
      </c>
      <c r="AU293" t="s">
        <v>1</v>
      </c>
      <c r="AV293" t="s">
        <v>1</v>
      </c>
      <c r="AW293" t="s">
        <v>11</v>
      </c>
      <c r="AX293">
        <f>Tabla1[[#This Row],[precio del paquete]]-Tabla1[[#This Row],[Saldo_Deudor]]</f>
        <v>8000</v>
      </c>
      <c r="AY293">
        <v>11800</v>
      </c>
      <c r="AZ293" t="s">
        <v>3</v>
      </c>
      <c r="BA293" t="s">
        <v>3</v>
      </c>
      <c r="BB293" t="s">
        <v>3</v>
      </c>
      <c r="BC293" t="s">
        <v>772</v>
      </c>
      <c r="BD293" t="s">
        <v>1891</v>
      </c>
      <c r="BE293" t="s">
        <v>3</v>
      </c>
      <c r="BF293" t="s">
        <v>3</v>
      </c>
      <c r="BG293" t="s">
        <v>3</v>
      </c>
      <c r="BH293" t="s">
        <v>3</v>
      </c>
      <c r="BI293" t="s">
        <v>3</v>
      </c>
      <c r="BJ293" t="s">
        <v>1938</v>
      </c>
      <c r="BK293" t="s">
        <v>3</v>
      </c>
      <c r="BL293" t="s">
        <v>132</v>
      </c>
      <c r="BM293" t="s">
        <v>1</v>
      </c>
      <c r="BN293">
        <f>Tabla1[[#This Row],[precio del paquete]]</f>
        <v>19800</v>
      </c>
      <c r="BO293" t="s">
        <v>1</v>
      </c>
      <c r="BP293" t="s">
        <v>1</v>
      </c>
      <c r="BQ293" t="s">
        <v>1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0</v>
      </c>
      <c r="BX293" t="s">
        <v>1</v>
      </c>
      <c r="BY293" t="s">
        <v>1</v>
      </c>
      <c r="BZ293" t="s">
        <v>1</v>
      </c>
      <c r="CA293" t="s">
        <v>1</v>
      </c>
      <c r="CB293" t="s">
        <v>1</v>
      </c>
      <c r="CD293" t="str" cm="1">
        <f t="array" aca="1" ref="CD293" ca="1">eConcatenar(A293:CB293,"|")</f>
        <v>zGCG0GqICP05B4ol|CAR2020-2682|3|ZAFIRO|TABASCO|CARDENAS|CARDENAS|2020-08-27|19800|X|100|50|0|0|0|0|0|0|0|0|0|0|0|0|0|0|0|RAMOS|NARAREN|PEDRO|SOLTERO|X|X|CALLE JARDIN DE TABASCO|COLONIA JULIAN MONTEJO|X|9371281521|X|X|X|CALLE JARDIN DE TABASCO|X|LUNES|X|X|X|X|X|DOMICILIO |8000|11800|x|x|x|2022-12-02|2022-12-09|x|x|x|x|x|CUZ2SKRCKVTMLTR|x|HOMBRE|X|19800|X|X|X|X|X|X|X|X|CARDENAS|X|X|X|X|X</v>
      </c>
    </row>
    <row r="294" spans="1:82" x14ac:dyDescent="0.25">
      <c r="A294" t="s">
        <v>428</v>
      </c>
      <c r="B294" t="s">
        <v>734</v>
      </c>
      <c r="C294">
        <v>3</v>
      </c>
      <c r="D294" t="s">
        <v>761</v>
      </c>
      <c r="E294" t="s">
        <v>1398</v>
      </c>
      <c r="F294" t="s">
        <v>0</v>
      </c>
      <c r="G294" t="s">
        <v>0</v>
      </c>
      <c r="H294" t="s">
        <v>968</v>
      </c>
      <c r="I294">
        <v>14800</v>
      </c>
      <c r="J294" t="s">
        <v>1</v>
      </c>
      <c r="K294">
        <v>100</v>
      </c>
      <c r="L294">
        <v>50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1227</v>
      </c>
      <c r="AC294" t="s">
        <v>1348</v>
      </c>
      <c r="AD294" t="s">
        <v>1020</v>
      </c>
      <c r="AE294" t="s">
        <v>4</v>
      </c>
      <c r="AF294" t="s">
        <v>1</v>
      </c>
      <c r="AG294" t="s">
        <v>1</v>
      </c>
      <c r="AH294" t="s">
        <v>1643</v>
      </c>
      <c r="AI294" t="s">
        <v>1751</v>
      </c>
      <c r="AJ294" t="s">
        <v>1</v>
      </c>
      <c r="AK294">
        <v>9334036511</v>
      </c>
      <c r="AL294" t="s">
        <v>1</v>
      </c>
      <c r="AM294" t="s">
        <v>1</v>
      </c>
      <c r="AN294" t="s">
        <v>1</v>
      </c>
      <c r="AO294" t="s">
        <v>1643</v>
      </c>
      <c r="AP294" t="s">
        <v>1</v>
      </c>
      <c r="AQ294" t="s">
        <v>2</v>
      </c>
      <c r="AR294" t="s">
        <v>1</v>
      </c>
      <c r="AS294" t="s">
        <v>1</v>
      </c>
      <c r="AT294" t="s">
        <v>1</v>
      </c>
      <c r="AU294" t="s">
        <v>1</v>
      </c>
      <c r="AV294" t="s">
        <v>1</v>
      </c>
      <c r="AW294" t="s">
        <v>11</v>
      </c>
      <c r="AX294">
        <f>Tabla1[[#This Row],[precio del paquete]]-Tabla1[[#This Row],[Saldo_Deudor]]</f>
        <v>3300</v>
      </c>
      <c r="AY294">
        <v>11500</v>
      </c>
      <c r="AZ294" t="s">
        <v>3</v>
      </c>
      <c r="BA294" t="s">
        <v>3</v>
      </c>
      <c r="BB294" t="s">
        <v>3</v>
      </c>
      <c r="BC294" t="s">
        <v>772</v>
      </c>
      <c r="BD294" t="s">
        <v>1891</v>
      </c>
      <c r="BE294" t="s">
        <v>3</v>
      </c>
      <c r="BF294" t="s">
        <v>3</v>
      </c>
      <c r="BG294" t="s">
        <v>3</v>
      </c>
      <c r="BH294" t="s">
        <v>3</v>
      </c>
      <c r="BI294" t="s">
        <v>3</v>
      </c>
      <c r="BJ294" t="s">
        <v>1938</v>
      </c>
      <c r="BK294" t="s">
        <v>3</v>
      </c>
      <c r="BL294" t="s">
        <v>132</v>
      </c>
      <c r="BM294" t="s">
        <v>1</v>
      </c>
      <c r="BN294">
        <f>Tabla1[[#This Row],[precio del paquete]]</f>
        <v>14800</v>
      </c>
      <c r="BO294" t="s">
        <v>1</v>
      </c>
      <c r="BP294" t="s">
        <v>1</v>
      </c>
      <c r="BQ294" t="s">
        <v>1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0</v>
      </c>
      <c r="BX294" t="s">
        <v>1</v>
      </c>
      <c r="BY294" t="s">
        <v>1</v>
      </c>
      <c r="BZ294" t="s">
        <v>1</v>
      </c>
      <c r="CA294" t="s">
        <v>1</v>
      </c>
      <c r="CB294" t="s">
        <v>1</v>
      </c>
      <c r="CD294" t="str" cm="1">
        <f t="array" aca="1" ref="CD294" ca="1">eConcatenar(A294:CB294,"|")</f>
        <v>O2sm5EYl86QMcxb2|CAR20221-2220|3|MEMORIAL|TABASCO|CARDENAS|CARDENAS|2021-08-28|14800|X|100|50|0|0|0|0|0|0|0|0|0|0|0|0|0|0|0|GARCIA|MARCHENA|MARIA CRUZ|SOLTERO|X|X|CALLE 4|EJIDO BAJIO SEGUNDA SECCION|X|9334036511|X|X|X|CALLE 4|X|LUNES|X|X|X|X|X|DOMICILIO |3300|11500|x|x|x|2022-12-02|2022-12-09|x|x|x|x|x|CUZ2SKRCKVTMLTR|x|HOMBRE|X|14800|X|X|X|X|X|X|X|X|CARDENAS|X|X|X|X|X</v>
      </c>
    </row>
    <row r="295" spans="1:82" x14ac:dyDescent="0.25">
      <c r="A295" t="s">
        <v>429</v>
      </c>
      <c r="B295" t="s">
        <v>735</v>
      </c>
      <c r="C295">
        <v>3</v>
      </c>
      <c r="D295" t="s">
        <v>764</v>
      </c>
      <c r="E295" t="s">
        <v>1398</v>
      </c>
      <c r="F295" t="s">
        <v>0</v>
      </c>
      <c r="G295" t="s">
        <v>0</v>
      </c>
      <c r="H295" t="s">
        <v>935</v>
      </c>
      <c r="I295">
        <v>31500</v>
      </c>
      <c r="J295" t="s">
        <v>1</v>
      </c>
      <c r="K295">
        <v>100</v>
      </c>
      <c r="L295">
        <v>50</v>
      </c>
      <c r="M295">
        <v>2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1247</v>
      </c>
      <c r="AC295" t="s">
        <v>1359</v>
      </c>
      <c r="AD295" t="s">
        <v>996</v>
      </c>
      <c r="AE295" t="s">
        <v>4</v>
      </c>
      <c r="AF295" t="s">
        <v>1</v>
      </c>
      <c r="AG295" t="s">
        <v>1</v>
      </c>
      <c r="AH295" t="s">
        <v>1644</v>
      </c>
      <c r="AI295" t="s">
        <v>1821</v>
      </c>
      <c r="AJ295" t="s">
        <v>1</v>
      </c>
      <c r="AK295">
        <v>9371053523</v>
      </c>
      <c r="AL295" t="s">
        <v>1</v>
      </c>
      <c r="AM295" t="s">
        <v>1</v>
      </c>
      <c r="AN295" t="s">
        <v>1</v>
      </c>
      <c r="AO295" t="s">
        <v>1644</v>
      </c>
      <c r="AP295" t="s">
        <v>1</v>
      </c>
      <c r="AQ295" t="s">
        <v>2</v>
      </c>
      <c r="AR295" t="s">
        <v>1</v>
      </c>
      <c r="AS295" t="s">
        <v>1</v>
      </c>
      <c r="AT295" t="s">
        <v>1</v>
      </c>
      <c r="AU295" t="s">
        <v>1</v>
      </c>
      <c r="AV295" t="s">
        <v>1</v>
      </c>
      <c r="AW295" t="s">
        <v>11</v>
      </c>
      <c r="AX295">
        <f>Tabla1[[#This Row],[precio del paquete]]-Tabla1[[#This Row],[Saldo_Deudor]]</f>
        <v>8200</v>
      </c>
      <c r="AY295">
        <v>23300</v>
      </c>
      <c r="AZ295" t="s">
        <v>3</v>
      </c>
      <c r="BA295" t="s">
        <v>3</v>
      </c>
      <c r="BB295" t="s">
        <v>3</v>
      </c>
      <c r="BC295" t="s">
        <v>772</v>
      </c>
      <c r="BD295" t="s">
        <v>1891</v>
      </c>
      <c r="BE295" t="s">
        <v>3</v>
      </c>
      <c r="BF295" t="s">
        <v>3</v>
      </c>
      <c r="BG295" t="s">
        <v>3</v>
      </c>
      <c r="BH295" t="s">
        <v>3</v>
      </c>
      <c r="BI295" t="s">
        <v>3</v>
      </c>
      <c r="BJ295" t="s">
        <v>1938</v>
      </c>
      <c r="BK295" t="s">
        <v>3</v>
      </c>
      <c r="BL295" t="s">
        <v>132</v>
      </c>
      <c r="BM295" t="s">
        <v>1</v>
      </c>
      <c r="BN295">
        <f>Tabla1[[#This Row],[precio del paquete]]</f>
        <v>31500</v>
      </c>
      <c r="BO295" t="s">
        <v>1</v>
      </c>
      <c r="BP295" t="s">
        <v>1</v>
      </c>
      <c r="BQ295" t="s">
        <v>1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0</v>
      </c>
      <c r="BX295" t="s">
        <v>1</v>
      </c>
      <c r="BY295" t="s">
        <v>1</v>
      </c>
      <c r="BZ295" t="s">
        <v>1</v>
      </c>
      <c r="CA295" t="s">
        <v>1</v>
      </c>
      <c r="CB295" t="s">
        <v>1</v>
      </c>
      <c r="CD295" t="str" cm="1">
        <f t="array" aca="1" ref="CD295" ca="1">eConcatenar(A295:CB295,"|")</f>
        <v>L1F7xky3hofaJNL6|CAR2020-2656|3|PRESIDENCIAL|TABASCO|CARDENAS|CARDENAS|2020-08-25|31500|X|100|50|2|0|0|0|0|0|0|0|0|0|0|0|0|0|0|SANCHEZ|BROCA|JOSE GUADALUPE|SOLTERO|X|X|CERRADA 7 DE MAYO|COLONIA BAJIO PRIMERA SECCION|X|9371053523|X|X|X|CERRADA 7 DE MAYO|X|LUNES|X|X|X|X|X|DOMICILIO |8200|23300|x|x|x|2022-12-02|2022-12-09|x|x|x|x|x|CUZ2SKRCKVTMLTR|x|HOMBRE|X|31500|X|X|X|X|X|X|X|X|CARDENAS|X|X|X|X|X</v>
      </c>
    </row>
    <row r="296" spans="1:82" x14ac:dyDescent="0.25">
      <c r="A296" t="s">
        <v>430</v>
      </c>
      <c r="B296" t="s">
        <v>736</v>
      </c>
      <c r="C296">
        <v>3</v>
      </c>
      <c r="D296" t="s">
        <v>763</v>
      </c>
      <c r="E296" t="s">
        <v>1398</v>
      </c>
      <c r="F296" t="s">
        <v>0</v>
      </c>
      <c r="G296" t="s">
        <v>0</v>
      </c>
      <c r="H296" t="s">
        <v>969</v>
      </c>
      <c r="I296">
        <v>12900</v>
      </c>
      <c r="J296" t="s">
        <v>1</v>
      </c>
      <c r="K296">
        <v>100</v>
      </c>
      <c r="L296">
        <v>50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1346</v>
      </c>
      <c r="AC296" t="s">
        <v>1346</v>
      </c>
      <c r="AD296" t="s">
        <v>1208</v>
      </c>
      <c r="AE296" t="s">
        <v>4</v>
      </c>
      <c r="AF296" t="s">
        <v>1</v>
      </c>
      <c r="AG296" t="s">
        <v>1</v>
      </c>
      <c r="AH296" t="s">
        <v>1645</v>
      </c>
      <c r="AI296" t="s">
        <v>1709</v>
      </c>
      <c r="AJ296" t="s">
        <v>1</v>
      </c>
      <c r="AK296">
        <v>9371253087</v>
      </c>
      <c r="AL296" t="s">
        <v>1</v>
      </c>
      <c r="AM296" t="s">
        <v>1</v>
      </c>
      <c r="AN296" t="s">
        <v>1</v>
      </c>
      <c r="AO296" t="s">
        <v>1645</v>
      </c>
      <c r="AP296" t="s">
        <v>1</v>
      </c>
      <c r="AQ296" t="s">
        <v>2</v>
      </c>
      <c r="AR296" t="s">
        <v>1</v>
      </c>
      <c r="AS296" t="s">
        <v>1</v>
      </c>
      <c r="AT296" t="s">
        <v>1</v>
      </c>
      <c r="AU296" t="s">
        <v>1</v>
      </c>
      <c r="AV296" t="s">
        <v>1</v>
      </c>
      <c r="AW296" t="s">
        <v>11</v>
      </c>
      <c r="AX296">
        <f>Tabla1[[#This Row],[precio del paquete]]-Tabla1[[#This Row],[Saldo_Deudor]]</f>
        <v>7200</v>
      </c>
      <c r="AY296">
        <v>5700</v>
      </c>
      <c r="AZ296" t="s">
        <v>3</v>
      </c>
      <c r="BA296" t="s">
        <v>3</v>
      </c>
      <c r="BB296" t="s">
        <v>3</v>
      </c>
      <c r="BC296" t="s">
        <v>772</v>
      </c>
      <c r="BD296" t="s">
        <v>1891</v>
      </c>
      <c r="BE296" t="s">
        <v>3</v>
      </c>
      <c r="BF296" t="s">
        <v>3</v>
      </c>
      <c r="BG296" t="s">
        <v>3</v>
      </c>
      <c r="BH296" t="s">
        <v>3</v>
      </c>
      <c r="BI296" t="s">
        <v>3</v>
      </c>
      <c r="BJ296" t="s">
        <v>1938</v>
      </c>
      <c r="BK296" t="s">
        <v>3</v>
      </c>
      <c r="BL296" t="s">
        <v>132</v>
      </c>
      <c r="BM296" t="s">
        <v>1</v>
      </c>
      <c r="BN296">
        <f>Tabla1[[#This Row],[precio del paquete]]</f>
        <v>12900</v>
      </c>
      <c r="BO296" t="s">
        <v>1</v>
      </c>
      <c r="BP296" t="s">
        <v>1</v>
      </c>
      <c r="BQ296" t="s">
        <v>1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0</v>
      </c>
      <c r="BX296" t="s">
        <v>1</v>
      </c>
      <c r="BY296" t="s">
        <v>1</v>
      </c>
      <c r="BZ296" t="s">
        <v>1</v>
      </c>
      <c r="CA296" t="s">
        <v>1</v>
      </c>
      <c r="CB296" t="s">
        <v>1</v>
      </c>
      <c r="CD296" t="str" cm="1">
        <f t="array" aca="1" ref="CD296" ca="1">eConcatenar(A296:CB296,"|")</f>
        <v>YejsIzWx0zmhppVl|CAR2020-4294|3|IMPERIAL DE LUJO|TABASCO|CARDENAS|CARDENAS|2020-10-26|12900|X|100|50|0|0|0|0|0|0|0|0|0|0|0|0|0|0|0|YZQUIERDO|YZQUIERDO|MARIA CRISTINA|SOLTERO|X|X|ANDADOR TRINIDAD FUENTES NUMERO 16|INFONAVIT LOMA BONITA|X|9371253087|X|X|X|ANDADOR TRINIDAD FUENTES NUMERO 16|X|LUNES|X|X|X|X|X|DOMICILIO |7200|5700|x|x|x|2022-12-02|2022-12-09|x|x|x|x|x|CUZ2SKRCKVTMLTR|x|HOMBRE|X|12900|X|X|X|X|X|X|X|X|CARDENAS|X|X|X|X|X</v>
      </c>
    </row>
    <row r="297" spans="1:82" x14ac:dyDescent="0.25">
      <c r="A297" t="s">
        <v>431</v>
      </c>
      <c r="B297" t="s">
        <v>737</v>
      </c>
      <c r="C297">
        <v>3</v>
      </c>
      <c r="D297" t="s">
        <v>761</v>
      </c>
      <c r="E297" t="s">
        <v>1398</v>
      </c>
      <c r="F297" t="s">
        <v>0</v>
      </c>
      <c r="G297" t="s">
        <v>0</v>
      </c>
      <c r="H297" t="s">
        <v>970</v>
      </c>
      <c r="I297">
        <v>14800</v>
      </c>
      <c r="J297" t="s">
        <v>1</v>
      </c>
      <c r="K297">
        <v>100</v>
      </c>
      <c r="L297">
        <v>50</v>
      </c>
      <c r="M297">
        <v>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1260</v>
      </c>
      <c r="AC297" t="s">
        <v>1256</v>
      </c>
      <c r="AD297" t="s">
        <v>1209</v>
      </c>
      <c r="AE297" t="s">
        <v>4</v>
      </c>
      <c r="AF297" t="s">
        <v>1</v>
      </c>
      <c r="AG297" t="s">
        <v>1</v>
      </c>
      <c r="AH297" t="s">
        <v>1638</v>
      </c>
      <c r="AI297" t="s">
        <v>1823</v>
      </c>
      <c r="AJ297" t="s">
        <v>1</v>
      </c>
      <c r="AK297">
        <v>9371891678</v>
      </c>
      <c r="AL297" t="s">
        <v>1</v>
      </c>
      <c r="AM297" t="s">
        <v>1</v>
      </c>
      <c r="AN297" t="s">
        <v>1</v>
      </c>
      <c r="AO297" t="s">
        <v>1638</v>
      </c>
      <c r="AP297" t="s">
        <v>1</v>
      </c>
      <c r="AQ297" t="s">
        <v>2</v>
      </c>
      <c r="AR297" t="s">
        <v>1</v>
      </c>
      <c r="AS297" t="s">
        <v>1</v>
      </c>
      <c r="AT297" t="s">
        <v>1</v>
      </c>
      <c r="AU297" t="s">
        <v>1</v>
      </c>
      <c r="AV297" t="s">
        <v>1</v>
      </c>
      <c r="AW297" t="s">
        <v>11</v>
      </c>
      <c r="AX297">
        <f>Tabla1[[#This Row],[precio del paquete]]-Tabla1[[#This Row],[Saldo_Deudor]]</f>
        <v>700</v>
      </c>
      <c r="AY297">
        <v>14100</v>
      </c>
      <c r="AZ297" t="s">
        <v>3</v>
      </c>
      <c r="BA297" t="s">
        <v>3</v>
      </c>
      <c r="BB297" t="s">
        <v>3</v>
      </c>
      <c r="BC297" t="s">
        <v>772</v>
      </c>
      <c r="BD297" t="s">
        <v>1891</v>
      </c>
      <c r="BE297" t="s">
        <v>3</v>
      </c>
      <c r="BF297" t="s">
        <v>3</v>
      </c>
      <c r="BG297" t="s">
        <v>3</v>
      </c>
      <c r="BH297" t="s">
        <v>3</v>
      </c>
      <c r="BI297" t="s">
        <v>3</v>
      </c>
      <c r="BJ297" t="s">
        <v>1938</v>
      </c>
      <c r="BK297" t="s">
        <v>3</v>
      </c>
      <c r="BL297" t="s">
        <v>132</v>
      </c>
      <c r="BM297" t="s">
        <v>1</v>
      </c>
      <c r="BN297">
        <f>Tabla1[[#This Row],[precio del paquete]]</f>
        <v>14800</v>
      </c>
      <c r="BO297" t="s">
        <v>1</v>
      </c>
      <c r="BP297" t="s">
        <v>1</v>
      </c>
      <c r="BQ297" t="s">
        <v>1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0</v>
      </c>
      <c r="BX297" t="s">
        <v>1</v>
      </c>
      <c r="BY297" t="s">
        <v>1</v>
      </c>
      <c r="BZ297" t="s">
        <v>1</v>
      </c>
      <c r="CA297" t="s">
        <v>1</v>
      </c>
      <c r="CB297" t="s">
        <v>1</v>
      </c>
      <c r="CD297" t="str" cm="1">
        <f t="array" aca="1" ref="CD297" ca="1">eConcatenar(A297:CB297,"|")</f>
        <v>25rjGlBWfgxyEcgb|CAR2021-5861|3|MEMORIAL|TABASCO|CARDENAS|CARDENAS|2021-07-10|14800|X|100|50|2|0|0|0|0|0|0|0|0|0|0|0|0|0|0|GONZALEZ|OLAN|MAGALY|SOLTERO|X|X|PERIFERICO CARLOS A. MOLINA|TASCOB|X|9371891678|X|X|X|PERIFERICO CARLOS A. MOLINA|X|LUNES|X|X|X|X|X|DOMICILIO |700|14100|x|x|x|2022-12-02|2022-12-09|x|x|x|x|x|CUZ2SKRCKVTMLTR|x|HOMBRE|X|14800|X|X|X|X|X|X|X|X|CARDENAS|X|X|X|X|X</v>
      </c>
    </row>
    <row r="298" spans="1:82" x14ac:dyDescent="0.25">
      <c r="A298" t="s">
        <v>432</v>
      </c>
      <c r="B298" t="s">
        <v>738</v>
      </c>
      <c r="C298">
        <v>3</v>
      </c>
      <c r="D298" t="s">
        <v>761</v>
      </c>
      <c r="E298" t="s">
        <v>1398</v>
      </c>
      <c r="F298" t="s">
        <v>0</v>
      </c>
      <c r="G298" t="s">
        <v>0</v>
      </c>
      <c r="H298" t="s">
        <v>964</v>
      </c>
      <c r="I298">
        <v>14800</v>
      </c>
      <c r="J298" t="s">
        <v>1</v>
      </c>
      <c r="K298">
        <v>100</v>
      </c>
      <c r="L298">
        <v>50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1266</v>
      </c>
      <c r="AC298" t="s">
        <v>1239</v>
      </c>
      <c r="AD298" t="s">
        <v>1096</v>
      </c>
      <c r="AE298" t="s">
        <v>4</v>
      </c>
      <c r="AF298" t="s">
        <v>1</v>
      </c>
      <c r="AG298" t="s">
        <v>1</v>
      </c>
      <c r="AH298" t="s">
        <v>1638</v>
      </c>
      <c r="AI298" t="s">
        <v>1760</v>
      </c>
      <c r="AJ298" t="s">
        <v>1</v>
      </c>
      <c r="AK298">
        <v>9371404771</v>
      </c>
      <c r="AL298" t="s">
        <v>1</v>
      </c>
      <c r="AM298" t="s">
        <v>1</v>
      </c>
      <c r="AN298" t="s">
        <v>1</v>
      </c>
      <c r="AO298" t="s">
        <v>1638</v>
      </c>
      <c r="AP298" t="s">
        <v>1</v>
      </c>
      <c r="AQ298" t="s">
        <v>2</v>
      </c>
      <c r="AR298" t="s">
        <v>1</v>
      </c>
      <c r="AS298" t="s">
        <v>1</v>
      </c>
      <c r="AT298" t="s">
        <v>1</v>
      </c>
      <c r="AU298" t="s">
        <v>1</v>
      </c>
      <c r="AV298" t="s">
        <v>1</v>
      </c>
      <c r="AW298" t="s">
        <v>11</v>
      </c>
      <c r="AX298">
        <f>Tabla1[[#This Row],[precio del paquete]]-Tabla1[[#This Row],[Saldo_Deudor]]</f>
        <v>2000</v>
      </c>
      <c r="AY298">
        <v>12800</v>
      </c>
      <c r="AZ298" t="s">
        <v>3</v>
      </c>
      <c r="BA298" t="s">
        <v>3</v>
      </c>
      <c r="BB298" t="s">
        <v>3</v>
      </c>
      <c r="BC298" t="s">
        <v>772</v>
      </c>
      <c r="BD298" t="s">
        <v>1891</v>
      </c>
      <c r="BE298" t="s">
        <v>3</v>
      </c>
      <c r="BF298" t="s">
        <v>3</v>
      </c>
      <c r="BG298" t="s">
        <v>3</v>
      </c>
      <c r="BH298" t="s">
        <v>3</v>
      </c>
      <c r="BI298" t="s">
        <v>3</v>
      </c>
      <c r="BJ298" t="s">
        <v>1938</v>
      </c>
      <c r="BK298" t="s">
        <v>3</v>
      </c>
      <c r="BL298" t="s">
        <v>132</v>
      </c>
      <c r="BM298" t="s">
        <v>1</v>
      </c>
      <c r="BN298">
        <f>Tabla1[[#This Row],[precio del paquete]]</f>
        <v>14800</v>
      </c>
      <c r="BO298" t="s">
        <v>1</v>
      </c>
      <c r="BP298" t="s">
        <v>1</v>
      </c>
      <c r="BQ298" t="s">
        <v>1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0</v>
      </c>
      <c r="BX298" t="s">
        <v>1</v>
      </c>
      <c r="BY298" t="s">
        <v>1</v>
      </c>
      <c r="BZ298" t="s">
        <v>1</v>
      </c>
      <c r="CA298" t="s">
        <v>1</v>
      </c>
      <c r="CB298" t="s">
        <v>1</v>
      </c>
      <c r="CD298" t="str" cm="1">
        <f t="array" aca="1" ref="CD298" ca="1">eConcatenar(A298:CB298,"|")</f>
        <v>K7APk7cORPBKONLi|CAR2021-1882|3|MEMORIAL|TABASCO|CARDENAS|CARDENAS|2021-12-08|14800|X|100|50|0|0|0|0|0|0|0|0|0|0|0|0|0|0|0|HERNANDEZ||ADRIANA|SOLTERO|X|X|PERIFERICO CARLOS A. MOLINA|COLONIA VEREDA|X|9371404771|X|X|X|PERIFERICO CARLOS A. MOLINA|X|LUNES|X|X|X|X|X|DOMICILIO |2000|12800|x|x|x|2022-12-02|2022-12-09|x|x|x|x|x|CUZ2SKRCKVTMLTR|x|HOMBRE|X|14800|X|X|X|X|X|X|X|X|CARDENAS|X|X|X|X|X</v>
      </c>
    </row>
    <row r="299" spans="1:82" x14ac:dyDescent="0.25">
      <c r="A299" t="s">
        <v>433</v>
      </c>
      <c r="B299" t="s">
        <v>739</v>
      </c>
      <c r="C299">
        <v>3</v>
      </c>
      <c r="D299" t="s">
        <v>761</v>
      </c>
      <c r="E299" t="s">
        <v>1398</v>
      </c>
      <c r="F299" t="s">
        <v>0</v>
      </c>
      <c r="G299" t="s">
        <v>0</v>
      </c>
      <c r="H299" t="s">
        <v>971</v>
      </c>
      <c r="I299">
        <v>14800</v>
      </c>
      <c r="J299" t="s">
        <v>1</v>
      </c>
      <c r="K299">
        <v>100</v>
      </c>
      <c r="L299">
        <v>50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1269</v>
      </c>
      <c r="AC299" t="s">
        <v>1388</v>
      </c>
      <c r="AD299" t="s">
        <v>1210</v>
      </c>
      <c r="AE299" t="s">
        <v>4</v>
      </c>
      <c r="AF299" t="s">
        <v>1</v>
      </c>
      <c r="AG299" t="s">
        <v>1</v>
      </c>
      <c r="AH299" t="s">
        <v>1646</v>
      </c>
      <c r="AI299" t="s">
        <v>1824</v>
      </c>
      <c r="AJ299" t="s">
        <v>1</v>
      </c>
      <c r="AK299">
        <v>9371258400</v>
      </c>
      <c r="AL299" t="s">
        <v>1</v>
      </c>
      <c r="AM299" t="s">
        <v>1</v>
      </c>
      <c r="AN299" t="s">
        <v>1</v>
      </c>
      <c r="AO299" t="s">
        <v>1646</v>
      </c>
      <c r="AP299" t="s">
        <v>1</v>
      </c>
      <c r="AQ299" t="s">
        <v>2</v>
      </c>
      <c r="AR299" t="s">
        <v>1</v>
      </c>
      <c r="AS299" t="s">
        <v>1</v>
      </c>
      <c r="AT299" t="s">
        <v>1</v>
      </c>
      <c r="AU299" t="s">
        <v>1</v>
      </c>
      <c r="AV299" t="s">
        <v>1</v>
      </c>
      <c r="AW299" t="s">
        <v>11</v>
      </c>
      <c r="AX299">
        <f>Tabla1[[#This Row],[precio del paquete]]-Tabla1[[#This Row],[Saldo_Deudor]]</f>
        <v>7400</v>
      </c>
      <c r="AY299">
        <v>7400</v>
      </c>
      <c r="AZ299" t="s">
        <v>3</v>
      </c>
      <c r="BA299" t="s">
        <v>3</v>
      </c>
      <c r="BB299" t="s">
        <v>3</v>
      </c>
      <c r="BC299" t="s">
        <v>772</v>
      </c>
      <c r="BD299" t="s">
        <v>1891</v>
      </c>
      <c r="BE299" t="s">
        <v>3</v>
      </c>
      <c r="BF299" t="s">
        <v>3</v>
      </c>
      <c r="BG299" t="s">
        <v>3</v>
      </c>
      <c r="BH299" t="s">
        <v>3</v>
      </c>
      <c r="BI299" t="s">
        <v>3</v>
      </c>
      <c r="BJ299" t="s">
        <v>1938</v>
      </c>
      <c r="BK299" t="s">
        <v>3</v>
      </c>
      <c r="BL299" t="s">
        <v>132</v>
      </c>
      <c r="BM299" t="s">
        <v>1</v>
      </c>
      <c r="BN299">
        <f>Tabla1[[#This Row],[precio del paquete]]</f>
        <v>14800</v>
      </c>
      <c r="BO299" t="s">
        <v>1</v>
      </c>
      <c r="BP299" t="s">
        <v>1</v>
      </c>
      <c r="BQ299" t="s">
        <v>1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0</v>
      </c>
      <c r="BX299" t="s">
        <v>1</v>
      </c>
      <c r="BY299" t="s">
        <v>1</v>
      </c>
      <c r="BZ299" t="s">
        <v>1</v>
      </c>
      <c r="CA299" t="s">
        <v>1</v>
      </c>
      <c r="CB299" t="s">
        <v>1</v>
      </c>
      <c r="CD299" t="str" cm="1">
        <f t="array" aca="1" ref="CD299" ca="1">eConcatenar(A299:CB299,"|")</f>
        <v>8QZiFuoyXnkSwTYd|CAR2020-3033|3|MEMORIAL|TABASCO|CARDENAS|CARDENAS|2020-09-09|14800|X|100|50|0|0|0|0|0|0|0|0|0|0|0|0|0|0|0|MENDEZ|FUENTES|ERIKA|SOLTERO|X|X|ENTRADA A UN COSTADO DE IGLESIA|COLONIA VEREDA PERIFERICO|X|9371258400|X|X|X|ENTRADA A UN COSTADO DE IGLESIA|X|LUNES|X|X|X|X|X|DOMICILIO |7400|7400|x|x|x|2022-12-02|2022-12-09|x|x|x|x|x|CUZ2SKRCKVTMLTR|x|HOMBRE|X|14800|X|X|X|X|X|X|X|X|CARDENAS|X|X|X|X|X</v>
      </c>
    </row>
    <row r="300" spans="1:82" x14ac:dyDescent="0.25">
      <c r="A300" t="s">
        <v>434</v>
      </c>
      <c r="B300" t="s">
        <v>740</v>
      </c>
      <c r="C300">
        <v>3</v>
      </c>
      <c r="D300" t="s">
        <v>761</v>
      </c>
      <c r="E300" t="s">
        <v>1398</v>
      </c>
      <c r="F300" t="s">
        <v>0</v>
      </c>
      <c r="G300" t="s">
        <v>0</v>
      </c>
      <c r="H300" t="s">
        <v>867</v>
      </c>
      <c r="I300">
        <v>14800</v>
      </c>
      <c r="J300" t="s">
        <v>1</v>
      </c>
      <c r="K300">
        <v>100</v>
      </c>
      <c r="L300">
        <v>50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1389</v>
      </c>
      <c r="AC300" t="s">
        <v>1185</v>
      </c>
      <c r="AD300" t="s">
        <v>1211</v>
      </c>
      <c r="AE300" t="s">
        <v>4</v>
      </c>
      <c r="AF300" t="s">
        <v>1</v>
      </c>
      <c r="AG300" t="s">
        <v>1</v>
      </c>
      <c r="AH300" t="s">
        <v>1647</v>
      </c>
      <c r="AI300" t="s">
        <v>1817</v>
      </c>
      <c r="AJ300" t="s">
        <v>1</v>
      </c>
      <c r="AK300">
        <v>9371656596</v>
      </c>
      <c r="AL300" t="s">
        <v>1</v>
      </c>
      <c r="AM300" t="s">
        <v>1</v>
      </c>
      <c r="AN300" t="s">
        <v>1</v>
      </c>
      <c r="AO300" t="s">
        <v>1647</v>
      </c>
      <c r="AP300" t="s">
        <v>1</v>
      </c>
      <c r="AQ300" t="s">
        <v>2</v>
      </c>
      <c r="AR300" t="s">
        <v>1</v>
      </c>
      <c r="AS300" t="s">
        <v>1</v>
      </c>
      <c r="AT300" t="s">
        <v>1</v>
      </c>
      <c r="AU300" t="s">
        <v>1</v>
      </c>
      <c r="AV300" t="s">
        <v>1</v>
      </c>
      <c r="AW300" t="s">
        <v>11</v>
      </c>
      <c r="AX300">
        <f>Tabla1[[#This Row],[precio del paquete]]-Tabla1[[#This Row],[Saldo_Deudor]]</f>
        <v>1350</v>
      </c>
      <c r="AY300">
        <v>13450</v>
      </c>
      <c r="AZ300" t="s">
        <v>3</v>
      </c>
      <c r="BA300" t="s">
        <v>3</v>
      </c>
      <c r="BB300" t="s">
        <v>3</v>
      </c>
      <c r="BC300" t="s">
        <v>772</v>
      </c>
      <c r="BD300" t="s">
        <v>1891</v>
      </c>
      <c r="BE300" t="s">
        <v>3</v>
      </c>
      <c r="BF300" t="s">
        <v>3</v>
      </c>
      <c r="BG300" t="s">
        <v>3</v>
      </c>
      <c r="BH300" t="s">
        <v>3</v>
      </c>
      <c r="BI300" t="s">
        <v>3</v>
      </c>
      <c r="BJ300" t="s">
        <v>1938</v>
      </c>
      <c r="BK300" t="s">
        <v>3</v>
      </c>
      <c r="BL300" t="s">
        <v>132</v>
      </c>
      <c r="BM300" t="s">
        <v>1</v>
      </c>
      <c r="BN300">
        <f>Tabla1[[#This Row],[precio del paquete]]</f>
        <v>14800</v>
      </c>
      <c r="BO300" t="s">
        <v>1</v>
      </c>
      <c r="BP300" t="s">
        <v>1</v>
      </c>
      <c r="BQ300" t="s">
        <v>1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0</v>
      </c>
      <c r="BX300" t="s">
        <v>1</v>
      </c>
      <c r="BY300" t="s">
        <v>1</v>
      </c>
      <c r="BZ300" t="s">
        <v>1</v>
      </c>
      <c r="CA300" t="s">
        <v>1</v>
      </c>
      <c r="CB300" t="s">
        <v>1</v>
      </c>
      <c r="CD300" t="str" cm="1">
        <f t="array" aca="1" ref="CD300" ca="1">eConcatenar(A300:CB300,"|")</f>
        <v>V5fZGxSGnGOCYz86|CAR2021-5254|3|MEMORIAL|TABASCO|CARDENAS|CARDENAS|2021-11-09|14800|X|100|50|0|0|0|0|0|0|0|0|0|0|0|0|0|0|0|VIDAL|RODRIGUEZ|ERICK DAVID|SOLTERO|X|X|CALLE TOMAS GARRIDO CANABAL 112|CARDENAS CENTRO|X|9371656596|X|X|X|CALLE TOMAS GARRIDO CANABAL 112|X|LUNES|X|X|X|X|X|DOMICILIO |1350|13450|x|x|x|2022-12-02|2022-12-09|x|x|x|x|x|CUZ2SKRCKVTMLTR|x|HOMBRE|X|14800|X|X|X|X|X|X|X|X|CARDENAS|X|X|X|X|X</v>
      </c>
    </row>
    <row r="301" spans="1:82" x14ac:dyDescent="0.25">
      <c r="A301" t="s">
        <v>435</v>
      </c>
      <c r="B301" t="s">
        <v>741</v>
      </c>
      <c r="C301">
        <v>3</v>
      </c>
      <c r="D301" t="s">
        <v>761</v>
      </c>
      <c r="E301" t="s">
        <v>1398</v>
      </c>
      <c r="F301" t="s">
        <v>770</v>
      </c>
      <c r="G301" t="s">
        <v>770</v>
      </c>
      <c r="H301" t="s">
        <v>972</v>
      </c>
      <c r="I301">
        <v>14800</v>
      </c>
      <c r="J301" t="s">
        <v>1</v>
      </c>
      <c r="K301">
        <v>100</v>
      </c>
      <c r="L301">
        <v>50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1390</v>
      </c>
      <c r="AC301" t="s">
        <v>1226</v>
      </c>
      <c r="AD301" t="s">
        <v>1212</v>
      </c>
      <c r="AE301" t="s">
        <v>4</v>
      </c>
      <c r="AF301" t="s">
        <v>1</v>
      </c>
      <c r="AG301" t="s">
        <v>1</v>
      </c>
      <c r="AH301" t="s">
        <v>1648</v>
      </c>
      <c r="AI301" t="s">
        <v>1825</v>
      </c>
      <c r="AJ301" t="s">
        <v>1</v>
      </c>
      <c r="AK301">
        <v>9333350006</v>
      </c>
      <c r="AL301" t="s">
        <v>1</v>
      </c>
      <c r="AM301" t="s">
        <v>1</v>
      </c>
      <c r="AN301" t="s">
        <v>1</v>
      </c>
      <c r="AO301" t="s">
        <v>1648</v>
      </c>
      <c r="AP301" t="s">
        <v>1</v>
      </c>
      <c r="AQ301" t="s">
        <v>2</v>
      </c>
      <c r="AR301" t="s">
        <v>1</v>
      </c>
      <c r="AS301" t="s">
        <v>1</v>
      </c>
      <c r="AT301" t="s">
        <v>1</v>
      </c>
      <c r="AU301" t="s">
        <v>1</v>
      </c>
      <c r="AV301" t="s">
        <v>1</v>
      </c>
      <c r="AW301" t="s">
        <v>11</v>
      </c>
      <c r="AX301">
        <f>Tabla1[[#This Row],[precio del paquete]]-Tabla1[[#This Row],[Saldo_Deudor]]</f>
        <v>1700</v>
      </c>
      <c r="AY301">
        <v>13100</v>
      </c>
      <c r="AZ301" t="s">
        <v>3</v>
      </c>
      <c r="BA301" t="s">
        <v>3</v>
      </c>
      <c r="BB301" t="s">
        <v>3</v>
      </c>
      <c r="BC301" t="s">
        <v>1877</v>
      </c>
      <c r="BD301" t="s">
        <v>1934</v>
      </c>
      <c r="BE301" t="s">
        <v>3</v>
      </c>
      <c r="BF301" t="s">
        <v>3</v>
      </c>
      <c r="BG301" t="s">
        <v>3</v>
      </c>
      <c r="BH301" t="s">
        <v>3</v>
      </c>
      <c r="BI301" t="s">
        <v>3</v>
      </c>
      <c r="BJ301" t="s">
        <v>1948</v>
      </c>
      <c r="BK301" t="s">
        <v>3</v>
      </c>
      <c r="BL301" t="s">
        <v>132</v>
      </c>
      <c r="BM301" t="s">
        <v>1</v>
      </c>
      <c r="BN301">
        <f>Tabla1[[#This Row],[precio del paquete]]</f>
        <v>14800</v>
      </c>
      <c r="BO301" t="s">
        <v>1</v>
      </c>
      <c r="BP301" t="s">
        <v>1</v>
      </c>
      <c r="BQ301" t="s">
        <v>1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0</v>
      </c>
      <c r="BX301" t="s">
        <v>1</v>
      </c>
      <c r="BY301" t="s">
        <v>1</v>
      </c>
      <c r="BZ301" t="s">
        <v>1</v>
      </c>
      <c r="CA301" t="s">
        <v>1</v>
      </c>
      <c r="CB301" t="s">
        <v>1</v>
      </c>
      <c r="CD301" t="str" cm="1">
        <f t="array" aca="1" ref="CD301" ca="1">eConcatenar(A301:CB301,"|")</f>
        <v>Iwg8u6V5EGjqkTOM|COM2021-3525|3|MEMORIAL|TABASCO|COMALCALCO|COMALCALCO|2021-01-11|14800|X|100|50|0|0|0|0|0|0|0|0|0|0|0|0|0|0|0|ARCOS|CRUZ|DOLORES|SOLTERO|X|X|CALLE PAPILA SIN NUMERO|CIUDAD TECOLUTILLA|X|9333350006|X|X|X|CALLE PAPILA SIN NUMERO|X|LUNES|X|X|X|X|X|DOMICILIO |1700|13100|x|x|x|2022-02-21|2022-02-28|x|x|x|x|x|2DFOYRA5IQNIWWH|x|HOMBRE|X|14800|X|X|X|X|X|X|X|X|CARDENAS|X|X|X|X|X</v>
      </c>
    </row>
    <row r="302" spans="1:82" x14ac:dyDescent="0.25">
      <c r="A302" t="s">
        <v>436</v>
      </c>
      <c r="B302" t="s">
        <v>742</v>
      </c>
      <c r="C302">
        <v>3</v>
      </c>
      <c r="D302" t="s">
        <v>761</v>
      </c>
      <c r="E302" t="s">
        <v>1398</v>
      </c>
      <c r="F302" t="s">
        <v>770</v>
      </c>
      <c r="G302" t="s">
        <v>770</v>
      </c>
      <c r="H302" t="s">
        <v>834</v>
      </c>
      <c r="I302">
        <v>14800</v>
      </c>
      <c r="J302" t="s">
        <v>1</v>
      </c>
      <c r="K302">
        <v>100</v>
      </c>
      <c r="L302">
        <v>50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1236</v>
      </c>
      <c r="AC302" t="s">
        <v>1288</v>
      </c>
      <c r="AD302" t="s">
        <v>1213</v>
      </c>
      <c r="AE302" t="s">
        <v>4</v>
      </c>
      <c r="AF302" t="s">
        <v>1</v>
      </c>
      <c r="AG302" t="s">
        <v>1</v>
      </c>
      <c r="AH302" t="s">
        <v>1649</v>
      </c>
      <c r="AI302" t="s">
        <v>1650</v>
      </c>
      <c r="AJ302" t="s">
        <v>1</v>
      </c>
      <c r="AK302">
        <v>9331011038</v>
      </c>
      <c r="AL302" t="s">
        <v>1</v>
      </c>
      <c r="AM302" t="s">
        <v>1</v>
      </c>
      <c r="AN302" t="s">
        <v>1</v>
      </c>
      <c r="AO302" t="s">
        <v>1649</v>
      </c>
      <c r="AP302" t="s">
        <v>1</v>
      </c>
      <c r="AQ302" t="s">
        <v>2</v>
      </c>
      <c r="AR302" t="s">
        <v>1</v>
      </c>
      <c r="AS302" t="s">
        <v>1</v>
      </c>
      <c r="AT302" t="s">
        <v>1</v>
      </c>
      <c r="AU302" t="s">
        <v>1</v>
      </c>
      <c r="AV302" t="s">
        <v>1</v>
      </c>
      <c r="AW302" t="s">
        <v>11</v>
      </c>
      <c r="AX302">
        <f>Tabla1[[#This Row],[precio del paquete]]-Tabla1[[#This Row],[Saldo_Deudor]]</f>
        <v>850</v>
      </c>
      <c r="AY302">
        <v>13950</v>
      </c>
      <c r="AZ302" t="s">
        <v>3</v>
      </c>
      <c r="BA302" t="s">
        <v>3</v>
      </c>
      <c r="BB302" t="s">
        <v>3</v>
      </c>
      <c r="BC302" t="s">
        <v>1877</v>
      </c>
      <c r="BD302" t="s">
        <v>1934</v>
      </c>
      <c r="BE302" t="s">
        <v>3</v>
      </c>
      <c r="BF302" t="s">
        <v>3</v>
      </c>
      <c r="BG302" t="s">
        <v>3</v>
      </c>
      <c r="BH302" t="s">
        <v>3</v>
      </c>
      <c r="BI302" t="s">
        <v>3</v>
      </c>
      <c r="BJ302" t="s">
        <v>1948</v>
      </c>
      <c r="BK302" t="s">
        <v>3</v>
      </c>
      <c r="BL302" t="s">
        <v>132</v>
      </c>
      <c r="BM302" t="s">
        <v>1</v>
      </c>
      <c r="BN302">
        <f>Tabla1[[#This Row],[precio del paquete]]</f>
        <v>14800</v>
      </c>
      <c r="BO302" t="s">
        <v>1</v>
      </c>
      <c r="BP302" t="s">
        <v>1</v>
      </c>
      <c r="BQ302" t="s">
        <v>1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0</v>
      </c>
      <c r="BX302" t="s">
        <v>1</v>
      </c>
      <c r="BY302" t="s">
        <v>1</v>
      </c>
      <c r="BZ302" t="s">
        <v>1</v>
      </c>
      <c r="CA302" t="s">
        <v>1</v>
      </c>
      <c r="CB302" t="s">
        <v>1</v>
      </c>
      <c r="CD302" t="str" cm="1">
        <f t="array" aca="1" ref="CD302" ca="1">eConcatenar(A302:CB302,"|")</f>
        <v>qhRtEMMXFspgrlw3|COM2021-3914|3|MEMORIAL|TABASCO|COMALCALCO|COMALCALCO|2021-01-12|14800|X|100|50|0|0|0|0|0|0|0|0|0|0|0|0|0|0|0|DE LOS SANTOS|ROMERO|PIEDAD|SOLTERO|X|X|TECOLUTILLA|COLONIA BETANIA|X|9331011038|X|X|X|TECOLUTILLA|X|LUNES|X|X|X|X|X|DOMICILIO |850|13950|x|x|x|2022-02-21|2022-02-28|x|x|x|x|x|2DFOYRA5IQNIWWH|x|HOMBRE|X|14800|X|X|X|X|X|X|X|X|CARDENAS|X|X|X|X|X</v>
      </c>
    </row>
    <row r="303" spans="1:82" x14ac:dyDescent="0.25">
      <c r="A303" t="s">
        <v>437</v>
      </c>
      <c r="B303" t="s">
        <v>743</v>
      </c>
      <c r="C303">
        <v>3</v>
      </c>
      <c r="D303" t="s">
        <v>761</v>
      </c>
      <c r="E303" t="s">
        <v>1398</v>
      </c>
      <c r="F303" t="s">
        <v>770</v>
      </c>
      <c r="G303" t="s">
        <v>770</v>
      </c>
      <c r="H303" t="s">
        <v>792</v>
      </c>
      <c r="I303">
        <v>14800</v>
      </c>
      <c r="J303" t="s">
        <v>1</v>
      </c>
      <c r="K303">
        <v>100</v>
      </c>
      <c r="L303">
        <v>50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1267</v>
      </c>
      <c r="AC303" t="s">
        <v>1271</v>
      </c>
      <c r="AD303" t="s">
        <v>1214</v>
      </c>
      <c r="AE303" t="s">
        <v>4</v>
      </c>
      <c r="AF303" t="s">
        <v>1</v>
      </c>
      <c r="AG303" t="s">
        <v>1</v>
      </c>
      <c r="AH303" t="s">
        <v>1650</v>
      </c>
      <c r="AI303" t="s">
        <v>1649</v>
      </c>
      <c r="AJ303" t="s">
        <v>1</v>
      </c>
      <c r="AK303">
        <v>2451225775</v>
      </c>
      <c r="AL303" t="s">
        <v>1</v>
      </c>
      <c r="AM303" t="s">
        <v>1</v>
      </c>
      <c r="AN303" t="s">
        <v>1</v>
      </c>
      <c r="AO303" t="s">
        <v>1650</v>
      </c>
      <c r="AP303" t="s">
        <v>1</v>
      </c>
      <c r="AQ303" t="s">
        <v>2</v>
      </c>
      <c r="AR303" t="s">
        <v>1</v>
      </c>
      <c r="AS303" t="s">
        <v>1</v>
      </c>
      <c r="AT303" t="s">
        <v>1</v>
      </c>
      <c r="AU303" t="s">
        <v>1</v>
      </c>
      <c r="AV303" t="s">
        <v>1</v>
      </c>
      <c r="AW303" t="s">
        <v>11</v>
      </c>
      <c r="AX303">
        <f>Tabla1[[#This Row],[precio del paquete]]-Tabla1[[#This Row],[Saldo_Deudor]]</f>
        <v>1050</v>
      </c>
      <c r="AY303">
        <v>13750</v>
      </c>
      <c r="AZ303" t="s">
        <v>3</v>
      </c>
      <c r="BA303" t="s">
        <v>3</v>
      </c>
      <c r="BB303" t="s">
        <v>3</v>
      </c>
      <c r="BC303" t="s">
        <v>936</v>
      </c>
      <c r="BD303" t="s">
        <v>1878</v>
      </c>
      <c r="BE303" t="s">
        <v>3</v>
      </c>
      <c r="BF303" t="s">
        <v>3</v>
      </c>
      <c r="BG303" t="s">
        <v>3</v>
      </c>
      <c r="BH303" t="s">
        <v>3</v>
      </c>
      <c r="BI303" t="s">
        <v>3</v>
      </c>
      <c r="BJ303" t="s">
        <v>1948</v>
      </c>
      <c r="BK303" t="s">
        <v>3</v>
      </c>
      <c r="BL303" t="s">
        <v>132</v>
      </c>
      <c r="BM303" t="s">
        <v>1</v>
      </c>
      <c r="BN303">
        <f>Tabla1[[#This Row],[precio del paquete]]</f>
        <v>14800</v>
      </c>
      <c r="BO303" t="s">
        <v>1</v>
      </c>
      <c r="BP303" t="s">
        <v>1</v>
      </c>
      <c r="BQ303" t="s">
        <v>1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0</v>
      </c>
      <c r="BX303" t="s">
        <v>1</v>
      </c>
      <c r="BY303" t="s">
        <v>1</v>
      </c>
      <c r="BZ303" t="s">
        <v>1</v>
      </c>
      <c r="CA303" t="s">
        <v>1</v>
      </c>
      <c r="CB303" t="s">
        <v>1</v>
      </c>
      <c r="CD303" t="str" cm="1">
        <f t="array" aca="1" ref="CD303" ca="1">eConcatenar(A303:CB303,"|")</f>
        <v>U81pEHQwffjUnZX7|COM2021-3783|3|MEMORIAL|TABASCO|COMALCALCO|COMALCALCO|2021-11-26|14800|X|100|50|0|0|0|0|0|0|0|0|0|0|0|0|0|0|0|JIMENEZ|CHABLE|JUAN|SOLTERO|X|X|COLONIA BETANIA|TECOLUTILLA|X|2451225775|X|X|X|COLONIA BETANIA|X|LUNES|X|X|X|X|X|DOMICILIO |1050|13750|x|x|x|2022-11-02|2022-11-09|x|x|x|x|x|2DFOYRA5IQNIWWH|x|HOMBRE|X|14800|X|X|X|X|X|X|X|X|CARDENAS|X|X|X|X|X</v>
      </c>
    </row>
    <row r="304" spans="1:82" x14ac:dyDescent="0.25">
      <c r="A304" t="s">
        <v>438</v>
      </c>
      <c r="B304" t="s">
        <v>744</v>
      </c>
      <c r="C304">
        <v>3</v>
      </c>
      <c r="D304" t="s">
        <v>761</v>
      </c>
      <c r="E304" t="s">
        <v>1398</v>
      </c>
      <c r="F304" t="s">
        <v>770</v>
      </c>
      <c r="G304" t="s">
        <v>770</v>
      </c>
      <c r="H304" t="s">
        <v>795</v>
      </c>
      <c r="I304">
        <v>14800</v>
      </c>
      <c r="J304" t="s">
        <v>1</v>
      </c>
      <c r="K304">
        <v>100</v>
      </c>
      <c r="L304">
        <v>50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1260</v>
      </c>
      <c r="AC304" t="s">
        <v>1255</v>
      </c>
      <c r="AD304" t="s">
        <v>1096</v>
      </c>
      <c r="AE304" t="s">
        <v>4</v>
      </c>
      <c r="AF304" t="s">
        <v>1</v>
      </c>
      <c r="AG304" t="s">
        <v>1</v>
      </c>
      <c r="AH304" t="s">
        <v>1651</v>
      </c>
      <c r="AI304" t="s">
        <v>1826</v>
      </c>
      <c r="AJ304" t="s">
        <v>1</v>
      </c>
      <c r="AK304">
        <v>9331016144</v>
      </c>
      <c r="AL304" t="s">
        <v>1</v>
      </c>
      <c r="AM304" t="s">
        <v>1</v>
      </c>
      <c r="AN304" t="s">
        <v>1</v>
      </c>
      <c r="AO304" t="s">
        <v>1651</v>
      </c>
      <c r="AP304" t="s">
        <v>1</v>
      </c>
      <c r="AQ304" t="s">
        <v>2</v>
      </c>
      <c r="AR304" t="s">
        <v>1</v>
      </c>
      <c r="AS304" t="s">
        <v>1</v>
      </c>
      <c r="AT304" t="s">
        <v>1</v>
      </c>
      <c r="AU304" t="s">
        <v>1</v>
      </c>
      <c r="AV304" t="s">
        <v>1</v>
      </c>
      <c r="AW304" t="s">
        <v>11</v>
      </c>
      <c r="AX304">
        <f>Tabla1[[#This Row],[precio del paquete]]-Tabla1[[#This Row],[Saldo_Deudor]]</f>
        <v>300</v>
      </c>
      <c r="AY304">
        <v>14500</v>
      </c>
      <c r="AZ304" t="s">
        <v>3</v>
      </c>
      <c r="BA304" t="s">
        <v>3</v>
      </c>
      <c r="BB304" t="s">
        <v>3</v>
      </c>
      <c r="BC304" t="s">
        <v>772</v>
      </c>
      <c r="BD304" t="s">
        <v>1891</v>
      </c>
      <c r="BE304" t="s">
        <v>3</v>
      </c>
      <c r="BF304" t="s">
        <v>3</v>
      </c>
      <c r="BG304" t="s">
        <v>3</v>
      </c>
      <c r="BH304" t="s">
        <v>3</v>
      </c>
      <c r="BI304" t="s">
        <v>3</v>
      </c>
      <c r="BJ304" t="s">
        <v>1948</v>
      </c>
      <c r="BK304" t="s">
        <v>3</v>
      </c>
      <c r="BL304" t="s">
        <v>132</v>
      </c>
      <c r="BM304" t="s">
        <v>1</v>
      </c>
      <c r="BN304">
        <f>Tabla1[[#This Row],[precio del paquete]]</f>
        <v>14800</v>
      </c>
      <c r="BO304" t="s">
        <v>1</v>
      </c>
      <c r="BP304" t="s">
        <v>1</v>
      </c>
      <c r="BQ304" t="s">
        <v>1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0</v>
      </c>
      <c r="BX304" t="s">
        <v>1</v>
      </c>
      <c r="BY304" t="s">
        <v>1</v>
      </c>
      <c r="BZ304" t="s">
        <v>1</v>
      </c>
      <c r="CA304" t="s">
        <v>1</v>
      </c>
      <c r="CB304" t="s">
        <v>1</v>
      </c>
      <c r="CD304" t="str" cm="1">
        <f t="array" aca="1" ref="CD304" ca="1">eConcatenar(A304:CB304,"|")</f>
        <v>e37QTa29V0oDG8ET|COM2022-0152|3|MEMORIAL|TABASCO|COMALCALCO|COMALCALCO|2022-12-01|14800|X|100|50|0|0|0|0|0|0|0|0|0|0|0|0|0|0|0|GONZALEZ|CORDOVA|ADRIANA|SOLTERO|X|X|CALLE LEANDRO RIVIROSA|BELISARIO DOMINGUEZ|X|9331016144|X|X|X|CALLE LEANDRO RIVIROSA|X|LUNES|X|X|X|X|X|DOMICILIO |300|14500|x|x|x|2022-12-02|2022-12-09|x|x|x|x|x|2DFOYRA5IQNIWWH|x|HOMBRE|X|14800|X|X|X|X|X|X|X|X|CARDENAS|X|X|X|X|X</v>
      </c>
    </row>
    <row r="305" spans="1:82" x14ac:dyDescent="0.25">
      <c r="A305" t="s">
        <v>439</v>
      </c>
      <c r="B305" t="s">
        <v>745</v>
      </c>
      <c r="C305">
        <v>3</v>
      </c>
      <c r="D305" t="s">
        <v>761</v>
      </c>
      <c r="E305" t="s">
        <v>1398</v>
      </c>
      <c r="F305" t="s">
        <v>770</v>
      </c>
      <c r="G305" t="s">
        <v>770</v>
      </c>
      <c r="H305" t="s">
        <v>942</v>
      </c>
      <c r="I305">
        <v>14800</v>
      </c>
      <c r="J305" t="s">
        <v>1</v>
      </c>
      <c r="K305">
        <v>100</v>
      </c>
      <c r="L305">
        <v>50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1227</v>
      </c>
      <c r="AC305" t="s">
        <v>1255</v>
      </c>
      <c r="AD305" t="s">
        <v>1117</v>
      </c>
      <c r="AE305" t="s">
        <v>4</v>
      </c>
      <c r="AF305" t="s">
        <v>1</v>
      </c>
      <c r="AG305" t="s">
        <v>1</v>
      </c>
      <c r="AH305" t="s">
        <v>1652</v>
      </c>
      <c r="AI305" t="s">
        <v>1687</v>
      </c>
      <c r="AJ305" t="s">
        <v>1</v>
      </c>
      <c r="AK305">
        <v>9331606796</v>
      </c>
      <c r="AL305" t="s">
        <v>1</v>
      </c>
      <c r="AM305" t="s">
        <v>1</v>
      </c>
      <c r="AN305" t="s">
        <v>1</v>
      </c>
      <c r="AO305" t="s">
        <v>1652</v>
      </c>
      <c r="AP305" t="s">
        <v>1</v>
      </c>
      <c r="AQ305" t="s">
        <v>2</v>
      </c>
      <c r="AR305" t="s">
        <v>1</v>
      </c>
      <c r="AS305" t="s">
        <v>1</v>
      </c>
      <c r="AT305" t="s">
        <v>1</v>
      </c>
      <c r="AU305" t="s">
        <v>1</v>
      </c>
      <c r="AV305" t="s">
        <v>1</v>
      </c>
      <c r="AW305" t="s">
        <v>11</v>
      </c>
      <c r="AX305">
        <f>Tabla1[[#This Row],[precio del paquete]]-Tabla1[[#This Row],[Saldo_Deudor]]</f>
        <v>800</v>
      </c>
      <c r="AY305">
        <v>14000</v>
      </c>
      <c r="AZ305" t="s">
        <v>3</v>
      </c>
      <c r="BA305" t="s">
        <v>3</v>
      </c>
      <c r="BB305" t="s">
        <v>3</v>
      </c>
      <c r="BC305" t="s">
        <v>772</v>
      </c>
      <c r="BD305" t="s">
        <v>1891</v>
      </c>
      <c r="BE305" t="s">
        <v>3</v>
      </c>
      <c r="BF305" t="s">
        <v>3</v>
      </c>
      <c r="BG305" t="s">
        <v>3</v>
      </c>
      <c r="BH305" t="s">
        <v>3</v>
      </c>
      <c r="BI305" t="s">
        <v>3</v>
      </c>
      <c r="BJ305" t="s">
        <v>1948</v>
      </c>
      <c r="BK305" t="s">
        <v>3</v>
      </c>
      <c r="BL305" t="s">
        <v>132</v>
      </c>
      <c r="BM305" t="s">
        <v>1</v>
      </c>
      <c r="BN305">
        <f>Tabla1[[#This Row],[precio del paquete]]</f>
        <v>14800</v>
      </c>
      <c r="BO305" t="s">
        <v>1</v>
      </c>
      <c r="BP305" t="s">
        <v>1</v>
      </c>
      <c r="BQ305" t="s">
        <v>1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0</v>
      </c>
      <c r="BX305" t="s">
        <v>1</v>
      </c>
      <c r="BY305" t="s">
        <v>1</v>
      </c>
      <c r="BZ305" t="s">
        <v>1</v>
      </c>
      <c r="CA305" t="s">
        <v>1</v>
      </c>
      <c r="CB305" t="s">
        <v>1</v>
      </c>
      <c r="CD305" t="str" cm="1">
        <f t="array" aca="1" ref="CD305" ca="1">eConcatenar(A305:CB305,"|")</f>
        <v>tbNUflRqRqQNPZpv|COM2021-3922|3|MEMORIAL|TABASCO|COMALCALCO|COMALCALCO|2021-02-12|14800|X|100|50|0|0|0|0|0|0|0|0|0|0|0|0|0|0|0|GARCIA|CORDOVA|GLORIA|SOLTERO|X|X|CALLE IGNACIO ZARAGOZA|VILLA TECOLUTILLA|X|9331606796|X|X|X|CALLE IGNACIO ZARAGOZA|X|LUNES|X|X|X|X|X|DOMICILIO |800|14000|x|x|x|2022-12-02|2022-12-09|x|x|x|x|x|2DFOYRA5IQNIWWH|x|HOMBRE|X|14800|X|X|X|X|X|X|X|X|CARDENAS|X|X|X|X|X</v>
      </c>
    </row>
    <row r="306" spans="1:82" x14ac:dyDescent="0.25">
      <c r="A306" t="s">
        <v>440</v>
      </c>
      <c r="B306" t="s">
        <v>746</v>
      </c>
      <c r="C306">
        <v>3</v>
      </c>
      <c r="D306" t="s">
        <v>761</v>
      </c>
      <c r="E306" t="s">
        <v>1398</v>
      </c>
      <c r="F306" t="s">
        <v>770</v>
      </c>
      <c r="G306" t="s">
        <v>770</v>
      </c>
      <c r="H306" t="s">
        <v>973</v>
      </c>
      <c r="I306">
        <v>14800</v>
      </c>
      <c r="J306" t="s">
        <v>1</v>
      </c>
      <c r="K306">
        <v>100</v>
      </c>
      <c r="L306">
        <v>50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1289</v>
      </c>
      <c r="AC306" t="s">
        <v>1305</v>
      </c>
      <c r="AD306" t="s">
        <v>1215</v>
      </c>
      <c r="AE306" t="s">
        <v>4</v>
      </c>
      <c r="AF306" t="s">
        <v>1</v>
      </c>
      <c r="AG306" t="s">
        <v>1</v>
      </c>
      <c r="AH306" t="s">
        <v>1653</v>
      </c>
      <c r="AI306" t="s">
        <v>1827</v>
      </c>
      <c r="AJ306" t="s">
        <v>1</v>
      </c>
      <c r="AK306">
        <v>9331602399</v>
      </c>
      <c r="AL306" t="s">
        <v>1</v>
      </c>
      <c r="AM306" t="s">
        <v>1</v>
      </c>
      <c r="AN306" t="s">
        <v>1</v>
      </c>
      <c r="AO306" t="s">
        <v>1653</v>
      </c>
      <c r="AP306" t="s">
        <v>1</v>
      </c>
      <c r="AQ306" t="s">
        <v>2</v>
      </c>
      <c r="AR306" t="s">
        <v>1</v>
      </c>
      <c r="AS306" t="s">
        <v>1</v>
      </c>
      <c r="AT306" t="s">
        <v>1</v>
      </c>
      <c r="AU306" t="s">
        <v>1</v>
      </c>
      <c r="AV306" t="s">
        <v>1</v>
      </c>
      <c r="AW306" t="s">
        <v>11</v>
      </c>
      <c r="AX306">
        <f>Tabla1[[#This Row],[precio del paquete]]-Tabla1[[#This Row],[Saldo_Deudor]]</f>
        <v>500</v>
      </c>
      <c r="AY306">
        <v>14300</v>
      </c>
      <c r="AZ306" t="s">
        <v>3</v>
      </c>
      <c r="BA306" t="s">
        <v>3</v>
      </c>
      <c r="BB306" t="s">
        <v>3</v>
      </c>
      <c r="BC306" t="s">
        <v>772</v>
      </c>
      <c r="BD306" t="s">
        <v>1891</v>
      </c>
      <c r="BE306" t="s">
        <v>3</v>
      </c>
      <c r="BF306" t="s">
        <v>3</v>
      </c>
      <c r="BG306" t="s">
        <v>3</v>
      </c>
      <c r="BH306" t="s">
        <v>3</v>
      </c>
      <c r="BI306" t="s">
        <v>3</v>
      </c>
      <c r="BJ306" t="s">
        <v>1948</v>
      </c>
      <c r="BK306" t="s">
        <v>3</v>
      </c>
      <c r="BL306" t="s">
        <v>132</v>
      </c>
      <c r="BM306" t="s">
        <v>1</v>
      </c>
      <c r="BN306">
        <f>Tabla1[[#This Row],[precio del paquete]]</f>
        <v>14800</v>
      </c>
      <c r="BO306" t="s">
        <v>1</v>
      </c>
      <c r="BP306" t="s">
        <v>1</v>
      </c>
      <c r="BQ306" t="s">
        <v>1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0</v>
      </c>
      <c r="BX306" t="s">
        <v>1</v>
      </c>
      <c r="BY306" t="s">
        <v>1</v>
      </c>
      <c r="BZ306" t="s">
        <v>1</v>
      </c>
      <c r="CA306" t="s">
        <v>1</v>
      </c>
      <c r="CB306" t="s">
        <v>1</v>
      </c>
      <c r="CD306" t="str" cm="1">
        <f t="array" aca="1" ref="CD306" ca="1">eConcatenar(A306:CB306,"|")</f>
        <v>eo16QxJoXGFse3Aq|COM2022-0186|3|MEMORIAL|TABASCO|COMALCALCO|COMALCALCO|2022-01-21|14800|X|100|50|0|0|0|0|0|0|0|0|0|0|0|0|0|0|0|LEON|ALEJANDRO|JOSE MARIA|SOLTERO|X|X|CALLE BELIZARIO DOMINGUEZ|COLONIA BETENIA|X|9331602399|X|X|X|CALLE BELIZARIO DOMINGUEZ|X|LUNES|X|X|X|X|X|DOMICILIO |500|14300|x|x|x|2022-12-02|2022-12-09|x|x|x|x|x|2DFOYRA5IQNIWWH|x|HOMBRE|X|14800|X|X|X|X|X|X|X|X|CARDENAS|X|X|X|X|X</v>
      </c>
    </row>
    <row r="307" spans="1:82" x14ac:dyDescent="0.25">
      <c r="A307" t="s">
        <v>441</v>
      </c>
      <c r="B307" t="s">
        <v>747</v>
      </c>
      <c r="C307">
        <v>3</v>
      </c>
      <c r="D307" t="s">
        <v>761</v>
      </c>
      <c r="E307" t="s">
        <v>1398</v>
      </c>
      <c r="F307" t="s">
        <v>0</v>
      </c>
      <c r="G307" t="s">
        <v>0</v>
      </c>
      <c r="H307" t="s">
        <v>862</v>
      </c>
      <c r="I307">
        <v>14800</v>
      </c>
      <c r="J307" t="s">
        <v>1</v>
      </c>
      <c r="K307">
        <v>200</v>
      </c>
      <c r="L307">
        <v>50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1391</v>
      </c>
      <c r="AC307" t="s">
        <v>1248</v>
      </c>
      <c r="AD307" t="s">
        <v>1216</v>
      </c>
      <c r="AE307" t="s">
        <v>4</v>
      </c>
      <c r="AF307" t="s">
        <v>1</v>
      </c>
      <c r="AG307" t="s">
        <v>1</v>
      </c>
      <c r="AH307" t="s">
        <v>1654</v>
      </c>
      <c r="AI307" t="s">
        <v>1828</v>
      </c>
      <c r="AJ307" t="s">
        <v>1</v>
      </c>
      <c r="AK307">
        <v>9372274187</v>
      </c>
      <c r="AL307" t="s">
        <v>1</v>
      </c>
      <c r="AM307" t="s">
        <v>1</v>
      </c>
      <c r="AN307" t="s">
        <v>1</v>
      </c>
      <c r="AO307" t="s">
        <v>1654</v>
      </c>
      <c r="AP307" t="s">
        <v>1</v>
      </c>
      <c r="AQ307" t="s">
        <v>2</v>
      </c>
      <c r="AR307" t="s">
        <v>1</v>
      </c>
      <c r="AS307" t="s">
        <v>1</v>
      </c>
      <c r="AT307" t="s">
        <v>1</v>
      </c>
      <c r="AU307" t="s">
        <v>1</v>
      </c>
      <c r="AV307" t="s">
        <v>1</v>
      </c>
      <c r="AW307" t="s">
        <v>11</v>
      </c>
      <c r="AX307">
        <f>Tabla1[[#This Row],[precio del paquete]]-Tabla1[[#This Row],[Saldo_Deudor]]</f>
        <v>850</v>
      </c>
      <c r="AY307">
        <v>13950</v>
      </c>
      <c r="AZ307" t="s">
        <v>3</v>
      </c>
      <c r="BA307" t="s">
        <v>3</v>
      </c>
      <c r="BB307" t="s">
        <v>3</v>
      </c>
      <c r="BC307" t="s">
        <v>973</v>
      </c>
      <c r="BD307" t="s">
        <v>1839</v>
      </c>
      <c r="BE307" t="s">
        <v>3</v>
      </c>
      <c r="BF307" t="s">
        <v>3</v>
      </c>
      <c r="BG307" t="s">
        <v>3</v>
      </c>
      <c r="BH307" t="s">
        <v>3</v>
      </c>
      <c r="BI307" t="s">
        <v>3</v>
      </c>
      <c r="BJ307" t="s">
        <v>1942</v>
      </c>
      <c r="BK307" t="s">
        <v>3</v>
      </c>
      <c r="BL307" t="s">
        <v>132</v>
      </c>
      <c r="BM307" t="s">
        <v>1</v>
      </c>
      <c r="BN307">
        <f>Tabla1[[#This Row],[precio del paquete]]</f>
        <v>14800</v>
      </c>
      <c r="BO307" t="s">
        <v>1</v>
      </c>
      <c r="BP307" t="s">
        <v>1</v>
      </c>
      <c r="BQ307" t="s">
        <v>1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0</v>
      </c>
      <c r="BX307" t="s">
        <v>1</v>
      </c>
      <c r="BY307" t="s">
        <v>1</v>
      </c>
      <c r="BZ307" t="s">
        <v>1</v>
      </c>
      <c r="CA307" t="s">
        <v>1</v>
      </c>
      <c r="CB307" t="s">
        <v>1</v>
      </c>
      <c r="CD307" t="str" cm="1">
        <f t="array" aca="1" ref="CD307" ca="1">eConcatenar(A307:CB307,"|")</f>
        <v>TztmQ8XeCh6LEGMH|CAR2021-5335|3|MEMORIAL|TABASCO|CARDENAS|CARDENAS|2021-09-25|14800|X|200|50|1|0|0|0|0|0|0|0|0|0|0|0|0|0|0|VILLEGA|PEREZ|JOSE JUAN|SOLTERO|X|X|CARRETERA A LAS COLORADAS SIN NUMERO|RANCHERIA ENCRUCIJADA|X|9372274187|X|X|X|CARRETERA A LAS COLORADAS SIN NUMERO|X|LUNES|X|X|X|X|X|DOMICILIO |850|13950|x|x|x|2022-01-21|2022-01-28|x|x|x|x|x|TGYGIVCAZFPUVXE|x|HOMBRE|X|14800|X|X|X|X|X|X|X|X|CARDENAS|X|X|X|X|X</v>
      </c>
    </row>
    <row r="308" spans="1:82" x14ac:dyDescent="0.25">
      <c r="A308" t="s">
        <v>442</v>
      </c>
      <c r="B308" t="s">
        <v>748</v>
      </c>
      <c r="C308">
        <v>3</v>
      </c>
      <c r="D308" t="s">
        <v>761</v>
      </c>
      <c r="E308" t="s">
        <v>1398</v>
      </c>
      <c r="F308" t="s">
        <v>0</v>
      </c>
      <c r="G308" t="s">
        <v>0</v>
      </c>
      <c r="H308" t="s">
        <v>974</v>
      </c>
      <c r="I308">
        <v>14800</v>
      </c>
      <c r="J308" t="s">
        <v>1</v>
      </c>
      <c r="K308">
        <v>200</v>
      </c>
      <c r="L308">
        <v>50</v>
      </c>
      <c r="M308">
        <v>1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1269</v>
      </c>
      <c r="AC308" t="s">
        <v>1260</v>
      </c>
      <c r="AD308" t="s">
        <v>1217</v>
      </c>
      <c r="AE308" t="s">
        <v>4</v>
      </c>
      <c r="AF308" t="s">
        <v>1</v>
      </c>
      <c r="AG308" t="s">
        <v>1</v>
      </c>
      <c r="AH308" t="s">
        <v>1472</v>
      </c>
      <c r="AI308" t="s">
        <v>1829</v>
      </c>
      <c r="AJ308" t="s">
        <v>1</v>
      </c>
      <c r="AK308">
        <v>9371751701</v>
      </c>
      <c r="AL308" t="s">
        <v>1</v>
      </c>
      <c r="AM308" t="s">
        <v>1</v>
      </c>
      <c r="AN308" t="s">
        <v>1</v>
      </c>
      <c r="AO308" t="s">
        <v>1472</v>
      </c>
      <c r="AP308" t="s">
        <v>1</v>
      </c>
      <c r="AQ308" t="s">
        <v>2</v>
      </c>
      <c r="AR308" t="s">
        <v>1</v>
      </c>
      <c r="AS308" t="s">
        <v>1</v>
      </c>
      <c r="AT308" t="s">
        <v>1</v>
      </c>
      <c r="AU308" t="s">
        <v>1</v>
      </c>
      <c r="AV308" t="s">
        <v>1</v>
      </c>
      <c r="AW308" t="s">
        <v>11</v>
      </c>
      <c r="AX308">
        <f>Tabla1[[#This Row],[precio del paquete]]-Tabla1[[#This Row],[Saldo_Deudor]]</f>
        <v>2000</v>
      </c>
      <c r="AY308">
        <v>12800</v>
      </c>
      <c r="AZ308" t="s">
        <v>3</v>
      </c>
      <c r="BA308" t="s">
        <v>3</v>
      </c>
      <c r="BB308" t="s">
        <v>3</v>
      </c>
      <c r="BC308" t="s">
        <v>772</v>
      </c>
      <c r="BD308" t="s">
        <v>1891</v>
      </c>
      <c r="BE308" t="s">
        <v>3</v>
      </c>
      <c r="BF308" t="s">
        <v>3</v>
      </c>
      <c r="BG308" t="s">
        <v>3</v>
      </c>
      <c r="BH308" t="s">
        <v>3</v>
      </c>
      <c r="BI308" t="s">
        <v>3</v>
      </c>
      <c r="BJ308" t="s">
        <v>1942</v>
      </c>
      <c r="BK308" t="s">
        <v>3</v>
      </c>
      <c r="BL308" t="s">
        <v>132</v>
      </c>
      <c r="BM308" t="s">
        <v>1</v>
      </c>
      <c r="BN308">
        <f>Tabla1[[#This Row],[precio del paquete]]</f>
        <v>14800</v>
      </c>
      <c r="BO308" t="s">
        <v>1</v>
      </c>
      <c r="BP308" t="s">
        <v>1</v>
      </c>
      <c r="BQ308" t="s">
        <v>1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0</v>
      </c>
      <c r="BX308" t="s">
        <v>1</v>
      </c>
      <c r="BY308" t="s">
        <v>1</v>
      </c>
      <c r="BZ308" t="s">
        <v>1</v>
      </c>
      <c r="CA308" t="s">
        <v>1</v>
      </c>
      <c r="CB308" t="s">
        <v>1</v>
      </c>
      <c r="CD308" t="str" cm="1">
        <f t="array" aca="1" ref="CD308" ca="1">eConcatenar(A308:CB308,"|")</f>
        <v>RFA1N9VbWVp878Oi|CAR2021-5668|3|MEMORIAL|TABASCO|CARDENAS|CARDENAS|2021-09-28|14800|X|200|50|1|0|0|0|0|0|0|0|0|0|0|0|0|0|0|MENDEZ|GONZALEZ|BENEDICTO|SOLTERO|X|X|CALLE PRINCIPAL SIN NUMERO|EJIDO ENCRUCIJADA TERCERA SECCION|X|9371751701|X|X|X|CALLE PRINCIPAL SIN NUMERO|X|LUNES|X|X|X|X|X|DOMICILIO |2000|12800|x|x|x|2022-12-02|2022-12-09|x|x|x|x|x|TGYGIVCAZFPUVXE|x|HOMBRE|X|14800|X|X|X|X|X|X|X|X|CARDENAS|X|X|X|X|X</v>
      </c>
    </row>
    <row r="309" spans="1:82" s="5" customFormat="1" x14ac:dyDescent="0.25">
      <c r="A309" t="s">
        <v>443</v>
      </c>
      <c r="B309" t="s">
        <v>749</v>
      </c>
      <c r="C309">
        <v>3</v>
      </c>
      <c r="D309" t="s">
        <v>761</v>
      </c>
      <c r="E309" t="s">
        <v>1398</v>
      </c>
      <c r="F309" t="s">
        <v>0</v>
      </c>
      <c r="G309" t="s">
        <v>0</v>
      </c>
      <c r="H309" t="s">
        <v>974</v>
      </c>
      <c r="I309">
        <v>14800</v>
      </c>
      <c r="J309" t="s">
        <v>1</v>
      </c>
      <c r="K309">
        <v>200</v>
      </c>
      <c r="L309">
        <v>50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1392</v>
      </c>
      <c r="AC309" t="s">
        <v>1253</v>
      </c>
      <c r="AD309" t="s">
        <v>1218</v>
      </c>
      <c r="AE309" t="s">
        <v>4</v>
      </c>
      <c r="AF309" t="s">
        <v>1</v>
      </c>
      <c r="AG309" t="s">
        <v>1</v>
      </c>
      <c r="AH309" t="s">
        <v>1472</v>
      </c>
      <c r="AI309" t="s">
        <v>1829</v>
      </c>
      <c r="AJ309" t="s">
        <v>1</v>
      </c>
      <c r="AK309">
        <v>9341006452</v>
      </c>
      <c r="AL309" t="s">
        <v>1</v>
      </c>
      <c r="AM309" t="s">
        <v>1</v>
      </c>
      <c r="AN309" t="s">
        <v>1</v>
      </c>
      <c r="AO309" t="s">
        <v>1472</v>
      </c>
      <c r="AP309" t="s">
        <v>1</v>
      </c>
      <c r="AQ309" t="s">
        <v>2</v>
      </c>
      <c r="AR309" t="s">
        <v>1</v>
      </c>
      <c r="AS309" t="s">
        <v>1</v>
      </c>
      <c r="AT309" t="s">
        <v>1</v>
      </c>
      <c r="AU309" t="s">
        <v>1</v>
      </c>
      <c r="AV309" t="s">
        <v>1</v>
      </c>
      <c r="AW309" t="s">
        <v>11</v>
      </c>
      <c r="AX309">
        <f>Tabla1[[#This Row],[precio del paquete]]-Tabla1[[#This Row],[Saldo_Deudor]]</f>
        <v>0</v>
      </c>
      <c r="AY309">
        <v>14800</v>
      </c>
      <c r="AZ309" t="s">
        <v>3</v>
      </c>
      <c r="BA309" t="s">
        <v>3</v>
      </c>
      <c r="BB309" t="s">
        <v>3</v>
      </c>
      <c r="BC309" t="s">
        <v>772</v>
      </c>
      <c r="BD309" t="s">
        <v>1891</v>
      </c>
      <c r="BE309" t="s">
        <v>3</v>
      </c>
      <c r="BF309" t="s">
        <v>3</v>
      </c>
      <c r="BG309" t="s">
        <v>3</v>
      </c>
      <c r="BH309" t="s">
        <v>3</v>
      </c>
      <c r="BI309" t="s">
        <v>3</v>
      </c>
      <c r="BJ309" t="s">
        <v>1942</v>
      </c>
      <c r="BK309" t="s">
        <v>3</v>
      </c>
      <c r="BL309" t="s">
        <v>132</v>
      </c>
      <c r="BM309" t="s">
        <v>1</v>
      </c>
      <c r="BN309">
        <f>Tabla1[[#This Row],[precio del paquete]]</f>
        <v>14800</v>
      </c>
      <c r="BO309" t="s">
        <v>1</v>
      </c>
      <c r="BP309" t="s">
        <v>1</v>
      </c>
      <c r="BQ309" t="s">
        <v>1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0</v>
      </c>
      <c r="BX309" t="s">
        <v>1</v>
      </c>
      <c r="BY309" t="s">
        <v>1</v>
      </c>
      <c r="BZ309" t="s">
        <v>1</v>
      </c>
      <c r="CA309" t="s">
        <v>1</v>
      </c>
      <c r="CB309" t="s">
        <v>1</v>
      </c>
      <c r="CD309" s="5" t="str" cm="1">
        <f t="array" aca="1" ref="CD309" ca="1">eConcatenar(A309:CB309,"|")</f>
        <v>AiCmZYDEJFQGTjgt|CAR2021-5667|3|MEMORIAL|TABASCO|CARDENAS|CARDENAS|2021-09-28|14800|X|200|50|1|0|0|0|0|0|0|0|0|0|0|0|0|0|0|ZUÃ‘IGA|TRUJILLO|JORDY JACOB|SOLTERO|X|X|CALLE PRINCIPAL SIN NUMERO|EJIDO ENCRUCIJADA TERCERA SECCION|X|9341006452|X|X|X|CALLE PRINCIPAL SIN NUMERO|X|LUNES|X|X|X|X|X|DOMICILIO |0|14800|x|x|x|2022-12-02|2022-12-09|x|x|x|x|x|TGYGIVCAZFPUVXE|x|HOMBRE|X|14800|X|X|X|X|X|X|X|X|CARDENAS|X|X|X|X|X</v>
      </c>
    </row>
    <row r="310" spans="1:82" x14ac:dyDescent="0.25">
      <c r="A310" t="s">
        <v>444</v>
      </c>
      <c r="B310" t="s">
        <v>750</v>
      </c>
      <c r="C310">
        <v>3</v>
      </c>
      <c r="D310" t="s">
        <v>763</v>
      </c>
      <c r="E310" t="s">
        <v>1398</v>
      </c>
      <c r="F310" t="s">
        <v>0</v>
      </c>
      <c r="G310" t="s">
        <v>0</v>
      </c>
      <c r="H310" t="s">
        <v>900</v>
      </c>
      <c r="I310">
        <v>12900</v>
      </c>
      <c r="J310" t="s">
        <v>1</v>
      </c>
      <c r="K310">
        <v>200</v>
      </c>
      <c r="L310">
        <v>50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1255</v>
      </c>
      <c r="AC310" t="s">
        <v>1255</v>
      </c>
      <c r="AD310" t="s">
        <v>1138</v>
      </c>
      <c r="AE310" t="s">
        <v>4</v>
      </c>
      <c r="AF310" t="s">
        <v>1</v>
      </c>
      <c r="AG310" t="s">
        <v>1</v>
      </c>
      <c r="AH310" t="s">
        <v>1655</v>
      </c>
      <c r="AI310" t="s">
        <v>1669</v>
      </c>
      <c r="AJ310" t="s">
        <v>1</v>
      </c>
      <c r="AK310">
        <v>9371257643</v>
      </c>
      <c r="AL310" t="s">
        <v>1</v>
      </c>
      <c r="AM310" t="s">
        <v>1</v>
      </c>
      <c r="AN310" t="s">
        <v>1</v>
      </c>
      <c r="AO310" t="s">
        <v>1655</v>
      </c>
      <c r="AP310" t="s">
        <v>1</v>
      </c>
      <c r="AQ310" t="s">
        <v>2</v>
      </c>
      <c r="AR310" t="s">
        <v>1</v>
      </c>
      <c r="AS310" t="s">
        <v>1</v>
      </c>
      <c r="AT310" t="s">
        <v>1</v>
      </c>
      <c r="AU310" t="s">
        <v>1</v>
      </c>
      <c r="AV310" t="s">
        <v>1</v>
      </c>
      <c r="AW310" t="s">
        <v>11</v>
      </c>
      <c r="AX310">
        <f>Tabla1[[#This Row],[precio del paquete]]-Tabla1[[#This Row],[Saldo_Deudor]]</f>
        <v>6100</v>
      </c>
      <c r="AY310">
        <v>6800</v>
      </c>
      <c r="AZ310" t="s">
        <v>3</v>
      </c>
      <c r="BA310" t="s">
        <v>3</v>
      </c>
      <c r="BB310" t="s">
        <v>3</v>
      </c>
      <c r="BC310" t="s">
        <v>886</v>
      </c>
      <c r="BD310" t="s">
        <v>889</v>
      </c>
      <c r="BE310" t="s">
        <v>3</v>
      </c>
      <c r="BF310" t="s">
        <v>3</v>
      </c>
      <c r="BG310" t="s">
        <v>3</v>
      </c>
      <c r="BH310" t="s">
        <v>3</v>
      </c>
      <c r="BI310" t="s">
        <v>3</v>
      </c>
      <c r="BJ310" t="s">
        <v>1942</v>
      </c>
      <c r="BK310" t="s">
        <v>3</v>
      </c>
      <c r="BL310" t="s">
        <v>132</v>
      </c>
      <c r="BM310" t="s">
        <v>1</v>
      </c>
      <c r="BN310">
        <f>Tabla1[[#This Row],[precio del paquete]]</f>
        <v>12900</v>
      </c>
      <c r="BO310" t="s">
        <v>1</v>
      </c>
      <c r="BP310" t="s">
        <v>1</v>
      </c>
      <c r="BQ310" t="s">
        <v>1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0</v>
      </c>
      <c r="BX310" t="s">
        <v>1</v>
      </c>
      <c r="BY310" t="s">
        <v>1</v>
      </c>
      <c r="BZ310" t="s">
        <v>1</v>
      </c>
      <c r="CA310" t="s">
        <v>1</v>
      </c>
      <c r="CB310" t="s">
        <v>1</v>
      </c>
      <c r="CD310" t="str" cm="1">
        <f t="array" aca="1" ref="CD310" ca="1">eConcatenar(A310:CB310,"|")</f>
        <v>fyLzTkj4gQXBDoZJ|CAR2020-4488|3|IMPERIAL DE LUJO|TABASCO|CARDENAS|CARDENAS|2020-07-11|12900|X|200|50|1|0|0|0|0|0|0|0|0|0|0|0|0|0|0|CORDOVA|CORDOVA|ADAN|SOLTERO|X|X|PROLONGACION AURELIO SOSA TORRES|COLONIA SANTA MARIA DE GUADALUPE|X|9371257643|X|X|X|PROLONGACION AURELIO SOSA TORRES|X|LUNES|X|X|X|X|X|DOMICILIO |6100|6800|x|x|x|2021-11-13|2021-11-20|x|x|x|x|x|TGYGIVCAZFPUVXE|x|HOMBRE|X|12900|X|X|X|X|X|X|X|X|CARDENAS|X|X|X|X|X</v>
      </c>
    </row>
    <row r="311" spans="1:82" x14ac:dyDescent="0.25">
      <c r="A311" t="s">
        <v>445</v>
      </c>
      <c r="B311" t="s">
        <v>751</v>
      </c>
      <c r="C311">
        <v>3</v>
      </c>
      <c r="D311" t="s">
        <v>766</v>
      </c>
      <c r="E311" t="s">
        <v>1398</v>
      </c>
      <c r="F311" t="s">
        <v>0</v>
      </c>
      <c r="G311" t="s">
        <v>0</v>
      </c>
      <c r="H311" t="s">
        <v>975</v>
      </c>
      <c r="I311">
        <v>12900</v>
      </c>
      <c r="J311" t="s">
        <v>1</v>
      </c>
      <c r="K311">
        <v>200</v>
      </c>
      <c r="L311">
        <v>50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1266</v>
      </c>
      <c r="AC311" t="s">
        <v>1248</v>
      </c>
      <c r="AD311" t="s">
        <v>1219</v>
      </c>
      <c r="AE311" t="s">
        <v>4</v>
      </c>
      <c r="AF311" t="s">
        <v>1</v>
      </c>
      <c r="AG311" t="s">
        <v>1</v>
      </c>
      <c r="AH311" t="s">
        <v>1510</v>
      </c>
      <c r="AI311" t="s">
        <v>1830</v>
      </c>
      <c r="AJ311" t="s">
        <v>1</v>
      </c>
      <c r="AK311">
        <v>9333291252</v>
      </c>
      <c r="AL311" t="s">
        <v>1</v>
      </c>
      <c r="AM311" t="s">
        <v>1</v>
      </c>
      <c r="AN311" t="s">
        <v>1</v>
      </c>
      <c r="AO311" t="s">
        <v>1510</v>
      </c>
      <c r="AP311" t="s">
        <v>1</v>
      </c>
      <c r="AQ311" t="s">
        <v>2</v>
      </c>
      <c r="AR311" t="s">
        <v>1</v>
      </c>
      <c r="AS311" t="s">
        <v>1</v>
      </c>
      <c r="AT311" t="s">
        <v>1</v>
      </c>
      <c r="AU311" t="s">
        <v>1</v>
      </c>
      <c r="AV311" t="s">
        <v>1</v>
      </c>
      <c r="AW311" t="s">
        <v>11</v>
      </c>
      <c r="AX311">
        <f>Tabla1[[#This Row],[precio del paquete]]-Tabla1[[#This Row],[Saldo_Deudor]]</f>
        <v>9400</v>
      </c>
      <c r="AY311">
        <v>3500</v>
      </c>
      <c r="AZ311" t="s">
        <v>3</v>
      </c>
      <c r="BA311" t="s">
        <v>3</v>
      </c>
      <c r="BB311" t="s">
        <v>3</v>
      </c>
      <c r="BC311" t="s">
        <v>772</v>
      </c>
      <c r="BD311" t="s">
        <v>1891</v>
      </c>
      <c r="BE311" t="s">
        <v>3</v>
      </c>
      <c r="BF311" t="s">
        <v>3</v>
      </c>
      <c r="BG311" t="s">
        <v>3</v>
      </c>
      <c r="BH311" t="s">
        <v>3</v>
      </c>
      <c r="BI311" t="s">
        <v>3</v>
      </c>
      <c r="BJ311" t="s">
        <v>1942</v>
      </c>
      <c r="BK311" t="s">
        <v>3</v>
      </c>
      <c r="BL311" t="s">
        <v>132</v>
      </c>
      <c r="BM311" t="s">
        <v>1</v>
      </c>
      <c r="BN311">
        <f>Tabla1[[#This Row],[precio del paquete]]</f>
        <v>12900</v>
      </c>
      <c r="BO311" t="s">
        <v>1</v>
      </c>
      <c r="BP311" t="s">
        <v>1</v>
      </c>
      <c r="BQ311" t="s">
        <v>1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0</v>
      </c>
      <c r="BX311" t="s">
        <v>1</v>
      </c>
      <c r="BY311" t="s">
        <v>1</v>
      </c>
      <c r="BZ311" t="s">
        <v>1</v>
      </c>
      <c r="CA311" t="s">
        <v>1</v>
      </c>
      <c r="CB311" t="s">
        <v>1</v>
      </c>
      <c r="CD311" t="str" cm="1">
        <f t="array" aca="1" ref="CD311" ca="1">eConcatenar(A311:CB311,"|")</f>
        <v>kI3TqRGKiopYPNAm|COM2020-3490|3|ECONOLINE|TABASCO|CARDENAS|CARDENAS|2023-01-02|12900|X|200|50|1|0|0|0|0|0|0|0|0|0|0|0|0|0|0|HERNANDEZ|PEREZ|MELCHOR|SOLTERO|X|X|CARRETERA A CARLOS GREEN SIN NUMERO|EJIDO SANTUARIO|X|9333291252|X|X|X|CARRETERA A CARLOS GREEN SIN NUMERO|X|LUNES|X|X|X|X|X|DOMICILIO |9400|3500|x|x|x|2022-12-02|2022-12-09|x|x|x|x|x|TGYGIVCAZFPUVXE|x|HOMBRE|X|12900|X|X|X|X|X|X|X|X|CARDENAS|X|X|X|X|X</v>
      </c>
    </row>
    <row r="312" spans="1:82" x14ac:dyDescent="0.25">
      <c r="A312" t="s">
        <v>446</v>
      </c>
      <c r="B312" t="s">
        <v>752</v>
      </c>
      <c r="C312">
        <v>3</v>
      </c>
      <c r="D312" t="s">
        <v>761</v>
      </c>
      <c r="E312" t="s">
        <v>1398</v>
      </c>
      <c r="F312" t="s">
        <v>0</v>
      </c>
      <c r="G312" t="s">
        <v>0</v>
      </c>
      <c r="H312" t="s">
        <v>815</v>
      </c>
      <c r="I312">
        <v>14800</v>
      </c>
      <c r="J312" t="s">
        <v>1</v>
      </c>
      <c r="K312">
        <v>200</v>
      </c>
      <c r="L312">
        <v>50</v>
      </c>
      <c r="M312">
        <v>1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1297</v>
      </c>
      <c r="AC312" t="s">
        <v>1227</v>
      </c>
      <c r="AD312" t="s">
        <v>1220</v>
      </c>
      <c r="AE312" t="s">
        <v>4</v>
      </c>
      <c r="AF312" t="s">
        <v>1</v>
      </c>
      <c r="AG312" t="s">
        <v>1</v>
      </c>
      <c r="AH312" t="s">
        <v>1656</v>
      </c>
      <c r="AI312" t="s">
        <v>1767</v>
      </c>
      <c r="AJ312" t="s">
        <v>1</v>
      </c>
      <c r="AK312">
        <v>9371395063</v>
      </c>
      <c r="AL312" t="s">
        <v>1</v>
      </c>
      <c r="AM312" t="s">
        <v>1</v>
      </c>
      <c r="AN312" t="s">
        <v>1</v>
      </c>
      <c r="AO312" t="s">
        <v>1656</v>
      </c>
      <c r="AP312" t="s">
        <v>1</v>
      </c>
      <c r="AQ312" t="s">
        <v>2</v>
      </c>
      <c r="AR312" t="s">
        <v>1</v>
      </c>
      <c r="AS312" t="s">
        <v>1</v>
      </c>
      <c r="AT312" t="s">
        <v>1</v>
      </c>
      <c r="AU312" t="s">
        <v>1</v>
      </c>
      <c r="AV312" t="s">
        <v>1</v>
      </c>
      <c r="AW312" t="s">
        <v>11</v>
      </c>
      <c r="AX312">
        <f>Tabla1[[#This Row],[precio del paquete]]-Tabla1[[#This Row],[Saldo_Deudor]]</f>
        <v>800</v>
      </c>
      <c r="AY312">
        <v>14000</v>
      </c>
      <c r="AZ312" t="s">
        <v>3</v>
      </c>
      <c r="BA312" t="s">
        <v>3</v>
      </c>
      <c r="BB312" t="s">
        <v>3</v>
      </c>
      <c r="BC312" t="s">
        <v>1835</v>
      </c>
      <c r="BD312" t="s">
        <v>1880</v>
      </c>
      <c r="BE312" t="s">
        <v>3</v>
      </c>
      <c r="BF312" t="s">
        <v>3</v>
      </c>
      <c r="BG312" t="s">
        <v>3</v>
      </c>
      <c r="BH312" t="s">
        <v>3</v>
      </c>
      <c r="BI312" t="s">
        <v>3</v>
      </c>
      <c r="BJ312" t="s">
        <v>1942</v>
      </c>
      <c r="BK312" t="s">
        <v>3</v>
      </c>
      <c r="BL312" t="s">
        <v>132</v>
      </c>
      <c r="BM312" t="s">
        <v>1</v>
      </c>
      <c r="BN312">
        <f>Tabla1[[#This Row],[precio del paquete]]</f>
        <v>14800</v>
      </c>
      <c r="BO312" t="s">
        <v>1</v>
      </c>
      <c r="BP312" t="s">
        <v>1</v>
      </c>
      <c r="BQ312" t="s">
        <v>1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0</v>
      </c>
      <c r="BX312" t="s">
        <v>1</v>
      </c>
      <c r="BY312" t="s">
        <v>1</v>
      </c>
      <c r="BZ312" t="s">
        <v>1</v>
      </c>
      <c r="CA312" t="s">
        <v>1</v>
      </c>
      <c r="CB312" t="s">
        <v>1</v>
      </c>
      <c r="CD312" t="str" cm="1">
        <f t="array" aca="1" ref="CD312" ca="1">eConcatenar(A312:CB312,"|")</f>
        <v>rZdx8hGK5WRybHFe|COM2021-7491|3|MEMORIAL|TABASCO|CARDENAS|CARDENAS|2021-08-11|14800|X|200|50|1|0|0|0|0|0|0|0|0|0|0|0|0|0|0|MAYO|GARCIA|ASUNCION|SOLTERO|X|X|CASA CON TALLER DE MOTOS COLOR BLANCA|RANCHERIA ENCRUCIJADA TERCERA SECCION|X|9371395063|X|X|X|CASA CON TALLER DE MOTOS COLOR BLANCA|X|LUNES|X|X|X|X|X|DOMICILIO |800|14000|x|x|x|2022-05-02|2022-05-09|x|x|x|x|x|TGYGIVCAZFPUVXE|x|HOMBRE|X|14800|X|X|X|X|X|X|X|X|CARDENAS|X|X|X|X|X</v>
      </c>
    </row>
    <row r="313" spans="1:82" x14ac:dyDescent="0.25">
      <c r="A313" t="s">
        <v>447</v>
      </c>
      <c r="B313" t="s">
        <v>753</v>
      </c>
      <c r="C313">
        <v>3</v>
      </c>
      <c r="D313" t="s">
        <v>761</v>
      </c>
      <c r="E313" t="s">
        <v>1398</v>
      </c>
      <c r="F313" t="s">
        <v>0</v>
      </c>
      <c r="G313" t="s">
        <v>0</v>
      </c>
      <c r="H313" t="s">
        <v>815</v>
      </c>
      <c r="I313">
        <v>14800</v>
      </c>
      <c r="J313" t="s">
        <v>1</v>
      </c>
      <c r="K313">
        <v>200</v>
      </c>
      <c r="L313">
        <v>50</v>
      </c>
      <c r="M313">
        <v>1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1350</v>
      </c>
      <c r="AC313" t="s">
        <v>1393</v>
      </c>
      <c r="AD313" t="s">
        <v>1221</v>
      </c>
      <c r="AE313" t="s">
        <v>4</v>
      </c>
      <c r="AF313" t="s">
        <v>1</v>
      </c>
      <c r="AG313" t="s">
        <v>1</v>
      </c>
      <c r="AH313" t="s">
        <v>1426</v>
      </c>
      <c r="AI313" t="s">
        <v>1767</v>
      </c>
      <c r="AJ313" t="s">
        <v>1</v>
      </c>
      <c r="AK313">
        <v>9372716494</v>
      </c>
      <c r="AL313" t="s">
        <v>1</v>
      </c>
      <c r="AM313" t="s">
        <v>1</v>
      </c>
      <c r="AN313" t="s">
        <v>1</v>
      </c>
      <c r="AO313" t="s">
        <v>1426</v>
      </c>
      <c r="AP313" t="s">
        <v>1</v>
      </c>
      <c r="AQ313" t="s">
        <v>2</v>
      </c>
      <c r="AR313" t="s">
        <v>1</v>
      </c>
      <c r="AS313" t="s">
        <v>1</v>
      </c>
      <c r="AT313" t="s">
        <v>1</v>
      </c>
      <c r="AU313" t="s">
        <v>1</v>
      </c>
      <c r="AV313" t="s">
        <v>1</v>
      </c>
      <c r="AW313" t="s">
        <v>11</v>
      </c>
      <c r="AX313">
        <f>Tabla1[[#This Row],[precio del paquete]]-Tabla1[[#This Row],[Saldo_Deudor]]</f>
        <v>700</v>
      </c>
      <c r="AY313">
        <v>14100</v>
      </c>
      <c r="AZ313" t="s">
        <v>3</v>
      </c>
      <c r="BA313" t="s">
        <v>3</v>
      </c>
      <c r="BB313" t="s">
        <v>3</v>
      </c>
      <c r="BC313" t="s">
        <v>1835</v>
      </c>
      <c r="BD313" t="s">
        <v>1880</v>
      </c>
      <c r="BE313" t="s">
        <v>3</v>
      </c>
      <c r="BF313" t="s">
        <v>3</v>
      </c>
      <c r="BG313" t="s">
        <v>3</v>
      </c>
      <c r="BH313" t="s">
        <v>3</v>
      </c>
      <c r="BI313" t="s">
        <v>3</v>
      </c>
      <c r="BJ313" t="s">
        <v>1942</v>
      </c>
      <c r="BK313" t="s">
        <v>3</v>
      </c>
      <c r="BL313" t="s">
        <v>132</v>
      </c>
      <c r="BM313" t="s">
        <v>1</v>
      </c>
      <c r="BN313">
        <f>Tabla1[[#This Row],[precio del paquete]]</f>
        <v>14800</v>
      </c>
      <c r="BO313" t="s">
        <v>1</v>
      </c>
      <c r="BP313" t="s">
        <v>1</v>
      </c>
      <c r="BQ313" t="s">
        <v>1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0</v>
      </c>
      <c r="BX313" t="s">
        <v>1</v>
      </c>
      <c r="BY313" t="s">
        <v>1</v>
      </c>
      <c r="BZ313" t="s">
        <v>1</v>
      </c>
      <c r="CA313" t="s">
        <v>1</v>
      </c>
      <c r="CB313" t="s">
        <v>1</v>
      </c>
      <c r="CD313" t="str" cm="1">
        <f t="array" aca="1" ref="CD313" ca="1">eConcatenar(A313:CB313,"|")</f>
        <v>suTPScgYxvsnupsJ|CAR2021-7492|3|MEMORIAL|TABASCO|CARDENAS|CARDENAS|2021-08-11|14800|X|200|50|1|0|0|0|0|0|0|0|0|0|0|0|0|0|0|VELAZQUEZ|CASTILLO|GEORGINA|SOLTERO|X|X|CARRETERA PRINCIPAL SIN NUMERO|RANCHERIA ENCRUCIJADA TERCERA SECCION|X|9372716494|X|X|X|CARRETERA PRINCIPAL SIN NUMERO|X|LUNES|X|X|X|X|X|DOMICILIO |700|14100|x|x|x|2022-05-02|2022-05-09|x|x|x|x|x|TGYGIVCAZFPUVXE|x|HOMBRE|X|14800|X|X|X|X|X|X|X|X|CARDENAS|X|X|X|X|X</v>
      </c>
    </row>
    <row r="314" spans="1:82" x14ac:dyDescent="0.25">
      <c r="A314" t="s">
        <v>448</v>
      </c>
      <c r="B314" t="s">
        <v>754</v>
      </c>
      <c r="C314">
        <v>3</v>
      </c>
      <c r="D314" t="s">
        <v>761</v>
      </c>
      <c r="E314" t="s">
        <v>1398</v>
      </c>
      <c r="F314" t="s">
        <v>0</v>
      </c>
      <c r="G314" t="s">
        <v>0</v>
      </c>
      <c r="H314" t="s">
        <v>957</v>
      </c>
      <c r="I314">
        <v>14800</v>
      </c>
      <c r="J314" t="s">
        <v>1</v>
      </c>
      <c r="K314">
        <v>200</v>
      </c>
      <c r="L314">
        <v>50</v>
      </c>
      <c r="M314">
        <v>1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1185</v>
      </c>
      <c r="AC314" t="s">
        <v>1249</v>
      </c>
      <c r="AD314" t="s">
        <v>1161</v>
      </c>
      <c r="AE314" t="s">
        <v>4</v>
      </c>
      <c r="AF314" t="s">
        <v>1</v>
      </c>
      <c r="AG314" t="s">
        <v>1</v>
      </c>
      <c r="AH314" t="s">
        <v>1657</v>
      </c>
      <c r="AI314" t="s">
        <v>1831</v>
      </c>
      <c r="AJ314" t="s">
        <v>1</v>
      </c>
      <c r="AK314">
        <v>9371217117</v>
      </c>
      <c r="AL314" t="s">
        <v>1</v>
      </c>
      <c r="AM314" t="s">
        <v>1</v>
      </c>
      <c r="AN314" t="s">
        <v>1</v>
      </c>
      <c r="AO314" t="s">
        <v>1657</v>
      </c>
      <c r="AP314" t="s">
        <v>1</v>
      </c>
      <c r="AQ314" t="s">
        <v>2</v>
      </c>
      <c r="AR314" t="s">
        <v>1</v>
      </c>
      <c r="AS314" t="s">
        <v>1</v>
      </c>
      <c r="AT314" t="s">
        <v>1</v>
      </c>
      <c r="AU314" t="s">
        <v>1</v>
      </c>
      <c r="AV314" t="s">
        <v>1</v>
      </c>
      <c r="AW314" t="s">
        <v>11</v>
      </c>
      <c r="AX314">
        <f>Tabla1[[#This Row],[precio del paquete]]-Tabla1[[#This Row],[Saldo_Deudor]]</f>
        <v>7800</v>
      </c>
      <c r="AY314">
        <v>7000</v>
      </c>
      <c r="AZ314" t="s">
        <v>3</v>
      </c>
      <c r="BA314" t="s">
        <v>3</v>
      </c>
      <c r="BB314" t="s">
        <v>3</v>
      </c>
      <c r="BC314" t="s">
        <v>778</v>
      </c>
      <c r="BD314" t="s">
        <v>1915</v>
      </c>
      <c r="BE314" t="s">
        <v>3</v>
      </c>
      <c r="BF314" t="s">
        <v>3</v>
      </c>
      <c r="BG314" t="s">
        <v>3</v>
      </c>
      <c r="BH314" t="s">
        <v>3</v>
      </c>
      <c r="BI314" t="s">
        <v>3</v>
      </c>
      <c r="BJ314" t="s">
        <v>1942</v>
      </c>
      <c r="BK314" t="s">
        <v>3</v>
      </c>
      <c r="BL314" t="s">
        <v>132</v>
      </c>
      <c r="BM314" t="s">
        <v>1</v>
      </c>
      <c r="BN314">
        <f>Tabla1[[#This Row],[precio del paquete]]</f>
        <v>14800</v>
      </c>
      <c r="BO314" t="s">
        <v>1</v>
      </c>
      <c r="BP314" t="s">
        <v>1</v>
      </c>
      <c r="BQ314" t="s">
        <v>1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0</v>
      </c>
      <c r="BX314" t="s">
        <v>1</v>
      </c>
      <c r="BY314" t="s">
        <v>1</v>
      </c>
      <c r="BZ314" t="s">
        <v>1</v>
      </c>
      <c r="CA314" t="s">
        <v>1</v>
      </c>
      <c r="CB314" t="s">
        <v>1</v>
      </c>
      <c r="CD314" t="str" cm="1">
        <f t="array" aca="1" ref="CD314" ca="1">eConcatenar(A314:CB314,"|")</f>
        <v>DFHZOpO1AGv4UCZa|COM2020-3686|3|MEMORIAL|TABASCO|CARDENAS|CARDENAS|2020-06-10|14800|X|200|50|1|0|0|0|0|0|0|0|0|0|0|0|0|0|0|RODRIGUEZ|DE LA CRUZ|TRINIDAD|SOLTERO|X|X|CARRETERA PASO DE LOS JIMENEZ|POBLADO AZUCENZA SEGUNDA SECCION|X|9371217117|X|X|X|CARRETERA PASO DE LOS JIMENEZ|X|LUNES|X|X|X|X|X|DOMICILIO |7800|7000|x|x|x|2022-04-02|2022-04-09|x|x|x|x|x|TGYGIVCAZFPUVXE|x|HOMBRE|X|14800|X|X|X|X|X|X|X|X|CARDENAS|X|X|X|X|X</v>
      </c>
    </row>
    <row r="315" spans="1:82" x14ac:dyDescent="0.25">
      <c r="A315" t="s">
        <v>449</v>
      </c>
      <c r="B315" t="s">
        <v>755</v>
      </c>
      <c r="C315">
        <v>3</v>
      </c>
      <c r="D315" t="s">
        <v>761</v>
      </c>
      <c r="E315" t="s">
        <v>1398</v>
      </c>
      <c r="F315" t="s">
        <v>0</v>
      </c>
      <c r="G315" t="s">
        <v>0</v>
      </c>
      <c r="H315" t="s">
        <v>976</v>
      </c>
      <c r="I315">
        <v>14800</v>
      </c>
      <c r="J315" t="s">
        <v>1</v>
      </c>
      <c r="K315">
        <v>200</v>
      </c>
      <c r="L315">
        <v>50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1394</v>
      </c>
      <c r="AC315" t="s">
        <v>7</v>
      </c>
      <c r="AD315" t="s">
        <v>1222</v>
      </c>
      <c r="AE315" t="s">
        <v>4</v>
      </c>
      <c r="AF315" t="s">
        <v>1</v>
      </c>
      <c r="AG315" t="s">
        <v>1</v>
      </c>
      <c r="AH315" t="s">
        <v>1658</v>
      </c>
      <c r="AI315" t="s">
        <v>1832</v>
      </c>
      <c r="AJ315" t="s">
        <v>1</v>
      </c>
      <c r="AK315">
        <v>9932802370</v>
      </c>
      <c r="AL315" t="s">
        <v>1</v>
      </c>
      <c r="AM315" t="s">
        <v>1</v>
      </c>
      <c r="AN315" t="s">
        <v>1</v>
      </c>
      <c r="AO315" t="s">
        <v>1658</v>
      </c>
      <c r="AP315" t="s">
        <v>1</v>
      </c>
      <c r="AQ315" t="s">
        <v>2</v>
      </c>
      <c r="AR315" t="s">
        <v>1</v>
      </c>
      <c r="AS315" t="s">
        <v>1</v>
      </c>
      <c r="AT315" t="s">
        <v>1</v>
      </c>
      <c r="AU315" t="s">
        <v>1</v>
      </c>
      <c r="AV315" t="s">
        <v>1</v>
      </c>
      <c r="AW315" t="s">
        <v>11</v>
      </c>
      <c r="AX315">
        <f>Tabla1[[#This Row],[precio del paquete]]-Tabla1[[#This Row],[Saldo_Deudor]]</f>
        <v>9500</v>
      </c>
      <c r="AY315">
        <v>5300</v>
      </c>
      <c r="AZ315" t="s">
        <v>3</v>
      </c>
      <c r="BA315" t="s">
        <v>3</v>
      </c>
      <c r="BB315" t="s">
        <v>3</v>
      </c>
      <c r="BC315" t="s">
        <v>778</v>
      </c>
      <c r="BD315" t="s">
        <v>1915</v>
      </c>
      <c r="BE315" t="s">
        <v>3</v>
      </c>
      <c r="BF315" t="s">
        <v>3</v>
      </c>
      <c r="BG315" t="s">
        <v>3</v>
      </c>
      <c r="BH315" t="s">
        <v>3</v>
      </c>
      <c r="BI315" t="s">
        <v>3</v>
      </c>
      <c r="BJ315" t="s">
        <v>1942</v>
      </c>
      <c r="BK315" t="s">
        <v>3</v>
      </c>
      <c r="BL315" t="s">
        <v>132</v>
      </c>
      <c r="BM315" t="s">
        <v>1</v>
      </c>
      <c r="BN315">
        <f>Tabla1[[#This Row],[precio del paquete]]</f>
        <v>14800</v>
      </c>
      <c r="BO315" t="s">
        <v>1</v>
      </c>
      <c r="BP315" t="s">
        <v>1</v>
      </c>
      <c r="BQ315" t="s">
        <v>1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0</v>
      </c>
      <c r="BX315" t="s">
        <v>1</v>
      </c>
      <c r="BY315" t="s">
        <v>1</v>
      </c>
      <c r="BZ315" t="s">
        <v>1</v>
      </c>
      <c r="CA315" t="s">
        <v>1</v>
      </c>
      <c r="CB315" t="s">
        <v>1</v>
      </c>
      <c r="CD315" t="str" cm="1">
        <f t="array" aca="1" ref="CD315" ca="1">eConcatenar(A315:CB315,"|")</f>
        <v>mg862nE4UmMOeaJC|COM2020-2624|3|MEMORIAL|TABASCO|CARDENAS|CARDENAS|2020-08-21|14800|X|200|50|1|0|0|0|0|0|0|0|0|0|0|0|0|0|0|SACNHEZ|LOPEZ|REBECA|SOLTERO|X|X|CALLE 6 CASA 156|POBLACO C 10 LAZARO CARDENAS|X|9932802370|X|X|X|CALLE 6 CASA 156|X|LUNES|X|X|X|X|X|DOMICILIO |9500|5300|x|x|x|2022-04-02|2022-04-09|x|x|x|x|x|TGYGIVCAZFPUVXE|x|HOMBRE|X|14800|X|X|X|X|X|X|X|X|CARDENAS|X|X|X|X|X</v>
      </c>
    </row>
    <row r="316" spans="1:82" x14ac:dyDescent="0.25">
      <c r="A316" t="s">
        <v>450</v>
      </c>
      <c r="B316" t="s">
        <v>756</v>
      </c>
      <c r="C316">
        <v>3</v>
      </c>
      <c r="D316" t="s">
        <v>762</v>
      </c>
      <c r="E316" t="s">
        <v>1398</v>
      </c>
      <c r="F316" t="s">
        <v>0</v>
      </c>
      <c r="G316" t="s">
        <v>0</v>
      </c>
      <c r="H316" t="s">
        <v>890</v>
      </c>
      <c r="I316">
        <v>24500</v>
      </c>
      <c r="J316" t="s">
        <v>1</v>
      </c>
      <c r="K316">
        <v>200</v>
      </c>
      <c r="L316">
        <v>50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1315</v>
      </c>
      <c r="AC316" t="s">
        <v>1249</v>
      </c>
      <c r="AD316" t="s">
        <v>1223</v>
      </c>
      <c r="AE316" t="s">
        <v>4</v>
      </c>
      <c r="AF316" t="s">
        <v>1</v>
      </c>
      <c r="AG316" t="s">
        <v>1</v>
      </c>
      <c r="AH316" t="s">
        <v>1659</v>
      </c>
      <c r="AI316" t="s">
        <v>1832</v>
      </c>
      <c r="AJ316" t="s">
        <v>1</v>
      </c>
      <c r="AK316">
        <v>9372719190</v>
      </c>
      <c r="AL316" t="s">
        <v>1</v>
      </c>
      <c r="AM316" t="s">
        <v>1</v>
      </c>
      <c r="AN316" t="s">
        <v>1</v>
      </c>
      <c r="AO316" t="s">
        <v>1659</v>
      </c>
      <c r="AP316" t="s">
        <v>1</v>
      </c>
      <c r="AQ316" t="s">
        <v>2</v>
      </c>
      <c r="AR316" t="s">
        <v>1</v>
      </c>
      <c r="AS316" t="s">
        <v>1</v>
      </c>
      <c r="AT316" t="s">
        <v>1</v>
      </c>
      <c r="AU316" t="s">
        <v>1</v>
      </c>
      <c r="AV316" t="s">
        <v>1</v>
      </c>
      <c r="AW316" t="s">
        <v>11</v>
      </c>
      <c r="AX316">
        <f>Tabla1[[#This Row],[precio del paquete]]-Tabla1[[#This Row],[Saldo_Deudor]]</f>
        <v>13200</v>
      </c>
      <c r="AY316">
        <v>11300</v>
      </c>
      <c r="AZ316" t="s">
        <v>3</v>
      </c>
      <c r="BA316" t="s">
        <v>3</v>
      </c>
      <c r="BB316" t="s">
        <v>3</v>
      </c>
      <c r="BC316" t="s">
        <v>778</v>
      </c>
      <c r="BD316" t="s">
        <v>1915</v>
      </c>
      <c r="BE316" t="s">
        <v>3</v>
      </c>
      <c r="BF316" t="s">
        <v>3</v>
      </c>
      <c r="BG316" t="s">
        <v>3</v>
      </c>
      <c r="BH316" t="s">
        <v>3</v>
      </c>
      <c r="BI316" t="s">
        <v>3</v>
      </c>
      <c r="BJ316" t="s">
        <v>1942</v>
      </c>
      <c r="BK316" t="s">
        <v>3</v>
      </c>
      <c r="BL316" t="s">
        <v>132</v>
      </c>
      <c r="BM316" t="s">
        <v>1</v>
      </c>
      <c r="BN316">
        <f>Tabla1[[#This Row],[precio del paquete]]</f>
        <v>24500</v>
      </c>
      <c r="BO316" t="s">
        <v>1</v>
      </c>
      <c r="BP316" t="s">
        <v>1</v>
      </c>
      <c r="BQ316" t="s">
        <v>1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0</v>
      </c>
      <c r="BX316" t="s">
        <v>1</v>
      </c>
      <c r="BY316" t="s">
        <v>1</v>
      </c>
      <c r="BZ316" t="s">
        <v>1</v>
      </c>
      <c r="CA316" t="s">
        <v>1</v>
      </c>
      <c r="CB316" t="s">
        <v>1</v>
      </c>
      <c r="CD316" t="str" cm="1">
        <f t="array" aca="1" ref="CD316" ca="1">eConcatenar(A316:CB316,"|")</f>
        <v>acQhRfLULmam6RAc|CAR2021-7030|3|DIGNITY|TABASCO|CARDENAS|CARDENAS|2021-11-18|24500|X|200|50|1|0|0|0|0|0|0|0|0|0|0|0|0|0|0|ALCUDIA|DE LA CRUZ|SARAY|SOLTERO|X|X|CALLE 6 NUMERO 153|POBLACO C 10 LAZARO CARDENAS|X|9372719190|X|X|X|CALLE 6 NUMERO 153|X|LUNES|X|X|X|X|X|DOMICILIO |13200|11300|x|x|x|2022-04-02|2022-04-09|x|x|x|x|x|TGYGIVCAZFPUVXE|x|HOMBRE|X|24500|X|X|X|X|X|X|X|X|CARDENAS|X|X|X|X|X</v>
      </c>
    </row>
    <row r="317" spans="1:82" x14ac:dyDescent="0.25">
      <c r="A317" t="s">
        <v>451</v>
      </c>
      <c r="B317" t="s">
        <v>757</v>
      </c>
      <c r="C317">
        <v>3</v>
      </c>
      <c r="D317" t="s">
        <v>761</v>
      </c>
      <c r="E317" t="s">
        <v>1398</v>
      </c>
      <c r="F317" t="s">
        <v>0</v>
      </c>
      <c r="G317" t="s">
        <v>0</v>
      </c>
      <c r="H317" t="s">
        <v>896</v>
      </c>
      <c r="I317">
        <v>14800</v>
      </c>
      <c r="J317" t="s">
        <v>1</v>
      </c>
      <c r="K317">
        <v>200</v>
      </c>
      <c r="L317">
        <v>50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1276</v>
      </c>
      <c r="AC317" t="s">
        <v>1239</v>
      </c>
      <c r="AD317" t="s">
        <v>1021</v>
      </c>
      <c r="AE317" t="s">
        <v>4</v>
      </c>
      <c r="AF317" t="s">
        <v>1</v>
      </c>
      <c r="AG317" t="s">
        <v>1</v>
      </c>
      <c r="AH317" t="s">
        <v>1660</v>
      </c>
      <c r="AI317" t="s">
        <v>1832</v>
      </c>
      <c r="AJ317" t="s">
        <v>1</v>
      </c>
      <c r="AK317">
        <v>9372298465</v>
      </c>
      <c r="AL317" t="s">
        <v>1</v>
      </c>
      <c r="AM317" t="s">
        <v>1</v>
      </c>
      <c r="AN317" t="s">
        <v>1</v>
      </c>
      <c r="AO317" t="s">
        <v>1660</v>
      </c>
      <c r="AP317" t="s">
        <v>1</v>
      </c>
      <c r="AQ317" t="s">
        <v>2</v>
      </c>
      <c r="AR317" t="s">
        <v>1</v>
      </c>
      <c r="AS317" t="s">
        <v>1</v>
      </c>
      <c r="AT317" t="s">
        <v>1</v>
      </c>
      <c r="AU317" t="s">
        <v>1</v>
      </c>
      <c r="AV317" t="s">
        <v>1</v>
      </c>
      <c r="AW317" t="s">
        <v>11</v>
      </c>
      <c r="AX317">
        <f>Tabla1[[#This Row],[precio del paquete]]-Tabla1[[#This Row],[Saldo_Deudor]]</f>
        <v>1700</v>
      </c>
      <c r="AY317">
        <v>13100</v>
      </c>
      <c r="AZ317" t="s">
        <v>3</v>
      </c>
      <c r="BA317" t="s">
        <v>3</v>
      </c>
      <c r="BB317" t="s">
        <v>3</v>
      </c>
      <c r="BC317" t="s">
        <v>778</v>
      </c>
      <c r="BD317" t="s">
        <v>1915</v>
      </c>
      <c r="BE317" t="s">
        <v>3</v>
      </c>
      <c r="BF317" t="s">
        <v>3</v>
      </c>
      <c r="BG317" t="s">
        <v>3</v>
      </c>
      <c r="BH317" t="s">
        <v>3</v>
      </c>
      <c r="BI317" t="s">
        <v>3</v>
      </c>
      <c r="BJ317" t="s">
        <v>1942</v>
      </c>
      <c r="BK317" t="s">
        <v>3</v>
      </c>
      <c r="BL317" t="s">
        <v>132</v>
      </c>
      <c r="BM317" t="s">
        <v>1</v>
      </c>
      <c r="BN317">
        <f>Tabla1[[#This Row],[precio del paquete]]</f>
        <v>14800</v>
      </c>
      <c r="BO317" t="s">
        <v>1</v>
      </c>
      <c r="BP317" t="s">
        <v>1</v>
      </c>
      <c r="BQ317" t="s">
        <v>1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0</v>
      </c>
      <c r="BX317" t="s">
        <v>1</v>
      </c>
      <c r="BY317" t="s">
        <v>1</v>
      </c>
      <c r="BZ317" t="s">
        <v>1</v>
      </c>
      <c r="CA317" t="s">
        <v>1</v>
      </c>
      <c r="CB317" t="s">
        <v>1</v>
      </c>
      <c r="CD317" t="str" cm="1">
        <f t="array" aca="1" ref="CD317" ca="1">eConcatenar(A317:CB317,"|")</f>
        <v>YKqltrXlUjosmE88|CAR2021-5871|3|MEMORIAL|TABASCO|CARDENAS|CARDENAS|2021-06-10|14800|X|200|50|1|0|0|0|0|0|0|0|0|0|0|0|0|0|0|MARTINEZ||MARIO|SOLTERO|X|X|CALLE 2 NUMERO|POBLACO C 10 LAZARO CARDENAS|X|9372298465|X|X|X|CALLE 2 NUMERO|X|LUNES|X|X|X|X|X|DOMICILIO |1700|13100|x|x|x|2022-04-02|2022-04-09|x|x|x|x|x|TGYGIVCAZFPUVXE|x|HOMBRE|X|14800|X|X|X|X|X|X|X|X|CARDENAS|X|X|X|X|X</v>
      </c>
    </row>
    <row r="318" spans="1:82" x14ac:dyDescent="0.25">
      <c r="A318" t="s">
        <v>452</v>
      </c>
      <c r="B318" t="s">
        <v>758</v>
      </c>
      <c r="C318">
        <v>3</v>
      </c>
      <c r="D318" t="s">
        <v>761</v>
      </c>
      <c r="E318" t="s">
        <v>1398</v>
      </c>
      <c r="F318" t="s">
        <v>0</v>
      </c>
      <c r="G318" t="s">
        <v>0</v>
      </c>
      <c r="H318" t="s">
        <v>976</v>
      </c>
      <c r="I318">
        <v>14800</v>
      </c>
      <c r="J318" t="s">
        <v>1</v>
      </c>
      <c r="K318">
        <v>200</v>
      </c>
      <c r="L318">
        <v>50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1227</v>
      </c>
      <c r="AC318" t="s">
        <v>1247</v>
      </c>
      <c r="AD318" t="s">
        <v>1224</v>
      </c>
      <c r="AE318" t="s">
        <v>4</v>
      </c>
      <c r="AF318" t="s">
        <v>1</v>
      </c>
      <c r="AG318" t="s">
        <v>1</v>
      </c>
      <c r="AH318" t="s">
        <v>1661</v>
      </c>
      <c r="AI318" t="s">
        <v>1832</v>
      </c>
      <c r="AJ318" t="s">
        <v>1</v>
      </c>
      <c r="AK318">
        <v>9372718867</v>
      </c>
      <c r="AL318" t="s">
        <v>1</v>
      </c>
      <c r="AM318" t="s">
        <v>1</v>
      </c>
      <c r="AN318" t="s">
        <v>1</v>
      </c>
      <c r="AO318" t="s">
        <v>1661</v>
      </c>
      <c r="AP318" t="s">
        <v>1</v>
      </c>
      <c r="AQ318" t="s">
        <v>2</v>
      </c>
      <c r="AR318" t="s">
        <v>1</v>
      </c>
      <c r="AS318" t="s">
        <v>1</v>
      </c>
      <c r="AT318" t="s">
        <v>1</v>
      </c>
      <c r="AU318" t="s">
        <v>1</v>
      </c>
      <c r="AV318" t="s">
        <v>1</v>
      </c>
      <c r="AW318" t="s">
        <v>11</v>
      </c>
      <c r="AX318">
        <f>Tabla1[[#This Row],[precio del paquete]]-Tabla1[[#This Row],[Saldo_Deudor]]</f>
        <v>8900</v>
      </c>
      <c r="AY318">
        <v>5900</v>
      </c>
      <c r="AZ318" t="s">
        <v>3</v>
      </c>
      <c r="BA318" t="s">
        <v>3</v>
      </c>
      <c r="BB318" t="s">
        <v>3</v>
      </c>
      <c r="BC318" t="s">
        <v>778</v>
      </c>
      <c r="BD318" t="s">
        <v>1915</v>
      </c>
      <c r="BE318" t="s">
        <v>3</v>
      </c>
      <c r="BF318" t="s">
        <v>3</v>
      </c>
      <c r="BG318" t="s">
        <v>3</v>
      </c>
      <c r="BH318" t="s">
        <v>3</v>
      </c>
      <c r="BI318" t="s">
        <v>3</v>
      </c>
      <c r="BJ318" t="s">
        <v>1942</v>
      </c>
      <c r="BK318" t="s">
        <v>3</v>
      </c>
      <c r="BL318" t="s">
        <v>132</v>
      </c>
      <c r="BM318" t="s">
        <v>1</v>
      </c>
      <c r="BN318">
        <f>Tabla1[[#This Row],[precio del paquete]]</f>
        <v>14800</v>
      </c>
      <c r="BO318" t="s">
        <v>1</v>
      </c>
      <c r="BP318" t="s">
        <v>1</v>
      </c>
      <c r="BQ318" t="s">
        <v>1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0</v>
      </c>
      <c r="BX318" t="s">
        <v>1</v>
      </c>
      <c r="BY318" t="s">
        <v>1</v>
      </c>
      <c r="BZ318" t="s">
        <v>1</v>
      </c>
      <c r="CA318" t="s">
        <v>1</v>
      </c>
      <c r="CB318" t="s">
        <v>1</v>
      </c>
      <c r="CD318" t="str" cm="1">
        <f t="array" aca="1" ref="CD318" ca="1">eConcatenar(A318:CB318,"|")</f>
        <v>9933iNEEOe66pyy7|CAR2020-2623|3|MEMORIAL|TABASCO|CARDENAS|CARDENAS|2020-08-21|14800|X|200|50|1|0|0|0|0|0|0|0|0|0|0|0|0|0|0|GARCIA|SANCHEZ|OMAR|SOLTERO|X|X|CALLE ZONA VERDE ENTRE  6 Y 7 SIN NUMERO|POBLACO C 10 LAZARO CARDENAS|X|9372718867|X|X|X|CALLE ZONA VERDE ENTRE  6 Y 7 SIN NUMERO|X|LUNES|X|X|X|X|X|DOMICILIO |8900|5900|x|x|x|2022-04-02|2022-04-09|x|x|x|x|x|TGYGIVCAZFPUVXE|x|HOMBRE|X|14800|X|X|X|X|X|X|X|X|CARDENAS|X|X|X|X|X</v>
      </c>
    </row>
    <row r="319" spans="1:82" x14ac:dyDescent="0.25">
      <c r="A319" t="s">
        <v>453</v>
      </c>
      <c r="B319" t="s">
        <v>759</v>
      </c>
      <c r="C319">
        <v>3</v>
      </c>
      <c r="D319" t="s">
        <v>766</v>
      </c>
      <c r="E319" t="s">
        <v>1398</v>
      </c>
      <c r="F319" t="s">
        <v>768</v>
      </c>
      <c r="G319" t="s">
        <v>768</v>
      </c>
      <c r="H319" t="s">
        <v>977</v>
      </c>
      <c r="I319">
        <v>12900</v>
      </c>
      <c r="J319" t="s">
        <v>1</v>
      </c>
      <c r="K319">
        <v>200</v>
      </c>
      <c r="L319">
        <v>50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1395</v>
      </c>
      <c r="AC319" t="s">
        <v>1396</v>
      </c>
      <c r="AD319" t="s">
        <v>1225</v>
      </c>
      <c r="AE319" t="s">
        <v>4</v>
      </c>
      <c r="AF319" t="s">
        <v>1</v>
      </c>
      <c r="AG319" t="s">
        <v>1</v>
      </c>
      <c r="AH319" t="s">
        <v>140</v>
      </c>
      <c r="AI319" t="s">
        <v>1833</v>
      </c>
      <c r="AJ319" t="s">
        <v>1</v>
      </c>
      <c r="AK319">
        <v>9141378068</v>
      </c>
      <c r="AL319" t="s">
        <v>1</v>
      </c>
      <c r="AM319" t="s">
        <v>1</v>
      </c>
      <c r="AN319" t="s">
        <v>1</v>
      </c>
      <c r="AO319" t="s">
        <v>140</v>
      </c>
      <c r="AP319" t="s">
        <v>1</v>
      </c>
      <c r="AQ319" t="s">
        <v>2</v>
      </c>
      <c r="AR319" t="s">
        <v>1</v>
      </c>
      <c r="AS319" t="s">
        <v>1</v>
      </c>
      <c r="AT319" t="s">
        <v>1</v>
      </c>
      <c r="AU319" t="s">
        <v>1</v>
      </c>
      <c r="AV319" t="s">
        <v>1</v>
      </c>
      <c r="AW319" t="s">
        <v>11</v>
      </c>
      <c r="AX319">
        <f>Tabla1[[#This Row],[precio del paquete]]-Tabla1[[#This Row],[Saldo_Deudor]]</f>
        <v>3900</v>
      </c>
      <c r="AY319">
        <v>9000</v>
      </c>
      <c r="AZ319" t="s">
        <v>3</v>
      </c>
      <c r="BA319" t="s">
        <v>3</v>
      </c>
      <c r="BB319" t="s">
        <v>3</v>
      </c>
      <c r="BC319" t="s">
        <v>1873</v>
      </c>
      <c r="BD319" t="s">
        <v>1863</v>
      </c>
      <c r="BE319" t="s">
        <v>3</v>
      </c>
      <c r="BF319" t="s">
        <v>3</v>
      </c>
      <c r="BG319" t="s">
        <v>3</v>
      </c>
      <c r="BH319" t="s">
        <v>3</v>
      </c>
      <c r="BI319" t="s">
        <v>3</v>
      </c>
      <c r="BJ319" t="s">
        <v>1942</v>
      </c>
      <c r="BK319" t="s">
        <v>3</v>
      </c>
      <c r="BL319" t="s">
        <v>132</v>
      </c>
      <c r="BM319" t="s">
        <v>1</v>
      </c>
      <c r="BN319">
        <f>Tabla1[[#This Row],[precio del paquete]]</f>
        <v>12900</v>
      </c>
      <c r="BO319" t="s">
        <v>1</v>
      </c>
      <c r="BP319" t="s">
        <v>1</v>
      </c>
      <c r="BQ319" t="s">
        <v>1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0</v>
      </c>
      <c r="BX319" t="s">
        <v>1</v>
      </c>
      <c r="BY319" t="s">
        <v>1</v>
      </c>
      <c r="BZ319" t="s">
        <v>1</v>
      </c>
      <c r="CA319" t="s">
        <v>1</v>
      </c>
      <c r="CB319" t="s">
        <v>1</v>
      </c>
      <c r="CD319" t="str" cm="1">
        <f t="array" aca="1" ref="CD319" ca="1">eConcatenar(A319:CB319,"|")</f>
        <v>K5oKHoAY1qoIStDE|HUI2020-1334|3|ECONOLINE|TABASCO|HUIMANGUILLO|HUIMANGUILLO|2022-11-22|12900|X|200|50|1|0|0|0|0|0|0|0|0|0|0|0|0|0|0|MAYORGA|MIRANDA|VICTORIA|SOLTERO|X|X|CARRETERA A BENITO JUAREZ|EJIDO HUIMANGUILLO SEGUNDA LA MONA|X|9141378068|X|X|X|CARRETERA A BENITO JUAREZ|X|LUNES|X|X|X|X|X|DOMICILIO |3900|9000|x|x|x|2022-01-18|2022-01-25|x|x|x|x|x|TGYGIVCAZFPUVXE|x|HOMBRE|X|12900|X|X|X|X|X|X|X|X|CARDENAS|X|X|X|X|X</v>
      </c>
    </row>
    <row r="320" spans="1:82" x14ac:dyDescent="0.25">
      <c r="A320" t="s">
        <v>454</v>
      </c>
      <c r="B320" t="s">
        <v>760</v>
      </c>
      <c r="C320">
        <v>3</v>
      </c>
      <c r="D320" t="s">
        <v>761</v>
      </c>
      <c r="E320" t="s">
        <v>1398</v>
      </c>
      <c r="F320" t="s">
        <v>768</v>
      </c>
      <c r="G320" t="s">
        <v>768</v>
      </c>
      <c r="H320" t="s">
        <v>911</v>
      </c>
      <c r="I320">
        <v>7300</v>
      </c>
      <c r="J320" t="s">
        <v>1</v>
      </c>
      <c r="K320">
        <v>200</v>
      </c>
      <c r="L320">
        <v>50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1227</v>
      </c>
      <c r="AC320" t="s">
        <v>7</v>
      </c>
      <c r="AD320" t="s">
        <v>1095</v>
      </c>
      <c r="AE320" t="s">
        <v>4</v>
      </c>
      <c r="AF320" t="s">
        <v>1</v>
      </c>
      <c r="AG320" t="s">
        <v>1</v>
      </c>
      <c r="AH320" t="s">
        <v>1662</v>
      </c>
      <c r="AI320" t="s">
        <v>1782</v>
      </c>
      <c r="AJ320" t="s">
        <v>1</v>
      </c>
      <c r="AK320">
        <v>9331391783</v>
      </c>
      <c r="AL320" t="s">
        <v>1</v>
      </c>
      <c r="AM320" t="s">
        <v>1</v>
      </c>
      <c r="AN320" t="s">
        <v>1</v>
      </c>
      <c r="AO320" t="s">
        <v>1662</v>
      </c>
      <c r="AP320" t="s">
        <v>1</v>
      </c>
      <c r="AQ320" t="s">
        <v>2</v>
      </c>
      <c r="AR320" t="s">
        <v>1</v>
      </c>
      <c r="AS320" t="s">
        <v>1</v>
      </c>
      <c r="AT320" t="s">
        <v>1</v>
      </c>
      <c r="AU320" t="s">
        <v>1</v>
      </c>
      <c r="AV320" t="s">
        <v>1</v>
      </c>
      <c r="AW320" t="s">
        <v>11</v>
      </c>
      <c r="AX320">
        <f>Tabla1[[#This Row],[precio del paquete]]-Tabla1[[#This Row],[Saldo_Deudor]]</f>
        <v>0</v>
      </c>
      <c r="AY320">
        <v>7300</v>
      </c>
      <c r="AZ320" t="s">
        <v>3</v>
      </c>
      <c r="BA320" t="s">
        <v>3</v>
      </c>
      <c r="BB320" t="s">
        <v>3</v>
      </c>
      <c r="BC320" t="s">
        <v>1847</v>
      </c>
      <c r="BD320" t="s">
        <v>1900</v>
      </c>
      <c r="BE320" t="s">
        <v>3</v>
      </c>
      <c r="BF320" t="s">
        <v>3</v>
      </c>
      <c r="BG320" t="s">
        <v>3</v>
      </c>
      <c r="BH320" t="s">
        <v>3</v>
      </c>
      <c r="BI320" t="s">
        <v>3</v>
      </c>
      <c r="BJ320" t="s">
        <v>1942</v>
      </c>
      <c r="BK320" t="s">
        <v>3</v>
      </c>
      <c r="BL320" t="s">
        <v>132</v>
      </c>
      <c r="BM320" t="s">
        <v>1</v>
      </c>
      <c r="BN320">
        <f>Tabla1[[#This Row],[precio del paquete]]</f>
        <v>7300</v>
      </c>
      <c r="BO320" t="s">
        <v>1</v>
      </c>
      <c r="BP320" t="s">
        <v>1</v>
      </c>
      <c r="BQ320" t="s">
        <v>1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0</v>
      </c>
      <c r="BX320" t="s">
        <v>1</v>
      </c>
      <c r="BY320" t="s">
        <v>1</v>
      </c>
      <c r="BZ320" t="s">
        <v>1</v>
      </c>
      <c r="CA320" t="s">
        <v>1</v>
      </c>
      <c r="CB320" t="s">
        <v>1</v>
      </c>
      <c r="CD320" t="str" cm="1">
        <f t="array" aca="1" ref="CD320" ca="1">eConcatenar(A320:CB320,"|")</f>
        <v>MZHlvkNfGHuuwBTT|HUI2021-2480|3|MEMORIAL|TABASCO|HUIMANGUILLO|HUIMANGUILLO|2021-10-06|7300|X|200|50|1|0|0|0|0|0|0|0|0|0|0|0|0|0|0|GARCIA|LOPEZ|RICARDO|SOLTERO|X|X|CARRETERA AGARRILLO PUERTO|EJIDO LA CHONITA|X|9331391783|X|X|X|CARRETERA AGARRILLO PUERTO|X|LUNES|X|X|X|X|X|DOMICILIO |0|7300|x|x|x|2022-01-31|2022-02-07|x|x|x|x|x|TGYGIVCAZFPUVXE|x|HOMBRE|X|7300|X|X|X|X|X|X|X|X|CARDENAS|X|X|X|X|X</v>
      </c>
    </row>
    <row r="321" spans="56:56" x14ac:dyDescent="0.25">
      <c r="BD321" t="s">
        <v>1935</v>
      </c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2022-02-22T15:42:32Z</dcterms:modified>
</cp:coreProperties>
</file>
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9\"/>
    </mc:Choice>
  </mc:AlternateContent>
  <xr:revisionPtr revIDLastSave="0" documentId="13_ncr:1_{C63F13F2-6FBA-40F5-9275-F07E761777A4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10" i="1" l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6" i="1"/>
  <c r="AX197" i="1"/>
  <c r="AX198" i="1"/>
  <c r="AX199" i="1"/>
  <c r="AX200" i="1"/>
  <c r="AX201" i="1"/>
  <c r="AX202" i="1"/>
  <c r="AX203" i="1"/>
  <c r="AX204" i="1"/>
  <c r="AX205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61" i="1" a="1"/>
  <c r="CD69" i="1" a="1"/>
  <c r="CD73" i="1" a="1"/>
  <c r="CD77" i="1" a="1"/>
  <c r="CD81" i="1" a="1"/>
  <c r="CD85" i="1" a="1"/>
  <c r="CD89" i="1" a="1"/>
  <c r="CD93" i="1" a="1"/>
  <c r="CD97" i="1" a="1"/>
  <c r="CD105" i="1" a="1"/>
  <c r="CD113" i="1" a="1"/>
  <c r="CD121" i="1" a="1"/>
  <c r="CD129" i="1" a="1"/>
  <c r="CD137" i="1" a="1"/>
  <c r="CD145" i="1" a="1"/>
  <c r="CD153" i="1" a="1"/>
  <c r="CD161" i="1" a="1"/>
  <c r="CD169" i="1" a="1"/>
  <c r="CD181" i="1" a="1"/>
  <c r="CD189" i="1" a="1"/>
  <c r="CD197" i="1" a="1"/>
  <c r="CD205" i="1" a="1"/>
  <c r="CD213" i="1" a="1"/>
  <c r="CD221" i="1" a="1"/>
  <c r="CD229" i="1" a="1"/>
  <c r="CD237" i="1" a="1"/>
  <c r="CD245" i="1" a="1"/>
  <c r="CD253" i="1" a="1"/>
  <c r="CD74" i="1" a="1"/>
  <c r="CD110" i="1" a="1"/>
  <c r="CD118" i="1" a="1"/>
  <c r="CD126" i="1" a="1"/>
  <c r="CD134" i="1" a="1"/>
  <c r="CD142" i="1" a="1"/>
  <c r="CD150" i="1" a="1"/>
  <c r="CD158" i="1" a="1"/>
  <c r="CD166" i="1" a="1"/>
  <c r="CD174" i="1" a="1"/>
  <c r="CD182" i="1" a="1"/>
  <c r="CD190" i="1" a="1"/>
  <c r="CD198" i="1" a="1"/>
  <c r="CD206" i="1" a="1"/>
  <c r="CD214" i="1" a="1"/>
  <c r="CD222" i="1" a="1"/>
  <c r="CD230" i="1" a="1"/>
  <c r="CD238" i="1" a="1"/>
  <c r="CD242" i="1" a="1"/>
  <c r="CD250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62" i="1" a="1"/>
  <c r="CD66" i="1" a="1"/>
  <c r="CD70" i="1" a="1"/>
  <c r="CD78" i="1" a="1"/>
  <c r="CD82" i="1" a="1"/>
  <c r="CD86" i="1" a="1"/>
  <c r="CD90" i="1" a="1"/>
  <c r="CD94" i="1" a="1"/>
  <c r="CD98" i="1" a="1"/>
  <c r="CD102" i="1" a="1"/>
  <c r="CD106" i="1" a="1"/>
  <c r="CD114" i="1" a="1"/>
  <c r="CD122" i="1" a="1"/>
  <c r="CD130" i="1" a="1"/>
  <c r="CD138" i="1" a="1"/>
  <c r="CD146" i="1" a="1"/>
  <c r="CD154" i="1" a="1"/>
  <c r="CD162" i="1" a="1"/>
  <c r="CD170" i="1" a="1"/>
  <c r="CD178" i="1" a="1"/>
  <c r="CD186" i="1" a="1"/>
  <c r="CD194" i="1" a="1"/>
  <c r="CD202" i="1" a="1"/>
  <c r="CD210" i="1" a="1"/>
  <c r="CD218" i="1" a="1"/>
  <c r="CD226" i="1" a="1"/>
  <c r="CD234" i="1" a="1"/>
  <c r="CD246" i="1" a="1"/>
  <c r="CD254" i="1" a="1"/>
  <c r="CD63" i="1" a="1"/>
  <c r="CD99" i="1" a="1"/>
  <c r="CD107" i="1" a="1"/>
  <c r="CD115" i="1" a="1"/>
  <c r="CD123" i="1" a="1"/>
  <c r="CD131" i="1" a="1"/>
  <c r="CD139" i="1" a="1"/>
  <c r="CD147" i="1" a="1"/>
  <c r="CD155" i="1" a="1"/>
  <c r="CD163" i="1" a="1"/>
  <c r="CD171" i="1" a="1"/>
  <c r="CD175" i="1" a="1"/>
  <c r="CD183" i="1" a="1"/>
  <c r="CD191" i="1" a="1"/>
  <c r="CD199" i="1" a="1"/>
  <c r="CD207" i="1" a="1"/>
  <c r="CD215" i="1" a="1"/>
  <c r="CD223" i="1" a="1"/>
  <c r="CD231" i="1" a="1"/>
  <c r="CD239" i="1" a="1"/>
  <c r="CD247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67" i="1" a="1"/>
  <c r="CD71" i="1" a="1"/>
  <c r="CD75" i="1" a="1"/>
  <c r="CD79" i="1" a="1"/>
  <c r="CD83" i="1" a="1"/>
  <c r="CD87" i="1" a="1"/>
  <c r="CD91" i="1" a="1"/>
  <c r="CD95" i="1" a="1"/>
  <c r="CD103" i="1" a="1"/>
  <c r="CD111" i="1" a="1"/>
  <c r="CD119" i="1" a="1"/>
  <c r="CD127" i="1" a="1"/>
  <c r="CD135" i="1" a="1"/>
  <c r="CD143" i="1" a="1"/>
  <c r="CD151" i="1" a="1"/>
  <c r="CD159" i="1" a="1"/>
  <c r="CD167" i="1" a="1"/>
  <c r="CD179" i="1" a="1"/>
  <c r="CD187" i="1" a="1"/>
  <c r="CD195" i="1" a="1"/>
  <c r="CD203" i="1" a="1"/>
  <c r="CD211" i="1" a="1"/>
  <c r="CD219" i="1" a="1"/>
  <c r="CD227" i="1" a="1"/>
  <c r="CD235" i="1" a="1"/>
  <c r="CD243" i="1" a="1"/>
  <c r="CD251" i="1" a="1"/>
  <c r="CD76" i="1" a="1"/>
  <c r="CD116" i="1" a="1"/>
  <c r="CD124" i="1" a="1"/>
  <c r="CD132" i="1" a="1"/>
  <c r="CD140" i="1" a="1"/>
  <c r="CD152" i="1" a="1"/>
  <c r="CD160" i="1" a="1"/>
  <c r="CD168" i="1" a="1"/>
  <c r="CD176" i="1" a="1"/>
  <c r="CD180" i="1" a="1"/>
  <c r="CD188" i="1" a="1"/>
  <c r="CD196" i="1" a="1"/>
  <c r="CD204" i="1" a="1"/>
  <c r="CD212" i="1" a="1"/>
  <c r="CD220" i="1" a="1"/>
  <c r="CD228" i="1" a="1"/>
  <c r="CD236" i="1" a="1"/>
  <c r="CD244" i="1" a="1"/>
  <c r="CD252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52" i="1" a="1"/>
  <c r="CD56" i="1" a="1"/>
  <c r="CD60" i="1" a="1"/>
  <c r="CD64" i="1" a="1"/>
  <c r="CD68" i="1" a="1"/>
  <c r="CD72" i="1" a="1"/>
  <c r="CD80" i="1" a="1"/>
  <c r="CD84" i="1" a="1"/>
  <c r="CD88" i="1" a="1"/>
  <c r="CD92" i="1" a="1"/>
  <c r="CD96" i="1" a="1"/>
  <c r="CD100" i="1" a="1"/>
  <c r="CD104" i="1" a="1"/>
  <c r="CD108" i="1" a="1"/>
  <c r="CD112" i="1" a="1"/>
  <c r="CD120" i="1" a="1"/>
  <c r="CD128" i="1" a="1"/>
  <c r="CD136" i="1" a="1"/>
  <c r="CD144" i="1" a="1"/>
  <c r="CD148" i="1" a="1"/>
  <c r="CD156" i="1" a="1"/>
  <c r="CD164" i="1" a="1"/>
  <c r="CD172" i="1" a="1"/>
  <c r="CD184" i="1" a="1"/>
  <c r="CD192" i="1" a="1"/>
  <c r="CD200" i="1" a="1"/>
  <c r="CD208" i="1" a="1"/>
  <c r="CD216" i="1" a="1"/>
  <c r="CD224" i="1" a="1"/>
  <c r="CD232" i="1" a="1"/>
  <c r="CD240" i="1" a="1"/>
  <c r="CD248" i="1" a="1"/>
  <c r="CD65" i="1" a="1"/>
  <c r="CD101" i="1" a="1"/>
  <c r="CD109" i="1" a="1"/>
  <c r="CD117" i="1" a="1"/>
  <c r="CD125" i="1" a="1"/>
  <c r="CD133" i="1" a="1"/>
  <c r="CD141" i="1" a="1"/>
  <c r="CD149" i="1" a="1"/>
  <c r="CD157" i="1" a="1"/>
  <c r="CD165" i="1" a="1"/>
  <c r="CD173" i="1" a="1"/>
  <c r="CD177" i="1" a="1"/>
  <c r="CD185" i="1" a="1"/>
  <c r="CD193" i="1" a="1"/>
  <c r="CD201" i="1" a="1"/>
  <c r="CD209" i="1" a="1"/>
  <c r="CD217" i="1" a="1"/>
  <c r="CD225" i="1" a="1"/>
  <c r="CD233" i="1" a="1"/>
  <c r="CD241" i="1" a="1"/>
  <c r="CD249" i="1" a="1"/>
  <c r="CD6" i="1" a="1"/>
  <c r="CD8" i="1" a="1"/>
  <c r="CD7" i="1" a="1"/>
  <c r="CD249" i="1" l="1"/>
  <c r="CD241" i="1"/>
  <c r="CD233" i="1"/>
  <c r="CD225" i="1"/>
  <c r="CD217" i="1"/>
  <c r="CD209" i="1"/>
  <c r="CD201" i="1"/>
  <c r="CD193" i="1"/>
  <c r="CD185" i="1"/>
  <c r="CD177" i="1"/>
  <c r="CD173" i="1"/>
  <c r="CD165" i="1"/>
  <c r="CD157" i="1"/>
  <c r="CD149" i="1"/>
  <c r="CD141" i="1"/>
  <c r="CD133" i="1"/>
  <c r="CD125" i="1"/>
  <c r="CD117" i="1"/>
  <c r="CD109" i="1"/>
  <c r="CD101" i="1"/>
  <c r="CD65" i="1"/>
  <c r="CD248" i="1"/>
  <c r="CD240" i="1"/>
  <c r="CD232" i="1"/>
  <c r="CD224" i="1"/>
  <c r="CD216" i="1"/>
  <c r="CD208" i="1"/>
  <c r="CD200" i="1"/>
  <c r="CD192" i="1"/>
  <c r="CD184" i="1"/>
  <c r="CD172" i="1"/>
  <c r="CD164" i="1"/>
  <c r="CD156" i="1"/>
  <c r="CD148" i="1"/>
  <c r="CD144" i="1"/>
  <c r="CD136" i="1"/>
  <c r="CD128" i="1"/>
  <c r="CD120" i="1"/>
  <c r="CD112" i="1"/>
  <c r="CD108" i="1"/>
  <c r="CD104" i="1"/>
  <c r="CD100" i="1"/>
  <c r="CD96" i="1"/>
  <c r="CD92" i="1"/>
  <c r="CD88" i="1"/>
  <c r="CD84" i="1"/>
  <c r="CD80" i="1"/>
  <c r="CD72" i="1"/>
  <c r="CD68" i="1"/>
  <c r="CD64" i="1"/>
  <c r="CD60" i="1"/>
  <c r="CD56" i="1"/>
  <c r="CD52" i="1"/>
  <c r="CD48" i="1"/>
  <c r="CD44" i="1"/>
  <c r="CD40" i="1"/>
  <c r="CD36" i="1"/>
  <c r="CD32" i="1"/>
  <c r="CD28" i="1"/>
  <c r="CD24" i="1"/>
  <c r="CD20" i="1"/>
  <c r="CD16" i="1"/>
  <c r="CD12" i="1"/>
  <c r="CD252" i="1"/>
  <c r="CD244" i="1"/>
  <c r="CD236" i="1"/>
  <c r="CD228" i="1"/>
  <c r="CD220" i="1"/>
  <c r="CD212" i="1"/>
  <c r="CD204" i="1"/>
  <c r="CD196" i="1"/>
  <c r="CD188" i="1"/>
  <c r="CD180" i="1"/>
  <c r="CD176" i="1"/>
  <c r="CD168" i="1"/>
  <c r="CD160" i="1"/>
  <c r="CD152" i="1"/>
  <c r="CD140" i="1"/>
  <c r="CD132" i="1"/>
  <c r="CD124" i="1"/>
  <c r="CD116" i="1"/>
  <c r="CD76" i="1"/>
  <c r="CD251" i="1"/>
  <c r="CD243" i="1"/>
  <c r="CD235" i="1"/>
  <c r="CD227" i="1"/>
  <c r="CD219" i="1"/>
  <c r="CD211" i="1"/>
  <c r="CD203" i="1"/>
  <c r="CD195" i="1"/>
  <c r="CD187" i="1"/>
  <c r="CD179" i="1"/>
  <c r="CD167" i="1"/>
  <c r="CD159" i="1"/>
  <c r="CD151" i="1"/>
  <c r="CD143" i="1"/>
  <c r="CD135" i="1"/>
  <c r="CD127" i="1"/>
  <c r="CD119" i="1"/>
  <c r="CD111" i="1"/>
  <c r="CD103" i="1"/>
  <c r="CD95" i="1"/>
  <c r="CD91" i="1"/>
  <c r="CD87" i="1"/>
  <c r="CD83" i="1"/>
  <c r="CD79" i="1"/>
  <c r="CD75" i="1"/>
  <c r="CD71" i="1"/>
  <c r="CD67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247" i="1"/>
  <c r="CD239" i="1"/>
  <c r="CD231" i="1"/>
  <c r="CD223" i="1"/>
  <c r="CD215" i="1"/>
  <c r="CD207" i="1"/>
  <c r="CD199" i="1"/>
  <c r="CD191" i="1"/>
  <c r="CD183" i="1"/>
  <c r="CD175" i="1"/>
  <c r="CD171" i="1"/>
  <c r="CD163" i="1"/>
  <c r="CD155" i="1"/>
  <c r="CD147" i="1"/>
  <c r="CD139" i="1"/>
  <c r="CD131" i="1"/>
  <c r="CD123" i="1"/>
  <c r="CD115" i="1"/>
  <c r="CD107" i="1"/>
  <c r="CD99" i="1"/>
  <c r="CD63" i="1"/>
  <c r="CD254" i="1"/>
  <c r="CD246" i="1"/>
  <c r="CD234" i="1"/>
  <c r="CD226" i="1"/>
  <c r="CD218" i="1"/>
  <c r="CD210" i="1"/>
  <c r="CD202" i="1"/>
  <c r="CD194" i="1"/>
  <c r="CD186" i="1"/>
  <c r="CD178" i="1"/>
  <c r="CD170" i="1"/>
  <c r="CD162" i="1"/>
  <c r="CD154" i="1"/>
  <c r="CD146" i="1"/>
  <c r="CD138" i="1"/>
  <c r="CD130" i="1"/>
  <c r="CD122" i="1"/>
  <c r="CD114" i="1"/>
  <c r="CD106" i="1"/>
  <c r="CD102" i="1"/>
  <c r="CD98" i="1"/>
  <c r="CD94" i="1"/>
  <c r="CD90" i="1"/>
  <c r="CD86" i="1"/>
  <c r="CD82" i="1"/>
  <c r="CD78" i="1"/>
  <c r="CD70" i="1"/>
  <c r="CD66" i="1"/>
  <c r="CD62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250" i="1"/>
  <c r="CD242" i="1"/>
  <c r="CD238" i="1"/>
  <c r="CD230" i="1"/>
  <c r="CD222" i="1"/>
  <c r="CD214" i="1"/>
  <c r="CD206" i="1"/>
  <c r="CD198" i="1"/>
  <c r="CD190" i="1"/>
  <c r="CD182" i="1"/>
  <c r="CD174" i="1"/>
  <c r="CD166" i="1"/>
  <c r="CD158" i="1"/>
  <c r="CD150" i="1"/>
  <c r="CD142" i="1"/>
  <c r="CD134" i="1"/>
  <c r="CD126" i="1"/>
  <c r="CD118" i="1"/>
  <c r="CD110" i="1"/>
  <c r="CD74" i="1"/>
  <c r="CD253" i="1"/>
  <c r="CD245" i="1"/>
  <c r="CD237" i="1"/>
  <c r="CD229" i="1"/>
  <c r="CD221" i="1"/>
  <c r="CD213" i="1"/>
  <c r="CD205" i="1"/>
  <c r="CD197" i="1"/>
  <c r="CD189" i="1"/>
  <c r="CD181" i="1"/>
  <c r="CD169" i="1"/>
  <c r="CD161" i="1"/>
  <c r="CD153" i="1"/>
  <c r="CD145" i="1"/>
  <c r="CD137" i="1"/>
  <c r="CD129" i="1"/>
  <c r="CD121" i="1"/>
  <c r="CD113" i="1"/>
  <c r="CD105" i="1"/>
  <c r="CD97" i="1"/>
  <c r="CD93" i="1"/>
  <c r="CD89" i="1"/>
  <c r="CD85" i="1"/>
  <c r="CD81" i="1"/>
  <c r="CD77" i="1"/>
  <c r="CD73" i="1"/>
  <c r="CD69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8" i="1"/>
  <c r="CD7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<sst xmlns="http://schemas.openxmlformats.org/spreadsheetml/2006/main" count="8193" uniqueCount="1665">
  <si>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</si>
  <si>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</si>
  <si>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</si>
  <si>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</si>
  <si>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</si>
  <si>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</si>
  <si>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</si>
  <si>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</si>
  <si>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</si>
  <si>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</si>
  <si>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</si>
  <si>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</si>
  <si>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</si>
  <si>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</si>
  <si>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</si>
  <si>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</si>
  <si>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</si>
  <si>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</si>
  <si>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</si>
  <si>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</si>
  <si>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</si>
  <si>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</si>
  <si>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</si>
  <si>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</si>
  <si>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</si>
  <si>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</si>
  <si>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</si>
  <si>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</si>
  <si>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</si>
  <si>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</si>
  <si>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</si>
  <si>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</si>
  <si>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</si>
  <si>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</si>
  <si>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</si>
  <si>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</si>
  <si>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</si>
  <si>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</si>
  <si>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</si>
  <si>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</si>
  <si>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</si>
  <si>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</si>
  <si>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</si>
  <si>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</si>
  <si>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</si>
  <si>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</si>
  <si>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</si>
  <si>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</si>
  <si>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</si>
  <si>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</si>
  <si>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</si>
  <si>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</si>
  <si>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</si>
  <si>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</si>
  <si>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</si>
  <si>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</si>
  <si>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</si>
  <si>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</si>
  <si>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</si>
  <si>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</si>
  <si>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</si>
  <si>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</si>
  <si>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</si>
  <si>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</si>
  <si>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</si>
  <si>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</si>
  <si>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</si>
  <si>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</si>
  <si>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</si>
  <si>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</si>
  <si>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</si>
  <si>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</si>
  <si>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</si>
  <si>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</si>
  <si>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</si>
  <si>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</si>
  <si>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</si>
  <si>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</si>
  <si>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</si>
  <si>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</si>
  <si>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</si>
  <si>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</si>
  <si>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</si>
  <si>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</si>
  <si>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</si>
  <si>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</si>
  <si>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</si>
  <si>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</si>
  <si>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</si>
  <si>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</si>
  <si>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</si>
  <si>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</si>
  <si>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</si>
  <si>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</si>
  <si>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</si>
  <si>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</si>
  <si>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</si>
  <si>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</si>
  <si>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</si>
  <si>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</si>
  <si>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</si>
  <si>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</si>
  <si>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</si>
  <si>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</si>
  <si>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</si>
  <si>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</si>
  <si>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</si>
  <si>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</si>
  <si>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</si>
  <si>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</si>
  <si>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</si>
  <si>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</si>
  <si>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</si>
  <si>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</si>
  <si>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</si>
  <si>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</si>
  <si>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</si>
  <si>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</si>
  <si>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</si>
  <si>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</si>
  <si>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</si>
  <si>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</si>
  <si>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</si>
  <si>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</si>
  <si>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</si>
  <si>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</si>
  <si>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</si>
  <si>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</si>
  <si>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</si>
  <si>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</si>
  <si>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</si>
  <si>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</si>
  <si>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</si>
  <si>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</si>
  <si>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</si>
  <si>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</si>
  <si>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</si>
  <si>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</si>
  <si>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</si>
  <si>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</si>
  <si>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</si>
  <si>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</si>
  <si>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</si>
  <si>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</si>
  <si>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jYtAkro69jrKpMl3</t>
  </si>
  <si>
    <t>Jj9RgP2DEBFoZ7SD</t>
  </si>
  <si>
    <t>GGVR0flI0ZDF1dKD</t>
  </si>
  <si>
    <t>iv025cqmS5hoprfR</t>
  </si>
  <si>
    <t>mWKDyJ6e4NSXNIYz</t>
  </si>
  <si>
    <t>8L9v0gxr1JQOhM0s</t>
  </si>
  <si>
    <t>6nmrVDs0paJHcH2m</t>
  </si>
  <si>
    <t>JMXmuC26V2CgrtHa</t>
  </si>
  <si>
    <t>r5B7M7fewqYeuF32</t>
  </si>
  <si>
    <t>DPr5dbSAI1pFZvXo</t>
  </si>
  <si>
    <t>b35nhcfqfrFvq4W4</t>
  </si>
  <si>
    <t>VPLN19a6GwaAVbT7</t>
  </si>
  <si>
    <t>UVWbPKBnRAIbffLz</t>
  </si>
  <si>
    <t>mKVkAtMyYjUGyzIK</t>
  </si>
  <si>
    <t>jabUeWiZEwbemRuj</t>
  </si>
  <si>
    <t>kch8reInV1YOw2MB</t>
  </si>
  <si>
    <t>25DuFBg3N2uja0Dt</t>
  </si>
  <si>
    <t>R96JebN9wX8OGrIW</t>
  </si>
  <si>
    <t>vix8aJm3V4dF1zmp</t>
  </si>
  <si>
    <t>sAyDX2ITyoTSkva8</t>
  </si>
  <si>
    <t>aHk4oZdXtCFTagBy</t>
  </si>
  <si>
    <t>cTNp68B7sfzqNOUN</t>
  </si>
  <si>
    <t>51dJ6nBytCJOtvgK</t>
  </si>
  <si>
    <t>2qMGj0P8oqhtYtfQ</t>
  </si>
  <si>
    <t>DiduZzRStamVFX5B</t>
  </si>
  <si>
    <t>xDhHMN6nkWpcnKhL</t>
  </si>
  <si>
    <t>Hbkn3INiqE2HPrCg</t>
  </si>
  <si>
    <t>zhy42A8cLD8CvfAg</t>
  </si>
  <si>
    <t>Buik4j67HxXVTx1s</t>
  </si>
  <si>
    <t>KSZmtGfaSoU6BgKi</t>
  </si>
  <si>
    <t>ejsyCRlw7DMRjiRt</t>
  </si>
  <si>
    <t>mAAIzMxB0DabpO6w</t>
  </si>
  <si>
    <t>GL6e6SPXILfS6Kzt</t>
  </si>
  <si>
    <t>XsqtNCDqmSHbjjPu</t>
  </si>
  <si>
    <t>hiiKntjR1S0jHC2J</t>
  </si>
  <si>
    <t>YFUaKiFn2esUKKRx</t>
  </si>
  <si>
    <t>ebdf8Ot6ILIc4ENG</t>
  </si>
  <si>
    <t>ZHXuGd8Pp7gNB23f</t>
  </si>
  <si>
    <t>KI3x2CTRdKXfs0Yl</t>
  </si>
  <si>
    <t>EaQwpWWUemc27A5i</t>
  </si>
  <si>
    <t>TfJd34xJ4zdahjqI</t>
  </si>
  <si>
    <t>GFRXLf5CTUlNXLsE</t>
  </si>
  <si>
    <t>m2bFvehJILg6Qs1c</t>
  </si>
  <si>
    <t>xOJno2oiXBJ8HJ49</t>
  </si>
  <si>
    <t>Zi2d3sjTdYG7gh5K</t>
  </si>
  <si>
    <t>m6dN6xZR3HUyY4Zk</t>
  </si>
  <si>
    <t>okZDcUdFrfIwrD5U</t>
  </si>
  <si>
    <t>yK8dUn7dt6HesOQb</t>
  </si>
  <si>
    <t>4jBqTafFLXnReX4H</t>
  </si>
  <si>
    <t>4ddSmo8j9dtVRaQD</t>
  </si>
  <si>
    <t>x3RiRjO0cQ00mWed</t>
  </si>
  <si>
    <t>NMfj7X5TlQZ6WU66</t>
  </si>
  <si>
    <t>w0CAIT5rKyNjBiiG</t>
  </si>
  <si>
    <t>8xIDE3G8wsbD9tzh</t>
  </si>
  <si>
    <t>xrEC0JSZUHhsTvUt</t>
  </si>
  <si>
    <t>i3UOUgRKLcGY48xv</t>
  </si>
  <si>
    <t>uyxY7SfxauCyovye</t>
  </si>
  <si>
    <t>QJDAt4Mzwj3HoFXy</t>
  </si>
  <si>
    <t>hdXp76ypcuuS4Ro1</t>
  </si>
  <si>
    <t>2PxD6Hky9XQgfzit</t>
  </si>
  <si>
    <t>OVwgYrz7nhi8i7Qi</t>
  </si>
  <si>
    <t>vg4vRIgBXEIImdSE</t>
  </si>
  <si>
    <t>IlusrcL0c4upjF17</t>
  </si>
  <si>
    <t>HuZa6kaQtN1jZBHO</t>
  </si>
  <si>
    <t>z6cKH4PyznwXtRAb</t>
  </si>
  <si>
    <t>QV9cqtrazxOjCXSi</t>
  </si>
  <si>
    <t>eGRwZJy5yj75HUaR</t>
  </si>
  <si>
    <t>aOreQnnNBRWEtU5D</t>
  </si>
  <si>
    <t>0ppgUdRg5qdLf4Wk</t>
  </si>
  <si>
    <t>syAJfkLSlkJdcBw4</t>
  </si>
  <si>
    <t>oLE5q6o9EaWV2Be0</t>
  </si>
  <si>
    <t>WnSuANrPwyygAsUd</t>
  </si>
  <si>
    <t>GfVMGOIXBQttpS90</t>
  </si>
  <si>
    <t>jTo0RKfd7a0Hijdc</t>
  </si>
  <si>
    <t>2zHSLX3uo4pyjdgz</t>
  </si>
  <si>
    <t>hyttgPL1p5L8F6uz</t>
  </si>
  <si>
    <t>57VLijwFBBnDCAXf</t>
  </si>
  <si>
    <t>Q3OGZauaqlo2LxdT</t>
  </si>
  <si>
    <t>wAWwFbRYH8ZbhwdG</t>
  </si>
  <si>
    <t>jLKaEomAfKARHnfh</t>
  </si>
  <si>
    <t>29A0zRQyp8tIZ0P1</t>
  </si>
  <si>
    <t>T5ZV4tRqcVmaaW7Y</t>
  </si>
  <si>
    <t>pyOuy6JjrfqAIqC7</t>
  </si>
  <si>
    <t>2cBHrSDTHxdA0VVP</t>
  </si>
  <si>
    <t>zE2f7aYGXXpn5wLq</t>
  </si>
  <si>
    <t>Huh8XCVdgbJs8b2M</t>
  </si>
  <si>
    <t>dw7AewzRB8J4n9qx</t>
  </si>
  <si>
    <t>l146sGYNWX6JT5B4</t>
  </si>
  <si>
    <t>dsj4mo3HFY3bNHJU</t>
  </si>
  <si>
    <t>mmfhXMpjFw9HFhKE</t>
  </si>
  <si>
    <t>Lspu6umXzGb6BBbt</t>
  </si>
  <si>
    <t>PzHachLd6yunYc7a</t>
  </si>
  <si>
    <t>M9vkuCe72CzB2MrM</t>
  </si>
  <si>
    <t>9G7jE6WewrIQTZSl</t>
  </si>
  <si>
    <t>wUdQ9YVB0rP3Agnk</t>
  </si>
  <si>
    <t>4dkTNZi6W47CmHRe</t>
  </si>
  <si>
    <t>d1i9wU6JFA9UPyHn</t>
  </si>
  <si>
    <t>KYjb6n6EZmvR4nAY</t>
  </si>
  <si>
    <t>oGCNOZHWSUL1KrSX</t>
  </si>
  <si>
    <t>MUxENUzOoGekVbKb</t>
  </si>
  <si>
    <t>cavooiH9EMuDHJJl</t>
  </si>
  <si>
    <t>rvi6fTLJEJLXYEdi</t>
  </si>
  <si>
    <t>oyEKsL5z9phd5ArM</t>
  </si>
  <si>
    <t>GXSsSQTA5KK5Yhrn</t>
  </si>
  <si>
    <t>968zAkjWcVIhVWyv</t>
  </si>
  <si>
    <t>GVnuUBCApfl6KhLj</t>
  </si>
  <si>
    <t>JcL82uSOqVJkRHzG</t>
  </si>
  <si>
    <t>k2exywFwq86g36pB</t>
  </si>
  <si>
    <t>pRL2ZLWNVFwSs2T2</t>
  </si>
  <si>
    <t>m7W2BPorO2FkrTNf</t>
  </si>
  <si>
    <t>Yj7x89GsFyfX1q1K</t>
  </si>
  <si>
    <t>ZVtrh6wBwTvvHt2S</t>
  </si>
  <si>
    <t>IBkxPSOqFN51STC9</t>
  </si>
  <si>
    <t>2ybN2II09AGdfSVH</t>
  </si>
  <si>
    <t>ssBPix9lQ0a8nhZc</t>
  </si>
  <si>
    <t>xjDZBlqTbtinV0im</t>
  </si>
  <si>
    <t>kWgxBVZmEp2BXAJ1</t>
  </si>
  <si>
    <t>ExUC5OHs6m8kKEwN</t>
  </si>
  <si>
    <t>osHQV9cv3VjvXGlB</t>
  </si>
  <si>
    <t>bSmq6E6Y9uqQR3Jt</t>
  </si>
  <si>
    <t>ARTJBSb90qDMX8fU</t>
  </si>
  <si>
    <t>YUb99Y2jEgcyiLLZ</t>
  </si>
  <si>
    <t>V601uEzue6PRr1Cs</t>
  </si>
  <si>
    <t>IoY2F0cvym2keAdt</t>
  </si>
  <si>
    <t>5lu9QcyDYQokPTB9</t>
  </si>
  <si>
    <t>odRrC2iXI7uB2Lpe</t>
  </si>
  <si>
    <t>0RCN1IEKns9C5ivN</t>
  </si>
  <si>
    <t>ijNAAvqq85vAeyoz</t>
  </si>
  <si>
    <t>DQsaisshNMkrnbk6</t>
  </si>
  <si>
    <t>zKWNUFAmHScFNfYC</t>
  </si>
  <si>
    <t>AGMxkVrd7nifEFKm</t>
  </si>
  <si>
    <t>9ufbCttIMpZM30Mi</t>
  </si>
  <si>
    <t>a15EOAootYfpWwrx</t>
  </si>
  <si>
    <t>6U0HtDgs0xywyqXX</t>
  </si>
  <si>
    <t>qAlGYseOCicWmx8t</t>
  </si>
  <si>
    <t>XnDTd4gV8DNk28eI</t>
  </si>
  <si>
    <t>MGAusGOfiDxhHwlY</t>
  </si>
  <si>
    <t>yf3AGon2QFNABp16</t>
  </si>
  <si>
    <t>oX2qTKeqXTjiRxSR</t>
  </si>
  <si>
    <t>OQmpPYwS9XnONjed</t>
  </si>
  <si>
    <t>03dLi5rDW0No3fYy</t>
  </si>
  <si>
    <t>S8WLdZIYunuFvjDg</t>
  </si>
  <si>
    <t>GFincdCwpXywszbb</t>
  </si>
  <si>
    <t>FGzA2uHs4Nkzdljl</t>
  </si>
  <si>
    <t>RWrisbNHNSS83nm3</t>
  </si>
  <si>
    <t>WQkK7Xl1n3seGDBA</t>
  </si>
  <si>
    <t>gYv1fXdcVmjkmykq</t>
  </si>
  <si>
    <t>B5Ia9edBjPjZOczN</t>
  </si>
  <si>
    <t>mm4sTaK5wHzu58fL</t>
  </si>
  <si>
    <t>ZspDWzNMmeM1iGto</t>
  </si>
  <si>
    <t>VBEb9U4iDZIhe2sR</t>
  </si>
  <si>
    <t>pgIsylyv11Hr5dK5</t>
  </si>
  <si>
    <t>Ofj3FMTsbXWerF37</t>
  </si>
  <si>
    <t>yoXtJXwnXYmS32ve</t>
  </si>
  <si>
    <t>ge1DppXA5kuejnSL</t>
  </si>
  <si>
    <t>q2algxTIAP3lBIo2</t>
  </si>
  <si>
    <t>SA9Fkf1p1d6EvJfR</t>
  </si>
  <si>
    <t>qCN2VBwmnF2UjFbE</t>
  </si>
  <si>
    <t>Vl63QjmFABcYRI8F</t>
  </si>
  <si>
    <t>RCBqzNHPiX7Ts7xx</t>
  </si>
  <si>
    <t>J1kUmzHb3sjCU0DI</t>
  </si>
  <si>
    <t>HfER1Qt6g7Vrt8dh</t>
  </si>
  <si>
    <t>LxXpeHTtoGUCyvKE</t>
  </si>
  <si>
    <t>gHwUaza7yzNnLOvU</t>
  </si>
  <si>
    <t>L2lPaPyZtCxiYBe8</t>
  </si>
  <si>
    <t>lg6JgplC4SNr2fSe</t>
  </si>
  <si>
    <t>6j838KPYE4QfEbR7</t>
  </si>
  <si>
    <t>JtgrwSi70wjkCMu4</t>
  </si>
  <si>
    <t>x2hDcTVtwROrD72G</t>
  </si>
  <si>
    <t>WuV4yFY5mpRKYVpc</t>
  </si>
  <si>
    <t>zyJSMTg6C8V9cV1k</t>
  </si>
  <si>
    <t>s1EbdU7ER8VU5fAH</t>
  </si>
  <si>
    <t>sCi5h5N5ANFHjmtE</t>
  </si>
  <si>
    <t>DuN6tkFHlePEvQHl</t>
  </si>
  <si>
    <t>27D4ISJv8PcwdKkI</t>
  </si>
  <si>
    <t>90e0m2tzUtOAqo78</t>
  </si>
  <si>
    <t>2yLyPHHG8pLcVVol</t>
  </si>
  <si>
    <t>5imY3KCOs8NtfliY</t>
  </si>
  <si>
    <t>wa9N8WkaPeHP0mzU</t>
  </si>
  <si>
    <t>9tCV0Iiu0aXjaWti</t>
  </si>
  <si>
    <t>C8bal64aAvHkCri2</t>
  </si>
  <si>
    <t>7QmdIQzujZrTdgIU</t>
  </si>
  <si>
    <t>hBn0Ff4xmApxnrYE</t>
  </si>
  <si>
    <t>XJMJreDQl7m4MKfN</t>
  </si>
  <si>
    <t>Xgg6u0j7IK5Pkd8u</t>
  </si>
  <si>
    <t>h70gr4MBFORApE9e</t>
  </si>
  <si>
    <t>zIaPk3AK3UbZt2Qp</t>
  </si>
  <si>
    <t>KpAd5CzD2zzFDFKe</t>
  </si>
  <si>
    <t>8eSFrimzpeER00PS</t>
  </si>
  <si>
    <t>MwbLfOu5W9DPVSay</t>
  </si>
  <si>
    <t>px7pzMCyM3eyTZT9</t>
  </si>
  <si>
    <t>n7mNNZmMUn0yzVGp</t>
  </si>
  <si>
    <t>xUq9TyDW6Pe5LGMT</t>
  </si>
  <si>
    <t>BcLbFlJ3dUE4UNpW</t>
  </si>
  <si>
    <t>SHJ7ZPXWUHYTWER9</t>
  </si>
  <si>
    <t>i5OnDteGDfgbIeiv</t>
  </si>
  <si>
    <t>hbnhdHmRlYcrDkSi</t>
  </si>
  <si>
    <t>wI56ttGUuolvHFV3</t>
  </si>
  <si>
    <t>ZirhpR5p2OqV1YDl</t>
  </si>
  <si>
    <t>P39bZoVO4GbNRJj7</t>
  </si>
  <si>
    <t>uUFW4OcbomBaO0Re</t>
  </si>
  <si>
    <t>ZCBPFbMh2OPGj4mt</t>
  </si>
  <si>
    <t>WCmkfeDqU0e6aVH7</t>
  </si>
  <si>
    <t>yuPQk7opLVo3QfxN</t>
  </si>
  <si>
    <t>dqNAuOVBDatPIq7J</t>
  </si>
  <si>
    <t>jsY0VopN2K9EqoMa</t>
  </si>
  <si>
    <t>tdyju6NCiw26EZ6P</t>
  </si>
  <si>
    <t>8FjKkpypaudPzF25</t>
  </si>
  <si>
    <t>mvdchIufObdVrDgQ</t>
  </si>
  <si>
    <t>EASrukGDAzMzNaAM</t>
  </si>
  <si>
    <t>7IFgbAc5HImY3sGX</t>
  </si>
  <si>
    <t>rJgI4qEwvsy1AXx3</t>
  </si>
  <si>
    <t>hOdfB9QeTMu3XxFH</t>
  </si>
  <si>
    <t>Ft2WUVuqr2b781M7</t>
  </si>
  <si>
    <t>Rfgkbj7Uf9wAL8s0</t>
  </si>
  <si>
    <t>JZEYgv1G5MklAHaB</t>
  </si>
  <si>
    <t>fMEd6eP02HnHkdad</t>
  </si>
  <si>
    <t>jdV4l5ElYiWYfqR6</t>
  </si>
  <si>
    <t>uhqW5QZDL1CSfUa4</t>
  </si>
  <si>
    <t>Y79XfiGRDfqrIHas</t>
  </si>
  <si>
    <t>uLgcjYdKcCTd0KLo</t>
  </si>
  <si>
    <t>NeFczBBs4MVoVoxg</t>
  </si>
  <si>
    <t>7PEXZaGdwzhDEu9w</t>
  </si>
  <si>
    <t>xFk1hQnrbrH7J3b5</t>
  </si>
  <si>
    <t>IblNzVR0AkXBMTlO</t>
  </si>
  <si>
    <t>9KxAKTpgveJVV9dg</t>
  </si>
  <si>
    <t>AizdiG8ZzEgC7lRI</t>
  </si>
  <si>
    <t>YHdABEy2qgV0KZfw</t>
  </si>
  <si>
    <t>ljgfGCgyVi04YV1N</t>
  </si>
  <si>
    <t>WeStC3ColPJGEFZY</t>
  </si>
  <si>
    <t>WrGP444p87XviPj6</t>
  </si>
  <si>
    <t>mtbyrVJUpPbkWnMY</t>
  </si>
  <si>
    <t>KC3Cmo1vwJUIkIsX</t>
  </si>
  <si>
    <t>ouf94HC2fgWsd2j1</t>
  </si>
  <si>
    <t>GKlg9gf4KsN8078t</t>
  </si>
  <si>
    <t>1zvJfYqb0G7Xiw7k</t>
  </si>
  <si>
    <t>3l9juGz7X02tYNEP</t>
  </si>
  <si>
    <t>yAi0fub1aGaGXDn5</t>
  </si>
  <si>
    <t>lXB98KIeKPn9VXaf</t>
  </si>
  <si>
    <t>MjS7KMaicAPWgpZu</t>
  </si>
  <si>
    <t>EbaN83j0ipKVcmh9</t>
  </si>
  <si>
    <t>EbyvOUvtlxZkayGS</t>
  </si>
  <si>
    <t>o6S3X7AHqx9WW58N</t>
  </si>
  <si>
    <t>yT3oF79oLvOwwFdZ</t>
  </si>
  <si>
    <t>N6OjuTSxKvnrqZPF</t>
  </si>
  <si>
    <t>VSA2022-0259</t>
  </si>
  <si>
    <t>VSA2022-0260</t>
  </si>
  <si>
    <t>VSA2020-0329</t>
  </si>
  <si>
    <t>VSA2020-0225</t>
  </si>
  <si>
    <t>VSA2022-0172</t>
  </si>
  <si>
    <t>VSA2020-0273</t>
  </si>
  <si>
    <t>VSA2022-0179</t>
  </si>
  <si>
    <t>VSA2022-0212</t>
  </si>
  <si>
    <t>VSA2018-0061</t>
  </si>
  <si>
    <t>VSA2021-1254</t>
  </si>
  <si>
    <t>VSA2018-0958</t>
  </si>
  <si>
    <t>VSA2021-1698</t>
  </si>
  <si>
    <t>VSA2022-0046</t>
  </si>
  <si>
    <t>VSA2021-1981</t>
  </si>
  <si>
    <t>VSA2020-0872</t>
  </si>
  <si>
    <t>VSA2020-0897</t>
  </si>
  <si>
    <t>VSA2020-0058</t>
  </si>
  <si>
    <t>VSA2019-0127</t>
  </si>
  <si>
    <t>VSA2019-0146</t>
  </si>
  <si>
    <t>VSA2021-1802</t>
  </si>
  <si>
    <t>VSA2018-0640</t>
  </si>
  <si>
    <t>VSA2021-1749</t>
  </si>
  <si>
    <t>VSA2021-1975</t>
  </si>
  <si>
    <t>VSA2022-0001</t>
  </si>
  <si>
    <t>VSA2021-1833</t>
  </si>
  <si>
    <t>VSA2021-1918</t>
  </si>
  <si>
    <t>VSA2021-1976</t>
  </si>
  <si>
    <t>VSA2021-1753</t>
  </si>
  <si>
    <t>VSA2022-0227</t>
  </si>
  <si>
    <t>VSA2021-1864</t>
  </si>
  <si>
    <t>VSA2021-1672</t>
  </si>
  <si>
    <t>VSA2021-1811</t>
  </si>
  <si>
    <t>VSA2020-1222</t>
  </si>
  <si>
    <t>VSA2020-0032</t>
  </si>
  <si>
    <t>VSA2021-1411</t>
  </si>
  <si>
    <t>VSA2021-1863</t>
  </si>
  <si>
    <t>VSA2022-0053</t>
  </si>
  <si>
    <t>VSA2021-1850</t>
  </si>
  <si>
    <t>VSA2021-1921</t>
  </si>
  <si>
    <t>VSA2021-0497</t>
  </si>
  <si>
    <t>VSA2021-3976</t>
  </si>
  <si>
    <t>VSA2022-0115</t>
  </si>
  <si>
    <t>VSA2021-1706</t>
  </si>
  <si>
    <t>VSA2020-0966</t>
  </si>
  <si>
    <t>VSA2020-0407</t>
  </si>
  <si>
    <t>VSA2021-1959</t>
  </si>
  <si>
    <t>VSA2021-1978</t>
  </si>
  <si>
    <t>VSA2022-0017</t>
  </si>
  <si>
    <t>VSA2022-0079</t>
  </si>
  <si>
    <t>VSA2021-1875</t>
  </si>
  <si>
    <t>VSA2020-T-0088</t>
  </si>
  <si>
    <t>VSA2021-T-0533</t>
  </si>
  <si>
    <t>VSA2021-T-0043</t>
  </si>
  <si>
    <t>VSA2022-0124</t>
  </si>
  <si>
    <t>VSA2022-0100</t>
  </si>
  <si>
    <t>VSA2022-0195</t>
  </si>
  <si>
    <t>VSA2022-0104</t>
  </si>
  <si>
    <t>VSA2022-0144</t>
  </si>
  <si>
    <t>VSA2022-0141</t>
  </si>
  <si>
    <t>VSA2020-0522</t>
  </si>
  <si>
    <t>VSA2022-0175</t>
  </si>
  <si>
    <t>VSA2022-0086</t>
  </si>
  <si>
    <t>VSA2022-0090</t>
  </si>
  <si>
    <t>VSA2020-1269</t>
  </si>
  <si>
    <t>VSA2022-0238</t>
  </si>
  <si>
    <t>VSA2021-1888</t>
  </si>
  <si>
    <t>VSA2021-T-0149</t>
  </si>
  <si>
    <t>VSA2021-T-0079</t>
  </si>
  <si>
    <t>VSA2021-T-0168</t>
  </si>
  <si>
    <t>VSA2021-T-0407</t>
  </si>
  <si>
    <t>VSA2021-T-0006</t>
  </si>
  <si>
    <t>VSA2020-T-0175</t>
  </si>
  <si>
    <t>VSA2020-T-0181</t>
  </si>
  <si>
    <t>VSA2020-T-0186</t>
  </si>
  <si>
    <t>VSA2020-T-0110</t>
  </si>
  <si>
    <t>VSA2021-T-0259</t>
  </si>
  <si>
    <t>VSA2022-0230</t>
  </si>
  <si>
    <t>VSA2022-0206</t>
  </si>
  <si>
    <t>VSA2022-0184</t>
  </si>
  <si>
    <t>VSA2020-0304</t>
  </si>
  <si>
    <t>VSA2022-0209</t>
  </si>
  <si>
    <t>VSA2021-1983</t>
  </si>
  <si>
    <t>VSA2022-0208</t>
  </si>
  <si>
    <t>VSA2022-0210</t>
  </si>
  <si>
    <t>VSA2022-0223</t>
  </si>
  <si>
    <t>VSA2019-0615</t>
  </si>
  <si>
    <t>VSA2021-0544</t>
  </si>
  <si>
    <t>VSA2021-1992</t>
  </si>
  <si>
    <t>VSA2021-1990</t>
  </si>
  <si>
    <t>VSA2021-1993</t>
  </si>
  <si>
    <t>VSA2022-0039</t>
  </si>
  <si>
    <t>VSA2021-1942</t>
  </si>
  <si>
    <t>VSA2021-1991</t>
  </si>
  <si>
    <t>VSA2021-1989</t>
  </si>
  <si>
    <t>VSA2022-0098</t>
  </si>
  <si>
    <t>VSA2019-0632</t>
  </si>
  <si>
    <t>VSA2021-1853</t>
  </si>
  <si>
    <t>VSA2018-0049</t>
  </si>
  <si>
    <t>VSA2021-1700</t>
  </si>
  <si>
    <t>VSA2022-0011</t>
  </si>
  <si>
    <t>VSA2022-0136</t>
  </si>
  <si>
    <t>VSA2021-1837</t>
  </si>
  <si>
    <t>VSA2020-0233</t>
  </si>
  <si>
    <t>VSA2021-1782</t>
  </si>
  <si>
    <t>VSA2022-0052</t>
  </si>
  <si>
    <t>VSA2021-1755</t>
  </si>
  <si>
    <t>VSA2021-1126</t>
  </si>
  <si>
    <t>VSA2021-1814</t>
  </si>
  <si>
    <t>VSA2021-1791</t>
  </si>
  <si>
    <t>VSA2021-1650</t>
  </si>
  <si>
    <t>VSA2022-0145</t>
  </si>
  <si>
    <t>VSA2021-T-0508</t>
  </si>
  <si>
    <t>VSA2021-T-0517</t>
  </si>
  <si>
    <t>VSA2021-1986</t>
  </si>
  <si>
    <t>VSA2021-1741</t>
  </si>
  <si>
    <t>VSA2016-1037</t>
  </si>
  <si>
    <t>VSA2021-1849</t>
  </si>
  <si>
    <t>VSA2021-1772</t>
  </si>
  <si>
    <t>VSA2021-1649</t>
  </si>
  <si>
    <t>VSA2022-0239</t>
  </si>
  <si>
    <t>VSA2022-0242</t>
  </si>
  <si>
    <t>VSA2022-0265</t>
  </si>
  <si>
    <t>VSA2022-0121</t>
  </si>
  <si>
    <t>VSA2021-1775</t>
  </si>
  <si>
    <t>VSA2021-1748</t>
  </si>
  <si>
    <t>VSA2021-1813</t>
  </si>
  <si>
    <t>VSA2018-0919</t>
  </si>
  <si>
    <t>VSA2021-1119</t>
  </si>
  <si>
    <t>VSA2021-1647</t>
  </si>
  <si>
    <t>VSA2022-0221</t>
  </si>
  <si>
    <t>VSA2022-0189</t>
  </si>
  <si>
    <t>VSA2022-0241</t>
  </si>
  <si>
    <t>VSA2022-0030</t>
  </si>
  <si>
    <t>VSA2022-0256</t>
  </si>
  <si>
    <t>VSA2021-1644</t>
  </si>
  <si>
    <t>VSA2018-0666</t>
  </si>
  <si>
    <t>VSA2019-0304V2</t>
  </si>
  <si>
    <t>VSA2022-0165</t>
  </si>
  <si>
    <t>VSA2022-0224</t>
  </si>
  <si>
    <t>VSA2022-0174</t>
  </si>
  <si>
    <t>VSA2021-1980</t>
  </si>
  <si>
    <t>VSA2020-1027</t>
  </si>
  <si>
    <t>VSA2020-1335</t>
  </si>
  <si>
    <t>VSA2021-1965</t>
  </si>
  <si>
    <t>VSA2022-0197</t>
  </si>
  <si>
    <t>VSA2022-0247</t>
  </si>
  <si>
    <t>VSA2022-0275</t>
  </si>
  <si>
    <t>VSA2022-0276</t>
  </si>
  <si>
    <t>VSA2022-.0250</t>
  </si>
  <si>
    <t>VSA2022-0262</t>
  </si>
  <si>
    <t>VSA2022-0268</t>
  </si>
  <si>
    <t>VSA2022-0267</t>
  </si>
  <si>
    <t>VSA2022-0255</t>
  </si>
  <si>
    <t>VSA2021-0551</t>
  </si>
  <si>
    <t>VSA2022-0266</t>
  </si>
  <si>
    <t>VSA2021-1958</t>
  </si>
  <si>
    <t>VSA2022-0264</t>
  </si>
  <si>
    <t>VSA2022-0274</t>
  </si>
  <si>
    <t>VSA2022-0249</t>
  </si>
  <si>
    <t>VSA2022-0251</t>
  </si>
  <si>
    <t>VSA2022-0263</t>
  </si>
  <si>
    <t>VSA2021-1961</t>
  </si>
  <si>
    <t>VSA2021-1963</t>
  </si>
  <si>
    <t>VSA2021-1970</t>
  </si>
  <si>
    <t>VSA2022-0248</t>
  </si>
  <si>
    <t>VSA2021-0270</t>
  </si>
  <si>
    <t>VSA2022-0219</t>
  </si>
  <si>
    <t>VSA2022-0065</t>
  </si>
  <si>
    <t>VSA2022-0066</t>
  </si>
  <si>
    <t>VSA2021-1773</t>
  </si>
  <si>
    <t>VSA2021-1385</t>
  </si>
  <si>
    <t>VSA2020-0205</t>
  </si>
  <si>
    <t>VSA2021-1776</t>
  </si>
  <si>
    <t>VSA2022-0056</t>
  </si>
  <si>
    <t>VSA2022-0071</t>
  </si>
  <si>
    <t>VSA2022-0226</t>
  </si>
  <si>
    <t>VSA2021-1822</t>
  </si>
  <si>
    <t>VSA2021-1823</t>
  </si>
  <si>
    <t>VSA2021-1917</t>
  </si>
  <si>
    <t>VSA2021-1691</t>
  </si>
  <si>
    <t>VSA2019-0421</t>
  </si>
  <si>
    <t>VSA2019-0182</t>
  </si>
  <si>
    <t>VSA2021-1740</t>
  </si>
  <si>
    <t>VSA2019-0300</t>
  </si>
  <si>
    <t>VSA2021-1574</t>
  </si>
  <si>
    <t>VSA2021-1809</t>
  </si>
  <si>
    <t>VSA2021-1471</t>
  </si>
  <si>
    <t>VSA2022-0004</t>
  </si>
  <si>
    <t>VSA2022-0003</t>
  </si>
  <si>
    <t>VSA2021-1734</t>
  </si>
  <si>
    <t>VSA2021-1645</t>
  </si>
  <si>
    <t>VSA2021-1689</t>
  </si>
  <si>
    <t>VSA2022-0173</t>
  </si>
  <si>
    <t>VSA2021-1937</t>
  </si>
  <si>
    <t>VSA2021-1935</t>
  </si>
  <si>
    <t>VSA2021-1824</t>
  </si>
  <si>
    <t>VSA2021-6482</t>
  </si>
  <si>
    <t>VSA2021-1967</t>
  </si>
  <si>
    <t>VSA2021-1535</t>
  </si>
  <si>
    <t>VSA2021-1816</t>
  </si>
  <si>
    <t>VSA2022-0043</t>
  </si>
  <si>
    <t>VSA2021-1756</t>
  </si>
  <si>
    <t>VSA2019-0390</t>
  </si>
  <si>
    <t>VSA2021-1936</t>
  </si>
  <si>
    <t>VSA2021-1637</t>
  </si>
  <si>
    <t>VSA2022-0125</t>
  </si>
  <si>
    <t>VSA2022-1288</t>
  </si>
  <si>
    <t>VSA2022-0114</t>
  </si>
  <si>
    <t>VSA2021-T-0080</t>
  </si>
  <si>
    <t>VSA2021-T-0319</t>
  </si>
  <si>
    <t>VSA2021-T-0183</t>
  </si>
  <si>
    <t>VSA2021-T-0138</t>
  </si>
  <si>
    <t>VSA2021-T-0090</t>
  </si>
  <si>
    <t>VSA2021-T-0189</t>
  </si>
  <si>
    <t>VSA2021-T-0117</t>
  </si>
  <si>
    <t>VSA2021-T-0114</t>
  </si>
  <si>
    <t>VSA2021-T-0135</t>
  </si>
  <si>
    <t>VSA2020-T-0278</t>
  </si>
  <si>
    <t>VSA2021-T-0179</t>
  </si>
  <si>
    <t>VSA2021-T-0076</t>
  </si>
  <si>
    <t>VSA2021-T-0127</t>
  </si>
  <si>
    <t>VSA2021-T-0111</t>
  </si>
  <si>
    <t>VSA2021-T-0113</t>
  </si>
  <si>
    <t>VSA2021-T-0126</t>
  </si>
  <si>
    <t>VSA2019-0742</t>
  </si>
  <si>
    <t>VSA2021-T-0062</t>
  </si>
  <si>
    <t>VSA2021-T-0568</t>
  </si>
  <si>
    <t>VSA2021-T-0569</t>
  </si>
  <si>
    <t>VSA2021-T-0164</t>
  </si>
  <si>
    <t>VSA2021-T-0161</t>
  </si>
  <si>
    <t>VSA2021-T-0081</t>
  </si>
  <si>
    <t>VSA2021-T-0057</t>
  </si>
  <si>
    <t>VSA2021-T-0402</t>
  </si>
  <si>
    <t>VSA2020-T-0178</t>
  </si>
  <si>
    <t>VSA2020-T-0176</t>
  </si>
  <si>
    <t>VSA2021-T-0261</t>
  </si>
  <si>
    <t>VSA2021-T-0141</t>
  </si>
  <si>
    <t>VSA2021-T-0046</t>
  </si>
  <si>
    <t>VSA2021-T-0007</t>
  </si>
  <si>
    <t>VSA2021-T-0087</t>
  </si>
  <si>
    <t>VSA2020-T-0082</t>
  </si>
  <si>
    <t>VSA2020-1320</t>
  </si>
  <si>
    <t>VSA2021-1310</t>
  </si>
  <si>
    <t>VSA2019-0313</t>
  </si>
  <si>
    <t>VSA2019-0084</t>
  </si>
  <si>
    <t>MEMORIAL</t>
  </si>
  <si>
    <t>IMPERIAL DE LUJO</t>
  </si>
  <si>
    <t>DIGNITY</t>
  </si>
  <si>
    <t>ESPECIAL ANGELES</t>
  </si>
  <si>
    <t>PRESIDENCIAL</t>
  </si>
  <si>
    <t>DELUX</t>
  </si>
  <si>
    <t>ZAFIRO</t>
  </si>
  <si>
    <t>ECONOLINE</t>
  </si>
  <si>
    <t>CREMACION</t>
  </si>
  <si>
    <t>TABASCO</t>
  </si>
  <si>
    <t>VILLAHERMOSA</t>
  </si>
  <si>
    <t>JALAPA</t>
  </si>
  <si>
    <t xml:space="preserve">NACAJUCA </t>
  </si>
  <si>
    <t>TEAPA</t>
  </si>
  <si>
    <t>TACOTALPA</t>
  </si>
  <si>
    <t>PARAISO</t>
  </si>
  <si>
    <t xml:space="preserve">FRACCIONAMIENTO 27 DE OCTUBRE </t>
  </si>
  <si>
    <t xml:space="preserve">COLONIA LA AGRARIA </t>
  </si>
  <si>
    <t>EJIDO EMILIANO ZAPATA</t>
  </si>
  <si>
    <t>RANCHERIA LA LIMA</t>
  </si>
  <si>
    <t>RANCHERIA JAHUACAPA</t>
  </si>
  <si>
    <t xml:space="preserve">FRACCIONAMIENTO SANTA FE </t>
  </si>
  <si>
    <t>VILLA PARRILLA</t>
  </si>
  <si>
    <t xml:space="preserve">FRACCIONAMIENTO LA UNION HACE LA FUERZA </t>
  </si>
  <si>
    <t>FRACCIONAMIENTO DANIEL ESPINOZA</t>
  </si>
  <si>
    <t xml:space="preserve">RANCHERIA ESTANZUELA PRIMERA SECCION </t>
  </si>
  <si>
    <t>FRACCIONAMIENTO LAS MERCEDES</t>
  </si>
  <si>
    <t xml:space="preserve">COLONIA CLARA CORDOVA MORAN </t>
  </si>
  <si>
    <t>FRACCIONAMIENTO LA VENTA</t>
  </si>
  <si>
    <t xml:space="preserve">VILLA PLAYAS DEL ROSARIO </t>
  </si>
  <si>
    <t xml:space="preserve">COLONIA GUADALUPE BORJA </t>
  </si>
  <si>
    <t>COLONIA 2 DE MAYO</t>
  </si>
  <si>
    <t xml:space="preserve">COLONIA CASA BLANCA </t>
  </si>
  <si>
    <t>COLONIA GAVIOTAS SUR</t>
  </si>
  <si>
    <t>COLONIA LA MANGA 2</t>
  </si>
  <si>
    <t>FRACCIONAMIENTO COLINAS DE SANTO DOMINGO</t>
  </si>
  <si>
    <t>COLONIA GAVIOTAS SUR SECTOR SAN JOSE</t>
  </si>
  <si>
    <t xml:space="preserve">RANCHERIA BOQUERON CUARTA SECCION </t>
  </si>
  <si>
    <t xml:space="preserve">FRACCIONAMIENTO BOSQUES DE SALOYA </t>
  </si>
  <si>
    <t>COLONIA CENTRO</t>
  </si>
  <si>
    <t xml:space="preserve">COLONIA GAVIOTAS SUR SECTOR SAN JOSE </t>
  </si>
  <si>
    <t>COLONIA LA MANGA III</t>
  </si>
  <si>
    <t>COLONIA GAVIOTAS NORTE</t>
  </si>
  <si>
    <t>COLONIA ATASTA</t>
  </si>
  <si>
    <t xml:space="preserve">RANCHERIA TORNO LARGO PRIMERA SECCION </t>
  </si>
  <si>
    <t>COLONIA GAVIOTAS SUR SECTOR MONAL</t>
  </si>
  <si>
    <t xml:space="preserve">RANCHERIA MEDELLIN Y PIGUA TERCERA SECCION </t>
  </si>
  <si>
    <t>BRISAS DEL CARRIZAL</t>
  </si>
  <si>
    <t>FRACCIONAMIENTO BRISAS DEL CARRIZAL</t>
  </si>
  <si>
    <t xml:space="preserve">RANCHERIA ACACHAPA Y COLMENA SEGUNDA SECCION </t>
  </si>
  <si>
    <t xml:space="preserve">COLONIA TIERRA COLORADA </t>
  </si>
  <si>
    <t xml:space="preserve">COLONIA EL PORVENIR SEGUNDA SECCION </t>
  </si>
  <si>
    <t>RANCHERIA LA MANGA 3</t>
  </si>
  <si>
    <t xml:space="preserve">RANCHERIA CORREGIDORA PRIMERA SECCION </t>
  </si>
  <si>
    <t>VILLA LUIS GIL PEREZ</t>
  </si>
  <si>
    <t xml:space="preserve">RANCHERIA BOQUERON QUINTA SECCION </t>
  </si>
  <si>
    <t>EJIDO GONZALEZ</t>
  </si>
  <si>
    <t xml:space="preserve">POBLADO DOS MONTES </t>
  </si>
  <si>
    <t xml:space="preserve">RANCHERIA LA PALMA </t>
  </si>
  <si>
    <t>COLONIA FLORIDA</t>
  </si>
  <si>
    <t xml:space="preserve">BARRIO EL MURE </t>
  </si>
  <si>
    <t xml:space="preserve">VILLA JUAN ALDAMA </t>
  </si>
  <si>
    <t xml:space="preserve">RANCHERIA LAGARTERA SEGUNDA SECCION </t>
  </si>
  <si>
    <t>CALLE IGNACIO GUTIERREZ</t>
  </si>
  <si>
    <t xml:space="preserve">FRACCIONAMIENTO LA HUERTA </t>
  </si>
  <si>
    <t xml:space="preserve">RANCHERIA ACACHAPA Y COLMENA CUARTA SECCION </t>
  </si>
  <si>
    <t xml:space="preserve">RANCHERIA MEDELLIN Y MADERO SEGUNDA SECCION </t>
  </si>
  <si>
    <t xml:space="preserve">COLONIA LA SELVA SEGUNDA </t>
  </si>
  <si>
    <t>FRACCIONAMIENTO POMOCA</t>
  </si>
  <si>
    <t xml:space="preserve">RANCHERIA MEDELLIN Y PIGUA SEGUNDA SECCION </t>
  </si>
  <si>
    <t xml:space="preserve">VILLA OCUITZAPOTLAN </t>
  </si>
  <si>
    <t>POBLADO XICOTENCATL</t>
  </si>
  <si>
    <t>PUEBLO NUEVO</t>
  </si>
  <si>
    <t>EJIDO POCHITOCAL</t>
  </si>
  <si>
    <t xml:space="preserve">EJIDO POCHITOCAL PRIMERA SECCION </t>
  </si>
  <si>
    <t>VILLA TAPIJULAPA</t>
  </si>
  <si>
    <t xml:space="preserve">BARRIO SABANILLA </t>
  </si>
  <si>
    <t>EJIDO MARIANO ABASOLO</t>
  </si>
  <si>
    <t xml:space="preserve">FRACCIONAMIENTO LAS LILIAS </t>
  </si>
  <si>
    <t>FRACCIONAMIENTO 27 DE OCTUBRE CENTRO</t>
  </si>
  <si>
    <t>FRACCIONAMIENTO VILLAS DEL CIELO</t>
  </si>
  <si>
    <t>EJIDO EL DORADO</t>
  </si>
  <si>
    <t>FRACCIONAMIENTO SAN MANUEL</t>
  </si>
  <si>
    <t>FRACCIONAMIENTO DEL PALMAR</t>
  </si>
  <si>
    <t>FRACCIONAMIENTO PARRILLA SECCION SECTOR CARMEN</t>
  </si>
  <si>
    <t>FRACCIONAMIENTO PARRILLA CUARTA SECCION</t>
  </si>
  <si>
    <t>FRACCIONAMIENTO PARRILLA CUARTA SECCION SECTOR LOS ACOSTA</t>
  </si>
  <si>
    <t>RANCHERIA LA LIMA PARRILLA</t>
  </si>
  <si>
    <t>VILLA PLAYAS DEL ROSARIO CENTRO</t>
  </si>
  <si>
    <t>RANCHERIA LA HUASTECA SEGUNDA SECCION</t>
  </si>
  <si>
    <t>RANCHERIA TUMBULUSHAL</t>
  </si>
  <si>
    <t>FRACCIONAMIENTO SAUCE MONTE CEIBA</t>
  </si>
  <si>
    <t xml:space="preserve">RANCHERIA ESTANZUELA </t>
  </si>
  <si>
    <t>COLONIA IGNACIO ALLENDE</t>
  </si>
  <si>
    <t>VILLA PUEBLO NUEVO</t>
  </si>
  <si>
    <t>COLONIA TAMULTE</t>
  </si>
  <si>
    <t>COLONIA CENTRO VILLA HERMOSA</t>
  </si>
  <si>
    <t xml:space="preserve">COLONIA LA MANGA SEGUNDA </t>
  </si>
  <si>
    <t>FRACCIONAMIENTO POLICIA Y TRANCITO</t>
  </si>
  <si>
    <t>COLONIA CASA BLANCA</t>
  </si>
  <si>
    <t>EJIDO SANTA CRUZ TEPATE</t>
  </si>
  <si>
    <t>COLONIA LA LIMA</t>
  </si>
  <si>
    <t>COLONIA GAVIOTAS SUR SECTOR EXPLANADA</t>
  </si>
  <si>
    <t>RANCHERIA ALVARADO ESTRADA</t>
  </si>
  <si>
    <t>FRACCIONAMIENTO VILLA EL CIELO</t>
  </si>
  <si>
    <t>VILLA PLAYAS DEL ROSARIO</t>
  </si>
  <si>
    <t>FRACCIONAMIENTO BICENTENARIO</t>
  </si>
  <si>
    <t>RANCHERIA PABLO L SIDAR CENTRO</t>
  </si>
  <si>
    <t>RANCHERIA BUENA VISTA</t>
  </si>
  <si>
    <t>RANCHERIA BUENA VISTA RIO NUEVO</t>
  </si>
  <si>
    <t>RANCHERIA BOQUERON QUINTA SECCION</t>
  </si>
  <si>
    <t>COLONIA LIBERTAD BUENA VISTA</t>
  </si>
  <si>
    <t>RANCHERIA CORREGIDORA ORTIZ PRIMERA SECCION</t>
  </si>
  <si>
    <t>COLONIA JESUS A SIVILLA ZURITA</t>
  </si>
  <si>
    <t>COLONIA ROBERTO MADRAZO PINTADO</t>
  </si>
  <si>
    <t>RANCHERIA ANACLETO CANABAL SEGUNDA SECCION</t>
  </si>
  <si>
    <t>RANCHERIA CHIPILINAR PRIMERA SECCION</t>
  </si>
  <si>
    <t>RANCHERIA CHIPILINAR PRIMERA SECCION SECCION JALAPITA</t>
  </si>
  <si>
    <t>VILLAS PLAYAS DEL ROSARIO</t>
  </si>
  <si>
    <t>CIUDAD INDUSTRIAL</t>
  </si>
  <si>
    <t>EJIDO CHICHICAPA TERCERA SECCION JALAPA</t>
  </si>
  <si>
    <t>POBLADO FRACISCO JSANTA MARIA ESQUINA TRASERA DE LADO IZQUIERDO DE LA PRIMARIA</t>
  </si>
  <si>
    <t>RANCHERIA LA MANGA SEGUNDA</t>
  </si>
  <si>
    <t>COLONIA GUADALUPE BORJA</t>
  </si>
  <si>
    <t>RANCHERIA CHIQUIGUAO PRIMERA SECCION</t>
  </si>
  <si>
    <t>FRACCIONAMIENTO CARLOS PELLICER CAMARA</t>
  </si>
  <si>
    <t>COLONIA HUAPACAL</t>
  </si>
  <si>
    <t>COLONIA MANGAL TERCERA SECCION</t>
  </si>
  <si>
    <t>FRACCIONAMIENTO TRIUNFO LA MANGA SEGUNDA SECCION</t>
  </si>
  <si>
    <t>COLONIA EL TRIUNFO</t>
  </si>
  <si>
    <t>COLONIA LA MANGA TERCERA</t>
  </si>
  <si>
    <t>COLONIA 18 DE MARZO</t>
  </si>
  <si>
    <t>RANCHERIA ANACLETO CANABAL CAURTA SECCION</t>
  </si>
  <si>
    <t xml:space="preserve">EXPLANADA COLONIA GAVIOTAS SUR </t>
  </si>
  <si>
    <t>RANCHERIA EL ZAPOTAL CENTRO</t>
  </si>
  <si>
    <t>COLONIA LA MANGA SEGUNDA</t>
  </si>
  <si>
    <t>COLONIA MANGAL SEGUNDA SECCION</t>
  </si>
  <si>
    <t>RANCHERIA LAGORDEZA SEGUNDA SECCION</t>
  </si>
  <si>
    <t xml:space="preserve">EJIDO PALESTINA </t>
  </si>
  <si>
    <t>RANCHERIA LAGARTERA SEGUNDA SECCION</t>
  </si>
  <si>
    <t>COLONIA CENTRO TACOTALPA</t>
  </si>
  <si>
    <t>SANTA BARBARA TACOTALPA</t>
  </si>
  <si>
    <t>EJIDO CEIBITA TACOTALPA</t>
  </si>
  <si>
    <t>COLONIA OBRERA TACOTALPA</t>
  </si>
  <si>
    <t>EJIDO CEIBITA PRIMERA SECCION TACOTALPA</t>
  </si>
  <si>
    <t>COLONIA SIERRA SAN LUIS TACOTALPA</t>
  </si>
  <si>
    <t>EJIDO CEIBITA SEGUNDA SECCION TACOTALPA</t>
  </si>
  <si>
    <t>EJIDO CEIBITA</t>
  </si>
  <si>
    <t>EJIDO CEIBITA SANTA BARBARA</t>
  </si>
  <si>
    <t>COLONIA PUEBLO NUEVO</t>
  </si>
  <si>
    <t>RANCHERIA CEIBA PRIMERA SECCION SAN LUIS</t>
  </si>
  <si>
    <t>COLONIA SAN LUIS</t>
  </si>
  <si>
    <t xml:space="preserve">EJIDO CEIBA SEGUNDA SECCION SAN LUIS </t>
  </si>
  <si>
    <t>COLONIA LA SIERRA AGUA ESCONDIDA</t>
  </si>
  <si>
    <t>EJIDO SANTA ROSA PRIMERA SECCION</t>
  </si>
  <si>
    <t>EJIDO POCHITOCAL PRIMERA SECCION</t>
  </si>
  <si>
    <t>EJIDO POCHITOCAL PRIMERA SECCION TILA Y TORONJA</t>
  </si>
  <si>
    <t xml:space="preserve">EJIDO POCHITOCAL PRIMERA </t>
  </si>
  <si>
    <t>EJIDO LAZARO CARDENAS</t>
  </si>
  <si>
    <t>EJIDO MADRIGAL SEGUNDA SECCION REFORMA</t>
  </si>
  <si>
    <t>EJIDO ZONA PATASTAL</t>
  </si>
  <si>
    <t>BARRIO LA LOMA TAPIJULAPA</t>
  </si>
  <si>
    <t>BARRIO SABANILLA</t>
  </si>
  <si>
    <t>JOSE LOPEZ PORTILLO</t>
  </si>
  <si>
    <t>CARRETERA PRINCIPAL A JALAPA</t>
  </si>
  <si>
    <t>BARRIO CURUA VILLA TAPIJULAPA</t>
  </si>
  <si>
    <t>RANCHERIA LA UNION JALAPA</t>
  </si>
  <si>
    <t>FRACCIONAMIENTO LOMAS DE ESQUIPULA</t>
  </si>
  <si>
    <t>2022-07-03</t>
  </si>
  <si>
    <t>2022-02-03</t>
  </si>
  <si>
    <t>2020-08-08</t>
  </si>
  <si>
    <t>2020-07-24</t>
  </si>
  <si>
    <t>2022-12-02</t>
  </si>
  <si>
    <t>2020-07-31</t>
  </si>
  <si>
    <t>2022-01-30</t>
  </si>
  <si>
    <t>2022-02-24</t>
  </si>
  <si>
    <t>2018-01-26</t>
  </si>
  <si>
    <t>2021-12-08</t>
  </si>
  <si>
    <t>2018-12-12</t>
  </si>
  <si>
    <t>2021-12-10</t>
  </si>
  <si>
    <t>2022-01-19</t>
  </si>
  <si>
    <t>2021-12-28</t>
  </si>
  <si>
    <t>2020-10-28</t>
  </si>
  <si>
    <t>2020-10-29</t>
  </si>
  <si>
    <t>2021-01-14</t>
  </si>
  <si>
    <t>2019-04-04</t>
  </si>
  <si>
    <t>2019-08-04</t>
  </si>
  <si>
    <t>2021-05-11</t>
  </si>
  <si>
    <t>2018-09-08</t>
  </si>
  <si>
    <t>2021-10-22</t>
  </si>
  <si>
    <t>2021-12-20</t>
  </si>
  <si>
    <t>2022-12-30</t>
  </si>
  <si>
    <t>2021-11-11</t>
  </si>
  <si>
    <t>2021-11-27</t>
  </si>
  <si>
    <t>2022-02-28</t>
  </si>
  <si>
    <t>2021-11-16</t>
  </si>
  <si>
    <t>2021-06-10</t>
  </si>
  <si>
    <t>2021-08-11</t>
  </si>
  <si>
    <t>2020-06-24</t>
  </si>
  <si>
    <t>2020-02-13</t>
  </si>
  <si>
    <t>2022-08-28</t>
  </si>
  <si>
    <t>2022-01-17</t>
  </si>
  <si>
    <t>2021-12-11</t>
  </si>
  <si>
    <t>2021-08-03</t>
  </si>
  <si>
    <t>2021-12-14</t>
  </si>
  <si>
    <t>2022-04-02</t>
  </si>
  <si>
    <t>2021-10-14</t>
  </si>
  <si>
    <t>2020-06-11</t>
  </si>
  <si>
    <t>2020-04-24</t>
  </si>
  <si>
    <t>2021-09-12</t>
  </si>
  <si>
    <t>2021-12-21</t>
  </si>
  <si>
    <t>2022-07-01</t>
  </si>
  <si>
    <t>2021-11-18</t>
  </si>
  <si>
    <t>2020-12-09</t>
  </si>
  <si>
    <t>2021-10-30</t>
  </si>
  <si>
    <t>2021-01-20</t>
  </si>
  <si>
    <t>2022-02-02</t>
  </si>
  <si>
    <t>2022-01-29</t>
  </si>
  <si>
    <t>2022-02-16</t>
  </si>
  <si>
    <t>2022-08-12</t>
  </si>
  <si>
    <t>2022-08-02</t>
  </si>
  <si>
    <t>2021-02-01</t>
  </si>
  <si>
    <t>2022-02-13</t>
  </si>
  <si>
    <t>2022-01-26</t>
  </si>
  <si>
    <t>2022-01-21</t>
  </si>
  <si>
    <t>2020-11-30</t>
  </si>
  <si>
    <t>2021-11-23</t>
  </si>
  <si>
    <t>2021-04-03</t>
  </si>
  <si>
    <t>2021-05-02</t>
  </si>
  <si>
    <t>2021-11-03</t>
  </si>
  <si>
    <t>2021-07-16</t>
  </si>
  <si>
    <t>2021-05-01</t>
  </si>
  <si>
    <t>2020-09-12</t>
  </si>
  <si>
    <t>2020-11-12</t>
  </si>
  <si>
    <t>2020-12-28</t>
  </si>
  <si>
    <t>2020-09-20</t>
  </si>
  <si>
    <t>2021-04-14</t>
  </si>
  <si>
    <t>2022-02-22</t>
  </si>
  <si>
    <t>2022-02-17</t>
  </si>
  <si>
    <t>2020-05-08</t>
  </si>
  <si>
    <t>2021-12-30</t>
  </si>
  <si>
    <t>2019-11-21</t>
  </si>
  <si>
    <t>2021-03-18</t>
  </si>
  <si>
    <t>2021-12-31</t>
  </si>
  <si>
    <t>2022-01-16</t>
  </si>
  <si>
    <t>2021-04-12</t>
  </si>
  <si>
    <t>2019-11-22</t>
  </si>
  <si>
    <t>2018-01-23</t>
  </si>
  <si>
    <t>2022-05-01</t>
  </si>
  <si>
    <t>2022-05-02</t>
  </si>
  <si>
    <t>2020-07-23</t>
  </si>
  <si>
    <t>2021-10-23</t>
  </si>
  <si>
    <t>2021-07-21</t>
  </si>
  <si>
    <t>2021-01-11</t>
  </si>
  <si>
    <t>2021-01-10</t>
  </si>
  <si>
    <t>2022-03-02</t>
  </si>
  <si>
    <t>2021-09-16</t>
  </si>
  <si>
    <t>2021-09-28</t>
  </si>
  <si>
    <t>2021-10-20</t>
  </si>
  <si>
    <t>2016-07-18</t>
  </si>
  <si>
    <t>2021-10-27</t>
  </si>
  <si>
    <t>2022-03-03</t>
  </si>
  <si>
    <t>2022-07-02</t>
  </si>
  <si>
    <t>2021-10-28</t>
  </si>
  <si>
    <t>2021-10-21</t>
  </si>
  <si>
    <t>2018-09-20</t>
  </si>
  <si>
    <t>2021-07-19</t>
  </si>
  <si>
    <t>2022-02-27</t>
  </si>
  <si>
    <t>2022-11-01</t>
  </si>
  <si>
    <t>2022-01-03</t>
  </si>
  <si>
    <t>2018-08-13</t>
  </si>
  <si>
    <t>2019-08-07</t>
  </si>
  <si>
    <t>2022-11-02</t>
  </si>
  <si>
    <t>2021-12-24</t>
  </si>
  <si>
    <t>2020-11-21</t>
  </si>
  <si>
    <t>2020-12-17</t>
  </si>
  <si>
    <t>2021-11-12</t>
  </si>
  <si>
    <t>2022-02-19</t>
  </si>
  <si>
    <t>2022-08-03</t>
  </si>
  <si>
    <t>2022-05-03</t>
  </si>
  <si>
    <t>2002-07-03</t>
  </si>
  <si>
    <t>2021-03-19</t>
  </si>
  <si>
    <t>2022-07-07</t>
  </si>
  <si>
    <t>2021-10-12</t>
  </si>
  <si>
    <t>2021-12-17</t>
  </si>
  <si>
    <t>2021-09-02</t>
  </si>
  <si>
    <t>2021-08-25</t>
  </si>
  <si>
    <t>2020-07-16</t>
  </si>
  <si>
    <t>2022-01-20</t>
  </si>
  <si>
    <t>2021-09-11</t>
  </si>
  <si>
    <t>2021-06-11</t>
  </si>
  <si>
    <t>2021-11-26</t>
  </si>
  <si>
    <t>2021-09-10</t>
  </si>
  <si>
    <t>2019-07-27</t>
  </si>
  <si>
    <t>2019-04-24</t>
  </si>
  <si>
    <t>2019-06-22</t>
  </si>
  <si>
    <t>2021-09-22</t>
  </si>
  <si>
    <t>2022-03-01</t>
  </si>
  <si>
    <t>2021-10-19</t>
  </si>
  <si>
    <t>2021-01-12</t>
  </si>
  <si>
    <t>2021-11-30</t>
  </si>
  <si>
    <t>2021-10-11</t>
  </si>
  <si>
    <t>2021-09-15</t>
  </si>
  <si>
    <t>2021-07-11</t>
  </si>
  <si>
    <t>2022-01-18</t>
  </si>
  <si>
    <t>2021-10-25</t>
  </si>
  <si>
    <t>2019-07-16</t>
  </si>
  <si>
    <t>2021-09-30</t>
  </si>
  <si>
    <t>2021-05-20</t>
  </si>
  <si>
    <t>2021-02-26</t>
  </si>
  <si>
    <t>2021-10-02</t>
  </si>
  <si>
    <t>2021-02-18</t>
  </si>
  <si>
    <t>2021-02-25</t>
  </si>
  <si>
    <t>2021-03-17</t>
  </si>
  <si>
    <t>2021-03-02</t>
  </si>
  <si>
    <t>2021-02-22</t>
  </si>
  <si>
    <t>2021-02-20</t>
  </si>
  <si>
    <t>2019-12-18</t>
  </si>
  <si>
    <t>2021-01-26</t>
  </si>
  <si>
    <t>2021-10-03</t>
  </si>
  <si>
    <t>2021-09-03</t>
  </si>
  <si>
    <t>2021-08-02</t>
  </si>
  <si>
    <t>2021-01-25</t>
  </si>
  <si>
    <t>2021-07-15</t>
  </si>
  <si>
    <t>2020-10-12</t>
  </si>
  <si>
    <t>2021-04-15</t>
  </si>
  <si>
    <t>2021-02-03</t>
  </si>
  <si>
    <t>2021-01-21</t>
  </si>
  <si>
    <t>2020-09-11</t>
  </si>
  <si>
    <t>2021-08-17</t>
  </si>
  <si>
    <t>2019-06-24</t>
  </si>
  <si>
    <t>2019-03-21</t>
  </si>
  <si>
    <t>SANCHEZ</t>
  </si>
  <si>
    <t>CABRALES</t>
  </si>
  <si>
    <t>JOSEFINA</t>
  </si>
  <si>
    <t>CASTELAN</t>
  </si>
  <si>
    <t>ELIZABETH DEL CARMEN</t>
  </si>
  <si>
    <t>HERNANDEZ</t>
  </si>
  <si>
    <t/>
  </si>
  <si>
    <t>CECILIA HERNANDEZ</t>
  </si>
  <si>
    <t>ARISTELA LOPEZ</t>
  </si>
  <si>
    <t>MORENO</t>
  </si>
  <si>
    <t>MARTINEZ</t>
  </si>
  <si>
    <t>ABEL</t>
  </si>
  <si>
    <t>MARIA DEL CARMEN</t>
  </si>
  <si>
    <t>JUAREZ</t>
  </si>
  <si>
    <t>MELQUIADES MARTINEZ</t>
  </si>
  <si>
    <t>HIDALGO</t>
  </si>
  <si>
    <t>VELAZQUEZ</t>
  </si>
  <si>
    <t>EULOFIO</t>
  </si>
  <si>
    <t>DIAZ</t>
  </si>
  <si>
    <t>PEREZ</t>
  </si>
  <si>
    <t>LORENZA</t>
  </si>
  <si>
    <t>MONDRAGON</t>
  </si>
  <si>
    <t>CAMARA</t>
  </si>
  <si>
    <t>FRANCISCO</t>
  </si>
  <si>
    <t>VALENZUELA</t>
  </si>
  <si>
    <t>SANTIAGO</t>
  </si>
  <si>
    <t>JOSE DEL CARMEN</t>
  </si>
  <si>
    <t>CEFERINO</t>
  </si>
  <si>
    <t>CONCEPCION</t>
  </si>
  <si>
    <t>CORDOVA</t>
  </si>
  <si>
    <t>ELIZABETH</t>
  </si>
  <si>
    <t>ANGEL</t>
  </si>
  <si>
    <t>ZACARIAS</t>
  </si>
  <si>
    <t>ENEIDA</t>
  </si>
  <si>
    <t>MORALES</t>
  </si>
  <si>
    <t>PETRONA</t>
  </si>
  <si>
    <t>GUZMAN</t>
  </si>
  <si>
    <t>ARTEMIO</t>
  </si>
  <si>
    <t>VAZQUEZ</t>
  </si>
  <si>
    <t>TILA</t>
  </si>
  <si>
    <t>PEDRO</t>
  </si>
  <si>
    <t>ZAPATA</t>
  </si>
  <si>
    <t>CANDELARIA IZQUIERDO</t>
  </si>
  <si>
    <t>RAMOS</t>
  </si>
  <si>
    <t>SOLIS</t>
  </si>
  <si>
    <t>LAURA</t>
  </si>
  <si>
    <t>ESCALANTE</t>
  </si>
  <si>
    <t>CARLOS TORRES</t>
  </si>
  <si>
    <t>LUNA</t>
  </si>
  <si>
    <t>GORDILLO</t>
  </si>
  <si>
    <t>PAOLA ROMELIA</t>
  </si>
  <si>
    <t>SUAREZ</t>
  </si>
  <si>
    <t>SOSA</t>
  </si>
  <si>
    <t>IRMA</t>
  </si>
  <si>
    <t>CRUZ</t>
  </si>
  <si>
    <t>MARICELA</t>
  </si>
  <si>
    <t>ALCUDIA</t>
  </si>
  <si>
    <t>DE LA CRUZ</t>
  </si>
  <si>
    <t>RICHARD DE JESUS</t>
  </si>
  <si>
    <t>RUIZ</t>
  </si>
  <si>
    <t>DE LA ROSA</t>
  </si>
  <si>
    <t>JUANA</t>
  </si>
  <si>
    <t>ASHLEY GABRIEL</t>
  </si>
  <si>
    <t>CASTRO</t>
  </si>
  <si>
    <t>MARIA</t>
  </si>
  <si>
    <t>MONTIEL</t>
  </si>
  <si>
    <t>GALMICHE</t>
  </si>
  <si>
    <t>SEBASTIANA</t>
  </si>
  <si>
    <t>CERINO</t>
  </si>
  <si>
    <t>LUZ DEL ALBA</t>
  </si>
  <si>
    <t>ANTONIA</t>
  </si>
  <si>
    <t>BRITO</t>
  </si>
  <si>
    <t>VALENCIA</t>
  </si>
  <si>
    <t>GUADALUPE</t>
  </si>
  <si>
    <t>ESTEBAN</t>
  </si>
  <si>
    <t>JIMENEZ</t>
  </si>
  <si>
    <t>MAGAÃ‘A</t>
  </si>
  <si>
    <t>ACOSTA</t>
  </si>
  <si>
    <t>ARTURO</t>
  </si>
  <si>
    <t>LUCIA GARCIA</t>
  </si>
  <si>
    <t>ESPINOZA</t>
  </si>
  <si>
    <t>ZAMUDIO</t>
  </si>
  <si>
    <t>EDWIN ANTONIO</t>
  </si>
  <si>
    <t>MALPISA</t>
  </si>
  <si>
    <t>SANTOS</t>
  </si>
  <si>
    <t>FLORENCIO</t>
  </si>
  <si>
    <t>CASTILLO</t>
  </si>
  <si>
    <t>JOSE GUADALUPE</t>
  </si>
  <si>
    <t>REYES</t>
  </si>
  <si>
    <t>ARMANDO DE JESUS</t>
  </si>
  <si>
    <t>ALEJANDRO</t>
  </si>
  <si>
    <t>LETICIA</t>
  </si>
  <si>
    <t>FLORES</t>
  </si>
  <si>
    <t>VIOLICIA</t>
  </si>
  <si>
    <t>PACHECO</t>
  </si>
  <si>
    <t>FIDEL</t>
  </si>
  <si>
    <t>ALVAREZ</t>
  </si>
  <si>
    <t>MENDEZ</t>
  </si>
  <si>
    <t>MONTECINO</t>
  </si>
  <si>
    <t>TORRES</t>
  </si>
  <si>
    <t>ABSOLON</t>
  </si>
  <si>
    <t>GARCIA</t>
  </si>
  <si>
    <t>Y GARCIA</t>
  </si>
  <si>
    <t>PRIMITIVO</t>
  </si>
  <si>
    <t>GONZALEZ</t>
  </si>
  <si>
    <t>CHABLE</t>
  </si>
  <si>
    <t>LUCERO</t>
  </si>
  <si>
    <t>CALDERON</t>
  </si>
  <si>
    <t>ASENCIO</t>
  </si>
  <si>
    <t>ATILO</t>
  </si>
  <si>
    <t>DIONISIO</t>
  </si>
  <si>
    <t>HILARIO</t>
  </si>
  <si>
    <t>ANDREA</t>
  </si>
  <si>
    <t>KINBERLI POLET</t>
  </si>
  <si>
    <t>CORNELIO</t>
  </si>
  <si>
    <t>MARIA GUADALUPE</t>
  </si>
  <si>
    <t>SASSO</t>
  </si>
  <si>
    <t>CORAZON</t>
  </si>
  <si>
    <t>MARIA ISABEL</t>
  </si>
  <si>
    <t>VILLEGAS</t>
  </si>
  <si>
    <t>CASTAN</t>
  </si>
  <si>
    <t>CLAUDIA PATRICIA</t>
  </si>
  <si>
    <t>VASCONCELOS</t>
  </si>
  <si>
    <t>ROSA IRENE</t>
  </si>
  <si>
    <t>OCAÃ‘A</t>
  </si>
  <si>
    <t>MARIA LUZ</t>
  </si>
  <si>
    <t>RAMIREZ</t>
  </si>
  <si>
    <t>PAZ</t>
  </si>
  <si>
    <t>CANDELARIA</t>
  </si>
  <si>
    <t>RAUL</t>
  </si>
  <si>
    <t>AQUINO</t>
  </si>
  <si>
    <t>HERRERA</t>
  </si>
  <si>
    <t>MARIA SANTOS</t>
  </si>
  <si>
    <t>MARIA MERCEDES</t>
  </si>
  <si>
    <t>RODRIGUEZ</t>
  </si>
  <si>
    <t>WILLIAMS ALEJANDRO</t>
  </si>
  <si>
    <t>RUBI</t>
  </si>
  <si>
    <t>CORTES</t>
  </si>
  <si>
    <t>JOSE LUIS</t>
  </si>
  <si>
    <t>RAMON</t>
  </si>
  <si>
    <t>BEIRI</t>
  </si>
  <si>
    <t>NIETO</t>
  </si>
  <si>
    <t>LUCIA</t>
  </si>
  <si>
    <t>LAURA GRACIELA</t>
  </si>
  <si>
    <t>MEDINA</t>
  </si>
  <si>
    <t>ALVARADO</t>
  </si>
  <si>
    <t>VICENTA</t>
  </si>
  <si>
    <t>SOTO</t>
  </si>
  <si>
    <t>MARIA SOCORRO</t>
  </si>
  <si>
    <t>ENCARNACION</t>
  </si>
  <si>
    <t>FRANK</t>
  </si>
  <si>
    <t>AGUILAR</t>
  </si>
  <si>
    <t>JOSE MANUEL</t>
  </si>
  <si>
    <t>ASUNCION</t>
  </si>
  <si>
    <t>NAÃ‘EZ</t>
  </si>
  <si>
    <t>MEDIA</t>
  </si>
  <si>
    <t>PIEDAD</t>
  </si>
  <si>
    <t>SALAS</t>
  </si>
  <si>
    <t>ARMANDO</t>
  </si>
  <si>
    <t>RIVERA</t>
  </si>
  <si>
    <t>PAULA</t>
  </si>
  <si>
    <t>PAULINA</t>
  </si>
  <si>
    <t>BEATRIZ</t>
  </si>
  <si>
    <t>VEGA</t>
  </si>
  <si>
    <t>LARA</t>
  </si>
  <si>
    <t>YANET DEL ROSARIO</t>
  </si>
  <si>
    <t>LUCRECIA</t>
  </si>
  <si>
    <t>CORTEZ</t>
  </si>
  <si>
    <t>ISIDRO</t>
  </si>
  <si>
    <t>MARTHA ALICIA</t>
  </si>
  <si>
    <t>BAUTISTA</t>
  </si>
  <si>
    <t>DE DIOS</t>
  </si>
  <si>
    <t>VALLER</t>
  </si>
  <si>
    <t>MANUELA</t>
  </si>
  <si>
    <t>MAYO</t>
  </si>
  <si>
    <t>HERMINA ESTEBAN</t>
  </si>
  <si>
    <t>BALTAZAR</t>
  </si>
  <si>
    <t>ALCAZAR</t>
  </si>
  <si>
    <t>JORGE</t>
  </si>
  <si>
    <t>NOLBERTO</t>
  </si>
  <si>
    <t>TOMASA</t>
  </si>
  <si>
    <t>VILLAMIL</t>
  </si>
  <si>
    <t>PATRICIA DEL CARMEN</t>
  </si>
  <si>
    <t>POZO</t>
  </si>
  <si>
    <t>CARMEN</t>
  </si>
  <si>
    <t>LEON</t>
  </si>
  <si>
    <t>ROSA</t>
  </si>
  <si>
    <t>ESQUIVEL</t>
  </si>
  <si>
    <t>ROSARIO</t>
  </si>
  <si>
    <t>REXNA</t>
  </si>
  <si>
    <t>JESUS JAVIER</t>
  </si>
  <si>
    <t>GLADIS DEL CARMEN</t>
  </si>
  <si>
    <t>DOMINGUEZ</t>
  </si>
  <si>
    <t>PRIEGO</t>
  </si>
  <si>
    <t>MAGALI</t>
  </si>
  <si>
    <t>DELGADO</t>
  </si>
  <si>
    <t>MARIA LAURA</t>
  </si>
  <si>
    <t>DE LA O</t>
  </si>
  <si>
    <t>ISRAEL</t>
  </si>
  <si>
    <t>PEREYRA</t>
  </si>
  <si>
    <t>MARIA DEL SOCORRO</t>
  </si>
  <si>
    <t>CHICO</t>
  </si>
  <si>
    <t>AGUSTINA</t>
  </si>
  <si>
    <t>ARGUELLES</t>
  </si>
  <si>
    <t>ROSENDO</t>
  </si>
  <si>
    <t>ANA MARIA</t>
  </si>
  <si>
    <t>MARIA RUDEY</t>
  </si>
  <si>
    <t>BOUCHOT</t>
  </si>
  <si>
    <t>EDUARDO ALEJANDRO</t>
  </si>
  <si>
    <t>VIDAL</t>
  </si>
  <si>
    <t>MARIA NATIVIDAD</t>
  </si>
  <si>
    <t>RICHARD</t>
  </si>
  <si>
    <t>EMANUEL</t>
  </si>
  <si>
    <t>ALMEIDA</t>
  </si>
  <si>
    <t>ORLANDO</t>
  </si>
  <si>
    <t>TOSCA</t>
  </si>
  <si>
    <t>JUAN ANTONIO</t>
  </si>
  <si>
    <t>ALONSO</t>
  </si>
  <si>
    <t>OCTAVIANO AUGUSTO</t>
  </si>
  <si>
    <t>NARANJO</t>
  </si>
  <si>
    <t>ZURITA</t>
  </si>
  <si>
    <t>CALCANEO</t>
  </si>
  <si>
    <t>CANDELARIO</t>
  </si>
  <si>
    <t>ALAMILLA</t>
  </si>
  <si>
    <t>ANA BERTA</t>
  </si>
  <si>
    <t>ANDREZ</t>
  </si>
  <si>
    <t>BRIGADA</t>
  </si>
  <si>
    <t>LUIS GERARDO</t>
  </si>
  <si>
    <t>ABRAHAM</t>
  </si>
  <si>
    <t>MENDOZA</t>
  </si>
  <si>
    <t>YADIRA</t>
  </si>
  <si>
    <t>CORREA</t>
  </si>
  <si>
    <t>DORA MARIA</t>
  </si>
  <si>
    <t>OLAN</t>
  </si>
  <si>
    <t>CARVANTES</t>
  </si>
  <si>
    <t>AHTZIRI DEL CARMEN</t>
  </si>
  <si>
    <t>CARRILLO</t>
  </si>
  <si>
    <t>VICTOR ANTONIO</t>
  </si>
  <si>
    <t>ROSADO</t>
  </si>
  <si>
    <t>MARIA DEL ROSARIO</t>
  </si>
  <si>
    <t>ALEGRIA</t>
  </si>
  <si>
    <t>ARACELI</t>
  </si>
  <si>
    <t>HERREA</t>
  </si>
  <si>
    <t>TRUJEQUE</t>
  </si>
  <si>
    <t>AURORA</t>
  </si>
  <si>
    <t>ACOPA</t>
  </si>
  <si>
    <t>CARDOZA</t>
  </si>
  <si>
    <t>FELIPA</t>
  </si>
  <si>
    <t>BEJERANO</t>
  </si>
  <si>
    <t>CADENA</t>
  </si>
  <si>
    <t>CARLOS</t>
  </si>
  <si>
    <t>TRUJILLO</t>
  </si>
  <si>
    <t>GREGORIO</t>
  </si>
  <si>
    <t>DAVID</t>
  </si>
  <si>
    <t>DE LOS SANTOS</t>
  </si>
  <si>
    <t>JUAN</t>
  </si>
  <si>
    <t>LLERGO</t>
  </si>
  <si>
    <t>LEOCADIA</t>
  </si>
  <si>
    <t>ZAVALA</t>
  </si>
  <si>
    <t>RODA</t>
  </si>
  <si>
    <t>ENRIQUE</t>
  </si>
  <si>
    <t>DEL CARMEN</t>
  </si>
  <si>
    <t>MARCO ANTONIO</t>
  </si>
  <si>
    <t>BURELOS</t>
  </si>
  <si>
    <t>MARIO DE LOS REMEDIOS</t>
  </si>
  <si>
    <t>ORTIZ</t>
  </si>
  <si>
    <t>ADRIANA</t>
  </si>
  <si>
    <t>MONTECINOS</t>
  </si>
  <si>
    <t>NORMA</t>
  </si>
  <si>
    <t>SANDRA ELENA</t>
  </si>
  <si>
    <t>MIRANDA</t>
  </si>
  <si>
    <t>MARIA REYES</t>
  </si>
  <si>
    <t>CELIA</t>
  </si>
  <si>
    <t>MONTESCO</t>
  </si>
  <si>
    <t>RUTH</t>
  </si>
  <si>
    <t>FRACISCO</t>
  </si>
  <si>
    <t>RODIVER</t>
  </si>
  <si>
    <t>MARIA LUISA</t>
  </si>
  <si>
    <t>ROSALBA</t>
  </si>
  <si>
    <t>MADRIGAL</t>
  </si>
  <si>
    <t>CARMEN DE JESUS</t>
  </si>
  <si>
    <t>FLOR</t>
  </si>
  <si>
    <t>LIDIA</t>
  </si>
  <si>
    <t>MIGUELINA</t>
  </si>
  <si>
    <t>ISABEL</t>
  </si>
  <si>
    <t>BOCANEGRA</t>
  </si>
  <si>
    <t>LORENZO</t>
  </si>
  <si>
    <t>ULLOA</t>
  </si>
  <si>
    <t>FERNANDO</t>
  </si>
  <si>
    <t>WASCAR</t>
  </si>
  <si>
    <t>PERALTA</t>
  </si>
  <si>
    <t>CAMACHO</t>
  </si>
  <si>
    <t>OCHOA</t>
  </si>
  <si>
    <t>LIDIA DEL CARMEN</t>
  </si>
  <si>
    <t>VELOZ</t>
  </si>
  <si>
    <t>ATILA</t>
  </si>
  <si>
    <t>ARIAS</t>
  </si>
  <si>
    <t>MONTEJO</t>
  </si>
  <si>
    <t>MARIA CRUZ</t>
  </si>
  <si>
    <t>ROMERO</t>
  </si>
  <si>
    <t>CULEBRO</t>
  </si>
  <si>
    <t>JUAN RUBEN</t>
  </si>
  <si>
    <t>MARTHA MARIA</t>
  </si>
  <si>
    <t>CUSTODIO</t>
  </si>
  <si>
    <t>VICENTE</t>
  </si>
  <si>
    <t>PATRICIO</t>
  </si>
  <si>
    <t>NELLY</t>
  </si>
  <si>
    <t>FERRAL</t>
  </si>
  <si>
    <t>OBDULIA</t>
  </si>
  <si>
    <t>VERA</t>
  </si>
  <si>
    <t>ALINA</t>
  </si>
  <si>
    <t>VERONICA</t>
  </si>
  <si>
    <t>PERERA</t>
  </si>
  <si>
    <t>VICTOR MANUEL</t>
  </si>
  <si>
    <t>HIGINO</t>
  </si>
  <si>
    <t>ZAMORA</t>
  </si>
  <si>
    <t>INURRETA</t>
  </si>
  <si>
    <t>SONIA</t>
  </si>
  <si>
    <t>VALENTINA</t>
  </si>
  <si>
    <t>OSCAR FERNANDO</t>
  </si>
  <si>
    <t>TRINIDAD</t>
  </si>
  <si>
    <t>REMIGIO</t>
  </si>
  <si>
    <t>SOBERANO</t>
  </si>
  <si>
    <t>MARTHA GABRIELA</t>
  </si>
  <si>
    <t>ANGEL YURIDIANO</t>
  </si>
  <si>
    <t>ARANGUREN</t>
  </si>
  <si>
    <t>OSORIO</t>
  </si>
  <si>
    <t>ZARATE</t>
  </si>
  <si>
    <t>CARLOS ALBERTO</t>
  </si>
  <si>
    <t>NARANJA</t>
  </si>
  <si>
    <t>YSABEL</t>
  </si>
  <si>
    <t>JOSE JULIAN</t>
  </si>
  <si>
    <t>DORA ELENA</t>
  </si>
  <si>
    <t>VANHER</t>
  </si>
  <si>
    <t>MARTIN MANUEL</t>
  </si>
  <si>
    <t>GABRIELA ITZEL</t>
  </si>
  <si>
    <t>CARRASCO</t>
  </si>
  <si>
    <t>JORGE LUIS</t>
  </si>
  <si>
    <t>FALCON</t>
  </si>
  <si>
    <t>GIL</t>
  </si>
  <si>
    <t>TOMAS</t>
  </si>
  <si>
    <t>MARIA DE LOS SANTOS</t>
  </si>
  <si>
    <t>BALAMZAR</t>
  </si>
  <si>
    <t>CARLOS ENRIQUE</t>
  </si>
  <si>
    <t>JACINTO</t>
  </si>
  <si>
    <t>PEREIRA</t>
  </si>
  <si>
    <t>GAMAS</t>
  </si>
  <si>
    <t>MARIA DOLORES</t>
  </si>
  <si>
    <t>CASTELLANOS</t>
  </si>
  <si>
    <t>ALICIA</t>
  </si>
  <si>
    <t>JAVIER</t>
  </si>
  <si>
    <t>PALOMEQUEZ</t>
  </si>
  <si>
    <t>JOSE</t>
  </si>
  <si>
    <t>HILDA MARIN</t>
  </si>
  <si>
    <t>JULIANA</t>
  </si>
  <si>
    <t>CABRALEZ</t>
  </si>
  <si>
    <t>JUAN MANUEL</t>
  </si>
  <si>
    <t>VALCONCELOS</t>
  </si>
  <si>
    <t>PORFIRIO ESTEVAN</t>
  </si>
  <si>
    <t>EUCAMACION</t>
  </si>
  <si>
    <t>GALLEGOS</t>
  </si>
  <si>
    <t>MARIA JESUS</t>
  </si>
  <si>
    <t>MARIA MAGDALENA</t>
  </si>
  <si>
    <t>OSEAH</t>
  </si>
  <si>
    <t>ABEDES</t>
  </si>
  <si>
    <t>ARCIA</t>
  </si>
  <si>
    <t>CANO</t>
  </si>
  <si>
    <t>ADOLFO</t>
  </si>
  <si>
    <t>MANUEL LARA</t>
  </si>
  <si>
    <t>DELLANIRA</t>
  </si>
  <si>
    <t>MECIAS</t>
  </si>
  <si>
    <t>JOSE ALBERTO</t>
  </si>
  <si>
    <t>SEVERO</t>
  </si>
  <si>
    <t>EDGAR</t>
  </si>
  <si>
    <t>LORENA</t>
  </si>
  <si>
    <t>MONROY</t>
  </si>
  <si>
    <t>ABELINO</t>
  </si>
  <si>
    <t>CORDERO</t>
  </si>
  <si>
    <t>MARCELO</t>
  </si>
  <si>
    <t>MENDRANO</t>
  </si>
  <si>
    <t>CRISTOBAL</t>
  </si>
  <si>
    <t>ZETINA</t>
  </si>
  <si>
    <t>TANIA DOLORES</t>
  </si>
  <si>
    <t>RODRIGURZ</t>
  </si>
  <si>
    <t>TORREZ</t>
  </si>
  <si>
    <t>MARTHA ELENA</t>
  </si>
  <si>
    <t>ORAMAS</t>
  </si>
  <si>
    <t>JAQUELIN</t>
  </si>
  <si>
    <t>PALACIO</t>
  </si>
  <si>
    <t>JOSE ALONSO</t>
  </si>
  <si>
    <t>soltero</t>
  </si>
  <si>
    <t xml:space="preserve">CALLE PUEBLA </t>
  </si>
  <si>
    <t>CALLE NAYARIT CASA 3</t>
  </si>
  <si>
    <t>CARRETERA VILLAHERMOSA JALAPA KILOMETRO 4</t>
  </si>
  <si>
    <t xml:space="preserve">CALLE PRINCIPAL </t>
  </si>
  <si>
    <t xml:space="preserve">CARRADA DON HUMBERTO DE LA CRUZ MORALES </t>
  </si>
  <si>
    <t xml:space="preserve">CALLE GREGORIO MENDEZ </t>
  </si>
  <si>
    <t xml:space="preserve">CALLE GUASIMO MANZANA 15 LOTE 5 </t>
  </si>
  <si>
    <t>CALLE BAJA CALIFORNIA NUMERO 24</t>
  </si>
  <si>
    <t xml:space="preserve">ESTANZUELA </t>
  </si>
  <si>
    <t>CERRADA CONSTITUCION MANZANA 1 LOTE 2</t>
  </si>
  <si>
    <t>A LADO DEL CENTRO DE SALUD NUMERO 201</t>
  </si>
  <si>
    <t>A 50 METROS DEL TEMPLO</t>
  </si>
  <si>
    <t>CALLE CARMITA MANZANA 56 LOTE 10</t>
  </si>
  <si>
    <t>CERRADA DE DIANA LAURA MANZANA 1 LOTE 5</t>
  </si>
  <si>
    <t>SECTOR DE LOS GALLEGOS KILOMETRO 9.5 FRACCIONAMIENTO DANIEL ESPINOZA</t>
  </si>
  <si>
    <t>PRIVADA ITZMAN CASA NUMERO 34</t>
  </si>
  <si>
    <t>CALLE PLUTARCO ELIAS CALLES 161</t>
  </si>
  <si>
    <t>CALLE MANZANILLO NUMERO 105 TAMULTE</t>
  </si>
  <si>
    <t>CALLE SANDINO NUMERO 835</t>
  </si>
  <si>
    <t>MERCADO PINO SUAREZ</t>
  </si>
  <si>
    <t>CALLE BIOLOGOS 513</t>
  </si>
  <si>
    <t>CALLE REYNALDO RUIZ ANTADO NUMERO 103</t>
  </si>
  <si>
    <t xml:space="preserve">CALLE LAS RAICES 125 FRACCIONAMIENTO EL TRIUNFO </t>
  </si>
  <si>
    <t>ENFRENTE DE GASOLINERIA MANZANA 2 LOTE 2 EDIFICIO 4</t>
  </si>
  <si>
    <t xml:space="preserve">CALLE ARQUITECTOS NUMERO 401 </t>
  </si>
  <si>
    <t>CALLE DEL CENTRO DE SALUD SIN NUMERO</t>
  </si>
  <si>
    <t xml:space="preserve">ANDADOR DEL PINO LOTE 12 MANZANA 13 </t>
  </si>
  <si>
    <t>CALLE ANDRES SANCHEZ MAGALLANES NUMERO 723</t>
  </si>
  <si>
    <t xml:space="preserve">CALLE TULIPAN SIN NUMERO </t>
  </si>
  <si>
    <t xml:space="preserve">CALLE LAGUNA LA PALMA NUMERO 247 ESQUINA MECOACAN </t>
  </si>
  <si>
    <t>VALLE LAGUNAS DEL ROSARIO SIN NUMERO</t>
  </si>
  <si>
    <t xml:space="preserve">SECTOR LA POZA LOTE 5 MANZANA 6 </t>
  </si>
  <si>
    <t>CALLE CARLOS GREEN NUMERO 714</t>
  </si>
  <si>
    <t>A LADO DE LA QUINTA SANTANA</t>
  </si>
  <si>
    <t xml:space="preserve">PRIMERA ENTRADA AL MONAL </t>
  </si>
  <si>
    <t xml:space="preserve">CALLEJON </t>
  </si>
  <si>
    <t xml:space="preserve">SECTOR LAS PALMAS </t>
  </si>
  <si>
    <t>ANDADOR FRESNO MANZANA 35 LOTE 20</t>
  </si>
  <si>
    <t xml:space="preserve">CALLE GUAYACAN MANZANA 52 LOTE 50 </t>
  </si>
  <si>
    <t>CARRETERA PRINCIPAL SIN NUMERO</t>
  </si>
  <si>
    <t>CALLE ZENZOTE MANZANA 2 LOTE 16</t>
  </si>
  <si>
    <t>CALLE EL PORVENIR SIN NUMERO</t>
  </si>
  <si>
    <t>CALLE EJIDO GUINEO ENTRE PLATANO Y CACAO</t>
  </si>
  <si>
    <t>CARRETERA VILLAHERMOSA REFORMA KILOMETRO 25.5</t>
  </si>
  <si>
    <t xml:space="preserve">CALLE 27 DE FEBRERO </t>
  </si>
  <si>
    <t xml:space="preserve">CARRETERA PRINCIPAL SIN NUMERO </t>
  </si>
  <si>
    <t xml:space="preserve">CARRETERA AZTLAN SIN NUMERO </t>
  </si>
  <si>
    <t xml:space="preserve">CALLE PUNTA BRAVA SIN NUMERO </t>
  </si>
  <si>
    <t>TERCERA CERRADA DE PUNTA BRAVA SIN NUMERO</t>
  </si>
  <si>
    <t>CARRETERA PRINCIPAL SIN NUMERO MANZANA 1 LOTE 4</t>
  </si>
  <si>
    <t>CALLE MACUILIS NUMERO 169</t>
  </si>
  <si>
    <t>CALLE ANASTACIO LOQUE 226</t>
  </si>
  <si>
    <t>CALLE NIÃ‘OS HEROES FRENTE A LA PRIMARIA JUAN ALDAMA</t>
  </si>
  <si>
    <t xml:space="preserve">CARRETERA A FRONTERA KILOMETRO 10 </t>
  </si>
  <si>
    <t>CALLE IGNACIO GUTIERREZ TERCERA CERRADA INOCENTE VAZQUEZ</t>
  </si>
  <si>
    <t>CERRADA CHAYOTE NUMERO 102</t>
  </si>
  <si>
    <t xml:space="preserve">FRENTE AL TEMPLO ESTRELLA DE BELEN </t>
  </si>
  <si>
    <t>CARRETERA VILLAHERMOSA FRONTERA KILOMETRO 16</t>
  </si>
  <si>
    <t>CARRETERA CILLAHERMOSA KILOMETRO 16</t>
  </si>
  <si>
    <t xml:space="preserve">CALLE MACUILI </t>
  </si>
  <si>
    <t xml:space="preserve">CALLE MANGLAREZ MANZANA 6 DEPARTAMENTO 11 C </t>
  </si>
  <si>
    <t>CALLE TOMAS GARRIDO CANABAL NUMERO 622</t>
  </si>
  <si>
    <t>SECTOR 31 SIN NUMERO</t>
  </si>
  <si>
    <t>CALLE IGNACIO ZARAGOZA SIN NUMERO ESQUINA SIMON SARLAT</t>
  </si>
  <si>
    <t>CARRETERA VILLAHERMOSA FRONTERA KILOMETRO 15</t>
  </si>
  <si>
    <t xml:space="preserve">EJIDO MACUCI NUMERO 105 </t>
  </si>
  <si>
    <t>CALLE BENITO JUAREZ SIN NUMERO</t>
  </si>
  <si>
    <t>CALLE 5 DE MAYO SIN NUMERO</t>
  </si>
  <si>
    <t>CALLE SIN NOMBRE</t>
  </si>
  <si>
    <t>TILA Y TORONTO</t>
  </si>
  <si>
    <t>COLONIA ISABEL ANDADOR SIN NOMBRE NUMERO 95</t>
  </si>
  <si>
    <t>CARRETRA A OXOLOTAN SIN NUMERO</t>
  </si>
  <si>
    <t>CARRETERA A OXOLOTAN SIN NUMERO</t>
  </si>
  <si>
    <t>CALLE NARCISO SANTA MARIA SIN NUMERO</t>
  </si>
  <si>
    <t>CERRADA DE GREGORIO MENDEZ SIN NUMERO</t>
  </si>
  <si>
    <t>AVENIDA PRINCIPAL 27 DE OCTUBRE NUMERO 13</t>
  </si>
  <si>
    <t>CALLE NEPTUNO NUMERO 108 EDIFICIO G DEPARTAMENTO 2</t>
  </si>
  <si>
    <t>EJIDO EL DORADO A UN COSTADO DE LA CONASUPO</t>
  </si>
  <si>
    <t>CALLE PUEBLA NUMERO 4</t>
  </si>
  <si>
    <t>CIRCUITO QUETZAL MANZANA 17 LOTE 13</t>
  </si>
  <si>
    <t>CERRADA GUANAJUATO NUMERO 5</t>
  </si>
  <si>
    <t>CALLE PRINCIPAL NUMERO 73</t>
  </si>
  <si>
    <t>CALLE BAJA CALIFORNIA NUMERO 30</t>
  </si>
  <si>
    <t>CALLE PRINCIPAL SIN NUMERO FRENTE AL TEMPLO EL BUEN PASTOR</t>
  </si>
  <si>
    <t>ENTRADA PRINCIPAL MANO DERECHA</t>
  </si>
  <si>
    <t>CALLE CARMITA MANZANA 43 LOTE 7</t>
  </si>
  <si>
    <t>CASA DE LAMINA FRENTE AL TEMPLO EL BUEN PASTOR</t>
  </si>
  <si>
    <t>CALLE PRINCIPAL SIN NUMERO A UN COSTADO DEL TEMPLO EL BUEN PASTOR</t>
  </si>
  <si>
    <t>CALLE AUSENCIO GOMEZ CRUZ SIN NUMERO</t>
  </si>
  <si>
    <t>CARRETERA VILLAHERMOSA - TEAPA</t>
  </si>
  <si>
    <t>CALLE PASEO DE LA CEIBA SUR 302 MANZANA 11 2-4</t>
  </si>
  <si>
    <t xml:space="preserve">CARRETERA PRINCIPAL </t>
  </si>
  <si>
    <t>CALLE QUINTANA ROO NUMERO 222</t>
  </si>
  <si>
    <t xml:space="preserve">CALLE VICENTE GUERRERO NUMERO 605 INTERIOR 2 </t>
  </si>
  <si>
    <t>CALLE JON PAYRO 10</t>
  </si>
  <si>
    <t>CALLE REVOLUCION NUMERO 384 INTERIOR 3</t>
  </si>
  <si>
    <t>EJIDO TORNO LARGO NUMERO 148</t>
  </si>
  <si>
    <t>ANDADOR DEL AGENTE NUMERO 137</t>
  </si>
  <si>
    <t>CALLE MEXICO SIN NUMERO</t>
  </si>
  <si>
    <t>CALLE PINO MANZANA 10 LOTE 21</t>
  </si>
  <si>
    <t>AVENIDA AQUIILES CALDERON MARCHENAS SIN NUMERO</t>
  </si>
  <si>
    <t>CALLE PEPE DEL RIVERO</t>
  </si>
  <si>
    <t>CALLE UNO NUMERO 124</t>
  </si>
  <si>
    <t>A UN COSTADO DE LA IGLESIA CATOLICA</t>
  </si>
  <si>
    <t>TEPATE SIN NUMERO</t>
  </si>
  <si>
    <t>LIMBANO BLANDIN NUMERO 102</t>
  </si>
  <si>
    <t xml:space="preserve">CERRADA MANUEL RAMOS </t>
  </si>
  <si>
    <t>DENTISTA 610 POR TORTILLERIA LA PASADITA</t>
  </si>
  <si>
    <t>ABARORTES VAZQUEZ ENTRE CALLE AFRICA Y MEXICO</t>
  </si>
  <si>
    <t>CALLE GEOLOGOS NUMERO 216</t>
  </si>
  <si>
    <t>CALLE PEPE DEL RIVERO NUMERO 908</t>
  </si>
  <si>
    <t>CALLE ASTROLOGOS 421 B</t>
  </si>
  <si>
    <t>ENTRADA A TIERRA ADENTRO SIN NUMERO</t>
  </si>
  <si>
    <t>CALLE EMILIANO ZAPATA 101</t>
  </si>
  <si>
    <t>CALLE TOMAS GARRIDO CANABAL NUMERO 18</t>
  </si>
  <si>
    <t>RIOZ USUMACINTA MANZANA 01 LOTE 4</t>
  </si>
  <si>
    <t>CALLE MUSICOS NUMERO 610</t>
  </si>
  <si>
    <t>CALLE DENTISTA NUMERO 323</t>
  </si>
  <si>
    <t>AVENIDA LAS TORRES SIN NUMERO FRENTE AL PARQUE LA EXPLANADA</t>
  </si>
  <si>
    <t>CALLE DARVELIA ESQUINA CON ZOILA MANZANA 62 LOTE 7</t>
  </si>
  <si>
    <t>CALLE DARVELIA MANZANA 62 LOTE 7</t>
  </si>
  <si>
    <t>CALLE EMILIANO ZAPATA SIN NUMERO</t>
  </si>
  <si>
    <t>CARRETERA VILLAHERMOSA - TEAPA KILOMETRO 19 VILLAHERMOSA</t>
  </si>
  <si>
    <t>PROLONGACION LEANDRO ROVIROSA MANZANA 2 LOTE 4</t>
  </si>
  <si>
    <t>CALLE PEPE DEL RIVERO NUMERO 802 FRENTE A LAVANDERIA</t>
  </si>
  <si>
    <t>CIRCUITO POMOCA MANZANA 45 LOTE 1</t>
  </si>
  <si>
    <t>CIRCUITO MONAL NUMERO 206</t>
  </si>
  <si>
    <t>ENTRADA A ESTANZUELA SIN NUMERO</t>
  </si>
  <si>
    <t>CALLE PRINCIPAL SIN NUMERO</t>
  </si>
  <si>
    <t>CALLE LUIS GIL PEREZ</t>
  </si>
  <si>
    <t>CARRETERA VILLAHERMOSA LA ISLA KILOMETRO 15.5</t>
  </si>
  <si>
    <t>ANDADOR PRINCIPAL</t>
  </si>
  <si>
    <t>CARRETERA VILLAHERMOSA A REFORMA SIN NUMERO</t>
  </si>
  <si>
    <t>CALLE JUAN TRUJILLO GURRIA LOTE 6</t>
  </si>
  <si>
    <t>CALLE SIN NOMBRE NUMERO 2</t>
  </si>
  <si>
    <t>CALLE JOLOCHERAS SIN NUMERO</t>
  </si>
  <si>
    <t>CALLE LA CONCEPCION SIN NUMERO</t>
  </si>
  <si>
    <t>SEGUNDA CERRADA DE JUAREZ</t>
  </si>
  <si>
    <t>CALLE 27 DE FEBRERO SIN NUMERO</t>
  </si>
  <si>
    <t>CALLE HUAPACAL SIN NUMERO</t>
  </si>
  <si>
    <t>CALLE YERBA BUENA</t>
  </si>
  <si>
    <t>CALLE JALAPA MANZANA 8 LOTE 36</t>
  </si>
  <si>
    <t>CALLE 27 DE FEBRERO NUMERO 68</t>
  </si>
  <si>
    <t>ENTRADA EL MANGAL SIN NUMERO</t>
  </si>
  <si>
    <t xml:space="preserve">CERRADA JUAREZ SIN NUMERO </t>
  </si>
  <si>
    <t>CALLE MELCHOR OCAMPO NUMERO 224</t>
  </si>
  <si>
    <t>CALLE 27 DE FEBERERO NUMERO 210</t>
  </si>
  <si>
    <t>CALLE 27 DE FEBRERO NUMERO 210</t>
  </si>
  <si>
    <t>CIRCUITO IGNACIO ALLENDE SIN NUMERO</t>
  </si>
  <si>
    <t>30 METROS DE TEMPLO DIOS ES AMOR</t>
  </si>
  <si>
    <t>CALLE EL FLACO</t>
  </si>
  <si>
    <t>CALLE EJIDO PUEBLO NUEVO</t>
  </si>
  <si>
    <t>RANCHERIA CHIPILINAR PRIMERA</t>
  </si>
  <si>
    <t>CALLE SUBTENIENTE GARCIA SIN NUMERO</t>
  </si>
  <si>
    <t>VILLA PLAYAS DEL ROSARIO PASANDO EL RESTAURANTE TIO TOÃ‘O</t>
  </si>
  <si>
    <t xml:space="preserve">INDECO </t>
  </si>
  <si>
    <t>PROLONGACION FRACISCO I MADERO 616 PASANDO CALLE SUBTENIENTE GARCIA</t>
  </si>
  <si>
    <t>CALLE NIÃ‘OS HEROES KILOMETRO 25</t>
  </si>
  <si>
    <t>EJIDO CHICHICAPA TERCERA CASA DE MADERA A UN COSTADO DE TALLER MECANICO</t>
  </si>
  <si>
    <t>CALLE TOMAS GARRIDO SIN NUMERO</t>
  </si>
  <si>
    <t>CALLE PEDIATRA NUMERO 116</t>
  </si>
  <si>
    <t>CALLE LIBERTAD NUMERO 502</t>
  </si>
  <si>
    <t>CALLE PACO SOLIS NUMERO 301</t>
  </si>
  <si>
    <t>EJIDO PARRILLA NUMERO 309 INTERIOR 1</t>
  </si>
  <si>
    <t>CALLE TUXTPAN NUMERO 109</t>
  </si>
  <si>
    <t xml:space="preserve">CALLE MANZANILLO NUMERO 103 INTERIOR 2 </t>
  </si>
  <si>
    <t>ALFONSO VICENS SALDIVAR NUMERO 1318</t>
  </si>
  <si>
    <t>200 METROS ANTES DE LLEGAR AL PANTEON</t>
  </si>
  <si>
    <t>CALLE USUMACINTA NUMERO 204</t>
  </si>
  <si>
    <t>CALLE RAFAEL ALBERTO MANZANA 13 LOTE 3</t>
  </si>
  <si>
    <t>CARRETERA VILLAHERMOSA TEAPA KILOMETRO 10 MANZANA 3 LOTE 8</t>
  </si>
  <si>
    <t>CALLE LAGUNA LA AUDANA MANZANA 26 LOTE 4</t>
  </si>
  <si>
    <t>CALLE LAUREN SIN NUMERO</t>
  </si>
  <si>
    <t>CALLE CUCUYULAPA NUMERO 126</t>
  </si>
  <si>
    <t>CALLE EJIDO SECCION ABANICO NUMERO 219</t>
  </si>
  <si>
    <t>ANDADOR LAGUNA 1 MANZANA 26 LOTE 12</t>
  </si>
  <si>
    <t>CALLE LAGUNA DEL ESPEJO 309 INTERIOR 1</t>
  </si>
  <si>
    <t>CALLE LAGUNA DEL ESPEJO NUMERO 428 INTERIOR 4</t>
  </si>
  <si>
    <t>CALLE GEOGRAFOS NUMERO 401</t>
  </si>
  <si>
    <t>CALLE SANCHEZ MAGALLANES NUMERO 807 -3</t>
  </si>
  <si>
    <t>CALLE PRINCIPAL CASA COLOR AZUL</t>
  </si>
  <si>
    <t>ESCRITORES NUMERO 310</t>
  </si>
  <si>
    <t>CALLE INGLATERRA NUMERO 207</t>
  </si>
  <si>
    <t>CALLE JOSE MARRA BASTAR SASSSO</t>
  </si>
  <si>
    <t>CALLE CIRCUITO MUNICIPAL MANZANA 8 LOTE 7</t>
  </si>
  <si>
    <t>CALLE FRENTE AL CENTRO DE SALUD</t>
  </si>
  <si>
    <t xml:space="preserve">CALLE EJIDO ACACHAPAN Y COLMENA MANZANA 41 LOTE 6 </t>
  </si>
  <si>
    <t>MALECON LEANDRO ROVIROSA NUMERO 102</t>
  </si>
  <si>
    <t>CARRETERA VILLAHERMOSA FRONTERA KILOMETRO 10</t>
  </si>
  <si>
    <t>CALLE AGUSTIN MELGAR MANZANA 6 LOTE 7</t>
  </si>
  <si>
    <t>SECTOR GARCIA FALCON KILOMETRO 18</t>
  </si>
  <si>
    <t>LAZARO CARDENAS SIN NUMERO</t>
  </si>
  <si>
    <t>CALLE SEBASTIAN LOPEZ M</t>
  </si>
  <si>
    <t>CALE LA CUMBRE NUMERO 7</t>
  </si>
  <si>
    <t>CARRETERA PUYACATENGO</t>
  </si>
  <si>
    <t>ANDADOR INGENIO SEGUNDA PATRIA CUARTA</t>
  </si>
  <si>
    <t>CARRETERA JALAPA SIN NUMERO</t>
  </si>
  <si>
    <t>CALLE SAMARIA V</t>
  </si>
  <si>
    <t>CALLE LUIS S</t>
  </si>
  <si>
    <t>EJIDO CEIBITA SEGUNDA SIN NUMERO</t>
  </si>
  <si>
    <t>BALANCAN GUTIERRE SANTA BARBARA</t>
  </si>
  <si>
    <t>CALLE EUSEBIO CASTILLO NUMERO 10</t>
  </si>
  <si>
    <t>CALLE 20 DE MARZO</t>
  </si>
  <si>
    <t>RANCHERIA LA CEIBA PRIMERA SECCION</t>
  </si>
  <si>
    <t>CALLE SIN NOMBRE RANCHERIA CEIBA SEGUNDA SECCION</t>
  </si>
  <si>
    <t>CALLE SAN LUIS</t>
  </si>
  <si>
    <t>CALLE SIN NOMBRE SIN NUMERO</t>
  </si>
  <si>
    <t>CARRETERA A SANTA ROSA</t>
  </si>
  <si>
    <t>CALLE DE LA ESCUELA PRIMARIA VICENTE GUERARDO A 400 METROS</t>
  </si>
  <si>
    <t>ENTRADA POR CARRETERA A CAPOHANA</t>
  </si>
  <si>
    <t>CALLE 3 DE MAYO</t>
  </si>
  <si>
    <t>ENTRADA CERCA DEL CENTRO DE SALUD</t>
  </si>
  <si>
    <t>CARRETERA ATAPIJULAPA</t>
  </si>
  <si>
    <t>CARRETERA OXOTAL</t>
  </si>
  <si>
    <t>CINDA VISTA NUMERO 158</t>
  </si>
  <si>
    <t>CALLE JOSE LOPEZ PORTILLO</t>
  </si>
  <si>
    <t>CARRTERA PRINCIPAL A JALAPA</t>
  </si>
  <si>
    <t>CALLE JOSE LOPEZ PORTILLO SIN NUMERO</t>
  </si>
  <si>
    <t>CALLE SIN NOMBRE CASA COLOR MORADO</t>
  </si>
  <si>
    <t>CALLE DOCTOR RAMON MEDINA NUMERO 218</t>
  </si>
  <si>
    <t>CARRETERA A JALAPA</t>
  </si>
  <si>
    <t>CALLE 1 MANZANA 1 LOTE 12</t>
  </si>
  <si>
    <t>CALLE DEL TEMPLO JESUS CRISTO POBLADO LA MAICA</t>
  </si>
  <si>
    <t>CALLE VECINAL TEAPA KILOMETRO 21.5</t>
  </si>
  <si>
    <t>lunes</t>
  </si>
  <si>
    <t>2022-03-08</t>
  </si>
  <si>
    <t>2022-02-18</t>
  </si>
  <si>
    <t>2022-02-25</t>
  </si>
  <si>
    <t>2022-04-03</t>
  </si>
  <si>
    <t>2022-04-10</t>
  </si>
  <si>
    <t>2022-12-09</t>
  </si>
  <si>
    <t>2022-02-20</t>
  </si>
  <si>
    <t>2022-04-09</t>
  </si>
  <si>
    <t>2021-11-10</t>
  </si>
  <si>
    <t>2021-11-17</t>
  </si>
  <si>
    <t>2022-05-10</t>
  </si>
  <si>
    <t>2022-02-26</t>
  </si>
  <si>
    <t>2022-01-28</t>
  </si>
  <si>
    <t>2022-05-09</t>
  </si>
  <si>
    <t>2022-12-03</t>
  </si>
  <si>
    <t>2022-12-10</t>
  </si>
  <si>
    <t>2022-01-06</t>
  </si>
  <si>
    <t>2022-11-03</t>
  </si>
  <si>
    <t>2022-11-10</t>
  </si>
  <si>
    <t>2022-08-10</t>
  </si>
  <si>
    <t>2021-08-10</t>
  </si>
  <si>
    <t>2022-07-10</t>
  </si>
  <si>
    <t>2022-03-10</t>
  </si>
  <si>
    <t>2021-04-08</t>
  </si>
  <si>
    <t>2022-02-10</t>
  </si>
  <si>
    <t>2022-02-15</t>
  </si>
  <si>
    <t>2022-01-10</t>
  </si>
  <si>
    <t>2022-03-15</t>
  </si>
  <si>
    <t>2022-03-22</t>
  </si>
  <si>
    <t>2022-03-14</t>
  </si>
  <si>
    <t>2022-03-21</t>
  </si>
  <si>
    <t>2022-08-09</t>
  </si>
  <si>
    <t>2022-01-25</t>
  </si>
  <si>
    <t>2022-03-13</t>
  </si>
  <si>
    <t>2022-03-20</t>
  </si>
  <si>
    <t>2022-11-16</t>
  </si>
  <si>
    <t>2022-11-23</t>
  </si>
  <si>
    <t>2022-07-09</t>
  </si>
  <si>
    <t>2022-01-27</t>
  </si>
  <si>
    <t>2022-03-17</t>
  </si>
  <si>
    <t>2022-03-24</t>
  </si>
  <si>
    <t>2022-10-03</t>
  </si>
  <si>
    <t>2022-10-10</t>
  </si>
  <si>
    <t>2022-09-03</t>
  </si>
  <si>
    <t>2022-09-10</t>
  </si>
  <si>
    <t>2022-02-23</t>
  </si>
  <si>
    <t>2022-03-07</t>
  </si>
  <si>
    <t>2022-03-05</t>
  </si>
  <si>
    <t>2022-01-23</t>
  </si>
  <si>
    <t>2022-01-22</t>
  </si>
  <si>
    <t>2022-04-01</t>
  </si>
  <si>
    <t>2022-04-08</t>
  </si>
  <si>
    <t>2021-11-15</t>
  </si>
  <si>
    <t>2021-11-22</t>
  </si>
  <si>
    <t>2022-03-06</t>
  </si>
  <si>
    <t>2022-11-09</t>
  </si>
  <si>
    <t>2021-12-27</t>
  </si>
  <si>
    <t>2021-07-12</t>
  </si>
  <si>
    <t>2022-03-18</t>
  </si>
  <si>
    <t>2022-03-25</t>
  </si>
  <si>
    <t>2022-02-21</t>
  </si>
  <si>
    <t>2022-01-24</t>
  </si>
  <si>
    <t>2022-01-02</t>
  </si>
  <si>
    <t>2022-01-09</t>
  </si>
  <si>
    <t>2022-01-31</t>
  </si>
  <si>
    <t>2022-02-07</t>
  </si>
  <si>
    <t>2022-03-16</t>
  </si>
  <si>
    <t>2022-03-23</t>
  </si>
  <si>
    <t>QYD9TF5Y9KVTQO</t>
  </si>
  <si>
    <t>QYD9TF7C9KVTQO</t>
  </si>
  <si>
    <t>S35D6LBI9KVTQO</t>
  </si>
  <si>
    <t>QYDRHV029KVTQO</t>
  </si>
  <si>
    <t>QYD9TF9K9KVTQO</t>
  </si>
  <si>
    <t>QYD9TFOK9KVTQO</t>
  </si>
  <si>
    <t>QYD9TFMW9KVTQO</t>
  </si>
  <si>
    <t>QYD9TF2W9KVTQO</t>
  </si>
  <si>
    <t>S37UOOWW9KVTQO</t>
  </si>
  <si>
    <t>QYDRHV6G9KVTQO</t>
  </si>
  <si>
    <t>S35D6D3Y9KVTQO</t>
  </si>
  <si>
    <t>FINAL</t>
  </si>
  <si>
    <t xml:space="preserve">CAMINO REAL A SAN JOSE NUMERO 511 </t>
  </si>
  <si>
    <t>FRENTE A LA CASA 516 PASANDO EL PARQUE DE SOLIDARIDAD</t>
  </si>
  <si>
    <t>CAMINO REAL A SAN JOSE NUMERO 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</si>
</sst>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AV1" zoomScaleNormal="100" workbookViewId="0">
      <pane ySplit="1" topLeftCell="A191" activePane="bottomLeft" state="frozen"/>
      <selection activeCell="BP1" sqref="BP1"/>
      <selection pane="bottomLeft" activeCell="BA195" sqref="BA195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7" width="14.7109375" bestFit="1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92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389</v>
      </c>
      <c r="C10">
        <v>3</v>
      </c>
      <c r="D10" t="s">
        <v>634</v>
      </c>
      <c r="E10" t="s">
        <v>643</v>
      </c>
      <c r="F10" t="s">
        <v>644</v>
      </c>
      <c r="G10" t="s">
        <v>644</v>
      </c>
      <c r="H10" t="s">
        <v>802</v>
      </c>
      <c r="I10">
        <v>14800</v>
      </c>
      <c r="J10" t="s">
        <v>3</v>
      </c>
      <c r="K10" t="s">
        <v>3</v>
      </c>
      <c r="L10">
        <v>100</v>
      </c>
      <c r="M10" s="5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966</v>
      </c>
      <c r="AC10" s="5" t="s">
        <v>967</v>
      </c>
      <c r="AD10" s="17" t="s">
        <v>968</v>
      </c>
      <c r="AE10" t="s">
        <v>1356</v>
      </c>
      <c r="AF10">
        <v>0</v>
      </c>
      <c r="AG10">
        <v>0</v>
      </c>
      <c r="AH10" t="s">
        <v>1357</v>
      </c>
      <c r="AI10" t="s">
        <v>650</v>
      </c>
      <c r="AJ10">
        <v>0</v>
      </c>
      <c r="AK10">
        <v>9932527134</v>
      </c>
      <c r="AL10">
        <v>0</v>
      </c>
      <c r="AM10">
        <v>0</v>
      </c>
      <c r="AN10">
        <v>0</v>
      </c>
      <c r="AO10" t="s">
        <v>1357</v>
      </c>
      <c r="AP10" t="s">
        <v>3</v>
      </c>
      <c r="AQ10" t="s">
        <v>1581</v>
      </c>
      <c r="AR10">
        <v>0</v>
      </c>
      <c r="AS10">
        <v>0</v>
      </c>
      <c r="AT10">
        <v>0</v>
      </c>
      <c r="AU10">
        <v>0</v>
      </c>
      <c r="AV10">
        <v>0</v>
      </c>
      <c r="AW10" t="s">
        <v>11</v>
      </c>
      <c r="AX10">
        <f>Tabla1[[#This Row],[precio del paquete]]-Tabla1[[#This Row],[Saldo_Deudor]]</f>
        <v>200</v>
      </c>
      <c r="AY10">
        <v>14600</v>
      </c>
      <c r="AZ10" t="s">
        <v>3</v>
      </c>
      <c r="BA10" t="s">
        <v>3</v>
      </c>
      <c r="BB10" t="s">
        <v>3</v>
      </c>
      <c r="BC10" t="s">
        <v>931</v>
      </c>
      <c r="BD10" t="s">
        <v>1582</v>
      </c>
      <c r="BE10">
        <v>0</v>
      </c>
      <c r="BF10">
        <v>0</v>
      </c>
      <c r="BG10">
        <v>0</v>
      </c>
      <c r="BH10">
        <v>0</v>
      </c>
      <c r="BI10">
        <v>0</v>
      </c>
      <c r="BJ10" s="5" t="s">
        <v>1650</v>
      </c>
      <c r="BK10">
        <v>0</v>
      </c>
      <c r="BL10" t="s">
        <v>132</v>
      </c>
      <c r="BM10">
        <v>0</v>
      </c>
      <c r="BN10">
        <f>Tabla1[[#This Row],[precio del paquete]]</f>
        <v>14800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1661</v>
      </c>
      <c r="CD10" t="str" cm="1">
        <f t="array" aca="1" ref="CD10" ca="1">eConcatenar(A10:CB10,"|")</f>
        <v>jYtAkro69jrKpMl3|VSA2022-0259|3|MEMORIAL|TABASCO|VILLAHERMOSA|VILLAHERMOSA|2022-07-03|14800|x|x|100|1|0|0|0|0|0|0|0|0|0|0|0|0|0|0|SANCHEZ|CABRALES|JOSEFINA|soltero|0|0|CALLE PUEBLA |FRACCIONAMIENTO 27 DE OCTUBRE |0|9932527134|0|0|0|CALLE PUEBLA |x|lunes|0|0|0|0|0|DOMICILIO |200|14600|x|x|x|2022-03-01|2022-03-08|0|0|0|0|0|QYD9TF5Y9KVTQO|0|HOMBRE|0|14800|0|0|0|0|0|0|0|0|CARDENAS|X|X|X|X|FINAL</v>
      </c>
    </row>
    <row r="11" spans="1:82" x14ac:dyDescent="0.25">
      <c r="A11" t="s">
        <v>145</v>
      </c>
      <c r="B11" t="s">
        <v>390</v>
      </c>
      <c r="C11">
        <v>3</v>
      </c>
      <c r="D11" t="s">
        <v>634</v>
      </c>
      <c r="E11" t="s">
        <v>643</v>
      </c>
      <c r="F11" t="s">
        <v>644</v>
      </c>
      <c r="G11" t="s">
        <v>644</v>
      </c>
      <c r="H11" t="s">
        <v>803</v>
      </c>
      <c r="I11">
        <v>14800</v>
      </c>
      <c r="J11" t="s">
        <v>3</v>
      </c>
      <c r="K11" t="s">
        <v>3</v>
      </c>
      <c r="L11">
        <v>100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969</v>
      </c>
      <c r="AC11" t="s">
        <v>966</v>
      </c>
      <c r="AD11" s="18" t="s">
        <v>970</v>
      </c>
      <c r="AE11" t="s">
        <v>1356</v>
      </c>
      <c r="AF11">
        <v>0</v>
      </c>
      <c r="AG11">
        <v>0</v>
      </c>
      <c r="AH11" t="s">
        <v>1358</v>
      </c>
      <c r="AI11" t="s">
        <v>650</v>
      </c>
      <c r="AJ11">
        <v>0</v>
      </c>
      <c r="AK11">
        <v>9934088978</v>
      </c>
      <c r="AL11">
        <v>0</v>
      </c>
      <c r="AM11">
        <v>0</v>
      </c>
      <c r="AN11">
        <v>0</v>
      </c>
      <c r="AO11" t="s">
        <v>1358</v>
      </c>
      <c r="AP11" t="s">
        <v>3</v>
      </c>
      <c r="AQ11" t="s">
        <v>1581</v>
      </c>
      <c r="AR11">
        <v>0</v>
      </c>
      <c r="AS11">
        <v>0</v>
      </c>
      <c r="AT11">
        <v>0</v>
      </c>
      <c r="AU11">
        <v>0</v>
      </c>
      <c r="AV11">
        <v>0</v>
      </c>
      <c r="AW11" t="s">
        <v>11</v>
      </c>
      <c r="AX11">
        <f>Tabla1[[#This Row],[precio del paquete]]-Tabla1[[#This Row],[Saldo_Deudor]]</f>
        <v>200</v>
      </c>
      <c r="AY11">
        <v>14600</v>
      </c>
      <c r="AZ11" t="s">
        <v>3</v>
      </c>
      <c r="BA11" t="s">
        <v>3</v>
      </c>
      <c r="BB11" t="s">
        <v>3</v>
      </c>
      <c r="BC11" t="s">
        <v>931</v>
      </c>
      <c r="BD11" t="s">
        <v>1582</v>
      </c>
      <c r="BE11">
        <v>0</v>
      </c>
      <c r="BF11">
        <v>0</v>
      </c>
      <c r="BG11">
        <v>0</v>
      </c>
      <c r="BH11">
        <v>0</v>
      </c>
      <c r="BI11">
        <v>0</v>
      </c>
      <c r="BJ11" t="s">
        <v>1650</v>
      </c>
      <c r="BK11">
        <v>0</v>
      </c>
      <c r="BL11" t="s">
        <v>132</v>
      </c>
      <c r="BM11">
        <v>0</v>
      </c>
      <c r="BN11">
        <f>Tabla1[[#This Row],[precio del paquete]]</f>
        <v>14800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1661</v>
      </c>
      <c r="CD11" t="str" cm="1">
        <f t="array" aca="1" ref="CD11" ca="1">eConcatenar(A11:CB11,"|")</f>
        <v>Jj9RgP2DEBFoZ7SD|VSA2022-0260|3|MEMORIAL|TABASCO|VILLAHERMOSA|VILLAHERMOSA|2022-02-03|14800|x|x|100|2|0|0|0|0|0|0|0|0|0|0|0|0|0|0|CASTELAN|SANCHEZ|ELIZABETH DEL CARMEN|soltero|0|0|CALLE NAYARIT CASA 3|FRACCIONAMIENTO 27 DE OCTUBRE |0|9934088978|0|0|0|CALLE NAYARIT CASA 3|x|lunes|0|0|0|0|0|DOMICILIO |200|14600|x|x|x|2022-03-01|2022-03-08|0|0|0|0|0|QYD9TF5Y9KVTQO|0|HOMBRE|0|14800|0|0|0|0|0|0|0|0|CARDENAS|X|X|X|X|FINAL</v>
      </c>
    </row>
    <row r="12" spans="1:82" x14ac:dyDescent="0.25">
      <c r="A12" t="s">
        <v>146</v>
      </c>
      <c r="B12" t="s">
        <v>391</v>
      </c>
      <c r="C12">
        <v>3</v>
      </c>
      <c r="D12" t="s">
        <v>14</v>
      </c>
      <c r="E12" t="s">
        <v>643</v>
      </c>
      <c r="F12" t="s">
        <v>644</v>
      </c>
      <c r="G12" t="s">
        <v>644</v>
      </c>
      <c r="H12" t="s">
        <v>804</v>
      </c>
      <c r="I12">
        <v>12900</v>
      </c>
      <c r="J12" t="s">
        <v>3</v>
      </c>
      <c r="K12" t="s">
        <v>3</v>
      </c>
      <c r="L12">
        <v>100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971</v>
      </c>
      <c r="AC12" t="s">
        <v>972</v>
      </c>
      <c r="AD12" s="18" t="s">
        <v>973</v>
      </c>
      <c r="AE12" t="s">
        <v>1356</v>
      </c>
      <c r="AF12">
        <v>0</v>
      </c>
      <c r="AG12">
        <v>0</v>
      </c>
      <c r="AH12" t="s">
        <v>1359</v>
      </c>
      <c r="AI12" t="s">
        <v>651</v>
      </c>
      <c r="AJ12">
        <v>0</v>
      </c>
      <c r="AK12">
        <v>993129286</v>
      </c>
      <c r="AL12">
        <v>0</v>
      </c>
      <c r="AM12">
        <v>0</v>
      </c>
      <c r="AN12">
        <v>0</v>
      </c>
      <c r="AO12" t="s">
        <v>1359</v>
      </c>
      <c r="AP12" t="s">
        <v>3</v>
      </c>
      <c r="AQ12" t="s">
        <v>1581</v>
      </c>
      <c r="AR12">
        <v>0</v>
      </c>
      <c r="AS12">
        <v>0</v>
      </c>
      <c r="AT12">
        <v>0</v>
      </c>
      <c r="AU12">
        <v>0</v>
      </c>
      <c r="AV12">
        <v>0</v>
      </c>
      <c r="AW12" t="s">
        <v>11</v>
      </c>
      <c r="AX12">
        <f>Tabla1[[#This Row],[precio del paquete]]-Tabla1[[#This Row],[Saldo_Deudor]]</f>
        <v>5700</v>
      </c>
      <c r="AY12">
        <v>7200</v>
      </c>
      <c r="AZ12" t="s">
        <v>3</v>
      </c>
      <c r="BA12" t="s">
        <v>3</v>
      </c>
      <c r="BB12" t="s">
        <v>3</v>
      </c>
      <c r="BC12" t="s">
        <v>1583</v>
      </c>
      <c r="BD12" t="s">
        <v>1584</v>
      </c>
      <c r="BE12">
        <v>0</v>
      </c>
      <c r="BF12">
        <v>0</v>
      </c>
      <c r="BG12">
        <v>0</v>
      </c>
      <c r="BH12">
        <v>0</v>
      </c>
      <c r="BI12">
        <v>0</v>
      </c>
      <c r="BJ12" t="s">
        <v>1650</v>
      </c>
      <c r="BK12">
        <v>0</v>
      </c>
      <c r="BL12" t="s">
        <v>132</v>
      </c>
      <c r="BM12">
        <v>0</v>
      </c>
      <c r="BN12">
        <f>Tabla1[[#This Row],[precio del paquete]]</f>
        <v>12900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1661</v>
      </c>
      <c r="CD12" t="str" cm="1">
        <f t="array" aca="1" ref="CD12" ca="1">eConcatenar(A12:CB12,"|")</f>
        <v>GGVR0flI0ZDF1dKD|VSA2020-0329|3|ECONOLINE |TABASCO|VILLAHERMOSA|VILLAHERMOSA|2020-08-08|12900|x|x|100|1|0|0|0|0|0|0|0|0|0|0|0|0|0|0|HERNANDEZ||CECILIA HERNANDEZ|soltero|0|0|CARRETERA VILLAHERMOSA JALAPA KILOMETRO 4|COLONIA LA AGRARIA |0|993129286|0|0|0|CARRETERA VILLAHERMOSA JALAPA KILOMETRO 4|x|lunes|0|0|0|0|0|DOMICILIO |5700|7200|x|x|x|2022-02-18|2022-02-25|0|0|0|0|0|QYD9TF5Y9KVTQO|0|HOMBRE|0|12900|0|0|0|0|0|0|0|0|CARDENAS|X|X|X|X|FINAL</v>
      </c>
    </row>
    <row r="13" spans="1:82" x14ac:dyDescent="0.25">
      <c r="A13" t="s">
        <v>147</v>
      </c>
      <c r="B13" t="s">
        <v>392</v>
      </c>
      <c r="C13">
        <v>3</v>
      </c>
      <c r="D13" t="s">
        <v>14</v>
      </c>
      <c r="E13" t="s">
        <v>643</v>
      </c>
      <c r="F13" t="s">
        <v>644</v>
      </c>
      <c r="G13" t="s">
        <v>644</v>
      </c>
      <c r="H13" t="s">
        <v>805</v>
      </c>
      <c r="I13">
        <v>12900</v>
      </c>
      <c r="J13" t="s">
        <v>3</v>
      </c>
      <c r="K13" t="s">
        <v>3</v>
      </c>
      <c r="L13">
        <v>100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971</v>
      </c>
      <c r="AC13" t="s">
        <v>972</v>
      </c>
      <c r="AD13" s="18" t="s">
        <v>974</v>
      </c>
      <c r="AE13" t="s">
        <v>1356</v>
      </c>
      <c r="AF13">
        <v>0</v>
      </c>
      <c r="AG13">
        <v>0</v>
      </c>
      <c r="AH13" t="s">
        <v>1360</v>
      </c>
      <c r="AI13" t="s">
        <v>652</v>
      </c>
      <c r="AJ13">
        <v>0</v>
      </c>
      <c r="AK13">
        <v>9321023114</v>
      </c>
      <c r="AL13">
        <v>0</v>
      </c>
      <c r="AM13">
        <v>0</v>
      </c>
      <c r="AN13">
        <v>0</v>
      </c>
      <c r="AO13" t="s">
        <v>1360</v>
      </c>
      <c r="AP13" t="s">
        <v>3</v>
      </c>
      <c r="AQ13" t="s">
        <v>1581</v>
      </c>
      <c r="AR13">
        <v>0</v>
      </c>
      <c r="AS13">
        <v>0</v>
      </c>
      <c r="AT13">
        <v>0</v>
      </c>
      <c r="AU13">
        <v>0</v>
      </c>
      <c r="AV13">
        <v>0</v>
      </c>
      <c r="AW13" t="s">
        <v>11</v>
      </c>
      <c r="AX13">
        <f>Tabla1[[#This Row],[precio del paquete]]-Tabla1[[#This Row],[Saldo_Deudor]]</f>
        <v>6400</v>
      </c>
      <c r="AY13">
        <v>6500</v>
      </c>
      <c r="AZ13" t="s">
        <v>3</v>
      </c>
      <c r="BA13" t="s">
        <v>3</v>
      </c>
      <c r="BB13" t="s">
        <v>3</v>
      </c>
      <c r="BC13" t="s">
        <v>1585</v>
      </c>
      <c r="BD13" t="s">
        <v>1586</v>
      </c>
      <c r="BE13">
        <v>0</v>
      </c>
      <c r="BF13">
        <v>0</v>
      </c>
      <c r="BG13">
        <v>0</v>
      </c>
      <c r="BH13">
        <v>0</v>
      </c>
      <c r="BI13">
        <v>0</v>
      </c>
      <c r="BJ13" t="s">
        <v>1650</v>
      </c>
      <c r="BK13">
        <v>0</v>
      </c>
      <c r="BL13" t="s">
        <v>132</v>
      </c>
      <c r="BM13">
        <v>0</v>
      </c>
      <c r="BN13">
        <f>Tabla1[[#This Row],[precio del paquete]]</f>
        <v>12900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1661</v>
      </c>
      <c r="CD13" t="str" cm="1">
        <f t="array" aca="1" ref="CD13" ca="1">eConcatenar(A13:CB13,"|")</f>
        <v>iv025cqmS5hoprfR|VSA2020-0225|3|ECONOLINE |TABASCO|VILLAHERMOSA|VILLAHERMOSA|2020-07-24|12900|x|x|100|0|0|0|0|0|0|0|0|0|0|0|0|0|0|0|HERNANDEZ||ARISTELA LOPEZ|soltero|0|0|CALLE PRINCIPAL |EJIDO EMILIANO ZAPATA|0|9321023114|0|0|0|CALLE PRINCIPAL |x|lunes|0|0|0|0|0|DOMICILIO |6400|6500|x|x|x|2022-04-03|2022-04-10|0|0|0|0|0|QYD9TF5Y9KVTQO|0|HOMBRE|0|12900|0|0|0|0|0|0|0|0|CARDENAS|X|X|X|X|FINAL</v>
      </c>
    </row>
    <row r="14" spans="1:82" x14ac:dyDescent="0.25">
      <c r="A14" t="s">
        <v>148</v>
      </c>
      <c r="B14" t="s">
        <v>393</v>
      </c>
      <c r="C14">
        <v>3</v>
      </c>
      <c r="D14" t="s">
        <v>634</v>
      </c>
      <c r="E14" t="s">
        <v>643</v>
      </c>
      <c r="F14" t="s">
        <v>644</v>
      </c>
      <c r="G14" t="s">
        <v>644</v>
      </c>
      <c r="H14" t="s">
        <v>806</v>
      </c>
      <c r="I14">
        <v>14800</v>
      </c>
      <c r="J14" t="s">
        <v>3</v>
      </c>
      <c r="K14" t="s">
        <v>3</v>
      </c>
      <c r="L14">
        <v>100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975</v>
      </c>
      <c r="AC14" t="s">
        <v>976</v>
      </c>
      <c r="AD14" s="18" t="s">
        <v>977</v>
      </c>
      <c r="AE14" t="s">
        <v>1356</v>
      </c>
      <c r="AF14">
        <v>0</v>
      </c>
      <c r="AG14">
        <v>0</v>
      </c>
      <c r="AH14" t="s">
        <v>1361</v>
      </c>
      <c r="AI14" t="s">
        <v>653</v>
      </c>
      <c r="AJ14">
        <v>0</v>
      </c>
      <c r="AK14">
        <v>9935182883</v>
      </c>
      <c r="AL14">
        <v>0</v>
      </c>
      <c r="AM14">
        <v>0</v>
      </c>
      <c r="AN14">
        <v>0</v>
      </c>
      <c r="AO14" t="s">
        <v>1361</v>
      </c>
      <c r="AP14" t="s">
        <v>3</v>
      </c>
      <c r="AQ14" t="s">
        <v>1581</v>
      </c>
      <c r="AR14">
        <v>0</v>
      </c>
      <c r="AS14">
        <v>0</v>
      </c>
      <c r="AT14">
        <v>0</v>
      </c>
      <c r="AU14">
        <v>0</v>
      </c>
      <c r="AV14">
        <v>0</v>
      </c>
      <c r="AW14" t="s">
        <v>11</v>
      </c>
      <c r="AX14">
        <f>Tabla1[[#This Row],[precio del paquete]]-Tabla1[[#This Row],[Saldo_Deudor]]</f>
        <v>1480</v>
      </c>
      <c r="AY14">
        <v>13320</v>
      </c>
      <c r="AZ14" t="s">
        <v>3</v>
      </c>
      <c r="BA14" t="s">
        <v>3</v>
      </c>
      <c r="BB14" t="s">
        <v>3</v>
      </c>
      <c r="BC14" t="s">
        <v>806</v>
      </c>
      <c r="BD14" t="s">
        <v>1587</v>
      </c>
      <c r="BE14">
        <v>0</v>
      </c>
      <c r="BF14">
        <v>0</v>
      </c>
      <c r="BG14">
        <v>0</v>
      </c>
      <c r="BH14">
        <v>0</v>
      </c>
      <c r="BI14">
        <v>0</v>
      </c>
      <c r="BJ14" t="s">
        <v>1650</v>
      </c>
      <c r="BK14">
        <v>0</v>
      </c>
      <c r="BL14" t="s">
        <v>132</v>
      </c>
      <c r="BM14">
        <v>0</v>
      </c>
      <c r="BN14">
        <f>Tabla1[[#This Row],[precio del paquete]]</f>
        <v>14800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1661</v>
      </c>
      <c r="CD14" t="str" cm="1">
        <f t="array" aca="1" ref="CD14" ca="1">eConcatenar(A14:CB14,"|")</f>
        <v>mWKDyJ6e4NSXNIYz|VSA2022-0172|3|MEMORIAL|TABASCO|VILLAHERMOSA|VILLAHERMOSA|2022-12-02|14800|x|x|100|1|0|0|0|0|0|0|0|0|0|0|0|0|0|0|MORENO|MARTINEZ|ABEL|soltero|0|0|CARRADA DON HUMBERTO DE LA CRUZ MORALES |RANCHERIA LA LIMA|0|9935182883|0|0|0|CARRADA DON HUMBERTO DE LA CRUZ MORALES |x|lunes|0|0|0|0|0|DOMICILIO |1480|13320|x|x|x|2022-12-02|2022-12-09|0|0|0|0|0|QYD9TF5Y9KVTQO|0|HOMBRE|0|14800|0|0|0|0|0|0|0|0|CARDENAS|X|X|X|X|FINAL</v>
      </c>
    </row>
    <row r="15" spans="1:82" x14ac:dyDescent="0.25">
      <c r="A15" t="s">
        <v>149</v>
      </c>
      <c r="B15" t="s">
        <v>394</v>
      </c>
      <c r="C15">
        <v>3</v>
      </c>
      <c r="D15" t="s">
        <v>635</v>
      </c>
      <c r="E15" t="s">
        <v>643</v>
      </c>
      <c r="F15" t="s">
        <v>645</v>
      </c>
      <c r="G15" t="s">
        <v>645</v>
      </c>
      <c r="H15" t="s">
        <v>807</v>
      </c>
      <c r="I15">
        <v>12900</v>
      </c>
      <c r="J15" t="s">
        <v>3</v>
      </c>
      <c r="K15" t="s">
        <v>3</v>
      </c>
      <c r="L15">
        <v>100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0</v>
      </c>
      <c r="AC15" t="s">
        <v>7</v>
      </c>
      <c r="AD15" s="18" t="s">
        <v>978</v>
      </c>
      <c r="AE15" t="s">
        <v>1356</v>
      </c>
      <c r="AF15">
        <v>0</v>
      </c>
      <c r="AG15">
        <v>0</v>
      </c>
      <c r="AH15" t="s">
        <v>1362</v>
      </c>
      <c r="AI15" t="s">
        <v>654</v>
      </c>
      <c r="AJ15">
        <v>0</v>
      </c>
      <c r="AK15">
        <v>9321024549</v>
      </c>
      <c r="AL15">
        <v>0</v>
      </c>
      <c r="AM15">
        <v>0</v>
      </c>
      <c r="AN15">
        <v>0</v>
      </c>
      <c r="AO15" t="s">
        <v>1362</v>
      </c>
      <c r="AP15" t="s">
        <v>3</v>
      </c>
      <c r="AQ15" t="s">
        <v>1581</v>
      </c>
      <c r="AR15">
        <v>0</v>
      </c>
      <c r="AS15">
        <v>0</v>
      </c>
      <c r="AT15">
        <v>0</v>
      </c>
      <c r="AU15">
        <v>0</v>
      </c>
      <c r="AV15">
        <v>0</v>
      </c>
      <c r="AW15" t="s">
        <v>11</v>
      </c>
      <c r="AX15">
        <f>Tabla1[[#This Row],[precio del paquete]]-Tabla1[[#This Row],[Saldo_Deudor]]</f>
        <v>5900</v>
      </c>
      <c r="AY15">
        <v>7000</v>
      </c>
      <c r="AZ15" t="s">
        <v>3</v>
      </c>
      <c r="BA15" t="s">
        <v>3</v>
      </c>
      <c r="BB15" t="s">
        <v>3</v>
      </c>
      <c r="BC15" t="s">
        <v>1588</v>
      </c>
      <c r="BD15" t="s">
        <v>901</v>
      </c>
      <c r="BE15">
        <v>0</v>
      </c>
      <c r="BF15">
        <v>0</v>
      </c>
      <c r="BG15">
        <v>0</v>
      </c>
      <c r="BH15">
        <v>0</v>
      </c>
      <c r="BI15">
        <v>0</v>
      </c>
      <c r="BJ15" t="s">
        <v>1650</v>
      </c>
      <c r="BK15">
        <v>0</v>
      </c>
      <c r="BL15" t="s">
        <v>132</v>
      </c>
      <c r="BM15">
        <v>0</v>
      </c>
      <c r="BN15">
        <f>Tabla1[[#This Row],[precio del paquete]]</f>
        <v>12900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1661</v>
      </c>
      <c r="CD15" t="str" cm="1">
        <f t="array" aca="1" ref="CD15" ca="1">eConcatenar(A15:CB15,"|")</f>
        <v>8L9v0gxr1JQOhM0s|VSA2020-0273|3|IMPERIAL DE LUJO|TABASCO|JALAPA|JALAPA|2020-07-31|12900|x|x|100|1|0|0|0|0|0|0|0|0|0|0|0|0|0|0|CARDENAS|LOPEZ|MARIA DEL CARMEN|soltero|0|0|CALLE GREGORIO MENDEZ |RANCHERIA JAHUACAPA|0|9321024549|0|0|0|CALLE GREGORIO MENDEZ |x|lunes|0|0|0|0|0|DOMICILIO |5900|7000|x|x|x|2022-02-20|2022-02-27|0|0|0|0|0|QYD9TF5Y9KVTQO|0|HOMBRE|0|12900|0|0|0|0|0|0|0|0|CARDENAS|X|X|X|X|FINAL</v>
      </c>
    </row>
    <row r="16" spans="1:82" x14ac:dyDescent="0.25">
      <c r="A16" t="s">
        <v>150</v>
      </c>
      <c r="B16" t="s">
        <v>395</v>
      </c>
      <c r="C16">
        <v>3</v>
      </c>
      <c r="D16" t="s">
        <v>636</v>
      </c>
      <c r="E16" t="s">
        <v>643</v>
      </c>
      <c r="F16" t="s">
        <v>644</v>
      </c>
      <c r="G16" t="s">
        <v>644</v>
      </c>
      <c r="H16" t="s">
        <v>808</v>
      </c>
      <c r="I16">
        <v>24500</v>
      </c>
      <c r="J16" t="s">
        <v>3</v>
      </c>
      <c r="K16" t="s">
        <v>3</v>
      </c>
      <c r="L16">
        <v>100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979</v>
      </c>
      <c r="AC16" t="s">
        <v>972</v>
      </c>
      <c r="AD16" s="18" t="s">
        <v>980</v>
      </c>
      <c r="AE16" t="s">
        <v>1356</v>
      </c>
      <c r="AF16">
        <v>0</v>
      </c>
      <c r="AG16">
        <v>0</v>
      </c>
      <c r="AH16" t="s">
        <v>1363</v>
      </c>
      <c r="AI16" t="s">
        <v>655</v>
      </c>
      <c r="AJ16">
        <v>0</v>
      </c>
      <c r="AK16">
        <v>9932358824</v>
      </c>
      <c r="AL16">
        <v>0</v>
      </c>
      <c r="AM16">
        <v>0</v>
      </c>
      <c r="AN16">
        <v>0</v>
      </c>
      <c r="AO16" t="s">
        <v>1363</v>
      </c>
      <c r="AP16" t="s">
        <v>3</v>
      </c>
      <c r="AQ16" t="s">
        <v>1581</v>
      </c>
      <c r="AR16">
        <v>0</v>
      </c>
      <c r="AS16">
        <v>0</v>
      </c>
      <c r="AT16">
        <v>0</v>
      </c>
      <c r="AU16">
        <v>0</v>
      </c>
      <c r="AV16">
        <v>0</v>
      </c>
      <c r="AW16" t="s">
        <v>11</v>
      </c>
      <c r="AX16">
        <f>Tabla1[[#This Row],[precio del paquete]]-Tabla1[[#This Row],[Saldo_Deudor]]</f>
        <v>700</v>
      </c>
      <c r="AY16">
        <v>23800</v>
      </c>
      <c r="AZ16" t="s">
        <v>3</v>
      </c>
      <c r="BA16" t="s">
        <v>3</v>
      </c>
      <c r="BB16" t="s">
        <v>3</v>
      </c>
      <c r="BC16" t="s">
        <v>931</v>
      </c>
      <c r="BD16" t="s">
        <v>1582</v>
      </c>
      <c r="BE16">
        <v>0</v>
      </c>
      <c r="BF16">
        <v>0</v>
      </c>
      <c r="BG16">
        <v>0</v>
      </c>
      <c r="BH16">
        <v>0</v>
      </c>
      <c r="BI16">
        <v>0</v>
      </c>
      <c r="BJ16" t="s">
        <v>1650</v>
      </c>
      <c r="BK16">
        <v>0</v>
      </c>
      <c r="BL16" t="s">
        <v>132</v>
      </c>
      <c r="BM16">
        <v>0</v>
      </c>
      <c r="BN16">
        <f>Tabla1[[#This Row],[precio del paquete]]</f>
        <v>24500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1661</v>
      </c>
      <c r="CD16" t="str" cm="1">
        <f t="array" aca="1" ref="CD16" ca="1">eConcatenar(A16:CB16,"|")</f>
        <v>6nmrVDs0paJHcH2m|VSA2022-0179|3|DIGNITY|TABASCO|VILLAHERMOSA|VILLAHERMOSA|2022-01-30|24500|x|x|100|2|0|0|0|0|0|0|0|0|0|0|0|0|0|0|JUAREZ||MELQUIADES MARTINEZ|soltero|0|0|CALLE GUASIMO MANZANA 15 LOTE 5 |FRACCIONAMIENTO SANTA FE |0|9932358824|0|0|0|CALLE GUASIMO MANZANA 15 LOTE 5 |x|lunes|0|0|0|0|0|DOMICILIO |700|23800|x|x|x|2022-03-01|2022-03-08|0|0|0|0|0|QYD9TF5Y9KVTQO|0|HOMBRE|0|24500|0|0|0|0|0|0|0|0|CARDENAS|X|X|X|X|FINAL</v>
      </c>
    </row>
    <row r="17" spans="1:82" x14ac:dyDescent="0.25">
      <c r="A17" t="s">
        <v>151</v>
      </c>
      <c r="B17" t="s">
        <v>396</v>
      </c>
      <c r="C17">
        <v>3</v>
      </c>
      <c r="D17" t="s">
        <v>634</v>
      </c>
      <c r="E17" t="s">
        <v>643</v>
      </c>
      <c r="F17" t="s">
        <v>644</v>
      </c>
      <c r="G17" t="s">
        <v>644</v>
      </c>
      <c r="H17" t="s">
        <v>809</v>
      </c>
      <c r="I17">
        <v>14800</v>
      </c>
      <c r="J17" t="s">
        <v>3</v>
      </c>
      <c r="K17" t="s">
        <v>3</v>
      </c>
      <c r="L17">
        <v>100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981</v>
      </c>
      <c r="AC17" t="s">
        <v>982</v>
      </c>
      <c r="AD17" s="18" t="s">
        <v>983</v>
      </c>
      <c r="AE17" t="s">
        <v>1356</v>
      </c>
      <c r="AF17">
        <v>0</v>
      </c>
      <c r="AG17">
        <v>0</v>
      </c>
      <c r="AH17" t="s">
        <v>1364</v>
      </c>
      <c r="AI17" t="s">
        <v>650</v>
      </c>
      <c r="AJ17">
        <v>0</v>
      </c>
      <c r="AK17">
        <v>9931442899</v>
      </c>
      <c r="AL17">
        <v>0</v>
      </c>
      <c r="AM17">
        <v>0</v>
      </c>
      <c r="AN17">
        <v>0</v>
      </c>
      <c r="AO17" t="s">
        <v>1364</v>
      </c>
      <c r="AP17" t="s">
        <v>3</v>
      </c>
      <c r="AQ17" t="s">
        <v>1581</v>
      </c>
      <c r="AR17">
        <v>0</v>
      </c>
      <c r="AS17">
        <v>0</v>
      </c>
      <c r="AT17">
        <v>0</v>
      </c>
      <c r="AU17">
        <v>0</v>
      </c>
      <c r="AV17">
        <v>0</v>
      </c>
      <c r="AW17" t="s">
        <v>11</v>
      </c>
      <c r="AX17">
        <f>Tabla1[[#This Row],[precio del paquete]]-Tabla1[[#This Row],[Saldo_Deudor]]</f>
        <v>200</v>
      </c>
      <c r="AY17">
        <v>14600</v>
      </c>
      <c r="AZ17" t="s">
        <v>3</v>
      </c>
      <c r="BA17" t="s">
        <v>3</v>
      </c>
      <c r="BB17" t="s">
        <v>3</v>
      </c>
      <c r="BC17" t="s">
        <v>931</v>
      </c>
      <c r="BD17" t="s">
        <v>1582</v>
      </c>
      <c r="BE17">
        <v>0</v>
      </c>
      <c r="BF17">
        <v>0</v>
      </c>
      <c r="BG17">
        <v>0</v>
      </c>
      <c r="BH17">
        <v>0</v>
      </c>
      <c r="BI17">
        <v>0</v>
      </c>
      <c r="BJ17" t="s">
        <v>1650</v>
      </c>
      <c r="BK17">
        <v>0</v>
      </c>
      <c r="BL17" t="s">
        <v>132</v>
      </c>
      <c r="BM17">
        <v>0</v>
      </c>
      <c r="BN17">
        <f>Tabla1[[#This Row],[precio del paquete]]</f>
        <v>14800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1661</v>
      </c>
      <c r="CD17" t="str" cm="1">
        <f t="array" aca="1" ref="CD17" ca="1">eConcatenar(A17:CB17,"|")</f>
        <v>JMXmuC26V2CgrtHa|VSA2022-0212|3|MEMORIAL|TABASCO|VILLAHERMOSA|VILLAHERMOSA|2022-02-24|14800|x|x|100|1|0|0|0|0|0|0|0|0|0|0|0|0|0|0|HIDALGO|VELAZQUEZ|EULOFIO|soltero|0|0|CALLE BAJA CALIFORNIA NUMERO 24|FRACCIONAMIENTO 27 DE OCTUBRE |0|9931442899|0|0|0|CALLE BAJA CALIFORNIA NUMERO 24|x|lunes|0|0|0|0|0|DOMICILIO |200|14600|x|x|x|2022-03-01|2022-03-08|0|0|0|0|0|QYD9TF5Y9KVTQO|0|HOMBRE|0|14800|0|0|0|0|0|0|0|0|CARDENAS|X|X|X|X|FINAL</v>
      </c>
    </row>
    <row r="18" spans="1:82" x14ac:dyDescent="0.25">
      <c r="A18" t="s">
        <v>152</v>
      </c>
      <c r="B18" t="s">
        <v>397</v>
      </c>
      <c r="C18">
        <v>3</v>
      </c>
      <c r="D18" t="s">
        <v>14</v>
      </c>
      <c r="E18" t="s">
        <v>643</v>
      </c>
      <c r="F18" t="s">
        <v>644</v>
      </c>
      <c r="G18" t="s">
        <v>644</v>
      </c>
      <c r="H18" t="s">
        <v>810</v>
      </c>
      <c r="I18">
        <v>12900</v>
      </c>
      <c r="J18" t="s">
        <v>3</v>
      </c>
      <c r="K18" t="s">
        <v>3</v>
      </c>
      <c r="L18">
        <v>100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984</v>
      </c>
      <c r="AC18" t="s">
        <v>985</v>
      </c>
      <c r="AD18" s="18" t="s">
        <v>986</v>
      </c>
      <c r="AE18" t="s">
        <v>1356</v>
      </c>
      <c r="AF18">
        <v>0</v>
      </c>
      <c r="AG18">
        <v>0</v>
      </c>
      <c r="AH18" t="s">
        <v>1365</v>
      </c>
      <c r="AI18" t="s">
        <v>656</v>
      </c>
      <c r="AJ18">
        <v>0</v>
      </c>
      <c r="AK18">
        <v>9931555845</v>
      </c>
      <c r="AL18">
        <v>0</v>
      </c>
      <c r="AM18">
        <v>0</v>
      </c>
      <c r="AN18">
        <v>0</v>
      </c>
      <c r="AO18" t="s">
        <v>1365</v>
      </c>
      <c r="AP18" t="s">
        <v>3</v>
      </c>
      <c r="AQ18" t="s">
        <v>1581</v>
      </c>
      <c r="AR18">
        <v>0</v>
      </c>
      <c r="AS18">
        <v>0</v>
      </c>
      <c r="AT18">
        <v>0</v>
      </c>
      <c r="AU18">
        <v>0</v>
      </c>
      <c r="AV18">
        <v>0</v>
      </c>
      <c r="AW18" t="s">
        <v>11</v>
      </c>
      <c r="AX18">
        <f>Tabla1[[#This Row],[precio del paquete]]-Tabla1[[#This Row],[Saldo_Deudor]]</f>
        <v>8400</v>
      </c>
      <c r="AY18">
        <v>4500</v>
      </c>
      <c r="AZ18" t="s">
        <v>3</v>
      </c>
      <c r="BA18" t="s">
        <v>3</v>
      </c>
      <c r="BB18" t="s">
        <v>3</v>
      </c>
      <c r="BC18" t="s">
        <v>806</v>
      </c>
      <c r="BD18" t="s">
        <v>1587</v>
      </c>
      <c r="BE18">
        <v>0</v>
      </c>
      <c r="BF18">
        <v>0</v>
      </c>
      <c r="BG18">
        <v>0</v>
      </c>
      <c r="BH18">
        <v>0</v>
      </c>
      <c r="BI18">
        <v>0</v>
      </c>
      <c r="BJ18" t="s">
        <v>1650</v>
      </c>
      <c r="BK18">
        <v>0</v>
      </c>
      <c r="BL18" t="s">
        <v>132</v>
      </c>
      <c r="BM18">
        <v>0</v>
      </c>
      <c r="BN18">
        <f>Tabla1[[#This Row],[precio del paquete]]</f>
        <v>12900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1661</v>
      </c>
      <c r="CD18" t="str" cm="1">
        <f t="array" aca="1" ref="CD18" ca="1">eConcatenar(A18:CB18,"|")</f>
        <v>r5B7M7fewqYeuF32|VSA2018-0061|3|ECONOLINE |TABASCO|VILLAHERMOSA|VILLAHERMOSA|2018-01-26|12900|x|x|100|0|0|0|0|0|0|0|0|0|0|0|0|0|0|0|DIAZ|PEREZ|LORENZA|soltero|0|0|ESTANZUELA |VILLA PARRILLA|0|9931555845|0|0|0|ESTANZUELA |x|lunes|0|0|0|0|0|DOMICILIO |8400|4500|x|x|x|2022-12-02|2022-12-09|0|0|0|0|0|QYD9TF5Y9KVTQO|0|HOMBRE|0|12900|0|0|0|0|0|0|0|0|CARDENAS|X|X|X|X|FINAL</v>
      </c>
    </row>
    <row r="19" spans="1:82" x14ac:dyDescent="0.25">
      <c r="A19" t="s">
        <v>153</v>
      </c>
      <c r="B19" t="s">
        <v>398</v>
      </c>
      <c r="C19">
        <v>3</v>
      </c>
      <c r="D19" t="s">
        <v>636</v>
      </c>
      <c r="E19" t="s">
        <v>643</v>
      </c>
      <c r="F19" t="s">
        <v>644</v>
      </c>
      <c r="G19" t="s">
        <v>644</v>
      </c>
      <c r="H19" t="s">
        <v>811</v>
      </c>
      <c r="I19">
        <v>24500</v>
      </c>
      <c r="J19" t="s">
        <v>3</v>
      </c>
      <c r="K19" t="s">
        <v>3</v>
      </c>
      <c r="L19">
        <v>100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987</v>
      </c>
      <c r="AC19" t="s">
        <v>988</v>
      </c>
      <c r="AD19" s="18" t="s">
        <v>989</v>
      </c>
      <c r="AE19" t="s">
        <v>1356</v>
      </c>
      <c r="AF19">
        <v>0</v>
      </c>
      <c r="AG19">
        <v>0</v>
      </c>
      <c r="AH19" t="s">
        <v>1366</v>
      </c>
      <c r="AI19" t="s">
        <v>657</v>
      </c>
      <c r="AJ19">
        <v>0</v>
      </c>
      <c r="AK19">
        <v>9931358051</v>
      </c>
      <c r="AL19">
        <v>0</v>
      </c>
      <c r="AM19">
        <v>0</v>
      </c>
      <c r="AN19">
        <v>0</v>
      </c>
      <c r="AO19" t="s">
        <v>1366</v>
      </c>
      <c r="AP19" t="s">
        <v>3</v>
      </c>
      <c r="AQ19" t="s">
        <v>1581</v>
      </c>
      <c r="AR19">
        <v>0</v>
      </c>
      <c r="AS19">
        <v>0</v>
      </c>
      <c r="AT19">
        <v>0</v>
      </c>
      <c r="AU19">
        <v>0</v>
      </c>
      <c r="AV19">
        <v>0</v>
      </c>
      <c r="AW19" t="s">
        <v>11</v>
      </c>
      <c r="AX19">
        <f>Tabla1[[#This Row],[precio del paquete]]-Tabla1[[#This Row],[Saldo_Deudor]]</f>
        <v>3500</v>
      </c>
      <c r="AY19">
        <v>21000</v>
      </c>
      <c r="AZ19" t="s">
        <v>3</v>
      </c>
      <c r="BA19" t="s">
        <v>3</v>
      </c>
      <c r="BB19" t="s">
        <v>3</v>
      </c>
      <c r="BC19" t="s">
        <v>839</v>
      </c>
      <c r="BD19" t="s">
        <v>1589</v>
      </c>
      <c r="BE19">
        <v>0</v>
      </c>
      <c r="BF19">
        <v>0</v>
      </c>
      <c r="BG19">
        <v>0</v>
      </c>
      <c r="BH19">
        <v>0</v>
      </c>
      <c r="BI19">
        <v>0</v>
      </c>
      <c r="BJ19" t="s">
        <v>1651</v>
      </c>
      <c r="BK19">
        <v>0</v>
      </c>
      <c r="BL19" t="s">
        <v>132</v>
      </c>
      <c r="BM19">
        <v>0</v>
      </c>
      <c r="BN19">
        <f>Tabla1[[#This Row],[precio del paquete]]</f>
        <v>24500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1661</v>
      </c>
      <c r="CD19" t="str" cm="1">
        <f t="array" aca="1" ref="CD19" ca="1">eConcatenar(A19:CB19,"|")</f>
        <v>DPr5dbSAI1pFZvXo|VSA2021-1254|3|DIGNITY|TABASCO|VILLAHERMOSA|VILLAHERMOSA|2021-12-08|24500|x|x|100|2|0|0|0|0|0|0|0|0|0|0|0|0|0|0|MONDRAGON|CAMARA|FRANCISCO|soltero|0|0|CERRADA CONSTITUCION MANZANA 1 LOTE 2|FRACCIONAMIENTO LA UNION HACE LA FUERZA |0|9931358051|0|0|0|CERRADA CONSTITUCION MANZANA 1 LOTE 2|x|lunes|0|0|0|0|0|DOMICILIO |3500|21000|x|x|x|2022-04-02|2022-04-09|0|0|0|0|0|QYD9TF7C9KVTQO|0|HOMBRE|0|24500|0|0|0|0|0|0|0|0|CARDENAS|X|X|X|X|FINAL</v>
      </c>
    </row>
    <row r="20" spans="1:82" x14ac:dyDescent="0.25">
      <c r="A20" t="s">
        <v>154</v>
      </c>
      <c r="B20" t="s">
        <v>399</v>
      </c>
      <c r="C20">
        <v>3</v>
      </c>
      <c r="D20" t="s">
        <v>14</v>
      </c>
      <c r="E20" t="s">
        <v>643</v>
      </c>
      <c r="F20" t="s">
        <v>644</v>
      </c>
      <c r="G20" t="s">
        <v>644</v>
      </c>
      <c r="H20" t="s">
        <v>812</v>
      </c>
      <c r="I20">
        <v>12900</v>
      </c>
      <c r="J20" t="s">
        <v>3</v>
      </c>
      <c r="K20" t="s">
        <v>3</v>
      </c>
      <c r="L20">
        <v>100</v>
      </c>
      <c r="M20">
        <v>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990</v>
      </c>
      <c r="AC20" t="s">
        <v>991</v>
      </c>
      <c r="AD20" s="18" t="s">
        <v>992</v>
      </c>
      <c r="AE20" t="s">
        <v>1356</v>
      </c>
      <c r="AF20">
        <v>0</v>
      </c>
      <c r="AG20">
        <v>0</v>
      </c>
      <c r="AH20" t="s">
        <v>1367</v>
      </c>
      <c r="AI20" t="s">
        <v>658</v>
      </c>
      <c r="AJ20">
        <v>0</v>
      </c>
      <c r="AK20">
        <v>9932287387</v>
      </c>
      <c r="AL20">
        <v>0</v>
      </c>
      <c r="AM20">
        <v>0</v>
      </c>
      <c r="AN20">
        <v>0</v>
      </c>
      <c r="AO20" t="s">
        <v>1367</v>
      </c>
      <c r="AP20" t="s">
        <v>3</v>
      </c>
      <c r="AQ20" t="s">
        <v>1581</v>
      </c>
      <c r="AR20">
        <v>0</v>
      </c>
      <c r="AS20">
        <v>0</v>
      </c>
      <c r="AT20">
        <v>0</v>
      </c>
      <c r="AU20">
        <v>0</v>
      </c>
      <c r="AV20">
        <v>0</v>
      </c>
      <c r="AW20" t="s">
        <v>11</v>
      </c>
      <c r="AX20">
        <f>Tabla1[[#This Row],[precio del paquete]]-Tabla1[[#This Row],[Saldo_Deudor]]</f>
        <v>6900</v>
      </c>
      <c r="AY20">
        <v>6000</v>
      </c>
      <c r="AZ20" t="s">
        <v>3</v>
      </c>
      <c r="BA20" t="s">
        <v>3</v>
      </c>
      <c r="BB20" t="s">
        <v>3</v>
      </c>
      <c r="BC20" t="s">
        <v>1590</v>
      </c>
      <c r="BD20" t="s">
        <v>1591</v>
      </c>
      <c r="BE20">
        <v>0</v>
      </c>
      <c r="BF20">
        <v>0</v>
      </c>
      <c r="BG20">
        <v>0</v>
      </c>
      <c r="BH20">
        <v>0</v>
      </c>
      <c r="BI20">
        <v>0</v>
      </c>
      <c r="BJ20" t="s">
        <v>1651</v>
      </c>
      <c r="BK20">
        <v>0</v>
      </c>
      <c r="BL20" t="s">
        <v>132</v>
      </c>
      <c r="BM20">
        <v>0</v>
      </c>
      <c r="BN20">
        <f>Tabla1[[#This Row],[precio del paquete]]</f>
        <v>12900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1661</v>
      </c>
      <c r="CD20" t="str" cm="1">
        <f t="array" aca="1" ref="CD20" ca="1">eConcatenar(A20:CB20,"|")</f>
        <v>b35nhcfqfrFvq4W4|VSA2018-0958|3|ECONOLINE |TABASCO|VILLAHERMOSA|VILLAHERMOSA|2018-12-12|12900|x|x|100|2|0|0|0|0|0|0|0|0|0|0|0|0|0|0|VALENZUELA|SANTIAGO|JOSE DEL CARMEN|soltero|0|0|A LADO DEL CENTRO DE SALUD NUMERO 201|FRACCIONAMIENTO DANIEL ESPINOZA|0|9932287387|0|0|0|A LADO DEL CENTRO DE SALUD NUMERO 201|x|lunes|0|0|0|0|0|DOMICILIO |6900|6000|x|x|x|2021-11-10|2021-11-17|0|0|0|0|0|QYD9TF7C9KVTQO|0|HOMBRE|0|12900|0|0|0|0|0|0|0|0|CARDENAS|X|X|X|X|FINAL</v>
      </c>
    </row>
    <row r="21" spans="1:82" x14ac:dyDescent="0.25">
      <c r="A21" t="s">
        <v>155</v>
      </c>
      <c r="B21" t="s">
        <v>400</v>
      </c>
      <c r="C21">
        <v>3</v>
      </c>
      <c r="D21" t="s">
        <v>634</v>
      </c>
      <c r="E21" t="s">
        <v>643</v>
      </c>
      <c r="F21" t="s">
        <v>644</v>
      </c>
      <c r="G21" t="s">
        <v>644</v>
      </c>
      <c r="H21" t="s">
        <v>813</v>
      </c>
      <c r="I21">
        <v>14800</v>
      </c>
      <c r="J21" t="s">
        <v>3</v>
      </c>
      <c r="K21" t="s">
        <v>3</v>
      </c>
      <c r="L21">
        <v>100</v>
      </c>
      <c r="M21">
        <v>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993</v>
      </c>
      <c r="AC21" t="s">
        <v>7</v>
      </c>
      <c r="AD21" s="18" t="s">
        <v>994</v>
      </c>
      <c r="AE21" t="s">
        <v>1356</v>
      </c>
      <c r="AF21">
        <v>0</v>
      </c>
      <c r="AG21">
        <v>0</v>
      </c>
      <c r="AH21" t="s">
        <v>1368</v>
      </c>
      <c r="AI21" t="s">
        <v>659</v>
      </c>
      <c r="AJ21">
        <v>0</v>
      </c>
      <c r="AK21">
        <v>9931034841</v>
      </c>
      <c r="AL21">
        <v>0</v>
      </c>
      <c r="AM21">
        <v>0</v>
      </c>
      <c r="AN21">
        <v>0</v>
      </c>
      <c r="AO21" t="s">
        <v>1368</v>
      </c>
      <c r="AP21" t="s">
        <v>3</v>
      </c>
      <c r="AQ21" t="s">
        <v>1581</v>
      </c>
      <c r="AR21">
        <v>0</v>
      </c>
      <c r="AS21">
        <v>0</v>
      </c>
      <c r="AT21">
        <v>0</v>
      </c>
      <c r="AU21">
        <v>0</v>
      </c>
      <c r="AV21">
        <v>0</v>
      </c>
      <c r="AW21" t="s">
        <v>11</v>
      </c>
      <c r="AX21">
        <f>Tabla1[[#This Row],[precio del paquete]]-Tabla1[[#This Row],[Saldo_Deudor]]</f>
        <v>1400</v>
      </c>
      <c r="AY21">
        <v>13400</v>
      </c>
      <c r="AZ21" t="s">
        <v>3</v>
      </c>
      <c r="BA21" t="s">
        <v>3</v>
      </c>
      <c r="BB21" t="s">
        <v>3</v>
      </c>
      <c r="BC21" t="s">
        <v>913</v>
      </c>
      <c r="BD21" t="s">
        <v>1592</v>
      </c>
      <c r="BE21">
        <v>0</v>
      </c>
      <c r="BF21">
        <v>0</v>
      </c>
      <c r="BG21">
        <v>0</v>
      </c>
      <c r="BH21">
        <v>0</v>
      </c>
      <c r="BI21">
        <v>0</v>
      </c>
      <c r="BJ21" t="s">
        <v>1651</v>
      </c>
      <c r="BK21">
        <v>0</v>
      </c>
      <c r="BL21" t="s">
        <v>132</v>
      </c>
      <c r="BM21">
        <v>0</v>
      </c>
      <c r="BN21">
        <f>Tabla1[[#This Row],[precio del paquete]]</f>
        <v>14800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1661</v>
      </c>
      <c r="CD21" t="str" cm="1">
        <f t="array" aca="1" ref="CD21" ca="1">eConcatenar(A21:CB21,"|")</f>
        <v>VPLN19a6GwaAVbT7|VSA2021-1698|3|MEMORIAL|TABASCO|VILLAHERMOSA|VILLAHERMOSA|2021-12-10|14800|x|x|100|2|0|0|0|0|0|0|0|0|0|0|0|0|0|0|CEFERINO|LOPEZ|CONCEPCION|soltero|0|0|A 50 METROS DEL TEMPLO|RANCHERIA ESTANZUELA PRIMERA SECCION |0|9931034841|0|0|0|A 50 METROS DEL TEMPLO|x|lunes|0|0|0|0|0|DOMICILIO |1400|13400|x|x|x|2022-05-03|2022-05-10|0|0|0|0|0|QYD9TF7C9KVTQO|0|HOMBRE|0|14800|0|0|0|0|0|0|0|0|CARDENAS|X|X|X|X|FINAL</v>
      </c>
    </row>
    <row r="22" spans="1:82" x14ac:dyDescent="0.25">
      <c r="A22" t="s">
        <v>156</v>
      </c>
      <c r="B22" t="s">
        <v>401</v>
      </c>
      <c r="C22">
        <v>3</v>
      </c>
      <c r="D22" t="s">
        <v>634</v>
      </c>
      <c r="E22" t="s">
        <v>643</v>
      </c>
      <c r="F22" t="s">
        <v>644</v>
      </c>
      <c r="G22" t="s">
        <v>644</v>
      </c>
      <c r="H22" t="s">
        <v>814</v>
      </c>
      <c r="I22">
        <v>14800</v>
      </c>
      <c r="J22" t="s">
        <v>3</v>
      </c>
      <c r="K22" t="s">
        <v>3</v>
      </c>
      <c r="L22">
        <v>100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13</v>
      </c>
      <c r="AC22" t="s">
        <v>995</v>
      </c>
      <c r="AD22" s="18" t="s">
        <v>996</v>
      </c>
      <c r="AE22" t="s">
        <v>1356</v>
      </c>
      <c r="AF22">
        <v>0</v>
      </c>
      <c r="AG22">
        <v>0</v>
      </c>
      <c r="AH22" t="s">
        <v>1369</v>
      </c>
      <c r="AI22" t="s">
        <v>660</v>
      </c>
      <c r="AJ22">
        <v>0</v>
      </c>
      <c r="AK22">
        <v>9932063487</v>
      </c>
      <c r="AL22">
        <v>0</v>
      </c>
      <c r="AM22">
        <v>0</v>
      </c>
      <c r="AN22">
        <v>0</v>
      </c>
      <c r="AO22" t="s">
        <v>1369</v>
      </c>
      <c r="AP22" t="s">
        <v>3</v>
      </c>
      <c r="AQ22" t="s">
        <v>1581</v>
      </c>
      <c r="AR22">
        <v>0</v>
      </c>
      <c r="AS22">
        <v>0</v>
      </c>
      <c r="AT22">
        <v>0</v>
      </c>
      <c r="AU22">
        <v>0</v>
      </c>
      <c r="AV22">
        <v>0</v>
      </c>
      <c r="AW22" t="s">
        <v>11</v>
      </c>
      <c r="AX22">
        <f>Tabla1[[#This Row],[precio del paquete]]-Tabla1[[#This Row],[Saldo_Deudor]]</f>
        <v>800</v>
      </c>
      <c r="AY22">
        <v>14000</v>
      </c>
      <c r="AZ22" t="s">
        <v>3</v>
      </c>
      <c r="BA22" t="s">
        <v>3</v>
      </c>
      <c r="BB22" t="s">
        <v>3</v>
      </c>
      <c r="BC22" t="s">
        <v>814</v>
      </c>
      <c r="BD22" t="s">
        <v>857</v>
      </c>
      <c r="BE22">
        <v>0</v>
      </c>
      <c r="BF22">
        <v>0</v>
      </c>
      <c r="BG22">
        <v>0</v>
      </c>
      <c r="BH22">
        <v>0</v>
      </c>
      <c r="BI22">
        <v>0</v>
      </c>
      <c r="BJ22" t="s">
        <v>1651</v>
      </c>
      <c r="BK22">
        <v>0</v>
      </c>
      <c r="BL22" t="s">
        <v>132</v>
      </c>
      <c r="BM22">
        <v>0</v>
      </c>
      <c r="BN22">
        <f>Tabla1[[#This Row],[precio del paquete]]</f>
        <v>14800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1661</v>
      </c>
      <c r="CD22" t="str" cm="1">
        <f t="array" aca="1" ref="CD22" ca="1">eConcatenar(A22:CB22,"|")</f>
        <v>UVWbPKBnRAIbffLz|VSA2022-0046|3|MEMORIAL|TABASCO|VILLAHERMOSA|VILLAHERMOSA|2022-01-19|14800|x|x|100|1|0|0|0|0|0|0|0|0|0|0|0|0|0|0|GUTIERREZ|CORDOVA|ELIZABETH|soltero|0|0|CALLE CARMITA MANZANA 56 LOTE 10|FRACCIONAMIENTO LAS MERCEDES|0|9932063487|0|0|0|CALLE CARMITA MANZANA 56 LOTE 10|x|lunes|0|0|0|0|0|DOMICILIO |800|14000|x|x|x|2022-01-19|2022-01-26|0|0|0|0|0|QYD9TF7C9KVTQO|0|HOMBRE|0|14800|0|0|0|0|0|0|0|0|CARDENAS|X|X|X|X|FINAL</v>
      </c>
    </row>
    <row r="23" spans="1:82" x14ac:dyDescent="0.25">
      <c r="A23" t="s">
        <v>157</v>
      </c>
      <c r="B23" t="s">
        <v>402</v>
      </c>
      <c r="C23">
        <v>3</v>
      </c>
      <c r="D23" t="s">
        <v>634</v>
      </c>
      <c r="E23" t="s">
        <v>643</v>
      </c>
      <c r="F23" t="s">
        <v>644</v>
      </c>
      <c r="G23" t="s">
        <v>644</v>
      </c>
      <c r="H23" t="s">
        <v>815</v>
      </c>
      <c r="I23">
        <v>14800</v>
      </c>
      <c r="J23" t="s">
        <v>3</v>
      </c>
      <c r="K23" t="s">
        <v>3</v>
      </c>
      <c r="L23">
        <v>100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997</v>
      </c>
      <c r="AC23" t="s">
        <v>998</v>
      </c>
      <c r="AD23" s="18" t="s">
        <v>999</v>
      </c>
      <c r="AE23" t="s">
        <v>1356</v>
      </c>
      <c r="AF23">
        <v>0</v>
      </c>
      <c r="AG23">
        <v>0</v>
      </c>
      <c r="AH23" t="s">
        <v>1370</v>
      </c>
      <c r="AI23" t="s">
        <v>661</v>
      </c>
      <c r="AJ23">
        <v>0</v>
      </c>
      <c r="AK23">
        <v>9931537372</v>
      </c>
      <c r="AL23">
        <v>0</v>
      </c>
      <c r="AM23">
        <v>0</v>
      </c>
      <c r="AN23">
        <v>0</v>
      </c>
      <c r="AO23" t="s">
        <v>1370</v>
      </c>
      <c r="AP23" t="s">
        <v>3</v>
      </c>
      <c r="AQ23" t="s">
        <v>1581</v>
      </c>
      <c r="AR23">
        <v>0</v>
      </c>
      <c r="AS23">
        <v>0</v>
      </c>
      <c r="AT23">
        <v>0</v>
      </c>
      <c r="AU23">
        <v>0</v>
      </c>
      <c r="AV23">
        <v>0</v>
      </c>
      <c r="AW23" t="s">
        <v>11</v>
      </c>
      <c r="AX23">
        <f>Tabla1[[#This Row],[precio del paquete]]-Tabla1[[#This Row],[Saldo_Deudor]]</f>
        <v>1000</v>
      </c>
      <c r="AY23">
        <v>13800</v>
      </c>
      <c r="AZ23" t="s">
        <v>3</v>
      </c>
      <c r="BA23" t="s">
        <v>3</v>
      </c>
      <c r="BB23" t="s">
        <v>3</v>
      </c>
      <c r="BC23" t="s">
        <v>913</v>
      </c>
      <c r="BD23" t="s">
        <v>1592</v>
      </c>
      <c r="BE23">
        <v>0</v>
      </c>
      <c r="BF23">
        <v>0</v>
      </c>
      <c r="BG23">
        <v>0</v>
      </c>
      <c r="BH23">
        <v>0</v>
      </c>
      <c r="BI23">
        <v>0</v>
      </c>
      <c r="BJ23" t="s">
        <v>1651</v>
      </c>
      <c r="BK23">
        <v>0</v>
      </c>
      <c r="BL23" t="s">
        <v>132</v>
      </c>
      <c r="BM23">
        <v>0</v>
      </c>
      <c r="BN23">
        <f>Tabla1[[#This Row],[precio del paquete]]</f>
        <v>14800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1661</v>
      </c>
      <c r="CD23" t="str" cm="1">
        <f t="array" aca="1" ref="CD23" ca="1">eConcatenar(A23:CB23,"|")</f>
        <v>mKVkAtMyYjUGyzIK|VSA2021-1981|3|MEMORIAL|TABASCO|VILLAHERMOSA|VILLAHERMOSA|2021-12-28|14800|x|x|100|1|0|0|0|0|0|0|0|0|0|0|0|0|0|0|ANGEL|ZACARIAS|ENEIDA|soltero|0|0|CERRADA DE DIANA LAURA MANZANA 1 LOTE 5|COLONIA CLARA CORDOVA MORAN |0|9931537372|0|0|0|CERRADA DE DIANA LAURA MANZANA 1 LOTE 5|x|lunes|0|0|0|0|0|DOMICILIO |1000|13800|x|x|x|2022-05-03|2022-05-10|0|0|0|0|0|QYD9TF7C9KVTQO|0|HOMBRE|0|14800|0|0|0|0|0|0|0|0|CARDENAS|X|X|X|X|FINAL</v>
      </c>
    </row>
    <row r="24" spans="1:82" x14ac:dyDescent="0.25">
      <c r="A24" t="s">
        <v>158</v>
      </c>
      <c r="B24" t="s">
        <v>403</v>
      </c>
      <c r="C24">
        <v>3</v>
      </c>
      <c r="D24" t="s">
        <v>635</v>
      </c>
      <c r="E24" t="s">
        <v>643</v>
      </c>
      <c r="F24" t="s">
        <v>644</v>
      </c>
      <c r="G24" t="s">
        <v>644</v>
      </c>
      <c r="H24" t="s">
        <v>816</v>
      </c>
      <c r="I24">
        <v>14800</v>
      </c>
      <c r="J24" t="s">
        <v>3</v>
      </c>
      <c r="K24" t="s">
        <v>3</v>
      </c>
      <c r="L24">
        <v>100</v>
      </c>
      <c r="M24">
        <v>2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1000</v>
      </c>
      <c r="AC24" t="s">
        <v>976</v>
      </c>
      <c r="AD24" s="18" t="s">
        <v>1001</v>
      </c>
      <c r="AE24" t="s">
        <v>1356</v>
      </c>
      <c r="AF24">
        <v>0</v>
      </c>
      <c r="AG24">
        <v>0</v>
      </c>
      <c r="AH24" t="s">
        <v>1371</v>
      </c>
      <c r="AI24" t="s">
        <v>656</v>
      </c>
      <c r="AJ24">
        <v>0</v>
      </c>
      <c r="AK24">
        <v>9932466317</v>
      </c>
      <c r="AL24">
        <v>0</v>
      </c>
      <c r="AM24">
        <v>0</v>
      </c>
      <c r="AN24">
        <v>0</v>
      </c>
      <c r="AO24" t="s">
        <v>1371</v>
      </c>
      <c r="AP24" t="s">
        <v>3</v>
      </c>
      <c r="AQ24" t="s">
        <v>1581</v>
      </c>
      <c r="AR24">
        <v>0</v>
      </c>
      <c r="AS24">
        <v>0</v>
      </c>
      <c r="AT24">
        <v>0</v>
      </c>
      <c r="AU24">
        <v>0</v>
      </c>
      <c r="AV24">
        <v>0</v>
      </c>
      <c r="AW24" t="s">
        <v>11</v>
      </c>
      <c r="AX24">
        <f>Tabla1[[#This Row],[precio del paquete]]-Tabla1[[#This Row],[Saldo_Deudor]]</f>
        <v>12190</v>
      </c>
      <c r="AY24">
        <v>2610</v>
      </c>
      <c r="AZ24" t="s">
        <v>3</v>
      </c>
      <c r="BA24" t="s">
        <v>3</v>
      </c>
      <c r="BB24" t="s">
        <v>3</v>
      </c>
      <c r="BC24" t="s">
        <v>1585</v>
      </c>
      <c r="BD24" t="s">
        <v>1586</v>
      </c>
      <c r="BE24">
        <v>0</v>
      </c>
      <c r="BF24">
        <v>0</v>
      </c>
      <c r="BG24">
        <v>0</v>
      </c>
      <c r="BH24">
        <v>0</v>
      </c>
      <c r="BI24">
        <v>0</v>
      </c>
      <c r="BJ24" t="s">
        <v>1651</v>
      </c>
      <c r="BK24">
        <v>0</v>
      </c>
      <c r="BL24" t="s">
        <v>132</v>
      </c>
      <c r="BM24">
        <v>0</v>
      </c>
      <c r="BN24">
        <f>Tabla1[[#This Row],[precio del paquete]]</f>
        <v>14800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1661</v>
      </c>
      <c r="CD24" t="str" cm="1">
        <f t="array" aca="1" ref="CD24" ca="1">eConcatenar(A24:CB24,"|")</f>
        <v>jabUeWiZEwbemRuj|VSA2020-0872|3|IMPERIAL DE LUJO|TABASCO|VILLAHERMOSA|VILLAHERMOSA|2020-10-28|14800|x|x|100|2|0|0|0|0|0|0|0|0|0|0|0|0|0|0|MORALES|MARTINEZ|PETRONA|soltero|0|0|SECTOR DE LOS GALLEGOS KILOMETRO 9.5 FRACCIONAMIENTO DANIEL ESPINOZA|VILLA PARRILLA|0|9932466317|0|0|0|SECTOR DE LOS GALLEGOS KILOMETRO 9.5 FRACCIONAMIENTO DANIEL ESPINOZA|x|lunes|0|0|0|0|0|DOMICILIO |12190|2610|x|x|x|2022-04-03|2022-04-10|0|0|0|0|0|QYD9TF7C9KVTQO|0|HOMBRE|0|14800|0|0|0|0|0|0|0|0|CARDENAS|X|X|X|X|FINAL</v>
      </c>
    </row>
    <row r="25" spans="1:82" x14ac:dyDescent="0.25">
      <c r="A25" t="s">
        <v>159</v>
      </c>
      <c r="B25" t="s">
        <v>404</v>
      </c>
      <c r="C25">
        <v>3</v>
      </c>
      <c r="D25" t="s">
        <v>635</v>
      </c>
      <c r="E25" t="s">
        <v>643</v>
      </c>
      <c r="F25" t="s">
        <v>644</v>
      </c>
      <c r="G25" t="s">
        <v>644</v>
      </c>
      <c r="H25" t="s">
        <v>817</v>
      </c>
      <c r="I25">
        <v>14800</v>
      </c>
      <c r="J25" t="s">
        <v>3</v>
      </c>
      <c r="K25" t="s">
        <v>3</v>
      </c>
      <c r="L25">
        <v>100</v>
      </c>
      <c r="M25">
        <v>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1002</v>
      </c>
      <c r="AC25" t="s">
        <v>998</v>
      </c>
      <c r="AD25" s="18" t="s">
        <v>1003</v>
      </c>
      <c r="AE25" t="s">
        <v>1356</v>
      </c>
      <c r="AF25">
        <v>0</v>
      </c>
      <c r="AG25">
        <v>0</v>
      </c>
      <c r="AH25" t="s">
        <v>1372</v>
      </c>
      <c r="AI25" t="s">
        <v>662</v>
      </c>
      <c r="AJ25">
        <v>0</v>
      </c>
      <c r="AK25">
        <v>9933841479</v>
      </c>
      <c r="AL25">
        <v>0</v>
      </c>
      <c r="AM25">
        <v>0</v>
      </c>
      <c r="AN25">
        <v>0</v>
      </c>
      <c r="AO25" t="s">
        <v>1372</v>
      </c>
      <c r="AP25" t="s">
        <v>3</v>
      </c>
      <c r="AQ25" t="s">
        <v>1581</v>
      </c>
      <c r="AR25">
        <v>0</v>
      </c>
      <c r="AS25">
        <v>0</v>
      </c>
      <c r="AT25">
        <v>0</v>
      </c>
      <c r="AU25">
        <v>0</v>
      </c>
      <c r="AV25">
        <v>0</v>
      </c>
      <c r="AW25" t="s">
        <v>11</v>
      </c>
      <c r="AX25">
        <f>Tabla1[[#This Row],[precio del paquete]]-Tabla1[[#This Row],[Saldo_Deudor]]</f>
        <v>6700</v>
      </c>
      <c r="AY25">
        <v>8100</v>
      </c>
      <c r="AZ25" t="s">
        <v>3</v>
      </c>
      <c r="BA25" t="s">
        <v>3</v>
      </c>
      <c r="BB25" t="s">
        <v>3</v>
      </c>
      <c r="BC25" t="s">
        <v>1585</v>
      </c>
      <c r="BD25" t="s">
        <v>1586</v>
      </c>
      <c r="BE25">
        <v>0</v>
      </c>
      <c r="BF25">
        <v>0</v>
      </c>
      <c r="BG25">
        <v>0</v>
      </c>
      <c r="BH25">
        <v>0</v>
      </c>
      <c r="BI25">
        <v>0</v>
      </c>
      <c r="BJ25" t="s">
        <v>1651</v>
      </c>
      <c r="BK25">
        <v>0</v>
      </c>
      <c r="BL25" t="s">
        <v>132</v>
      </c>
      <c r="BM25">
        <v>0</v>
      </c>
      <c r="BN25">
        <f>Tabla1[[#This Row],[precio del paquete]]</f>
        <v>14800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1661</v>
      </c>
      <c r="CD25" t="str" cm="1">
        <f t="array" aca="1" ref="CD25" ca="1">eConcatenar(A25:CB25,"|")</f>
        <v>kch8reInV1YOw2MB|VSA2020-0897|3|IMPERIAL DE LUJO|TABASCO|VILLAHERMOSA|VILLAHERMOSA|2020-10-29|14800|x|x|100|2|0|0|0|0|0|0|0|0|0|0|0|0|0|0|GUZMAN|ZACARIAS|ARTEMIO|soltero|0|0|PRIVADA ITZMAN CASA NUMERO 34|FRACCIONAMIENTO LA VENTA|0|9933841479|0|0|0|PRIVADA ITZMAN CASA NUMERO 34|x|lunes|0|0|0|0|0|DOMICILIO |6700|8100|x|x|x|2022-04-03|2022-04-10|0|0|0|0|0|QYD9TF7C9KVTQO|0|HOMBRE|0|14800|0|0|0|0|0|0|0|0|CARDENAS|X|X|X|X|FINAL</v>
      </c>
    </row>
    <row r="26" spans="1:82" x14ac:dyDescent="0.25">
      <c r="A26" t="s">
        <v>160</v>
      </c>
      <c r="B26" t="s">
        <v>405</v>
      </c>
      <c r="C26">
        <v>3</v>
      </c>
      <c r="D26" t="s">
        <v>635</v>
      </c>
      <c r="E26" t="s">
        <v>643</v>
      </c>
      <c r="F26" t="s">
        <v>644</v>
      </c>
      <c r="G26" t="s">
        <v>644</v>
      </c>
      <c r="H26" t="s">
        <v>818</v>
      </c>
      <c r="I26">
        <v>14800</v>
      </c>
      <c r="J26" t="s">
        <v>3</v>
      </c>
      <c r="K26" t="s">
        <v>3</v>
      </c>
      <c r="L26">
        <v>100</v>
      </c>
      <c r="M26">
        <v>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985</v>
      </c>
      <c r="AC26" t="s">
        <v>1004</v>
      </c>
      <c r="AD26" s="18" t="s">
        <v>1005</v>
      </c>
      <c r="AE26" t="s">
        <v>1356</v>
      </c>
      <c r="AF26">
        <v>0</v>
      </c>
      <c r="AG26">
        <v>0</v>
      </c>
      <c r="AH26" t="s">
        <v>1373</v>
      </c>
      <c r="AI26" t="s">
        <v>663</v>
      </c>
      <c r="AJ26">
        <v>0</v>
      </c>
      <c r="AK26">
        <v>9932901222</v>
      </c>
      <c r="AL26">
        <v>0</v>
      </c>
      <c r="AM26">
        <v>0</v>
      </c>
      <c r="AN26">
        <v>0</v>
      </c>
      <c r="AO26" t="s">
        <v>1373</v>
      </c>
      <c r="AP26" t="s">
        <v>3</v>
      </c>
      <c r="AQ26" t="s">
        <v>1581</v>
      </c>
      <c r="AR26">
        <v>0</v>
      </c>
      <c r="AS26">
        <v>0</v>
      </c>
      <c r="AT26">
        <v>0</v>
      </c>
      <c r="AU26">
        <v>0</v>
      </c>
      <c r="AV26">
        <v>0</v>
      </c>
      <c r="AW26" t="s">
        <v>11</v>
      </c>
      <c r="AX26">
        <f>Tabla1[[#This Row],[precio del paquete]]-Tabla1[[#This Row],[Saldo_Deudor]]</f>
        <v>5750</v>
      </c>
      <c r="AY26">
        <v>9050</v>
      </c>
      <c r="AZ26" t="s">
        <v>3</v>
      </c>
      <c r="BA26" t="s">
        <v>3</v>
      </c>
      <c r="BB26" t="s">
        <v>3</v>
      </c>
      <c r="BC26" t="s">
        <v>1585</v>
      </c>
      <c r="BD26" t="s">
        <v>1586</v>
      </c>
      <c r="BE26">
        <v>0</v>
      </c>
      <c r="BF26">
        <v>0</v>
      </c>
      <c r="BG26">
        <v>0</v>
      </c>
      <c r="BH26">
        <v>0</v>
      </c>
      <c r="BI26">
        <v>0</v>
      </c>
      <c r="BJ26" t="s">
        <v>1651</v>
      </c>
      <c r="BK26">
        <v>0</v>
      </c>
      <c r="BL26" t="s">
        <v>132</v>
      </c>
      <c r="BM26">
        <v>0</v>
      </c>
      <c r="BN26">
        <f>Tabla1[[#This Row],[precio del paquete]]</f>
        <v>14800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1661</v>
      </c>
      <c r="CD26" t="str" cm="1">
        <f t="array" aca="1" ref="CD26" ca="1">eConcatenar(A26:CB26,"|")</f>
        <v>25DuFBg3N2uja0Dt|VSA2020-0058|3|IMPERIAL DE LUJO|TABASCO|VILLAHERMOSA|VILLAHERMOSA|2021-01-14|14800|x|x|100|2|0|0|0|0|0|0|0|0|0|0|0|0|0|0|PEREZ|VAZQUEZ|TILA|soltero|0|0|CALLE PLUTARCO ELIAS CALLES 161|VILLA PLAYAS DEL ROSARIO |0|9932901222|0|0|0|CALLE PLUTARCO ELIAS CALLES 161|x|lunes|0|0|0|0|0|DOMICILIO |5750|9050|x|x|x|2022-04-03|2022-04-10|0|0|0|0|0|QYD9TF7C9KVTQO|0|HOMBRE|0|14800|0|0|0|0|0|0|0|0|CARDENAS|X|X|X|X|FINAL</v>
      </c>
    </row>
    <row r="27" spans="1:82" x14ac:dyDescent="0.25">
      <c r="A27" t="s">
        <v>161</v>
      </c>
      <c r="B27" t="s">
        <v>406</v>
      </c>
      <c r="C27">
        <v>3</v>
      </c>
      <c r="D27" t="s">
        <v>14</v>
      </c>
      <c r="E27" t="s">
        <v>643</v>
      </c>
      <c r="F27" t="s">
        <v>644</v>
      </c>
      <c r="G27" t="s">
        <v>644</v>
      </c>
      <c r="H27" t="s">
        <v>819</v>
      </c>
      <c r="I27">
        <v>12900</v>
      </c>
      <c r="J27" t="s">
        <v>3</v>
      </c>
      <c r="K27" t="s">
        <v>3</v>
      </c>
      <c r="L27">
        <v>100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971</v>
      </c>
      <c r="AC27" t="s">
        <v>981</v>
      </c>
      <c r="AD27" s="18" t="s">
        <v>1006</v>
      </c>
      <c r="AE27" t="s">
        <v>1356</v>
      </c>
      <c r="AF27">
        <v>0</v>
      </c>
      <c r="AG27">
        <v>0</v>
      </c>
      <c r="AH27" t="s">
        <v>1374</v>
      </c>
      <c r="AI27" t="s">
        <v>664</v>
      </c>
      <c r="AJ27">
        <v>0</v>
      </c>
      <c r="AK27">
        <v>9933923392</v>
      </c>
      <c r="AL27">
        <v>0</v>
      </c>
      <c r="AM27">
        <v>0</v>
      </c>
      <c r="AN27">
        <v>0</v>
      </c>
      <c r="AO27" t="s">
        <v>1374</v>
      </c>
      <c r="AP27" t="s">
        <v>3</v>
      </c>
      <c r="AQ27" t="s">
        <v>1581</v>
      </c>
      <c r="AR27">
        <v>0</v>
      </c>
      <c r="AS27">
        <v>0</v>
      </c>
      <c r="AT27">
        <v>0</v>
      </c>
      <c r="AU27">
        <v>0</v>
      </c>
      <c r="AV27">
        <v>0</v>
      </c>
      <c r="AW27" t="s">
        <v>11</v>
      </c>
      <c r="AX27">
        <f>Tabla1[[#This Row],[precio del paquete]]-Tabla1[[#This Row],[Saldo_Deudor]]</f>
        <v>5800</v>
      </c>
      <c r="AY27">
        <v>7100</v>
      </c>
      <c r="AZ27" t="s">
        <v>3</v>
      </c>
      <c r="BA27" t="s">
        <v>3</v>
      </c>
      <c r="BB27" t="s">
        <v>3</v>
      </c>
      <c r="BC27" t="s">
        <v>911</v>
      </c>
      <c r="BD27" t="s">
        <v>1593</v>
      </c>
      <c r="BE27">
        <v>0</v>
      </c>
      <c r="BF27">
        <v>0</v>
      </c>
      <c r="BG27">
        <v>0</v>
      </c>
      <c r="BH27">
        <v>0</v>
      </c>
      <c r="BI27">
        <v>0</v>
      </c>
      <c r="BJ27" t="s">
        <v>1652</v>
      </c>
      <c r="BK27">
        <v>0</v>
      </c>
      <c r="BL27" t="s">
        <v>132</v>
      </c>
      <c r="BM27">
        <v>0</v>
      </c>
      <c r="BN27">
        <f>Tabla1[[#This Row],[precio del paquete]]</f>
        <v>12900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1661</v>
      </c>
      <c r="CD27" t="str" cm="1">
        <f t="array" aca="1" ref="CD27" ca="1">eConcatenar(A27:CB27,"|")</f>
        <v>R96JebN9wX8OGrIW|VSA2019-0127|3|ECONOLINE |TABASCO|VILLAHERMOSA|VILLAHERMOSA|2019-04-04|12900|x|x|100|1|0|0|0|0|0|0|0|0|0|0|0|0|0|0|HERNANDEZ|HIDALGO|PEDRO|soltero|0|0|CALLE MANZANILLO NUMERO 105 TAMULTE|COLONIA GUADALUPE BORJA |0|9933923392|0|0|0|CALLE MANZANILLO NUMERO 105 TAMULTE|x|lunes|0|0|0|0|0|DOMICILIO |5800|7100|x|x|x|2022-02-19|2022-02-26|0|0|0|0|0|S35D6LBI9KVTQO|0|HOMBRE|0|12900|0|0|0|0|0|0|0|0|CARDENAS|X|X|X|X|FINAL</v>
      </c>
    </row>
    <row r="28" spans="1:82" x14ac:dyDescent="0.25">
      <c r="A28" t="s">
        <v>162</v>
      </c>
      <c r="B28" t="s">
        <v>407</v>
      </c>
      <c r="C28">
        <v>3</v>
      </c>
      <c r="D28" t="s">
        <v>14</v>
      </c>
      <c r="E28" t="s">
        <v>643</v>
      </c>
      <c r="F28" t="s">
        <v>644</v>
      </c>
      <c r="G28" t="s">
        <v>644</v>
      </c>
      <c r="H28" t="s">
        <v>820</v>
      </c>
      <c r="I28">
        <v>12900</v>
      </c>
      <c r="J28" t="s">
        <v>3</v>
      </c>
      <c r="K28" t="s">
        <v>3</v>
      </c>
      <c r="L28">
        <v>100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1007</v>
      </c>
      <c r="AC28" t="s">
        <v>972</v>
      </c>
      <c r="AD28" s="18" t="s">
        <v>1008</v>
      </c>
      <c r="AE28" t="s">
        <v>1356</v>
      </c>
      <c r="AF28">
        <v>0</v>
      </c>
      <c r="AG28">
        <v>0</v>
      </c>
      <c r="AH28" t="s">
        <v>1375</v>
      </c>
      <c r="AI28" t="s">
        <v>665</v>
      </c>
      <c r="AJ28">
        <v>0</v>
      </c>
      <c r="AK28">
        <v>99311037552</v>
      </c>
      <c r="AL28">
        <v>0</v>
      </c>
      <c r="AM28">
        <v>0</v>
      </c>
      <c r="AN28">
        <v>0</v>
      </c>
      <c r="AO28" t="s">
        <v>1375</v>
      </c>
      <c r="AP28" t="s">
        <v>3</v>
      </c>
      <c r="AQ28" t="s">
        <v>1581</v>
      </c>
      <c r="AR28">
        <v>0</v>
      </c>
      <c r="AS28">
        <v>0</v>
      </c>
      <c r="AT28">
        <v>0</v>
      </c>
      <c r="AU28">
        <v>0</v>
      </c>
      <c r="AV28">
        <v>0</v>
      </c>
      <c r="AW28" t="s">
        <v>11</v>
      </c>
      <c r="AX28">
        <f>Tabla1[[#This Row],[precio del paquete]]-Tabla1[[#This Row],[Saldo_Deudor]]</f>
        <v>11600</v>
      </c>
      <c r="AY28">
        <v>1300</v>
      </c>
      <c r="AZ28" t="s">
        <v>3</v>
      </c>
      <c r="BA28" t="s">
        <v>3</v>
      </c>
      <c r="BB28" t="s">
        <v>3</v>
      </c>
      <c r="BC28" t="s">
        <v>911</v>
      </c>
      <c r="BD28" t="s">
        <v>1593</v>
      </c>
      <c r="BE28">
        <v>0</v>
      </c>
      <c r="BF28">
        <v>0</v>
      </c>
      <c r="BG28">
        <v>0</v>
      </c>
      <c r="BH28">
        <v>0</v>
      </c>
      <c r="BI28">
        <v>0</v>
      </c>
      <c r="BJ28" t="s">
        <v>1652</v>
      </c>
      <c r="BK28">
        <v>0</v>
      </c>
      <c r="BL28" t="s">
        <v>132</v>
      </c>
      <c r="BM28">
        <v>0</v>
      </c>
      <c r="BN28">
        <f>Tabla1[[#This Row],[precio del paquete]]</f>
        <v>12900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1661</v>
      </c>
      <c r="CD28" t="str" cm="1">
        <f t="array" aca="1" ref="CD28" ca="1">eConcatenar(A28:CB28,"|")</f>
        <v>vix8aJm3V4dF1zmp|VSA2019-0146|3|ECONOLINE |TABASCO|VILLAHERMOSA|VILLAHERMOSA|2019-08-04|12900|x|x|100|1|0|0|0|0|0|0|0|0|0|0|0|0|0|0|ZAPATA||CANDELARIA IZQUIERDO|soltero|0|0|CALLE SANDINO NUMERO 835|COLONIA 2 DE MAYO|0|99311037552|0|0|0|CALLE SANDINO NUMERO 835|x|lunes|0|0|0|0|0|DOMICILIO |11600|1300|x|x|x|2022-02-19|2022-02-26|0|0|0|0|0|S35D6LBI9KVTQO|0|HOMBRE|0|12900|0|0|0|0|0|0|0|0|CARDENAS|X|X|X|X|FINAL</v>
      </c>
    </row>
    <row r="29" spans="1:82" x14ac:dyDescent="0.25">
      <c r="A29" t="s">
        <v>163</v>
      </c>
      <c r="B29" t="s">
        <v>408</v>
      </c>
      <c r="C29">
        <v>3</v>
      </c>
      <c r="D29" t="s">
        <v>634</v>
      </c>
      <c r="E29" t="s">
        <v>643</v>
      </c>
      <c r="F29" t="s">
        <v>644</v>
      </c>
      <c r="G29" t="s">
        <v>644</v>
      </c>
      <c r="H29" t="s">
        <v>821</v>
      </c>
      <c r="I29">
        <v>14800</v>
      </c>
      <c r="J29" t="s">
        <v>3</v>
      </c>
      <c r="K29" t="s">
        <v>3</v>
      </c>
      <c r="L29">
        <v>100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1009</v>
      </c>
      <c r="AC29" t="s">
        <v>1010</v>
      </c>
      <c r="AD29" s="18" t="s">
        <v>1011</v>
      </c>
      <c r="AE29" t="s">
        <v>1356</v>
      </c>
      <c r="AF29">
        <v>0</v>
      </c>
      <c r="AG29">
        <v>0</v>
      </c>
      <c r="AH29" t="s">
        <v>1376</v>
      </c>
      <c r="AI29" t="s">
        <v>666</v>
      </c>
      <c r="AJ29">
        <v>0</v>
      </c>
      <c r="AK29">
        <v>9933603069</v>
      </c>
      <c r="AL29">
        <v>0</v>
      </c>
      <c r="AM29">
        <v>0</v>
      </c>
      <c r="AN29">
        <v>0</v>
      </c>
      <c r="AO29" t="s">
        <v>1376</v>
      </c>
      <c r="AP29" t="s">
        <v>3</v>
      </c>
      <c r="AQ29" t="s">
        <v>1581</v>
      </c>
      <c r="AR29">
        <v>0</v>
      </c>
      <c r="AS29">
        <v>0</v>
      </c>
      <c r="AT29">
        <v>0</v>
      </c>
      <c r="AU29">
        <v>0</v>
      </c>
      <c r="AV29">
        <v>0</v>
      </c>
      <c r="AW29" t="s">
        <v>11</v>
      </c>
      <c r="AX29">
        <f>Tabla1[[#This Row],[precio del paquete]]-Tabla1[[#This Row],[Saldo_Deudor]]</f>
        <v>3800</v>
      </c>
      <c r="AY29">
        <v>11000</v>
      </c>
      <c r="AZ29" t="s">
        <v>3</v>
      </c>
      <c r="BA29" t="s">
        <v>3</v>
      </c>
      <c r="BB29" t="s">
        <v>3</v>
      </c>
      <c r="BC29" t="s">
        <v>858</v>
      </c>
      <c r="BD29" t="s">
        <v>1594</v>
      </c>
      <c r="BE29">
        <v>0</v>
      </c>
      <c r="BF29">
        <v>0</v>
      </c>
      <c r="BG29">
        <v>0</v>
      </c>
      <c r="BH29">
        <v>0</v>
      </c>
      <c r="BI29">
        <v>0</v>
      </c>
      <c r="BJ29" t="s">
        <v>1652</v>
      </c>
      <c r="BK29">
        <v>0</v>
      </c>
      <c r="BL29" t="s">
        <v>132</v>
      </c>
      <c r="BM29">
        <v>0</v>
      </c>
      <c r="BN29">
        <f>Tabla1[[#This Row],[precio del paquete]]</f>
        <v>14800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1661</v>
      </c>
      <c r="CD29" t="str" cm="1">
        <f t="array" aca="1" ref="CD29" ca="1">eConcatenar(A29:CB29,"|")</f>
        <v>sAyDX2ITyoTSkva8|VSA2021-1802|3|MEMORIAL|TABASCO|VILLAHERMOSA|VILLAHERMOSA|2021-05-11|14800|x|x|100|1|0|0|0|0|0|0|0|0|0|0|0|0|0|0|RAMOS|SOLIS|LAURA|soltero|0|0|MERCADO PINO SUAREZ|COLONIA CASA BLANCA |0|9933603069|0|0|0|MERCADO PINO SUAREZ|x|lunes|0|0|0|0|0|DOMICILIO |3800|11000|x|x|x|2022-01-21|2022-01-28|0|0|0|0|0|S35D6LBI9KVTQO|0|HOMBRE|0|14800|0|0|0|0|0|0|0|0|CARDENAS|X|X|X|X|FINAL</v>
      </c>
    </row>
    <row r="30" spans="1:82" x14ac:dyDescent="0.25">
      <c r="A30" t="s">
        <v>164</v>
      </c>
      <c r="B30" t="s">
        <v>409</v>
      </c>
      <c r="C30">
        <v>3</v>
      </c>
      <c r="D30" t="s">
        <v>14</v>
      </c>
      <c r="E30" t="s">
        <v>643</v>
      </c>
      <c r="F30" t="s">
        <v>644</v>
      </c>
      <c r="G30" t="s">
        <v>644</v>
      </c>
      <c r="H30" t="s">
        <v>822</v>
      </c>
      <c r="I30">
        <v>12900</v>
      </c>
      <c r="J30" t="s">
        <v>3</v>
      </c>
      <c r="K30" t="s">
        <v>3</v>
      </c>
      <c r="L30">
        <v>100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1012</v>
      </c>
      <c r="AC30" t="s">
        <v>972</v>
      </c>
      <c r="AD30" s="18" t="s">
        <v>1013</v>
      </c>
      <c r="AE30" t="s">
        <v>1356</v>
      </c>
      <c r="AF30">
        <v>0</v>
      </c>
      <c r="AG30">
        <v>0</v>
      </c>
      <c r="AH30" t="s">
        <v>1377</v>
      </c>
      <c r="AI30" t="s">
        <v>667</v>
      </c>
      <c r="AJ30">
        <v>0</v>
      </c>
      <c r="AK30">
        <v>9931175647</v>
      </c>
      <c r="AL30">
        <v>0</v>
      </c>
      <c r="AM30">
        <v>0</v>
      </c>
      <c r="AN30">
        <v>0</v>
      </c>
      <c r="AO30" t="s">
        <v>1377</v>
      </c>
      <c r="AP30" t="s">
        <v>3</v>
      </c>
      <c r="AQ30" t="s">
        <v>1581</v>
      </c>
      <c r="AR30">
        <v>0</v>
      </c>
      <c r="AS30">
        <v>0</v>
      </c>
      <c r="AT30">
        <v>0</v>
      </c>
      <c r="AU30">
        <v>0</v>
      </c>
      <c r="AV30">
        <v>0</v>
      </c>
      <c r="AW30" t="s">
        <v>11</v>
      </c>
      <c r="AX30">
        <f>Tabla1[[#This Row],[precio del paquete]]-Tabla1[[#This Row],[Saldo_Deudor]]</f>
        <v>9000</v>
      </c>
      <c r="AY30">
        <v>3900</v>
      </c>
      <c r="AZ30" t="s">
        <v>3</v>
      </c>
      <c r="BA30" t="s">
        <v>3</v>
      </c>
      <c r="BB30" t="s">
        <v>3</v>
      </c>
      <c r="BC30" t="s">
        <v>883</v>
      </c>
      <c r="BD30" t="s">
        <v>1595</v>
      </c>
      <c r="BE30">
        <v>0</v>
      </c>
      <c r="BF30">
        <v>0</v>
      </c>
      <c r="BG30">
        <v>0</v>
      </c>
      <c r="BH30">
        <v>0</v>
      </c>
      <c r="BI30">
        <v>0</v>
      </c>
      <c r="BJ30" t="s">
        <v>1652</v>
      </c>
      <c r="BK30">
        <v>0</v>
      </c>
      <c r="BL30" t="s">
        <v>132</v>
      </c>
      <c r="BM30">
        <v>0</v>
      </c>
      <c r="BN30">
        <f>Tabla1[[#This Row],[precio del paquete]]</f>
        <v>12900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1661</v>
      </c>
      <c r="CD30" t="str" cm="1">
        <f t="array" aca="1" ref="CD30" ca="1">eConcatenar(A30:CB30,"|")</f>
        <v>aHk4oZdXtCFTagBy|VSA2018-0640|3|ECONOLINE |TABASCO|VILLAHERMOSA|VILLAHERMOSA|2018-09-08|12900|x|x|100|1|0|0|0|0|0|0|0|0|0|0|0|0|0|0|ESCALANTE||CARLOS TORRES|soltero|0|0|CALLE BIOLOGOS 513|COLONIA GAVIOTAS SUR|0|9931175647|0|0|0|CALLE BIOLOGOS 513|x|lunes|0|0|0|0|0|DOMICILIO |9000|3900|x|x|x|2022-05-02|2022-05-09|0|0|0|0|0|S35D6LBI9KVTQO|0|HOMBRE|0|12900|0|0|0|0|0|0|0|0|CARDENAS|X|X|X|X|FINAL</v>
      </c>
    </row>
    <row r="31" spans="1:82" x14ac:dyDescent="0.25">
      <c r="A31" t="s">
        <v>165</v>
      </c>
      <c r="B31" t="s">
        <v>410</v>
      </c>
      <c r="C31">
        <v>3</v>
      </c>
      <c r="D31" t="s">
        <v>637</v>
      </c>
      <c r="E31" t="s">
        <v>643</v>
      </c>
      <c r="F31" t="s">
        <v>644</v>
      </c>
      <c r="G31" t="s">
        <v>644</v>
      </c>
      <c r="H31" t="s">
        <v>823</v>
      </c>
      <c r="I31">
        <v>46000</v>
      </c>
      <c r="J31" t="s">
        <v>3</v>
      </c>
      <c r="K31" t="s">
        <v>3</v>
      </c>
      <c r="L31">
        <v>100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1014</v>
      </c>
      <c r="AC31" t="s">
        <v>1015</v>
      </c>
      <c r="AD31" s="18" t="s">
        <v>1016</v>
      </c>
      <c r="AE31" t="s">
        <v>1356</v>
      </c>
      <c r="AF31">
        <v>0</v>
      </c>
      <c r="AG31">
        <v>0</v>
      </c>
      <c r="AH31" t="s">
        <v>1378</v>
      </c>
      <c r="AI31" t="s">
        <v>667</v>
      </c>
      <c r="AJ31">
        <v>0</v>
      </c>
      <c r="AK31">
        <v>9931948429</v>
      </c>
      <c r="AL31">
        <v>0</v>
      </c>
      <c r="AM31">
        <v>0</v>
      </c>
      <c r="AN31">
        <v>0</v>
      </c>
      <c r="AO31" t="s">
        <v>1378</v>
      </c>
      <c r="AP31" t="s">
        <v>3</v>
      </c>
      <c r="AQ31" t="s">
        <v>1581</v>
      </c>
      <c r="AR31">
        <v>0</v>
      </c>
      <c r="AS31">
        <v>0</v>
      </c>
      <c r="AT31">
        <v>0</v>
      </c>
      <c r="AU31">
        <v>0</v>
      </c>
      <c r="AV31">
        <v>0</v>
      </c>
      <c r="AW31" t="s">
        <v>11</v>
      </c>
      <c r="AX31">
        <f>Tabla1[[#This Row],[precio del paquete]]-Tabla1[[#This Row],[Saldo_Deudor]]</f>
        <v>2050</v>
      </c>
      <c r="AY31">
        <v>43950</v>
      </c>
      <c r="AZ31" t="s">
        <v>3</v>
      </c>
      <c r="BA31" t="s">
        <v>3</v>
      </c>
      <c r="BB31" t="s">
        <v>3</v>
      </c>
      <c r="BC31" t="s">
        <v>1596</v>
      </c>
      <c r="BD31" t="s">
        <v>1597</v>
      </c>
      <c r="BE31">
        <v>0</v>
      </c>
      <c r="BF31">
        <v>0</v>
      </c>
      <c r="BG31">
        <v>0</v>
      </c>
      <c r="BH31">
        <v>0</v>
      </c>
      <c r="BI31">
        <v>0</v>
      </c>
      <c r="BJ31" t="s">
        <v>1652</v>
      </c>
      <c r="BK31">
        <v>0</v>
      </c>
      <c r="BL31" t="s">
        <v>132</v>
      </c>
      <c r="BM31">
        <v>0</v>
      </c>
      <c r="BN31">
        <f>Tabla1[[#This Row],[precio del paquete]]</f>
        <v>46000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1661</v>
      </c>
      <c r="CD31" t="str" cm="1">
        <f t="array" aca="1" ref="CD31" ca="1">eConcatenar(A31:CB31,"|")</f>
        <v>cTNp68B7sfzqNOUN|VSA2021-1749|3|ESPECIAL ANGELES|TABASCO|VILLAHERMOSA|VILLAHERMOSA|2021-10-22|46000|x|x|100|0|0|0|0|0|0|0|0|0|0|0|0|0|0|0|LUNA|GORDILLO|PAOLA ROMELIA|soltero|0|0|CALLE REYNALDO RUIZ ANTADO NUMERO 103|COLONIA GAVIOTAS SUR|0|9931948429|0|0|0|CALLE REYNALDO RUIZ ANTADO NUMERO 103|x|lunes|0|0|0|0|0|DOMICILIO |2050|43950|x|x|x|2022-12-03|2022-12-10|0|0|0|0|0|S35D6LBI9KVTQO|0|HOMBRE|0|46000|0|0|0|0|0|0|0|0|CARDENAS|X|X|X|X|FINAL</v>
      </c>
    </row>
    <row r="32" spans="1:82" x14ac:dyDescent="0.25">
      <c r="A32" t="s">
        <v>166</v>
      </c>
      <c r="B32" t="s">
        <v>411</v>
      </c>
      <c r="C32">
        <v>3</v>
      </c>
      <c r="D32" t="s">
        <v>634</v>
      </c>
      <c r="E32" t="s">
        <v>643</v>
      </c>
      <c r="F32" t="s">
        <v>644</v>
      </c>
      <c r="G32" t="s">
        <v>644</v>
      </c>
      <c r="H32" t="s">
        <v>824</v>
      </c>
      <c r="I32">
        <v>14800</v>
      </c>
      <c r="J32" t="s">
        <v>3</v>
      </c>
      <c r="K32" t="s">
        <v>3</v>
      </c>
      <c r="L32">
        <v>100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1017</v>
      </c>
      <c r="AC32" t="s">
        <v>1018</v>
      </c>
      <c r="AD32" s="18" t="s">
        <v>1019</v>
      </c>
      <c r="AE32" t="s">
        <v>1356</v>
      </c>
      <c r="AF32">
        <v>0</v>
      </c>
      <c r="AG32">
        <v>0</v>
      </c>
      <c r="AH32" t="s">
        <v>1379</v>
      </c>
      <c r="AI32" t="s">
        <v>668</v>
      </c>
      <c r="AJ32">
        <v>0</v>
      </c>
      <c r="AK32">
        <v>9931305606</v>
      </c>
      <c r="AL32">
        <v>0</v>
      </c>
      <c r="AM32">
        <v>0</v>
      </c>
      <c r="AN32">
        <v>0</v>
      </c>
      <c r="AO32" t="s">
        <v>1379</v>
      </c>
      <c r="AP32" t="s">
        <v>3</v>
      </c>
      <c r="AQ32" t="s">
        <v>1581</v>
      </c>
      <c r="AR32">
        <v>0</v>
      </c>
      <c r="AS32">
        <v>0</v>
      </c>
      <c r="AT32">
        <v>0</v>
      </c>
      <c r="AU32">
        <v>0</v>
      </c>
      <c r="AV32">
        <v>0</v>
      </c>
      <c r="AW32" t="s">
        <v>11</v>
      </c>
      <c r="AX32">
        <f>Tabla1[[#This Row],[precio del paquete]]-Tabla1[[#This Row],[Saldo_Deudor]]</f>
        <v>1100</v>
      </c>
      <c r="AY32">
        <v>13700</v>
      </c>
      <c r="AZ32" t="s">
        <v>3</v>
      </c>
      <c r="BA32" t="s">
        <v>3</v>
      </c>
      <c r="BB32" t="s">
        <v>3</v>
      </c>
      <c r="BC32" t="s">
        <v>1596</v>
      </c>
      <c r="BD32" t="s">
        <v>1597</v>
      </c>
      <c r="BE32">
        <v>0</v>
      </c>
      <c r="BF32">
        <v>0</v>
      </c>
      <c r="BG32">
        <v>0</v>
      </c>
      <c r="BH32">
        <v>0</v>
      </c>
      <c r="BI32">
        <v>0</v>
      </c>
      <c r="BJ32" t="s">
        <v>1652</v>
      </c>
      <c r="BK32">
        <v>0</v>
      </c>
      <c r="BL32" t="s">
        <v>132</v>
      </c>
      <c r="BM32">
        <v>0</v>
      </c>
      <c r="BN32">
        <f>Tabla1[[#This Row],[precio del paquete]]</f>
        <v>14800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1661</v>
      </c>
      <c r="CD32" t="str" cm="1">
        <f t="array" aca="1" ref="CD32" ca="1">eConcatenar(A32:CB32,"|")</f>
        <v>51dJ6nBytCJOtvgK|VSA2021-1975|3|MEMORIAL|TABASCO|VILLAHERMOSA|VILLAHERMOSA|2021-12-20|14800|x|x|100|0|0|0|0|0|0|0|0|0|0|0|0|0|0|0|SUAREZ|SOSA|IRMA|soltero|0|0|CALLE LAS RAICES 125 FRACCIONAMIENTO EL TRIUNFO |COLONIA LA MANGA 2|0|9931305606|0|0|0|CALLE LAS RAICES 125 FRACCIONAMIENTO EL TRIUNFO |x|lunes|0|0|0|0|0|DOMICILIO |1100|13700|x|x|x|2022-12-03|2022-12-10|0|0|0|0|0|S35D6LBI9KVTQO|0|HOMBRE|0|14800|0|0|0|0|0|0|0|0|CARDENAS|X|X|X|X|FINAL</v>
      </c>
    </row>
    <row r="33" spans="1:82" x14ac:dyDescent="0.25">
      <c r="A33" t="s">
        <v>167</v>
      </c>
      <c r="B33" t="s">
        <v>412</v>
      </c>
      <c r="C33">
        <v>3</v>
      </c>
      <c r="D33" t="s">
        <v>634</v>
      </c>
      <c r="E33" t="s">
        <v>643</v>
      </c>
      <c r="F33" t="s">
        <v>644</v>
      </c>
      <c r="G33" t="s">
        <v>644</v>
      </c>
      <c r="H33" t="s">
        <v>825</v>
      </c>
      <c r="I33">
        <v>14800</v>
      </c>
      <c r="J33" t="s">
        <v>3</v>
      </c>
      <c r="K33" t="s">
        <v>3</v>
      </c>
      <c r="L33">
        <v>100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971</v>
      </c>
      <c r="AC33" t="s">
        <v>1020</v>
      </c>
      <c r="AD33" s="18" t="s">
        <v>1021</v>
      </c>
      <c r="AE33" t="s">
        <v>1356</v>
      </c>
      <c r="AF33">
        <v>0</v>
      </c>
      <c r="AG33">
        <v>0</v>
      </c>
      <c r="AH33" t="s">
        <v>1380</v>
      </c>
      <c r="AI33" t="s">
        <v>669</v>
      </c>
      <c r="AJ33">
        <v>0</v>
      </c>
      <c r="AK33">
        <v>9931010676</v>
      </c>
      <c r="AL33">
        <v>0</v>
      </c>
      <c r="AM33">
        <v>0</v>
      </c>
      <c r="AN33">
        <v>0</v>
      </c>
      <c r="AO33" t="s">
        <v>1380</v>
      </c>
      <c r="AP33" t="s">
        <v>3</v>
      </c>
      <c r="AQ33" t="s">
        <v>1581</v>
      </c>
      <c r="AR33">
        <v>0</v>
      </c>
      <c r="AS33">
        <v>0</v>
      </c>
      <c r="AT33">
        <v>0</v>
      </c>
      <c r="AU33">
        <v>0</v>
      </c>
      <c r="AV33">
        <v>0</v>
      </c>
      <c r="AW33" t="s">
        <v>11</v>
      </c>
      <c r="AX33">
        <f>Tabla1[[#This Row],[precio del paquete]]-Tabla1[[#This Row],[Saldo_Deudor]]</f>
        <v>500</v>
      </c>
      <c r="AY33">
        <v>14300</v>
      </c>
      <c r="AZ33" t="s">
        <v>3</v>
      </c>
      <c r="BA33" t="s">
        <v>3</v>
      </c>
      <c r="BB33" t="s">
        <v>3</v>
      </c>
      <c r="BC33" t="s">
        <v>874</v>
      </c>
      <c r="BD33" t="s">
        <v>1598</v>
      </c>
      <c r="BE33">
        <v>0</v>
      </c>
      <c r="BF33">
        <v>0</v>
      </c>
      <c r="BG33">
        <v>0</v>
      </c>
      <c r="BH33">
        <v>0</v>
      </c>
      <c r="BI33">
        <v>0</v>
      </c>
      <c r="BJ33" t="s">
        <v>1652</v>
      </c>
      <c r="BK33">
        <v>0</v>
      </c>
      <c r="BL33" t="s">
        <v>132</v>
      </c>
      <c r="BM33">
        <v>0</v>
      </c>
      <c r="BN33">
        <f>Tabla1[[#This Row],[precio del paquete]]</f>
        <v>14800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1661</v>
      </c>
      <c r="CD33" t="str" cm="1">
        <f t="array" aca="1" ref="CD33" ca="1">eConcatenar(A33:CB33,"|")</f>
        <v>2qMGj0P8oqhtYtfQ|VSA2022-0001|3|MEMORIAL|TABASCO|VILLAHERMOSA|VILLAHERMOSA|2022-12-30|14800|x|x|100|0|0|0|0|0|0|0|0|0|0|0|0|0|0|0|HERNANDEZ|CRUZ|MARICELA|soltero|0|0|ENFRENTE DE GASOLINERIA MANZANA 2 LOTE 2 EDIFICIO 4|FRACCIONAMIENTO COLINAS DE SANTO DOMINGO|0|9931010676|0|0|0|ENFRENTE DE GASOLINERIA MANZANA 2 LOTE 2 EDIFICIO 4|x|lunes|0|0|0|0|0|DOMICILIO |500|14300|x|x|x|2021-12-30|2022-01-06|0|0|0|0|0|S35D6LBI9KVTQO|0|HOMBRE|0|14800|0|0|0|0|0|0|0|0|CARDENAS|X|X|X|X|FINAL</v>
      </c>
    </row>
    <row r="34" spans="1:82" x14ac:dyDescent="0.25">
      <c r="A34" t="s">
        <v>168</v>
      </c>
      <c r="B34" t="s">
        <v>413</v>
      </c>
      <c r="C34">
        <v>3</v>
      </c>
      <c r="D34" t="s">
        <v>634</v>
      </c>
      <c r="E34" t="s">
        <v>643</v>
      </c>
      <c r="F34" t="s">
        <v>644</v>
      </c>
      <c r="G34" t="s">
        <v>644</v>
      </c>
      <c r="H34" t="s">
        <v>826</v>
      </c>
      <c r="I34">
        <v>14800</v>
      </c>
      <c r="J34" t="s">
        <v>3</v>
      </c>
      <c r="K34" t="s">
        <v>3</v>
      </c>
      <c r="L34">
        <v>100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1022</v>
      </c>
      <c r="AC34" t="s">
        <v>1023</v>
      </c>
      <c r="AD34" s="18" t="s">
        <v>1024</v>
      </c>
      <c r="AE34" t="s">
        <v>1356</v>
      </c>
      <c r="AF34">
        <v>0</v>
      </c>
      <c r="AG34">
        <v>0</v>
      </c>
      <c r="AH34" t="s">
        <v>1381</v>
      </c>
      <c r="AI34" t="s">
        <v>670</v>
      </c>
      <c r="AJ34">
        <v>0</v>
      </c>
      <c r="AK34">
        <v>9931263116</v>
      </c>
      <c r="AL34">
        <v>0</v>
      </c>
      <c r="AM34">
        <v>0</v>
      </c>
      <c r="AN34">
        <v>0</v>
      </c>
      <c r="AO34" t="s">
        <v>1381</v>
      </c>
      <c r="AP34" t="s">
        <v>3</v>
      </c>
      <c r="AQ34" t="s">
        <v>1581</v>
      </c>
      <c r="AR34">
        <v>0</v>
      </c>
      <c r="AS34">
        <v>0</v>
      </c>
      <c r="AT34">
        <v>0</v>
      </c>
      <c r="AU34">
        <v>0</v>
      </c>
      <c r="AV34">
        <v>0</v>
      </c>
      <c r="AW34" t="s">
        <v>11</v>
      </c>
      <c r="AX34">
        <f>Tabla1[[#This Row],[precio del paquete]]-Tabla1[[#This Row],[Saldo_Deudor]]</f>
        <v>2600</v>
      </c>
      <c r="AY34">
        <v>12200</v>
      </c>
      <c r="AZ34" t="s">
        <v>3</v>
      </c>
      <c r="BA34" t="s">
        <v>3</v>
      </c>
      <c r="BB34" t="s">
        <v>3</v>
      </c>
      <c r="BC34" t="s">
        <v>1599</v>
      </c>
      <c r="BD34" t="s">
        <v>1600</v>
      </c>
      <c r="BE34">
        <v>0</v>
      </c>
      <c r="BF34">
        <v>0</v>
      </c>
      <c r="BG34">
        <v>0</v>
      </c>
      <c r="BH34">
        <v>0</v>
      </c>
      <c r="BI34">
        <v>0</v>
      </c>
      <c r="BJ34" t="s">
        <v>1652</v>
      </c>
      <c r="BK34">
        <v>0</v>
      </c>
      <c r="BL34" t="s">
        <v>132</v>
      </c>
      <c r="BM34">
        <v>0</v>
      </c>
      <c r="BN34">
        <f>Tabla1[[#This Row],[precio del paquete]]</f>
        <v>14800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1661</v>
      </c>
      <c r="CD34" t="str" cm="1">
        <f t="array" aca="1" ref="CD34" ca="1">eConcatenar(A34:CB34,"|")</f>
        <v>DiduZzRStamVFX5B|VSA2021-1833|3|MEMORIAL|TABASCO|VILLAHERMOSA|VILLAHERMOSA|2021-11-11|14800|x|x|100|0|0|0|0|0|0|0|0|0|0|0|0|0|0|0|ALCUDIA|DE LA CRUZ|RICHARD DE JESUS|soltero|0|0|CALLE ARQUITECTOS NUMERO 401 |COLONIA GAVIOTAS SUR SECTOR SAN JOSE|0|9931263116|0|0|0|CALLE ARQUITECTOS NUMERO 401 |x|lunes|0|0|0|0|0|DOMICILIO |2600|12200|x|x|x|2022-11-03|2022-11-10|0|0|0|0|0|S35D6LBI9KVTQO|0|HOMBRE|0|14800|0|0|0|0|0|0|0|0|CARDENAS|X|X|X|X|FINAL</v>
      </c>
    </row>
    <row r="35" spans="1:82" x14ac:dyDescent="0.25">
      <c r="A35" t="s">
        <v>169</v>
      </c>
      <c r="B35" t="s">
        <v>414</v>
      </c>
      <c r="C35">
        <v>3</v>
      </c>
      <c r="D35" t="s">
        <v>634</v>
      </c>
      <c r="E35" t="s">
        <v>643</v>
      </c>
      <c r="F35" t="s">
        <v>644</v>
      </c>
      <c r="G35" t="s">
        <v>644</v>
      </c>
      <c r="H35" t="s">
        <v>827</v>
      </c>
      <c r="I35">
        <v>14800</v>
      </c>
      <c r="J35" t="s">
        <v>3</v>
      </c>
      <c r="K35" t="s">
        <v>3</v>
      </c>
      <c r="L35">
        <v>100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1025</v>
      </c>
      <c r="AC35" t="s">
        <v>1026</v>
      </c>
      <c r="AD35" s="18" t="s">
        <v>1027</v>
      </c>
      <c r="AE35" t="s">
        <v>1356</v>
      </c>
      <c r="AF35">
        <v>0</v>
      </c>
      <c r="AG35">
        <v>0</v>
      </c>
      <c r="AH35" t="s">
        <v>1382</v>
      </c>
      <c r="AI35" t="s">
        <v>671</v>
      </c>
      <c r="AJ35">
        <v>0</v>
      </c>
      <c r="AK35">
        <v>9932146488</v>
      </c>
      <c r="AL35">
        <v>0</v>
      </c>
      <c r="AM35">
        <v>0</v>
      </c>
      <c r="AN35">
        <v>0</v>
      </c>
      <c r="AO35" t="s">
        <v>1382</v>
      </c>
      <c r="AP35" t="s">
        <v>3</v>
      </c>
      <c r="AQ35" t="s">
        <v>1581</v>
      </c>
      <c r="AR35">
        <v>0</v>
      </c>
      <c r="AS35">
        <v>0</v>
      </c>
      <c r="AT35">
        <v>0</v>
      </c>
      <c r="AU35">
        <v>0</v>
      </c>
      <c r="AV35">
        <v>0</v>
      </c>
      <c r="AW35" t="s">
        <v>11</v>
      </c>
      <c r="AX35">
        <f>Tabla1[[#This Row],[precio del paquete]]-Tabla1[[#This Row],[Saldo_Deudor]]</f>
        <v>1400</v>
      </c>
      <c r="AY35">
        <v>13400</v>
      </c>
      <c r="AZ35" t="s">
        <v>3</v>
      </c>
      <c r="BA35" t="s">
        <v>3</v>
      </c>
      <c r="BB35" t="s">
        <v>3</v>
      </c>
      <c r="BC35" t="s">
        <v>1599</v>
      </c>
      <c r="BD35" t="s">
        <v>1600</v>
      </c>
      <c r="BE35">
        <v>0</v>
      </c>
      <c r="BF35">
        <v>0</v>
      </c>
      <c r="BG35">
        <v>0</v>
      </c>
      <c r="BH35">
        <v>0</v>
      </c>
      <c r="BI35">
        <v>0</v>
      </c>
      <c r="BJ35" t="s">
        <v>1652</v>
      </c>
      <c r="BK35">
        <v>0</v>
      </c>
      <c r="BL35" t="s">
        <v>132</v>
      </c>
      <c r="BM35">
        <v>0</v>
      </c>
      <c r="BN35">
        <f>Tabla1[[#This Row],[precio del paquete]]</f>
        <v>14800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1661</v>
      </c>
      <c r="CD35" t="str" cm="1">
        <f t="array" aca="1" ref="CD35" ca="1">eConcatenar(A35:CB35,"|")</f>
        <v>xDhHMN6nkWpcnKhL|VSA2021-1918|3|MEMORIAL|TABASCO|VILLAHERMOSA|VILLAHERMOSA|2021-11-27|14800|x|x|100|0|0|0|0|0|0|0|0|0|0|0|0|0|0|0|RUIZ|DE LA ROSA|JUANA|soltero|0|0|CALLE DEL CENTRO DE SALUD SIN NUMERO|RANCHERIA BOQUERON CUARTA SECCION |0|9932146488|0|0|0|CALLE DEL CENTRO DE SALUD SIN NUMERO|x|lunes|0|0|0|0|0|DOMICILIO |1400|13400|x|x|x|2022-11-03|2022-11-10|0|0|0|0|0|S35D6LBI9KVTQO|0|HOMBRE|0|14800|0|0|0|0|0|0|0|0|CARDENAS|X|X|X|X|FINAL</v>
      </c>
    </row>
    <row r="36" spans="1:82" x14ac:dyDescent="0.25">
      <c r="A36" t="s">
        <v>170</v>
      </c>
      <c r="B36" t="s">
        <v>415</v>
      </c>
      <c r="C36">
        <v>3</v>
      </c>
      <c r="D36" t="s">
        <v>634</v>
      </c>
      <c r="E36" t="s">
        <v>643</v>
      </c>
      <c r="F36" t="s">
        <v>646</v>
      </c>
      <c r="G36" t="s">
        <v>646</v>
      </c>
      <c r="H36" t="s">
        <v>824</v>
      </c>
      <c r="I36">
        <v>14800</v>
      </c>
      <c r="J36" t="s">
        <v>3</v>
      </c>
      <c r="K36" t="s">
        <v>3</v>
      </c>
      <c r="L36">
        <v>100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1023</v>
      </c>
      <c r="AC36" t="s">
        <v>975</v>
      </c>
      <c r="AD36" s="18" t="s">
        <v>1028</v>
      </c>
      <c r="AE36" t="s">
        <v>1356</v>
      </c>
      <c r="AF36">
        <v>0</v>
      </c>
      <c r="AG36">
        <v>0</v>
      </c>
      <c r="AH36" t="s">
        <v>1383</v>
      </c>
      <c r="AI36" t="s">
        <v>672</v>
      </c>
      <c r="AJ36">
        <v>0</v>
      </c>
      <c r="AK36">
        <v>9934973459</v>
      </c>
      <c r="AL36">
        <v>0</v>
      </c>
      <c r="AM36">
        <v>0</v>
      </c>
      <c r="AN36">
        <v>0</v>
      </c>
      <c r="AO36" t="s">
        <v>1383</v>
      </c>
      <c r="AP36" t="s">
        <v>3</v>
      </c>
      <c r="AQ36" t="s">
        <v>1581</v>
      </c>
      <c r="AR36">
        <v>0</v>
      </c>
      <c r="AS36">
        <v>0</v>
      </c>
      <c r="AT36">
        <v>0</v>
      </c>
      <c r="AU36">
        <v>0</v>
      </c>
      <c r="AV36">
        <v>0</v>
      </c>
      <c r="AW36" t="s">
        <v>11</v>
      </c>
      <c r="AX36">
        <f>Tabla1[[#This Row],[precio del paquete]]-Tabla1[[#This Row],[Saldo_Deudor]]</f>
        <v>900</v>
      </c>
      <c r="AY36">
        <v>13900</v>
      </c>
      <c r="AZ36" t="s">
        <v>3</v>
      </c>
      <c r="BA36" t="s">
        <v>3</v>
      </c>
      <c r="BB36" t="s">
        <v>3</v>
      </c>
      <c r="BC36" t="s">
        <v>1599</v>
      </c>
      <c r="BD36" t="s">
        <v>1600</v>
      </c>
      <c r="BE36">
        <v>0</v>
      </c>
      <c r="BF36">
        <v>0</v>
      </c>
      <c r="BG36">
        <v>0</v>
      </c>
      <c r="BH36">
        <v>0</v>
      </c>
      <c r="BI36">
        <v>0</v>
      </c>
      <c r="BJ36" t="s">
        <v>1652</v>
      </c>
      <c r="BK36">
        <v>0</v>
      </c>
      <c r="BL36" t="s">
        <v>132</v>
      </c>
      <c r="BM36">
        <v>0</v>
      </c>
      <c r="BN36">
        <f>Tabla1[[#This Row],[precio del paquete]]</f>
        <v>14800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1661</v>
      </c>
      <c r="CD36" t="str" cm="1">
        <f t="array" aca="1" ref="CD36" ca="1">eConcatenar(A36:CB36,"|")</f>
        <v>Hbkn3INiqE2HPrCg|VSA2021-1976|3|MEMORIAL|TABASCO|NACAJUCA |NACAJUCA |2021-12-20|14800|x|x|100|0|0|0|0|0|0|0|0|0|0|0|0|0|0|0|DE LA CRUZ|MORENO|ASHLEY GABRIEL|soltero|0|0|ANDADOR DEL PINO LOTE 12 MANZANA 13 |FRACCIONAMIENTO BOSQUES DE SALOYA |0|9934973459|0|0|0|ANDADOR DEL PINO LOTE 12 MANZANA 13 |x|lunes|0|0|0|0|0|DOMICILIO |900|13900|x|x|x|2022-11-03|2022-11-10|0|0|0|0|0|S35D6LBI9KVTQO|0|HOMBRE|0|14800|0|0|0|0|0|0|0|0|CARDENAS|X|X|X|X|FINAL</v>
      </c>
    </row>
    <row r="37" spans="1:82" x14ac:dyDescent="0.25">
      <c r="A37" t="s">
        <v>171</v>
      </c>
      <c r="B37" t="s">
        <v>416</v>
      </c>
      <c r="C37">
        <v>3</v>
      </c>
      <c r="D37" t="s">
        <v>634</v>
      </c>
      <c r="E37" t="s">
        <v>643</v>
      </c>
      <c r="F37" t="s">
        <v>644</v>
      </c>
      <c r="G37" t="s">
        <v>644</v>
      </c>
      <c r="H37" t="s">
        <v>823</v>
      </c>
      <c r="I37">
        <v>14800</v>
      </c>
      <c r="J37" t="s">
        <v>3</v>
      </c>
      <c r="K37" t="s">
        <v>3</v>
      </c>
      <c r="L37">
        <v>100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1029</v>
      </c>
      <c r="AC37" t="s">
        <v>971</v>
      </c>
      <c r="AD37" s="18" t="s">
        <v>1030</v>
      </c>
      <c r="AE37" t="s">
        <v>1356</v>
      </c>
      <c r="AF37">
        <v>0</v>
      </c>
      <c r="AG37">
        <v>0</v>
      </c>
      <c r="AH37" t="s">
        <v>1384</v>
      </c>
      <c r="AI37" t="s">
        <v>673</v>
      </c>
      <c r="AJ37">
        <v>0</v>
      </c>
      <c r="AK37">
        <v>9931601451</v>
      </c>
      <c r="AL37">
        <v>0</v>
      </c>
      <c r="AM37">
        <v>0</v>
      </c>
      <c r="AN37">
        <v>0</v>
      </c>
      <c r="AO37" t="s">
        <v>1384</v>
      </c>
      <c r="AP37" t="s">
        <v>3</v>
      </c>
      <c r="AQ37" t="s">
        <v>1581</v>
      </c>
      <c r="AR37">
        <v>0</v>
      </c>
      <c r="AS37">
        <v>0</v>
      </c>
      <c r="AT37">
        <v>0</v>
      </c>
      <c r="AU37">
        <v>0</v>
      </c>
      <c r="AV37">
        <v>0</v>
      </c>
      <c r="AW37" t="s">
        <v>11</v>
      </c>
      <c r="AX37">
        <f>Tabla1[[#This Row],[precio del paquete]]-Tabla1[[#This Row],[Saldo_Deudor]]</f>
        <v>2585</v>
      </c>
      <c r="AY37">
        <v>12215</v>
      </c>
      <c r="AZ37" t="s">
        <v>3</v>
      </c>
      <c r="BA37" t="s">
        <v>3</v>
      </c>
      <c r="BB37" t="s">
        <v>3</v>
      </c>
      <c r="BC37" t="s">
        <v>1599</v>
      </c>
      <c r="BD37" t="s">
        <v>1600</v>
      </c>
      <c r="BE37">
        <v>0</v>
      </c>
      <c r="BF37">
        <v>0</v>
      </c>
      <c r="BG37">
        <v>0</v>
      </c>
      <c r="BH37">
        <v>0</v>
      </c>
      <c r="BI37">
        <v>0</v>
      </c>
      <c r="BJ37" t="s">
        <v>1652</v>
      </c>
      <c r="BK37">
        <v>0</v>
      </c>
      <c r="BL37" t="s">
        <v>132</v>
      </c>
      <c r="BM37">
        <v>0</v>
      </c>
      <c r="BN37">
        <f>Tabla1[[#This Row],[precio del paquete]]</f>
        <v>14800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1661</v>
      </c>
      <c r="CD37" t="str" cm="1">
        <f t="array" aca="1" ref="CD37" ca="1">eConcatenar(A37:CB37,"|")</f>
        <v>zhy42A8cLD8CvfAg|VSA2021-1753|3|MEMORIAL|TABASCO|VILLAHERMOSA|VILLAHERMOSA|2021-10-22|14800|x|x|100|0|0|0|0|0|0|0|0|0|0|0|0|0|0|0|CASTRO|HERNANDEZ|MARIA|soltero|0|0|CALLE ANDRES SANCHEZ MAGALLANES NUMERO 723|COLONIA CENTRO|0|9931601451|0|0|0|CALLE ANDRES SANCHEZ MAGALLANES NUMERO 723|x|lunes|0|0|0|0|0|DOMICILIO |2585|12215|x|x|x|2022-11-03|2022-11-10|0|0|0|0|0|S35D6LBI9KVTQO|0|HOMBRE|0|14800|0|0|0|0|0|0|0|0|CARDENAS|X|X|X|X|FINAL</v>
      </c>
    </row>
    <row r="38" spans="1:82" x14ac:dyDescent="0.25">
      <c r="A38" t="s">
        <v>172</v>
      </c>
      <c r="B38" t="s">
        <v>417</v>
      </c>
      <c r="C38">
        <v>3</v>
      </c>
      <c r="D38" t="s">
        <v>634</v>
      </c>
      <c r="E38" t="s">
        <v>643</v>
      </c>
      <c r="F38" t="s">
        <v>644</v>
      </c>
      <c r="G38" t="s">
        <v>644</v>
      </c>
      <c r="H38" t="s">
        <v>828</v>
      </c>
      <c r="I38">
        <v>14800</v>
      </c>
      <c r="J38" t="s">
        <v>3</v>
      </c>
      <c r="K38" t="s">
        <v>3</v>
      </c>
      <c r="L38">
        <v>100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995</v>
      </c>
      <c r="AC38" t="s">
        <v>1031</v>
      </c>
      <c r="AD38" s="18" t="s">
        <v>977</v>
      </c>
      <c r="AE38" t="s">
        <v>1356</v>
      </c>
      <c r="AF38">
        <v>0</v>
      </c>
      <c r="AG38">
        <v>0</v>
      </c>
      <c r="AH38" t="s">
        <v>1385</v>
      </c>
      <c r="AI38" t="s">
        <v>674</v>
      </c>
      <c r="AJ38">
        <v>0</v>
      </c>
      <c r="AK38">
        <v>9932055107</v>
      </c>
      <c r="AL38">
        <v>0</v>
      </c>
      <c r="AM38">
        <v>0</v>
      </c>
      <c r="AN38">
        <v>0</v>
      </c>
      <c r="AO38" t="s">
        <v>1385</v>
      </c>
      <c r="AP38" t="s">
        <v>3</v>
      </c>
      <c r="AQ38" t="s">
        <v>1581</v>
      </c>
      <c r="AR38">
        <v>0</v>
      </c>
      <c r="AS38">
        <v>0</v>
      </c>
      <c r="AT38">
        <v>0</v>
      </c>
      <c r="AU38">
        <v>0</v>
      </c>
      <c r="AV38">
        <v>0</v>
      </c>
      <c r="AW38" t="s">
        <v>11</v>
      </c>
      <c r="AX38">
        <f>Tabla1[[#This Row],[precio del paquete]]-Tabla1[[#This Row],[Saldo_Deudor]]</f>
        <v>300</v>
      </c>
      <c r="AY38">
        <v>14500</v>
      </c>
      <c r="AZ38" t="s">
        <v>3</v>
      </c>
      <c r="BA38" t="s">
        <v>3</v>
      </c>
      <c r="BB38" t="s">
        <v>3</v>
      </c>
      <c r="BC38" t="s">
        <v>1599</v>
      </c>
      <c r="BD38" t="s">
        <v>1600</v>
      </c>
      <c r="BE38">
        <v>0</v>
      </c>
      <c r="BF38">
        <v>0</v>
      </c>
      <c r="BG38">
        <v>0</v>
      </c>
      <c r="BH38">
        <v>0</v>
      </c>
      <c r="BI38">
        <v>0</v>
      </c>
      <c r="BJ38" t="s">
        <v>1652</v>
      </c>
      <c r="BK38">
        <v>0</v>
      </c>
      <c r="BL38" t="s">
        <v>132</v>
      </c>
      <c r="BM38">
        <v>0</v>
      </c>
      <c r="BN38">
        <f>Tabla1[[#This Row],[precio del paquete]]</f>
        <v>14800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1661</v>
      </c>
      <c r="CD38" t="str" cm="1">
        <f t="array" aca="1" ref="CD38" ca="1">eConcatenar(A38:CB38,"|")</f>
        <v>Buik4j67HxXVTx1s|VSA2022-0227|3|MEMORIAL|TABASCO|VILLAHERMOSA|VILLAHERMOSA|2022-02-28|14800|x|x|100|0|0|0|0|0|0|0|0|0|0|0|0|0|0|0|CORDOVA|MONTIEL|ABEL|soltero|0|0|CALLE TULIPAN SIN NUMERO |COLONIA GAVIOTAS SUR SECTOR SAN JOSE |0|9932055107|0|0|0|CALLE TULIPAN SIN NUMERO |x|lunes|0|0|0|0|0|DOMICILIO |300|14500|x|x|x|2022-11-03|2022-11-10|0|0|0|0|0|S35D6LBI9KVTQO|0|HOMBRE|0|14800|0|0|0|0|0|0|0|0|CARDENAS|X|X|X|X|FINAL</v>
      </c>
    </row>
    <row r="39" spans="1:82" x14ac:dyDescent="0.25">
      <c r="A39" t="s">
        <v>173</v>
      </c>
      <c r="B39" t="s">
        <v>418</v>
      </c>
      <c r="C39">
        <v>3</v>
      </c>
      <c r="D39" t="s">
        <v>634</v>
      </c>
      <c r="E39" t="s">
        <v>643</v>
      </c>
      <c r="F39" t="s">
        <v>644</v>
      </c>
      <c r="G39" t="s">
        <v>644</v>
      </c>
      <c r="H39" t="s">
        <v>829</v>
      </c>
      <c r="I39">
        <v>14800</v>
      </c>
      <c r="J39" t="s">
        <v>3</v>
      </c>
      <c r="K39" t="s">
        <v>3</v>
      </c>
      <c r="L39">
        <v>100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1032</v>
      </c>
      <c r="AC39" t="s">
        <v>971</v>
      </c>
      <c r="AD39" s="18" t="s">
        <v>1033</v>
      </c>
      <c r="AE39" t="s">
        <v>1356</v>
      </c>
      <c r="AF39">
        <v>0</v>
      </c>
      <c r="AG39">
        <v>0</v>
      </c>
      <c r="AH39" t="s">
        <v>1386</v>
      </c>
      <c r="AI39" t="s">
        <v>675</v>
      </c>
      <c r="AJ39">
        <v>0</v>
      </c>
      <c r="AK39">
        <v>9932253685</v>
      </c>
      <c r="AL39">
        <v>0</v>
      </c>
      <c r="AM39">
        <v>0</v>
      </c>
      <c r="AN39">
        <v>0</v>
      </c>
      <c r="AO39" t="s">
        <v>1386</v>
      </c>
      <c r="AP39" t="s">
        <v>3</v>
      </c>
      <c r="AQ39" t="s">
        <v>1581</v>
      </c>
      <c r="AR39">
        <v>0</v>
      </c>
      <c r="AS39">
        <v>0</v>
      </c>
      <c r="AT39">
        <v>0</v>
      </c>
      <c r="AU39">
        <v>0</v>
      </c>
      <c r="AV39">
        <v>0</v>
      </c>
      <c r="AW39" t="s">
        <v>11</v>
      </c>
      <c r="AX39">
        <f>Tabla1[[#This Row],[precio del paquete]]-Tabla1[[#This Row],[Saldo_Deudor]]</f>
        <v>2800</v>
      </c>
      <c r="AY39">
        <v>12000</v>
      </c>
      <c r="AZ39" t="s">
        <v>3</v>
      </c>
      <c r="BA39" t="s">
        <v>3</v>
      </c>
      <c r="BB39" t="s">
        <v>3</v>
      </c>
      <c r="BC39" t="s">
        <v>1599</v>
      </c>
      <c r="BD39" t="s">
        <v>1600</v>
      </c>
      <c r="BE39">
        <v>0</v>
      </c>
      <c r="BF39">
        <v>0</v>
      </c>
      <c r="BG39">
        <v>0</v>
      </c>
      <c r="BH39">
        <v>0</v>
      </c>
      <c r="BI39">
        <v>0</v>
      </c>
      <c r="BJ39" t="s">
        <v>1652</v>
      </c>
      <c r="BK39">
        <v>0</v>
      </c>
      <c r="BL39" t="s">
        <v>132</v>
      </c>
      <c r="BM39">
        <v>0</v>
      </c>
      <c r="BN39">
        <f>Tabla1[[#This Row],[precio del paquete]]</f>
        <v>14800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1661</v>
      </c>
      <c r="CD39" t="str" cm="1">
        <f t="array" aca="1" ref="CD39" ca="1">eConcatenar(A39:CB39,"|")</f>
        <v>KSZmtGfaSoU6BgKi|VSA2021-1864|3|MEMORIAL|TABASCO|VILLAHERMOSA|VILLAHERMOSA|2021-11-16|14800|x|x|100|0|0|0|0|0|0|0|0|0|0|0|0|0|0|0|GALMICHE|HERNANDEZ|SEBASTIANA|soltero|0|0|CALLE LAGUNA LA PALMA NUMERO 247 ESQUINA MECOACAN |COLONIA LA MANGA III|0|9932253685|0|0|0|CALLE LAGUNA LA PALMA NUMERO 247 ESQUINA MECOACAN |x|lunes|0|0|0|0|0|DOMICILIO |2800|12000|x|x|x|2022-11-03|2022-11-10|0|0|0|0|0|S35D6LBI9KVTQO|0|HOMBRE|0|14800|0|0|0|0|0|0|0|0|CARDENAS|X|X|X|X|FINAL</v>
      </c>
    </row>
    <row r="40" spans="1:82" x14ac:dyDescent="0.25">
      <c r="A40" t="s">
        <v>174</v>
      </c>
      <c r="B40" t="s">
        <v>419</v>
      </c>
      <c r="C40">
        <v>3</v>
      </c>
      <c r="D40" t="s">
        <v>634</v>
      </c>
      <c r="E40" t="s">
        <v>643</v>
      </c>
      <c r="F40" t="s">
        <v>644</v>
      </c>
      <c r="G40" t="s">
        <v>644</v>
      </c>
      <c r="H40" t="s">
        <v>830</v>
      </c>
      <c r="I40">
        <v>14800</v>
      </c>
      <c r="J40" t="s">
        <v>3</v>
      </c>
      <c r="K40" t="s">
        <v>3</v>
      </c>
      <c r="L40">
        <v>100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1034</v>
      </c>
      <c r="AC40" t="s">
        <v>7</v>
      </c>
      <c r="AD40" s="18" t="s">
        <v>1035</v>
      </c>
      <c r="AE40" t="s">
        <v>1356</v>
      </c>
      <c r="AF40">
        <v>0</v>
      </c>
      <c r="AG40">
        <v>0</v>
      </c>
      <c r="AH40" t="s">
        <v>1387</v>
      </c>
      <c r="AI40" t="s">
        <v>675</v>
      </c>
      <c r="AJ40">
        <v>0</v>
      </c>
      <c r="AK40">
        <v>9931131176</v>
      </c>
      <c r="AL40">
        <v>0</v>
      </c>
      <c r="AM40">
        <v>0</v>
      </c>
      <c r="AN40">
        <v>0</v>
      </c>
      <c r="AO40" t="s">
        <v>1387</v>
      </c>
      <c r="AP40" t="s">
        <v>3</v>
      </c>
      <c r="AQ40" t="s">
        <v>1581</v>
      </c>
      <c r="AR40">
        <v>0</v>
      </c>
      <c r="AS40">
        <v>0</v>
      </c>
      <c r="AT40">
        <v>0</v>
      </c>
      <c r="AU40">
        <v>0</v>
      </c>
      <c r="AV40">
        <v>0</v>
      </c>
      <c r="AW40" t="s">
        <v>11</v>
      </c>
      <c r="AX40">
        <f>Tabla1[[#This Row],[precio del paquete]]-Tabla1[[#This Row],[Saldo_Deudor]]</f>
        <v>2600</v>
      </c>
      <c r="AY40">
        <v>12200</v>
      </c>
      <c r="AZ40" t="s">
        <v>3</v>
      </c>
      <c r="BA40" t="s">
        <v>3</v>
      </c>
      <c r="BB40" t="s">
        <v>3</v>
      </c>
      <c r="BC40" t="s">
        <v>1599</v>
      </c>
      <c r="BD40" t="s">
        <v>1600</v>
      </c>
      <c r="BE40">
        <v>0</v>
      </c>
      <c r="BF40">
        <v>0</v>
      </c>
      <c r="BG40">
        <v>0</v>
      </c>
      <c r="BH40">
        <v>0</v>
      </c>
      <c r="BI40">
        <v>0</v>
      </c>
      <c r="BJ40" t="s">
        <v>1652</v>
      </c>
      <c r="BK40">
        <v>0</v>
      </c>
      <c r="BL40" t="s">
        <v>132</v>
      </c>
      <c r="BM40">
        <v>0</v>
      </c>
      <c r="BN40">
        <f>Tabla1[[#This Row],[precio del paquete]]</f>
        <v>14800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1661</v>
      </c>
      <c r="CD40" t="str" cm="1">
        <f t="array" aca="1" ref="CD40" ca="1">eConcatenar(A40:CB40,"|")</f>
        <v>ejsyCRlw7DMRjiRt|VSA2021-1672|3|MEMORIAL|TABASCO|VILLAHERMOSA|VILLAHERMOSA|2021-06-10|14800|x|x|100|0|0|0|0|0|0|0|0|0|0|0|0|0|0|0|CERINO|LOPEZ|LUZ DEL ALBA|soltero|0|0|VALLE LAGUNAS DEL ROSARIO SIN NUMERO|COLONIA LA MANGA III|0|9931131176|0|0|0|VALLE LAGUNAS DEL ROSARIO SIN NUMERO|x|lunes|0|0|0|0|0|DOMICILIO |2600|12200|x|x|x|2022-11-03|2022-11-10|0|0|0|0|0|S35D6LBI9KVTQO|0|HOMBRE|0|14800|0|0|0|0|0|0|0|0|CARDENAS|X|X|X|X|FINAL</v>
      </c>
    </row>
    <row r="41" spans="1:82" x14ac:dyDescent="0.25">
      <c r="A41" t="s">
        <v>175</v>
      </c>
      <c r="B41" t="s">
        <v>420</v>
      </c>
      <c r="C41">
        <v>3</v>
      </c>
      <c r="D41" t="s">
        <v>634</v>
      </c>
      <c r="E41" t="s">
        <v>643</v>
      </c>
      <c r="F41" t="s">
        <v>644</v>
      </c>
      <c r="G41" t="s">
        <v>644</v>
      </c>
      <c r="H41" t="s">
        <v>831</v>
      </c>
      <c r="I41">
        <v>14800</v>
      </c>
      <c r="J41" t="s">
        <v>3</v>
      </c>
      <c r="K41" t="s">
        <v>3</v>
      </c>
      <c r="L41">
        <v>100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984</v>
      </c>
      <c r="AC41" t="s">
        <v>966</v>
      </c>
      <c r="AD41" s="18" t="s">
        <v>1036</v>
      </c>
      <c r="AE41" t="s">
        <v>1356</v>
      </c>
      <c r="AF41">
        <v>0</v>
      </c>
      <c r="AG41">
        <v>0</v>
      </c>
      <c r="AH41" t="s">
        <v>1388</v>
      </c>
      <c r="AI41" t="s">
        <v>676</v>
      </c>
      <c r="AJ41">
        <v>0</v>
      </c>
      <c r="AK41">
        <v>9934575637</v>
      </c>
      <c r="AL41">
        <v>0</v>
      </c>
      <c r="AM41">
        <v>0</v>
      </c>
      <c r="AN41">
        <v>0</v>
      </c>
      <c r="AO41" t="s">
        <v>1388</v>
      </c>
      <c r="AP41" t="s">
        <v>3</v>
      </c>
      <c r="AQ41" t="s">
        <v>1581</v>
      </c>
      <c r="AR41">
        <v>0</v>
      </c>
      <c r="AS41">
        <v>0</v>
      </c>
      <c r="AT41">
        <v>0</v>
      </c>
      <c r="AU41">
        <v>0</v>
      </c>
      <c r="AV41">
        <v>0</v>
      </c>
      <c r="AW41" t="s">
        <v>11</v>
      </c>
      <c r="AX41">
        <f>Tabla1[[#This Row],[precio del paquete]]-Tabla1[[#This Row],[Saldo_Deudor]]</f>
        <v>2500</v>
      </c>
      <c r="AY41">
        <v>12300</v>
      </c>
      <c r="AZ41" t="s">
        <v>3</v>
      </c>
      <c r="BA41" t="s">
        <v>3</v>
      </c>
      <c r="BB41" t="s">
        <v>3</v>
      </c>
      <c r="BC41" t="s">
        <v>1599</v>
      </c>
      <c r="BD41" t="s">
        <v>1600</v>
      </c>
      <c r="BE41">
        <v>0</v>
      </c>
      <c r="BF41">
        <v>0</v>
      </c>
      <c r="BG41">
        <v>0</v>
      </c>
      <c r="BH41">
        <v>0</v>
      </c>
      <c r="BI41">
        <v>0</v>
      </c>
      <c r="BJ41" t="s">
        <v>1652</v>
      </c>
      <c r="BK41">
        <v>0</v>
      </c>
      <c r="BL41" t="s">
        <v>132</v>
      </c>
      <c r="BM41">
        <v>0</v>
      </c>
      <c r="BN41">
        <f>Tabla1[[#This Row],[precio del paquete]]</f>
        <v>14800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1661</v>
      </c>
      <c r="CD41" t="str" cm="1">
        <f t="array" aca="1" ref="CD41" ca="1">eConcatenar(A41:CB41,"|")</f>
        <v>mAAIzMxB0DabpO6w|VSA2021-1811|3|MEMORIAL|TABASCO|VILLAHERMOSA|VILLAHERMOSA|2021-08-11|14800|x|x|100|0|0|0|0|0|0|0|0|0|0|0|0|0|0|0|DIAZ|SANCHEZ|ANTONIA|soltero|0|0|SECTOR LA POZA LOTE 5 MANZANA 6 |COLONIA GAVIOTAS NORTE|0|9934575637|0|0|0|SECTOR LA POZA LOTE 5 MANZANA 6 |x|lunes|0|0|0|0|0|DOMICILIO |2500|12300|x|x|x|2022-11-03|2022-11-10|0|0|0|0|0|S35D6LBI9KVTQO|0|HOMBRE|0|14800|0|0|0|0|0|0|0|0|CARDENAS|X|X|X|X|FINAL</v>
      </c>
    </row>
    <row r="42" spans="1:82" x14ac:dyDescent="0.25">
      <c r="A42" t="s">
        <v>176</v>
      </c>
      <c r="B42" t="s">
        <v>421</v>
      </c>
      <c r="C42">
        <v>3</v>
      </c>
      <c r="D42" t="s">
        <v>638</v>
      </c>
      <c r="E42" t="s">
        <v>643</v>
      </c>
      <c r="F42" t="s">
        <v>644</v>
      </c>
      <c r="G42" t="s">
        <v>644</v>
      </c>
      <c r="H42" t="s">
        <v>832</v>
      </c>
      <c r="I42">
        <v>31500</v>
      </c>
      <c r="J42" t="s">
        <v>3</v>
      </c>
      <c r="K42" t="s">
        <v>3</v>
      </c>
      <c r="L42">
        <v>100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1037</v>
      </c>
      <c r="AC42" t="s">
        <v>1038</v>
      </c>
      <c r="AD42" s="18" t="s">
        <v>1039</v>
      </c>
      <c r="AE42" t="s">
        <v>1356</v>
      </c>
      <c r="AF42">
        <v>0</v>
      </c>
      <c r="AG42">
        <v>0</v>
      </c>
      <c r="AH42" t="s">
        <v>1389</v>
      </c>
      <c r="AI42" t="s">
        <v>677</v>
      </c>
      <c r="AJ42">
        <v>0</v>
      </c>
      <c r="AK42">
        <v>9931492686</v>
      </c>
      <c r="AL42">
        <v>0</v>
      </c>
      <c r="AM42">
        <v>0</v>
      </c>
      <c r="AN42">
        <v>0</v>
      </c>
      <c r="AO42" t="s">
        <v>1389</v>
      </c>
      <c r="AP42" t="s">
        <v>3</v>
      </c>
      <c r="AQ42" t="s">
        <v>1581</v>
      </c>
      <c r="AR42">
        <v>0</v>
      </c>
      <c r="AS42">
        <v>0</v>
      </c>
      <c r="AT42">
        <v>0</v>
      </c>
      <c r="AU42">
        <v>0</v>
      </c>
      <c r="AV42">
        <v>0</v>
      </c>
      <c r="AW42" t="s">
        <v>11</v>
      </c>
      <c r="AX42">
        <f>Tabla1[[#This Row],[precio del paquete]]-Tabla1[[#This Row],[Saldo_Deudor]]</f>
        <v>14100</v>
      </c>
      <c r="AY42">
        <v>17400</v>
      </c>
      <c r="AZ42" t="s">
        <v>3</v>
      </c>
      <c r="BA42" t="s">
        <v>3</v>
      </c>
      <c r="BB42" t="s">
        <v>3</v>
      </c>
      <c r="BC42" t="s">
        <v>1599</v>
      </c>
      <c r="BD42" t="s">
        <v>1600</v>
      </c>
      <c r="BE42">
        <v>0</v>
      </c>
      <c r="BF42">
        <v>0</v>
      </c>
      <c r="BG42">
        <v>0</v>
      </c>
      <c r="BH42">
        <v>0</v>
      </c>
      <c r="BI42">
        <v>0</v>
      </c>
      <c r="BJ42" t="s">
        <v>1652</v>
      </c>
      <c r="BK42">
        <v>0</v>
      </c>
      <c r="BL42" t="s">
        <v>132</v>
      </c>
      <c r="BM42">
        <v>0</v>
      </c>
      <c r="BN42">
        <f>Tabla1[[#This Row],[precio del paquete]]</f>
        <v>31500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1661</v>
      </c>
      <c r="CD42" t="str" cm="1">
        <f t="array" aca="1" ref="CD42" ca="1">eConcatenar(A42:CB42,"|")</f>
        <v>GL6e6SPXILfS6Kzt|VSA2020-1222|3|PRESIDENCIAL|TABASCO|VILLAHERMOSA|VILLAHERMOSA|2020-06-24|31500|x|x|100|0|0|0|0|0|0|0|0|0|0|0|0|0|0|0|BRITO|VALENCIA|GUADALUPE|soltero|0|0|CALLE CARLOS GREEN NUMERO 714|COLONIA ATASTA|0|9931492686|0|0|0|CALLE CARLOS GREEN NUMERO 714|x|lunes|0|0|0|0|0|DOMICILIO |14100|17400|x|x|x|2022-11-03|2022-11-10|0|0|0|0|0|S35D6LBI9KVTQO|0|HOMBRE|0|31500|0|0|0|0|0|0|0|0|CARDENAS|X|X|X|X|FINAL</v>
      </c>
    </row>
    <row r="43" spans="1:82" x14ac:dyDescent="0.25">
      <c r="A43" t="s">
        <v>177</v>
      </c>
      <c r="B43" t="s">
        <v>422</v>
      </c>
      <c r="C43">
        <v>3</v>
      </c>
      <c r="D43" t="s">
        <v>635</v>
      </c>
      <c r="E43" t="s">
        <v>643</v>
      </c>
      <c r="F43" t="s">
        <v>644</v>
      </c>
      <c r="G43" t="s">
        <v>644</v>
      </c>
      <c r="H43" t="s">
        <v>833</v>
      </c>
      <c r="I43">
        <v>12900</v>
      </c>
      <c r="J43" t="s">
        <v>3</v>
      </c>
      <c r="K43" t="s">
        <v>3</v>
      </c>
      <c r="L43">
        <v>100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1040</v>
      </c>
      <c r="AC43" t="s">
        <v>1041</v>
      </c>
      <c r="AD43" s="18" t="s">
        <v>1027</v>
      </c>
      <c r="AE43" t="s">
        <v>1356</v>
      </c>
      <c r="AF43">
        <v>0</v>
      </c>
      <c r="AG43">
        <v>0</v>
      </c>
      <c r="AH43" t="s">
        <v>1390</v>
      </c>
      <c r="AI43" t="s">
        <v>678</v>
      </c>
      <c r="AJ43">
        <v>0</v>
      </c>
      <c r="AK43">
        <v>9931699473</v>
      </c>
      <c r="AL43">
        <v>0</v>
      </c>
      <c r="AM43">
        <v>0</v>
      </c>
      <c r="AN43">
        <v>0</v>
      </c>
      <c r="AO43" t="s">
        <v>1390</v>
      </c>
      <c r="AP43" t="s">
        <v>3</v>
      </c>
      <c r="AQ43" t="s">
        <v>1581</v>
      </c>
      <c r="AR43">
        <v>0</v>
      </c>
      <c r="AS43">
        <v>0</v>
      </c>
      <c r="AT43">
        <v>0</v>
      </c>
      <c r="AU43">
        <v>0</v>
      </c>
      <c r="AV43">
        <v>0</v>
      </c>
      <c r="AW43" t="s">
        <v>11</v>
      </c>
      <c r="AX43">
        <f>Tabla1[[#This Row],[precio del paquete]]-Tabla1[[#This Row],[Saldo_Deudor]]</f>
        <v>8800</v>
      </c>
      <c r="AY43">
        <v>4100</v>
      </c>
      <c r="AZ43" t="s">
        <v>3</v>
      </c>
      <c r="BA43" t="s">
        <v>3</v>
      </c>
      <c r="BB43" t="s">
        <v>3</v>
      </c>
      <c r="BC43" t="s">
        <v>1599</v>
      </c>
      <c r="BD43" t="s">
        <v>1600</v>
      </c>
      <c r="BE43">
        <v>0</v>
      </c>
      <c r="BF43">
        <v>0</v>
      </c>
      <c r="BG43">
        <v>0</v>
      </c>
      <c r="BH43">
        <v>0</v>
      </c>
      <c r="BI43">
        <v>0</v>
      </c>
      <c r="BJ43" t="s">
        <v>1652</v>
      </c>
      <c r="BK43">
        <v>0</v>
      </c>
      <c r="BL43" t="s">
        <v>132</v>
      </c>
      <c r="BM43">
        <v>0</v>
      </c>
      <c r="BN43">
        <f>Tabla1[[#This Row],[precio del paquete]]</f>
        <v>12900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1661</v>
      </c>
      <c r="CD43" t="str" cm="1">
        <f t="array" aca="1" ref="CD43" ca="1">eConcatenar(A43:CB43,"|")</f>
        <v>XsqtNCDqmSHbjjPu|VSA2020-0032|3|IMPERIAL DE LUJO|TABASCO|VILLAHERMOSA|VILLAHERMOSA|2020-02-13|12900|x|x|100|0|0|0|0|0|0|0|0|0|0|0|0|0|0|0|ESTEBAN|JIMENEZ|JUANA|soltero|0|0|A LADO DE LA QUINTA SANTANA|RANCHERIA TORNO LARGO PRIMERA SECCION |0|9931699473|0|0|0|A LADO DE LA QUINTA SANTANA|x|lunes|0|0|0|0|0|DOMICILIO |8800|4100|x|x|x|2022-11-03|2022-11-10|0|0|0|0|0|S35D6LBI9KVTQO|0|HOMBRE|0|12900|0|0|0|0|0|0|0|0|CARDENAS|X|X|X|X|FINAL</v>
      </c>
    </row>
    <row r="44" spans="1:82" x14ac:dyDescent="0.25">
      <c r="A44" t="s">
        <v>178</v>
      </c>
      <c r="B44" t="s">
        <v>423</v>
      </c>
      <c r="C44">
        <v>3</v>
      </c>
      <c r="D44" t="s">
        <v>634</v>
      </c>
      <c r="E44" t="s">
        <v>643</v>
      </c>
      <c r="F44" t="s">
        <v>644</v>
      </c>
      <c r="G44" t="s">
        <v>644</v>
      </c>
      <c r="H44" t="s">
        <v>834</v>
      </c>
      <c r="I44">
        <v>14800</v>
      </c>
      <c r="J44" t="s">
        <v>3</v>
      </c>
      <c r="K44" t="s">
        <v>3</v>
      </c>
      <c r="L44">
        <v>100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1042</v>
      </c>
      <c r="AC44" t="s">
        <v>1043</v>
      </c>
      <c r="AD44" s="18" t="s">
        <v>1044</v>
      </c>
      <c r="AE44" t="s">
        <v>1356</v>
      </c>
      <c r="AF44">
        <v>0</v>
      </c>
      <c r="AG44">
        <v>0</v>
      </c>
      <c r="AH44" t="s">
        <v>1391</v>
      </c>
      <c r="AI44" t="s">
        <v>679</v>
      </c>
      <c r="AJ44">
        <v>0</v>
      </c>
      <c r="AK44">
        <v>9931693660</v>
      </c>
      <c r="AL44">
        <v>0</v>
      </c>
      <c r="AM44">
        <v>0</v>
      </c>
      <c r="AN44">
        <v>0</v>
      </c>
      <c r="AO44" t="s">
        <v>1391</v>
      </c>
      <c r="AP44" t="s">
        <v>3</v>
      </c>
      <c r="AQ44" t="s">
        <v>1581</v>
      </c>
      <c r="AR44">
        <v>0</v>
      </c>
      <c r="AS44">
        <v>0</v>
      </c>
      <c r="AT44">
        <v>0</v>
      </c>
      <c r="AU44">
        <v>0</v>
      </c>
      <c r="AV44">
        <v>0</v>
      </c>
      <c r="AW44" t="s">
        <v>11</v>
      </c>
      <c r="AX44">
        <f>Tabla1[[#This Row],[precio del paquete]]-Tabla1[[#This Row],[Saldo_Deudor]]</f>
        <v>4800</v>
      </c>
      <c r="AY44">
        <v>10000</v>
      </c>
      <c r="AZ44" t="s">
        <v>3</v>
      </c>
      <c r="BA44" t="s">
        <v>3</v>
      </c>
      <c r="BB44" t="s">
        <v>3</v>
      </c>
      <c r="BC44" t="s">
        <v>1599</v>
      </c>
      <c r="BD44" t="s">
        <v>1600</v>
      </c>
      <c r="BE44">
        <v>0</v>
      </c>
      <c r="BF44">
        <v>0</v>
      </c>
      <c r="BG44">
        <v>0</v>
      </c>
      <c r="BH44">
        <v>0</v>
      </c>
      <c r="BI44">
        <v>0</v>
      </c>
      <c r="BJ44" t="s">
        <v>1652</v>
      </c>
      <c r="BK44">
        <v>0</v>
      </c>
      <c r="BL44" t="s">
        <v>132</v>
      </c>
      <c r="BM44">
        <v>0</v>
      </c>
      <c r="BN44">
        <f>Tabla1[[#This Row],[precio del paquete]]</f>
        <v>14800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1661</v>
      </c>
      <c r="CD44" t="str" cm="1">
        <f t="array" aca="1" ref="CD44" ca="1">eConcatenar(A44:CB44,"|")</f>
        <v>hiiKntjR1S0jHC2J|VSA2021-1411|3|MEMORIAL|TABASCO|VILLAHERMOSA|VILLAHERMOSA|2022-08-28|14800|x|x|100|0|0|0|0|0|0|0|0|0|0|0|0|0|0|0|MAGAÃ‘A|ACOSTA|ARTURO|soltero|0|0|PRIMERA ENTRADA AL MONAL |COLONIA GAVIOTAS SUR SECTOR MONAL|0|9931693660|0|0|0|PRIMERA ENTRADA AL MONAL |x|lunes|0|0|0|0|0|DOMICILIO |4800|10000|x|x|x|2022-11-03|2022-11-10|0|0|0|0|0|S35D6LBI9KVTQO|0|HOMBRE|0|14800|0|0|0|0|0|0|0|0|CARDENAS|X|X|X|X|FINAL</v>
      </c>
    </row>
    <row r="45" spans="1:82" x14ac:dyDescent="0.25">
      <c r="A45" t="s">
        <v>179</v>
      </c>
      <c r="B45" t="s">
        <v>424</v>
      </c>
      <c r="C45">
        <v>3</v>
      </c>
      <c r="D45" t="s">
        <v>639</v>
      </c>
      <c r="E45" t="s">
        <v>643</v>
      </c>
      <c r="F45" t="s">
        <v>644</v>
      </c>
      <c r="G45" t="s">
        <v>644</v>
      </c>
      <c r="H45" t="s">
        <v>829</v>
      </c>
      <c r="I45">
        <v>35000</v>
      </c>
      <c r="J45" t="s">
        <v>3</v>
      </c>
      <c r="K45" t="s">
        <v>3</v>
      </c>
      <c r="L45">
        <v>100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995</v>
      </c>
      <c r="AC45" t="s">
        <v>972</v>
      </c>
      <c r="AD45" s="18" t="s">
        <v>1045</v>
      </c>
      <c r="AE45" t="s">
        <v>1356</v>
      </c>
      <c r="AF45">
        <v>0</v>
      </c>
      <c r="AG45">
        <v>0</v>
      </c>
      <c r="AH45" t="s">
        <v>1392</v>
      </c>
      <c r="AI45" t="s">
        <v>680</v>
      </c>
      <c r="AJ45">
        <v>0</v>
      </c>
      <c r="AK45">
        <v>9933118777</v>
      </c>
      <c r="AL45">
        <v>0</v>
      </c>
      <c r="AM45">
        <v>0</v>
      </c>
      <c r="AN45">
        <v>0</v>
      </c>
      <c r="AO45" t="s">
        <v>1392</v>
      </c>
      <c r="AP45" t="s">
        <v>3</v>
      </c>
      <c r="AQ45" t="s">
        <v>1581</v>
      </c>
      <c r="AR45">
        <v>0</v>
      </c>
      <c r="AS45">
        <v>0</v>
      </c>
      <c r="AT45">
        <v>0</v>
      </c>
      <c r="AU45">
        <v>0</v>
      </c>
      <c r="AV45">
        <v>0</v>
      </c>
      <c r="AW45" t="s">
        <v>11</v>
      </c>
      <c r="AX45">
        <f>Tabla1[[#This Row],[precio del paquete]]-Tabla1[[#This Row],[Saldo_Deudor]]</f>
        <v>950</v>
      </c>
      <c r="AY45">
        <v>34050</v>
      </c>
      <c r="AZ45" t="s">
        <v>3</v>
      </c>
      <c r="BA45" t="s">
        <v>3</v>
      </c>
      <c r="BB45" t="s">
        <v>3</v>
      </c>
      <c r="BC45" t="s">
        <v>912</v>
      </c>
      <c r="BD45" t="s">
        <v>1601</v>
      </c>
      <c r="BE45">
        <v>0</v>
      </c>
      <c r="BF45">
        <v>0</v>
      </c>
      <c r="BG45">
        <v>0</v>
      </c>
      <c r="BH45">
        <v>0</v>
      </c>
      <c r="BI45">
        <v>0</v>
      </c>
      <c r="BJ45" t="s">
        <v>1653</v>
      </c>
      <c r="BK45">
        <v>0</v>
      </c>
      <c r="BL45" t="s">
        <v>132</v>
      </c>
      <c r="BM45">
        <v>0</v>
      </c>
      <c r="BN45">
        <f>Tabla1[[#This Row],[precio del paquete]]</f>
        <v>35000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1661</v>
      </c>
      <c r="CD45" t="str" cm="1">
        <f t="array" aca="1" ref="CD45" ca="1">eConcatenar(A45:CB45,"|")</f>
        <v>YFUaKiFn2esUKKRx|VSA2021-1863|3|DELUX|TABASCO|VILLAHERMOSA|VILLAHERMOSA|2021-11-16|35000|x|x|100|2|0|0|0|0|0|0|0|0|0|0|0|0|0|0|CORDOVA||LUCIA GARCIA|soltero|0|0|CALLEJON |RANCHERIA MEDELLIN Y PIGUA TERCERA SECCION |0|9933118777|0|0|0|CALLEJON |x|lunes|0|0|0|0|0|DOMICILIO |950|34050|x|x|x|2022-08-03|2022-08-10|0|0|0|0|0|QYDRHV029KVTQO|0|HOMBRE|0|35000|0|0|0|0|0|0|0|0|CARDENAS|X|X|X|X|FINAL</v>
      </c>
    </row>
    <row r="46" spans="1:82" x14ac:dyDescent="0.25">
      <c r="A46" t="s">
        <v>180</v>
      </c>
      <c r="B46" t="s">
        <v>425</v>
      </c>
      <c r="C46">
        <v>3</v>
      </c>
      <c r="D46" t="s">
        <v>634</v>
      </c>
      <c r="E46" t="s">
        <v>643</v>
      </c>
      <c r="F46" t="s">
        <v>644</v>
      </c>
      <c r="G46" t="s">
        <v>644</v>
      </c>
      <c r="H46" t="s">
        <v>835</v>
      </c>
      <c r="I46">
        <v>14800</v>
      </c>
      <c r="J46" t="s">
        <v>3</v>
      </c>
      <c r="K46" t="s">
        <v>3</v>
      </c>
      <c r="L46">
        <v>100</v>
      </c>
      <c r="M46">
        <v>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1046</v>
      </c>
      <c r="AC46" t="s">
        <v>1047</v>
      </c>
      <c r="AD46" s="18" t="s">
        <v>1048</v>
      </c>
      <c r="AE46" t="s">
        <v>1356</v>
      </c>
      <c r="AF46">
        <v>0</v>
      </c>
      <c r="AG46">
        <v>0</v>
      </c>
      <c r="AH46" t="s">
        <v>1393</v>
      </c>
      <c r="AI46" t="s">
        <v>680</v>
      </c>
      <c r="AJ46">
        <v>0</v>
      </c>
      <c r="AK46">
        <v>9934375490</v>
      </c>
      <c r="AL46">
        <v>0</v>
      </c>
      <c r="AM46">
        <v>0</v>
      </c>
      <c r="AN46">
        <v>0</v>
      </c>
      <c r="AO46" t="s">
        <v>1393</v>
      </c>
      <c r="AP46" t="s">
        <v>3</v>
      </c>
      <c r="AQ46" t="s">
        <v>1581</v>
      </c>
      <c r="AR46">
        <v>0</v>
      </c>
      <c r="AS46">
        <v>0</v>
      </c>
      <c r="AT46">
        <v>0</v>
      </c>
      <c r="AU46">
        <v>0</v>
      </c>
      <c r="AV46">
        <v>0</v>
      </c>
      <c r="AW46" t="s">
        <v>11</v>
      </c>
      <c r="AX46">
        <f>Tabla1[[#This Row],[precio del paquete]]-Tabla1[[#This Row],[Saldo_Deudor]]</f>
        <v>2500</v>
      </c>
      <c r="AY46">
        <v>12300</v>
      </c>
      <c r="AZ46" t="s">
        <v>3</v>
      </c>
      <c r="BA46" t="s">
        <v>3</v>
      </c>
      <c r="BB46" t="s">
        <v>3</v>
      </c>
      <c r="BC46" t="s">
        <v>912</v>
      </c>
      <c r="BD46" t="s">
        <v>1601</v>
      </c>
      <c r="BE46">
        <v>0</v>
      </c>
      <c r="BF46">
        <v>0</v>
      </c>
      <c r="BG46">
        <v>0</v>
      </c>
      <c r="BH46">
        <v>0</v>
      </c>
      <c r="BI46">
        <v>0</v>
      </c>
      <c r="BJ46" t="s">
        <v>1653</v>
      </c>
      <c r="BK46">
        <v>0</v>
      </c>
      <c r="BL46" t="s">
        <v>132</v>
      </c>
      <c r="BM46">
        <v>0</v>
      </c>
      <c r="BN46">
        <f>Tabla1[[#This Row],[precio del paquete]]</f>
        <v>14800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1661</v>
      </c>
      <c r="CD46" t="str" cm="1">
        <f t="array" aca="1" ref="CD46" ca="1">eConcatenar(A46:CB46,"|")</f>
        <v>ebdf8Ot6ILIc4ENG|VSA2022-0053|3|MEMORIAL|TABASCO|VILLAHERMOSA|VILLAHERMOSA|2022-01-17|14800|x|x|100|2|0|0|0|0|0|0|0|0|0|0|0|0|0|0|ESPINOZA|ZAMUDIO|EDWIN ANTONIO|soltero|0|0|SECTOR LAS PALMAS |RANCHERIA MEDELLIN Y PIGUA TERCERA SECCION |0|9934375490|0|0|0|SECTOR LAS PALMAS |x|lunes|0|0|0|0|0|DOMICILIO |2500|12300|x|x|x|2022-08-03|2022-08-10|0|0|0|0|0|QYDRHV029KVTQO|0|HOMBRE|0|14800|0|0|0|0|0|0|0|0|CARDENAS|X|X|X|X|FINAL</v>
      </c>
    </row>
    <row r="47" spans="1:82" x14ac:dyDescent="0.25">
      <c r="A47" t="s">
        <v>181</v>
      </c>
      <c r="B47" t="s">
        <v>426</v>
      </c>
      <c r="C47">
        <v>3</v>
      </c>
      <c r="D47" t="s">
        <v>634</v>
      </c>
      <c r="E47" t="s">
        <v>643</v>
      </c>
      <c r="F47" t="s">
        <v>644</v>
      </c>
      <c r="G47" t="s">
        <v>644</v>
      </c>
      <c r="H47" t="s">
        <v>836</v>
      </c>
      <c r="I47">
        <v>14800</v>
      </c>
      <c r="J47" t="s">
        <v>3</v>
      </c>
      <c r="K47" t="s">
        <v>3</v>
      </c>
      <c r="L47">
        <v>100</v>
      </c>
      <c r="M47">
        <v>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1049</v>
      </c>
      <c r="AC47" t="s">
        <v>1050</v>
      </c>
      <c r="AD47" s="18" t="s">
        <v>1051</v>
      </c>
      <c r="AE47" t="s">
        <v>1356</v>
      </c>
      <c r="AF47">
        <v>0</v>
      </c>
      <c r="AG47">
        <v>0</v>
      </c>
      <c r="AH47" t="s">
        <v>1394</v>
      </c>
      <c r="AI47" t="s">
        <v>681</v>
      </c>
      <c r="AJ47">
        <v>0</v>
      </c>
      <c r="AK47">
        <v>9931267099</v>
      </c>
      <c r="AL47">
        <v>0</v>
      </c>
      <c r="AM47">
        <v>0</v>
      </c>
      <c r="AN47">
        <v>0</v>
      </c>
      <c r="AO47" t="s">
        <v>1394</v>
      </c>
      <c r="AP47" t="s">
        <v>3</v>
      </c>
      <c r="AQ47" t="s">
        <v>1581</v>
      </c>
      <c r="AR47">
        <v>0</v>
      </c>
      <c r="AS47">
        <v>0</v>
      </c>
      <c r="AT47">
        <v>0</v>
      </c>
      <c r="AU47">
        <v>0</v>
      </c>
      <c r="AV47">
        <v>0</v>
      </c>
      <c r="AW47" t="s">
        <v>11</v>
      </c>
      <c r="AX47">
        <f>Tabla1[[#This Row],[precio del paquete]]-Tabla1[[#This Row],[Saldo_Deudor]]</f>
        <v>2500</v>
      </c>
      <c r="AY47">
        <v>12300</v>
      </c>
      <c r="AZ47" t="s">
        <v>3</v>
      </c>
      <c r="BA47" t="s">
        <v>3</v>
      </c>
      <c r="BB47" t="s">
        <v>3</v>
      </c>
      <c r="BC47" t="s">
        <v>912</v>
      </c>
      <c r="BD47" t="s">
        <v>1601</v>
      </c>
      <c r="BE47">
        <v>0</v>
      </c>
      <c r="BF47">
        <v>0</v>
      </c>
      <c r="BG47">
        <v>0</v>
      </c>
      <c r="BH47">
        <v>0</v>
      </c>
      <c r="BI47">
        <v>0</v>
      </c>
      <c r="BJ47" t="s">
        <v>1653</v>
      </c>
      <c r="BK47">
        <v>0</v>
      </c>
      <c r="BL47" t="s">
        <v>132</v>
      </c>
      <c r="BM47">
        <v>0</v>
      </c>
      <c r="BN47">
        <f>Tabla1[[#This Row],[precio del paquete]]</f>
        <v>14800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1661</v>
      </c>
      <c r="CD47" t="str" cm="1">
        <f t="array" aca="1" ref="CD47" ca="1">eConcatenar(A47:CB47,"|")</f>
        <v>ZHXuGd8Pp7gNB23f|VSA2021-1850|3|MEMORIAL|TABASCO|VILLAHERMOSA|VILLAHERMOSA|2021-12-11|14800|x|x|100|2|0|0|0|0|0|0|0|0|0|0|0|0|0|0|MALPISA|SANTOS|FLORENCIO|soltero|0|0|ANDADOR FRESNO MANZANA 35 LOTE 20|BRISAS DEL CARRIZAL|0|9931267099|0|0|0|ANDADOR FRESNO MANZANA 35 LOTE 20|x|lunes|0|0|0|0|0|DOMICILIO |2500|12300|x|x|x|2022-08-03|2022-08-10|0|0|0|0|0|QYDRHV029KVTQO|0|HOMBRE|0|14800|0|0|0|0|0|0|0|0|CARDENAS|X|X|X|X|FINAL</v>
      </c>
    </row>
    <row r="48" spans="1:82" x14ac:dyDescent="0.25">
      <c r="A48" t="s">
        <v>182</v>
      </c>
      <c r="B48" t="s">
        <v>427</v>
      </c>
      <c r="C48">
        <v>3</v>
      </c>
      <c r="D48" t="s">
        <v>636</v>
      </c>
      <c r="E48" t="s">
        <v>643</v>
      </c>
      <c r="F48" t="s">
        <v>646</v>
      </c>
      <c r="G48" t="s">
        <v>646</v>
      </c>
      <c r="H48" t="s">
        <v>827</v>
      </c>
      <c r="I48">
        <v>24500</v>
      </c>
      <c r="J48" t="s">
        <v>3</v>
      </c>
      <c r="K48" t="s">
        <v>3</v>
      </c>
      <c r="L48">
        <v>100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1052</v>
      </c>
      <c r="AC48" t="s">
        <v>966</v>
      </c>
      <c r="AD48" s="18" t="s">
        <v>1053</v>
      </c>
      <c r="AE48" t="s">
        <v>1356</v>
      </c>
      <c r="AF48">
        <v>0</v>
      </c>
      <c r="AG48">
        <v>0</v>
      </c>
      <c r="AH48" t="s">
        <v>1395</v>
      </c>
      <c r="AI48" t="s">
        <v>682</v>
      </c>
      <c r="AJ48">
        <v>0</v>
      </c>
      <c r="AK48">
        <v>9932401772</v>
      </c>
      <c r="AL48">
        <v>0</v>
      </c>
      <c r="AM48">
        <v>0</v>
      </c>
      <c r="AN48">
        <v>0</v>
      </c>
      <c r="AO48" t="s">
        <v>1395</v>
      </c>
      <c r="AP48" t="s">
        <v>3</v>
      </c>
      <c r="AQ48" t="s">
        <v>1581</v>
      </c>
      <c r="AR48">
        <v>0</v>
      </c>
      <c r="AS48">
        <v>0</v>
      </c>
      <c r="AT48">
        <v>0</v>
      </c>
      <c r="AU48">
        <v>0</v>
      </c>
      <c r="AV48">
        <v>0</v>
      </c>
      <c r="AW48" t="s">
        <v>11</v>
      </c>
      <c r="AX48">
        <f>Tabla1[[#This Row],[precio del paquete]]-Tabla1[[#This Row],[Saldo_Deudor]]</f>
        <v>1700</v>
      </c>
      <c r="AY48">
        <v>22800</v>
      </c>
      <c r="AZ48" t="s">
        <v>3</v>
      </c>
      <c r="BA48" t="s">
        <v>3</v>
      </c>
      <c r="BB48" t="s">
        <v>3</v>
      </c>
      <c r="BC48" t="s">
        <v>912</v>
      </c>
      <c r="BD48" t="s">
        <v>1601</v>
      </c>
      <c r="BE48">
        <v>0</v>
      </c>
      <c r="BF48">
        <v>0</v>
      </c>
      <c r="BG48">
        <v>0</v>
      </c>
      <c r="BH48">
        <v>0</v>
      </c>
      <c r="BI48">
        <v>0</v>
      </c>
      <c r="BJ48" t="s">
        <v>1653</v>
      </c>
      <c r="BK48">
        <v>0</v>
      </c>
      <c r="BL48" t="s">
        <v>132</v>
      </c>
      <c r="BM48">
        <v>0</v>
      </c>
      <c r="BN48">
        <f>Tabla1[[#This Row],[precio del paquete]]</f>
        <v>24500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1661</v>
      </c>
      <c r="CD48" t="str" cm="1">
        <f t="array" aca="1" ref="CD48" ca="1">eConcatenar(A48:CB48,"|")</f>
        <v>KI3x2CTRdKXfs0Yl|VSA2021-1921|3|DIGNITY|TABASCO|NACAJUCA |NACAJUCA |2021-11-27|24500|x|x|100|1|0|0|0|0|0|0|0|0|0|0|0|0|0|0|CASTILLO|SANCHEZ|JOSE GUADALUPE|soltero|0|0|CALLE GUAYACAN MANZANA 52 LOTE 50 |FRACCIONAMIENTO BRISAS DEL CARRIZAL|0|9932401772|0|0|0|CALLE GUAYACAN MANZANA 52 LOTE 50 |x|lunes|0|0|0|0|0|DOMICILIO |1700|22800|x|x|x|2022-08-03|2022-08-10|0|0|0|0|0|QYDRHV029KVTQO|0|HOMBRE|0|24500|0|0|0|0|0|0|0|0|CARDENAS|X|X|X|X|FINAL</v>
      </c>
    </row>
    <row r="49" spans="1:82" x14ac:dyDescent="0.25">
      <c r="A49" t="s">
        <v>183</v>
      </c>
      <c r="B49" t="s">
        <v>428</v>
      </c>
      <c r="C49">
        <v>3</v>
      </c>
      <c r="D49" t="s">
        <v>640</v>
      </c>
      <c r="E49" t="s">
        <v>643</v>
      </c>
      <c r="F49" t="s">
        <v>644</v>
      </c>
      <c r="G49" t="s">
        <v>644</v>
      </c>
      <c r="H49" t="s">
        <v>837</v>
      </c>
      <c r="I49">
        <v>19800</v>
      </c>
      <c r="J49" t="s">
        <v>3</v>
      </c>
      <c r="K49" t="s">
        <v>3</v>
      </c>
      <c r="L49">
        <v>100</v>
      </c>
      <c r="M49">
        <v>1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7</v>
      </c>
      <c r="AC49" t="s">
        <v>1054</v>
      </c>
      <c r="AD49" s="18" t="s">
        <v>1055</v>
      </c>
      <c r="AE49" t="s">
        <v>1356</v>
      </c>
      <c r="AF49">
        <v>0</v>
      </c>
      <c r="AG49">
        <v>0</v>
      </c>
      <c r="AH49" t="s">
        <v>1396</v>
      </c>
      <c r="AI49" t="s">
        <v>683</v>
      </c>
      <c r="AJ49">
        <v>0</v>
      </c>
      <c r="AK49">
        <v>9931377206</v>
      </c>
      <c r="AL49">
        <v>0</v>
      </c>
      <c r="AM49">
        <v>0</v>
      </c>
      <c r="AN49">
        <v>0</v>
      </c>
      <c r="AO49" t="s">
        <v>1396</v>
      </c>
      <c r="AP49" t="s">
        <v>3</v>
      </c>
      <c r="AQ49" t="s">
        <v>1581</v>
      </c>
      <c r="AR49">
        <v>0</v>
      </c>
      <c r="AS49">
        <v>0</v>
      </c>
      <c r="AT49">
        <v>0</v>
      </c>
      <c r="AU49">
        <v>0</v>
      </c>
      <c r="AV49">
        <v>0</v>
      </c>
      <c r="AW49" t="s">
        <v>11</v>
      </c>
      <c r="AX49">
        <f>Tabla1[[#This Row],[precio del paquete]]-Tabla1[[#This Row],[Saldo_Deudor]]</f>
        <v>6400</v>
      </c>
      <c r="AY49">
        <v>13400</v>
      </c>
      <c r="AZ49" t="s">
        <v>3</v>
      </c>
      <c r="BA49" t="s">
        <v>3</v>
      </c>
      <c r="BB49" t="s">
        <v>3</v>
      </c>
      <c r="BC49" t="s">
        <v>837</v>
      </c>
      <c r="BD49" t="s">
        <v>1602</v>
      </c>
      <c r="BE49">
        <v>0</v>
      </c>
      <c r="BF49">
        <v>0</v>
      </c>
      <c r="BG49">
        <v>0</v>
      </c>
      <c r="BH49">
        <v>0</v>
      </c>
      <c r="BI49">
        <v>0</v>
      </c>
      <c r="BJ49" t="s">
        <v>1653</v>
      </c>
      <c r="BK49">
        <v>0</v>
      </c>
      <c r="BL49" t="s">
        <v>132</v>
      </c>
      <c r="BM49">
        <v>0</v>
      </c>
      <c r="BN49">
        <f>Tabla1[[#This Row],[precio del paquete]]</f>
        <v>19800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1661</v>
      </c>
      <c r="CD49" t="str" cm="1">
        <f t="array" aca="1" ref="CD49" ca="1">eConcatenar(A49:CB49,"|")</f>
        <v>EaQwpWWUemc27A5i|VSA2021-0497|3|ZAFIRO|TABASCO|VILLAHERMOSA|VILLAHERMOSA|2021-08-03|19800|x|x|100|1|0|0|0|0|0|0|0|0|0|0|0|0|0|0|LOPEZ|REYES|ARMANDO DE JESUS|soltero|0|0|CARRETERA PRINCIPAL SIN NUMERO|RANCHERIA ACACHAPA Y COLMENA SEGUNDA SECCION |0|9931377206|0|0|0|CARRETERA PRINCIPAL SIN NUMERO|x|lunes|0|0|0|0|0|DOMICILIO |6400|13400|x|x|x|2021-08-03|2021-08-10|0|0|0|0|0|QYDRHV029KVTQO|0|HOMBRE|0|19800|0|0|0|0|0|0|0|0|CARDENAS|X|X|X|X|FINAL</v>
      </c>
    </row>
    <row r="50" spans="1:82" x14ac:dyDescent="0.25">
      <c r="A50" t="s">
        <v>184</v>
      </c>
      <c r="B50" t="s">
        <v>429</v>
      </c>
      <c r="C50">
        <v>3</v>
      </c>
      <c r="D50" t="s">
        <v>634</v>
      </c>
      <c r="E50" t="s">
        <v>643</v>
      </c>
      <c r="F50" t="s">
        <v>644</v>
      </c>
      <c r="G50" t="s">
        <v>644</v>
      </c>
      <c r="H50" t="s">
        <v>838</v>
      </c>
      <c r="I50">
        <v>14800</v>
      </c>
      <c r="J50" t="s">
        <v>3</v>
      </c>
      <c r="K50" t="s">
        <v>3</v>
      </c>
      <c r="L50">
        <v>100</v>
      </c>
      <c r="M50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1056</v>
      </c>
      <c r="AC50" t="s">
        <v>1056</v>
      </c>
      <c r="AD50" s="18" t="s">
        <v>1057</v>
      </c>
      <c r="AE50" t="s">
        <v>1356</v>
      </c>
      <c r="AF50">
        <v>0</v>
      </c>
      <c r="AG50">
        <v>0</v>
      </c>
      <c r="AH50" t="s">
        <v>1397</v>
      </c>
      <c r="AI50" t="s">
        <v>684</v>
      </c>
      <c r="AJ50">
        <v>0</v>
      </c>
      <c r="AK50">
        <v>9933906751</v>
      </c>
      <c r="AL50">
        <v>0</v>
      </c>
      <c r="AM50">
        <v>0</v>
      </c>
      <c r="AN50">
        <v>0</v>
      </c>
      <c r="AO50" t="s">
        <v>1397</v>
      </c>
      <c r="AP50" t="s">
        <v>3</v>
      </c>
      <c r="AQ50" t="s">
        <v>1581</v>
      </c>
      <c r="AR50">
        <v>0</v>
      </c>
      <c r="AS50">
        <v>0</v>
      </c>
      <c r="AT50">
        <v>0</v>
      </c>
      <c r="AU50">
        <v>0</v>
      </c>
      <c r="AV50">
        <v>0</v>
      </c>
      <c r="AW50" t="s">
        <v>11</v>
      </c>
      <c r="AX50">
        <f>Tabla1[[#This Row],[precio del paquete]]-Tabla1[[#This Row],[Saldo_Deudor]]</f>
        <v>1200</v>
      </c>
      <c r="AY50">
        <v>13600</v>
      </c>
      <c r="AZ50" t="s">
        <v>3</v>
      </c>
      <c r="BA50" t="s">
        <v>3</v>
      </c>
      <c r="BB50" t="s">
        <v>3</v>
      </c>
      <c r="BC50" t="s">
        <v>802</v>
      </c>
      <c r="BD50" t="s">
        <v>1603</v>
      </c>
      <c r="BE50">
        <v>0</v>
      </c>
      <c r="BF50">
        <v>0</v>
      </c>
      <c r="BG50">
        <v>0</v>
      </c>
      <c r="BH50">
        <v>0</v>
      </c>
      <c r="BI50">
        <v>0</v>
      </c>
      <c r="BJ50" t="s">
        <v>1653</v>
      </c>
      <c r="BK50">
        <v>0</v>
      </c>
      <c r="BL50" t="s">
        <v>132</v>
      </c>
      <c r="BM50">
        <v>0</v>
      </c>
      <c r="BN50">
        <f>Tabla1[[#This Row],[precio del paquete]]</f>
        <v>14800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1661</v>
      </c>
      <c r="CD50" t="str" cm="1">
        <f t="array" aca="1" ref="CD50" ca="1">eConcatenar(A50:CB50,"|")</f>
        <v>TfJd34xJ4zdahjqI|VSA2021-3976|3|MEMORIAL|TABASCO|VILLAHERMOSA|VILLAHERMOSA|2021-12-14|14800|x|x|100|1|0|0|0|0|0|0|0|0|0|0|0|0|0|0|ALEJANDRO|ALEJANDRO|LETICIA|soltero|0|0|CALLE ZENZOTE MANZANA 2 LOTE 16|COLONIA TIERRA COLORADA |0|9933906751|0|0|0|CALLE ZENZOTE MANZANA 2 LOTE 16|x|lunes|0|0|0|0|0|DOMICILIO |1200|13600|x|x|x|2022-07-03|2022-07-10|0|0|0|0|0|QYDRHV029KVTQO|0|HOMBRE|0|14800|0|0|0|0|0|0|0|0|CARDENAS|X|X|X|X|FINAL</v>
      </c>
    </row>
    <row r="51" spans="1:82" x14ac:dyDescent="0.25">
      <c r="A51" t="s">
        <v>185</v>
      </c>
      <c r="B51" t="s">
        <v>430</v>
      </c>
      <c r="C51">
        <v>3</v>
      </c>
      <c r="D51" t="s">
        <v>634</v>
      </c>
      <c r="E51" t="s">
        <v>643</v>
      </c>
      <c r="F51" t="s">
        <v>644</v>
      </c>
      <c r="G51" t="s">
        <v>644</v>
      </c>
      <c r="H51" t="s">
        <v>839</v>
      </c>
      <c r="I51">
        <v>14800</v>
      </c>
      <c r="J51" t="s">
        <v>3</v>
      </c>
      <c r="K51" t="s">
        <v>3</v>
      </c>
      <c r="L51">
        <v>100</v>
      </c>
      <c r="M51">
        <v>2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1050</v>
      </c>
      <c r="AC51" t="s">
        <v>1058</v>
      </c>
      <c r="AD51" s="18" t="s">
        <v>1059</v>
      </c>
      <c r="AE51" t="s">
        <v>1356</v>
      </c>
      <c r="AF51">
        <v>0</v>
      </c>
      <c r="AG51">
        <v>0</v>
      </c>
      <c r="AH51" t="s">
        <v>1398</v>
      </c>
      <c r="AI51" t="s">
        <v>685</v>
      </c>
      <c r="AJ51">
        <v>0</v>
      </c>
      <c r="AK51">
        <v>9932318514</v>
      </c>
      <c r="AL51">
        <v>0</v>
      </c>
      <c r="AM51">
        <v>0</v>
      </c>
      <c r="AN51">
        <v>0</v>
      </c>
      <c r="AO51" t="s">
        <v>1398</v>
      </c>
      <c r="AP51" t="s">
        <v>3</v>
      </c>
      <c r="AQ51" t="s">
        <v>1581</v>
      </c>
      <c r="AR51">
        <v>0</v>
      </c>
      <c r="AS51">
        <v>0</v>
      </c>
      <c r="AT51">
        <v>0</v>
      </c>
      <c r="AU51">
        <v>0</v>
      </c>
      <c r="AV51">
        <v>0</v>
      </c>
      <c r="AW51" t="s">
        <v>11</v>
      </c>
      <c r="AX51">
        <f>Tabla1[[#This Row],[precio del paquete]]-Tabla1[[#This Row],[Saldo_Deudor]]</f>
        <v>150</v>
      </c>
      <c r="AY51">
        <v>14650</v>
      </c>
      <c r="AZ51" t="s">
        <v>3</v>
      </c>
      <c r="BA51" t="s">
        <v>3</v>
      </c>
      <c r="BB51" t="s">
        <v>3</v>
      </c>
      <c r="BC51" t="s">
        <v>931</v>
      </c>
      <c r="BD51" t="s">
        <v>1582</v>
      </c>
      <c r="BE51">
        <v>0</v>
      </c>
      <c r="BF51">
        <v>0</v>
      </c>
      <c r="BG51">
        <v>0</v>
      </c>
      <c r="BH51">
        <v>0</v>
      </c>
      <c r="BI51">
        <v>0</v>
      </c>
      <c r="BJ51" t="s">
        <v>1653</v>
      </c>
      <c r="BK51">
        <v>0</v>
      </c>
      <c r="BL51" t="s">
        <v>132</v>
      </c>
      <c r="BM51">
        <v>0</v>
      </c>
      <c r="BN51">
        <f>Tabla1[[#This Row],[precio del paquete]]</f>
        <v>14800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1661</v>
      </c>
      <c r="CD51" t="str" cm="1">
        <f t="array" aca="1" ref="CD51" ca="1">eConcatenar(A51:CB51,"|")</f>
        <v>GFRXLf5CTUlNXLsE|VSA2022-0115|3|MEMORIAL|TABASCO|VILLAHERMOSA|VILLAHERMOSA|2022-04-02|14800|x|x|100|2|0|0|0|0|0|0|0|0|0|0|0|0|0|0|SANTOS|FLORES|VIOLICIA|soltero|0|0|CALLE EL PORVENIR SIN NUMERO|COLONIA EL PORVENIR SEGUNDA SECCION |0|9932318514|0|0|0|CALLE EL PORVENIR SIN NUMERO|x|lunes|0|0|0|0|0|DOMICILIO |150|14650|x|x|x|2022-03-01|2022-03-08|0|0|0|0|0|QYDRHV029KVTQO|0|HOMBRE|0|14800|0|0|0|0|0|0|0|0|CARDENAS|X|X|X|X|FINAL</v>
      </c>
    </row>
    <row r="52" spans="1:82" x14ac:dyDescent="0.25">
      <c r="A52" t="s">
        <v>186</v>
      </c>
      <c r="B52" t="s">
        <v>431</v>
      </c>
      <c r="C52">
        <v>3</v>
      </c>
      <c r="D52" t="s">
        <v>636</v>
      </c>
      <c r="E52" t="s">
        <v>643</v>
      </c>
      <c r="F52" t="s">
        <v>644</v>
      </c>
      <c r="G52" t="s">
        <v>644</v>
      </c>
      <c r="H52" t="s">
        <v>840</v>
      </c>
      <c r="I52">
        <v>24500</v>
      </c>
      <c r="J52" t="s">
        <v>3</v>
      </c>
      <c r="K52" t="s">
        <v>3</v>
      </c>
      <c r="L52">
        <v>100</v>
      </c>
      <c r="M52">
        <v>2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984</v>
      </c>
      <c r="AC52" t="s">
        <v>1060</v>
      </c>
      <c r="AD52" s="18" t="s">
        <v>1061</v>
      </c>
      <c r="AE52" t="s">
        <v>1356</v>
      </c>
      <c r="AF52">
        <v>0</v>
      </c>
      <c r="AG52">
        <v>0</v>
      </c>
      <c r="AH52" t="s">
        <v>1399</v>
      </c>
      <c r="AI52" t="s">
        <v>686</v>
      </c>
      <c r="AJ52">
        <v>0</v>
      </c>
      <c r="AK52">
        <v>9931741987</v>
      </c>
      <c r="AL52">
        <v>0</v>
      </c>
      <c r="AM52">
        <v>0</v>
      </c>
      <c r="AN52">
        <v>0</v>
      </c>
      <c r="AO52" t="s">
        <v>1399</v>
      </c>
      <c r="AP52" t="s">
        <v>3</v>
      </c>
      <c r="AQ52" t="s">
        <v>1581</v>
      </c>
      <c r="AR52">
        <v>0</v>
      </c>
      <c r="AS52">
        <v>0</v>
      </c>
      <c r="AT52">
        <v>0</v>
      </c>
      <c r="AU52">
        <v>0</v>
      </c>
      <c r="AV52">
        <v>0</v>
      </c>
      <c r="AW52" t="s">
        <v>11</v>
      </c>
      <c r="AX52">
        <f>Tabla1[[#This Row],[precio del paquete]]-Tabla1[[#This Row],[Saldo_Deudor]]</f>
        <v>3000</v>
      </c>
      <c r="AY52">
        <v>21500</v>
      </c>
      <c r="AZ52" t="s">
        <v>3</v>
      </c>
      <c r="BA52" t="s">
        <v>3</v>
      </c>
      <c r="BB52" t="s">
        <v>3</v>
      </c>
      <c r="BC52" t="s">
        <v>802</v>
      </c>
      <c r="BD52" t="s">
        <v>1603</v>
      </c>
      <c r="BE52">
        <v>0</v>
      </c>
      <c r="BF52">
        <v>0</v>
      </c>
      <c r="BG52">
        <v>0</v>
      </c>
      <c r="BH52">
        <v>0</v>
      </c>
      <c r="BI52">
        <v>0</v>
      </c>
      <c r="BJ52" t="s">
        <v>1653</v>
      </c>
      <c r="BK52">
        <v>0</v>
      </c>
      <c r="BL52" t="s">
        <v>132</v>
      </c>
      <c r="BM52">
        <v>0</v>
      </c>
      <c r="BN52">
        <f>Tabla1[[#This Row],[precio del paquete]]</f>
        <v>24500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1661</v>
      </c>
      <c r="CD52" t="str" cm="1">
        <f t="array" aca="1" ref="CD52" ca="1">eConcatenar(A52:CB52,"|")</f>
        <v>m2bFvehJILg6Qs1c|VSA2021-1706|3|DIGNITY|TABASCO|VILLAHERMOSA|VILLAHERMOSA|2021-10-14|24500|x|x|100|2|0|0|0|0|0|0|0|0|0|0|0|0|0|0|DIAZ|PACHECO|FIDEL|soltero|0|0|CALLE EJIDO GUINEO ENTRE PLATANO Y CACAO|RANCHERIA LA MANGA 3|0|9931741987|0|0|0|CALLE EJIDO GUINEO ENTRE PLATANO Y CACAO|x|lunes|0|0|0|0|0|DOMICILIO |3000|21500|x|x|x|2022-07-03|2022-07-10|0|0|0|0|0|QYDRHV029KVTQO|0|HOMBRE|0|24500|0|0|0|0|0|0|0|0|CARDENAS|X|X|X|X|FINAL</v>
      </c>
    </row>
    <row r="53" spans="1:82" x14ac:dyDescent="0.25">
      <c r="A53" t="s">
        <v>187</v>
      </c>
      <c r="B53" t="s">
        <v>432</v>
      </c>
      <c r="C53">
        <v>3</v>
      </c>
      <c r="D53" t="s">
        <v>634</v>
      </c>
      <c r="E53" t="s">
        <v>643</v>
      </c>
      <c r="F53" t="s">
        <v>644</v>
      </c>
      <c r="G53" t="s">
        <v>644</v>
      </c>
      <c r="H53" t="s">
        <v>841</v>
      </c>
      <c r="I53">
        <v>14800</v>
      </c>
      <c r="J53" t="s">
        <v>3</v>
      </c>
      <c r="K53" t="s">
        <v>3</v>
      </c>
      <c r="L53">
        <v>100</v>
      </c>
      <c r="M53">
        <v>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1062</v>
      </c>
      <c r="AC53" t="s">
        <v>1063</v>
      </c>
      <c r="AD53" s="18" t="s">
        <v>1051</v>
      </c>
      <c r="AE53" t="s">
        <v>1356</v>
      </c>
      <c r="AF53">
        <v>0</v>
      </c>
      <c r="AG53">
        <v>0</v>
      </c>
      <c r="AH53" t="s">
        <v>1400</v>
      </c>
      <c r="AI53" t="s">
        <v>687</v>
      </c>
      <c r="AJ53">
        <v>0</v>
      </c>
      <c r="AK53">
        <v>9931693662</v>
      </c>
      <c r="AL53">
        <v>0</v>
      </c>
      <c r="AM53">
        <v>0</v>
      </c>
      <c r="AN53">
        <v>0</v>
      </c>
      <c r="AO53" t="s">
        <v>1400</v>
      </c>
      <c r="AP53" t="s">
        <v>3</v>
      </c>
      <c r="AQ53" t="s">
        <v>1581</v>
      </c>
      <c r="AR53">
        <v>0</v>
      </c>
      <c r="AS53">
        <v>0</v>
      </c>
      <c r="AT53">
        <v>0</v>
      </c>
      <c r="AU53">
        <v>0</v>
      </c>
      <c r="AV53">
        <v>0</v>
      </c>
      <c r="AW53" t="s">
        <v>11</v>
      </c>
      <c r="AX53">
        <f>Tabla1[[#This Row],[precio del paquete]]-Tabla1[[#This Row],[Saldo_Deudor]]</f>
        <v>8840</v>
      </c>
      <c r="AY53">
        <v>5960</v>
      </c>
      <c r="AZ53" t="s">
        <v>3</v>
      </c>
      <c r="BA53" t="s">
        <v>3</v>
      </c>
      <c r="BB53" t="s">
        <v>3</v>
      </c>
      <c r="BC53" t="s">
        <v>912</v>
      </c>
      <c r="BD53" t="s">
        <v>1601</v>
      </c>
      <c r="BE53">
        <v>0</v>
      </c>
      <c r="BF53">
        <v>0</v>
      </c>
      <c r="BG53">
        <v>0</v>
      </c>
      <c r="BH53">
        <v>0</v>
      </c>
      <c r="BI53">
        <v>0</v>
      </c>
      <c r="BJ53" t="s">
        <v>1654</v>
      </c>
      <c r="BK53">
        <v>0</v>
      </c>
      <c r="BL53" t="s">
        <v>132</v>
      </c>
      <c r="BM53">
        <v>0</v>
      </c>
      <c r="BN53">
        <f>Tabla1[[#This Row],[precio del paquete]]</f>
        <v>14800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1661</v>
      </c>
      <c r="CD53" t="str" cm="1">
        <f t="array" aca="1" ref="CD53" ca="1">eConcatenar(A53:CB53,"|")</f>
        <v>xOJno2oiXBJ8HJ49|VSA2020-0966|3|MEMORIAL|TABASCO|VILLAHERMOSA|VILLAHERMOSA|2020-06-11|14800|x|x|100|1|0|0|0|0|0|0|0|0|0|0|0|0|0|0|ALVAREZ|MENDEZ|FLORENCIO|soltero|0|0|CARRETERA VILLAHERMOSA REFORMA KILOMETRO 25.5|RANCHERIA CORREGIDORA PRIMERA SECCION |0|9931693662|0|0|0|CARRETERA VILLAHERMOSA REFORMA KILOMETRO 25.5|x|lunes|0|0|0|0|0|DOMICILIO |8840|5960|x|x|x|2022-08-03|2022-08-10|0|0|0|0|0|QYD9TF9K9KVTQO|0|HOMBRE|0|14800|0|0|0|0|0|0|0|0|CARDENAS|X|X|X|X|FINAL</v>
      </c>
    </row>
    <row r="54" spans="1:82" x14ac:dyDescent="0.25">
      <c r="A54" t="s">
        <v>188</v>
      </c>
      <c r="B54" t="s">
        <v>433</v>
      </c>
      <c r="C54">
        <v>3</v>
      </c>
      <c r="D54" t="s">
        <v>14</v>
      </c>
      <c r="E54" t="s">
        <v>643</v>
      </c>
      <c r="F54" t="s">
        <v>644</v>
      </c>
      <c r="G54" t="s">
        <v>644</v>
      </c>
      <c r="H54" t="s">
        <v>842</v>
      </c>
      <c r="I54">
        <v>12900</v>
      </c>
      <c r="J54" t="s">
        <v>3</v>
      </c>
      <c r="K54" t="s">
        <v>3</v>
      </c>
      <c r="L54">
        <v>100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1064</v>
      </c>
      <c r="AC54" t="s">
        <v>1065</v>
      </c>
      <c r="AD54" s="18" t="s">
        <v>1066</v>
      </c>
      <c r="AE54" t="s">
        <v>1356</v>
      </c>
      <c r="AF54">
        <v>0</v>
      </c>
      <c r="AG54">
        <v>0</v>
      </c>
      <c r="AH54" t="s">
        <v>1401</v>
      </c>
      <c r="AI54" t="s">
        <v>688</v>
      </c>
      <c r="AJ54">
        <v>0</v>
      </c>
      <c r="AK54">
        <v>9932869770</v>
      </c>
      <c r="AL54">
        <v>0</v>
      </c>
      <c r="AM54">
        <v>0</v>
      </c>
      <c r="AN54">
        <v>0</v>
      </c>
      <c r="AO54" t="s">
        <v>1401</v>
      </c>
      <c r="AP54" t="s">
        <v>3</v>
      </c>
      <c r="AQ54" t="s">
        <v>1581</v>
      </c>
      <c r="AR54">
        <v>0</v>
      </c>
      <c r="AS54">
        <v>0</v>
      </c>
      <c r="AT54">
        <v>0</v>
      </c>
      <c r="AU54">
        <v>0</v>
      </c>
      <c r="AV54">
        <v>0</v>
      </c>
      <c r="AW54" t="s">
        <v>11</v>
      </c>
      <c r="AX54">
        <f>Tabla1[[#This Row],[precio del paquete]]-Tabla1[[#This Row],[Saldo_Deudor]]</f>
        <v>7900</v>
      </c>
      <c r="AY54">
        <v>5000</v>
      </c>
      <c r="AZ54" t="s">
        <v>3</v>
      </c>
      <c r="BA54" t="s">
        <v>3</v>
      </c>
      <c r="BB54" t="s">
        <v>3</v>
      </c>
      <c r="BC54" t="s">
        <v>802</v>
      </c>
      <c r="BD54" t="s">
        <v>1603</v>
      </c>
      <c r="BE54">
        <v>0</v>
      </c>
      <c r="BF54">
        <v>0</v>
      </c>
      <c r="BG54">
        <v>0</v>
      </c>
      <c r="BH54">
        <v>0</v>
      </c>
      <c r="BI54">
        <v>0</v>
      </c>
      <c r="BJ54" t="s">
        <v>1654</v>
      </c>
      <c r="BK54">
        <v>0</v>
      </c>
      <c r="BL54" t="s">
        <v>132</v>
      </c>
      <c r="BM54">
        <v>0</v>
      </c>
      <c r="BN54">
        <f>Tabla1[[#This Row],[precio del paquete]]</f>
        <v>12900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1661</v>
      </c>
      <c r="CD54" t="str" cm="1">
        <f t="array" aca="1" ref="CD54" ca="1">eConcatenar(A54:CB54,"|")</f>
        <v>Zi2d3sjTdYG7gh5K|VSA2020-0407|3|ECONOLINE |TABASCO|VILLAHERMOSA|VILLAHERMOSA|2020-04-24|12900|x|x|100|1|0|0|0|0|0|0|0|0|0|0|0|0|0|0|MONTECINO|TORRES|ABSOLON|soltero|0|0|CALLE 27 DE FEBRERO |VILLA LUIS GIL PEREZ|0|9932869770|0|0|0|CALLE 27 DE FEBRERO |x|lunes|0|0|0|0|0|DOMICILIO |7900|5000|x|x|x|2022-07-03|2022-07-10|0|0|0|0|0|QYD9TF9K9KVTQO|0|HOMBRE|0|12900|0|0|0|0|0|0|0|0|CARDENAS|X|X|X|X|FINAL</v>
      </c>
    </row>
    <row r="55" spans="1:82" x14ac:dyDescent="0.25">
      <c r="A55" t="s">
        <v>189</v>
      </c>
      <c r="B55" t="s">
        <v>434</v>
      </c>
      <c r="C55">
        <v>3</v>
      </c>
      <c r="D55" t="s">
        <v>634</v>
      </c>
      <c r="E55" t="s">
        <v>643</v>
      </c>
      <c r="F55" t="s">
        <v>644</v>
      </c>
      <c r="G55" t="s">
        <v>644</v>
      </c>
      <c r="H55" t="s">
        <v>843</v>
      </c>
      <c r="I55">
        <v>14800</v>
      </c>
      <c r="J55" t="s">
        <v>3</v>
      </c>
      <c r="K55" t="s">
        <v>3</v>
      </c>
      <c r="L55">
        <v>100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1067</v>
      </c>
      <c r="AC55" t="s">
        <v>1068</v>
      </c>
      <c r="AD55" s="18" t="s">
        <v>1069</v>
      </c>
      <c r="AE55" t="s">
        <v>1356</v>
      </c>
      <c r="AF55">
        <v>0</v>
      </c>
      <c r="AG55">
        <v>0</v>
      </c>
      <c r="AH55" t="s">
        <v>1402</v>
      </c>
      <c r="AI55" t="s">
        <v>689</v>
      </c>
      <c r="AJ55">
        <v>0</v>
      </c>
      <c r="AK55">
        <v>9933889589</v>
      </c>
      <c r="AL55">
        <v>0</v>
      </c>
      <c r="AM55">
        <v>0</v>
      </c>
      <c r="AN55">
        <v>0</v>
      </c>
      <c r="AO55" t="s">
        <v>1402</v>
      </c>
      <c r="AP55" t="s">
        <v>3</v>
      </c>
      <c r="AQ55" t="s">
        <v>1581</v>
      </c>
      <c r="AR55">
        <v>0</v>
      </c>
      <c r="AS55">
        <v>0</v>
      </c>
      <c r="AT55">
        <v>0</v>
      </c>
      <c r="AU55">
        <v>0</v>
      </c>
      <c r="AV55">
        <v>0</v>
      </c>
      <c r="AW55" t="s">
        <v>11</v>
      </c>
      <c r="AX55">
        <f>Tabla1[[#This Row],[precio del paquete]]-Tabla1[[#This Row],[Saldo_Deudor]]</f>
        <v>1800</v>
      </c>
      <c r="AY55">
        <v>13000</v>
      </c>
      <c r="AZ55" t="s">
        <v>3</v>
      </c>
      <c r="BA55" t="s">
        <v>3</v>
      </c>
      <c r="BB55" t="s">
        <v>3</v>
      </c>
      <c r="BC55" t="s">
        <v>802</v>
      </c>
      <c r="BD55" t="s">
        <v>1603</v>
      </c>
      <c r="BE55">
        <v>0</v>
      </c>
      <c r="BF55">
        <v>0</v>
      </c>
      <c r="BG55">
        <v>0</v>
      </c>
      <c r="BH55">
        <v>0</v>
      </c>
      <c r="BI55">
        <v>0</v>
      </c>
      <c r="BJ55" t="s">
        <v>1654</v>
      </c>
      <c r="BK55">
        <v>0</v>
      </c>
      <c r="BL55" t="s">
        <v>132</v>
      </c>
      <c r="BM55">
        <v>0</v>
      </c>
      <c r="BN55">
        <f>Tabla1[[#This Row],[precio del paquete]]</f>
        <v>14800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1661</v>
      </c>
      <c r="CD55" t="str" cm="1">
        <f t="array" aca="1" ref="CD55" ca="1">eConcatenar(A55:CB55,"|")</f>
        <v>m6dN6xZR3HUyY4Zk|VSA2021-1959|3|MEMORIAL|TABASCO|VILLAHERMOSA|VILLAHERMOSA|2021-09-12|14800|x|x|100|1|0|0|0|0|0|0|0|0|0|0|0|0|0|0|GARCIA|Y GARCIA|PRIMITIVO|soltero|0|0|CARRETERA PRINCIPAL SIN NUMERO |RANCHERIA BOQUERON QUINTA SECCION |0|9933889589|0|0|0|CARRETERA PRINCIPAL SIN NUMERO |x|lunes|0|0|0|0|0|DOMICILIO |1800|13000|x|x|x|2022-07-03|2022-07-10|0|0|0|0|0|QYD9TF9K9KVTQO|0|HOMBRE|0|14800|0|0|0|0|0|0|0|0|CARDENAS|X|X|X|X|FINAL</v>
      </c>
    </row>
    <row r="56" spans="1:82" x14ac:dyDescent="0.25">
      <c r="A56" t="s">
        <v>190</v>
      </c>
      <c r="B56" t="s">
        <v>435</v>
      </c>
      <c r="C56">
        <v>3</v>
      </c>
      <c r="D56" t="s">
        <v>636</v>
      </c>
      <c r="E56" t="s">
        <v>643</v>
      </c>
      <c r="F56" t="s">
        <v>644</v>
      </c>
      <c r="G56" t="s">
        <v>644</v>
      </c>
      <c r="H56" t="s">
        <v>844</v>
      </c>
      <c r="I56">
        <v>24500</v>
      </c>
      <c r="J56" t="s">
        <v>3</v>
      </c>
      <c r="K56" t="s">
        <v>3</v>
      </c>
      <c r="L56">
        <v>100</v>
      </c>
      <c r="M56">
        <v>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1070</v>
      </c>
      <c r="AC56" t="s">
        <v>1071</v>
      </c>
      <c r="AD56" s="18" t="s">
        <v>1072</v>
      </c>
      <c r="AE56" t="s">
        <v>1356</v>
      </c>
      <c r="AF56">
        <v>0</v>
      </c>
      <c r="AG56">
        <v>0</v>
      </c>
      <c r="AH56" t="s">
        <v>1403</v>
      </c>
      <c r="AI56" t="s">
        <v>690</v>
      </c>
      <c r="AJ56">
        <v>0</v>
      </c>
      <c r="AK56">
        <v>9934014176</v>
      </c>
      <c r="AL56">
        <v>0</v>
      </c>
      <c r="AM56">
        <v>0</v>
      </c>
      <c r="AN56">
        <v>0</v>
      </c>
      <c r="AO56" t="s">
        <v>1403</v>
      </c>
      <c r="AP56" t="s">
        <v>3</v>
      </c>
      <c r="AQ56" t="s">
        <v>1581</v>
      </c>
      <c r="AR56">
        <v>0</v>
      </c>
      <c r="AS56">
        <v>0</v>
      </c>
      <c r="AT56">
        <v>0</v>
      </c>
      <c r="AU56">
        <v>0</v>
      </c>
      <c r="AV56">
        <v>0</v>
      </c>
      <c r="AW56" t="s">
        <v>11</v>
      </c>
      <c r="AX56">
        <f>Tabla1[[#This Row],[precio del paquete]]-Tabla1[[#This Row],[Saldo_Deudor]]</f>
        <v>1100</v>
      </c>
      <c r="AY56">
        <v>23400</v>
      </c>
      <c r="AZ56" t="s">
        <v>3</v>
      </c>
      <c r="BA56" t="s">
        <v>3</v>
      </c>
      <c r="BB56" t="s">
        <v>3</v>
      </c>
      <c r="BC56" t="s">
        <v>895</v>
      </c>
      <c r="BD56" t="s">
        <v>1604</v>
      </c>
      <c r="BE56">
        <v>0</v>
      </c>
      <c r="BF56">
        <v>0</v>
      </c>
      <c r="BG56">
        <v>0</v>
      </c>
      <c r="BH56">
        <v>0</v>
      </c>
      <c r="BI56">
        <v>0</v>
      </c>
      <c r="BJ56" t="s">
        <v>1655</v>
      </c>
      <c r="BK56">
        <v>0</v>
      </c>
      <c r="BL56" t="s">
        <v>132</v>
      </c>
      <c r="BM56">
        <v>0</v>
      </c>
      <c r="BN56">
        <f>Tabla1[[#This Row],[precio del paquete]]</f>
        <v>24500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1661</v>
      </c>
      <c r="CD56" t="str" cm="1">
        <f t="array" aca="1" ref="CD56" ca="1">eConcatenar(A56:CB56,"|")</f>
        <v>okZDcUdFrfIwrD5U|VSA2021-1978|3|DIGNITY|TABASCO|VILLAHERMOSA|VILLAHERMOSA|2021-12-21|24500|x|x|100|2|0|0|0|0|0|0|0|0|0|0|0|0|0|0|GONZALEZ|CHABLE|LUCERO|soltero|0|0|CARRETERA AZTLAN SIN NUMERO |EJIDO GONZALEZ|0|9934014176|0|0|0|CARRETERA AZTLAN SIN NUMERO |x|lunes|0|0|0|0|0|DOMICILIO |1100|23400|x|x|x|2022-03-03|2022-03-10|0|0|0|0|0|QYD9TFOK9KVTQO|0|HOMBRE|0|24500|0|0|0|0|0|0|0|0|CARDENAS|X|X|X|X|FINAL</v>
      </c>
    </row>
    <row r="57" spans="1:82" x14ac:dyDescent="0.25">
      <c r="A57" t="s">
        <v>191</v>
      </c>
      <c r="B57" t="s">
        <v>436</v>
      </c>
      <c r="C57">
        <v>3</v>
      </c>
      <c r="D57" t="s">
        <v>636</v>
      </c>
      <c r="E57" t="s">
        <v>643</v>
      </c>
      <c r="F57" t="s">
        <v>644</v>
      </c>
      <c r="G57" t="s">
        <v>644</v>
      </c>
      <c r="H57" t="s">
        <v>845</v>
      </c>
      <c r="I57">
        <v>24500</v>
      </c>
      <c r="J57" t="s">
        <v>3</v>
      </c>
      <c r="K57" t="s">
        <v>3</v>
      </c>
      <c r="L57">
        <v>100</v>
      </c>
      <c r="M57">
        <v>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1073</v>
      </c>
      <c r="AC57" t="s">
        <v>1074</v>
      </c>
      <c r="AD57" s="18" t="s">
        <v>1075</v>
      </c>
      <c r="AE57" t="s">
        <v>1356</v>
      </c>
      <c r="AF57">
        <v>0</v>
      </c>
      <c r="AG57">
        <v>0</v>
      </c>
      <c r="AH57" t="s">
        <v>1404</v>
      </c>
      <c r="AI57" t="s">
        <v>691</v>
      </c>
      <c r="AJ57">
        <v>0</v>
      </c>
      <c r="AK57">
        <v>9932236540</v>
      </c>
      <c r="AL57">
        <v>0</v>
      </c>
      <c r="AM57">
        <v>0</v>
      </c>
      <c r="AN57">
        <v>0</v>
      </c>
      <c r="AO57" t="s">
        <v>1404</v>
      </c>
      <c r="AP57" t="s">
        <v>3</v>
      </c>
      <c r="AQ57" t="s">
        <v>1581</v>
      </c>
      <c r="AR57">
        <v>0</v>
      </c>
      <c r="AS57">
        <v>0</v>
      </c>
      <c r="AT57">
        <v>0</v>
      </c>
      <c r="AU57">
        <v>0</v>
      </c>
      <c r="AV57">
        <v>0</v>
      </c>
      <c r="AW57" t="s">
        <v>11</v>
      </c>
      <c r="AX57">
        <f>Tabla1[[#This Row],[precio del paquete]]-Tabla1[[#This Row],[Saldo_Deudor]]</f>
        <v>1500</v>
      </c>
      <c r="AY57">
        <v>23000</v>
      </c>
      <c r="AZ57" t="s">
        <v>3</v>
      </c>
      <c r="BA57" t="s">
        <v>3</v>
      </c>
      <c r="BB57" t="s">
        <v>3</v>
      </c>
      <c r="BC57" t="s">
        <v>913</v>
      </c>
      <c r="BD57" t="s">
        <v>1592</v>
      </c>
      <c r="BE57">
        <v>0</v>
      </c>
      <c r="BF57">
        <v>0</v>
      </c>
      <c r="BG57">
        <v>0</v>
      </c>
      <c r="BH57">
        <v>0</v>
      </c>
      <c r="BI57">
        <v>0</v>
      </c>
      <c r="BJ57" t="s">
        <v>1655</v>
      </c>
      <c r="BK57">
        <v>0</v>
      </c>
      <c r="BL57" t="s">
        <v>132</v>
      </c>
      <c r="BM57">
        <v>0</v>
      </c>
      <c r="BN57">
        <f>Tabla1[[#This Row],[precio del paquete]]</f>
        <v>24500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1661</v>
      </c>
      <c r="CD57" t="str" cm="1">
        <f t="array" aca="1" ref="CD57" ca="1">eConcatenar(A57:CB57,"|")</f>
        <v>yK8dUn7dt6HesOQb|VSA2022-0017|3|DIGNITY|TABASCO|VILLAHERMOSA|VILLAHERMOSA|2022-07-01|24500|x|x|100|2|0|0|0|0|0|0|0|0|0|0|0|0|0|0|CALDERON|ASENCIO|ATILO|soltero|0|0|CALLE PUNTA BRAVA SIN NUMERO |POBLADO DOS MONTES |0|9932236540|0|0|0|CALLE PUNTA BRAVA SIN NUMERO |x|lunes|0|0|0|0|0|DOMICILIO |1500|23000|x|x|x|2022-05-03|2022-05-10|0|0|0|0|0|QYD9TFOK9KVTQO|0|HOMBRE|0|24500|0|0|0|0|0|0|0|0|CARDENAS|X|X|X|X|FINAL</v>
      </c>
    </row>
    <row r="58" spans="1:82" x14ac:dyDescent="0.25">
      <c r="A58" t="s">
        <v>192</v>
      </c>
      <c r="B58" t="s">
        <v>437</v>
      </c>
      <c r="C58">
        <v>3</v>
      </c>
      <c r="D58" t="s">
        <v>634</v>
      </c>
      <c r="E58" t="s">
        <v>643</v>
      </c>
      <c r="F58" t="s">
        <v>644</v>
      </c>
      <c r="G58" t="s">
        <v>644</v>
      </c>
      <c r="H58" t="s">
        <v>814</v>
      </c>
      <c r="I58">
        <v>14800</v>
      </c>
      <c r="J58" t="s">
        <v>3</v>
      </c>
      <c r="K58" t="s">
        <v>3</v>
      </c>
      <c r="L58">
        <v>100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971</v>
      </c>
      <c r="AC58" t="s">
        <v>1076</v>
      </c>
      <c r="AD58" s="18" t="s">
        <v>1077</v>
      </c>
      <c r="AE58" t="s">
        <v>1356</v>
      </c>
      <c r="AF58">
        <v>0</v>
      </c>
      <c r="AG58">
        <v>0</v>
      </c>
      <c r="AH58" t="s">
        <v>1405</v>
      </c>
      <c r="AI58" t="s">
        <v>691</v>
      </c>
      <c r="AJ58">
        <v>0</v>
      </c>
      <c r="AK58">
        <v>3612113687</v>
      </c>
      <c r="AL58">
        <v>0</v>
      </c>
      <c r="AM58">
        <v>0</v>
      </c>
      <c r="AN58">
        <v>0</v>
      </c>
      <c r="AO58" t="s">
        <v>1405</v>
      </c>
      <c r="AP58" t="s">
        <v>3</v>
      </c>
      <c r="AQ58" t="s">
        <v>1581</v>
      </c>
      <c r="AR58">
        <v>0</v>
      </c>
      <c r="AS58">
        <v>0</v>
      </c>
      <c r="AT58">
        <v>0</v>
      </c>
      <c r="AU58">
        <v>0</v>
      </c>
      <c r="AV58">
        <v>0</v>
      </c>
      <c r="AW58" t="s">
        <v>11</v>
      </c>
      <c r="AX58">
        <f>Tabla1[[#This Row],[precio del paquete]]-Tabla1[[#This Row],[Saldo_Deudor]]</f>
        <v>900</v>
      </c>
      <c r="AY58">
        <v>13900</v>
      </c>
      <c r="AZ58" t="s">
        <v>3</v>
      </c>
      <c r="BA58" t="s">
        <v>3</v>
      </c>
      <c r="BB58" t="s">
        <v>3</v>
      </c>
      <c r="BC58" t="s">
        <v>913</v>
      </c>
      <c r="BD58" t="s">
        <v>1592</v>
      </c>
      <c r="BE58">
        <v>0</v>
      </c>
      <c r="BF58">
        <v>0</v>
      </c>
      <c r="BG58">
        <v>0</v>
      </c>
      <c r="BH58">
        <v>0</v>
      </c>
      <c r="BI58">
        <v>0</v>
      </c>
      <c r="BJ58" t="s">
        <v>1655</v>
      </c>
      <c r="BK58">
        <v>0</v>
      </c>
      <c r="BL58" t="s">
        <v>132</v>
      </c>
      <c r="BM58">
        <v>0</v>
      </c>
      <c r="BN58">
        <f>Tabla1[[#This Row],[precio del paquete]]</f>
        <v>14800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1661</v>
      </c>
      <c r="CD58" t="str" cm="1">
        <f t="array" aca="1" ref="CD58" ca="1">eConcatenar(A58:CB58,"|")</f>
        <v>4jBqTafFLXnReX4H|VSA2022-0079|3|MEMORIAL|TABASCO|VILLAHERMOSA|VILLAHERMOSA|2022-01-19|14800|x|x|100|2|0|0|0|0|0|0|0|0|0|0|0|0|0|0|HERNANDEZ|DIONISIO|HILARIO|soltero|0|0|TERCERA CERRADA DE PUNTA BRAVA SIN NUMERO|POBLADO DOS MONTES |0|3612113687|0|0|0|TERCERA CERRADA DE PUNTA BRAVA SIN NUMERO|x|lunes|0|0|0|0|0|DOMICILIO |900|13900|x|x|x|2022-05-03|2022-05-10|0|0|0|0|0|QYD9TFOK9KVTQO|0|HOMBRE|0|14800|0|0|0|0|0|0|0|0|CARDENAS|X|X|X|X|FINAL</v>
      </c>
    </row>
    <row r="59" spans="1:82" x14ac:dyDescent="0.25">
      <c r="A59" t="s">
        <v>193</v>
      </c>
      <c r="B59" t="s">
        <v>438</v>
      </c>
      <c r="C59">
        <v>3</v>
      </c>
      <c r="D59" t="s">
        <v>636</v>
      </c>
      <c r="E59" t="s">
        <v>643</v>
      </c>
      <c r="F59" t="s">
        <v>644</v>
      </c>
      <c r="G59" t="s">
        <v>644</v>
      </c>
      <c r="H59" t="s">
        <v>846</v>
      </c>
      <c r="I59">
        <v>24500</v>
      </c>
      <c r="J59" t="s">
        <v>3</v>
      </c>
      <c r="K59" t="s">
        <v>3</v>
      </c>
      <c r="L59">
        <v>100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1038</v>
      </c>
      <c r="AC59" t="s">
        <v>988</v>
      </c>
      <c r="AD59" s="18" t="s">
        <v>1078</v>
      </c>
      <c r="AE59" t="s">
        <v>1356</v>
      </c>
      <c r="AF59">
        <v>0</v>
      </c>
      <c r="AG59">
        <v>0</v>
      </c>
      <c r="AH59" t="s">
        <v>1406</v>
      </c>
      <c r="AI59" t="s">
        <v>692</v>
      </c>
      <c r="AJ59">
        <v>0</v>
      </c>
      <c r="AK59">
        <v>9931122983</v>
      </c>
      <c r="AL59">
        <v>0</v>
      </c>
      <c r="AM59">
        <v>0</v>
      </c>
      <c r="AN59">
        <v>0</v>
      </c>
      <c r="AO59" t="s">
        <v>1406</v>
      </c>
      <c r="AP59" t="s">
        <v>3</v>
      </c>
      <c r="AQ59" t="s">
        <v>1581</v>
      </c>
      <c r="AR59">
        <v>0</v>
      </c>
      <c r="AS59">
        <v>0</v>
      </c>
      <c r="AT59">
        <v>0</v>
      </c>
      <c r="AU59">
        <v>0</v>
      </c>
      <c r="AV59">
        <v>0</v>
      </c>
      <c r="AW59" t="s">
        <v>11</v>
      </c>
      <c r="AX59">
        <f>Tabla1[[#This Row],[precio del paquete]]-Tabla1[[#This Row],[Saldo_Deudor]]</f>
        <v>2500</v>
      </c>
      <c r="AY59">
        <v>22000</v>
      </c>
      <c r="AZ59" t="s">
        <v>3</v>
      </c>
      <c r="BA59" t="s">
        <v>3</v>
      </c>
      <c r="BB59" t="s">
        <v>3</v>
      </c>
      <c r="BC59" t="s">
        <v>1585</v>
      </c>
      <c r="BD59" t="s">
        <v>1586</v>
      </c>
      <c r="BE59">
        <v>0</v>
      </c>
      <c r="BF59">
        <v>0</v>
      </c>
      <c r="BG59">
        <v>0</v>
      </c>
      <c r="BH59">
        <v>0</v>
      </c>
      <c r="BI59">
        <v>0</v>
      </c>
      <c r="BJ59" t="s">
        <v>1655</v>
      </c>
      <c r="BK59">
        <v>0</v>
      </c>
      <c r="BL59" t="s">
        <v>132</v>
      </c>
      <c r="BM59">
        <v>0</v>
      </c>
      <c r="BN59">
        <f>Tabla1[[#This Row],[precio del paquete]]</f>
        <v>24500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1661</v>
      </c>
      <c r="CD59" t="str" cm="1">
        <f t="array" aca="1" ref="CD59" ca="1">eConcatenar(A59:CB59,"|")</f>
        <v>4ddSmo8j9dtVRaQD|VSA2021-1875|3|DIGNITY|TABASCO|VILLAHERMOSA|VILLAHERMOSA|2021-11-18|24500|x|x|100|2|0|0|0|0|0|0|0|0|0|0|0|0|0|0|VALENCIA|CAMARA|ANDREA|soltero|0|0|CARRETERA PRINCIPAL SIN NUMERO MANZANA 1 LOTE 4|RANCHERIA LA PALMA |0|9931122983|0|0|0|CARRETERA PRINCIPAL SIN NUMERO MANZANA 1 LOTE 4|x|lunes|0|0|0|0|0|DOMICILIO |2500|22000|x|x|x|2022-04-03|2022-04-10|0|0|0|0|0|QYD9TFOK9KVTQO|0|HOMBRE|0|24500|0|0|0|0|0|0|0|0|CARDENAS|X|X|X|X|FINAL</v>
      </c>
    </row>
    <row r="60" spans="1:82" x14ac:dyDescent="0.25">
      <c r="A60" t="s">
        <v>194</v>
      </c>
      <c r="B60" t="s">
        <v>439</v>
      </c>
      <c r="C60">
        <v>3</v>
      </c>
      <c r="D60" t="s">
        <v>634</v>
      </c>
      <c r="E60" t="s">
        <v>643</v>
      </c>
      <c r="F60" t="s">
        <v>647</v>
      </c>
      <c r="G60" t="s">
        <v>647</v>
      </c>
      <c r="H60" t="s">
        <v>847</v>
      </c>
      <c r="I60">
        <v>14800</v>
      </c>
      <c r="J60" t="s">
        <v>3</v>
      </c>
      <c r="K60" t="s">
        <v>3</v>
      </c>
      <c r="L60">
        <v>100</v>
      </c>
      <c r="M60">
        <v>2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8</v>
      </c>
      <c r="AC60" t="s">
        <v>976</v>
      </c>
      <c r="AD60" s="18" t="s">
        <v>1079</v>
      </c>
      <c r="AE60" t="s">
        <v>1356</v>
      </c>
      <c r="AF60">
        <v>0</v>
      </c>
      <c r="AG60">
        <v>0</v>
      </c>
      <c r="AH60" t="s">
        <v>1407</v>
      </c>
      <c r="AI60" t="s">
        <v>693</v>
      </c>
      <c r="AJ60">
        <v>0</v>
      </c>
      <c r="AK60">
        <v>9323298186</v>
      </c>
      <c r="AL60">
        <v>0</v>
      </c>
      <c r="AM60">
        <v>0</v>
      </c>
      <c r="AN60">
        <v>0</v>
      </c>
      <c r="AO60" t="s">
        <v>1407</v>
      </c>
      <c r="AP60" t="s">
        <v>3</v>
      </c>
      <c r="AQ60" t="s">
        <v>1581</v>
      </c>
      <c r="AR60">
        <v>0</v>
      </c>
      <c r="AS60">
        <v>0</v>
      </c>
      <c r="AT60">
        <v>0</v>
      </c>
      <c r="AU60">
        <v>0</v>
      </c>
      <c r="AV60">
        <v>0</v>
      </c>
      <c r="AW60" t="s">
        <v>11</v>
      </c>
      <c r="AX60">
        <f>Tabla1[[#This Row],[precio del paquete]]-Tabla1[[#This Row],[Saldo_Deudor]]</f>
        <v>6400</v>
      </c>
      <c r="AY60">
        <v>8400</v>
      </c>
      <c r="AZ60" t="s">
        <v>3</v>
      </c>
      <c r="BA60" t="s">
        <v>3</v>
      </c>
      <c r="BB60" t="s">
        <v>3</v>
      </c>
      <c r="BC60" t="s">
        <v>1605</v>
      </c>
      <c r="BD60" t="s">
        <v>959</v>
      </c>
      <c r="BE60">
        <v>0</v>
      </c>
      <c r="BF60">
        <v>0</v>
      </c>
      <c r="BG60">
        <v>0</v>
      </c>
      <c r="BH60">
        <v>0</v>
      </c>
      <c r="BI60">
        <v>0</v>
      </c>
      <c r="BJ60" t="s">
        <v>1655</v>
      </c>
      <c r="BK60">
        <v>0</v>
      </c>
      <c r="BL60" t="s">
        <v>132</v>
      </c>
      <c r="BM60">
        <v>0</v>
      </c>
      <c r="BN60">
        <f>Tabla1[[#This Row],[precio del paquete]]</f>
        <v>14800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1661</v>
      </c>
      <c r="CD60" t="str" cm="1">
        <f t="array" aca="1" ref="CD60" ca="1">eConcatenar(A60:CB60,"|")</f>
        <v>x3RiRjO0cQ00mWed|VSA2020-T-0088|3|MEMORIAL|TABASCO|TEAPA|TEAPA|2020-12-09|14800|x|x|100|2|0|0|0|0|0|0|0|0|0|0|0|0|0|0|GOMEZ|MARTINEZ|KINBERLI POLET|soltero|0|0|CALLE MACUILIS NUMERO 169|COLONIA FLORIDA|0|9323298186|0|0|0|CALLE MACUILIS NUMERO 169|x|lunes|0|0|0|0|0|DOMICILIO |6400|8400|x|x|x|2021-04-08|2021-04-15|0|0|0|0|0|QYD9TFOK9KVTQO|0|HOMBRE|0|14800|0|0|0|0|0|0|0|0|CARDENAS|X|X|X|X|FINAL</v>
      </c>
    </row>
    <row r="61" spans="1:82" x14ac:dyDescent="0.25">
      <c r="A61" t="s">
        <v>195</v>
      </c>
      <c r="B61" t="s">
        <v>440</v>
      </c>
      <c r="C61">
        <v>3</v>
      </c>
      <c r="D61" t="s">
        <v>636</v>
      </c>
      <c r="E61" t="s">
        <v>643</v>
      </c>
      <c r="F61" t="s">
        <v>647</v>
      </c>
      <c r="G61" t="s">
        <v>647</v>
      </c>
      <c r="H61" t="s">
        <v>848</v>
      </c>
      <c r="I61">
        <v>24500</v>
      </c>
      <c r="J61" t="s">
        <v>3</v>
      </c>
      <c r="K61" t="s">
        <v>3</v>
      </c>
      <c r="L61">
        <v>100</v>
      </c>
      <c r="M61">
        <v>2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1062</v>
      </c>
      <c r="AC61" t="s">
        <v>1080</v>
      </c>
      <c r="AD61" s="18" t="s">
        <v>1081</v>
      </c>
      <c r="AE61" t="s">
        <v>1356</v>
      </c>
      <c r="AF61">
        <v>0</v>
      </c>
      <c r="AG61">
        <v>0</v>
      </c>
      <c r="AH61" t="s">
        <v>1408</v>
      </c>
      <c r="AI61" t="s">
        <v>694</v>
      </c>
      <c r="AJ61">
        <v>0</v>
      </c>
      <c r="AK61">
        <v>9931603392</v>
      </c>
      <c r="AL61">
        <v>0</v>
      </c>
      <c r="AM61">
        <v>0</v>
      </c>
      <c r="AN61">
        <v>0</v>
      </c>
      <c r="AO61" t="s">
        <v>1408</v>
      </c>
      <c r="AP61" t="s">
        <v>3</v>
      </c>
      <c r="AQ61" t="s">
        <v>1581</v>
      </c>
      <c r="AR61">
        <v>0</v>
      </c>
      <c r="AS61">
        <v>0</v>
      </c>
      <c r="AT61">
        <v>0</v>
      </c>
      <c r="AU61">
        <v>0</v>
      </c>
      <c r="AV61">
        <v>0</v>
      </c>
      <c r="AW61" t="s">
        <v>11</v>
      </c>
      <c r="AX61">
        <f>Tabla1[[#This Row],[precio del paquete]]-Tabla1[[#This Row],[Saldo_Deudor]]</f>
        <v>3200</v>
      </c>
      <c r="AY61">
        <v>21300</v>
      </c>
      <c r="AZ61" t="s">
        <v>3</v>
      </c>
      <c r="BA61" t="s">
        <v>3</v>
      </c>
      <c r="BB61" t="s">
        <v>3</v>
      </c>
      <c r="BC61" t="s">
        <v>803</v>
      </c>
      <c r="BD61" t="s">
        <v>1606</v>
      </c>
      <c r="BE61">
        <v>0</v>
      </c>
      <c r="BF61">
        <v>0</v>
      </c>
      <c r="BG61">
        <v>0</v>
      </c>
      <c r="BH61">
        <v>0</v>
      </c>
      <c r="BI61">
        <v>0</v>
      </c>
      <c r="BJ61" t="s">
        <v>1655</v>
      </c>
      <c r="BK61">
        <v>0</v>
      </c>
      <c r="BL61" t="s">
        <v>132</v>
      </c>
      <c r="BM61">
        <v>0</v>
      </c>
      <c r="BN61">
        <f>Tabla1[[#This Row],[precio del paquete]]</f>
        <v>24500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1661</v>
      </c>
      <c r="CD61" t="str" cm="1">
        <f t="array" aca="1" ref="CD61" ca="1">eConcatenar(A61:CB61,"|")</f>
        <v>NMfj7X5TlQZ6WU66|VSA2021-T-0533|3|DIGNITY|TABASCO|TEAPA|TEAPA|2021-10-30|24500|x|x|100|2|0|0|0|0|0|0|0|0|0|0|0|0|0|0|ALVAREZ|CORNELIO|MARIA GUADALUPE|soltero|0|0|CALLE ANASTACIO LOQUE 226|BARRIO EL MURE |0|9931603392|0|0|0|CALLE ANASTACIO LOQUE 226|x|lunes|0|0|0|0|0|DOMICILIO |3200|21300|x|x|x|2022-02-03|2022-02-10|0|0|0|0|0|QYD9TFOK9KVTQO|0|HOMBRE|0|24500|0|0|0|0|0|0|0|0|CARDENAS|X|X|X|X|FINAL</v>
      </c>
    </row>
    <row r="62" spans="1:82" x14ac:dyDescent="0.25">
      <c r="A62" t="s">
        <v>196</v>
      </c>
      <c r="B62" t="s">
        <v>441</v>
      </c>
      <c r="C62">
        <v>3</v>
      </c>
      <c r="D62" t="s">
        <v>635</v>
      </c>
      <c r="E62" t="s">
        <v>643</v>
      </c>
      <c r="F62" t="s">
        <v>647</v>
      </c>
      <c r="G62" t="s">
        <v>647</v>
      </c>
      <c r="H62" t="s">
        <v>849</v>
      </c>
      <c r="I62">
        <v>14800</v>
      </c>
      <c r="J62" t="s">
        <v>3</v>
      </c>
      <c r="K62" t="s">
        <v>3</v>
      </c>
      <c r="L62">
        <v>100</v>
      </c>
      <c r="M62">
        <v>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1000</v>
      </c>
      <c r="AC62" t="s">
        <v>1082</v>
      </c>
      <c r="AD62" s="18" t="s">
        <v>1083</v>
      </c>
      <c r="AE62" t="s">
        <v>1356</v>
      </c>
      <c r="AF62">
        <v>0</v>
      </c>
      <c r="AG62">
        <v>0</v>
      </c>
      <c r="AH62" t="s">
        <v>1409</v>
      </c>
      <c r="AI62" t="s">
        <v>695</v>
      </c>
      <c r="AJ62">
        <v>0</v>
      </c>
      <c r="AK62">
        <v>9321005293</v>
      </c>
      <c r="AL62">
        <v>0</v>
      </c>
      <c r="AM62">
        <v>0</v>
      </c>
      <c r="AN62">
        <v>0</v>
      </c>
      <c r="AO62" t="s">
        <v>1409</v>
      </c>
      <c r="AP62" t="s">
        <v>3</v>
      </c>
      <c r="AQ62" t="s">
        <v>1581</v>
      </c>
      <c r="AR62">
        <v>0</v>
      </c>
      <c r="AS62">
        <v>0</v>
      </c>
      <c r="AT62">
        <v>0</v>
      </c>
      <c r="AU62">
        <v>0</v>
      </c>
      <c r="AV62">
        <v>0</v>
      </c>
      <c r="AW62" t="s">
        <v>11</v>
      </c>
      <c r="AX62">
        <f>Tabla1[[#This Row],[precio del paquete]]-Tabla1[[#This Row],[Saldo_Deudor]]</f>
        <v>7300</v>
      </c>
      <c r="AY62">
        <v>7500</v>
      </c>
      <c r="AZ62" t="s">
        <v>3</v>
      </c>
      <c r="BA62" t="s">
        <v>3</v>
      </c>
      <c r="BB62" t="s">
        <v>3</v>
      </c>
      <c r="BC62" t="s">
        <v>803</v>
      </c>
      <c r="BD62" t="s">
        <v>1606</v>
      </c>
      <c r="BE62">
        <v>0</v>
      </c>
      <c r="BF62">
        <v>0</v>
      </c>
      <c r="BG62">
        <v>0</v>
      </c>
      <c r="BH62">
        <v>0</v>
      </c>
      <c r="BI62">
        <v>0</v>
      </c>
      <c r="BJ62" t="s">
        <v>1655</v>
      </c>
      <c r="BK62">
        <v>0</v>
      </c>
      <c r="BL62" t="s">
        <v>132</v>
      </c>
      <c r="BM62">
        <v>0</v>
      </c>
      <c r="BN62">
        <f>Tabla1[[#This Row],[precio del paquete]]</f>
        <v>14800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1661</v>
      </c>
      <c r="CD62" t="str" cm="1">
        <f t="array" aca="1" ref="CD62" ca="1">eConcatenar(A62:CB62,"|")</f>
        <v>w0CAIT5rKyNjBiiG|VSA2021-T-0043|3|IMPERIAL DE LUJO|TABASCO|TEAPA|TEAPA|2021-01-20|14800|x|x|100|2|0|0|0|0|0|0|0|0|0|0|0|0|0|0|MORALES|SASSO|CORAZON|soltero|0|0|CALLE NIÃ‘OS HEROES FRENTE A LA PRIMARIA JUAN ALDAMA|VILLA JUAN ALDAMA |0|9321005293|0|0|0|CALLE NIÃ‘OS HEROES FRENTE A LA PRIMARIA JUAN ALDAMA|x|lunes|0|0|0|0|0|DOMICILIO |7300|7500|x|x|x|2022-02-03|2022-02-10|0|0|0|0|0|QYD9TFOK9KVTQO|0|HOMBRE|0|14800|0|0|0|0|0|0|0|0|CARDENAS|X|X|X|X|FINAL</v>
      </c>
    </row>
    <row r="63" spans="1:82" x14ac:dyDescent="0.25">
      <c r="A63" t="s">
        <v>197</v>
      </c>
      <c r="B63" t="s">
        <v>442</v>
      </c>
      <c r="C63">
        <v>3</v>
      </c>
      <c r="D63" t="s">
        <v>634</v>
      </c>
      <c r="E63" t="s">
        <v>643</v>
      </c>
      <c r="F63" t="s">
        <v>644</v>
      </c>
      <c r="G63" t="s">
        <v>644</v>
      </c>
      <c r="H63" t="s">
        <v>850</v>
      </c>
      <c r="I63">
        <v>14800</v>
      </c>
      <c r="J63" t="s">
        <v>3</v>
      </c>
      <c r="K63" t="s">
        <v>3</v>
      </c>
      <c r="L63">
        <v>100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991</v>
      </c>
      <c r="AC63" t="s">
        <v>1067</v>
      </c>
      <c r="AD63" s="18" t="s">
        <v>1084</v>
      </c>
      <c r="AE63" t="s">
        <v>1356</v>
      </c>
      <c r="AF63">
        <v>0</v>
      </c>
      <c r="AG63">
        <v>0</v>
      </c>
      <c r="AH63" t="s">
        <v>1410</v>
      </c>
      <c r="AI63" t="s">
        <v>696</v>
      </c>
      <c r="AJ63">
        <v>0</v>
      </c>
      <c r="AK63">
        <v>9931536800</v>
      </c>
      <c r="AL63">
        <v>0</v>
      </c>
      <c r="AM63">
        <v>0</v>
      </c>
      <c r="AN63">
        <v>0</v>
      </c>
      <c r="AO63" t="s">
        <v>1410</v>
      </c>
      <c r="AP63" t="s">
        <v>3</v>
      </c>
      <c r="AQ63" t="s">
        <v>1581</v>
      </c>
      <c r="AR63">
        <v>0</v>
      </c>
      <c r="AS63">
        <v>0</v>
      </c>
      <c r="AT63">
        <v>0</v>
      </c>
      <c r="AU63">
        <v>0</v>
      </c>
      <c r="AV63">
        <v>0</v>
      </c>
      <c r="AW63" t="s">
        <v>11</v>
      </c>
      <c r="AX63">
        <f>Tabla1[[#This Row],[precio del paquete]]-Tabla1[[#This Row],[Saldo_Deudor]]</f>
        <v>400</v>
      </c>
      <c r="AY63">
        <v>14400</v>
      </c>
      <c r="AZ63" t="s">
        <v>3</v>
      </c>
      <c r="BA63" t="s">
        <v>3</v>
      </c>
      <c r="BB63" t="s">
        <v>3</v>
      </c>
      <c r="BC63" t="s">
        <v>1607</v>
      </c>
      <c r="BD63" t="s">
        <v>871</v>
      </c>
      <c r="BE63">
        <v>0</v>
      </c>
      <c r="BF63">
        <v>0</v>
      </c>
      <c r="BG63">
        <v>0</v>
      </c>
      <c r="BH63">
        <v>0</v>
      </c>
      <c r="BI63">
        <v>0</v>
      </c>
      <c r="BJ63" t="s">
        <v>1653</v>
      </c>
      <c r="BK63">
        <v>0</v>
      </c>
      <c r="BL63" t="s">
        <v>132</v>
      </c>
      <c r="BM63">
        <v>0</v>
      </c>
      <c r="BN63">
        <f>Tabla1[[#This Row],[precio del paquete]]</f>
        <v>14800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1661</v>
      </c>
      <c r="CD63" t="str" cm="1">
        <f t="array" aca="1" ref="CD63" ca="1">eConcatenar(A63:CB63,"|")</f>
        <v>8xIDE3G8wsbD9tzh|VSA2022-0124|3|MEMORIAL|TABASCO|VILLAHERMOSA|VILLAHERMOSA|2022-02-02|14800|x|x|100|1|0|0|0|0|0|0|0|0|0|0|0|0|0|0|SANTIAGO|GARCIA|MARIA ISABEL|soltero|0|0|CARRETERA A FRONTERA KILOMETRO 10 |RANCHERIA LAGARTERA SEGUNDA SECCION |0|9931536800|0|0|0|CARRETERA A FRONTERA KILOMETRO 10 |x|lunes|0|0|0|0|0|DOMICILIO |400|14400|x|x|x|2022-02-15|2022-02-22|0|0|0|0|0|QYDRHV029KVTQO|0|HOMBRE|0|14800|0|0|0|0|0|0|0|0|CARDENAS|X|X|X|X|FINAL</v>
      </c>
    </row>
    <row r="64" spans="1:82" x14ac:dyDescent="0.25">
      <c r="A64" t="s">
        <v>198</v>
      </c>
      <c r="B64" t="s">
        <v>443</v>
      </c>
      <c r="C64">
        <v>3</v>
      </c>
      <c r="D64" t="s">
        <v>634</v>
      </c>
      <c r="E64" t="s">
        <v>643</v>
      </c>
      <c r="F64" t="s">
        <v>644</v>
      </c>
      <c r="G64" t="s">
        <v>644</v>
      </c>
      <c r="H64" t="s">
        <v>851</v>
      </c>
      <c r="I64">
        <v>14800</v>
      </c>
      <c r="J64" t="s">
        <v>3</v>
      </c>
      <c r="K64" t="s">
        <v>3</v>
      </c>
      <c r="L64">
        <v>100</v>
      </c>
      <c r="M64">
        <v>1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1085</v>
      </c>
      <c r="AC64" t="s">
        <v>1086</v>
      </c>
      <c r="AD64" s="18" t="s">
        <v>1087</v>
      </c>
      <c r="AE64" t="s">
        <v>1356</v>
      </c>
      <c r="AF64">
        <v>0</v>
      </c>
      <c r="AG64">
        <v>0</v>
      </c>
      <c r="AH64" t="s">
        <v>1411</v>
      </c>
      <c r="AI64" t="s">
        <v>697</v>
      </c>
      <c r="AJ64">
        <v>0</v>
      </c>
      <c r="AK64">
        <v>9933331641</v>
      </c>
      <c r="AL64">
        <v>0</v>
      </c>
      <c r="AM64">
        <v>0</v>
      </c>
      <c r="AN64">
        <v>0</v>
      </c>
      <c r="AO64" t="s">
        <v>1411</v>
      </c>
      <c r="AP64" t="s">
        <v>3</v>
      </c>
      <c r="AQ64" t="s">
        <v>1581</v>
      </c>
      <c r="AR64">
        <v>0</v>
      </c>
      <c r="AS64">
        <v>0</v>
      </c>
      <c r="AT64">
        <v>0</v>
      </c>
      <c r="AU64">
        <v>0</v>
      </c>
      <c r="AV64">
        <v>0</v>
      </c>
      <c r="AW64" t="s">
        <v>11</v>
      </c>
      <c r="AX64">
        <f>Tabla1[[#This Row],[precio del paquete]]-Tabla1[[#This Row],[Saldo_Deudor]]</f>
        <v>400</v>
      </c>
      <c r="AY64">
        <v>14400</v>
      </c>
      <c r="AZ64" t="s">
        <v>3</v>
      </c>
      <c r="BA64" t="s">
        <v>3</v>
      </c>
      <c r="BB64" t="s">
        <v>3</v>
      </c>
      <c r="BC64" t="s">
        <v>903</v>
      </c>
      <c r="BD64" t="s">
        <v>1608</v>
      </c>
      <c r="BE64">
        <v>0</v>
      </c>
      <c r="BF64">
        <v>0</v>
      </c>
      <c r="BG64">
        <v>0</v>
      </c>
      <c r="BH64">
        <v>0</v>
      </c>
      <c r="BI64">
        <v>0</v>
      </c>
      <c r="BJ64" t="s">
        <v>1653</v>
      </c>
      <c r="BK64">
        <v>0</v>
      </c>
      <c r="BL64" t="s">
        <v>132</v>
      </c>
      <c r="BM64">
        <v>0</v>
      </c>
      <c r="BN64">
        <f>Tabla1[[#This Row],[precio del paquete]]</f>
        <v>14800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1661</v>
      </c>
      <c r="CD64" t="str" cm="1">
        <f t="array" aca="1" ref="CD64" ca="1">eConcatenar(A64:CB64,"|")</f>
        <v>xrEC0JSZUHhsTvUt|VSA2022-0100|3|MEMORIAL|TABASCO|VILLAHERMOSA|VILLAHERMOSA|2022-01-29|14800|x|x|100|1|0|0|0|0|0|0|0|0|0|0|0|0|0|0|VILLEGAS|CASTAN|CLAUDIA PATRICIA|soltero|0|0|CALLE IGNACIO GUTIERREZ TERCERA CERRADA INOCENTE VAZQUEZ|CALLE IGNACIO GUTIERREZ|0|9933331641|0|0|0|CALLE IGNACIO GUTIERREZ TERCERA CERRADA INOCENTE VAZQUEZ|x|lunes|0|0|0|0|0|DOMICILIO |400|14400|x|x|x|2022-01-03|2022-01-10|0|0|0|0|0|QYDRHV029KVTQO|0|HOMBRE|0|14800|0|0|0|0|0|0|0|0|CARDENAS|X|X|X|X|FINAL</v>
      </c>
    </row>
    <row r="65" spans="1:82" x14ac:dyDescent="0.25">
      <c r="A65" t="s">
        <v>199</v>
      </c>
      <c r="B65" t="s">
        <v>444</v>
      </c>
      <c r="C65">
        <v>3</v>
      </c>
      <c r="D65" t="s">
        <v>634</v>
      </c>
      <c r="E65" t="s">
        <v>643</v>
      </c>
      <c r="F65" t="s">
        <v>644</v>
      </c>
      <c r="G65" t="s">
        <v>644</v>
      </c>
      <c r="H65" t="s">
        <v>852</v>
      </c>
      <c r="I65">
        <v>14800</v>
      </c>
      <c r="J65" t="s">
        <v>3</v>
      </c>
      <c r="K65" t="s">
        <v>3</v>
      </c>
      <c r="L65">
        <v>100</v>
      </c>
      <c r="M65">
        <v>2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1088</v>
      </c>
      <c r="AC65" t="s">
        <v>7</v>
      </c>
      <c r="AD65" s="18" t="s">
        <v>1089</v>
      </c>
      <c r="AE65" t="s">
        <v>1356</v>
      </c>
      <c r="AF65">
        <v>0</v>
      </c>
      <c r="AG65">
        <v>0</v>
      </c>
      <c r="AH65" t="s">
        <v>1412</v>
      </c>
      <c r="AI65" t="s">
        <v>698</v>
      </c>
      <c r="AJ65">
        <v>0</v>
      </c>
      <c r="AK65">
        <v>9932593075</v>
      </c>
      <c r="AL65">
        <v>0</v>
      </c>
      <c r="AM65">
        <v>0</v>
      </c>
      <c r="AN65">
        <v>0</v>
      </c>
      <c r="AO65" t="s">
        <v>1412</v>
      </c>
      <c r="AP65" t="s">
        <v>3</v>
      </c>
      <c r="AQ65" t="s">
        <v>1581</v>
      </c>
      <c r="AR65">
        <v>0</v>
      </c>
      <c r="AS65">
        <v>0</v>
      </c>
      <c r="AT65">
        <v>0</v>
      </c>
      <c r="AU65">
        <v>0</v>
      </c>
      <c r="AV65">
        <v>0</v>
      </c>
      <c r="AW65" t="s">
        <v>11</v>
      </c>
      <c r="AX65">
        <f>Tabla1[[#This Row],[precio del paquete]]-Tabla1[[#This Row],[Saldo_Deudor]]</f>
        <v>200</v>
      </c>
      <c r="AY65">
        <v>14600</v>
      </c>
      <c r="AZ65" t="s">
        <v>3</v>
      </c>
      <c r="BA65" t="s">
        <v>3</v>
      </c>
      <c r="BB65" t="s">
        <v>3</v>
      </c>
      <c r="BC65" t="s">
        <v>1609</v>
      </c>
      <c r="BD65" t="s">
        <v>1610</v>
      </c>
      <c r="BE65">
        <v>0</v>
      </c>
      <c r="BF65">
        <v>0</v>
      </c>
      <c r="BG65">
        <v>0</v>
      </c>
      <c r="BH65">
        <v>0</v>
      </c>
      <c r="BI65">
        <v>0</v>
      </c>
      <c r="BJ65" t="s">
        <v>1653</v>
      </c>
      <c r="BK65">
        <v>0</v>
      </c>
      <c r="BL65" t="s">
        <v>132</v>
      </c>
      <c r="BM65">
        <v>0</v>
      </c>
      <c r="BN65">
        <f>Tabla1[[#This Row],[precio del paquete]]</f>
        <v>14800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1661</v>
      </c>
      <c r="CD65" t="str" cm="1">
        <f t="array" aca="1" ref="CD65" ca="1">eConcatenar(A65:CB65,"|")</f>
        <v>i3UOUgRKLcGY48xv|VSA2022-0195|3|MEMORIAL|TABASCO|VILLAHERMOSA|VILLAHERMOSA|2022-02-16|14800|x|x|100|2|0|0|0|0|0|0|0|0|0|0|0|0|0|0|VASCONCELOS|LOPEZ|ROSA IRENE|soltero|0|0|CERRADA CHAYOTE NUMERO 102|FRACCIONAMIENTO LA HUERTA |0|9932593075|0|0|0|CERRADA CHAYOTE NUMERO 102|x|lunes|0|0|0|0|0|DOMICILIO |200|14600|x|x|x|2022-03-15|2022-03-22|0|0|0|0|0|QYDRHV029KVTQO|0|HOMBRE|0|14800|0|0|0|0|0|0|0|0|CARDENAS|X|X|X|X|FINAL</v>
      </c>
    </row>
    <row r="66" spans="1:82" x14ac:dyDescent="0.25">
      <c r="A66" t="s">
        <v>200</v>
      </c>
      <c r="B66" t="s">
        <v>445</v>
      </c>
      <c r="C66">
        <v>3</v>
      </c>
      <c r="D66" t="s">
        <v>634</v>
      </c>
      <c r="E66" t="s">
        <v>643</v>
      </c>
      <c r="F66" t="s">
        <v>644</v>
      </c>
      <c r="G66" t="s">
        <v>644</v>
      </c>
      <c r="H66" t="s">
        <v>835</v>
      </c>
      <c r="I66">
        <v>14800</v>
      </c>
      <c r="J66" t="s">
        <v>3</v>
      </c>
      <c r="K66" t="s">
        <v>3</v>
      </c>
      <c r="L66">
        <v>100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1041</v>
      </c>
      <c r="AC66" t="s">
        <v>1090</v>
      </c>
      <c r="AD66" s="18" t="s">
        <v>1091</v>
      </c>
      <c r="AE66" t="s">
        <v>1356</v>
      </c>
      <c r="AF66">
        <v>0</v>
      </c>
      <c r="AG66">
        <v>0</v>
      </c>
      <c r="AH66" t="s">
        <v>1413</v>
      </c>
      <c r="AI66" t="s">
        <v>699</v>
      </c>
      <c r="AJ66">
        <v>0</v>
      </c>
      <c r="AK66">
        <v>9931965127</v>
      </c>
      <c r="AL66">
        <v>0</v>
      </c>
      <c r="AM66">
        <v>0</v>
      </c>
      <c r="AN66">
        <v>0</v>
      </c>
      <c r="AO66" t="s">
        <v>1413</v>
      </c>
      <c r="AP66" t="s">
        <v>3</v>
      </c>
      <c r="AQ66" t="s">
        <v>1581</v>
      </c>
      <c r="AR66">
        <v>0</v>
      </c>
      <c r="AS66">
        <v>0</v>
      </c>
      <c r="AT66">
        <v>0</v>
      </c>
      <c r="AU66">
        <v>0</v>
      </c>
      <c r="AV66">
        <v>0</v>
      </c>
      <c r="AW66" t="s">
        <v>11</v>
      </c>
      <c r="AX66">
        <f>Tabla1[[#This Row],[precio del paquete]]-Tabla1[[#This Row],[Saldo_Deudor]]</f>
        <v>2900</v>
      </c>
      <c r="AY66">
        <v>11900</v>
      </c>
      <c r="AZ66" t="s">
        <v>3</v>
      </c>
      <c r="BA66" t="s">
        <v>3</v>
      </c>
      <c r="BB66" t="s">
        <v>3</v>
      </c>
      <c r="BC66" t="s">
        <v>1611</v>
      </c>
      <c r="BD66" t="s">
        <v>1612</v>
      </c>
      <c r="BE66">
        <v>0</v>
      </c>
      <c r="BF66">
        <v>0</v>
      </c>
      <c r="BG66">
        <v>0</v>
      </c>
      <c r="BH66">
        <v>0</v>
      </c>
      <c r="BI66">
        <v>0</v>
      </c>
      <c r="BJ66" t="s">
        <v>1653</v>
      </c>
      <c r="BK66">
        <v>0</v>
      </c>
      <c r="BL66" t="s">
        <v>132</v>
      </c>
      <c r="BM66">
        <v>0</v>
      </c>
      <c r="BN66">
        <f>Tabla1[[#This Row],[precio del paquete]]</f>
        <v>14800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1661</v>
      </c>
      <c r="CD66" t="str" cm="1">
        <f t="array" aca="1" ref="CD66" ca="1">eConcatenar(A66:CB66,"|")</f>
        <v>uyxY7SfxauCyovye|VSA2022-0104|3|MEMORIAL|TABASCO|VILLAHERMOSA|VILLAHERMOSA|2022-01-17|14800|x|x|100|0|0|0|0|0|0|0|0|0|0|0|0|0|0|0|JIMENEZ|OCAÃ‘A|MARIA LUZ|soltero|0|0|FRENTE AL TEMPLO ESTRELLA DE BELEN |RANCHERIA ACACHAPA Y COLMENA CUARTA SECCION |0|9931965127|0|0|0|FRENTE AL TEMPLO ESTRELLA DE BELEN |x|lunes|0|0|0|0|0|DOMICILIO |2900|11900|x|x|x|2022-03-14|2022-03-21|0|0|0|0|0|QYDRHV029KVTQO|0|HOMBRE|0|14800|0|0|0|0|0|0|0|0|CARDENAS|X|X|X|X|FINAL</v>
      </c>
    </row>
    <row r="67" spans="1:82" x14ac:dyDescent="0.25">
      <c r="A67" t="s">
        <v>201</v>
      </c>
      <c r="B67" t="s">
        <v>446</v>
      </c>
      <c r="C67">
        <v>3</v>
      </c>
      <c r="D67" t="s">
        <v>636</v>
      </c>
      <c r="E67" t="s">
        <v>643</v>
      </c>
      <c r="F67" t="s">
        <v>644</v>
      </c>
      <c r="G67" t="s">
        <v>644</v>
      </c>
      <c r="H67" t="s">
        <v>853</v>
      </c>
      <c r="I67">
        <v>24500</v>
      </c>
      <c r="J67" t="s">
        <v>3</v>
      </c>
      <c r="K67" t="s">
        <v>3</v>
      </c>
      <c r="L67">
        <v>100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1092</v>
      </c>
      <c r="AC67" t="s">
        <v>1093</v>
      </c>
      <c r="AD67" s="18" t="s">
        <v>1094</v>
      </c>
      <c r="AE67" t="s">
        <v>1356</v>
      </c>
      <c r="AF67">
        <v>0</v>
      </c>
      <c r="AG67">
        <v>0</v>
      </c>
      <c r="AH67" t="s">
        <v>1414</v>
      </c>
      <c r="AI67" t="s">
        <v>700</v>
      </c>
      <c r="AJ67">
        <v>0</v>
      </c>
      <c r="AK67">
        <v>9933993483</v>
      </c>
      <c r="AL67">
        <v>0</v>
      </c>
      <c r="AM67">
        <v>0</v>
      </c>
      <c r="AN67">
        <v>0</v>
      </c>
      <c r="AO67" t="s">
        <v>1414</v>
      </c>
      <c r="AP67" t="s">
        <v>3</v>
      </c>
      <c r="AQ67" t="s">
        <v>1581</v>
      </c>
      <c r="AR67">
        <v>0</v>
      </c>
      <c r="AS67">
        <v>0</v>
      </c>
      <c r="AT67">
        <v>0</v>
      </c>
      <c r="AU67">
        <v>0</v>
      </c>
      <c r="AV67">
        <v>0</v>
      </c>
      <c r="AW67" t="s">
        <v>11</v>
      </c>
      <c r="AX67">
        <f>Tabla1[[#This Row],[precio del paquete]]-Tabla1[[#This Row],[Saldo_Deudor]]</f>
        <v>3600</v>
      </c>
      <c r="AY67">
        <v>20900</v>
      </c>
      <c r="AZ67" t="s">
        <v>3</v>
      </c>
      <c r="BA67" t="s">
        <v>3</v>
      </c>
      <c r="BB67" t="s">
        <v>3</v>
      </c>
      <c r="BC67" t="s">
        <v>1611</v>
      </c>
      <c r="BD67" t="s">
        <v>1612</v>
      </c>
      <c r="BE67">
        <v>0</v>
      </c>
      <c r="BF67">
        <v>0</v>
      </c>
      <c r="BG67">
        <v>0</v>
      </c>
      <c r="BH67">
        <v>0</v>
      </c>
      <c r="BI67">
        <v>0</v>
      </c>
      <c r="BJ67" t="s">
        <v>1653</v>
      </c>
      <c r="BK67">
        <v>0</v>
      </c>
      <c r="BL67" t="s">
        <v>132</v>
      </c>
      <c r="BM67">
        <v>0</v>
      </c>
      <c r="BN67">
        <f>Tabla1[[#This Row],[precio del paquete]]</f>
        <v>24500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1661</v>
      </c>
      <c r="CD67" t="str" cm="1">
        <f t="array" aca="1" ref="CD67" ca="1">eConcatenar(A67:CB67,"|")</f>
        <v>QJDAt4Mzwj3HoFXy|VSA2022-0144|3|DIGNITY|TABASCO|VILLAHERMOSA|VILLAHERMOSA|2022-08-12|24500|x|x|100|0|0|0|0|0|0|0|0|0|0|0|0|0|0|0|RAMIREZ|PAZ|CANDELARIA|soltero|0|0|CARRETERA VILLAHERMOSA FRONTERA KILOMETRO 16|RANCHERIA MEDELLIN Y MADERO SEGUNDA SECCION |0|9933993483|0|0|0|CARRETERA VILLAHERMOSA FRONTERA KILOMETRO 16|x|lunes|0|0|0|0|0|DOMICILIO |3600|20900|x|x|x|2022-03-14|2022-03-21|0|0|0|0|0|QYDRHV029KVTQO|0|HOMBRE|0|24500|0|0|0|0|0|0|0|0|CARDENAS|X|X|X|X|FINAL</v>
      </c>
    </row>
    <row r="68" spans="1:82" x14ac:dyDescent="0.25">
      <c r="A68" t="s">
        <v>202</v>
      </c>
      <c r="B68" t="s">
        <v>447</v>
      </c>
      <c r="C68">
        <v>3</v>
      </c>
      <c r="D68" t="s">
        <v>634</v>
      </c>
      <c r="E68" t="s">
        <v>643</v>
      </c>
      <c r="F68" t="s">
        <v>644</v>
      </c>
      <c r="G68" t="s">
        <v>644</v>
      </c>
      <c r="H68" t="s">
        <v>854</v>
      </c>
      <c r="I68">
        <v>14800</v>
      </c>
      <c r="J68" t="s">
        <v>3</v>
      </c>
      <c r="K68" t="s">
        <v>3</v>
      </c>
      <c r="L68">
        <v>100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1092</v>
      </c>
      <c r="AC68" t="s">
        <v>1093</v>
      </c>
      <c r="AD68" s="18" t="s">
        <v>1095</v>
      </c>
      <c r="AE68" t="s">
        <v>1356</v>
      </c>
      <c r="AF68">
        <v>0</v>
      </c>
      <c r="AG68">
        <v>0</v>
      </c>
      <c r="AH68" t="s">
        <v>1415</v>
      </c>
      <c r="AI68" t="s">
        <v>700</v>
      </c>
      <c r="AJ68">
        <v>0</v>
      </c>
      <c r="AK68">
        <v>9933993483</v>
      </c>
      <c r="AL68">
        <v>0</v>
      </c>
      <c r="AM68">
        <v>0</v>
      </c>
      <c r="AN68">
        <v>0</v>
      </c>
      <c r="AO68" t="s">
        <v>1415</v>
      </c>
      <c r="AP68" t="s">
        <v>3</v>
      </c>
      <c r="AQ68" t="s">
        <v>1581</v>
      </c>
      <c r="AR68">
        <v>0</v>
      </c>
      <c r="AS68">
        <v>0</v>
      </c>
      <c r="AT68">
        <v>0</v>
      </c>
      <c r="AU68">
        <v>0</v>
      </c>
      <c r="AV68">
        <v>0</v>
      </c>
      <c r="AW68" t="s">
        <v>11</v>
      </c>
      <c r="AX68">
        <f>Tabla1[[#This Row],[precio del paquete]]-Tabla1[[#This Row],[Saldo_Deudor]]</f>
        <v>1700</v>
      </c>
      <c r="AY68">
        <v>13100</v>
      </c>
      <c r="AZ68" t="s">
        <v>3</v>
      </c>
      <c r="BA68" t="s">
        <v>3</v>
      </c>
      <c r="BB68" t="s">
        <v>3</v>
      </c>
      <c r="BC68" t="s">
        <v>854</v>
      </c>
      <c r="BD68" t="s">
        <v>1613</v>
      </c>
      <c r="BE68">
        <v>0</v>
      </c>
      <c r="BF68">
        <v>0</v>
      </c>
      <c r="BG68">
        <v>0</v>
      </c>
      <c r="BH68">
        <v>0</v>
      </c>
      <c r="BI68">
        <v>0</v>
      </c>
      <c r="BJ68" t="s">
        <v>1653</v>
      </c>
      <c r="BK68">
        <v>0</v>
      </c>
      <c r="BL68" t="s">
        <v>132</v>
      </c>
      <c r="BM68">
        <v>0</v>
      </c>
      <c r="BN68">
        <f>Tabla1[[#This Row],[precio del paquete]]</f>
        <v>14800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1661</v>
      </c>
      <c r="CD68" t="str" cm="1">
        <f t="array" aca="1" ref="CD68" ca="1">eConcatenar(A68:CB68,"|")</f>
        <v>hdXp76ypcuuS4Ro1|VSA2022-0141|3|MEMORIAL|TABASCO|VILLAHERMOSA|VILLAHERMOSA|2022-08-02|14800|x|x|100|0|0|0|0|0|0|0|0|0|0|0|0|0|0|0|RAMIREZ|PAZ|RAUL|soltero|0|0|CARRETERA CILLAHERMOSA KILOMETRO 16|RANCHERIA MEDELLIN Y MADERO SEGUNDA SECCION |0|9933993483|0|0|0|CARRETERA CILLAHERMOSA KILOMETRO 16|x|lunes|0|0|0|0|0|DOMICILIO |1700|13100|x|x|x|2022-08-02|2022-08-09|0|0|0|0|0|QYDRHV029KVTQO|0|HOMBRE|0|14800|0|0|0|0|0|0|0|0|CARDENAS|X|X|X|X|FINAL</v>
      </c>
    </row>
    <row r="69" spans="1:82" x14ac:dyDescent="0.25">
      <c r="A69" t="s">
        <v>203</v>
      </c>
      <c r="B69" t="s">
        <v>448</v>
      </c>
      <c r="C69">
        <v>3</v>
      </c>
      <c r="D69" t="s">
        <v>634</v>
      </c>
      <c r="E69" t="s">
        <v>643</v>
      </c>
      <c r="F69" t="s">
        <v>644</v>
      </c>
      <c r="G69" t="s">
        <v>644</v>
      </c>
      <c r="H69" t="s">
        <v>855</v>
      </c>
      <c r="I69">
        <v>14800</v>
      </c>
      <c r="J69" t="s">
        <v>3</v>
      </c>
      <c r="K69" t="s">
        <v>3</v>
      </c>
      <c r="L69">
        <v>100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1096</v>
      </c>
      <c r="AC69" t="s">
        <v>1097</v>
      </c>
      <c r="AD69" s="18" t="s">
        <v>1098</v>
      </c>
      <c r="AE69" t="s">
        <v>1356</v>
      </c>
      <c r="AF69">
        <v>0</v>
      </c>
      <c r="AG69">
        <v>0</v>
      </c>
      <c r="AH69" t="s">
        <v>1416</v>
      </c>
      <c r="AI69" t="s">
        <v>701</v>
      </c>
      <c r="AJ69">
        <v>0</v>
      </c>
      <c r="AK69">
        <v>9932165664</v>
      </c>
      <c r="AL69">
        <v>0</v>
      </c>
      <c r="AM69">
        <v>0</v>
      </c>
      <c r="AN69">
        <v>0</v>
      </c>
      <c r="AO69" t="s">
        <v>1416</v>
      </c>
      <c r="AP69" t="s">
        <v>3</v>
      </c>
      <c r="AQ69" t="s">
        <v>1581</v>
      </c>
      <c r="AR69">
        <v>0</v>
      </c>
      <c r="AS69">
        <v>0</v>
      </c>
      <c r="AT69">
        <v>0</v>
      </c>
      <c r="AU69">
        <v>0</v>
      </c>
      <c r="AV69">
        <v>0</v>
      </c>
      <c r="AW69" t="s">
        <v>11</v>
      </c>
      <c r="AX69">
        <f>Tabla1[[#This Row],[precio del paquete]]-Tabla1[[#This Row],[Saldo_Deudor]]</f>
        <v>12000</v>
      </c>
      <c r="AY69">
        <v>2800</v>
      </c>
      <c r="AZ69" t="s">
        <v>3</v>
      </c>
      <c r="BA69" t="s">
        <v>3</v>
      </c>
      <c r="BB69" t="s">
        <v>3</v>
      </c>
      <c r="BC69" t="s">
        <v>1609</v>
      </c>
      <c r="BD69" t="s">
        <v>1610</v>
      </c>
      <c r="BE69">
        <v>0</v>
      </c>
      <c r="BF69">
        <v>0</v>
      </c>
      <c r="BG69">
        <v>0</v>
      </c>
      <c r="BH69">
        <v>0</v>
      </c>
      <c r="BI69">
        <v>0</v>
      </c>
      <c r="BJ69" t="s">
        <v>1653</v>
      </c>
      <c r="BK69">
        <v>0</v>
      </c>
      <c r="BL69" t="s">
        <v>132</v>
      </c>
      <c r="BM69">
        <v>0</v>
      </c>
      <c r="BN69">
        <f>Tabla1[[#This Row],[precio del paquete]]</f>
        <v>14800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1661</v>
      </c>
      <c r="CD69" t="str" cm="1">
        <f t="array" aca="1" ref="CD69" ca="1">eConcatenar(A69:CB69,"|")</f>
        <v>2PxD6Hky9XQgfzit|VSA2020-0522|3|MEMORIAL|TABASCO|VILLAHERMOSA|VILLAHERMOSA|2021-02-01|14800|x|x|100|1|0|0|0|0|0|0|0|0|0|0|0|0|0|0|AQUINO|HERRERA|MARIA SANTOS|soltero|0|0|CALLE MACUILI |COLONIA LA SELVA SEGUNDA |0|9932165664|0|0|0|CALLE MACUILI |x|lunes|0|0|0|0|0|DOMICILIO |12000|2800|x|x|x|2022-03-15|2022-03-22|0|0|0|0|0|QYDRHV029KVTQO|0|HOMBRE|0|14800|0|0|0|0|0|0|0|0|CARDENAS|X|X|X|X|FINAL</v>
      </c>
    </row>
    <row r="70" spans="1:82" x14ac:dyDescent="0.25">
      <c r="A70" t="s">
        <v>204</v>
      </c>
      <c r="B70" t="s">
        <v>449</v>
      </c>
      <c r="C70">
        <v>3</v>
      </c>
      <c r="D70" t="s">
        <v>634</v>
      </c>
      <c r="E70" t="s">
        <v>643</v>
      </c>
      <c r="F70" t="s">
        <v>644</v>
      </c>
      <c r="G70" t="s">
        <v>644</v>
      </c>
      <c r="H70" t="s">
        <v>856</v>
      </c>
      <c r="I70">
        <v>14800</v>
      </c>
      <c r="J70" t="s">
        <v>3</v>
      </c>
      <c r="K70" t="s">
        <v>3</v>
      </c>
      <c r="L70">
        <v>100</v>
      </c>
      <c r="M70">
        <v>1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1002</v>
      </c>
      <c r="AC70" t="s">
        <v>985</v>
      </c>
      <c r="AD70" s="18" t="s">
        <v>1099</v>
      </c>
      <c r="AE70" t="s">
        <v>1356</v>
      </c>
      <c r="AF70">
        <v>0</v>
      </c>
      <c r="AG70">
        <v>0</v>
      </c>
      <c r="AH70" t="s">
        <v>1417</v>
      </c>
      <c r="AI70" t="s">
        <v>702</v>
      </c>
      <c r="AJ70">
        <v>0</v>
      </c>
      <c r="AK70">
        <v>9931628315</v>
      </c>
      <c r="AL70">
        <v>0</v>
      </c>
      <c r="AM70">
        <v>0</v>
      </c>
      <c r="AN70">
        <v>0</v>
      </c>
      <c r="AO70" t="s">
        <v>1417</v>
      </c>
      <c r="AP70" t="s">
        <v>3</v>
      </c>
      <c r="AQ70" t="s">
        <v>1581</v>
      </c>
      <c r="AR70">
        <v>0</v>
      </c>
      <c r="AS70">
        <v>0</v>
      </c>
      <c r="AT70">
        <v>0</v>
      </c>
      <c r="AU70">
        <v>0</v>
      </c>
      <c r="AV70">
        <v>0</v>
      </c>
      <c r="AW70" t="s">
        <v>11</v>
      </c>
      <c r="AX70">
        <f>Tabla1[[#This Row],[precio del paquete]]-Tabla1[[#This Row],[Saldo_Deudor]]</f>
        <v>300</v>
      </c>
      <c r="AY70">
        <v>14500</v>
      </c>
      <c r="AZ70" t="s">
        <v>3</v>
      </c>
      <c r="BA70" t="s">
        <v>3</v>
      </c>
      <c r="BB70" t="s">
        <v>3</v>
      </c>
      <c r="BC70" t="s">
        <v>1609</v>
      </c>
      <c r="BD70" t="s">
        <v>1610</v>
      </c>
      <c r="BE70">
        <v>0</v>
      </c>
      <c r="BF70">
        <v>0</v>
      </c>
      <c r="BG70">
        <v>0</v>
      </c>
      <c r="BH70">
        <v>0</v>
      </c>
      <c r="BI70">
        <v>0</v>
      </c>
      <c r="BJ70" t="s">
        <v>1653</v>
      </c>
      <c r="BK70">
        <v>0</v>
      </c>
      <c r="BL70" t="s">
        <v>132</v>
      </c>
      <c r="BM70">
        <v>0</v>
      </c>
      <c r="BN70">
        <f>Tabla1[[#This Row],[precio del paquete]]</f>
        <v>14800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1661</v>
      </c>
      <c r="CD70" t="str" cm="1">
        <f t="array" aca="1" ref="CD70" ca="1">eConcatenar(A70:CB70,"|")</f>
        <v>OVwgYrz7nhi8i7Qi|VSA2022-0175|3|MEMORIAL|TABASCO|VILLAHERMOSA|VILLAHERMOSA|2022-02-13|14800|x|x|100|1|0|0|0|0|0|0|0|0|0|0|0|0|0|0|GUZMAN|PEREZ|MARIA MERCEDES|soltero|0|0|CALLE MANGLAREZ MANZANA 6 DEPARTAMENTO 11 C |FRACCIONAMIENTO POMOCA|0|9931628315|0|0|0|CALLE MANGLAREZ MANZANA 6 DEPARTAMENTO 11 C |x|lunes|0|0|0|0|0|DOMICILIO |300|14500|x|x|x|2022-03-15|2022-03-22|0|0|0|0|0|QYDRHV029KVTQO|0|HOMBRE|0|14800|0|0|0|0|0|0|0|0|CARDENAS|X|X|X|X|FINAL</v>
      </c>
    </row>
    <row r="71" spans="1:82" x14ac:dyDescent="0.25">
      <c r="A71" t="s">
        <v>205</v>
      </c>
      <c r="B71" t="s">
        <v>450</v>
      </c>
      <c r="C71">
        <v>3</v>
      </c>
      <c r="D71" t="s">
        <v>639</v>
      </c>
      <c r="E71" t="s">
        <v>643</v>
      </c>
      <c r="F71" t="s">
        <v>644</v>
      </c>
      <c r="G71" t="s">
        <v>644</v>
      </c>
      <c r="H71" t="s">
        <v>857</v>
      </c>
      <c r="I71">
        <v>35000</v>
      </c>
      <c r="J71" t="s">
        <v>3</v>
      </c>
      <c r="K71" t="s">
        <v>3</v>
      </c>
      <c r="L71">
        <v>100</v>
      </c>
      <c r="M71">
        <v>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1100</v>
      </c>
      <c r="AC71" t="s">
        <v>1023</v>
      </c>
      <c r="AD71" s="18" t="s">
        <v>1101</v>
      </c>
      <c r="AE71" t="s">
        <v>1356</v>
      </c>
      <c r="AF71">
        <v>0</v>
      </c>
      <c r="AG71">
        <v>0</v>
      </c>
      <c r="AH71" t="s">
        <v>1418</v>
      </c>
      <c r="AI71" t="s">
        <v>663</v>
      </c>
      <c r="AJ71">
        <v>0</v>
      </c>
      <c r="AK71">
        <v>9932777400</v>
      </c>
      <c r="AL71">
        <v>0</v>
      </c>
      <c r="AM71">
        <v>0</v>
      </c>
      <c r="AN71">
        <v>0</v>
      </c>
      <c r="AO71" t="s">
        <v>1418</v>
      </c>
      <c r="AP71" t="s">
        <v>3</v>
      </c>
      <c r="AQ71" t="s">
        <v>1581</v>
      </c>
      <c r="AR71">
        <v>0</v>
      </c>
      <c r="AS71">
        <v>0</v>
      </c>
      <c r="AT71">
        <v>0</v>
      </c>
      <c r="AU71">
        <v>0</v>
      </c>
      <c r="AV71">
        <v>0</v>
      </c>
      <c r="AW71" t="s">
        <v>11</v>
      </c>
      <c r="AX71">
        <f>Tabla1[[#This Row],[precio del paquete]]-Tabla1[[#This Row],[Saldo_Deudor]]</f>
        <v>3500</v>
      </c>
      <c r="AY71">
        <v>31500</v>
      </c>
      <c r="AZ71" t="s">
        <v>3</v>
      </c>
      <c r="BA71" t="s">
        <v>3</v>
      </c>
      <c r="BB71" t="s">
        <v>3</v>
      </c>
      <c r="BC71" t="s">
        <v>938</v>
      </c>
      <c r="BD71" t="s">
        <v>1614</v>
      </c>
      <c r="BE71">
        <v>0</v>
      </c>
      <c r="BF71">
        <v>0</v>
      </c>
      <c r="BG71">
        <v>0</v>
      </c>
      <c r="BH71">
        <v>0</v>
      </c>
      <c r="BI71">
        <v>0</v>
      </c>
      <c r="BJ71" t="s">
        <v>1653</v>
      </c>
      <c r="BK71">
        <v>0</v>
      </c>
      <c r="BL71" t="s">
        <v>132</v>
      </c>
      <c r="BM71">
        <v>0</v>
      </c>
      <c r="BN71">
        <f>Tabla1[[#This Row],[precio del paquete]]</f>
        <v>35000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1661</v>
      </c>
      <c r="CD71" t="str" cm="1">
        <f t="array" aca="1" ref="CD71" ca="1">eConcatenar(A71:CB71,"|")</f>
        <v>vg4vRIgBXEIImdSE|VSA2022-0086|3|DELUX|TABASCO|VILLAHERMOSA|VILLAHERMOSA|2022-01-26|35000|x|x|100|2|0|0|0|0|0|0|0|0|0|0|0|0|0|0|RODRIGUEZ|DE LA CRUZ|WILLIAMS ALEJANDRO|soltero|0|0|CALLE TOMAS GARRIDO CANABAL NUMERO 622|VILLA PLAYAS DEL ROSARIO |0|9932777400|0|0|0|CALLE TOMAS GARRIDO CANABAL NUMERO 622|x|lunes|0|0|0|0|0|DOMICILIO |3500|31500|x|x|x|2022-01-18|2022-01-25|0|0|0|0|0|QYDRHV029KVTQO|0|HOMBRE|0|35000|0|0|0|0|0|0|0|0|CARDENAS|X|X|X|X|FINAL</v>
      </c>
    </row>
    <row r="72" spans="1:82" x14ac:dyDescent="0.25">
      <c r="A72" t="s">
        <v>206</v>
      </c>
      <c r="B72" t="s">
        <v>451</v>
      </c>
      <c r="C72">
        <v>3</v>
      </c>
      <c r="D72" t="s">
        <v>634</v>
      </c>
      <c r="E72" t="s">
        <v>643</v>
      </c>
      <c r="F72" t="s">
        <v>644</v>
      </c>
      <c r="G72" t="s">
        <v>644</v>
      </c>
      <c r="H72" t="s">
        <v>858</v>
      </c>
      <c r="I72">
        <v>14800</v>
      </c>
      <c r="J72" t="s">
        <v>3</v>
      </c>
      <c r="K72" t="s">
        <v>3</v>
      </c>
      <c r="L72">
        <v>100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1054</v>
      </c>
      <c r="AC72" t="s">
        <v>985</v>
      </c>
      <c r="AD72" s="18" t="s">
        <v>1102</v>
      </c>
      <c r="AE72" t="s">
        <v>1356</v>
      </c>
      <c r="AF72">
        <v>0</v>
      </c>
      <c r="AG72">
        <v>0</v>
      </c>
      <c r="AH72" t="s">
        <v>1419</v>
      </c>
      <c r="AI72" t="s">
        <v>703</v>
      </c>
      <c r="AJ72">
        <v>0</v>
      </c>
      <c r="AK72">
        <v>9931574183</v>
      </c>
      <c r="AL72">
        <v>0</v>
      </c>
      <c r="AM72">
        <v>0</v>
      </c>
      <c r="AN72">
        <v>0</v>
      </c>
      <c r="AO72" t="s">
        <v>1419</v>
      </c>
      <c r="AP72" t="s">
        <v>3</v>
      </c>
      <c r="AQ72" t="s">
        <v>1581</v>
      </c>
      <c r="AR72">
        <v>0</v>
      </c>
      <c r="AS72">
        <v>0</v>
      </c>
      <c r="AT72">
        <v>0</v>
      </c>
      <c r="AU72">
        <v>0</v>
      </c>
      <c r="AV72">
        <v>0</v>
      </c>
      <c r="AW72" t="s">
        <v>11</v>
      </c>
      <c r="AX72">
        <f>Tabla1[[#This Row],[precio del paquete]]-Tabla1[[#This Row],[Saldo_Deudor]]</f>
        <v>650</v>
      </c>
      <c r="AY72">
        <v>14150</v>
      </c>
      <c r="AZ72" t="s">
        <v>3</v>
      </c>
      <c r="BA72" t="s">
        <v>3</v>
      </c>
      <c r="BB72" t="s">
        <v>3</v>
      </c>
      <c r="BC72" t="s">
        <v>1609</v>
      </c>
      <c r="BD72" t="s">
        <v>1610</v>
      </c>
      <c r="BE72">
        <v>0</v>
      </c>
      <c r="BF72">
        <v>0</v>
      </c>
      <c r="BG72">
        <v>0</v>
      </c>
      <c r="BH72">
        <v>0</v>
      </c>
      <c r="BI72">
        <v>0</v>
      </c>
      <c r="BJ72" t="s">
        <v>1653</v>
      </c>
      <c r="BK72">
        <v>0</v>
      </c>
      <c r="BL72" t="s">
        <v>132</v>
      </c>
      <c r="BM72">
        <v>0</v>
      </c>
      <c r="BN72">
        <f>Tabla1[[#This Row],[precio del paquete]]</f>
        <v>14800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1661</v>
      </c>
      <c r="CD72" t="str" cm="1">
        <f t="array" aca="1" ref="CD72" ca="1">eConcatenar(A72:CB72,"|")</f>
        <v>IlusrcL0c4upjF17|VSA2022-0090|3|MEMORIAL|TABASCO|VILLAHERMOSA|VILLAHERMOSA|2022-01-21|14800|x|x|100|0|0|0|0|0|0|0|0|0|0|0|0|0|0|0|REYES|PEREZ|RUBI|soltero|0|0|SECTOR 31 SIN NUMERO|RANCHERIA MEDELLIN Y PIGUA SEGUNDA SECCION |0|9931574183|0|0|0|SECTOR 31 SIN NUMERO|x|lunes|0|0|0|0|0|DOMICILIO |650|14150|x|x|x|2022-03-15|2022-03-22|0|0|0|0|0|QYDRHV029KVTQO|0|HOMBRE|0|14800|0|0|0|0|0|0|0|0|CARDENAS|X|X|X|X|FINAL</v>
      </c>
    </row>
    <row r="73" spans="1:82" x14ac:dyDescent="0.25">
      <c r="A73" t="s">
        <v>207</v>
      </c>
      <c r="B73" t="s">
        <v>452</v>
      </c>
      <c r="C73">
        <v>3</v>
      </c>
      <c r="D73" t="s">
        <v>634</v>
      </c>
      <c r="E73" t="s">
        <v>643</v>
      </c>
      <c r="F73" t="s">
        <v>644</v>
      </c>
      <c r="G73" t="s">
        <v>644</v>
      </c>
      <c r="H73" t="s">
        <v>859</v>
      </c>
      <c r="I73">
        <v>14800</v>
      </c>
      <c r="J73" t="s">
        <v>3</v>
      </c>
      <c r="K73" t="s">
        <v>3</v>
      </c>
      <c r="L73">
        <v>100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1103</v>
      </c>
      <c r="AC73" t="s">
        <v>1020</v>
      </c>
      <c r="AD73" s="18" t="s">
        <v>1104</v>
      </c>
      <c r="AE73" t="s">
        <v>1356</v>
      </c>
      <c r="AF73">
        <v>0</v>
      </c>
      <c r="AG73">
        <v>0</v>
      </c>
      <c r="AH73" t="s">
        <v>1420</v>
      </c>
      <c r="AI73" t="s">
        <v>704</v>
      </c>
      <c r="AJ73">
        <v>0</v>
      </c>
      <c r="AK73">
        <v>9931475785</v>
      </c>
      <c r="AL73">
        <v>0</v>
      </c>
      <c r="AM73">
        <v>0</v>
      </c>
      <c r="AN73">
        <v>0</v>
      </c>
      <c r="AO73" t="s">
        <v>1420</v>
      </c>
      <c r="AP73" t="s">
        <v>3</v>
      </c>
      <c r="AQ73" t="s">
        <v>1581</v>
      </c>
      <c r="AR73">
        <v>0</v>
      </c>
      <c r="AS73">
        <v>0</v>
      </c>
      <c r="AT73">
        <v>0</v>
      </c>
      <c r="AU73">
        <v>0</v>
      </c>
      <c r="AV73">
        <v>0</v>
      </c>
      <c r="AW73" t="s">
        <v>11</v>
      </c>
      <c r="AX73">
        <f>Tabla1[[#This Row],[precio del paquete]]-Tabla1[[#This Row],[Saldo_Deudor]]</f>
        <v>7100</v>
      </c>
      <c r="AY73">
        <v>7700</v>
      </c>
      <c r="AZ73" t="s">
        <v>3</v>
      </c>
      <c r="BA73" t="s">
        <v>3</v>
      </c>
      <c r="BB73" t="s">
        <v>3</v>
      </c>
      <c r="BC73" t="s">
        <v>1615</v>
      </c>
      <c r="BD73" t="s">
        <v>1616</v>
      </c>
      <c r="BE73">
        <v>0</v>
      </c>
      <c r="BF73">
        <v>0</v>
      </c>
      <c r="BG73">
        <v>0</v>
      </c>
      <c r="BH73">
        <v>0</v>
      </c>
      <c r="BI73">
        <v>0</v>
      </c>
      <c r="BJ73" t="s">
        <v>1653</v>
      </c>
      <c r="BK73">
        <v>0</v>
      </c>
      <c r="BL73" t="s">
        <v>132</v>
      </c>
      <c r="BM73">
        <v>0</v>
      </c>
      <c r="BN73">
        <f>Tabla1[[#This Row],[precio del paquete]]</f>
        <v>14800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1661</v>
      </c>
      <c r="CD73" t="str" cm="1">
        <f t="array" aca="1" ref="CD73" ca="1">eConcatenar(A73:CB73,"|")</f>
        <v>HuZa6kaQtN1jZBHO|VSA2020-1269|3|MEMORIAL|TABASCO|VILLAHERMOSA|VILLAHERMOSA|2020-11-30|14800|x|x|100|0|0|0|0|0|0|0|0|0|0|0|0|0|0|0|CORTES|CRUZ|JOSE LUIS|soltero|0|0|CALLE IGNACIO ZARAGOZA SIN NUMERO ESQUINA SIMON SARLAT|VILLA OCUITZAPOTLAN |0|9931475785|0|0|0|CALLE IGNACIO ZARAGOZA SIN NUMERO ESQUINA SIMON SARLAT|x|lunes|0|0|0|0|0|DOMICILIO |7100|7700|x|x|x|2022-03-13|2022-03-20|0|0|0|0|0|QYDRHV029KVTQO|0|HOMBRE|0|14800|0|0|0|0|0|0|0|0|CARDENAS|X|X|X|X|FINAL</v>
      </c>
    </row>
    <row r="74" spans="1:82" x14ac:dyDescent="0.25">
      <c r="A74" t="s">
        <v>208</v>
      </c>
      <c r="B74" t="s">
        <v>453</v>
      </c>
      <c r="C74">
        <v>3</v>
      </c>
      <c r="D74" t="s">
        <v>634</v>
      </c>
      <c r="E74" t="s">
        <v>643</v>
      </c>
      <c r="F74" t="s">
        <v>644</v>
      </c>
      <c r="G74" t="s">
        <v>644</v>
      </c>
      <c r="H74" t="s">
        <v>809</v>
      </c>
      <c r="I74">
        <v>14800</v>
      </c>
      <c r="J74" t="s">
        <v>3</v>
      </c>
      <c r="K74" t="s">
        <v>3</v>
      </c>
      <c r="L74">
        <v>100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1105</v>
      </c>
      <c r="AC74" t="s">
        <v>1029</v>
      </c>
      <c r="AD74" s="18" t="s">
        <v>1106</v>
      </c>
      <c r="AE74" t="s">
        <v>1356</v>
      </c>
      <c r="AF74">
        <v>0</v>
      </c>
      <c r="AG74">
        <v>0</v>
      </c>
      <c r="AH74" t="s">
        <v>1421</v>
      </c>
      <c r="AI74" t="s">
        <v>700</v>
      </c>
      <c r="AJ74">
        <v>0</v>
      </c>
      <c r="AK74">
        <v>9934330393</v>
      </c>
      <c r="AL74">
        <v>0</v>
      </c>
      <c r="AM74">
        <v>0</v>
      </c>
      <c r="AN74">
        <v>0</v>
      </c>
      <c r="AO74" t="s">
        <v>1421</v>
      </c>
      <c r="AP74" t="s">
        <v>3</v>
      </c>
      <c r="AQ74" t="s">
        <v>1581</v>
      </c>
      <c r="AR74">
        <v>0</v>
      </c>
      <c r="AS74">
        <v>0</v>
      </c>
      <c r="AT74">
        <v>0</v>
      </c>
      <c r="AU74">
        <v>0</v>
      </c>
      <c r="AV74">
        <v>0</v>
      </c>
      <c r="AW74" t="s">
        <v>11</v>
      </c>
      <c r="AX74">
        <f>Tabla1[[#This Row],[precio del paquete]]-Tabla1[[#This Row],[Saldo_Deudor]]</f>
        <v>600</v>
      </c>
      <c r="AY74">
        <v>14200</v>
      </c>
      <c r="AZ74" t="s">
        <v>3</v>
      </c>
      <c r="BA74" t="s">
        <v>3</v>
      </c>
      <c r="BB74" t="s">
        <v>3</v>
      </c>
      <c r="BC74" t="s">
        <v>809</v>
      </c>
      <c r="BD74" t="s">
        <v>895</v>
      </c>
      <c r="BE74">
        <v>0</v>
      </c>
      <c r="BF74">
        <v>0</v>
      </c>
      <c r="BG74">
        <v>0</v>
      </c>
      <c r="BH74">
        <v>0</v>
      </c>
      <c r="BI74">
        <v>0</v>
      </c>
      <c r="BJ74" t="s">
        <v>1653</v>
      </c>
      <c r="BK74">
        <v>0</v>
      </c>
      <c r="BL74" t="s">
        <v>132</v>
      </c>
      <c r="BM74">
        <v>0</v>
      </c>
      <c r="BN74">
        <f>Tabla1[[#This Row],[precio del paquete]]</f>
        <v>14800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1661</v>
      </c>
      <c r="CD74" t="str" cm="1">
        <f t="array" aca="1" ref="CD74" ca="1">eConcatenar(A74:CB74,"|")</f>
        <v>z6cKH4PyznwXtRAb|VSA2022-0238|3|MEMORIAL|TABASCO|VILLAHERMOSA|VILLAHERMOSA|2022-02-24|14800|x|x|100|0|0|0|0|0|0|0|0|0|0|0|0|0|0|0|RAMON|CASTRO|BEIRI|soltero|0|0|CARRETERA VILLAHERMOSA FRONTERA KILOMETRO 15|RANCHERIA MEDELLIN Y MADERO SEGUNDA SECCION |0|9934330393|0|0|0|CARRETERA VILLAHERMOSA FRONTERA KILOMETRO 15|x|lunes|0|0|0|0|0|DOMICILIO |600|14200|x|x|x|2022-02-24|2022-03-03|0|0|0|0|0|QYDRHV029KVTQO|0|HOMBRE|0|14800|0|0|0|0|0|0|0|0|CARDENAS|X|X|X|X|FINAL</v>
      </c>
    </row>
    <row r="75" spans="1:82" x14ac:dyDescent="0.25">
      <c r="A75" t="s">
        <v>209</v>
      </c>
      <c r="B75" t="s">
        <v>454</v>
      </c>
      <c r="C75">
        <v>3</v>
      </c>
      <c r="D75" t="s">
        <v>634</v>
      </c>
      <c r="E75" t="s">
        <v>643</v>
      </c>
      <c r="F75" t="s">
        <v>644</v>
      </c>
      <c r="G75" t="s">
        <v>644</v>
      </c>
      <c r="H75" t="s">
        <v>860</v>
      </c>
      <c r="I75">
        <v>14800</v>
      </c>
      <c r="J75" t="s">
        <v>3</v>
      </c>
      <c r="K75" t="s">
        <v>3</v>
      </c>
      <c r="L75">
        <v>100</v>
      </c>
      <c r="M75">
        <v>1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1107</v>
      </c>
      <c r="AC75" t="s">
        <v>985</v>
      </c>
      <c r="AD75" s="18" t="s">
        <v>1108</v>
      </c>
      <c r="AE75" t="s">
        <v>1356</v>
      </c>
      <c r="AF75">
        <v>0</v>
      </c>
      <c r="AG75">
        <v>0</v>
      </c>
      <c r="AH75" t="s">
        <v>1422</v>
      </c>
      <c r="AI75" t="s">
        <v>668</v>
      </c>
      <c r="AJ75">
        <v>0</v>
      </c>
      <c r="AK75">
        <v>9932659946</v>
      </c>
      <c r="AL75">
        <v>0</v>
      </c>
      <c r="AM75">
        <v>0</v>
      </c>
      <c r="AN75">
        <v>0</v>
      </c>
      <c r="AO75" t="s">
        <v>1422</v>
      </c>
      <c r="AP75" t="s">
        <v>3</v>
      </c>
      <c r="AQ75" t="s">
        <v>1581</v>
      </c>
      <c r="AR75">
        <v>0</v>
      </c>
      <c r="AS75">
        <v>0</v>
      </c>
      <c r="AT75">
        <v>0</v>
      </c>
      <c r="AU75">
        <v>0</v>
      </c>
      <c r="AV75">
        <v>0</v>
      </c>
      <c r="AW75" t="s">
        <v>11</v>
      </c>
      <c r="AX75">
        <f>Tabla1[[#This Row],[precio del paquete]]-Tabla1[[#This Row],[Saldo_Deudor]]</f>
        <v>900</v>
      </c>
      <c r="AY75">
        <v>13900</v>
      </c>
      <c r="AZ75" t="s">
        <v>3</v>
      </c>
      <c r="BA75" t="s">
        <v>3</v>
      </c>
      <c r="BB75" t="s">
        <v>3</v>
      </c>
      <c r="BC75" t="s">
        <v>871</v>
      </c>
      <c r="BD75" t="s">
        <v>931</v>
      </c>
      <c r="BE75">
        <v>0</v>
      </c>
      <c r="BF75">
        <v>0</v>
      </c>
      <c r="BG75">
        <v>0</v>
      </c>
      <c r="BH75">
        <v>0</v>
      </c>
      <c r="BI75">
        <v>0</v>
      </c>
      <c r="BJ75" t="s">
        <v>1653</v>
      </c>
      <c r="BK75">
        <v>0</v>
      </c>
      <c r="BL75" t="s">
        <v>132</v>
      </c>
      <c r="BM75">
        <v>0</v>
      </c>
      <c r="BN75">
        <f>Tabla1[[#This Row],[precio del paquete]]</f>
        <v>14800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1661</v>
      </c>
      <c r="CD75" t="str" cm="1">
        <f t="array" aca="1" ref="CD75" ca="1">eConcatenar(A75:CB75,"|")</f>
        <v>QV9cqtrazxOjCXSi|VSA2021-1888|3|MEMORIAL|TABASCO|VILLAHERMOSA|VILLAHERMOSA|2021-11-23|14800|x|x|100|1|0|0|0|0|0|0|0|0|0|0|0|0|0|0|NIETO|PEREZ|LUCIA|soltero|0|0|EJIDO MACUCI NUMERO 105 |COLONIA LA MANGA 2|0|9932659946|0|0|0|EJIDO MACUCI NUMERO 105 |x|lunes|0|0|0|0|0|DOMICILIO |900|13900|x|x|x|2022-02-22|2022-03-01|0|0|0|0|0|QYDRHV029KVTQO|0|HOMBRE|0|14800|0|0|0|0|0|0|0|0|CARDENAS|X|X|X|X|FINAL</v>
      </c>
    </row>
    <row r="76" spans="1:82" x14ac:dyDescent="0.25">
      <c r="A76" t="s">
        <v>210</v>
      </c>
      <c r="B76" t="s">
        <v>455</v>
      </c>
      <c r="C76">
        <v>3</v>
      </c>
      <c r="D76" t="s">
        <v>634</v>
      </c>
      <c r="E76" t="s">
        <v>643</v>
      </c>
      <c r="F76" t="s">
        <v>648</v>
      </c>
      <c r="G76" t="s">
        <v>648</v>
      </c>
      <c r="H76" t="s">
        <v>861</v>
      </c>
      <c r="I76">
        <v>14800</v>
      </c>
      <c r="J76" t="s">
        <v>3</v>
      </c>
      <c r="K76" t="s">
        <v>3</v>
      </c>
      <c r="L76">
        <v>100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1065</v>
      </c>
      <c r="AC76" t="s">
        <v>966</v>
      </c>
      <c r="AD76" s="18" t="s">
        <v>1109</v>
      </c>
      <c r="AE76" t="s">
        <v>1356</v>
      </c>
      <c r="AF76">
        <v>0</v>
      </c>
      <c r="AG76">
        <v>0</v>
      </c>
      <c r="AH76" t="s">
        <v>1423</v>
      </c>
      <c r="AI76" t="s">
        <v>705</v>
      </c>
      <c r="AJ76">
        <v>0</v>
      </c>
      <c r="AK76">
        <v>9321073828</v>
      </c>
      <c r="AL76">
        <v>0</v>
      </c>
      <c r="AM76">
        <v>0</v>
      </c>
      <c r="AN76">
        <v>0</v>
      </c>
      <c r="AO76" t="s">
        <v>1423</v>
      </c>
      <c r="AP76" t="s">
        <v>3</v>
      </c>
      <c r="AQ76" t="s">
        <v>1581</v>
      </c>
      <c r="AR76">
        <v>0</v>
      </c>
      <c r="AS76">
        <v>0</v>
      </c>
      <c r="AT76">
        <v>0</v>
      </c>
      <c r="AU76">
        <v>0</v>
      </c>
      <c r="AV76">
        <v>0</v>
      </c>
      <c r="AW76" t="s">
        <v>11</v>
      </c>
      <c r="AX76">
        <f>Tabla1[[#This Row],[precio del paquete]]-Tabla1[[#This Row],[Saldo_Deudor]]</f>
        <v>4500</v>
      </c>
      <c r="AY76">
        <v>10300</v>
      </c>
      <c r="AZ76" t="s">
        <v>3</v>
      </c>
      <c r="BA76" t="s">
        <v>3</v>
      </c>
      <c r="BB76" t="s">
        <v>3</v>
      </c>
      <c r="BC76" t="s">
        <v>1617</v>
      </c>
      <c r="BD76" t="s">
        <v>1618</v>
      </c>
      <c r="BE76">
        <v>0</v>
      </c>
      <c r="BF76">
        <v>0</v>
      </c>
      <c r="BG76">
        <v>0</v>
      </c>
      <c r="BH76">
        <v>0</v>
      </c>
      <c r="BI76">
        <v>0</v>
      </c>
      <c r="BJ76" t="s">
        <v>1653</v>
      </c>
      <c r="BK76">
        <v>0</v>
      </c>
      <c r="BL76" t="s">
        <v>132</v>
      </c>
      <c r="BM76">
        <v>0</v>
      </c>
      <c r="BN76">
        <f>Tabla1[[#This Row],[precio del paquete]]</f>
        <v>14800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1661</v>
      </c>
      <c r="CD76" t="str" cm="1">
        <f t="array" aca="1" ref="CD76" ca="1">eConcatenar(A76:CB76,"|")</f>
        <v>eGRwZJy5yj75HUaR|VSA2021-T-0149|3|MEMORIAL|TABASCO|TACOTALPA|TACOTALPA|2021-04-03|14800|x|x|100|0|0|0|0|0|0|0|0|0|0|0|0|0|0|0|TORRES|SANCHEZ|LAURA GRACIELA|soltero|0|0|CALLE BENITO JUAREZ SIN NUMERO|POBLADO XICOTENCATL|0|9321073828|0|0|0|CALLE BENITO JUAREZ SIN NUMERO|x|lunes|0|0|0|0|0|DOMICILIO |4500|10300|x|x|x|2022-11-16|2022-11-23|0|0|0|0|0|QYDRHV029KVTQO|0|HOMBRE|0|14800|0|0|0|0|0|0|0|0|CARDENAS|X|X|X|X|FINAL</v>
      </c>
    </row>
    <row r="77" spans="1:82" x14ac:dyDescent="0.25">
      <c r="A77" t="s">
        <v>211</v>
      </c>
      <c r="B77" t="s">
        <v>456</v>
      </c>
      <c r="C77">
        <v>3</v>
      </c>
      <c r="D77" t="s">
        <v>635</v>
      </c>
      <c r="E77" t="s">
        <v>643</v>
      </c>
      <c r="F77" t="s">
        <v>648</v>
      </c>
      <c r="G77" t="s">
        <v>648</v>
      </c>
      <c r="H77" t="s">
        <v>862</v>
      </c>
      <c r="I77">
        <v>12900</v>
      </c>
      <c r="J77" t="s">
        <v>3</v>
      </c>
      <c r="K77" t="s">
        <v>3</v>
      </c>
      <c r="L77">
        <v>100</v>
      </c>
      <c r="M77">
        <v>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1110</v>
      </c>
      <c r="AC77" t="s">
        <v>1111</v>
      </c>
      <c r="AD77" s="18" t="s">
        <v>1112</v>
      </c>
      <c r="AE77" t="s">
        <v>1356</v>
      </c>
      <c r="AF77">
        <v>0</v>
      </c>
      <c r="AG77">
        <v>0</v>
      </c>
      <c r="AH77" t="s">
        <v>1424</v>
      </c>
      <c r="AI77" t="s">
        <v>706</v>
      </c>
      <c r="AJ77">
        <v>0</v>
      </c>
      <c r="AK77">
        <v>9321153461</v>
      </c>
      <c r="AL77">
        <v>0</v>
      </c>
      <c r="AM77">
        <v>0</v>
      </c>
      <c r="AN77">
        <v>0</v>
      </c>
      <c r="AO77" t="s">
        <v>1424</v>
      </c>
      <c r="AP77" t="s">
        <v>3</v>
      </c>
      <c r="AQ77" t="s">
        <v>1581</v>
      </c>
      <c r="AR77">
        <v>0</v>
      </c>
      <c r="AS77">
        <v>0</v>
      </c>
      <c r="AT77">
        <v>0</v>
      </c>
      <c r="AU77">
        <v>0</v>
      </c>
      <c r="AV77">
        <v>0</v>
      </c>
      <c r="AW77" t="s">
        <v>11</v>
      </c>
      <c r="AX77">
        <f>Tabla1[[#This Row],[precio del paquete]]-Tabla1[[#This Row],[Saldo_Deudor]]</f>
        <v>2400</v>
      </c>
      <c r="AY77">
        <v>10500</v>
      </c>
      <c r="AZ77" t="s">
        <v>3</v>
      </c>
      <c r="BA77" t="s">
        <v>3</v>
      </c>
      <c r="BB77" t="s">
        <v>3</v>
      </c>
      <c r="BC77" t="s">
        <v>802</v>
      </c>
      <c r="BD77" t="s">
        <v>1603</v>
      </c>
      <c r="BE77">
        <v>0</v>
      </c>
      <c r="BF77">
        <v>0</v>
      </c>
      <c r="BG77">
        <v>0</v>
      </c>
      <c r="BH77">
        <v>0</v>
      </c>
      <c r="BI77">
        <v>0</v>
      </c>
      <c r="BJ77" t="s">
        <v>1653</v>
      </c>
      <c r="BK77">
        <v>0</v>
      </c>
      <c r="BL77" t="s">
        <v>132</v>
      </c>
      <c r="BM77">
        <v>0</v>
      </c>
      <c r="BN77">
        <f>Tabla1[[#This Row],[precio del paquete]]</f>
        <v>12900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1661</v>
      </c>
      <c r="CD77" t="str" cm="1">
        <f t="array" aca="1" ref="CD77" ca="1">eConcatenar(A77:CB77,"|")</f>
        <v>aOreQnnNBRWEtU5D|VSA2021-T-0079|3|IMPERIAL DE LUJO|TABASCO|TACOTALPA|TACOTALPA|2021-05-02|12900|x|x|100|2|0|0|0|0|0|0|0|0|0|0|0|0|0|0|MEDINA|ALVARADO|VICENTA|soltero|0|0|CALLE 5 DE MAYO SIN NUMERO|PUEBLO NUEVO|0|9321153461|0|0|0|CALLE 5 DE MAYO SIN NUMERO|x|lunes|0|0|0|0|0|DOMICILIO |2400|10500|x|x|x|2022-07-03|2022-07-10|0|0|0|0|0|QYDRHV029KVTQO|0|HOMBRE|0|12900|0|0|0|0|0|0|0|0|CARDENAS|X|X|X|X|FINAL</v>
      </c>
    </row>
    <row r="78" spans="1:82" x14ac:dyDescent="0.25">
      <c r="A78" t="s">
        <v>212</v>
      </c>
      <c r="B78" t="s">
        <v>457</v>
      </c>
      <c r="C78">
        <v>3</v>
      </c>
      <c r="D78" t="s">
        <v>634</v>
      </c>
      <c r="E78" t="s">
        <v>643</v>
      </c>
      <c r="F78" t="s">
        <v>648</v>
      </c>
      <c r="G78" t="s">
        <v>648</v>
      </c>
      <c r="H78" t="s">
        <v>863</v>
      </c>
      <c r="I78">
        <v>14800</v>
      </c>
      <c r="J78" t="s">
        <v>3</v>
      </c>
      <c r="K78" t="s">
        <v>3</v>
      </c>
      <c r="L78">
        <v>100</v>
      </c>
      <c r="M78">
        <v>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1113</v>
      </c>
      <c r="AC78" t="s">
        <v>985</v>
      </c>
      <c r="AD78" s="18" t="s">
        <v>1114</v>
      </c>
      <c r="AE78" t="s">
        <v>1356</v>
      </c>
      <c r="AF78">
        <v>0</v>
      </c>
      <c r="AG78">
        <v>0</v>
      </c>
      <c r="AH78" t="s">
        <v>1425</v>
      </c>
      <c r="AI78" t="s">
        <v>707</v>
      </c>
      <c r="AJ78">
        <v>0</v>
      </c>
      <c r="AK78">
        <v>9321209121</v>
      </c>
      <c r="AL78">
        <v>0</v>
      </c>
      <c r="AM78">
        <v>0</v>
      </c>
      <c r="AN78">
        <v>0</v>
      </c>
      <c r="AO78" t="s">
        <v>1425</v>
      </c>
      <c r="AP78" t="s">
        <v>3</v>
      </c>
      <c r="AQ78" t="s">
        <v>1581</v>
      </c>
      <c r="AR78">
        <v>0</v>
      </c>
      <c r="AS78">
        <v>0</v>
      </c>
      <c r="AT78">
        <v>0</v>
      </c>
      <c r="AU78">
        <v>0</v>
      </c>
      <c r="AV78">
        <v>0</v>
      </c>
      <c r="AW78" t="s">
        <v>11</v>
      </c>
      <c r="AX78">
        <f>Tabla1[[#This Row],[precio del paquete]]-Tabla1[[#This Row],[Saldo_Deudor]]</f>
        <v>4200</v>
      </c>
      <c r="AY78">
        <v>10600</v>
      </c>
      <c r="AZ78" t="s">
        <v>3</v>
      </c>
      <c r="BA78" t="s">
        <v>3</v>
      </c>
      <c r="BB78" t="s">
        <v>3</v>
      </c>
      <c r="BC78" t="s">
        <v>802</v>
      </c>
      <c r="BD78" t="s">
        <v>1603</v>
      </c>
      <c r="BE78">
        <v>0</v>
      </c>
      <c r="BF78">
        <v>0</v>
      </c>
      <c r="BG78">
        <v>0</v>
      </c>
      <c r="BH78">
        <v>0</v>
      </c>
      <c r="BI78">
        <v>0</v>
      </c>
      <c r="BJ78" t="s">
        <v>1653</v>
      </c>
      <c r="BK78">
        <v>0</v>
      </c>
      <c r="BL78" t="s">
        <v>132</v>
      </c>
      <c r="BM78">
        <v>0</v>
      </c>
      <c r="BN78">
        <f>Tabla1[[#This Row],[precio del paquete]]</f>
        <v>14800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1661</v>
      </c>
      <c r="CD78" t="str" cm="1">
        <f t="array" aca="1" ref="CD78" ca="1">eConcatenar(A78:CB78,"|")</f>
        <v>0ppgUdRg5qdLf4Wk|VSA2021-T-0168|3|MEMORIAL|TABASCO|TACOTALPA|TACOTALPA|2021-11-03|14800|x|x|100|2|0|0|0|0|0|0|0|0|0|0|0|0|0|0|SOTO|PEREZ|MARIA SOCORRO|soltero|0|0|CALLE SIN NOMBRE|EJIDO POCHITOCAL|0|9321209121|0|0|0|CALLE SIN NOMBRE|x|lunes|0|0|0|0|0|DOMICILIO |4200|10600|x|x|x|2022-07-03|2022-07-10|0|0|0|0|0|QYDRHV029KVTQO|0|HOMBRE|0|14800|0|0|0|0|0|0|0|0|CARDENAS|X|X|X|X|FINAL</v>
      </c>
    </row>
    <row r="79" spans="1:82" x14ac:dyDescent="0.25">
      <c r="A79" t="s">
        <v>213</v>
      </c>
      <c r="B79" t="s">
        <v>458</v>
      </c>
      <c r="C79">
        <v>3</v>
      </c>
      <c r="D79" t="s">
        <v>634</v>
      </c>
      <c r="E79" t="s">
        <v>643</v>
      </c>
      <c r="F79" t="s">
        <v>648</v>
      </c>
      <c r="G79" t="s">
        <v>648</v>
      </c>
      <c r="H79" t="s">
        <v>864</v>
      </c>
      <c r="I79">
        <v>14800</v>
      </c>
      <c r="J79" t="s">
        <v>3</v>
      </c>
      <c r="K79" t="s">
        <v>3</v>
      </c>
      <c r="L79">
        <v>100</v>
      </c>
      <c r="M79">
        <v>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1113</v>
      </c>
      <c r="AC79" t="s">
        <v>1023</v>
      </c>
      <c r="AD79" s="18" t="s">
        <v>1115</v>
      </c>
      <c r="AE79" t="s">
        <v>1356</v>
      </c>
      <c r="AF79">
        <v>0</v>
      </c>
      <c r="AG79">
        <v>0</v>
      </c>
      <c r="AH79" t="s">
        <v>1426</v>
      </c>
      <c r="AI79" t="s">
        <v>708</v>
      </c>
      <c r="AJ79">
        <v>0</v>
      </c>
      <c r="AK79">
        <v>9321009347</v>
      </c>
      <c r="AL79">
        <v>0</v>
      </c>
      <c r="AM79">
        <v>0</v>
      </c>
      <c r="AN79">
        <v>0</v>
      </c>
      <c r="AO79" t="s">
        <v>1426</v>
      </c>
      <c r="AP79" t="s">
        <v>3</v>
      </c>
      <c r="AQ79" t="s">
        <v>1581</v>
      </c>
      <c r="AR79">
        <v>0</v>
      </c>
      <c r="AS79">
        <v>0</v>
      </c>
      <c r="AT79">
        <v>0</v>
      </c>
      <c r="AU79">
        <v>0</v>
      </c>
      <c r="AV79">
        <v>0</v>
      </c>
      <c r="AW79" t="s">
        <v>11</v>
      </c>
      <c r="AX79">
        <f>Tabla1[[#This Row],[precio del paquete]]-Tabla1[[#This Row],[Saldo_Deudor]]</f>
        <v>3600</v>
      </c>
      <c r="AY79">
        <v>11200</v>
      </c>
      <c r="AZ79" t="s">
        <v>3</v>
      </c>
      <c r="BA79" t="s">
        <v>3</v>
      </c>
      <c r="BB79" t="s">
        <v>3</v>
      </c>
      <c r="BC79" t="s">
        <v>802</v>
      </c>
      <c r="BD79" t="s">
        <v>1603</v>
      </c>
      <c r="BE79">
        <v>0</v>
      </c>
      <c r="BF79">
        <v>0</v>
      </c>
      <c r="BG79">
        <v>0</v>
      </c>
      <c r="BH79">
        <v>0</v>
      </c>
      <c r="BI79">
        <v>0</v>
      </c>
      <c r="BJ79" t="s">
        <v>1653</v>
      </c>
      <c r="BK79">
        <v>0</v>
      </c>
      <c r="BL79" t="s">
        <v>132</v>
      </c>
      <c r="BM79">
        <v>0</v>
      </c>
      <c r="BN79">
        <f>Tabla1[[#This Row],[precio del paquete]]</f>
        <v>14800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1661</v>
      </c>
      <c r="CD79" t="str" cm="1">
        <f t="array" aca="1" ref="CD79" ca="1">eConcatenar(A79:CB79,"|")</f>
        <v>syAJfkLSlkJdcBw4|VSA2021-T-0407|3|MEMORIAL|TABASCO|TACOTALPA|TACOTALPA|2021-07-16|14800|x|x|100|2|0|0|0|0|0|0|0|0|0|0|0|0|0|0|SOTO|DE LA CRUZ|ENCARNACION|soltero|0|0|TILA Y TORONTO|EJIDO POCHITOCAL PRIMERA SECCION |0|9321009347|0|0|0|TILA Y TORONTO|x|lunes|0|0|0|0|0|DOMICILIO |3600|11200|x|x|x|2022-07-03|2022-07-10|0|0|0|0|0|QYDRHV029KVTQO|0|HOMBRE|0|14800|0|0|0|0|0|0|0|0|CARDENAS|X|X|X|X|FINAL</v>
      </c>
    </row>
    <row r="80" spans="1:82" x14ac:dyDescent="0.25">
      <c r="A80" t="s">
        <v>214</v>
      </c>
      <c r="B80" t="s">
        <v>459</v>
      </c>
      <c r="C80">
        <v>3</v>
      </c>
      <c r="D80" t="s">
        <v>634</v>
      </c>
      <c r="E80" t="s">
        <v>643</v>
      </c>
      <c r="F80" t="s">
        <v>648</v>
      </c>
      <c r="G80" t="s">
        <v>648</v>
      </c>
      <c r="H80" t="s">
        <v>865</v>
      </c>
      <c r="I80">
        <v>10500</v>
      </c>
      <c r="J80" t="s">
        <v>3</v>
      </c>
      <c r="K80" t="s">
        <v>3</v>
      </c>
      <c r="L80">
        <v>100</v>
      </c>
      <c r="M80">
        <v>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1116</v>
      </c>
      <c r="AC80" t="s">
        <v>1020</v>
      </c>
      <c r="AD80" s="18" t="s">
        <v>989</v>
      </c>
      <c r="AE80" t="s">
        <v>1356</v>
      </c>
      <c r="AF80">
        <v>0</v>
      </c>
      <c r="AG80">
        <v>0</v>
      </c>
      <c r="AH80" t="s">
        <v>1427</v>
      </c>
      <c r="AI80" t="s">
        <v>709</v>
      </c>
      <c r="AJ80">
        <v>0</v>
      </c>
      <c r="AK80">
        <v>9321145781</v>
      </c>
      <c r="AL80">
        <v>0</v>
      </c>
      <c r="AM80">
        <v>0</v>
      </c>
      <c r="AN80">
        <v>0</v>
      </c>
      <c r="AO80" t="s">
        <v>1427</v>
      </c>
      <c r="AP80" t="s">
        <v>3</v>
      </c>
      <c r="AQ80" t="s">
        <v>1581</v>
      </c>
      <c r="AR80">
        <v>0</v>
      </c>
      <c r="AS80">
        <v>0</v>
      </c>
      <c r="AT80">
        <v>0</v>
      </c>
      <c r="AU80">
        <v>0</v>
      </c>
      <c r="AV80">
        <v>0</v>
      </c>
      <c r="AW80" t="s">
        <v>11</v>
      </c>
      <c r="AX80">
        <f>Tabla1[[#This Row],[precio del paquete]]-Tabla1[[#This Row],[Saldo_Deudor]]</f>
        <v>0</v>
      </c>
      <c r="AY80">
        <v>10500</v>
      </c>
      <c r="AZ80" t="s">
        <v>3</v>
      </c>
      <c r="BA80" t="s">
        <v>3</v>
      </c>
      <c r="BB80" t="s">
        <v>3</v>
      </c>
      <c r="BC80" t="s">
        <v>802</v>
      </c>
      <c r="BD80" t="s">
        <v>1603</v>
      </c>
      <c r="BE80">
        <v>0</v>
      </c>
      <c r="BF80">
        <v>0</v>
      </c>
      <c r="BG80">
        <v>0</v>
      </c>
      <c r="BH80">
        <v>0</v>
      </c>
      <c r="BI80">
        <v>0</v>
      </c>
      <c r="BJ80" t="s">
        <v>1653</v>
      </c>
      <c r="BK80">
        <v>0</v>
      </c>
      <c r="BL80" t="s">
        <v>132</v>
      </c>
      <c r="BM80">
        <v>0</v>
      </c>
      <c r="BN80">
        <f>Tabla1[[#This Row],[precio del paquete]]</f>
        <v>10500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1661</v>
      </c>
      <c r="CD80" t="str" cm="1">
        <f t="array" aca="1" ref="CD80" ca="1">eConcatenar(A80:CB80,"|")</f>
        <v>oLE5q6o9EaWV2Be0|VSA2021-T-0006|3|MEMORIAL|TABASCO|TACOTALPA|TACOTALPA|2021-05-01|10500|x|x|100|2|0|0|0|0|0|0|0|0|0|0|0|0|0|0|FRANK|CRUZ|FRANCISCO|soltero|0|0|COLONIA ISABEL ANDADOR SIN NOMBRE NUMERO 95|VILLA TAPIJULAPA|0|9321145781|0|0|0|COLONIA ISABEL ANDADOR SIN NOMBRE NUMERO 95|x|lunes|0|0|0|0|0|DOMICILIO |0|10500|x|x|x|2022-07-03|2022-07-10|0|0|0|0|0|QYDRHV029KVTQO|0|HOMBRE|0|10500|0|0|0|0|0|0|0|0|CARDENAS|X|X|X|X|FINAL</v>
      </c>
    </row>
    <row r="81" spans="1:82" x14ac:dyDescent="0.25">
      <c r="A81" t="s">
        <v>215</v>
      </c>
      <c r="B81" t="s">
        <v>460</v>
      </c>
      <c r="C81">
        <v>3</v>
      </c>
      <c r="D81" t="s">
        <v>634</v>
      </c>
      <c r="E81" t="s">
        <v>643</v>
      </c>
      <c r="F81" t="s">
        <v>648</v>
      </c>
      <c r="G81" t="s">
        <v>648</v>
      </c>
      <c r="H81" t="s">
        <v>866</v>
      </c>
      <c r="I81">
        <v>14800</v>
      </c>
      <c r="J81" t="s">
        <v>3</v>
      </c>
      <c r="K81" t="s">
        <v>3</v>
      </c>
      <c r="L81">
        <v>100</v>
      </c>
      <c r="M81">
        <v>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1117</v>
      </c>
      <c r="AC81" t="s">
        <v>985</v>
      </c>
      <c r="AD81" s="18" t="s">
        <v>1118</v>
      </c>
      <c r="AE81" t="s">
        <v>1356</v>
      </c>
      <c r="AF81">
        <v>0</v>
      </c>
      <c r="AG81">
        <v>0</v>
      </c>
      <c r="AH81" t="s">
        <v>1428</v>
      </c>
      <c r="AI81" t="s">
        <v>709</v>
      </c>
      <c r="AJ81">
        <v>0</v>
      </c>
      <c r="AK81">
        <v>9191942554</v>
      </c>
      <c r="AL81">
        <v>0</v>
      </c>
      <c r="AM81">
        <v>0</v>
      </c>
      <c r="AN81">
        <v>0</v>
      </c>
      <c r="AO81" t="s">
        <v>1428</v>
      </c>
      <c r="AP81" t="s">
        <v>3</v>
      </c>
      <c r="AQ81" t="s">
        <v>1581</v>
      </c>
      <c r="AR81">
        <v>0</v>
      </c>
      <c r="AS81">
        <v>0</v>
      </c>
      <c r="AT81">
        <v>0</v>
      </c>
      <c r="AU81">
        <v>0</v>
      </c>
      <c r="AV81">
        <v>0</v>
      </c>
      <c r="AW81" t="s">
        <v>11</v>
      </c>
      <c r="AX81">
        <f>Tabla1[[#This Row],[precio del paquete]]-Tabla1[[#This Row],[Saldo_Deudor]]</f>
        <v>8100</v>
      </c>
      <c r="AY81">
        <v>6700</v>
      </c>
      <c r="AZ81" t="s">
        <v>3</v>
      </c>
      <c r="BA81" t="s">
        <v>3</v>
      </c>
      <c r="BB81" t="s">
        <v>3</v>
      </c>
      <c r="BC81" t="s">
        <v>802</v>
      </c>
      <c r="BD81" t="s">
        <v>1603</v>
      </c>
      <c r="BE81">
        <v>0</v>
      </c>
      <c r="BF81">
        <v>0</v>
      </c>
      <c r="BG81">
        <v>0</v>
      </c>
      <c r="BH81">
        <v>0</v>
      </c>
      <c r="BI81">
        <v>0</v>
      </c>
      <c r="BJ81" t="s">
        <v>1653</v>
      </c>
      <c r="BK81">
        <v>0</v>
      </c>
      <c r="BL81" t="s">
        <v>132</v>
      </c>
      <c r="BM81">
        <v>0</v>
      </c>
      <c r="BN81">
        <f>Tabla1[[#This Row],[precio del paquete]]</f>
        <v>14800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1661</v>
      </c>
      <c r="CD81" t="str" cm="1">
        <f t="array" aca="1" ref="CD81" ca="1">eConcatenar(A81:CB81,"|")</f>
        <v>WnSuANrPwyygAsUd|VSA2020-T-0175|3|MEMORIAL|TABASCO|TACOTALPA|TACOTALPA|2020-09-12|14800|x|x|100|2|0|0|0|0|0|0|0|0|0|0|0|0|0|0|AGUILAR|PEREZ|JOSE MANUEL|soltero|0|0|CARRETRA A OXOLOTAN SIN NUMERO|VILLA TAPIJULAPA|0|9191942554|0|0|0|CARRETRA A OXOLOTAN SIN NUMERO|x|lunes|0|0|0|0|0|DOMICILIO |8100|6700|x|x|x|2022-07-03|2022-07-10|0|0|0|0|0|QYDRHV029KVTQO|0|HOMBRE|0|14800|0|0|0|0|0|0|0|0|CARDENAS|X|X|X|X|FINAL</v>
      </c>
    </row>
    <row r="82" spans="1:82" x14ac:dyDescent="0.25">
      <c r="A82" t="s">
        <v>216</v>
      </c>
      <c r="B82" t="s">
        <v>461</v>
      </c>
      <c r="C82">
        <v>3</v>
      </c>
      <c r="D82" t="s">
        <v>635</v>
      </c>
      <c r="E82" t="s">
        <v>643</v>
      </c>
      <c r="F82" t="s">
        <v>648</v>
      </c>
      <c r="G82" t="s">
        <v>648</v>
      </c>
      <c r="H82" t="s">
        <v>867</v>
      </c>
      <c r="I82">
        <v>12700</v>
      </c>
      <c r="J82" t="s">
        <v>3</v>
      </c>
      <c r="K82" t="s">
        <v>3</v>
      </c>
      <c r="L82">
        <v>100</v>
      </c>
      <c r="M82">
        <v>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976</v>
      </c>
      <c r="AC82" t="s">
        <v>976</v>
      </c>
      <c r="AD82" s="18" t="s">
        <v>1119</v>
      </c>
      <c r="AE82" t="s">
        <v>1356</v>
      </c>
      <c r="AF82">
        <v>0</v>
      </c>
      <c r="AG82">
        <v>0</v>
      </c>
      <c r="AH82" t="s">
        <v>1429</v>
      </c>
      <c r="AI82" t="s">
        <v>710</v>
      </c>
      <c r="AJ82">
        <v>0</v>
      </c>
      <c r="AK82">
        <v>9321024072</v>
      </c>
      <c r="AL82">
        <v>0</v>
      </c>
      <c r="AM82">
        <v>0</v>
      </c>
      <c r="AN82">
        <v>0</v>
      </c>
      <c r="AO82" t="s">
        <v>1429</v>
      </c>
      <c r="AP82" t="s">
        <v>3</v>
      </c>
      <c r="AQ82" t="s">
        <v>1581</v>
      </c>
      <c r="AR82">
        <v>0</v>
      </c>
      <c r="AS82">
        <v>0</v>
      </c>
      <c r="AT82">
        <v>0</v>
      </c>
      <c r="AU82">
        <v>0</v>
      </c>
      <c r="AV82">
        <v>0</v>
      </c>
      <c r="AW82" t="s">
        <v>11</v>
      </c>
      <c r="AX82">
        <f>Tabla1[[#This Row],[precio del paquete]]-Tabla1[[#This Row],[Saldo_Deudor]]</f>
        <v>5600</v>
      </c>
      <c r="AY82">
        <v>7100</v>
      </c>
      <c r="AZ82" t="s">
        <v>3</v>
      </c>
      <c r="BA82" t="s">
        <v>3</v>
      </c>
      <c r="BB82" t="s">
        <v>3</v>
      </c>
      <c r="BC82" t="s">
        <v>896</v>
      </c>
      <c r="BD82" t="s">
        <v>1619</v>
      </c>
      <c r="BE82">
        <v>0</v>
      </c>
      <c r="BF82">
        <v>0</v>
      </c>
      <c r="BG82">
        <v>0</v>
      </c>
      <c r="BH82">
        <v>0</v>
      </c>
      <c r="BI82">
        <v>0</v>
      </c>
      <c r="BJ82" t="s">
        <v>1653</v>
      </c>
      <c r="BK82">
        <v>0</v>
      </c>
      <c r="BL82" t="s">
        <v>132</v>
      </c>
      <c r="BM82">
        <v>0</v>
      </c>
      <c r="BN82">
        <f>Tabla1[[#This Row],[precio del paquete]]</f>
        <v>12700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1661</v>
      </c>
      <c r="CD82" t="str" cm="1">
        <f t="array" aca="1" ref="CD82" ca="1">eConcatenar(A82:CB82,"|")</f>
        <v>GfVMGOIXBQttpS90|VSA2020-T-0181|3|IMPERIAL DE LUJO|TABASCO|TACOTALPA|TACOTALPA|2020-11-12|12700|x|x|100|2|0|0|0|0|0|0|0|0|0|0|0|0|0|0|MARTINEZ|MARTINEZ|ASUNCION|soltero|0|0|CARRETERA A OXOLOTAN SIN NUMERO|BARRIO SABANILLA |0|9321024072|0|0|0|CARRETERA A OXOLOTAN SIN NUMERO|x|lunes|0|0|0|0|0|DOMICILIO |5600|7100|x|x|x|2022-07-02|2022-07-09|0|0|0|0|0|QYDRHV029KVTQO|0|HOMBRE|0|12700|0|0|0|0|0|0|0|0|CARDENAS|X|X|X|X|FINAL</v>
      </c>
    </row>
    <row r="83" spans="1:82" x14ac:dyDescent="0.25">
      <c r="A83" t="s">
        <v>217</v>
      </c>
      <c r="B83" t="s">
        <v>462</v>
      </c>
      <c r="C83">
        <v>3</v>
      </c>
      <c r="D83" t="s">
        <v>14</v>
      </c>
      <c r="E83" t="s">
        <v>643</v>
      </c>
      <c r="F83" t="s">
        <v>647</v>
      </c>
      <c r="G83" t="s">
        <v>647</v>
      </c>
      <c r="H83" t="s">
        <v>868</v>
      </c>
      <c r="I83">
        <v>12900</v>
      </c>
      <c r="J83" t="s">
        <v>3</v>
      </c>
      <c r="K83" t="s">
        <v>3</v>
      </c>
      <c r="L83">
        <v>100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1041</v>
      </c>
      <c r="AC83" t="s">
        <v>1120</v>
      </c>
      <c r="AD83" s="18" t="s">
        <v>1121</v>
      </c>
      <c r="AE83" t="s">
        <v>1356</v>
      </c>
      <c r="AF83">
        <v>0</v>
      </c>
      <c r="AG83">
        <v>0</v>
      </c>
      <c r="AH83" t="s">
        <v>1430</v>
      </c>
      <c r="AI83" t="s">
        <v>673</v>
      </c>
      <c r="AJ83">
        <v>0</v>
      </c>
      <c r="AK83">
        <v>9321300988</v>
      </c>
      <c r="AL83">
        <v>0</v>
      </c>
      <c r="AM83">
        <v>0</v>
      </c>
      <c r="AN83">
        <v>0</v>
      </c>
      <c r="AO83" t="s">
        <v>1430</v>
      </c>
      <c r="AP83" t="s">
        <v>3</v>
      </c>
      <c r="AQ83" t="s">
        <v>1581</v>
      </c>
      <c r="AR83">
        <v>0</v>
      </c>
      <c r="AS83">
        <v>0</v>
      </c>
      <c r="AT83">
        <v>0</v>
      </c>
      <c r="AU83">
        <v>0</v>
      </c>
      <c r="AV83">
        <v>0</v>
      </c>
      <c r="AW83" t="s">
        <v>11</v>
      </c>
      <c r="AX83">
        <f>Tabla1[[#This Row],[precio del paquete]]-Tabla1[[#This Row],[Saldo_Deudor]]</f>
        <v>6000</v>
      </c>
      <c r="AY83">
        <v>6900</v>
      </c>
      <c r="AZ83" t="s">
        <v>3</v>
      </c>
      <c r="BA83" t="s">
        <v>3</v>
      </c>
      <c r="BB83" t="s">
        <v>3</v>
      </c>
      <c r="BC83" t="s">
        <v>922</v>
      </c>
      <c r="BD83" t="s">
        <v>1620</v>
      </c>
      <c r="BE83">
        <v>0</v>
      </c>
      <c r="BF83">
        <v>0</v>
      </c>
      <c r="BG83">
        <v>0</v>
      </c>
      <c r="BH83">
        <v>0</v>
      </c>
      <c r="BI83">
        <v>0</v>
      </c>
      <c r="BJ83" t="s">
        <v>1656</v>
      </c>
      <c r="BK83">
        <v>0</v>
      </c>
      <c r="BL83" t="s">
        <v>132</v>
      </c>
      <c r="BM83">
        <v>0</v>
      </c>
      <c r="BN83">
        <f>Tabla1[[#This Row],[precio del paquete]]</f>
        <v>12900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1661</v>
      </c>
      <c r="CD83" t="str" cm="1">
        <f t="array" aca="1" ref="CD83" ca="1">eConcatenar(A83:CB83,"|")</f>
        <v>jTo0RKfd7a0Hijdc|VSA2020-T-0186|3|ECONOLINE |TABASCO|TEAPA|TEAPA|2020-12-28|12900|x|x|100|1|0|0|0|0|0|0|0|0|0|0|0|0|0|0|JIMENEZ|NAÃ‘EZ|MEDIA|soltero|0|0|CALLE NARCISO SANTA MARIA SIN NUMERO|COLONIA CENTRO|0|9321300988|0|0|0|CALLE NARCISO SANTA MARIA SIN NUMERO|x|lunes|0|0|0|0|0|DOMICILIO |6000|6900|x|x|x|2022-01-20|2022-01-27|0|0|0|0|0|QYD9TFMW9KVTQO|0|HOMBRE|0|12900|0|0|0|0|0|0|0|0|CARDENAS|X|X|X|X|FINAL</v>
      </c>
    </row>
    <row r="84" spans="1:82" x14ac:dyDescent="0.25">
      <c r="A84" t="s">
        <v>218</v>
      </c>
      <c r="B84" t="s">
        <v>463</v>
      </c>
      <c r="C84">
        <v>3</v>
      </c>
      <c r="D84" t="s">
        <v>14</v>
      </c>
      <c r="E84" t="s">
        <v>643</v>
      </c>
      <c r="F84" t="s">
        <v>647</v>
      </c>
      <c r="G84" t="s">
        <v>647</v>
      </c>
      <c r="H84" t="s">
        <v>869</v>
      </c>
      <c r="I84">
        <v>12900</v>
      </c>
      <c r="J84" t="s">
        <v>3</v>
      </c>
      <c r="K84" t="s">
        <v>3</v>
      </c>
      <c r="L84">
        <v>100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8</v>
      </c>
      <c r="AC84" t="s">
        <v>1004</v>
      </c>
      <c r="AD84" s="18" t="s">
        <v>1122</v>
      </c>
      <c r="AE84" t="s">
        <v>1356</v>
      </c>
      <c r="AF84">
        <v>0</v>
      </c>
      <c r="AG84">
        <v>0</v>
      </c>
      <c r="AH84" t="s">
        <v>1396</v>
      </c>
      <c r="AI84" t="s">
        <v>711</v>
      </c>
      <c r="AJ84">
        <v>0</v>
      </c>
      <c r="AK84">
        <v>9321284509</v>
      </c>
      <c r="AL84">
        <v>0</v>
      </c>
      <c r="AM84">
        <v>0</v>
      </c>
      <c r="AN84">
        <v>0</v>
      </c>
      <c r="AO84" t="s">
        <v>1396</v>
      </c>
      <c r="AP84" t="s">
        <v>3</v>
      </c>
      <c r="AQ84" t="s">
        <v>1581</v>
      </c>
      <c r="AR84">
        <v>0</v>
      </c>
      <c r="AS84">
        <v>0</v>
      </c>
      <c r="AT84">
        <v>0</v>
      </c>
      <c r="AU84">
        <v>0</v>
      </c>
      <c r="AV84">
        <v>0</v>
      </c>
      <c r="AW84" t="s">
        <v>11</v>
      </c>
      <c r="AX84">
        <f>Tabla1[[#This Row],[precio del paquete]]-Tabla1[[#This Row],[Saldo_Deudor]]</f>
        <v>5400</v>
      </c>
      <c r="AY84">
        <v>7500</v>
      </c>
      <c r="AZ84" t="s">
        <v>3</v>
      </c>
      <c r="BA84" t="s">
        <v>3</v>
      </c>
      <c r="BB84" t="s">
        <v>3</v>
      </c>
      <c r="BC84" t="s">
        <v>1621</v>
      </c>
      <c r="BD84" t="s">
        <v>1622</v>
      </c>
      <c r="BE84">
        <v>0</v>
      </c>
      <c r="BF84">
        <v>0</v>
      </c>
      <c r="BG84">
        <v>0</v>
      </c>
      <c r="BH84">
        <v>0</v>
      </c>
      <c r="BI84">
        <v>0</v>
      </c>
      <c r="BJ84" t="s">
        <v>1656</v>
      </c>
      <c r="BK84">
        <v>0</v>
      </c>
      <c r="BL84" t="s">
        <v>132</v>
      </c>
      <c r="BM84">
        <v>0</v>
      </c>
      <c r="BN84">
        <f>Tabla1[[#This Row],[precio del paquete]]</f>
        <v>12900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1661</v>
      </c>
      <c r="CD84" t="str" cm="1">
        <f t="array" aca="1" ref="CD84" ca="1">eConcatenar(A84:CB84,"|")</f>
        <v>2zHSLX3uo4pyjdgz|VSA2020-T-0110|3|ECONOLINE |TABASCO|TEAPA|TEAPA|2020-09-20|12900|x|x|100|1|0|0|0|0|0|0|0|0|0|0|0|0|0|0|GOMEZ|VAZQUEZ|PIEDAD|soltero|0|0|CARRETERA PRINCIPAL SIN NUMERO|EJIDO MARIANO ABASOLO|0|9321284509|0|0|0|CARRETERA PRINCIPAL SIN NUMERO|x|lunes|0|0|0|0|0|DOMICILIO |5400|7500|x|x|x|2022-03-17|2022-03-24|0|0|0|0|0|QYD9TFMW9KVTQO|0|HOMBRE|0|12900|0|0|0|0|0|0|0|0|CARDENAS|X|X|X|X|FINAL</v>
      </c>
    </row>
    <row r="85" spans="1:82" x14ac:dyDescent="0.25">
      <c r="A85" t="s">
        <v>219</v>
      </c>
      <c r="B85" t="s">
        <v>464</v>
      </c>
      <c r="C85">
        <v>3</v>
      </c>
      <c r="D85" t="s">
        <v>636</v>
      </c>
      <c r="E85" t="s">
        <v>643</v>
      </c>
      <c r="F85" t="s">
        <v>647</v>
      </c>
      <c r="G85" t="s">
        <v>647</v>
      </c>
      <c r="H85" t="s">
        <v>870</v>
      </c>
      <c r="I85">
        <v>24500</v>
      </c>
      <c r="J85" t="s">
        <v>3</v>
      </c>
      <c r="K85" t="s">
        <v>3</v>
      </c>
      <c r="L85">
        <v>100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1123</v>
      </c>
      <c r="AC85" t="s">
        <v>1023</v>
      </c>
      <c r="AD85" s="18" t="s">
        <v>1124</v>
      </c>
      <c r="AE85" t="s">
        <v>1356</v>
      </c>
      <c r="AF85">
        <v>0</v>
      </c>
      <c r="AG85">
        <v>0</v>
      </c>
      <c r="AH85" t="s">
        <v>1396</v>
      </c>
      <c r="AI85" t="s">
        <v>712</v>
      </c>
      <c r="AJ85">
        <v>0</v>
      </c>
      <c r="AK85">
        <v>9321151190</v>
      </c>
      <c r="AL85">
        <v>0</v>
      </c>
      <c r="AM85">
        <v>0</v>
      </c>
      <c r="AN85">
        <v>0</v>
      </c>
      <c r="AO85" t="s">
        <v>1396</v>
      </c>
      <c r="AP85" t="s">
        <v>3</v>
      </c>
      <c r="AQ85" t="s">
        <v>1581</v>
      </c>
      <c r="AR85">
        <v>0</v>
      </c>
      <c r="AS85">
        <v>0</v>
      </c>
      <c r="AT85">
        <v>0</v>
      </c>
      <c r="AU85">
        <v>0</v>
      </c>
      <c r="AV85">
        <v>0</v>
      </c>
      <c r="AW85" t="s">
        <v>11</v>
      </c>
      <c r="AX85">
        <f>Tabla1[[#This Row],[precio del paquete]]-Tabla1[[#This Row],[Saldo_Deudor]]</f>
        <v>2950</v>
      </c>
      <c r="AY85">
        <v>21550</v>
      </c>
      <c r="AZ85" t="s">
        <v>3</v>
      </c>
      <c r="BA85" t="s">
        <v>3</v>
      </c>
      <c r="BB85" t="s">
        <v>3</v>
      </c>
      <c r="BC85" t="s">
        <v>802</v>
      </c>
      <c r="BD85" t="s">
        <v>1603</v>
      </c>
      <c r="BE85">
        <v>0</v>
      </c>
      <c r="BF85">
        <v>0</v>
      </c>
      <c r="BG85">
        <v>0</v>
      </c>
      <c r="BH85">
        <v>0</v>
      </c>
      <c r="BI85">
        <v>0</v>
      </c>
      <c r="BJ85" t="s">
        <v>1656</v>
      </c>
      <c r="BK85">
        <v>0</v>
      </c>
      <c r="BL85" t="s">
        <v>132</v>
      </c>
      <c r="BM85">
        <v>0</v>
      </c>
      <c r="BN85">
        <f>Tabla1[[#This Row],[precio del paquete]]</f>
        <v>24500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1661</v>
      </c>
      <c r="CD85" t="str" cm="1">
        <f t="array" aca="1" ref="CD85" ca="1">eConcatenar(A85:CB85,"|")</f>
        <v>hyttgPL1p5L8F6uz|VSA2021-T-0259|3|DIGNITY|TABASCO|TEAPA|TEAPA|2021-04-14|24500|x|x|100|0|0|0|0|0|0|0|0|0|0|0|0|0|0|0|SALAS|DE LA CRUZ|ARMANDO|soltero|0|0|CARRETERA PRINCIPAL SIN NUMERO|FRACCIONAMIENTO LAS LILIAS |0|9321151190|0|0|0|CARRETERA PRINCIPAL SIN NUMERO|x|lunes|0|0|0|0|0|DOMICILIO |2950|21550|x|x|x|2022-07-03|2022-07-10|0|0|0|0|0|QYD9TFMW9KVTQO|0|HOMBRE|0|24500|0|0|0|0|0|0|0|0|CARDENAS|X|X|X|X|FINAL</v>
      </c>
    </row>
    <row r="86" spans="1:82" x14ac:dyDescent="0.25">
      <c r="A86" t="s">
        <v>220</v>
      </c>
      <c r="B86" t="s">
        <v>465</v>
      </c>
      <c r="C86">
        <v>3</v>
      </c>
      <c r="D86" t="s">
        <v>639</v>
      </c>
      <c r="E86" t="s">
        <v>643</v>
      </c>
      <c r="F86" t="s">
        <v>644</v>
      </c>
      <c r="G86" t="s">
        <v>644</v>
      </c>
      <c r="H86" t="s">
        <v>828</v>
      </c>
      <c r="I86">
        <v>35000</v>
      </c>
      <c r="J86" t="s">
        <v>3</v>
      </c>
      <c r="K86" t="s">
        <v>3</v>
      </c>
      <c r="L86">
        <v>100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1004</v>
      </c>
      <c r="AC86" t="s">
        <v>1041</v>
      </c>
      <c r="AD86" s="18" t="s">
        <v>978</v>
      </c>
      <c r="AE86" t="s">
        <v>1356</v>
      </c>
      <c r="AF86">
        <v>0</v>
      </c>
      <c r="AG86">
        <v>0</v>
      </c>
      <c r="AH86" t="s">
        <v>1431</v>
      </c>
      <c r="AI86" t="s">
        <v>656</v>
      </c>
      <c r="AJ86">
        <v>0</v>
      </c>
      <c r="AK86">
        <v>9933775309</v>
      </c>
      <c r="AL86">
        <v>0</v>
      </c>
      <c r="AM86">
        <v>0</v>
      </c>
      <c r="AN86">
        <v>0</v>
      </c>
      <c r="AO86" t="s">
        <v>1431</v>
      </c>
      <c r="AP86" t="s">
        <v>3</v>
      </c>
      <c r="AQ86" t="s">
        <v>1581</v>
      </c>
      <c r="AR86">
        <v>0</v>
      </c>
      <c r="AS86">
        <v>0</v>
      </c>
      <c r="AT86">
        <v>0</v>
      </c>
      <c r="AU86">
        <v>0</v>
      </c>
      <c r="AV86">
        <v>0</v>
      </c>
      <c r="AW86" t="s">
        <v>11</v>
      </c>
      <c r="AX86">
        <f>Tabla1[[#This Row],[precio del paquete]]-Tabla1[[#This Row],[Saldo_Deudor]]</f>
        <v>300</v>
      </c>
      <c r="AY86">
        <v>34700</v>
      </c>
      <c r="AZ86" t="s">
        <v>3</v>
      </c>
      <c r="BA86" t="s">
        <v>3</v>
      </c>
      <c r="BB86" t="s">
        <v>3</v>
      </c>
      <c r="BC86" t="s">
        <v>1623</v>
      </c>
      <c r="BD86" t="s">
        <v>1624</v>
      </c>
      <c r="BE86">
        <v>0</v>
      </c>
      <c r="BF86">
        <v>0</v>
      </c>
      <c r="BG86">
        <v>0</v>
      </c>
      <c r="BH86">
        <v>0</v>
      </c>
      <c r="BI86">
        <v>0</v>
      </c>
      <c r="BJ86" t="s">
        <v>1650</v>
      </c>
      <c r="BK86">
        <v>0</v>
      </c>
      <c r="BL86" t="s">
        <v>132</v>
      </c>
      <c r="BM86">
        <v>0</v>
      </c>
      <c r="BN86">
        <f>Tabla1[[#This Row],[precio del paquete]]</f>
        <v>35000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1661</v>
      </c>
      <c r="CD86" t="str" cm="1">
        <f t="array" aca="1" ref="CD86" ca="1">eConcatenar(A86:CB86,"|")</f>
        <v>57VLijwFBBnDCAXf|VSA2022-0230|3|DELUX|TABASCO|VILLAHERMOSA|VILLAHERMOSA|2022-02-28|35000|x|x|100|0|0|0|0|0|0|0|0|0|0|0|0|0|0|0|VAZQUEZ|JIMENEZ|MARIA DEL CARMEN|soltero|0|0|CERRADA DE GREGORIO MENDEZ SIN NUMERO|VILLA PARRILLA|0|9933775309|0|0|0|CERRADA DE GREGORIO MENDEZ SIN NUMERO|x|lunes|0|0|0|0|0|DOMICILIO |300|34700|x|x|x|2022-10-03|2022-10-10|0|0|0|0|0|QYD9TF5Y9KVTQO|0|HOMBRE|0|35000|0|0|0|0|0|0|0|0|CARDENAS|X|X|X|X|FINAL</v>
      </c>
    </row>
    <row r="87" spans="1:82" x14ac:dyDescent="0.25">
      <c r="A87" t="s">
        <v>221</v>
      </c>
      <c r="B87" t="s">
        <v>466</v>
      </c>
      <c r="C87">
        <v>3</v>
      </c>
      <c r="D87" t="s">
        <v>634</v>
      </c>
      <c r="E87" t="s">
        <v>643</v>
      </c>
      <c r="F87" t="s">
        <v>644</v>
      </c>
      <c r="G87" t="s">
        <v>644</v>
      </c>
      <c r="H87" t="s">
        <v>871</v>
      </c>
      <c r="I87">
        <v>14800</v>
      </c>
      <c r="J87" t="s">
        <v>3</v>
      </c>
      <c r="K87" t="s">
        <v>3</v>
      </c>
      <c r="L87">
        <v>100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8</v>
      </c>
      <c r="AC87" t="s">
        <v>1125</v>
      </c>
      <c r="AD87" s="18" t="s">
        <v>1126</v>
      </c>
      <c r="AE87" t="s">
        <v>1356</v>
      </c>
      <c r="AF87">
        <v>0</v>
      </c>
      <c r="AG87">
        <v>0</v>
      </c>
      <c r="AH87" t="s">
        <v>1432</v>
      </c>
      <c r="AI87" t="s">
        <v>713</v>
      </c>
      <c r="AJ87">
        <v>0</v>
      </c>
      <c r="AK87">
        <v>9934856101</v>
      </c>
      <c r="AL87">
        <v>0</v>
      </c>
      <c r="AM87">
        <v>0</v>
      </c>
      <c r="AN87">
        <v>0</v>
      </c>
      <c r="AO87" t="s">
        <v>1432</v>
      </c>
      <c r="AP87" t="s">
        <v>3</v>
      </c>
      <c r="AQ87" t="s">
        <v>1581</v>
      </c>
      <c r="AR87">
        <v>0</v>
      </c>
      <c r="AS87">
        <v>0</v>
      </c>
      <c r="AT87">
        <v>0</v>
      </c>
      <c r="AU87">
        <v>0</v>
      </c>
      <c r="AV87">
        <v>0</v>
      </c>
      <c r="AW87" t="s">
        <v>11</v>
      </c>
      <c r="AX87">
        <f>Tabla1[[#This Row],[precio del paquete]]-Tabla1[[#This Row],[Saldo_Deudor]]</f>
        <v>400</v>
      </c>
      <c r="AY87">
        <v>14400</v>
      </c>
      <c r="AZ87" t="s">
        <v>3</v>
      </c>
      <c r="BA87" t="s">
        <v>3</v>
      </c>
      <c r="BB87" t="s">
        <v>3</v>
      </c>
      <c r="BC87" t="s">
        <v>1625</v>
      </c>
      <c r="BD87" t="s">
        <v>1626</v>
      </c>
      <c r="BE87">
        <v>0</v>
      </c>
      <c r="BF87">
        <v>0</v>
      </c>
      <c r="BG87">
        <v>0</v>
      </c>
      <c r="BH87">
        <v>0</v>
      </c>
      <c r="BI87">
        <v>0</v>
      </c>
      <c r="BJ87" t="s">
        <v>1650</v>
      </c>
      <c r="BK87">
        <v>0</v>
      </c>
      <c r="BL87" t="s">
        <v>132</v>
      </c>
      <c r="BM87">
        <v>0</v>
      </c>
      <c r="BN87">
        <f>Tabla1[[#This Row],[precio del paquete]]</f>
        <v>14800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1661</v>
      </c>
      <c r="CD87" t="str" cm="1">
        <f t="array" aca="1" ref="CD87" ca="1">eConcatenar(A87:CB87,"|")</f>
        <v>Q3OGZauaqlo2LxdT|VSA2022-0206|3|MEMORIAL|TABASCO|VILLAHERMOSA|VILLAHERMOSA|2022-02-22|14800|x|x|100|0|0|0|0|0|0|0|0|0|0|0|0|0|0|0|GOMEZ|RIVERA|PAULA|soltero|0|0|AVENIDA PRINCIPAL 27 DE OCTUBRE NUMERO 13|FRACCIONAMIENTO 27 DE OCTUBRE CENTRO|0|9934856101|0|0|0|AVENIDA PRINCIPAL 27 DE OCTUBRE NUMERO 13|x|lunes|0|0|0|0|0|DOMICILIO |400|14400|x|x|x|2022-09-03|2022-09-10|0|0|0|0|0|QYD9TF5Y9KVTQO|0|HOMBRE|0|14800|0|0|0|0|0|0|0|0|CARDENAS|X|X|X|X|FINAL</v>
      </c>
    </row>
    <row r="88" spans="1:82" x14ac:dyDescent="0.25">
      <c r="A88" t="s">
        <v>222</v>
      </c>
      <c r="B88" t="s">
        <v>467</v>
      </c>
      <c r="C88">
        <v>3</v>
      </c>
      <c r="D88" t="s">
        <v>634</v>
      </c>
      <c r="E88" t="s">
        <v>643</v>
      </c>
      <c r="F88" t="s">
        <v>644</v>
      </c>
      <c r="G88" t="s">
        <v>644</v>
      </c>
      <c r="H88" t="s">
        <v>872</v>
      </c>
      <c r="I88">
        <v>14800</v>
      </c>
      <c r="J88" t="s">
        <v>3</v>
      </c>
      <c r="K88" t="s">
        <v>3</v>
      </c>
      <c r="L88">
        <v>100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976</v>
      </c>
      <c r="AC88" t="s">
        <v>8</v>
      </c>
      <c r="AD88" s="18" t="s">
        <v>1127</v>
      </c>
      <c r="AE88" t="s">
        <v>1356</v>
      </c>
      <c r="AF88">
        <v>0</v>
      </c>
      <c r="AG88">
        <v>0</v>
      </c>
      <c r="AH88" t="s">
        <v>1433</v>
      </c>
      <c r="AI88" t="s">
        <v>714</v>
      </c>
      <c r="AJ88">
        <v>0</v>
      </c>
      <c r="AK88">
        <v>9934338943</v>
      </c>
      <c r="AL88">
        <v>0</v>
      </c>
      <c r="AM88">
        <v>0</v>
      </c>
      <c r="AN88">
        <v>0</v>
      </c>
      <c r="AO88" t="s">
        <v>1433</v>
      </c>
      <c r="AP88" t="s">
        <v>3</v>
      </c>
      <c r="AQ88" t="s">
        <v>1581</v>
      </c>
      <c r="AR88">
        <v>0</v>
      </c>
      <c r="AS88">
        <v>0</v>
      </c>
      <c r="AT88">
        <v>0</v>
      </c>
      <c r="AU88">
        <v>0</v>
      </c>
      <c r="AV88">
        <v>0</v>
      </c>
      <c r="AW88" t="s">
        <v>11</v>
      </c>
      <c r="AX88">
        <f>Tabla1[[#This Row],[precio del paquete]]-Tabla1[[#This Row],[Saldo_Deudor]]</f>
        <v>600</v>
      </c>
      <c r="AY88">
        <v>14200</v>
      </c>
      <c r="AZ88" t="s">
        <v>3</v>
      </c>
      <c r="BA88" t="s">
        <v>3</v>
      </c>
      <c r="BB88" t="s">
        <v>3</v>
      </c>
      <c r="BC88" t="s">
        <v>1625</v>
      </c>
      <c r="BD88" t="s">
        <v>1626</v>
      </c>
      <c r="BE88">
        <v>0</v>
      </c>
      <c r="BF88">
        <v>0</v>
      </c>
      <c r="BG88">
        <v>0</v>
      </c>
      <c r="BH88">
        <v>0</v>
      </c>
      <c r="BI88">
        <v>0</v>
      </c>
      <c r="BJ88" t="s">
        <v>1650</v>
      </c>
      <c r="BK88">
        <v>0</v>
      </c>
      <c r="BL88" t="s">
        <v>132</v>
      </c>
      <c r="BM88">
        <v>0</v>
      </c>
      <c r="BN88">
        <f>Tabla1[[#This Row],[precio del paquete]]</f>
        <v>14800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1661</v>
      </c>
      <c r="CD88" t="str" cm="1">
        <f t="array" aca="1" ref="CD88" ca="1">eConcatenar(A88:CB88,"|")</f>
        <v>wAWwFbRYH8ZbhwdG|VSA2022-0184|3|MEMORIAL|TABASCO|VILLAHERMOSA|VILLAHERMOSA|2022-02-17|14800|x|x|100|0|0|0|0|0|0|0|0|0|0|0|0|0|0|0|MARTINEZ|GOMEZ|PAULINA|soltero|0|0|CALLE NEPTUNO NUMERO 108 EDIFICIO G DEPARTAMENTO 2|FRACCIONAMIENTO VILLAS DEL CIELO|0|9934338943|0|0|0|CALLE NEPTUNO NUMERO 108 EDIFICIO G DEPARTAMENTO 2|x|lunes|0|0|0|0|0|DOMICILIO |600|14200|x|x|x|2022-09-03|2022-09-10|0|0|0|0|0|QYD9TF5Y9KVTQO|0|HOMBRE|0|14800|0|0|0|0|0|0|0|0|CARDENAS|X|X|X|X|FINAL</v>
      </c>
    </row>
    <row r="89" spans="1:82" x14ac:dyDescent="0.25">
      <c r="A89" t="s">
        <v>223</v>
      </c>
      <c r="B89" t="s">
        <v>468</v>
      </c>
      <c r="C89">
        <v>3</v>
      </c>
      <c r="D89" t="s">
        <v>641</v>
      </c>
      <c r="E89" t="s">
        <v>643</v>
      </c>
      <c r="F89" t="s">
        <v>645</v>
      </c>
      <c r="G89" t="s">
        <v>645</v>
      </c>
      <c r="H89" t="s">
        <v>873</v>
      </c>
      <c r="I89">
        <v>12900</v>
      </c>
      <c r="J89" t="s">
        <v>3</v>
      </c>
      <c r="K89" t="s">
        <v>3</v>
      </c>
      <c r="L89">
        <v>100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985</v>
      </c>
      <c r="AC89" t="s">
        <v>1020</v>
      </c>
      <c r="AD89" s="18" t="s">
        <v>1128</v>
      </c>
      <c r="AE89" t="s">
        <v>1356</v>
      </c>
      <c r="AF89">
        <v>0</v>
      </c>
      <c r="AG89">
        <v>0</v>
      </c>
      <c r="AH89" t="s">
        <v>1434</v>
      </c>
      <c r="AI89" t="s">
        <v>715</v>
      </c>
      <c r="AJ89">
        <v>0</v>
      </c>
      <c r="AK89">
        <v>9933661897</v>
      </c>
      <c r="AL89">
        <v>0</v>
      </c>
      <c r="AM89">
        <v>0</v>
      </c>
      <c r="AN89">
        <v>0</v>
      </c>
      <c r="AO89" t="s">
        <v>1434</v>
      </c>
      <c r="AP89" t="s">
        <v>3</v>
      </c>
      <c r="AQ89" t="s">
        <v>1581</v>
      </c>
      <c r="AR89">
        <v>0</v>
      </c>
      <c r="AS89">
        <v>0</v>
      </c>
      <c r="AT89">
        <v>0</v>
      </c>
      <c r="AU89">
        <v>0</v>
      </c>
      <c r="AV89">
        <v>0</v>
      </c>
      <c r="AW89" t="s">
        <v>11</v>
      </c>
      <c r="AX89">
        <f>Tabla1[[#This Row],[precio del paquete]]-Tabla1[[#This Row],[Saldo_Deudor]]</f>
        <v>8200</v>
      </c>
      <c r="AY89">
        <v>4700</v>
      </c>
      <c r="AZ89" t="s">
        <v>3</v>
      </c>
      <c r="BA89" t="s">
        <v>3</v>
      </c>
      <c r="BB89" t="s">
        <v>3</v>
      </c>
      <c r="BC89" t="s">
        <v>1625</v>
      </c>
      <c r="BD89" t="s">
        <v>1626</v>
      </c>
      <c r="BE89">
        <v>0</v>
      </c>
      <c r="BF89">
        <v>0</v>
      </c>
      <c r="BG89">
        <v>0</v>
      </c>
      <c r="BH89">
        <v>0</v>
      </c>
      <c r="BI89">
        <v>0</v>
      </c>
      <c r="BJ89" t="s">
        <v>1650</v>
      </c>
      <c r="BK89">
        <v>0</v>
      </c>
      <c r="BL89" t="s">
        <v>132</v>
      </c>
      <c r="BM89">
        <v>0</v>
      </c>
      <c r="BN89">
        <f>Tabla1[[#This Row],[precio del paquete]]</f>
        <v>12900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1661</v>
      </c>
      <c r="CD89" t="str" cm="1">
        <f t="array" aca="1" ref="CD89" ca="1">eConcatenar(A89:CB89,"|")</f>
        <v>jLKaEomAfKARHnfh|VSA2020-0304|3|ECONOLINE|TABASCO|JALAPA|JALAPA|2020-05-08|12900|x|x|100|0|0|0|0|0|0|0|0|0|0|0|0|0|0|0|PEREZ|CRUZ|BEATRIZ|soltero|0|0|EJIDO EL DORADO A UN COSTADO DE LA CONASUPO|EJIDO EL DORADO|0|9933661897|0|0|0|EJIDO EL DORADO A UN COSTADO DE LA CONASUPO|x|lunes|0|0|0|0|0|DOMICILIO |8200|4700|x|x|x|2022-09-03|2022-09-10|0|0|0|0|0|QYD9TF5Y9KVTQO|0|HOMBRE|0|12900|0|0|0|0|0|0|0|0|CARDENAS|X|X|X|X|FINAL</v>
      </c>
    </row>
    <row r="90" spans="1:82" x14ac:dyDescent="0.25">
      <c r="A90" t="s">
        <v>224</v>
      </c>
      <c r="B90" t="s">
        <v>469</v>
      </c>
      <c r="C90">
        <v>3</v>
      </c>
      <c r="D90" t="s">
        <v>634</v>
      </c>
      <c r="E90" t="s">
        <v>643</v>
      </c>
      <c r="F90" t="s">
        <v>644</v>
      </c>
      <c r="G90" t="s">
        <v>644</v>
      </c>
      <c r="H90" t="s">
        <v>871</v>
      </c>
      <c r="I90">
        <v>14800</v>
      </c>
      <c r="J90" t="s">
        <v>3</v>
      </c>
      <c r="K90" t="s">
        <v>3</v>
      </c>
      <c r="L90">
        <v>100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8</v>
      </c>
      <c r="AC90" t="s">
        <v>1129</v>
      </c>
      <c r="AD90" s="18" t="s">
        <v>1039</v>
      </c>
      <c r="AE90" t="s">
        <v>1356</v>
      </c>
      <c r="AF90">
        <v>0</v>
      </c>
      <c r="AG90">
        <v>0</v>
      </c>
      <c r="AH90" t="s">
        <v>1435</v>
      </c>
      <c r="AI90" t="s">
        <v>713</v>
      </c>
      <c r="AJ90">
        <v>0</v>
      </c>
      <c r="AK90">
        <v>9381710447</v>
      </c>
      <c r="AL90">
        <v>0</v>
      </c>
      <c r="AM90">
        <v>0</v>
      </c>
      <c r="AN90">
        <v>0</v>
      </c>
      <c r="AO90" t="s">
        <v>1435</v>
      </c>
      <c r="AP90" t="s">
        <v>3</v>
      </c>
      <c r="AQ90" t="s">
        <v>1581</v>
      </c>
      <c r="AR90">
        <v>0</v>
      </c>
      <c r="AS90">
        <v>0</v>
      </c>
      <c r="AT90">
        <v>0</v>
      </c>
      <c r="AU90">
        <v>0</v>
      </c>
      <c r="AV90">
        <v>0</v>
      </c>
      <c r="AW90" t="s">
        <v>11</v>
      </c>
      <c r="AX90">
        <f>Tabla1[[#This Row],[precio del paquete]]-Tabla1[[#This Row],[Saldo_Deudor]]</f>
        <v>400</v>
      </c>
      <c r="AY90">
        <v>14400</v>
      </c>
      <c r="AZ90" t="s">
        <v>3</v>
      </c>
      <c r="BA90" t="s">
        <v>3</v>
      </c>
      <c r="BB90" t="s">
        <v>3</v>
      </c>
      <c r="BC90" t="s">
        <v>895</v>
      </c>
      <c r="BD90" t="s">
        <v>1604</v>
      </c>
      <c r="BE90">
        <v>0</v>
      </c>
      <c r="BF90">
        <v>0</v>
      </c>
      <c r="BG90">
        <v>0</v>
      </c>
      <c r="BH90">
        <v>0</v>
      </c>
      <c r="BI90">
        <v>0</v>
      </c>
      <c r="BJ90" t="s">
        <v>1650</v>
      </c>
      <c r="BK90">
        <v>0</v>
      </c>
      <c r="BL90" t="s">
        <v>132</v>
      </c>
      <c r="BM90">
        <v>0</v>
      </c>
      <c r="BN90">
        <f>Tabla1[[#This Row],[precio del paquete]]</f>
        <v>14800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1661</v>
      </c>
      <c r="CD90" t="str" cm="1">
        <f t="array" aca="1" ref="CD90" ca="1">eConcatenar(A90:CB90,"|")</f>
        <v>29A0zRQyp8tIZ0P1|VSA2022-0209|3|MEMORIAL|TABASCO|VILLAHERMOSA|VILLAHERMOSA|2022-02-22|14800|x|x|100|1|0|0|0|0|0|0|0|0|0|0|0|0|0|0|GOMEZ|VEGA|GUADALUPE|soltero|0|0|CALLE PUEBLA NUMERO 4|FRACCIONAMIENTO 27 DE OCTUBRE CENTRO|0|9381710447|0|0|0|CALLE PUEBLA NUMERO 4|x|lunes|0|0|0|0|0|DOMICILIO |400|14400|x|x|x|2022-03-03|2022-03-10|0|0|0|0|0|QYD9TF5Y9KVTQO|0|HOMBRE|0|14800|0|0|0|0|0|0|0|0|CARDENAS|X|X|X|X|FINAL</v>
      </c>
    </row>
    <row r="91" spans="1:82" x14ac:dyDescent="0.25">
      <c r="A91" t="s">
        <v>225</v>
      </c>
      <c r="B91" t="s">
        <v>470</v>
      </c>
      <c r="C91">
        <v>3</v>
      </c>
      <c r="D91" t="s">
        <v>634</v>
      </c>
      <c r="E91" t="s">
        <v>643</v>
      </c>
      <c r="F91" t="s">
        <v>644</v>
      </c>
      <c r="G91" t="s">
        <v>644</v>
      </c>
      <c r="H91" t="s">
        <v>874</v>
      </c>
      <c r="I91">
        <v>14800</v>
      </c>
      <c r="J91" t="s">
        <v>3</v>
      </c>
      <c r="K91" t="s">
        <v>3</v>
      </c>
      <c r="L91">
        <v>100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1020</v>
      </c>
      <c r="AC91" t="s">
        <v>1130</v>
      </c>
      <c r="AD91" s="18" t="s">
        <v>1131</v>
      </c>
      <c r="AE91" t="s">
        <v>1356</v>
      </c>
      <c r="AF91">
        <v>0</v>
      </c>
      <c r="AG91">
        <v>0</v>
      </c>
      <c r="AH91" t="s">
        <v>1436</v>
      </c>
      <c r="AI91" t="s">
        <v>716</v>
      </c>
      <c r="AJ91">
        <v>0</v>
      </c>
      <c r="AK91">
        <v>9931127397</v>
      </c>
      <c r="AL91">
        <v>0</v>
      </c>
      <c r="AM91">
        <v>0</v>
      </c>
      <c r="AN91">
        <v>0</v>
      </c>
      <c r="AO91" t="s">
        <v>1436</v>
      </c>
      <c r="AP91" t="s">
        <v>3</v>
      </c>
      <c r="AQ91" t="s">
        <v>1581</v>
      </c>
      <c r="AR91">
        <v>0</v>
      </c>
      <c r="AS91">
        <v>0</v>
      </c>
      <c r="AT91">
        <v>0</v>
      </c>
      <c r="AU91">
        <v>0</v>
      </c>
      <c r="AV91">
        <v>0</v>
      </c>
      <c r="AW91" t="s">
        <v>11</v>
      </c>
      <c r="AX91">
        <f>Tabla1[[#This Row],[precio del paquete]]-Tabla1[[#This Row],[Saldo_Deudor]]</f>
        <v>2000</v>
      </c>
      <c r="AY91">
        <v>12800</v>
      </c>
      <c r="AZ91" t="s">
        <v>3</v>
      </c>
      <c r="BA91" t="s">
        <v>3</v>
      </c>
      <c r="BB91" t="s">
        <v>3</v>
      </c>
      <c r="BC91" t="s">
        <v>895</v>
      </c>
      <c r="BD91" t="s">
        <v>1604</v>
      </c>
      <c r="BE91">
        <v>0</v>
      </c>
      <c r="BF91">
        <v>0</v>
      </c>
      <c r="BG91">
        <v>0</v>
      </c>
      <c r="BH91">
        <v>0</v>
      </c>
      <c r="BI91">
        <v>0</v>
      </c>
      <c r="BJ91" t="s">
        <v>1650</v>
      </c>
      <c r="BK91">
        <v>0</v>
      </c>
      <c r="BL91" t="s">
        <v>132</v>
      </c>
      <c r="BM91">
        <v>0</v>
      </c>
      <c r="BN91">
        <f>Tabla1[[#This Row],[precio del paquete]]</f>
        <v>14800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1661</v>
      </c>
      <c r="CD91" t="str" cm="1">
        <f t="array" aca="1" ref="CD91" ca="1">eConcatenar(A91:CB91,"|")</f>
        <v>T5ZV4tRqcVmaaW7Y|VSA2021-1983|3|MEMORIAL|TABASCO|VILLAHERMOSA|VILLAHERMOSA|2021-12-30|14800|x|x|100|1|0|0|0|0|0|0|0|0|0|0|0|0|0|0|CRUZ|LARA|YANET DEL ROSARIO|soltero|0|0|CIRCUITO QUETZAL MANZANA 17 LOTE 13|FRACCIONAMIENTO SAN MANUEL|0|9931127397|0|0|0|CIRCUITO QUETZAL MANZANA 17 LOTE 13|x|lunes|0|0|0|0|0|DOMICILIO |2000|12800|x|x|x|2022-03-03|2022-03-10|0|0|0|0|0|QYD9TF5Y9KVTQO|0|HOMBRE|0|14800|0|0|0|0|0|0|0|0|CARDENAS|X|X|X|X|FINAL</v>
      </c>
    </row>
    <row r="92" spans="1:82" x14ac:dyDescent="0.25">
      <c r="A92" t="s">
        <v>226</v>
      </c>
      <c r="B92" t="s">
        <v>471</v>
      </c>
      <c r="C92">
        <v>3</v>
      </c>
      <c r="D92" t="s">
        <v>634</v>
      </c>
      <c r="E92" t="s">
        <v>643</v>
      </c>
      <c r="F92" t="s">
        <v>644</v>
      </c>
      <c r="G92" t="s">
        <v>644</v>
      </c>
      <c r="H92" t="s">
        <v>871</v>
      </c>
      <c r="I92">
        <v>14800</v>
      </c>
      <c r="J92" t="s">
        <v>3</v>
      </c>
      <c r="K92" t="s">
        <v>3</v>
      </c>
      <c r="L92">
        <v>100</v>
      </c>
      <c r="M92">
        <v>1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1041</v>
      </c>
      <c r="AC92" t="s">
        <v>8</v>
      </c>
      <c r="AD92" s="18" t="s">
        <v>1132</v>
      </c>
      <c r="AE92" t="s">
        <v>1356</v>
      </c>
      <c r="AF92">
        <v>0</v>
      </c>
      <c r="AG92">
        <v>0</v>
      </c>
      <c r="AH92" t="s">
        <v>1437</v>
      </c>
      <c r="AI92" t="s">
        <v>713</v>
      </c>
      <c r="AJ92">
        <v>0</v>
      </c>
      <c r="AK92">
        <v>9931099637</v>
      </c>
      <c r="AL92">
        <v>0</v>
      </c>
      <c r="AM92">
        <v>0</v>
      </c>
      <c r="AN92">
        <v>0</v>
      </c>
      <c r="AO92" t="s">
        <v>1437</v>
      </c>
      <c r="AP92" t="s">
        <v>3</v>
      </c>
      <c r="AQ92" t="s">
        <v>1581</v>
      </c>
      <c r="AR92">
        <v>0</v>
      </c>
      <c r="AS92">
        <v>0</v>
      </c>
      <c r="AT92">
        <v>0</v>
      </c>
      <c r="AU92">
        <v>0</v>
      </c>
      <c r="AV92">
        <v>0</v>
      </c>
      <c r="AW92" t="s">
        <v>11</v>
      </c>
      <c r="AX92">
        <f>Tabla1[[#This Row],[precio del paquete]]-Tabla1[[#This Row],[Saldo_Deudor]]</f>
        <v>200</v>
      </c>
      <c r="AY92">
        <v>14600</v>
      </c>
      <c r="AZ92" t="s">
        <v>3</v>
      </c>
      <c r="BA92" t="s">
        <v>3</v>
      </c>
      <c r="BB92" t="s">
        <v>3</v>
      </c>
      <c r="BC92" t="s">
        <v>871</v>
      </c>
      <c r="BD92" t="s">
        <v>931</v>
      </c>
      <c r="BE92">
        <v>0</v>
      </c>
      <c r="BF92">
        <v>0</v>
      </c>
      <c r="BG92">
        <v>0</v>
      </c>
      <c r="BH92">
        <v>0</v>
      </c>
      <c r="BI92">
        <v>0</v>
      </c>
      <c r="BJ92" t="s">
        <v>1650</v>
      </c>
      <c r="BK92">
        <v>0</v>
      </c>
      <c r="BL92" t="s">
        <v>132</v>
      </c>
      <c r="BM92">
        <v>0</v>
      </c>
      <c r="BN92">
        <f>Tabla1[[#This Row],[precio del paquete]]</f>
        <v>14800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1661</v>
      </c>
      <c r="CD92" t="str" cm="1">
        <f t="array" aca="1" ref="CD92" ca="1">eConcatenar(A92:CB92,"|")</f>
        <v>pyOuy6JjrfqAIqC7|VSA2022-0208|3|MEMORIAL|TABASCO|VILLAHERMOSA|VILLAHERMOSA|2022-02-22|14800|x|x|100|1|0|0|0|0|0|0|0|0|0|0|0|0|0|0|JIMENEZ|GOMEZ|LUCRECIA|soltero|0|0|CERRADA GUANAJUATO NUMERO 5|FRACCIONAMIENTO 27 DE OCTUBRE CENTRO|0|9931099637|0|0|0|CERRADA GUANAJUATO NUMERO 5|x|lunes|0|0|0|0|0|DOMICILIO |200|14600|x|x|x|2022-02-22|2022-03-01|0|0|0|0|0|QYD9TF5Y9KVTQO|0|HOMBRE|0|14800|0|0|0|0|0|0|0|0|CARDENAS|X|X|X|X|FINAL</v>
      </c>
    </row>
    <row r="93" spans="1:82" x14ac:dyDescent="0.25">
      <c r="A93" t="s">
        <v>227</v>
      </c>
      <c r="B93" t="s">
        <v>472</v>
      </c>
      <c r="C93">
        <v>3</v>
      </c>
      <c r="D93" t="s">
        <v>636</v>
      </c>
      <c r="E93" t="s">
        <v>643</v>
      </c>
      <c r="F93" t="s">
        <v>645</v>
      </c>
      <c r="G93" t="s">
        <v>645</v>
      </c>
      <c r="H93" t="s">
        <v>809</v>
      </c>
      <c r="I93">
        <v>24500</v>
      </c>
      <c r="J93" t="s">
        <v>3</v>
      </c>
      <c r="K93" t="s">
        <v>3</v>
      </c>
      <c r="L93">
        <v>100</v>
      </c>
      <c r="M93">
        <v>1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1133</v>
      </c>
      <c r="AC93" t="s">
        <v>1134</v>
      </c>
      <c r="AD93" s="18" t="s">
        <v>1135</v>
      </c>
      <c r="AE93" t="s">
        <v>1356</v>
      </c>
      <c r="AF93">
        <v>0</v>
      </c>
      <c r="AG93">
        <v>0</v>
      </c>
      <c r="AH93" t="s">
        <v>1438</v>
      </c>
      <c r="AI93" t="s">
        <v>715</v>
      </c>
      <c r="AJ93">
        <v>0</v>
      </c>
      <c r="AK93">
        <v>9932178953</v>
      </c>
      <c r="AL93">
        <v>0</v>
      </c>
      <c r="AM93">
        <v>0</v>
      </c>
      <c r="AN93">
        <v>0</v>
      </c>
      <c r="AO93" t="s">
        <v>1438</v>
      </c>
      <c r="AP93" t="s">
        <v>3</v>
      </c>
      <c r="AQ93" t="s">
        <v>1581</v>
      </c>
      <c r="AR93">
        <v>0</v>
      </c>
      <c r="AS93">
        <v>0</v>
      </c>
      <c r="AT93">
        <v>0</v>
      </c>
      <c r="AU93">
        <v>0</v>
      </c>
      <c r="AV93">
        <v>0</v>
      </c>
      <c r="AW93" t="s">
        <v>11</v>
      </c>
      <c r="AX93">
        <f>Tabla1[[#This Row],[precio del paquete]]-Tabla1[[#This Row],[Saldo_Deudor]]</f>
        <v>200</v>
      </c>
      <c r="AY93">
        <v>24300</v>
      </c>
      <c r="AZ93" t="s">
        <v>3</v>
      </c>
      <c r="BA93" t="s">
        <v>3</v>
      </c>
      <c r="BB93" t="s">
        <v>3</v>
      </c>
      <c r="BC93" t="s">
        <v>1627</v>
      </c>
      <c r="BD93" t="s">
        <v>889</v>
      </c>
      <c r="BE93">
        <v>0</v>
      </c>
      <c r="BF93">
        <v>0</v>
      </c>
      <c r="BG93">
        <v>0</v>
      </c>
      <c r="BH93">
        <v>0</v>
      </c>
      <c r="BI93">
        <v>0</v>
      </c>
      <c r="BJ93" t="s">
        <v>1650</v>
      </c>
      <c r="BK93">
        <v>0</v>
      </c>
      <c r="BL93" t="s">
        <v>132</v>
      </c>
      <c r="BM93">
        <v>0</v>
      </c>
      <c r="BN93">
        <f>Tabla1[[#This Row],[precio del paquete]]</f>
        <v>24500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1661</v>
      </c>
      <c r="CD93" t="str" cm="1">
        <f t="array" aca="1" ref="CD93" ca="1">eConcatenar(A93:CB93,"|")</f>
        <v>2cBHrSDTHxdA0VVP|VSA2022-0210|3|DIGNITY|TABASCO|JALAPA|JALAPA|2022-02-24|24500|x|x|100|1|0|0|0|0|0|0|0|0|0|0|0|0|0|0|CORTEZ|ISIDRO|MARTHA ALICIA|soltero|0|0|CALLE PRINCIPAL NUMERO 73|EJIDO EL DORADO|0|9932178953|0|0|0|CALLE PRINCIPAL NUMERO 73|x|lunes|0|0|0|0|0|DOMICILIO |200|24300|x|x|x|2022-02-23|2022-03-02|0|0|0|0|0|QYD9TF5Y9KVTQO|0|HOMBRE|0|24500|0|0|0|0|0|0|0|0|CARDENAS|X|X|X|X|FINAL</v>
      </c>
    </row>
    <row r="94" spans="1:82" x14ac:dyDescent="0.25">
      <c r="A94" t="s">
        <v>228</v>
      </c>
      <c r="B94" t="s">
        <v>473</v>
      </c>
      <c r="C94">
        <v>3</v>
      </c>
      <c r="D94" t="s">
        <v>634</v>
      </c>
      <c r="E94" t="s">
        <v>643</v>
      </c>
      <c r="F94" t="s">
        <v>644</v>
      </c>
      <c r="G94" t="s">
        <v>644</v>
      </c>
      <c r="H94" t="s">
        <v>828</v>
      </c>
      <c r="I94">
        <v>14800</v>
      </c>
      <c r="J94" t="s">
        <v>3</v>
      </c>
      <c r="K94" t="s">
        <v>3</v>
      </c>
      <c r="L94">
        <v>100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1136</v>
      </c>
      <c r="AC94" t="s">
        <v>1137</v>
      </c>
      <c r="AD94" s="18" t="s">
        <v>1001</v>
      </c>
      <c r="AE94" t="s">
        <v>1356</v>
      </c>
      <c r="AF94">
        <v>0</v>
      </c>
      <c r="AG94">
        <v>0</v>
      </c>
      <c r="AH94" t="s">
        <v>1439</v>
      </c>
      <c r="AI94" t="s">
        <v>713</v>
      </c>
      <c r="AJ94">
        <v>0</v>
      </c>
      <c r="AK94">
        <v>9933883347</v>
      </c>
      <c r="AL94">
        <v>0</v>
      </c>
      <c r="AM94">
        <v>0</v>
      </c>
      <c r="AN94">
        <v>0</v>
      </c>
      <c r="AO94" t="s">
        <v>1439</v>
      </c>
      <c r="AP94" t="s">
        <v>3</v>
      </c>
      <c r="AQ94" t="s">
        <v>1581</v>
      </c>
      <c r="AR94">
        <v>0</v>
      </c>
      <c r="AS94">
        <v>0</v>
      </c>
      <c r="AT94">
        <v>0</v>
      </c>
      <c r="AU94">
        <v>0</v>
      </c>
      <c r="AV94">
        <v>0</v>
      </c>
      <c r="AW94" t="s">
        <v>11</v>
      </c>
      <c r="AX94">
        <f>Tabla1[[#This Row],[precio del paquete]]-Tabla1[[#This Row],[Saldo_Deudor]]</f>
        <v>200</v>
      </c>
      <c r="AY94">
        <v>14600</v>
      </c>
      <c r="AZ94" t="s">
        <v>3</v>
      </c>
      <c r="BA94" t="s">
        <v>3</v>
      </c>
      <c r="BB94" t="s">
        <v>3</v>
      </c>
      <c r="BC94" t="s">
        <v>828</v>
      </c>
      <c r="BD94" t="s">
        <v>1628</v>
      </c>
      <c r="BE94">
        <v>0</v>
      </c>
      <c r="BF94">
        <v>0</v>
      </c>
      <c r="BG94">
        <v>0</v>
      </c>
      <c r="BH94">
        <v>0</v>
      </c>
      <c r="BI94">
        <v>0</v>
      </c>
      <c r="BJ94" t="s">
        <v>1650</v>
      </c>
      <c r="BK94">
        <v>0</v>
      </c>
      <c r="BL94" t="s">
        <v>132</v>
      </c>
      <c r="BM94">
        <v>0</v>
      </c>
      <c r="BN94">
        <f>Tabla1[[#This Row],[precio del paquete]]</f>
        <v>14800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1661</v>
      </c>
      <c r="CD94" t="str" cm="1">
        <f t="array" aca="1" ref="CD94" ca="1">eConcatenar(A94:CB94,"|")</f>
        <v>zE2f7aYGXXpn5wLq|VSA2022-0223|3|MEMORIAL|TABASCO|VILLAHERMOSA|VILLAHERMOSA|2022-02-28|14800|x|x|100|1|0|0|0|0|0|0|0|0|0|0|0|0|0|0|BAUTISTA|DE DIOS|PETRONA|soltero|0|0|CALLE BAJA CALIFORNIA NUMERO 30|FRACCIONAMIENTO 27 DE OCTUBRE CENTRO|0|9933883347|0|0|0|CALLE BAJA CALIFORNIA NUMERO 30|x|lunes|0|0|0|0|0|DOMICILIO |200|14600|x|x|x|2022-02-28|2022-03-07|0|0|0|0|0|QYD9TF5Y9KVTQO|0|HOMBRE|0|14800|0|0|0|0|0|0|0|0|CARDENAS|X|X|X|X|FINAL</v>
      </c>
    </row>
    <row r="95" spans="1:82" x14ac:dyDescent="0.25">
      <c r="A95" t="s">
        <v>229</v>
      </c>
      <c r="B95" t="s">
        <v>474</v>
      </c>
      <c r="C95">
        <v>3</v>
      </c>
      <c r="D95" t="s">
        <v>635</v>
      </c>
      <c r="E95" t="s">
        <v>643</v>
      </c>
      <c r="F95" t="s">
        <v>644</v>
      </c>
      <c r="G95" t="s">
        <v>644</v>
      </c>
      <c r="H95" t="s">
        <v>875</v>
      </c>
      <c r="I95">
        <v>12900</v>
      </c>
      <c r="J95" t="s">
        <v>3</v>
      </c>
      <c r="K95" t="s">
        <v>3</v>
      </c>
      <c r="L95">
        <v>100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1138</v>
      </c>
      <c r="AC95" t="s">
        <v>1062</v>
      </c>
      <c r="AD95" s="18" t="s">
        <v>1139</v>
      </c>
      <c r="AE95" t="s">
        <v>1356</v>
      </c>
      <c r="AF95">
        <v>0</v>
      </c>
      <c r="AG95">
        <v>0</v>
      </c>
      <c r="AH95" t="s">
        <v>717</v>
      </c>
      <c r="AI95" t="s">
        <v>717</v>
      </c>
      <c r="AJ95">
        <v>0</v>
      </c>
      <c r="AK95">
        <v>9931487840</v>
      </c>
      <c r="AL95">
        <v>0</v>
      </c>
      <c r="AM95">
        <v>0</v>
      </c>
      <c r="AN95">
        <v>0</v>
      </c>
      <c r="AO95" t="s">
        <v>717</v>
      </c>
      <c r="AP95" t="s">
        <v>3</v>
      </c>
      <c r="AQ95" t="s">
        <v>1581</v>
      </c>
      <c r="AR95">
        <v>0</v>
      </c>
      <c r="AS95">
        <v>0</v>
      </c>
      <c r="AT95">
        <v>0</v>
      </c>
      <c r="AU95">
        <v>0</v>
      </c>
      <c r="AV95">
        <v>0</v>
      </c>
      <c r="AW95" t="s">
        <v>11</v>
      </c>
      <c r="AX95">
        <f>Tabla1[[#This Row],[precio del paquete]]-Tabla1[[#This Row],[Saldo_Deudor]]</f>
        <v>7000</v>
      </c>
      <c r="AY95">
        <v>5900</v>
      </c>
      <c r="AZ95" t="s">
        <v>3</v>
      </c>
      <c r="BA95" t="s">
        <v>3</v>
      </c>
      <c r="BB95" t="s">
        <v>3</v>
      </c>
      <c r="BC95" t="s">
        <v>1596</v>
      </c>
      <c r="BD95" t="s">
        <v>1597</v>
      </c>
      <c r="BE95">
        <v>0</v>
      </c>
      <c r="BF95">
        <v>0</v>
      </c>
      <c r="BG95">
        <v>0</v>
      </c>
      <c r="BH95">
        <v>0</v>
      </c>
      <c r="BI95">
        <v>0</v>
      </c>
      <c r="BJ95" t="s">
        <v>1651</v>
      </c>
      <c r="BK95">
        <v>0</v>
      </c>
      <c r="BL95" t="s">
        <v>132</v>
      </c>
      <c r="BM95">
        <v>0</v>
      </c>
      <c r="BN95">
        <f>Tabla1[[#This Row],[precio del paquete]]</f>
        <v>12900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1661</v>
      </c>
      <c r="CD95" t="str" cm="1">
        <f t="array" aca="1" ref="CD95" ca="1">eConcatenar(A95:CB95,"|")</f>
        <v>Huh8XCVdgbJs8b2M|VSA2019-0615|3|IMPERIAL DE LUJO|TABASCO|VILLAHERMOSA|VILLAHERMOSA|2019-11-21|12900|x|x|100|0|0|0|0|0|0|0|0|0|0|0|0|0|0|0|VALLER|ALVAREZ|MANUELA|soltero|0|0|FRACCIONAMIENTO DEL PALMAR|FRACCIONAMIENTO DEL PALMAR|0|9931487840|0|0|0|FRACCIONAMIENTO DEL PALMAR|x|lunes|0|0|0|0|0|DOMICILIO |7000|5900|x|x|x|2022-12-03|2022-12-10|0|0|0|0|0|QYD9TF7C9KVTQO|0|HOMBRE|0|12900|0|0|0|0|0|0|0|0|CARDENAS|X|X|X|X|FINAL</v>
      </c>
    </row>
    <row r="96" spans="1:82" x14ac:dyDescent="0.25">
      <c r="A96" t="s">
        <v>230</v>
      </c>
      <c r="B96" t="s">
        <v>475</v>
      </c>
      <c r="C96">
        <v>3</v>
      </c>
      <c r="D96" t="s">
        <v>634</v>
      </c>
      <c r="E96" t="s">
        <v>643</v>
      </c>
      <c r="F96" t="s">
        <v>644</v>
      </c>
      <c r="G96" t="s">
        <v>644</v>
      </c>
      <c r="H96" t="s">
        <v>876</v>
      </c>
      <c r="I96">
        <v>14800</v>
      </c>
      <c r="J96" t="s">
        <v>3</v>
      </c>
      <c r="K96" t="s">
        <v>3</v>
      </c>
      <c r="L96">
        <v>100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1140</v>
      </c>
      <c r="AC96" t="s">
        <v>972</v>
      </c>
      <c r="AD96" s="18" t="s">
        <v>1141</v>
      </c>
      <c r="AE96" t="s">
        <v>1356</v>
      </c>
      <c r="AF96">
        <v>0</v>
      </c>
      <c r="AG96">
        <v>0</v>
      </c>
      <c r="AH96" t="s">
        <v>1396</v>
      </c>
      <c r="AI96" t="s">
        <v>718</v>
      </c>
      <c r="AJ96">
        <v>0</v>
      </c>
      <c r="AK96">
        <v>9933464224</v>
      </c>
      <c r="AL96">
        <v>0</v>
      </c>
      <c r="AM96">
        <v>0</v>
      </c>
      <c r="AN96">
        <v>0</v>
      </c>
      <c r="AO96" t="s">
        <v>1396</v>
      </c>
      <c r="AP96" t="s">
        <v>3</v>
      </c>
      <c r="AQ96" t="s">
        <v>1581</v>
      </c>
      <c r="AR96">
        <v>0</v>
      </c>
      <c r="AS96">
        <v>0</v>
      </c>
      <c r="AT96">
        <v>0</v>
      </c>
      <c r="AU96">
        <v>0</v>
      </c>
      <c r="AV96">
        <v>0</v>
      </c>
      <c r="AW96" t="s">
        <v>11</v>
      </c>
      <c r="AX96">
        <f>Tabla1[[#This Row],[precio del paquete]]-Tabla1[[#This Row],[Saldo_Deudor]]</f>
        <v>13700</v>
      </c>
      <c r="AY96">
        <v>1100</v>
      </c>
      <c r="AZ96" t="s">
        <v>3</v>
      </c>
      <c r="BA96" t="s">
        <v>3</v>
      </c>
      <c r="BB96" t="s">
        <v>3</v>
      </c>
      <c r="BC96" t="s">
        <v>1596</v>
      </c>
      <c r="BD96" t="s">
        <v>1597</v>
      </c>
      <c r="BE96">
        <v>0</v>
      </c>
      <c r="BF96">
        <v>0</v>
      </c>
      <c r="BG96">
        <v>0</v>
      </c>
      <c r="BH96">
        <v>0</v>
      </c>
      <c r="BI96">
        <v>0</v>
      </c>
      <c r="BJ96" t="s">
        <v>1651</v>
      </c>
      <c r="BK96">
        <v>0</v>
      </c>
      <c r="BL96" t="s">
        <v>132</v>
      </c>
      <c r="BM96">
        <v>0</v>
      </c>
      <c r="BN96">
        <f>Tabla1[[#This Row],[precio del paquete]]</f>
        <v>14800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1661</v>
      </c>
      <c r="CD96" t="str" cm="1">
        <f t="array" aca="1" ref="CD96" ca="1">eConcatenar(A96:CB96,"|")</f>
        <v>dw7AewzRB8J4n9qx|VSA2021-0544|3|MEMORIAL|TABASCO|VILLAHERMOSA|VILLAHERMOSA|2021-03-18|14800|x|x|100|0|0|0|0|0|0|0|0|0|0|0|0|0|0|0|MAYO||HERMINA ESTEBAN|soltero|0|0|CARRETERA PRINCIPAL SIN NUMERO|FRACCIONAMIENTO PARRILLA SECCION SECTOR CARMEN|0|9933464224|0|0|0|CARRETERA PRINCIPAL SIN NUMERO|x|lunes|0|0|0|0|0|DOMICILIO |13700|1100|x|x|x|2022-12-03|2022-12-10|0|0|0|0|0|QYD9TF7C9KVTQO|0|HOMBRE|0|14800|0|0|0|0|0|0|0|0|CARDENAS|X|X|X|X|FINAL</v>
      </c>
    </row>
    <row r="97" spans="1:82" x14ac:dyDescent="0.25">
      <c r="A97" t="s">
        <v>231</v>
      </c>
      <c r="B97" t="s">
        <v>476</v>
      </c>
      <c r="C97">
        <v>3</v>
      </c>
      <c r="D97" t="s">
        <v>634</v>
      </c>
      <c r="E97" t="s">
        <v>643</v>
      </c>
      <c r="F97" t="s">
        <v>644</v>
      </c>
      <c r="G97" t="s">
        <v>644</v>
      </c>
      <c r="H97" t="s">
        <v>877</v>
      </c>
      <c r="I97">
        <v>14800</v>
      </c>
      <c r="J97" t="s">
        <v>3</v>
      </c>
      <c r="K97" t="s">
        <v>3</v>
      </c>
      <c r="L97">
        <v>100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1043</v>
      </c>
      <c r="AC97" t="s">
        <v>1052</v>
      </c>
      <c r="AD97" s="18" t="s">
        <v>1142</v>
      </c>
      <c r="AE97" t="s">
        <v>1356</v>
      </c>
      <c r="AF97">
        <v>0</v>
      </c>
      <c r="AG97">
        <v>0</v>
      </c>
      <c r="AH97" t="s">
        <v>1440</v>
      </c>
      <c r="AI97" t="s">
        <v>719</v>
      </c>
      <c r="AJ97">
        <v>0</v>
      </c>
      <c r="AK97">
        <v>9934387197</v>
      </c>
      <c r="AL97">
        <v>0</v>
      </c>
      <c r="AM97">
        <v>0</v>
      </c>
      <c r="AN97">
        <v>0</v>
      </c>
      <c r="AO97" t="s">
        <v>1440</v>
      </c>
      <c r="AP97" t="s">
        <v>3</v>
      </c>
      <c r="AQ97" t="s">
        <v>1581</v>
      </c>
      <c r="AR97">
        <v>0</v>
      </c>
      <c r="AS97">
        <v>0</v>
      </c>
      <c r="AT97">
        <v>0</v>
      </c>
      <c r="AU97">
        <v>0</v>
      </c>
      <c r="AV97">
        <v>0</v>
      </c>
      <c r="AW97" t="s">
        <v>11</v>
      </c>
      <c r="AX97">
        <f>Tabla1[[#This Row],[precio del paquete]]-Tabla1[[#This Row],[Saldo_Deudor]]</f>
        <v>1750</v>
      </c>
      <c r="AY97">
        <v>13050</v>
      </c>
      <c r="AZ97" t="s">
        <v>3</v>
      </c>
      <c r="BA97" t="s">
        <v>3</v>
      </c>
      <c r="BB97" t="s">
        <v>3</v>
      </c>
      <c r="BC97" t="s">
        <v>1596</v>
      </c>
      <c r="BD97" t="s">
        <v>1597</v>
      </c>
      <c r="BE97">
        <v>0</v>
      </c>
      <c r="BF97">
        <v>0</v>
      </c>
      <c r="BG97">
        <v>0</v>
      </c>
      <c r="BH97">
        <v>0</v>
      </c>
      <c r="BI97">
        <v>0</v>
      </c>
      <c r="BJ97" t="s">
        <v>1651</v>
      </c>
      <c r="BK97">
        <v>0</v>
      </c>
      <c r="BL97" t="s">
        <v>132</v>
      </c>
      <c r="BM97">
        <v>0</v>
      </c>
      <c r="BN97">
        <f>Tabla1[[#This Row],[precio del paquete]]</f>
        <v>14800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1661</v>
      </c>
      <c r="CD97" t="str" cm="1">
        <f t="array" aca="1" ref="CD97" ca="1">eConcatenar(A97:CB97,"|")</f>
        <v>l146sGYNWX6JT5B4|VSA2021-1992|3|MEMORIAL|TABASCO|VILLAHERMOSA|VILLAHERMOSA|2021-12-31|14800|x|x|100|0|0|0|0|0|0|0|0|0|0|0|0|0|0|0|ACOSTA|CASTILLO|BALTAZAR|soltero|0|0|CALLE PRINCIPAL SIN NUMERO FRENTE AL TEMPLO EL BUEN PASTOR|FRACCIONAMIENTO PARRILLA CUARTA SECCION|0|9934387197|0|0|0|CALLE PRINCIPAL SIN NUMERO FRENTE AL TEMPLO EL BUEN PASTOR|x|lunes|0|0|0|0|0|DOMICILIO |1750|13050|x|x|x|2022-12-03|2022-12-10|0|0|0|0|0|QYD9TF7C9KVTQO|0|HOMBRE|0|14800|0|0|0|0|0|0|0|0|CARDENAS|X|X|X|X|FINAL</v>
      </c>
    </row>
    <row r="98" spans="1:82" x14ac:dyDescent="0.25">
      <c r="A98" t="s">
        <v>232</v>
      </c>
      <c r="B98" t="s">
        <v>477</v>
      </c>
      <c r="C98">
        <v>3</v>
      </c>
      <c r="D98" t="s">
        <v>634</v>
      </c>
      <c r="E98" t="s">
        <v>643</v>
      </c>
      <c r="F98" t="s">
        <v>644</v>
      </c>
      <c r="G98" t="s">
        <v>644</v>
      </c>
      <c r="H98" t="s">
        <v>877</v>
      </c>
      <c r="I98">
        <v>14800</v>
      </c>
      <c r="J98" t="s">
        <v>3</v>
      </c>
      <c r="K98" t="s">
        <v>3</v>
      </c>
      <c r="L98">
        <v>100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1043</v>
      </c>
      <c r="AC98" t="s">
        <v>1143</v>
      </c>
      <c r="AD98" s="18" t="s">
        <v>1144</v>
      </c>
      <c r="AE98" t="s">
        <v>1356</v>
      </c>
      <c r="AF98">
        <v>0</v>
      </c>
      <c r="AG98">
        <v>0</v>
      </c>
      <c r="AH98" t="s">
        <v>1440</v>
      </c>
      <c r="AI98" t="s">
        <v>720</v>
      </c>
      <c r="AJ98">
        <v>0</v>
      </c>
      <c r="AK98">
        <v>9934387124</v>
      </c>
      <c r="AL98">
        <v>0</v>
      </c>
      <c r="AM98">
        <v>0</v>
      </c>
      <c r="AN98">
        <v>0</v>
      </c>
      <c r="AO98" t="s">
        <v>1440</v>
      </c>
      <c r="AP98" t="s">
        <v>3</v>
      </c>
      <c r="AQ98" t="s">
        <v>1581</v>
      </c>
      <c r="AR98">
        <v>0</v>
      </c>
      <c r="AS98">
        <v>0</v>
      </c>
      <c r="AT98">
        <v>0</v>
      </c>
      <c r="AU98">
        <v>0</v>
      </c>
      <c r="AV98">
        <v>0</v>
      </c>
      <c r="AW98" t="s">
        <v>11</v>
      </c>
      <c r="AX98">
        <f>Tabla1[[#This Row],[precio del paquete]]-Tabla1[[#This Row],[Saldo_Deudor]]</f>
        <v>2100</v>
      </c>
      <c r="AY98">
        <v>12700</v>
      </c>
      <c r="AZ98" t="s">
        <v>3</v>
      </c>
      <c r="BA98" t="s">
        <v>3</v>
      </c>
      <c r="BB98" t="s">
        <v>3</v>
      </c>
      <c r="BC98" t="s">
        <v>1596</v>
      </c>
      <c r="BD98" t="s">
        <v>1597</v>
      </c>
      <c r="BE98">
        <v>0</v>
      </c>
      <c r="BF98">
        <v>0</v>
      </c>
      <c r="BG98">
        <v>0</v>
      </c>
      <c r="BH98">
        <v>0</v>
      </c>
      <c r="BI98">
        <v>0</v>
      </c>
      <c r="BJ98" t="s">
        <v>1651</v>
      </c>
      <c r="BK98">
        <v>0</v>
      </c>
      <c r="BL98" t="s">
        <v>132</v>
      </c>
      <c r="BM98">
        <v>0</v>
      </c>
      <c r="BN98">
        <f>Tabla1[[#This Row],[precio del paquete]]</f>
        <v>14800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1661</v>
      </c>
      <c r="CD98" t="str" cm="1">
        <f t="array" aca="1" ref="CD98" ca="1">eConcatenar(A98:CB98,"|")</f>
        <v>dsj4mo3HFY3bNHJU|VSA2021-1990|3|MEMORIAL|TABASCO|VILLAHERMOSA|VILLAHERMOSA|2021-12-31|14800|x|x|100|0|0|0|0|0|0|0|0|0|0|0|0|0|0|0|ACOSTA|ALCAZAR|JORGE|soltero|0|0|CALLE PRINCIPAL SIN NUMERO FRENTE AL TEMPLO EL BUEN PASTOR|FRACCIONAMIENTO PARRILLA CUARTA SECCION SECTOR LOS ACOSTA|0|9934387124|0|0|0|CALLE PRINCIPAL SIN NUMERO FRENTE AL TEMPLO EL BUEN PASTOR|x|lunes|0|0|0|0|0|DOMICILIO |2100|12700|x|x|x|2022-12-03|2022-12-10|0|0|0|0|0|QYD9TF7C9KVTQO|0|HOMBRE|0|14800|0|0|0|0|0|0|0|0|CARDENAS|X|X|X|X|FINAL</v>
      </c>
    </row>
    <row r="99" spans="1:82" x14ac:dyDescent="0.25">
      <c r="A99" t="s">
        <v>233</v>
      </c>
      <c r="B99" t="s">
        <v>478</v>
      </c>
      <c r="C99">
        <v>3</v>
      </c>
      <c r="D99" t="s">
        <v>634</v>
      </c>
      <c r="E99" t="s">
        <v>643</v>
      </c>
      <c r="F99" t="s">
        <v>644</v>
      </c>
      <c r="G99" t="s">
        <v>644</v>
      </c>
      <c r="H99" t="s">
        <v>877</v>
      </c>
      <c r="I99">
        <v>14800</v>
      </c>
      <c r="J99" t="s">
        <v>3</v>
      </c>
      <c r="K99" t="s">
        <v>3</v>
      </c>
      <c r="L99">
        <v>100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1043</v>
      </c>
      <c r="AC99" t="s">
        <v>971</v>
      </c>
      <c r="AD99" s="18" t="s">
        <v>1145</v>
      </c>
      <c r="AE99" t="s">
        <v>1356</v>
      </c>
      <c r="AF99">
        <v>0</v>
      </c>
      <c r="AG99">
        <v>0</v>
      </c>
      <c r="AH99" t="s">
        <v>1441</v>
      </c>
      <c r="AI99" t="s">
        <v>720</v>
      </c>
      <c r="AJ99">
        <v>0</v>
      </c>
      <c r="AK99">
        <v>9931744728</v>
      </c>
      <c r="AL99">
        <v>0</v>
      </c>
      <c r="AM99">
        <v>0</v>
      </c>
      <c r="AN99">
        <v>0</v>
      </c>
      <c r="AO99" t="s">
        <v>1441</v>
      </c>
      <c r="AP99" t="s">
        <v>3</v>
      </c>
      <c r="AQ99" t="s">
        <v>1581</v>
      </c>
      <c r="AR99">
        <v>0</v>
      </c>
      <c r="AS99">
        <v>0</v>
      </c>
      <c r="AT99">
        <v>0</v>
      </c>
      <c r="AU99">
        <v>0</v>
      </c>
      <c r="AV99">
        <v>0</v>
      </c>
      <c r="AW99" t="s">
        <v>11</v>
      </c>
      <c r="AX99">
        <f>Tabla1[[#This Row],[precio del paquete]]-Tabla1[[#This Row],[Saldo_Deudor]]</f>
        <v>1000</v>
      </c>
      <c r="AY99">
        <v>13800</v>
      </c>
      <c r="AZ99" t="s">
        <v>3</v>
      </c>
      <c r="BA99" t="s">
        <v>3</v>
      </c>
      <c r="BB99" t="s">
        <v>3</v>
      </c>
      <c r="BC99" t="s">
        <v>1596</v>
      </c>
      <c r="BD99" t="s">
        <v>1597</v>
      </c>
      <c r="BE99">
        <v>0</v>
      </c>
      <c r="BF99">
        <v>0</v>
      </c>
      <c r="BG99">
        <v>0</v>
      </c>
      <c r="BH99">
        <v>0</v>
      </c>
      <c r="BI99">
        <v>0</v>
      </c>
      <c r="BJ99" t="s">
        <v>1651</v>
      </c>
      <c r="BK99">
        <v>0</v>
      </c>
      <c r="BL99" t="s">
        <v>132</v>
      </c>
      <c r="BM99">
        <v>0</v>
      </c>
      <c r="BN99">
        <f>Tabla1[[#This Row],[precio del paquete]]</f>
        <v>14800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1661</v>
      </c>
      <c r="CD99" t="str" cm="1">
        <f t="array" aca="1" ref="CD99" ca="1">eConcatenar(A99:CB99,"|")</f>
        <v>mmfhXMpjFw9HFhKE|VSA2021-1993|3|MEMORIAL|TABASCO|VILLAHERMOSA|VILLAHERMOSA|2021-12-31|14800|x|x|100|0|0|0|0|0|0|0|0|0|0|0|0|0|0|0|ACOSTA|HERNANDEZ|NOLBERTO|soltero|0|0|ENTRADA PRINCIPAL MANO DERECHA|FRACCIONAMIENTO PARRILLA CUARTA SECCION SECTOR LOS ACOSTA|0|9931744728|0|0|0|ENTRADA PRINCIPAL MANO DERECHA|x|lunes|0|0|0|0|0|DOMICILIO |1000|13800|x|x|x|2022-12-03|2022-12-10|0|0|0|0|0|QYD9TF7C9KVTQO|0|HOMBRE|0|14800|0|0|0|0|0|0|0|0|CARDENAS|X|X|X|X|FINAL</v>
      </c>
    </row>
    <row r="100" spans="1:82" x14ac:dyDescent="0.25">
      <c r="A100" t="s">
        <v>234</v>
      </c>
      <c r="B100" t="s">
        <v>479</v>
      </c>
      <c r="C100">
        <v>3</v>
      </c>
      <c r="D100" t="s">
        <v>634</v>
      </c>
      <c r="E100" t="s">
        <v>643</v>
      </c>
      <c r="F100" t="s">
        <v>644</v>
      </c>
      <c r="G100" t="s">
        <v>644</v>
      </c>
      <c r="H100" t="s">
        <v>878</v>
      </c>
      <c r="I100">
        <v>14800</v>
      </c>
      <c r="J100" t="s">
        <v>3</v>
      </c>
      <c r="K100" t="s">
        <v>3</v>
      </c>
      <c r="L100">
        <v>100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1067</v>
      </c>
      <c r="AC100" t="s">
        <v>1000</v>
      </c>
      <c r="AD100" s="18" t="s">
        <v>1146</v>
      </c>
      <c r="AE100" t="s">
        <v>1356</v>
      </c>
      <c r="AF100">
        <v>0</v>
      </c>
      <c r="AG100">
        <v>0</v>
      </c>
      <c r="AH100" t="s">
        <v>1442</v>
      </c>
      <c r="AI100" t="s">
        <v>660</v>
      </c>
      <c r="AJ100">
        <v>0</v>
      </c>
      <c r="AK100">
        <v>9935901173</v>
      </c>
      <c r="AL100">
        <v>0</v>
      </c>
      <c r="AM100">
        <v>0</v>
      </c>
      <c r="AN100">
        <v>0</v>
      </c>
      <c r="AO100" t="s">
        <v>1442</v>
      </c>
      <c r="AP100" t="s">
        <v>3</v>
      </c>
      <c r="AQ100" t="s">
        <v>1581</v>
      </c>
      <c r="AR100">
        <v>0</v>
      </c>
      <c r="AS100">
        <v>0</v>
      </c>
      <c r="AT100">
        <v>0</v>
      </c>
      <c r="AU100">
        <v>0</v>
      </c>
      <c r="AV100">
        <v>0</v>
      </c>
      <c r="AW100" t="s">
        <v>11</v>
      </c>
      <c r="AX100">
        <f>Tabla1[[#This Row],[precio del paquete]]-Tabla1[[#This Row],[Saldo_Deudor]]</f>
        <v>400</v>
      </c>
      <c r="AY100">
        <v>14400</v>
      </c>
      <c r="AZ100" t="s">
        <v>3</v>
      </c>
      <c r="BA100" t="s">
        <v>3</v>
      </c>
      <c r="BB100" t="s">
        <v>3</v>
      </c>
      <c r="BC100" t="s">
        <v>1599</v>
      </c>
      <c r="BD100" t="s">
        <v>1600</v>
      </c>
      <c r="BE100">
        <v>0</v>
      </c>
      <c r="BF100">
        <v>0</v>
      </c>
      <c r="BG100">
        <v>0</v>
      </c>
      <c r="BH100">
        <v>0</v>
      </c>
      <c r="BI100">
        <v>0</v>
      </c>
      <c r="BJ100" t="s">
        <v>1651</v>
      </c>
      <c r="BK100">
        <v>0</v>
      </c>
      <c r="BL100" t="s">
        <v>132</v>
      </c>
      <c r="BM100">
        <v>0</v>
      </c>
      <c r="BN100">
        <f>Tabla1[[#This Row],[precio del paquete]]</f>
        <v>14800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1661</v>
      </c>
      <c r="CD100" t="str" cm="1">
        <f t="array" aca="1" ref="CD100" ca="1">eConcatenar(A100:CB100,"|")</f>
        <v>Lspu6umXzGb6BBbt|VSA2022-0039|3|MEMORIAL|TABASCO|VILLAHERMOSA|VILLAHERMOSA|2022-01-16|14800|x|x|100|0|0|0|0|0|0|0|0|0|0|0|0|0|0|0|GARCIA|MORALES|TOMASA|soltero|0|0|CALLE CARMITA MANZANA 43 LOTE 7|FRACCIONAMIENTO LAS MERCEDES|0|9935901173|0|0|0|CALLE CARMITA MANZANA 43 LOTE 7|x|lunes|0|0|0|0|0|DOMICILIO |400|14400|x|x|x|2022-11-03|2022-11-10|0|0|0|0|0|QYD9TF7C9KVTQO|0|HOMBRE|0|14800|0|0|0|0|0|0|0|0|CARDENAS|X|X|X|X|FINAL</v>
      </c>
    </row>
    <row r="101" spans="1:82" x14ac:dyDescent="0.25">
      <c r="A101" t="s">
        <v>235</v>
      </c>
      <c r="B101" t="s">
        <v>480</v>
      </c>
      <c r="C101">
        <v>3</v>
      </c>
      <c r="D101" t="s">
        <v>634</v>
      </c>
      <c r="E101" t="s">
        <v>643</v>
      </c>
      <c r="F101" t="s">
        <v>644</v>
      </c>
      <c r="G101" t="s">
        <v>644</v>
      </c>
      <c r="H101" t="s">
        <v>879</v>
      </c>
      <c r="I101">
        <v>12900</v>
      </c>
      <c r="J101" t="s">
        <v>3</v>
      </c>
      <c r="K101" t="s">
        <v>3</v>
      </c>
      <c r="L101">
        <v>100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1147</v>
      </c>
      <c r="AC101" t="s">
        <v>1040</v>
      </c>
      <c r="AD101" s="18" t="s">
        <v>1148</v>
      </c>
      <c r="AE101" t="s">
        <v>1356</v>
      </c>
      <c r="AF101">
        <v>0</v>
      </c>
      <c r="AG101">
        <v>0</v>
      </c>
      <c r="AH101" t="s">
        <v>1396</v>
      </c>
      <c r="AI101" t="s">
        <v>721</v>
      </c>
      <c r="AJ101">
        <v>0</v>
      </c>
      <c r="AK101">
        <v>9932358811</v>
      </c>
      <c r="AL101">
        <v>0</v>
      </c>
      <c r="AM101">
        <v>0</v>
      </c>
      <c r="AN101">
        <v>0</v>
      </c>
      <c r="AO101" t="s">
        <v>1396</v>
      </c>
      <c r="AP101" t="s">
        <v>3</v>
      </c>
      <c r="AQ101" t="s">
        <v>1581</v>
      </c>
      <c r="AR101">
        <v>0</v>
      </c>
      <c r="AS101">
        <v>0</v>
      </c>
      <c r="AT101">
        <v>0</v>
      </c>
      <c r="AU101">
        <v>0</v>
      </c>
      <c r="AV101">
        <v>0</v>
      </c>
      <c r="AW101" t="s">
        <v>11</v>
      </c>
      <c r="AX101">
        <f>Tabla1[[#This Row],[precio del paquete]]-Tabla1[[#This Row],[Saldo_Deudor]]</f>
        <v>3250</v>
      </c>
      <c r="AY101">
        <v>9650</v>
      </c>
      <c r="AZ101" t="s">
        <v>3</v>
      </c>
      <c r="BA101" t="s">
        <v>3</v>
      </c>
      <c r="BB101" t="s">
        <v>3</v>
      </c>
      <c r="BC101" t="s">
        <v>1599</v>
      </c>
      <c r="BD101" t="s">
        <v>1600</v>
      </c>
      <c r="BE101">
        <v>0</v>
      </c>
      <c r="BF101">
        <v>0</v>
      </c>
      <c r="BG101">
        <v>0</v>
      </c>
      <c r="BH101">
        <v>0</v>
      </c>
      <c r="BI101">
        <v>0</v>
      </c>
      <c r="BJ101" t="s">
        <v>1651</v>
      </c>
      <c r="BK101">
        <v>0</v>
      </c>
      <c r="BL101" t="s">
        <v>132</v>
      </c>
      <c r="BM101">
        <v>0</v>
      </c>
      <c r="BN101">
        <f>Tabla1[[#This Row],[precio del paquete]]</f>
        <v>12900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1661</v>
      </c>
      <c r="CD101" t="str" cm="1">
        <f t="array" aca="1" ref="CD101" ca="1">eConcatenar(A101:CB101,"|")</f>
        <v>PzHachLd6yunYc7a|VSA2021-1942|3|MEMORIAL|TABASCO|VILLAHERMOSA|VILLAHERMOSA|2021-04-12|12900|x|x|100|0|0|0|0|0|0|0|0|0|0|0|0|0|0|0|VILLAMIL|ESTEBAN|PATRICIA DEL CARMEN|soltero|0|0|CARRETERA PRINCIPAL SIN NUMERO|RANCHERIA LA LIMA PARRILLA|0|9932358811|0|0|0|CARRETERA PRINCIPAL SIN NUMERO|x|lunes|0|0|0|0|0|DOMICILIO |3250|9650|x|x|x|2022-11-03|2022-11-10|0|0|0|0|0|QYD9TF7C9KVTQO|0|HOMBRE|0|12900|0|0|0|0|0|0|0|0|CARDENAS|X|X|X|X|FINAL</v>
      </c>
    </row>
    <row r="102" spans="1:82" x14ac:dyDescent="0.25">
      <c r="A102" t="s">
        <v>236</v>
      </c>
      <c r="B102" t="s">
        <v>481</v>
      </c>
      <c r="C102">
        <v>3</v>
      </c>
      <c r="D102" t="s">
        <v>634</v>
      </c>
      <c r="E102" t="s">
        <v>643</v>
      </c>
      <c r="F102" t="s">
        <v>644</v>
      </c>
      <c r="G102" t="s">
        <v>644</v>
      </c>
      <c r="H102" t="s">
        <v>877</v>
      </c>
      <c r="I102">
        <v>14800</v>
      </c>
      <c r="J102" t="s">
        <v>3</v>
      </c>
      <c r="K102" t="s">
        <v>3</v>
      </c>
      <c r="L102">
        <v>100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1149</v>
      </c>
      <c r="AC102" t="s">
        <v>1052</v>
      </c>
      <c r="AD102" s="18" t="s">
        <v>1150</v>
      </c>
      <c r="AE102" t="s">
        <v>1356</v>
      </c>
      <c r="AF102">
        <v>0</v>
      </c>
      <c r="AG102">
        <v>0</v>
      </c>
      <c r="AH102" t="s">
        <v>1443</v>
      </c>
      <c r="AI102" t="s">
        <v>720</v>
      </c>
      <c r="AJ102">
        <v>0</v>
      </c>
      <c r="AK102">
        <v>9934081957</v>
      </c>
      <c r="AL102">
        <v>0</v>
      </c>
      <c r="AM102">
        <v>0</v>
      </c>
      <c r="AN102">
        <v>0</v>
      </c>
      <c r="AO102" t="s">
        <v>1443</v>
      </c>
      <c r="AP102" t="s">
        <v>3</v>
      </c>
      <c r="AQ102" t="s">
        <v>1581</v>
      </c>
      <c r="AR102">
        <v>0</v>
      </c>
      <c r="AS102">
        <v>0</v>
      </c>
      <c r="AT102">
        <v>0</v>
      </c>
      <c r="AU102">
        <v>0</v>
      </c>
      <c r="AV102">
        <v>0</v>
      </c>
      <c r="AW102" t="s">
        <v>11</v>
      </c>
      <c r="AX102">
        <f>Tabla1[[#This Row],[precio del paquete]]-Tabla1[[#This Row],[Saldo_Deudor]]</f>
        <v>1100</v>
      </c>
      <c r="AY102">
        <v>13700</v>
      </c>
      <c r="AZ102" t="s">
        <v>3</v>
      </c>
      <c r="BA102" t="s">
        <v>3</v>
      </c>
      <c r="BB102" t="s">
        <v>3</v>
      </c>
      <c r="BC102" t="s">
        <v>1599</v>
      </c>
      <c r="BD102" t="s">
        <v>1600</v>
      </c>
      <c r="BE102">
        <v>0</v>
      </c>
      <c r="BF102">
        <v>0</v>
      </c>
      <c r="BG102">
        <v>0</v>
      </c>
      <c r="BH102">
        <v>0</v>
      </c>
      <c r="BI102">
        <v>0</v>
      </c>
      <c r="BJ102" t="s">
        <v>1651</v>
      </c>
      <c r="BK102">
        <v>0</v>
      </c>
      <c r="BL102" t="s">
        <v>132</v>
      </c>
      <c r="BM102">
        <v>0</v>
      </c>
      <c r="BN102">
        <f>Tabla1[[#This Row],[precio del paquete]]</f>
        <v>14800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1661</v>
      </c>
      <c r="CD102" t="str" cm="1">
        <f t="array" aca="1" ref="CD102" ca="1">eConcatenar(A102:CB102,"|")</f>
        <v>M9vkuCe72CzB2MrM|VSA2021-1991|3|MEMORIAL|TABASCO|VILLAHERMOSA|VILLAHERMOSA|2021-12-31|14800|x|x|100|0|0|0|0|0|0|0|0|0|0|0|0|0|0|0|POZO|CASTILLO|CARMEN|soltero|0|0|CASA DE LAMINA FRENTE AL TEMPLO EL BUEN PASTOR|FRACCIONAMIENTO PARRILLA CUARTA SECCION SECTOR LOS ACOSTA|0|9934081957|0|0|0|CASA DE LAMINA FRENTE AL TEMPLO EL BUEN PASTOR|x|lunes|0|0|0|0|0|DOMICILIO |1100|13700|x|x|x|2022-11-03|2022-11-10|0|0|0|0|0|QYD9TF7C9KVTQO|0|HOMBRE|0|14800|0|0|0|0|0|0|0|0|CARDENAS|X|X|X|X|FINAL</v>
      </c>
    </row>
    <row r="103" spans="1:82" x14ac:dyDescent="0.25">
      <c r="A103" t="s">
        <v>237</v>
      </c>
      <c r="B103" t="s">
        <v>482</v>
      </c>
      <c r="C103">
        <v>3</v>
      </c>
      <c r="D103" t="s">
        <v>634</v>
      </c>
      <c r="E103" t="s">
        <v>643</v>
      </c>
      <c r="F103" t="s">
        <v>644</v>
      </c>
      <c r="G103" t="s">
        <v>644</v>
      </c>
      <c r="H103" t="s">
        <v>877</v>
      </c>
      <c r="I103">
        <v>14800</v>
      </c>
      <c r="J103" t="s">
        <v>3</v>
      </c>
      <c r="K103" t="s">
        <v>3</v>
      </c>
      <c r="L103">
        <v>100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1151</v>
      </c>
      <c r="AC103" t="s">
        <v>1134</v>
      </c>
      <c r="AD103" s="18" t="s">
        <v>1152</v>
      </c>
      <c r="AE103" t="s">
        <v>1356</v>
      </c>
      <c r="AF103">
        <v>0</v>
      </c>
      <c r="AG103">
        <v>0</v>
      </c>
      <c r="AH103" t="s">
        <v>1444</v>
      </c>
      <c r="AI103" t="s">
        <v>720</v>
      </c>
      <c r="AJ103">
        <v>0</v>
      </c>
      <c r="AK103">
        <v>9932814384</v>
      </c>
      <c r="AL103">
        <v>0</v>
      </c>
      <c r="AM103">
        <v>0</v>
      </c>
      <c r="AN103">
        <v>0</v>
      </c>
      <c r="AO103" t="s">
        <v>1444</v>
      </c>
      <c r="AP103" t="s">
        <v>3</v>
      </c>
      <c r="AQ103" t="s">
        <v>1581</v>
      </c>
      <c r="AR103">
        <v>0</v>
      </c>
      <c r="AS103">
        <v>0</v>
      </c>
      <c r="AT103">
        <v>0</v>
      </c>
      <c r="AU103">
        <v>0</v>
      </c>
      <c r="AV103">
        <v>0</v>
      </c>
      <c r="AW103" t="s">
        <v>11</v>
      </c>
      <c r="AX103">
        <f>Tabla1[[#This Row],[precio del paquete]]-Tabla1[[#This Row],[Saldo_Deudor]]</f>
        <v>1000</v>
      </c>
      <c r="AY103">
        <v>13800</v>
      </c>
      <c r="AZ103" t="s">
        <v>3</v>
      </c>
      <c r="BA103" t="s">
        <v>3</v>
      </c>
      <c r="BB103" t="s">
        <v>3</v>
      </c>
      <c r="BC103" t="s">
        <v>1599</v>
      </c>
      <c r="BD103" t="s">
        <v>1600</v>
      </c>
      <c r="BE103">
        <v>0</v>
      </c>
      <c r="BF103">
        <v>0</v>
      </c>
      <c r="BG103">
        <v>0</v>
      </c>
      <c r="BH103">
        <v>0</v>
      </c>
      <c r="BI103">
        <v>0</v>
      </c>
      <c r="BJ103" t="s">
        <v>1651</v>
      </c>
      <c r="BK103">
        <v>0</v>
      </c>
      <c r="BL103" t="s">
        <v>132</v>
      </c>
      <c r="BM103">
        <v>0</v>
      </c>
      <c r="BN103">
        <f>Tabla1[[#This Row],[precio del paquete]]</f>
        <v>14800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1661</v>
      </c>
      <c r="CD103" t="str" cm="1">
        <f t="array" aca="1" ref="CD103" ca="1">eConcatenar(A103:CB103,"|")</f>
        <v>9G7jE6WewrIQTZSl|VSA2021-1989|3|MEMORIAL|TABASCO|VILLAHERMOSA|VILLAHERMOSA|2021-12-31|14800|x|x|100|0|0|0|0|0|0|0|0|0|0|0|0|0|0|0|LEON|ISIDRO|ROSA|soltero|0|0|CALLE PRINCIPAL SIN NUMERO A UN COSTADO DEL TEMPLO EL BUEN PASTOR|FRACCIONAMIENTO PARRILLA CUARTA SECCION SECTOR LOS ACOSTA|0|9932814384|0|0|0|CALLE PRINCIPAL SIN NUMERO A UN COSTADO DEL TEMPLO EL BUEN PASTOR|x|lunes|0|0|0|0|0|DOMICILIO |1000|13800|x|x|x|2022-11-03|2022-11-10|0|0|0|0|0|QYD9TF7C9KVTQO|0|HOMBRE|0|14800|0|0|0|0|0|0|0|0|CARDENAS|X|X|X|X|FINAL</v>
      </c>
    </row>
    <row r="104" spans="1:82" x14ac:dyDescent="0.25">
      <c r="A104" t="s">
        <v>238</v>
      </c>
      <c r="B104" t="s">
        <v>483</v>
      </c>
      <c r="C104">
        <v>3</v>
      </c>
      <c r="D104" t="s">
        <v>634</v>
      </c>
      <c r="E104" t="s">
        <v>643</v>
      </c>
      <c r="F104" t="s">
        <v>644</v>
      </c>
      <c r="G104" t="s">
        <v>644</v>
      </c>
      <c r="H104" t="s">
        <v>851</v>
      </c>
      <c r="I104">
        <v>14800</v>
      </c>
      <c r="J104" t="s">
        <v>3</v>
      </c>
      <c r="K104" t="s">
        <v>3</v>
      </c>
      <c r="L104">
        <v>100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1153</v>
      </c>
      <c r="AC104" t="s">
        <v>976</v>
      </c>
      <c r="AD104" s="18" t="s">
        <v>1154</v>
      </c>
      <c r="AE104" t="s">
        <v>1356</v>
      </c>
      <c r="AF104">
        <v>0</v>
      </c>
      <c r="AG104">
        <v>0</v>
      </c>
      <c r="AH104" t="s">
        <v>1445</v>
      </c>
      <c r="AI104" t="s">
        <v>722</v>
      </c>
      <c r="AJ104">
        <v>0</v>
      </c>
      <c r="AK104">
        <v>9932604086</v>
      </c>
      <c r="AL104">
        <v>0</v>
      </c>
      <c r="AM104">
        <v>0</v>
      </c>
      <c r="AN104">
        <v>0</v>
      </c>
      <c r="AO104" t="s">
        <v>1445</v>
      </c>
      <c r="AP104" t="s">
        <v>3</v>
      </c>
      <c r="AQ104" t="s">
        <v>1581</v>
      </c>
      <c r="AR104">
        <v>0</v>
      </c>
      <c r="AS104">
        <v>0</v>
      </c>
      <c r="AT104">
        <v>0</v>
      </c>
      <c r="AU104">
        <v>0</v>
      </c>
      <c r="AV104">
        <v>0</v>
      </c>
      <c r="AW104" t="s">
        <v>11</v>
      </c>
      <c r="AX104">
        <f>Tabla1[[#This Row],[precio del paquete]]-Tabla1[[#This Row],[Saldo_Deudor]]</f>
        <v>1135</v>
      </c>
      <c r="AY104">
        <v>13665</v>
      </c>
      <c r="AZ104" t="s">
        <v>3</v>
      </c>
      <c r="BA104" t="s">
        <v>3</v>
      </c>
      <c r="BB104" t="s">
        <v>3</v>
      </c>
      <c r="BC104" t="s">
        <v>1593</v>
      </c>
      <c r="BD104" t="s">
        <v>1629</v>
      </c>
      <c r="BE104">
        <v>0</v>
      </c>
      <c r="BF104">
        <v>0</v>
      </c>
      <c r="BG104">
        <v>0</v>
      </c>
      <c r="BH104">
        <v>0</v>
      </c>
      <c r="BI104">
        <v>0</v>
      </c>
      <c r="BJ104" t="s">
        <v>1651</v>
      </c>
      <c r="BK104">
        <v>0</v>
      </c>
      <c r="BL104" t="s">
        <v>132</v>
      </c>
      <c r="BM104">
        <v>0</v>
      </c>
      <c r="BN104">
        <f>Tabla1[[#This Row],[precio del paquete]]</f>
        <v>14800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1661</v>
      </c>
      <c r="CD104" t="str" cm="1">
        <f t="array" aca="1" ref="CD104" ca="1">eConcatenar(A104:CB104,"|")</f>
        <v>wUdQ9YVB0rP3Agnk|VSA2022-0098|3|MEMORIAL|TABASCO|VILLAHERMOSA|VILLAHERMOSA|2022-01-29|14800|x|x|100|0|0|0|0|0|0|0|0|0|0|0|0|0|0|0|ESQUIVEL|MARTINEZ|ROSARIO|soltero|0|0|CALLE AUSENCIO GOMEZ CRUZ SIN NUMERO|VILLA PLAYAS DEL ROSARIO CENTRO|0|9932604086|0|0|0|CALLE AUSENCIO GOMEZ CRUZ SIN NUMERO|x|lunes|0|0|0|0|0|DOMICILIO |1135|13665|x|x|x|2022-02-26|2022-03-05|0|0|0|0|0|QYD9TF7C9KVTQO|0|HOMBRE|0|14800|0|0|0|0|0|0|0|0|CARDENAS|X|X|X|X|FINAL</v>
      </c>
    </row>
    <row r="105" spans="1:82" x14ac:dyDescent="0.25">
      <c r="A105" t="s">
        <v>239</v>
      </c>
      <c r="B105" t="s">
        <v>484</v>
      </c>
      <c r="C105">
        <v>3</v>
      </c>
      <c r="D105" t="s">
        <v>635</v>
      </c>
      <c r="E105" t="s">
        <v>643</v>
      </c>
      <c r="F105" t="s">
        <v>644</v>
      </c>
      <c r="G105" t="s">
        <v>644</v>
      </c>
      <c r="H105" t="s">
        <v>880</v>
      </c>
      <c r="I105">
        <v>12900</v>
      </c>
      <c r="J105" t="s">
        <v>3</v>
      </c>
      <c r="K105" t="s">
        <v>3</v>
      </c>
      <c r="L105">
        <v>100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7</v>
      </c>
      <c r="AC105" t="s">
        <v>971</v>
      </c>
      <c r="AD105" s="18" t="s">
        <v>1155</v>
      </c>
      <c r="AE105" t="s">
        <v>1356</v>
      </c>
      <c r="AF105">
        <v>0</v>
      </c>
      <c r="AG105">
        <v>0</v>
      </c>
      <c r="AH105" t="s">
        <v>1446</v>
      </c>
      <c r="AI105" t="s">
        <v>723</v>
      </c>
      <c r="AJ105">
        <v>0</v>
      </c>
      <c r="AK105">
        <v>9931987699</v>
      </c>
      <c r="AL105">
        <v>0</v>
      </c>
      <c r="AM105">
        <v>0</v>
      </c>
      <c r="AN105">
        <v>0</v>
      </c>
      <c r="AO105" t="s">
        <v>1446</v>
      </c>
      <c r="AP105" t="s">
        <v>3</v>
      </c>
      <c r="AQ105" t="s">
        <v>1581</v>
      </c>
      <c r="AR105">
        <v>0</v>
      </c>
      <c r="AS105">
        <v>0</v>
      </c>
      <c r="AT105">
        <v>0</v>
      </c>
      <c r="AU105">
        <v>0</v>
      </c>
      <c r="AV105">
        <v>0</v>
      </c>
      <c r="AW105" t="s">
        <v>11</v>
      </c>
      <c r="AX105">
        <f>Tabla1[[#This Row],[precio del paquete]]-Tabla1[[#This Row],[Saldo_Deudor]]</f>
        <v>4500</v>
      </c>
      <c r="AY105">
        <v>8400</v>
      </c>
      <c r="AZ105" t="s">
        <v>3</v>
      </c>
      <c r="BA105" t="s">
        <v>3</v>
      </c>
      <c r="BB105" t="s">
        <v>3</v>
      </c>
      <c r="BC105" t="s">
        <v>913</v>
      </c>
      <c r="BD105" t="s">
        <v>1592</v>
      </c>
      <c r="BE105">
        <v>0</v>
      </c>
      <c r="BF105">
        <v>0</v>
      </c>
      <c r="BG105">
        <v>0</v>
      </c>
      <c r="BH105">
        <v>0</v>
      </c>
      <c r="BI105">
        <v>0</v>
      </c>
      <c r="BJ105" t="s">
        <v>1651</v>
      </c>
      <c r="BK105">
        <v>0</v>
      </c>
      <c r="BL105" t="s">
        <v>132</v>
      </c>
      <c r="BM105">
        <v>0</v>
      </c>
      <c r="BN105">
        <f>Tabla1[[#This Row],[precio del paquete]]</f>
        <v>12900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1661</v>
      </c>
      <c r="CD105" t="str" cm="1">
        <f t="array" aca="1" ref="CD105" ca="1">eConcatenar(A105:CB105,"|")</f>
        <v>4dkTNZi6W47CmHRe|VSA2019-0632|3|IMPERIAL DE LUJO|TABASCO|VILLAHERMOSA|VILLAHERMOSA|2019-11-22|12900|x|x|100|0|0|0|0|0|0|0|0|0|0|0|0|0|0|0|LOPEZ|HERNANDEZ|REXNA|soltero|0|0|CARRETERA VILLAHERMOSA - TEAPA|RANCHERIA LA HUASTECA SEGUNDA SECCION|0|9931987699|0|0|0|CARRETERA VILLAHERMOSA - TEAPA|x|lunes|0|0|0|0|0|DOMICILIO |4500|8400|x|x|x|2022-05-03|2022-05-10|0|0|0|0|0|QYD9TF7C9KVTQO|0|HOMBRE|0|12900|0|0|0|0|0|0|0|0|CARDENAS|X|X|X|X|FINAL</v>
      </c>
    </row>
    <row r="106" spans="1:82" x14ac:dyDescent="0.25">
      <c r="A106" t="s">
        <v>240</v>
      </c>
      <c r="B106" t="s">
        <v>485</v>
      </c>
      <c r="C106">
        <v>3</v>
      </c>
      <c r="D106" t="s">
        <v>634</v>
      </c>
      <c r="E106" t="s">
        <v>643</v>
      </c>
      <c r="F106" t="s">
        <v>644</v>
      </c>
      <c r="G106" t="s">
        <v>644</v>
      </c>
      <c r="H106" t="s">
        <v>829</v>
      </c>
      <c r="I106">
        <v>14800</v>
      </c>
      <c r="J106" t="s">
        <v>3</v>
      </c>
      <c r="K106" t="s">
        <v>3</v>
      </c>
      <c r="L106">
        <v>100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1009</v>
      </c>
      <c r="AC106" t="s">
        <v>1041</v>
      </c>
      <c r="AD106" s="18" t="s">
        <v>1156</v>
      </c>
      <c r="AE106" t="s">
        <v>1356</v>
      </c>
      <c r="AF106">
        <v>0</v>
      </c>
      <c r="AG106">
        <v>0</v>
      </c>
      <c r="AH106" t="s">
        <v>1446</v>
      </c>
      <c r="AI106" t="s">
        <v>724</v>
      </c>
      <c r="AJ106">
        <v>0</v>
      </c>
      <c r="AK106">
        <v>9933980867</v>
      </c>
      <c r="AL106">
        <v>0</v>
      </c>
      <c r="AM106">
        <v>0</v>
      </c>
      <c r="AN106">
        <v>0</v>
      </c>
      <c r="AO106" t="s">
        <v>1446</v>
      </c>
      <c r="AP106" t="s">
        <v>3</v>
      </c>
      <c r="AQ106" t="s">
        <v>1581</v>
      </c>
      <c r="AR106">
        <v>0</v>
      </c>
      <c r="AS106">
        <v>0</v>
      </c>
      <c r="AT106">
        <v>0</v>
      </c>
      <c r="AU106">
        <v>0</v>
      </c>
      <c r="AV106">
        <v>0</v>
      </c>
      <c r="AW106" t="s">
        <v>11</v>
      </c>
      <c r="AX106">
        <f>Tabla1[[#This Row],[precio del paquete]]-Tabla1[[#This Row],[Saldo_Deudor]]</f>
        <v>1300</v>
      </c>
      <c r="AY106">
        <v>13500</v>
      </c>
      <c r="AZ106" t="s">
        <v>3</v>
      </c>
      <c r="BA106" t="s">
        <v>3</v>
      </c>
      <c r="BB106" t="s">
        <v>3</v>
      </c>
      <c r="BC106" t="s">
        <v>913</v>
      </c>
      <c r="BD106" t="s">
        <v>1592</v>
      </c>
      <c r="BE106">
        <v>0</v>
      </c>
      <c r="BF106">
        <v>0</v>
      </c>
      <c r="BG106">
        <v>0</v>
      </c>
      <c r="BH106">
        <v>0</v>
      </c>
      <c r="BI106">
        <v>0</v>
      </c>
      <c r="BJ106" t="s">
        <v>1651</v>
      </c>
      <c r="BK106">
        <v>0</v>
      </c>
      <c r="BL106" t="s">
        <v>132</v>
      </c>
      <c r="BM106">
        <v>0</v>
      </c>
      <c r="BN106">
        <f>Tabla1[[#This Row],[precio del paquete]]</f>
        <v>14800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1661</v>
      </c>
      <c r="CD106" t="str" cm="1">
        <f t="array" aca="1" ref="CD106" ca="1">eConcatenar(A106:CB106,"|")</f>
        <v>d1i9wU6JFA9UPyHn|VSA2021-1853|3|MEMORIAL|TABASCO|VILLAHERMOSA|VILLAHERMOSA|2021-11-16|14800|x|x|100|0|0|0|0|0|0|0|0|0|0|0|0|0|0|0|RAMOS|JIMENEZ|JESUS JAVIER|soltero|0|0|CARRETERA VILLAHERMOSA - TEAPA|RANCHERIA TUMBULUSHAL|0|9933980867|0|0|0|CARRETERA VILLAHERMOSA - TEAPA|x|lunes|0|0|0|0|0|DOMICILIO |1300|13500|x|x|x|2022-05-03|2022-05-10|0|0|0|0|0|QYD9TF7C9KVTQO|0|HOMBRE|0|14800|0|0|0|0|0|0|0|0|CARDENAS|X|X|X|X|FINAL</v>
      </c>
    </row>
    <row r="107" spans="1:82" x14ac:dyDescent="0.25">
      <c r="A107" t="s">
        <v>241</v>
      </c>
      <c r="B107" t="s">
        <v>486</v>
      </c>
      <c r="C107">
        <v>3</v>
      </c>
      <c r="D107" t="s">
        <v>641</v>
      </c>
      <c r="E107" t="s">
        <v>643</v>
      </c>
      <c r="F107" t="s">
        <v>644</v>
      </c>
      <c r="G107" t="s">
        <v>644</v>
      </c>
      <c r="H107" t="s">
        <v>881</v>
      </c>
      <c r="I107">
        <v>11500</v>
      </c>
      <c r="J107" t="s">
        <v>3</v>
      </c>
      <c r="K107" t="s">
        <v>3</v>
      </c>
      <c r="L107">
        <v>100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1085</v>
      </c>
      <c r="AC107" t="s">
        <v>8</v>
      </c>
      <c r="AD107" s="18" t="s">
        <v>1157</v>
      </c>
      <c r="AE107" t="s">
        <v>1356</v>
      </c>
      <c r="AF107">
        <v>0</v>
      </c>
      <c r="AG107">
        <v>0</v>
      </c>
      <c r="AH107" t="s">
        <v>1447</v>
      </c>
      <c r="AI107" t="s">
        <v>725</v>
      </c>
      <c r="AJ107">
        <v>0</v>
      </c>
      <c r="AK107">
        <v>9931512425</v>
      </c>
      <c r="AL107">
        <v>0</v>
      </c>
      <c r="AM107">
        <v>0</v>
      </c>
      <c r="AN107">
        <v>0</v>
      </c>
      <c r="AO107" t="s">
        <v>1447</v>
      </c>
      <c r="AP107" t="s">
        <v>3</v>
      </c>
      <c r="AQ107" t="s">
        <v>1581</v>
      </c>
      <c r="AR107">
        <v>0</v>
      </c>
      <c r="AS107">
        <v>0</v>
      </c>
      <c r="AT107">
        <v>0</v>
      </c>
      <c r="AU107">
        <v>0</v>
      </c>
      <c r="AV107">
        <v>0</v>
      </c>
      <c r="AW107" t="s">
        <v>11</v>
      </c>
      <c r="AX107">
        <f>Tabla1[[#This Row],[precio del paquete]]-Tabla1[[#This Row],[Saldo_Deudor]]</f>
        <v>3600</v>
      </c>
      <c r="AY107">
        <v>7900</v>
      </c>
      <c r="AZ107" t="s">
        <v>3</v>
      </c>
      <c r="BA107" t="s">
        <v>3</v>
      </c>
      <c r="BB107" t="s">
        <v>3</v>
      </c>
      <c r="BC107" t="s">
        <v>878</v>
      </c>
      <c r="BD107" t="s">
        <v>1630</v>
      </c>
      <c r="BE107">
        <v>0</v>
      </c>
      <c r="BF107">
        <v>0</v>
      </c>
      <c r="BG107">
        <v>0</v>
      </c>
      <c r="BH107">
        <v>0</v>
      </c>
      <c r="BI107">
        <v>0</v>
      </c>
      <c r="BJ107" t="s">
        <v>1651</v>
      </c>
      <c r="BK107">
        <v>0</v>
      </c>
      <c r="BL107" t="s">
        <v>132</v>
      </c>
      <c r="BM107">
        <v>0</v>
      </c>
      <c r="BN107">
        <f>Tabla1[[#This Row],[precio del paquete]]</f>
        <v>11500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1661</v>
      </c>
      <c r="CD107" t="str" cm="1">
        <f t="array" aca="1" ref="CD107" ca="1">eConcatenar(A107:CB107,"|")</f>
        <v>KYjb6n6EZmvR4nAY|VSA2018-0049|3|ECONOLINE|TABASCO|VILLAHERMOSA|VILLAHERMOSA|2018-01-23|11500|x|x|100|1|0|0|0|0|0|0|0|0|0|0|0|0|0|0|VILLEGAS|GOMEZ|GLADIS DEL CARMEN|soltero|0|0|CALLE PASEO DE LA CEIBA SUR 302 MANZANA 11 2-4|FRACCIONAMIENTO SAUCE MONTE CEIBA|0|9931512425|0|0|0|CALLE PASEO DE LA CEIBA SUR 302 MANZANA 11 2-4|x|lunes|0|0|0|0|0|DOMICILIO |3600|7900|x|x|x|2022-01-16|2022-01-23|0|0|0|0|0|QYD9TF7C9KVTQO|0|HOMBRE|0|11500|0|0|0|0|0|0|0|0|CARDENAS|X|X|X|X|FINAL</v>
      </c>
    </row>
    <row r="108" spans="1:82" x14ac:dyDescent="0.25">
      <c r="A108" t="s">
        <v>242</v>
      </c>
      <c r="B108" t="s">
        <v>487</v>
      </c>
      <c r="C108">
        <v>3</v>
      </c>
      <c r="D108" t="s">
        <v>634</v>
      </c>
      <c r="E108" t="s">
        <v>643</v>
      </c>
      <c r="F108" t="s">
        <v>644</v>
      </c>
      <c r="G108" t="s">
        <v>644</v>
      </c>
      <c r="H108" t="s">
        <v>813</v>
      </c>
      <c r="I108">
        <v>14800</v>
      </c>
      <c r="J108" t="s">
        <v>3</v>
      </c>
      <c r="K108" t="s">
        <v>3</v>
      </c>
      <c r="L108">
        <v>100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1158</v>
      </c>
      <c r="AC108" t="s">
        <v>1159</v>
      </c>
      <c r="AD108" s="18" t="s">
        <v>1039</v>
      </c>
      <c r="AE108" t="s">
        <v>1356</v>
      </c>
      <c r="AF108">
        <v>0</v>
      </c>
      <c r="AG108">
        <v>0</v>
      </c>
      <c r="AH108" t="s">
        <v>1448</v>
      </c>
      <c r="AI108" t="s">
        <v>726</v>
      </c>
      <c r="AJ108">
        <v>0</v>
      </c>
      <c r="AK108">
        <v>9934016939</v>
      </c>
      <c r="AL108">
        <v>0</v>
      </c>
      <c r="AM108">
        <v>0</v>
      </c>
      <c r="AN108">
        <v>0</v>
      </c>
      <c r="AO108" t="s">
        <v>1448</v>
      </c>
      <c r="AP108" t="s">
        <v>3</v>
      </c>
      <c r="AQ108" t="s">
        <v>1581</v>
      </c>
      <c r="AR108">
        <v>0</v>
      </c>
      <c r="AS108">
        <v>0</v>
      </c>
      <c r="AT108">
        <v>0</v>
      </c>
      <c r="AU108">
        <v>0</v>
      </c>
      <c r="AV108">
        <v>0</v>
      </c>
      <c r="AW108" t="s">
        <v>11</v>
      </c>
      <c r="AX108">
        <f>Tabla1[[#This Row],[precio del paquete]]-Tabla1[[#This Row],[Saldo_Deudor]]</f>
        <v>1000</v>
      </c>
      <c r="AY108">
        <v>13800</v>
      </c>
      <c r="AZ108" t="s">
        <v>3</v>
      </c>
      <c r="BA108" t="s">
        <v>3</v>
      </c>
      <c r="BB108" t="s">
        <v>3</v>
      </c>
      <c r="BC108" t="s">
        <v>1631</v>
      </c>
      <c r="BD108" t="s">
        <v>851</v>
      </c>
      <c r="BE108">
        <v>0</v>
      </c>
      <c r="BF108">
        <v>0</v>
      </c>
      <c r="BG108">
        <v>0</v>
      </c>
      <c r="BH108">
        <v>0</v>
      </c>
      <c r="BI108">
        <v>0</v>
      </c>
      <c r="BJ108" t="s">
        <v>1651</v>
      </c>
      <c r="BK108">
        <v>0</v>
      </c>
      <c r="BL108" t="s">
        <v>132</v>
      </c>
      <c r="BM108">
        <v>0</v>
      </c>
      <c r="BN108">
        <f>Tabla1[[#This Row],[precio del paquete]]</f>
        <v>14800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1661</v>
      </c>
      <c r="CD108" t="str" cm="1">
        <f t="array" aca="1" ref="CD108" ca="1">eConcatenar(A108:CB108,"|")</f>
        <v>oGCNOZHWSUL1KrSX|VSA2021-1700|3|MEMORIAL|TABASCO|VILLAHERMOSA|VILLAHERMOSA|2021-12-10|14800|x|x|100|1|0|0|0|0|0|0|0|0|0|0|0|0|0|0|DOMINGUEZ|PRIEGO|GUADALUPE|soltero|0|0|CARRETERA PRINCIPAL |RANCHERIA ESTANZUELA |0|9934016939|0|0|0|CARRETERA PRINCIPAL |x|lunes|0|0|0|0|0|DOMICILIO |1000|13800|x|x|x|2022-01-22|2022-01-29|0|0|0|0|0|QYD9TF7C9KVTQO|0|HOMBRE|0|14800|0|0|0|0|0|0|0|0|CARDENAS|X|X|X|X|FINAL</v>
      </c>
    </row>
    <row r="109" spans="1:82" x14ac:dyDescent="0.25">
      <c r="A109" t="s">
        <v>243</v>
      </c>
      <c r="B109" t="s">
        <v>488</v>
      </c>
      <c r="C109">
        <v>3</v>
      </c>
      <c r="D109" t="s">
        <v>636</v>
      </c>
      <c r="E109" t="s">
        <v>643</v>
      </c>
      <c r="F109" t="s">
        <v>644</v>
      </c>
      <c r="G109" t="s">
        <v>644</v>
      </c>
      <c r="H109" t="s">
        <v>882</v>
      </c>
      <c r="I109">
        <v>24500</v>
      </c>
      <c r="J109" t="s">
        <v>3</v>
      </c>
      <c r="K109" t="s">
        <v>3</v>
      </c>
      <c r="L109">
        <v>100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966</v>
      </c>
      <c r="AC109" t="s">
        <v>971</v>
      </c>
      <c r="AD109" s="18" t="s">
        <v>1160</v>
      </c>
      <c r="AE109" t="s">
        <v>1356</v>
      </c>
      <c r="AF109">
        <v>0</v>
      </c>
      <c r="AG109">
        <v>0</v>
      </c>
      <c r="AH109" t="s">
        <v>1449</v>
      </c>
      <c r="AI109" t="s">
        <v>727</v>
      </c>
      <c r="AJ109">
        <v>0</v>
      </c>
      <c r="AK109">
        <v>9934022665</v>
      </c>
      <c r="AL109">
        <v>0</v>
      </c>
      <c r="AM109">
        <v>0</v>
      </c>
      <c r="AN109">
        <v>0</v>
      </c>
      <c r="AO109" t="s">
        <v>1449</v>
      </c>
      <c r="AP109" t="s">
        <v>3</v>
      </c>
      <c r="AQ109" t="s">
        <v>1581</v>
      </c>
      <c r="AR109">
        <v>0</v>
      </c>
      <c r="AS109">
        <v>0</v>
      </c>
      <c r="AT109">
        <v>0</v>
      </c>
      <c r="AU109">
        <v>0</v>
      </c>
      <c r="AV109">
        <v>0</v>
      </c>
      <c r="AW109" t="s">
        <v>11</v>
      </c>
      <c r="AX109">
        <f>Tabla1[[#This Row],[precio del paquete]]-Tabla1[[#This Row],[Saldo_Deudor]]</f>
        <v>300</v>
      </c>
      <c r="AY109">
        <v>24200</v>
      </c>
      <c r="AZ109" t="s">
        <v>3</v>
      </c>
      <c r="BA109" t="s">
        <v>3</v>
      </c>
      <c r="BB109" t="s">
        <v>3</v>
      </c>
      <c r="BC109" t="s">
        <v>1632</v>
      </c>
      <c r="BD109" t="s">
        <v>1633</v>
      </c>
      <c r="BE109">
        <v>0</v>
      </c>
      <c r="BF109">
        <v>0</v>
      </c>
      <c r="BG109">
        <v>0</v>
      </c>
      <c r="BH109">
        <v>0</v>
      </c>
      <c r="BI109">
        <v>0</v>
      </c>
      <c r="BJ109" t="s">
        <v>1652</v>
      </c>
      <c r="BK109">
        <v>0</v>
      </c>
      <c r="BL109" t="s">
        <v>132</v>
      </c>
      <c r="BM109">
        <v>0</v>
      </c>
      <c r="BN109">
        <f>Tabla1[[#This Row],[precio del paquete]]</f>
        <v>24500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1661</v>
      </c>
      <c r="CD109" t="str" cm="1">
        <f t="array" aca="1" ref="CD109" ca="1">eConcatenar(A109:CB109,"|")</f>
        <v>MUxENUzOoGekVbKb|VSA2022-0011|3|DIGNITY|TABASCO|VILLAHERMOSA|VILLAHERMOSA|2022-05-01|24500|x|x|100|1|0|0|0|0|0|0|0|0|0|0|0|0|0|0|SANCHEZ|HERNANDEZ|MAGALI|soltero|0|0|CALLE QUINTANA ROO NUMERO 222|COLONIA IGNACIO ALLENDE|0|9934022665|0|0|0|CALLE QUINTANA ROO NUMERO 222|x|lunes|0|0|0|0|0|DOMICILIO |300|24200|x|x|x|2022-04-01|2022-04-08|0|0|0|0|0|S35D6LBI9KVTQO|0|HOMBRE|0|24500|0|0|0|0|0|0|0|0|CARDENAS|X|X|X|X|FINAL</v>
      </c>
    </row>
    <row r="110" spans="1:82" x14ac:dyDescent="0.25">
      <c r="A110" t="s">
        <v>244</v>
      </c>
      <c r="B110" t="s">
        <v>489</v>
      </c>
      <c r="C110">
        <v>3</v>
      </c>
      <c r="D110" t="s">
        <v>634</v>
      </c>
      <c r="E110" t="s">
        <v>643</v>
      </c>
      <c r="F110" t="s">
        <v>644</v>
      </c>
      <c r="G110" t="s">
        <v>644</v>
      </c>
      <c r="H110" t="s">
        <v>883</v>
      </c>
      <c r="I110">
        <v>14800</v>
      </c>
      <c r="J110" t="s">
        <v>3</v>
      </c>
      <c r="K110" t="s">
        <v>3</v>
      </c>
      <c r="L110">
        <v>100</v>
      </c>
      <c r="M110">
        <v>1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971</v>
      </c>
      <c r="AC110" t="s">
        <v>1161</v>
      </c>
      <c r="AD110" s="18" t="s">
        <v>1162</v>
      </c>
      <c r="AE110" t="s">
        <v>1356</v>
      </c>
      <c r="AF110">
        <v>0</v>
      </c>
      <c r="AG110">
        <v>0</v>
      </c>
      <c r="AH110" t="s">
        <v>1424</v>
      </c>
      <c r="AI110" t="s">
        <v>728</v>
      </c>
      <c r="AJ110">
        <v>0</v>
      </c>
      <c r="AK110">
        <v>9932767818</v>
      </c>
      <c r="AL110">
        <v>0</v>
      </c>
      <c r="AM110">
        <v>0</v>
      </c>
      <c r="AN110">
        <v>0</v>
      </c>
      <c r="AO110" t="s">
        <v>1424</v>
      </c>
      <c r="AP110" t="s">
        <v>3</v>
      </c>
      <c r="AQ110" t="s">
        <v>1581</v>
      </c>
      <c r="AR110">
        <v>0</v>
      </c>
      <c r="AS110">
        <v>0</v>
      </c>
      <c r="AT110">
        <v>0</v>
      </c>
      <c r="AU110">
        <v>0</v>
      </c>
      <c r="AV110">
        <v>0</v>
      </c>
      <c r="AW110" t="s">
        <v>11</v>
      </c>
      <c r="AX110">
        <f>Tabla1[[#This Row],[precio del paquete]]-Tabla1[[#This Row],[Saldo_Deudor]]</f>
        <v>100</v>
      </c>
      <c r="AY110">
        <v>14700</v>
      </c>
      <c r="AZ110" t="s">
        <v>3</v>
      </c>
      <c r="BA110" t="s">
        <v>3</v>
      </c>
      <c r="BB110" t="s">
        <v>3</v>
      </c>
      <c r="BC110" t="s">
        <v>883</v>
      </c>
      <c r="BD110" t="s">
        <v>1595</v>
      </c>
      <c r="BE110">
        <v>0</v>
      </c>
      <c r="BF110">
        <v>0</v>
      </c>
      <c r="BG110">
        <v>0</v>
      </c>
      <c r="BH110">
        <v>0</v>
      </c>
      <c r="BI110">
        <v>0</v>
      </c>
      <c r="BJ110" t="s">
        <v>1652</v>
      </c>
      <c r="BK110">
        <v>0</v>
      </c>
      <c r="BL110" t="s">
        <v>132</v>
      </c>
      <c r="BM110">
        <v>0</v>
      </c>
      <c r="BN110">
        <f>Tabla1[[#This Row],[precio del paquete]]</f>
        <v>14800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1661</v>
      </c>
      <c r="CD110" t="str" cm="1">
        <f t="array" aca="1" ref="CD110" ca="1">eConcatenar(A110:CB110,"|")</f>
        <v>cavooiH9EMuDHJJl|VSA2022-0136|3|MEMORIAL|TABASCO|VILLAHERMOSA|VILLAHERMOSA|2022-05-02|14800|x|x|100|1|0|0|0|0|0|0|0|0|0|0|0|0|0|0|HERNANDEZ|DELGADO|MARIA LAURA|soltero|0|0|CALLE 5 DE MAYO SIN NUMERO|VILLA PUEBLO NUEVO|0|9932767818|0|0|0|CALLE 5 DE MAYO SIN NUMERO|x|lunes|0|0|0|0|0|DOMICILIO |100|14700|x|x|x|2022-05-02|2022-05-09|0|0|0|0|0|S35D6LBI9KVTQO|0|HOMBRE|0|14800|0|0|0|0|0|0|0|0|CARDENAS|X|X|X|X|FINAL</v>
      </c>
    </row>
    <row r="111" spans="1:82" x14ac:dyDescent="0.25">
      <c r="A111" t="s">
        <v>245</v>
      </c>
      <c r="B111" t="s">
        <v>490</v>
      </c>
      <c r="C111">
        <v>3</v>
      </c>
      <c r="D111" t="s">
        <v>634</v>
      </c>
      <c r="E111" t="s">
        <v>643</v>
      </c>
      <c r="F111" t="s">
        <v>644</v>
      </c>
      <c r="G111" t="s">
        <v>644</v>
      </c>
      <c r="H111" t="s">
        <v>826</v>
      </c>
      <c r="I111">
        <v>14800</v>
      </c>
      <c r="J111" t="s">
        <v>3</v>
      </c>
      <c r="K111" t="s">
        <v>3</v>
      </c>
      <c r="L111">
        <v>100</v>
      </c>
      <c r="M111">
        <v>1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1163</v>
      </c>
      <c r="AC111" t="s">
        <v>1052</v>
      </c>
      <c r="AD111" s="18" t="s">
        <v>1164</v>
      </c>
      <c r="AE111" t="s">
        <v>1356</v>
      </c>
      <c r="AF111">
        <v>0</v>
      </c>
      <c r="AG111">
        <v>0</v>
      </c>
      <c r="AH111" t="s">
        <v>1450</v>
      </c>
      <c r="AI111" t="s">
        <v>729</v>
      </c>
      <c r="AJ111">
        <v>0</v>
      </c>
      <c r="AK111">
        <v>9935856964</v>
      </c>
      <c r="AL111">
        <v>0</v>
      </c>
      <c r="AM111">
        <v>0</v>
      </c>
      <c r="AN111">
        <v>0</v>
      </c>
      <c r="AO111" t="s">
        <v>1450</v>
      </c>
      <c r="AP111" t="s">
        <v>3</v>
      </c>
      <c r="AQ111" t="s">
        <v>1581</v>
      </c>
      <c r="AR111">
        <v>0</v>
      </c>
      <c r="AS111">
        <v>0</v>
      </c>
      <c r="AT111">
        <v>0</v>
      </c>
      <c r="AU111">
        <v>0</v>
      </c>
      <c r="AV111">
        <v>0</v>
      </c>
      <c r="AW111" t="s">
        <v>11</v>
      </c>
      <c r="AX111">
        <f>Tabla1[[#This Row],[precio del paquete]]-Tabla1[[#This Row],[Saldo_Deudor]]</f>
        <v>600</v>
      </c>
      <c r="AY111">
        <v>14200</v>
      </c>
      <c r="AZ111" t="s">
        <v>3</v>
      </c>
      <c r="BA111" t="s">
        <v>3</v>
      </c>
      <c r="BB111" t="s">
        <v>3</v>
      </c>
      <c r="BC111" t="s">
        <v>1583</v>
      </c>
      <c r="BD111" t="s">
        <v>1584</v>
      </c>
      <c r="BE111">
        <v>0</v>
      </c>
      <c r="BF111">
        <v>0</v>
      </c>
      <c r="BG111">
        <v>0</v>
      </c>
      <c r="BH111">
        <v>0</v>
      </c>
      <c r="BI111">
        <v>0</v>
      </c>
      <c r="BJ111" t="s">
        <v>1652</v>
      </c>
      <c r="BK111">
        <v>0</v>
      </c>
      <c r="BL111" t="s">
        <v>132</v>
      </c>
      <c r="BM111">
        <v>0</v>
      </c>
      <c r="BN111">
        <f>Tabla1[[#This Row],[precio del paquete]]</f>
        <v>14800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1661</v>
      </c>
      <c r="CD111" t="str" cm="1">
        <f t="array" aca="1" ref="CD111" ca="1">eConcatenar(A111:CB111,"|")</f>
        <v>rvi6fTLJEJLXYEdi|VSA2021-1837|3|MEMORIAL|TABASCO|VILLAHERMOSA|VILLAHERMOSA|2021-11-11|14800|x|x|100|1|0|0|0|0|0|0|0|0|0|0|0|0|0|0|DE LA O|CASTILLO|ISRAEL|soltero|0|0|CALLE VICENTE GUERRERO NUMERO 605 INTERIOR 2 |COLONIA TAMULTE|0|9935856964|0|0|0|CALLE VICENTE GUERRERO NUMERO 605 INTERIOR 2 |x|lunes|0|0|0|0|0|DOMICILIO |600|14200|x|x|x|2022-02-18|2022-02-25|0|0|0|0|0|S35D6LBI9KVTQO|0|HOMBRE|0|14800|0|0|0|0|0|0|0|0|CARDENAS|X|X|X|X|FINAL</v>
      </c>
    </row>
    <row r="112" spans="1:82" x14ac:dyDescent="0.25">
      <c r="A112" t="s">
        <v>246</v>
      </c>
      <c r="B112" t="s">
        <v>491</v>
      </c>
      <c r="C112">
        <v>3</v>
      </c>
      <c r="D112" t="s">
        <v>635</v>
      </c>
      <c r="E112" t="s">
        <v>643</v>
      </c>
      <c r="F112" t="s">
        <v>644</v>
      </c>
      <c r="G112" t="s">
        <v>644</v>
      </c>
      <c r="H112" t="s">
        <v>884</v>
      </c>
      <c r="I112">
        <v>12900</v>
      </c>
      <c r="J112" t="s">
        <v>3</v>
      </c>
      <c r="K112" t="s">
        <v>3</v>
      </c>
      <c r="L112">
        <v>100</v>
      </c>
      <c r="M112">
        <v>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1165</v>
      </c>
      <c r="AC112" t="s">
        <v>1041</v>
      </c>
      <c r="AD112" s="18" t="s">
        <v>1166</v>
      </c>
      <c r="AE112" t="s">
        <v>1356</v>
      </c>
      <c r="AF112">
        <v>0</v>
      </c>
      <c r="AG112">
        <v>0</v>
      </c>
      <c r="AH112" t="s">
        <v>1451</v>
      </c>
      <c r="AI112" t="s">
        <v>730</v>
      </c>
      <c r="AJ112">
        <v>0</v>
      </c>
      <c r="AK112">
        <v>9932410235</v>
      </c>
      <c r="AL112">
        <v>0</v>
      </c>
      <c r="AM112">
        <v>0</v>
      </c>
      <c r="AN112">
        <v>0</v>
      </c>
      <c r="AO112" t="s">
        <v>1451</v>
      </c>
      <c r="AP112" t="s">
        <v>3</v>
      </c>
      <c r="AQ112" t="s">
        <v>1581</v>
      </c>
      <c r="AR112">
        <v>0</v>
      </c>
      <c r="AS112">
        <v>0</v>
      </c>
      <c r="AT112">
        <v>0</v>
      </c>
      <c r="AU112">
        <v>0</v>
      </c>
      <c r="AV112">
        <v>0</v>
      </c>
      <c r="AW112" t="s">
        <v>11</v>
      </c>
      <c r="AX112">
        <f>Tabla1[[#This Row],[precio del paquete]]-Tabla1[[#This Row],[Saldo_Deudor]]</f>
        <v>6400</v>
      </c>
      <c r="AY112">
        <v>6500</v>
      </c>
      <c r="AZ112" t="s">
        <v>3</v>
      </c>
      <c r="BA112" t="s">
        <v>3</v>
      </c>
      <c r="BB112" t="s">
        <v>3</v>
      </c>
      <c r="BC112" t="s">
        <v>839</v>
      </c>
      <c r="BD112" t="s">
        <v>1589</v>
      </c>
      <c r="BE112">
        <v>0</v>
      </c>
      <c r="BF112">
        <v>0</v>
      </c>
      <c r="BG112">
        <v>0</v>
      </c>
      <c r="BH112">
        <v>0</v>
      </c>
      <c r="BI112">
        <v>0</v>
      </c>
      <c r="BJ112" t="s">
        <v>1652</v>
      </c>
      <c r="BK112">
        <v>0</v>
      </c>
      <c r="BL112" t="s">
        <v>132</v>
      </c>
      <c r="BM112">
        <v>0</v>
      </c>
      <c r="BN112">
        <f>Tabla1[[#This Row],[precio del paquete]]</f>
        <v>12900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1661</v>
      </c>
      <c r="CD112" t="str" cm="1">
        <f t="array" aca="1" ref="CD112" ca="1">eConcatenar(A112:CB112,"|")</f>
        <v>oyEKsL5z9phd5ArM|VSA2020-0233|3|IMPERIAL DE LUJO|TABASCO|VILLAHERMOSA|VILLAHERMOSA|2020-07-23|12900|x|x|100|2|0|0|0|0|0|0|0|0|0|0|0|0|0|0|PEREYRA|JIMENEZ|MARIA DEL SOCORRO|soltero|0|0|CALLE JON PAYRO 10|COLONIA CENTRO VILLA HERMOSA|0|9932410235|0|0|0|CALLE JON PAYRO 10|x|lunes|0|0|0|0|0|DOMICILIO |6400|6500|x|x|x|2022-04-02|2022-04-09|0|0|0|0|0|S35D6LBI9KVTQO|0|HOMBRE|0|12900|0|0|0|0|0|0|0|0|CARDENAS|X|X|X|X|FINAL</v>
      </c>
    </row>
    <row r="113" spans="1:82" x14ac:dyDescent="0.25">
      <c r="A113" t="s">
        <v>247</v>
      </c>
      <c r="B113" t="s">
        <v>492</v>
      </c>
      <c r="C113">
        <v>3</v>
      </c>
      <c r="D113" t="s">
        <v>634</v>
      </c>
      <c r="E113" t="s">
        <v>643</v>
      </c>
      <c r="F113" t="s">
        <v>644</v>
      </c>
      <c r="G113" t="s">
        <v>644</v>
      </c>
      <c r="H113" t="s">
        <v>848</v>
      </c>
      <c r="I113">
        <v>14800</v>
      </c>
      <c r="J113" t="s">
        <v>3</v>
      </c>
      <c r="K113" t="s">
        <v>3</v>
      </c>
      <c r="L113">
        <v>100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1167</v>
      </c>
      <c r="AC113" t="s">
        <v>1085</v>
      </c>
      <c r="AD113" s="18" t="s">
        <v>1168</v>
      </c>
      <c r="AE113" t="s">
        <v>1356</v>
      </c>
      <c r="AF113">
        <v>0</v>
      </c>
      <c r="AG113">
        <v>0</v>
      </c>
      <c r="AH113" t="s">
        <v>1452</v>
      </c>
      <c r="AI113" t="s">
        <v>677</v>
      </c>
      <c r="AJ113">
        <v>0</v>
      </c>
      <c r="AK113">
        <v>9931895680</v>
      </c>
      <c r="AL113">
        <v>0</v>
      </c>
      <c r="AM113">
        <v>0</v>
      </c>
      <c r="AN113">
        <v>0</v>
      </c>
      <c r="AO113" t="s">
        <v>1452</v>
      </c>
      <c r="AP113" t="s">
        <v>3</v>
      </c>
      <c r="AQ113" t="s">
        <v>1581</v>
      </c>
      <c r="AR113">
        <v>0</v>
      </c>
      <c r="AS113">
        <v>0</v>
      </c>
      <c r="AT113">
        <v>0</v>
      </c>
      <c r="AU113">
        <v>0</v>
      </c>
      <c r="AV113">
        <v>0</v>
      </c>
      <c r="AW113" t="s">
        <v>11</v>
      </c>
      <c r="AX113">
        <f>Tabla1[[#This Row],[precio del paquete]]-Tabla1[[#This Row],[Saldo_Deudor]]</f>
        <v>2100</v>
      </c>
      <c r="AY113">
        <v>12700</v>
      </c>
      <c r="AZ113" t="s">
        <v>3</v>
      </c>
      <c r="BA113" t="s">
        <v>3</v>
      </c>
      <c r="BB113" t="s">
        <v>3</v>
      </c>
      <c r="BC113" t="s">
        <v>1585</v>
      </c>
      <c r="BD113" t="s">
        <v>1586</v>
      </c>
      <c r="BE113">
        <v>0</v>
      </c>
      <c r="BF113">
        <v>0</v>
      </c>
      <c r="BG113">
        <v>0</v>
      </c>
      <c r="BH113">
        <v>0</v>
      </c>
      <c r="BI113">
        <v>0</v>
      </c>
      <c r="BJ113" t="s">
        <v>1652</v>
      </c>
      <c r="BK113">
        <v>0</v>
      </c>
      <c r="BL113" t="s">
        <v>132</v>
      </c>
      <c r="BM113">
        <v>0</v>
      </c>
      <c r="BN113">
        <f>Tabla1[[#This Row],[precio del paquete]]</f>
        <v>14800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1661</v>
      </c>
      <c r="CD113" t="str" cm="1">
        <f t="array" aca="1" ref="CD113" ca="1">eConcatenar(A113:CB113,"|")</f>
        <v>GXSsSQTA5KK5Yhrn|VSA2021-1782|3|MEMORIAL|TABASCO|VILLAHERMOSA|VILLAHERMOSA|2021-10-30|14800|x|x|100|0|0|0|0|0|0|0|0|0|0|0|0|0|0|0|CHICO|VILLEGAS|AGUSTINA|soltero|0|0|CALLE REVOLUCION NUMERO 384 INTERIOR 3|COLONIA ATASTA|0|9931895680|0|0|0|CALLE REVOLUCION NUMERO 384 INTERIOR 3|x|lunes|0|0|0|0|0|DOMICILIO |2100|12700|x|x|x|2022-04-03|2022-04-10|0|0|0|0|0|S35D6LBI9KVTQO|0|HOMBRE|0|14800|0|0|0|0|0|0|0|0|CARDENAS|X|X|X|X|FINAL</v>
      </c>
    </row>
    <row r="114" spans="1:82" x14ac:dyDescent="0.25">
      <c r="A114" t="s">
        <v>248</v>
      </c>
      <c r="B114" t="s">
        <v>493</v>
      </c>
      <c r="C114">
        <v>3</v>
      </c>
      <c r="D114" t="s">
        <v>634</v>
      </c>
      <c r="E114" t="s">
        <v>643</v>
      </c>
      <c r="F114" t="s">
        <v>644</v>
      </c>
      <c r="G114" t="s">
        <v>644</v>
      </c>
      <c r="H114" t="s">
        <v>858</v>
      </c>
      <c r="I114">
        <v>14800</v>
      </c>
      <c r="J114" t="s">
        <v>3</v>
      </c>
      <c r="K114" t="s">
        <v>3</v>
      </c>
      <c r="L114">
        <v>100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1169</v>
      </c>
      <c r="AC114" t="s">
        <v>972</v>
      </c>
      <c r="AD114" s="18" t="s">
        <v>1170</v>
      </c>
      <c r="AE114" t="s">
        <v>1356</v>
      </c>
      <c r="AF114">
        <v>0</v>
      </c>
      <c r="AG114">
        <v>0</v>
      </c>
      <c r="AH114" t="s">
        <v>1453</v>
      </c>
      <c r="AI114" t="s">
        <v>731</v>
      </c>
      <c r="AJ114">
        <v>0</v>
      </c>
      <c r="AK114">
        <v>9934431476</v>
      </c>
      <c r="AL114">
        <v>0</v>
      </c>
      <c r="AM114">
        <v>0</v>
      </c>
      <c r="AN114">
        <v>0</v>
      </c>
      <c r="AO114" t="s">
        <v>1453</v>
      </c>
      <c r="AP114" t="s">
        <v>3</v>
      </c>
      <c r="AQ114" t="s">
        <v>1581</v>
      </c>
      <c r="AR114">
        <v>0</v>
      </c>
      <c r="AS114">
        <v>0</v>
      </c>
      <c r="AT114">
        <v>0</v>
      </c>
      <c r="AU114">
        <v>0</v>
      </c>
      <c r="AV114">
        <v>0</v>
      </c>
      <c r="AW114" t="s">
        <v>11</v>
      </c>
      <c r="AX114">
        <f>Tabla1[[#This Row],[precio del paquete]]-Tabla1[[#This Row],[Saldo_Deudor]]</f>
        <v>900</v>
      </c>
      <c r="AY114">
        <v>13900</v>
      </c>
      <c r="AZ114" t="s">
        <v>3</v>
      </c>
      <c r="BA114" t="s">
        <v>3</v>
      </c>
      <c r="BB114" t="s">
        <v>3</v>
      </c>
      <c r="BC114" t="s">
        <v>913</v>
      </c>
      <c r="BD114" t="s">
        <v>1592</v>
      </c>
      <c r="BE114">
        <v>0</v>
      </c>
      <c r="BF114">
        <v>0</v>
      </c>
      <c r="BG114">
        <v>0</v>
      </c>
      <c r="BH114">
        <v>0</v>
      </c>
      <c r="BI114">
        <v>0</v>
      </c>
      <c r="BJ114" t="s">
        <v>1652</v>
      </c>
      <c r="BK114">
        <v>0</v>
      </c>
      <c r="BL114" t="s">
        <v>132</v>
      </c>
      <c r="BM114">
        <v>0</v>
      </c>
      <c r="BN114">
        <f>Tabla1[[#This Row],[precio del paquete]]</f>
        <v>14800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1661</v>
      </c>
      <c r="CD114" t="str" cm="1">
        <f t="array" aca="1" ref="CD114" ca="1">eConcatenar(A114:CB114,"|")</f>
        <v>968zAkjWcVIhVWyv|VSA2022-0052|3|MEMORIAL|TABASCO|VILLAHERMOSA|VILLAHERMOSA|2022-01-21|14800|x|x|100|0|0|0|0|0|0|0|0|0|0|0|0|0|0|0|ARGUELLES||ROSENDO|soltero|0|0|EJIDO TORNO LARGO NUMERO 148|COLONIA LA MANGA SEGUNDA |0|9934431476|0|0|0|EJIDO TORNO LARGO NUMERO 148|x|lunes|0|0|0|0|0|DOMICILIO |900|13900|x|x|x|2022-05-03|2022-05-10|0|0|0|0|0|S35D6LBI9KVTQO|0|HOMBRE|0|14800|0|0|0|0|0|0|0|0|CARDENAS|X|X|X|X|FINAL</v>
      </c>
    </row>
    <row r="115" spans="1:82" x14ac:dyDescent="0.25">
      <c r="A115" t="s">
        <v>249</v>
      </c>
      <c r="B115" t="s">
        <v>494</v>
      </c>
      <c r="C115">
        <v>3</v>
      </c>
      <c r="D115" t="s">
        <v>634</v>
      </c>
      <c r="E115" t="s">
        <v>643</v>
      </c>
      <c r="F115" t="s">
        <v>644</v>
      </c>
      <c r="G115" t="s">
        <v>644</v>
      </c>
      <c r="H115" t="s">
        <v>885</v>
      </c>
      <c r="I115">
        <v>14800</v>
      </c>
      <c r="J115" t="s">
        <v>3</v>
      </c>
      <c r="K115" t="s">
        <v>3</v>
      </c>
      <c r="L115">
        <v>100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976</v>
      </c>
      <c r="AC115" t="s">
        <v>982</v>
      </c>
      <c r="AD115" s="18" t="s">
        <v>1171</v>
      </c>
      <c r="AE115" t="s">
        <v>1356</v>
      </c>
      <c r="AF115">
        <v>0</v>
      </c>
      <c r="AG115">
        <v>0</v>
      </c>
      <c r="AH115" t="s">
        <v>1454</v>
      </c>
      <c r="AI115" t="s">
        <v>732</v>
      </c>
      <c r="AJ115">
        <v>0</v>
      </c>
      <c r="AK115">
        <v>9933401199</v>
      </c>
      <c r="AL115">
        <v>0</v>
      </c>
      <c r="AM115">
        <v>0</v>
      </c>
      <c r="AN115">
        <v>0</v>
      </c>
      <c r="AO115" t="s">
        <v>1454</v>
      </c>
      <c r="AP115" t="s">
        <v>3</v>
      </c>
      <c r="AQ115" t="s">
        <v>1581</v>
      </c>
      <c r="AR115">
        <v>0</v>
      </c>
      <c r="AS115">
        <v>0</v>
      </c>
      <c r="AT115">
        <v>0</v>
      </c>
      <c r="AU115">
        <v>0</v>
      </c>
      <c r="AV115">
        <v>0</v>
      </c>
      <c r="AW115" t="s">
        <v>11</v>
      </c>
      <c r="AX115">
        <f>Tabla1[[#This Row],[precio del paquete]]-Tabla1[[#This Row],[Saldo_Deudor]]</f>
        <v>2300</v>
      </c>
      <c r="AY115">
        <v>12500</v>
      </c>
      <c r="AZ115" t="s">
        <v>3</v>
      </c>
      <c r="BA115" t="s">
        <v>3</v>
      </c>
      <c r="BB115" t="s">
        <v>3</v>
      </c>
      <c r="BC115" t="s">
        <v>911</v>
      </c>
      <c r="BD115" t="s">
        <v>1593</v>
      </c>
      <c r="BE115">
        <v>0</v>
      </c>
      <c r="BF115">
        <v>0</v>
      </c>
      <c r="BG115">
        <v>0</v>
      </c>
      <c r="BH115">
        <v>0</v>
      </c>
      <c r="BI115">
        <v>0</v>
      </c>
      <c r="BJ115" t="s">
        <v>1652</v>
      </c>
      <c r="BK115">
        <v>0</v>
      </c>
      <c r="BL115" t="s">
        <v>132</v>
      </c>
      <c r="BM115">
        <v>0</v>
      </c>
      <c r="BN115">
        <f>Tabla1[[#This Row],[precio del paquete]]</f>
        <v>14800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1661</v>
      </c>
      <c r="CD115" t="str" cm="1">
        <f t="array" aca="1" ref="CD115" ca="1">eConcatenar(A115:CB115,"|")</f>
        <v>GVnuUBCApfl6KhLj|VSA2021-1755|3|MEMORIAL|TABASCO|VILLAHERMOSA|VILLAHERMOSA|2021-10-23|14800|x|x|100|1|0|0|0|0|0|0|0|0|0|0|0|0|0|0|MARTINEZ|VELAZQUEZ|ANA MARIA|soltero|0|0|ANDADOR DEL AGENTE NUMERO 137|FRACCIONAMIENTO POLICIA Y TRANCITO|0|9933401199|0|0|0|ANDADOR DEL AGENTE NUMERO 137|x|lunes|0|0|0|0|0|DOMICILIO |2300|12500|x|x|x|2022-02-19|2022-02-26|0|0|0|0|0|S35D6LBI9KVTQO|0|HOMBRE|0|14800|0|0|0|0|0|0|0|0|CARDENAS|X|X|X|X|FINAL</v>
      </c>
    </row>
    <row r="116" spans="1:82" x14ac:dyDescent="0.25">
      <c r="A116" t="s">
        <v>250</v>
      </c>
      <c r="B116" t="s">
        <v>495</v>
      </c>
      <c r="C116">
        <v>3</v>
      </c>
      <c r="D116" t="s">
        <v>634</v>
      </c>
      <c r="E116" t="s">
        <v>643</v>
      </c>
      <c r="F116" t="s">
        <v>644</v>
      </c>
      <c r="G116" t="s">
        <v>644</v>
      </c>
      <c r="H116" t="s">
        <v>886</v>
      </c>
      <c r="I116">
        <v>14800</v>
      </c>
      <c r="J116" t="s">
        <v>3</v>
      </c>
      <c r="K116" t="s">
        <v>3</v>
      </c>
      <c r="L116">
        <v>100</v>
      </c>
      <c r="M116">
        <v>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985</v>
      </c>
      <c r="AC116" t="s">
        <v>1159</v>
      </c>
      <c r="AD116" s="18" t="s">
        <v>1172</v>
      </c>
      <c r="AE116" t="s">
        <v>1356</v>
      </c>
      <c r="AF116">
        <v>0</v>
      </c>
      <c r="AG116">
        <v>0</v>
      </c>
      <c r="AH116" t="s">
        <v>1455</v>
      </c>
      <c r="AI116" t="s">
        <v>667</v>
      </c>
      <c r="AJ116">
        <v>0</v>
      </c>
      <c r="AK116">
        <v>9934330994</v>
      </c>
      <c r="AL116">
        <v>0</v>
      </c>
      <c r="AM116">
        <v>0</v>
      </c>
      <c r="AN116">
        <v>0</v>
      </c>
      <c r="AO116" t="s">
        <v>1455</v>
      </c>
      <c r="AP116" t="s">
        <v>3</v>
      </c>
      <c r="AQ116" t="s">
        <v>1581</v>
      </c>
      <c r="AR116">
        <v>0</v>
      </c>
      <c r="AS116">
        <v>0</v>
      </c>
      <c r="AT116">
        <v>0</v>
      </c>
      <c r="AU116">
        <v>0</v>
      </c>
      <c r="AV116">
        <v>0</v>
      </c>
      <c r="AW116" t="s">
        <v>11</v>
      </c>
      <c r="AX116">
        <f>Tabla1[[#This Row],[precio del paquete]]-Tabla1[[#This Row],[Saldo_Deudor]]</f>
        <v>2400</v>
      </c>
      <c r="AY116">
        <v>12400</v>
      </c>
      <c r="AZ116" t="s">
        <v>3</v>
      </c>
      <c r="BA116" t="s">
        <v>3</v>
      </c>
      <c r="BB116" t="s">
        <v>3</v>
      </c>
      <c r="BC116" t="s">
        <v>839</v>
      </c>
      <c r="BD116" t="s">
        <v>1589</v>
      </c>
      <c r="BE116">
        <v>0</v>
      </c>
      <c r="BF116">
        <v>0</v>
      </c>
      <c r="BG116">
        <v>0</v>
      </c>
      <c r="BH116">
        <v>0</v>
      </c>
      <c r="BI116">
        <v>0</v>
      </c>
      <c r="BJ116" t="s">
        <v>1652</v>
      </c>
      <c r="BK116">
        <v>0</v>
      </c>
      <c r="BL116" t="s">
        <v>132</v>
      </c>
      <c r="BM116">
        <v>0</v>
      </c>
      <c r="BN116">
        <f>Tabla1[[#This Row],[precio del paquete]]</f>
        <v>14800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1661</v>
      </c>
      <c r="CD116" t="str" cm="1">
        <f t="array" aca="1" ref="CD116" ca="1">eConcatenar(A116:CB116,"|")</f>
        <v>JcL82uSOqVJkRHzG|VSA2021-1126|3|MEMORIAL|TABASCO|VILLAHERMOSA|VILLAHERMOSA|2021-07-21|14800|x|x|100|2|0|0|0|0|0|0|0|0|0|0|0|0|0|0|PEREZ|PRIEGO|MARIA RUDEY|soltero|0|0|CALLE MEXICO SIN NUMERO|COLONIA GAVIOTAS SUR|0|9934330994|0|0|0|CALLE MEXICO SIN NUMERO|x|lunes|0|0|0|0|0|DOMICILIO |2400|12400|x|x|x|2022-04-02|2022-04-09|0|0|0|0|0|S35D6LBI9KVTQO|0|HOMBRE|0|14800|0|0|0|0|0|0|0|0|CARDENAS|X|X|X|X|FINAL</v>
      </c>
    </row>
    <row r="117" spans="1:82" x14ac:dyDescent="0.25">
      <c r="A117" t="s">
        <v>251</v>
      </c>
      <c r="B117" t="s">
        <v>496</v>
      </c>
      <c r="C117">
        <v>3</v>
      </c>
      <c r="D117" t="s">
        <v>634</v>
      </c>
      <c r="E117" t="s">
        <v>643</v>
      </c>
      <c r="F117" t="s">
        <v>644</v>
      </c>
      <c r="G117" t="s">
        <v>644</v>
      </c>
      <c r="H117" t="s">
        <v>831</v>
      </c>
      <c r="I117">
        <v>14800</v>
      </c>
      <c r="J117" t="s">
        <v>3</v>
      </c>
      <c r="K117" t="s">
        <v>3</v>
      </c>
      <c r="L117">
        <v>100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1020</v>
      </c>
      <c r="AC117" t="s">
        <v>1173</v>
      </c>
      <c r="AD117" s="18" t="s">
        <v>1174</v>
      </c>
      <c r="AE117" t="s">
        <v>1356</v>
      </c>
      <c r="AF117">
        <v>0</v>
      </c>
      <c r="AG117">
        <v>0</v>
      </c>
      <c r="AH117" t="s">
        <v>1456</v>
      </c>
      <c r="AI117" t="s">
        <v>733</v>
      </c>
      <c r="AJ117">
        <v>0</v>
      </c>
      <c r="AK117">
        <v>9931766453</v>
      </c>
      <c r="AL117">
        <v>0</v>
      </c>
      <c r="AM117">
        <v>0</v>
      </c>
      <c r="AN117">
        <v>0</v>
      </c>
      <c r="AO117" t="s">
        <v>1456</v>
      </c>
      <c r="AP117" t="s">
        <v>3</v>
      </c>
      <c r="AQ117" t="s">
        <v>1581</v>
      </c>
      <c r="AR117">
        <v>0</v>
      </c>
      <c r="AS117">
        <v>0</v>
      </c>
      <c r="AT117">
        <v>0</v>
      </c>
      <c r="AU117">
        <v>0</v>
      </c>
      <c r="AV117">
        <v>0</v>
      </c>
      <c r="AW117" t="s">
        <v>11</v>
      </c>
      <c r="AX117">
        <f>Tabla1[[#This Row],[precio del paquete]]-Tabla1[[#This Row],[Saldo_Deudor]]</f>
        <v>1100</v>
      </c>
      <c r="AY117">
        <v>13700</v>
      </c>
      <c r="AZ117" t="s">
        <v>3</v>
      </c>
      <c r="BA117" t="s">
        <v>3</v>
      </c>
      <c r="BB117" t="s">
        <v>3</v>
      </c>
      <c r="BC117" t="s">
        <v>1585</v>
      </c>
      <c r="BD117" t="s">
        <v>1586</v>
      </c>
      <c r="BE117">
        <v>0</v>
      </c>
      <c r="BF117">
        <v>0</v>
      </c>
      <c r="BG117">
        <v>0</v>
      </c>
      <c r="BH117">
        <v>0</v>
      </c>
      <c r="BI117">
        <v>0</v>
      </c>
      <c r="BJ117" t="s">
        <v>1652</v>
      </c>
      <c r="BK117">
        <v>0</v>
      </c>
      <c r="BL117" t="s">
        <v>132</v>
      </c>
      <c r="BM117">
        <v>0</v>
      </c>
      <c r="BN117">
        <f>Tabla1[[#This Row],[precio del paquete]]</f>
        <v>14800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1661</v>
      </c>
      <c r="CD117" t="str" cm="1">
        <f t="array" aca="1" ref="CD117" ca="1">eConcatenar(A117:CB117,"|")</f>
        <v>k2exywFwq86g36pB|VSA2021-1814|3|MEMORIAL|TABASCO|VILLAHERMOSA|VILLAHERMOSA|2021-08-11|14800|x|x|100|0|0|0|0|0|0|0|0|0|0|0|0|0|0|0|CRUZ|BOUCHOT|EDUARDO ALEJANDRO|soltero|0|0|CALLE PINO MANZANA 10 LOTE 21|COLONIA CASA BLANCA|0|9931766453|0|0|0|CALLE PINO MANZANA 10 LOTE 21|x|lunes|0|0|0|0|0|DOMICILIO |1100|13700|x|x|x|2022-04-03|2022-04-10|0|0|0|0|0|S35D6LBI9KVTQO|0|HOMBRE|0|14800|0|0|0|0|0|0|0|0|CARDENAS|X|X|X|X|FINAL</v>
      </c>
    </row>
    <row r="118" spans="1:82" x14ac:dyDescent="0.25">
      <c r="A118" t="s">
        <v>252</v>
      </c>
      <c r="B118" t="s">
        <v>497</v>
      </c>
      <c r="C118">
        <v>3</v>
      </c>
      <c r="D118" t="s">
        <v>634</v>
      </c>
      <c r="E118" t="s">
        <v>643</v>
      </c>
      <c r="F118" t="s">
        <v>644</v>
      </c>
      <c r="G118" t="s">
        <v>644</v>
      </c>
      <c r="H118" t="s">
        <v>887</v>
      </c>
      <c r="I118">
        <v>14800</v>
      </c>
      <c r="J118" t="s">
        <v>3</v>
      </c>
      <c r="K118" t="s">
        <v>3</v>
      </c>
      <c r="L118">
        <v>100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985</v>
      </c>
      <c r="AC118" t="s">
        <v>1175</v>
      </c>
      <c r="AD118" s="18" t="s">
        <v>1176</v>
      </c>
      <c r="AE118" t="s">
        <v>1356</v>
      </c>
      <c r="AF118">
        <v>0</v>
      </c>
      <c r="AG118">
        <v>0</v>
      </c>
      <c r="AH118" t="s">
        <v>1457</v>
      </c>
      <c r="AI118" t="s">
        <v>667</v>
      </c>
      <c r="AJ118">
        <v>0</v>
      </c>
      <c r="AK118">
        <v>9934021425</v>
      </c>
      <c r="AL118">
        <v>0</v>
      </c>
      <c r="AM118">
        <v>0</v>
      </c>
      <c r="AN118">
        <v>0</v>
      </c>
      <c r="AO118" t="s">
        <v>1457</v>
      </c>
      <c r="AP118" t="s">
        <v>3</v>
      </c>
      <c r="AQ118" t="s">
        <v>1581</v>
      </c>
      <c r="AR118">
        <v>0</v>
      </c>
      <c r="AS118">
        <v>0</v>
      </c>
      <c r="AT118">
        <v>0</v>
      </c>
      <c r="AU118">
        <v>0</v>
      </c>
      <c r="AV118">
        <v>0</v>
      </c>
      <c r="AW118" t="s">
        <v>11</v>
      </c>
      <c r="AX118">
        <f>Tabla1[[#This Row],[precio del paquete]]-Tabla1[[#This Row],[Saldo_Deudor]]</f>
        <v>1600</v>
      </c>
      <c r="AY118">
        <v>13200</v>
      </c>
      <c r="AZ118" t="s">
        <v>3</v>
      </c>
      <c r="BA118" t="s">
        <v>3</v>
      </c>
      <c r="BB118" t="s">
        <v>3</v>
      </c>
      <c r="BC118" t="s">
        <v>1585</v>
      </c>
      <c r="BD118" t="s">
        <v>1586</v>
      </c>
      <c r="BE118">
        <v>0</v>
      </c>
      <c r="BF118">
        <v>0</v>
      </c>
      <c r="BG118">
        <v>0</v>
      </c>
      <c r="BH118">
        <v>0</v>
      </c>
      <c r="BI118">
        <v>0</v>
      </c>
      <c r="BJ118" t="s">
        <v>1652</v>
      </c>
      <c r="BK118">
        <v>0</v>
      </c>
      <c r="BL118" t="s">
        <v>132</v>
      </c>
      <c r="BM118">
        <v>0</v>
      </c>
      <c r="BN118">
        <f>Tabla1[[#This Row],[precio del paquete]]</f>
        <v>14800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1661</v>
      </c>
      <c r="CD118" t="str" cm="1">
        <f t="array" aca="1" ref="CD118" ca="1">eConcatenar(A118:CB118,"|")</f>
        <v>pRL2ZLWNVFwSs2T2|VSA2021-1791|3|MEMORIAL|TABASCO|VILLAHERMOSA|VILLAHERMOSA|2021-01-11|14800|x|x|100|0|0|0|0|0|0|0|0|0|0|0|0|0|0|0|PEREZ|VIDAL|MARIA NATIVIDAD|soltero|0|0|AVENIDA AQUIILES CALDERON MARCHENAS SIN NUMERO|COLONIA GAVIOTAS SUR|0|9934021425|0|0|0|AVENIDA AQUIILES CALDERON MARCHENAS SIN NUMERO|x|lunes|0|0|0|0|0|DOMICILIO |1600|13200|x|x|x|2022-04-03|2022-04-10|0|0|0|0|0|S35D6LBI9KVTQO|0|HOMBRE|0|14800|0|0|0|0|0|0|0|0|CARDENAS|X|X|X|X|FINAL</v>
      </c>
    </row>
    <row r="119" spans="1:82" x14ac:dyDescent="0.25">
      <c r="A119" t="s">
        <v>253</v>
      </c>
      <c r="B119" t="s">
        <v>498</v>
      </c>
      <c r="C119">
        <v>3</v>
      </c>
      <c r="D119" t="s">
        <v>634</v>
      </c>
      <c r="E119" t="s">
        <v>643</v>
      </c>
      <c r="F119" t="s">
        <v>644</v>
      </c>
      <c r="G119" t="s">
        <v>644</v>
      </c>
      <c r="H119" t="s">
        <v>888</v>
      </c>
      <c r="I119">
        <v>14800</v>
      </c>
      <c r="J119" t="s">
        <v>3</v>
      </c>
      <c r="K119" t="s">
        <v>3</v>
      </c>
      <c r="L119">
        <v>100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985</v>
      </c>
      <c r="AC119" t="s">
        <v>966</v>
      </c>
      <c r="AD119" s="18" t="s">
        <v>1177</v>
      </c>
      <c r="AE119" t="s">
        <v>1356</v>
      </c>
      <c r="AF119">
        <v>0</v>
      </c>
      <c r="AG119">
        <v>0</v>
      </c>
      <c r="AH119" t="s">
        <v>1458</v>
      </c>
      <c r="AI119" t="s">
        <v>676</v>
      </c>
      <c r="AJ119">
        <v>0</v>
      </c>
      <c r="AK119">
        <v>9933700270</v>
      </c>
      <c r="AL119">
        <v>0</v>
      </c>
      <c r="AM119">
        <v>0</v>
      </c>
      <c r="AN119">
        <v>0</v>
      </c>
      <c r="AO119" t="s">
        <v>1458</v>
      </c>
      <c r="AP119" t="s">
        <v>3</v>
      </c>
      <c r="AQ119" t="s">
        <v>1581</v>
      </c>
      <c r="AR119">
        <v>0</v>
      </c>
      <c r="AS119">
        <v>0</v>
      </c>
      <c r="AT119">
        <v>0</v>
      </c>
      <c r="AU119">
        <v>0</v>
      </c>
      <c r="AV119">
        <v>0</v>
      </c>
      <c r="AW119" t="s">
        <v>11</v>
      </c>
      <c r="AX119">
        <f>Tabla1[[#This Row],[precio del paquete]]-Tabla1[[#This Row],[Saldo_Deudor]]</f>
        <v>1225</v>
      </c>
      <c r="AY119">
        <v>13575</v>
      </c>
      <c r="AZ119" t="s">
        <v>3</v>
      </c>
      <c r="BA119" t="s">
        <v>3</v>
      </c>
      <c r="BB119" t="s">
        <v>3</v>
      </c>
      <c r="BC119" t="s">
        <v>1634</v>
      </c>
      <c r="BD119" t="s">
        <v>1635</v>
      </c>
      <c r="BE119">
        <v>0</v>
      </c>
      <c r="BF119">
        <v>0</v>
      </c>
      <c r="BG119">
        <v>0</v>
      </c>
      <c r="BH119">
        <v>0</v>
      </c>
      <c r="BI119">
        <v>0</v>
      </c>
      <c r="BJ119" t="s">
        <v>1657</v>
      </c>
      <c r="BK119">
        <v>0</v>
      </c>
      <c r="BL119" t="s">
        <v>132</v>
      </c>
      <c r="BM119">
        <v>0</v>
      </c>
      <c r="BN119">
        <f>Tabla1[[#This Row],[precio del paquete]]</f>
        <v>14800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1661</v>
      </c>
      <c r="CD119" t="str" cm="1">
        <f t="array" aca="1" ref="CD119" ca="1">eConcatenar(A119:CB119,"|")</f>
        <v>m7W2BPorO2FkrTNf|VSA2021-1650|3|MEMORIAL|TABASCO|VILLAHERMOSA|VILLAHERMOSA|2021-01-10|14800|x|x|100|1|0|0|0|0|0|0|0|0|0|0|0|0|0|0|PEREZ|SANCHEZ|RICHARD|soltero|0|0|CALLE PEPE DEL RIVERO|COLONIA GAVIOTAS NORTE|0|9933700270|0|0|0|CALLE PEPE DEL RIVERO|x|lunes|0|0|0|0|0|DOMICILIO |1225|13575|x|x|x|2021-11-15|2021-11-22|0|0|0|0|0|QYD9TF2W9KVTQO|0|HOMBRE|0|14800|0|0|0|0|0|0|0|0|CARDENAS|X|X|X|X|FINAL</v>
      </c>
    </row>
    <row r="120" spans="1:82" x14ac:dyDescent="0.25">
      <c r="A120" t="s">
        <v>254</v>
      </c>
      <c r="B120" t="s">
        <v>499</v>
      </c>
      <c r="C120">
        <v>3</v>
      </c>
      <c r="D120" t="s">
        <v>634</v>
      </c>
      <c r="E120" t="s">
        <v>643</v>
      </c>
      <c r="F120" t="s">
        <v>644</v>
      </c>
      <c r="G120" t="s">
        <v>644</v>
      </c>
      <c r="H120" t="s">
        <v>889</v>
      </c>
      <c r="I120">
        <v>14800</v>
      </c>
      <c r="J120" t="s">
        <v>3</v>
      </c>
      <c r="K120" t="s">
        <v>3</v>
      </c>
      <c r="L120">
        <v>100</v>
      </c>
      <c r="M120">
        <v>1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1071</v>
      </c>
      <c r="AC120" t="s">
        <v>1067</v>
      </c>
      <c r="AD120" s="18" t="s">
        <v>1178</v>
      </c>
      <c r="AE120" t="s">
        <v>1356</v>
      </c>
      <c r="AF120">
        <v>0</v>
      </c>
      <c r="AG120">
        <v>0</v>
      </c>
      <c r="AH120" t="s">
        <v>1459</v>
      </c>
      <c r="AI120" t="s">
        <v>676</v>
      </c>
      <c r="AJ120">
        <v>0</v>
      </c>
      <c r="AK120">
        <v>9934063635</v>
      </c>
      <c r="AL120">
        <v>0</v>
      </c>
      <c r="AM120">
        <v>0</v>
      </c>
      <c r="AN120">
        <v>0</v>
      </c>
      <c r="AO120" t="s">
        <v>1459</v>
      </c>
      <c r="AP120" t="s">
        <v>3</v>
      </c>
      <c r="AQ120" t="s">
        <v>1581</v>
      </c>
      <c r="AR120">
        <v>0</v>
      </c>
      <c r="AS120">
        <v>0</v>
      </c>
      <c r="AT120">
        <v>0</v>
      </c>
      <c r="AU120">
        <v>0</v>
      </c>
      <c r="AV120">
        <v>0</v>
      </c>
      <c r="AW120" t="s">
        <v>11</v>
      </c>
      <c r="AX120">
        <f>Tabla1[[#This Row],[precio del paquete]]-Tabla1[[#This Row],[Saldo_Deudor]]</f>
        <v>300</v>
      </c>
      <c r="AY120">
        <v>14500</v>
      </c>
      <c r="AZ120" t="s">
        <v>3</v>
      </c>
      <c r="BA120" t="s">
        <v>3</v>
      </c>
      <c r="BB120" t="s">
        <v>3</v>
      </c>
      <c r="BC120" t="s">
        <v>828</v>
      </c>
      <c r="BD120" t="s">
        <v>1628</v>
      </c>
      <c r="BE120">
        <v>0</v>
      </c>
      <c r="BF120">
        <v>0</v>
      </c>
      <c r="BG120">
        <v>0</v>
      </c>
      <c r="BH120">
        <v>0</v>
      </c>
      <c r="BI120">
        <v>0</v>
      </c>
      <c r="BJ120" t="s">
        <v>1657</v>
      </c>
      <c r="BK120">
        <v>0</v>
      </c>
      <c r="BL120" t="s">
        <v>132</v>
      </c>
      <c r="BM120">
        <v>0</v>
      </c>
      <c r="BN120">
        <f>Tabla1[[#This Row],[precio del paquete]]</f>
        <v>14800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1661</v>
      </c>
      <c r="CD120" t="str" cm="1">
        <f t="array" aca="1" ref="CD120" ca="1">eConcatenar(A120:CB120,"|")</f>
        <v>Yj7x89GsFyfX1q1K|VSA2022-0145|3|MEMORIAL|TABASCO|VILLAHERMOSA|VILLAHERMOSA|2022-03-02|14800|x|x|100|1|0|0|0|0|0|0|0|0|0|0|0|0|0|0|CHABLE|GARCIA|EMANUEL|soltero|0|0|CALLE UNO NUMERO 124|COLONIA GAVIOTAS NORTE|0|9934063635|0|0|0|CALLE UNO NUMERO 124|x|lunes|0|0|0|0|0|DOMICILIO |300|14500|x|x|x|2022-02-28|2022-03-07|0|0|0|0|0|QYD9TF2W9KVTQO|0|HOMBRE|0|14800|0|0|0|0|0|0|0|0|CARDENAS|X|X|X|X|FINAL</v>
      </c>
    </row>
    <row r="121" spans="1:82" x14ac:dyDescent="0.25">
      <c r="A121" t="s">
        <v>255</v>
      </c>
      <c r="B121" t="s">
        <v>500</v>
      </c>
      <c r="C121">
        <v>3</v>
      </c>
      <c r="D121" t="s">
        <v>634</v>
      </c>
      <c r="E121" t="s">
        <v>643</v>
      </c>
      <c r="F121" t="s">
        <v>647</v>
      </c>
      <c r="G121" t="s">
        <v>647</v>
      </c>
      <c r="H121" t="s">
        <v>890</v>
      </c>
      <c r="I121">
        <v>14800</v>
      </c>
      <c r="J121" t="s">
        <v>3</v>
      </c>
      <c r="K121" t="s">
        <v>3</v>
      </c>
      <c r="L121">
        <v>100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971</v>
      </c>
      <c r="AC121" t="s">
        <v>991</v>
      </c>
      <c r="AD121" s="18" t="s">
        <v>1118</v>
      </c>
      <c r="AE121" t="s">
        <v>1356</v>
      </c>
      <c r="AF121">
        <v>0</v>
      </c>
      <c r="AG121">
        <v>0</v>
      </c>
      <c r="AH121" t="s">
        <v>1460</v>
      </c>
      <c r="AI121" t="s">
        <v>734</v>
      </c>
      <c r="AJ121">
        <v>0</v>
      </c>
      <c r="AK121">
        <v>9934299152</v>
      </c>
      <c r="AL121">
        <v>0</v>
      </c>
      <c r="AM121">
        <v>0</v>
      </c>
      <c r="AN121">
        <v>0</v>
      </c>
      <c r="AO121" t="s">
        <v>1460</v>
      </c>
      <c r="AP121" t="s">
        <v>3</v>
      </c>
      <c r="AQ121" t="s">
        <v>1581</v>
      </c>
      <c r="AR121">
        <v>0</v>
      </c>
      <c r="AS121">
        <v>0</v>
      </c>
      <c r="AT121">
        <v>0</v>
      </c>
      <c r="AU121">
        <v>0</v>
      </c>
      <c r="AV121">
        <v>0</v>
      </c>
      <c r="AW121" t="s">
        <v>11</v>
      </c>
      <c r="AX121">
        <f>Tabla1[[#This Row],[precio del paquete]]-Tabla1[[#This Row],[Saldo_Deudor]]</f>
        <v>2550</v>
      </c>
      <c r="AY121">
        <v>12250</v>
      </c>
      <c r="AZ121" t="s">
        <v>3</v>
      </c>
      <c r="BA121" t="s">
        <v>3</v>
      </c>
      <c r="BB121" t="s">
        <v>3</v>
      </c>
      <c r="BC121" t="s">
        <v>912</v>
      </c>
      <c r="BD121" t="s">
        <v>1601</v>
      </c>
      <c r="BE121">
        <v>0</v>
      </c>
      <c r="BF121">
        <v>0</v>
      </c>
      <c r="BG121">
        <v>0</v>
      </c>
      <c r="BH121">
        <v>0</v>
      </c>
      <c r="BI121">
        <v>0</v>
      </c>
      <c r="BJ121" t="s">
        <v>1657</v>
      </c>
      <c r="BK121">
        <v>0</v>
      </c>
      <c r="BL121" t="s">
        <v>132</v>
      </c>
      <c r="BM121">
        <v>0</v>
      </c>
      <c r="BN121">
        <f>Tabla1[[#This Row],[precio del paquete]]</f>
        <v>14800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1661</v>
      </c>
      <c r="CD121" t="str" cm="1">
        <f t="array" aca="1" ref="CD121" ca="1">eConcatenar(A121:CB121,"|")</f>
        <v>ZVtrh6wBwTvvHt2S|VSA2021-T-0508|3|MEMORIAL|TABASCO|TEAPA|TEAPA|2021-09-16|14800|x|x|100|1|0|0|0|0|0|0|0|0|0|0|0|0|0|0|HERNANDEZ|SANTIAGO|JOSE MANUEL|soltero|0|0|A UN COSTADO DE LA IGLESIA CATOLICA|EJIDO SANTA CRUZ TEPATE|0|9934299152|0|0|0|A UN COSTADO DE LA IGLESIA CATOLICA|x|lunes|0|0|0|0|0|DOMICILIO |2550|12250|x|x|x|2022-08-03|2022-08-10|0|0|0|0|0|QYD9TF2W9KVTQO|0|HOMBRE|0|14800|0|0|0|0|0|0|0|0|CARDENAS|X|X|X|X|FINAL</v>
      </c>
    </row>
    <row r="122" spans="1:82" x14ac:dyDescent="0.25">
      <c r="A122" t="s">
        <v>256</v>
      </c>
      <c r="B122" t="s">
        <v>501</v>
      </c>
      <c r="C122">
        <v>3</v>
      </c>
      <c r="D122" t="s">
        <v>634</v>
      </c>
      <c r="E122" t="s">
        <v>643</v>
      </c>
      <c r="F122" t="s">
        <v>647</v>
      </c>
      <c r="G122" t="s">
        <v>647</v>
      </c>
      <c r="H122" t="s">
        <v>891</v>
      </c>
      <c r="I122">
        <v>14800</v>
      </c>
      <c r="J122" t="s">
        <v>3</v>
      </c>
      <c r="K122" t="s">
        <v>3</v>
      </c>
      <c r="L122">
        <v>100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1179</v>
      </c>
      <c r="AC122" t="s">
        <v>1067</v>
      </c>
      <c r="AD122" s="18" t="s">
        <v>1180</v>
      </c>
      <c r="AE122" t="s">
        <v>1356</v>
      </c>
      <c r="AF122">
        <v>0</v>
      </c>
      <c r="AG122">
        <v>0</v>
      </c>
      <c r="AH122" t="s">
        <v>1461</v>
      </c>
      <c r="AI122" t="s">
        <v>734</v>
      </c>
      <c r="AJ122">
        <v>0</v>
      </c>
      <c r="AK122">
        <v>9932564976</v>
      </c>
      <c r="AL122">
        <v>0</v>
      </c>
      <c r="AM122">
        <v>0</v>
      </c>
      <c r="AN122">
        <v>0</v>
      </c>
      <c r="AO122" t="s">
        <v>1461</v>
      </c>
      <c r="AP122" t="s">
        <v>3</v>
      </c>
      <c r="AQ122" t="s">
        <v>1581</v>
      </c>
      <c r="AR122">
        <v>0</v>
      </c>
      <c r="AS122">
        <v>0</v>
      </c>
      <c r="AT122">
        <v>0</v>
      </c>
      <c r="AU122">
        <v>0</v>
      </c>
      <c r="AV122">
        <v>0</v>
      </c>
      <c r="AW122" t="s">
        <v>11</v>
      </c>
      <c r="AX122">
        <f>Tabla1[[#This Row],[precio del paquete]]-Tabla1[[#This Row],[Saldo_Deudor]]</f>
        <v>1400</v>
      </c>
      <c r="AY122">
        <v>13400</v>
      </c>
      <c r="AZ122" t="s">
        <v>3</v>
      </c>
      <c r="BA122" t="s">
        <v>3</v>
      </c>
      <c r="BB122" t="s">
        <v>3</v>
      </c>
      <c r="BC122" t="s">
        <v>912</v>
      </c>
      <c r="BD122" t="s">
        <v>1601</v>
      </c>
      <c r="BE122">
        <v>0</v>
      </c>
      <c r="BF122">
        <v>0</v>
      </c>
      <c r="BG122">
        <v>0</v>
      </c>
      <c r="BH122">
        <v>0</v>
      </c>
      <c r="BI122">
        <v>0</v>
      </c>
      <c r="BJ122" t="s">
        <v>1657</v>
      </c>
      <c r="BK122">
        <v>0</v>
      </c>
      <c r="BL122" t="s">
        <v>132</v>
      </c>
      <c r="BM122">
        <v>0</v>
      </c>
      <c r="BN122">
        <f>Tabla1[[#This Row],[precio del paquete]]</f>
        <v>14800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1661</v>
      </c>
      <c r="CD122" t="str" cm="1">
        <f t="array" aca="1" ref="CD122" ca="1">eConcatenar(A122:CB122,"|")</f>
        <v>IBkxPSOqFN51STC9|VSA2021-T-0517|3|MEMORIAL|TABASCO|TEAPA|TEAPA|2021-09-28|14800|x|x|100|1|0|0|0|0|0|0|0|0|0|0|0|0|0|0|ALMEIDA|GARCIA|ORLANDO|soltero|0|0|TEPATE SIN NUMERO|EJIDO SANTA CRUZ TEPATE|0|9932564976|0|0|0|TEPATE SIN NUMERO|x|lunes|0|0|0|0|0|DOMICILIO |1400|13400|x|x|x|2022-08-03|2022-08-10|0|0|0|0|0|QYD9TF2W9KVTQO|0|HOMBRE|0|14800|0|0|0|0|0|0|0|0|CARDENAS|X|X|X|X|FINAL</v>
      </c>
    </row>
    <row r="123" spans="1:82" x14ac:dyDescent="0.25">
      <c r="A123" t="s">
        <v>257</v>
      </c>
      <c r="B123" t="s">
        <v>502</v>
      </c>
      <c r="C123">
        <v>3</v>
      </c>
      <c r="D123" t="s">
        <v>634</v>
      </c>
      <c r="E123" t="s">
        <v>643</v>
      </c>
      <c r="F123" t="s">
        <v>644</v>
      </c>
      <c r="G123" t="s">
        <v>644</v>
      </c>
      <c r="H123" t="s">
        <v>877</v>
      </c>
      <c r="I123">
        <v>14800</v>
      </c>
      <c r="J123" t="s">
        <v>3</v>
      </c>
      <c r="K123" t="s">
        <v>3</v>
      </c>
      <c r="L123">
        <v>100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971</v>
      </c>
      <c r="AC123" t="s">
        <v>1181</v>
      </c>
      <c r="AD123" s="18" t="s">
        <v>1182</v>
      </c>
      <c r="AE123" t="s">
        <v>1356</v>
      </c>
      <c r="AF123">
        <v>0</v>
      </c>
      <c r="AG123">
        <v>0</v>
      </c>
      <c r="AH123" t="s">
        <v>1462</v>
      </c>
      <c r="AI123" t="s">
        <v>676</v>
      </c>
      <c r="AJ123">
        <v>0</v>
      </c>
      <c r="AK123">
        <v>9932598126</v>
      </c>
      <c r="AL123">
        <v>0</v>
      </c>
      <c r="AM123">
        <v>0</v>
      </c>
      <c r="AN123">
        <v>0</v>
      </c>
      <c r="AO123" t="s">
        <v>1462</v>
      </c>
      <c r="AP123" t="s">
        <v>3</v>
      </c>
      <c r="AQ123" t="s">
        <v>1581</v>
      </c>
      <c r="AR123">
        <v>0</v>
      </c>
      <c r="AS123">
        <v>0</v>
      </c>
      <c r="AT123">
        <v>0</v>
      </c>
      <c r="AU123">
        <v>0</v>
      </c>
      <c r="AV123">
        <v>0</v>
      </c>
      <c r="AW123" t="s">
        <v>11</v>
      </c>
      <c r="AX123">
        <f>Tabla1[[#This Row],[precio del paquete]]-Tabla1[[#This Row],[Saldo_Deudor]]</f>
        <v>600</v>
      </c>
      <c r="AY123">
        <v>14200</v>
      </c>
      <c r="AZ123" t="s">
        <v>3</v>
      </c>
      <c r="BA123" t="s">
        <v>3</v>
      </c>
      <c r="BB123" t="s">
        <v>3</v>
      </c>
      <c r="BC123" t="s">
        <v>912</v>
      </c>
      <c r="BD123" t="s">
        <v>1601</v>
      </c>
      <c r="BE123">
        <v>0</v>
      </c>
      <c r="BF123">
        <v>0</v>
      </c>
      <c r="BG123">
        <v>0</v>
      </c>
      <c r="BH123">
        <v>0</v>
      </c>
      <c r="BI123">
        <v>0</v>
      </c>
      <c r="BJ123" t="s">
        <v>1657</v>
      </c>
      <c r="BK123">
        <v>0</v>
      </c>
      <c r="BL123" t="s">
        <v>132</v>
      </c>
      <c r="BM123">
        <v>0</v>
      </c>
      <c r="BN123">
        <f>Tabla1[[#This Row],[precio del paquete]]</f>
        <v>14800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1661</v>
      </c>
      <c r="CD123" t="str" cm="1">
        <f t="array" aca="1" ref="CD123" ca="1">eConcatenar(A123:CB123,"|")</f>
        <v>2ybN2II09AGdfSVH|VSA2021-1986|3|MEMORIAL|TABASCO|VILLAHERMOSA|VILLAHERMOSA|2021-12-31|14800|x|x|100|1|0|0|0|0|0|0|0|0|0|0|0|0|0|0|HERNANDEZ|TOSCA|JUAN ANTONIO|soltero|0|0|LIMBANO BLANDIN NUMERO 102|COLONIA GAVIOTAS NORTE|0|9932598126|0|0|0|LIMBANO BLANDIN NUMERO 102|x|lunes|0|0|0|0|0|DOMICILIO |600|14200|x|x|x|2022-08-03|2022-08-10|0|0|0|0|0|QYD9TF2W9KVTQO|0|HOMBRE|0|14800|0|0|0|0|0|0|0|0|CARDENAS|X|X|X|X|FINAL</v>
      </c>
    </row>
    <row r="124" spans="1:82" x14ac:dyDescent="0.25">
      <c r="A124" t="s">
        <v>258</v>
      </c>
      <c r="B124" t="s">
        <v>503</v>
      </c>
      <c r="C124">
        <v>3</v>
      </c>
      <c r="D124" t="s">
        <v>634</v>
      </c>
      <c r="E124" t="s">
        <v>643</v>
      </c>
      <c r="F124" t="s">
        <v>644</v>
      </c>
      <c r="G124" t="s">
        <v>644</v>
      </c>
      <c r="H124" t="s">
        <v>892</v>
      </c>
      <c r="I124">
        <v>14800</v>
      </c>
      <c r="J124" t="s">
        <v>3</v>
      </c>
      <c r="K124" t="s">
        <v>3</v>
      </c>
      <c r="L124">
        <v>100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7</v>
      </c>
      <c r="AC124" t="s">
        <v>1183</v>
      </c>
      <c r="AD124" s="18" t="s">
        <v>977</v>
      </c>
      <c r="AE124" t="s">
        <v>1356</v>
      </c>
      <c r="AF124">
        <v>0</v>
      </c>
      <c r="AG124">
        <v>0</v>
      </c>
      <c r="AH124" t="s">
        <v>1463</v>
      </c>
      <c r="AI124" t="s">
        <v>735</v>
      </c>
      <c r="AJ124">
        <v>0</v>
      </c>
      <c r="AK124">
        <v>9931178735</v>
      </c>
      <c r="AL124">
        <v>0</v>
      </c>
      <c r="AM124">
        <v>0</v>
      </c>
      <c r="AN124">
        <v>0</v>
      </c>
      <c r="AO124" t="s">
        <v>1463</v>
      </c>
      <c r="AP124" t="s">
        <v>3</v>
      </c>
      <c r="AQ124" t="s">
        <v>1581</v>
      </c>
      <c r="AR124">
        <v>0</v>
      </c>
      <c r="AS124">
        <v>0</v>
      </c>
      <c r="AT124">
        <v>0</v>
      </c>
      <c r="AU124">
        <v>0</v>
      </c>
      <c r="AV124">
        <v>0</v>
      </c>
      <c r="AW124" t="s">
        <v>11</v>
      </c>
      <c r="AX124">
        <f>Tabla1[[#This Row],[precio del paquete]]-Tabla1[[#This Row],[Saldo_Deudor]]</f>
        <v>1400</v>
      </c>
      <c r="AY124">
        <v>13400</v>
      </c>
      <c r="AZ124" t="s">
        <v>3</v>
      </c>
      <c r="BA124" t="s">
        <v>3</v>
      </c>
      <c r="BB124" t="s">
        <v>3</v>
      </c>
      <c r="BC124" t="s">
        <v>802</v>
      </c>
      <c r="BD124" t="s">
        <v>1603</v>
      </c>
      <c r="BE124">
        <v>0</v>
      </c>
      <c r="BF124">
        <v>0</v>
      </c>
      <c r="BG124">
        <v>0</v>
      </c>
      <c r="BH124">
        <v>0</v>
      </c>
      <c r="BI124">
        <v>0</v>
      </c>
      <c r="BJ124" t="s">
        <v>1657</v>
      </c>
      <c r="BK124">
        <v>0</v>
      </c>
      <c r="BL124" t="s">
        <v>132</v>
      </c>
      <c r="BM124">
        <v>0</v>
      </c>
      <c r="BN124">
        <f>Tabla1[[#This Row],[precio del paquete]]</f>
        <v>14800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1661</v>
      </c>
      <c r="CD124" t="str" cm="1">
        <f t="array" aca="1" ref="CD124" ca="1">eConcatenar(A124:CB124,"|")</f>
        <v>ssBPix9lQ0a8nhZc|VSA2021-1741|3|MEMORIAL|TABASCO|VILLAHERMOSA|VILLAHERMOSA|2021-10-20|14800|x|x|100|1|0|0|0|0|0|0|0|0|0|0|0|0|0|0|LOPEZ|ALONSO|ABEL|soltero|0|0|CERRADA MANUEL RAMOS |COLONIA LA LIMA|0|9931178735|0|0|0|CERRADA MANUEL RAMOS |x|lunes|0|0|0|0|0|DOMICILIO |1400|13400|x|x|x|2022-07-03|2022-07-10|0|0|0|0|0|QYD9TF2W9KVTQO|0|HOMBRE|0|14800|0|0|0|0|0|0|0|0|CARDENAS|X|X|X|X|FINAL</v>
      </c>
    </row>
    <row r="125" spans="1:82" x14ac:dyDescent="0.25">
      <c r="A125" t="s">
        <v>259</v>
      </c>
      <c r="B125" t="s">
        <v>504</v>
      </c>
      <c r="C125">
        <v>3</v>
      </c>
      <c r="D125" t="s">
        <v>641</v>
      </c>
      <c r="E125" t="s">
        <v>643</v>
      </c>
      <c r="F125" t="s">
        <v>644</v>
      </c>
      <c r="G125" t="s">
        <v>644</v>
      </c>
      <c r="H125" t="s">
        <v>893</v>
      </c>
      <c r="I125">
        <v>11500</v>
      </c>
      <c r="J125" t="s">
        <v>3</v>
      </c>
      <c r="K125" t="s">
        <v>3</v>
      </c>
      <c r="L125">
        <v>100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0</v>
      </c>
      <c r="AC125" t="s">
        <v>7</v>
      </c>
      <c r="AD125" s="18" t="s">
        <v>1184</v>
      </c>
      <c r="AE125" t="s">
        <v>1356</v>
      </c>
      <c r="AF125">
        <v>0</v>
      </c>
      <c r="AG125">
        <v>0</v>
      </c>
      <c r="AH125" t="s">
        <v>1464</v>
      </c>
      <c r="AI125" t="s">
        <v>667</v>
      </c>
      <c r="AJ125">
        <v>0</v>
      </c>
      <c r="AK125">
        <v>9931040545</v>
      </c>
      <c r="AL125">
        <v>0</v>
      </c>
      <c r="AM125">
        <v>0</v>
      </c>
      <c r="AN125">
        <v>0</v>
      </c>
      <c r="AO125" t="s">
        <v>1464</v>
      </c>
      <c r="AP125" t="s">
        <v>3</v>
      </c>
      <c r="AQ125" t="s">
        <v>1581</v>
      </c>
      <c r="AR125">
        <v>0</v>
      </c>
      <c r="AS125">
        <v>0</v>
      </c>
      <c r="AT125">
        <v>0</v>
      </c>
      <c r="AU125">
        <v>0</v>
      </c>
      <c r="AV125">
        <v>0</v>
      </c>
      <c r="AW125" t="s">
        <v>11</v>
      </c>
      <c r="AX125">
        <f>Tabla1[[#This Row],[precio del paquete]]-Tabla1[[#This Row],[Saldo_Deudor]]</f>
        <v>8450</v>
      </c>
      <c r="AY125">
        <v>3050</v>
      </c>
      <c r="AZ125" t="s">
        <v>3</v>
      </c>
      <c r="BA125" t="s">
        <v>3</v>
      </c>
      <c r="BB125" t="s">
        <v>3</v>
      </c>
      <c r="BC125" t="s">
        <v>895</v>
      </c>
      <c r="BD125" t="s">
        <v>1604</v>
      </c>
      <c r="BE125">
        <v>0</v>
      </c>
      <c r="BF125">
        <v>0</v>
      </c>
      <c r="BG125">
        <v>0</v>
      </c>
      <c r="BH125">
        <v>0</v>
      </c>
      <c r="BI125">
        <v>0</v>
      </c>
      <c r="BJ125" t="s">
        <v>1657</v>
      </c>
      <c r="BK125">
        <v>0</v>
      </c>
      <c r="BL125" t="s">
        <v>132</v>
      </c>
      <c r="BM125">
        <v>0</v>
      </c>
      <c r="BN125">
        <f>Tabla1[[#This Row],[precio del paquete]]</f>
        <v>11500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1661</v>
      </c>
      <c r="CD125" t="str" cm="1">
        <f t="array" aca="1" ref="CD125" ca="1">eConcatenar(A125:CB125,"|")</f>
        <v>xjDZBlqTbtinV0im|VSA2016-1037|3|ECONOLINE|TABASCO|VILLAHERMOSA|VILLAHERMOSA|2016-07-18|11500|x|x|100|1|0|0|0|0|0|0|0|0|0|0|0|0|0|0|CARDENAS|LOPEZ|OCTAVIANO AUGUSTO|soltero|0|0|DENTISTA 610 POR TORTILLERIA LA PASADITA|COLONIA GAVIOTAS SUR|0|9931040545|0|0|0|DENTISTA 610 POR TORTILLERIA LA PASADITA|x|lunes|0|0|0|0|0|DOMICILIO |8450|3050|x|x|x|2022-03-03|2022-03-10|0|0|0|0|0|QYD9TF2W9KVTQO|0|HOMBRE|0|11500|0|0|0|0|0|0|0|0|CARDENAS|X|X|X|X|FINAL</v>
      </c>
    </row>
    <row r="126" spans="1:82" x14ac:dyDescent="0.25">
      <c r="A126" t="s">
        <v>260</v>
      </c>
      <c r="B126" t="s">
        <v>505</v>
      </c>
      <c r="C126">
        <v>3</v>
      </c>
      <c r="D126" t="s">
        <v>634</v>
      </c>
      <c r="E126" t="s">
        <v>643</v>
      </c>
      <c r="F126" t="s">
        <v>644</v>
      </c>
      <c r="G126" t="s">
        <v>644</v>
      </c>
      <c r="H126" t="s">
        <v>836</v>
      </c>
      <c r="I126">
        <v>14800</v>
      </c>
      <c r="J126" t="s">
        <v>3</v>
      </c>
      <c r="K126" t="s">
        <v>3</v>
      </c>
      <c r="L126">
        <v>100</v>
      </c>
      <c r="M126">
        <v>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985</v>
      </c>
      <c r="AC126" t="s">
        <v>1185</v>
      </c>
      <c r="AD126" s="18" t="s">
        <v>1122</v>
      </c>
      <c r="AE126" t="s">
        <v>1356</v>
      </c>
      <c r="AF126">
        <v>0</v>
      </c>
      <c r="AG126">
        <v>0</v>
      </c>
      <c r="AH126" t="s">
        <v>1465</v>
      </c>
      <c r="AI126" t="s">
        <v>670</v>
      </c>
      <c r="AJ126">
        <v>0</v>
      </c>
      <c r="AK126">
        <v>9934858517</v>
      </c>
      <c r="AL126">
        <v>0</v>
      </c>
      <c r="AM126">
        <v>0</v>
      </c>
      <c r="AN126">
        <v>0</v>
      </c>
      <c r="AO126" t="s">
        <v>1465</v>
      </c>
      <c r="AP126" t="s">
        <v>3</v>
      </c>
      <c r="AQ126" t="s">
        <v>1581</v>
      </c>
      <c r="AR126">
        <v>0</v>
      </c>
      <c r="AS126">
        <v>0</v>
      </c>
      <c r="AT126">
        <v>0</v>
      </c>
      <c r="AU126">
        <v>0</v>
      </c>
      <c r="AV126">
        <v>0</v>
      </c>
      <c r="AW126" t="s">
        <v>11</v>
      </c>
      <c r="AX126">
        <f>Tabla1[[#This Row],[precio del paquete]]-Tabla1[[#This Row],[Saldo_Deudor]]</f>
        <v>1600</v>
      </c>
      <c r="AY126">
        <v>13200</v>
      </c>
      <c r="AZ126" t="s">
        <v>3</v>
      </c>
      <c r="BA126" t="s">
        <v>3</v>
      </c>
      <c r="BB126" t="s">
        <v>3</v>
      </c>
      <c r="BC126" t="s">
        <v>912</v>
      </c>
      <c r="BD126" t="s">
        <v>1601</v>
      </c>
      <c r="BE126">
        <v>0</v>
      </c>
      <c r="BF126">
        <v>0</v>
      </c>
      <c r="BG126">
        <v>0</v>
      </c>
      <c r="BH126">
        <v>0</v>
      </c>
      <c r="BI126">
        <v>0</v>
      </c>
      <c r="BJ126" t="s">
        <v>1657</v>
      </c>
      <c r="BK126">
        <v>0</v>
      </c>
      <c r="BL126" t="s">
        <v>132</v>
      </c>
      <c r="BM126">
        <v>0</v>
      </c>
      <c r="BN126">
        <f>Tabla1[[#This Row],[precio del paquete]]</f>
        <v>14800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1661</v>
      </c>
      <c r="CD126" t="str" cm="1">
        <f t="array" aca="1" ref="CD126" ca="1">eConcatenar(A126:CB126,"|")</f>
        <v>kWgxBVZmEp2BXAJ1|VSA2021-1849|3|MEMORIAL|TABASCO|VILLAHERMOSA|VILLAHERMOSA|2021-12-11|14800|x|x|100|1|0|0|0|0|0|0|0|0|0|0|0|0|0|0|PEREZ|NARANJO|PIEDAD|soltero|0|0|ABARORTES VAZQUEZ ENTRE CALLE AFRICA Y MEXICO|COLONIA GAVIOTAS SUR SECTOR SAN JOSE|0|9934858517|0|0|0|ABARORTES VAZQUEZ ENTRE CALLE AFRICA Y MEXICO|x|lunes|0|0|0|0|0|DOMICILIO |1600|13200|x|x|x|2022-08-03|2022-08-10|0|0|0|0|0|QYD9TF2W9KVTQO|0|HOMBRE|0|14800|0|0|0|0|0|0|0|0|CARDENAS|X|X|X|X|FINAL</v>
      </c>
    </row>
    <row r="127" spans="1:82" x14ac:dyDescent="0.25">
      <c r="A127" t="s">
        <v>261</v>
      </c>
      <c r="B127" t="s">
        <v>506</v>
      </c>
      <c r="C127">
        <v>3</v>
      </c>
      <c r="D127" t="s">
        <v>634</v>
      </c>
      <c r="E127" t="s">
        <v>643</v>
      </c>
      <c r="F127" t="s">
        <v>644</v>
      </c>
      <c r="G127" t="s">
        <v>644</v>
      </c>
      <c r="H127" t="s">
        <v>894</v>
      </c>
      <c r="I127">
        <v>14800</v>
      </c>
      <c r="J127" t="s">
        <v>3</v>
      </c>
      <c r="K127" t="s">
        <v>3</v>
      </c>
      <c r="L127">
        <v>100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1186</v>
      </c>
      <c r="AC127" t="s">
        <v>1187</v>
      </c>
      <c r="AD127" s="18" t="s">
        <v>1188</v>
      </c>
      <c r="AE127" t="s">
        <v>1356</v>
      </c>
      <c r="AF127">
        <v>0</v>
      </c>
      <c r="AG127">
        <v>0</v>
      </c>
      <c r="AH127" t="s">
        <v>1466</v>
      </c>
      <c r="AI127" t="s">
        <v>736</v>
      </c>
      <c r="AJ127">
        <v>0</v>
      </c>
      <c r="AK127">
        <v>9931016087</v>
      </c>
      <c r="AL127">
        <v>0</v>
      </c>
      <c r="AM127">
        <v>0</v>
      </c>
      <c r="AN127">
        <v>0</v>
      </c>
      <c r="AO127" t="s">
        <v>1466</v>
      </c>
      <c r="AP127" t="s">
        <v>3</v>
      </c>
      <c r="AQ127" t="s">
        <v>1581</v>
      </c>
      <c r="AR127">
        <v>0</v>
      </c>
      <c r="AS127">
        <v>0</v>
      </c>
      <c r="AT127">
        <v>0</v>
      </c>
      <c r="AU127">
        <v>0</v>
      </c>
      <c r="AV127">
        <v>0</v>
      </c>
      <c r="AW127" t="s">
        <v>11</v>
      </c>
      <c r="AX127">
        <f>Tabla1[[#This Row],[precio del paquete]]-Tabla1[[#This Row],[Saldo_Deudor]]</f>
        <v>1600</v>
      </c>
      <c r="AY127">
        <v>13200</v>
      </c>
      <c r="AZ127" t="s">
        <v>3</v>
      </c>
      <c r="BA127" t="s">
        <v>3</v>
      </c>
      <c r="BB127" t="s">
        <v>3</v>
      </c>
      <c r="BC127" t="s">
        <v>912</v>
      </c>
      <c r="BD127" t="s">
        <v>1601</v>
      </c>
      <c r="BE127">
        <v>0</v>
      </c>
      <c r="BF127">
        <v>0</v>
      </c>
      <c r="BG127">
        <v>0</v>
      </c>
      <c r="BH127">
        <v>0</v>
      </c>
      <c r="BI127">
        <v>0</v>
      </c>
      <c r="BJ127" t="s">
        <v>1657</v>
      </c>
      <c r="BK127">
        <v>0</v>
      </c>
      <c r="BL127" t="s">
        <v>132</v>
      </c>
      <c r="BM127">
        <v>0</v>
      </c>
      <c r="BN127">
        <f>Tabla1[[#This Row],[precio del paquete]]</f>
        <v>14800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1661</v>
      </c>
      <c r="CD127" t="str" cm="1">
        <f t="array" aca="1" ref="CD127" ca="1">eConcatenar(A127:CB127,"|")</f>
        <v>ExUC5OHs6m8kKEwN|VSA2021-1772|3|MEMORIAL|TABASCO|VILLAHERMOSA|VILLAHERMOSA|2021-10-27|14800|x|x|100|1|0|0|0|0|0|0|0|0|0|0|0|0|0|0|ZURITA|CALCANEO|CANDELARIO|soltero|0|0|CALLE GEOLOGOS NUMERO 216|COLONIA GAVIOTAS SUR SECTOR EXPLANADA|0|9931016087|0|0|0|CALLE GEOLOGOS NUMERO 216|x|lunes|0|0|0|0|0|DOMICILIO |1600|13200|x|x|x|2022-08-03|2022-08-10|0|0|0|0|0|QYD9TF2W9KVTQO|0|HOMBRE|0|14800|0|0|0|0|0|0|0|0|CARDENAS|X|X|X|X|FINAL</v>
      </c>
    </row>
    <row r="128" spans="1:82" x14ac:dyDescent="0.25">
      <c r="A128" t="s">
        <v>262</v>
      </c>
      <c r="B128" t="s">
        <v>507</v>
      </c>
      <c r="C128">
        <v>3</v>
      </c>
      <c r="D128" t="s">
        <v>634</v>
      </c>
      <c r="E128" t="s">
        <v>643</v>
      </c>
      <c r="F128" t="s">
        <v>644</v>
      </c>
      <c r="G128" t="s">
        <v>644</v>
      </c>
      <c r="H128" t="s">
        <v>888</v>
      </c>
      <c r="I128">
        <v>14800</v>
      </c>
      <c r="J128" t="s">
        <v>3</v>
      </c>
      <c r="K128" t="s">
        <v>3</v>
      </c>
      <c r="L128">
        <v>100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985</v>
      </c>
      <c r="AC128" t="s">
        <v>966</v>
      </c>
      <c r="AD128" s="18" t="s">
        <v>1039</v>
      </c>
      <c r="AE128" t="s">
        <v>1356</v>
      </c>
      <c r="AF128">
        <v>0</v>
      </c>
      <c r="AG128">
        <v>0</v>
      </c>
      <c r="AH128" t="s">
        <v>1467</v>
      </c>
      <c r="AI128" t="s">
        <v>676</v>
      </c>
      <c r="AJ128">
        <v>0</v>
      </c>
      <c r="AK128">
        <v>9932239388</v>
      </c>
      <c r="AL128">
        <v>0</v>
      </c>
      <c r="AM128">
        <v>0</v>
      </c>
      <c r="AN128">
        <v>0</v>
      </c>
      <c r="AO128" t="s">
        <v>1467</v>
      </c>
      <c r="AP128" t="s">
        <v>3</v>
      </c>
      <c r="AQ128" t="s">
        <v>1581</v>
      </c>
      <c r="AR128">
        <v>0</v>
      </c>
      <c r="AS128">
        <v>0</v>
      </c>
      <c r="AT128">
        <v>0</v>
      </c>
      <c r="AU128">
        <v>0</v>
      </c>
      <c r="AV128">
        <v>0</v>
      </c>
      <c r="AW128" t="s">
        <v>11</v>
      </c>
      <c r="AX128">
        <f>Tabla1[[#This Row],[precio del paquete]]-Tabla1[[#This Row],[Saldo_Deudor]]</f>
        <v>2000</v>
      </c>
      <c r="AY128">
        <v>12800</v>
      </c>
      <c r="AZ128" t="s">
        <v>3</v>
      </c>
      <c r="BA128" t="s">
        <v>3</v>
      </c>
      <c r="BB128" t="s">
        <v>3</v>
      </c>
      <c r="BC128" t="s">
        <v>912</v>
      </c>
      <c r="BD128" t="s">
        <v>1601</v>
      </c>
      <c r="BE128">
        <v>0</v>
      </c>
      <c r="BF128">
        <v>0</v>
      </c>
      <c r="BG128">
        <v>0</v>
      </c>
      <c r="BH128">
        <v>0</v>
      </c>
      <c r="BI128">
        <v>0</v>
      </c>
      <c r="BJ128" t="s">
        <v>1657</v>
      </c>
      <c r="BK128">
        <v>0</v>
      </c>
      <c r="BL128" t="s">
        <v>132</v>
      </c>
      <c r="BM128">
        <v>0</v>
      </c>
      <c r="BN128">
        <f>Tabla1[[#This Row],[precio del paquete]]</f>
        <v>14800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1661</v>
      </c>
      <c r="CD128" t="str" cm="1">
        <f t="array" aca="1" ref="CD128" ca="1">eConcatenar(A128:CB128,"|")</f>
        <v>osHQV9cv3VjvXGlB|VSA2021-1649|3|MEMORIAL|TABASCO|VILLAHERMOSA|VILLAHERMOSA|2021-01-10|14800|x|x|100|1|0|0|0|0|0|0|0|0|0|0|0|0|0|0|PEREZ|SANCHEZ|GUADALUPE|soltero|0|0|CALLE PEPE DEL RIVERO NUMERO 908|COLONIA GAVIOTAS NORTE|0|9932239388|0|0|0|CALLE PEPE DEL RIVERO NUMERO 908|x|lunes|0|0|0|0|0|DOMICILIO |2000|12800|x|x|x|2022-08-03|2022-08-10|0|0|0|0|0|QYD9TF2W9KVTQO|0|HOMBRE|0|14800|0|0|0|0|0|0|0|0|CARDENAS|X|X|X|X|FINAL</v>
      </c>
    </row>
    <row r="129" spans="1:82" x14ac:dyDescent="0.25">
      <c r="A129" t="s">
        <v>263</v>
      </c>
      <c r="B129" t="s">
        <v>508</v>
      </c>
      <c r="C129">
        <v>3</v>
      </c>
      <c r="D129" t="s">
        <v>636</v>
      </c>
      <c r="E129" t="s">
        <v>643</v>
      </c>
      <c r="F129" t="s">
        <v>644</v>
      </c>
      <c r="G129" t="s">
        <v>644</v>
      </c>
      <c r="H129" t="s">
        <v>895</v>
      </c>
      <c r="I129">
        <v>24500</v>
      </c>
      <c r="J129" t="s">
        <v>3</v>
      </c>
      <c r="K129" t="s">
        <v>3</v>
      </c>
      <c r="L129">
        <v>100</v>
      </c>
      <c r="M129">
        <v>1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1189</v>
      </c>
      <c r="AC129" t="s">
        <v>1151</v>
      </c>
      <c r="AD129" s="18" t="s">
        <v>1190</v>
      </c>
      <c r="AE129" t="s">
        <v>1356</v>
      </c>
      <c r="AF129">
        <v>0</v>
      </c>
      <c r="AG129">
        <v>0</v>
      </c>
      <c r="AH129" t="s">
        <v>1468</v>
      </c>
      <c r="AI129" t="s">
        <v>667</v>
      </c>
      <c r="AJ129">
        <v>0</v>
      </c>
      <c r="AK129">
        <v>9932064547</v>
      </c>
      <c r="AL129">
        <v>0</v>
      </c>
      <c r="AM129">
        <v>0</v>
      </c>
      <c r="AN129">
        <v>0</v>
      </c>
      <c r="AO129" t="s">
        <v>1468</v>
      </c>
      <c r="AP129" t="s">
        <v>3</v>
      </c>
      <c r="AQ129" t="s">
        <v>1581</v>
      </c>
      <c r="AR129">
        <v>0</v>
      </c>
      <c r="AS129">
        <v>0</v>
      </c>
      <c r="AT129">
        <v>0</v>
      </c>
      <c r="AU129">
        <v>0</v>
      </c>
      <c r="AV129">
        <v>0</v>
      </c>
      <c r="AW129" t="s">
        <v>11</v>
      </c>
      <c r="AX129">
        <f>Tabla1[[#This Row],[precio del paquete]]-Tabla1[[#This Row],[Saldo_Deudor]]</f>
        <v>200</v>
      </c>
      <c r="AY129">
        <v>24300</v>
      </c>
      <c r="AZ129" t="s">
        <v>3</v>
      </c>
      <c r="BA129" t="s">
        <v>3</v>
      </c>
      <c r="BB129" t="s">
        <v>3</v>
      </c>
      <c r="BC129" t="s">
        <v>895</v>
      </c>
      <c r="BD129" t="s">
        <v>1604</v>
      </c>
      <c r="BE129">
        <v>0</v>
      </c>
      <c r="BF129">
        <v>0</v>
      </c>
      <c r="BG129">
        <v>0</v>
      </c>
      <c r="BH129">
        <v>0</v>
      </c>
      <c r="BI129">
        <v>0</v>
      </c>
      <c r="BJ129" t="s">
        <v>1657</v>
      </c>
      <c r="BK129">
        <v>0</v>
      </c>
      <c r="BL129" t="s">
        <v>132</v>
      </c>
      <c r="BM129">
        <v>0</v>
      </c>
      <c r="BN129">
        <f>Tabla1[[#This Row],[precio del paquete]]</f>
        <v>24500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1661</v>
      </c>
      <c r="CD129" t="str" cm="1">
        <f t="array" aca="1" ref="CD129" ca="1">eConcatenar(A129:CB129,"|")</f>
        <v>bSmq6E6Y9uqQR3Jt|VSA2022-0239|3|DIGNITY|TABASCO|VILLAHERMOSA|VILLAHERMOSA|2022-03-03|24500|x|x|100|1|0|0|0|0|0|0|0|0|0|0|0|0|0|0|ALAMILLA|LEON|ANA BERTA|soltero|0|0|CALLE ASTROLOGOS 421 B|COLONIA GAVIOTAS SUR|0|9932064547|0|0|0|CALLE ASTROLOGOS 421 B|x|lunes|0|0|0|0|0|DOMICILIO |200|24300|x|x|x|2022-03-03|2022-03-10|0|0|0|0|0|QYD9TF2W9KVTQO|0|HOMBRE|0|24500|0|0|0|0|0|0|0|0|CARDENAS|X|X|X|X|FINAL</v>
      </c>
    </row>
    <row r="130" spans="1:82" x14ac:dyDescent="0.25">
      <c r="A130" t="s">
        <v>264</v>
      </c>
      <c r="B130" t="s">
        <v>509</v>
      </c>
      <c r="C130">
        <v>3</v>
      </c>
      <c r="D130" t="s">
        <v>634</v>
      </c>
      <c r="E130" t="s">
        <v>643</v>
      </c>
      <c r="F130" t="s">
        <v>644</v>
      </c>
      <c r="G130" t="s">
        <v>644</v>
      </c>
      <c r="H130" t="s">
        <v>895</v>
      </c>
      <c r="I130">
        <v>14800</v>
      </c>
      <c r="J130" t="s">
        <v>3</v>
      </c>
      <c r="K130" t="s">
        <v>3</v>
      </c>
      <c r="L130">
        <v>100</v>
      </c>
      <c r="M130">
        <v>1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985</v>
      </c>
      <c r="AC130" t="s">
        <v>7</v>
      </c>
      <c r="AD130" s="18" t="s">
        <v>1191</v>
      </c>
      <c r="AE130" t="s">
        <v>1356</v>
      </c>
      <c r="AF130">
        <v>0</v>
      </c>
      <c r="AG130">
        <v>0</v>
      </c>
      <c r="AH130" t="s">
        <v>1469</v>
      </c>
      <c r="AI130" t="s">
        <v>737</v>
      </c>
      <c r="AJ130">
        <v>0</v>
      </c>
      <c r="AK130">
        <v>9931597867</v>
      </c>
      <c r="AL130">
        <v>0</v>
      </c>
      <c r="AM130">
        <v>0</v>
      </c>
      <c r="AN130">
        <v>0</v>
      </c>
      <c r="AO130" t="s">
        <v>1469</v>
      </c>
      <c r="AP130" t="s">
        <v>3</v>
      </c>
      <c r="AQ130" t="s">
        <v>1581</v>
      </c>
      <c r="AR130">
        <v>0</v>
      </c>
      <c r="AS130">
        <v>0</v>
      </c>
      <c r="AT130">
        <v>0</v>
      </c>
      <c r="AU130">
        <v>0</v>
      </c>
      <c r="AV130">
        <v>0</v>
      </c>
      <c r="AW130" t="s">
        <v>11</v>
      </c>
      <c r="AX130">
        <f>Tabla1[[#This Row],[precio del paquete]]-Tabla1[[#This Row],[Saldo_Deudor]]</f>
        <v>200</v>
      </c>
      <c r="AY130">
        <v>14600</v>
      </c>
      <c r="AZ130" t="s">
        <v>3</v>
      </c>
      <c r="BA130" t="s">
        <v>3</v>
      </c>
      <c r="BB130" t="s">
        <v>3</v>
      </c>
      <c r="BC130" t="s">
        <v>895</v>
      </c>
      <c r="BD130" t="s">
        <v>1604</v>
      </c>
      <c r="BE130">
        <v>0</v>
      </c>
      <c r="BF130">
        <v>0</v>
      </c>
      <c r="BG130">
        <v>0</v>
      </c>
      <c r="BH130">
        <v>0</v>
      </c>
      <c r="BI130">
        <v>0</v>
      </c>
      <c r="BJ130" t="s">
        <v>1657</v>
      </c>
      <c r="BK130">
        <v>0</v>
      </c>
      <c r="BL130" t="s">
        <v>132</v>
      </c>
      <c r="BM130">
        <v>0</v>
      </c>
      <c r="BN130">
        <f>Tabla1[[#This Row],[precio del paquete]]</f>
        <v>14800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1661</v>
      </c>
      <c r="CD130" t="str" cm="1">
        <f t="array" aca="1" ref="CD130" ca="1">eConcatenar(A130:CB130,"|")</f>
        <v>ARTJBSb90qDMX8fU|VSA2022-0242|3|MEMORIAL|TABASCO|VILLAHERMOSA|VILLAHERMOSA|2022-03-03|14800|x|x|100|1|0|0|0|0|0|0|0|0|0|0|0|0|0|0|PEREZ|LOPEZ|ANDREZ|soltero|0|0|ENTRADA A TIERRA ADENTRO SIN NUMERO|RANCHERIA ALVARADO ESTRADA|0|9931597867|0|0|0|ENTRADA A TIERRA ADENTRO SIN NUMERO|x|lunes|0|0|0|0|0|DOMICILIO |200|14600|x|x|x|2022-03-03|2022-03-10|0|0|0|0|0|QYD9TF2W9KVTQO|0|HOMBRE|0|14800|0|0|0|0|0|0|0|0|CARDENAS|X|X|X|X|FINAL</v>
      </c>
    </row>
    <row r="131" spans="1:82" x14ac:dyDescent="0.25">
      <c r="A131" t="s">
        <v>265</v>
      </c>
      <c r="B131" t="s">
        <v>510</v>
      </c>
      <c r="C131">
        <v>3</v>
      </c>
      <c r="D131" t="s">
        <v>634</v>
      </c>
      <c r="E131" t="s">
        <v>643</v>
      </c>
      <c r="F131" t="s">
        <v>644</v>
      </c>
      <c r="G131" t="s">
        <v>644</v>
      </c>
      <c r="H131" t="s">
        <v>896</v>
      </c>
      <c r="I131">
        <v>14800</v>
      </c>
      <c r="J131" t="s">
        <v>3</v>
      </c>
      <c r="K131" t="s">
        <v>3</v>
      </c>
      <c r="L131">
        <v>100</v>
      </c>
      <c r="M131">
        <v>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1067</v>
      </c>
      <c r="AC131" t="s">
        <v>1070</v>
      </c>
      <c r="AD131" s="18" t="s">
        <v>1192</v>
      </c>
      <c r="AE131" t="s">
        <v>1356</v>
      </c>
      <c r="AF131">
        <v>0</v>
      </c>
      <c r="AG131">
        <v>0</v>
      </c>
      <c r="AH131" t="s">
        <v>1470</v>
      </c>
      <c r="AI131" t="s">
        <v>722</v>
      </c>
      <c r="AJ131">
        <v>0</v>
      </c>
      <c r="AK131">
        <v>9932199296</v>
      </c>
      <c r="AL131">
        <v>0</v>
      </c>
      <c r="AM131">
        <v>0</v>
      </c>
      <c r="AN131">
        <v>0</v>
      </c>
      <c r="AO131" t="s">
        <v>1470</v>
      </c>
      <c r="AP131" t="s">
        <v>3</v>
      </c>
      <c r="AQ131" t="s">
        <v>1581</v>
      </c>
      <c r="AR131">
        <v>0</v>
      </c>
      <c r="AS131">
        <v>0</v>
      </c>
      <c r="AT131">
        <v>0</v>
      </c>
      <c r="AU131">
        <v>0</v>
      </c>
      <c r="AV131">
        <v>0</v>
      </c>
      <c r="AW131" t="s">
        <v>11</v>
      </c>
      <c r="AX131">
        <f>Tabla1[[#This Row],[precio del paquete]]-Tabla1[[#This Row],[Saldo_Deudor]]</f>
        <v>200</v>
      </c>
      <c r="AY131">
        <v>14600</v>
      </c>
      <c r="AZ131" t="s">
        <v>3</v>
      </c>
      <c r="BA131" t="s">
        <v>3</v>
      </c>
      <c r="BB131" t="s">
        <v>3</v>
      </c>
      <c r="BC131" t="s">
        <v>1585</v>
      </c>
      <c r="BD131" t="s">
        <v>1586</v>
      </c>
      <c r="BE131">
        <v>0</v>
      </c>
      <c r="BF131">
        <v>0</v>
      </c>
      <c r="BG131">
        <v>0</v>
      </c>
      <c r="BH131">
        <v>0</v>
      </c>
      <c r="BI131">
        <v>0</v>
      </c>
      <c r="BJ131" t="s">
        <v>1657</v>
      </c>
      <c r="BK131">
        <v>0</v>
      </c>
      <c r="BL131" t="s">
        <v>132</v>
      </c>
      <c r="BM131">
        <v>0</v>
      </c>
      <c r="BN131">
        <f>Tabla1[[#This Row],[precio del paquete]]</f>
        <v>14800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1661</v>
      </c>
      <c r="CD131" t="str" cm="1">
        <f t="array" aca="1" ref="CD131" ca="1">eConcatenar(A131:CB131,"|")</f>
        <v>YUb99Y2jEgcyiLLZ|VSA2022-0265|3|MEMORIAL|TABASCO|VILLAHERMOSA|VILLAHERMOSA|2022-07-02|14800|x|x|100|1|0|0|0|0|0|0|0|0|0|0|0|0|0|0|GARCIA|GONZALEZ|BRIGADA|soltero|0|0|CALLE EMILIANO ZAPATA 101|VILLA PLAYAS DEL ROSARIO CENTRO|0|9932199296|0|0|0|CALLE EMILIANO ZAPATA 101|x|lunes|0|0|0|0|0|DOMICILIO |200|14600|x|x|x|2022-04-03|2022-04-10|0|0|0|0|0|QYD9TF2W9KVTQO|0|HOMBRE|0|14800|0|0|0|0|0|0|0|0|CARDENAS|X|X|X|X|FINAL</v>
      </c>
    </row>
    <row r="132" spans="1:82" x14ac:dyDescent="0.25">
      <c r="A132" t="s">
        <v>266</v>
      </c>
      <c r="B132" t="s">
        <v>511</v>
      </c>
      <c r="C132">
        <v>3</v>
      </c>
      <c r="D132" t="s">
        <v>634</v>
      </c>
      <c r="E132" t="s">
        <v>643</v>
      </c>
      <c r="F132" t="s">
        <v>644</v>
      </c>
      <c r="G132" t="s">
        <v>644</v>
      </c>
      <c r="H132" t="s">
        <v>839</v>
      </c>
      <c r="I132">
        <v>14800</v>
      </c>
      <c r="J132" t="s">
        <v>3</v>
      </c>
      <c r="K132" t="s">
        <v>3</v>
      </c>
      <c r="L132">
        <v>100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985</v>
      </c>
      <c r="AC132" t="s">
        <v>1041</v>
      </c>
      <c r="AD132" s="18" t="s">
        <v>1193</v>
      </c>
      <c r="AE132" t="s">
        <v>1356</v>
      </c>
      <c r="AF132">
        <v>0</v>
      </c>
      <c r="AG132">
        <v>0</v>
      </c>
      <c r="AH132" t="s">
        <v>1471</v>
      </c>
      <c r="AI132" t="s">
        <v>722</v>
      </c>
      <c r="AJ132">
        <v>0</v>
      </c>
      <c r="AK132">
        <v>9931353419</v>
      </c>
      <c r="AL132">
        <v>0</v>
      </c>
      <c r="AM132">
        <v>0</v>
      </c>
      <c r="AN132">
        <v>0</v>
      </c>
      <c r="AO132" t="s">
        <v>1471</v>
      </c>
      <c r="AP132" t="s">
        <v>3</v>
      </c>
      <c r="AQ132" t="s">
        <v>1581</v>
      </c>
      <c r="AR132">
        <v>0</v>
      </c>
      <c r="AS132">
        <v>0</v>
      </c>
      <c r="AT132">
        <v>0</v>
      </c>
      <c r="AU132">
        <v>0</v>
      </c>
      <c r="AV132">
        <v>0</v>
      </c>
      <c r="AW132" t="s">
        <v>11</v>
      </c>
      <c r="AX132">
        <f>Tabla1[[#This Row],[precio del paquete]]-Tabla1[[#This Row],[Saldo_Deudor]]</f>
        <v>850</v>
      </c>
      <c r="AY132">
        <v>13950</v>
      </c>
      <c r="AZ132" t="s">
        <v>3</v>
      </c>
      <c r="BA132" t="s">
        <v>3</v>
      </c>
      <c r="BB132" t="s">
        <v>3</v>
      </c>
      <c r="BC132" t="s">
        <v>1611</v>
      </c>
      <c r="BD132" t="s">
        <v>1612</v>
      </c>
      <c r="BE132">
        <v>0</v>
      </c>
      <c r="BF132">
        <v>0</v>
      </c>
      <c r="BG132">
        <v>0</v>
      </c>
      <c r="BH132">
        <v>0</v>
      </c>
      <c r="BI132">
        <v>0</v>
      </c>
      <c r="BJ132" t="s">
        <v>1657</v>
      </c>
      <c r="BK132">
        <v>0</v>
      </c>
      <c r="BL132" t="s">
        <v>132</v>
      </c>
      <c r="BM132">
        <v>0</v>
      </c>
      <c r="BN132">
        <f>Tabla1[[#This Row],[precio del paquete]]</f>
        <v>14800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1661</v>
      </c>
      <c r="CD132" t="str" cm="1">
        <f t="array" aca="1" ref="CD132" ca="1">eConcatenar(A132:CB132,"|")</f>
        <v>V601uEzue6PRr1Cs|VSA2022-0121|3|MEMORIAL|TABASCO|VILLAHERMOSA|VILLAHERMOSA|2022-04-02|14800|x|x|100|0|0|0|0|0|0|0|0|0|0|0|0|0|0|0|PEREZ|JIMENEZ|LUIS GERARDO|soltero|0|0|CALLE TOMAS GARRIDO CANABAL NUMERO 18|VILLA PLAYAS DEL ROSARIO CENTRO|0|9931353419|0|0|0|CALLE TOMAS GARRIDO CANABAL NUMERO 18|x|lunes|0|0|0|0|0|DOMICILIO |850|13950|x|x|x|2022-03-14|2022-03-21|0|0|0|0|0|QYD9TF2W9KVTQO|0|HOMBRE|0|14800|0|0|0|0|0|0|0|0|CARDENAS|X|X|X|X|FINAL</v>
      </c>
    </row>
    <row r="133" spans="1:82" x14ac:dyDescent="0.25">
      <c r="A133" t="s">
        <v>267</v>
      </c>
      <c r="B133" t="s">
        <v>512</v>
      </c>
      <c r="C133">
        <v>3</v>
      </c>
      <c r="D133" t="s">
        <v>634</v>
      </c>
      <c r="E133" t="s">
        <v>643</v>
      </c>
      <c r="F133" t="s">
        <v>644</v>
      </c>
      <c r="G133" t="s">
        <v>644</v>
      </c>
      <c r="H133" t="s">
        <v>897</v>
      </c>
      <c r="I133">
        <v>14800</v>
      </c>
      <c r="J133" t="s">
        <v>3</v>
      </c>
      <c r="K133" t="s">
        <v>3</v>
      </c>
      <c r="L133">
        <v>100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1137</v>
      </c>
      <c r="AC133" t="s">
        <v>1020</v>
      </c>
      <c r="AD133" s="18" t="s">
        <v>1118</v>
      </c>
      <c r="AE133" t="s">
        <v>1356</v>
      </c>
      <c r="AF133">
        <v>0</v>
      </c>
      <c r="AG133">
        <v>0</v>
      </c>
      <c r="AH133" t="s">
        <v>1472</v>
      </c>
      <c r="AI133" t="s">
        <v>667</v>
      </c>
      <c r="AJ133">
        <v>0</v>
      </c>
      <c r="AK133">
        <v>9935589688</v>
      </c>
      <c r="AL133">
        <v>0</v>
      </c>
      <c r="AM133">
        <v>0</v>
      </c>
      <c r="AN133">
        <v>0</v>
      </c>
      <c r="AO133" t="s">
        <v>1472</v>
      </c>
      <c r="AP133" t="s">
        <v>3</v>
      </c>
      <c r="AQ133" t="s">
        <v>1581</v>
      </c>
      <c r="AR133">
        <v>0</v>
      </c>
      <c r="AS133">
        <v>0</v>
      </c>
      <c r="AT133">
        <v>0</v>
      </c>
      <c r="AU133">
        <v>0</v>
      </c>
      <c r="AV133">
        <v>0</v>
      </c>
      <c r="AW133" t="s">
        <v>11</v>
      </c>
      <c r="AX133">
        <f>Tabla1[[#This Row],[precio del paquete]]-Tabla1[[#This Row],[Saldo_Deudor]]</f>
        <v>2000</v>
      </c>
      <c r="AY133">
        <v>12800</v>
      </c>
      <c r="AZ133" t="s">
        <v>3</v>
      </c>
      <c r="BA133" t="s">
        <v>3</v>
      </c>
      <c r="BB133" t="s">
        <v>3</v>
      </c>
      <c r="BC133" t="s">
        <v>1611</v>
      </c>
      <c r="BD133" t="s">
        <v>1612</v>
      </c>
      <c r="BE133">
        <v>0</v>
      </c>
      <c r="BF133">
        <v>0</v>
      </c>
      <c r="BG133">
        <v>0</v>
      </c>
      <c r="BH133">
        <v>0</v>
      </c>
      <c r="BI133">
        <v>0</v>
      </c>
      <c r="BJ133" t="s">
        <v>1657</v>
      </c>
      <c r="BK133">
        <v>0</v>
      </c>
      <c r="BL133" t="s">
        <v>132</v>
      </c>
      <c r="BM133">
        <v>0</v>
      </c>
      <c r="BN133">
        <f>Tabla1[[#This Row],[precio del paquete]]</f>
        <v>14800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1661</v>
      </c>
      <c r="CD133" t="str" cm="1">
        <f t="array" aca="1" ref="CD133" ca="1">eConcatenar(A133:CB133,"|")</f>
        <v>IoY2F0cvym2keAdt|VSA2021-1775|3|MEMORIAL|TABASCO|VILLAHERMOSA|VILLAHERMOSA|2021-10-28|14800|x|x|100|0|0|0|0|0|0|0|0|0|0|0|0|0|0|0|DE DIOS|CRUZ|JOSE MANUEL|soltero|0|0|RIOZ USUMACINTA MANZANA 01 LOTE 4|COLONIA GAVIOTAS SUR|0|9935589688|0|0|0|RIOZ USUMACINTA MANZANA 01 LOTE 4|x|lunes|0|0|0|0|0|DOMICILIO |2000|12800|x|x|x|2022-03-14|2022-03-21|0|0|0|0|0|QYD9TF2W9KVTQO|0|HOMBRE|0|14800|0|0|0|0|0|0|0|0|CARDENAS|X|X|X|X|FINAL</v>
      </c>
    </row>
    <row r="134" spans="1:82" x14ac:dyDescent="0.25">
      <c r="A134" t="s">
        <v>268</v>
      </c>
      <c r="B134" t="s">
        <v>513</v>
      </c>
      <c r="C134">
        <v>3</v>
      </c>
      <c r="D134" t="s">
        <v>634</v>
      </c>
      <c r="E134" t="s">
        <v>643</v>
      </c>
      <c r="F134" t="s">
        <v>644</v>
      </c>
      <c r="G134" t="s">
        <v>644</v>
      </c>
      <c r="H134" t="s">
        <v>898</v>
      </c>
      <c r="I134">
        <v>14800</v>
      </c>
      <c r="J134" t="s">
        <v>3</v>
      </c>
      <c r="K134" t="s">
        <v>3</v>
      </c>
      <c r="L134">
        <v>100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1042</v>
      </c>
      <c r="AC134" t="s">
        <v>1041</v>
      </c>
      <c r="AD134" s="18" t="s">
        <v>1194</v>
      </c>
      <c r="AE134" t="s">
        <v>1356</v>
      </c>
      <c r="AF134">
        <v>0</v>
      </c>
      <c r="AG134">
        <v>0</v>
      </c>
      <c r="AH134" t="s">
        <v>1662</v>
      </c>
      <c r="AI134" t="s">
        <v>667</v>
      </c>
      <c r="AJ134">
        <v>0</v>
      </c>
      <c r="AK134">
        <v>9934321973</v>
      </c>
      <c r="AL134">
        <v>0</v>
      </c>
      <c r="AM134" t="s">
        <v>1663</v>
      </c>
      <c r="AN134">
        <v>0</v>
      </c>
      <c r="AO134" t="s">
        <v>1664</v>
      </c>
      <c r="AP134" t="s">
        <v>3</v>
      </c>
      <c r="AQ134" t="s">
        <v>1581</v>
      </c>
      <c r="AR134">
        <v>0</v>
      </c>
      <c r="AS134">
        <v>0</v>
      </c>
      <c r="AT134">
        <v>0</v>
      </c>
      <c r="AU134">
        <v>0</v>
      </c>
      <c r="AV134">
        <v>0</v>
      </c>
      <c r="AW134" t="s">
        <v>11</v>
      </c>
      <c r="AX134">
        <f>Tabla1[[#This Row],[precio del paquete]]-Tabla1[[#This Row],[Saldo_Deudor]]</f>
        <v>1800</v>
      </c>
      <c r="AY134">
        <v>13000</v>
      </c>
      <c r="AZ134" t="s">
        <v>3</v>
      </c>
      <c r="BA134" t="s">
        <v>3</v>
      </c>
      <c r="BB134" t="s">
        <v>3</v>
      </c>
      <c r="BC134" t="s">
        <v>1611</v>
      </c>
      <c r="BD134" t="s">
        <v>1612</v>
      </c>
      <c r="BE134">
        <v>0</v>
      </c>
      <c r="BF134">
        <v>0</v>
      </c>
      <c r="BG134">
        <v>0</v>
      </c>
      <c r="BH134">
        <v>0</v>
      </c>
      <c r="BI134">
        <v>0</v>
      </c>
      <c r="BJ134" t="s">
        <v>1657</v>
      </c>
      <c r="BK134">
        <v>0</v>
      </c>
      <c r="BL134" t="s">
        <v>132</v>
      </c>
      <c r="BM134">
        <v>0</v>
      </c>
      <c r="BN134">
        <f>Tabla1[[#This Row],[precio del paquete]]</f>
        <v>14800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1661</v>
      </c>
      <c r="CD134" t="str" cm="1">
        <f t="array" aca="1" ref="CD134" ca="1">eConcatenar(A134:CB134,"|")</f>
        <v>5lu9QcyDYQokPTB9|VSA2021-1748|3|MEMORIAL|TABASCO|VILLAHERMOSA|VILLAHERMOSA|2021-10-21|14800|x|x|100|0|0|0|0|0|0|0|0|0|0|0|0|0|0|0|MAGAÃ‘A|JIMENEZ|ABRAHAM|soltero|0|0|CAMINO REAL A SAN JOSE NUMERO 511 |COLONIA GAVIOTAS SUR|0|9934321973|0|FRENTE A LA CASA 516 PASANDO EL PARQUE DE SOLIDARIDAD|0|CAMINO REAL A SAN JOSE NUMERO 511|x|lunes|0|0|0|0|0|DOMICILIO |1800|13000|x|x|x|2022-03-14|2022-03-21|0|0|0|0|0|QYD9TF2W9KVTQO|0|HOMBRE|0|14800|0|0|0|0|0|0|0|0|CARDENAS|X|X|X|X|FINAL</v>
      </c>
    </row>
    <row r="135" spans="1:82" x14ac:dyDescent="0.25">
      <c r="A135" t="s">
        <v>269</v>
      </c>
      <c r="B135" t="s">
        <v>514</v>
      </c>
      <c r="C135">
        <v>3</v>
      </c>
      <c r="D135" t="s">
        <v>634</v>
      </c>
      <c r="E135" t="s">
        <v>643</v>
      </c>
      <c r="F135" t="s">
        <v>644</v>
      </c>
      <c r="G135" t="s">
        <v>644</v>
      </c>
      <c r="H135" t="s">
        <v>831</v>
      </c>
      <c r="I135">
        <v>14800</v>
      </c>
      <c r="J135" t="s">
        <v>3</v>
      </c>
      <c r="K135" t="s">
        <v>3</v>
      </c>
      <c r="L135">
        <v>100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1062</v>
      </c>
      <c r="AC135" t="s">
        <v>7</v>
      </c>
      <c r="AD135" s="18" t="s">
        <v>1039</v>
      </c>
      <c r="AE135" t="s">
        <v>1356</v>
      </c>
      <c r="AF135">
        <v>0</v>
      </c>
      <c r="AG135">
        <v>0</v>
      </c>
      <c r="AH135" t="s">
        <v>1473</v>
      </c>
      <c r="AI135" t="s">
        <v>670</v>
      </c>
      <c r="AJ135">
        <v>0</v>
      </c>
      <c r="AK135">
        <v>9933208246</v>
      </c>
      <c r="AL135">
        <v>0</v>
      </c>
      <c r="AM135">
        <v>0</v>
      </c>
      <c r="AN135">
        <v>0</v>
      </c>
      <c r="AO135" t="s">
        <v>1473</v>
      </c>
      <c r="AP135" t="s">
        <v>3</v>
      </c>
      <c r="AQ135" t="s">
        <v>1581</v>
      </c>
      <c r="AR135">
        <v>0</v>
      </c>
      <c r="AS135">
        <v>0</v>
      </c>
      <c r="AT135">
        <v>0</v>
      </c>
      <c r="AU135">
        <v>0</v>
      </c>
      <c r="AV135">
        <v>0</v>
      </c>
      <c r="AW135" t="s">
        <v>11</v>
      </c>
      <c r="AX135">
        <f>Tabla1[[#This Row],[precio del paquete]]-Tabla1[[#This Row],[Saldo_Deudor]]</f>
        <v>-7600</v>
      </c>
      <c r="AY135">
        <v>22400</v>
      </c>
      <c r="AZ135" t="s">
        <v>3</v>
      </c>
      <c r="BA135" t="s">
        <v>3</v>
      </c>
      <c r="BB135" t="s">
        <v>3</v>
      </c>
      <c r="BC135" t="s">
        <v>1611</v>
      </c>
      <c r="BD135" t="s">
        <v>1612</v>
      </c>
      <c r="BE135">
        <v>0</v>
      </c>
      <c r="BF135">
        <v>0</v>
      </c>
      <c r="BG135">
        <v>0</v>
      </c>
      <c r="BH135">
        <v>0</v>
      </c>
      <c r="BI135">
        <v>0</v>
      </c>
      <c r="BJ135" t="s">
        <v>1657</v>
      </c>
      <c r="BK135">
        <v>0</v>
      </c>
      <c r="BL135" t="s">
        <v>132</v>
      </c>
      <c r="BM135">
        <v>0</v>
      </c>
      <c r="BN135">
        <f>Tabla1[[#This Row],[precio del paquete]]</f>
        <v>14800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1661</v>
      </c>
      <c r="CD135" t="str" cm="1">
        <f t="array" aca="1" ref="CD135" ca="1">eConcatenar(A135:CB135,"|")</f>
        <v>odRrC2iXI7uB2Lpe|VSA2021-1813|3|MEMORIAL|TABASCO|VILLAHERMOSA|VILLAHERMOSA|2021-08-11|14800|x|x|100|0|0|0|0|0|0|0|0|0|0|0|0|0|0|0|ALVAREZ|LOPEZ|GUADALUPE|soltero|0|0|CALLE MUSICOS NUMERO 610|COLONIA GAVIOTAS SUR SECTOR SAN JOSE|0|9933208246|0|0|0|CALLE MUSICOS NUMERO 610|x|lunes|0|0|0|0|0|DOMICILIO |-7600|22400|x|x|x|2022-03-14|2022-03-21|0|0|0|0|0|QYD9TF2W9KVTQO|0|HOMBRE|0|14800|0|0|0|0|0|0|0|0|CARDENAS|X|X|X|X|FINAL</v>
      </c>
    </row>
    <row r="136" spans="1:82" x14ac:dyDescent="0.25">
      <c r="A136" t="s">
        <v>270</v>
      </c>
      <c r="B136" t="s">
        <v>515</v>
      </c>
      <c r="C136">
        <v>3</v>
      </c>
      <c r="D136" t="s">
        <v>641</v>
      </c>
      <c r="E136" t="s">
        <v>643</v>
      </c>
      <c r="F136" t="s">
        <v>644</v>
      </c>
      <c r="G136" t="s">
        <v>644</v>
      </c>
      <c r="H136" t="s">
        <v>899</v>
      </c>
      <c r="I136">
        <v>12900</v>
      </c>
      <c r="J136" t="s">
        <v>3</v>
      </c>
      <c r="K136" t="s">
        <v>3</v>
      </c>
      <c r="L136">
        <v>100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1100</v>
      </c>
      <c r="AC136" t="s">
        <v>1195</v>
      </c>
      <c r="AD136" s="18" t="s">
        <v>1196</v>
      </c>
      <c r="AE136" t="s">
        <v>1356</v>
      </c>
      <c r="AF136">
        <v>0</v>
      </c>
      <c r="AG136">
        <v>0</v>
      </c>
      <c r="AH136" t="s">
        <v>1474</v>
      </c>
      <c r="AI136" t="s">
        <v>667</v>
      </c>
      <c r="AJ136">
        <v>0</v>
      </c>
      <c r="AK136">
        <v>9934478829</v>
      </c>
      <c r="AL136">
        <v>0</v>
      </c>
      <c r="AM136">
        <v>0</v>
      </c>
      <c r="AN136">
        <v>0</v>
      </c>
      <c r="AO136" t="s">
        <v>1474</v>
      </c>
      <c r="AP136" t="s">
        <v>3</v>
      </c>
      <c r="AQ136" t="s">
        <v>1581</v>
      </c>
      <c r="AR136">
        <v>0</v>
      </c>
      <c r="AS136">
        <v>0</v>
      </c>
      <c r="AT136">
        <v>0</v>
      </c>
      <c r="AU136">
        <v>0</v>
      </c>
      <c r="AV136">
        <v>0</v>
      </c>
      <c r="AW136" t="s">
        <v>11</v>
      </c>
      <c r="AX136">
        <f>Tabla1[[#This Row],[precio del paquete]]-Tabla1[[#This Row],[Saldo_Deudor]]</f>
        <v>7900</v>
      </c>
      <c r="AY136">
        <v>5000</v>
      </c>
      <c r="AZ136" t="s">
        <v>3</v>
      </c>
      <c r="BA136" t="s">
        <v>3</v>
      </c>
      <c r="BB136" t="s">
        <v>3</v>
      </c>
      <c r="BC136" t="s">
        <v>1611</v>
      </c>
      <c r="BD136" t="s">
        <v>1612</v>
      </c>
      <c r="BE136">
        <v>0</v>
      </c>
      <c r="BF136">
        <v>0</v>
      </c>
      <c r="BG136">
        <v>0</v>
      </c>
      <c r="BH136">
        <v>0</v>
      </c>
      <c r="BI136">
        <v>0</v>
      </c>
      <c r="BJ136" t="s">
        <v>1657</v>
      </c>
      <c r="BK136">
        <v>0</v>
      </c>
      <c r="BL136" t="s">
        <v>132</v>
      </c>
      <c r="BM136">
        <v>0</v>
      </c>
      <c r="BN136">
        <f>Tabla1[[#This Row],[precio del paquete]]</f>
        <v>12900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1661</v>
      </c>
      <c r="CD136" t="str" cm="1">
        <f t="array" aca="1" ref="CD136" ca="1">eConcatenar(A136:CB136,"|")</f>
        <v>0RCN1IEKns9C5ivN|VSA2018-0919|3|ECONOLINE|TABASCO|VILLAHERMOSA|VILLAHERMOSA|2018-09-20|12900|x|x|100|0|0|0|0|0|0|0|0|0|0|0|0|0|0|0|RODRIGUEZ|MENDOZA|YADIRA|soltero|0|0|CALLE DENTISTA NUMERO 323|COLONIA GAVIOTAS SUR|0|9934478829|0|0|0|CALLE DENTISTA NUMERO 323|x|lunes|0|0|0|0|0|DOMICILIO |7900|5000|x|x|x|2022-03-14|2022-03-21|0|0|0|0|0|QYD9TF2W9KVTQO|0|HOMBRE|0|12900|0|0|0|0|0|0|0|0|CARDENAS|X|X|X|X|FINAL</v>
      </c>
    </row>
    <row r="137" spans="1:82" x14ac:dyDescent="0.25">
      <c r="A137" t="s">
        <v>271</v>
      </c>
      <c r="B137" t="s">
        <v>516</v>
      </c>
      <c r="C137">
        <v>3</v>
      </c>
      <c r="D137" t="s">
        <v>639</v>
      </c>
      <c r="E137" t="s">
        <v>643</v>
      </c>
      <c r="F137" t="s">
        <v>644</v>
      </c>
      <c r="G137" t="s">
        <v>644</v>
      </c>
      <c r="H137" t="s">
        <v>900</v>
      </c>
      <c r="I137">
        <v>35000</v>
      </c>
      <c r="J137" t="s">
        <v>3</v>
      </c>
      <c r="K137" t="s">
        <v>3</v>
      </c>
      <c r="L137">
        <v>100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1197</v>
      </c>
      <c r="AC137" t="s">
        <v>8</v>
      </c>
      <c r="AD137" s="18" t="s">
        <v>1198</v>
      </c>
      <c r="AE137" t="s">
        <v>1356</v>
      </c>
      <c r="AF137">
        <v>0</v>
      </c>
      <c r="AG137">
        <v>0</v>
      </c>
      <c r="AH137" t="s">
        <v>1475</v>
      </c>
      <c r="AI137" t="s">
        <v>667</v>
      </c>
      <c r="AJ137">
        <v>0</v>
      </c>
      <c r="AK137">
        <v>9935122564</v>
      </c>
      <c r="AL137">
        <v>0</v>
      </c>
      <c r="AM137">
        <v>0</v>
      </c>
      <c r="AN137">
        <v>0</v>
      </c>
      <c r="AO137" t="s">
        <v>1475</v>
      </c>
      <c r="AP137" t="s">
        <v>3</v>
      </c>
      <c r="AQ137" t="s">
        <v>1581</v>
      </c>
      <c r="AR137">
        <v>0</v>
      </c>
      <c r="AS137">
        <v>0</v>
      </c>
      <c r="AT137">
        <v>0</v>
      </c>
      <c r="AU137">
        <v>0</v>
      </c>
      <c r="AV137">
        <v>0</v>
      </c>
      <c r="AW137" t="s">
        <v>11</v>
      </c>
      <c r="AX137">
        <f>Tabla1[[#This Row],[precio del paquete]]-Tabla1[[#This Row],[Saldo_Deudor]]</f>
        <v>4885</v>
      </c>
      <c r="AY137">
        <v>30115</v>
      </c>
      <c r="AZ137" t="s">
        <v>3</v>
      </c>
      <c r="BA137" t="s">
        <v>3</v>
      </c>
      <c r="BB137" t="s">
        <v>3</v>
      </c>
      <c r="BC137" t="s">
        <v>1609</v>
      </c>
      <c r="BD137" t="s">
        <v>1610</v>
      </c>
      <c r="BE137">
        <v>0</v>
      </c>
      <c r="BF137">
        <v>0</v>
      </c>
      <c r="BG137">
        <v>0</v>
      </c>
      <c r="BH137">
        <v>0</v>
      </c>
      <c r="BI137">
        <v>0</v>
      </c>
      <c r="BJ137" t="s">
        <v>1657</v>
      </c>
      <c r="BK137">
        <v>0</v>
      </c>
      <c r="BL137" t="s">
        <v>132</v>
      </c>
      <c r="BM137">
        <v>0</v>
      </c>
      <c r="BN137">
        <f>Tabla1[[#This Row],[precio del paquete]]</f>
        <v>35000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1661</v>
      </c>
      <c r="CD137" t="str" cm="1">
        <f t="array" aca="1" ref="CD137" ca="1">eConcatenar(A137:CB137,"|")</f>
        <v>ijNAAvqq85vAeyoz|VSA2021-1119|3|DELUX|TABASCO|VILLAHERMOSA|VILLAHERMOSA|2021-07-19|35000|x|x|100|0|0|0|0|0|0|0|0|0|0|0|0|0|0|0|CORREA|GOMEZ|DORA MARIA|soltero|0|0|AVENIDA LAS TORRES SIN NUMERO FRENTE AL PARQUE LA EXPLANADA|COLONIA GAVIOTAS SUR|0|9935122564|0|0|0|AVENIDA LAS TORRES SIN NUMERO FRENTE AL PARQUE LA EXPLANADA|x|lunes|0|0|0|0|0|DOMICILIO |4885|30115|x|x|x|2022-03-15|2022-03-22|0|0|0|0|0|QYD9TF2W9KVTQO|0|HOMBRE|0|35000|0|0|0|0|0|0|0|0|CARDENAS|X|X|X|X|FINAL</v>
      </c>
    </row>
    <row r="138" spans="1:82" x14ac:dyDescent="0.25">
      <c r="A138" t="s">
        <v>272</v>
      </c>
      <c r="B138" t="s">
        <v>517</v>
      </c>
      <c r="C138">
        <v>3</v>
      </c>
      <c r="D138" t="s">
        <v>634</v>
      </c>
      <c r="E138" t="s">
        <v>643</v>
      </c>
      <c r="F138" t="s">
        <v>644</v>
      </c>
      <c r="G138" t="s">
        <v>644</v>
      </c>
      <c r="H138" t="s">
        <v>888</v>
      </c>
      <c r="I138">
        <v>12900</v>
      </c>
      <c r="J138" t="s">
        <v>3</v>
      </c>
      <c r="K138" t="s">
        <v>3</v>
      </c>
      <c r="L138">
        <v>100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1085</v>
      </c>
      <c r="AC138" t="s">
        <v>1023</v>
      </c>
      <c r="AD138" s="18" t="s">
        <v>1188</v>
      </c>
      <c r="AE138" t="s">
        <v>1356</v>
      </c>
      <c r="AF138">
        <v>0</v>
      </c>
      <c r="AG138">
        <v>0</v>
      </c>
      <c r="AH138" t="s">
        <v>738</v>
      </c>
      <c r="AI138" t="s">
        <v>738</v>
      </c>
      <c r="AJ138">
        <v>0</v>
      </c>
      <c r="AK138">
        <v>9931595443</v>
      </c>
      <c r="AL138">
        <v>0</v>
      </c>
      <c r="AM138">
        <v>0</v>
      </c>
      <c r="AN138">
        <v>0</v>
      </c>
      <c r="AO138" t="s">
        <v>738</v>
      </c>
      <c r="AP138" t="s">
        <v>3</v>
      </c>
      <c r="AQ138" t="s">
        <v>1581</v>
      </c>
      <c r="AR138">
        <v>0</v>
      </c>
      <c r="AS138">
        <v>0</v>
      </c>
      <c r="AT138">
        <v>0</v>
      </c>
      <c r="AU138">
        <v>0</v>
      </c>
      <c r="AV138">
        <v>0</v>
      </c>
      <c r="AW138" t="s">
        <v>11</v>
      </c>
      <c r="AX138">
        <f>Tabla1[[#This Row],[precio del paquete]]-Tabla1[[#This Row],[Saldo_Deudor]]</f>
        <v>950</v>
      </c>
      <c r="AY138">
        <v>11950</v>
      </c>
      <c r="AZ138" t="s">
        <v>3</v>
      </c>
      <c r="BA138" t="s">
        <v>3</v>
      </c>
      <c r="BB138" t="s">
        <v>3</v>
      </c>
      <c r="BC138" t="s">
        <v>1609</v>
      </c>
      <c r="BD138" t="s">
        <v>1610</v>
      </c>
      <c r="BE138">
        <v>0</v>
      </c>
      <c r="BF138">
        <v>0</v>
      </c>
      <c r="BG138">
        <v>0</v>
      </c>
      <c r="BH138">
        <v>0</v>
      </c>
      <c r="BI138">
        <v>0</v>
      </c>
      <c r="BJ138" t="s">
        <v>1657</v>
      </c>
      <c r="BK138">
        <v>0</v>
      </c>
      <c r="BL138" t="s">
        <v>132</v>
      </c>
      <c r="BM138">
        <v>0</v>
      </c>
      <c r="BN138">
        <f>Tabla1[[#This Row],[precio del paquete]]</f>
        <v>12900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1661</v>
      </c>
      <c r="CD138" t="str" cm="1">
        <f t="array" aca="1" ref="CD138" ca="1">eConcatenar(A138:CB138,"|")</f>
        <v>DQsaisshNMkrnbk6|VSA2021-1647|3|MEMORIAL|TABASCO|VILLAHERMOSA|VILLAHERMOSA|2021-01-10|12900|x|x|100|0|0|0|0|0|0|0|0|0|0|0|0|0|0|0|VILLEGAS|DE LA CRUZ|CANDELARIO|soltero|0|0|FRACCIONAMIENTO VILLA EL CIELO|FRACCIONAMIENTO VILLA EL CIELO|0|9931595443|0|0|0|FRACCIONAMIENTO VILLA EL CIELO|x|lunes|0|0|0|0|0|DOMICILIO |950|11950|x|x|x|2022-03-15|2022-03-22|0|0|0|0|0|QYD9TF2W9KVTQO|0|HOMBRE|0|12900|0|0|0|0|0|0|0|0|CARDENAS|X|X|X|X|FINAL</v>
      </c>
    </row>
    <row r="139" spans="1:82" x14ac:dyDescent="0.25">
      <c r="A139" t="s">
        <v>273</v>
      </c>
      <c r="B139" t="s">
        <v>518</v>
      </c>
      <c r="C139">
        <v>3</v>
      </c>
      <c r="D139" t="s">
        <v>634</v>
      </c>
      <c r="E139" t="s">
        <v>643</v>
      </c>
      <c r="F139" t="s">
        <v>644</v>
      </c>
      <c r="G139" t="s">
        <v>644</v>
      </c>
      <c r="H139" t="s">
        <v>901</v>
      </c>
      <c r="I139">
        <v>14800</v>
      </c>
      <c r="J139" t="s">
        <v>3</v>
      </c>
      <c r="K139" t="s">
        <v>3</v>
      </c>
      <c r="L139">
        <v>100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1199</v>
      </c>
      <c r="AC139" t="s">
        <v>1200</v>
      </c>
      <c r="AD139" s="18" t="s">
        <v>1201</v>
      </c>
      <c r="AE139" t="s">
        <v>1356</v>
      </c>
      <c r="AF139">
        <v>0</v>
      </c>
      <c r="AG139">
        <v>0</v>
      </c>
      <c r="AH139" t="s">
        <v>1476</v>
      </c>
      <c r="AI139" t="s">
        <v>722</v>
      </c>
      <c r="AJ139">
        <v>0</v>
      </c>
      <c r="AK139">
        <v>9932606560</v>
      </c>
      <c r="AL139">
        <v>0</v>
      </c>
      <c r="AM139">
        <v>0</v>
      </c>
      <c r="AN139">
        <v>0</v>
      </c>
      <c r="AO139" t="s">
        <v>1476</v>
      </c>
      <c r="AP139" t="s">
        <v>3</v>
      </c>
      <c r="AQ139" t="s">
        <v>1581</v>
      </c>
      <c r="AR139">
        <v>0</v>
      </c>
      <c r="AS139">
        <v>0</v>
      </c>
      <c r="AT139">
        <v>0</v>
      </c>
      <c r="AU139">
        <v>0</v>
      </c>
      <c r="AV139">
        <v>0</v>
      </c>
      <c r="AW139" t="s">
        <v>11</v>
      </c>
      <c r="AX139">
        <f>Tabla1[[#This Row],[precio del paquete]]-Tabla1[[#This Row],[Saldo_Deudor]]</f>
        <v>200</v>
      </c>
      <c r="AY139">
        <v>14600</v>
      </c>
      <c r="AZ139" t="s">
        <v>3</v>
      </c>
      <c r="BA139" t="s">
        <v>3</v>
      </c>
      <c r="BB139" t="s">
        <v>3</v>
      </c>
      <c r="BC139" t="s">
        <v>901</v>
      </c>
      <c r="BD139" t="s">
        <v>1636</v>
      </c>
      <c r="BE139">
        <v>0</v>
      </c>
      <c r="BF139">
        <v>0</v>
      </c>
      <c r="BG139">
        <v>0</v>
      </c>
      <c r="BH139">
        <v>0</v>
      </c>
      <c r="BI139">
        <v>0</v>
      </c>
      <c r="BJ139" t="s">
        <v>1657</v>
      </c>
      <c r="BK139">
        <v>0</v>
      </c>
      <c r="BL139" t="s">
        <v>132</v>
      </c>
      <c r="BM139">
        <v>0</v>
      </c>
      <c r="BN139">
        <f>Tabla1[[#This Row],[precio del paquete]]</f>
        <v>14800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1661</v>
      </c>
      <c r="CD139" t="str" cm="1">
        <f t="array" aca="1" ref="CD139" ca="1">eConcatenar(A139:CB139,"|")</f>
        <v>zKWNUFAmHScFNfYC|VSA2022-0221|3|MEMORIAL|TABASCO|VILLAHERMOSA|VILLAHERMOSA|2022-02-27|14800|x|x|100|0|0|0|0|0|0|0|0|0|0|0|0|0|0|0|OLAN|CARVANTES|AHTZIRI DEL CARMEN|soltero|0|0|CALLE DARVELIA ESQUINA CON ZOILA MANZANA 62 LOTE 7|VILLA PLAYAS DEL ROSARIO CENTRO|0|9932606560|0|0|0|CALLE DARVELIA ESQUINA CON ZOILA MANZANA 62 LOTE 7|x|lunes|0|0|0|0|0|DOMICILIO |200|14600|x|x|x|2022-02-27|2022-03-06|0|0|0|0|0|QYD9TF2W9KVTQO|0|HOMBRE|0|14800|0|0|0|0|0|0|0|0|CARDENAS|X|X|X|X|FINAL</v>
      </c>
    </row>
    <row r="140" spans="1:82" x14ac:dyDescent="0.25">
      <c r="A140" t="s">
        <v>274</v>
      </c>
      <c r="B140" t="s">
        <v>519</v>
      </c>
      <c r="C140">
        <v>3</v>
      </c>
      <c r="D140" t="s">
        <v>634</v>
      </c>
      <c r="E140" t="s">
        <v>643</v>
      </c>
      <c r="F140" t="s">
        <v>644</v>
      </c>
      <c r="G140" t="s">
        <v>644</v>
      </c>
      <c r="H140" t="s">
        <v>872</v>
      </c>
      <c r="I140">
        <v>14800</v>
      </c>
      <c r="J140" t="s">
        <v>3</v>
      </c>
      <c r="K140" t="s">
        <v>3</v>
      </c>
      <c r="L140">
        <v>100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976</v>
      </c>
      <c r="AC140" t="s">
        <v>1202</v>
      </c>
      <c r="AD140" s="18" t="s">
        <v>1203</v>
      </c>
      <c r="AE140" t="s">
        <v>1356</v>
      </c>
      <c r="AF140">
        <v>0</v>
      </c>
      <c r="AG140">
        <v>0</v>
      </c>
      <c r="AH140" t="s">
        <v>1477</v>
      </c>
      <c r="AI140" t="s">
        <v>660</v>
      </c>
      <c r="AJ140">
        <v>0</v>
      </c>
      <c r="AK140">
        <v>9934850687</v>
      </c>
      <c r="AL140">
        <v>0</v>
      </c>
      <c r="AM140">
        <v>0</v>
      </c>
      <c r="AN140">
        <v>0</v>
      </c>
      <c r="AO140" t="s">
        <v>1477</v>
      </c>
      <c r="AP140" t="s">
        <v>3</v>
      </c>
      <c r="AQ140" t="s">
        <v>1581</v>
      </c>
      <c r="AR140">
        <v>0</v>
      </c>
      <c r="AS140">
        <v>0</v>
      </c>
      <c r="AT140">
        <v>0</v>
      </c>
      <c r="AU140">
        <v>0</v>
      </c>
      <c r="AV140">
        <v>0</v>
      </c>
      <c r="AW140" t="s">
        <v>11</v>
      </c>
      <c r="AX140">
        <f>Tabla1[[#This Row],[precio del paquete]]-Tabla1[[#This Row],[Saldo_Deudor]]</f>
        <v>200</v>
      </c>
      <c r="AY140">
        <v>14600</v>
      </c>
      <c r="AZ140" t="s">
        <v>3</v>
      </c>
      <c r="BA140" t="s">
        <v>3</v>
      </c>
      <c r="BB140" t="s">
        <v>3</v>
      </c>
      <c r="BC140" t="s">
        <v>872</v>
      </c>
      <c r="BD140" t="s">
        <v>809</v>
      </c>
      <c r="BE140">
        <v>0</v>
      </c>
      <c r="BF140">
        <v>0</v>
      </c>
      <c r="BG140">
        <v>0</v>
      </c>
      <c r="BH140">
        <v>0</v>
      </c>
      <c r="BI140">
        <v>0</v>
      </c>
      <c r="BJ140" t="s">
        <v>1657</v>
      </c>
      <c r="BK140">
        <v>0</v>
      </c>
      <c r="BL140" t="s">
        <v>132</v>
      </c>
      <c r="BM140">
        <v>0</v>
      </c>
      <c r="BN140">
        <f>Tabla1[[#This Row],[precio del paquete]]</f>
        <v>14800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1661</v>
      </c>
      <c r="CD140" t="str" cm="1">
        <f t="array" aca="1" ref="CD140" ca="1">eConcatenar(A140:CB140,"|")</f>
        <v>AGMxkVrd7nifEFKm|VSA2022-0189|3|MEMORIAL|TABASCO|VILLAHERMOSA|VILLAHERMOSA|2022-02-17|14800|x|x|100|0|0|0|0|0|0|0|0|0|0|0|0|0|0|0|MARTINEZ|CARRILLO|VICTOR ANTONIO|soltero|0|0|CALLE DARVELIA MANZANA 62 LOTE 7|FRACCIONAMIENTO LAS MERCEDES|0|9934850687|0|0|0|CALLE DARVELIA MANZANA 62 LOTE 7|x|lunes|0|0|0|0|0|DOMICILIO |200|14600|x|x|x|2022-02-17|2022-02-24|0|0|0|0|0|QYD9TF2W9KVTQO|0|HOMBRE|0|14800|0|0|0|0|0|0|0|0|CARDENAS|X|X|X|X|FINAL</v>
      </c>
    </row>
    <row r="141" spans="1:82" x14ac:dyDescent="0.25">
      <c r="A141" t="s">
        <v>275</v>
      </c>
      <c r="B141" t="s">
        <v>520</v>
      </c>
      <c r="C141">
        <v>3</v>
      </c>
      <c r="D141" t="s">
        <v>634</v>
      </c>
      <c r="E141" t="s">
        <v>643</v>
      </c>
      <c r="F141" t="s">
        <v>644</v>
      </c>
      <c r="G141" t="s">
        <v>644</v>
      </c>
      <c r="H141" t="s">
        <v>895</v>
      </c>
      <c r="I141">
        <v>14800</v>
      </c>
      <c r="J141" t="s">
        <v>3</v>
      </c>
      <c r="K141" t="s">
        <v>3</v>
      </c>
      <c r="L141">
        <v>100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1038</v>
      </c>
      <c r="AC141" t="s">
        <v>1204</v>
      </c>
      <c r="AD141" s="18" t="s">
        <v>1205</v>
      </c>
      <c r="AE141" t="s">
        <v>1356</v>
      </c>
      <c r="AF141">
        <v>0</v>
      </c>
      <c r="AG141">
        <v>0</v>
      </c>
      <c r="AH141" t="s">
        <v>1478</v>
      </c>
      <c r="AI141" t="s">
        <v>722</v>
      </c>
      <c r="AJ141">
        <v>0</v>
      </c>
      <c r="AK141">
        <v>9932240444</v>
      </c>
      <c r="AL141">
        <v>0</v>
      </c>
      <c r="AM141">
        <v>0</v>
      </c>
      <c r="AN141">
        <v>0</v>
      </c>
      <c r="AO141" t="s">
        <v>1478</v>
      </c>
      <c r="AP141" t="s">
        <v>3</v>
      </c>
      <c r="AQ141" t="s">
        <v>1581</v>
      </c>
      <c r="AR141">
        <v>0</v>
      </c>
      <c r="AS141">
        <v>0</v>
      </c>
      <c r="AT141">
        <v>0</v>
      </c>
      <c r="AU141">
        <v>0</v>
      </c>
      <c r="AV141">
        <v>0</v>
      </c>
      <c r="AW141" t="s">
        <v>11</v>
      </c>
      <c r="AX141">
        <f>Tabla1[[#This Row],[precio del paquete]]-Tabla1[[#This Row],[Saldo_Deudor]]</f>
        <v>500</v>
      </c>
      <c r="AY141">
        <v>14300</v>
      </c>
      <c r="AZ141" t="s">
        <v>3</v>
      </c>
      <c r="BA141" t="s">
        <v>3</v>
      </c>
      <c r="BB141" t="s">
        <v>3</v>
      </c>
      <c r="BC141" t="s">
        <v>895</v>
      </c>
      <c r="BD141" t="s">
        <v>1604</v>
      </c>
      <c r="BE141">
        <v>0</v>
      </c>
      <c r="BF141">
        <v>0</v>
      </c>
      <c r="BG141">
        <v>0</v>
      </c>
      <c r="BH141">
        <v>0</v>
      </c>
      <c r="BI141">
        <v>0</v>
      </c>
      <c r="BJ141" t="s">
        <v>1657</v>
      </c>
      <c r="BK141">
        <v>0</v>
      </c>
      <c r="BL141" t="s">
        <v>132</v>
      </c>
      <c r="BM141">
        <v>0</v>
      </c>
      <c r="BN141">
        <f>Tabla1[[#This Row],[precio del paquete]]</f>
        <v>14800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1661</v>
      </c>
      <c r="CD141" t="str" cm="1">
        <f t="array" aca="1" ref="CD141" ca="1">eConcatenar(A141:CB141,"|")</f>
        <v>9ufbCttIMpZM30Mi|VSA2022-0241|3|MEMORIAL|TABASCO|VILLAHERMOSA|VILLAHERMOSA|2022-03-03|14800|x|x|100|0|0|0|0|0|0|0|0|0|0|0|0|0|0|0|VALENCIA|ROSADO|MARIA DEL ROSARIO|soltero|0|0|CALLE EMILIANO ZAPATA SIN NUMERO|VILLA PLAYAS DEL ROSARIO CENTRO|0|9932240444|0|0|0|CALLE EMILIANO ZAPATA SIN NUMERO|x|lunes|0|0|0|0|0|DOMICILIO |500|14300|x|x|x|2022-03-03|2022-03-10|0|0|0|0|0|QYD9TF2W9KVTQO|0|HOMBRE|0|14800|0|0|0|0|0|0|0|0|CARDENAS|X|X|X|X|FINAL</v>
      </c>
    </row>
    <row r="142" spans="1:82" x14ac:dyDescent="0.25">
      <c r="A142" t="s">
        <v>276</v>
      </c>
      <c r="B142" t="s">
        <v>521</v>
      </c>
      <c r="C142">
        <v>3</v>
      </c>
      <c r="D142" t="s">
        <v>634</v>
      </c>
      <c r="E142" t="s">
        <v>643</v>
      </c>
      <c r="F142" t="s">
        <v>644</v>
      </c>
      <c r="G142" t="s">
        <v>644</v>
      </c>
      <c r="H142" t="s">
        <v>902</v>
      </c>
      <c r="I142">
        <v>14800</v>
      </c>
      <c r="J142" t="s">
        <v>3</v>
      </c>
      <c r="K142" t="s">
        <v>3</v>
      </c>
      <c r="L142">
        <v>100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1206</v>
      </c>
      <c r="AC142" t="s">
        <v>985</v>
      </c>
      <c r="AD142" s="18" t="s">
        <v>1207</v>
      </c>
      <c r="AE142" t="s">
        <v>1356</v>
      </c>
      <c r="AF142">
        <v>0</v>
      </c>
      <c r="AG142">
        <v>0</v>
      </c>
      <c r="AH142" t="s">
        <v>1479</v>
      </c>
      <c r="AI142" t="s">
        <v>739</v>
      </c>
      <c r="AJ142">
        <v>0</v>
      </c>
      <c r="AK142">
        <v>9935617559</v>
      </c>
      <c r="AL142">
        <v>0</v>
      </c>
      <c r="AM142">
        <v>0</v>
      </c>
      <c r="AN142">
        <v>0</v>
      </c>
      <c r="AO142" t="s">
        <v>1479</v>
      </c>
      <c r="AP142" t="s">
        <v>3</v>
      </c>
      <c r="AQ142" t="s">
        <v>1581</v>
      </c>
      <c r="AR142">
        <v>0</v>
      </c>
      <c r="AS142">
        <v>0</v>
      </c>
      <c r="AT142">
        <v>0</v>
      </c>
      <c r="AU142">
        <v>0</v>
      </c>
      <c r="AV142">
        <v>0</v>
      </c>
      <c r="AW142" t="s">
        <v>11</v>
      </c>
      <c r="AX142">
        <f>Tabla1[[#This Row],[precio del paquete]]-Tabla1[[#This Row],[Saldo_Deudor]]</f>
        <v>850</v>
      </c>
      <c r="AY142">
        <v>13950</v>
      </c>
      <c r="AZ142" t="s">
        <v>3</v>
      </c>
      <c r="BA142" t="s">
        <v>3</v>
      </c>
      <c r="BB142" t="s">
        <v>3</v>
      </c>
      <c r="BC142" t="s">
        <v>912</v>
      </c>
      <c r="BD142" t="s">
        <v>1601</v>
      </c>
      <c r="BE142">
        <v>0</v>
      </c>
      <c r="BF142">
        <v>0</v>
      </c>
      <c r="BG142">
        <v>0</v>
      </c>
      <c r="BH142">
        <v>0</v>
      </c>
      <c r="BI142">
        <v>0</v>
      </c>
      <c r="BJ142" t="s">
        <v>1657</v>
      </c>
      <c r="BK142">
        <v>0</v>
      </c>
      <c r="BL142" t="s">
        <v>132</v>
      </c>
      <c r="BM142">
        <v>0</v>
      </c>
      <c r="BN142">
        <f>Tabla1[[#This Row],[precio del paquete]]</f>
        <v>14800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1661</v>
      </c>
      <c r="CD142" t="str" cm="1">
        <f t="array" aca="1" ref="CD142" ca="1">eConcatenar(A142:CB142,"|")</f>
        <v>a15EOAootYfpWwrx|VSA2022-0030|3|MEMORIAL|TABASCO|VILLAHERMOSA|VILLAHERMOSA|2022-11-01|14800|x|x|100|0|0|0|0|0|0|0|0|0|0|0|0|0|0|0|ALEGRIA|PEREZ|ARACELI|soltero|0|0|CARRETERA VILLAHERMOSA - TEAPA KILOMETRO 19 VILLAHERMOSA|VILLA PLAYAS DEL ROSARIO|0|9935617559|0|0|0|CARRETERA VILLAHERMOSA - TEAPA KILOMETRO 19 VILLAHERMOSA|x|lunes|0|0|0|0|0|DOMICILIO |850|13950|x|x|x|2022-08-03|2022-08-10|0|0|0|0|0|QYD9TF2W9KVTQO|0|HOMBRE|0|14800|0|0|0|0|0|0|0|0|CARDENAS|X|X|X|X|FINAL</v>
      </c>
    </row>
    <row r="143" spans="1:82" x14ac:dyDescent="0.25">
      <c r="A143" t="s">
        <v>277</v>
      </c>
      <c r="B143" t="s">
        <v>522</v>
      </c>
      <c r="C143">
        <v>3</v>
      </c>
      <c r="D143" t="s">
        <v>634</v>
      </c>
      <c r="E143" t="s">
        <v>643</v>
      </c>
      <c r="F143" t="s">
        <v>644</v>
      </c>
      <c r="G143" t="s">
        <v>644</v>
      </c>
      <c r="H143" t="s">
        <v>903</v>
      </c>
      <c r="I143">
        <v>14800</v>
      </c>
      <c r="J143" t="s">
        <v>3</v>
      </c>
      <c r="K143" t="s">
        <v>3</v>
      </c>
      <c r="L143">
        <v>100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1208</v>
      </c>
      <c r="AC143" t="s">
        <v>1209</v>
      </c>
      <c r="AD143" s="18" t="s">
        <v>1210</v>
      </c>
      <c r="AE143" t="s">
        <v>1356</v>
      </c>
      <c r="AF143">
        <v>0</v>
      </c>
      <c r="AG143">
        <v>0</v>
      </c>
      <c r="AH143" t="s">
        <v>1480</v>
      </c>
      <c r="AI143" t="s">
        <v>676</v>
      </c>
      <c r="AJ143">
        <v>0</v>
      </c>
      <c r="AK143">
        <v>9933733002</v>
      </c>
      <c r="AL143">
        <v>0</v>
      </c>
      <c r="AM143">
        <v>0</v>
      </c>
      <c r="AN143">
        <v>0</v>
      </c>
      <c r="AO143" t="s">
        <v>1480</v>
      </c>
      <c r="AP143" t="s">
        <v>3</v>
      </c>
      <c r="AQ143" t="s">
        <v>1581</v>
      </c>
      <c r="AR143">
        <v>0</v>
      </c>
      <c r="AS143">
        <v>0</v>
      </c>
      <c r="AT143">
        <v>0</v>
      </c>
      <c r="AU143">
        <v>0</v>
      </c>
      <c r="AV143">
        <v>0</v>
      </c>
      <c r="AW143" t="s">
        <v>11</v>
      </c>
      <c r="AX143">
        <f>Tabla1[[#This Row],[precio del paquete]]-Tabla1[[#This Row],[Saldo_Deudor]]</f>
        <v>200</v>
      </c>
      <c r="AY143">
        <v>14600</v>
      </c>
      <c r="AZ143" t="s">
        <v>3</v>
      </c>
      <c r="BA143" t="s">
        <v>3</v>
      </c>
      <c r="BB143" t="s">
        <v>3</v>
      </c>
      <c r="BC143" t="s">
        <v>903</v>
      </c>
      <c r="BD143" t="s">
        <v>1608</v>
      </c>
      <c r="BE143">
        <v>0</v>
      </c>
      <c r="BF143">
        <v>0</v>
      </c>
      <c r="BG143">
        <v>0</v>
      </c>
      <c r="BH143">
        <v>0</v>
      </c>
      <c r="BI143">
        <v>0</v>
      </c>
      <c r="BJ143" t="s">
        <v>1657</v>
      </c>
      <c r="BK143">
        <v>0</v>
      </c>
      <c r="BL143" t="s">
        <v>132</v>
      </c>
      <c r="BM143">
        <v>0</v>
      </c>
      <c r="BN143">
        <f>Tabla1[[#This Row],[precio del paquete]]</f>
        <v>14800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1661</v>
      </c>
      <c r="CD143" t="str" cm="1">
        <f t="array" aca="1" ref="CD143" ca="1">eConcatenar(A143:CB143,"|")</f>
        <v>6U0HtDgs0xywyqXX|VSA2022-0256|3|MEMORIAL|TABASCO|VILLAHERMOSA|VILLAHERMOSA|2022-01-03|14800|x|x|100|0|0|0|0|0|0|0|0|0|0|0|0|0|0|0|HERREA|TRUJEQUE|AURORA|soltero|0|0|PROLONGACION LEANDRO ROVIROSA MANZANA 2 LOTE 4|COLONIA GAVIOTAS NORTE|0|9933733002|0|0|0|PROLONGACION LEANDRO ROVIROSA MANZANA 2 LOTE 4|x|lunes|0|0|0|0|0|DOMICILIO |200|14600|x|x|x|2022-01-03|2022-01-10|0|0|0|0|0|QYD9TF2W9KVTQO|0|HOMBRE|0|14800|0|0|0|0|0|0|0|0|CARDENAS|X|X|X|X|FINAL</v>
      </c>
    </row>
    <row r="144" spans="1:82" x14ac:dyDescent="0.25">
      <c r="A144" t="s">
        <v>278</v>
      </c>
      <c r="B144" t="s">
        <v>523</v>
      </c>
      <c r="C144">
        <v>3</v>
      </c>
      <c r="D144" t="s">
        <v>634</v>
      </c>
      <c r="E144" t="s">
        <v>643</v>
      </c>
      <c r="F144" t="s">
        <v>644</v>
      </c>
      <c r="G144" t="s">
        <v>644</v>
      </c>
      <c r="H144" t="s">
        <v>888</v>
      </c>
      <c r="I144">
        <v>14800</v>
      </c>
      <c r="J144" t="s">
        <v>3</v>
      </c>
      <c r="K144" t="s">
        <v>3</v>
      </c>
      <c r="L144">
        <v>100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1211</v>
      </c>
      <c r="AC144" t="s">
        <v>1212</v>
      </c>
      <c r="AD144" s="18" t="s">
        <v>1213</v>
      </c>
      <c r="AE144" t="s">
        <v>1356</v>
      </c>
      <c r="AF144">
        <v>0</v>
      </c>
      <c r="AG144">
        <v>0</v>
      </c>
      <c r="AH144" t="s">
        <v>1481</v>
      </c>
      <c r="AI144" t="s">
        <v>676</v>
      </c>
      <c r="AJ144">
        <v>0</v>
      </c>
      <c r="AK144">
        <v>9933635874</v>
      </c>
      <c r="AL144">
        <v>0</v>
      </c>
      <c r="AM144">
        <v>0</v>
      </c>
      <c r="AN144">
        <v>0</v>
      </c>
      <c r="AO144" t="s">
        <v>1481</v>
      </c>
      <c r="AP144" t="s">
        <v>3</v>
      </c>
      <c r="AQ144" t="s">
        <v>1581</v>
      </c>
      <c r="AR144">
        <v>0</v>
      </c>
      <c r="AS144">
        <v>0</v>
      </c>
      <c r="AT144">
        <v>0</v>
      </c>
      <c r="AU144">
        <v>0</v>
      </c>
      <c r="AV144">
        <v>0</v>
      </c>
      <c r="AW144" t="s">
        <v>11</v>
      </c>
      <c r="AX144">
        <f>Tabla1[[#This Row],[precio del paquete]]-Tabla1[[#This Row],[Saldo_Deudor]]</f>
        <v>1825</v>
      </c>
      <c r="AY144">
        <v>12975</v>
      </c>
      <c r="AZ144" t="s">
        <v>3</v>
      </c>
      <c r="BA144" t="s">
        <v>3</v>
      </c>
      <c r="BB144" t="s">
        <v>3</v>
      </c>
      <c r="BC144" t="s">
        <v>912</v>
      </c>
      <c r="BD144" t="s">
        <v>1601</v>
      </c>
      <c r="BE144">
        <v>0</v>
      </c>
      <c r="BF144">
        <v>0</v>
      </c>
      <c r="BG144">
        <v>0</v>
      </c>
      <c r="BH144">
        <v>0</v>
      </c>
      <c r="BI144">
        <v>0</v>
      </c>
      <c r="BJ144" t="s">
        <v>1657</v>
      </c>
      <c r="BK144">
        <v>0</v>
      </c>
      <c r="BL144" t="s">
        <v>132</v>
      </c>
      <c r="BM144">
        <v>0</v>
      </c>
      <c r="BN144">
        <f>Tabla1[[#This Row],[precio del paquete]]</f>
        <v>14800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1661</v>
      </c>
      <c r="CD144" t="str" cm="1">
        <f t="array" aca="1" ref="CD144" ca="1">eConcatenar(A144:CB144,"|")</f>
        <v>qAlGYseOCicWmx8t|VSA2021-1644|3|MEMORIAL|TABASCO|VILLAHERMOSA|VILLAHERMOSA|2021-01-10|14800|x|x|100|0|0|0|0|0|0|0|0|0|0|0|0|0|0|0|ACOPA|CARDOZA|FELIPA|soltero|0|0|CALLE PEPE DEL RIVERO NUMERO 802 FRENTE A LAVANDERIA|COLONIA GAVIOTAS NORTE|0|9933635874|0|0|0|CALLE PEPE DEL RIVERO NUMERO 802 FRENTE A LAVANDERIA|x|lunes|0|0|0|0|0|DOMICILIO |1825|12975|x|x|x|2022-08-03|2022-08-10|0|0|0|0|0|QYD9TF2W9KVTQO|0|HOMBRE|0|14800|0|0|0|0|0|0|0|0|CARDENAS|X|X|X|X|FINAL</v>
      </c>
    </row>
    <row r="145" spans="1:82" x14ac:dyDescent="0.25">
      <c r="A145" t="s">
        <v>279</v>
      </c>
      <c r="B145" t="s">
        <v>524</v>
      </c>
      <c r="C145">
        <v>3</v>
      </c>
      <c r="D145" t="s">
        <v>641</v>
      </c>
      <c r="E145" t="s">
        <v>643</v>
      </c>
      <c r="F145" t="s">
        <v>644</v>
      </c>
      <c r="G145" t="s">
        <v>644</v>
      </c>
      <c r="H145" t="s">
        <v>904</v>
      </c>
      <c r="I145">
        <v>12900</v>
      </c>
      <c r="J145" t="s">
        <v>3</v>
      </c>
      <c r="K145" t="s">
        <v>3</v>
      </c>
      <c r="L145">
        <v>100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971</v>
      </c>
      <c r="AC145" t="s">
        <v>966</v>
      </c>
      <c r="AD145" s="18" t="s">
        <v>1210</v>
      </c>
      <c r="AE145" t="s">
        <v>1356</v>
      </c>
      <c r="AF145">
        <v>0</v>
      </c>
      <c r="AG145">
        <v>0</v>
      </c>
      <c r="AH145" t="s">
        <v>1482</v>
      </c>
      <c r="AI145" t="s">
        <v>740</v>
      </c>
      <c r="AJ145">
        <v>0</v>
      </c>
      <c r="AK145" t="s">
        <v>1</v>
      </c>
      <c r="AL145">
        <v>0</v>
      </c>
      <c r="AM145">
        <v>0</v>
      </c>
      <c r="AN145">
        <v>0</v>
      </c>
      <c r="AO145" t="s">
        <v>1482</v>
      </c>
      <c r="AP145" t="s">
        <v>3</v>
      </c>
      <c r="AQ145" t="s">
        <v>1581</v>
      </c>
      <c r="AR145">
        <v>0</v>
      </c>
      <c r="AS145">
        <v>0</v>
      </c>
      <c r="AT145">
        <v>0</v>
      </c>
      <c r="AU145">
        <v>0</v>
      </c>
      <c r="AV145">
        <v>0</v>
      </c>
      <c r="AW145" t="s">
        <v>11</v>
      </c>
      <c r="AX145">
        <f>Tabla1[[#This Row],[precio del paquete]]-Tabla1[[#This Row],[Saldo_Deudor]]</f>
        <v>8850</v>
      </c>
      <c r="AY145">
        <v>4050</v>
      </c>
      <c r="AZ145" t="s">
        <v>3</v>
      </c>
      <c r="BA145" t="s">
        <v>3</v>
      </c>
      <c r="BB145" t="s">
        <v>3</v>
      </c>
      <c r="BC145" t="s">
        <v>1609</v>
      </c>
      <c r="BD145" t="s">
        <v>1610</v>
      </c>
      <c r="BE145">
        <v>0</v>
      </c>
      <c r="BF145">
        <v>0</v>
      </c>
      <c r="BG145">
        <v>0</v>
      </c>
      <c r="BH145">
        <v>0</v>
      </c>
      <c r="BI145">
        <v>0</v>
      </c>
      <c r="BJ145" t="s">
        <v>1657</v>
      </c>
      <c r="BK145">
        <v>0</v>
      </c>
      <c r="BL145" t="s">
        <v>132</v>
      </c>
      <c r="BM145">
        <v>0</v>
      </c>
      <c r="BN145">
        <f>Tabla1[[#This Row],[precio del paquete]]</f>
        <v>12900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1661</v>
      </c>
      <c r="CD145" t="str" cm="1">
        <f t="array" aca="1" ref="CD145" ca="1">eConcatenar(A145:CB145,"|")</f>
        <v>XnDTd4gV8DNk28eI|VSA2018-0666|3|ECONOLINE|TABASCO|VILLAHERMOSA|VILLAHERMOSA|2018-08-13|12900|x|x|100|0|0|0|0|0|0|0|0|0|0|0|0|0|0|0|HERNANDEZ|SANCHEZ|AURORA|soltero|0|0|CIRCUITO POMOCA MANZANA 45 LOTE 1|FRACCIONAMIENTO BICENTENARIO|0|X|0|0|0|CIRCUITO POMOCA MANZANA 45 LOTE 1|x|lunes|0|0|0|0|0|DOMICILIO |8850|4050|x|x|x|2022-03-15|2022-03-22|0|0|0|0|0|QYD9TF2W9KVTQO|0|HOMBRE|0|12900|0|0|0|0|0|0|0|0|CARDENAS|X|X|X|X|FINAL</v>
      </c>
    </row>
    <row r="146" spans="1:82" x14ac:dyDescent="0.25">
      <c r="A146" t="s">
        <v>280</v>
      </c>
      <c r="B146" t="s">
        <v>525</v>
      </c>
      <c r="C146">
        <v>3</v>
      </c>
      <c r="D146" t="s">
        <v>641</v>
      </c>
      <c r="E146" t="s">
        <v>643</v>
      </c>
      <c r="F146" t="s">
        <v>644</v>
      </c>
      <c r="G146" t="s">
        <v>644</v>
      </c>
      <c r="H146" t="s">
        <v>905</v>
      </c>
      <c r="I146">
        <v>12900</v>
      </c>
      <c r="J146" t="s">
        <v>3</v>
      </c>
      <c r="K146" t="s">
        <v>3</v>
      </c>
      <c r="L146">
        <v>100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1214</v>
      </c>
      <c r="AC146" t="s">
        <v>1215</v>
      </c>
      <c r="AD146" s="18" t="s">
        <v>1050</v>
      </c>
      <c r="AE146" t="s">
        <v>1356</v>
      </c>
      <c r="AF146">
        <v>0</v>
      </c>
      <c r="AG146">
        <v>0</v>
      </c>
      <c r="AH146" t="s">
        <v>1483</v>
      </c>
      <c r="AI146" t="s">
        <v>667</v>
      </c>
      <c r="AJ146">
        <v>0</v>
      </c>
      <c r="AK146">
        <v>9934377180</v>
      </c>
      <c r="AL146">
        <v>0</v>
      </c>
      <c r="AM146">
        <v>0</v>
      </c>
      <c r="AN146">
        <v>0</v>
      </c>
      <c r="AO146" t="s">
        <v>1483</v>
      </c>
      <c r="AP146" t="s">
        <v>3</v>
      </c>
      <c r="AQ146" t="s">
        <v>1581</v>
      </c>
      <c r="AR146">
        <v>0</v>
      </c>
      <c r="AS146">
        <v>0</v>
      </c>
      <c r="AT146">
        <v>0</v>
      </c>
      <c r="AU146">
        <v>0</v>
      </c>
      <c r="AV146">
        <v>0</v>
      </c>
      <c r="AW146" t="s">
        <v>11</v>
      </c>
      <c r="AX146">
        <f>Tabla1[[#This Row],[precio del paquete]]-Tabla1[[#This Row],[Saldo_Deudor]]</f>
        <v>7400</v>
      </c>
      <c r="AY146">
        <v>5500</v>
      </c>
      <c r="AZ146" t="s">
        <v>3</v>
      </c>
      <c r="BA146" t="s">
        <v>3</v>
      </c>
      <c r="BB146" t="s">
        <v>3</v>
      </c>
      <c r="BC146" t="s">
        <v>1609</v>
      </c>
      <c r="BD146" t="s">
        <v>1610</v>
      </c>
      <c r="BE146">
        <v>0</v>
      </c>
      <c r="BF146">
        <v>0</v>
      </c>
      <c r="BG146">
        <v>0</v>
      </c>
      <c r="BH146">
        <v>0</v>
      </c>
      <c r="BI146">
        <v>0</v>
      </c>
      <c r="BJ146" t="s">
        <v>1657</v>
      </c>
      <c r="BK146">
        <v>0</v>
      </c>
      <c r="BL146" t="s">
        <v>132</v>
      </c>
      <c r="BM146">
        <v>0</v>
      </c>
      <c r="BN146">
        <f>Tabla1[[#This Row],[precio del paquete]]</f>
        <v>12900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1661</v>
      </c>
      <c r="CD146" t="str" cm="1">
        <f t="array" aca="1" ref="CD146" ca="1">eConcatenar(A146:CB146,"|")</f>
        <v>MGAusGOfiDxhHwlY|VSA2019-0304V2|3|ECONOLINE|TABASCO|VILLAHERMOSA|VILLAHERMOSA|2019-08-07|12900|x|x|100|0|0|0|0|0|0|0|0|0|0|0|0|0|0|0|BEJERANO|CADENA|SANTOS|soltero|0|0|CIRCUITO MONAL NUMERO 206|COLONIA GAVIOTAS SUR|0|9934377180|0|0|0|CIRCUITO MONAL NUMERO 206|x|lunes|0|0|0|0|0|DOMICILIO |7400|5500|x|x|x|2022-03-15|2022-03-22|0|0|0|0|0|QYD9TF2W9KVTQO|0|HOMBRE|0|12900|0|0|0|0|0|0|0|0|CARDENAS|X|X|X|X|FINAL</v>
      </c>
    </row>
    <row r="147" spans="1:82" x14ac:dyDescent="0.25">
      <c r="A147" t="s">
        <v>281</v>
      </c>
      <c r="B147" t="s">
        <v>526</v>
      </c>
      <c r="C147">
        <v>3</v>
      </c>
      <c r="D147" t="s">
        <v>634</v>
      </c>
      <c r="E147" t="s">
        <v>643</v>
      </c>
      <c r="F147" t="s">
        <v>644</v>
      </c>
      <c r="G147" t="s">
        <v>644</v>
      </c>
      <c r="H147" t="s">
        <v>806</v>
      </c>
      <c r="I147">
        <v>14800</v>
      </c>
      <c r="J147" t="s">
        <v>3</v>
      </c>
      <c r="K147" t="s">
        <v>3</v>
      </c>
      <c r="L147">
        <v>100</v>
      </c>
      <c r="M147">
        <v>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1041</v>
      </c>
      <c r="AC147" t="s">
        <v>1020</v>
      </c>
      <c r="AD147" s="18" t="s">
        <v>1216</v>
      </c>
      <c r="AE147" t="s">
        <v>1356</v>
      </c>
      <c r="AF147">
        <v>0</v>
      </c>
      <c r="AG147">
        <v>0</v>
      </c>
      <c r="AH147" t="s">
        <v>1484</v>
      </c>
      <c r="AI147" t="s">
        <v>739</v>
      </c>
      <c r="AJ147">
        <v>0</v>
      </c>
      <c r="AK147">
        <v>9931301547</v>
      </c>
      <c r="AL147">
        <v>0</v>
      </c>
      <c r="AM147">
        <v>0</v>
      </c>
      <c r="AN147">
        <v>0</v>
      </c>
      <c r="AO147" t="s">
        <v>1484</v>
      </c>
      <c r="AP147" t="s">
        <v>3</v>
      </c>
      <c r="AQ147" t="s">
        <v>1581</v>
      </c>
      <c r="AR147">
        <v>0</v>
      </c>
      <c r="AS147">
        <v>0</v>
      </c>
      <c r="AT147">
        <v>0</v>
      </c>
      <c r="AU147">
        <v>0</v>
      </c>
      <c r="AV147">
        <v>0</v>
      </c>
      <c r="AW147" t="s">
        <v>11</v>
      </c>
      <c r="AX147">
        <f>Tabla1[[#This Row],[precio del paquete]]-Tabla1[[#This Row],[Saldo_Deudor]]</f>
        <v>1500</v>
      </c>
      <c r="AY147">
        <v>13300</v>
      </c>
      <c r="AZ147" t="s">
        <v>3</v>
      </c>
      <c r="BA147" t="s">
        <v>3</v>
      </c>
      <c r="BB147" t="s">
        <v>3</v>
      </c>
      <c r="BC147" t="s">
        <v>906</v>
      </c>
      <c r="BD147" t="s">
        <v>1637</v>
      </c>
      <c r="BE147">
        <v>0</v>
      </c>
      <c r="BF147">
        <v>0</v>
      </c>
      <c r="BG147">
        <v>0</v>
      </c>
      <c r="BH147">
        <v>0</v>
      </c>
      <c r="BI147">
        <v>0</v>
      </c>
      <c r="BJ147" t="s">
        <v>1657</v>
      </c>
      <c r="BK147">
        <v>0</v>
      </c>
      <c r="BL147" t="s">
        <v>132</v>
      </c>
      <c r="BM147">
        <v>0</v>
      </c>
      <c r="BN147">
        <f>Tabla1[[#This Row],[precio del paquete]]</f>
        <v>14800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1661</v>
      </c>
      <c r="CD147" t="str" cm="1">
        <f t="array" aca="1" ref="CD147" ca="1">eConcatenar(A147:CB147,"|")</f>
        <v>yf3AGon2QFNABp16|VSA2022-0165|3|MEMORIAL|TABASCO|VILLAHERMOSA|VILLAHERMOSA|2022-12-02|14800|x|x|100|2|0|0|0|0|0|0|0|0|0|0|0|0|0|0|JIMENEZ|CRUZ|CARLOS|soltero|0|0|ENTRADA A ESTANZUELA SIN NUMERO|VILLA PLAYAS DEL ROSARIO|0|9931301547|0|0|0|ENTRADA A ESTANZUELA SIN NUMERO|x|lunes|0|0|0|0|0|DOMICILIO |1500|13300|x|x|x|2022-11-02|2022-11-09|0|0|0|0|0|QYD9TF2W9KVTQO|0|HOMBRE|0|14800|0|0|0|0|0|0|0|0|CARDENAS|X|X|X|X|FINAL</v>
      </c>
    </row>
    <row r="148" spans="1:82" x14ac:dyDescent="0.25">
      <c r="A148" t="s">
        <v>282</v>
      </c>
      <c r="B148" t="s">
        <v>527</v>
      </c>
      <c r="C148">
        <v>3</v>
      </c>
      <c r="D148" t="s">
        <v>634</v>
      </c>
      <c r="E148" t="s">
        <v>643</v>
      </c>
      <c r="F148" t="s">
        <v>644</v>
      </c>
      <c r="G148" t="s">
        <v>644</v>
      </c>
      <c r="H148" t="s">
        <v>828</v>
      </c>
      <c r="I148">
        <v>14800</v>
      </c>
      <c r="J148" t="s">
        <v>3</v>
      </c>
      <c r="K148" t="s">
        <v>3</v>
      </c>
      <c r="L148">
        <v>100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985</v>
      </c>
      <c r="AC148" t="s">
        <v>1217</v>
      </c>
      <c r="AD148" s="18" t="s">
        <v>1218</v>
      </c>
      <c r="AE148" t="s">
        <v>1356</v>
      </c>
      <c r="AF148">
        <v>0</v>
      </c>
      <c r="AG148">
        <v>0</v>
      </c>
      <c r="AH148" t="s">
        <v>1485</v>
      </c>
      <c r="AI148" t="s">
        <v>715</v>
      </c>
      <c r="AJ148">
        <v>0</v>
      </c>
      <c r="AK148">
        <v>9931882547</v>
      </c>
      <c r="AL148">
        <v>0</v>
      </c>
      <c r="AM148">
        <v>0</v>
      </c>
      <c r="AN148">
        <v>0</v>
      </c>
      <c r="AO148" t="s">
        <v>1485</v>
      </c>
      <c r="AP148" t="s">
        <v>3</v>
      </c>
      <c r="AQ148" t="s">
        <v>1581</v>
      </c>
      <c r="AR148">
        <v>0</v>
      </c>
      <c r="AS148">
        <v>0</v>
      </c>
      <c r="AT148">
        <v>0</v>
      </c>
      <c r="AU148">
        <v>0</v>
      </c>
      <c r="AV148">
        <v>0</v>
      </c>
      <c r="AW148" t="s">
        <v>11</v>
      </c>
      <c r="AX148">
        <f>Tabla1[[#This Row],[precio del paquete]]-Tabla1[[#This Row],[Saldo_Deudor]]</f>
        <v>200</v>
      </c>
      <c r="AY148">
        <v>14600</v>
      </c>
      <c r="AZ148" t="s">
        <v>3</v>
      </c>
      <c r="BA148" t="s">
        <v>3</v>
      </c>
      <c r="BB148" t="s">
        <v>3</v>
      </c>
      <c r="BC148" t="s">
        <v>828</v>
      </c>
      <c r="BD148" t="s">
        <v>1628</v>
      </c>
      <c r="BE148">
        <v>0</v>
      </c>
      <c r="BF148">
        <v>0</v>
      </c>
      <c r="BG148">
        <v>0</v>
      </c>
      <c r="BH148">
        <v>0</v>
      </c>
      <c r="BI148">
        <v>0</v>
      </c>
      <c r="BJ148" t="s">
        <v>1657</v>
      </c>
      <c r="BK148">
        <v>0</v>
      </c>
      <c r="BL148" t="s">
        <v>132</v>
      </c>
      <c r="BM148">
        <v>0</v>
      </c>
      <c r="BN148">
        <f>Tabla1[[#This Row],[precio del paquete]]</f>
        <v>14800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1661</v>
      </c>
      <c r="CD148" t="str" cm="1">
        <f t="array" aca="1" ref="CD148" ca="1">eConcatenar(A148:CB148,"|")</f>
        <v>oX2qTKeqXTjiRxSR|VSA2022-0224|3|MEMORIAL|TABASCO|VILLAHERMOSA|VILLAHERMOSA|2022-02-28|14800|x|x|100|0|0|0|0|0|0|0|0|0|0|0|0|0|0|0|PEREZ|TRUJILLO|GREGORIO|soltero|0|0|CALLE PRINCIPAL SIN NUMERO|EJIDO EL DORADO|0|9931882547|0|0|0|CALLE PRINCIPAL SIN NUMERO|x|lunes|0|0|0|0|0|DOMICILIO |200|14600|x|x|x|2022-02-28|2022-03-07|0|0|0|0|0|QYD9TF2W9KVTQO|0|HOMBRE|0|14800|0|0|0|0|0|0|0|0|CARDENAS|X|X|X|X|FINAL</v>
      </c>
    </row>
    <row r="149" spans="1:82" x14ac:dyDescent="0.25">
      <c r="A149" t="s">
        <v>283</v>
      </c>
      <c r="B149" t="s">
        <v>528</v>
      </c>
      <c r="C149">
        <v>3</v>
      </c>
      <c r="D149" t="s">
        <v>634</v>
      </c>
      <c r="E149" t="s">
        <v>643</v>
      </c>
      <c r="F149" t="s">
        <v>644</v>
      </c>
      <c r="G149" t="s">
        <v>644</v>
      </c>
      <c r="H149" t="s">
        <v>906</v>
      </c>
      <c r="I149">
        <v>14800</v>
      </c>
      <c r="J149" t="s">
        <v>3</v>
      </c>
      <c r="K149" t="s">
        <v>3</v>
      </c>
      <c r="L149">
        <v>100</v>
      </c>
      <c r="M149">
        <v>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1063</v>
      </c>
      <c r="AC149" t="s">
        <v>1064</v>
      </c>
      <c r="AD149" s="18" t="s">
        <v>1219</v>
      </c>
      <c r="AE149" t="s">
        <v>1356</v>
      </c>
      <c r="AF149">
        <v>0</v>
      </c>
      <c r="AG149">
        <v>0</v>
      </c>
      <c r="AH149" t="s">
        <v>1486</v>
      </c>
      <c r="AI149" t="s">
        <v>741</v>
      </c>
      <c r="AJ149">
        <v>0</v>
      </c>
      <c r="AK149">
        <v>9932861115</v>
      </c>
      <c r="AL149">
        <v>0</v>
      </c>
      <c r="AM149">
        <v>0</v>
      </c>
      <c r="AN149">
        <v>0</v>
      </c>
      <c r="AO149" t="s">
        <v>1486</v>
      </c>
      <c r="AP149" t="s">
        <v>3</v>
      </c>
      <c r="AQ149" t="s">
        <v>1581</v>
      </c>
      <c r="AR149">
        <v>0</v>
      </c>
      <c r="AS149">
        <v>0</v>
      </c>
      <c r="AT149">
        <v>0</v>
      </c>
      <c r="AU149">
        <v>0</v>
      </c>
      <c r="AV149">
        <v>0</v>
      </c>
      <c r="AW149" t="s">
        <v>11</v>
      </c>
      <c r="AX149">
        <f>Tabla1[[#This Row],[precio del paquete]]-Tabla1[[#This Row],[Saldo_Deudor]]</f>
        <v>200</v>
      </c>
      <c r="AY149">
        <v>14600</v>
      </c>
      <c r="AZ149" t="s">
        <v>3</v>
      </c>
      <c r="BA149" t="s">
        <v>3</v>
      </c>
      <c r="BB149" t="s">
        <v>3</v>
      </c>
      <c r="BC149" t="s">
        <v>906</v>
      </c>
      <c r="BD149" t="s">
        <v>1637</v>
      </c>
      <c r="BE149">
        <v>0</v>
      </c>
      <c r="BF149">
        <v>0</v>
      </c>
      <c r="BG149">
        <v>0</v>
      </c>
      <c r="BH149">
        <v>0</v>
      </c>
      <c r="BI149">
        <v>0</v>
      </c>
      <c r="BJ149" t="s">
        <v>1654</v>
      </c>
      <c r="BK149">
        <v>0</v>
      </c>
      <c r="BL149" t="s">
        <v>132</v>
      </c>
      <c r="BM149">
        <v>0</v>
      </c>
      <c r="BN149">
        <f>Tabla1[[#This Row],[precio del paquete]]</f>
        <v>14800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1661</v>
      </c>
      <c r="CD149" t="str" cm="1">
        <f t="array" aca="1" ref="CD149" ca="1">eConcatenar(A149:CB149,"|")</f>
        <v>OQmpPYwS9XnONjed|VSA2022-0174|3|MEMORIAL|TABASCO|VILLAHERMOSA|VILLAHERMOSA|2022-11-02|14800|x|x|100|2|0|0|0|0|0|0|0|0|0|0|0|0|0|0|MENDEZ|MONTECINO|DAVID|soltero|0|0|CALLE LUIS GIL PEREZ|RANCHERIA PABLO L SIDAR CENTRO|0|9932861115|0|0|0|CALLE LUIS GIL PEREZ|x|lunes|0|0|0|0|0|DOMICILIO |200|14600|x|x|x|2022-11-02|2022-11-09|0|0|0|0|0|QYD9TF9K9KVTQO|0|HOMBRE|0|14800|0|0|0|0|0|0|0|0|CARDENAS|X|X|X|X|FINAL</v>
      </c>
    </row>
    <row r="150" spans="1:82" x14ac:dyDescent="0.25">
      <c r="A150" t="s">
        <v>284</v>
      </c>
      <c r="B150" t="s">
        <v>529</v>
      </c>
      <c r="C150">
        <v>3</v>
      </c>
      <c r="D150" t="s">
        <v>634</v>
      </c>
      <c r="E150" t="s">
        <v>643</v>
      </c>
      <c r="F150" t="s">
        <v>644</v>
      </c>
      <c r="G150" t="s">
        <v>644</v>
      </c>
      <c r="H150" t="s">
        <v>907</v>
      </c>
      <c r="I150">
        <v>14800</v>
      </c>
      <c r="J150" t="s">
        <v>3</v>
      </c>
      <c r="K150" t="s">
        <v>3</v>
      </c>
      <c r="L150">
        <v>100</v>
      </c>
      <c r="M150">
        <v>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1220</v>
      </c>
      <c r="AC150" t="s">
        <v>1125</v>
      </c>
      <c r="AD150" s="18" t="s">
        <v>1221</v>
      </c>
      <c r="AE150" t="s">
        <v>1356</v>
      </c>
      <c r="AF150">
        <v>0</v>
      </c>
      <c r="AG150">
        <v>0</v>
      </c>
      <c r="AH150" t="s">
        <v>1487</v>
      </c>
      <c r="AI150" t="s">
        <v>742</v>
      </c>
      <c r="AJ150">
        <v>0</v>
      </c>
      <c r="AK150">
        <v>9932846615</v>
      </c>
      <c r="AL150">
        <v>0</v>
      </c>
      <c r="AM150">
        <v>0</v>
      </c>
      <c r="AN150">
        <v>0</v>
      </c>
      <c r="AO150" t="s">
        <v>1487</v>
      </c>
      <c r="AP150" t="s">
        <v>3</v>
      </c>
      <c r="AQ150" t="s">
        <v>1581</v>
      </c>
      <c r="AR150">
        <v>0</v>
      </c>
      <c r="AS150">
        <v>0</v>
      </c>
      <c r="AT150">
        <v>0</v>
      </c>
      <c r="AU150">
        <v>0</v>
      </c>
      <c r="AV150">
        <v>0</v>
      </c>
      <c r="AW150" t="s">
        <v>11</v>
      </c>
      <c r="AX150">
        <f>Tabla1[[#This Row],[precio del paquete]]-Tabla1[[#This Row],[Saldo_Deudor]]</f>
        <v>100</v>
      </c>
      <c r="AY150">
        <v>14700</v>
      </c>
      <c r="AZ150" t="s">
        <v>3</v>
      </c>
      <c r="BA150" t="s">
        <v>3</v>
      </c>
      <c r="BB150" t="s">
        <v>3</v>
      </c>
      <c r="BC150" t="s">
        <v>824</v>
      </c>
      <c r="BD150" t="s">
        <v>1638</v>
      </c>
      <c r="BE150">
        <v>0</v>
      </c>
      <c r="BF150">
        <v>0</v>
      </c>
      <c r="BG150">
        <v>0</v>
      </c>
      <c r="BH150">
        <v>0</v>
      </c>
      <c r="BI150">
        <v>0</v>
      </c>
      <c r="BJ150" t="s">
        <v>1654</v>
      </c>
      <c r="BK150">
        <v>0</v>
      </c>
      <c r="BL150" t="s">
        <v>132</v>
      </c>
      <c r="BM150">
        <v>0</v>
      </c>
      <c r="BN150">
        <f>Tabla1[[#This Row],[precio del paquete]]</f>
        <v>14800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1661</v>
      </c>
      <c r="CD150" t="str" cm="1">
        <f t="array" aca="1" ref="CD150" ca="1">eConcatenar(A150:CB150,"|")</f>
        <v>03dLi5rDW0No3fYy|VSA2021-1980|3|MEMORIAL|TABASCO|VILLAHERMOSA|VILLAHERMOSA|2021-12-24|14800|x|x|100|2|0|0|0|0|0|0|0|0|0|0|0|0|0|0|DE LOS SANTOS|RIVERA|JUAN|soltero|0|0|CARRETERA VILLAHERMOSA LA ISLA KILOMETRO 15.5|RANCHERIA BUENA VISTA|0|9932846615|0|0|0|CARRETERA VILLAHERMOSA LA ISLA KILOMETRO 15.5|x|lunes|0|0|0|0|0|DOMICILIO |100|14700|x|x|x|2021-12-20|2021-12-27|0|0|0|0|0|QYD9TF9K9KVTQO|0|HOMBRE|0|14800|0|0|0|0|0|0|0|0|CARDENAS|X|X|X|X|FINAL</v>
      </c>
    </row>
    <row r="151" spans="1:82" x14ac:dyDescent="0.25">
      <c r="A151" t="s">
        <v>285</v>
      </c>
      <c r="B151" t="s">
        <v>530</v>
      </c>
      <c r="C151">
        <v>3</v>
      </c>
      <c r="D151" t="s">
        <v>635</v>
      </c>
      <c r="E151" t="s">
        <v>643</v>
      </c>
      <c r="F151" t="s">
        <v>644</v>
      </c>
      <c r="G151" t="s">
        <v>644</v>
      </c>
      <c r="H151" t="s">
        <v>908</v>
      </c>
      <c r="I151">
        <v>12900</v>
      </c>
      <c r="J151" t="s">
        <v>3</v>
      </c>
      <c r="K151" t="s">
        <v>3</v>
      </c>
      <c r="L151">
        <v>100</v>
      </c>
      <c r="M151">
        <v>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975</v>
      </c>
      <c r="AC151" t="s">
        <v>1222</v>
      </c>
      <c r="AD151" s="18" t="s">
        <v>1223</v>
      </c>
      <c r="AE151" t="s">
        <v>1356</v>
      </c>
      <c r="AF151">
        <v>0</v>
      </c>
      <c r="AG151">
        <v>0</v>
      </c>
      <c r="AH151" t="s">
        <v>1396</v>
      </c>
      <c r="AI151" t="s">
        <v>743</v>
      </c>
      <c r="AJ151">
        <v>0</v>
      </c>
      <c r="AK151">
        <v>9931881246</v>
      </c>
      <c r="AL151">
        <v>0</v>
      </c>
      <c r="AM151">
        <v>0</v>
      </c>
      <c r="AN151">
        <v>0</v>
      </c>
      <c r="AO151" t="s">
        <v>1396</v>
      </c>
      <c r="AP151" t="s">
        <v>3</v>
      </c>
      <c r="AQ151" t="s">
        <v>1581</v>
      </c>
      <c r="AR151">
        <v>0</v>
      </c>
      <c r="AS151">
        <v>0</v>
      </c>
      <c r="AT151">
        <v>0</v>
      </c>
      <c r="AU151">
        <v>0</v>
      </c>
      <c r="AV151">
        <v>0</v>
      </c>
      <c r="AW151" t="s">
        <v>11</v>
      </c>
      <c r="AX151">
        <f>Tabla1[[#This Row],[precio del paquete]]-Tabla1[[#This Row],[Saldo_Deudor]]</f>
        <v>5890</v>
      </c>
      <c r="AY151">
        <v>7010</v>
      </c>
      <c r="AZ151" t="s">
        <v>3</v>
      </c>
      <c r="BA151" t="s">
        <v>3</v>
      </c>
      <c r="BB151" t="s">
        <v>3</v>
      </c>
      <c r="BC151" t="s">
        <v>1639</v>
      </c>
      <c r="BD151" t="s">
        <v>900</v>
      </c>
      <c r="BE151">
        <v>0</v>
      </c>
      <c r="BF151">
        <v>0</v>
      </c>
      <c r="BG151">
        <v>0</v>
      </c>
      <c r="BH151">
        <v>0</v>
      </c>
      <c r="BI151">
        <v>0</v>
      </c>
      <c r="BJ151" t="s">
        <v>1654</v>
      </c>
      <c r="BK151">
        <v>0</v>
      </c>
      <c r="BL151" t="s">
        <v>132</v>
      </c>
      <c r="BM151">
        <v>0</v>
      </c>
      <c r="BN151">
        <f>Tabla1[[#This Row],[precio del paquete]]</f>
        <v>12900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1661</v>
      </c>
      <c r="CD151" t="str" cm="1">
        <f t="array" aca="1" ref="CD151" ca="1">eConcatenar(A151:CB151,"|")</f>
        <v>S8WLdZIYunuFvjDg|VSA2020-1027|3|IMPERIAL DE LUJO|TABASCO|VILLAHERMOSA|VILLAHERMOSA|2020-11-21|12900|x|x|100|2|0|0|0|0|0|0|0|0|0|0|0|0|0|0|MORENO|LLERGO|LEOCADIA|soltero|0|0|CARRETERA PRINCIPAL SIN NUMERO|RANCHERIA BUENA VISTA RIO NUEVO|0|9931881246|0|0|0|CARRETERA PRINCIPAL SIN NUMERO|x|lunes|0|0|0|0|0|DOMICILIO |5890|7010|x|x|x|2021-07-12|2021-07-19|0|0|0|0|0|QYD9TF9K9KVTQO|0|HOMBRE|0|12900|0|0|0|0|0|0|0|0|CARDENAS|X|X|X|X|FINAL</v>
      </c>
    </row>
    <row r="152" spans="1:82" x14ac:dyDescent="0.25">
      <c r="A152" t="s">
        <v>286</v>
      </c>
      <c r="B152" t="s">
        <v>531</v>
      </c>
      <c r="C152">
        <v>3</v>
      </c>
      <c r="D152" t="s">
        <v>635</v>
      </c>
      <c r="E152" t="s">
        <v>643</v>
      </c>
      <c r="F152" t="s">
        <v>644</v>
      </c>
      <c r="G152" t="s">
        <v>644</v>
      </c>
      <c r="H152" t="s">
        <v>909</v>
      </c>
      <c r="I152">
        <v>12900</v>
      </c>
      <c r="J152" t="s">
        <v>3</v>
      </c>
      <c r="K152" t="s">
        <v>3</v>
      </c>
      <c r="L152">
        <v>100</v>
      </c>
      <c r="M152">
        <v>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1224</v>
      </c>
      <c r="AC152" t="s">
        <v>1225</v>
      </c>
      <c r="AD152" s="18" t="s">
        <v>1108</v>
      </c>
      <c r="AE152" t="s">
        <v>1356</v>
      </c>
      <c r="AF152">
        <v>0</v>
      </c>
      <c r="AG152">
        <v>0</v>
      </c>
      <c r="AH152" t="s">
        <v>1396</v>
      </c>
      <c r="AI152" t="s">
        <v>744</v>
      </c>
      <c r="AJ152">
        <v>0</v>
      </c>
      <c r="AK152">
        <v>9931188065</v>
      </c>
      <c r="AL152">
        <v>0</v>
      </c>
      <c r="AM152">
        <v>0</v>
      </c>
      <c r="AN152">
        <v>0</v>
      </c>
      <c r="AO152" t="s">
        <v>1396</v>
      </c>
      <c r="AP152" t="s">
        <v>3</v>
      </c>
      <c r="AQ152" t="s">
        <v>1581</v>
      </c>
      <c r="AR152">
        <v>0</v>
      </c>
      <c r="AS152">
        <v>0</v>
      </c>
      <c r="AT152">
        <v>0</v>
      </c>
      <c r="AU152">
        <v>0</v>
      </c>
      <c r="AV152">
        <v>0</v>
      </c>
      <c r="AW152" t="s">
        <v>11</v>
      </c>
      <c r="AX152">
        <f>Tabla1[[#This Row],[precio del paquete]]-Tabla1[[#This Row],[Saldo_Deudor]]</f>
        <v>5900</v>
      </c>
      <c r="AY152">
        <v>7000</v>
      </c>
      <c r="AZ152" t="s">
        <v>3</v>
      </c>
      <c r="BA152" t="s">
        <v>3</v>
      </c>
      <c r="BB152" t="s">
        <v>3</v>
      </c>
      <c r="BC152" t="s">
        <v>802</v>
      </c>
      <c r="BD152" t="s">
        <v>1603</v>
      </c>
      <c r="BE152">
        <v>0</v>
      </c>
      <c r="BF152">
        <v>0</v>
      </c>
      <c r="BG152">
        <v>0</v>
      </c>
      <c r="BH152">
        <v>0</v>
      </c>
      <c r="BI152">
        <v>0</v>
      </c>
      <c r="BJ152" t="s">
        <v>1654</v>
      </c>
      <c r="BK152">
        <v>0</v>
      </c>
      <c r="BL152" t="s">
        <v>132</v>
      </c>
      <c r="BM152">
        <v>0</v>
      </c>
      <c r="BN152">
        <f>Tabla1[[#This Row],[precio del paquete]]</f>
        <v>12900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1661</v>
      </c>
      <c r="CD152" t="str" cm="1">
        <f t="array" aca="1" ref="CD152" ca="1">eConcatenar(A152:CB152,"|")</f>
        <v>GFincdCwpXywszbb|VSA2020-1335|3|IMPERIAL DE LUJO|TABASCO|VILLAHERMOSA|VILLAHERMOSA|2020-12-17|12900|x|x|100|2|0|0|0|0|0|0|0|0|0|0|0|0|0|0|ZAVALA|RODA|LUCIA|soltero|0|0|CARRETERA PRINCIPAL SIN NUMERO|RANCHERIA BOQUERON QUINTA SECCION|0|9931188065|0|0|0|CARRETERA PRINCIPAL SIN NUMERO|x|lunes|0|0|0|0|0|DOMICILIO |5900|7000|x|x|x|2022-07-03|2022-07-10|0|0|0|0|0|QYD9TF9K9KVTQO|0|HOMBRE|0|12900|0|0|0|0|0|0|0|0|CARDENAS|X|X|X|X|FINAL</v>
      </c>
    </row>
    <row r="153" spans="1:82" x14ac:dyDescent="0.25">
      <c r="A153" t="s">
        <v>287</v>
      </c>
      <c r="B153" t="s">
        <v>532</v>
      </c>
      <c r="C153">
        <v>3</v>
      </c>
      <c r="D153" t="s">
        <v>634</v>
      </c>
      <c r="E153" t="s">
        <v>643</v>
      </c>
      <c r="F153" t="s">
        <v>644</v>
      </c>
      <c r="G153" t="s">
        <v>644</v>
      </c>
      <c r="H153" t="s">
        <v>910</v>
      </c>
      <c r="I153">
        <v>14800</v>
      </c>
      <c r="J153" t="s">
        <v>3</v>
      </c>
      <c r="K153" t="s">
        <v>3</v>
      </c>
      <c r="L153">
        <v>100</v>
      </c>
      <c r="M153">
        <v>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1151</v>
      </c>
      <c r="AC153" t="s">
        <v>7</v>
      </c>
      <c r="AD153" s="18" t="s">
        <v>1226</v>
      </c>
      <c r="AE153" t="s">
        <v>1356</v>
      </c>
      <c r="AF153">
        <v>0</v>
      </c>
      <c r="AG153">
        <v>0</v>
      </c>
      <c r="AH153" t="s">
        <v>1488</v>
      </c>
      <c r="AI153" t="s">
        <v>745</v>
      </c>
      <c r="AJ153">
        <v>0</v>
      </c>
      <c r="AK153">
        <v>9932098162</v>
      </c>
      <c r="AL153">
        <v>0</v>
      </c>
      <c r="AM153">
        <v>0</v>
      </c>
      <c r="AN153">
        <v>0</v>
      </c>
      <c r="AO153" t="s">
        <v>1488</v>
      </c>
      <c r="AP153" t="s">
        <v>3</v>
      </c>
      <c r="AQ153" t="s">
        <v>1581</v>
      </c>
      <c r="AR153">
        <v>0</v>
      </c>
      <c r="AS153">
        <v>0</v>
      </c>
      <c r="AT153">
        <v>0</v>
      </c>
      <c r="AU153">
        <v>0</v>
      </c>
      <c r="AV153">
        <v>0</v>
      </c>
      <c r="AW153" t="s">
        <v>11</v>
      </c>
      <c r="AX153">
        <f>Tabla1[[#This Row],[precio del paquete]]-Tabla1[[#This Row],[Saldo_Deudor]]</f>
        <v>1200</v>
      </c>
      <c r="AY153">
        <v>13600</v>
      </c>
      <c r="AZ153" t="s">
        <v>3</v>
      </c>
      <c r="BA153" t="s">
        <v>3</v>
      </c>
      <c r="BB153" t="s">
        <v>3</v>
      </c>
      <c r="BC153" t="s">
        <v>912</v>
      </c>
      <c r="BD153" t="s">
        <v>1601</v>
      </c>
      <c r="BE153">
        <v>0</v>
      </c>
      <c r="BF153">
        <v>0</v>
      </c>
      <c r="BG153">
        <v>0</v>
      </c>
      <c r="BH153">
        <v>0</v>
      </c>
      <c r="BI153">
        <v>0</v>
      </c>
      <c r="BJ153" t="s">
        <v>1654</v>
      </c>
      <c r="BK153">
        <v>0</v>
      </c>
      <c r="BL153" t="s">
        <v>132</v>
      </c>
      <c r="BM153">
        <v>0</v>
      </c>
      <c r="BN153">
        <f>Tabla1[[#This Row],[precio del paquete]]</f>
        <v>14800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1661</v>
      </c>
      <c r="CD153" t="str" cm="1">
        <f t="array" aca="1" ref="CD153" ca="1">eConcatenar(A153:CB153,"|")</f>
        <v>FGzA2uHs4Nkzdljl|VSA2021-1965|3|MEMORIAL|TABASCO|VILLAHERMOSA|VILLAHERMOSA|2021-11-12|14800|x|x|100|2|0|0|0|0|0|0|0|0|0|0|0|0|0|0|LEON|LOPEZ|ENRIQUE|soltero|0|0|ANDADOR PRINCIPAL|COLONIA LIBERTAD BUENA VISTA|0|9932098162|0|0|0|ANDADOR PRINCIPAL|x|lunes|0|0|0|0|0|DOMICILIO |1200|13600|x|x|x|2022-08-03|2022-08-10|0|0|0|0|0|QYD9TF9K9KVTQO|0|HOMBRE|0|14800|0|0|0|0|0|0|0|0|CARDENAS|X|X|X|X|FINAL</v>
      </c>
    </row>
    <row r="154" spans="1:82" x14ac:dyDescent="0.25">
      <c r="A154" t="s">
        <v>288</v>
      </c>
      <c r="B154" t="s">
        <v>533</v>
      </c>
      <c r="C154">
        <v>3</v>
      </c>
      <c r="D154" t="s">
        <v>634</v>
      </c>
      <c r="E154" t="s">
        <v>643</v>
      </c>
      <c r="F154" t="s">
        <v>644</v>
      </c>
      <c r="G154" t="s">
        <v>644</v>
      </c>
      <c r="H154" t="s">
        <v>911</v>
      </c>
      <c r="I154">
        <v>14800</v>
      </c>
      <c r="J154" t="s">
        <v>3</v>
      </c>
      <c r="K154" t="s">
        <v>3</v>
      </c>
      <c r="L154">
        <v>100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971</v>
      </c>
      <c r="AC154" t="s">
        <v>1023</v>
      </c>
      <c r="AD154" s="18" t="s">
        <v>1108</v>
      </c>
      <c r="AE154" t="s">
        <v>1356</v>
      </c>
      <c r="AF154">
        <v>0</v>
      </c>
      <c r="AG154">
        <v>0</v>
      </c>
      <c r="AH154" t="s">
        <v>1489</v>
      </c>
      <c r="AI154" t="s">
        <v>746</v>
      </c>
      <c r="AJ154">
        <v>0</v>
      </c>
      <c r="AK154">
        <v>9932383797</v>
      </c>
      <c r="AL154">
        <v>0</v>
      </c>
      <c r="AM154">
        <v>0</v>
      </c>
      <c r="AN154">
        <v>0</v>
      </c>
      <c r="AO154" t="s">
        <v>1489</v>
      </c>
      <c r="AP154" t="s">
        <v>3</v>
      </c>
      <c r="AQ154" t="s">
        <v>1581</v>
      </c>
      <c r="AR154">
        <v>0</v>
      </c>
      <c r="AS154">
        <v>0</v>
      </c>
      <c r="AT154">
        <v>0</v>
      </c>
      <c r="AU154">
        <v>0</v>
      </c>
      <c r="AV154">
        <v>0</v>
      </c>
      <c r="AW154" t="s">
        <v>11</v>
      </c>
      <c r="AX154">
        <f>Tabla1[[#This Row],[precio del paquete]]-Tabla1[[#This Row],[Saldo_Deudor]]</f>
        <v>200</v>
      </c>
      <c r="AY154">
        <v>14600</v>
      </c>
      <c r="AZ154" t="s">
        <v>3</v>
      </c>
      <c r="BA154" t="s">
        <v>3</v>
      </c>
      <c r="BB154" t="s">
        <v>3</v>
      </c>
      <c r="BC154" t="s">
        <v>911</v>
      </c>
      <c r="BD154" t="s">
        <v>1593</v>
      </c>
      <c r="BE154">
        <v>0</v>
      </c>
      <c r="BF154">
        <v>0</v>
      </c>
      <c r="BG154">
        <v>0</v>
      </c>
      <c r="BH154">
        <v>0</v>
      </c>
      <c r="BI154">
        <v>0</v>
      </c>
      <c r="BJ154" t="s">
        <v>1654</v>
      </c>
      <c r="BK154">
        <v>0</v>
      </c>
      <c r="BL154" t="s">
        <v>132</v>
      </c>
      <c r="BM154">
        <v>0</v>
      </c>
      <c r="BN154">
        <f>Tabla1[[#This Row],[precio del paquete]]</f>
        <v>14800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1661</v>
      </c>
      <c r="CD154" t="str" cm="1">
        <f t="array" aca="1" ref="CD154" ca="1">eConcatenar(A154:CB154,"|")</f>
        <v>RWrisbNHNSS83nm3|VSA2022-0197|3|MEMORIAL|TABASCO|VILLAHERMOSA|VILLAHERMOSA|2022-02-19|14800|x|x|100|1|0|0|0|0|0|0|0|0|0|0|0|0|0|0|HERNANDEZ|DE LA CRUZ|LUCIA|soltero|0|0|CARRETERA VILLAHERMOSA A REFORMA SIN NUMERO|RANCHERIA CORREGIDORA ORTIZ PRIMERA SECCION|0|9932383797|0|0|0|CARRETERA VILLAHERMOSA A REFORMA SIN NUMERO|x|lunes|0|0|0|0|0|DOMICILIO |200|14600|x|x|x|2022-02-19|2022-02-26|0|0|0|0|0|QYD9TF9K9KVTQO|0|HOMBRE|0|14800|0|0|0|0|0|0|0|0|CARDENAS|X|X|X|X|FINAL</v>
      </c>
    </row>
    <row r="155" spans="1:82" x14ac:dyDescent="0.25">
      <c r="A155" t="s">
        <v>289</v>
      </c>
      <c r="B155" t="s">
        <v>534</v>
      </c>
      <c r="C155">
        <v>3</v>
      </c>
      <c r="D155" t="s">
        <v>634</v>
      </c>
      <c r="E155" t="s">
        <v>643</v>
      </c>
      <c r="F155" t="s">
        <v>644</v>
      </c>
      <c r="G155" t="s">
        <v>644</v>
      </c>
      <c r="H155" t="s">
        <v>911</v>
      </c>
      <c r="I155">
        <v>14800</v>
      </c>
      <c r="J155" t="s">
        <v>3</v>
      </c>
      <c r="K155" t="s">
        <v>3</v>
      </c>
      <c r="L155">
        <v>100</v>
      </c>
      <c r="M155">
        <v>1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1227</v>
      </c>
      <c r="AC155" t="s">
        <v>13</v>
      </c>
      <c r="AD155" s="18" t="s">
        <v>1030</v>
      </c>
      <c r="AE155" t="s">
        <v>1356</v>
      </c>
      <c r="AF155">
        <v>0</v>
      </c>
      <c r="AG155">
        <v>0</v>
      </c>
      <c r="AH155" t="s">
        <v>1490</v>
      </c>
      <c r="AI155" t="s">
        <v>747</v>
      </c>
      <c r="AJ155">
        <v>0</v>
      </c>
      <c r="AK155">
        <v>9932327866</v>
      </c>
      <c r="AL155">
        <v>0</v>
      </c>
      <c r="AM155">
        <v>0</v>
      </c>
      <c r="AN155">
        <v>0</v>
      </c>
      <c r="AO155" t="s">
        <v>1490</v>
      </c>
      <c r="AP155" t="s">
        <v>3</v>
      </c>
      <c r="AQ155" t="s">
        <v>1581</v>
      </c>
      <c r="AR155">
        <v>0</v>
      </c>
      <c r="AS155">
        <v>0</v>
      </c>
      <c r="AT155">
        <v>0</v>
      </c>
      <c r="AU155">
        <v>0</v>
      </c>
      <c r="AV155">
        <v>0</v>
      </c>
      <c r="AW155" t="s">
        <v>11</v>
      </c>
      <c r="AX155">
        <f>Tabla1[[#This Row],[precio del paquete]]-Tabla1[[#This Row],[Saldo_Deudor]]</f>
        <v>200</v>
      </c>
      <c r="AY155">
        <v>14600</v>
      </c>
      <c r="AZ155" t="s">
        <v>3</v>
      </c>
      <c r="BA155" t="s">
        <v>3</v>
      </c>
      <c r="BB155" t="s">
        <v>3</v>
      </c>
      <c r="BC155" t="s">
        <v>911</v>
      </c>
      <c r="BD155" t="s">
        <v>1593</v>
      </c>
      <c r="BE155">
        <v>0</v>
      </c>
      <c r="BF155">
        <v>0</v>
      </c>
      <c r="BG155">
        <v>0</v>
      </c>
      <c r="BH155">
        <v>0</v>
      </c>
      <c r="BI155">
        <v>0</v>
      </c>
      <c r="BJ155" t="s">
        <v>1654</v>
      </c>
      <c r="BK155">
        <v>0</v>
      </c>
      <c r="BL155" t="s">
        <v>132</v>
      </c>
      <c r="BM155">
        <v>0</v>
      </c>
      <c r="BN155">
        <f>Tabla1[[#This Row],[precio del paquete]]</f>
        <v>14800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1661</v>
      </c>
      <c r="CD155" t="str" cm="1">
        <f t="array" aca="1" ref="CD155" ca="1">eConcatenar(A155:CB155,"|")</f>
        <v>WQkK7Xl1n3seGDBA|VSA2022-0247|3|MEMORIAL|TABASCO|VILLAHERMOSA|VILLAHERMOSA|2022-02-19|14800|x|x|100|1|0|0|0|0|0|0|0|0|0|0|0|0|0|0|DEL CARMEN|GUTIERREZ|MARIA|soltero|0|0|CALLE JUAN TRUJILLO GURRIA LOTE 6|COLONIA JESUS A SIVILLA ZURITA|0|9932327866|0|0|0|CALLE JUAN TRUJILLO GURRIA LOTE 6|x|lunes|0|0|0|0|0|DOMICILIO |200|14600|x|x|x|2022-02-19|2022-02-26|0|0|0|0|0|QYD9TF9K9KVTQO|0|HOMBRE|0|14800|0|0|0|0|0|0|0|0|CARDENAS|X|X|X|X|FINAL</v>
      </c>
    </row>
    <row r="156" spans="1:82" x14ac:dyDescent="0.25">
      <c r="A156" t="s">
        <v>290</v>
      </c>
      <c r="B156" t="s">
        <v>535</v>
      </c>
      <c r="C156">
        <v>3</v>
      </c>
      <c r="D156" t="s">
        <v>634</v>
      </c>
      <c r="E156" t="s">
        <v>643</v>
      </c>
      <c r="F156" t="s">
        <v>644</v>
      </c>
      <c r="G156" t="s">
        <v>644</v>
      </c>
      <c r="H156" t="s">
        <v>912</v>
      </c>
      <c r="I156">
        <v>14800</v>
      </c>
      <c r="J156" t="s">
        <v>3</v>
      </c>
      <c r="K156" t="s">
        <v>3</v>
      </c>
      <c r="L156">
        <v>100</v>
      </c>
      <c r="M156">
        <v>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1100</v>
      </c>
      <c r="AC156" t="s">
        <v>1041</v>
      </c>
      <c r="AD156" s="18" t="s">
        <v>1228</v>
      </c>
      <c r="AE156" t="s">
        <v>1356</v>
      </c>
      <c r="AF156">
        <v>0</v>
      </c>
      <c r="AG156">
        <v>0</v>
      </c>
      <c r="AH156" t="s">
        <v>1491</v>
      </c>
      <c r="AI156" t="s">
        <v>688</v>
      </c>
      <c r="AJ156">
        <v>0</v>
      </c>
      <c r="AK156" t="s">
        <v>1</v>
      </c>
      <c r="AL156">
        <v>0</v>
      </c>
      <c r="AM156">
        <v>0</v>
      </c>
      <c r="AN156">
        <v>0</v>
      </c>
      <c r="AO156" t="s">
        <v>1491</v>
      </c>
      <c r="AP156" t="s">
        <v>3</v>
      </c>
      <c r="AQ156" t="s">
        <v>1581</v>
      </c>
      <c r="AR156">
        <v>0</v>
      </c>
      <c r="AS156">
        <v>0</v>
      </c>
      <c r="AT156">
        <v>0</v>
      </c>
      <c r="AU156">
        <v>0</v>
      </c>
      <c r="AV156">
        <v>0</v>
      </c>
      <c r="AW156" t="s">
        <v>11</v>
      </c>
      <c r="AX156">
        <f>Tabla1[[#This Row],[precio del paquete]]-Tabla1[[#This Row],[Saldo_Deudor]]</f>
        <v>200</v>
      </c>
      <c r="AY156">
        <v>14600</v>
      </c>
      <c r="AZ156" t="s">
        <v>3</v>
      </c>
      <c r="BA156" t="s">
        <v>3</v>
      </c>
      <c r="BB156" t="s">
        <v>3</v>
      </c>
      <c r="BC156" t="s">
        <v>912</v>
      </c>
      <c r="BD156" t="s">
        <v>1601</v>
      </c>
      <c r="BE156">
        <v>0</v>
      </c>
      <c r="BF156">
        <v>0</v>
      </c>
      <c r="BG156">
        <v>0</v>
      </c>
      <c r="BH156">
        <v>0</v>
      </c>
      <c r="BI156">
        <v>0</v>
      </c>
      <c r="BJ156" t="s">
        <v>1654</v>
      </c>
      <c r="BK156">
        <v>0</v>
      </c>
      <c r="BL156" t="s">
        <v>132</v>
      </c>
      <c r="BM156">
        <v>0</v>
      </c>
      <c r="BN156">
        <f>Tabla1[[#This Row],[precio del paquete]]</f>
        <v>14800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1661</v>
      </c>
      <c r="CD156" t="str" cm="1">
        <f t="array" aca="1" ref="CD156" ca="1">eConcatenar(A156:CB156,"|")</f>
        <v>gYv1fXdcVmjkmykq|VSA2022-0275|3|MEMORIAL|TABASCO|VILLAHERMOSA|VILLAHERMOSA|2022-08-03|14800|x|x|100|2|0|0|0|0|0|0|0|0|0|0|0|0|0|0|RODRIGUEZ|JIMENEZ|MARCO ANTONIO|soltero|0|0|CALLE SIN NOMBRE NUMERO 2|VILLA LUIS GIL PEREZ|0|X|0|0|0|CALLE SIN NOMBRE NUMERO 2|x|lunes|0|0|0|0|0|DOMICILIO |200|14600|x|x|x|2022-08-03|2022-08-10|0|0|0|0|0|QYD9TF9K9KVTQO|0|HOMBRE|0|14800|0|0|0|0|0|0|0|0|CARDENAS|X|X|X|X|FINAL</v>
      </c>
    </row>
    <row r="157" spans="1:82" x14ac:dyDescent="0.25">
      <c r="A157" t="s">
        <v>291</v>
      </c>
      <c r="B157" t="s">
        <v>536</v>
      </c>
      <c r="C157">
        <v>3</v>
      </c>
      <c r="D157" t="s">
        <v>634</v>
      </c>
      <c r="E157" t="s">
        <v>643</v>
      </c>
      <c r="F157" t="s">
        <v>644</v>
      </c>
      <c r="G157" t="s">
        <v>644</v>
      </c>
      <c r="H157" t="s">
        <v>912</v>
      </c>
      <c r="I157">
        <v>14800</v>
      </c>
      <c r="J157" t="s">
        <v>3</v>
      </c>
      <c r="K157" t="s">
        <v>3</v>
      </c>
      <c r="L157">
        <v>100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1088</v>
      </c>
      <c r="AC157" t="s">
        <v>1229</v>
      </c>
      <c r="AD157" s="18" t="s">
        <v>1230</v>
      </c>
      <c r="AE157" t="s">
        <v>1356</v>
      </c>
      <c r="AF157">
        <v>0</v>
      </c>
      <c r="AG157">
        <v>0</v>
      </c>
      <c r="AH157" t="s">
        <v>1492</v>
      </c>
      <c r="AI157" t="s">
        <v>688</v>
      </c>
      <c r="AJ157">
        <v>0</v>
      </c>
      <c r="AK157">
        <v>9932603290</v>
      </c>
      <c r="AL157">
        <v>0</v>
      </c>
      <c r="AM157">
        <v>0</v>
      </c>
      <c r="AN157">
        <v>0</v>
      </c>
      <c r="AO157" t="s">
        <v>1492</v>
      </c>
      <c r="AP157" t="s">
        <v>3</v>
      </c>
      <c r="AQ157" t="s">
        <v>1581</v>
      </c>
      <c r="AR157">
        <v>0</v>
      </c>
      <c r="AS157">
        <v>0</v>
      </c>
      <c r="AT157">
        <v>0</v>
      </c>
      <c r="AU157">
        <v>0</v>
      </c>
      <c r="AV157">
        <v>0</v>
      </c>
      <c r="AW157" t="s">
        <v>11</v>
      </c>
      <c r="AX157">
        <f>Tabla1[[#This Row],[precio del paquete]]-Tabla1[[#This Row],[Saldo_Deudor]]</f>
        <v>200</v>
      </c>
      <c r="AY157">
        <v>14600</v>
      </c>
      <c r="AZ157" t="s">
        <v>3</v>
      </c>
      <c r="BA157" t="s">
        <v>3</v>
      </c>
      <c r="BB157" t="s">
        <v>3</v>
      </c>
      <c r="BC157" t="s">
        <v>912</v>
      </c>
      <c r="BD157" t="s">
        <v>1601</v>
      </c>
      <c r="BE157">
        <v>0</v>
      </c>
      <c r="BF157">
        <v>0</v>
      </c>
      <c r="BG157">
        <v>0</v>
      </c>
      <c r="BH157">
        <v>0</v>
      </c>
      <c r="BI157">
        <v>0</v>
      </c>
      <c r="BJ157" t="s">
        <v>1654</v>
      </c>
      <c r="BK157">
        <v>0</v>
      </c>
      <c r="BL157" t="s">
        <v>132</v>
      </c>
      <c r="BM157">
        <v>0</v>
      </c>
      <c r="BN157">
        <f>Tabla1[[#This Row],[precio del paquete]]</f>
        <v>14800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1661</v>
      </c>
      <c r="CD157" t="str" cm="1">
        <f t="array" aca="1" ref="CD157" ca="1">eConcatenar(A157:CB157,"|")</f>
        <v>B5Ia9edBjPjZOczN|VSA2022-0276|3|MEMORIAL|TABASCO|VILLAHERMOSA|VILLAHERMOSA|2022-08-03|14800|x|x|100|0|0|0|0|0|0|0|0|0|0|0|0|0|0|0|VASCONCELOS|BURELOS|MARIO DE LOS REMEDIOS|soltero|0|0|CALLE JOLOCHERAS SIN NUMERO|VILLA LUIS GIL PEREZ|0|9932603290|0|0|0|CALLE JOLOCHERAS SIN NUMERO|x|lunes|0|0|0|0|0|DOMICILIO |200|14600|x|x|x|2022-08-03|2022-08-10|0|0|0|0|0|QYD9TF9K9KVTQO|0|HOMBRE|0|14800|0|0|0|0|0|0|0|0|CARDENAS|X|X|X|X|FINAL</v>
      </c>
    </row>
    <row r="158" spans="1:82" x14ac:dyDescent="0.25">
      <c r="A158" t="s">
        <v>292</v>
      </c>
      <c r="B158" t="s">
        <v>537</v>
      </c>
      <c r="C158">
        <v>3</v>
      </c>
      <c r="D158" t="s">
        <v>640</v>
      </c>
      <c r="E158" t="s">
        <v>643</v>
      </c>
      <c r="F158" t="s">
        <v>644</v>
      </c>
      <c r="G158" t="s">
        <v>644</v>
      </c>
      <c r="H158" t="s">
        <v>913</v>
      </c>
      <c r="I158">
        <v>14800</v>
      </c>
      <c r="J158" t="s">
        <v>3</v>
      </c>
      <c r="K158" t="s">
        <v>3</v>
      </c>
      <c r="L158">
        <v>100</v>
      </c>
      <c r="M158">
        <v>1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1067</v>
      </c>
      <c r="AC158" t="s">
        <v>971</v>
      </c>
      <c r="AD158" s="18" t="s">
        <v>1228</v>
      </c>
      <c r="AE158" t="s">
        <v>1356</v>
      </c>
      <c r="AF158">
        <v>0</v>
      </c>
      <c r="AG158">
        <v>0</v>
      </c>
      <c r="AH158" t="s">
        <v>1493</v>
      </c>
      <c r="AI158" t="s">
        <v>688</v>
      </c>
      <c r="AJ158">
        <v>0</v>
      </c>
      <c r="AK158">
        <v>9931298908</v>
      </c>
      <c r="AL158">
        <v>0</v>
      </c>
      <c r="AM158">
        <v>0</v>
      </c>
      <c r="AN158">
        <v>0</v>
      </c>
      <c r="AO158" t="s">
        <v>1493</v>
      </c>
      <c r="AP158" t="s">
        <v>3</v>
      </c>
      <c r="AQ158" t="s">
        <v>1581</v>
      </c>
      <c r="AR158">
        <v>0</v>
      </c>
      <c r="AS158">
        <v>0</v>
      </c>
      <c r="AT158">
        <v>0</v>
      </c>
      <c r="AU158">
        <v>0</v>
      </c>
      <c r="AV158">
        <v>0</v>
      </c>
      <c r="AW158" t="s">
        <v>11</v>
      </c>
      <c r="AX158">
        <f>Tabla1[[#This Row],[precio del paquete]]-Tabla1[[#This Row],[Saldo_Deudor]]</f>
        <v>200</v>
      </c>
      <c r="AY158">
        <v>14600</v>
      </c>
      <c r="AZ158" t="s">
        <v>3</v>
      </c>
      <c r="BA158" t="s">
        <v>3</v>
      </c>
      <c r="BB158" t="s">
        <v>3</v>
      </c>
      <c r="BC158" t="s">
        <v>913</v>
      </c>
      <c r="BD158" t="s">
        <v>1592</v>
      </c>
      <c r="BE158">
        <v>0</v>
      </c>
      <c r="BF158">
        <v>0</v>
      </c>
      <c r="BG158">
        <v>0</v>
      </c>
      <c r="BH158">
        <v>0</v>
      </c>
      <c r="BI158">
        <v>0</v>
      </c>
      <c r="BJ158" t="s">
        <v>1654</v>
      </c>
      <c r="BK158">
        <v>0</v>
      </c>
      <c r="BL158" t="s">
        <v>132</v>
      </c>
      <c r="BM158">
        <v>0</v>
      </c>
      <c r="BN158">
        <f>Tabla1[[#This Row],[precio del paquete]]</f>
        <v>14800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1661</v>
      </c>
      <c r="CD158" t="str" cm="1">
        <f t="array" aca="1" ref="CD158" ca="1">eConcatenar(A158:CB158,"|")</f>
        <v>mm4sTaK5wHzu58fL|VSA2022-.0250|3|ZAFIRO|TABASCO|VILLAHERMOSA|VILLAHERMOSA|2022-05-03|14800|x|x|100|1|0|0|0|0|0|0|0|0|0|0|0|0|0|0|GARCIA|HERNANDEZ|MARCO ANTONIO|soltero|0|0|CALLE LA CONCEPCION SIN NUMERO|VILLA LUIS GIL PEREZ|0|9931298908|0|0|0|CALLE LA CONCEPCION SIN NUMERO|x|lunes|0|0|0|0|0|DOMICILIO |200|14600|x|x|x|2022-05-03|2022-05-10|0|0|0|0|0|QYD9TF9K9KVTQO|0|HOMBRE|0|14800|0|0|0|0|0|0|0|0|CARDENAS|X|X|X|X|FINAL</v>
      </c>
    </row>
    <row r="159" spans="1:82" x14ac:dyDescent="0.25">
      <c r="A159" t="s">
        <v>293</v>
      </c>
      <c r="B159" t="s">
        <v>538</v>
      </c>
      <c r="C159">
        <v>3</v>
      </c>
      <c r="D159" t="s">
        <v>634</v>
      </c>
      <c r="E159" t="s">
        <v>643</v>
      </c>
      <c r="F159" t="s">
        <v>644</v>
      </c>
      <c r="G159" t="s">
        <v>644</v>
      </c>
      <c r="H159" t="s">
        <v>914</v>
      </c>
      <c r="I159">
        <v>14800</v>
      </c>
      <c r="J159" t="s">
        <v>3</v>
      </c>
      <c r="K159" t="s">
        <v>3</v>
      </c>
      <c r="L159">
        <v>100</v>
      </c>
      <c r="M159">
        <v>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1063</v>
      </c>
      <c r="AC159" t="s">
        <v>1231</v>
      </c>
      <c r="AD159" s="18" t="s">
        <v>1232</v>
      </c>
      <c r="AE159" t="s">
        <v>1356</v>
      </c>
      <c r="AF159">
        <v>0</v>
      </c>
      <c r="AG159">
        <v>0</v>
      </c>
      <c r="AH159" t="s">
        <v>1494</v>
      </c>
      <c r="AI159" t="s">
        <v>688</v>
      </c>
      <c r="AJ159">
        <v>0</v>
      </c>
      <c r="AK159">
        <v>9931256553</v>
      </c>
      <c r="AL159">
        <v>0</v>
      </c>
      <c r="AM159">
        <v>0</v>
      </c>
      <c r="AN159">
        <v>0</v>
      </c>
      <c r="AO159" t="s">
        <v>1494</v>
      </c>
      <c r="AP159" t="s">
        <v>3</v>
      </c>
      <c r="AQ159" t="s">
        <v>1581</v>
      </c>
      <c r="AR159">
        <v>0</v>
      </c>
      <c r="AS159">
        <v>0</v>
      </c>
      <c r="AT159">
        <v>0</v>
      </c>
      <c r="AU159">
        <v>0</v>
      </c>
      <c r="AV159">
        <v>0</v>
      </c>
      <c r="AW159" t="s">
        <v>11</v>
      </c>
      <c r="AX159">
        <f>Tabla1[[#This Row],[precio del paquete]]-Tabla1[[#This Row],[Saldo_Deudor]]</f>
        <v>200</v>
      </c>
      <c r="AY159">
        <v>14600</v>
      </c>
      <c r="AZ159" t="s">
        <v>3</v>
      </c>
      <c r="BA159" t="s">
        <v>3</v>
      </c>
      <c r="BB159" t="s">
        <v>3</v>
      </c>
      <c r="BC159" t="s">
        <v>802</v>
      </c>
      <c r="BD159" t="s">
        <v>1603</v>
      </c>
      <c r="BE159">
        <v>0</v>
      </c>
      <c r="BF159">
        <v>0</v>
      </c>
      <c r="BG159">
        <v>0</v>
      </c>
      <c r="BH159">
        <v>0</v>
      </c>
      <c r="BI159">
        <v>0</v>
      </c>
      <c r="BJ159" t="s">
        <v>1654</v>
      </c>
      <c r="BK159">
        <v>0</v>
      </c>
      <c r="BL159" t="s">
        <v>132</v>
      </c>
      <c r="BM159">
        <v>0</v>
      </c>
      <c r="BN159">
        <f>Tabla1[[#This Row],[precio del paquete]]</f>
        <v>14800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1661</v>
      </c>
      <c r="CD159" t="str" cm="1">
        <f t="array" aca="1" ref="CD159" ca="1">eConcatenar(A159:CB159,"|")</f>
        <v>ZspDWzNMmeM1iGto|VSA2022-0262|3|MEMORIAL|TABASCO|VILLAHERMOSA|VILLAHERMOSA|2002-07-03|14800|x|x|100|1|0|0|0|0|0|0|0|0|0|0|0|0|0|0|MENDEZ|ORTIZ|ADRIANA|soltero|0|0|SEGUNDA CERRADA DE JUAREZ|VILLA LUIS GIL PEREZ|0|9931256553|0|0|0|SEGUNDA CERRADA DE JUAREZ|x|lunes|0|0|0|0|0|DOMICILIO |200|14600|x|x|x|2022-07-03|2022-07-10|0|0|0|0|0|QYD9TF9K9KVTQO|0|HOMBRE|0|14800|0|0|0|0|0|0|0|0|CARDENAS|X|X|X|X|FINAL</v>
      </c>
    </row>
    <row r="160" spans="1:82" x14ac:dyDescent="0.25">
      <c r="A160" t="s">
        <v>294</v>
      </c>
      <c r="B160" t="s">
        <v>539</v>
      </c>
      <c r="C160">
        <v>3</v>
      </c>
      <c r="D160" t="s">
        <v>634</v>
      </c>
      <c r="E160" t="s">
        <v>643</v>
      </c>
      <c r="F160" t="s">
        <v>644</v>
      </c>
      <c r="G160" t="s">
        <v>644</v>
      </c>
      <c r="H160" t="s">
        <v>802</v>
      </c>
      <c r="I160">
        <v>14800</v>
      </c>
      <c r="J160" t="s">
        <v>3</v>
      </c>
      <c r="K160" t="s">
        <v>3</v>
      </c>
      <c r="L160">
        <v>100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1064</v>
      </c>
      <c r="AC160" t="s">
        <v>1067</v>
      </c>
      <c r="AD160" s="18" t="s">
        <v>996</v>
      </c>
      <c r="AE160" t="s">
        <v>1356</v>
      </c>
      <c r="AF160">
        <v>0</v>
      </c>
      <c r="AG160">
        <v>0</v>
      </c>
      <c r="AH160" t="s">
        <v>1495</v>
      </c>
      <c r="AI160" t="s">
        <v>688</v>
      </c>
      <c r="AJ160">
        <v>0</v>
      </c>
      <c r="AK160">
        <v>9932889369</v>
      </c>
      <c r="AL160">
        <v>0</v>
      </c>
      <c r="AM160">
        <v>0</v>
      </c>
      <c r="AN160">
        <v>0</v>
      </c>
      <c r="AO160" t="s">
        <v>1495</v>
      </c>
      <c r="AP160" t="s">
        <v>3</v>
      </c>
      <c r="AQ160" t="s">
        <v>1581</v>
      </c>
      <c r="AR160">
        <v>0</v>
      </c>
      <c r="AS160">
        <v>0</v>
      </c>
      <c r="AT160">
        <v>0</v>
      </c>
      <c r="AU160">
        <v>0</v>
      </c>
      <c r="AV160">
        <v>0</v>
      </c>
      <c r="AW160" t="s">
        <v>11</v>
      </c>
      <c r="AX160">
        <f>Tabla1[[#This Row],[precio del paquete]]-Tabla1[[#This Row],[Saldo_Deudor]]</f>
        <v>200</v>
      </c>
      <c r="AY160">
        <v>14600</v>
      </c>
      <c r="AZ160" t="s">
        <v>3</v>
      </c>
      <c r="BA160" t="s">
        <v>3</v>
      </c>
      <c r="BB160" t="s">
        <v>3</v>
      </c>
      <c r="BC160" t="s">
        <v>802</v>
      </c>
      <c r="BD160" t="s">
        <v>1603</v>
      </c>
      <c r="BE160">
        <v>0</v>
      </c>
      <c r="BF160">
        <v>0</v>
      </c>
      <c r="BG160">
        <v>0</v>
      </c>
      <c r="BH160">
        <v>0</v>
      </c>
      <c r="BI160">
        <v>0</v>
      </c>
      <c r="BJ160" t="s">
        <v>1654</v>
      </c>
      <c r="BK160">
        <v>0</v>
      </c>
      <c r="BL160" t="s">
        <v>132</v>
      </c>
      <c r="BM160">
        <v>0</v>
      </c>
      <c r="BN160">
        <f>Tabla1[[#This Row],[precio del paquete]]</f>
        <v>14800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1661</v>
      </c>
      <c r="CD160" t="str" cm="1">
        <f t="array" aca="1" ref="CD160" ca="1">eConcatenar(A160:CB160,"|")</f>
        <v>VBEb9U4iDZIhe2sR|VSA2022-0268|3|MEMORIAL|TABASCO|VILLAHERMOSA|VILLAHERMOSA|2022-07-03|14800|x|x|100|1|0|0|0|0|0|0|0|0|0|0|0|0|0|0|MONTECINO|GARCIA|ELIZABETH|soltero|0|0|CALLE 27 DE FEBRERO SIN NUMERO|VILLA LUIS GIL PEREZ|0|9932889369|0|0|0|CALLE 27 DE FEBRERO SIN NUMERO|x|lunes|0|0|0|0|0|DOMICILIO |200|14600|x|x|x|2022-07-03|2022-07-10|0|0|0|0|0|QYD9TF9K9KVTQO|0|HOMBRE|0|14800|0|0|0|0|0|0|0|0|CARDENAS|X|X|X|X|FINAL</v>
      </c>
    </row>
    <row r="161" spans="1:82" x14ac:dyDescent="0.25">
      <c r="A161" t="s">
        <v>295</v>
      </c>
      <c r="B161" t="s">
        <v>540</v>
      </c>
      <c r="C161">
        <v>3</v>
      </c>
      <c r="D161" t="s">
        <v>636</v>
      </c>
      <c r="E161" t="s">
        <v>643</v>
      </c>
      <c r="F161" t="s">
        <v>644</v>
      </c>
      <c r="G161" t="s">
        <v>644</v>
      </c>
      <c r="H161" t="s">
        <v>896</v>
      </c>
      <c r="I161">
        <v>24500</v>
      </c>
      <c r="J161" t="s">
        <v>3</v>
      </c>
      <c r="K161" t="s">
        <v>3</v>
      </c>
      <c r="L161">
        <v>100</v>
      </c>
      <c r="M161">
        <v>1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1233</v>
      </c>
      <c r="AC161" t="s">
        <v>1067</v>
      </c>
      <c r="AD161" s="18" t="s">
        <v>1234</v>
      </c>
      <c r="AE161" t="s">
        <v>1356</v>
      </c>
      <c r="AF161">
        <v>0</v>
      </c>
      <c r="AG161">
        <v>0</v>
      </c>
      <c r="AH161" t="s">
        <v>1496</v>
      </c>
      <c r="AI161" t="s">
        <v>688</v>
      </c>
      <c r="AJ161">
        <v>0</v>
      </c>
      <c r="AK161">
        <v>9932869770</v>
      </c>
      <c r="AL161">
        <v>0</v>
      </c>
      <c r="AM161">
        <v>0</v>
      </c>
      <c r="AN161">
        <v>0</v>
      </c>
      <c r="AO161" t="s">
        <v>1496</v>
      </c>
      <c r="AP161" t="s">
        <v>3</v>
      </c>
      <c r="AQ161" t="s">
        <v>1581</v>
      </c>
      <c r="AR161">
        <v>0</v>
      </c>
      <c r="AS161">
        <v>0</v>
      </c>
      <c r="AT161">
        <v>0</v>
      </c>
      <c r="AU161">
        <v>0</v>
      </c>
      <c r="AV161">
        <v>0</v>
      </c>
      <c r="AW161" t="s">
        <v>11</v>
      </c>
      <c r="AX161">
        <f>Tabla1[[#This Row],[precio del paquete]]-Tabla1[[#This Row],[Saldo_Deudor]]</f>
        <v>200</v>
      </c>
      <c r="AY161">
        <v>24300</v>
      </c>
      <c r="AZ161" t="s">
        <v>3</v>
      </c>
      <c r="BA161" t="s">
        <v>3</v>
      </c>
      <c r="BB161" t="s">
        <v>3</v>
      </c>
      <c r="BC161" t="s">
        <v>896</v>
      </c>
      <c r="BD161" t="s">
        <v>1619</v>
      </c>
      <c r="BE161">
        <v>0</v>
      </c>
      <c r="BF161">
        <v>0</v>
      </c>
      <c r="BG161">
        <v>0</v>
      </c>
      <c r="BH161">
        <v>0</v>
      </c>
      <c r="BI161">
        <v>0</v>
      </c>
      <c r="BJ161" t="s">
        <v>1654</v>
      </c>
      <c r="BK161">
        <v>0</v>
      </c>
      <c r="BL161" t="s">
        <v>132</v>
      </c>
      <c r="BM161">
        <v>0</v>
      </c>
      <c r="BN161">
        <f>Tabla1[[#This Row],[precio del paquete]]</f>
        <v>24500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1661</v>
      </c>
      <c r="CD161" t="str" cm="1">
        <f t="array" aca="1" ref="CD161" ca="1">eConcatenar(A161:CB161,"|")</f>
        <v>pgIsylyv11Hr5dK5|VSA2022-0267|3|DIGNITY|TABASCO|VILLAHERMOSA|VILLAHERMOSA|2022-07-02|24500|x|x|100|1|0|0|0|0|0|0|0|0|0|0|0|0|0|0|MONTECINOS|GARCIA|NORMA|soltero|0|0|CALLE HUAPACAL SIN NUMERO|VILLA LUIS GIL PEREZ|0|9932869770|0|0|0|CALLE HUAPACAL SIN NUMERO|x|lunes|0|0|0|0|0|DOMICILIO |200|24300|x|x|x|2022-07-02|2022-07-09|0|0|0|0|0|QYD9TF9K9KVTQO|0|HOMBRE|0|24500|0|0|0|0|0|0|0|0|CARDENAS|X|X|X|X|FINAL</v>
      </c>
    </row>
    <row r="162" spans="1:82" x14ac:dyDescent="0.25">
      <c r="A162" t="s">
        <v>296</v>
      </c>
      <c r="B162" t="s">
        <v>541</v>
      </c>
      <c r="C162">
        <v>3</v>
      </c>
      <c r="D162" t="s">
        <v>634</v>
      </c>
      <c r="E162" t="s">
        <v>643</v>
      </c>
      <c r="F162" t="s">
        <v>644</v>
      </c>
      <c r="G162" t="s">
        <v>644</v>
      </c>
      <c r="H162" t="s">
        <v>913</v>
      </c>
      <c r="I162">
        <v>14800</v>
      </c>
      <c r="J162" t="s">
        <v>3</v>
      </c>
      <c r="K162" t="s">
        <v>3</v>
      </c>
      <c r="L162">
        <v>100</v>
      </c>
      <c r="M162">
        <v>1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985</v>
      </c>
      <c r="AC162" t="s">
        <v>1065</v>
      </c>
      <c r="AD162" s="18" t="s">
        <v>1081</v>
      </c>
      <c r="AE162" t="s">
        <v>1356</v>
      </c>
      <c r="AF162">
        <v>0</v>
      </c>
      <c r="AG162">
        <v>0</v>
      </c>
      <c r="AH162" t="s">
        <v>1497</v>
      </c>
      <c r="AI162" t="s">
        <v>688</v>
      </c>
      <c r="AJ162">
        <v>0</v>
      </c>
      <c r="AK162">
        <v>9931147638</v>
      </c>
      <c r="AL162">
        <v>0</v>
      </c>
      <c r="AM162">
        <v>0</v>
      </c>
      <c r="AN162">
        <v>0</v>
      </c>
      <c r="AO162" t="s">
        <v>1497</v>
      </c>
      <c r="AP162" t="s">
        <v>3</v>
      </c>
      <c r="AQ162" t="s">
        <v>1581</v>
      </c>
      <c r="AR162">
        <v>0</v>
      </c>
      <c r="AS162">
        <v>0</v>
      </c>
      <c r="AT162">
        <v>0</v>
      </c>
      <c r="AU162">
        <v>0</v>
      </c>
      <c r="AV162">
        <v>0</v>
      </c>
      <c r="AW162" t="s">
        <v>11</v>
      </c>
      <c r="AX162">
        <f>Tabla1[[#This Row],[precio del paquete]]-Tabla1[[#This Row],[Saldo_Deudor]]</f>
        <v>200</v>
      </c>
      <c r="AY162">
        <v>14600</v>
      </c>
      <c r="AZ162" t="s">
        <v>3</v>
      </c>
      <c r="BA162" t="s">
        <v>3</v>
      </c>
      <c r="BB162" t="s">
        <v>3</v>
      </c>
      <c r="BC162" t="s">
        <v>913</v>
      </c>
      <c r="BD162" t="s">
        <v>1592</v>
      </c>
      <c r="BE162">
        <v>0</v>
      </c>
      <c r="BF162">
        <v>0</v>
      </c>
      <c r="BG162">
        <v>0</v>
      </c>
      <c r="BH162">
        <v>0</v>
      </c>
      <c r="BI162">
        <v>0</v>
      </c>
      <c r="BJ162" t="s">
        <v>1654</v>
      </c>
      <c r="BK162">
        <v>0</v>
      </c>
      <c r="BL162" t="s">
        <v>132</v>
      </c>
      <c r="BM162">
        <v>0</v>
      </c>
      <c r="BN162">
        <f>Tabla1[[#This Row],[precio del paquete]]</f>
        <v>14800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1661</v>
      </c>
      <c r="CD162" t="str" cm="1">
        <f t="array" aca="1" ref="CD162" ca="1">eConcatenar(A162:CB162,"|")</f>
        <v>Ofj3FMTsbXWerF37|VSA2022-0255|3|MEMORIAL|TABASCO|VILLAHERMOSA|VILLAHERMOSA|2022-05-03|14800|x|x|100|1|0|0|0|0|0|0|0|0|0|0|0|0|0|0|PEREZ|TORRES|MARIA GUADALUPE|soltero|0|0|CALLE YERBA BUENA|VILLA LUIS GIL PEREZ|0|9931147638|0|0|0|CALLE YERBA BUENA|x|lunes|0|0|0|0|0|DOMICILIO |200|14600|x|x|x|2022-05-03|2022-05-10|0|0|0|0|0|QYD9TF9K9KVTQO|0|HOMBRE|0|14800|0|0|0|0|0|0|0|0|CARDENAS|X|X|X|X|FINAL</v>
      </c>
    </row>
    <row r="163" spans="1:82" x14ac:dyDescent="0.25">
      <c r="A163" t="s">
        <v>297</v>
      </c>
      <c r="B163" t="s">
        <v>542</v>
      </c>
      <c r="C163">
        <v>3</v>
      </c>
      <c r="D163" t="s">
        <v>636</v>
      </c>
      <c r="E163" t="s">
        <v>643</v>
      </c>
      <c r="F163" t="s">
        <v>644</v>
      </c>
      <c r="G163" t="s">
        <v>644</v>
      </c>
      <c r="H163" t="s">
        <v>915</v>
      </c>
      <c r="I163">
        <v>24500</v>
      </c>
      <c r="J163" t="s">
        <v>3</v>
      </c>
      <c r="K163" t="s">
        <v>3</v>
      </c>
      <c r="L163">
        <v>100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1179</v>
      </c>
      <c r="AC163" t="s">
        <v>13</v>
      </c>
      <c r="AD163" s="18" t="s">
        <v>1235</v>
      </c>
      <c r="AE163" t="s">
        <v>1356</v>
      </c>
      <c r="AF163">
        <v>0</v>
      </c>
      <c r="AG163">
        <v>0</v>
      </c>
      <c r="AH163" t="s">
        <v>1498</v>
      </c>
      <c r="AI163" t="s">
        <v>748</v>
      </c>
      <c r="AJ163">
        <v>0</v>
      </c>
      <c r="AK163">
        <v>9931475594</v>
      </c>
      <c r="AL163">
        <v>0</v>
      </c>
      <c r="AM163">
        <v>0</v>
      </c>
      <c r="AN163">
        <v>0</v>
      </c>
      <c r="AO163" t="s">
        <v>1498</v>
      </c>
      <c r="AP163" t="s">
        <v>3</v>
      </c>
      <c r="AQ163" t="s">
        <v>1581</v>
      </c>
      <c r="AR163">
        <v>0</v>
      </c>
      <c r="AS163">
        <v>0</v>
      </c>
      <c r="AT163">
        <v>0</v>
      </c>
      <c r="AU163">
        <v>0</v>
      </c>
      <c r="AV163">
        <v>0</v>
      </c>
      <c r="AW163" t="s">
        <v>11</v>
      </c>
      <c r="AX163">
        <f>Tabla1[[#This Row],[precio del paquete]]-Tabla1[[#This Row],[Saldo_Deudor]]</f>
        <v>5450</v>
      </c>
      <c r="AY163">
        <v>19050</v>
      </c>
      <c r="AZ163" t="s">
        <v>3</v>
      </c>
      <c r="BA163" t="s">
        <v>3</v>
      </c>
      <c r="BB163" t="s">
        <v>3</v>
      </c>
      <c r="BC163" t="s">
        <v>1640</v>
      </c>
      <c r="BD163" t="s">
        <v>1641</v>
      </c>
      <c r="BE163">
        <v>0</v>
      </c>
      <c r="BF163">
        <v>0</v>
      </c>
      <c r="BG163">
        <v>0</v>
      </c>
      <c r="BH163">
        <v>0</v>
      </c>
      <c r="BI163">
        <v>0</v>
      </c>
      <c r="BJ163" t="s">
        <v>1658</v>
      </c>
      <c r="BK163">
        <v>0</v>
      </c>
      <c r="BL163" t="s">
        <v>132</v>
      </c>
      <c r="BM163">
        <v>0</v>
      </c>
      <c r="BN163">
        <f>Tabla1[[#This Row],[precio del paquete]]</f>
        <v>24500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1661</v>
      </c>
      <c r="CD163" t="str" cm="1">
        <f t="array" aca="1" ref="CD163" ca="1">eConcatenar(A163:CB163,"|")</f>
        <v>yoXtJXwnXYmS32ve|VSA2021-0551|3|DIGNITY|TABASCO|VILLAHERMOSA|VILLAHERMOSA|2021-03-19|24500|x|x|100|0|0|0|0|0|0|0|0|0|0|0|0|0|0|0|ALMEIDA|GUTIERREZ|SANDRA ELENA|soltero|0|0|CALLE JALAPA MANZANA 8 LOTE 36|COLONIA ROBERTO MADRAZO PINTADO|0|9931475594|0|0|0|CALLE JALAPA MANZANA 8 LOTE 36|x|lunes|0|0|0|0|0|DOMICILIO |5450|19050|x|x|x|2022-03-18|2022-03-25|0|0|0|0|0|S37UOOWW9KVTQO|0|HOMBRE|0|24500|0|0|0|0|0|0|0|0|CARDENAS|X|X|X|X|FINAL</v>
      </c>
    </row>
    <row r="164" spans="1:82" x14ac:dyDescent="0.25">
      <c r="A164" t="s">
        <v>298</v>
      </c>
      <c r="B164" t="s">
        <v>543</v>
      </c>
      <c r="C164">
        <v>3</v>
      </c>
      <c r="D164" t="s">
        <v>634</v>
      </c>
      <c r="E164" t="s">
        <v>643</v>
      </c>
      <c r="F164" t="s">
        <v>644</v>
      </c>
      <c r="G164" t="s">
        <v>644</v>
      </c>
      <c r="H164" t="s">
        <v>802</v>
      </c>
      <c r="I164">
        <v>14800</v>
      </c>
      <c r="J164" t="s">
        <v>3</v>
      </c>
      <c r="K164" t="s">
        <v>3</v>
      </c>
      <c r="L164">
        <v>100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1100</v>
      </c>
      <c r="AC164" t="s">
        <v>1062</v>
      </c>
      <c r="AD164" s="18" t="s">
        <v>1027</v>
      </c>
      <c r="AE164" t="s">
        <v>1356</v>
      </c>
      <c r="AF164">
        <v>0</v>
      </c>
      <c r="AG164">
        <v>0</v>
      </c>
      <c r="AH164" t="s">
        <v>1499</v>
      </c>
      <c r="AI164" t="s">
        <v>688</v>
      </c>
      <c r="AJ164">
        <v>0</v>
      </c>
      <c r="AK164">
        <v>9933451330</v>
      </c>
      <c r="AL164">
        <v>0</v>
      </c>
      <c r="AM164">
        <v>0</v>
      </c>
      <c r="AN164">
        <v>0</v>
      </c>
      <c r="AO164" t="s">
        <v>1499</v>
      </c>
      <c r="AP164" t="s">
        <v>3</v>
      </c>
      <c r="AQ164" t="s">
        <v>1581</v>
      </c>
      <c r="AR164">
        <v>0</v>
      </c>
      <c r="AS164">
        <v>0</v>
      </c>
      <c r="AT164">
        <v>0</v>
      </c>
      <c r="AU164">
        <v>0</v>
      </c>
      <c r="AV164">
        <v>0</v>
      </c>
      <c r="AW164" t="s">
        <v>11</v>
      </c>
      <c r="AX164">
        <f>Tabla1[[#This Row],[precio del paquete]]-Tabla1[[#This Row],[Saldo_Deudor]]</f>
        <v>200</v>
      </c>
      <c r="AY164">
        <v>14600</v>
      </c>
      <c r="AZ164" t="s">
        <v>3</v>
      </c>
      <c r="BA164" t="s">
        <v>3</v>
      </c>
      <c r="BB164" t="s">
        <v>3</v>
      </c>
      <c r="BC164" t="s">
        <v>802</v>
      </c>
      <c r="BD164" t="s">
        <v>1603</v>
      </c>
      <c r="BE164">
        <v>0</v>
      </c>
      <c r="BF164">
        <v>0</v>
      </c>
      <c r="BG164">
        <v>0</v>
      </c>
      <c r="BH164">
        <v>0</v>
      </c>
      <c r="BI164">
        <v>0</v>
      </c>
      <c r="BJ164" t="s">
        <v>1654</v>
      </c>
      <c r="BK164">
        <v>0</v>
      </c>
      <c r="BL164" t="s">
        <v>132</v>
      </c>
      <c r="BM164">
        <v>0</v>
      </c>
      <c r="BN164">
        <f>Tabla1[[#This Row],[precio del paquete]]</f>
        <v>14800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1661</v>
      </c>
      <c r="CD164" t="str" cm="1">
        <f t="array" aca="1" ref="CD164" ca="1">eConcatenar(A164:CB164,"|")</f>
        <v>ge1DppXA5kuejnSL|VSA2022-0266|3|MEMORIAL|TABASCO|VILLAHERMOSA|VILLAHERMOSA|2022-07-03|14800|x|x|100|0|0|0|0|0|0|0|0|0|0|0|0|0|0|0|RODRIGUEZ|ALVAREZ|JUANA|soltero|0|0|CALLE 27 DE FEBRERO NUMERO 68|VILLA LUIS GIL PEREZ|0|9933451330|0|0|0|CALLE 27 DE FEBRERO NUMERO 68|x|lunes|0|0|0|0|0|DOMICILIO |200|14600|x|x|x|2022-07-03|2022-07-10|0|0|0|0|0|QYD9TF9K9KVTQO|0|HOMBRE|0|14800|0|0|0|0|0|0|0|0|CARDENAS|X|X|X|X|FINAL</v>
      </c>
    </row>
    <row r="165" spans="1:82" x14ac:dyDescent="0.25">
      <c r="A165" t="s">
        <v>299</v>
      </c>
      <c r="B165" t="s">
        <v>544</v>
      </c>
      <c r="C165">
        <v>3</v>
      </c>
      <c r="D165" t="s">
        <v>634</v>
      </c>
      <c r="E165" t="s">
        <v>643</v>
      </c>
      <c r="F165" t="s">
        <v>644</v>
      </c>
      <c r="G165" t="s">
        <v>644</v>
      </c>
      <c r="H165" t="s">
        <v>843</v>
      </c>
      <c r="I165">
        <v>14800</v>
      </c>
      <c r="J165" t="s">
        <v>3</v>
      </c>
      <c r="K165" t="s">
        <v>3</v>
      </c>
      <c r="L165">
        <v>100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1151</v>
      </c>
      <c r="AC165" t="s">
        <v>1236</v>
      </c>
      <c r="AD165" s="18" t="s">
        <v>1237</v>
      </c>
      <c r="AE165" t="s">
        <v>1356</v>
      </c>
      <c r="AF165">
        <v>0</v>
      </c>
      <c r="AG165">
        <v>0</v>
      </c>
      <c r="AH165" t="s">
        <v>1500</v>
      </c>
      <c r="AI165" t="s">
        <v>744</v>
      </c>
      <c r="AJ165">
        <v>0</v>
      </c>
      <c r="AK165">
        <v>9932151803</v>
      </c>
      <c r="AL165">
        <v>0</v>
      </c>
      <c r="AM165">
        <v>0</v>
      </c>
      <c r="AN165">
        <v>0</v>
      </c>
      <c r="AO165" t="s">
        <v>1500</v>
      </c>
      <c r="AP165" t="s">
        <v>3</v>
      </c>
      <c r="AQ165" t="s">
        <v>1581</v>
      </c>
      <c r="AR165">
        <v>0</v>
      </c>
      <c r="AS165">
        <v>0</v>
      </c>
      <c r="AT165">
        <v>0</v>
      </c>
      <c r="AU165">
        <v>0</v>
      </c>
      <c r="AV165">
        <v>0</v>
      </c>
      <c r="AW165" t="s">
        <v>11</v>
      </c>
      <c r="AX165">
        <f>Tabla1[[#This Row],[precio del paquete]]-Tabla1[[#This Row],[Saldo_Deudor]]</f>
        <v>3200</v>
      </c>
      <c r="AY165">
        <v>11600</v>
      </c>
      <c r="AZ165" t="s">
        <v>3</v>
      </c>
      <c r="BA165" t="s">
        <v>3</v>
      </c>
      <c r="BB165" t="s">
        <v>3</v>
      </c>
      <c r="BC165" t="s">
        <v>802</v>
      </c>
      <c r="BD165" t="s">
        <v>1603</v>
      </c>
      <c r="BE165">
        <v>0</v>
      </c>
      <c r="BF165">
        <v>0</v>
      </c>
      <c r="BG165">
        <v>0</v>
      </c>
      <c r="BH165">
        <v>0</v>
      </c>
      <c r="BI165">
        <v>0</v>
      </c>
      <c r="BJ165" t="s">
        <v>1654</v>
      </c>
      <c r="BK165">
        <v>0</v>
      </c>
      <c r="BL165" t="s">
        <v>132</v>
      </c>
      <c r="BM165">
        <v>0</v>
      </c>
      <c r="BN165">
        <f>Tabla1[[#This Row],[precio del paquete]]</f>
        <v>14800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1661</v>
      </c>
      <c r="CD165" t="str" cm="1">
        <f t="array" aca="1" ref="CD165" ca="1">eConcatenar(A165:CB165,"|")</f>
        <v>q2algxTIAP3lBIo2|VSA2021-1958|3|MEMORIAL|TABASCO|VILLAHERMOSA|VILLAHERMOSA|2021-09-12|14800|x|x|100|0|0|0|0|0|0|0|0|0|0|0|0|0|0|0|LEON|MIRANDA|MARIA REYES|soltero|0|0|ENTRADA EL MANGAL SIN NUMERO|RANCHERIA BOQUERON QUINTA SECCION|0|9932151803|0|0|0|ENTRADA EL MANGAL SIN NUMERO|x|lunes|0|0|0|0|0|DOMICILIO |3200|11600|x|x|x|2022-07-03|2022-07-10|0|0|0|0|0|QYD9TF9K9KVTQO|0|HOMBRE|0|14800|0|0|0|0|0|0|0|0|CARDENAS|X|X|X|X|FINAL</v>
      </c>
    </row>
    <row r="166" spans="1:82" x14ac:dyDescent="0.25">
      <c r="A166" t="s">
        <v>300</v>
      </c>
      <c r="B166" t="s">
        <v>545</v>
      </c>
      <c r="C166">
        <v>3</v>
      </c>
      <c r="D166" t="s">
        <v>634</v>
      </c>
      <c r="E166" t="s">
        <v>643</v>
      </c>
      <c r="F166" t="s">
        <v>644</v>
      </c>
      <c r="G166" t="s">
        <v>644</v>
      </c>
      <c r="H166" t="s">
        <v>802</v>
      </c>
      <c r="I166">
        <v>14800</v>
      </c>
      <c r="J166" t="s">
        <v>3</v>
      </c>
      <c r="K166" t="s">
        <v>3</v>
      </c>
      <c r="L166">
        <v>100</v>
      </c>
      <c r="M166">
        <v>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1231</v>
      </c>
      <c r="AC166" t="s">
        <v>1063</v>
      </c>
      <c r="AD166" s="18" t="s">
        <v>1030</v>
      </c>
      <c r="AE166" t="s">
        <v>1356</v>
      </c>
      <c r="AF166">
        <v>0</v>
      </c>
      <c r="AG166">
        <v>0</v>
      </c>
      <c r="AH166" t="s">
        <v>1501</v>
      </c>
      <c r="AI166" t="s">
        <v>688</v>
      </c>
      <c r="AJ166">
        <v>0</v>
      </c>
      <c r="AK166">
        <v>9931256553</v>
      </c>
      <c r="AL166">
        <v>0</v>
      </c>
      <c r="AM166">
        <v>0</v>
      </c>
      <c r="AN166">
        <v>0</v>
      </c>
      <c r="AO166" t="s">
        <v>1501</v>
      </c>
      <c r="AP166" t="s">
        <v>3</v>
      </c>
      <c r="AQ166" t="s">
        <v>1581</v>
      </c>
      <c r="AR166">
        <v>0</v>
      </c>
      <c r="AS166">
        <v>0</v>
      </c>
      <c r="AT166">
        <v>0</v>
      </c>
      <c r="AU166">
        <v>0</v>
      </c>
      <c r="AV166">
        <v>0</v>
      </c>
      <c r="AW166" t="s">
        <v>11</v>
      </c>
      <c r="AX166">
        <f>Tabla1[[#This Row],[precio del paquete]]-Tabla1[[#This Row],[Saldo_Deudor]]</f>
        <v>1700</v>
      </c>
      <c r="AY166">
        <v>13100</v>
      </c>
      <c r="AZ166" t="s">
        <v>3</v>
      </c>
      <c r="BA166" t="s">
        <v>3</v>
      </c>
      <c r="BB166" t="s">
        <v>3</v>
      </c>
      <c r="BC166" t="s">
        <v>1611</v>
      </c>
      <c r="BD166" t="s">
        <v>1612</v>
      </c>
      <c r="BE166">
        <v>0</v>
      </c>
      <c r="BF166">
        <v>0</v>
      </c>
      <c r="BG166">
        <v>0</v>
      </c>
      <c r="BH166">
        <v>0</v>
      </c>
      <c r="BI166">
        <v>0</v>
      </c>
      <c r="BJ166" t="s">
        <v>1654</v>
      </c>
      <c r="BK166">
        <v>0</v>
      </c>
      <c r="BL166" t="s">
        <v>132</v>
      </c>
      <c r="BM166">
        <v>0</v>
      </c>
      <c r="BN166">
        <f>Tabla1[[#This Row],[precio del paquete]]</f>
        <v>14800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1661</v>
      </c>
      <c r="CD166" t="str" cm="1">
        <f t="array" aca="1" ref="CD166" ca="1">eConcatenar(A166:CB166,"|")</f>
        <v>SA9Fkf1p1d6EvJfR|VSA2022-0264|3|MEMORIAL|TABASCO|VILLAHERMOSA|VILLAHERMOSA|2022-07-03|14800|x|x|100|2|0|0|0|0|0|0|0|0|0|0|0|0|0|0|ORTIZ|MENDEZ|MARIA|soltero|0|0|CERRADA JUAREZ SIN NUMERO |VILLA LUIS GIL PEREZ|0|9931256553|0|0|0|CERRADA JUAREZ SIN NUMERO |x|lunes|0|0|0|0|0|DOMICILIO |1700|13100|x|x|x|2022-03-14|2022-03-21|0|0|0|0|0|QYD9TF9K9KVTQO|0|HOMBRE|0|14800|0|0|0|0|0|0|0|0|CARDENAS|X|X|X|X|FINAL</v>
      </c>
    </row>
    <row r="167" spans="1:82" x14ac:dyDescent="0.25">
      <c r="A167" t="s">
        <v>301</v>
      </c>
      <c r="B167" t="s">
        <v>546</v>
      </c>
      <c r="C167">
        <v>3</v>
      </c>
      <c r="D167" t="s">
        <v>634</v>
      </c>
      <c r="E167" t="s">
        <v>643</v>
      </c>
      <c r="F167" t="s">
        <v>644</v>
      </c>
      <c r="G167" t="s">
        <v>644</v>
      </c>
      <c r="H167" t="s">
        <v>912</v>
      </c>
      <c r="I167">
        <v>14800</v>
      </c>
      <c r="J167" t="s">
        <v>3</v>
      </c>
      <c r="K167" t="s">
        <v>3</v>
      </c>
      <c r="L167">
        <v>100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971</v>
      </c>
      <c r="AC167" t="s">
        <v>1063</v>
      </c>
      <c r="AD167" s="18" t="s">
        <v>1238</v>
      </c>
      <c r="AE167" t="s">
        <v>1356</v>
      </c>
      <c r="AF167">
        <v>0</v>
      </c>
      <c r="AG167">
        <v>0</v>
      </c>
      <c r="AH167" t="s">
        <v>1502</v>
      </c>
      <c r="AI167" t="s">
        <v>688</v>
      </c>
      <c r="AJ167">
        <v>0</v>
      </c>
      <c r="AK167">
        <v>9931550867</v>
      </c>
      <c r="AL167">
        <v>0</v>
      </c>
      <c r="AM167">
        <v>0</v>
      </c>
      <c r="AN167">
        <v>0</v>
      </c>
      <c r="AO167" t="s">
        <v>1502</v>
      </c>
      <c r="AP167" t="s">
        <v>3</v>
      </c>
      <c r="AQ167" t="s">
        <v>1581</v>
      </c>
      <c r="AR167">
        <v>0</v>
      </c>
      <c r="AS167">
        <v>0</v>
      </c>
      <c r="AT167">
        <v>0</v>
      </c>
      <c r="AU167">
        <v>0</v>
      </c>
      <c r="AV167">
        <v>0</v>
      </c>
      <c r="AW167" t="s">
        <v>11</v>
      </c>
      <c r="AX167">
        <f>Tabla1[[#This Row],[precio del paquete]]-Tabla1[[#This Row],[Saldo_Deudor]]</f>
        <v>800</v>
      </c>
      <c r="AY167">
        <v>14000</v>
      </c>
      <c r="AZ167" t="s">
        <v>3</v>
      </c>
      <c r="BA167" t="s">
        <v>3</v>
      </c>
      <c r="BB167" t="s">
        <v>3</v>
      </c>
      <c r="BC167" t="s">
        <v>1611</v>
      </c>
      <c r="BD167" t="s">
        <v>1612</v>
      </c>
      <c r="BE167">
        <v>0</v>
      </c>
      <c r="BF167">
        <v>0</v>
      </c>
      <c r="BG167">
        <v>0</v>
      </c>
      <c r="BH167">
        <v>0</v>
      </c>
      <c r="BI167">
        <v>0</v>
      </c>
      <c r="BJ167" t="s">
        <v>1654</v>
      </c>
      <c r="BK167">
        <v>0</v>
      </c>
      <c r="BL167" t="s">
        <v>132</v>
      </c>
      <c r="BM167">
        <v>0</v>
      </c>
      <c r="BN167">
        <f>Tabla1[[#This Row],[precio del paquete]]</f>
        <v>14800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1661</v>
      </c>
      <c r="CD167" t="str" cm="1">
        <f t="array" aca="1" ref="CD167" ca="1">eConcatenar(A167:CB167,"|")</f>
        <v>qCN2VBwmnF2UjFbE|VSA2022-0274|3|MEMORIAL|TABASCO|VILLAHERMOSA|VILLAHERMOSA|2022-08-03|14800|x|x|100|1|0|0|0|0|0|0|0|0|0|0|0|0|0|0|HERNANDEZ|MENDEZ|CELIA|soltero|0|0|CALLE MELCHOR OCAMPO NUMERO 224|VILLA LUIS GIL PEREZ|0|9931550867|0|0|0|CALLE MELCHOR OCAMPO NUMERO 224|x|lunes|0|0|0|0|0|DOMICILIO |800|14000|x|x|x|2022-03-14|2022-03-21|0|0|0|0|0|QYD9TF9K9KVTQO|0|HOMBRE|0|14800|0|0|0|0|0|0|0|0|CARDENAS|X|X|X|X|FINAL</v>
      </c>
    </row>
    <row r="168" spans="1:82" x14ac:dyDescent="0.25">
      <c r="A168" t="s">
        <v>302</v>
      </c>
      <c r="B168" t="s">
        <v>547</v>
      </c>
      <c r="C168">
        <v>3</v>
      </c>
      <c r="D168" t="s">
        <v>634</v>
      </c>
      <c r="E168" t="s">
        <v>643</v>
      </c>
      <c r="F168" t="s">
        <v>644</v>
      </c>
      <c r="G168" t="s">
        <v>644</v>
      </c>
      <c r="H168" t="s">
        <v>913</v>
      </c>
      <c r="I168">
        <v>14800</v>
      </c>
      <c r="J168" t="s">
        <v>3</v>
      </c>
      <c r="K168" t="s">
        <v>3</v>
      </c>
      <c r="L168">
        <v>100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1239</v>
      </c>
      <c r="AC168" t="s">
        <v>1065</v>
      </c>
      <c r="AD168" s="18" t="s">
        <v>1240</v>
      </c>
      <c r="AE168" t="s">
        <v>1356</v>
      </c>
      <c r="AF168">
        <v>0</v>
      </c>
      <c r="AG168">
        <v>0</v>
      </c>
      <c r="AH168" t="s">
        <v>1503</v>
      </c>
      <c r="AI168" t="s">
        <v>688</v>
      </c>
      <c r="AJ168">
        <v>0</v>
      </c>
      <c r="AK168">
        <v>9933444401</v>
      </c>
      <c r="AL168">
        <v>0</v>
      </c>
      <c r="AM168">
        <v>0</v>
      </c>
      <c r="AN168">
        <v>0</v>
      </c>
      <c r="AO168" t="s">
        <v>1503</v>
      </c>
      <c r="AP168" t="s">
        <v>3</v>
      </c>
      <c r="AQ168" t="s">
        <v>1581</v>
      </c>
      <c r="AR168">
        <v>0</v>
      </c>
      <c r="AS168">
        <v>0</v>
      </c>
      <c r="AT168">
        <v>0</v>
      </c>
      <c r="AU168">
        <v>0</v>
      </c>
      <c r="AV168">
        <v>0</v>
      </c>
      <c r="AW168" t="s">
        <v>11</v>
      </c>
      <c r="AX168">
        <f>Tabla1[[#This Row],[precio del paquete]]-Tabla1[[#This Row],[Saldo_Deudor]]</f>
        <v>1800</v>
      </c>
      <c r="AY168">
        <v>13000</v>
      </c>
      <c r="AZ168" t="s">
        <v>3</v>
      </c>
      <c r="BA168" t="s">
        <v>3</v>
      </c>
      <c r="BB168" t="s">
        <v>3</v>
      </c>
      <c r="BC168" t="s">
        <v>1611</v>
      </c>
      <c r="BD168" t="s">
        <v>1612</v>
      </c>
      <c r="BE168">
        <v>0</v>
      </c>
      <c r="BF168">
        <v>0</v>
      </c>
      <c r="BG168">
        <v>0</v>
      </c>
      <c r="BH168">
        <v>0</v>
      </c>
      <c r="BI168">
        <v>0</v>
      </c>
      <c r="BJ168" t="s">
        <v>1654</v>
      </c>
      <c r="BK168">
        <v>0</v>
      </c>
      <c r="BL168" t="s">
        <v>132</v>
      </c>
      <c r="BM168">
        <v>0</v>
      </c>
      <c r="BN168">
        <f>Tabla1[[#This Row],[precio del paquete]]</f>
        <v>14800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1661</v>
      </c>
      <c r="CD168" t="str" cm="1">
        <f t="array" aca="1" ref="CD168" ca="1">eConcatenar(A168:CB168,"|")</f>
        <v>Vl63QjmFABcYRI8F|VSA2022-0249|3|MEMORIAL|TABASCO|VILLAHERMOSA|VILLAHERMOSA|2022-05-03|14800|x|x|100|1|0|0|0|0|0|0|0|0|0|0|0|0|0|0|MONTESCO|TORRES|RUTH|soltero|0|0|CALLE 27 DE FEBERERO NUMERO 210|VILLA LUIS GIL PEREZ|0|9933444401|0|0|0|CALLE 27 DE FEBERERO NUMERO 210|x|lunes|0|0|0|0|0|DOMICILIO |1800|13000|x|x|x|2022-03-14|2022-03-21|0|0|0|0|0|QYD9TF9K9KVTQO|0|HOMBRE|0|14800|0|0|0|0|0|0|0|0|CARDENAS|X|X|X|X|FINAL</v>
      </c>
    </row>
    <row r="169" spans="1:82" x14ac:dyDescent="0.25">
      <c r="A169" t="s">
        <v>303</v>
      </c>
      <c r="B169" t="s">
        <v>548</v>
      </c>
      <c r="C169">
        <v>3</v>
      </c>
      <c r="D169" t="s">
        <v>634</v>
      </c>
      <c r="E169" t="s">
        <v>643</v>
      </c>
      <c r="F169" t="s">
        <v>644</v>
      </c>
      <c r="G169" t="s">
        <v>644</v>
      </c>
      <c r="H169" t="s">
        <v>913</v>
      </c>
      <c r="I169">
        <v>14800</v>
      </c>
      <c r="J169" t="s">
        <v>3</v>
      </c>
      <c r="K169" t="s">
        <v>3</v>
      </c>
      <c r="L169">
        <v>100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985</v>
      </c>
      <c r="AC169" t="s">
        <v>1064</v>
      </c>
      <c r="AD169" s="18" t="s">
        <v>1241</v>
      </c>
      <c r="AE169" t="s">
        <v>1356</v>
      </c>
      <c r="AF169">
        <v>0</v>
      </c>
      <c r="AG169">
        <v>0</v>
      </c>
      <c r="AH169" t="s">
        <v>1504</v>
      </c>
      <c r="AI169" t="s">
        <v>688</v>
      </c>
      <c r="AJ169">
        <v>0</v>
      </c>
      <c r="AK169">
        <v>9935571114</v>
      </c>
      <c r="AL169">
        <v>0</v>
      </c>
      <c r="AM169">
        <v>0</v>
      </c>
      <c r="AN169">
        <v>0</v>
      </c>
      <c r="AO169" t="s">
        <v>1504</v>
      </c>
      <c r="AP169" t="s">
        <v>3</v>
      </c>
      <c r="AQ169" t="s">
        <v>1581</v>
      </c>
      <c r="AR169">
        <v>0</v>
      </c>
      <c r="AS169">
        <v>0</v>
      </c>
      <c r="AT169">
        <v>0</v>
      </c>
      <c r="AU169">
        <v>0</v>
      </c>
      <c r="AV169">
        <v>0</v>
      </c>
      <c r="AW169" t="s">
        <v>11</v>
      </c>
      <c r="AX169">
        <f>Tabla1[[#This Row],[precio del paquete]]-Tabla1[[#This Row],[Saldo_Deudor]]</f>
        <v>400</v>
      </c>
      <c r="AY169">
        <v>14400</v>
      </c>
      <c r="AZ169" t="s">
        <v>3</v>
      </c>
      <c r="BA169" t="s">
        <v>3</v>
      </c>
      <c r="BB169" t="s">
        <v>3</v>
      </c>
      <c r="BC169" t="s">
        <v>1611</v>
      </c>
      <c r="BD169" t="s">
        <v>1612</v>
      </c>
      <c r="BE169">
        <v>0</v>
      </c>
      <c r="BF169">
        <v>0</v>
      </c>
      <c r="BG169">
        <v>0</v>
      </c>
      <c r="BH169">
        <v>0</v>
      </c>
      <c r="BI169">
        <v>0</v>
      </c>
      <c r="BJ169" t="s">
        <v>1654</v>
      </c>
      <c r="BK169">
        <v>0</v>
      </c>
      <c r="BL169" t="s">
        <v>132</v>
      </c>
      <c r="BM169">
        <v>0</v>
      </c>
      <c r="BN169">
        <f>Tabla1[[#This Row],[precio del paquete]]</f>
        <v>14800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1661</v>
      </c>
      <c r="CD169" t="str" cm="1">
        <f t="array" aca="1" ref="CD169" ca="1">eConcatenar(A169:CB169,"|")</f>
        <v>RCBqzNHPiX7Ts7xx|VSA2022-0251|3|MEMORIAL|TABASCO|VILLAHERMOSA|VILLAHERMOSA|2022-05-03|14800|x|x|100|1|0|0|0|0|0|0|0|0|0|0|0|0|0|0|PEREZ|MONTECINO|FRACISCO|soltero|0|0|CALLE 27 DE FEBRERO NUMERO 210|VILLA LUIS GIL PEREZ|0|9935571114|0|0|0|CALLE 27 DE FEBRERO NUMERO 210|x|lunes|0|0|0|0|0|DOMICILIO |400|14400|x|x|x|2022-03-14|2022-03-21|0|0|0|0|0|QYD9TF9K9KVTQO|0|HOMBRE|0|14800|0|0|0|0|0|0|0|0|CARDENAS|X|X|X|X|FINAL</v>
      </c>
    </row>
    <row r="170" spans="1:82" x14ac:dyDescent="0.25">
      <c r="A170" t="s">
        <v>304</v>
      </c>
      <c r="B170" t="s">
        <v>549</v>
      </c>
      <c r="C170">
        <v>3</v>
      </c>
      <c r="D170" t="s">
        <v>634</v>
      </c>
      <c r="E170" t="s">
        <v>643</v>
      </c>
      <c r="F170" t="s">
        <v>644</v>
      </c>
      <c r="G170" t="s">
        <v>644</v>
      </c>
      <c r="H170" t="s">
        <v>916</v>
      </c>
      <c r="I170">
        <v>14800</v>
      </c>
      <c r="J170" t="s">
        <v>3</v>
      </c>
      <c r="K170" t="s">
        <v>3</v>
      </c>
      <c r="L170">
        <v>100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971</v>
      </c>
      <c r="AC170" t="s">
        <v>966</v>
      </c>
      <c r="AD170" s="18" t="s">
        <v>1242</v>
      </c>
      <c r="AE170" t="s">
        <v>1356</v>
      </c>
      <c r="AF170">
        <v>0</v>
      </c>
      <c r="AG170">
        <v>0</v>
      </c>
      <c r="AH170" t="s">
        <v>1505</v>
      </c>
      <c r="AI170" t="s">
        <v>688</v>
      </c>
      <c r="AJ170">
        <v>0</v>
      </c>
      <c r="AK170">
        <v>9931205053</v>
      </c>
      <c r="AL170">
        <v>0</v>
      </c>
      <c r="AM170">
        <v>0</v>
      </c>
      <c r="AN170">
        <v>0</v>
      </c>
      <c r="AO170" t="s">
        <v>1505</v>
      </c>
      <c r="AP170" t="s">
        <v>3</v>
      </c>
      <c r="AQ170" t="s">
        <v>1581</v>
      </c>
      <c r="AR170">
        <v>0</v>
      </c>
      <c r="AS170">
        <v>0</v>
      </c>
      <c r="AT170">
        <v>0</v>
      </c>
      <c r="AU170">
        <v>0</v>
      </c>
      <c r="AV170">
        <v>0</v>
      </c>
      <c r="AW170" t="s">
        <v>11</v>
      </c>
      <c r="AX170">
        <f>Tabla1[[#This Row],[precio del paquete]]-Tabla1[[#This Row],[Saldo_Deudor]]</f>
        <v>300</v>
      </c>
      <c r="AY170">
        <v>14500</v>
      </c>
      <c r="AZ170" t="s">
        <v>3</v>
      </c>
      <c r="BA170" t="s">
        <v>3</v>
      </c>
      <c r="BB170" t="s">
        <v>3</v>
      </c>
      <c r="BC170" t="s">
        <v>1611</v>
      </c>
      <c r="BD170" t="s">
        <v>1612</v>
      </c>
      <c r="BE170">
        <v>0</v>
      </c>
      <c r="BF170">
        <v>0</v>
      </c>
      <c r="BG170">
        <v>0</v>
      </c>
      <c r="BH170">
        <v>0</v>
      </c>
      <c r="BI170">
        <v>0</v>
      </c>
      <c r="BJ170" t="s">
        <v>1654</v>
      </c>
      <c r="BK170">
        <v>0</v>
      </c>
      <c r="BL170" t="s">
        <v>132</v>
      </c>
      <c r="BM170">
        <v>0</v>
      </c>
      <c r="BN170">
        <f>Tabla1[[#This Row],[precio del paquete]]</f>
        <v>14800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1661</v>
      </c>
      <c r="CD170" t="str" cm="1">
        <f t="array" aca="1" ref="CD170" ca="1">eConcatenar(A170:CB170,"|")</f>
        <v>J1kUmzHb3sjCU0DI|VSA2022-0263|3|MEMORIAL|TABASCO|VILLAHERMOSA|VILLAHERMOSA|2022-07-07|14800|x|x|100|0|0|0|0|0|0|0|0|0|0|0|0|0|0|0|HERNANDEZ|SANCHEZ|RODIVER|soltero|0|0|CIRCUITO IGNACIO ALLENDE SIN NUMERO|VILLA LUIS GIL PEREZ|0|9931205053|0|0|0|CIRCUITO IGNACIO ALLENDE SIN NUMERO|x|lunes|0|0|0|0|0|DOMICILIO |300|14500|x|x|x|2022-03-14|2022-03-21|0|0|0|0|0|QYD9TF9K9KVTQO|0|HOMBRE|0|14800|0|0|0|0|0|0|0|0|CARDENAS|X|X|X|X|FINAL</v>
      </c>
    </row>
    <row r="171" spans="1:82" x14ac:dyDescent="0.25">
      <c r="A171" t="s">
        <v>305</v>
      </c>
      <c r="B171" t="s">
        <v>550</v>
      </c>
      <c r="C171">
        <v>3</v>
      </c>
      <c r="D171" t="s">
        <v>634</v>
      </c>
      <c r="E171" t="s">
        <v>643</v>
      </c>
      <c r="F171" t="s">
        <v>644</v>
      </c>
      <c r="G171" t="s">
        <v>644</v>
      </c>
      <c r="H171" t="s">
        <v>917</v>
      </c>
      <c r="I171">
        <v>14800</v>
      </c>
      <c r="J171" t="s">
        <v>3</v>
      </c>
      <c r="K171" t="s">
        <v>3</v>
      </c>
      <c r="L171">
        <v>100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1236</v>
      </c>
      <c r="AC171" t="s">
        <v>1136</v>
      </c>
      <c r="AD171" s="18" t="s">
        <v>1243</v>
      </c>
      <c r="AE171" t="s">
        <v>1356</v>
      </c>
      <c r="AF171">
        <v>0</v>
      </c>
      <c r="AG171">
        <v>0</v>
      </c>
      <c r="AH171" t="s">
        <v>1396</v>
      </c>
      <c r="AI171" t="s">
        <v>744</v>
      </c>
      <c r="AJ171">
        <v>0</v>
      </c>
      <c r="AK171">
        <v>9932298948</v>
      </c>
      <c r="AL171">
        <v>0</v>
      </c>
      <c r="AM171">
        <v>0</v>
      </c>
      <c r="AN171">
        <v>0</v>
      </c>
      <c r="AO171" t="s">
        <v>1396</v>
      </c>
      <c r="AP171" t="s">
        <v>3</v>
      </c>
      <c r="AQ171" t="s">
        <v>1581</v>
      </c>
      <c r="AR171">
        <v>0</v>
      </c>
      <c r="AS171">
        <v>0</v>
      </c>
      <c r="AT171">
        <v>0</v>
      </c>
      <c r="AU171">
        <v>0</v>
      </c>
      <c r="AV171">
        <v>0</v>
      </c>
      <c r="AW171" t="s">
        <v>11</v>
      </c>
      <c r="AX171">
        <f>Tabla1[[#This Row],[precio del paquete]]-Tabla1[[#This Row],[Saldo_Deudor]]</f>
        <v>1400</v>
      </c>
      <c r="AY171">
        <v>13400</v>
      </c>
      <c r="AZ171" t="s">
        <v>3</v>
      </c>
      <c r="BA171" t="s">
        <v>3</v>
      </c>
      <c r="BB171" t="s">
        <v>3</v>
      </c>
      <c r="BC171" t="s">
        <v>1611</v>
      </c>
      <c r="BD171" t="s">
        <v>1612</v>
      </c>
      <c r="BE171">
        <v>0</v>
      </c>
      <c r="BF171">
        <v>0</v>
      </c>
      <c r="BG171">
        <v>0</v>
      </c>
      <c r="BH171">
        <v>0</v>
      </c>
      <c r="BI171">
        <v>0</v>
      </c>
      <c r="BJ171" t="s">
        <v>1654</v>
      </c>
      <c r="BK171">
        <v>0</v>
      </c>
      <c r="BL171" t="s">
        <v>132</v>
      </c>
      <c r="BM171">
        <v>0</v>
      </c>
      <c r="BN171">
        <f>Tabla1[[#This Row],[precio del paquete]]</f>
        <v>14800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1661</v>
      </c>
      <c r="CD171" t="str" cm="1">
        <f t="array" aca="1" ref="CD171" ca="1">eConcatenar(A171:CB171,"|")</f>
        <v>HfER1Qt6g7Vrt8dh|VSA2021-1961|3|MEMORIAL|TABASCO|VILLAHERMOSA|VILLAHERMOSA|2021-10-12|14800|x|x|100|0|0|0|0|0|0|0|0|0|0|0|0|0|0|0|MIRANDA|BAUTISTA|MARIA LUISA|soltero|0|0|CARRETERA PRINCIPAL SIN NUMERO|RANCHERIA BOQUERON QUINTA SECCION|0|9932298948|0|0|0|CARRETERA PRINCIPAL SIN NUMERO|x|lunes|0|0|0|0|0|DOMICILIO |1400|13400|x|x|x|2022-03-14|2022-03-21|0|0|0|0|0|QYD9TF9K9KVTQO|0|HOMBRE|0|14800|0|0|0|0|0|0|0|0|CARDENAS|X|X|X|X|FINAL</v>
      </c>
    </row>
    <row r="172" spans="1:82" x14ac:dyDescent="0.25">
      <c r="A172" t="s">
        <v>306</v>
      </c>
      <c r="B172" t="s">
        <v>551</v>
      </c>
      <c r="C172">
        <v>3</v>
      </c>
      <c r="D172" t="s">
        <v>636</v>
      </c>
      <c r="E172" t="s">
        <v>643</v>
      </c>
      <c r="F172" t="s">
        <v>644</v>
      </c>
      <c r="G172" t="s">
        <v>644</v>
      </c>
      <c r="H172" t="s">
        <v>910</v>
      </c>
      <c r="I172">
        <v>24500</v>
      </c>
      <c r="J172" t="s">
        <v>3</v>
      </c>
      <c r="K172" t="s">
        <v>3</v>
      </c>
      <c r="L172">
        <v>100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971</v>
      </c>
      <c r="AC172" t="s">
        <v>1105</v>
      </c>
      <c r="AD172" s="18" t="s">
        <v>1244</v>
      </c>
      <c r="AE172" t="s">
        <v>1356</v>
      </c>
      <c r="AF172">
        <v>0</v>
      </c>
      <c r="AG172">
        <v>0</v>
      </c>
      <c r="AH172" t="s">
        <v>1396</v>
      </c>
      <c r="AI172" t="s">
        <v>744</v>
      </c>
      <c r="AJ172">
        <v>0</v>
      </c>
      <c r="AK172">
        <v>9932241849</v>
      </c>
      <c r="AL172">
        <v>0</v>
      </c>
      <c r="AM172">
        <v>0</v>
      </c>
      <c r="AN172">
        <v>0</v>
      </c>
      <c r="AO172" t="s">
        <v>1396</v>
      </c>
      <c r="AP172" t="s">
        <v>3</v>
      </c>
      <c r="AQ172" t="s">
        <v>1581</v>
      </c>
      <c r="AR172">
        <v>0</v>
      </c>
      <c r="AS172">
        <v>0</v>
      </c>
      <c r="AT172">
        <v>0</v>
      </c>
      <c r="AU172">
        <v>0</v>
      </c>
      <c r="AV172">
        <v>0</v>
      </c>
      <c r="AW172" t="s">
        <v>11</v>
      </c>
      <c r="AX172">
        <f>Tabla1[[#This Row],[precio del paquete]]-Tabla1[[#This Row],[Saldo_Deudor]]</f>
        <v>4200</v>
      </c>
      <c r="AY172">
        <v>20300</v>
      </c>
      <c r="AZ172" t="s">
        <v>3</v>
      </c>
      <c r="BA172" t="s">
        <v>3</v>
      </c>
      <c r="BB172" t="s">
        <v>3</v>
      </c>
      <c r="BC172" t="s">
        <v>1611</v>
      </c>
      <c r="BD172" t="s">
        <v>1612</v>
      </c>
      <c r="BE172">
        <v>0</v>
      </c>
      <c r="BF172">
        <v>0</v>
      </c>
      <c r="BG172">
        <v>0</v>
      </c>
      <c r="BH172">
        <v>0</v>
      </c>
      <c r="BI172">
        <v>0</v>
      </c>
      <c r="BJ172" t="s">
        <v>1654</v>
      </c>
      <c r="BK172">
        <v>0</v>
      </c>
      <c r="BL172" t="s">
        <v>132</v>
      </c>
      <c r="BM172">
        <v>0</v>
      </c>
      <c r="BN172">
        <f>Tabla1[[#This Row],[precio del paquete]]</f>
        <v>24500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1661</v>
      </c>
      <c r="CD172" t="str" cm="1">
        <f t="array" aca="1" ref="CD172" ca="1">eConcatenar(A172:CB172,"|")</f>
        <v>LxXpeHTtoGUCyvKE|VSA2021-1963|3|DIGNITY|TABASCO|VILLAHERMOSA|VILLAHERMOSA|2021-11-12|24500|x|x|100|0|0|0|0|0|0|0|0|0|0|0|0|0|0|0|HERNANDEZ|RAMON|ROSALBA|soltero|0|0|CARRETERA PRINCIPAL SIN NUMERO|RANCHERIA BOQUERON QUINTA SECCION|0|9932241849|0|0|0|CARRETERA PRINCIPAL SIN NUMERO|x|lunes|0|0|0|0|0|DOMICILIO |4200|20300|x|x|x|2022-03-14|2022-03-21|0|0|0|0|0|QYD9TF9K9KVTQO|0|HOMBRE|0|24500|0|0|0|0|0|0|0|0|CARDENAS|X|X|X|X|FINAL</v>
      </c>
    </row>
    <row r="173" spans="1:82" x14ac:dyDescent="0.25">
      <c r="A173" t="s">
        <v>307</v>
      </c>
      <c r="B173" t="s">
        <v>552</v>
      </c>
      <c r="C173">
        <v>3</v>
      </c>
      <c r="D173" t="s">
        <v>634</v>
      </c>
      <c r="E173" t="s">
        <v>643</v>
      </c>
      <c r="F173" t="s">
        <v>644</v>
      </c>
      <c r="G173" t="s">
        <v>644</v>
      </c>
      <c r="H173" t="s">
        <v>918</v>
      </c>
      <c r="I173">
        <v>14800</v>
      </c>
      <c r="J173" t="s">
        <v>3</v>
      </c>
      <c r="K173" t="s">
        <v>3</v>
      </c>
      <c r="L173">
        <v>100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1245</v>
      </c>
      <c r="AC173" t="s">
        <v>971</v>
      </c>
      <c r="AD173" s="18" t="s">
        <v>1246</v>
      </c>
      <c r="AE173" t="s">
        <v>1356</v>
      </c>
      <c r="AF173">
        <v>0</v>
      </c>
      <c r="AG173">
        <v>0</v>
      </c>
      <c r="AH173" t="s">
        <v>1506</v>
      </c>
      <c r="AI173" t="s">
        <v>744</v>
      </c>
      <c r="AJ173">
        <v>0</v>
      </c>
      <c r="AK173">
        <v>9933855992</v>
      </c>
      <c r="AL173">
        <v>0</v>
      </c>
      <c r="AM173">
        <v>0</v>
      </c>
      <c r="AN173">
        <v>0</v>
      </c>
      <c r="AO173" t="s">
        <v>1506</v>
      </c>
      <c r="AP173" t="s">
        <v>3</v>
      </c>
      <c r="AQ173" t="s">
        <v>1581</v>
      </c>
      <c r="AR173">
        <v>0</v>
      </c>
      <c r="AS173">
        <v>0</v>
      </c>
      <c r="AT173">
        <v>0</v>
      </c>
      <c r="AU173">
        <v>0</v>
      </c>
      <c r="AV173">
        <v>0</v>
      </c>
      <c r="AW173" t="s">
        <v>11</v>
      </c>
      <c r="AX173">
        <f>Tabla1[[#This Row],[precio del paquete]]-Tabla1[[#This Row],[Saldo_Deudor]]</f>
        <v>1700</v>
      </c>
      <c r="AY173">
        <v>13100</v>
      </c>
      <c r="AZ173" t="s">
        <v>3</v>
      </c>
      <c r="BA173" t="s">
        <v>3</v>
      </c>
      <c r="BB173" t="s">
        <v>3</v>
      </c>
      <c r="BC173" t="s">
        <v>1611</v>
      </c>
      <c r="BD173" t="s">
        <v>1612</v>
      </c>
      <c r="BE173">
        <v>0</v>
      </c>
      <c r="BF173">
        <v>0</v>
      </c>
      <c r="BG173">
        <v>0</v>
      </c>
      <c r="BH173">
        <v>0</v>
      </c>
      <c r="BI173">
        <v>0</v>
      </c>
      <c r="BJ173" t="s">
        <v>1654</v>
      </c>
      <c r="BK173">
        <v>0</v>
      </c>
      <c r="BL173" t="s">
        <v>132</v>
      </c>
      <c r="BM173">
        <v>0</v>
      </c>
      <c r="BN173">
        <f>Tabla1[[#This Row],[precio del paquete]]</f>
        <v>14800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1661</v>
      </c>
      <c r="CD173" t="str" cm="1">
        <f t="array" aca="1" ref="CD173" ca="1">eConcatenar(A173:CB173,"|")</f>
        <v>gHwUaza7yzNnLOvU|VSA2021-1970|3|MEMORIAL|TABASCO|VILLAHERMOSA|VILLAHERMOSA|2021-12-17|14800|x|x|100|0|0|0|0|0|0|0|0|0|0|0|0|0|0|0|MADRIGAL|HERNANDEZ|CARMEN DE JESUS|soltero|0|0|30 METROS DE TEMPLO DIOS ES AMOR|RANCHERIA BOQUERON QUINTA SECCION|0|9933855992|0|0|0|30 METROS DE TEMPLO DIOS ES AMOR|x|lunes|0|0|0|0|0|DOMICILIO |1700|13100|x|x|x|2022-03-14|2022-03-21|0|0|0|0|0|QYD9TF9K9KVTQO|0|HOMBRE|0|14800|0|0|0|0|0|0|0|0|CARDENAS|X|X|X|X|FINAL</v>
      </c>
    </row>
    <row r="174" spans="1:82" x14ac:dyDescent="0.25">
      <c r="A174" t="s">
        <v>308</v>
      </c>
      <c r="B174" t="s">
        <v>553</v>
      </c>
      <c r="C174">
        <v>3</v>
      </c>
      <c r="D174" t="s">
        <v>634</v>
      </c>
      <c r="E174" t="s">
        <v>643</v>
      </c>
      <c r="F174" t="s">
        <v>644</v>
      </c>
      <c r="G174" t="s">
        <v>644</v>
      </c>
      <c r="H174" t="s">
        <v>913</v>
      </c>
      <c r="I174">
        <v>14800</v>
      </c>
      <c r="J174" t="s">
        <v>3</v>
      </c>
      <c r="K174" t="s">
        <v>3</v>
      </c>
      <c r="L174">
        <v>100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985</v>
      </c>
      <c r="AC174" t="s">
        <v>1064</v>
      </c>
      <c r="AD174" s="18" t="s">
        <v>1247</v>
      </c>
      <c r="AE174" t="s">
        <v>1356</v>
      </c>
      <c r="AF174">
        <v>0</v>
      </c>
      <c r="AG174">
        <v>0</v>
      </c>
      <c r="AH174" t="s">
        <v>1504</v>
      </c>
      <c r="AI174" t="s">
        <v>688</v>
      </c>
      <c r="AJ174">
        <v>0</v>
      </c>
      <c r="AK174">
        <v>9933444401</v>
      </c>
      <c r="AL174">
        <v>0</v>
      </c>
      <c r="AM174">
        <v>0</v>
      </c>
      <c r="AN174">
        <v>0</v>
      </c>
      <c r="AO174" t="s">
        <v>1504</v>
      </c>
      <c r="AP174" t="s">
        <v>3</v>
      </c>
      <c r="AQ174" t="s">
        <v>1581</v>
      </c>
      <c r="AR174">
        <v>0</v>
      </c>
      <c r="AS174">
        <v>0</v>
      </c>
      <c r="AT174">
        <v>0</v>
      </c>
      <c r="AU174">
        <v>0</v>
      </c>
      <c r="AV174">
        <v>0</v>
      </c>
      <c r="AW174" t="s">
        <v>11</v>
      </c>
      <c r="AX174">
        <f>Tabla1[[#This Row],[precio del paquete]]-Tabla1[[#This Row],[Saldo_Deudor]]</f>
        <v>450</v>
      </c>
      <c r="AY174">
        <v>14350</v>
      </c>
      <c r="AZ174" t="s">
        <v>3</v>
      </c>
      <c r="BA174" t="s">
        <v>3</v>
      </c>
      <c r="BB174" t="s">
        <v>3</v>
      </c>
      <c r="BC174" t="s">
        <v>1611</v>
      </c>
      <c r="BD174" t="s">
        <v>1612</v>
      </c>
      <c r="BE174">
        <v>0</v>
      </c>
      <c r="BF174">
        <v>0</v>
      </c>
      <c r="BG174">
        <v>0</v>
      </c>
      <c r="BH174">
        <v>0</v>
      </c>
      <c r="BI174">
        <v>0</v>
      </c>
      <c r="BJ174" t="s">
        <v>1654</v>
      </c>
      <c r="BK174">
        <v>0</v>
      </c>
      <c r="BL174" t="s">
        <v>132</v>
      </c>
      <c r="BM174">
        <v>0</v>
      </c>
      <c r="BN174">
        <f>Tabla1[[#This Row],[precio del paquete]]</f>
        <v>14800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1661</v>
      </c>
      <c r="CD174" t="str" cm="1">
        <f t="array" aca="1" ref="CD174" ca="1">eConcatenar(A174:CB174,"|")</f>
        <v>L2lPaPyZtCxiYBe8|VSA2022-0248|3|MEMORIAL|TABASCO|VILLAHERMOSA|VILLAHERMOSA|2022-05-03|14800|x|x|100|0|0|0|0|0|0|0|0|0|0|0|0|0|0|0|PEREZ|MONTECINO|FLOR|soltero|0|0|CALLE 27 DE FEBRERO NUMERO 210|VILLA LUIS GIL PEREZ|0|9933444401|0|0|0|CALLE 27 DE FEBRERO NUMERO 210|x|lunes|0|0|0|0|0|DOMICILIO |450|14350|x|x|x|2022-03-14|2022-03-21|0|0|0|0|0|QYD9TF9K9KVTQO|0|HOMBRE|0|14800|0|0|0|0|0|0|0|0|CARDENAS|X|X|X|X|FINAL</v>
      </c>
    </row>
    <row r="175" spans="1:82" x14ac:dyDescent="0.25">
      <c r="A175" t="s">
        <v>309</v>
      </c>
      <c r="B175" t="s">
        <v>554</v>
      </c>
      <c r="C175">
        <v>3</v>
      </c>
      <c r="D175" t="s">
        <v>635</v>
      </c>
      <c r="E175" t="s">
        <v>643</v>
      </c>
      <c r="F175" t="s">
        <v>644</v>
      </c>
      <c r="G175" t="s">
        <v>644</v>
      </c>
      <c r="H175" t="s">
        <v>919</v>
      </c>
      <c r="I175">
        <v>12900</v>
      </c>
      <c r="J175" t="s">
        <v>3</v>
      </c>
      <c r="K175" t="s">
        <v>3</v>
      </c>
      <c r="L175">
        <v>100</v>
      </c>
      <c r="M175">
        <v>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0</v>
      </c>
      <c r="AC175" t="s">
        <v>1197</v>
      </c>
      <c r="AD175" s="18" t="s">
        <v>1248</v>
      </c>
      <c r="AE175" t="s">
        <v>1356</v>
      </c>
      <c r="AF175">
        <v>0</v>
      </c>
      <c r="AG175">
        <v>0</v>
      </c>
      <c r="AH175" t="s">
        <v>1507</v>
      </c>
      <c r="AI175" t="s">
        <v>749</v>
      </c>
      <c r="AJ175">
        <v>0</v>
      </c>
      <c r="AK175">
        <v>9934595138</v>
      </c>
      <c r="AL175">
        <v>0</v>
      </c>
      <c r="AM175">
        <v>0</v>
      </c>
      <c r="AN175">
        <v>0</v>
      </c>
      <c r="AO175" t="s">
        <v>1507</v>
      </c>
      <c r="AP175" t="s">
        <v>3</v>
      </c>
      <c r="AQ175" t="s">
        <v>1581</v>
      </c>
      <c r="AR175">
        <v>0</v>
      </c>
      <c r="AS175">
        <v>0</v>
      </c>
      <c r="AT175">
        <v>0</v>
      </c>
      <c r="AU175">
        <v>0</v>
      </c>
      <c r="AV175">
        <v>0</v>
      </c>
      <c r="AW175" t="s">
        <v>11</v>
      </c>
      <c r="AX175">
        <f>Tabla1[[#This Row],[precio del paquete]]-Tabla1[[#This Row],[Saldo_Deudor]]</f>
        <v>5000</v>
      </c>
      <c r="AY175">
        <v>7900</v>
      </c>
      <c r="AZ175" t="s">
        <v>3</v>
      </c>
      <c r="BA175" t="s">
        <v>3</v>
      </c>
      <c r="BB175" t="s">
        <v>3</v>
      </c>
      <c r="BC175" t="s">
        <v>1621</v>
      </c>
      <c r="BD175" t="s">
        <v>1622</v>
      </c>
      <c r="BE175">
        <v>0</v>
      </c>
      <c r="BF175">
        <v>0</v>
      </c>
      <c r="BG175">
        <v>0</v>
      </c>
      <c r="BH175">
        <v>0</v>
      </c>
      <c r="BI175">
        <v>0</v>
      </c>
      <c r="BJ175" t="s">
        <v>1658</v>
      </c>
      <c r="BK175">
        <v>0</v>
      </c>
      <c r="BL175" t="s">
        <v>132</v>
      </c>
      <c r="BM175">
        <v>0</v>
      </c>
      <c r="BN175">
        <f>Tabla1[[#This Row],[precio del paquete]]</f>
        <v>12900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1661</v>
      </c>
      <c r="CD175" t="str" cm="1">
        <f t="array" aca="1" ref="CD175" ca="1">eConcatenar(A175:CB175,"|")</f>
        <v>lg6JgplC4SNr2fSe|VSA2021-0270|3|IMPERIAL DE LUJO|TABASCO|VILLAHERMOSA|VILLAHERMOSA|2021-09-02|12900|x|x|100|1|0|0|0|0|0|0|0|0|0|0|0|0|0|0|CARDENAS|CORREA|LIDIA|soltero|0|0|CALLE EL FLACO|RANCHERIA ANACLETO CANABAL SEGUNDA SECCION|0|9934595138|0|0|0|CALLE EL FLACO|x|lunes|0|0|0|0|0|DOMICILIO |5000|7900|x|x|x|2022-03-17|2022-03-24|0|0|0|0|0|S37UOOWW9KVTQO|0|HOMBRE|0|12900|0|0|0|0|0|0|0|0|CARDENAS|X|X|X|X|FINAL</v>
      </c>
    </row>
    <row r="176" spans="1:82" x14ac:dyDescent="0.25">
      <c r="A176" t="s">
        <v>310</v>
      </c>
      <c r="B176" t="s">
        <v>555</v>
      </c>
      <c r="C176">
        <v>3</v>
      </c>
      <c r="D176" t="s">
        <v>634</v>
      </c>
      <c r="E176" t="s">
        <v>643</v>
      </c>
      <c r="F176" t="s">
        <v>644</v>
      </c>
      <c r="G176" t="s">
        <v>644</v>
      </c>
      <c r="H176" t="s">
        <v>828</v>
      </c>
      <c r="I176">
        <v>14800</v>
      </c>
      <c r="J176" t="s">
        <v>3</v>
      </c>
      <c r="K176" t="s">
        <v>3</v>
      </c>
      <c r="L176">
        <v>100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1042</v>
      </c>
      <c r="AC176" t="s">
        <v>1071</v>
      </c>
      <c r="AD176" s="18" t="s">
        <v>1249</v>
      </c>
      <c r="AE176" t="s">
        <v>1356</v>
      </c>
      <c r="AF176">
        <v>0</v>
      </c>
      <c r="AG176">
        <v>0</v>
      </c>
      <c r="AH176" t="s">
        <v>1508</v>
      </c>
      <c r="AI176" t="s">
        <v>731</v>
      </c>
      <c r="AJ176">
        <v>0</v>
      </c>
      <c r="AK176">
        <v>9321199791</v>
      </c>
      <c r="AL176">
        <v>0</v>
      </c>
      <c r="AM176">
        <v>0</v>
      </c>
      <c r="AN176">
        <v>0</v>
      </c>
      <c r="AO176" t="s">
        <v>1508</v>
      </c>
      <c r="AP176" t="s">
        <v>3</v>
      </c>
      <c r="AQ176" t="s">
        <v>1581</v>
      </c>
      <c r="AR176">
        <v>0</v>
      </c>
      <c r="AS176">
        <v>0</v>
      </c>
      <c r="AT176">
        <v>0</v>
      </c>
      <c r="AU176">
        <v>0</v>
      </c>
      <c r="AV176">
        <v>0</v>
      </c>
      <c r="AW176" t="s">
        <v>11</v>
      </c>
      <c r="AX176">
        <f>Tabla1[[#This Row],[precio del paquete]]-Tabla1[[#This Row],[Saldo_Deudor]]</f>
        <v>200</v>
      </c>
      <c r="AY176">
        <v>14600</v>
      </c>
      <c r="AZ176" t="s">
        <v>3</v>
      </c>
      <c r="BA176" t="s">
        <v>3</v>
      </c>
      <c r="BB176" t="s">
        <v>3</v>
      </c>
      <c r="BC176" t="s">
        <v>1593</v>
      </c>
      <c r="BD176" t="s">
        <v>1629</v>
      </c>
      <c r="BE176">
        <v>0</v>
      </c>
      <c r="BF176">
        <v>0</v>
      </c>
      <c r="BG176">
        <v>0</v>
      </c>
      <c r="BH176">
        <v>0</v>
      </c>
      <c r="BI176">
        <v>0</v>
      </c>
      <c r="BJ176" t="s">
        <v>1654</v>
      </c>
      <c r="BK176">
        <v>0</v>
      </c>
      <c r="BL176" t="s">
        <v>132</v>
      </c>
      <c r="BM176">
        <v>0</v>
      </c>
      <c r="BN176">
        <f>Tabla1[[#This Row],[precio del paquete]]</f>
        <v>14800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1661</v>
      </c>
      <c r="CD176" t="str" cm="1">
        <f t="array" aca="1" ref="CD176" ca="1">eConcatenar(A176:CB176,"|")</f>
        <v>6j838KPYE4QfEbR7|VSA2022-0219|3|MEMORIAL|TABASCO|VILLAHERMOSA|VILLAHERMOSA|2022-02-28|14800|x|x|100|0|0|0|0|0|0|0|0|0|0|0|0|0|0|0|MAGAÃ‘A|CHABLE|MIGUELINA|soltero|0|0|CALLE EJIDO PUEBLO NUEVO|COLONIA LA MANGA SEGUNDA |0|9321199791|0|0|0|CALLE EJIDO PUEBLO NUEVO|x|lunes|0|0|0|0|0|DOMICILIO |200|14600|x|x|x|2022-02-26|2022-03-05|0|0|0|0|0|QYD9TF9K9KVTQO|0|HOMBRE|0|14800|0|0|0|0|0|0|0|0|CARDENAS|X|X|X|X|FINAL</v>
      </c>
    </row>
    <row r="177" spans="1:82" x14ac:dyDescent="0.25">
      <c r="A177" t="s">
        <v>311</v>
      </c>
      <c r="B177" t="s">
        <v>556</v>
      </c>
      <c r="C177">
        <v>3</v>
      </c>
      <c r="D177" t="s">
        <v>634</v>
      </c>
      <c r="E177" t="s">
        <v>643</v>
      </c>
      <c r="F177" t="s">
        <v>644</v>
      </c>
      <c r="G177" t="s">
        <v>644</v>
      </c>
      <c r="H177" t="s">
        <v>814</v>
      </c>
      <c r="I177">
        <v>14800</v>
      </c>
      <c r="J177" t="s">
        <v>3</v>
      </c>
      <c r="K177" t="s">
        <v>3</v>
      </c>
      <c r="L177">
        <v>100</v>
      </c>
      <c r="M177">
        <v>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1065</v>
      </c>
      <c r="AC177" t="s">
        <v>1117</v>
      </c>
      <c r="AD177" s="18" t="s">
        <v>1250</v>
      </c>
      <c r="AE177" t="s">
        <v>1356</v>
      </c>
      <c r="AF177">
        <v>0</v>
      </c>
      <c r="AG177">
        <v>0</v>
      </c>
      <c r="AH177" t="s">
        <v>1396</v>
      </c>
      <c r="AI177" t="s">
        <v>750</v>
      </c>
      <c r="AJ177">
        <v>0</v>
      </c>
      <c r="AK177">
        <v>9321203708</v>
      </c>
      <c r="AL177">
        <v>0</v>
      </c>
      <c r="AM177">
        <v>0</v>
      </c>
      <c r="AN177">
        <v>0</v>
      </c>
      <c r="AO177" t="s">
        <v>1396</v>
      </c>
      <c r="AP177" t="s">
        <v>3</v>
      </c>
      <c r="AQ177" t="s">
        <v>1581</v>
      </c>
      <c r="AR177">
        <v>0</v>
      </c>
      <c r="AS177">
        <v>0</v>
      </c>
      <c r="AT177">
        <v>0</v>
      </c>
      <c r="AU177">
        <v>0</v>
      </c>
      <c r="AV177">
        <v>0</v>
      </c>
      <c r="AW177" t="s">
        <v>11</v>
      </c>
      <c r="AX177">
        <f>Tabla1[[#This Row],[precio del paquete]]-Tabla1[[#This Row],[Saldo_Deudor]]</f>
        <v>1300</v>
      </c>
      <c r="AY177">
        <v>13500</v>
      </c>
      <c r="AZ177" t="s">
        <v>3</v>
      </c>
      <c r="BA177" t="s">
        <v>3</v>
      </c>
      <c r="BB177" t="s">
        <v>3</v>
      </c>
      <c r="BC177" t="s">
        <v>803</v>
      </c>
      <c r="BD177" t="s">
        <v>1606</v>
      </c>
      <c r="BE177">
        <v>0</v>
      </c>
      <c r="BF177">
        <v>0</v>
      </c>
      <c r="BG177">
        <v>0</v>
      </c>
      <c r="BH177">
        <v>0</v>
      </c>
      <c r="BI177">
        <v>0</v>
      </c>
      <c r="BJ177" t="s">
        <v>1659</v>
      </c>
      <c r="BK177">
        <v>0</v>
      </c>
      <c r="BL177" t="s">
        <v>132</v>
      </c>
      <c r="BM177">
        <v>0</v>
      </c>
      <c r="BN177">
        <f>Tabla1[[#This Row],[precio del paquete]]</f>
        <v>14800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1661</v>
      </c>
      <c r="CD177" t="str" cm="1">
        <f t="array" aca="1" ref="CD177" ca="1">eConcatenar(A177:CB177,"|")</f>
        <v>JtgrwSi70wjkCMu4|VSA2022-0065|3|MEMORIAL|TABASCO|VILLAHERMOSA|VILLAHERMOSA|2022-01-19|14800|x|x|100|2|0|0|0|0|0|0|0|0|0|0|0|0|0|0|TORRES|AGUILAR|ISABEL|soltero|0|0|CARRETERA PRINCIPAL SIN NUMERO|RANCHERIA CHIPILINAR PRIMERA SECCION|0|9321203708|0|0|0|CARRETERA PRINCIPAL SIN NUMERO|x|lunes|0|0|0|0|0|DOMICILIO |1300|13500|x|x|x|2022-02-03|2022-02-10|0|0|0|0|0|QYDRHV6G9KVTQO|0|HOMBRE|0|14800|0|0|0|0|0|0|0|0|CARDENAS|X|X|X|X|FINAL</v>
      </c>
    </row>
    <row r="178" spans="1:82" x14ac:dyDescent="0.25">
      <c r="A178" t="s">
        <v>312</v>
      </c>
      <c r="B178" t="s">
        <v>557</v>
      </c>
      <c r="C178">
        <v>3</v>
      </c>
      <c r="D178" t="s">
        <v>634</v>
      </c>
      <c r="E178" t="s">
        <v>643</v>
      </c>
      <c r="F178" t="s">
        <v>644</v>
      </c>
      <c r="G178" t="s">
        <v>644</v>
      </c>
      <c r="H178" t="s">
        <v>814</v>
      </c>
      <c r="I178">
        <v>14800</v>
      </c>
      <c r="J178" t="s">
        <v>3</v>
      </c>
      <c r="K178" t="s">
        <v>3</v>
      </c>
      <c r="L178">
        <v>100</v>
      </c>
      <c r="M178">
        <v>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1251</v>
      </c>
      <c r="AC178" t="s">
        <v>1111</v>
      </c>
      <c r="AD178" s="18" t="s">
        <v>1250</v>
      </c>
      <c r="AE178" t="s">
        <v>1356</v>
      </c>
      <c r="AF178">
        <v>0</v>
      </c>
      <c r="AG178">
        <v>0</v>
      </c>
      <c r="AH178" t="s">
        <v>1509</v>
      </c>
      <c r="AI178" t="s">
        <v>751</v>
      </c>
      <c r="AJ178">
        <v>0</v>
      </c>
      <c r="AK178">
        <v>9931592486</v>
      </c>
      <c r="AL178">
        <v>0</v>
      </c>
      <c r="AM178">
        <v>0</v>
      </c>
      <c r="AN178">
        <v>0</v>
      </c>
      <c r="AO178" t="s">
        <v>1509</v>
      </c>
      <c r="AP178" t="s">
        <v>3</v>
      </c>
      <c r="AQ178" t="s">
        <v>1581</v>
      </c>
      <c r="AR178">
        <v>0</v>
      </c>
      <c r="AS178">
        <v>0</v>
      </c>
      <c r="AT178">
        <v>0</v>
      </c>
      <c r="AU178">
        <v>0</v>
      </c>
      <c r="AV178">
        <v>0</v>
      </c>
      <c r="AW178" t="s">
        <v>11</v>
      </c>
      <c r="AX178">
        <f>Tabla1[[#This Row],[precio del paquete]]-Tabla1[[#This Row],[Saldo_Deudor]]</f>
        <v>100</v>
      </c>
      <c r="AY178">
        <v>14700</v>
      </c>
      <c r="AZ178" t="s">
        <v>3</v>
      </c>
      <c r="BA178" t="s">
        <v>3</v>
      </c>
      <c r="BB178" t="s">
        <v>3</v>
      </c>
      <c r="BC178" t="s">
        <v>814</v>
      </c>
      <c r="BD178" t="s">
        <v>857</v>
      </c>
      <c r="BE178">
        <v>0</v>
      </c>
      <c r="BF178">
        <v>0</v>
      </c>
      <c r="BG178">
        <v>0</v>
      </c>
      <c r="BH178">
        <v>0</v>
      </c>
      <c r="BI178">
        <v>0</v>
      </c>
      <c r="BJ178" t="s">
        <v>1659</v>
      </c>
      <c r="BK178">
        <v>0</v>
      </c>
      <c r="BL178" t="s">
        <v>132</v>
      </c>
      <c r="BM178">
        <v>0</v>
      </c>
      <c r="BN178">
        <f>Tabla1[[#This Row],[precio del paquete]]</f>
        <v>14800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 t="s">
        <v>0</v>
      </c>
      <c r="BX178" t="s">
        <v>1</v>
      </c>
      <c r="BY178" t="s">
        <v>1</v>
      </c>
      <c r="BZ178" t="s">
        <v>1</v>
      </c>
      <c r="CA178" t="s">
        <v>1</v>
      </c>
      <c r="CB178" t="s">
        <v>1661</v>
      </c>
      <c r="CD178" t="str" cm="1">
        <f t="array" aca="1" ref="CD178" ca="1">eConcatenar(A178:CB178,"|")</f>
        <v>x2hDcTVtwROrD72G|VSA2022-0066|3|MEMORIAL|TABASCO|VILLAHERMOSA|VILLAHERMOSA|2022-01-19|14800|x|x|100|2|0|0|0|0|0|0|0|0|0|0|0|0|0|0|BOCANEGRA|ALVARADO|ISABEL|soltero|0|0|RANCHERIA CHIPILINAR PRIMERA|RANCHERIA CHIPILINAR PRIMERA SECCION SECCION JALAPITA|0|9931592486|0|0|0|RANCHERIA CHIPILINAR PRIMERA|x|lunes|0|0|0|0|0|DOMICILIO |100|14700|x|x|x|2022-01-19|2022-01-26|0|0|0|0|0|QYDRHV6G9KVTQO|0|HOMBRE|0|14800|0|0|0|0|0|0|0|0|CARDENAS|X|X|X|X|FINAL</v>
      </c>
    </row>
    <row r="179" spans="1:82" x14ac:dyDescent="0.25">
      <c r="A179" t="s">
        <v>313</v>
      </c>
      <c r="B179" t="s">
        <v>558</v>
      </c>
      <c r="C179">
        <v>3</v>
      </c>
      <c r="D179" t="s">
        <v>634</v>
      </c>
      <c r="E179" t="s">
        <v>643</v>
      </c>
      <c r="F179" t="s">
        <v>644</v>
      </c>
      <c r="G179" t="s">
        <v>644</v>
      </c>
      <c r="H179" t="s">
        <v>894</v>
      </c>
      <c r="I179">
        <v>14800</v>
      </c>
      <c r="J179" t="s">
        <v>3</v>
      </c>
      <c r="K179" t="s">
        <v>3</v>
      </c>
      <c r="L179">
        <v>100</v>
      </c>
      <c r="M179">
        <v>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1167</v>
      </c>
      <c r="AC179" t="s">
        <v>1085</v>
      </c>
      <c r="AD179" s="18" t="s">
        <v>1252</v>
      </c>
      <c r="AE179" t="s">
        <v>1356</v>
      </c>
      <c r="AF179">
        <v>0</v>
      </c>
      <c r="AG179">
        <v>0</v>
      </c>
      <c r="AH179" t="s">
        <v>1510</v>
      </c>
      <c r="AI179" t="s">
        <v>752</v>
      </c>
      <c r="AJ179">
        <v>0</v>
      </c>
      <c r="AK179">
        <v>9933862341</v>
      </c>
      <c r="AL179">
        <v>0</v>
      </c>
      <c r="AM179">
        <v>0</v>
      </c>
      <c r="AN179">
        <v>0</v>
      </c>
      <c r="AO179" t="s">
        <v>1510</v>
      </c>
      <c r="AP179" t="s">
        <v>3</v>
      </c>
      <c r="AQ179" t="s">
        <v>1581</v>
      </c>
      <c r="AR179">
        <v>0</v>
      </c>
      <c r="AS179">
        <v>0</v>
      </c>
      <c r="AT179">
        <v>0</v>
      </c>
      <c r="AU179">
        <v>0</v>
      </c>
      <c r="AV179">
        <v>0</v>
      </c>
      <c r="AW179" t="s">
        <v>11</v>
      </c>
      <c r="AX179">
        <f>Tabla1[[#This Row],[precio del paquete]]-Tabla1[[#This Row],[Saldo_Deudor]]</f>
        <v>2100</v>
      </c>
      <c r="AY179">
        <v>12700</v>
      </c>
      <c r="AZ179" t="s">
        <v>3</v>
      </c>
      <c r="BA179" t="s">
        <v>3</v>
      </c>
      <c r="BB179" t="s">
        <v>3</v>
      </c>
      <c r="BC179" t="s">
        <v>803</v>
      </c>
      <c r="BD179" t="s">
        <v>1606</v>
      </c>
      <c r="BE179">
        <v>0</v>
      </c>
      <c r="BF179">
        <v>0</v>
      </c>
      <c r="BG179">
        <v>0</v>
      </c>
      <c r="BH179">
        <v>0</v>
      </c>
      <c r="BI179">
        <v>0</v>
      </c>
      <c r="BJ179" t="s">
        <v>1659</v>
      </c>
      <c r="BK179">
        <v>0</v>
      </c>
      <c r="BL179" t="s">
        <v>132</v>
      </c>
      <c r="BM179">
        <v>0</v>
      </c>
      <c r="BN179">
        <f>Tabla1[[#This Row],[precio del paquete]]</f>
        <v>14800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 t="s">
        <v>0</v>
      </c>
      <c r="BX179" t="s">
        <v>1</v>
      </c>
      <c r="BY179" t="s">
        <v>1</v>
      </c>
      <c r="BZ179" t="s">
        <v>1</v>
      </c>
      <c r="CA179" t="s">
        <v>1</v>
      </c>
      <c r="CB179" t="s">
        <v>1661</v>
      </c>
      <c r="CD179" t="str" cm="1">
        <f t="array" aca="1" ref="CD179" ca="1">eConcatenar(A179:CB179,"|")</f>
        <v>WuV4yFY5mpRKYVpc|VSA2021-1773|3|MEMORIAL|TABASCO|VILLAHERMOSA|VILLAHERMOSA|2021-10-27|14800|x|x|100|2|0|0|0|0|0|0|0|0|0|0|0|0|0|0|CHICO|VILLEGAS|LORENZO|soltero|0|0|CALLE SUBTENIENTE GARCIA SIN NUMERO|VILLAS PLAYAS DEL ROSARIO|0|9933862341|0|0|0|CALLE SUBTENIENTE GARCIA SIN NUMERO|x|lunes|0|0|0|0|0|DOMICILIO |2100|12700|x|x|x|2022-02-03|2022-02-10|0|0|0|0|0|QYDRHV6G9KVTQO|0|HOMBRE|0|14800|0|0|0|0|0|0|0|0|CARDENAS|X|X|X|X|FINAL</v>
      </c>
    </row>
    <row r="180" spans="1:82" x14ac:dyDescent="0.25">
      <c r="A180" t="s">
        <v>314</v>
      </c>
      <c r="B180" t="s">
        <v>559</v>
      </c>
      <c r="C180">
        <v>3</v>
      </c>
      <c r="D180" t="s">
        <v>634</v>
      </c>
      <c r="E180" t="s">
        <v>643</v>
      </c>
      <c r="F180" t="s">
        <v>644</v>
      </c>
      <c r="G180" t="s">
        <v>644</v>
      </c>
      <c r="H180" t="s">
        <v>920</v>
      </c>
      <c r="I180">
        <v>14800</v>
      </c>
      <c r="J180" t="s">
        <v>3</v>
      </c>
      <c r="K180" t="s">
        <v>3</v>
      </c>
      <c r="L180">
        <v>100</v>
      </c>
      <c r="M180">
        <v>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971</v>
      </c>
      <c r="AC180" t="s">
        <v>1253</v>
      </c>
      <c r="AD180" s="18" t="s">
        <v>1254</v>
      </c>
      <c r="AE180" t="s">
        <v>1356</v>
      </c>
      <c r="AF180">
        <v>0</v>
      </c>
      <c r="AG180">
        <v>0</v>
      </c>
      <c r="AH180" t="s">
        <v>1511</v>
      </c>
      <c r="AI180" t="s">
        <v>739</v>
      </c>
      <c r="AJ180">
        <v>0</v>
      </c>
      <c r="AK180">
        <v>9931991410</v>
      </c>
      <c r="AL180">
        <v>0</v>
      </c>
      <c r="AM180">
        <v>0</v>
      </c>
      <c r="AN180">
        <v>0</v>
      </c>
      <c r="AO180" t="s">
        <v>1511</v>
      </c>
      <c r="AP180" t="s">
        <v>3</v>
      </c>
      <c r="AQ180" t="s">
        <v>1581</v>
      </c>
      <c r="AR180">
        <v>0</v>
      </c>
      <c r="AS180">
        <v>0</v>
      </c>
      <c r="AT180">
        <v>0</v>
      </c>
      <c r="AU180">
        <v>0</v>
      </c>
      <c r="AV180">
        <v>0</v>
      </c>
      <c r="AW180" t="s">
        <v>11</v>
      </c>
      <c r="AX180">
        <f>Tabla1[[#This Row],[precio del paquete]]-Tabla1[[#This Row],[Saldo_Deudor]]</f>
        <v>3000</v>
      </c>
      <c r="AY180">
        <v>11800</v>
      </c>
      <c r="AZ180" t="s">
        <v>3</v>
      </c>
      <c r="BA180" t="s">
        <v>3</v>
      </c>
      <c r="BB180" t="s">
        <v>3</v>
      </c>
      <c r="BC180" t="s">
        <v>803</v>
      </c>
      <c r="BD180" t="s">
        <v>1606</v>
      </c>
      <c r="BE180">
        <v>0</v>
      </c>
      <c r="BF180">
        <v>0</v>
      </c>
      <c r="BG180">
        <v>0</v>
      </c>
      <c r="BH180">
        <v>0</v>
      </c>
      <c r="BI180">
        <v>0</v>
      </c>
      <c r="BJ180" t="s">
        <v>1659</v>
      </c>
      <c r="BK180">
        <v>0</v>
      </c>
      <c r="BL180" t="s">
        <v>132</v>
      </c>
      <c r="BM180">
        <v>0</v>
      </c>
      <c r="BN180">
        <f>Tabla1[[#This Row],[precio del paquete]]</f>
        <v>14800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 t="s">
        <v>0</v>
      </c>
      <c r="BX180" t="s">
        <v>1</v>
      </c>
      <c r="BY180" t="s">
        <v>1</v>
      </c>
      <c r="BZ180" t="s">
        <v>1</v>
      </c>
      <c r="CA180" t="s">
        <v>1</v>
      </c>
      <c r="CB180" t="s">
        <v>1661</v>
      </c>
      <c r="CD180" t="str" cm="1">
        <f t="array" aca="1" ref="CD180" ca="1">eConcatenar(A180:CB180,"|")</f>
        <v>zyJSMTg6C8V9cV1k|VSA2021-1385|3|MEMORIAL|TABASCO|VILLAHERMOSA|VILLAHERMOSA|2021-08-25|14800|x|x|100|2|0|0|0|0|0|0|0|0|0|0|0|0|0|0|HERNANDEZ|ULLOA|FERNANDO|soltero|0|0|VILLA PLAYAS DEL ROSARIO PASANDO EL RESTAURANTE TIO TOÃ‘O|VILLA PLAYAS DEL ROSARIO|0|9931991410|0|0|0|VILLA PLAYAS DEL ROSARIO PASANDO EL RESTAURANTE TIO TOÃ‘O|x|lunes|0|0|0|0|0|DOMICILIO |3000|11800|x|x|x|2022-02-03|2022-02-10|0|0|0|0|0|QYDRHV6G9KVTQO|0|HOMBRE|0|14800|0|0|0|0|0|0|0|0|CARDENAS|X|X|X|X|FINAL</v>
      </c>
    </row>
    <row r="181" spans="1:82" x14ac:dyDescent="0.25">
      <c r="A181" t="s">
        <v>315</v>
      </c>
      <c r="B181" t="s">
        <v>560</v>
      </c>
      <c r="C181">
        <v>3</v>
      </c>
      <c r="D181" t="s">
        <v>635</v>
      </c>
      <c r="E181" t="s">
        <v>643</v>
      </c>
      <c r="F181" t="s">
        <v>644</v>
      </c>
      <c r="G181" t="s">
        <v>644</v>
      </c>
      <c r="H181" t="s">
        <v>921</v>
      </c>
      <c r="I181">
        <v>12900</v>
      </c>
      <c r="J181" t="s">
        <v>3</v>
      </c>
      <c r="K181" t="s">
        <v>3</v>
      </c>
      <c r="L181">
        <v>100</v>
      </c>
      <c r="M181">
        <v>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1063</v>
      </c>
      <c r="AC181" t="s">
        <v>966</v>
      </c>
      <c r="AD181" s="18" t="s">
        <v>1255</v>
      </c>
      <c r="AE181" t="s">
        <v>1356</v>
      </c>
      <c r="AF181">
        <v>0</v>
      </c>
      <c r="AG181">
        <v>0</v>
      </c>
      <c r="AH181" t="s">
        <v>1512</v>
      </c>
      <c r="AI181" t="s">
        <v>753</v>
      </c>
      <c r="AJ181">
        <v>0</v>
      </c>
      <c r="AK181">
        <v>9931679658</v>
      </c>
      <c r="AL181">
        <v>0</v>
      </c>
      <c r="AM181">
        <v>0</v>
      </c>
      <c r="AN181">
        <v>0</v>
      </c>
      <c r="AO181" t="s">
        <v>1512</v>
      </c>
      <c r="AP181" t="s">
        <v>3</v>
      </c>
      <c r="AQ181" t="s">
        <v>1581</v>
      </c>
      <c r="AR181">
        <v>0</v>
      </c>
      <c r="AS181">
        <v>0</v>
      </c>
      <c r="AT181">
        <v>0</v>
      </c>
      <c r="AU181">
        <v>0</v>
      </c>
      <c r="AV181">
        <v>0</v>
      </c>
      <c r="AW181" t="s">
        <v>11</v>
      </c>
      <c r="AX181">
        <f>Tabla1[[#This Row],[precio del paquete]]-Tabla1[[#This Row],[Saldo_Deudor]]</f>
        <v>8100</v>
      </c>
      <c r="AY181">
        <v>4800</v>
      </c>
      <c r="AZ181" t="s">
        <v>3</v>
      </c>
      <c r="BA181" t="s">
        <v>3</v>
      </c>
      <c r="BB181" t="s">
        <v>3</v>
      </c>
      <c r="BC181" t="s">
        <v>803</v>
      </c>
      <c r="BD181" t="s">
        <v>1606</v>
      </c>
      <c r="BE181">
        <v>0</v>
      </c>
      <c r="BF181">
        <v>0</v>
      </c>
      <c r="BG181">
        <v>0</v>
      </c>
      <c r="BH181">
        <v>0</v>
      </c>
      <c r="BI181">
        <v>0</v>
      </c>
      <c r="BJ181" t="s">
        <v>1659</v>
      </c>
      <c r="BK181">
        <v>0</v>
      </c>
      <c r="BL181" t="s">
        <v>132</v>
      </c>
      <c r="BM181">
        <v>0</v>
      </c>
      <c r="BN181">
        <f>Tabla1[[#This Row],[precio del paquete]]</f>
        <v>12900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 t="s">
        <v>0</v>
      </c>
      <c r="BX181" t="s">
        <v>1</v>
      </c>
      <c r="BY181" t="s">
        <v>1</v>
      </c>
      <c r="BZ181" t="s">
        <v>1</v>
      </c>
      <c r="CA181" t="s">
        <v>1</v>
      </c>
      <c r="CB181" t="s">
        <v>1661</v>
      </c>
      <c r="CD181" t="str" cm="1">
        <f t="array" aca="1" ref="CD181" ca="1">eConcatenar(A181:CB181,"|")</f>
        <v>s1EbdU7ER8VU5fAH|VSA2020-0205|3|IMPERIAL DE LUJO|TABASCO|VILLAHERMOSA|VILLAHERMOSA|2020-07-16|12900|x|x|100|2|0|0|0|0|0|0|0|0|0|0|0|0|0|0|MENDEZ|SANCHEZ|WASCAR|soltero|0|0|INDECO |CIUDAD INDUSTRIAL|0|9931679658|0|0|0|INDECO |x|lunes|0|0|0|0|0|DOMICILIO |8100|4800|x|x|x|2022-02-03|2022-02-10|0|0|0|0|0|QYDRHV6G9KVTQO|0|HOMBRE|0|12900|0|0|0|0|0|0|0|0|CARDENAS|X|X|X|X|FINAL</v>
      </c>
    </row>
    <row r="182" spans="1:82" x14ac:dyDescent="0.25">
      <c r="A182" t="s">
        <v>316</v>
      </c>
      <c r="B182" t="s">
        <v>561</v>
      </c>
      <c r="C182">
        <v>3</v>
      </c>
      <c r="D182" t="s">
        <v>634</v>
      </c>
      <c r="E182" t="s">
        <v>643</v>
      </c>
      <c r="F182" t="s">
        <v>644</v>
      </c>
      <c r="G182" t="s">
        <v>644</v>
      </c>
      <c r="H182" t="s">
        <v>897</v>
      </c>
      <c r="I182">
        <v>14800</v>
      </c>
      <c r="J182" t="s">
        <v>3</v>
      </c>
      <c r="K182" t="s">
        <v>3</v>
      </c>
      <c r="L182">
        <v>100</v>
      </c>
      <c r="M182">
        <v>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1256</v>
      </c>
      <c r="AC182" t="s">
        <v>985</v>
      </c>
      <c r="AD182" s="18" t="s">
        <v>1171</v>
      </c>
      <c r="AE182" t="s">
        <v>1356</v>
      </c>
      <c r="AF182">
        <v>0</v>
      </c>
      <c r="AG182">
        <v>0</v>
      </c>
      <c r="AH182" t="s">
        <v>1513</v>
      </c>
      <c r="AI182" t="s">
        <v>739</v>
      </c>
      <c r="AJ182">
        <v>0</v>
      </c>
      <c r="AK182">
        <v>9932173555</v>
      </c>
      <c r="AL182">
        <v>0</v>
      </c>
      <c r="AM182">
        <v>0</v>
      </c>
      <c r="AN182">
        <v>0</v>
      </c>
      <c r="AO182" t="s">
        <v>1513</v>
      </c>
      <c r="AP182" t="s">
        <v>3</v>
      </c>
      <c r="AQ182" t="s">
        <v>1581</v>
      </c>
      <c r="AR182">
        <v>0</v>
      </c>
      <c r="AS182">
        <v>0</v>
      </c>
      <c r="AT182">
        <v>0</v>
      </c>
      <c r="AU182">
        <v>0</v>
      </c>
      <c r="AV182">
        <v>0</v>
      </c>
      <c r="AW182" t="s">
        <v>11</v>
      </c>
      <c r="AX182">
        <f>Tabla1[[#This Row],[precio del paquete]]-Tabla1[[#This Row],[Saldo_Deudor]]</f>
        <v>1800</v>
      </c>
      <c r="AY182">
        <v>13000</v>
      </c>
      <c r="AZ182" t="s">
        <v>3</v>
      </c>
      <c r="BA182" t="s">
        <v>3</v>
      </c>
      <c r="BB182" t="s">
        <v>3</v>
      </c>
      <c r="BC182" t="s">
        <v>803</v>
      </c>
      <c r="BD182" t="s">
        <v>1606</v>
      </c>
      <c r="BE182">
        <v>0</v>
      </c>
      <c r="BF182">
        <v>0</v>
      </c>
      <c r="BG182">
        <v>0</v>
      </c>
      <c r="BH182">
        <v>0</v>
      </c>
      <c r="BI182">
        <v>0</v>
      </c>
      <c r="BJ182" t="s">
        <v>1659</v>
      </c>
      <c r="BK182">
        <v>0</v>
      </c>
      <c r="BL182" t="s">
        <v>132</v>
      </c>
      <c r="BM182">
        <v>0</v>
      </c>
      <c r="BN182">
        <f>Tabla1[[#This Row],[precio del paquete]]</f>
        <v>14800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 t="s">
        <v>0</v>
      </c>
      <c r="BX182" t="s">
        <v>1</v>
      </c>
      <c r="BY182" t="s">
        <v>1</v>
      </c>
      <c r="BZ182" t="s">
        <v>1</v>
      </c>
      <c r="CA182" t="s">
        <v>1</v>
      </c>
      <c r="CB182" t="s">
        <v>1661</v>
      </c>
      <c r="CD182" t="str" cm="1">
        <f t="array" aca="1" ref="CD182" ca="1">eConcatenar(A182:CB182,"|")</f>
        <v>sCi5h5N5ANFHjmtE|VSA2021-1776|3|MEMORIAL|TABASCO|VILLAHERMOSA|VILLAHERMOSA|2021-10-28|14800|x|x|100|2|0|0|0|0|0|0|0|0|0|0|0|0|0|0|PERALTA|PEREZ|ANA MARIA|soltero|0|0|PROLONGACION FRACISCO I MADERO 616 PASANDO CALLE SUBTENIENTE GARCIA|VILLA PLAYAS DEL ROSARIO|0|9932173555|0|0|0|PROLONGACION FRACISCO I MADERO 616 PASANDO CALLE SUBTENIENTE GARCIA|x|lunes|0|0|0|0|0|DOMICILIO |1800|13000|x|x|x|2022-02-03|2022-02-10|0|0|0|0|0|QYDRHV6G9KVTQO|0|HOMBRE|0|14800|0|0|0|0|0|0|0|0|CARDENAS|X|X|X|X|FINAL</v>
      </c>
    </row>
    <row r="183" spans="1:82" x14ac:dyDescent="0.25">
      <c r="A183" t="s">
        <v>317</v>
      </c>
      <c r="B183" t="s">
        <v>562</v>
      </c>
      <c r="C183">
        <v>3</v>
      </c>
      <c r="D183" t="s">
        <v>639</v>
      </c>
      <c r="E183" t="s">
        <v>643</v>
      </c>
      <c r="F183" t="s">
        <v>644</v>
      </c>
      <c r="G183" t="s">
        <v>644</v>
      </c>
      <c r="H183" t="s">
        <v>835</v>
      </c>
      <c r="I183">
        <v>35000</v>
      </c>
      <c r="J183" t="s">
        <v>3</v>
      </c>
      <c r="K183" t="s">
        <v>3</v>
      </c>
      <c r="L183">
        <v>100</v>
      </c>
      <c r="M183">
        <v>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1257</v>
      </c>
      <c r="AC183" t="s">
        <v>1258</v>
      </c>
      <c r="AD183" s="18" t="s">
        <v>1259</v>
      </c>
      <c r="AE183" t="s">
        <v>1356</v>
      </c>
      <c r="AF183">
        <v>0</v>
      </c>
      <c r="AG183">
        <v>0</v>
      </c>
      <c r="AH183" t="s">
        <v>1514</v>
      </c>
      <c r="AI183" t="s">
        <v>723</v>
      </c>
      <c r="AJ183">
        <v>0</v>
      </c>
      <c r="AK183">
        <v>9931101812</v>
      </c>
      <c r="AL183">
        <v>0</v>
      </c>
      <c r="AM183">
        <v>0</v>
      </c>
      <c r="AN183">
        <v>0</v>
      </c>
      <c r="AO183" t="s">
        <v>1514</v>
      </c>
      <c r="AP183" t="s">
        <v>3</v>
      </c>
      <c r="AQ183" t="s">
        <v>1581</v>
      </c>
      <c r="AR183">
        <v>0</v>
      </c>
      <c r="AS183">
        <v>0</v>
      </c>
      <c r="AT183">
        <v>0</v>
      </c>
      <c r="AU183">
        <v>0</v>
      </c>
      <c r="AV183">
        <v>0</v>
      </c>
      <c r="AW183" t="s">
        <v>11</v>
      </c>
      <c r="AX183">
        <f>Tabla1[[#This Row],[precio del paquete]]-Tabla1[[#This Row],[Saldo_Deudor]]</f>
        <v>700</v>
      </c>
      <c r="AY183">
        <v>34300</v>
      </c>
      <c r="AZ183" t="s">
        <v>3</v>
      </c>
      <c r="BA183" t="s">
        <v>3</v>
      </c>
      <c r="BB183" t="s">
        <v>3</v>
      </c>
      <c r="BC183" t="s">
        <v>803</v>
      </c>
      <c r="BD183" t="s">
        <v>1606</v>
      </c>
      <c r="BE183">
        <v>0</v>
      </c>
      <c r="BF183">
        <v>0</v>
      </c>
      <c r="BG183">
        <v>0</v>
      </c>
      <c r="BH183">
        <v>0</v>
      </c>
      <c r="BI183">
        <v>0</v>
      </c>
      <c r="BJ183" t="s">
        <v>1659</v>
      </c>
      <c r="BK183">
        <v>0</v>
      </c>
      <c r="BL183" t="s">
        <v>132</v>
      </c>
      <c r="BM183">
        <v>0</v>
      </c>
      <c r="BN183">
        <f>Tabla1[[#This Row],[precio del paquete]]</f>
        <v>35000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 t="s">
        <v>0</v>
      </c>
      <c r="BX183" t="s">
        <v>1</v>
      </c>
      <c r="BY183" t="s">
        <v>1</v>
      </c>
      <c r="BZ183" t="s">
        <v>1</v>
      </c>
      <c r="CA183" t="s">
        <v>1</v>
      </c>
      <c r="CB183" t="s">
        <v>1661</v>
      </c>
      <c r="CD183" t="str" cm="1">
        <f t="array" aca="1" ref="CD183" ca="1">eConcatenar(A183:CB183,"|")</f>
        <v>DuN6tkFHlePEvQHl|VSA2022-0056|3|DELUX|TABASCO|VILLAHERMOSA|VILLAHERMOSA|2022-01-17|35000|x|x|100|2|0|0|0|0|0|0|0|0|0|0|0|0|0|0|CAMACHO|OCHOA|LIDIA DEL CARMEN|soltero|0|0|CALLE NIÃ‘OS HEROES KILOMETRO 25|RANCHERIA LA HUASTECA SEGUNDA SECCION|0|9931101812|0|0|0|CALLE NIÃ‘OS HEROES KILOMETRO 25|x|lunes|0|0|0|0|0|DOMICILIO |700|34300|x|x|x|2022-02-03|2022-02-10|0|0|0|0|0|QYDRHV6G9KVTQO|0|HOMBRE|0|35000|0|0|0|0|0|0|0|0|CARDENAS|X|X|X|X|FINAL</v>
      </c>
    </row>
    <row r="184" spans="1:82" x14ac:dyDescent="0.25">
      <c r="A184" t="s">
        <v>318</v>
      </c>
      <c r="B184" t="s">
        <v>563</v>
      </c>
      <c r="C184">
        <v>3</v>
      </c>
      <c r="D184" t="s">
        <v>634</v>
      </c>
      <c r="E184" t="s">
        <v>643</v>
      </c>
      <c r="F184" t="s">
        <v>644</v>
      </c>
      <c r="G184" t="s">
        <v>644</v>
      </c>
      <c r="H184" t="s">
        <v>922</v>
      </c>
      <c r="I184">
        <v>14800</v>
      </c>
      <c r="J184" t="s">
        <v>3</v>
      </c>
      <c r="K184" t="s">
        <v>3</v>
      </c>
      <c r="L184">
        <v>100</v>
      </c>
      <c r="M184">
        <v>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1260</v>
      </c>
      <c r="AC184" t="s">
        <v>1080</v>
      </c>
      <c r="AD184" s="18" t="s">
        <v>1081</v>
      </c>
      <c r="AE184" t="s">
        <v>1356</v>
      </c>
      <c r="AF184">
        <v>0</v>
      </c>
      <c r="AG184">
        <v>0</v>
      </c>
      <c r="AH184" t="s">
        <v>1515</v>
      </c>
      <c r="AI184" t="s">
        <v>754</v>
      </c>
      <c r="AJ184">
        <v>0</v>
      </c>
      <c r="AK184">
        <v>9932648261</v>
      </c>
      <c r="AL184">
        <v>0</v>
      </c>
      <c r="AM184">
        <v>0</v>
      </c>
      <c r="AN184">
        <v>0</v>
      </c>
      <c r="AO184" t="s">
        <v>1515</v>
      </c>
      <c r="AP184" t="s">
        <v>3</v>
      </c>
      <c r="AQ184" t="s">
        <v>1581</v>
      </c>
      <c r="AR184">
        <v>0</v>
      </c>
      <c r="AS184">
        <v>0</v>
      </c>
      <c r="AT184">
        <v>0</v>
      </c>
      <c r="AU184">
        <v>0</v>
      </c>
      <c r="AV184">
        <v>0</v>
      </c>
      <c r="AW184" t="s">
        <v>11</v>
      </c>
      <c r="AX184">
        <f>Tabla1[[#This Row],[precio del paquete]]-Tabla1[[#This Row],[Saldo_Deudor]]</f>
        <v>100</v>
      </c>
      <c r="AY184">
        <v>14700</v>
      </c>
      <c r="AZ184" t="s">
        <v>3</v>
      </c>
      <c r="BA184" t="s">
        <v>3</v>
      </c>
      <c r="BB184" t="s">
        <v>3</v>
      </c>
      <c r="BC184" t="s">
        <v>803</v>
      </c>
      <c r="BD184" t="s">
        <v>1606</v>
      </c>
      <c r="BE184">
        <v>0</v>
      </c>
      <c r="BF184">
        <v>0</v>
      </c>
      <c r="BG184">
        <v>0</v>
      </c>
      <c r="BH184">
        <v>0</v>
      </c>
      <c r="BI184">
        <v>0</v>
      </c>
      <c r="BJ184" t="s">
        <v>1659</v>
      </c>
      <c r="BK184">
        <v>0</v>
      </c>
      <c r="BL184" t="s">
        <v>132</v>
      </c>
      <c r="BM184">
        <v>0</v>
      </c>
      <c r="BN184">
        <f>Tabla1[[#This Row],[precio del paquete]]</f>
        <v>14800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 t="s">
        <v>0</v>
      </c>
      <c r="BX184" t="s">
        <v>1</v>
      </c>
      <c r="BY184" t="s">
        <v>1</v>
      </c>
      <c r="BZ184" t="s">
        <v>1</v>
      </c>
      <c r="CA184" t="s">
        <v>1</v>
      </c>
      <c r="CB184" t="s">
        <v>1661</v>
      </c>
      <c r="CD184" t="str" cm="1">
        <f t="array" aca="1" ref="CD184" ca="1">eConcatenar(A184:CB184,"|")</f>
        <v>27D4ISJv8PcwdKkI|VSA2022-0071|3|MEMORIAL|TABASCO|VILLAHERMOSA|VILLAHERMOSA|2022-01-20|14800|x|x|100|2|0|0|0|0|0|0|0|0|0|0|0|0|0|0|VELOZ|CORNELIO|MARIA GUADALUPE|soltero|0|0|EJIDO CHICHICAPA TERCERA CASA DE MADERA A UN COSTADO DE TALLER MECANICO|EJIDO CHICHICAPA TERCERA SECCION JALAPA|0|9932648261|0|0|0|EJIDO CHICHICAPA TERCERA CASA DE MADERA A UN COSTADO DE TALLER MECANICO|x|lunes|0|0|0|0|0|DOMICILIO |100|14700|x|x|x|2022-02-03|2022-02-10|0|0|0|0|0|QYDRHV6G9KVTQO|0|HOMBRE|0|14800|0|0|0|0|0|0|0|0|CARDENAS|X|X|X|X|FINAL</v>
      </c>
    </row>
    <row r="185" spans="1:82" x14ac:dyDescent="0.25">
      <c r="A185" t="s">
        <v>319</v>
      </c>
      <c r="B185" t="s">
        <v>564</v>
      </c>
      <c r="C185">
        <v>3</v>
      </c>
      <c r="D185" t="s">
        <v>634</v>
      </c>
      <c r="E185" t="s">
        <v>643</v>
      </c>
      <c r="F185" t="s">
        <v>644</v>
      </c>
      <c r="G185" t="s">
        <v>644</v>
      </c>
      <c r="H185" t="s">
        <v>828</v>
      </c>
      <c r="I185">
        <v>14800</v>
      </c>
      <c r="J185" t="s">
        <v>3</v>
      </c>
      <c r="K185" t="s">
        <v>3</v>
      </c>
      <c r="L185">
        <v>100</v>
      </c>
      <c r="M185">
        <v>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1161</v>
      </c>
      <c r="AC185" t="s">
        <v>1063</v>
      </c>
      <c r="AD185" s="18" t="s">
        <v>1261</v>
      </c>
      <c r="AE185" t="s">
        <v>1356</v>
      </c>
      <c r="AF185">
        <v>0</v>
      </c>
      <c r="AG185">
        <v>0</v>
      </c>
      <c r="AH185" t="s">
        <v>1516</v>
      </c>
      <c r="AI185" t="s">
        <v>755</v>
      </c>
      <c r="AJ185">
        <v>0</v>
      </c>
      <c r="AK185">
        <v>9931996140</v>
      </c>
      <c r="AL185">
        <v>0</v>
      </c>
      <c r="AM185">
        <v>0</v>
      </c>
      <c r="AN185">
        <v>0</v>
      </c>
      <c r="AO185" t="s">
        <v>1516</v>
      </c>
      <c r="AP185" t="s">
        <v>3</v>
      </c>
      <c r="AQ185" t="s">
        <v>1581</v>
      </c>
      <c r="AR185">
        <v>0</v>
      </c>
      <c r="AS185">
        <v>0</v>
      </c>
      <c r="AT185">
        <v>0</v>
      </c>
      <c r="AU185">
        <v>0</v>
      </c>
      <c r="AV185">
        <v>0</v>
      </c>
      <c r="AW185" t="s">
        <v>11</v>
      </c>
      <c r="AX185">
        <f>Tabla1[[#This Row],[precio del paquete]]-Tabla1[[#This Row],[Saldo_Deudor]]</f>
        <v>200</v>
      </c>
      <c r="AY185">
        <v>14600</v>
      </c>
      <c r="AZ185" t="s">
        <v>3</v>
      </c>
      <c r="BA185" t="s">
        <v>3</v>
      </c>
      <c r="BB185" t="s">
        <v>3</v>
      </c>
      <c r="BC185" t="s">
        <v>828</v>
      </c>
      <c r="BD185" t="s">
        <v>1628</v>
      </c>
      <c r="BE185">
        <v>0</v>
      </c>
      <c r="BF185">
        <v>0</v>
      </c>
      <c r="BG185">
        <v>0</v>
      </c>
      <c r="BH185">
        <v>0</v>
      </c>
      <c r="BI185">
        <v>0</v>
      </c>
      <c r="BJ185" t="s">
        <v>1659</v>
      </c>
      <c r="BK185">
        <v>0</v>
      </c>
      <c r="BL185" t="s">
        <v>132</v>
      </c>
      <c r="BM185">
        <v>0</v>
      </c>
      <c r="BN185">
        <f>Tabla1[[#This Row],[precio del paquete]]</f>
        <v>14800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 t="s">
        <v>0</v>
      </c>
      <c r="BX185" t="s">
        <v>1</v>
      </c>
      <c r="BY185" t="s">
        <v>1</v>
      </c>
      <c r="BZ185" t="s">
        <v>1</v>
      </c>
      <c r="CA185" t="s">
        <v>1</v>
      </c>
      <c r="CB185" t="s">
        <v>1661</v>
      </c>
      <c r="CD185" t="str" cm="1">
        <f t="array" aca="1" ref="CD185" ca="1">eConcatenar(A185:CB185,"|")</f>
        <v>90e0m2tzUtOAqo78|VSA2022-0226|3|MEMORIAL|TABASCO|VILLAHERMOSA|VILLAHERMOSA|2022-02-28|14800|x|x|100|2|0|0|0|0|0|0|0|0|0|0|0|0|0|0|DELGADO|MENDEZ|ATILA|soltero|0|0|CALLE TOMAS GARRIDO SIN NUMERO|POBLADO FRACISCO JSANTA MARIA ESQUINA TRASERA DE LADO IZQUIERDO DE LA PRIMARIA|0|9931996140|0|0|0|CALLE TOMAS GARRIDO SIN NUMERO|x|lunes|0|0|0|0|0|DOMICILIO |200|14600|x|x|x|2022-02-28|2022-03-07|0|0|0|0|0|QYDRHV6G9KVTQO|0|HOMBRE|0|14800|0|0|0|0|0|0|0|0|CARDENAS|X|X|X|X|FINAL</v>
      </c>
    </row>
    <row r="186" spans="1:82" x14ac:dyDescent="0.25">
      <c r="A186" t="s">
        <v>320</v>
      </c>
      <c r="B186" t="s">
        <v>565</v>
      </c>
      <c r="C186">
        <v>3</v>
      </c>
      <c r="D186" t="s">
        <v>634</v>
      </c>
      <c r="E186" t="s">
        <v>643</v>
      </c>
      <c r="F186" t="s">
        <v>644</v>
      </c>
      <c r="G186" t="s">
        <v>644</v>
      </c>
      <c r="H186" t="s">
        <v>923</v>
      </c>
      <c r="I186">
        <v>14800</v>
      </c>
      <c r="J186" t="s">
        <v>3</v>
      </c>
      <c r="K186" t="s">
        <v>3</v>
      </c>
      <c r="L186">
        <v>100</v>
      </c>
      <c r="M186">
        <v>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1262</v>
      </c>
      <c r="AC186" t="s">
        <v>1263</v>
      </c>
      <c r="AD186" s="18" t="s">
        <v>1264</v>
      </c>
      <c r="AE186" t="s">
        <v>1356</v>
      </c>
      <c r="AF186">
        <v>0</v>
      </c>
      <c r="AG186">
        <v>0</v>
      </c>
      <c r="AH186" t="s">
        <v>1517</v>
      </c>
      <c r="AI186" t="s">
        <v>667</v>
      </c>
      <c r="AJ186">
        <v>0</v>
      </c>
      <c r="AK186">
        <v>9931042073</v>
      </c>
      <c r="AL186">
        <v>0</v>
      </c>
      <c r="AM186">
        <v>0</v>
      </c>
      <c r="AN186">
        <v>0</v>
      </c>
      <c r="AO186" t="s">
        <v>1517</v>
      </c>
      <c r="AP186" t="s">
        <v>3</v>
      </c>
      <c r="AQ186" t="s">
        <v>1581</v>
      </c>
      <c r="AR186">
        <v>0</v>
      </c>
      <c r="AS186">
        <v>0</v>
      </c>
      <c r="AT186">
        <v>0</v>
      </c>
      <c r="AU186">
        <v>0</v>
      </c>
      <c r="AV186">
        <v>0</v>
      </c>
      <c r="AW186" t="s">
        <v>11</v>
      </c>
      <c r="AX186">
        <f>Tabla1[[#This Row],[precio del paquete]]-Tabla1[[#This Row],[Saldo_Deudor]]</f>
        <v>1000</v>
      </c>
      <c r="AY186">
        <v>13800</v>
      </c>
      <c r="AZ186" t="s">
        <v>3</v>
      </c>
      <c r="BA186" t="s">
        <v>3</v>
      </c>
      <c r="BB186" t="s">
        <v>3</v>
      </c>
      <c r="BC186" t="s">
        <v>802</v>
      </c>
      <c r="BD186" t="s">
        <v>1603</v>
      </c>
      <c r="BE186">
        <v>0</v>
      </c>
      <c r="BF186">
        <v>0</v>
      </c>
      <c r="BG186">
        <v>0</v>
      </c>
      <c r="BH186">
        <v>0</v>
      </c>
      <c r="BI186">
        <v>0</v>
      </c>
      <c r="BJ186" t="s">
        <v>1657</v>
      </c>
      <c r="BK186">
        <v>0</v>
      </c>
      <c r="BL186" t="s">
        <v>132</v>
      </c>
      <c r="BM186">
        <v>0</v>
      </c>
      <c r="BN186">
        <f>Tabla1[[#This Row],[precio del paquete]]</f>
        <v>14800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 t="s">
        <v>0</v>
      </c>
      <c r="BX186" t="s">
        <v>1</v>
      </c>
      <c r="BY186" t="s">
        <v>1</v>
      </c>
      <c r="BZ186" t="s">
        <v>1</v>
      </c>
      <c r="CA186" t="s">
        <v>1</v>
      </c>
      <c r="CB186" t="s">
        <v>1661</v>
      </c>
      <c r="CD186" t="str" cm="1">
        <f t="array" aca="1" ref="CD186" ca="1">eConcatenar(A186:CB186,"|")</f>
        <v>2yLyPHHG8pLcVVol|VSA2021-1822|3|MEMORIAL|TABASCO|VILLAHERMOSA|VILLAHERMOSA|2021-09-11|14800|x|x|100|2|0|0|0|0|0|0|0|0|0|0|0|0|0|0|ARIAS|MONTEJO|MARIA CRUZ|soltero|0|0|CALLE PEDIATRA NUMERO 116|COLONIA GAVIOTAS SUR|0|9931042073|0|0|0|CALLE PEDIATRA NUMERO 116|x|lunes|0|0|0|0|0|DOMICILIO |1000|13800|x|x|x|2022-07-03|2022-07-10|0|0|0|0|0|QYD9TF2W9KVTQO|0|HOMBRE|0|14800|0|0|0|0|0|0|0|0|CARDENAS|X|X|X|X|FINAL</v>
      </c>
    </row>
    <row r="187" spans="1:82" x14ac:dyDescent="0.25">
      <c r="A187" t="s">
        <v>321</v>
      </c>
      <c r="B187" t="s">
        <v>566</v>
      </c>
      <c r="C187">
        <v>3</v>
      </c>
      <c r="D187" t="s">
        <v>634</v>
      </c>
      <c r="E187" t="s">
        <v>643</v>
      </c>
      <c r="F187" t="s">
        <v>644</v>
      </c>
      <c r="G187" t="s">
        <v>644</v>
      </c>
      <c r="H187" t="s">
        <v>924</v>
      </c>
      <c r="I187">
        <v>14800</v>
      </c>
      <c r="J187" t="s">
        <v>3</v>
      </c>
      <c r="K187" t="s">
        <v>3</v>
      </c>
      <c r="L187">
        <v>100</v>
      </c>
      <c r="M187">
        <v>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1262</v>
      </c>
      <c r="AC187" t="s">
        <v>1263</v>
      </c>
      <c r="AD187" s="18" t="s">
        <v>1264</v>
      </c>
      <c r="AE187" t="s">
        <v>1356</v>
      </c>
      <c r="AF187">
        <v>0</v>
      </c>
      <c r="AG187">
        <v>0</v>
      </c>
      <c r="AH187" t="s">
        <v>1517</v>
      </c>
      <c r="AI187" t="s">
        <v>667</v>
      </c>
      <c r="AJ187">
        <v>0</v>
      </c>
      <c r="AK187">
        <v>9931042073</v>
      </c>
      <c r="AL187">
        <v>0</v>
      </c>
      <c r="AM187">
        <v>0</v>
      </c>
      <c r="AN187">
        <v>0</v>
      </c>
      <c r="AO187" t="s">
        <v>1517</v>
      </c>
      <c r="AP187" t="s">
        <v>3</v>
      </c>
      <c r="AQ187" t="s">
        <v>1581</v>
      </c>
      <c r="AR187">
        <v>0</v>
      </c>
      <c r="AS187">
        <v>0</v>
      </c>
      <c r="AT187">
        <v>0</v>
      </c>
      <c r="AU187">
        <v>0</v>
      </c>
      <c r="AV187">
        <v>0</v>
      </c>
      <c r="AW187" t="s">
        <v>11</v>
      </c>
      <c r="AX187">
        <f>Tabla1[[#This Row],[precio del paquete]]-Tabla1[[#This Row],[Saldo_Deudor]]</f>
        <v>1000</v>
      </c>
      <c r="AY187">
        <v>13800</v>
      </c>
      <c r="AZ187" t="s">
        <v>3</v>
      </c>
      <c r="BA187" t="s">
        <v>3</v>
      </c>
      <c r="BB187" t="s">
        <v>3</v>
      </c>
      <c r="BC187" t="s">
        <v>802</v>
      </c>
      <c r="BD187" t="s">
        <v>1603</v>
      </c>
      <c r="BE187">
        <v>0</v>
      </c>
      <c r="BF187">
        <v>0</v>
      </c>
      <c r="BG187">
        <v>0</v>
      </c>
      <c r="BH187">
        <v>0</v>
      </c>
      <c r="BI187">
        <v>0</v>
      </c>
      <c r="BJ187" t="s">
        <v>1657</v>
      </c>
      <c r="BK187">
        <v>0</v>
      </c>
      <c r="BL187" t="s">
        <v>132</v>
      </c>
      <c r="BM187">
        <v>0</v>
      </c>
      <c r="BN187">
        <f>Tabla1[[#This Row],[precio del paquete]]</f>
        <v>14800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 t="s">
        <v>0</v>
      </c>
      <c r="BX187" t="s">
        <v>1</v>
      </c>
      <c r="BY187" t="s">
        <v>1</v>
      </c>
      <c r="BZ187" t="s">
        <v>1</v>
      </c>
      <c r="CA187" t="s">
        <v>1</v>
      </c>
      <c r="CB187" t="s">
        <v>1661</v>
      </c>
      <c r="CD187" t="str" cm="1">
        <f t="array" aca="1" ref="CD187" ca="1">eConcatenar(A187:CB187,"|")</f>
        <v>5imY3KCOs8NtfliY|VSA2021-1823|3|MEMORIAL|TABASCO|VILLAHERMOSA|VILLAHERMOSA|2021-06-11|14800|x|x|100|2|0|0|0|0|0|0|0|0|0|0|0|0|0|0|ARIAS|MONTEJO|MARIA CRUZ|soltero|0|0|CALLE PEDIATRA NUMERO 116|COLONIA GAVIOTAS SUR|0|9931042073|0|0|0|CALLE PEDIATRA NUMERO 116|x|lunes|0|0|0|0|0|DOMICILIO |1000|13800|x|x|x|2022-07-03|2022-07-10|0|0|0|0|0|QYD9TF2W9KVTQO|0|HOMBRE|0|14800|0|0|0|0|0|0|0|0|CARDENAS|X|X|X|X|FINAL</v>
      </c>
    </row>
    <row r="188" spans="1:82" x14ac:dyDescent="0.25">
      <c r="A188" t="s">
        <v>322</v>
      </c>
      <c r="B188" t="s">
        <v>567</v>
      </c>
      <c r="C188">
        <v>3</v>
      </c>
      <c r="D188" t="s">
        <v>634</v>
      </c>
      <c r="E188" t="s">
        <v>643</v>
      </c>
      <c r="F188" t="s">
        <v>644</v>
      </c>
      <c r="G188" t="s">
        <v>644</v>
      </c>
      <c r="H188" t="s">
        <v>925</v>
      </c>
      <c r="I188">
        <v>14800</v>
      </c>
      <c r="J188" t="s">
        <v>3</v>
      </c>
      <c r="K188" t="s">
        <v>3</v>
      </c>
      <c r="L188">
        <v>100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1067</v>
      </c>
      <c r="AC188" t="s">
        <v>1067</v>
      </c>
      <c r="AD188" s="18" t="s">
        <v>1077</v>
      </c>
      <c r="AE188" t="s">
        <v>1356</v>
      </c>
      <c r="AF188">
        <v>0</v>
      </c>
      <c r="AG188">
        <v>0</v>
      </c>
      <c r="AH188" t="s">
        <v>1518</v>
      </c>
      <c r="AI188" t="s">
        <v>729</v>
      </c>
      <c r="AJ188">
        <v>0</v>
      </c>
      <c r="AK188">
        <v>9934058676</v>
      </c>
      <c r="AL188">
        <v>0</v>
      </c>
      <c r="AM188">
        <v>0</v>
      </c>
      <c r="AN188">
        <v>0</v>
      </c>
      <c r="AO188" t="s">
        <v>1518</v>
      </c>
      <c r="AP188" t="s">
        <v>3</v>
      </c>
      <c r="AQ188" t="s">
        <v>1581</v>
      </c>
      <c r="AR188">
        <v>0</v>
      </c>
      <c r="AS188">
        <v>0</v>
      </c>
      <c r="AT188">
        <v>0</v>
      </c>
      <c r="AU188">
        <v>0</v>
      </c>
      <c r="AV188">
        <v>0</v>
      </c>
      <c r="AW188" t="s">
        <v>11</v>
      </c>
      <c r="AX188">
        <f>Tabla1[[#This Row],[precio del paquete]]-Tabla1[[#This Row],[Saldo_Deudor]]</f>
        <v>1400</v>
      </c>
      <c r="AY188">
        <v>13400</v>
      </c>
      <c r="AZ188" t="s">
        <v>3</v>
      </c>
      <c r="BA188" t="s">
        <v>3</v>
      </c>
      <c r="BB188" t="s">
        <v>3</v>
      </c>
      <c r="BC188" t="s">
        <v>913</v>
      </c>
      <c r="BD188" t="s">
        <v>1592</v>
      </c>
      <c r="BE188">
        <v>0</v>
      </c>
      <c r="BF188">
        <v>0</v>
      </c>
      <c r="BG188">
        <v>0</v>
      </c>
      <c r="BH188">
        <v>0</v>
      </c>
      <c r="BI188">
        <v>0</v>
      </c>
      <c r="BJ188" t="s">
        <v>1652</v>
      </c>
      <c r="BK188">
        <v>0</v>
      </c>
      <c r="BL188" t="s">
        <v>132</v>
      </c>
      <c r="BM188">
        <v>0</v>
      </c>
      <c r="BN188">
        <f>Tabla1[[#This Row],[precio del paquete]]</f>
        <v>14800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 t="s">
        <v>0</v>
      </c>
      <c r="BX188" t="s">
        <v>1</v>
      </c>
      <c r="BY188" t="s">
        <v>1</v>
      </c>
      <c r="BZ188" t="s">
        <v>1</v>
      </c>
      <c r="CA188" t="s">
        <v>1</v>
      </c>
      <c r="CB188" t="s">
        <v>1661</v>
      </c>
      <c r="CD188" t="str" cm="1">
        <f t="array" aca="1" ref="CD188" ca="1">eConcatenar(A188:CB188,"|")</f>
        <v>wa9N8WkaPeHP0mzU|VSA2021-1917|3|MEMORIAL|TABASCO|VILLAHERMOSA|VILLAHERMOSA|2021-11-26|14800|x|x|100|1|0|0|0|0|0|0|0|0|0|0|0|0|0|0|GARCIA|GARCIA|HILARIO|soltero|0|0|CALLE LIBERTAD NUMERO 502|COLONIA TAMULTE|0|9934058676|0|0|0|CALLE LIBERTAD NUMERO 502|x|lunes|0|0|0|0|0|DOMICILIO |1400|13400|x|x|x|2022-05-03|2022-05-10|0|0|0|0|0|S35D6LBI9KVTQO|0|HOMBRE|0|14800|0|0|0|0|0|0|0|0|CARDENAS|X|X|X|X|FINAL</v>
      </c>
    </row>
    <row r="189" spans="1:82" x14ac:dyDescent="0.25">
      <c r="A189" t="s">
        <v>323</v>
      </c>
      <c r="B189" t="s">
        <v>568</v>
      </c>
      <c r="C189">
        <v>3</v>
      </c>
      <c r="D189" t="s">
        <v>634</v>
      </c>
      <c r="E189" t="s">
        <v>643</v>
      </c>
      <c r="F189" t="s">
        <v>644</v>
      </c>
      <c r="G189" t="s">
        <v>644</v>
      </c>
      <c r="H189" t="s">
        <v>926</v>
      </c>
      <c r="I189">
        <v>14800</v>
      </c>
      <c r="J189" t="s">
        <v>3</v>
      </c>
      <c r="K189" t="s">
        <v>3</v>
      </c>
      <c r="L189">
        <v>100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1265</v>
      </c>
      <c r="AC189" t="s">
        <v>1266</v>
      </c>
      <c r="AD189" s="18" t="s">
        <v>1267</v>
      </c>
      <c r="AE189" t="s">
        <v>1356</v>
      </c>
      <c r="AF189">
        <v>0</v>
      </c>
      <c r="AG189">
        <v>0</v>
      </c>
      <c r="AH189" t="s">
        <v>1519</v>
      </c>
      <c r="AI189" t="s">
        <v>676</v>
      </c>
      <c r="AJ189">
        <v>0</v>
      </c>
      <c r="AK189">
        <v>9932123014</v>
      </c>
      <c r="AL189">
        <v>0</v>
      </c>
      <c r="AM189">
        <v>0</v>
      </c>
      <c r="AN189">
        <v>0</v>
      </c>
      <c r="AO189" t="s">
        <v>1519</v>
      </c>
      <c r="AP189" t="s">
        <v>3</v>
      </c>
      <c r="AQ189" t="s">
        <v>1581</v>
      </c>
      <c r="AR189">
        <v>0</v>
      </c>
      <c r="AS189">
        <v>0</v>
      </c>
      <c r="AT189">
        <v>0</v>
      </c>
      <c r="AU189">
        <v>0</v>
      </c>
      <c r="AV189">
        <v>0</v>
      </c>
      <c r="AW189" t="s">
        <v>11</v>
      </c>
      <c r="AX189">
        <f>Tabla1[[#This Row],[precio del paquete]]-Tabla1[[#This Row],[Saldo_Deudor]]</f>
        <v>2450</v>
      </c>
      <c r="AY189">
        <v>12350</v>
      </c>
      <c r="AZ189" t="s">
        <v>3</v>
      </c>
      <c r="BA189" t="s">
        <v>3</v>
      </c>
      <c r="BB189" t="s">
        <v>3</v>
      </c>
      <c r="BC189" t="s">
        <v>913</v>
      </c>
      <c r="BD189" t="s">
        <v>1592</v>
      </c>
      <c r="BE189">
        <v>0</v>
      </c>
      <c r="BF189">
        <v>0</v>
      </c>
      <c r="BG189">
        <v>0</v>
      </c>
      <c r="BH189">
        <v>0</v>
      </c>
      <c r="BI189">
        <v>0</v>
      </c>
      <c r="BJ189" t="s">
        <v>1652</v>
      </c>
      <c r="BK189">
        <v>0</v>
      </c>
      <c r="BL189" t="s">
        <v>132</v>
      </c>
      <c r="BM189">
        <v>0</v>
      </c>
      <c r="BN189">
        <f>Tabla1[[#This Row],[precio del paquete]]</f>
        <v>14800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 t="s">
        <v>0</v>
      </c>
      <c r="BX189" t="s">
        <v>1</v>
      </c>
      <c r="BY189" t="s">
        <v>1</v>
      </c>
      <c r="BZ189" t="s">
        <v>1</v>
      </c>
      <c r="CA189" t="s">
        <v>1</v>
      </c>
      <c r="CB189" t="s">
        <v>1661</v>
      </c>
      <c r="CD189" t="str" cm="1">
        <f t="array" aca="1" ref="CD189" ca="1">eConcatenar(A189:CB189,"|")</f>
        <v>9tCV0Iiu0aXjaWti|VSA2021-1691|3|MEMORIAL|TABASCO|VILLAHERMOSA|VILLAHERMOSA|2021-09-10|14800|x|x|100|1|0|0|0|0|0|0|0|0|0|0|0|0|0|0|ROMERO|CULEBRO|JUAN RUBEN|soltero|0|0|CALLE PACO SOLIS NUMERO 301|COLONIA GAVIOTAS NORTE|0|9932123014|0|0|0|CALLE PACO SOLIS NUMERO 301|x|lunes|0|0|0|0|0|DOMICILIO |2450|12350|x|x|x|2022-05-03|2022-05-10|0|0|0|0|0|S35D6LBI9KVTQO|0|HOMBRE|0|14800|0|0|0|0|0|0|0|0|CARDENAS|X|X|X|X|FINAL</v>
      </c>
    </row>
    <row r="190" spans="1:82" x14ac:dyDescent="0.25">
      <c r="A190" t="s">
        <v>324</v>
      </c>
      <c r="B190" t="s">
        <v>569</v>
      </c>
      <c r="C190">
        <v>3</v>
      </c>
      <c r="D190" t="s">
        <v>635</v>
      </c>
      <c r="E190" t="s">
        <v>643</v>
      </c>
      <c r="F190" t="s">
        <v>644</v>
      </c>
      <c r="G190" t="s">
        <v>644</v>
      </c>
      <c r="H190" t="s">
        <v>927</v>
      </c>
      <c r="I190">
        <v>12900</v>
      </c>
      <c r="J190" t="s">
        <v>3</v>
      </c>
      <c r="K190" t="s">
        <v>3</v>
      </c>
      <c r="L190">
        <v>100</v>
      </c>
      <c r="M190">
        <v>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1063</v>
      </c>
      <c r="AC190" t="s">
        <v>1151</v>
      </c>
      <c r="AD190" s="18" t="s">
        <v>1268</v>
      </c>
      <c r="AE190" t="s">
        <v>1356</v>
      </c>
      <c r="AF190">
        <v>0</v>
      </c>
      <c r="AG190">
        <v>0</v>
      </c>
      <c r="AH190" t="s">
        <v>1520</v>
      </c>
      <c r="AI190" t="s">
        <v>756</v>
      </c>
      <c r="AJ190">
        <v>0</v>
      </c>
      <c r="AK190">
        <v>9933456603</v>
      </c>
      <c r="AL190">
        <v>0</v>
      </c>
      <c r="AM190">
        <v>0</v>
      </c>
      <c r="AN190">
        <v>0</v>
      </c>
      <c r="AO190" t="s">
        <v>1520</v>
      </c>
      <c r="AP190" t="s">
        <v>3</v>
      </c>
      <c r="AQ190" t="s">
        <v>1581</v>
      </c>
      <c r="AR190">
        <v>0</v>
      </c>
      <c r="AS190">
        <v>0</v>
      </c>
      <c r="AT190">
        <v>0</v>
      </c>
      <c r="AU190">
        <v>0</v>
      </c>
      <c r="AV190">
        <v>0</v>
      </c>
      <c r="AW190" t="s">
        <v>11</v>
      </c>
      <c r="AX190">
        <f>Tabla1[[#This Row],[precio del paquete]]-Tabla1[[#This Row],[Saldo_Deudor]]</f>
        <v>4450</v>
      </c>
      <c r="AY190">
        <v>8450</v>
      </c>
      <c r="AZ190" t="s">
        <v>3</v>
      </c>
      <c r="BA190" t="s">
        <v>3</v>
      </c>
      <c r="BB190" t="s">
        <v>3</v>
      </c>
      <c r="BC190" t="s">
        <v>913</v>
      </c>
      <c r="BD190" t="s">
        <v>1592</v>
      </c>
      <c r="BE190">
        <v>0</v>
      </c>
      <c r="BF190">
        <v>0</v>
      </c>
      <c r="BG190">
        <v>0</v>
      </c>
      <c r="BH190">
        <v>0</v>
      </c>
      <c r="BI190">
        <v>0</v>
      </c>
      <c r="BJ190" t="s">
        <v>1652</v>
      </c>
      <c r="BK190">
        <v>0</v>
      </c>
      <c r="BL190" t="s">
        <v>132</v>
      </c>
      <c r="BM190">
        <v>0</v>
      </c>
      <c r="BN190">
        <f>Tabla1[[#This Row],[precio del paquete]]</f>
        <v>12900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 t="s">
        <v>0</v>
      </c>
      <c r="BX190" t="s">
        <v>1</v>
      </c>
      <c r="BY190" t="s">
        <v>1</v>
      </c>
      <c r="BZ190" t="s">
        <v>1</v>
      </c>
      <c r="CA190" t="s">
        <v>1</v>
      </c>
      <c r="CB190" t="s">
        <v>1661</v>
      </c>
      <c r="CD190" t="str" cm="1">
        <f t="array" aca="1" ref="CD190" ca="1">eConcatenar(A190:CB190,"|")</f>
        <v>C8bal64aAvHkCri2|VSA2019-0421|3|IMPERIAL DE LUJO|TABASCO|VILLAHERMOSA|VILLAHERMOSA|2019-07-27|12900|x|x|100|1|0|0|0|0|0|0|0|0|0|0|0|0|0|0|MENDEZ|LEON|MARTHA MARIA|soltero|0|0|EJIDO PARRILLA NUMERO 309 INTERIOR 1|RANCHERIA LA MANGA SEGUNDA|0|9933456603|0|0|0|EJIDO PARRILLA NUMERO 309 INTERIOR 1|x|lunes|0|0|0|0|0|DOMICILIO |4450|8450|x|x|x|2022-05-03|2022-05-10|0|0|0|0|0|S35D6LBI9KVTQO|0|HOMBRE|0|12900|0|0|0|0|0|0|0|0|CARDENAS|X|X|X|X|FINAL</v>
      </c>
    </row>
    <row r="191" spans="1:82" x14ac:dyDescent="0.25">
      <c r="A191" t="s">
        <v>325</v>
      </c>
      <c r="B191" t="s">
        <v>570</v>
      </c>
      <c r="C191">
        <v>3</v>
      </c>
      <c r="D191" t="s">
        <v>635</v>
      </c>
      <c r="E191" t="s">
        <v>643</v>
      </c>
      <c r="F191" t="s">
        <v>644</v>
      </c>
      <c r="G191" t="s">
        <v>644</v>
      </c>
      <c r="H191" t="s">
        <v>928</v>
      </c>
      <c r="I191">
        <v>12900</v>
      </c>
      <c r="J191" t="s">
        <v>3</v>
      </c>
      <c r="K191" t="s">
        <v>3</v>
      </c>
      <c r="L191">
        <v>100</v>
      </c>
      <c r="M191">
        <v>1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981</v>
      </c>
      <c r="AC191" t="s">
        <v>1269</v>
      </c>
      <c r="AD191" s="18" t="s">
        <v>1270</v>
      </c>
      <c r="AE191" t="s">
        <v>1356</v>
      </c>
      <c r="AF191">
        <v>0</v>
      </c>
      <c r="AG191">
        <v>0</v>
      </c>
      <c r="AH191" t="s">
        <v>1521</v>
      </c>
      <c r="AI191" t="s">
        <v>729</v>
      </c>
      <c r="AJ191">
        <v>0</v>
      </c>
      <c r="AK191">
        <v>9931990512</v>
      </c>
      <c r="AL191">
        <v>0</v>
      </c>
      <c r="AM191">
        <v>0</v>
      </c>
      <c r="AN191">
        <v>0</v>
      </c>
      <c r="AO191" t="s">
        <v>1521</v>
      </c>
      <c r="AP191" t="s">
        <v>3</v>
      </c>
      <c r="AQ191" t="s">
        <v>1581</v>
      </c>
      <c r="AR191">
        <v>0</v>
      </c>
      <c r="AS191">
        <v>0</v>
      </c>
      <c r="AT191">
        <v>0</v>
      </c>
      <c r="AU191">
        <v>0</v>
      </c>
      <c r="AV191">
        <v>0</v>
      </c>
      <c r="AW191" t="s">
        <v>11</v>
      </c>
      <c r="AX191">
        <f>Tabla1[[#This Row],[precio del paquete]]-Tabla1[[#This Row],[Saldo_Deudor]]</f>
        <v>12200</v>
      </c>
      <c r="AY191">
        <v>700</v>
      </c>
      <c r="AZ191" t="s">
        <v>3</v>
      </c>
      <c r="BA191" t="s">
        <v>3</v>
      </c>
      <c r="BB191" t="s">
        <v>3</v>
      </c>
      <c r="BC191" t="s">
        <v>913</v>
      </c>
      <c r="BD191" t="s">
        <v>1592</v>
      </c>
      <c r="BE191">
        <v>0</v>
      </c>
      <c r="BF191">
        <v>0</v>
      </c>
      <c r="BG191">
        <v>0</v>
      </c>
      <c r="BH191">
        <v>0</v>
      </c>
      <c r="BI191">
        <v>0</v>
      </c>
      <c r="BJ191" t="s">
        <v>1652</v>
      </c>
      <c r="BK191">
        <v>0</v>
      </c>
      <c r="BL191" t="s">
        <v>132</v>
      </c>
      <c r="BM191">
        <v>0</v>
      </c>
      <c r="BN191">
        <f>Tabla1[[#This Row],[precio del paquete]]</f>
        <v>12900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 t="s">
        <v>0</v>
      </c>
      <c r="BX191" t="s">
        <v>1</v>
      </c>
      <c r="BY191" t="s">
        <v>1</v>
      </c>
      <c r="BZ191" t="s">
        <v>1</v>
      </c>
      <c r="CA191" t="s">
        <v>1</v>
      </c>
      <c r="CB191" t="s">
        <v>1661</v>
      </c>
      <c r="CD191" t="str" cm="1">
        <f t="array" aca="1" ref="CD191" ca="1">eConcatenar(A191:CB191,"|")</f>
        <v>7QmdIQzujZrTdgIU|VSA2019-0182|3|IMPERIAL DE LUJO|TABASCO|VILLAHERMOSA|VILLAHERMOSA|2019-04-24|12900|x|x|100|1|0|0|0|0|0|0|0|0|0|0|0|0|0|0|HIDALGO|CUSTODIO|VICENTE|soltero|0|0|CALLE TUXTPAN NUMERO 109|COLONIA TAMULTE|0|9931990512|0|0|0|CALLE TUXTPAN NUMERO 109|x|lunes|0|0|0|0|0|DOMICILIO |12200|700|x|x|x|2022-05-03|2022-05-10|0|0|0|0|0|S35D6LBI9KVTQO|0|HOMBRE|0|12900|0|0|0|0|0|0|0|0|CARDENAS|X|X|X|X|FINAL</v>
      </c>
    </row>
    <row r="192" spans="1:82" x14ac:dyDescent="0.25">
      <c r="A192" t="s">
        <v>326</v>
      </c>
      <c r="B192" t="s">
        <v>571</v>
      </c>
      <c r="C192">
        <v>3</v>
      </c>
      <c r="D192" t="s">
        <v>634</v>
      </c>
      <c r="E192" t="s">
        <v>643</v>
      </c>
      <c r="F192" t="s">
        <v>644</v>
      </c>
      <c r="G192" t="s">
        <v>644</v>
      </c>
      <c r="H192" t="s">
        <v>892</v>
      </c>
      <c r="I192">
        <v>14800</v>
      </c>
      <c r="J192" t="s">
        <v>3</v>
      </c>
      <c r="K192" t="s">
        <v>3</v>
      </c>
      <c r="L192">
        <v>100</v>
      </c>
      <c r="M192">
        <v>2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971</v>
      </c>
      <c r="AC192" t="s">
        <v>1271</v>
      </c>
      <c r="AD192" s="18" t="s">
        <v>1272</v>
      </c>
      <c r="AE192" t="s">
        <v>1356</v>
      </c>
      <c r="AF192">
        <v>0</v>
      </c>
      <c r="AG192">
        <v>0</v>
      </c>
      <c r="AH192" t="s">
        <v>1522</v>
      </c>
      <c r="AI192" t="s">
        <v>757</v>
      </c>
      <c r="AJ192">
        <v>0</v>
      </c>
      <c r="AK192">
        <v>9933506316</v>
      </c>
      <c r="AL192">
        <v>0</v>
      </c>
      <c r="AM192">
        <v>0</v>
      </c>
      <c r="AN192">
        <v>0</v>
      </c>
      <c r="AO192" t="s">
        <v>1522</v>
      </c>
      <c r="AP192" t="s">
        <v>3</v>
      </c>
      <c r="AQ192" t="s">
        <v>1581</v>
      </c>
      <c r="AR192">
        <v>0</v>
      </c>
      <c r="AS192">
        <v>0</v>
      </c>
      <c r="AT192">
        <v>0</v>
      </c>
      <c r="AU192">
        <v>0</v>
      </c>
      <c r="AV192">
        <v>0</v>
      </c>
      <c r="AW192" t="s">
        <v>11</v>
      </c>
      <c r="AX192">
        <f>Tabla1[[#This Row],[precio del paquete]]-Tabla1[[#This Row],[Saldo_Deudor]]</f>
        <v>4800</v>
      </c>
      <c r="AY192">
        <v>10000</v>
      </c>
      <c r="AZ192" t="s">
        <v>3</v>
      </c>
      <c r="BA192" t="s">
        <v>3</v>
      </c>
      <c r="BB192" t="s">
        <v>3</v>
      </c>
      <c r="BC192" t="s">
        <v>913</v>
      </c>
      <c r="BD192" t="s">
        <v>1592</v>
      </c>
      <c r="BE192">
        <v>0</v>
      </c>
      <c r="BF192">
        <v>0</v>
      </c>
      <c r="BG192">
        <v>0</v>
      </c>
      <c r="BH192">
        <v>0</v>
      </c>
      <c r="BI192">
        <v>0</v>
      </c>
      <c r="BJ192" t="s">
        <v>1652</v>
      </c>
      <c r="BK192">
        <v>0</v>
      </c>
      <c r="BL192" t="s">
        <v>132</v>
      </c>
      <c r="BM192">
        <v>0</v>
      </c>
      <c r="BN192">
        <f>Tabla1[[#This Row],[precio del paquete]]</f>
        <v>14800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 t="s">
        <v>0</v>
      </c>
      <c r="BX192" t="s">
        <v>1</v>
      </c>
      <c r="BY192" t="s">
        <v>1</v>
      </c>
      <c r="BZ192" t="s">
        <v>1</v>
      </c>
      <c r="CA192" t="s">
        <v>1</v>
      </c>
      <c r="CB192" t="s">
        <v>1661</v>
      </c>
      <c r="CD192" t="str" cm="1">
        <f t="array" aca="1" ref="CD192" ca="1">eConcatenar(A192:CB192,"|")</f>
        <v>hBn0Ff4xmApxnrYE|VSA2021-1740|3|MEMORIAL|TABASCO|VILLAHERMOSA|VILLAHERMOSA|2021-10-20|14800|x|x|100|2|0|0|0|0|0|0|0|0|0|0|0|0|0|0|HERNANDEZ|PATRICIO|NELLY|soltero|0|0|CALLE MANZANILLO NUMERO 103 INTERIOR 2 |COLONIA GUADALUPE BORJA|0|9933506316|0|0|0|CALLE MANZANILLO NUMERO 103 INTERIOR 2 |x|lunes|0|0|0|0|0|DOMICILIO |4800|10000|x|x|x|2022-05-03|2022-05-10|0|0|0|0|0|S35D6LBI9KVTQO|0|HOMBRE|0|14800|0|0|0|0|0|0|0|0|CARDENAS|X|X|X|X|FINAL</v>
      </c>
    </row>
    <row r="193" spans="1:82" x14ac:dyDescent="0.25">
      <c r="A193" t="s">
        <v>327</v>
      </c>
      <c r="B193" t="s">
        <v>572</v>
      </c>
      <c r="C193">
        <v>3</v>
      </c>
      <c r="D193" t="s">
        <v>635</v>
      </c>
      <c r="E193" t="s">
        <v>643</v>
      </c>
      <c r="F193" t="s">
        <v>644</v>
      </c>
      <c r="G193" t="s">
        <v>644</v>
      </c>
      <c r="H193" t="s">
        <v>929</v>
      </c>
      <c r="I193">
        <v>12900</v>
      </c>
      <c r="J193" t="s">
        <v>3</v>
      </c>
      <c r="K193" t="s">
        <v>3</v>
      </c>
      <c r="L193">
        <v>100</v>
      </c>
      <c r="M193">
        <v>2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1273</v>
      </c>
      <c r="AC193" t="s">
        <v>1123</v>
      </c>
      <c r="AD193" s="18" t="s">
        <v>1274</v>
      </c>
      <c r="AE193" t="s">
        <v>1356</v>
      </c>
      <c r="AF193">
        <v>0</v>
      </c>
      <c r="AG193">
        <v>0</v>
      </c>
      <c r="AH193" t="s">
        <v>1523</v>
      </c>
      <c r="AI193" t="s">
        <v>676</v>
      </c>
      <c r="AJ193">
        <v>0</v>
      </c>
      <c r="AK193">
        <v>9934395968</v>
      </c>
      <c r="AL193">
        <v>0</v>
      </c>
      <c r="AM193">
        <v>0</v>
      </c>
      <c r="AN193">
        <v>0</v>
      </c>
      <c r="AO193" t="s">
        <v>1523</v>
      </c>
      <c r="AP193" t="s">
        <v>3</v>
      </c>
      <c r="AQ193" t="s">
        <v>1581</v>
      </c>
      <c r="AR193">
        <v>0</v>
      </c>
      <c r="AS193">
        <v>0</v>
      </c>
      <c r="AT193">
        <v>0</v>
      </c>
      <c r="AU193">
        <v>0</v>
      </c>
      <c r="AV193">
        <v>0</v>
      </c>
      <c r="AW193" t="s">
        <v>11</v>
      </c>
      <c r="AX193">
        <f>Tabla1[[#This Row],[precio del paquete]]-Tabla1[[#This Row],[Saldo_Deudor]]</f>
        <v>3600</v>
      </c>
      <c r="AY193">
        <v>9300</v>
      </c>
      <c r="AZ193" t="s">
        <v>3</v>
      </c>
      <c r="BA193" t="s">
        <v>3</v>
      </c>
      <c r="BB193" t="s">
        <v>3</v>
      </c>
      <c r="BC193" t="s">
        <v>913</v>
      </c>
      <c r="BD193" t="s">
        <v>1592</v>
      </c>
      <c r="BE193">
        <v>0</v>
      </c>
      <c r="BF193">
        <v>0</v>
      </c>
      <c r="BG193">
        <v>0</v>
      </c>
      <c r="BH193">
        <v>0</v>
      </c>
      <c r="BI193">
        <v>0</v>
      </c>
      <c r="BJ193" t="s">
        <v>1652</v>
      </c>
      <c r="BK193">
        <v>0</v>
      </c>
      <c r="BL193" t="s">
        <v>132</v>
      </c>
      <c r="BM193">
        <v>0</v>
      </c>
      <c r="BN193">
        <f>Tabla1[[#This Row],[precio del paquete]]</f>
        <v>12900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 t="s">
        <v>0</v>
      </c>
      <c r="BX193" t="s">
        <v>1</v>
      </c>
      <c r="BY193" t="s">
        <v>1</v>
      </c>
      <c r="BZ193" t="s">
        <v>1</v>
      </c>
      <c r="CA193" t="s">
        <v>1</v>
      </c>
      <c r="CB193" t="s">
        <v>1661</v>
      </c>
      <c r="CD193" t="str" cm="1">
        <f t="array" aca="1" ref="CD193" ca="1">eConcatenar(A193:CB193,"|")</f>
        <v>XJMJreDQl7m4MKfN|VSA2019-0300|3|IMPERIAL DE LUJO|TABASCO|VILLAHERMOSA|VILLAHERMOSA|2019-06-22|12900|x|x|100|2|0|0|0|0|0|0|0|0|0|0|0|0|0|0|FERRAL|SALAS|OBDULIA|soltero|0|0|ALFONSO VICENS SALDIVAR NUMERO 1318|COLONIA GAVIOTAS NORTE|0|9934395968|0|0|0|ALFONSO VICENS SALDIVAR NUMERO 1318|x|lunes|0|0|0|0|0|DOMICILIO |3600|9300|x|x|x|2022-05-03|2022-05-10|0|0|0|0|0|S35D6LBI9KVTQO|0|HOMBRE|0|12900|0|0|0|0|0|0|0|0|CARDENAS|X|X|X|X|FINAL</v>
      </c>
    </row>
    <row r="194" spans="1:82" x14ac:dyDescent="0.25">
      <c r="A194" t="s">
        <v>328</v>
      </c>
      <c r="B194" t="s">
        <v>573</v>
      </c>
      <c r="C194">
        <v>3</v>
      </c>
      <c r="D194" t="s">
        <v>634</v>
      </c>
      <c r="E194" t="s">
        <v>643</v>
      </c>
      <c r="F194" t="s">
        <v>644</v>
      </c>
      <c r="G194" t="s">
        <v>644</v>
      </c>
      <c r="H194" t="s">
        <v>930</v>
      </c>
      <c r="I194">
        <v>14800</v>
      </c>
      <c r="J194" t="s">
        <v>3</v>
      </c>
      <c r="K194" t="s">
        <v>3</v>
      </c>
      <c r="L194">
        <v>100</v>
      </c>
      <c r="M194">
        <v>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1065</v>
      </c>
      <c r="AC194" t="s">
        <v>1004</v>
      </c>
      <c r="AD194" s="18" t="s">
        <v>996</v>
      </c>
      <c r="AE194" t="s">
        <v>1356</v>
      </c>
      <c r="AF194">
        <v>0</v>
      </c>
      <c r="AG194">
        <v>0</v>
      </c>
      <c r="AH194" t="s">
        <v>1524</v>
      </c>
      <c r="AI194" t="s">
        <v>758</v>
      </c>
      <c r="AJ194">
        <v>0</v>
      </c>
      <c r="AK194">
        <v>9932624803</v>
      </c>
      <c r="AL194">
        <v>0</v>
      </c>
      <c r="AM194">
        <v>0</v>
      </c>
      <c r="AN194">
        <v>0</v>
      </c>
      <c r="AO194" t="s">
        <v>1524</v>
      </c>
      <c r="AP194" t="s">
        <v>3</v>
      </c>
      <c r="AQ194" t="s">
        <v>1581</v>
      </c>
      <c r="AR194">
        <v>0</v>
      </c>
      <c r="AS194">
        <v>0</v>
      </c>
      <c r="AT194">
        <v>0</v>
      </c>
      <c r="AU194">
        <v>0</v>
      </c>
      <c r="AV194">
        <v>0</v>
      </c>
      <c r="AW194" t="s">
        <v>11</v>
      </c>
      <c r="AX194">
        <f>Tabla1[[#This Row],[precio del paquete]]-Tabla1[[#This Row],[Saldo_Deudor]]</f>
        <v>1450</v>
      </c>
      <c r="AY194">
        <v>13350</v>
      </c>
      <c r="AZ194" t="s">
        <v>3</v>
      </c>
      <c r="BA194" t="s">
        <v>3</v>
      </c>
      <c r="BB194" t="s">
        <v>3</v>
      </c>
      <c r="BC194" t="s">
        <v>1585</v>
      </c>
      <c r="BD194" t="s">
        <v>1586</v>
      </c>
      <c r="BE194">
        <v>0</v>
      </c>
      <c r="BF194">
        <v>0</v>
      </c>
      <c r="BG194">
        <v>0</v>
      </c>
      <c r="BH194">
        <v>0</v>
      </c>
      <c r="BI194">
        <v>0</v>
      </c>
      <c r="BJ194" t="s">
        <v>1652</v>
      </c>
      <c r="BK194">
        <v>0</v>
      </c>
      <c r="BL194" t="s">
        <v>132</v>
      </c>
      <c r="BM194">
        <v>0</v>
      </c>
      <c r="BN194">
        <f>Tabla1[[#This Row],[precio del paquete]]</f>
        <v>14800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 t="s">
        <v>0</v>
      </c>
      <c r="BX194" t="s">
        <v>1</v>
      </c>
      <c r="BY194" t="s">
        <v>1</v>
      </c>
      <c r="BZ194" t="s">
        <v>1</v>
      </c>
      <c r="CA194" t="s">
        <v>1</v>
      </c>
      <c r="CB194" t="s">
        <v>1661</v>
      </c>
      <c r="CD194" t="str" cm="1">
        <f t="array" aca="1" ref="CD194" ca="1">eConcatenar(A194:CB194,"|")</f>
        <v>Xgg6u0j7IK5Pkd8u|VSA2021-1574|3|MEMORIAL|TABASCO|VILLAHERMOSA|VILLAHERMOSA|2021-09-22|14800|x|x|100|1|0|0|0|0|0|0|0|0|0|0|0|0|0|0|TORRES|VAZQUEZ|ELIZABETH|soltero|0|0|200 METROS ANTES DE LLEGAR AL PANTEON|RANCHERIA CHIQUIGUAO PRIMERA SECCION|0|9932624803|0|0|0|200 METROS ANTES DE LLEGAR AL PANTEON|x|lunes|0|0|0|0|0|DOMICILIO |1450|13350|x|x|x|2022-04-03|2022-04-10|0|0|0|0|0|S35D6LBI9KVTQO|0|HOMBRE|0|14800|0|0|0|0|0|0|0|0|CARDENAS|X|X|X|X|FINAL</v>
      </c>
    </row>
    <row r="195" spans="1:82" x14ac:dyDescent="0.25">
      <c r="A195" t="s">
        <v>329</v>
      </c>
      <c r="B195" t="s">
        <v>574</v>
      </c>
      <c r="C195">
        <v>3</v>
      </c>
      <c r="D195" t="s">
        <v>634</v>
      </c>
      <c r="E195" t="s">
        <v>643</v>
      </c>
      <c r="F195" t="s">
        <v>644</v>
      </c>
      <c r="G195" t="s">
        <v>644</v>
      </c>
      <c r="H195" t="s">
        <v>831</v>
      </c>
      <c r="I195">
        <v>14800</v>
      </c>
      <c r="J195" t="s">
        <v>3</v>
      </c>
      <c r="K195" t="s">
        <v>3</v>
      </c>
      <c r="L195">
        <v>100</v>
      </c>
      <c r="M195">
        <v>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1070</v>
      </c>
      <c r="AC195" t="s">
        <v>1275</v>
      </c>
      <c r="AD195" s="18" t="s">
        <v>1276</v>
      </c>
      <c r="AE195" t="s">
        <v>1356</v>
      </c>
      <c r="AF195">
        <v>0</v>
      </c>
      <c r="AG195">
        <v>0</v>
      </c>
      <c r="AH195" t="s">
        <v>1525</v>
      </c>
      <c r="AI195" t="s">
        <v>730</v>
      </c>
      <c r="AJ195">
        <v>0</v>
      </c>
      <c r="AK195">
        <v>9931196531</v>
      </c>
      <c r="AL195">
        <v>0</v>
      </c>
      <c r="AM195">
        <v>0</v>
      </c>
      <c r="AN195">
        <v>0</v>
      </c>
      <c r="AO195" t="s">
        <v>1525</v>
      </c>
      <c r="AP195" t="s">
        <v>3</v>
      </c>
      <c r="AQ195" t="s">
        <v>1581</v>
      </c>
      <c r="AR195">
        <v>0</v>
      </c>
      <c r="AS195">
        <v>0</v>
      </c>
      <c r="AT195">
        <v>0</v>
      </c>
      <c r="AU195">
        <v>0</v>
      </c>
      <c r="AV195">
        <v>0</v>
      </c>
      <c r="AW195" t="s">
        <v>11</v>
      </c>
      <c r="AX195">
        <v>0</v>
      </c>
      <c r="AY195">
        <v>33200</v>
      </c>
      <c r="AZ195" t="s">
        <v>3</v>
      </c>
      <c r="BA195" t="s">
        <v>3</v>
      </c>
      <c r="BB195" t="s">
        <v>3</v>
      </c>
      <c r="BC195" t="s">
        <v>1585</v>
      </c>
      <c r="BD195" t="s">
        <v>1586</v>
      </c>
      <c r="BE195">
        <v>0</v>
      </c>
      <c r="BF195">
        <v>0</v>
      </c>
      <c r="BG195">
        <v>0</v>
      </c>
      <c r="BH195">
        <v>0</v>
      </c>
      <c r="BI195">
        <v>0</v>
      </c>
      <c r="BJ195" t="s">
        <v>1652</v>
      </c>
      <c r="BK195">
        <v>0</v>
      </c>
      <c r="BL195" t="s">
        <v>132</v>
      </c>
      <c r="BM195">
        <v>0</v>
      </c>
      <c r="BN195">
        <f>Tabla1[[#This Row],[precio del paquete]]</f>
        <v>14800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 t="s">
        <v>0</v>
      </c>
      <c r="BX195" t="s">
        <v>1</v>
      </c>
      <c r="BY195" t="s">
        <v>1</v>
      </c>
      <c r="BZ195" t="s">
        <v>1</v>
      </c>
      <c r="CA195" t="s">
        <v>1</v>
      </c>
      <c r="CB195" t="s">
        <v>1661</v>
      </c>
      <c r="CD195" t="str" cm="1">
        <f t="array" aca="1" ref="CD195" ca="1">eConcatenar(A195:CB195,"|")</f>
        <v>h70gr4MBFORApE9e|VSA2021-1809|3|MEMORIAL|TABASCO|VILLAHERMOSA|VILLAHERMOSA|2021-08-11|14800|x|x|100|1|0|0|0|0|0|0|0|0|0|0|0|0|0|0|GONZALEZ|VERA|ALINA|soltero|0|0|CALLE USUMACINTA NUMERO 204|COLONIA CENTRO VILLA HERMOSA|0|9931196531|0|0|0|CALLE USUMACINTA NUMERO 204|x|lunes|0|0|0|0|0|DOMICILIO |0|33200|x|x|x|2022-04-03|2022-04-10|0|0|0|0|0|S35D6LBI9KVTQO|0|HOMBRE|0|14800|0|0|0|0|0|0|0|0|CARDENAS|X|X|X|X|FINAL</v>
      </c>
    </row>
    <row r="196" spans="1:82" x14ac:dyDescent="0.25">
      <c r="A196" t="s">
        <v>330</v>
      </c>
      <c r="B196" t="s">
        <v>575</v>
      </c>
      <c r="C196">
        <v>3</v>
      </c>
      <c r="D196" t="s">
        <v>639</v>
      </c>
      <c r="E196" t="s">
        <v>643</v>
      </c>
      <c r="F196" t="s">
        <v>644</v>
      </c>
      <c r="G196" t="s">
        <v>644</v>
      </c>
      <c r="H196" t="s">
        <v>918</v>
      </c>
      <c r="I196">
        <v>35000</v>
      </c>
      <c r="J196" t="s">
        <v>3</v>
      </c>
      <c r="K196" t="s">
        <v>3</v>
      </c>
      <c r="L196">
        <v>100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1022</v>
      </c>
      <c r="AC196" t="s">
        <v>971</v>
      </c>
      <c r="AD196" s="18" t="s">
        <v>1277</v>
      </c>
      <c r="AE196" t="s">
        <v>1356</v>
      </c>
      <c r="AF196">
        <v>0</v>
      </c>
      <c r="AG196">
        <v>0</v>
      </c>
      <c r="AH196" t="s">
        <v>1526</v>
      </c>
      <c r="AI196" t="s">
        <v>759</v>
      </c>
      <c r="AJ196">
        <v>0</v>
      </c>
      <c r="AK196">
        <v>9934329842</v>
      </c>
      <c r="AL196">
        <v>0</v>
      </c>
      <c r="AM196">
        <v>0</v>
      </c>
      <c r="AN196">
        <v>0</v>
      </c>
      <c r="AO196" t="s">
        <v>1526</v>
      </c>
      <c r="AP196" t="s">
        <v>3</v>
      </c>
      <c r="AQ196" t="s">
        <v>1581</v>
      </c>
      <c r="AR196">
        <v>0</v>
      </c>
      <c r="AS196">
        <v>0</v>
      </c>
      <c r="AT196">
        <v>0</v>
      </c>
      <c r="AU196">
        <v>0</v>
      </c>
      <c r="AV196">
        <v>0</v>
      </c>
      <c r="AW196" t="s">
        <v>11</v>
      </c>
      <c r="AX196">
        <f>Tabla1[[#This Row],[precio del paquete]]-Tabla1[[#This Row],[Saldo_Deudor]]</f>
        <v>2500</v>
      </c>
      <c r="AY196">
        <v>32500</v>
      </c>
      <c r="AZ196" t="s">
        <v>3</v>
      </c>
      <c r="BA196" t="s">
        <v>3</v>
      </c>
      <c r="BB196" t="s">
        <v>3</v>
      </c>
      <c r="BC196" t="s">
        <v>1585</v>
      </c>
      <c r="BD196" t="s">
        <v>1586</v>
      </c>
      <c r="BE196">
        <v>0</v>
      </c>
      <c r="BF196">
        <v>0</v>
      </c>
      <c r="BG196">
        <v>0</v>
      </c>
      <c r="BH196">
        <v>0</v>
      </c>
      <c r="BI196">
        <v>0</v>
      </c>
      <c r="BJ196" t="s">
        <v>1652</v>
      </c>
      <c r="BK196">
        <v>0</v>
      </c>
      <c r="BL196" t="s">
        <v>132</v>
      </c>
      <c r="BM196">
        <v>0</v>
      </c>
      <c r="BN196">
        <f>Tabla1[[#This Row],[precio del paquete]]</f>
        <v>35000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 t="s">
        <v>0</v>
      </c>
      <c r="BX196" t="s">
        <v>1</v>
      </c>
      <c r="BY196" t="s">
        <v>1</v>
      </c>
      <c r="BZ196" t="s">
        <v>1</v>
      </c>
      <c r="CA196" t="s">
        <v>1</v>
      </c>
      <c r="CB196" t="s">
        <v>1661</v>
      </c>
      <c r="CD196" t="str" cm="1">
        <f t="array" aca="1" ref="CD196" ca="1">eConcatenar(A196:CB196,"|")</f>
        <v>zIaPk3AK3UbZt2Qp|VSA2021-1471|3|DELUX|TABASCO|VILLAHERMOSA|VILLAHERMOSA|2021-12-17|35000|x|x|100|1|0|0|0|0|0|0|0|0|0|0|0|0|0|0|ALCUDIA|HERNANDEZ|VERONICA|soltero|0|0|CALLE RAFAEL ALBERTO MANZANA 13 LOTE 3|FRACCIONAMIENTO CARLOS PELLICER CAMARA|0|9934329842|0|0|0|CALLE RAFAEL ALBERTO MANZANA 13 LOTE 3|x|lunes|0|0|0|0|0|DOMICILIO |2500|32500|x|x|x|2022-04-03|2022-04-10|0|0|0|0|0|S35D6LBI9KVTQO|0|HOMBRE|0|35000|0|0|0|0|0|0|0|0|CARDENAS|X|X|X|X|FINAL</v>
      </c>
    </row>
    <row r="197" spans="1:82" x14ac:dyDescent="0.25">
      <c r="A197" t="s">
        <v>331</v>
      </c>
      <c r="B197" t="s">
        <v>576</v>
      </c>
      <c r="C197">
        <v>3</v>
      </c>
      <c r="D197" t="s">
        <v>634</v>
      </c>
      <c r="E197" t="s">
        <v>643</v>
      </c>
      <c r="F197" t="s">
        <v>644</v>
      </c>
      <c r="G197" t="s">
        <v>644</v>
      </c>
      <c r="H197" t="s">
        <v>931</v>
      </c>
      <c r="I197">
        <v>14800</v>
      </c>
      <c r="J197" t="s">
        <v>3</v>
      </c>
      <c r="K197" t="s">
        <v>3</v>
      </c>
      <c r="L197">
        <v>100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971</v>
      </c>
      <c r="AC197" t="s">
        <v>1278</v>
      </c>
      <c r="AD197" s="18" t="s">
        <v>1279</v>
      </c>
      <c r="AE197" t="s">
        <v>1356</v>
      </c>
      <c r="AF197">
        <v>0</v>
      </c>
      <c r="AG197">
        <v>0</v>
      </c>
      <c r="AH197" t="s">
        <v>1527</v>
      </c>
      <c r="AI197" t="s">
        <v>760</v>
      </c>
      <c r="AJ197">
        <v>0</v>
      </c>
      <c r="AK197">
        <v>9933050130</v>
      </c>
      <c r="AL197">
        <v>0</v>
      </c>
      <c r="AM197">
        <v>0</v>
      </c>
      <c r="AN197">
        <v>0</v>
      </c>
      <c r="AO197" t="s">
        <v>1527</v>
      </c>
      <c r="AP197" t="s">
        <v>3</v>
      </c>
      <c r="AQ197" t="s">
        <v>1581</v>
      </c>
      <c r="AR197">
        <v>0</v>
      </c>
      <c r="AS197">
        <v>0</v>
      </c>
      <c r="AT197">
        <v>0</v>
      </c>
      <c r="AU197">
        <v>0</v>
      </c>
      <c r="AV197">
        <v>0</v>
      </c>
      <c r="AW197" t="s">
        <v>11</v>
      </c>
      <c r="AX197">
        <f>Tabla1[[#This Row],[precio del paquete]]-Tabla1[[#This Row],[Saldo_Deudor]]</f>
        <v>1300</v>
      </c>
      <c r="AY197">
        <v>13500</v>
      </c>
      <c r="AZ197" t="s">
        <v>3</v>
      </c>
      <c r="BA197" t="s">
        <v>3</v>
      </c>
      <c r="BB197" t="s">
        <v>3</v>
      </c>
      <c r="BC197" t="s">
        <v>1585</v>
      </c>
      <c r="BD197" t="s">
        <v>1586</v>
      </c>
      <c r="BE197">
        <v>0</v>
      </c>
      <c r="BF197">
        <v>0</v>
      </c>
      <c r="BG197">
        <v>0</v>
      </c>
      <c r="BH197">
        <v>0</v>
      </c>
      <c r="BI197">
        <v>0</v>
      </c>
      <c r="BJ197" t="s">
        <v>1652</v>
      </c>
      <c r="BK197">
        <v>0</v>
      </c>
      <c r="BL197" t="s">
        <v>132</v>
      </c>
      <c r="BM197">
        <v>0</v>
      </c>
      <c r="BN197">
        <f>Tabla1[[#This Row],[precio del paquete]]</f>
        <v>14800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 t="s">
        <v>0</v>
      </c>
      <c r="BX197" t="s">
        <v>1</v>
      </c>
      <c r="BY197" t="s">
        <v>1</v>
      </c>
      <c r="BZ197" t="s">
        <v>1</v>
      </c>
      <c r="CA197" t="s">
        <v>1</v>
      </c>
      <c r="CB197" t="s">
        <v>1661</v>
      </c>
      <c r="CD197" t="str" cm="1">
        <f t="array" aca="1" ref="CD197" ca="1">eConcatenar(A197:CB197,"|")</f>
        <v>KpAd5CzD2zzFDFKe|VSA2022-0004|3|MEMORIAL|TABASCO|VILLAHERMOSA|VILLAHERMOSA|2022-03-01|14800|x|x|100|1|0|0|0|0|0|0|0|0|0|0|0|0|0|0|HERNANDEZ|PERERA|VICTOR MANUEL|soltero|0|0|CARRETERA VILLAHERMOSA TEAPA KILOMETRO 10 MANZANA 3 LOTE 8|COLONIA HUAPACAL|0|9933050130|0|0|0|CARRETERA VILLAHERMOSA TEAPA KILOMETRO 10 MANZANA 3 LOTE 8|x|lunes|0|0|0|0|0|DOMICILIO |1300|13500|x|x|x|2022-04-03|2022-04-10|0|0|0|0|0|S35D6LBI9KVTQO|0|HOMBRE|0|14800|0|0|0|0|0|0|0|0|CARDENAS|X|X|X|X|FINAL</v>
      </c>
    </row>
    <row r="198" spans="1:82" x14ac:dyDescent="0.25">
      <c r="A198" t="s">
        <v>332</v>
      </c>
      <c r="B198" t="s">
        <v>577</v>
      </c>
      <c r="C198">
        <v>3</v>
      </c>
      <c r="D198" t="s">
        <v>634</v>
      </c>
      <c r="E198" t="s">
        <v>643</v>
      </c>
      <c r="F198" t="s">
        <v>644</v>
      </c>
      <c r="G198" t="s">
        <v>644</v>
      </c>
      <c r="H198" t="s">
        <v>931</v>
      </c>
      <c r="I198">
        <v>14800</v>
      </c>
      <c r="J198" t="s">
        <v>3</v>
      </c>
      <c r="K198" t="s">
        <v>3</v>
      </c>
      <c r="L198">
        <v>100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1220</v>
      </c>
      <c r="AC198" t="s">
        <v>1067</v>
      </c>
      <c r="AD198" s="18" t="s">
        <v>1280</v>
      </c>
      <c r="AE198" t="s">
        <v>1356</v>
      </c>
      <c r="AF198">
        <v>0</v>
      </c>
      <c r="AG198">
        <v>0</v>
      </c>
      <c r="AH198" t="s">
        <v>1528</v>
      </c>
      <c r="AI198" t="s">
        <v>761</v>
      </c>
      <c r="AJ198">
        <v>0</v>
      </c>
      <c r="AK198">
        <v>9932329193</v>
      </c>
      <c r="AL198">
        <v>0</v>
      </c>
      <c r="AM198">
        <v>0</v>
      </c>
      <c r="AN198">
        <v>0</v>
      </c>
      <c r="AO198" t="s">
        <v>1528</v>
      </c>
      <c r="AP198" t="s">
        <v>3</v>
      </c>
      <c r="AQ198" t="s">
        <v>1581</v>
      </c>
      <c r="AR198">
        <v>0</v>
      </c>
      <c r="AS198">
        <v>0</v>
      </c>
      <c r="AT198">
        <v>0</v>
      </c>
      <c r="AU198">
        <v>0</v>
      </c>
      <c r="AV198">
        <v>0</v>
      </c>
      <c r="AW198" t="s">
        <v>11</v>
      </c>
      <c r="AX198">
        <f>Tabla1[[#This Row],[precio del paquete]]-Tabla1[[#This Row],[Saldo_Deudor]]</f>
        <v>1300</v>
      </c>
      <c r="AY198">
        <v>13500</v>
      </c>
      <c r="AZ198" t="s">
        <v>3</v>
      </c>
      <c r="BA198" t="s">
        <v>3</v>
      </c>
      <c r="BB198" t="s">
        <v>3</v>
      </c>
      <c r="BC198" t="s">
        <v>1585</v>
      </c>
      <c r="BD198" t="s">
        <v>1586</v>
      </c>
      <c r="BE198">
        <v>0</v>
      </c>
      <c r="BF198">
        <v>0</v>
      </c>
      <c r="BG198">
        <v>0</v>
      </c>
      <c r="BH198">
        <v>0</v>
      </c>
      <c r="BI198">
        <v>0</v>
      </c>
      <c r="BJ198" t="s">
        <v>1652</v>
      </c>
      <c r="BK198">
        <v>0</v>
      </c>
      <c r="BL198" t="s">
        <v>132</v>
      </c>
      <c r="BM198">
        <v>0</v>
      </c>
      <c r="BN198">
        <f>Tabla1[[#This Row],[precio del paquete]]</f>
        <v>14800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 t="s">
        <v>0</v>
      </c>
      <c r="BX198" t="s">
        <v>1</v>
      </c>
      <c r="BY198" t="s">
        <v>1</v>
      </c>
      <c r="BZ198" t="s">
        <v>1</v>
      </c>
      <c r="CA198" t="s">
        <v>1</v>
      </c>
      <c r="CB198" t="s">
        <v>1661</v>
      </c>
      <c r="CD198" t="str" cm="1">
        <f t="array" aca="1" ref="CD198" ca="1">eConcatenar(A198:CB198,"|")</f>
        <v>8eSFrimzpeER00PS|VSA2022-0003|3|MEMORIAL|TABASCO|VILLAHERMOSA|VILLAHERMOSA|2022-03-01|14800|x|x|100|1|0|0|0|0|0|0|0|0|0|0|0|0|0|0|DE LOS SANTOS|GARCIA|HIGINO|soltero|0|0|CALLE LAGUNA LA AUDANA MANZANA 26 LOTE 4|COLONIA MANGAL TERCERA SECCION|0|9932329193|0|0|0|CALLE LAGUNA LA AUDANA MANZANA 26 LOTE 4|x|lunes|0|0|0|0|0|DOMICILIO |1300|13500|x|x|x|2022-04-03|2022-04-10|0|0|0|0|0|S35D6LBI9KVTQO|0|HOMBRE|0|14800|0|0|0|0|0|0|0|0|CARDENAS|X|X|X|X|FINAL</v>
      </c>
    </row>
    <row r="199" spans="1:82" x14ac:dyDescent="0.25">
      <c r="A199" t="s">
        <v>333</v>
      </c>
      <c r="B199" t="s">
        <v>578</v>
      </c>
      <c r="C199">
        <v>3</v>
      </c>
      <c r="D199" t="s">
        <v>634</v>
      </c>
      <c r="E199" t="s">
        <v>643</v>
      </c>
      <c r="F199" t="s">
        <v>644</v>
      </c>
      <c r="G199" t="s">
        <v>644</v>
      </c>
      <c r="H199" t="s">
        <v>932</v>
      </c>
      <c r="I199">
        <v>14800</v>
      </c>
      <c r="J199" t="s">
        <v>3</v>
      </c>
      <c r="K199" t="s">
        <v>3</v>
      </c>
      <c r="L199">
        <v>100</v>
      </c>
      <c r="M199">
        <v>2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1281</v>
      </c>
      <c r="AC199" t="s">
        <v>1282</v>
      </c>
      <c r="AD199" s="18" t="s">
        <v>1283</v>
      </c>
      <c r="AE199" t="s">
        <v>1356</v>
      </c>
      <c r="AF199">
        <v>0</v>
      </c>
      <c r="AG199">
        <v>0</v>
      </c>
      <c r="AH199" t="s">
        <v>1529</v>
      </c>
      <c r="AI199" t="s">
        <v>667</v>
      </c>
      <c r="AJ199">
        <v>0</v>
      </c>
      <c r="AK199">
        <v>9931646445</v>
      </c>
      <c r="AL199">
        <v>0</v>
      </c>
      <c r="AM199">
        <v>0</v>
      </c>
      <c r="AN199">
        <v>0</v>
      </c>
      <c r="AO199" t="s">
        <v>1529</v>
      </c>
      <c r="AP199" t="s">
        <v>3</v>
      </c>
      <c r="AQ199" t="s">
        <v>1581</v>
      </c>
      <c r="AR199">
        <v>0</v>
      </c>
      <c r="AS199">
        <v>0</v>
      </c>
      <c r="AT199">
        <v>0</v>
      </c>
      <c r="AU199">
        <v>0</v>
      </c>
      <c r="AV199">
        <v>0</v>
      </c>
      <c r="AW199" t="s">
        <v>11</v>
      </c>
      <c r="AX199">
        <f>Tabla1[[#This Row],[precio del paquete]]-Tabla1[[#This Row],[Saldo_Deudor]]</f>
        <v>3200</v>
      </c>
      <c r="AY199">
        <v>11600</v>
      </c>
      <c r="AZ199" t="s">
        <v>3</v>
      </c>
      <c r="BA199" t="s">
        <v>3</v>
      </c>
      <c r="BB199" t="s">
        <v>3</v>
      </c>
      <c r="BC199" t="s">
        <v>1585</v>
      </c>
      <c r="BD199" t="s">
        <v>1586</v>
      </c>
      <c r="BE199">
        <v>0</v>
      </c>
      <c r="BF199">
        <v>0</v>
      </c>
      <c r="BG199">
        <v>0</v>
      </c>
      <c r="BH199">
        <v>0</v>
      </c>
      <c r="BI199">
        <v>0</v>
      </c>
      <c r="BJ199" t="s">
        <v>1652</v>
      </c>
      <c r="BK199">
        <v>0</v>
      </c>
      <c r="BL199" t="s">
        <v>132</v>
      </c>
      <c r="BM199">
        <v>0</v>
      </c>
      <c r="BN199">
        <f>Tabla1[[#This Row],[precio del paquete]]</f>
        <v>14800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 t="s">
        <v>0</v>
      </c>
      <c r="BX199" t="s">
        <v>1</v>
      </c>
      <c r="BY199" t="s">
        <v>1</v>
      </c>
      <c r="BZ199" t="s">
        <v>1</v>
      </c>
      <c r="CA199" t="s">
        <v>1</v>
      </c>
      <c r="CB199" t="s">
        <v>1661</v>
      </c>
      <c r="CD199" t="str" cm="1">
        <f t="array" aca="1" ref="CD199" ca="1">eConcatenar(A199:CB199,"|")</f>
        <v>MwbLfOu5W9DPVSay|VSA2021-1734|3|MEMORIAL|TABASCO|VILLAHERMOSA|VILLAHERMOSA|2021-10-19|14800|x|x|100|2|0|0|0|0|0|0|0|0|0|0|0|0|0|0|ZAMORA|INURRETA|SONIA|soltero|0|0|CALLE LAUREN SIN NUMERO|COLONIA GAVIOTAS SUR|0|9931646445|0|0|0|CALLE LAUREN SIN NUMERO|x|lunes|0|0|0|0|0|DOMICILIO |3200|11600|x|x|x|2022-04-03|2022-04-10|0|0|0|0|0|S35D6LBI9KVTQO|0|HOMBRE|0|14800|0|0|0|0|0|0|0|0|CARDENAS|X|X|X|X|FINAL</v>
      </c>
    </row>
    <row r="200" spans="1:82" x14ac:dyDescent="0.25">
      <c r="A200" t="s">
        <v>334</v>
      </c>
      <c r="B200" t="s">
        <v>579</v>
      </c>
      <c r="C200">
        <v>3</v>
      </c>
      <c r="D200" t="s">
        <v>634</v>
      </c>
      <c r="E200" t="s">
        <v>643</v>
      </c>
      <c r="F200" t="s">
        <v>644</v>
      </c>
      <c r="G200" t="s">
        <v>644</v>
      </c>
      <c r="H200" t="s">
        <v>888</v>
      </c>
      <c r="I200">
        <v>14800</v>
      </c>
      <c r="J200" t="s">
        <v>3</v>
      </c>
      <c r="K200" t="s">
        <v>3</v>
      </c>
      <c r="L200">
        <v>100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1042</v>
      </c>
      <c r="AC200" t="s">
        <v>1043</v>
      </c>
      <c r="AD200" s="18" t="s">
        <v>1284</v>
      </c>
      <c r="AE200" t="s">
        <v>1356</v>
      </c>
      <c r="AF200">
        <v>0</v>
      </c>
      <c r="AG200">
        <v>0</v>
      </c>
      <c r="AH200" t="s">
        <v>1530</v>
      </c>
      <c r="AI200" t="s">
        <v>762</v>
      </c>
      <c r="AJ200">
        <v>0</v>
      </c>
      <c r="AK200">
        <v>9933987931</v>
      </c>
      <c r="AL200">
        <v>0</v>
      </c>
      <c r="AM200">
        <v>0</v>
      </c>
      <c r="AN200">
        <v>0</v>
      </c>
      <c r="AO200" t="s">
        <v>1530</v>
      </c>
      <c r="AP200" t="s">
        <v>3</v>
      </c>
      <c r="AQ200" t="s">
        <v>1581</v>
      </c>
      <c r="AR200">
        <v>0</v>
      </c>
      <c r="AS200">
        <v>0</v>
      </c>
      <c r="AT200">
        <v>0</v>
      </c>
      <c r="AU200">
        <v>0</v>
      </c>
      <c r="AV200">
        <v>0</v>
      </c>
      <c r="AW200" t="s">
        <v>11</v>
      </c>
      <c r="AX200">
        <f>Tabla1[[#This Row],[precio del paquete]]-Tabla1[[#This Row],[Saldo_Deudor]]</f>
        <v>800</v>
      </c>
      <c r="AY200">
        <v>14000</v>
      </c>
      <c r="AZ200" t="s">
        <v>3</v>
      </c>
      <c r="BA200" t="s">
        <v>3</v>
      </c>
      <c r="BB200" t="s">
        <v>3</v>
      </c>
      <c r="BC200" t="s">
        <v>1585</v>
      </c>
      <c r="BD200" t="s">
        <v>1586</v>
      </c>
      <c r="BE200">
        <v>0</v>
      </c>
      <c r="BF200">
        <v>0</v>
      </c>
      <c r="BG200">
        <v>0</v>
      </c>
      <c r="BH200">
        <v>0</v>
      </c>
      <c r="BI200">
        <v>0</v>
      </c>
      <c r="BJ200" t="s">
        <v>1652</v>
      </c>
      <c r="BK200">
        <v>0</v>
      </c>
      <c r="BL200" t="s">
        <v>132</v>
      </c>
      <c r="BM200">
        <v>0</v>
      </c>
      <c r="BN200">
        <f>Tabla1[[#This Row],[precio del paquete]]</f>
        <v>14800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 t="s">
        <v>0</v>
      </c>
      <c r="BX200" t="s">
        <v>1</v>
      </c>
      <c r="BY200" t="s">
        <v>1</v>
      </c>
      <c r="BZ200" t="s">
        <v>1</v>
      </c>
      <c r="CA200" t="s">
        <v>1</v>
      </c>
      <c r="CB200" t="s">
        <v>1661</v>
      </c>
      <c r="CD200" t="str" cm="1">
        <f t="array" aca="1" ref="CD200" ca="1">eConcatenar(A200:CB200,"|")</f>
        <v>px7pzMCyM3eyTZT9|VSA2021-1645|3|MEMORIAL|TABASCO|VILLAHERMOSA|VILLAHERMOSA|2021-01-10|14800|x|x|100|2|0|0|0|0|0|0|0|0|0|0|0|0|0|0|MAGAÃ‘A|ACOSTA|VALENTINA|soltero|0|0|CALLE CUCUYULAPA NUMERO 126|FRACCIONAMIENTO TRIUNFO LA MANGA SEGUNDA SECCION|0|9933987931|0|0|0|CALLE CUCUYULAPA NUMERO 126|x|lunes|0|0|0|0|0|DOMICILIO |800|14000|x|x|x|2022-04-03|2022-04-10|0|0|0|0|0|S35D6LBI9KVTQO|0|HOMBRE|0|14800|0|0|0|0|0|0|0|0|CARDENAS|X|X|X|X|FINAL</v>
      </c>
    </row>
    <row r="201" spans="1:82" x14ac:dyDescent="0.25">
      <c r="A201" t="s">
        <v>335</v>
      </c>
      <c r="B201" t="s">
        <v>580</v>
      </c>
      <c r="C201">
        <v>3</v>
      </c>
      <c r="D201" t="s">
        <v>634</v>
      </c>
      <c r="E201" t="s">
        <v>643</v>
      </c>
      <c r="F201" t="s">
        <v>644</v>
      </c>
      <c r="G201" t="s">
        <v>644</v>
      </c>
      <c r="H201" t="s">
        <v>926</v>
      </c>
      <c r="I201">
        <v>14800</v>
      </c>
      <c r="J201" t="s">
        <v>3</v>
      </c>
      <c r="K201" t="s">
        <v>3</v>
      </c>
      <c r="L201">
        <v>100</v>
      </c>
      <c r="M201">
        <v>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1117</v>
      </c>
      <c r="AC201" t="s">
        <v>1100</v>
      </c>
      <c r="AD201" s="18" t="s">
        <v>1285</v>
      </c>
      <c r="AE201" t="s">
        <v>1356</v>
      </c>
      <c r="AF201">
        <v>0</v>
      </c>
      <c r="AG201">
        <v>0</v>
      </c>
      <c r="AH201" t="s">
        <v>1531</v>
      </c>
      <c r="AI201" t="s">
        <v>763</v>
      </c>
      <c r="AJ201">
        <v>0</v>
      </c>
      <c r="AK201">
        <v>9933406230</v>
      </c>
      <c r="AL201">
        <v>0</v>
      </c>
      <c r="AM201">
        <v>0</v>
      </c>
      <c r="AN201">
        <v>0</v>
      </c>
      <c r="AO201" t="s">
        <v>1531</v>
      </c>
      <c r="AP201" t="s">
        <v>3</v>
      </c>
      <c r="AQ201" t="s">
        <v>1581</v>
      </c>
      <c r="AR201">
        <v>0</v>
      </c>
      <c r="AS201">
        <v>0</v>
      </c>
      <c r="AT201">
        <v>0</v>
      </c>
      <c r="AU201">
        <v>0</v>
      </c>
      <c r="AV201">
        <v>0</v>
      </c>
      <c r="AW201" t="s">
        <v>11</v>
      </c>
      <c r="AX201">
        <f>Tabla1[[#This Row],[precio del paquete]]-Tabla1[[#This Row],[Saldo_Deudor]]</f>
        <v>2400</v>
      </c>
      <c r="AY201">
        <v>12400</v>
      </c>
      <c r="AZ201" t="s">
        <v>3</v>
      </c>
      <c r="BA201" t="s">
        <v>3</v>
      </c>
      <c r="BB201" t="s">
        <v>3</v>
      </c>
      <c r="BC201" t="s">
        <v>1585</v>
      </c>
      <c r="BD201" t="s">
        <v>1586</v>
      </c>
      <c r="BE201">
        <v>0</v>
      </c>
      <c r="BF201">
        <v>0</v>
      </c>
      <c r="BG201">
        <v>0</v>
      </c>
      <c r="BH201">
        <v>0</v>
      </c>
      <c r="BI201">
        <v>0</v>
      </c>
      <c r="BJ201" t="s">
        <v>1652</v>
      </c>
      <c r="BK201">
        <v>0</v>
      </c>
      <c r="BL201" t="s">
        <v>132</v>
      </c>
      <c r="BM201">
        <v>0</v>
      </c>
      <c r="BN201">
        <f>Tabla1[[#This Row],[precio del paquete]]</f>
        <v>14800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 t="s">
        <v>0</v>
      </c>
      <c r="BX201" t="s">
        <v>1</v>
      </c>
      <c r="BY201" t="s">
        <v>1</v>
      </c>
      <c r="BZ201" t="s">
        <v>1</v>
      </c>
      <c r="CA201" t="s">
        <v>1</v>
      </c>
      <c r="CB201" t="s">
        <v>1661</v>
      </c>
      <c r="CD201" t="str" cm="1">
        <f t="array" aca="1" ref="CD201" ca="1">eConcatenar(A201:CB201,"|")</f>
        <v>n7mNNZmMUn0yzVGp|VSA2021-1689|3|MEMORIAL|TABASCO|VILLAHERMOSA|VILLAHERMOSA|2021-09-10|14800|x|x|100|2|0|0|0|0|0|0|0|0|0|0|0|0|0|0|AGUILAR|RODRIGUEZ|OSCAR FERNANDO|soltero|0|0|CALLE EJIDO SECCION ABANICO NUMERO 219|COLONIA EL TRIUNFO|0|9933406230|0|0|0|CALLE EJIDO SECCION ABANICO NUMERO 219|x|lunes|0|0|0|0|0|DOMICILIO |2400|12400|x|x|x|2022-04-03|2022-04-10|0|0|0|0|0|S35D6LBI9KVTQO|0|HOMBRE|0|14800|0|0|0|0|0|0|0|0|CARDENAS|X|X|X|X|FINAL</v>
      </c>
    </row>
    <row r="202" spans="1:82" x14ac:dyDescent="0.25">
      <c r="A202" t="s">
        <v>336</v>
      </c>
      <c r="B202" t="s">
        <v>581</v>
      </c>
      <c r="C202">
        <v>3</v>
      </c>
      <c r="D202" t="s">
        <v>634</v>
      </c>
      <c r="E202" t="s">
        <v>643</v>
      </c>
      <c r="F202" t="s">
        <v>644</v>
      </c>
      <c r="G202" t="s">
        <v>644</v>
      </c>
      <c r="H202" t="s">
        <v>906</v>
      </c>
      <c r="I202">
        <v>14800</v>
      </c>
      <c r="J202" t="s">
        <v>3</v>
      </c>
      <c r="K202" t="s">
        <v>3</v>
      </c>
      <c r="L202">
        <v>100</v>
      </c>
      <c r="M202">
        <v>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1286</v>
      </c>
      <c r="AC202" t="s">
        <v>1062</v>
      </c>
      <c r="AD202" s="18" t="s">
        <v>1287</v>
      </c>
      <c r="AE202" t="s">
        <v>1356</v>
      </c>
      <c r="AF202">
        <v>0</v>
      </c>
      <c r="AG202">
        <v>0</v>
      </c>
      <c r="AH202" t="s">
        <v>1532</v>
      </c>
      <c r="AI202" t="s">
        <v>764</v>
      </c>
      <c r="AJ202">
        <v>0</v>
      </c>
      <c r="AK202">
        <v>9361216773</v>
      </c>
      <c r="AL202">
        <v>0</v>
      </c>
      <c r="AM202">
        <v>0</v>
      </c>
      <c r="AN202">
        <v>0</v>
      </c>
      <c r="AO202" t="s">
        <v>1532</v>
      </c>
      <c r="AP202" t="s">
        <v>3</v>
      </c>
      <c r="AQ202" t="s">
        <v>1581</v>
      </c>
      <c r="AR202">
        <v>0</v>
      </c>
      <c r="AS202">
        <v>0</v>
      </c>
      <c r="AT202">
        <v>0</v>
      </c>
      <c r="AU202">
        <v>0</v>
      </c>
      <c r="AV202">
        <v>0</v>
      </c>
      <c r="AW202" t="s">
        <v>11</v>
      </c>
      <c r="AX202">
        <f>Tabla1[[#This Row],[precio del paquete]]-Tabla1[[#This Row],[Saldo_Deudor]]</f>
        <v>500</v>
      </c>
      <c r="AY202">
        <v>14300</v>
      </c>
      <c r="AZ202" t="s">
        <v>3</v>
      </c>
      <c r="BA202" t="s">
        <v>3</v>
      </c>
      <c r="BB202" t="s">
        <v>3</v>
      </c>
      <c r="BC202" t="s">
        <v>913</v>
      </c>
      <c r="BD202" t="s">
        <v>1592</v>
      </c>
      <c r="BE202">
        <v>0</v>
      </c>
      <c r="BF202">
        <v>0</v>
      </c>
      <c r="BG202">
        <v>0</v>
      </c>
      <c r="BH202">
        <v>0</v>
      </c>
      <c r="BI202">
        <v>0</v>
      </c>
      <c r="BJ202" t="s">
        <v>1652</v>
      </c>
      <c r="BK202">
        <v>0</v>
      </c>
      <c r="BL202" t="s">
        <v>132</v>
      </c>
      <c r="BM202">
        <v>0</v>
      </c>
      <c r="BN202">
        <f>Tabla1[[#This Row],[precio del paquete]]</f>
        <v>14800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 t="s">
        <v>0</v>
      </c>
      <c r="BX202" t="s">
        <v>1</v>
      </c>
      <c r="BY202" t="s">
        <v>1</v>
      </c>
      <c r="BZ202" t="s">
        <v>1</v>
      </c>
      <c r="CA202" t="s">
        <v>1</v>
      </c>
      <c r="CB202" t="s">
        <v>1661</v>
      </c>
      <c r="CD202" t="str" cm="1">
        <f t="array" aca="1" ref="CD202" ca="1">eConcatenar(A202:CB202,"|")</f>
        <v>xUq9TyDW6Pe5LGMT|VSA2022-0173|3|MEMORIAL|TABASCO|VILLAHERMOSA|VILLAHERMOSA|2022-11-02|14800|x|x|100|2|0|0|0|0|0|0|0|0|0|0|0|0|0|0|TRINIDAD|ALVAREZ|REMIGIO|soltero|0|0|ANDADOR LAGUNA 1 MANZANA 26 LOTE 12|COLONIA LA MANGA TERCERA|0|9361216773|0|0|0|ANDADOR LAGUNA 1 MANZANA 26 LOTE 12|x|lunes|0|0|0|0|0|DOMICILIO |500|14300|x|x|x|2022-05-03|2022-05-10|0|0|0|0|0|S35D6LBI9KVTQO|0|HOMBRE|0|14800|0|0|0|0|0|0|0|0|CARDENAS|X|X|X|X|FINAL</v>
      </c>
    </row>
    <row r="203" spans="1:82" x14ac:dyDescent="0.25">
      <c r="A203" t="s">
        <v>337</v>
      </c>
      <c r="B203" t="s">
        <v>582</v>
      </c>
      <c r="C203">
        <v>3</v>
      </c>
      <c r="D203" t="s">
        <v>634</v>
      </c>
      <c r="E203" t="s">
        <v>643</v>
      </c>
      <c r="F203" t="s">
        <v>644</v>
      </c>
      <c r="G203" t="s">
        <v>644</v>
      </c>
      <c r="H203" t="s">
        <v>933</v>
      </c>
      <c r="I203">
        <v>14800</v>
      </c>
      <c r="J203" t="s">
        <v>3</v>
      </c>
      <c r="K203" t="s">
        <v>3</v>
      </c>
      <c r="L203">
        <v>100</v>
      </c>
      <c r="M203">
        <v>2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1041</v>
      </c>
      <c r="AC203" t="s">
        <v>1041</v>
      </c>
      <c r="AD203" s="18" t="s">
        <v>1094</v>
      </c>
      <c r="AE203" t="s">
        <v>1356</v>
      </c>
      <c r="AF203">
        <v>0</v>
      </c>
      <c r="AG203">
        <v>0</v>
      </c>
      <c r="AH203" t="s">
        <v>1533</v>
      </c>
      <c r="AI203" t="s">
        <v>765</v>
      </c>
      <c r="AJ203">
        <v>0</v>
      </c>
      <c r="AK203">
        <v>9934399510</v>
      </c>
      <c r="AL203">
        <v>0</v>
      </c>
      <c r="AM203">
        <v>0</v>
      </c>
      <c r="AN203">
        <v>0</v>
      </c>
      <c r="AO203" t="s">
        <v>1533</v>
      </c>
      <c r="AP203" t="s">
        <v>3</v>
      </c>
      <c r="AQ203" t="s">
        <v>1581</v>
      </c>
      <c r="AR203">
        <v>0</v>
      </c>
      <c r="AS203">
        <v>0</v>
      </c>
      <c r="AT203">
        <v>0</v>
      </c>
      <c r="AU203">
        <v>0</v>
      </c>
      <c r="AV203">
        <v>0</v>
      </c>
      <c r="AW203" t="s">
        <v>11</v>
      </c>
      <c r="AX203">
        <f>Tabla1[[#This Row],[precio del paquete]]-Tabla1[[#This Row],[Saldo_Deudor]]</f>
        <v>1200</v>
      </c>
      <c r="AY203">
        <v>13600</v>
      </c>
      <c r="AZ203" t="s">
        <v>3</v>
      </c>
      <c r="BA203" t="s">
        <v>3</v>
      </c>
      <c r="BB203" t="s">
        <v>3</v>
      </c>
      <c r="BC203" t="s">
        <v>913</v>
      </c>
      <c r="BD203" t="s">
        <v>1592</v>
      </c>
      <c r="BE203">
        <v>0</v>
      </c>
      <c r="BF203">
        <v>0</v>
      </c>
      <c r="BG203">
        <v>0</v>
      </c>
      <c r="BH203">
        <v>0</v>
      </c>
      <c r="BI203">
        <v>0</v>
      </c>
      <c r="BJ203" t="s">
        <v>1652</v>
      </c>
      <c r="BK203">
        <v>0</v>
      </c>
      <c r="BL203" t="s">
        <v>132</v>
      </c>
      <c r="BM203">
        <v>0</v>
      </c>
      <c r="BN203">
        <f>Tabla1[[#This Row],[precio del paquete]]</f>
        <v>14800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 t="s">
        <v>0</v>
      </c>
      <c r="BX203" t="s">
        <v>1</v>
      </c>
      <c r="BY203" t="s">
        <v>1</v>
      </c>
      <c r="BZ203" t="s">
        <v>1</v>
      </c>
      <c r="CA203" t="s">
        <v>1</v>
      </c>
      <c r="CB203" t="s">
        <v>1661</v>
      </c>
      <c r="CD203" t="str" cm="1">
        <f t="array" aca="1" ref="CD203" ca="1">eConcatenar(A203:CB203,"|")</f>
        <v>BcLbFlJ3dUE4UNpW|VSA2021-1937|3|MEMORIAL|TABASCO|VILLAHERMOSA|VILLAHERMOSA|2021-01-12|14800|x|x|100|2|0|0|0|0|0|0|0|0|0|0|0|0|0|0|JIMENEZ|JIMENEZ|CANDELARIA|soltero|0|0|CALLE LAGUNA DEL ESPEJO 309 INTERIOR 1|COLONIA 18 DE MARZO|0|9934399510|0|0|0|CALLE LAGUNA DEL ESPEJO 309 INTERIOR 1|x|lunes|0|0|0|0|0|DOMICILIO |1200|13600|x|x|x|2022-05-03|2022-05-10|0|0|0|0|0|S35D6LBI9KVTQO|0|HOMBRE|0|14800|0|0|0|0|0|0|0|0|CARDENAS|X|X|X|X|FINAL</v>
      </c>
    </row>
    <row r="204" spans="1:82" x14ac:dyDescent="0.25">
      <c r="A204" t="s">
        <v>338</v>
      </c>
      <c r="B204" t="s">
        <v>583</v>
      </c>
      <c r="C204">
        <v>3</v>
      </c>
      <c r="D204" t="s">
        <v>634</v>
      </c>
      <c r="E204" t="s">
        <v>643</v>
      </c>
      <c r="F204" t="s">
        <v>644</v>
      </c>
      <c r="G204" t="s">
        <v>644</v>
      </c>
      <c r="H204" t="s">
        <v>934</v>
      </c>
      <c r="I204">
        <v>14800</v>
      </c>
      <c r="J204" t="s">
        <v>3</v>
      </c>
      <c r="K204" t="s">
        <v>3</v>
      </c>
      <c r="L204">
        <v>100</v>
      </c>
      <c r="M204">
        <v>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1052</v>
      </c>
      <c r="AC204" t="s">
        <v>1288</v>
      </c>
      <c r="AD204" s="18" t="s">
        <v>1289</v>
      </c>
      <c r="AE204" t="s">
        <v>1356</v>
      </c>
      <c r="AF204">
        <v>0</v>
      </c>
      <c r="AG204">
        <v>0</v>
      </c>
      <c r="AH204" t="s">
        <v>1534</v>
      </c>
      <c r="AI204" t="s">
        <v>757</v>
      </c>
      <c r="AJ204">
        <v>0</v>
      </c>
      <c r="AK204">
        <v>9934372561</v>
      </c>
      <c r="AL204">
        <v>0</v>
      </c>
      <c r="AM204">
        <v>0</v>
      </c>
      <c r="AN204">
        <v>0</v>
      </c>
      <c r="AO204" t="s">
        <v>1534</v>
      </c>
      <c r="AP204" t="s">
        <v>3</v>
      </c>
      <c r="AQ204" t="s">
        <v>1581</v>
      </c>
      <c r="AR204">
        <v>0</v>
      </c>
      <c r="AS204">
        <v>0</v>
      </c>
      <c r="AT204">
        <v>0</v>
      </c>
      <c r="AU204">
        <v>0</v>
      </c>
      <c r="AV204">
        <v>0</v>
      </c>
      <c r="AW204" t="s">
        <v>11</v>
      </c>
      <c r="AX204">
        <f>Tabla1[[#This Row],[precio del paquete]]-Tabla1[[#This Row],[Saldo_Deudor]]</f>
        <v>2000</v>
      </c>
      <c r="AY204">
        <v>12800</v>
      </c>
      <c r="AZ204" t="s">
        <v>3</v>
      </c>
      <c r="BA204" t="s">
        <v>3</v>
      </c>
      <c r="BB204" t="s">
        <v>3</v>
      </c>
      <c r="BC204" t="s">
        <v>913</v>
      </c>
      <c r="BD204" t="s">
        <v>1592</v>
      </c>
      <c r="BE204">
        <v>0</v>
      </c>
      <c r="BF204">
        <v>0</v>
      </c>
      <c r="BG204">
        <v>0</v>
      </c>
      <c r="BH204">
        <v>0</v>
      </c>
      <c r="BI204">
        <v>0</v>
      </c>
      <c r="BJ204" t="s">
        <v>1652</v>
      </c>
      <c r="BK204">
        <v>0</v>
      </c>
      <c r="BL204" t="s">
        <v>132</v>
      </c>
      <c r="BM204">
        <v>0</v>
      </c>
      <c r="BN204">
        <f>Tabla1[[#This Row],[precio del paquete]]</f>
        <v>14800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 t="s">
        <v>0</v>
      </c>
      <c r="BX204" t="s">
        <v>1</v>
      </c>
      <c r="BY204" t="s">
        <v>1</v>
      </c>
      <c r="BZ204" t="s">
        <v>1</v>
      </c>
      <c r="CA204" t="s">
        <v>1</v>
      </c>
      <c r="CB204" t="s">
        <v>1661</v>
      </c>
      <c r="CD204" t="str" cm="1">
        <f t="array" aca="1" ref="CD204" ca="1">eConcatenar(A204:CB204,"|")</f>
        <v>SHJ7ZPXWUHYTWER9|VSA2021-1935|3|MEMORIAL|TABASCO|VILLAHERMOSA|VILLAHERMOSA|2021-11-30|14800|x|x|100|2|0|0|0|0|0|0|0|0|0|0|0|0|0|0|CASTILLO|SOBERANO|MARTHA GABRIELA|soltero|0|0|CALLE LAGUNA DEL ESPEJO NUMERO 428 INTERIOR 4|COLONIA GUADALUPE BORJA|0|9934372561|0|0|0|CALLE LAGUNA DEL ESPEJO NUMERO 428 INTERIOR 4|x|lunes|0|0|0|0|0|DOMICILIO |2000|12800|x|x|x|2022-05-03|2022-05-10|0|0|0|0|0|S35D6LBI9KVTQO|0|HOMBRE|0|14800|0|0|0|0|0|0|0|0|CARDENAS|X|X|X|X|FINAL</v>
      </c>
    </row>
    <row r="205" spans="1:82" x14ac:dyDescent="0.25">
      <c r="A205" t="s">
        <v>339</v>
      </c>
      <c r="B205" t="s">
        <v>584</v>
      </c>
      <c r="C205">
        <v>3</v>
      </c>
      <c r="D205" t="s">
        <v>634</v>
      </c>
      <c r="E205" t="s">
        <v>643</v>
      </c>
      <c r="F205" t="s">
        <v>644</v>
      </c>
      <c r="G205" t="s">
        <v>644</v>
      </c>
      <c r="H205" t="s">
        <v>935</v>
      </c>
      <c r="I205">
        <v>14800</v>
      </c>
      <c r="J205" t="s">
        <v>3</v>
      </c>
      <c r="K205" t="s">
        <v>3</v>
      </c>
      <c r="L205">
        <v>100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7</v>
      </c>
      <c r="AC205" t="s">
        <v>985</v>
      </c>
      <c r="AD205" s="18" t="s">
        <v>1290</v>
      </c>
      <c r="AE205" t="s">
        <v>1356</v>
      </c>
      <c r="AF205">
        <v>0</v>
      </c>
      <c r="AG205">
        <v>0</v>
      </c>
      <c r="AH205" t="s">
        <v>1535</v>
      </c>
      <c r="AI205" t="s">
        <v>667</v>
      </c>
      <c r="AJ205">
        <v>0</v>
      </c>
      <c r="AK205">
        <v>9931766832</v>
      </c>
      <c r="AL205">
        <v>0</v>
      </c>
      <c r="AM205">
        <v>0</v>
      </c>
      <c r="AN205">
        <v>0</v>
      </c>
      <c r="AO205" t="s">
        <v>1535</v>
      </c>
      <c r="AP205" t="s">
        <v>3</v>
      </c>
      <c r="AQ205" t="s">
        <v>1581</v>
      </c>
      <c r="AR205">
        <v>0</v>
      </c>
      <c r="AS205">
        <v>0</v>
      </c>
      <c r="AT205">
        <v>0</v>
      </c>
      <c r="AU205">
        <v>0</v>
      </c>
      <c r="AV205">
        <v>0</v>
      </c>
      <c r="AW205" t="s">
        <v>11</v>
      </c>
      <c r="AX205">
        <f>Tabla1[[#This Row],[precio del paquete]]-Tabla1[[#This Row],[Saldo_Deudor]]</f>
        <v>500</v>
      </c>
      <c r="AY205">
        <v>14300</v>
      </c>
      <c r="AZ205" t="s">
        <v>3</v>
      </c>
      <c r="BA205" t="s">
        <v>3</v>
      </c>
      <c r="BB205" t="s">
        <v>3</v>
      </c>
      <c r="BC205" t="s">
        <v>1585</v>
      </c>
      <c r="BD205" t="s">
        <v>1586</v>
      </c>
      <c r="BE205">
        <v>0</v>
      </c>
      <c r="BF205">
        <v>0</v>
      </c>
      <c r="BG205">
        <v>0</v>
      </c>
      <c r="BH205">
        <v>0</v>
      </c>
      <c r="BI205">
        <v>0</v>
      </c>
      <c r="BJ205" t="s">
        <v>1652</v>
      </c>
      <c r="BK205">
        <v>0</v>
      </c>
      <c r="BL205" t="s">
        <v>132</v>
      </c>
      <c r="BM205">
        <v>0</v>
      </c>
      <c r="BN205">
        <f>Tabla1[[#This Row],[precio del paquete]]</f>
        <v>14800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 t="s">
        <v>0</v>
      </c>
      <c r="BX205" t="s">
        <v>1</v>
      </c>
      <c r="BY205" t="s">
        <v>1</v>
      </c>
      <c r="BZ205" t="s">
        <v>1</v>
      </c>
      <c r="CA205" t="s">
        <v>1</v>
      </c>
      <c r="CB205" t="s">
        <v>1661</v>
      </c>
      <c r="CD205" t="str" cm="1">
        <f t="array" aca="1" ref="CD205" ca="1">eConcatenar(A205:CB205,"|")</f>
        <v>i5OnDteGDfgbIeiv|VSA2021-1824|3|MEMORIAL|TABASCO|VILLAHERMOSA|VILLAHERMOSA|2021-10-11|14800|x|x|100|1|0|0|0|0|0|0|0|0|0|0|0|0|0|0|LOPEZ|PEREZ|ANGEL YURIDIANO|soltero|0|0|CALLE GEOGRAFOS NUMERO 401|COLONIA GAVIOTAS SUR|0|9931766832|0|0|0|CALLE GEOGRAFOS NUMERO 401|x|lunes|0|0|0|0|0|DOMICILIO |500|14300|x|x|x|2022-04-03|2022-04-10|0|0|0|0|0|S35D6LBI9KVTQO|0|HOMBRE|0|14800|0|0|0|0|0|0|0|0|CARDENAS|X|X|X|X|FINAL</v>
      </c>
    </row>
    <row r="206" spans="1:82" x14ac:dyDescent="0.25">
      <c r="A206" t="s">
        <v>340</v>
      </c>
      <c r="B206" t="s">
        <v>585</v>
      </c>
      <c r="C206">
        <v>3</v>
      </c>
      <c r="D206" t="s">
        <v>634</v>
      </c>
      <c r="E206" t="s">
        <v>643</v>
      </c>
      <c r="F206" t="s">
        <v>644</v>
      </c>
      <c r="G206" t="s">
        <v>644</v>
      </c>
      <c r="H206" t="s">
        <v>897</v>
      </c>
      <c r="I206">
        <v>14800</v>
      </c>
      <c r="J206" t="s">
        <v>3</v>
      </c>
      <c r="K206" t="s">
        <v>3</v>
      </c>
      <c r="L206">
        <v>100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1291</v>
      </c>
      <c r="AC206" t="s">
        <v>1292</v>
      </c>
      <c r="AD206" s="18" t="s">
        <v>1216</v>
      </c>
      <c r="AE206" t="s">
        <v>1356</v>
      </c>
      <c r="AF206">
        <v>0</v>
      </c>
      <c r="AG206">
        <v>0</v>
      </c>
      <c r="AH206" t="s">
        <v>1536</v>
      </c>
      <c r="AI206" t="s">
        <v>730</v>
      </c>
      <c r="AJ206">
        <v>0</v>
      </c>
      <c r="AK206">
        <v>9988902006</v>
      </c>
      <c r="AL206">
        <v>0</v>
      </c>
      <c r="AM206">
        <v>0</v>
      </c>
      <c r="AN206">
        <v>0</v>
      </c>
      <c r="AO206" t="s">
        <v>1536</v>
      </c>
      <c r="AP206" t="s">
        <v>3</v>
      </c>
      <c r="AQ206" t="s">
        <v>1581</v>
      </c>
      <c r="AR206">
        <v>0</v>
      </c>
      <c r="AS206">
        <v>0</v>
      </c>
      <c r="AT206">
        <v>0</v>
      </c>
      <c r="AU206">
        <v>0</v>
      </c>
      <c r="AV206">
        <v>0</v>
      </c>
      <c r="AW206" t="s">
        <v>11</v>
      </c>
      <c r="AX206">
        <v>0</v>
      </c>
      <c r="AY206">
        <v>22800</v>
      </c>
      <c r="AZ206" t="s">
        <v>3</v>
      </c>
      <c r="BA206" t="s">
        <v>3</v>
      </c>
      <c r="BB206" t="s">
        <v>3</v>
      </c>
      <c r="BC206" t="s">
        <v>1585</v>
      </c>
      <c r="BD206" t="s">
        <v>1586</v>
      </c>
      <c r="BE206">
        <v>0</v>
      </c>
      <c r="BF206">
        <v>0</v>
      </c>
      <c r="BG206">
        <v>0</v>
      </c>
      <c r="BH206">
        <v>0</v>
      </c>
      <c r="BI206">
        <v>0</v>
      </c>
      <c r="BJ206" t="s">
        <v>1652</v>
      </c>
      <c r="BK206">
        <v>0</v>
      </c>
      <c r="BL206" t="s">
        <v>132</v>
      </c>
      <c r="BM206">
        <v>0</v>
      </c>
      <c r="BN206">
        <f>Tabla1[[#This Row],[precio del paquete]]</f>
        <v>14800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 t="s">
        <v>0</v>
      </c>
      <c r="BX206" t="s">
        <v>1</v>
      </c>
      <c r="BY206" t="s">
        <v>1</v>
      </c>
      <c r="BZ206" t="s">
        <v>1</v>
      </c>
      <c r="CA206" t="s">
        <v>1</v>
      </c>
      <c r="CB206" t="s">
        <v>1661</v>
      </c>
      <c r="CD206" t="str" cm="1">
        <f t="array" aca="1" ref="CD206" ca="1">eConcatenar(A206:CB206,"|")</f>
        <v>hbnhdHmRlYcrDkSi|VSA2021-6482|3|MEMORIAL|TABASCO|VILLAHERMOSA|VILLAHERMOSA|2021-10-28|14800|x|x|100|1|0|0|0|0|0|0|0|0|0|0|0|0|0|0|ARANGUREN|OSORIO|CARLOS|soltero|0|0|CALLE SANCHEZ MAGALLANES NUMERO 807 -3|COLONIA CENTRO VILLA HERMOSA|0|9988902006|0|0|0|CALLE SANCHEZ MAGALLANES NUMERO 807 -3|x|lunes|0|0|0|0|0|DOMICILIO |0|22800|x|x|x|2022-04-03|2022-04-10|0|0|0|0|0|S35D6LBI9KVTQO|0|HOMBRE|0|14800|0|0|0|0|0|0|0|0|CARDENAS|X|X|X|X|FINAL</v>
      </c>
    </row>
    <row r="207" spans="1:82" x14ac:dyDescent="0.25">
      <c r="A207" t="s">
        <v>341</v>
      </c>
      <c r="B207" t="s">
        <v>586</v>
      </c>
      <c r="C207">
        <v>3</v>
      </c>
      <c r="D207" t="s">
        <v>639</v>
      </c>
      <c r="E207" t="s">
        <v>643</v>
      </c>
      <c r="F207" t="s">
        <v>644</v>
      </c>
      <c r="G207" t="s">
        <v>644</v>
      </c>
      <c r="H207" t="s">
        <v>910</v>
      </c>
      <c r="I207">
        <v>35000</v>
      </c>
      <c r="J207" t="s">
        <v>3</v>
      </c>
      <c r="K207" t="s">
        <v>3</v>
      </c>
      <c r="L207">
        <v>100</v>
      </c>
      <c r="M207">
        <v>1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988</v>
      </c>
      <c r="AC207" t="s">
        <v>8</v>
      </c>
      <c r="AD207" s="18" t="s">
        <v>1279</v>
      </c>
      <c r="AE207" t="s">
        <v>1356</v>
      </c>
      <c r="AF207">
        <v>0</v>
      </c>
      <c r="AG207">
        <v>0</v>
      </c>
      <c r="AH207" t="s">
        <v>1537</v>
      </c>
      <c r="AI207" t="s">
        <v>766</v>
      </c>
      <c r="AJ207">
        <v>0</v>
      </c>
      <c r="AK207">
        <v>9931201680</v>
      </c>
      <c r="AL207">
        <v>0</v>
      </c>
      <c r="AM207">
        <v>0</v>
      </c>
      <c r="AN207">
        <v>0</v>
      </c>
      <c r="AO207" t="s">
        <v>1537</v>
      </c>
      <c r="AP207" t="s">
        <v>3</v>
      </c>
      <c r="AQ207" t="s">
        <v>1581</v>
      </c>
      <c r="AR207">
        <v>0</v>
      </c>
      <c r="AS207">
        <v>0</v>
      </c>
      <c r="AT207">
        <v>0</v>
      </c>
      <c r="AU207">
        <v>0</v>
      </c>
      <c r="AV207">
        <v>0</v>
      </c>
      <c r="AW207" t="s">
        <v>11</v>
      </c>
      <c r="AX207">
        <f>Tabla1[[#This Row],[precio del paquete]]-Tabla1[[#This Row],[Saldo_Deudor]]</f>
        <v>1200</v>
      </c>
      <c r="AY207">
        <v>33800</v>
      </c>
      <c r="AZ207" t="s">
        <v>3</v>
      </c>
      <c r="BA207" t="s">
        <v>3</v>
      </c>
      <c r="BB207" t="s">
        <v>3</v>
      </c>
      <c r="BC207" t="s">
        <v>1585</v>
      </c>
      <c r="BD207" t="s">
        <v>1586</v>
      </c>
      <c r="BE207">
        <v>0</v>
      </c>
      <c r="BF207">
        <v>0</v>
      </c>
      <c r="BG207">
        <v>0</v>
      </c>
      <c r="BH207">
        <v>0</v>
      </c>
      <c r="BI207">
        <v>0</v>
      </c>
      <c r="BJ207" t="s">
        <v>1652</v>
      </c>
      <c r="BK207">
        <v>0</v>
      </c>
      <c r="BL207" t="s">
        <v>132</v>
      </c>
      <c r="BM207">
        <v>0</v>
      </c>
      <c r="BN207">
        <f>Tabla1[[#This Row],[precio del paquete]]</f>
        <v>35000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 t="s">
        <v>0</v>
      </c>
      <c r="BX207" t="s">
        <v>1</v>
      </c>
      <c r="BY207" t="s">
        <v>1</v>
      </c>
      <c r="BZ207" t="s">
        <v>1</v>
      </c>
      <c r="CA207" t="s">
        <v>1</v>
      </c>
      <c r="CB207" t="s">
        <v>1661</v>
      </c>
      <c r="CD207" t="str" cm="1">
        <f t="array" aca="1" ref="CD207" ca="1">eConcatenar(A207:CB207,"|")</f>
        <v>wI56ttGUuolvHFV3|VSA2021-1967|3|DELUX|TABASCO|VILLAHERMOSA|VILLAHERMOSA|2021-11-12|35000|x|x|100|1|0|0|0|0|0|0|0|0|0|0|0|0|0|0|CAMARA|GOMEZ|VICTOR MANUEL|soltero|0|0|CALLE PRINCIPAL CASA COLOR AZUL|RANCHERIA ANACLETO CANABAL CAURTA SECCION|0|9931201680|0|0|0|CALLE PRINCIPAL CASA COLOR AZUL|x|lunes|0|0|0|0|0|DOMICILIO |1200|33800|x|x|x|2022-04-03|2022-04-10|0|0|0|0|0|S35D6LBI9KVTQO|0|HOMBRE|0|35000|0|0|0|0|0|0|0|0|CARDENAS|X|X|X|X|FINAL</v>
      </c>
    </row>
    <row r="208" spans="1:82" x14ac:dyDescent="0.25">
      <c r="A208" t="s">
        <v>342</v>
      </c>
      <c r="B208" t="s">
        <v>587</v>
      </c>
      <c r="C208">
        <v>3</v>
      </c>
      <c r="D208" t="s">
        <v>634</v>
      </c>
      <c r="E208" t="s">
        <v>643</v>
      </c>
      <c r="F208" t="s">
        <v>644</v>
      </c>
      <c r="G208" t="s">
        <v>644</v>
      </c>
      <c r="H208" t="s">
        <v>936</v>
      </c>
      <c r="I208">
        <v>14800</v>
      </c>
      <c r="J208" t="s">
        <v>3</v>
      </c>
      <c r="K208" t="s">
        <v>3</v>
      </c>
      <c r="L208">
        <v>100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1025</v>
      </c>
      <c r="AC208" t="s">
        <v>1293</v>
      </c>
      <c r="AD208" s="18" t="s">
        <v>1294</v>
      </c>
      <c r="AE208" t="s">
        <v>1356</v>
      </c>
      <c r="AF208">
        <v>0</v>
      </c>
      <c r="AG208">
        <v>0</v>
      </c>
      <c r="AH208" t="s">
        <v>1538</v>
      </c>
      <c r="AI208" t="s">
        <v>767</v>
      </c>
      <c r="AJ208">
        <v>0</v>
      </c>
      <c r="AK208">
        <v>9934038147</v>
      </c>
      <c r="AL208">
        <v>0</v>
      </c>
      <c r="AM208">
        <v>0</v>
      </c>
      <c r="AN208">
        <v>0</v>
      </c>
      <c r="AO208" t="s">
        <v>1538</v>
      </c>
      <c r="AP208" t="s">
        <v>3</v>
      </c>
      <c r="AQ208" t="s">
        <v>1581</v>
      </c>
      <c r="AR208">
        <v>0</v>
      </c>
      <c r="AS208">
        <v>0</v>
      </c>
      <c r="AT208">
        <v>0</v>
      </c>
      <c r="AU208">
        <v>0</v>
      </c>
      <c r="AV208">
        <v>0</v>
      </c>
      <c r="AW208" t="s">
        <v>11</v>
      </c>
      <c r="AX208">
        <f>Tabla1[[#This Row],[precio del paquete]]-Tabla1[[#This Row],[Saldo_Deudor]]</f>
        <v>1700</v>
      </c>
      <c r="AY208">
        <v>13100</v>
      </c>
      <c r="AZ208" t="s">
        <v>3</v>
      </c>
      <c r="BA208" t="s">
        <v>3</v>
      </c>
      <c r="BB208" t="s">
        <v>3</v>
      </c>
      <c r="BC208" t="s">
        <v>1585</v>
      </c>
      <c r="BD208" t="s">
        <v>1586</v>
      </c>
      <c r="BE208">
        <v>0</v>
      </c>
      <c r="BF208">
        <v>0</v>
      </c>
      <c r="BG208">
        <v>0</v>
      </c>
      <c r="BH208">
        <v>0</v>
      </c>
      <c r="BI208">
        <v>0</v>
      </c>
      <c r="BJ208" t="s">
        <v>1652</v>
      </c>
      <c r="BK208">
        <v>0</v>
      </c>
      <c r="BL208" t="s">
        <v>132</v>
      </c>
      <c r="BM208">
        <v>0</v>
      </c>
      <c r="BN208">
        <f>Tabla1[[#This Row],[precio del paquete]]</f>
        <v>14800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 t="s">
        <v>0</v>
      </c>
      <c r="BX208" t="s">
        <v>1</v>
      </c>
      <c r="BY208" t="s">
        <v>1</v>
      </c>
      <c r="BZ208" t="s">
        <v>1</v>
      </c>
      <c r="CA208" t="s">
        <v>1</v>
      </c>
      <c r="CB208" t="s">
        <v>1661</v>
      </c>
      <c r="CD208" t="str" cm="1">
        <f t="array" aca="1" ref="CD208" ca="1">eConcatenar(A208:CB208,"|")</f>
        <v>ZirhpR5p2OqV1YDl|VSA2021-1535|3|MEMORIAL|TABASCO|VILLAHERMOSA|VILLAHERMOSA|2021-09-15|14800|x|x|100|1|0|0|0|0|0|0|0|0|0|0|0|0|0|0|RUIZ|ZARATE|CARLOS ALBERTO|soltero|0|0|ESCRITORES NUMERO 310|EXPLANADA COLONIA GAVIOTAS SUR |0|9934038147|0|0|0|ESCRITORES NUMERO 310|x|lunes|0|0|0|0|0|DOMICILIO |1700|13100|x|x|x|2022-04-03|2022-04-10|0|0|0|0|0|S35D6LBI9KVTQO|0|HOMBRE|0|14800|0|0|0|0|0|0|0|0|CARDENAS|X|X|X|X|FINAL</v>
      </c>
    </row>
    <row r="209" spans="1:82" x14ac:dyDescent="0.25">
      <c r="A209" t="s">
        <v>343</v>
      </c>
      <c r="B209" t="s">
        <v>588</v>
      </c>
      <c r="C209">
        <v>3</v>
      </c>
      <c r="D209" t="s">
        <v>634</v>
      </c>
      <c r="E209" t="s">
        <v>643</v>
      </c>
      <c r="F209" t="s">
        <v>644</v>
      </c>
      <c r="G209" t="s">
        <v>644</v>
      </c>
      <c r="H209" t="s">
        <v>937</v>
      </c>
      <c r="I209">
        <v>14800</v>
      </c>
      <c r="J209" t="s">
        <v>3</v>
      </c>
      <c r="K209" t="s">
        <v>3</v>
      </c>
      <c r="L209">
        <v>100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985</v>
      </c>
      <c r="AC209" t="s">
        <v>1295</v>
      </c>
      <c r="AD209" s="18" t="s">
        <v>1296</v>
      </c>
      <c r="AE209" t="s">
        <v>1356</v>
      </c>
      <c r="AF209">
        <v>0</v>
      </c>
      <c r="AG209">
        <v>0</v>
      </c>
      <c r="AH209" t="s">
        <v>1539</v>
      </c>
      <c r="AI209" t="s">
        <v>667</v>
      </c>
      <c r="AJ209">
        <v>0</v>
      </c>
      <c r="AK209">
        <v>9932414948</v>
      </c>
      <c r="AL209">
        <v>0</v>
      </c>
      <c r="AM209">
        <v>0</v>
      </c>
      <c r="AN209">
        <v>0</v>
      </c>
      <c r="AO209" t="s">
        <v>1539</v>
      </c>
      <c r="AP209" t="s">
        <v>3</v>
      </c>
      <c r="AQ209" t="s">
        <v>1581</v>
      </c>
      <c r="AR209">
        <v>0</v>
      </c>
      <c r="AS209">
        <v>0</v>
      </c>
      <c r="AT209">
        <v>0</v>
      </c>
      <c r="AU209">
        <v>0</v>
      </c>
      <c r="AV209">
        <v>0</v>
      </c>
      <c r="AW209" t="s">
        <v>11</v>
      </c>
      <c r="AX209">
        <f>Tabla1[[#This Row],[precio del paquete]]-Tabla1[[#This Row],[Saldo_Deudor]]</f>
        <v>1400</v>
      </c>
      <c r="AY209">
        <v>13400</v>
      </c>
      <c r="AZ209" t="s">
        <v>3</v>
      </c>
      <c r="BA209" t="s">
        <v>3</v>
      </c>
      <c r="BB209" t="s">
        <v>3</v>
      </c>
      <c r="BC209" t="s">
        <v>1585</v>
      </c>
      <c r="BD209" t="s">
        <v>1586</v>
      </c>
      <c r="BE209">
        <v>0</v>
      </c>
      <c r="BF209">
        <v>0</v>
      </c>
      <c r="BG209">
        <v>0</v>
      </c>
      <c r="BH209">
        <v>0</v>
      </c>
      <c r="BI209">
        <v>0</v>
      </c>
      <c r="BJ209" t="s">
        <v>1652</v>
      </c>
      <c r="BK209">
        <v>0</v>
      </c>
      <c r="BL209" t="s">
        <v>132</v>
      </c>
      <c r="BM209">
        <v>0</v>
      </c>
      <c r="BN209">
        <f>Tabla1[[#This Row],[precio del paquete]]</f>
        <v>14800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 t="s">
        <v>0</v>
      </c>
      <c r="BX209" t="s">
        <v>1</v>
      </c>
      <c r="BY209" t="s">
        <v>1</v>
      </c>
      <c r="BZ209" t="s">
        <v>1</v>
      </c>
      <c r="CA209" t="s">
        <v>1</v>
      </c>
      <c r="CB209" t="s">
        <v>1661</v>
      </c>
      <c r="CD209" t="str" cm="1">
        <f t="array" aca="1" ref="CD209" ca="1">eConcatenar(A209:CB209,"|")</f>
        <v>P39bZoVO4GbNRJj7|VSA2021-1816|3|MEMORIAL|TABASCO|VILLAHERMOSA|VILLAHERMOSA|2021-07-11|14800|x|x|100|1|0|0|0|0|0|0|0|0|0|0|0|0|0|0|PEREZ|NARANJA|YSABEL|soltero|0|0|CALLE INGLATERRA NUMERO 207|COLONIA GAVIOTAS SUR|0|9932414948|0|0|0|CALLE INGLATERRA NUMERO 207|x|lunes|0|0|0|0|0|DOMICILIO |1400|13400|x|x|x|2022-04-03|2022-04-10|0|0|0|0|0|S35D6LBI9KVTQO|0|HOMBRE|0|14800|0|0|0|0|0|0|0|0|CARDENAS|X|X|X|X|FINAL</v>
      </c>
    </row>
    <row r="210" spans="1:82" x14ac:dyDescent="0.25">
      <c r="A210" t="s">
        <v>344</v>
      </c>
      <c r="B210" t="s">
        <v>589</v>
      </c>
      <c r="C210">
        <v>3</v>
      </c>
      <c r="D210" t="s">
        <v>634</v>
      </c>
      <c r="E210" t="s">
        <v>643</v>
      </c>
      <c r="F210" t="s">
        <v>644</v>
      </c>
      <c r="G210" t="s">
        <v>644</v>
      </c>
      <c r="H210" t="s">
        <v>938</v>
      </c>
      <c r="I210">
        <v>14800</v>
      </c>
      <c r="J210" t="s">
        <v>3</v>
      </c>
      <c r="K210" t="s">
        <v>3</v>
      </c>
      <c r="L210">
        <v>100</v>
      </c>
      <c r="M210">
        <v>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985</v>
      </c>
      <c r="AC210" t="s">
        <v>1063</v>
      </c>
      <c r="AD210" s="18" t="s">
        <v>1297</v>
      </c>
      <c r="AE210" t="s">
        <v>1356</v>
      </c>
      <c r="AF210">
        <v>0</v>
      </c>
      <c r="AG210">
        <v>0</v>
      </c>
      <c r="AH210" t="s">
        <v>1540</v>
      </c>
      <c r="AI210" t="s">
        <v>676</v>
      </c>
      <c r="AJ210">
        <v>0</v>
      </c>
      <c r="AK210">
        <v>9932018167</v>
      </c>
      <c r="AL210">
        <v>0</v>
      </c>
      <c r="AM210">
        <v>0</v>
      </c>
      <c r="AN210">
        <v>0</v>
      </c>
      <c r="AO210" t="s">
        <v>1540</v>
      </c>
      <c r="AP210" t="s">
        <v>3</v>
      </c>
      <c r="AQ210" t="s">
        <v>1581</v>
      </c>
      <c r="AR210">
        <v>0</v>
      </c>
      <c r="AS210">
        <v>0</v>
      </c>
      <c r="AT210">
        <v>0</v>
      </c>
      <c r="AU210">
        <v>0</v>
      </c>
      <c r="AV210">
        <v>0</v>
      </c>
      <c r="AW210" t="s">
        <v>11</v>
      </c>
      <c r="AX210">
        <f>Tabla1[[#This Row],[precio del paquete]]-Tabla1[[#This Row],[Saldo_Deudor]]</f>
        <v>400</v>
      </c>
      <c r="AY210">
        <v>14400</v>
      </c>
      <c r="AZ210" t="s">
        <v>3</v>
      </c>
      <c r="BA210" t="s">
        <v>3</v>
      </c>
      <c r="BB210" t="s">
        <v>3</v>
      </c>
      <c r="BC210" t="s">
        <v>1585</v>
      </c>
      <c r="BD210" t="s">
        <v>1586</v>
      </c>
      <c r="BE210">
        <v>0</v>
      </c>
      <c r="BF210">
        <v>0</v>
      </c>
      <c r="BG210">
        <v>0</v>
      </c>
      <c r="BH210">
        <v>0</v>
      </c>
      <c r="BI210">
        <v>0</v>
      </c>
      <c r="BJ210" t="s">
        <v>1652</v>
      </c>
      <c r="BK210">
        <v>0</v>
      </c>
      <c r="BL210" t="s">
        <v>132</v>
      </c>
      <c r="BM210">
        <v>0</v>
      </c>
      <c r="BN210">
        <f>Tabla1[[#This Row],[precio del paquete]]</f>
        <v>14800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 t="s">
        <v>0</v>
      </c>
      <c r="BX210" t="s">
        <v>1</v>
      </c>
      <c r="BY210" t="s">
        <v>1</v>
      </c>
      <c r="BZ210" t="s">
        <v>1</v>
      </c>
      <c r="CA210" t="s">
        <v>1</v>
      </c>
      <c r="CB210" t="s">
        <v>1661</v>
      </c>
      <c r="CD210" t="str" cm="1">
        <f t="array" aca="1" ref="CD210" ca="1">eConcatenar(A210:CB210,"|")</f>
        <v>uUFW4OcbomBaO0Re|VSA2022-0043|3|MEMORIAL|TABASCO|VILLAHERMOSA|VILLAHERMOSA|2022-01-18|14800|x|x|100|1|0|0|0|0|0|0|0|0|0|0|0|0|0|0|PEREZ|MENDEZ|JOSE JULIAN|soltero|0|0|CALLE JOSE MARRA BASTAR SASSSO|COLONIA GAVIOTAS NORTE|0|9932018167|0|0|0|CALLE JOSE MARRA BASTAR SASSSO|x|lunes|0|0|0|0|0|DOMICILIO |400|14400|x|x|x|2022-04-03|2022-04-10|0|0|0|0|0|S35D6LBI9KVTQO|0|HOMBRE|0|14800|0|0|0|0|0|0|0|0|CARDENAS|X|X|X|X|FINAL</v>
      </c>
    </row>
    <row r="211" spans="1:82" x14ac:dyDescent="0.25">
      <c r="A211" t="s">
        <v>345</v>
      </c>
      <c r="B211" t="s">
        <v>590</v>
      </c>
      <c r="C211">
        <v>3</v>
      </c>
      <c r="D211" t="s">
        <v>634</v>
      </c>
      <c r="E211" t="s">
        <v>643</v>
      </c>
      <c r="F211" t="s">
        <v>644</v>
      </c>
      <c r="G211" t="s">
        <v>644</v>
      </c>
      <c r="H211" t="s">
        <v>939</v>
      </c>
      <c r="I211">
        <v>14800</v>
      </c>
      <c r="J211" t="s">
        <v>3</v>
      </c>
      <c r="K211" t="s">
        <v>3</v>
      </c>
      <c r="L211">
        <v>100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1175</v>
      </c>
      <c r="AC211" t="s">
        <v>1009</v>
      </c>
      <c r="AD211" s="18" t="s">
        <v>1298</v>
      </c>
      <c r="AE211" t="s">
        <v>1356</v>
      </c>
      <c r="AF211">
        <v>0</v>
      </c>
      <c r="AG211">
        <v>0</v>
      </c>
      <c r="AH211" t="s">
        <v>1541</v>
      </c>
      <c r="AI211" t="s">
        <v>763</v>
      </c>
      <c r="AJ211">
        <v>0</v>
      </c>
      <c r="AK211">
        <v>9934064886</v>
      </c>
      <c r="AL211">
        <v>0</v>
      </c>
      <c r="AM211">
        <v>0</v>
      </c>
      <c r="AN211">
        <v>0</v>
      </c>
      <c r="AO211" t="s">
        <v>1541</v>
      </c>
      <c r="AP211" t="s">
        <v>3</v>
      </c>
      <c r="AQ211" t="s">
        <v>1581</v>
      </c>
      <c r="AR211">
        <v>0</v>
      </c>
      <c r="AS211">
        <v>0</v>
      </c>
      <c r="AT211">
        <v>0</v>
      </c>
      <c r="AU211">
        <v>0</v>
      </c>
      <c r="AV211">
        <v>0</v>
      </c>
      <c r="AW211" t="s">
        <v>11</v>
      </c>
      <c r="AX211">
        <f>Tabla1[[#This Row],[precio del paquete]]-Tabla1[[#This Row],[Saldo_Deudor]]</f>
        <v>2300</v>
      </c>
      <c r="AY211">
        <v>12500</v>
      </c>
      <c r="AZ211" t="s">
        <v>3</v>
      </c>
      <c r="BA211" t="s">
        <v>3</v>
      </c>
      <c r="BB211" t="s">
        <v>3</v>
      </c>
      <c r="BC211" t="s">
        <v>1585</v>
      </c>
      <c r="BD211" t="s">
        <v>1586</v>
      </c>
      <c r="BE211">
        <v>0</v>
      </c>
      <c r="BF211">
        <v>0</v>
      </c>
      <c r="BG211">
        <v>0</v>
      </c>
      <c r="BH211">
        <v>0</v>
      </c>
      <c r="BI211">
        <v>0</v>
      </c>
      <c r="BJ211" t="s">
        <v>1652</v>
      </c>
      <c r="BK211">
        <v>0</v>
      </c>
      <c r="BL211" t="s">
        <v>132</v>
      </c>
      <c r="BM211">
        <v>0</v>
      </c>
      <c r="BN211">
        <f>Tabla1[[#This Row],[precio del paquete]]</f>
        <v>14800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 t="s">
        <v>0</v>
      </c>
      <c r="BX211" t="s">
        <v>1</v>
      </c>
      <c r="BY211" t="s">
        <v>1</v>
      </c>
      <c r="BZ211" t="s">
        <v>1</v>
      </c>
      <c r="CA211" t="s">
        <v>1</v>
      </c>
      <c r="CB211" t="s">
        <v>1661</v>
      </c>
      <c r="CD211" t="str" cm="1">
        <f t="array" aca="1" ref="CD211" ca="1">eConcatenar(A211:CB211,"|")</f>
        <v>ZCBPFbMh2OPGj4mt|VSA2021-1756|3|MEMORIAL|TABASCO|VILLAHERMOSA|VILLAHERMOSA|2021-10-25|14800|x|x|100|1|0|0|0|0|0|0|0|0|0|0|0|0|0|0|VIDAL|RAMOS|DORA ELENA|soltero|0|0|CALLE CIRCUITO MUNICIPAL MANZANA 8 LOTE 7|COLONIA EL TRIUNFO|0|9934064886|0|0|0|CALLE CIRCUITO MUNICIPAL MANZANA 8 LOTE 7|x|lunes|0|0|0|0|0|DOMICILIO |2300|12500|x|x|x|2022-04-03|2022-04-10|0|0|0|0|0|S35D6LBI9KVTQO|0|HOMBRE|0|14800|0|0|0|0|0|0|0|0|CARDENAS|X|X|X|X|FINAL</v>
      </c>
    </row>
    <row r="212" spans="1:82" x14ac:dyDescent="0.25">
      <c r="A212" t="s">
        <v>346</v>
      </c>
      <c r="B212" t="s">
        <v>591</v>
      </c>
      <c r="C212">
        <v>3</v>
      </c>
      <c r="D212" t="s">
        <v>641</v>
      </c>
      <c r="E212" t="s">
        <v>643</v>
      </c>
      <c r="F212" t="s">
        <v>644</v>
      </c>
      <c r="G212" t="s">
        <v>644</v>
      </c>
      <c r="H212" t="s">
        <v>940</v>
      </c>
      <c r="I212">
        <v>12900</v>
      </c>
      <c r="J212" t="s">
        <v>3</v>
      </c>
      <c r="K212" t="s">
        <v>3</v>
      </c>
      <c r="L212">
        <v>100</v>
      </c>
      <c r="M212">
        <v>1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1299</v>
      </c>
      <c r="AC212" t="s">
        <v>1100</v>
      </c>
      <c r="AD212" s="18" t="s">
        <v>1300</v>
      </c>
      <c r="AE212" t="s">
        <v>1356</v>
      </c>
      <c r="AF212">
        <v>0</v>
      </c>
      <c r="AG212">
        <v>0</v>
      </c>
      <c r="AH212" t="s">
        <v>1542</v>
      </c>
      <c r="AI212" t="s">
        <v>768</v>
      </c>
      <c r="AJ212">
        <v>0</v>
      </c>
      <c r="AK212">
        <v>9932830650</v>
      </c>
      <c r="AL212">
        <v>0</v>
      </c>
      <c r="AM212">
        <v>0</v>
      </c>
      <c r="AN212">
        <v>0</v>
      </c>
      <c r="AO212" t="s">
        <v>1542</v>
      </c>
      <c r="AP212" t="s">
        <v>3</v>
      </c>
      <c r="AQ212" t="s">
        <v>1581</v>
      </c>
      <c r="AR212">
        <v>0</v>
      </c>
      <c r="AS212">
        <v>0</v>
      </c>
      <c r="AT212">
        <v>0</v>
      </c>
      <c r="AU212">
        <v>0</v>
      </c>
      <c r="AV212">
        <v>0</v>
      </c>
      <c r="AW212" t="s">
        <v>11</v>
      </c>
      <c r="AX212">
        <f>Tabla1[[#This Row],[precio del paquete]]-Tabla1[[#This Row],[Saldo_Deudor]]</f>
        <v>3950</v>
      </c>
      <c r="AY212">
        <v>8950</v>
      </c>
      <c r="AZ212" t="s">
        <v>3</v>
      </c>
      <c r="BA212" t="s">
        <v>3</v>
      </c>
      <c r="BB212" t="s">
        <v>3</v>
      </c>
      <c r="BC212" t="s">
        <v>1642</v>
      </c>
      <c r="BD212" t="s">
        <v>828</v>
      </c>
      <c r="BE212">
        <v>0</v>
      </c>
      <c r="BF212">
        <v>0</v>
      </c>
      <c r="BG212">
        <v>0</v>
      </c>
      <c r="BH212">
        <v>0</v>
      </c>
      <c r="BI212">
        <v>0</v>
      </c>
      <c r="BJ212" t="s">
        <v>1653</v>
      </c>
      <c r="BK212">
        <v>0</v>
      </c>
      <c r="BL212" t="s">
        <v>132</v>
      </c>
      <c r="BM212">
        <v>0</v>
      </c>
      <c r="BN212">
        <f>Tabla1[[#This Row],[precio del paquete]]</f>
        <v>12900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 t="s">
        <v>0</v>
      </c>
      <c r="BX212" t="s">
        <v>1</v>
      </c>
      <c r="BY212" t="s">
        <v>1</v>
      </c>
      <c r="BZ212" t="s">
        <v>1</v>
      </c>
      <c r="CA212" t="s">
        <v>1</v>
      </c>
      <c r="CB212" t="s">
        <v>1661</v>
      </c>
      <c r="CD212" t="str" cm="1">
        <f t="array" aca="1" ref="CD212" ca="1">eConcatenar(A212:CB212,"|")</f>
        <v>WCmkfeDqU0e6aVH7|VSA2019-0390|3|ECONOLINE|TABASCO|VILLAHERMOSA|VILLAHERMOSA|2019-07-16|12900|x|x|100|1|0|0|0|0|0|0|0|0|0|0|0|0|0|0|VANHER|RODRIGUEZ|MARTIN MANUEL|soltero|0|0|CALLE FRENTE AL CENTRO DE SALUD|RANCHERIA EL ZAPOTAL CENTRO|0|9932830650|0|0|0|CALLE FRENTE AL CENTRO DE SALUD|x|lunes|0|0|0|0|0|DOMICILIO |3950|8950|x|x|x|2022-02-21|2022-02-28|0|0|0|0|0|QYDRHV029KVTQO|0|HOMBRE|0|12900|0|0|0|0|0|0|0|0|CARDENAS|X|X|X|X|FINAL</v>
      </c>
    </row>
    <row r="213" spans="1:82" x14ac:dyDescent="0.25">
      <c r="A213" t="s">
        <v>347</v>
      </c>
      <c r="B213" t="s">
        <v>592</v>
      </c>
      <c r="C213">
        <v>3</v>
      </c>
      <c r="D213" t="s">
        <v>639</v>
      </c>
      <c r="E213" t="s">
        <v>643</v>
      </c>
      <c r="F213" t="s">
        <v>644</v>
      </c>
      <c r="G213" t="s">
        <v>644</v>
      </c>
      <c r="H213" t="s">
        <v>933</v>
      </c>
      <c r="I213">
        <v>35000</v>
      </c>
      <c r="J213" t="s">
        <v>3</v>
      </c>
      <c r="K213" t="s">
        <v>3</v>
      </c>
      <c r="L213">
        <v>100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1025</v>
      </c>
      <c r="AC213" t="s">
        <v>1080</v>
      </c>
      <c r="AD213" s="18" t="s">
        <v>1301</v>
      </c>
      <c r="AE213" t="s">
        <v>1356</v>
      </c>
      <c r="AF213">
        <v>0</v>
      </c>
      <c r="AG213">
        <v>0</v>
      </c>
      <c r="AH213" t="s">
        <v>1543</v>
      </c>
      <c r="AI213" t="s">
        <v>769</v>
      </c>
      <c r="AJ213">
        <v>0</v>
      </c>
      <c r="AK213">
        <v>9932239972</v>
      </c>
      <c r="AL213">
        <v>0</v>
      </c>
      <c r="AM213">
        <v>0</v>
      </c>
      <c r="AN213">
        <v>0</v>
      </c>
      <c r="AO213" t="s">
        <v>1543</v>
      </c>
      <c r="AP213" t="s">
        <v>3</v>
      </c>
      <c r="AQ213" t="s">
        <v>1581</v>
      </c>
      <c r="AR213">
        <v>0</v>
      </c>
      <c r="AS213">
        <v>0</v>
      </c>
      <c r="AT213">
        <v>0</v>
      </c>
      <c r="AU213">
        <v>0</v>
      </c>
      <c r="AV213">
        <v>0</v>
      </c>
      <c r="AW213" t="s">
        <v>11</v>
      </c>
      <c r="AX213">
        <f>Tabla1[[#This Row],[precio del paquete]]-Tabla1[[#This Row],[Saldo_Deudor]]</f>
        <v>2350</v>
      </c>
      <c r="AY213">
        <v>32650</v>
      </c>
      <c r="AZ213" t="s">
        <v>3</v>
      </c>
      <c r="BA213" t="s">
        <v>3</v>
      </c>
      <c r="BB213" t="s">
        <v>3</v>
      </c>
      <c r="BC213" t="s">
        <v>871</v>
      </c>
      <c r="BD213" t="s">
        <v>931</v>
      </c>
      <c r="BE213">
        <v>0</v>
      </c>
      <c r="BF213">
        <v>0</v>
      </c>
      <c r="BG213">
        <v>0</v>
      </c>
      <c r="BH213">
        <v>0</v>
      </c>
      <c r="BI213">
        <v>0</v>
      </c>
      <c r="BJ213" t="s">
        <v>1653</v>
      </c>
      <c r="BK213">
        <v>0</v>
      </c>
      <c r="BL213" t="s">
        <v>132</v>
      </c>
      <c r="BM213">
        <v>0</v>
      </c>
      <c r="BN213">
        <f>Tabla1[[#This Row],[precio del paquete]]</f>
        <v>35000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 t="s">
        <v>0</v>
      </c>
      <c r="BX213" t="s">
        <v>1</v>
      </c>
      <c r="BY213" t="s">
        <v>1</v>
      </c>
      <c r="BZ213" t="s">
        <v>1</v>
      </c>
      <c r="CA213" t="s">
        <v>1</v>
      </c>
      <c r="CB213" t="s">
        <v>1661</v>
      </c>
      <c r="CD213" t="str" cm="1">
        <f t="array" aca="1" ref="CD213" ca="1">eConcatenar(A213:CB213,"|")</f>
        <v>yuPQk7opLVo3QfxN|VSA2021-1936|3|DELUX|TABASCO|VILLAHERMOSA|VILLAHERMOSA|2021-01-12|35000|x|x|100|1|0|0|0|0|0|0|0|0|0|0|0|0|0|0|RUIZ|CORNELIO|GABRIELA ITZEL|soltero|0|0|CALLE EJIDO ACACHAPAN Y COLMENA MANZANA 41 LOTE 6 |COLONIA LA MANGA SEGUNDA|0|9932239972|0|0|0|CALLE EJIDO ACACHAPAN Y COLMENA MANZANA 41 LOTE 6 |x|lunes|0|0|0|0|0|DOMICILIO |2350|32650|x|x|x|2022-02-22|2022-03-01|0|0|0|0|0|QYDRHV029KVTQO|0|HOMBRE|0|35000|0|0|0|0|0|0|0|0|CARDENAS|X|X|X|X|FINAL</v>
      </c>
    </row>
    <row r="214" spans="1:82" x14ac:dyDescent="0.25">
      <c r="A214" t="s">
        <v>348</v>
      </c>
      <c r="B214" t="s">
        <v>593</v>
      </c>
      <c r="C214">
        <v>3</v>
      </c>
      <c r="D214" t="s">
        <v>634</v>
      </c>
      <c r="E214" t="s">
        <v>643</v>
      </c>
      <c r="F214" t="s">
        <v>644</v>
      </c>
      <c r="G214" t="s">
        <v>644</v>
      </c>
      <c r="H214" t="s">
        <v>941</v>
      </c>
      <c r="I214">
        <v>14800</v>
      </c>
      <c r="J214" t="s">
        <v>3</v>
      </c>
      <c r="K214" t="s">
        <v>3</v>
      </c>
      <c r="L214">
        <v>100</v>
      </c>
      <c r="M214">
        <v>1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1302</v>
      </c>
      <c r="AC214" t="s">
        <v>1085</v>
      </c>
      <c r="AD214" s="18" t="s">
        <v>1303</v>
      </c>
      <c r="AE214" t="s">
        <v>1356</v>
      </c>
      <c r="AF214">
        <v>0</v>
      </c>
      <c r="AG214">
        <v>0</v>
      </c>
      <c r="AH214" t="s">
        <v>1544</v>
      </c>
      <c r="AI214" t="s">
        <v>770</v>
      </c>
      <c r="AJ214">
        <v>0</v>
      </c>
      <c r="AK214">
        <v>9933753450</v>
      </c>
      <c r="AL214">
        <v>0</v>
      </c>
      <c r="AM214">
        <v>0</v>
      </c>
      <c r="AN214">
        <v>0</v>
      </c>
      <c r="AO214" t="s">
        <v>1544</v>
      </c>
      <c r="AP214" t="s">
        <v>3</v>
      </c>
      <c r="AQ214" t="s">
        <v>1581</v>
      </c>
      <c r="AR214">
        <v>0</v>
      </c>
      <c r="AS214">
        <v>0</v>
      </c>
      <c r="AT214">
        <v>0</v>
      </c>
      <c r="AU214">
        <v>0</v>
      </c>
      <c r="AV214">
        <v>0</v>
      </c>
      <c r="AW214" t="s">
        <v>11</v>
      </c>
      <c r="AX214">
        <f>Tabla1[[#This Row],[precio del paquete]]-Tabla1[[#This Row],[Saldo_Deudor]]</f>
        <v>1800</v>
      </c>
      <c r="AY214">
        <v>13000</v>
      </c>
      <c r="AZ214" t="s">
        <v>3</v>
      </c>
      <c r="BA214" t="s">
        <v>3</v>
      </c>
      <c r="BB214" t="s">
        <v>3</v>
      </c>
      <c r="BC214" t="s">
        <v>835</v>
      </c>
      <c r="BD214" t="s">
        <v>1643</v>
      </c>
      <c r="BE214">
        <v>0</v>
      </c>
      <c r="BF214">
        <v>0</v>
      </c>
      <c r="BG214">
        <v>0</v>
      </c>
      <c r="BH214">
        <v>0</v>
      </c>
      <c r="BI214">
        <v>0</v>
      </c>
      <c r="BJ214" t="s">
        <v>1653</v>
      </c>
      <c r="BK214">
        <v>0</v>
      </c>
      <c r="BL214" t="s">
        <v>132</v>
      </c>
      <c r="BM214">
        <v>0</v>
      </c>
      <c r="BN214">
        <f>Tabla1[[#This Row],[precio del paquete]]</f>
        <v>14800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 t="s">
        <v>0</v>
      </c>
      <c r="BX214" t="s">
        <v>1</v>
      </c>
      <c r="BY214" t="s">
        <v>1</v>
      </c>
      <c r="BZ214" t="s">
        <v>1</v>
      </c>
      <c r="CA214" t="s">
        <v>1</v>
      </c>
      <c r="CB214" t="s">
        <v>1661</v>
      </c>
      <c r="CD214" t="str" cm="1">
        <f t="array" aca="1" ref="CD214" ca="1">eConcatenar(A214:CB214,"|")</f>
        <v>dqNAuOVBDatPIq7J|VSA2021-1637|3|MEMORIAL|TABASCO|VILLAHERMOSA|VILLAHERMOSA|2021-09-30|14800|x|x|100|1|0|0|0|0|0|0|0|0|0|0|0|0|0|0|CARRASCO|VILLEGAS|JORGE LUIS|soltero|0|0|MALECON LEANDRO ROVIROSA NUMERO 102|COLONIA MANGAL SEGUNDA SECCION|0|9933753450|0|0|0|MALECON LEANDRO ROVIROSA NUMERO 102|x|lunes|0|0|0|0|0|DOMICILIO |1800|13000|x|x|x|2022-01-17|2022-01-24|0|0|0|0|0|QYDRHV029KVTQO|0|HOMBRE|0|14800|0|0|0|0|0|0|0|0|CARDENAS|X|X|X|X|FINAL</v>
      </c>
    </row>
    <row r="215" spans="1:82" x14ac:dyDescent="0.25">
      <c r="A215" t="s">
        <v>349</v>
      </c>
      <c r="B215" t="s">
        <v>594</v>
      </c>
      <c r="C215">
        <v>3</v>
      </c>
      <c r="D215" t="s">
        <v>636</v>
      </c>
      <c r="E215" t="s">
        <v>643</v>
      </c>
      <c r="F215" t="s">
        <v>644</v>
      </c>
      <c r="G215" t="s">
        <v>644</v>
      </c>
      <c r="H215" t="s">
        <v>850</v>
      </c>
      <c r="I215">
        <v>24500</v>
      </c>
      <c r="J215" t="s">
        <v>3</v>
      </c>
      <c r="K215" t="s">
        <v>3</v>
      </c>
      <c r="L215">
        <v>100</v>
      </c>
      <c r="M215">
        <v>2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1067</v>
      </c>
      <c r="AC215" t="s">
        <v>1304</v>
      </c>
      <c r="AD215" s="18" t="s">
        <v>1039</v>
      </c>
      <c r="AE215" t="s">
        <v>1356</v>
      </c>
      <c r="AF215">
        <v>0</v>
      </c>
      <c r="AG215">
        <v>0</v>
      </c>
      <c r="AH215" t="s">
        <v>1545</v>
      </c>
      <c r="AI215" t="s">
        <v>771</v>
      </c>
      <c r="AJ215">
        <v>0</v>
      </c>
      <c r="AK215">
        <v>9931530407</v>
      </c>
      <c r="AL215">
        <v>0</v>
      </c>
      <c r="AM215">
        <v>0</v>
      </c>
      <c r="AN215">
        <v>0</v>
      </c>
      <c r="AO215" t="s">
        <v>1545</v>
      </c>
      <c r="AP215" t="s">
        <v>3</v>
      </c>
      <c r="AQ215" t="s">
        <v>1581</v>
      </c>
      <c r="AR215">
        <v>0</v>
      </c>
      <c r="AS215">
        <v>0</v>
      </c>
      <c r="AT215">
        <v>0</v>
      </c>
      <c r="AU215">
        <v>0</v>
      </c>
      <c r="AV215">
        <v>0</v>
      </c>
      <c r="AW215" t="s">
        <v>11</v>
      </c>
      <c r="AX215">
        <f>Tabla1[[#This Row],[precio del paquete]]-Tabla1[[#This Row],[Saldo_Deudor]]</f>
        <v>900</v>
      </c>
      <c r="AY215">
        <v>23600</v>
      </c>
      <c r="AZ215" t="s">
        <v>3</v>
      </c>
      <c r="BA215" t="s">
        <v>3</v>
      </c>
      <c r="BB215" t="s">
        <v>3</v>
      </c>
      <c r="BC215" t="s">
        <v>828</v>
      </c>
      <c r="BD215" t="s">
        <v>1628</v>
      </c>
      <c r="BE215">
        <v>0</v>
      </c>
      <c r="BF215">
        <v>0</v>
      </c>
      <c r="BG215">
        <v>0</v>
      </c>
      <c r="BH215">
        <v>0</v>
      </c>
      <c r="BI215">
        <v>0</v>
      </c>
      <c r="BJ215" t="s">
        <v>1653</v>
      </c>
      <c r="BK215">
        <v>0</v>
      </c>
      <c r="BL215" t="s">
        <v>132</v>
      </c>
      <c r="BM215">
        <v>0</v>
      </c>
      <c r="BN215">
        <f>Tabla1[[#This Row],[precio del paquete]]</f>
        <v>24500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 t="s">
        <v>0</v>
      </c>
      <c r="BX215" t="s">
        <v>1</v>
      </c>
      <c r="BY215" t="s">
        <v>1</v>
      </c>
      <c r="BZ215" t="s">
        <v>1</v>
      </c>
      <c r="CA215" t="s">
        <v>1</v>
      </c>
      <c r="CB215" t="s">
        <v>1661</v>
      </c>
      <c r="CD215" t="str" cm="1">
        <f t="array" aca="1" ref="CD215" ca="1">eConcatenar(A215:CB215,"|")</f>
        <v>jsY0VopN2K9EqoMa|VSA2022-0125|3|DIGNITY|TABASCO|VILLAHERMOSA|VILLAHERMOSA|2022-02-02|24500|x|x|100|2|0|0|0|0|0|0|0|0|0|0|0|0|0|0|GARCIA|FALCON|GUADALUPE|soltero|0|0|CARRETERA VILLAHERMOSA FRONTERA KILOMETRO 10|RANCHERIA LAGORDEZA SEGUNDA SECCION|0|9931530407|0|0|0|CARRETERA VILLAHERMOSA FRONTERA KILOMETRO 10|x|lunes|0|0|0|0|0|DOMICILIO |900|23600|x|x|x|2022-02-28|2022-03-07|0|0|0|0|0|QYDRHV029KVTQO|0|HOMBRE|0|24500|0|0|0|0|0|0|0|0|CARDENAS|X|X|X|X|FINAL</v>
      </c>
    </row>
    <row r="216" spans="1:82" x14ac:dyDescent="0.25">
      <c r="A216" t="s">
        <v>350</v>
      </c>
      <c r="B216" t="s">
        <v>595</v>
      </c>
      <c r="C216">
        <v>3</v>
      </c>
      <c r="D216" t="s">
        <v>636</v>
      </c>
      <c r="E216" t="s">
        <v>643</v>
      </c>
      <c r="F216" t="s">
        <v>649</v>
      </c>
      <c r="G216" t="s">
        <v>649</v>
      </c>
      <c r="H216" t="s">
        <v>803</v>
      </c>
      <c r="I216">
        <v>24500</v>
      </c>
      <c r="J216" t="s">
        <v>3</v>
      </c>
      <c r="K216" t="s">
        <v>3</v>
      </c>
      <c r="L216">
        <v>100</v>
      </c>
      <c r="M216">
        <v>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1305</v>
      </c>
      <c r="AC216" t="s">
        <v>971</v>
      </c>
      <c r="AD216" s="18" t="s">
        <v>1306</v>
      </c>
      <c r="AE216" t="s">
        <v>1356</v>
      </c>
      <c r="AF216">
        <v>0</v>
      </c>
      <c r="AG216">
        <v>0</v>
      </c>
      <c r="AH216" t="s">
        <v>1546</v>
      </c>
      <c r="AI216" t="s">
        <v>772</v>
      </c>
      <c r="AJ216">
        <v>0</v>
      </c>
      <c r="AK216">
        <v>9931322860</v>
      </c>
      <c r="AL216">
        <v>0</v>
      </c>
      <c r="AM216">
        <v>0</v>
      </c>
      <c r="AN216">
        <v>0</v>
      </c>
      <c r="AO216" t="s">
        <v>1546</v>
      </c>
      <c r="AP216" t="s">
        <v>3</v>
      </c>
      <c r="AQ216" t="s">
        <v>1581</v>
      </c>
      <c r="AR216">
        <v>0</v>
      </c>
      <c r="AS216">
        <v>0</v>
      </c>
      <c r="AT216">
        <v>0</v>
      </c>
      <c r="AU216">
        <v>0</v>
      </c>
      <c r="AV216">
        <v>0</v>
      </c>
      <c r="AW216" t="s">
        <v>11</v>
      </c>
      <c r="AX216">
        <f>Tabla1[[#This Row],[precio del paquete]]-Tabla1[[#This Row],[Saldo_Deudor]]</f>
        <v>24000</v>
      </c>
      <c r="AY216">
        <v>500</v>
      </c>
      <c r="AZ216" t="s">
        <v>3</v>
      </c>
      <c r="BA216" t="s">
        <v>3</v>
      </c>
      <c r="BB216" t="s">
        <v>3</v>
      </c>
      <c r="BC216" t="s">
        <v>901</v>
      </c>
      <c r="BD216" t="s">
        <v>1636</v>
      </c>
      <c r="BE216">
        <v>0</v>
      </c>
      <c r="BF216">
        <v>0</v>
      </c>
      <c r="BG216">
        <v>0</v>
      </c>
      <c r="BH216">
        <v>0</v>
      </c>
      <c r="BI216">
        <v>0</v>
      </c>
      <c r="BJ216" t="s">
        <v>1653</v>
      </c>
      <c r="BK216">
        <v>0</v>
      </c>
      <c r="BL216" t="s">
        <v>132</v>
      </c>
      <c r="BM216">
        <v>0</v>
      </c>
      <c r="BN216">
        <f>Tabla1[[#This Row],[precio del paquete]]</f>
        <v>24500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 t="s">
        <v>0</v>
      </c>
      <c r="BX216" t="s">
        <v>1</v>
      </c>
      <c r="BY216" t="s">
        <v>1</v>
      </c>
      <c r="BZ216" t="s">
        <v>1</v>
      </c>
      <c r="CA216" t="s">
        <v>1</v>
      </c>
      <c r="CB216" t="s">
        <v>1661</v>
      </c>
      <c r="CD216" t="str" cm="1">
        <f t="array" aca="1" ref="CD216" ca="1">eConcatenar(A216:CB216,"|")</f>
        <v>tdyju6NCiw26EZ6P|VSA2022-1288|3|DIGNITY|TABASCO|PARAISO|PARAISO|2022-02-03|24500|x|x|100|2|0|0|0|0|0|0|0|0|0|0|0|0|0|0|GIL|HERNANDEZ|TOMAS|soltero|0|0|CALLE AGUSTIN MELGAR MANZANA 6 LOTE 7|EJIDO PALESTINA |0|9931322860|0|0|0|CALLE AGUSTIN MELGAR MANZANA 6 LOTE 7|x|lunes|0|0|0|0|0|DOMICILIO |24000|500|x|x|x|2022-02-27|2022-03-06|0|0|0|0|0|QYDRHV029KVTQO|0|HOMBRE|0|24500|0|0|0|0|0|0|0|0|CARDENAS|X|X|X|X|FINAL</v>
      </c>
    </row>
    <row r="217" spans="1:82" x14ac:dyDescent="0.25">
      <c r="A217" t="s">
        <v>351</v>
      </c>
      <c r="B217" t="s">
        <v>596</v>
      </c>
      <c r="C217">
        <v>3</v>
      </c>
      <c r="D217" t="s">
        <v>636</v>
      </c>
      <c r="E217" t="s">
        <v>643</v>
      </c>
      <c r="F217" t="s">
        <v>644</v>
      </c>
      <c r="G217" t="s">
        <v>644</v>
      </c>
      <c r="H217" t="s">
        <v>839</v>
      </c>
      <c r="I217">
        <v>24100</v>
      </c>
      <c r="J217" t="s">
        <v>3</v>
      </c>
      <c r="K217" t="s">
        <v>3</v>
      </c>
      <c r="L217">
        <v>100</v>
      </c>
      <c r="M217">
        <v>2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1067</v>
      </c>
      <c r="AC217" t="s">
        <v>1304</v>
      </c>
      <c r="AD217" s="18" t="s">
        <v>1307</v>
      </c>
      <c r="AE217" t="s">
        <v>1356</v>
      </c>
      <c r="AF217">
        <v>0</v>
      </c>
      <c r="AG217">
        <v>0</v>
      </c>
      <c r="AH217" t="s">
        <v>1547</v>
      </c>
      <c r="AI217" t="s">
        <v>773</v>
      </c>
      <c r="AJ217">
        <v>0</v>
      </c>
      <c r="AK217">
        <v>9931756116</v>
      </c>
      <c r="AL217">
        <v>0</v>
      </c>
      <c r="AM217">
        <v>0</v>
      </c>
      <c r="AN217">
        <v>0</v>
      </c>
      <c r="AO217" t="s">
        <v>1547</v>
      </c>
      <c r="AP217" t="s">
        <v>3</v>
      </c>
      <c r="AQ217" t="s">
        <v>1581</v>
      </c>
      <c r="AR217">
        <v>0</v>
      </c>
      <c r="AS217">
        <v>0</v>
      </c>
      <c r="AT217">
        <v>0</v>
      </c>
      <c r="AU217">
        <v>0</v>
      </c>
      <c r="AV217">
        <v>0</v>
      </c>
      <c r="AW217" t="s">
        <v>11</v>
      </c>
      <c r="AX217">
        <f>Tabla1[[#This Row],[precio del paquete]]-Tabla1[[#This Row],[Saldo_Deudor]]</f>
        <v>400</v>
      </c>
      <c r="AY217">
        <v>23700</v>
      </c>
      <c r="AZ217" t="s">
        <v>3</v>
      </c>
      <c r="BA217" t="s">
        <v>3</v>
      </c>
      <c r="BB217" t="s">
        <v>3</v>
      </c>
      <c r="BC217" t="s">
        <v>828</v>
      </c>
      <c r="BD217" t="s">
        <v>1628</v>
      </c>
      <c r="BE217">
        <v>0</v>
      </c>
      <c r="BF217">
        <v>0</v>
      </c>
      <c r="BG217">
        <v>0</v>
      </c>
      <c r="BH217">
        <v>0</v>
      </c>
      <c r="BI217">
        <v>0</v>
      </c>
      <c r="BJ217" t="s">
        <v>1653</v>
      </c>
      <c r="BK217">
        <v>0</v>
      </c>
      <c r="BL217" t="s">
        <v>132</v>
      </c>
      <c r="BM217">
        <v>0</v>
      </c>
      <c r="BN217">
        <f>Tabla1[[#This Row],[precio del paquete]]</f>
        <v>24100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 t="s">
        <v>0</v>
      </c>
      <c r="BX217" t="s">
        <v>1</v>
      </c>
      <c r="BY217" t="s">
        <v>1</v>
      </c>
      <c r="BZ217" t="s">
        <v>1</v>
      </c>
      <c r="CA217" t="s">
        <v>1</v>
      </c>
      <c r="CB217" t="s">
        <v>1661</v>
      </c>
      <c r="CD217" t="str" cm="1">
        <f t="array" aca="1" ref="CD217" ca="1">eConcatenar(A217:CB217,"|")</f>
        <v>8FjKkpypaudPzF25|VSA2022-0114|3|DIGNITY|TABASCO|VILLAHERMOSA|VILLAHERMOSA|2022-04-02|24100|x|x|100|2|0|0|0|0|0|0|0|0|0|0|0|0|0|0|GARCIA|FALCON|MARIA DE LOS SANTOS|soltero|0|0|SECTOR GARCIA FALCON KILOMETRO 18|RANCHERIA LAGARTERA SEGUNDA SECCION|0|9931756116|0|0|0|SECTOR GARCIA FALCON KILOMETRO 18|x|lunes|0|0|0|0|0|DOMICILIO |400|23700|x|x|x|2022-02-28|2022-03-07|0|0|0|0|0|QYDRHV029KVTQO|0|HOMBRE|0|24100|0|0|0|0|0|0|0|0|CARDENAS|X|X|X|X|FINAL</v>
      </c>
    </row>
    <row r="218" spans="1:82" x14ac:dyDescent="0.25">
      <c r="A218" t="s">
        <v>352</v>
      </c>
      <c r="B218" t="s">
        <v>597</v>
      </c>
      <c r="C218">
        <v>3</v>
      </c>
      <c r="D218" t="s">
        <v>640</v>
      </c>
      <c r="E218" t="s">
        <v>643</v>
      </c>
      <c r="F218" t="s">
        <v>648</v>
      </c>
      <c r="G218" t="s">
        <v>648</v>
      </c>
      <c r="H218" t="s">
        <v>862</v>
      </c>
      <c r="I218">
        <v>19800</v>
      </c>
      <c r="J218" t="s">
        <v>3</v>
      </c>
      <c r="K218" t="s">
        <v>3</v>
      </c>
      <c r="L218">
        <v>100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1092</v>
      </c>
      <c r="AC218" t="s">
        <v>1308</v>
      </c>
      <c r="AD218" s="18" t="s">
        <v>1309</v>
      </c>
      <c r="AE218" t="s">
        <v>1356</v>
      </c>
      <c r="AF218">
        <v>0</v>
      </c>
      <c r="AG218">
        <v>0</v>
      </c>
      <c r="AH218" t="s">
        <v>1548</v>
      </c>
      <c r="AI218" t="s">
        <v>774</v>
      </c>
      <c r="AJ218">
        <v>0</v>
      </c>
      <c r="AK218">
        <v>9935175016</v>
      </c>
      <c r="AL218">
        <v>0</v>
      </c>
      <c r="AM218">
        <v>0</v>
      </c>
      <c r="AN218">
        <v>0</v>
      </c>
      <c r="AO218" t="s">
        <v>1548</v>
      </c>
      <c r="AP218" t="s">
        <v>3</v>
      </c>
      <c r="AQ218" t="s">
        <v>1581</v>
      </c>
      <c r="AR218">
        <v>0</v>
      </c>
      <c r="AS218">
        <v>0</v>
      </c>
      <c r="AT218">
        <v>0</v>
      </c>
      <c r="AU218">
        <v>0</v>
      </c>
      <c r="AV218">
        <v>0</v>
      </c>
      <c r="AW218" t="s">
        <v>11</v>
      </c>
      <c r="AX218">
        <f>Tabla1[[#This Row],[precio del paquete]]-Tabla1[[#This Row],[Saldo_Deudor]]</f>
        <v>6900</v>
      </c>
      <c r="AY218">
        <v>12900</v>
      </c>
      <c r="AZ218" t="s">
        <v>3</v>
      </c>
      <c r="BA218" t="s">
        <v>3</v>
      </c>
      <c r="BB218" t="s">
        <v>3</v>
      </c>
      <c r="BC218" t="s">
        <v>903</v>
      </c>
      <c r="BD218" t="s">
        <v>1608</v>
      </c>
      <c r="BE218">
        <v>0</v>
      </c>
      <c r="BF218">
        <v>0</v>
      </c>
      <c r="BG218">
        <v>0</v>
      </c>
      <c r="BH218">
        <v>0</v>
      </c>
      <c r="BI218">
        <v>0</v>
      </c>
      <c r="BJ218" t="s">
        <v>1660</v>
      </c>
      <c r="BK218">
        <v>0</v>
      </c>
      <c r="BL218" t="s">
        <v>132</v>
      </c>
      <c r="BM218">
        <v>0</v>
      </c>
      <c r="BN218">
        <f>Tabla1[[#This Row],[precio del paquete]]</f>
        <v>19800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 t="s">
        <v>0</v>
      </c>
      <c r="BX218" t="s">
        <v>1</v>
      </c>
      <c r="BY218" t="s">
        <v>1</v>
      </c>
      <c r="BZ218" t="s">
        <v>1</v>
      </c>
      <c r="CA218" t="s">
        <v>1</v>
      </c>
      <c r="CB218" t="s">
        <v>1661</v>
      </c>
      <c r="CD218" t="str" cm="1">
        <f t="array" aca="1" ref="CD218" ca="1">eConcatenar(A218:CB218,"|")</f>
        <v>mvdchIufObdVrDgQ|VSA2021-T-0080|3|ZAFIRO|TABASCO|TACOTALPA|TACOTALPA|2021-05-02|19800|x|x|100|0|0|0|0|0|0|0|0|0|0|0|0|0|0|0|RAMIREZ|BALAMZAR|CARLOS ENRIQUE|soltero|0|0|LAZARO CARDENAS SIN NUMERO|COLONIA CENTRO TACOTALPA|0|9935175016|0|0|0|LAZARO CARDENAS SIN NUMERO|x|lunes|0|0|0|0|0|DOMICILIO |6900|12900|x|x|x|2022-01-03|2022-01-10|0|0|0|0|0|S35D6D3Y9KVTQO|0|HOMBRE|0|19800|0|0|0|0|0|0|0|0|CARDENAS|X|X|X|X|FINAL</v>
      </c>
    </row>
    <row r="219" spans="1:82" x14ac:dyDescent="0.25">
      <c r="A219" t="s">
        <v>353</v>
      </c>
      <c r="B219" t="s">
        <v>598</v>
      </c>
      <c r="C219">
        <v>3</v>
      </c>
      <c r="D219" t="s">
        <v>634</v>
      </c>
      <c r="E219" t="s">
        <v>643</v>
      </c>
      <c r="F219" t="s">
        <v>648</v>
      </c>
      <c r="G219" t="s">
        <v>648</v>
      </c>
      <c r="H219" t="s">
        <v>942</v>
      </c>
      <c r="I219">
        <v>14800</v>
      </c>
      <c r="J219" t="s">
        <v>3</v>
      </c>
      <c r="K219" t="s">
        <v>3</v>
      </c>
      <c r="L219">
        <v>100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1175</v>
      </c>
      <c r="AC219" t="s">
        <v>1020</v>
      </c>
      <c r="AD219" s="18" t="s">
        <v>1310</v>
      </c>
      <c r="AE219" t="s">
        <v>1356</v>
      </c>
      <c r="AF219">
        <v>0</v>
      </c>
      <c r="AG219">
        <v>0</v>
      </c>
      <c r="AH219" t="s">
        <v>1549</v>
      </c>
      <c r="AI219" t="s">
        <v>774</v>
      </c>
      <c r="AJ219">
        <v>0</v>
      </c>
      <c r="AK219">
        <v>9321068847</v>
      </c>
      <c r="AL219">
        <v>0</v>
      </c>
      <c r="AM219">
        <v>0</v>
      </c>
      <c r="AN219">
        <v>0</v>
      </c>
      <c r="AO219" t="s">
        <v>1549</v>
      </c>
      <c r="AP219" t="s">
        <v>3</v>
      </c>
      <c r="AQ219" t="s">
        <v>1581</v>
      </c>
      <c r="AR219">
        <v>0</v>
      </c>
      <c r="AS219">
        <v>0</v>
      </c>
      <c r="AT219">
        <v>0</v>
      </c>
      <c r="AU219">
        <v>0</v>
      </c>
      <c r="AV219">
        <v>0</v>
      </c>
      <c r="AW219" t="s">
        <v>11</v>
      </c>
      <c r="AX219">
        <f>Tabla1[[#This Row],[precio del paquete]]-Tabla1[[#This Row],[Saldo_Deudor]]</f>
        <v>2750</v>
      </c>
      <c r="AY219">
        <v>12050</v>
      </c>
      <c r="AZ219" t="s">
        <v>3</v>
      </c>
      <c r="BA219" t="s">
        <v>3</v>
      </c>
      <c r="BB219" t="s">
        <v>3</v>
      </c>
      <c r="BC219" t="s">
        <v>828</v>
      </c>
      <c r="BD219" t="s">
        <v>1628</v>
      </c>
      <c r="BE219">
        <v>0</v>
      </c>
      <c r="BF219">
        <v>0</v>
      </c>
      <c r="BG219">
        <v>0</v>
      </c>
      <c r="BH219">
        <v>0</v>
      </c>
      <c r="BI219">
        <v>0</v>
      </c>
      <c r="BJ219" t="s">
        <v>1660</v>
      </c>
      <c r="BK219">
        <v>0</v>
      </c>
      <c r="BL219" t="s">
        <v>132</v>
      </c>
      <c r="BM219">
        <v>0</v>
      </c>
      <c r="BN219">
        <f>Tabla1[[#This Row],[precio del paquete]]</f>
        <v>14800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 t="s">
        <v>0</v>
      </c>
      <c r="BX219" t="s">
        <v>1</v>
      </c>
      <c r="BY219" t="s">
        <v>1</v>
      </c>
      <c r="BZ219" t="s">
        <v>1</v>
      </c>
      <c r="CA219" t="s">
        <v>1</v>
      </c>
      <c r="CB219" t="s">
        <v>1661</v>
      </c>
      <c r="CD219" t="str" cm="1">
        <f t="array" aca="1" ref="CD219" ca="1">eConcatenar(A219:CB219,"|")</f>
        <v>EASrukGDAzMzNaAM|VSA2021-T-0319|3|MEMORIAL|TABASCO|TACOTALPA|TACOTALPA|2021-05-20|14800|x|x|100|0|0|0|0|0|0|0|0|0|0|0|0|0|0|0|VIDAL|CRUZ|JACINTO|soltero|0|0|CALLE SEBASTIAN LOPEZ M|COLONIA CENTRO TACOTALPA|0|9321068847|0|0|0|CALLE SEBASTIAN LOPEZ M|x|lunes|0|0|0|0|0|DOMICILIO |2750|12050|x|x|x|2022-02-28|2022-03-07|0|0|0|0|0|S35D6D3Y9KVTQO|0|HOMBRE|0|14800|0|0|0|0|0|0|0|0|CARDENAS|X|X|X|X|FINAL</v>
      </c>
    </row>
    <row r="220" spans="1:82" x14ac:dyDescent="0.25">
      <c r="A220" t="s">
        <v>354</v>
      </c>
      <c r="B220" t="s">
        <v>599</v>
      </c>
      <c r="C220">
        <v>3</v>
      </c>
      <c r="D220" t="s">
        <v>634</v>
      </c>
      <c r="E220" t="s">
        <v>643</v>
      </c>
      <c r="F220" t="s">
        <v>648</v>
      </c>
      <c r="G220" t="s">
        <v>648</v>
      </c>
      <c r="H220" t="s">
        <v>876</v>
      </c>
      <c r="I220">
        <v>14800</v>
      </c>
      <c r="J220" t="s">
        <v>3</v>
      </c>
      <c r="K220" t="s">
        <v>3</v>
      </c>
      <c r="L220">
        <v>100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1311</v>
      </c>
      <c r="AC220" t="s">
        <v>1117</v>
      </c>
      <c r="AD220" s="18" t="s">
        <v>978</v>
      </c>
      <c r="AE220" t="s">
        <v>1356</v>
      </c>
      <c r="AF220">
        <v>0</v>
      </c>
      <c r="AG220">
        <v>0</v>
      </c>
      <c r="AH220" t="s">
        <v>1550</v>
      </c>
      <c r="AI220" t="s">
        <v>775</v>
      </c>
      <c r="AJ220">
        <v>0</v>
      </c>
      <c r="AK220">
        <v>9321295027</v>
      </c>
      <c r="AL220">
        <v>0</v>
      </c>
      <c r="AM220">
        <v>0</v>
      </c>
      <c r="AN220">
        <v>0</v>
      </c>
      <c r="AO220" t="s">
        <v>1550</v>
      </c>
      <c r="AP220" t="s">
        <v>3</v>
      </c>
      <c r="AQ220" t="s">
        <v>1581</v>
      </c>
      <c r="AR220">
        <v>0</v>
      </c>
      <c r="AS220">
        <v>0</v>
      </c>
      <c r="AT220">
        <v>0</v>
      </c>
      <c r="AU220">
        <v>0</v>
      </c>
      <c r="AV220">
        <v>0</v>
      </c>
      <c r="AW220" t="s">
        <v>11</v>
      </c>
      <c r="AX220">
        <f>Tabla1[[#This Row],[precio del paquete]]-Tabla1[[#This Row],[Saldo_Deudor]]</f>
        <v>2350</v>
      </c>
      <c r="AY220">
        <v>12450</v>
      </c>
      <c r="AZ220" t="s">
        <v>3</v>
      </c>
      <c r="BA220" t="s">
        <v>3</v>
      </c>
      <c r="BB220" t="s">
        <v>3</v>
      </c>
      <c r="BC220" t="s">
        <v>1644</v>
      </c>
      <c r="BD220" t="s">
        <v>1645</v>
      </c>
      <c r="BE220">
        <v>0</v>
      </c>
      <c r="BF220">
        <v>0</v>
      </c>
      <c r="BG220">
        <v>0</v>
      </c>
      <c r="BH220">
        <v>0</v>
      </c>
      <c r="BI220">
        <v>0</v>
      </c>
      <c r="BJ220" t="s">
        <v>1660</v>
      </c>
      <c r="BK220">
        <v>0</v>
      </c>
      <c r="BL220" t="s">
        <v>132</v>
      </c>
      <c r="BM220">
        <v>0</v>
      </c>
      <c r="BN220">
        <f>Tabla1[[#This Row],[precio del paquete]]</f>
        <v>14800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 t="s">
        <v>0</v>
      </c>
      <c r="BX220" t="s">
        <v>1</v>
      </c>
      <c r="BY220" t="s">
        <v>1</v>
      </c>
      <c r="BZ220" t="s">
        <v>1</v>
      </c>
      <c r="CA220" t="s">
        <v>1</v>
      </c>
      <c r="CB220" t="s">
        <v>1661</v>
      </c>
      <c r="CD220" t="str" cm="1">
        <f t="array" aca="1" ref="CD220" ca="1">eConcatenar(A220:CB220,"|")</f>
        <v>7IFgbAc5HImY3sGX|VSA2021-T-0183|3|MEMORIAL|TABASCO|TACOTALPA|TACOTALPA|2021-03-18|14800|x|x|100|0|0|0|0|0|0|0|0|0|0|0|0|0|0|0|PEREIRA|AGUILAR|MARIA DEL CARMEN|soltero|0|0|CALE LA CUMBRE NUMERO 7|SANTA BARBARA TACOTALPA|0|9321295027|0|0|0|CALE LA CUMBRE NUMERO 7|x|lunes|0|0|0|0|0|DOMICILIO |2350|12450|x|x|x|2022-01-02|2022-01-09|0|0|0|0|0|S35D6D3Y9KVTQO|0|HOMBRE|0|14800|0|0|0|0|0|0|0|0|CARDENAS|X|X|X|X|FINAL</v>
      </c>
    </row>
    <row r="221" spans="1:82" x14ac:dyDescent="0.25">
      <c r="A221" t="s">
        <v>355</v>
      </c>
      <c r="B221" t="s">
        <v>600</v>
      </c>
      <c r="C221">
        <v>3</v>
      </c>
      <c r="D221" t="s">
        <v>635</v>
      </c>
      <c r="E221" t="s">
        <v>643</v>
      </c>
      <c r="F221" t="s">
        <v>648</v>
      </c>
      <c r="G221" t="s">
        <v>648</v>
      </c>
      <c r="H221" t="s">
        <v>943</v>
      </c>
      <c r="I221">
        <v>12900</v>
      </c>
      <c r="J221" t="s">
        <v>3</v>
      </c>
      <c r="K221" t="s">
        <v>3</v>
      </c>
      <c r="L221">
        <v>100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995</v>
      </c>
      <c r="AC221" t="s">
        <v>971</v>
      </c>
      <c r="AD221" s="18" t="s">
        <v>1277</v>
      </c>
      <c r="AE221" t="s">
        <v>1356</v>
      </c>
      <c r="AF221">
        <v>0</v>
      </c>
      <c r="AG221">
        <v>0</v>
      </c>
      <c r="AH221" t="s">
        <v>1551</v>
      </c>
      <c r="AI221" t="s">
        <v>776</v>
      </c>
      <c r="AJ221">
        <v>0</v>
      </c>
      <c r="AK221">
        <v>9321278369</v>
      </c>
      <c r="AL221">
        <v>0</v>
      </c>
      <c r="AM221">
        <v>0</v>
      </c>
      <c r="AN221">
        <v>0</v>
      </c>
      <c r="AO221" t="s">
        <v>1551</v>
      </c>
      <c r="AP221" t="s">
        <v>3</v>
      </c>
      <c r="AQ221" t="s">
        <v>1581</v>
      </c>
      <c r="AR221">
        <v>0</v>
      </c>
      <c r="AS221">
        <v>0</v>
      </c>
      <c r="AT221">
        <v>0</v>
      </c>
      <c r="AU221">
        <v>0</v>
      </c>
      <c r="AV221">
        <v>0</v>
      </c>
      <c r="AW221" t="s">
        <v>11</v>
      </c>
      <c r="AX221">
        <f>Tabla1[[#This Row],[precio del paquete]]-Tabla1[[#This Row],[Saldo_Deudor]]</f>
        <v>4300</v>
      </c>
      <c r="AY221">
        <v>8600</v>
      </c>
      <c r="AZ221" t="s">
        <v>3</v>
      </c>
      <c r="BA221" t="s">
        <v>3</v>
      </c>
      <c r="BB221" t="s">
        <v>3</v>
      </c>
      <c r="BC221" t="s">
        <v>1609</v>
      </c>
      <c r="BD221" t="s">
        <v>1610</v>
      </c>
      <c r="BE221">
        <v>0</v>
      </c>
      <c r="BF221">
        <v>0</v>
      </c>
      <c r="BG221">
        <v>0</v>
      </c>
      <c r="BH221">
        <v>0</v>
      </c>
      <c r="BI221">
        <v>0</v>
      </c>
      <c r="BJ221" t="s">
        <v>1660</v>
      </c>
      <c r="BK221">
        <v>0</v>
      </c>
      <c r="BL221" t="s">
        <v>132</v>
      </c>
      <c r="BM221">
        <v>0</v>
      </c>
      <c r="BN221">
        <f>Tabla1[[#This Row],[precio del paquete]]</f>
        <v>12900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 t="s">
        <v>0</v>
      </c>
      <c r="BX221" t="s">
        <v>1</v>
      </c>
      <c r="BY221" t="s">
        <v>1</v>
      </c>
      <c r="BZ221" t="s">
        <v>1</v>
      </c>
      <c r="CA221" t="s">
        <v>1</v>
      </c>
      <c r="CB221" t="s">
        <v>1661</v>
      </c>
      <c r="CD221" t="str" cm="1">
        <f t="array" aca="1" ref="CD221" ca="1">eConcatenar(A221:CB221,"|")</f>
        <v>rJgI4qEwvsy1AXx3|VSA2021-T-0138|3|IMPERIAL DE LUJO|TABASCO|TACOTALPA|TACOTALPA|2021-02-26|12900|x|x|100|0|0|0|0|0|0|0|0|0|0|0|0|0|0|0|CORDOVA|HERNANDEZ|VERONICA|soltero|0|0|CARRETERA PUYACATENGO|EJIDO CEIBITA TACOTALPA|0|9321278369|0|0|0|CARRETERA PUYACATENGO|x|lunes|0|0|0|0|0|DOMICILIO |4300|8600|x|x|x|2022-03-15|2022-03-22|0|0|0|0|0|S35D6D3Y9KVTQO|0|HOMBRE|0|12900|0|0|0|0|0|0|0|0|CARDENAS|X|X|X|X|FINAL</v>
      </c>
    </row>
    <row r="222" spans="1:82" x14ac:dyDescent="0.25">
      <c r="A222" t="s">
        <v>356</v>
      </c>
      <c r="B222" t="s">
        <v>601</v>
      </c>
      <c r="C222">
        <v>3</v>
      </c>
      <c r="D222" t="s">
        <v>635</v>
      </c>
      <c r="E222" t="s">
        <v>643</v>
      </c>
      <c r="F222" t="s">
        <v>648</v>
      </c>
      <c r="G222" t="s">
        <v>648</v>
      </c>
      <c r="H222" t="s">
        <v>944</v>
      </c>
      <c r="I222">
        <v>12900</v>
      </c>
      <c r="J222" t="s">
        <v>3</v>
      </c>
      <c r="K222" t="s">
        <v>3</v>
      </c>
      <c r="L222">
        <v>100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1312</v>
      </c>
      <c r="AC222" t="s">
        <v>1071</v>
      </c>
      <c r="AD222" s="18" t="s">
        <v>1313</v>
      </c>
      <c r="AE222" t="s">
        <v>1356</v>
      </c>
      <c r="AF222">
        <v>0</v>
      </c>
      <c r="AG222">
        <v>0</v>
      </c>
      <c r="AH222" t="s">
        <v>1552</v>
      </c>
      <c r="AI222" t="s">
        <v>777</v>
      </c>
      <c r="AJ222">
        <v>0</v>
      </c>
      <c r="AK222">
        <v>9321211438</v>
      </c>
      <c r="AL222">
        <v>0</v>
      </c>
      <c r="AM222">
        <v>0</v>
      </c>
      <c r="AN222">
        <v>0</v>
      </c>
      <c r="AO222" t="s">
        <v>1552</v>
      </c>
      <c r="AP222" t="s">
        <v>3</v>
      </c>
      <c r="AQ222" t="s">
        <v>1581</v>
      </c>
      <c r="AR222">
        <v>0</v>
      </c>
      <c r="AS222">
        <v>0</v>
      </c>
      <c r="AT222">
        <v>0</v>
      </c>
      <c r="AU222">
        <v>0</v>
      </c>
      <c r="AV222">
        <v>0</v>
      </c>
      <c r="AW222" t="s">
        <v>11</v>
      </c>
      <c r="AX222">
        <f>Tabla1[[#This Row],[precio del paquete]]-Tabla1[[#This Row],[Saldo_Deudor]]</f>
        <v>5300</v>
      </c>
      <c r="AY222">
        <v>7600</v>
      </c>
      <c r="AZ222" t="s">
        <v>3</v>
      </c>
      <c r="BA222" t="s">
        <v>3</v>
      </c>
      <c r="BB222" t="s">
        <v>3</v>
      </c>
      <c r="BC222" t="s">
        <v>1609</v>
      </c>
      <c r="BD222" t="s">
        <v>1610</v>
      </c>
      <c r="BE222">
        <v>0</v>
      </c>
      <c r="BF222">
        <v>0</v>
      </c>
      <c r="BG222">
        <v>0</v>
      </c>
      <c r="BH222">
        <v>0</v>
      </c>
      <c r="BI222">
        <v>0</v>
      </c>
      <c r="BJ222" t="s">
        <v>1660</v>
      </c>
      <c r="BK222">
        <v>0</v>
      </c>
      <c r="BL222" t="s">
        <v>132</v>
      </c>
      <c r="BM222">
        <v>0</v>
      </c>
      <c r="BN222">
        <f>Tabla1[[#This Row],[precio del paquete]]</f>
        <v>12900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 t="s">
        <v>0</v>
      </c>
      <c r="BX222" t="s">
        <v>1</v>
      </c>
      <c r="BY222" t="s">
        <v>1</v>
      </c>
      <c r="BZ222" t="s">
        <v>1</v>
      </c>
      <c r="CA222" t="s">
        <v>1</v>
      </c>
      <c r="CB222" t="s">
        <v>1661</v>
      </c>
      <c r="CD222" t="str" cm="1">
        <f t="array" aca="1" ref="CD222" ca="1">eConcatenar(A222:CB222,"|")</f>
        <v>hOdfB9QeTMu3XxFH|VSA2021-T-0090|3|IMPERIAL DE LUJO|TABASCO|TACOTALPA|TACOTALPA|2021-10-02|12900|x|x|100|0|0|0|0|0|0|0|0|0|0|0|0|0|0|0|GAMAS|CHABLE|MARIA DOLORES|soltero|0|0|ANDADOR INGENIO SEGUNDA PATRIA CUARTA|COLONIA OBRERA TACOTALPA|0|9321211438|0|0|0|ANDADOR INGENIO SEGUNDA PATRIA CUARTA|x|lunes|0|0|0|0|0|DOMICILIO |5300|7600|x|x|x|2022-03-15|2022-03-22|0|0|0|0|0|S35D6D3Y9KVTQO|0|HOMBRE|0|12900|0|0|0|0|0|0|0|0|CARDENAS|X|X|X|X|FINAL</v>
      </c>
    </row>
    <row r="223" spans="1:82" x14ac:dyDescent="0.25">
      <c r="A223" t="s">
        <v>357</v>
      </c>
      <c r="B223" t="s">
        <v>602</v>
      </c>
      <c r="C223">
        <v>3</v>
      </c>
      <c r="D223" t="s">
        <v>635</v>
      </c>
      <c r="E223" t="s">
        <v>643</v>
      </c>
      <c r="F223" t="s">
        <v>648</v>
      </c>
      <c r="G223" t="s">
        <v>648</v>
      </c>
      <c r="H223" t="s">
        <v>915</v>
      </c>
      <c r="I223">
        <v>12900</v>
      </c>
      <c r="J223" t="s">
        <v>3</v>
      </c>
      <c r="K223" t="s">
        <v>3</v>
      </c>
      <c r="L223">
        <v>100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966</v>
      </c>
      <c r="AC223" t="s">
        <v>1314</v>
      </c>
      <c r="AD223" s="18" t="s">
        <v>996</v>
      </c>
      <c r="AE223" t="s">
        <v>1356</v>
      </c>
      <c r="AF223">
        <v>0</v>
      </c>
      <c r="AG223">
        <v>0</v>
      </c>
      <c r="AH223" t="s">
        <v>1553</v>
      </c>
      <c r="AI223" t="s">
        <v>778</v>
      </c>
      <c r="AJ223">
        <v>0</v>
      </c>
      <c r="AK223" t="s">
        <v>1</v>
      </c>
      <c r="AL223">
        <v>0</v>
      </c>
      <c r="AM223">
        <v>0</v>
      </c>
      <c r="AN223">
        <v>0</v>
      </c>
      <c r="AO223" t="s">
        <v>1553</v>
      </c>
      <c r="AP223" t="s">
        <v>3</v>
      </c>
      <c r="AQ223" t="s">
        <v>1581</v>
      </c>
      <c r="AR223">
        <v>0</v>
      </c>
      <c r="AS223">
        <v>0</v>
      </c>
      <c r="AT223">
        <v>0</v>
      </c>
      <c r="AU223">
        <v>0</v>
      </c>
      <c r="AV223">
        <v>0</v>
      </c>
      <c r="AW223" t="s">
        <v>11</v>
      </c>
      <c r="AX223">
        <f>Tabla1[[#This Row],[precio del paquete]]-Tabla1[[#This Row],[Saldo_Deudor]]</f>
        <v>3400</v>
      </c>
      <c r="AY223">
        <v>9500</v>
      </c>
      <c r="AZ223" t="s">
        <v>3</v>
      </c>
      <c r="BA223" t="s">
        <v>3</v>
      </c>
      <c r="BB223" t="s">
        <v>3</v>
      </c>
      <c r="BC223" t="s">
        <v>1609</v>
      </c>
      <c r="BD223" t="s">
        <v>1610</v>
      </c>
      <c r="BE223">
        <v>0</v>
      </c>
      <c r="BF223">
        <v>0</v>
      </c>
      <c r="BG223">
        <v>0</v>
      </c>
      <c r="BH223">
        <v>0</v>
      </c>
      <c r="BI223">
        <v>0</v>
      </c>
      <c r="BJ223" t="s">
        <v>1660</v>
      </c>
      <c r="BK223">
        <v>0</v>
      </c>
      <c r="BL223" t="s">
        <v>132</v>
      </c>
      <c r="BM223">
        <v>0</v>
      </c>
      <c r="BN223">
        <f>Tabla1[[#This Row],[precio del paquete]]</f>
        <v>12900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 t="s">
        <v>0</v>
      </c>
      <c r="BX223" t="s">
        <v>1</v>
      </c>
      <c r="BY223" t="s">
        <v>1</v>
      </c>
      <c r="BZ223" t="s">
        <v>1</v>
      </c>
      <c r="CA223" t="s">
        <v>1</v>
      </c>
      <c r="CB223" t="s">
        <v>1661</v>
      </c>
      <c r="CD223" t="str" cm="1">
        <f t="array" aca="1" ref="CD223" ca="1">eConcatenar(A223:CB223,"|")</f>
        <v>Ft2WUVuqr2b781M7|VSA2021-T-0189|3|IMPERIAL DE LUJO|TABASCO|TACOTALPA|TACOTALPA|2021-03-19|12900|x|x|100|0|0|0|0|0|0|0|0|0|0|0|0|0|0|0|SANCHEZ|CASTELLANOS|ELIZABETH|soltero|0|0|CARRETERA JALAPA SIN NUMERO|EJIDO CEIBITA PRIMERA SECCION TACOTALPA|0|X|0|0|0|CARRETERA JALAPA SIN NUMERO|x|lunes|0|0|0|0|0|DOMICILIO |3400|9500|x|x|x|2022-03-15|2022-03-22|0|0|0|0|0|S35D6D3Y9KVTQO|0|HOMBRE|0|12900|0|0|0|0|0|0|0|0|CARDENAS|X|X|X|X|FINAL</v>
      </c>
    </row>
    <row r="224" spans="1:82" x14ac:dyDescent="0.25">
      <c r="A224" t="s">
        <v>358</v>
      </c>
      <c r="B224" t="s">
        <v>603</v>
      </c>
      <c r="C224">
        <v>3</v>
      </c>
      <c r="D224" t="s">
        <v>635</v>
      </c>
      <c r="E224" t="s">
        <v>643</v>
      </c>
      <c r="F224" t="s">
        <v>648</v>
      </c>
      <c r="G224" t="s">
        <v>648</v>
      </c>
      <c r="H224" t="s">
        <v>945</v>
      </c>
      <c r="I224">
        <v>12900</v>
      </c>
      <c r="J224" t="s">
        <v>3</v>
      </c>
      <c r="K224" t="s">
        <v>3</v>
      </c>
      <c r="L224">
        <v>100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1025</v>
      </c>
      <c r="AC224" t="s">
        <v>1000</v>
      </c>
      <c r="AD224" s="18" t="s">
        <v>1315</v>
      </c>
      <c r="AE224" t="s">
        <v>1356</v>
      </c>
      <c r="AF224">
        <v>0</v>
      </c>
      <c r="AG224">
        <v>0</v>
      </c>
      <c r="AH224" t="s">
        <v>1554</v>
      </c>
      <c r="AI224" t="s">
        <v>779</v>
      </c>
      <c r="AJ224">
        <v>0</v>
      </c>
      <c r="AK224">
        <v>9321245735</v>
      </c>
      <c r="AL224">
        <v>0</v>
      </c>
      <c r="AM224">
        <v>0</v>
      </c>
      <c r="AN224">
        <v>0</v>
      </c>
      <c r="AO224" t="s">
        <v>1554</v>
      </c>
      <c r="AP224" t="s">
        <v>3</v>
      </c>
      <c r="AQ224" t="s">
        <v>1581</v>
      </c>
      <c r="AR224">
        <v>0</v>
      </c>
      <c r="AS224">
        <v>0</v>
      </c>
      <c r="AT224">
        <v>0</v>
      </c>
      <c r="AU224">
        <v>0</v>
      </c>
      <c r="AV224">
        <v>0</v>
      </c>
      <c r="AW224" t="s">
        <v>11</v>
      </c>
      <c r="AX224">
        <f>Tabla1[[#This Row],[precio del paquete]]-Tabla1[[#This Row],[Saldo_Deudor]]</f>
        <v>4200</v>
      </c>
      <c r="AY224">
        <v>8700</v>
      </c>
      <c r="AZ224" t="s">
        <v>3</v>
      </c>
      <c r="BA224" t="s">
        <v>3</v>
      </c>
      <c r="BB224" t="s">
        <v>3</v>
      </c>
      <c r="BC224" t="s">
        <v>1609</v>
      </c>
      <c r="BD224" t="s">
        <v>1610</v>
      </c>
      <c r="BE224">
        <v>0</v>
      </c>
      <c r="BF224">
        <v>0</v>
      </c>
      <c r="BG224">
        <v>0</v>
      </c>
      <c r="BH224">
        <v>0</v>
      </c>
      <c r="BI224">
        <v>0</v>
      </c>
      <c r="BJ224" t="s">
        <v>1660</v>
      </c>
      <c r="BK224">
        <v>0</v>
      </c>
      <c r="BL224" t="s">
        <v>132</v>
      </c>
      <c r="BM224">
        <v>0</v>
      </c>
      <c r="BN224">
        <f>Tabla1[[#This Row],[precio del paquete]]</f>
        <v>12900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 t="s">
        <v>0</v>
      </c>
      <c r="BX224" t="s">
        <v>1</v>
      </c>
      <c r="BY224" t="s">
        <v>1</v>
      </c>
      <c r="BZ224" t="s">
        <v>1</v>
      </c>
      <c r="CA224" t="s">
        <v>1</v>
      </c>
      <c r="CB224" t="s">
        <v>1661</v>
      </c>
      <c r="CD224" t="str" cm="1">
        <f t="array" aca="1" ref="CD224" ca="1">eConcatenar(A224:CB224,"|")</f>
        <v>Rfgkbj7Uf9wAL8s0|VSA2021-T-0117|3|IMPERIAL DE LUJO|TABASCO|TACOTALPA|TACOTALPA|2021-02-18|12900|x|x|100|0|0|0|0|0|0|0|0|0|0|0|0|0|0|0|RUIZ|MORALES|ALICIA|soltero|0|0|CALLE SAMARIA V|COLONIA SIERRA SAN LUIS TACOTALPA|0|9321245735|0|0|0|CALLE SAMARIA V|x|lunes|0|0|0|0|0|DOMICILIO |4200|8700|x|x|x|2022-03-15|2022-03-22|0|0|0|0|0|S35D6D3Y9KVTQO|0|HOMBRE|0|12900|0|0|0|0|0|0|0|0|CARDENAS|X|X|X|X|FINAL</v>
      </c>
    </row>
    <row r="225" spans="1:82" x14ac:dyDescent="0.25">
      <c r="A225" t="s">
        <v>359</v>
      </c>
      <c r="B225" t="s">
        <v>604</v>
      </c>
      <c r="C225">
        <v>3</v>
      </c>
      <c r="D225" t="s">
        <v>640</v>
      </c>
      <c r="E225" t="s">
        <v>643</v>
      </c>
      <c r="F225" t="s">
        <v>648</v>
      </c>
      <c r="G225" t="s">
        <v>648</v>
      </c>
      <c r="H225" t="s">
        <v>945</v>
      </c>
      <c r="I225">
        <v>19800</v>
      </c>
      <c r="J225" t="s">
        <v>3</v>
      </c>
      <c r="K225" t="s">
        <v>3</v>
      </c>
      <c r="L225">
        <v>100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1067</v>
      </c>
      <c r="AC225" t="s">
        <v>985</v>
      </c>
      <c r="AD225" s="18" t="s">
        <v>1316</v>
      </c>
      <c r="AE225" t="s">
        <v>1356</v>
      </c>
      <c r="AF225">
        <v>0</v>
      </c>
      <c r="AG225">
        <v>0</v>
      </c>
      <c r="AH225" t="s">
        <v>1555</v>
      </c>
      <c r="AI225" t="s">
        <v>779</v>
      </c>
      <c r="AJ225">
        <v>0</v>
      </c>
      <c r="AK225">
        <v>9321080050</v>
      </c>
      <c r="AL225">
        <v>0</v>
      </c>
      <c r="AM225">
        <v>0</v>
      </c>
      <c r="AN225">
        <v>0</v>
      </c>
      <c r="AO225" t="s">
        <v>1555</v>
      </c>
      <c r="AP225" t="s">
        <v>3</v>
      </c>
      <c r="AQ225" t="s">
        <v>1581</v>
      </c>
      <c r="AR225">
        <v>0</v>
      </c>
      <c r="AS225">
        <v>0</v>
      </c>
      <c r="AT225">
        <v>0</v>
      </c>
      <c r="AU225">
        <v>0</v>
      </c>
      <c r="AV225">
        <v>0</v>
      </c>
      <c r="AW225" t="s">
        <v>11</v>
      </c>
      <c r="AX225">
        <f>Tabla1[[#This Row],[precio del paquete]]-Tabla1[[#This Row],[Saldo_Deudor]]</f>
        <v>4150</v>
      </c>
      <c r="AY225">
        <v>15650</v>
      </c>
      <c r="AZ225" t="s">
        <v>3</v>
      </c>
      <c r="BA225" t="s">
        <v>3</v>
      </c>
      <c r="BB225" t="s">
        <v>3</v>
      </c>
      <c r="BC225" t="s">
        <v>1609</v>
      </c>
      <c r="BD225" t="s">
        <v>1610</v>
      </c>
      <c r="BE225">
        <v>0</v>
      </c>
      <c r="BF225">
        <v>0</v>
      </c>
      <c r="BG225">
        <v>0</v>
      </c>
      <c r="BH225">
        <v>0</v>
      </c>
      <c r="BI225">
        <v>0</v>
      </c>
      <c r="BJ225" t="s">
        <v>1660</v>
      </c>
      <c r="BK225">
        <v>0</v>
      </c>
      <c r="BL225" t="s">
        <v>132</v>
      </c>
      <c r="BM225">
        <v>0</v>
      </c>
      <c r="BN225">
        <f>Tabla1[[#This Row],[precio del paquete]]</f>
        <v>19800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 t="s">
        <v>0</v>
      </c>
      <c r="BX225" t="s">
        <v>1</v>
      </c>
      <c r="BY225" t="s">
        <v>1</v>
      </c>
      <c r="BZ225" t="s">
        <v>1</v>
      </c>
      <c r="CA225" t="s">
        <v>1</v>
      </c>
      <c r="CB225" t="s">
        <v>1661</v>
      </c>
      <c r="CD225" t="str" cm="1">
        <f t="array" aca="1" ref="CD225" ca="1">eConcatenar(A225:CB225,"|")</f>
        <v>JZEYgv1G5MklAHaB|VSA2021-T-0114|3|ZAFIRO|TABASCO|TACOTALPA|TACOTALPA|2021-02-18|19800|x|x|100|0|0|0|0|0|0|0|0|0|0|0|0|0|0|0|GARCIA|PEREZ|JAVIER|soltero|0|0|CALLE LUIS S|COLONIA SIERRA SAN LUIS TACOTALPA|0|9321080050|0|0|0|CALLE LUIS S|x|lunes|0|0|0|0|0|DOMICILIO |4150|15650|x|x|x|2022-03-15|2022-03-22|0|0|0|0|0|S35D6D3Y9KVTQO|0|HOMBRE|0|19800|0|0|0|0|0|0|0|0|CARDENAS|X|X|X|X|FINAL</v>
      </c>
    </row>
    <row r="226" spans="1:82" x14ac:dyDescent="0.25">
      <c r="A226" t="s">
        <v>360</v>
      </c>
      <c r="B226" t="s">
        <v>605</v>
      </c>
      <c r="C226">
        <v>3</v>
      </c>
      <c r="D226" t="s">
        <v>635</v>
      </c>
      <c r="E226" t="s">
        <v>643</v>
      </c>
      <c r="F226" t="s">
        <v>648</v>
      </c>
      <c r="G226" t="s">
        <v>648</v>
      </c>
      <c r="H226" t="s">
        <v>946</v>
      </c>
      <c r="I226">
        <v>12900</v>
      </c>
      <c r="J226" t="s">
        <v>3</v>
      </c>
      <c r="K226" t="s">
        <v>3</v>
      </c>
      <c r="L226">
        <v>100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0</v>
      </c>
      <c r="AC226" t="s">
        <v>1317</v>
      </c>
      <c r="AD226" s="18" t="s">
        <v>1318</v>
      </c>
      <c r="AE226" t="s">
        <v>1356</v>
      </c>
      <c r="AF226">
        <v>0</v>
      </c>
      <c r="AG226">
        <v>0</v>
      </c>
      <c r="AH226" t="s">
        <v>1556</v>
      </c>
      <c r="AI226" t="s">
        <v>780</v>
      </c>
      <c r="AJ226">
        <v>0</v>
      </c>
      <c r="AK226">
        <v>9321174819</v>
      </c>
      <c r="AL226">
        <v>0</v>
      </c>
      <c r="AM226">
        <v>0</v>
      </c>
      <c r="AN226">
        <v>0</v>
      </c>
      <c r="AO226" t="s">
        <v>1556</v>
      </c>
      <c r="AP226" t="s">
        <v>3</v>
      </c>
      <c r="AQ226" t="s">
        <v>1581</v>
      </c>
      <c r="AR226">
        <v>0</v>
      </c>
      <c r="AS226">
        <v>0</v>
      </c>
      <c r="AT226">
        <v>0</v>
      </c>
      <c r="AU226">
        <v>0</v>
      </c>
      <c r="AV226">
        <v>0</v>
      </c>
      <c r="AW226" t="s">
        <v>11</v>
      </c>
      <c r="AX226">
        <f>Tabla1[[#This Row],[precio del paquete]]-Tabla1[[#This Row],[Saldo_Deudor]]</f>
        <v>5200</v>
      </c>
      <c r="AY226">
        <v>7700</v>
      </c>
      <c r="AZ226" t="s">
        <v>3</v>
      </c>
      <c r="BA226" t="s">
        <v>3</v>
      </c>
      <c r="BB226" t="s">
        <v>3</v>
      </c>
      <c r="BC226" t="s">
        <v>1609</v>
      </c>
      <c r="BD226" t="s">
        <v>1610</v>
      </c>
      <c r="BE226">
        <v>0</v>
      </c>
      <c r="BF226">
        <v>0</v>
      </c>
      <c r="BG226">
        <v>0</v>
      </c>
      <c r="BH226">
        <v>0</v>
      </c>
      <c r="BI226">
        <v>0</v>
      </c>
      <c r="BJ226" t="s">
        <v>1660</v>
      </c>
      <c r="BK226">
        <v>0</v>
      </c>
      <c r="BL226" t="s">
        <v>132</v>
      </c>
      <c r="BM226">
        <v>0</v>
      </c>
      <c r="BN226">
        <f>Tabla1[[#This Row],[precio del paquete]]</f>
        <v>12900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 t="s">
        <v>0</v>
      </c>
      <c r="BX226" t="s">
        <v>1</v>
      </c>
      <c r="BY226" t="s">
        <v>1</v>
      </c>
      <c r="BZ226" t="s">
        <v>1</v>
      </c>
      <c r="CA226" t="s">
        <v>1</v>
      </c>
      <c r="CB226" t="s">
        <v>1661</v>
      </c>
      <c r="CD226" t="str" cm="1">
        <f t="array" aca="1" ref="CD226" ca="1">eConcatenar(A226:CB226,"|")</f>
        <v>fMEd6eP02HnHkdad|VSA2021-T-0135|3|IMPERIAL DE LUJO|TABASCO|TACOTALPA|TACOTALPA|2021-02-25|12900|x|x|100|0|0|0|0|0|0|0|0|0|0|0|0|0|0|0|CARDENAS|PALOMEQUEZ|JOSE|soltero|0|0|EJIDO CEIBITA SEGUNDA SIN NUMERO|EJIDO CEIBITA SEGUNDA SECCION TACOTALPA|0|9321174819|0|0|0|EJIDO CEIBITA SEGUNDA SIN NUMERO|x|lunes|0|0|0|0|0|DOMICILIO |5200|7700|x|x|x|2022-03-15|2022-03-22|0|0|0|0|0|S35D6D3Y9KVTQO|0|HOMBRE|0|12900|0|0|0|0|0|0|0|0|CARDENAS|X|X|X|X|FINAL</v>
      </c>
    </row>
    <row r="227" spans="1:82" x14ac:dyDescent="0.25">
      <c r="A227" t="s">
        <v>361</v>
      </c>
      <c r="B227" t="s">
        <v>606</v>
      </c>
      <c r="C227">
        <v>3</v>
      </c>
      <c r="D227" t="s">
        <v>634</v>
      </c>
      <c r="E227" t="s">
        <v>643</v>
      </c>
      <c r="F227" t="s">
        <v>648</v>
      </c>
      <c r="G227" t="s">
        <v>648</v>
      </c>
      <c r="H227" t="s">
        <v>947</v>
      </c>
      <c r="I227">
        <v>14800</v>
      </c>
      <c r="J227" t="s">
        <v>3</v>
      </c>
      <c r="K227" t="s">
        <v>3</v>
      </c>
      <c r="L227">
        <v>100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7</v>
      </c>
      <c r="AC227" t="s">
        <v>1097</v>
      </c>
      <c r="AD227" s="18" t="s">
        <v>1319</v>
      </c>
      <c r="AE227" t="s">
        <v>1356</v>
      </c>
      <c r="AF227">
        <v>0</v>
      </c>
      <c r="AG227">
        <v>0</v>
      </c>
      <c r="AH227" t="s">
        <v>1557</v>
      </c>
      <c r="AI227" t="s">
        <v>781</v>
      </c>
      <c r="AJ227">
        <v>0</v>
      </c>
      <c r="AK227">
        <v>9321064809</v>
      </c>
      <c r="AL227">
        <v>0</v>
      </c>
      <c r="AM227">
        <v>0</v>
      </c>
      <c r="AN227">
        <v>0</v>
      </c>
      <c r="AO227" t="s">
        <v>1557</v>
      </c>
      <c r="AP227" t="s">
        <v>3</v>
      </c>
      <c r="AQ227" t="s">
        <v>1581</v>
      </c>
      <c r="AR227">
        <v>0</v>
      </c>
      <c r="AS227">
        <v>0</v>
      </c>
      <c r="AT227">
        <v>0</v>
      </c>
      <c r="AU227">
        <v>0</v>
      </c>
      <c r="AV227">
        <v>0</v>
      </c>
      <c r="AW227" t="s">
        <v>11</v>
      </c>
      <c r="AX227">
        <f>Tabla1[[#This Row],[precio del paquete]]-Tabla1[[#This Row],[Saldo_Deudor]]</f>
        <v>9991</v>
      </c>
      <c r="AY227">
        <v>4809</v>
      </c>
      <c r="AZ227" t="s">
        <v>3</v>
      </c>
      <c r="BA227" t="s">
        <v>3</v>
      </c>
      <c r="BB227" t="s">
        <v>3</v>
      </c>
      <c r="BC227" t="s">
        <v>1609</v>
      </c>
      <c r="BD227" t="s">
        <v>1610</v>
      </c>
      <c r="BE227">
        <v>0</v>
      </c>
      <c r="BF227">
        <v>0</v>
      </c>
      <c r="BG227">
        <v>0</v>
      </c>
      <c r="BH227">
        <v>0</v>
      </c>
      <c r="BI227">
        <v>0</v>
      </c>
      <c r="BJ227" t="s">
        <v>1660</v>
      </c>
      <c r="BK227">
        <v>0</v>
      </c>
      <c r="BL227" t="s">
        <v>132</v>
      </c>
      <c r="BM227">
        <v>0</v>
      </c>
      <c r="BN227">
        <f>Tabla1[[#This Row],[precio del paquete]]</f>
        <v>14800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 t="s">
        <v>0</v>
      </c>
      <c r="BX227" t="s">
        <v>1</v>
      </c>
      <c r="BY227" t="s">
        <v>1</v>
      </c>
      <c r="BZ227" t="s">
        <v>1</v>
      </c>
      <c r="CA227" t="s">
        <v>1</v>
      </c>
      <c r="CB227" t="s">
        <v>1661</v>
      </c>
      <c r="CD227" t="str" cm="1">
        <f t="array" aca="1" ref="CD227" ca="1">eConcatenar(A227:CB227,"|")</f>
        <v>jdV4l5ElYiWYfqR6|VSA2020-T-0278|3|MEMORIAL|TABASCO|TACOTALPA|TACOTALPA|2021-03-17|14800|x|x|100|0|0|0|0|0|0|0|0|0|0|0|0|0|0|0|LOPEZ|HERRERA|HILDA MARIN|soltero|0|0|BALANCAN GUTIERRE SANTA BARBARA|EJIDO CEIBITA|0|9321064809|0|0|0|BALANCAN GUTIERRE SANTA BARBARA|x|lunes|0|0|0|0|0|DOMICILIO |9991|4809|x|x|x|2022-03-15|2022-03-22|0|0|0|0|0|S35D6D3Y9KVTQO|0|HOMBRE|0|14800|0|0|0|0|0|0|0|0|CARDENAS|X|X|X|X|FINAL</v>
      </c>
    </row>
    <row r="228" spans="1:82" x14ac:dyDescent="0.25">
      <c r="A228" t="s">
        <v>362</v>
      </c>
      <c r="B228" t="s">
        <v>607</v>
      </c>
      <c r="C228">
        <v>3</v>
      </c>
      <c r="D228" t="s">
        <v>634</v>
      </c>
      <c r="E228" t="s">
        <v>643</v>
      </c>
      <c r="F228" t="s">
        <v>648</v>
      </c>
      <c r="G228" t="s">
        <v>648</v>
      </c>
      <c r="H228" t="s">
        <v>947</v>
      </c>
      <c r="I228">
        <v>14800</v>
      </c>
      <c r="J228" t="s">
        <v>3</v>
      </c>
      <c r="K228" t="s">
        <v>3</v>
      </c>
      <c r="L228">
        <v>100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7</v>
      </c>
      <c r="AC228" t="s">
        <v>1183</v>
      </c>
      <c r="AD228" s="18" t="s">
        <v>1320</v>
      </c>
      <c r="AE228" t="s">
        <v>1356</v>
      </c>
      <c r="AF228">
        <v>0</v>
      </c>
      <c r="AG228">
        <v>0</v>
      </c>
      <c r="AH228" t="s">
        <v>1557</v>
      </c>
      <c r="AI228" t="s">
        <v>782</v>
      </c>
      <c r="AJ228">
        <v>0</v>
      </c>
      <c r="AK228">
        <v>9321292350</v>
      </c>
      <c r="AL228">
        <v>0</v>
      </c>
      <c r="AM228">
        <v>0</v>
      </c>
      <c r="AN228">
        <v>0</v>
      </c>
      <c r="AO228" t="s">
        <v>1557</v>
      </c>
      <c r="AP228" t="s">
        <v>3</v>
      </c>
      <c r="AQ228" t="s">
        <v>1581</v>
      </c>
      <c r="AR228">
        <v>0</v>
      </c>
      <c r="AS228">
        <v>0</v>
      </c>
      <c r="AT228">
        <v>0</v>
      </c>
      <c r="AU228">
        <v>0</v>
      </c>
      <c r="AV228">
        <v>0</v>
      </c>
      <c r="AW228" t="s">
        <v>11</v>
      </c>
      <c r="AX228">
        <f>Tabla1[[#This Row],[precio del paquete]]-Tabla1[[#This Row],[Saldo_Deudor]]</f>
        <v>2850</v>
      </c>
      <c r="AY228">
        <v>11950</v>
      </c>
      <c r="AZ228" t="s">
        <v>3</v>
      </c>
      <c r="BA228" t="s">
        <v>3</v>
      </c>
      <c r="BB228" t="s">
        <v>3</v>
      </c>
      <c r="BC228" t="s">
        <v>1611</v>
      </c>
      <c r="BD228" t="s">
        <v>1612</v>
      </c>
      <c r="BE228">
        <v>0</v>
      </c>
      <c r="BF228">
        <v>0</v>
      </c>
      <c r="BG228">
        <v>0</v>
      </c>
      <c r="BH228">
        <v>0</v>
      </c>
      <c r="BI228">
        <v>0</v>
      </c>
      <c r="BJ228" t="s">
        <v>1660</v>
      </c>
      <c r="BK228">
        <v>0</v>
      </c>
      <c r="BL228" t="s">
        <v>132</v>
      </c>
      <c r="BM228">
        <v>0</v>
      </c>
      <c r="BN228">
        <f>Tabla1[[#This Row],[precio del paquete]]</f>
        <v>14800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 t="s">
        <v>0</v>
      </c>
      <c r="BX228" t="s">
        <v>1</v>
      </c>
      <c r="BY228" t="s">
        <v>1</v>
      </c>
      <c r="BZ228" t="s">
        <v>1</v>
      </c>
      <c r="CA228" t="s">
        <v>1</v>
      </c>
      <c r="CB228" t="s">
        <v>1661</v>
      </c>
      <c r="CD228" t="str" cm="1">
        <f t="array" aca="1" ref="CD228" ca="1">eConcatenar(A228:CB228,"|")</f>
        <v>uhqW5QZDL1CSfUa4|VSA2021-T-0179|3|MEMORIAL|TABASCO|TACOTALPA|TACOTALPA|2021-03-17|14800|x|x|100|0|0|0|0|0|0|0|0|0|0|0|0|0|0|0|LOPEZ|ALONSO|JULIANA|soltero|0|0|BALANCAN GUTIERRE SANTA BARBARA|EJIDO CEIBITA SANTA BARBARA|0|9321292350|0|0|0|BALANCAN GUTIERRE SANTA BARBARA|x|lunes|0|0|0|0|0|DOMICILIO |2850|11950|x|x|x|2022-03-14|2022-03-21|0|0|0|0|0|S35D6D3Y9KVTQO|0|HOMBRE|0|14800|0|0|0|0|0|0|0|0|CARDENAS|X|X|X|X|FINAL</v>
      </c>
    </row>
    <row r="229" spans="1:82" x14ac:dyDescent="0.25">
      <c r="A229" t="s">
        <v>363</v>
      </c>
      <c r="B229" t="s">
        <v>608</v>
      </c>
      <c r="C229">
        <v>3</v>
      </c>
      <c r="D229" t="s">
        <v>634</v>
      </c>
      <c r="E229" t="s">
        <v>643</v>
      </c>
      <c r="F229" t="s">
        <v>648</v>
      </c>
      <c r="G229" t="s">
        <v>648</v>
      </c>
      <c r="H229" t="s">
        <v>948</v>
      </c>
      <c r="I229">
        <v>14800</v>
      </c>
      <c r="J229" t="s">
        <v>3</v>
      </c>
      <c r="K229" t="s">
        <v>3</v>
      </c>
      <c r="L229">
        <v>100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1063</v>
      </c>
      <c r="AC229" t="s">
        <v>1321</v>
      </c>
      <c r="AD229" s="18" t="s">
        <v>1322</v>
      </c>
      <c r="AE229" t="s">
        <v>1356</v>
      </c>
      <c r="AF229">
        <v>0</v>
      </c>
      <c r="AG229">
        <v>0</v>
      </c>
      <c r="AH229" t="s">
        <v>1558</v>
      </c>
      <c r="AI229" t="s">
        <v>774</v>
      </c>
      <c r="AJ229">
        <v>0</v>
      </c>
      <c r="AK229">
        <v>9321031079</v>
      </c>
      <c r="AL229">
        <v>0</v>
      </c>
      <c r="AM229">
        <v>0</v>
      </c>
      <c r="AN229">
        <v>0</v>
      </c>
      <c r="AO229" t="s">
        <v>1558</v>
      </c>
      <c r="AP229" t="s">
        <v>3</v>
      </c>
      <c r="AQ229" t="s">
        <v>1581</v>
      </c>
      <c r="AR229">
        <v>0</v>
      </c>
      <c r="AS229">
        <v>0</v>
      </c>
      <c r="AT229">
        <v>0</v>
      </c>
      <c r="AU229">
        <v>0</v>
      </c>
      <c r="AV229">
        <v>0</v>
      </c>
      <c r="AW229" t="s">
        <v>11</v>
      </c>
      <c r="AX229">
        <f>Tabla1[[#This Row],[precio del paquete]]-Tabla1[[#This Row],[Saldo_Deudor]]</f>
        <v>12800</v>
      </c>
      <c r="AY229">
        <v>2000</v>
      </c>
      <c r="AZ229" t="s">
        <v>3</v>
      </c>
      <c r="BA229" t="s">
        <v>3</v>
      </c>
      <c r="BB229" t="s">
        <v>3</v>
      </c>
      <c r="BC229" t="s">
        <v>1611</v>
      </c>
      <c r="BD229" t="s">
        <v>1612</v>
      </c>
      <c r="BE229">
        <v>0</v>
      </c>
      <c r="BF229">
        <v>0</v>
      </c>
      <c r="BG229">
        <v>0</v>
      </c>
      <c r="BH229">
        <v>0</v>
      </c>
      <c r="BI229">
        <v>0</v>
      </c>
      <c r="BJ229" t="s">
        <v>1660</v>
      </c>
      <c r="BK229">
        <v>0</v>
      </c>
      <c r="BL229" t="s">
        <v>132</v>
      </c>
      <c r="BM229">
        <v>0</v>
      </c>
      <c r="BN229">
        <f>Tabla1[[#This Row],[precio del paquete]]</f>
        <v>14800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 t="s">
        <v>0</v>
      </c>
      <c r="BX229" t="s">
        <v>1</v>
      </c>
      <c r="BY229" t="s">
        <v>1</v>
      </c>
      <c r="BZ229" t="s">
        <v>1</v>
      </c>
      <c r="CA229" t="s">
        <v>1</v>
      </c>
      <c r="CB229" t="s">
        <v>1661</v>
      </c>
      <c r="CD229" t="str" cm="1">
        <f t="array" aca="1" ref="CD229" ca="1">eConcatenar(A229:CB229,"|")</f>
        <v>Y79XfiGRDfqrIHas|VSA2021-T-0076|3|MEMORIAL|TABASCO|TACOTALPA|TACOTALPA|2021-03-02|14800|x|x|100|0|0|0|0|0|0|0|0|0|0|0|0|0|0|0|MENDEZ|CABRALEZ|JUAN MANUEL|soltero|0|0|CALLE EUSEBIO CASTILLO NUMERO 10|COLONIA CENTRO TACOTALPA|0|9321031079|0|0|0|CALLE EUSEBIO CASTILLO NUMERO 10|x|lunes|0|0|0|0|0|DOMICILIO |12800|2000|x|x|x|2022-03-14|2022-03-21|0|0|0|0|0|S35D6D3Y9KVTQO|0|HOMBRE|0|14800|0|0|0|0|0|0|0|0|CARDENAS|X|X|X|X|FINAL</v>
      </c>
    </row>
    <row r="230" spans="1:82" x14ac:dyDescent="0.25">
      <c r="A230" t="s">
        <v>364</v>
      </c>
      <c r="B230" t="s">
        <v>609</v>
      </c>
      <c r="C230">
        <v>3</v>
      </c>
      <c r="D230" t="s">
        <v>634</v>
      </c>
      <c r="E230" t="s">
        <v>643</v>
      </c>
      <c r="F230" t="s">
        <v>648</v>
      </c>
      <c r="G230" t="s">
        <v>648</v>
      </c>
      <c r="H230" t="s">
        <v>949</v>
      </c>
      <c r="I230">
        <v>14800</v>
      </c>
      <c r="J230" t="s">
        <v>3</v>
      </c>
      <c r="K230" t="s">
        <v>3</v>
      </c>
      <c r="L230">
        <v>100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1111</v>
      </c>
      <c r="AC230" t="s">
        <v>1323</v>
      </c>
      <c r="AD230" s="18" t="s">
        <v>1324</v>
      </c>
      <c r="AE230" t="s">
        <v>1356</v>
      </c>
      <c r="AF230">
        <v>0</v>
      </c>
      <c r="AG230">
        <v>0</v>
      </c>
      <c r="AH230" t="s">
        <v>1559</v>
      </c>
      <c r="AI230" t="s">
        <v>783</v>
      </c>
      <c r="AJ230">
        <v>0</v>
      </c>
      <c r="AK230">
        <v>9321225835</v>
      </c>
      <c r="AL230">
        <v>0</v>
      </c>
      <c r="AM230">
        <v>0</v>
      </c>
      <c r="AN230">
        <v>0</v>
      </c>
      <c r="AO230" t="s">
        <v>1559</v>
      </c>
      <c r="AP230" t="s">
        <v>3</v>
      </c>
      <c r="AQ230" t="s">
        <v>1581</v>
      </c>
      <c r="AR230">
        <v>0</v>
      </c>
      <c r="AS230">
        <v>0</v>
      </c>
      <c r="AT230">
        <v>0</v>
      </c>
      <c r="AU230">
        <v>0</v>
      </c>
      <c r="AV230">
        <v>0</v>
      </c>
      <c r="AW230" t="s">
        <v>11</v>
      </c>
      <c r="AX230">
        <f>Tabla1[[#This Row],[precio del paquete]]-Tabla1[[#This Row],[Saldo_Deudor]]</f>
        <v>6300</v>
      </c>
      <c r="AY230">
        <v>8500</v>
      </c>
      <c r="AZ230" t="s">
        <v>3</v>
      </c>
      <c r="BA230" t="s">
        <v>3</v>
      </c>
      <c r="BB230" t="s">
        <v>3</v>
      </c>
      <c r="BC230" t="s">
        <v>1611</v>
      </c>
      <c r="BD230" t="s">
        <v>1612</v>
      </c>
      <c r="BE230">
        <v>0</v>
      </c>
      <c r="BF230">
        <v>0</v>
      </c>
      <c r="BG230">
        <v>0</v>
      </c>
      <c r="BH230">
        <v>0</v>
      </c>
      <c r="BI230">
        <v>0</v>
      </c>
      <c r="BJ230" t="s">
        <v>1660</v>
      </c>
      <c r="BK230">
        <v>0</v>
      </c>
      <c r="BL230" t="s">
        <v>132</v>
      </c>
      <c r="BM230">
        <v>0</v>
      </c>
      <c r="BN230">
        <f>Tabla1[[#This Row],[precio del paquete]]</f>
        <v>14800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 t="s">
        <v>0</v>
      </c>
      <c r="BX230" t="s">
        <v>1</v>
      </c>
      <c r="BY230" t="s">
        <v>1</v>
      </c>
      <c r="BZ230" t="s">
        <v>1</v>
      </c>
      <c r="CA230" t="s">
        <v>1</v>
      </c>
      <c r="CB230" t="s">
        <v>1661</v>
      </c>
      <c r="CD230" t="str" cm="1">
        <f t="array" aca="1" ref="CD230" ca="1">eConcatenar(A230:CB230,"|")</f>
        <v>uLgcjYdKcCTd0KLo|VSA2021-T-0127|3|MEMORIAL|TABASCO|TACOTALPA|TACOTALPA|2021-02-22|14800|x|x|100|0|0|0|0|0|0|0|0|0|0|0|0|0|0|0|ALVARADO|VALCONCELOS|PORFIRIO ESTEVAN|soltero|0|0|CALLE 20 DE MARZO|COLONIA PUEBLO NUEVO|0|9321225835|0|0|0|CALLE 20 DE MARZO|x|lunes|0|0|0|0|0|DOMICILIO |6300|8500|x|x|x|2022-03-14|2022-03-21|0|0|0|0|0|S35D6D3Y9KVTQO|0|HOMBRE|0|14800|0|0|0|0|0|0|0|0|CARDENAS|X|X|X|X|FINAL</v>
      </c>
    </row>
    <row r="231" spans="1:82" x14ac:dyDescent="0.25">
      <c r="A231" t="s">
        <v>365</v>
      </c>
      <c r="B231" t="s">
        <v>610</v>
      </c>
      <c r="C231">
        <v>3</v>
      </c>
      <c r="D231" t="s">
        <v>634</v>
      </c>
      <c r="E231" t="s">
        <v>643</v>
      </c>
      <c r="F231" t="s">
        <v>648</v>
      </c>
      <c r="G231" t="s">
        <v>648</v>
      </c>
      <c r="H231" t="s">
        <v>945</v>
      </c>
      <c r="I231">
        <v>14800</v>
      </c>
      <c r="J231" t="s">
        <v>3</v>
      </c>
      <c r="K231" t="s">
        <v>3</v>
      </c>
      <c r="L231">
        <v>100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1058</v>
      </c>
      <c r="AC231" t="s">
        <v>1020</v>
      </c>
      <c r="AD231" s="18" t="s">
        <v>1325</v>
      </c>
      <c r="AE231" t="s">
        <v>1356</v>
      </c>
      <c r="AF231">
        <v>0</v>
      </c>
      <c r="AG231">
        <v>0</v>
      </c>
      <c r="AH231" t="s">
        <v>1560</v>
      </c>
      <c r="AI231" t="s">
        <v>784</v>
      </c>
      <c r="AJ231">
        <v>0</v>
      </c>
      <c r="AK231">
        <v>9321300191</v>
      </c>
      <c r="AL231">
        <v>0</v>
      </c>
      <c r="AM231">
        <v>0</v>
      </c>
      <c r="AN231">
        <v>0</v>
      </c>
      <c r="AO231" t="s">
        <v>1560</v>
      </c>
      <c r="AP231" t="s">
        <v>3</v>
      </c>
      <c r="AQ231" t="s">
        <v>1581</v>
      </c>
      <c r="AR231">
        <v>0</v>
      </c>
      <c r="AS231">
        <v>0</v>
      </c>
      <c r="AT231">
        <v>0</v>
      </c>
      <c r="AU231">
        <v>0</v>
      </c>
      <c r="AV231">
        <v>0</v>
      </c>
      <c r="AW231" t="s">
        <v>11</v>
      </c>
      <c r="AX231">
        <f>Tabla1[[#This Row],[precio del paquete]]-Tabla1[[#This Row],[Saldo_Deudor]]</f>
        <v>10250</v>
      </c>
      <c r="AY231">
        <v>4550</v>
      </c>
      <c r="AZ231" t="s">
        <v>3</v>
      </c>
      <c r="BA231" t="s">
        <v>3</v>
      </c>
      <c r="BB231" t="s">
        <v>3</v>
      </c>
      <c r="BC231" t="s">
        <v>1611</v>
      </c>
      <c r="BD231" t="s">
        <v>1612</v>
      </c>
      <c r="BE231">
        <v>0</v>
      </c>
      <c r="BF231">
        <v>0</v>
      </c>
      <c r="BG231">
        <v>0</v>
      </c>
      <c r="BH231">
        <v>0</v>
      </c>
      <c r="BI231">
        <v>0</v>
      </c>
      <c r="BJ231" t="s">
        <v>1660</v>
      </c>
      <c r="BK231">
        <v>0</v>
      </c>
      <c r="BL231" t="s">
        <v>132</v>
      </c>
      <c r="BM231">
        <v>0</v>
      </c>
      <c r="BN231">
        <f>Tabla1[[#This Row],[precio del paquete]]</f>
        <v>14800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 t="s">
        <v>0</v>
      </c>
      <c r="BX231" t="s">
        <v>1</v>
      </c>
      <c r="BY231" t="s">
        <v>1</v>
      </c>
      <c r="BZ231" t="s">
        <v>1</v>
      </c>
      <c r="CA231" t="s">
        <v>1</v>
      </c>
      <c r="CB231" t="s">
        <v>1661</v>
      </c>
      <c r="CD231" t="str" cm="1">
        <f t="array" aca="1" ref="CD231" ca="1">eConcatenar(A231:CB231,"|")</f>
        <v>NeFczBBs4MVoVoxg|VSA2021-T-0111|3|MEMORIAL|TABASCO|TACOTALPA|TACOTALPA|2021-02-18|14800|x|x|100|0|0|0|0|0|0|0|0|0|0|0|0|0|0|0|FLORES|CRUZ|EUCAMACION|soltero|0|0|RANCHERIA LA CEIBA PRIMERA SECCION|RANCHERIA CEIBA PRIMERA SECCION SAN LUIS|0|9321300191|0|0|0|RANCHERIA LA CEIBA PRIMERA SECCION|x|lunes|0|0|0|0|0|DOMICILIO |10250|4550|x|x|x|2022-03-14|2022-03-21|0|0|0|0|0|S35D6D3Y9KVTQO|0|HOMBRE|0|14800|0|0|0|0|0|0|0|0|CARDENAS|X|X|X|X|FINAL</v>
      </c>
    </row>
    <row r="232" spans="1:82" x14ac:dyDescent="0.25">
      <c r="A232" t="s">
        <v>366</v>
      </c>
      <c r="B232" t="s">
        <v>611</v>
      </c>
      <c r="C232">
        <v>3</v>
      </c>
      <c r="D232" t="s">
        <v>635</v>
      </c>
      <c r="E232" t="s">
        <v>643</v>
      </c>
      <c r="F232" t="s">
        <v>648</v>
      </c>
      <c r="G232" t="s">
        <v>648</v>
      </c>
      <c r="H232" t="s">
        <v>945</v>
      </c>
      <c r="I232">
        <v>12900</v>
      </c>
      <c r="J232" t="s">
        <v>3</v>
      </c>
      <c r="K232" t="s">
        <v>3</v>
      </c>
      <c r="L232">
        <v>100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1065</v>
      </c>
      <c r="AC232" t="s">
        <v>1326</v>
      </c>
      <c r="AD232" s="18" t="s">
        <v>1327</v>
      </c>
      <c r="AE232" t="s">
        <v>1356</v>
      </c>
      <c r="AF232">
        <v>0</v>
      </c>
      <c r="AG232">
        <v>0</v>
      </c>
      <c r="AH232" t="s">
        <v>1561</v>
      </c>
      <c r="AI232" t="s">
        <v>785</v>
      </c>
      <c r="AJ232">
        <v>0</v>
      </c>
      <c r="AK232">
        <v>9321467342</v>
      </c>
      <c r="AL232">
        <v>0</v>
      </c>
      <c r="AM232">
        <v>0</v>
      </c>
      <c r="AN232">
        <v>0</v>
      </c>
      <c r="AO232" t="s">
        <v>1561</v>
      </c>
      <c r="AP232" t="s">
        <v>3</v>
      </c>
      <c r="AQ232" t="s">
        <v>1581</v>
      </c>
      <c r="AR232">
        <v>0</v>
      </c>
      <c r="AS232">
        <v>0</v>
      </c>
      <c r="AT232">
        <v>0</v>
      </c>
      <c r="AU232">
        <v>0</v>
      </c>
      <c r="AV232">
        <v>0</v>
      </c>
      <c r="AW232" t="s">
        <v>11</v>
      </c>
      <c r="AX232">
        <f>Tabla1[[#This Row],[precio del paquete]]-Tabla1[[#This Row],[Saldo_Deudor]]</f>
        <v>2550</v>
      </c>
      <c r="AY232">
        <v>10350</v>
      </c>
      <c r="AZ232" t="s">
        <v>3</v>
      </c>
      <c r="BA232" t="s">
        <v>3</v>
      </c>
      <c r="BB232" t="s">
        <v>3</v>
      </c>
      <c r="BC232" t="s">
        <v>1611</v>
      </c>
      <c r="BD232" t="s">
        <v>1612</v>
      </c>
      <c r="BE232">
        <v>0</v>
      </c>
      <c r="BF232">
        <v>0</v>
      </c>
      <c r="BG232">
        <v>0</v>
      </c>
      <c r="BH232">
        <v>0</v>
      </c>
      <c r="BI232">
        <v>0</v>
      </c>
      <c r="BJ232" t="s">
        <v>1660</v>
      </c>
      <c r="BK232">
        <v>0</v>
      </c>
      <c r="BL232" t="s">
        <v>132</v>
      </c>
      <c r="BM232">
        <v>0</v>
      </c>
      <c r="BN232">
        <f>Tabla1[[#This Row],[precio del paquete]]</f>
        <v>12900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 t="s">
        <v>0</v>
      </c>
      <c r="BX232" t="s">
        <v>1</v>
      </c>
      <c r="BY232" t="s">
        <v>1</v>
      </c>
      <c r="BZ232" t="s">
        <v>1</v>
      </c>
      <c r="CA232" t="s">
        <v>1</v>
      </c>
      <c r="CB232" t="s">
        <v>1661</v>
      </c>
      <c r="CD232" t="str" cm="1">
        <f t="array" aca="1" ref="CD232" ca="1">eConcatenar(A232:CB232,"|")</f>
        <v>7PEXZaGdwzhDEu9w|VSA2021-T-0113|3|IMPERIAL DE LUJO|TABASCO|TACOTALPA|TACOTALPA|2021-02-18|12900|x|x|100|0|0|0|0|0|0|0|0|0|0|0|0|0|0|0|TORRES|GALLEGOS|MARIA JESUS|soltero|0|0|CALLE SIN NOMBRE RANCHERIA CEIBA SEGUNDA SECCION|COLONIA SAN LUIS|0|9321467342|0|0|0|CALLE SIN NOMBRE RANCHERIA CEIBA SEGUNDA SECCION|x|lunes|0|0|0|0|0|DOMICILIO |2550|10350|x|x|x|2022-03-14|2022-03-21|0|0|0|0|0|S35D6D3Y9KVTQO|0|HOMBRE|0|12900|0|0|0|0|0|0|0|0|CARDENAS|X|X|X|X|FINAL</v>
      </c>
    </row>
    <row r="233" spans="1:82" x14ac:dyDescent="0.25">
      <c r="A233" t="s">
        <v>367</v>
      </c>
      <c r="B233" t="s">
        <v>612</v>
      </c>
      <c r="C233">
        <v>3</v>
      </c>
      <c r="D233" t="s">
        <v>635</v>
      </c>
      <c r="E233" t="s">
        <v>643</v>
      </c>
      <c r="F233" t="s">
        <v>648</v>
      </c>
      <c r="G233" t="s">
        <v>648</v>
      </c>
      <c r="H233" t="s">
        <v>950</v>
      </c>
      <c r="I233">
        <v>12900</v>
      </c>
      <c r="J233" t="s">
        <v>3</v>
      </c>
      <c r="K233" t="s">
        <v>3</v>
      </c>
      <c r="L233">
        <v>100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1023</v>
      </c>
      <c r="AC233" t="s">
        <v>1058</v>
      </c>
      <c r="AD233" s="18" t="s">
        <v>1328</v>
      </c>
      <c r="AE233" t="s">
        <v>1356</v>
      </c>
      <c r="AF233">
        <v>0</v>
      </c>
      <c r="AG233">
        <v>0</v>
      </c>
      <c r="AH233" t="s">
        <v>1561</v>
      </c>
      <c r="AI233" t="s">
        <v>786</v>
      </c>
      <c r="AJ233">
        <v>0</v>
      </c>
      <c r="AK233">
        <v>9321103572</v>
      </c>
      <c r="AL233">
        <v>0</v>
      </c>
      <c r="AM233">
        <v>0</v>
      </c>
      <c r="AN233">
        <v>0</v>
      </c>
      <c r="AO233" t="s">
        <v>1561</v>
      </c>
      <c r="AP233" t="s">
        <v>3</v>
      </c>
      <c r="AQ233" t="s">
        <v>1581</v>
      </c>
      <c r="AR233">
        <v>0</v>
      </c>
      <c r="AS233">
        <v>0</v>
      </c>
      <c r="AT233">
        <v>0</v>
      </c>
      <c r="AU233">
        <v>0</v>
      </c>
      <c r="AV233">
        <v>0</v>
      </c>
      <c r="AW233" t="s">
        <v>11</v>
      </c>
      <c r="AX233">
        <f>Tabla1[[#This Row],[precio del paquete]]-Tabla1[[#This Row],[Saldo_Deudor]]</f>
        <v>4590</v>
      </c>
      <c r="AY233">
        <v>8310</v>
      </c>
      <c r="AZ233" t="s">
        <v>3</v>
      </c>
      <c r="BA233" t="s">
        <v>3</v>
      </c>
      <c r="BB233" t="s">
        <v>3</v>
      </c>
      <c r="BC233" t="s">
        <v>1611</v>
      </c>
      <c r="BD233" t="s">
        <v>1612</v>
      </c>
      <c r="BE233">
        <v>0</v>
      </c>
      <c r="BF233">
        <v>0</v>
      </c>
      <c r="BG233">
        <v>0</v>
      </c>
      <c r="BH233">
        <v>0</v>
      </c>
      <c r="BI233">
        <v>0</v>
      </c>
      <c r="BJ233" t="s">
        <v>1660</v>
      </c>
      <c r="BK233">
        <v>0</v>
      </c>
      <c r="BL233" t="s">
        <v>132</v>
      </c>
      <c r="BM233">
        <v>0</v>
      </c>
      <c r="BN233">
        <f>Tabla1[[#This Row],[precio del paquete]]</f>
        <v>12900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 t="s">
        <v>0</v>
      </c>
      <c r="BX233" t="s">
        <v>1</v>
      </c>
      <c r="BY233" t="s">
        <v>1</v>
      </c>
      <c r="BZ233" t="s">
        <v>1</v>
      </c>
      <c r="CA233" t="s">
        <v>1</v>
      </c>
      <c r="CB233" t="s">
        <v>1661</v>
      </c>
      <c r="CD233" t="str" cm="1">
        <f t="array" aca="1" ref="CD233" ca="1">eConcatenar(A233:CB233,"|")</f>
        <v>xFk1hQnrbrH7J3b5|VSA2021-T-0126|3|IMPERIAL DE LUJO|TABASCO|TACOTALPA|TACOTALPA|2021-02-20|12900|x|x|100|0|0|0|0|0|0|0|0|0|0|0|0|0|0|0|DE LA CRUZ|FLORES|MARIA MAGDALENA|soltero|0|0|CALLE SIN NOMBRE RANCHERIA CEIBA SEGUNDA SECCION|EJIDO CEIBA SEGUNDA SECCION SAN LUIS |0|9321103572|0|0|0|CALLE SIN NOMBRE RANCHERIA CEIBA SEGUNDA SECCION|x|lunes|0|0|0|0|0|DOMICILIO |4590|8310|x|x|x|2022-03-14|2022-03-21|0|0|0|0|0|S35D6D3Y9KVTQO|0|HOMBRE|0|12900|0|0|0|0|0|0|0|0|CARDENAS|X|X|X|X|FINAL</v>
      </c>
    </row>
    <row r="234" spans="1:82" x14ac:dyDescent="0.25">
      <c r="A234" t="s">
        <v>368</v>
      </c>
      <c r="B234" t="s">
        <v>613</v>
      </c>
      <c r="C234">
        <v>3</v>
      </c>
      <c r="D234" t="s">
        <v>641</v>
      </c>
      <c r="E234" t="s">
        <v>643</v>
      </c>
      <c r="F234" t="s">
        <v>644</v>
      </c>
      <c r="G234" t="s">
        <v>644</v>
      </c>
      <c r="H234" t="s">
        <v>951</v>
      </c>
      <c r="I234">
        <v>12900</v>
      </c>
      <c r="J234" t="s">
        <v>3</v>
      </c>
      <c r="K234" t="s">
        <v>3</v>
      </c>
      <c r="L234">
        <v>100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1054</v>
      </c>
      <c r="AC234" t="s">
        <v>1007</v>
      </c>
      <c r="AD234" s="18" t="s">
        <v>1329</v>
      </c>
      <c r="AE234" t="s">
        <v>1356</v>
      </c>
      <c r="AF234">
        <v>0</v>
      </c>
      <c r="AG234">
        <v>0</v>
      </c>
      <c r="AH234" t="s">
        <v>1562</v>
      </c>
      <c r="AI234" t="s">
        <v>787</v>
      </c>
      <c r="AJ234">
        <v>0</v>
      </c>
      <c r="AK234">
        <v>9931298434</v>
      </c>
      <c r="AL234">
        <v>0</v>
      </c>
      <c r="AM234">
        <v>0</v>
      </c>
      <c r="AN234">
        <v>0</v>
      </c>
      <c r="AO234" t="s">
        <v>1562</v>
      </c>
      <c r="AP234" t="s">
        <v>3</v>
      </c>
      <c r="AQ234" t="s">
        <v>1581</v>
      </c>
      <c r="AR234">
        <v>0</v>
      </c>
      <c r="AS234">
        <v>0</v>
      </c>
      <c r="AT234">
        <v>0</v>
      </c>
      <c r="AU234">
        <v>0</v>
      </c>
      <c r="AV234">
        <v>0</v>
      </c>
      <c r="AW234" t="s">
        <v>11</v>
      </c>
      <c r="AX234">
        <f>Tabla1[[#This Row],[precio del paquete]]-Tabla1[[#This Row],[Saldo_Deudor]]</f>
        <v>12300</v>
      </c>
      <c r="AY234">
        <v>600</v>
      </c>
      <c r="AZ234" t="s">
        <v>3</v>
      </c>
      <c r="BA234" t="s">
        <v>3</v>
      </c>
      <c r="BB234" t="s">
        <v>3</v>
      </c>
      <c r="BC234" t="s">
        <v>1611</v>
      </c>
      <c r="BD234" t="s">
        <v>1612</v>
      </c>
      <c r="BE234">
        <v>0</v>
      </c>
      <c r="BF234">
        <v>0</v>
      </c>
      <c r="BG234">
        <v>0</v>
      </c>
      <c r="BH234">
        <v>0</v>
      </c>
      <c r="BI234">
        <v>0</v>
      </c>
      <c r="BJ234" t="s">
        <v>1660</v>
      </c>
      <c r="BK234">
        <v>0</v>
      </c>
      <c r="BL234" t="s">
        <v>132</v>
      </c>
      <c r="BM234">
        <v>0</v>
      </c>
      <c r="BN234">
        <f>Tabla1[[#This Row],[precio del paquete]]</f>
        <v>12900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 t="s">
        <v>0</v>
      </c>
      <c r="BX234" t="s">
        <v>1</v>
      </c>
      <c r="BY234" t="s">
        <v>1</v>
      </c>
      <c r="BZ234" t="s">
        <v>1</v>
      </c>
      <c r="CA234" t="s">
        <v>1</v>
      </c>
      <c r="CB234" t="s">
        <v>1661</v>
      </c>
      <c r="CD234" t="str" cm="1">
        <f t="array" aca="1" ref="CD234" ca="1">eConcatenar(A234:CB234,"|")</f>
        <v>IblNzVR0AkXBMTlO|VSA2019-0742|3|ECONOLINE|TABASCO|VILLAHERMOSA|VILLAHERMOSA|2019-12-18|12900|x|x|100|0|0|0|0|0|0|0|0|0|0|0|0|0|0|0|REYES|ZAPATA|OSEAH|soltero|0|0|CALLE SAN LUIS|COLONIA LA SIERRA AGUA ESCONDIDA|0|9931298434|0|0|0|CALLE SAN LUIS|x|lunes|0|0|0|0|0|DOMICILIO |12300|600|x|x|x|2022-03-14|2022-03-21|0|0|0|0|0|S35D6D3Y9KVTQO|0|HOMBRE|0|12900|0|0|0|0|0|0|0|0|CARDENAS|X|X|X|X|FINAL</v>
      </c>
    </row>
    <row r="235" spans="1:82" x14ac:dyDescent="0.25">
      <c r="A235" t="s">
        <v>369</v>
      </c>
      <c r="B235" t="s">
        <v>614</v>
      </c>
      <c r="C235">
        <v>3</v>
      </c>
      <c r="D235" t="s">
        <v>635</v>
      </c>
      <c r="E235" t="s">
        <v>643</v>
      </c>
      <c r="F235" t="s">
        <v>648</v>
      </c>
      <c r="G235" t="s">
        <v>648</v>
      </c>
      <c r="H235" t="s">
        <v>952</v>
      </c>
      <c r="I235">
        <v>12900</v>
      </c>
      <c r="J235" t="s">
        <v>3</v>
      </c>
      <c r="K235" t="s">
        <v>3</v>
      </c>
      <c r="L235">
        <v>100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1062</v>
      </c>
      <c r="AC235" t="s">
        <v>7</v>
      </c>
      <c r="AD235" s="18" t="s">
        <v>1330</v>
      </c>
      <c r="AE235" t="s">
        <v>1356</v>
      </c>
      <c r="AF235">
        <v>0</v>
      </c>
      <c r="AG235">
        <v>0</v>
      </c>
      <c r="AH235" t="s">
        <v>1485</v>
      </c>
      <c r="AI235" t="s">
        <v>788</v>
      </c>
      <c r="AJ235">
        <v>0</v>
      </c>
      <c r="AK235">
        <v>9321104644</v>
      </c>
      <c r="AL235">
        <v>0</v>
      </c>
      <c r="AM235">
        <v>0</v>
      </c>
      <c r="AN235">
        <v>0</v>
      </c>
      <c r="AO235" t="s">
        <v>1485</v>
      </c>
      <c r="AP235" t="s">
        <v>3</v>
      </c>
      <c r="AQ235" t="s">
        <v>1581</v>
      </c>
      <c r="AR235">
        <v>0</v>
      </c>
      <c r="AS235">
        <v>0</v>
      </c>
      <c r="AT235">
        <v>0</v>
      </c>
      <c r="AU235">
        <v>0</v>
      </c>
      <c r="AV235">
        <v>0</v>
      </c>
      <c r="AW235" t="s">
        <v>11</v>
      </c>
      <c r="AX235">
        <f>Tabla1[[#This Row],[precio del paquete]]-Tabla1[[#This Row],[Saldo_Deudor]]</f>
        <v>2800</v>
      </c>
      <c r="AY235">
        <v>10100</v>
      </c>
      <c r="AZ235" t="s">
        <v>3</v>
      </c>
      <c r="BA235" t="s">
        <v>3</v>
      </c>
      <c r="BB235" t="s">
        <v>3</v>
      </c>
      <c r="BC235" t="s">
        <v>1646</v>
      </c>
      <c r="BD235" t="s">
        <v>1647</v>
      </c>
      <c r="BE235">
        <v>0</v>
      </c>
      <c r="BF235">
        <v>0</v>
      </c>
      <c r="BG235">
        <v>0</v>
      </c>
      <c r="BH235">
        <v>0</v>
      </c>
      <c r="BI235">
        <v>0</v>
      </c>
      <c r="BJ235" t="s">
        <v>1660</v>
      </c>
      <c r="BK235">
        <v>0</v>
      </c>
      <c r="BL235" t="s">
        <v>132</v>
      </c>
      <c r="BM235">
        <v>0</v>
      </c>
      <c r="BN235">
        <f>Tabla1[[#This Row],[precio del paquete]]</f>
        <v>12900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 t="s">
        <v>0</v>
      </c>
      <c r="BX235" t="s">
        <v>1</v>
      </c>
      <c r="BY235" t="s">
        <v>1</v>
      </c>
      <c r="BZ235" t="s">
        <v>1</v>
      </c>
      <c r="CA235" t="s">
        <v>1</v>
      </c>
      <c r="CB235" t="s">
        <v>1661</v>
      </c>
      <c r="CD235" t="str" cm="1">
        <f t="array" aca="1" ref="CD235" ca="1">eConcatenar(A235:CB235,"|")</f>
        <v>9KxAKTpgveJVV9dg|VSA2021-T-0062|3|IMPERIAL DE LUJO|TABASCO|TACOTALPA|TACOTALPA|2021-01-26|12900|x|x|100|0|0|0|0|0|0|0|0|0|0|0|0|0|0|0|ALVAREZ|LOPEZ|ABEDES|soltero|0|0|CALLE PRINCIPAL SIN NUMERO|EJIDO SANTA ROSA PRIMERA SECCION|0|9321104644|0|0|0|CALLE PRINCIPAL SIN NUMERO|x|lunes|0|0|0|0|0|DOMICILIO |2800|10100|x|x|x|2022-01-31|2022-02-07|0|0|0|0|0|S35D6D3Y9KVTQO|0|HOMBRE|0|12900|0|0|0|0|0|0|0|0|CARDENAS|X|X|X|X|FINAL</v>
      </c>
    </row>
    <row r="236" spans="1:82" x14ac:dyDescent="0.25">
      <c r="A236" t="s">
        <v>370</v>
      </c>
      <c r="B236" t="s">
        <v>615</v>
      </c>
      <c r="C236">
        <v>3</v>
      </c>
      <c r="D236" t="s">
        <v>634</v>
      </c>
      <c r="E236" t="s">
        <v>643</v>
      </c>
      <c r="F236" t="s">
        <v>648</v>
      </c>
      <c r="G236" t="s">
        <v>648</v>
      </c>
      <c r="H236" t="s">
        <v>907</v>
      </c>
      <c r="I236">
        <v>14800</v>
      </c>
      <c r="J236" t="s">
        <v>3</v>
      </c>
      <c r="K236" t="s">
        <v>3</v>
      </c>
      <c r="L236">
        <v>100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1331</v>
      </c>
      <c r="AC236" t="s">
        <v>1097</v>
      </c>
      <c r="AD236" s="18" t="s">
        <v>1039</v>
      </c>
      <c r="AE236" t="s">
        <v>1356</v>
      </c>
      <c r="AF236">
        <v>0</v>
      </c>
      <c r="AG236">
        <v>0</v>
      </c>
      <c r="AH236" t="s">
        <v>1396</v>
      </c>
      <c r="AI236" t="s">
        <v>789</v>
      </c>
      <c r="AJ236">
        <v>0</v>
      </c>
      <c r="AK236">
        <v>9321123887</v>
      </c>
      <c r="AL236">
        <v>0</v>
      </c>
      <c r="AM236">
        <v>0</v>
      </c>
      <c r="AN236">
        <v>0</v>
      </c>
      <c r="AO236" t="s">
        <v>1396</v>
      </c>
      <c r="AP236" t="s">
        <v>3</v>
      </c>
      <c r="AQ236" t="s">
        <v>1581</v>
      </c>
      <c r="AR236">
        <v>0</v>
      </c>
      <c r="AS236">
        <v>0</v>
      </c>
      <c r="AT236">
        <v>0</v>
      </c>
      <c r="AU236">
        <v>0</v>
      </c>
      <c r="AV236">
        <v>0</v>
      </c>
      <c r="AW236" t="s">
        <v>11</v>
      </c>
      <c r="AX236">
        <f>Tabla1[[#This Row],[precio del paquete]]-Tabla1[[#This Row],[Saldo_Deudor]]</f>
        <v>1300</v>
      </c>
      <c r="AY236">
        <v>13500</v>
      </c>
      <c r="AZ236" t="s">
        <v>3</v>
      </c>
      <c r="BA236" t="s">
        <v>3</v>
      </c>
      <c r="BB236" t="s">
        <v>3</v>
      </c>
      <c r="BC236" t="s">
        <v>1611</v>
      </c>
      <c r="BD236" t="s">
        <v>1612</v>
      </c>
      <c r="BE236">
        <v>0</v>
      </c>
      <c r="BF236">
        <v>0</v>
      </c>
      <c r="BG236">
        <v>0</v>
      </c>
      <c r="BH236">
        <v>0</v>
      </c>
      <c r="BI236">
        <v>0</v>
      </c>
      <c r="BJ236" t="s">
        <v>1660</v>
      </c>
      <c r="BK236">
        <v>0</v>
      </c>
      <c r="BL236" t="s">
        <v>132</v>
      </c>
      <c r="BM236">
        <v>0</v>
      </c>
      <c r="BN236">
        <f>Tabla1[[#This Row],[precio del paquete]]</f>
        <v>14800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 t="s">
        <v>0</v>
      </c>
      <c r="BX236" t="s">
        <v>1</v>
      </c>
      <c r="BY236" t="s">
        <v>1</v>
      </c>
      <c r="BZ236" t="s">
        <v>1</v>
      </c>
      <c r="CA236" t="s">
        <v>1</v>
      </c>
      <c r="CB236" t="s">
        <v>1661</v>
      </c>
      <c r="CD236" t="str" cm="1">
        <f t="array" aca="1" ref="CD236" ca="1">eConcatenar(A236:CB236,"|")</f>
        <v>AizdiG8ZzEgC7lRI|VSA2021-T-0568|3|MEMORIAL|TABASCO|TACOTALPA|TACOTALPA|2021-12-24|14800|x|x|100|0|0|0|0|0|0|0|0|0|0|0|0|0|0|0|ARCIA|HERRERA|GUADALUPE|soltero|0|0|CARRETERA PRINCIPAL SIN NUMERO|EJIDO POCHITOCAL PRIMERA SECCION|0|9321123887|0|0|0|CARRETERA PRINCIPAL SIN NUMERO|x|lunes|0|0|0|0|0|DOMICILIO |1300|13500|x|x|x|2022-03-14|2022-03-21|0|0|0|0|0|S35D6D3Y9KVTQO|0|HOMBRE|0|14800|0|0|0|0|0|0|0|0|CARDENAS|X|X|X|X|FINAL</v>
      </c>
    </row>
    <row r="237" spans="1:82" x14ac:dyDescent="0.25">
      <c r="A237" t="s">
        <v>371</v>
      </c>
      <c r="B237" t="s">
        <v>616</v>
      </c>
      <c r="C237">
        <v>3</v>
      </c>
      <c r="D237" t="s">
        <v>634</v>
      </c>
      <c r="E237" t="s">
        <v>643</v>
      </c>
      <c r="F237" t="s">
        <v>648</v>
      </c>
      <c r="G237" t="s">
        <v>648</v>
      </c>
      <c r="H237" t="s">
        <v>907</v>
      </c>
      <c r="I237">
        <v>1480</v>
      </c>
      <c r="J237" t="s">
        <v>3</v>
      </c>
      <c r="K237" t="s">
        <v>3</v>
      </c>
      <c r="L237">
        <v>100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1332</v>
      </c>
      <c r="AC237" t="s">
        <v>1286</v>
      </c>
      <c r="AD237" s="18" t="s">
        <v>992</v>
      </c>
      <c r="AE237" t="s">
        <v>1356</v>
      </c>
      <c r="AF237">
        <v>0</v>
      </c>
      <c r="AG237">
        <v>0</v>
      </c>
      <c r="AH237" t="s">
        <v>1563</v>
      </c>
      <c r="AI237" t="s">
        <v>790</v>
      </c>
      <c r="AJ237">
        <v>0</v>
      </c>
      <c r="AK237">
        <v>9321691053</v>
      </c>
      <c r="AL237">
        <v>0</v>
      </c>
      <c r="AM237">
        <v>0</v>
      </c>
      <c r="AN237">
        <v>0</v>
      </c>
      <c r="AO237" t="s">
        <v>1563</v>
      </c>
      <c r="AP237" t="s">
        <v>3</v>
      </c>
      <c r="AQ237" t="s">
        <v>1581</v>
      </c>
      <c r="AR237">
        <v>0</v>
      </c>
      <c r="AS237">
        <v>0</v>
      </c>
      <c r="AT237">
        <v>0</v>
      </c>
      <c r="AU237">
        <v>0</v>
      </c>
      <c r="AV237">
        <v>0</v>
      </c>
      <c r="AW237" t="s">
        <v>11</v>
      </c>
      <c r="AX237">
        <v>0</v>
      </c>
      <c r="AY237">
        <v>14000</v>
      </c>
      <c r="AZ237" t="s">
        <v>3</v>
      </c>
      <c r="BA237" t="s">
        <v>3</v>
      </c>
      <c r="BB237" t="s">
        <v>3</v>
      </c>
      <c r="BC237" t="s">
        <v>1611</v>
      </c>
      <c r="BD237" t="s">
        <v>1612</v>
      </c>
      <c r="BE237">
        <v>0</v>
      </c>
      <c r="BF237">
        <v>0</v>
      </c>
      <c r="BG237">
        <v>0</v>
      </c>
      <c r="BH237">
        <v>0</v>
      </c>
      <c r="BI237">
        <v>0</v>
      </c>
      <c r="BJ237" t="s">
        <v>1660</v>
      </c>
      <c r="BK237">
        <v>0</v>
      </c>
      <c r="BL237" t="s">
        <v>132</v>
      </c>
      <c r="BM237">
        <v>0</v>
      </c>
      <c r="BN237">
        <f>Tabla1[[#This Row],[precio del paquete]]</f>
        <v>1480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 t="s">
        <v>0</v>
      </c>
      <c r="BX237" t="s">
        <v>1</v>
      </c>
      <c r="BY237" t="s">
        <v>1</v>
      </c>
      <c r="BZ237" t="s">
        <v>1</v>
      </c>
      <c r="CA237" t="s">
        <v>1</v>
      </c>
      <c r="CB237" t="s">
        <v>1661</v>
      </c>
      <c r="CD237" t="str" cm="1">
        <f t="array" aca="1" ref="CD237" ca="1">eConcatenar(A237:CB237,"|")</f>
        <v>YHdABEy2qgV0KZfw|VSA2021-T-0569|3|MEMORIAL|TABASCO|TACOTALPA|TACOTALPA|2021-12-24|1480|x|x|100|0|0|0|0|0|0|0|0|0|0|0|0|0|0|0|CANO|TRINIDAD|JOSE DEL CARMEN|soltero|0|0|CALLE SIN NOMBRE SIN NUMERO|EJIDO POCHITOCAL PRIMERA SECCION TILA Y TORONJA|0|9321691053|0|0|0|CALLE SIN NOMBRE SIN NUMERO|x|lunes|0|0|0|0|0|DOMICILIO |0|14000|x|x|x|2022-03-14|2022-03-21|0|0|0|0|0|S35D6D3Y9KVTQO|0|HOMBRE|0|1480|0|0|0|0|0|0|0|0|CARDENAS|X|X|X|X|FINAL</v>
      </c>
    </row>
    <row r="238" spans="1:82" x14ac:dyDescent="0.25">
      <c r="A238" t="s">
        <v>372</v>
      </c>
      <c r="B238" t="s">
        <v>617</v>
      </c>
      <c r="C238">
        <v>3</v>
      </c>
      <c r="D238" t="s">
        <v>634</v>
      </c>
      <c r="E238" t="s">
        <v>643</v>
      </c>
      <c r="F238" t="s">
        <v>648</v>
      </c>
      <c r="G238" t="s">
        <v>648</v>
      </c>
      <c r="H238" t="s">
        <v>953</v>
      </c>
      <c r="I238">
        <v>14800</v>
      </c>
      <c r="J238" t="s">
        <v>3</v>
      </c>
      <c r="K238" t="s">
        <v>3</v>
      </c>
      <c r="L238">
        <v>100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1332</v>
      </c>
      <c r="AC238" t="s">
        <v>971</v>
      </c>
      <c r="AD238" s="18" t="s">
        <v>1333</v>
      </c>
      <c r="AE238" t="s">
        <v>1356</v>
      </c>
      <c r="AF238">
        <v>0</v>
      </c>
      <c r="AG238">
        <v>0</v>
      </c>
      <c r="AH238" t="s">
        <v>1564</v>
      </c>
      <c r="AI238" t="s">
        <v>791</v>
      </c>
      <c r="AJ238">
        <v>0</v>
      </c>
      <c r="AK238">
        <v>9323292634</v>
      </c>
      <c r="AL238">
        <v>0</v>
      </c>
      <c r="AM238">
        <v>0</v>
      </c>
      <c r="AN238">
        <v>0</v>
      </c>
      <c r="AO238" t="s">
        <v>1564</v>
      </c>
      <c r="AP238" t="s">
        <v>3</v>
      </c>
      <c r="AQ238" t="s">
        <v>1581</v>
      </c>
      <c r="AR238">
        <v>0</v>
      </c>
      <c r="AS238">
        <v>0</v>
      </c>
      <c r="AT238">
        <v>0</v>
      </c>
      <c r="AU238">
        <v>0</v>
      </c>
      <c r="AV238">
        <v>0</v>
      </c>
      <c r="AW238" t="s">
        <v>11</v>
      </c>
      <c r="AX238">
        <f>Tabla1[[#This Row],[precio del paquete]]-Tabla1[[#This Row],[Saldo_Deudor]]</f>
        <v>5200</v>
      </c>
      <c r="AY238">
        <v>9600</v>
      </c>
      <c r="AZ238" t="s">
        <v>3</v>
      </c>
      <c r="BA238" t="s">
        <v>3</v>
      </c>
      <c r="BB238" t="s">
        <v>3</v>
      </c>
      <c r="BC238" t="s">
        <v>1611</v>
      </c>
      <c r="BD238" t="s">
        <v>1612</v>
      </c>
      <c r="BE238">
        <v>0</v>
      </c>
      <c r="BF238">
        <v>0</v>
      </c>
      <c r="BG238">
        <v>0</v>
      </c>
      <c r="BH238">
        <v>0</v>
      </c>
      <c r="BI238">
        <v>0</v>
      </c>
      <c r="BJ238" t="s">
        <v>1660</v>
      </c>
      <c r="BK238">
        <v>0</v>
      </c>
      <c r="BL238" t="s">
        <v>132</v>
      </c>
      <c r="BM238">
        <v>0</v>
      </c>
      <c r="BN238">
        <f>Tabla1[[#This Row],[precio del paquete]]</f>
        <v>14800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 t="s">
        <v>0</v>
      </c>
      <c r="BX238" t="s">
        <v>1</v>
      </c>
      <c r="BY238" t="s">
        <v>1</v>
      </c>
      <c r="BZ238" t="s">
        <v>1</v>
      </c>
      <c r="CA238" t="s">
        <v>1</v>
      </c>
      <c r="CB238" t="s">
        <v>1661</v>
      </c>
      <c r="CD238" t="str" cm="1">
        <f t="array" aca="1" ref="CD238" ca="1">eConcatenar(A238:CB238,"|")</f>
        <v>ljgfGCgyVi04YV1N|VSA2021-T-0164|3|MEMORIAL|TABASCO|TACOTALPA|TACOTALPA|2021-10-03|14800|x|x|100|0|0|0|0|0|0|0|0|0|0|0|0|0|0|0|CANO|HERNANDEZ|ADOLFO|soltero|0|0|CARRETERA A SANTA ROSA|EJIDO POCHITOCAL PRIMERA |0|9323292634|0|0|0|CARRETERA A SANTA ROSA|x|lunes|0|0|0|0|0|DOMICILIO |5200|9600|x|x|x|2022-03-14|2022-03-21|0|0|0|0|0|S35D6D3Y9KVTQO|0|HOMBRE|0|14800|0|0|0|0|0|0|0|0|CARDENAS|X|X|X|X|FINAL</v>
      </c>
    </row>
    <row r="239" spans="1:82" x14ac:dyDescent="0.25">
      <c r="A239" t="s">
        <v>373</v>
      </c>
      <c r="B239" t="s">
        <v>618</v>
      </c>
      <c r="C239">
        <v>3</v>
      </c>
      <c r="D239" t="s">
        <v>634</v>
      </c>
      <c r="E239" t="s">
        <v>643</v>
      </c>
      <c r="F239" t="s">
        <v>648</v>
      </c>
      <c r="G239" t="s">
        <v>648</v>
      </c>
      <c r="H239" t="s">
        <v>954</v>
      </c>
      <c r="I239">
        <v>14800</v>
      </c>
      <c r="J239" t="s">
        <v>3</v>
      </c>
      <c r="K239" t="s">
        <v>3</v>
      </c>
      <c r="L239">
        <v>100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1332</v>
      </c>
      <c r="AC239" t="s">
        <v>1332</v>
      </c>
      <c r="AD239" s="18" t="s">
        <v>1104</v>
      </c>
      <c r="AE239" t="s">
        <v>1356</v>
      </c>
      <c r="AF239">
        <v>0</v>
      </c>
      <c r="AG239">
        <v>0</v>
      </c>
      <c r="AH239" t="s">
        <v>1565</v>
      </c>
      <c r="AI239" t="s">
        <v>707</v>
      </c>
      <c r="AJ239">
        <v>0</v>
      </c>
      <c r="AK239">
        <v>9933774313</v>
      </c>
      <c r="AL239">
        <v>0</v>
      </c>
      <c r="AM239">
        <v>0</v>
      </c>
      <c r="AN239">
        <v>0</v>
      </c>
      <c r="AO239" t="s">
        <v>1565</v>
      </c>
      <c r="AP239" t="s">
        <v>3</v>
      </c>
      <c r="AQ239" t="s">
        <v>1581</v>
      </c>
      <c r="AR239">
        <v>0</v>
      </c>
      <c r="AS239">
        <v>0</v>
      </c>
      <c r="AT239">
        <v>0</v>
      </c>
      <c r="AU239">
        <v>0</v>
      </c>
      <c r="AV239">
        <v>0</v>
      </c>
      <c r="AW239" t="s">
        <v>11</v>
      </c>
      <c r="AX239">
        <f>Tabla1[[#This Row],[precio del paquete]]-Tabla1[[#This Row],[Saldo_Deudor]]</f>
        <v>6500</v>
      </c>
      <c r="AY239">
        <v>8300</v>
      </c>
      <c r="AZ239" t="s">
        <v>3</v>
      </c>
      <c r="BA239" t="s">
        <v>3</v>
      </c>
      <c r="BB239" t="s">
        <v>3</v>
      </c>
      <c r="BC239" t="s">
        <v>1611</v>
      </c>
      <c r="BD239" t="s">
        <v>1612</v>
      </c>
      <c r="BE239">
        <v>0</v>
      </c>
      <c r="BF239">
        <v>0</v>
      </c>
      <c r="BG239">
        <v>0</v>
      </c>
      <c r="BH239">
        <v>0</v>
      </c>
      <c r="BI239">
        <v>0</v>
      </c>
      <c r="BJ239" t="s">
        <v>1660</v>
      </c>
      <c r="BK239">
        <v>0</v>
      </c>
      <c r="BL239" t="s">
        <v>132</v>
      </c>
      <c r="BM239">
        <v>0</v>
      </c>
      <c r="BN239">
        <f>Tabla1[[#This Row],[precio del paquete]]</f>
        <v>14800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 t="s">
        <v>0</v>
      </c>
      <c r="BX239" t="s">
        <v>1</v>
      </c>
      <c r="BY239" t="s">
        <v>1</v>
      </c>
      <c r="BZ239" t="s">
        <v>1</v>
      </c>
      <c r="CA239" t="s">
        <v>1</v>
      </c>
      <c r="CB239" t="s">
        <v>1661</v>
      </c>
      <c r="CD239" t="str" cm="1">
        <f t="array" aca="1" ref="CD239" ca="1">eConcatenar(A239:CB239,"|")</f>
        <v>WeStC3ColPJGEFZY|VSA2021-T-0161|3|MEMORIAL|TABASCO|TACOTALPA|TACOTALPA|2021-09-03|14800|x|x|100|0|0|0|0|0|0|0|0|0|0|0|0|0|0|0|CANO|CANO|JOSE LUIS|soltero|0|0|CALLE DE LA ESCUELA PRIMARIA VICENTE GUERARDO A 400 METROS|EJIDO POCHITOCAL|0|9933774313|0|0|0|CALLE DE LA ESCUELA PRIMARIA VICENTE GUERARDO A 400 METROS|x|lunes|0|0|0|0|0|DOMICILIO |6500|8300|x|x|x|2022-03-14|2022-03-21|0|0|0|0|0|S35D6D3Y9KVTQO|0|HOMBRE|0|14800|0|0|0|0|0|0|0|0|CARDENAS|X|X|X|X|FINAL</v>
      </c>
    </row>
    <row r="240" spans="1:82" x14ac:dyDescent="0.25">
      <c r="A240" t="s">
        <v>374</v>
      </c>
      <c r="B240" t="s">
        <v>619</v>
      </c>
      <c r="C240">
        <v>3</v>
      </c>
      <c r="D240" t="s">
        <v>635</v>
      </c>
      <c r="E240" t="s">
        <v>643</v>
      </c>
      <c r="F240" t="s">
        <v>648</v>
      </c>
      <c r="G240" t="s">
        <v>648</v>
      </c>
      <c r="H240" t="s">
        <v>955</v>
      </c>
      <c r="I240">
        <v>12900</v>
      </c>
      <c r="J240" t="s">
        <v>3</v>
      </c>
      <c r="K240" t="s">
        <v>3</v>
      </c>
      <c r="L240">
        <v>100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966</v>
      </c>
      <c r="AC240" t="s">
        <v>972</v>
      </c>
      <c r="AD240" s="18" t="s">
        <v>1334</v>
      </c>
      <c r="AE240" t="s">
        <v>1356</v>
      </c>
      <c r="AF240">
        <v>0</v>
      </c>
      <c r="AG240">
        <v>0</v>
      </c>
      <c r="AH240" t="s">
        <v>1566</v>
      </c>
      <c r="AI240" t="s">
        <v>792</v>
      </c>
      <c r="AJ240">
        <v>0</v>
      </c>
      <c r="AK240">
        <v>9321099805</v>
      </c>
      <c r="AL240">
        <v>0</v>
      </c>
      <c r="AM240">
        <v>0</v>
      </c>
      <c r="AN240">
        <v>0</v>
      </c>
      <c r="AO240" t="s">
        <v>1566</v>
      </c>
      <c r="AP240" t="s">
        <v>3</v>
      </c>
      <c r="AQ240" t="s">
        <v>1581</v>
      </c>
      <c r="AR240">
        <v>0</v>
      </c>
      <c r="AS240">
        <v>0</v>
      </c>
      <c r="AT240">
        <v>0</v>
      </c>
      <c r="AU240">
        <v>0</v>
      </c>
      <c r="AV240">
        <v>0</v>
      </c>
      <c r="AW240" t="s">
        <v>11</v>
      </c>
      <c r="AX240">
        <f>Tabla1[[#This Row],[precio del paquete]]-Tabla1[[#This Row],[Saldo_Deudor]]</f>
        <v>5700</v>
      </c>
      <c r="AY240">
        <v>7200</v>
      </c>
      <c r="AZ240" t="s">
        <v>3</v>
      </c>
      <c r="BA240" t="s">
        <v>3</v>
      </c>
      <c r="BB240" t="s">
        <v>3</v>
      </c>
      <c r="BC240" t="s">
        <v>1611</v>
      </c>
      <c r="BD240" t="s">
        <v>1612</v>
      </c>
      <c r="BE240">
        <v>0</v>
      </c>
      <c r="BF240">
        <v>0</v>
      </c>
      <c r="BG240">
        <v>0</v>
      </c>
      <c r="BH240">
        <v>0</v>
      </c>
      <c r="BI240">
        <v>0</v>
      </c>
      <c r="BJ240" t="s">
        <v>1660</v>
      </c>
      <c r="BK240">
        <v>0</v>
      </c>
      <c r="BL240" t="s">
        <v>132</v>
      </c>
      <c r="BM240">
        <v>0</v>
      </c>
      <c r="BN240">
        <f>Tabla1[[#This Row],[precio del paquete]]</f>
        <v>12900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 t="s">
        <v>0</v>
      </c>
      <c r="BX240" t="s">
        <v>1</v>
      </c>
      <c r="BY240" t="s">
        <v>1</v>
      </c>
      <c r="BZ240" t="s">
        <v>1</v>
      </c>
      <c r="CA240" t="s">
        <v>1</v>
      </c>
      <c r="CB240" t="s">
        <v>1661</v>
      </c>
      <c r="CD240" t="str" cm="1">
        <f t="array" aca="1" ref="CD240" ca="1">eConcatenar(A240:CB240,"|")</f>
        <v>WrGP444p87XviPj6|VSA2021-T-0081|3|IMPERIAL DE LUJO|TABASCO|TACOTALPA|TACOTALPA|2021-08-02|12900|x|x|100|0|0|0|0|0|0|0|0|0|0|0|0|0|0|0|SANCHEZ||MANUEL LARA|soltero|0|0|ENTRADA POR CARRETERA A CAPOHANA|EJIDO LAZARO CARDENAS|0|9321099805|0|0|0|ENTRADA POR CARRETERA A CAPOHANA|x|lunes|0|0|0|0|0|DOMICILIO |5700|7200|x|x|x|2022-03-14|2022-03-21|0|0|0|0|0|S35D6D3Y9KVTQO|0|HOMBRE|0|12900|0|0|0|0|0|0|0|0|CARDENAS|X|X|X|X|FINAL</v>
      </c>
    </row>
    <row r="241" spans="1:82" x14ac:dyDescent="0.25">
      <c r="A241" t="s">
        <v>375</v>
      </c>
      <c r="B241" t="s">
        <v>620</v>
      </c>
      <c r="C241">
        <v>3</v>
      </c>
      <c r="D241" t="s">
        <v>635</v>
      </c>
      <c r="E241" t="s">
        <v>643</v>
      </c>
      <c r="F241" t="s">
        <v>648</v>
      </c>
      <c r="G241" t="s">
        <v>648</v>
      </c>
      <c r="H241" t="s">
        <v>956</v>
      </c>
      <c r="I241">
        <v>12900</v>
      </c>
      <c r="J241" t="s">
        <v>3</v>
      </c>
      <c r="K241" t="s">
        <v>3</v>
      </c>
      <c r="L241">
        <v>100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976</v>
      </c>
      <c r="AC241" t="s">
        <v>1067</v>
      </c>
      <c r="AD241" s="18" t="s">
        <v>1335</v>
      </c>
      <c r="AE241" t="s">
        <v>1356</v>
      </c>
      <c r="AF241">
        <v>0</v>
      </c>
      <c r="AG241">
        <v>0</v>
      </c>
      <c r="AH241" t="s">
        <v>1567</v>
      </c>
      <c r="AI241" t="s">
        <v>793</v>
      </c>
      <c r="AJ241">
        <v>0</v>
      </c>
      <c r="AK241">
        <v>9321008515</v>
      </c>
      <c r="AL241">
        <v>0</v>
      </c>
      <c r="AM241">
        <v>0</v>
      </c>
      <c r="AN241">
        <v>0</v>
      </c>
      <c r="AO241" t="s">
        <v>1567</v>
      </c>
      <c r="AP241" t="s">
        <v>3</v>
      </c>
      <c r="AQ241" t="s">
        <v>1581</v>
      </c>
      <c r="AR241">
        <v>0</v>
      </c>
      <c r="AS241">
        <v>0</v>
      </c>
      <c r="AT241">
        <v>0</v>
      </c>
      <c r="AU241">
        <v>0</v>
      </c>
      <c r="AV241">
        <v>0</v>
      </c>
      <c r="AW241" t="s">
        <v>11</v>
      </c>
      <c r="AX241">
        <f>Tabla1[[#This Row],[precio del paquete]]-Tabla1[[#This Row],[Saldo_Deudor]]</f>
        <v>6000</v>
      </c>
      <c r="AY241">
        <v>6900</v>
      </c>
      <c r="AZ241" t="s">
        <v>3</v>
      </c>
      <c r="BA241" t="s">
        <v>3</v>
      </c>
      <c r="BB241" t="s">
        <v>3</v>
      </c>
      <c r="BC241" t="s">
        <v>1611</v>
      </c>
      <c r="BD241" t="s">
        <v>1612</v>
      </c>
      <c r="BE241">
        <v>0</v>
      </c>
      <c r="BF241">
        <v>0</v>
      </c>
      <c r="BG241">
        <v>0</v>
      </c>
      <c r="BH241">
        <v>0</v>
      </c>
      <c r="BI241">
        <v>0</v>
      </c>
      <c r="BJ241" t="s">
        <v>1660</v>
      </c>
      <c r="BK241">
        <v>0</v>
      </c>
      <c r="BL241" t="s">
        <v>132</v>
      </c>
      <c r="BM241">
        <v>0</v>
      </c>
      <c r="BN241">
        <f>Tabla1[[#This Row],[precio del paquete]]</f>
        <v>12900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 t="s">
        <v>0</v>
      </c>
      <c r="BX241" t="s">
        <v>1</v>
      </c>
      <c r="BY241" t="s">
        <v>1</v>
      </c>
      <c r="BZ241" t="s">
        <v>1</v>
      </c>
      <c r="CA241" t="s">
        <v>1</v>
      </c>
      <c r="CB241" t="s">
        <v>1661</v>
      </c>
      <c r="CD241" t="str" cm="1">
        <f t="array" aca="1" ref="CD241" ca="1">eConcatenar(A241:CB241,"|")</f>
        <v>mtbyrVJUpPbkWnMY|VSA2021-T-0057|3|IMPERIAL DE LUJO|TABASCO|TACOTALPA|TACOTALPA|2021-01-25|12900|x|x|100|0|0|0|0|0|0|0|0|0|0|0|0|0|0|0|MARTINEZ|GARCIA|DELLANIRA|soltero|0|0|CALLE 3 DE MAYO|EJIDO MADRIGAL SEGUNDA SECCION REFORMA|0|9321008515|0|0|0|CALLE 3 DE MAYO|x|lunes|0|0|0|0|0|DOMICILIO |6000|6900|x|x|x|2022-03-14|2022-03-21|0|0|0|0|0|S35D6D3Y9KVTQO|0|HOMBRE|0|12900|0|0|0|0|0|0|0|0|CARDENAS|X|X|X|X|FINAL</v>
      </c>
    </row>
    <row r="242" spans="1:82" x14ac:dyDescent="0.25">
      <c r="A242" t="s">
        <v>376</v>
      </c>
      <c r="B242" t="s">
        <v>621</v>
      </c>
      <c r="C242">
        <v>3</v>
      </c>
      <c r="D242" t="s">
        <v>634</v>
      </c>
      <c r="E242" t="s">
        <v>643</v>
      </c>
      <c r="F242" t="s">
        <v>648</v>
      </c>
      <c r="G242" t="s">
        <v>648</v>
      </c>
      <c r="H242" t="s">
        <v>957</v>
      </c>
      <c r="I242">
        <v>14800</v>
      </c>
      <c r="J242" t="s">
        <v>3</v>
      </c>
      <c r="K242" t="s">
        <v>3</v>
      </c>
      <c r="L242">
        <v>100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1336</v>
      </c>
      <c r="AC242" t="s">
        <v>1004</v>
      </c>
      <c r="AD242" s="18" t="s">
        <v>1337</v>
      </c>
      <c r="AE242" t="s">
        <v>1356</v>
      </c>
      <c r="AF242">
        <v>0</v>
      </c>
      <c r="AG242">
        <v>0</v>
      </c>
      <c r="AH242" t="s">
        <v>1568</v>
      </c>
      <c r="AI242" t="s">
        <v>788</v>
      </c>
      <c r="AJ242">
        <v>0</v>
      </c>
      <c r="AK242">
        <v>9931531572</v>
      </c>
      <c r="AL242">
        <v>0</v>
      </c>
      <c r="AM242">
        <v>0</v>
      </c>
      <c r="AN242">
        <v>0</v>
      </c>
      <c r="AO242" t="s">
        <v>1568</v>
      </c>
      <c r="AP242" t="s">
        <v>3</v>
      </c>
      <c r="AQ242" t="s">
        <v>1581</v>
      </c>
      <c r="AR242">
        <v>0</v>
      </c>
      <c r="AS242">
        <v>0</v>
      </c>
      <c r="AT242">
        <v>0</v>
      </c>
      <c r="AU242">
        <v>0</v>
      </c>
      <c r="AV242">
        <v>0</v>
      </c>
      <c r="AW242" t="s">
        <v>11</v>
      </c>
      <c r="AX242">
        <f>Tabla1[[#This Row],[precio del paquete]]-Tabla1[[#This Row],[Saldo_Deudor]]</f>
        <v>3400</v>
      </c>
      <c r="AY242">
        <v>11400</v>
      </c>
      <c r="AZ242" t="s">
        <v>3</v>
      </c>
      <c r="BA242" t="s">
        <v>3</v>
      </c>
      <c r="BB242" t="s">
        <v>3</v>
      </c>
      <c r="BC242" t="s">
        <v>1611</v>
      </c>
      <c r="BD242" t="s">
        <v>1612</v>
      </c>
      <c r="BE242">
        <v>0</v>
      </c>
      <c r="BF242">
        <v>0</v>
      </c>
      <c r="BG242">
        <v>0</v>
      </c>
      <c r="BH242">
        <v>0</v>
      </c>
      <c r="BI242">
        <v>0</v>
      </c>
      <c r="BJ242" t="s">
        <v>1660</v>
      </c>
      <c r="BK242">
        <v>0</v>
      </c>
      <c r="BL242" t="s">
        <v>132</v>
      </c>
      <c r="BM242">
        <v>0</v>
      </c>
      <c r="BN242">
        <f>Tabla1[[#This Row],[precio del paquete]]</f>
        <v>14800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 t="s">
        <v>0</v>
      </c>
      <c r="BX242" t="s">
        <v>1</v>
      </c>
      <c r="BY242" t="s">
        <v>1</v>
      </c>
      <c r="BZ242" t="s">
        <v>1</v>
      </c>
      <c r="CA242" t="s">
        <v>1</v>
      </c>
      <c r="CB242" t="s">
        <v>1661</v>
      </c>
      <c r="CD242" t="str" cm="1">
        <f t="array" aca="1" ref="CD242" ca="1">eConcatenar(A242:CB242,"|")</f>
        <v>KC3Cmo1vwJUIkIsX|VSA2021-T-0402|3|MEMORIAL|TABASCO|TACOTALPA|TACOTALPA|2021-07-15|14800|x|x|100|0|0|0|0|0|0|0|0|0|0|0|0|0|0|0|MECIAS|VAZQUEZ|JOSE ALBERTO|soltero|0|0|ENTRADA CERCA DEL CENTRO DE SALUD|EJIDO SANTA ROSA PRIMERA SECCION|0|9931531572|0|0|0|ENTRADA CERCA DEL CENTRO DE SALUD|x|lunes|0|0|0|0|0|DOMICILIO |3400|11400|x|x|x|2022-03-14|2022-03-21|0|0|0|0|0|S35D6D3Y9KVTQO|0|HOMBRE|0|14800|0|0|0|0|0|0|0|0|CARDENAS|X|X|X|X|FINAL</v>
      </c>
    </row>
    <row r="243" spans="1:82" x14ac:dyDescent="0.25">
      <c r="A243" t="s">
        <v>377</v>
      </c>
      <c r="B243" t="s">
        <v>622</v>
      </c>
      <c r="C243">
        <v>3</v>
      </c>
      <c r="D243" t="s">
        <v>635</v>
      </c>
      <c r="E243" t="s">
        <v>643</v>
      </c>
      <c r="F243" t="s">
        <v>648</v>
      </c>
      <c r="G243" t="s">
        <v>648</v>
      </c>
      <c r="H243" t="s">
        <v>958</v>
      </c>
      <c r="I243">
        <v>12900</v>
      </c>
      <c r="J243" t="s">
        <v>3</v>
      </c>
      <c r="K243" t="s">
        <v>3</v>
      </c>
      <c r="L243">
        <v>100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1020</v>
      </c>
      <c r="AC243" t="s">
        <v>1004</v>
      </c>
      <c r="AD243" s="18" t="s">
        <v>1338</v>
      </c>
      <c r="AE243" t="s">
        <v>1356</v>
      </c>
      <c r="AF243">
        <v>0</v>
      </c>
      <c r="AG243">
        <v>0</v>
      </c>
      <c r="AH243" t="s">
        <v>1569</v>
      </c>
      <c r="AI243" t="s">
        <v>794</v>
      </c>
      <c r="AJ243">
        <v>0</v>
      </c>
      <c r="AK243">
        <v>9321096362</v>
      </c>
      <c r="AL243">
        <v>0</v>
      </c>
      <c r="AM243">
        <v>0</v>
      </c>
      <c r="AN243">
        <v>0</v>
      </c>
      <c r="AO243" t="s">
        <v>1569</v>
      </c>
      <c r="AP243" t="s">
        <v>3</v>
      </c>
      <c r="AQ243" t="s">
        <v>1581</v>
      </c>
      <c r="AR243">
        <v>0</v>
      </c>
      <c r="AS243">
        <v>0</v>
      </c>
      <c r="AT243">
        <v>0</v>
      </c>
      <c r="AU243">
        <v>0</v>
      </c>
      <c r="AV243">
        <v>0</v>
      </c>
      <c r="AW243" t="s">
        <v>11</v>
      </c>
      <c r="AX243">
        <f>Tabla1[[#This Row],[precio del paquete]]-Tabla1[[#This Row],[Saldo_Deudor]]</f>
        <v>7300</v>
      </c>
      <c r="AY243">
        <v>5600</v>
      </c>
      <c r="AZ243" t="s">
        <v>3</v>
      </c>
      <c r="BA243" t="s">
        <v>3</v>
      </c>
      <c r="BB243" t="s">
        <v>3</v>
      </c>
      <c r="BC243" t="s">
        <v>1611</v>
      </c>
      <c r="BD243" t="s">
        <v>1612</v>
      </c>
      <c r="BE243">
        <v>0</v>
      </c>
      <c r="BF243">
        <v>0</v>
      </c>
      <c r="BG243">
        <v>0</v>
      </c>
      <c r="BH243">
        <v>0</v>
      </c>
      <c r="BI243">
        <v>0</v>
      </c>
      <c r="BJ243" t="s">
        <v>1660</v>
      </c>
      <c r="BK243">
        <v>0</v>
      </c>
      <c r="BL243" t="s">
        <v>132</v>
      </c>
      <c r="BM243">
        <v>0</v>
      </c>
      <c r="BN243">
        <f>Tabla1[[#This Row],[precio del paquete]]</f>
        <v>12900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 t="s">
        <v>0</v>
      </c>
      <c r="BX243" t="s">
        <v>1</v>
      </c>
      <c r="BY243" t="s">
        <v>1</v>
      </c>
      <c r="BZ243" t="s">
        <v>1</v>
      </c>
      <c r="CA243" t="s">
        <v>1</v>
      </c>
      <c r="CB243" t="s">
        <v>1661</v>
      </c>
      <c r="CD243" t="str" cm="1">
        <f t="array" aca="1" ref="CD243" ca="1">eConcatenar(A243:CB243,"|")</f>
        <v>ouf94HC2fgWsd2j1|VSA2020-T-0178|3|IMPERIAL DE LUJO|TABASCO|TACOTALPA|TACOTALPA|2020-10-12|12900|x|x|100|0|0|0|0|0|0|0|0|0|0|0|0|0|0|0|CRUZ|VAZQUEZ|SEVERO|soltero|0|0|CARRETERA ATAPIJULAPA|EJIDO ZONA PATASTAL|0|9321096362|0|0|0|CARRETERA ATAPIJULAPA|x|lunes|0|0|0|0|0|DOMICILIO |7300|5600|x|x|x|2022-03-14|2022-03-21|0|0|0|0|0|S35D6D3Y9KVTQO|0|HOMBRE|0|12900|0|0|0|0|0|0|0|0|CARDENAS|X|X|X|X|FINAL</v>
      </c>
    </row>
    <row r="244" spans="1:82" x14ac:dyDescent="0.25">
      <c r="A244" t="s">
        <v>378</v>
      </c>
      <c r="B244" t="s">
        <v>623</v>
      </c>
      <c r="C244">
        <v>3</v>
      </c>
      <c r="D244" t="s">
        <v>635</v>
      </c>
      <c r="E244" t="s">
        <v>643</v>
      </c>
      <c r="F244" t="s">
        <v>648</v>
      </c>
      <c r="G244" t="s">
        <v>648</v>
      </c>
      <c r="H244" t="s">
        <v>866</v>
      </c>
      <c r="I244">
        <v>12900</v>
      </c>
      <c r="J244" t="s">
        <v>3</v>
      </c>
      <c r="K244" t="s">
        <v>3</v>
      </c>
      <c r="L244">
        <v>100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1062</v>
      </c>
      <c r="AC244" t="s">
        <v>1040</v>
      </c>
      <c r="AD244" s="18" t="s">
        <v>1339</v>
      </c>
      <c r="AE244" t="s">
        <v>1356</v>
      </c>
      <c r="AF244">
        <v>0</v>
      </c>
      <c r="AG244">
        <v>0</v>
      </c>
      <c r="AH244" t="s">
        <v>1570</v>
      </c>
      <c r="AI244" t="s">
        <v>795</v>
      </c>
      <c r="AJ244">
        <v>0</v>
      </c>
      <c r="AK244">
        <v>9931527744</v>
      </c>
      <c r="AL244">
        <v>0</v>
      </c>
      <c r="AM244">
        <v>0</v>
      </c>
      <c r="AN244">
        <v>0</v>
      </c>
      <c r="AO244" t="s">
        <v>1570</v>
      </c>
      <c r="AP244" t="s">
        <v>3</v>
      </c>
      <c r="AQ244" t="s">
        <v>1581</v>
      </c>
      <c r="AR244">
        <v>0</v>
      </c>
      <c r="AS244">
        <v>0</v>
      </c>
      <c r="AT244">
        <v>0</v>
      </c>
      <c r="AU244">
        <v>0</v>
      </c>
      <c r="AV244">
        <v>0</v>
      </c>
      <c r="AW244" t="s">
        <v>11</v>
      </c>
      <c r="AX244">
        <f>Tabla1[[#This Row],[precio del paquete]]-Tabla1[[#This Row],[Saldo_Deudor]]</f>
        <v>6700</v>
      </c>
      <c r="AY244">
        <v>6200</v>
      </c>
      <c r="AZ244" t="s">
        <v>3</v>
      </c>
      <c r="BA244" t="s">
        <v>3</v>
      </c>
      <c r="BB244" t="s">
        <v>3</v>
      </c>
      <c r="BC244" t="s">
        <v>1611</v>
      </c>
      <c r="BD244" t="s">
        <v>1612</v>
      </c>
      <c r="BE244">
        <v>0</v>
      </c>
      <c r="BF244">
        <v>0</v>
      </c>
      <c r="BG244">
        <v>0</v>
      </c>
      <c r="BH244">
        <v>0</v>
      </c>
      <c r="BI244">
        <v>0</v>
      </c>
      <c r="BJ244" t="s">
        <v>1660</v>
      </c>
      <c r="BK244">
        <v>0</v>
      </c>
      <c r="BL244" t="s">
        <v>132</v>
      </c>
      <c r="BM244">
        <v>0</v>
      </c>
      <c r="BN244">
        <f>Tabla1[[#This Row],[precio del paquete]]</f>
        <v>12900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 t="s">
        <v>0</v>
      </c>
      <c r="BX244" t="s">
        <v>1</v>
      </c>
      <c r="BY244" t="s">
        <v>1</v>
      </c>
      <c r="BZ244" t="s">
        <v>1</v>
      </c>
      <c r="CA244" t="s">
        <v>1</v>
      </c>
      <c r="CB244" t="s">
        <v>1661</v>
      </c>
      <c r="CD244" t="str" cm="1">
        <f t="array" aca="1" ref="CD244" ca="1">eConcatenar(A244:CB244,"|")</f>
        <v>GKlg9gf4KsN8078t|VSA2020-T-0176|3|IMPERIAL DE LUJO|TABASCO|TACOTALPA|TACOTALPA|2020-09-12|12900|x|x|100|0|0|0|0|0|0|0|0|0|0|0|0|0|0|0|ALVAREZ|ESTEBAN|EDGAR|soltero|0|0|CARRETERA OXOTAL|BARRIO LA LOMA TAPIJULAPA|0|9931527744|0|0|0|CARRETERA OXOTAL|x|lunes|0|0|0|0|0|DOMICILIO |6700|6200|x|x|x|2022-03-14|2022-03-21|0|0|0|0|0|S35D6D3Y9KVTQO|0|HOMBRE|0|12900|0|0|0|0|0|0|0|0|CARDENAS|X|X|X|X|FINAL</v>
      </c>
    </row>
    <row r="245" spans="1:82" x14ac:dyDescent="0.25">
      <c r="A245" t="s">
        <v>379</v>
      </c>
      <c r="B245" t="s">
        <v>624</v>
      </c>
      <c r="C245">
        <v>3</v>
      </c>
      <c r="D245" t="s">
        <v>634</v>
      </c>
      <c r="E245" t="s">
        <v>643</v>
      </c>
      <c r="F245" t="s">
        <v>647</v>
      </c>
      <c r="G245" t="s">
        <v>647</v>
      </c>
      <c r="H245" t="s">
        <v>959</v>
      </c>
      <c r="I245">
        <v>14800</v>
      </c>
      <c r="J245" t="s">
        <v>3</v>
      </c>
      <c r="K245" t="s">
        <v>3</v>
      </c>
      <c r="L245">
        <v>100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1020</v>
      </c>
      <c r="AC245" t="s">
        <v>7</v>
      </c>
      <c r="AD245" s="18" t="s">
        <v>1340</v>
      </c>
      <c r="AE245" t="s">
        <v>1356</v>
      </c>
      <c r="AF245">
        <v>0</v>
      </c>
      <c r="AG245">
        <v>0</v>
      </c>
      <c r="AH245" t="s">
        <v>1571</v>
      </c>
      <c r="AI245" t="s">
        <v>796</v>
      </c>
      <c r="AJ245">
        <v>0</v>
      </c>
      <c r="AK245">
        <v>9931170289</v>
      </c>
      <c r="AL245">
        <v>0</v>
      </c>
      <c r="AM245">
        <v>0</v>
      </c>
      <c r="AN245">
        <v>0</v>
      </c>
      <c r="AO245" t="s">
        <v>1571</v>
      </c>
      <c r="AP245" t="s">
        <v>3</v>
      </c>
      <c r="AQ245" t="s">
        <v>1581</v>
      </c>
      <c r="AR245">
        <v>0</v>
      </c>
      <c r="AS245">
        <v>0</v>
      </c>
      <c r="AT245">
        <v>0</v>
      </c>
      <c r="AU245">
        <v>0</v>
      </c>
      <c r="AV245">
        <v>0</v>
      </c>
      <c r="AW245" t="s">
        <v>11</v>
      </c>
      <c r="AX245">
        <f>Tabla1[[#This Row],[precio del paquete]]-Tabla1[[#This Row],[Saldo_Deudor]]</f>
        <v>4300</v>
      </c>
      <c r="AY245">
        <v>10500</v>
      </c>
      <c r="AZ245" t="s">
        <v>3</v>
      </c>
      <c r="BA245" t="s">
        <v>3</v>
      </c>
      <c r="BB245" t="s">
        <v>3</v>
      </c>
      <c r="BC245" t="s">
        <v>1611</v>
      </c>
      <c r="BD245" t="s">
        <v>1612</v>
      </c>
      <c r="BE245">
        <v>0</v>
      </c>
      <c r="BF245">
        <v>0</v>
      </c>
      <c r="BG245">
        <v>0</v>
      </c>
      <c r="BH245">
        <v>0</v>
      </c>
      <c r="BI245">
        <v>0</v>
      </c>
      <c r="BJ245" t="s">
        <v>1660</v>
      </c>
      <c r="BK245">
        <v>0</v>
      </c>
      <c r="BL245" t="s">
        <v>132</v>
      </c>
      <c r="BM245">
        <v>0</v>
      </c>
      <c r="BN245">
        <f>Tabla1[[#This Row],[precio del paquete]]</f>
        <v>14800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 t="s">
        <v>0</v>
      </c>
      <c r="BX245" t="s">
        <v>1</v>
      </c>
      <c r="BY245" t="s">
        <v>1</v>
      </c>
      <c r="BZ245" t="s">
        <v>1</v>
      </c>
      <c r="CA245" t="s">
        <v>1</v>
      </c>
      <c r="CB245" t="s">
        <v>1661</v>
      </c>
      <c r="CD245" t="str" cm="1">
        <f t="array" aca="1" ref="CD245" ca="1">eConcatenar(A245:CB245,"|")</f>
        <v>1zvJfYqb0G7Xiw7k|VSA2021-T-0261|3|MEMORIAL|TABASCO|TEAPA|TEAPA|2021-04-15|14800|x|x|100|0|0|0|0|0|0|0|0|0|0|0|0|0|0|0|CRUZ|LOPEZ|LORENA|soltero|0|0|CINDA VISTA NUMERO 158|BARRIO SABANILLA|0|9931170289|0|0|0|CINDA VISTA NUMERO 158|x|lunes|0|0|0|0|0|DOMICILIO |4300|10500|x|x|x|2022-03-14|2022-03-21|0|0|0|0|0|S35D6D3Y9KVTQO|0|HOMBRE|0|14800|0|0|0|0|0|0|0|0|CARDENAS|X|X|X|X|FINAL</v>
      </c>
    </row>
    <row r="246" spans="1:82" x14ac:dyDescent="0.25">
      <c r="A246" t="s">
        <v>380</v>
      </c>
      <c r="B246" t="s">
        <v>625</v>
      </c>
      <c r="C246">
        <v>3</v>
      </c>
      <c r="D246" t="s">
        <v>635</v>
      </c>
      <c r="E246" t="s">
        <v>643</v>
      </c>
      <c r="F246" t="s">
        <v>648</v>
      </c>
      <c r="G246" t="s">
        <v>648</v>
      </c>
      <c r="H246" t="s">
        <v>960</v>
      </c>
      <c r="I246">
        <v>12900</v>
      </c>
      <c r="J246" t="s">
        <v>3</v>
      </c>
      <c r="K246" t="s">
        <v>3</v>
      </c>
      <c r="L246">
        <v>100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1093</v>
      </c>
      <c r="AC246" t="s">
        <v>1341</v>
      </c>
      <c r="AD246" s="18" t="s">
        <v>1342</v>
      </c>
      <c r="AE246" t="s">
        <v>1356</v>
      </c>
      <c r="AF246">
        <v>0</v>
      </c>
      <c r="AG246">
        <v>0</v>
      </c>
      <c r="AH246" t="s">
        <v>1572</v>
      </c>
      <c r="AI246" t="s">
        <v>797</v>
      </c>
      <c r="AJ246">
        <v>0</v>
      </c>
      <c r="AK246">
        <v>9321015896</v>
      </c>
      <c r="AL246">
        <v>0</v>
      </c>
      <c r="AM246">
        <v>0</v>
      </c>
      <c r="AN246">
        <v>0</v>
      </c>
      <c r="AO246" t="s">
        <v>1572</v>
      </c>
      <c r="AP246" t="s">
        <v>3</v>
      </c>
      <c r="AQ246" t="s">
        <v>1581</v>
      </c>
      <c r="AR246">
        <v>0</v>
      </c>
      <c r="AS246">
        <v>0</v>
      </c>
      <c r="AT246">
        <v>0</v>
      </c>
      <c r="AU246">
        <v>0</v>
      </c>
      <c r="AV246">
        <v>0</v>
      </c>
      <c r="AW246" t="s">
        <v>11</v>
      </c>
      <c r="AX246">
        <f>Tabla1[[#This Row],[precio del paquete]]-Tabla1[[#This Row],[Saldo_Deudor]]</f>
        <v>4400</v>
      </c>
      <c r="AY246">
        <v>8500</v>
      </c>
      <c r="AZ246" t="s">
        <v>3</v>
      </c>
      <c r="BA246" t="s">
        <v>3</v>
      </c>
      <c r="BB246" t="s">
        <v>3</v>
      </c>
      <c r="BC246" t="s">
        <v>1611</v>
      </c>
      <c r="BD246" t="s">
        <v>1612</v>
      </c>
      <c r="BE246">
        <v>0</v>
      </c>
      <c r="BF246">
        <v>0</v>
      </c>
      <c r="BG246">
        <v>0</v>
      </c>
      <c r="BH246">
        <v>0</v>
      </c>
      <c r="BI246">
        <v>0</v>
      </c>
      <c r="BJ246" t="s">
        <v>1660</v>
      </c>
      <c r="BK246">
        <v>0</v>
      </c>
      <c r="BL246" t="s">
        <v>132</v>
      </c>
      <c r="BM246">
        <v>0</v>
      </c>
      <c r="BN246">
        <f>Tabla1[[#This Row],[precio del paquete]]</f>
        <v>12900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 t="s">
        <v>0</v>
      </c>
      <c r="BX246" t="s">
        <v>1</v>
      </c>
      <c r="BY246" t="s">
        <v>1</v>
      </c>
      <c r="BZ246" t="s">
        <v>1</v>
      </c>
      <c r="CA246" t="s">
        <v>1</v>
      </c>
      <c r="CB246" t="s">
        <v>1661</v>
      </c>
      <c r="CD246" t="str" cm="1">
        <f t="array" aca="1" ref="CD246" ca="1">eConcatenar(A246:CB246,"|")</f>
        <v>3l9juGz7X02tYNEP|VSA2021-T-0141|3|IMPERIAL DE LUJO|TABASCO|TACOTALPA|TACOTALPA|2021-02-03|12900|x|x|100|0|0|0|0|0|0|0|0|0|0|0|0|0|0|0|PAZ|MONROY|ABELINO|soltero|0|0|CALLE JOSE LOPEZ PORTILLO|JOSE LOPEZ PORTILLO|0|9321015896|0|0|0|CALLE JOSE LOPEZ PORTILLO|x|lunes|0|0|0|0|0|DOMICILIO |4400|8500|x|x|x|2022-03-14|2022-03-21|0|0|0|0|0|S35D6D3Y9KVTQO|0|HOMBRE|0|12900|0|0|0|0|0|0|0|0|CARDENAS|X|X|X|X|FINAL</v>
      </c>
    </row>
    <row r="247" spans="1:82" x14ac:dyDescent="0.25">
      <c r="A247" t="s">
        <v>381</v>
      </c>
      <c r="B247" t="s">
        <v>626</v>
      </c>
      <c r="C247">
        <v>3</v>
      </c>
      <c r="D247" t="s">
        <v>635</v>
      </c>
      <c r="E247" t="s">
        <v>643</v>
      </c>
      <c r="F247" t="s">
        <v>648</v>
      </c>
      <c r="G247" t="s">
        <v>648</v>
      </c>
      <c r="H247" t="s">
        <v>961</v>
      </c>
      <c r="I247">
        <v>12900</v>
      </c>
      <c r="J247" t="s">
        <v>3</v>
      </c>
      <c r="K247" t="s">
        <v>3</v>
      </c>
      <c r="L247">
        <v>100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7</v>
      </c>
      <c r="AC247" t="s">
        <v>1080</v>
      </c>
      <c r="AD247" s="18" t="s">
        <v>989</v>
      </c>
      <c r="AE247" t="s">
        <v>1356</v>
      </c>
      <c r="AF247">
        <v>0</v>
      </c>
      <c r="AG247">
        <v>0</v>
      </c>
      <c r="AH247" t="s">
        <v>1573</v>
      </c>
      <c r="AI247" t="s">
        <v>798</v>
      </c>
      <c r="AJ247">
        <v>0</v>
      </c>
      <c r="AK247">
        <v>9321143103</v>
      </c>
      <c r="AL247">
        <v>0</v>
      </c>
      <c r="AM247">
        <v>0</v>
      </c>
      <c r="AN247">
        <v>0</v>
      </c>
      <c r="AO247" t="s">
        <v>1573</v>
      </c>
      <c r="AP247" t="s">
        <v>3</v>
      </c>
      <c r="AQ247" t="s">
        <v>1581</v>
      </c>
      <c r="AR247">
        <v>0</v>
      </c>
      <c r="AS247">
        <v>0</v>
      </c>
      <c r="AT247">
        <v>0</v>
      </c>
      <c r="AU247">
        <v>0</v>
      </c>
      <c r="AV247">
        <v>0</v>
      </c>
      <c r="AW247" t="s">
        <v>11</v>
      </c>
      <c r="AX247">
        <f>Tabla1[[#This Row],[precio del paquete]]-Tabla1[[#This Row],[Saldo_Deudor]]</f>
        <v>3400</v>
      </c>
      <c r="AY247">
        <v>9500</v>
      </c>
      <c r="AZ247" t="s">
        <v>3</v>
      </c>
      <c r="BA247" t="s">
        <v>3</v>
      </c>
      <c r="BB247" t="s">
        <v>3</v>
      </c>
      <c r="BC247" t="s">
        <v>1611</v>
      </c>
      <c r="BD247" t="s">
        <v>1612</v>
      </c>
      <c r="BE247">
        <v>0</v>
      </c>
      <c r="BF247">
        <v>0</v>
      </c>
      <c r="BG247">
        <v>0</v>
      </c>
      <c r="BH247">
        <v>0</v>
      </c>
      <c r="BI247">
        <v>0</v>
      </c>
      <c r="BJ247" t="s">
        <v>1660</v>
      </c>
      <c r="BK247">
        <v>0</v>
      </c>
      <c r="BL247" t="s">
        <v>132</v>
      </c>
      <c r="BM247">
        <v>0</v>
      </c>
      <c r="BN247">
        <f>Tabla1[[#This Row],[precio del paquete]]</f>
        <v>12900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 t="s">
        <v>0</v>
      </c>
      <c r="BX247" t="s">
        <v>1</v>
      </c>
      <c r="BY247" t="s">
        <v>1</v>
      </c>
      <c r="BZ247" t="s">
        <v>1</v>
      </c>
      <c r="CA247" t="s">
        <v>1</v>
      </c>
      <c r="CB247" t="s">
        <v>1661</v>
      </c>
      <c r="CD247" t="str" cm="1">
        <f t="array" aca="1" ref="CD247" ca="1">eConcatenar(A247:CB247,"|")</f>
        <v>yAi0fub1aGaGXDn5|VSA2021-T-0046|3|IMPERIAL DE LUJO|TABASCO|TACOTALPA|TACOTALPA|2021-01-21|12900|x|x|100|0|0|0|0|0|0|0|0|0|0|0|0|0|0|0|LOPEZ|CORNELIO|FRANCISCO|soltero|0|0|CARRTERA PRINCIPAL A JALAPA|CARRETERA PRINCIPAL A JALAPA|0|9321143103|0|0|0|CARRTERA PRINCIPAL A JALAPA|x|lunes|0|0|0|0|0|DOMICILIO |3400|9500|x|x|x|2022-03-14|2022-03-21|0|0|0|0|0|S35D6D3Y9KVTQO|0|HOMBRE|0|12900|0|0|0|0|0|0|0|0|CARDENAS|X|X|X|X|FINAL</v>
      </c>
    </row>
    <row r="248" spans="1:82" x14ac:dyDescent="0.25">
      <c r="A248" t="s">
        <v>382</v>
      </c>
      <c r="B248" t="s">
        <v>627</v>
      </c>
      <c r="C248">
        <v>3</v>
      </c>
      <c r="D248" t="s">
        <v>635</v>
      </c>
      <c r="E248" t="s">
        <v>643</v>
      </c>
      <c r="F248" t="s">
        <v>648</v>
      </c>
      <c r="G248" t="s">
        <v>648</v>
      </c>
      <c r="H248" t="s">
        <v>865</v>
      </c>
      <c r="I248">
        <v>12900</v>
      </c>
      <c r="J248" t="s">
        <v>3</v>
      </c>
      <c r="K248" t="s">
        <v>3</v>
      </c>
      <c r="L248">
        <v>100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985</v>
      </c>
      <c r="AC248" t="s">
        <v>1343</v>
      </c>
      <c r="AD248" s="18" t="s">
        <v>1344</v>
      </c>
      <c r="AE248" t="s">
        <v>1356</v>
      </c>
      <c r="AF248">
        <v>0</v>
      </c>
      <c r="AG248">
        <v>0</v>
      </c>
      <c r="AH248" t="s">
        <v>1574</v>
      </c>
      <c r="AI248" t="s">
        <v>799</v>
      </c>
      <c r="AJ248">
        <v>0</v>
      </c>
      <c r="AK248">
        <v>9321122998</v>
      </c>
      <c r="AL248">
        <v>0</v>
      </c>
      <c r="AM248">
        <v>0</v>
      </c>
      <c r="AN248">
        <v>0</v>
      </c>
      <c r="AO248" t="s">
        <v>1574</v>
      </c>
      <c r="AP248" t="s">
        <v>3</v>
      </c>
      <c r="AQ248" t="s">
        <v>1581</v>
      </c>
      <c r="AR248">
        <v>0</v>
      </c>
      <c r="AS248">
        <v>0</v>
      </c>
      <c r="AT248">
        <v>0</v>
      </c>
      <c r="AU248">
        <v>0</v>
      </c>
      <c r="AV248">
        <v>0</v>
      </c>
      <c r="AW248" t="s">
        <v>11</v>
      </c>
      <c r="AX248">
        <f>Tabla1[[#This Row],[precio del paquete]]-Tabla1[[#This Row],[Saldo_Deudor]]</f>
        <v>5400</v>
      </c>
      <c r="AY248">
        <v>7500</v>
      </c>
      <c r="AZ248" t="s">
        <v>3</v>
      </c>
      <c r="BA248" t="s">
        <v>3</v>
      </c>
      <c r="BB248" t="s">
        <v>3</v>
      </c>
      <c r="BC248" t="s">
        <v>1611</v>
      </c>
      <c r="BD248" t="s">
        <v>1612</v>
      </c>
      <c r="BE248">
        <v>0</v>
      </c>
      <c r="BF248">
        <v>0</v>
      </c>
      <c r="BG248">
        <v>0</v>
      </c>
      <c r="BH248">
        <v>0</v>
      </c>
      <c r="BI248">
        <v>0</v>
      </c>
      <c r="BJ248" t="s">
        <v>1660</v>
      </c>
      <c r="BK248">
        <v>0</v>
      </c>
      <c r="BL248" t="s">
        <v>132</v>
      </c>
      <c r="BM248">
        <v>0</v>
      </c>
      <c r="BN248">
        <f>Tabla1[[#This Row],[precio del paquete]]</f>
        <v>12900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 t="s">
        <v>0</v>
      </c>
      <c r="BX248" t="s">
        <v>1</v>
      </c>
      <c r="BY248" t="s">
        <v>1</v>
      </c>
      <c r="BZ248" t="s">
        <v>1</v>
      </c>
      <c r="CA248" t="s">
        <v>1</v>
      </c>
      <c r="CB248" t="s">
        <v>1661</v>
      </c>
      <c r="CD248" t="str" cm="1">
        <f t="array" aca="1" ref="CD248" ca="1">eConcatenar(A248:CB248,"|")</f>
        <v>lXB98KIeKPn9VXaf|VSA2021-T-0007|3|IMPERIAL DE LUJO|TABASCO|TACOTALPA|TACOTALPA|2021-05-01|12900|x|x|100|2|0|0|0|0|0|0|0|0|0|0|0|0|0|0|PEREZ|CORDERO|MARCELO|soltero|0|0|CALLE JOSE LOPEZ PORTILLO SIN NUMERO|BARRIO CURUA VILLA TAPIJULAPA|0|9321122998|0|0|0|CALLE JOSE LOPEZ PORTILLO SIN NUMERO|x|lunes|0|0|0|0|0|DOMICILIO |5400|7500|x|x|x|2022-03-14|2022-03-21|0|0|0|0|0|S35D6D3Y9KVTQO|0|HOMBRE|0|12900|0|0|0|0|0|0|0|0|CARDENAS|X|X|X|X|FINAL</v>
      </c>
    </row>
    <row r="249" spans="1:82" x14ac:dyDescent="0.25">
      <c r="A249" t="s">
        <v>383</v>
      </c>
      <c r="B249" t="s">
        <v>628</v>
      </c>
      <c r="C249">
        <v>3</v>
      </c>
      <c r="D249" t="s">
        <v>635</v>
      </c>
      <c r="E249" t="s">
        <v>643</v>
      </c>
      <c r="F249" t="s">
        <v>648</v>
      </c>
      <c r="G249" t="s">
        <v>648</v>
      </c>
      <c r="H249" t="s">
        <v>919</v>
      </c>
      <c r="I249">
        <v>12900</v>
      </c>
      <c r="J249" t="s">
        <v>3</v>
      </c>
      <c r="K249" t="s">
        <v>3</v>
      </c>
      <c r="L249">
        <v>100</v>
      </c>
      <c r="M249">
        <v>1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1345</v>
      </c>
      <c r="AC249" t="s">
        <v>7</v>
      </c>
      <c r="AD249" s="18" t="s">
        <v>1346</v>
      </c>
      <c r="AE249" t="s">
        <v>1356</v>
      </c>
      <c r="AF249">
        <v>0</v>
      </c>
      <c r="AG249">
        <v>0</v>
      </c>
      <c r="AH249" t="s">
        <v>1575</v>
      </c>
      <c r="AI249" t="s">
        <v>792</v>
      </c>
      <c r="AJ249">
        <v>0</v>
      </c>
      <c r="AK249">
        <v>9933712189</v>
      </c>
      <c r="AL249">
        <v>0</v>
      </c>
      <c r="AM249">
        <v>0</v>
      </c>
      <c r="AN249">
        <v>0</v>
      </c>
      <c r="AO249" t="s">
        <v>1575</v>
      </c>
      <c r="AP249" t="s">
        <v>3</v>
      </c>
      <c r="AQ249" t="s">
        <v>1581</v>
      </c>
      <c r="AR249">
        <v>0</v>
      </c>
      <c r="AS249">
        <v>0</v>
      </c>
      <c r="AT249">
        <v>0</v>
      </c>
      <c r="AU249">
        <v>0</v>
      </c>
      <c r="AV249">
        <v>0</v>
      </c>
      <c r="AW249" t="s">
        <v>11</v>
      </c>
      <c r="AX249">
        <f>Tabla1[[#This Row],[precio del paquete]]-Tabla1[[#This Row],[Saldo_Deudor]]</f>
        <v>2940</v>
      </c>
      <c r="AY249">
        <v>9960</v>
      </c>
      <c r="AZ249" t="s">
        <v>3</v>
      </c>
      <c r="BA249" t="s">
        <v>3</v>
      </c>
      <c r="BB249" t="s">
        <v>3</v>
      </c>
      <c r="BC249" t="s">
        <v>1611</v>
      </c>
      <c r="BD249" t="s">
        <v>1612</v>
      </c>
      <c r="BE249">
        <v>0</v>
      </c>
      <c r="BF249">
        <v>0</v>
      </c>
      <c r="BG249">
        <v>0</v>
      </c>
      <c r="BH249">
        <v>0</v>
      </c>
      <c r="BI249">
        <v>0</v>
      </c>
      <c r="BJ249" t="s">
        <v>1660</v>
      </c>
      <c r="BK249">
        <v>0</v>
      </c>
      <c r="BL249" t="s">
        <v>132</v>
      </c>
      <c r="BM249">
        <v>0</v>
      </c>
      <c r="BN249">
        <f>Tabla1[[#This Row],[precio del paquete]]</f>
        <v>12900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 t="s">
        <v>0</v>
      </c>
      <c r="BX249" t="s">
        <v>1</v>
      </c>
      <c r="BY249" t="s">
        <v>1</v>
      </c>
      <c r="BZ249" t="s">
        <v>1</v>
      </c>
      <c r="CA249" t="s">
        <v>1</v>
      </c>
      <c r="CB249" t="s">
        <v>1661</v>
      </c>
      <c r="CD249" t="str" cm="1">
        <f t="array" aca="1" ref="CD249" ca="1">eConcatenar(A249:CB249,"|")</f>
        <v>MjS7KMaicAPWgpZu|VSA2021-T-0087|3|IMPERIAL DE LUJO|TABASCO|TACOTALPA|TACOTALPA|2021-09-02|12900|x|x|100|1|0|0|0|0|0|0|0|0|0|0|0|0|0|0|MENDRANO|LOPEZ|CRISTOBAL|soltero|0|0|CALLE SIN NOMBRE CASA COLOR MORADO|EJIDO LAZARO CARDENAS|0|9933712189|0|0|0|CALLE SIN NOMBRE CASA COLOR MORADO|x|lunes|0|0|0|0|0|DOMICILIO |2940|9960|x|x|x|2022-03-14|2022-03-21|0|0|0|0|0|S35D6D3Y9KVTQO|0|HOMBRE|0|12900|0|0|0|0|0|0|0|0|CARDENAS|X|X|X|X|FINAL</v>
      </c>
    </row>
    <row r="250" spans="1:82" x14ac:dyDescent="0.25">
      <c r="A250" t="s">
        <v>384</v>
      </c>
      <c r="B250" t="s">
        <v>629</v>
      </c>
      <c r="C250">
        <v>3</v>
      </c>
      <c r="D250" t="s">
        <v>642</v>
      </c>
      <c r="E250" t="s">
        <v>643</v>
      </c>
      <c r="F250" t="s">
        <v>644</v>
      </c>
      <c r="G250" t="s">
        <v>644</v>
      </c>
      <c r="H250" t="s">
        <v>962</v>
      </c>
      <c r="I250">
        <v>38000</v>
      </c>
      <c r="J250" t="s">
        <v>3</v>
      </c>
      <c r="K250" t="s">
        <v>3</v>
      </c>
      <c r="L250">
        <v>100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1347</v>
      </c>
      <c r="AC250" t="s">
        <v>985</v>
      </c>
      <c r="AD250" s="18" t="s">
        <v>1348</v>
      </c>
      <c r="AE250" t="s">
        <v>1356</v>
      </c>
      <c r="AF250">
        <v>0</v>
      </c>
      <c r="AG250">
        <v>0</v>
      </c>
      <c r="AH250" t="s">
        <v>1576</v>
      </c>
      <c r="AI250" t="s">
        <v>730</v>
      </c>
      <c r="AJ250">
        <v>0</v>
      </c>
      <c r="AK250">
        <v>9932912883</v>
      </c>
      <c r="AL250">
        <v>0</v>
      </c>
      <c r="AM250">
        <v>0</v>
      </c>
      <c r="AN250">
        <v>0</v>
      </c>
      <c r="AO250" t="s">
        <v>1576</v>
      </c>
      <c r="AP250" t="s">
        <v>3</v>
      </c>
      <c r="AQ250" t="s">
        <v>1581</v>
      </c>
      <c r="AR250">
        <v>0</v>
      </c>
      <c r="AS250">
        <v>0</v>
      </c>
      <c r="AT250">
        <v>0</v>
      </c>
      <c r="AU250">
        <v>0</v>
      </c>
      <c r="AV250">
        <v>0</v>
      </c>
      <c r="AW250" t="s">
        <v>11</v>
      </c>
      <c r="AX250">
        <f>Tabla1[[#This Row],[precio del paquete]]-Tabla1[[#This Row],[Saldo_Deudor]]</f>
        <v>9050</v>
      </c>
      <c r="AY250">
        <v>28950</v>
      </c>
      <c r="AZ250" t="s">
        <v>3</v>
      </c>
      <c r="BA250" t="s">
        <v>3</v>
      </c>
      <c r="BB250" t="s">
        <v>3</v>
      </c>
      <c r="BC250" t="s">
        <v>1621</v>
      </c>
      <c r="BD250" t="s">
        <v>1622</v>
      </c>
      <c r="BE250">
        <v>0</v>
      </c>
      <c r="BF250">
        <v>0</v>
      </c>
      <c r="BG250">
        <v>0</v>
      </c>
      <c r="BH250">
        <v>0</v>
      </c>
      <c r="BI250">
        <v>0</v>
      </c>
      <c r="BJ250" t="s">
        <v>1656</v>
      </c>
      <c r="BK250">
        <v>0</v>
      </c>
      <c r="BL250" t="s">
        <v>132</v>
      </c>
      <c r="BM250">
        <v>0</v>
      </c>
      <c r="BN250">
        <f>Tabla1[[#This Row],[precio del paquete]]</f>
        <v>38000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 t="s">
        <v>0</v>
      </c>
      <c r="BX250" t="s">
        <v>1</v>
      </c>
      <c r="BY250" t="s">
        <v>1</v>
      </c>
      <c r="BZ250" t="s">
        <v>1</v>
      </c>
      <c r="CA250" t="s">
        <v>1</v>
      </c>
      <c r="CB250" t="s">
        <v>1661</v>
      </c>
      <c r="CD250" t="str" cm="1">
        <f t="array" aca="1" ref="CD250" ca="1">eConcatenar(A250:CB250,"|")</f>
        <v>EbaN83j0ipKVcmh9|VSA2020-T-0082|3|CREMACION|TABASCO|VILLAHERMOSA|VILLAHERMOSA|2020-09-11|38000|x|x|100|0|0|0|0|0|0|0|0|0|0|0|0|0|0|0|ZETINA|PEREZ|TANIA DOLORES|soltero|0|0|CALLE DOCTOR RAMON MEDINA NUMERO 218|COLONIA CENTRO VILLA HERMOSA|0|9932912883|0|0|0|CALLE DOCTOR RAMON MEDINA NUMERO 218|x|lunes|0|0|0|0|0|DOMICILIO |9050|28950|x|x|x|2022-03-17|2022-03-24|0|0|0|0|0|QYD9TFMW9KVTQO|0|HOMBRE|0|38000|0|0|0|0|0|0|0|0|CARDENAS|X|X|X|X|FINAL</v>
      </c>
    </row>
    <row r="251" spans="1:82" x14ac:dyDescent="0.25">
      <c r="A251" t="s">
        <v>385</v>
      </c>
      <c r="B251" t="s">
        <v>630</v>
      </c>
      <c r="C251">
        <v>3</v>
      </c>
      <c r="D251" t="s">
        <v>635</v>
      </c>
      <c r="E251" t="s">
        <v>643</v>
      </c>
      <c r="F251" t="s">
        <v>644</v>
      </c>
      <c r="G251" t="s">
        <v>644</v>
      </c>
      <c r="H251" t="s">
        <v>866</v>
      </c>
      <c r="I251">
        <v>12900</v>
      </c>
      <c r="J251" t="s">
        <v>3</v>
      </c>
      <c r="K251" t="s">
        <v>3</v>
      </c>
      <c r="L251">
        <v>100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1349</v>
      </c>
      <c r="AC251" t="s">
        <v>1314</v>
      </c>
      <c r="AD251" s="18" t="s">
        <v>996</v>
      </c>
      <c r="AE251" t="s">
        <v>1356</v>
      </c>
      <c r="AF251">
        <v>0</v>
      </c>
      <c r="AG251">
        <v>0</v>
      </c>
      <c r="AH251" t="s">
        <v>1577</v>
      </c>
      <c r="AI251" t="s">
        <v>800</v>
      </c>
      <c r="AJ251">
        <v>0</v>
      </c>
      <c r="AK251">
        <v>9933713222</v>
      </c>
      <c r="AL251">
        <v>0</v>
      </c>
      <c r="AM251">
        <v>0</v>
      </c>
      <c r="AN251">
        <v>0</v>
      </c>
      <c r="AO251" t="s">
        <v>1577</v>
      </c>
      <c r="AP251" t="s">
        <v>3</v>
      </c>
      <c r="AQ251" t="s">
        <v>1581</v>
      </c>
      <c r="AR251">
        <v>0</v>
      </c>
      <c r="AS251">
        <v>0</v>
      </c>
      <c r="AT251">
        <v>0</v>
      </c>
      <c r="AU251">
        <v>0</v>
      </c>
      <c r="AV251">
        <v>0</v>
      </c>
      <c r="AW251" t="s">
        <v>11</v>
      </c>
      <c r="AX251">
        <f>Tabla1[[#This Row],[precio del paquete]]-Tabla1[[#This Row],[Saldo_Deudor]]</f>
        <v>6300</v>
      </c>
      <c r="AY251">
        <v>6600</v>
      </c>
      <c r="AZ251" t="s">
        <v>3</v>
      </c>
      <c r="BA251" t="s">
        <v>3</v>
      </c>
      <c r="BB251" t="s">
        <v>3</v>
      </c>
      <c r="BC251" t="s">
        <v>1648</v>
      </c>
      <c r="BD251" t="s">
        <v>1649</v>
      </c>
      <c r="BE251">
        <v>0</v>
      </c>
      <c r="BF251">
        <v>0</v>
      </c>
      <c r="BG251">
        <v>0</v>
      </c>
      <c r="BH251">
        <v>0</v>
      </c>
      <c r="BI251">
        <v>0</v>
      </c>
      <c r="BJ251" t="s">
        <v>1650</v>
      </c>
      <c r="BK251">
        <v>0</v>
      </c>
      <c r="BL251" t="s">
        <v>132</v>
      </c>
      <c r="BM251">
        <v>0</v>
      </c>
      <c r="BN251">
        <f>Tabla1[[#This Row],[precio del paquete]]</f>
        <v>12900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 t="s">
        <v>0</v>
      </c>
      <c r="BX251" t="s">
        <v>1</v>
      </c>
      <c r="BY251" t="s">
        <v>1</v>
      </c>
      <c r="BZ251" t="s">
        <v>1</v>
      </c>
      <c r="CA251" t="s">
        <v>1</v>
      </c>
      <c r="CB251" t="s">
        <v>1661</v>
      </c>
      <c r="CD251" t="str" cm="1">
        <f t="array" aca="1" ref="CD251" ca="1">eConcatenar(A251:CB251,"|")</f>
        <v>EbyvOUvtlxZkayGS|VSA2020-1320|3|IMPERIAL DE LUJO|TABASCO|VILLAHERMOSA|VILLAHERMOSA|2020-09-12|12900|x|x|100|0|0|0|0|0|0|0|0|0|0|0|0|0|0|0|RODRIGURZ|CASTELLANOS|ELIZABETH|soltero|0|0|CARRETERA A JALAPA|RANCHERIA LA UNION JALAPA|0|9933713222|0|0|0|CARRETERA A JALAPA|x|lunes|0|0|0|0|0|DOMICILIO |6300|6600|x|x|x|2022-03-16|2022-03-23|0|0|0|0|0|QYD9TF5Y9KVTQO|0|HOMBRE|0|12900|0|0|0|0|0|0|0|0|CARDENAS|X|X|X|X|FINAL</v>
      </c>
    </row>
    <row r="252" spans="1:82" x14ac:dyDescent="0.25">
      <c r="A252" t="s">
        <v>386</v>
      </c>
      <c r="B252" t="s">
        <v>631</v>
      </c>
      <c r="C252">
        <v>3</v>
      </c>
      <c r="D252" t="s">
        <v>639</v>
      </c>
      <c r="E252" t="s">
        <v>643</v>
      </c>
      <c r="F252" t="s">
        <v>644</v>
      </c>
      <c r="G252" t="s">
        <v>644</v>
      </c>
      <c r="H252" t="s">
        <v>963</v>
      </c>
      <c r="I252">
        <v>35000</v>
      </c>
      <c r="J252" t="s">
        <v>3</v>
      </c>
      <c r="K252" t="s">
        <v>3</v>
      </c>
      <c r="L252">
        <v>100</v>
      </c>
      <c r="M252">
        <v>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1350</v>
      </c>
      <c r="AC252" t="s">
        <v>7</v>
      </c>
      <c r="AD252" s="18" t="s">
        <v>1351</v>
      </c>
      <c r="AE252" t="s">
        <v>1356</v>
      </c>
      <c r="AF252">
        <v>0</v>
      </c>
      <c r="AG252">
        <v>0</v>
      </c>
      <c r="AH252" t="s">
        <v>1578</v>
      </c>
      <c r="AI252" t="s">
        <v>801</v>
      </c>
      <c r="AJ252">
        <v>0</v>
      </c>
      <c r="AK252">
        <v>9931703951</v>
      </c>
      <c r="AL252">
        <v>0</v>
      </c>
      <c r="AM252">
        <v>0</v>
      </c>
      <c r="AN252">
        <v>0</v>
      </c>
      <c r="AO252" t="s">
        <v>1578</v>
      </c>
      <c r="AP252" t="s">
        <v>3</v>
      </c>
      <c r="AQ252" t="s">
        <v>1581</v>
      </c>
      <c r="AR252">
        <v>0</v>
      </c>
      <c r="AS252">
        <v>0</v>
      </c>
      <c r="AT252">
        <v>0</v>
      </c>
      <c r="AU252">
        <v>0</v>
      </c>
      <c r="AV252">
        <v>0</v>
      </c>
      <c r="AW252" t="s">
        <v>11</v>
      </c>
      <c r="AX252">
        <f>Tabla1[[#This Row],[precio del paquete]]-Tabla1[[#This Row],[Saldo_Deudor]]</f>
        <v>3600</v>
      </c>
      <c r="AY252">
        <v>31400</v>
      </c>
      <c r="AZ252" t="s">
        <v>3</v>
      </c>
      <c r="BA252" t="s">
        <v>3</v>
      </c>
      <c r="BB252" t="s">
        <v>3</v>
      </c>
      <c r="BC252" t="s">
        <v>1621</v>
      </c>
      <c r="BD252" t="s">
        <v>1622</v>
      </c>
      <c r="BE252">
        <v>0</v>
      </c>
      <c r="BF252">
        <v>0</v>
      </c>
      <c r="BG252">
        <v>0</v>
      </c>
      <c r="BH252">
        <v>0</v>
      </c>
      <c r="BI252">
        <v>0</v>
      </c>
      <c r="BJ252" t="s">
        <v>1650</v>
      </c>
      <c r="BK252">
        <v>0</v>
      </c>
      <c r="BL252" t="s">
        <v>132</v>
      </c>
      <c r="BM252">
        <v>0</v>
      </c>
      <c r="BN252">
        <f>Tabla1[[#This Row],[precio del paquete]]</f>
        <v>35000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 t="s">
        <v>0</v>
      </c>
      <c r="BX252" t="s">
        <v>1</v>
      </c>
      <c r="BY252" t="s">
        <v>1</v>
      </c>
      <c r="BZ252" t="s">
        <v>1</v>
      </c>
      <c r="CA252" t="s">
        <v>1</v>
      </c>
      <c r="CB252" t="s">
        <v>1661</v>
      </c>
      <c r="CD252" t="str" cm="1">
        <f t="array" aca="1" ref="CD252" ca="1">eConcatenar(A252:CB252,"|")</f>
        <v>o6S3X7AHqx9WW58N|VSA2021-1310|3|DELUX|TABASCO|VILLAHERMOSA|VILLAHERMOSA|2021-08-17|35000|x|x|100|2|0|0|0|0|0|0|0|0|0|0|0|0|0|0|TORREZ|LOPEZ|MARTHA ELENA|soltero|0|0|CALLE 1 MANZANA 1 LOTE 12|FRACCIONAMIENTO LOMAS DE ESQUIPULA|0|9931703951|0|0|0|CALLE 1 MANZANA 1 LOTE 12|x|lunes|0|0|0|0|0|DOMICILIO |3600|31400|x|x|x|2022-03-17|2022-03-24|0|0|0|0|0|QYD9TF5Y9KVTQO|0|HOMBRE|0|35000|0|0|0|0|0|0|0|0|CARDENAS|X|X|X|X|FINAL</v>
      </c>
    </row>
    <row r="253" spans="1:82" x14ac:dyDescent="0.25">
      <c r="A253" t="s">
        <v>387</v>
      </c>
      <c r="B253" t="s">
        <v>632</v>
      </c>
      <c r="C253">
        <v>3</v>
      </c>
      <c r="D253" t="s">
        <v>635</v>
      </c>
      <c r="E253" t="s">
        <v>643</v>
      </c>
      <c r="F253" t="s">
        <v>644</v>
      </c>
      <c r="G253" t="s">
        <v>644</v>
      </c>
      <c r="H253" t="s">
        <v>964</v>
      </c>
      <c r="I253">
        <v>12900</v>
      </c>
      <c r="J253" t="s">
        <v>3</v>
      </c>
      <c r="K253" t="s">
        <v>3</v>
      </c>
      <c r="L253">
        <v>100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1352</v>
      </c>
      <c r="AC253" t="s">
        <v>1151</v>
      </c>
      <c r="AD253" s="18" t="s">
        <v>1353</v>
      </c>
      <c r="AE253" t="s">
        <v>1356</v>
      </c>
      <c r="AF253">
        <v>0</v>
      </c>
      <c r="AG253">
        <v>0</v>
      </c>
      <c r="AH253" t="s">
        <v>1579</v>
      </c>
      <c r="AI253" t="s">
        <v>724</v>
      </c>
      <c r="AJ253">
        <v>0</v>
      </c>
      <c r="AK253">
        <v>9933460089</v>
      </c>
      <c r="AL253">
        <v>0</v>
      </c>
      <c r="AM253">
        <v>0</v>
      </c>
      <c r="AN253">
        <v>0</v>
      </c>
      <c r="AO253" t="s">
        <v>1579</v>
      </c>
      <c r="AP253" t="s">
        <v>3</v>
      </c>
      <c r="AQ253" t="s">
        <v>1581</v>
      </c>
      <c r="AR253">
        <v>0</v>
      </c>
      <c r="AS253">
        <v>0</v>
      </c>
      <c r="AT253">
        <v>0</v>
      </c>
      <c r="AU253">
        <v>0</v>
      </c>
      <c r="AV253">
        <v>0</v>
      </c>
      <c r="AW253" t="s">
        <v>11</v>
      </c>
      <c r="AX253">
        <f>Tabla1[[#This Row],[precio del paquete]]-Tabla1[[#This Row],[Saldo_Deudor]]</f>
        <v>7400</v>
      </c>
      <c r="AY253">
        <v>5500</v>
      </c>
      <c r="AZ253" t="s">
        <v>3</v>
      </c>
      <c r="BA253" t="s">
        <v>3</v>
      </c>
      <c r="BB253" t="s">
        <v>3</v>
      </c>
      <c r="BC253" t="s">
        <v>1621</v>
      </c>
      <c r="BD253" t="s">
        <v>1622</v>
      </c>
      <c r="BE253">
        <v>0</v>
      </c>
      <c r="BF253">
        <v>0</v>
      </c>
      <c r="BG253">
        <v>0</v>
      </c>
      <c r="BH253">
        <v>0</v>
      </c>
      <c r="BI253">
        <v>0</v>
      </c>
      <c r="BJ253" t="s">
        <v>1659</v>
      </c>
      <c r="BK253">
        <v>0</v>
      </c>
      <c r="BL253" t="s">
        <v>132</v>
      </c>
      <c r="BM253">
        <v>0</v>
      </c>
      <c r="BN253">
        <f>Tabla1[[#This Row],[precio del paquete]]</f>
        <v>12900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 t="s">
        <v>0</v>
      </c>
      <c r="BX253" t="s">
        <v>1</v>
      </c>
      <c r="BY253" t="s">
        <v>1</v>
      </c>
      <c r="BZ253" t="s">
        <v>1</v>
      </c>
      <c r="CA253" t="s">
        <v>1</v>
      </c>
      <c r="CB253" t="s">
        <v>1661</v>
      </c>
      <c r="CD253" t="str" cm="1">
        <f t="array" aca="1" ref="CD253" ca="1">eConcatenar(A253:CB253,"|")</f>
        <v>yT3oF79oLvOwwFdZ|VSA2019-0313|3|IMPERIAL DE LUJO|TABASCO|VILLAHERMOSA|VILLAHERMOSA|2019-06-24|12900|x|x|100|0|0|0|0|0|0|0|0|0|0|0|0|0|0|0|ORAMAS|LEON|JAQUELIN|soltero|0|0|CALLE DEL TEMPLO JESUS CRISTO POBLADO LA MAICA|RANCHERIA TUMBULUSHAL|0|9933460089|0|0|0|CALLE DEL TEMPLO JESUS CRISTO POBLADO LA MAICA|x|lunes|0|0|0|0|0|DOMICILIO |7400|5500|x|x|x|2022-03-17|2022-03-24|0|0|0|0|0|QYDRHV6G9KVTQO|0|HOMBRE|0|12900|0|0|0|0|0|0|0|0|CARDENAS|X|X|X|X|FINAL</v>
      </c>
    </row>
    <row r="254" spans="1:82" x14ac:dyDescent="0.25">
      <c r="A254" t="s">
        <v>388</v>
      </c>
      <c r="B254" t="s">
        <v>633</v>
      </c>
      <c r="C254">
        <v>3</v>
      </c>
      <c r="D254" t="s">
        <v>635</v>
      </c>
      <c r="E254" t="s">
        <v>643</v>
      </c>
      <c r="F254" t="s">
        <v>644</v>
      </c>
      <c r="G254" t="s">
        <v>644</v>
      </c>
      <c r="H254" t="s">
        <v>965</v>
      </c>
      <c r="I254">
        <v>12900</v>
      </c>
      <c r="J254" t="s">
        <v>3</v>
      </c>
      <c r="K254" t="s">
        <v>3</v>
      </c>
      <c r="L254">
        <v>100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1354</v>
      </c>
      <c r="AC254" t="s">
        <v>1199</v>
      </c>
      <c r="AD254" s="18" t="s">
        <v>1355</v>
      </c>
      <c r="AE254" t="s">
        <v>1356</v>
      </c>
      <c r="AF254">
        <v>0</v>
      </c>
      <c r="AG254">
        <v>0</v>
      </c>
      <c r="AH254" t="s">
        <v>1580</v>
      </c>
      <c r="AI254" t="s">
        <v>724</v>
      </c>
      <c r="AJ254">
        <v>0</v>
      </c>
      <c r="AK254">
        <v>9931532436</v>
      </c>
      <c r="AL254">
        <v>0</v>
      </c>
      <c r="AM254">
        <v>0</v>
      </c>
      <c r="AN254">
        <v>0</v>
      </c>
      <c r="AO254" t="s">
        <v>1580</v>
      </c>
      <c r="AP254" t="s">
        <v>3</v>
      </c>
      <c r="AQ254" t="s">
        <v>1581</v>
      </c>
      <c r="AR254">
        <v>0</v>
      </c>
      <c r="AS254">
        <v>0</v>
      </c>
      <c r="AT254">
        <v>0</v>
      </c>
      <c r="AU254">
        <v>0</v>
      </c>
      <c r="AV254">
        <v>0</v>
      </c>
      <c r="AW254" t="s">
        <v>11</v>
      </c>
      <c r="AX254">
        <f>Tabla1[[#This Row],[precio del paquete]]-Tabla1[[#This Row],[Saldo_Deudor]]</f>
        <v>11800</v>
      </c>
      <c r="AY254">
        <v>1100</v>
      </c>
      <c r="AZ254" t="s">
        <v>3</v>
      </c>
      <c r="BA254" t="s">
        <v>3</v>
      </c>
      <c r="BB254" t="s">
        <v>3</v>
      </c>
      <c r="BC254" t="s">
        <v>1621</v>
      </c>
      <c r="BD254" t="s">
        <v>1622</v>
      </c>
      <c r="BE254">
        <v>0</v>
      </c>
      <c r="BF254">
        <v>0</v>
      </c>
      <c r="BG254">
        <v>0</v>
      </c>
      <c r="BH254">
        <v>0</v>
      </c>
      <c r="BI254">
        <v>0</v>
      </c>
      <c r="BJ254" t="s">
        <v>1659</v>
      </c>
      <c r="BK254">
        <v>0</v>
      </c>
      <c r="BL254" t="s">
        <v>132</v>
      </c>
      <c r="BM254">
        <v>0</v>
      </c>
      <c r="BN254">
        <f>Tabla1[[#This Row],[precio del paquete]]</f>
        <v>12900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 t="s">
        <v>0</v>
      </c>
      <c r="BX254" t="s">
        <v>1</v>
      </c>
      <c r="BY254" t="s">
        <v>1</v>
      </c>
      <c r="BZ254" t="s">
        <v>1</v>
      </c>
      <c r="CA254" t="s">
        <v>1</v>
      </c>
      <c r="CB254" t="s">
        <v>1661</v>
      </c>
      <c r="CD254" t="str" cm="1">
        <f t="array" aca="1" ref="CD254" ca="1">eConcatenar(A254:CB254,"|")</f>
        <v>N6OjuTSxKvnrqZPF|VSA2019-0084|3|IMPERIAL DE LUJO|TABASCO|VILLAHERMOSA|VILLAHERMOSA|2019-03-21|12900|x|x|100|0|0|0|0|0|0|0|0|0|0|0|0|0|0|0|PALACIO|OLAN|JOSE ALONSO|soltero|0|0|CALLE VECINAL TEAPA KILOMETRO 21.5|RANCHERIA TUMBULUSHAL|0|9931532436|0|0|0|CALLE VECINAL TEAPA KILOMETRO 21.5|x|lunes|0|0|0|0|0|DOMICILIO |11800|1100|x|x|x|2022-03-17|2022-03-24|0|0|0|0|0|QYDRHV6G9KVTQO|0|HOMBRE|0|12900|0|0|0|0|0|0|0|0|CARDENAS|X|X|X|X|FINAL</v>
      </c>
    </row>
    <row r="309" spans="1:80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2022-03-29T19:01:32Z</dcterms:modified>
</cp:coreProperties>
</file>